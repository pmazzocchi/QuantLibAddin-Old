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2810"/>
  </bookViews>
  <sheets>
    <sheet name="General Settings" sheetId="29" r:id="rId1"/>
    <sheet name="6MSynthDepo_used" sheetId="40" r:id="rId2"/>
    <sheet name="6MSynthDepo_allScenario" sheetId="39" r:id="rId3"/>
    <sheet name="3MSynthDepo_used" sheetId="53" r:id="rId4"/>
    <sheet name="3MSynthDepo_allScenario" sheetId="54" r:id="rId5"/>
    <sheet name="12MSynthDepo_used" sheetId="55" r:id="rId6"/>
    <sheet name="12MSynthDepo_allScenario" sheetId="56" r:id="rId7"/>
    <sheet name="1MSynthDepo_used" sheetId="57" r:id="rId8"/>
    <sheet name="1MSynthDepo_allScenario" sheetId="58" r:id="rId9"/>
  </sheets>
  <externalReferences>
    <externalReference r:id="rId10"/>
    <externalReference r:id="rId11"/>
  </externalReferences>
  <definedNames>
    <definedName name="AllTriggers">'General Settings'!$D$15:$D$19</definedName>
    <definedName name="Basis_coef" localSheetId="5">'12MSynthDepo_used'!$P$6:$P$10</definedName>
    <definedName name="Basis_coef" localSheetId="7">'1MSynthDepo_used'!$P$6:$P$10</definedName>
    <definedName name="Basis_coef" localSheetId="3">'3MSynthDepo_used'!$P$6:$P$10</definedName>
    <definedName name="Basis_coef" localSheetId="1">'6MSynthDepo_used'!$P$6:$P$10</definedName>
    <definedName name="Calendar">'General Settings'!$D$5</definedName>
    <definedName name="Currency">'General Settings'!$D$4</definedName>
    <definedName name="DayCounter">'General Settings'!$D$9</definedName>
    <definedName name="Discounting">'General Settings'!$D$8</definedName>
    <definedName name="EvaluationDate">'General Settings'!$D$16</definedName>
    <definedName name="IborType">'General Settings'!$D$6</definedName>
    <definedName name="InterestRatesTrigger">'General Settings'!$D$17</definedName>
    <definedName name="IsSimple" localSheetId="6">'12MSynthDepo_allScenario'!$G$24</definedName>
    <definedName name="IsSimple" localSheetId="8">'1MSynthDepo_allScenario'!$G$21</definedName>
    <definedName name="IsSimple" localSheetId="4">'3MSynthDepo_allScenario'!$G$24</definedName>
    <definedName name="IsSimple" localSheetId="2">'6MSynthDepo_allScenario'!$G$24</definedName>
    <definedName name="LastFixingsTrigger">'General Settings'!$D$18</definedName>
    <definedName name="ObjectOverwrite">'General Settings'!$I$5</definedName>
    <definedName name="OisCurve">'General Settings'!$D$8</definedName>
    <definedName name="ON_12M_index">'12MSynthDepo_allScenario'!$D$26</definedName>
    <definedName name="ON_1M_index">'1MSynthDepo_allScenario'!$D$23</definedName>
    <definedName name="ON_3M_index">'3MSynthDepo_allScenario'!$D$26</definedName>
    <definedName name="ON_6M_index">'6MSynthDepo_allScenario'!$D$26</definedName>
    <definedName name="OvernightIndex">'General Settings'!$D$7</definedName>
    <definedName name="Permanent">'General Settings'!$I$4</definedName>
    <definedName name="QuoteSuffix">'General Settings'!$I$6</definedName>
    <definedName name="SettlementDate">'General Settings'!$D$10</definedName>
    <definedName name="solver_adj" localSheetId="6" hidden="1">'12MSynthDepo_allScenario'!$AB$28:$AB$30</definedName>
    <definedName name="solver_adj" localSheetId="5" hidden="1">'12MSynthDepo_used'!#REF!</definedName>
    <definedName name="solver_adj" localSheetId="8" hidden="1">'1MSynthDepo_allScenario'!$AB$25:$AB$27</definedName>
    <definedName name="solver_adj" localSheetId="7" hidden="1">'1MSynthDepo_used'!#REF!</definedName>
    <definedName name="solver_adj" localSheetId="4" hidden="1">'3MSynthDepo_allScenario'!$AB$28:$AB$30</definedName>
    <definedName name="solver_adj" localSheetId="3" hidden="1">'3MSynthDepo_used'!#REF!</definedName>
    <definedName name="solver_adj" localSheetId="2" hidden="1">'6MSynthDepo_allScenario'!$AB$28:$AB$30</definedName>
    <definedName name="solver_adj" localSheetId="1" hidden="1">'6MSynthDepo_used'!#REF!</definedName>
    <definedName name="solver_cvg" localSheetId="6" hidden="1">0.0000000000001</definedName>
    <definedName name="solver_cvg" localSheetId="5" hidden="1">0.0000000000001</definedName>
    <definedName name="solver_cvg" localSheetId="8" hidden="1">0.0000000000001</definedName>
    <definedName name="solver_cvg" localSheetId="7" hidden="1">0.0000000000001</definedName>
    <definedName name="solver_cvg" localSheetId="4" hidden="1">0.0000000000001</definedName>
    <definedName name="solver_cvg" localSheetId="3" hidden="1">0.0000000000001</definedName>
    <definedName name="solver_cvg" localSheetId="2" hidden="1">0.0000000000001</definedName>
    <definedName name="solver_cvg" localSheetId="1" hidden="1">0.0000000000001</definedName>
    <definedName name="solver_drv" localSheetId="6" hidden="1">1</definedName>
    <definedName name="solver_drv" localSheetId="5" hidden="1">1</definedName>
    <definedName name="solver_drv" localSheetId="8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eng" localSheetId="6" hidden="1">1</definedName>
    <definedName name="solver_eng" localSheetId="5" hidden="1">1</definedName>
    <definedName name="solver_eng" localSheetId="8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st" localSheetId="6" hidden="1">1</definedName>
    <definedName name="solver_est" localSheetId="5" hidden="1">1</definedName>
    <definedName name="solver_est" localSheetId="8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6" hidden="1">2147483647</definedName>
    <definedName name="solver_itr" localSheetId="5" hidden="1">2147483647</definedName>
    <definedName name="solver_itr" localSheetId="8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mip" localSheetId="6" hidden="1">2147483647</definedName>
    <definedName name="solver_mip" localSheetId="5" hidden="1">2147483647</definedName>
    <definedName name="solver_mip" localSheetId="8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ni" localSheetId="6" hidden="1">30</definedName>
    <definedName name="solver_mni" localSheetId="5" hidden="1">30</definedName>
    <definedName name="solver_mni" localSheetId="8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6" hidden="1">0.075</definedName>
    <definedName name="solver_mrt" localSheetId="5" hidden="1">0.075</definedName>
    <definedName name="solver_mrt" localSheetId="8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6" hidden="1">2</definedName>
    <definedName name="solver_msl" localSheetId="5" hidden="1">2</definedName>
    <definedName name="solver_msl" localSheetId="8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neg" localSheetId="6" hidden="1">2</definedName>
    <definedName name="solver_neg" localSheetId="5" hidden="1">2</definedName>
    <definedName name="solver_neg" localSheetId="8" hidden="1">2</definedName>
    <definedName name="solver_neg" localSheetId="7" hidden="1">2</definedName>
    <definedName name="solver_neg" localSheetId="4" hidden="1">2</definedName>
    <definedName name="solver_neg" localSheetId="3" hidden="1">2</definedName>
    <definedName name="solver_neg" localSheetId="2" hidden="1">2</definedName>
    <definedName name="solver_neg" localSheetId="1" hidden="1">2</definedName>
    <definedName name="solver_nod" localSheetId="6" hidden="1">2147483647</definedName>
    <definedName name="solver_nod" localSheetId="5" hidden="1">2147483647</definedName>
    <definedName name="solver_nod" localSheetId="8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um" localSheetId="6" hidden="1">0</definedName>
    <definedName name="solver_num" localSheetId="5" hidden="1">0</definedName>
    <definedName name="solver_num" localSheetId="8" hidden="1">0</definedName>
    <definedName name="solver_num" localSheetId="7" hidden="1">0</definedName>
    <definedName name="solver_num" localSheetId="4" hidden="1">0</definedName>
    <definedName name="solver_num" localSheetId="3" hidden="1">0</definedName>
    <definedName name="solver_num" localSheetId="2" hidden="1">0</definedName>
    <definedName name="solver_num" localSheetId="1" hidden="1">0</definedName>
    <definedName name="solver_nwt" localSheetId="6" hidden="1">1</definedName>
    <definedName name="solver_nwt" localSheetId="5" hidden="1">1</definedName>
    <definedName name="solver_nwt" localSheetId="8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6" hidden="1">'12MSynthDepo_allScenario'!#REF!</definedName>
    <definedName name="solver_opt" localSheetId="5" hidden="1">'12MSynthDepo_used'!#REF!</definedName>
    <definedName name="solver_opt" localSheetId="8" hidden="1">'1MSynthDepo_allScenario'!#REF!</definedName>
    <definedName name="solver_opt" localSheetId="7" hidden="1">'1MSynthDepo_used'!#REF!</definedName>
    <definedName name="solver_opt" localSheetId="4" hidden="1">'3MSynthDepo_allScenario'!#REF!</definedName>
    <definedName name="solver_opt" localSheetId="3" hidden="1">'3MSynthDepo_used'!#REF!</definedName>
    <definedName name="solver_opt" localSheetId="2" hidden="1">'6MSynthDepo_allScenario'!#REF!</definedName>
    <definedName name="solver_opt" localSheetId="1" hidden="1">'6MSynthDepo_used'!#REF!</definedName>
    <definedName name="solver_pre" localSheetId="6" hidden="1">0.000001</definedName>
    <definedName name="solver_pre" localSheetId="5" hidden="1">0.000001</definedName>
    <definedName name="solver_pre" localSheetId="8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rbv" localSheetId="6" hidden="1">1</definedName>
    <definedName name="solver_rbv" localSheetId="5" hidden="1">1</definedName>
    <definedName name="solver_rbv" localSheetId="8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lx" localSheetId="6" hidden="1">2</definedName>
    <definedName name="solver_rlx" localSheetId="5" hidden="1">2</definedName>
    <definedName name="solver_rlx" localSheetId="8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6" hidden="1">0</definedName>
    <definedName name="solver_rsd" localSheetId="5" hidden="1">0</definedName>
    <definedName name="solver_rsd" localSheetId="8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scl" localSheetId="6" hidden="1">1</definedName>
    <definedName name="solver_scl" localSheetId="5" hidden="1">1</definedName>
    <definedName name="solver_scl" localSheetId="8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ho" localSheetId="6" hidden="1">2</definedName>
    <definedName name="solver_sho" localSheetId="5" hidden="1">2</definedName>
    <definedName name="solver_sho" localSheetId="8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6" hidden="1">100</definedName>
    <definedName name="solver_ssz" localSheetId="5" hidden="1">100</definedName>
    <definedName name="solver_ssz" localSheetId="8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tim" localSheetId="6" hidden="1">2147483647</definedName>
    <definedName name="solver_tim" localSheetId="5" hidden="1">2147483647</definedName>
    <definedName name="solver_tim" localSheetId="8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ol" localSheetId="6" hidden="1">0.01</definedName>
    <definedName name="solver_tol" localSheetId="5" hidden="1">0.01</definedName>
    <definedName name="solver_tol" localSheetId="8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yp" localSheetId="6" hidden="1">2</definedName>
    <definedName name="solver_typ" localSheetId="5" hidden="1">2</definedName>
    <definedName name="solver_typ" localSheetId="8" hidden="1">2</definedName>
    <definedName name="solver_typ" localSheetId="7" hidden="1">2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1" hidden="1">2</definedName>
    <definedName name="solver_val" localSheetId="6" hidden="1">0</definedName>
    <definedName name="solver_val" localSheetId="5" hidden="1">0</definedName>
    <definedName name="solver_val" localSheetId="8" hidden="1">0</definedName>
    <definedName name="solver_val" localSheetId="7" hidden="1">0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6" hidden="1">3</definedName>
    <definedName name="solver_ver" localSheetId="5" hidden="1">3</definedName>
    <definedName name="solver_ver" localSheetId="8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2" hidden="1">3</definedName>
    <definedName name="solver_ver" localSheetId="1" hidden="1">3</definedName>
    <definedName name="TenorBasis6M" localSheetId="5">'12MSynthDepo_used'!$P$3</definedName>
    <definedName name="TenorBasis6M" localSheetId="7">'1MSynthDepo_used'!$P$3</definedName>
    <definedName name="TenorBasis6M" localSheetId="3">'3MSynthDepo_used'!$P$3</definedName>
    <definedName name="TenorBasis6M">'6MSynthDepo_used'!$P$3</definedName>
    <definedName name="Trigger">'General Settings'!$D$15</definedName>
    <definedName name="TriggerCounter">'General Settings'!$D$19</definedName>
  </definedNames>
  <calcPr calcId="145621"/>
</workbook>
</file>

<file path=xl/calcChain.xml><?xml version="1.0" encoding="utf-8"?>
<calcChain xmlns="http://schemas.openxmlformats.org/spreadsheetml/2006/main">
  <c r="A11" i="53" l="1"/>
  <c r="A12" i="53" s="1"/>
  <c r="A10" i="53"/>
  <c r="A13" i="53" l="1"/>
  <c r="C12" i="53"/>
  <c r="C10" i="53"/>
  <c r="C11" i="53"/>
  <c r="D11" i="53" s="1"/>
  <c r="H13" i="54"/>
  <c r="F46" i="58"/>
  <c r="F45" i="58"/>
  <c r="F44" i="58"/>
  <c r="F43" i="58"/>
  <c r="H13" i="39"/>
  <c r="H13" i="56"/>
  <c r="AA31" i="58"/>
  <c r="BO4" i="58" s="1"/>
  <c r="Y31" i="58"/>
  <c r="BM4" i="58" s="1"/>
  <c r="W31" i="58"/>
  <c r="BK4" i="58" s="1"/>
  <c r="U31" i="58"/>
  <c r="S31" i="58"/>
  <c r="BG4" i="58" s="1"/>
  <c r="G31" i="58"/>
  <c r="BE4" i="58" s="1"/>
  <c r="A15" i="58"/>
  <c r="B14" i="58"/>
  <c r="C14" i="58" s="1"/>
  <c r="H13" i="58"/>
  <c r="G13" i="58"/>
  <c r="U12" i="58"/>
  <c r="S12" i="58"/>
  <c r="J6" i="58"/>
  <c r="A6" i="58"/>
  <c r="A17" i="58" s="1"/>
  <c r="J5" i="58"/>
  <c r="A5" i="58"/>
  <c r="A16" i="58" s="1"/>
  <c r="B16" i="58" s="1"/>
  <c r="C16" i="58" s="1"/>
  <c r="BI4" i="58"/>
  <c r="J4" i="58"/>
  <c r="B4" i="58"/>
  <c r="C4" i="58" s="1"/>
  <c r="A4" i="58"/>
  <c r="J3" i="58"/>
  <c r="A3" i="58"/>
  <c r="A14" i="58" s="1"/>
  <c r="H2" i="58"/>
  <c r="G2" i="58"/>
  <c r="U1" i="58"/>
  <c r="S1" i="58"/>
  <c r="X25" i="57"/>
  <c r="C8" i="57"/>
  <c r="C6" i="57"/>
  <c r="D6" i="57" s="1"/>
  <c r="C5" i="57"/>
  <c r="D3" i="57"/>
  <c r="C3" i="57"/>
  <c r="I2" i="57"/>
  <c r="D2" i="57"/>
  <c r="J9" i="56"/>
  <c r="B9" i="56"/>
  <c r="C9" i="56"/>
  <c r="A15" i="56"/>
  <c r="A16" i="56"/>
  <c r="A17" i="56"/>
  <c r="A18" i="56"/>
  <c r="A19" i="56"/>
  <c r="A20" i="56"/>
  <c r="AG5" i="58" a="1"/>
  <c r="AG9" i="58" a="1"/>
  <c r="AG14" i="58" a="1"/>
  <c r="AG19" i="58" a="1"/>
  <c r="E10" i="53"/>
  <c r="E12" i="53"/>
  <c r="E5" i="57"/>
  <c r="E6" i="57"/>
  <c r="E3" i="57"/>
  <c r="E8" i="57"/>
  <c r="D23" i="58"/>
  <c r="E4" i="57"/>
  <c r="D12" i="53" l="1"/>
  <c r="D10" i="53"/>
  <c r="C13" i="53"/>
  <c r="A14" i="53"/>
  <c r="D13" i="53"/>
  <c r="C7" i="57"/>
  <c r="AG20" i="58"/>
  <c r="AG21" i="58"/>
  <c r="AG19" i="58"/>
  <c r="AG15" i="58"/>
  <c r="AG14" i="58"/>
  <c r="AG16" i="58"/>
  <c r="AG10" i="58"/>
  <c r="AG9" i="58"/>
  <c r="AG5" i="58"/>
  <c r="AG6" i="58"/>
  <c r="B15" i="58"/>
  <c r="C15" i="58" s="1"/>
  <c r="B3" i="58"/>
  <c r="C3" i="58"/>
  <c r="B17" i="58"/>
  <c r="C17" i="58" s="1"/>
  <c r="B5" i="58"/>
  <c r="C5" i="58" s="1"/>
  <c r="B6" i="58"/>
  <c r="C6" i="58" s="1"/>
  <c r="D7" i="57"/>
  <c r="D5" i="57"/>
  <c r="D8" i="57"/>
  <c r="X42" i="55"/>
  <c r="X41" i="55"/>
  <c r="X40" i="55"/>
  <c r="X39" i="55"/>
  <c r="X38" i="55"/>
  <c r="X37" i="55"/>
  <c r="X36" i="55"/>
  <c r="X35" i="55"/>
  <c r="X34" i="55"/>
  <c r="X33" i="55"/>
  <c r="X32" i="55"/>
  <c r="X31" i="55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D63" i="56"/>
  <c r="D62" i="56"/>
  <c r="D61" i="56"/>
  <c r="D60" i="56"/>
  <c r="D59" i="56"/>
  <c r="D58" i="56"/>
  <c r="D57" i="56"/>
  <c r="D56" i="56"/>
  <c r="D55" i="56"/>
  <c r="D54" i="56"/>
  <c r="D53" i="56"/>
  <c r="D52" i="56"/>
  <c r="AA34" i="56"/>
  <c r="BO4" i="56" s="1"/>
  <c r="Y34" i="56"/>
  <c r="BM4" i="56" s="1"/>
  <c r="W34" i="56"/>
  <c r="BK4" i="56" s="1"/>
  <c r="U34" i="56"/>
  <c r="BI4" i="56" s="1"/>
  <c r="S34" i="56"/>
  <c r="BG4" i="56" s="1"/>
  <c r="G34" i="56"/>
  <c r="BE4" i="56" s="1"/>
  <c r="B19" i="56"/>
  <c r="B18" i="56"/>
  <c r="B15" i="56"/>
  <c r="G13" i="56"/>
  <c r="U12" i="56"/>
  <c r="S12" i="56"/>
  <c r="J8" i="56"/>
  <c r="B8" i="56"/>
  <c r="C8" i="56" s="1"/>
  <c r="J7" i="56"/>
  <c r="B7" i="56"/>
  <c r="C7" i="56" s="1"/>
  <c r="J6" i="56"/>
  <c r="J5" i="56"/>
  <c r="J4" i="56"/>
  <c r="J3" i="56"/>
  <c r="A3" i="56"/>
  <c r="A14" i="56" s="1"/>
  <c r="B14" i="56" s="1"/>
  <c r="H2" i="56"/>
  <c r="G2" i="56"/>
  <c r="U1" i="56"/>
  <c r="S1" i="56"/>
  <c r="A8" i="55"/>
  <c r="A7" i="55"/>
  <c r="C6" i="55"/>
  <c r="C5" i="55"/>
  <c r="D5" i="55" s="1"/>
  <c r="C3" i="55"/>
  <c r="I2" i="55"/>
  <c r="D2" i="55"/>
  <c r="AG14" i="56" a="1"/>
  <c r="AG9" i="56" a="1"/>
  <c r="AG5" i="56" a="1"/>
  <c r="AG19" i="56" a="1"/>
  <c r="E11" i="53"/>
  <c r="E13" i="53"/>
  <c r="E4" i="55"/>
  <c r="E7" i="57"/>
  <c r="D26" i="56"/>
  <c r="E3" i="55"/>
  <c r="A15" i="53" l="1"/>
  <c r="C14" i="53"/>
  <c r="AG20" i="56"/>
  <c r="AG19" i="56"/>
  <c r="AG21" i="56"/>
  <c r="AG5" i="56"/>
  <c r="AG6" i="56"/>
  <c r="AG9" i="56"/>
  <c r="AG10" i="56"/>
  <c r="AG14" i="56"/>
  <c r="AG15" i="56"/>
  <c r="AG16" i="56"/>
  <c r="C15" i="56"/>
  <c r="B17" i="56"/>
  <c r="C17" i="56" s="1"/>
  <c r="B4" i="56"/>
  <c r="C4" i="56" s="1"/>
  <c r="C18" i="56"/>
  <c r="B5" i="56"/>
  <c r="C5" i="56" s="1"/>
  <c r="C19" i="56"/>
  <c r="B20" i="56"/>
  <c r="C20" i="56" s="1"/>
  <c r="C14" i="56"/>
  <c r="B3" i="56"/>
  <c r="C3" i="56" s="1"/>
  <c r="B6" i="56"/>
  <c r="C6" i="56" s="1"/>
  <c r="C8" i="55"/>
  <c r="D6" i="55"/>
  <c r="A9" i="55"/>
  <c r="C7" i="55"/>
  <c r="D7" i="55" s="1"/>
  <c r="D3" i="55"/>
  <c r="F57" i="54"/>
  <c r="F56" i="54"/>
  <c r="F55" i="54"/>
  <c r="F54" i="54"/>
  <c r="D45" i="54"/>
  <c r="D44" i="54"/>
  <c r="D43" i="54"/>
  <c r="AA34" i="54"/>
  <c r="Y34" i="54"/>
  <c r="BM4" i="54" s="1"/>
  <c r="W34" i="54"/>
  <c r="BK4" i="54" s="1"/>
  <c r="U34" i="54"/>
  <c r="S34" i="54"/>
  <c r="G34" i="54"/>
  <c r="BE4" i="54" s="1"/>
  <c r="A14" i="54"/>
  <c r="B14" i="54" s="1"/>
  <c r="G13" i="54"/>
  <c r="U12" i="54"/>
  <c r="S12" i="54"/>
  <c r="J9" i="54"/>
  <c r="J8" i="54"/>
  <c r="J7" i="54"/>
  <c r="J6" i="54"/>
  <c r="A6" i="54"/>
  <c r="J5" i="54"/>
  <c r="A5" i="54"/>
  <c r="BO4" i="54"/>
  <c r="BI4" i="54"/>
  <c r="BG4" i="54"/>
  <c r="J4" i="54"/>
  <c r="A4" i="54"/>
  <c r="B4" i="54" s="1"/>
  <c r="J3" i="54"/>
  <c r="A3" i="54"/>
  <c r="H2" i="54"/>
  <c r="G2" i="54"/>
  <c r="U1" i="54"/>
  <c r="S1" i="54"/>
  <c r="A7" i="53"/>
  <c r="A8" i="53" s="1"/>
  <c r="C6" i="53"/>
  <c r="C5" i="53"/>
  <c r="D5" i="53" s="1"/>
  <c r="C3" i="53"/>
  <c r="D3" i="53" s="1"/>
  <c r="I2" i="53"/>
  <c r="D2" i="53"/>
  <c r="AG19" i="54" a="1"/>
  <c r="AG14" i="54" a="1"/>
  <c r="AG9" i="54" a="1"/>
  <c r="AG5" i="54" a="1"/>
  <c r="E14" i="53"/>
  <c r="E5" i="55"/>
  <c r="E4" i="53"/>
  <c r="E7" i="55"/>
  <c r="E6" i="55"/>
  <c r="E8" i="55"/>
  <c r="D26" i="54"/>
  <c r="E3" i="53"/>
  <c r="E5" i="53"/>
  <c r="E6" i="53"/>
  <c r="C15" i="53" l="1"/>
  <c r="A16" i="53"/>
  <c r="D14" i="53"/>
  <c r="B16" i="56"/>
  <c r="C16" i="56" s="1"/>
  <c r="D8" i="55"/>
  <c r="A10" i="55"/>
  <c r="C9" i="55"/>
  <c r="AG6" i="54"/>
  <c r="AG5" i="54"/>
  <c r="AG10" i="54"/>
  <c r="AG9" i="54"/>
  <c r="AG15" i="54"/>
  <c r="AG14" i="54"/>
  <c r="AG16" i="54"/>
  <c r="AG19" i="54"/>
  <c r="AG21" i="54"/>
  <c r="AG20" i="54"/>
  <c r="B5" i="54"/>
  <c r="C5" i="54" s="1"/>
  <c r="B6" i="54"/>
  <c r="C6" i="54" s="1"/>
  <c r="A15" i="54"/>
  <c r="A16" i="54"/>
  <c r="A17" i="54"/>
  <c r="B3" i="54"/>
  <c r="C3" i="54" s="1"/>
  <c r="C14" i="54"/>
  <c r="C4" i="54"/>
  <c r="C8" i="53"/>
  <c r="A9" i="53"/>
  <c r="D6" i="53"/>
  <c r="C7" i="53"/>
  <c r="D7" i="53" s="1"/>
  <c r="U12" i="39"/>
  <c r="S12" i="39"/>
  <c r="AA34" i="39"/>
  <c r="Y34" i="39"/>
  <c r="E15" i="53"/>
  <c r="E9" i="55"/>
  <c r="E7" i="53"/>
  <c r="E8" i="53"/>
  <c r="C16" i="53" l="1"/>
  <c r="D15" i="53"/>
  <c r="D9" i="55"/>
  <c r="C10" i="55"/>
  <c r="A11" i="55"/>
  <c r="B17" i="54"/>
  <c r="C17" i="54" s="1"/>
  <c r="B16" i="54"/>
  <c r="C16" i="54" s="1"/>
  <c r="B15" i="54"/>
  <c r="C15" i="54" s="1"/>
  <c r="D8" i="53"/>
  <c r="C9" i="53"/>
  <c r="D9" i="53" s="1"/>
  <c r="W34" i="39"/>
  <c r="BK4" i="39" s="1"/>
  <c r="U34" i="39"/>
  <c r="BI4" i="39" s="1"/>
  <c r="I2" i="40"/>
  <c r="E16" i="53"/>
  <c r="E10" i="55"/>
  <c r="E9" i="53"/>
  <c r="D16" i="53" l="1"/>
  <c r="D10" i="55"/>
  <c r="A12" i="55"/>
  <c r="C11" i="55"/>
  <c r="E11" i="55"/>
  <c r="D11" i="55" l="1"/>
  <c r="C12" i="55"/>
  <c r="D12" i="55"/>
  <c r="A13" i="55"/>
  <c r="X30" i="40"/>
  <c r="X29" i="40"/>
  <c r="X28" i="40"/>
  <c r="X27" i="40"/>
  <c r="X26" i="40"/>
  <c r="X25" i="40"/>
  <c r="E12" i="55"/>
  <c r="C13" i="55" l="1"/>
  <c r="D13" i="55" s="1"/>
  <c r="A14" i="55"/>
  <c r="J9" i="39"/>
  <c r="J8" i="39"/>
  <c r="J7" i="39"/>
  <c r="J6" i="39"/>
  <c r="J5" i="39"/>
  <c r="J4" i="39"/>
  <c r="J3" i="39"/>
  <c r="E4" i="40"/>
  <c r="A15" i="55" l="1"/>
  <c r="C14" i="55"/>
  <c r="C3" i="40"/>
  <c r="E13" i="55"/>
  <c r="E14" i="55"/>
  <c r="E3" i="40"/>
  <c r="D14" i="55" l="1"/>
  <c r="C15" i="55"/>
  <c r="A16" i="55"/>
  <c r="D15" i="55"/>
  <c r="A3" i="39"/>
  <c r="A4" i="39"/>
  <c r="A5" i="39"/>
  <c r="G13" i="39"/>
  <c r="H2" i="39"/>
  <c r="G2" i="39"/>
  <c r="E15" i="55"/>
  <c r="D26" i="39"/>
  <c r="C16" i="55" l="1"/>
  <c r="A16" i="39"/>
  <c r="A15" i="39"/>
  <c r="A14" i="39"/>
  <c r="E16" i="55"/>
  <c r="D16" i="55" l="1"/>
  <c r="C17" i="55"/>
  <c r="D17" i="55"/>
  <c r="F60" i="39"/>
  <c r="D51" i="39"/>
  <c r="BO4" i="39"/>
  <c r="S34" i="39"/>
  <c r="BG4" i="39" s="1"/>
  <c r="BM4" i="39"/>
  <c r="E17" i="55"/>
  <c r="G34" i="39" l="1"/>
  <c r="BE4" i="39" s="1"/>
  <c r="U1" i="39"/>
  <c r="S1" i="39"/>
  <c r="F59" i="39"/>
  <c r="F58" i="39"/>
  <c r="F57" i="39"/>
  <c r="F56" i="39"/>
  <c r="F55" i="39"/>
  <c r="D50" i="39"/>
  <c r="D49" i="39"/>
  <c r="D48" i="39"/>
  <c r="D47" i="39"/>
  <c r="D46" i="39"/>
  <c r="B16" i="39"/>
  <c r="C16" i="39" s="1"/>
  <c r="B15" i="39"/>
  <c r="C15" i="39" s="1"/>
  <c r="B14" i="39"/>
  <c r="C14" i="39" s="1"/>
  <c r="D3" i="40" l="1"/>
  <c r="B4" i="39" l="1"/>
  <c r="C4" i="39" s="1"/>
  <c r="B5" i="39"/>
  <c r="C5" i="39" s="1"/>
  <c r="B3" i="39"/>
  <c r="C3" i="39" s="1"/>
  <c r="D2" i="40"/>
  <c r="C6" i="40"/>
  <c r="C5" i="40"/>
  <c r="E5" i="40"/>
  <c r="E6" i="40"/>
  <c r="D6" i="40" l="1"/>
  <c r="D5" i="40"/>
  <c r="A7" i="40"/>
  <c r="A6" i="39" l="1"/>
  <c r="A17" i="39" s="1"/>
  <c r="A8" i="40"/>
  <c r="C7" i="40"/>
  <c r="E7" i="40"/>
  <c r="B6" i="39" l="1"/>
  <c r="C6" i="39" s="1"/>
  <c r="D7" i="40"/>
  <c r="A7" i="39"/>
  <c r="B17" i="39"/>
  <c r="C17" i="39" s="1"/>
  <c r="A18" i="39"/>
  <c r="B7" i="39"/>
  <c r="C7" i="39" s="1"/>
  <c r="A9" i="40"/>
  <c r="C8" i="40"/>
  <c r="E8" i="40"/>
  <c r="D8" i="40" l="1"/>
  <c r="A8" i="39"/>
  <c r="A19" i="39" s="1"/>
  <c r="B18" i="39"/>
  <c r="C18" i="39" s="1"/>
  <c r="B8" i="39"/>
  <c r="C8" i="39" s="1"/>
  <c r="C9" i="40"/>
  <c r="A10" i="40"/>
  <c r="E9" i="40"/>
  <c r="A9" i="39" l="1"/>
  <c r="A20" i="39" s="1"/>
  <c r="D9" i="40"/>
  <c r="B19" i="39"/>
  <c r="C19" i="39" s="1"/>
  <c r="C10" i="40"/>
  <c r="A11" i="40"/>
  <c r="E10" i="40"/>
  <c r="B9" i="39" l="1"/>
  <c r="C9" i="39" s="1"/>
  <c r="D10" i="40"/>
  <c r="B20" i="39"/>
  <c r="C20" i="39" s="1"/>
  <c r="C11" i="40"/>
  <c r="A12" i="40"/>
  <c r="E11" i="40"/>
  <c r="D11" i="40" l="1"/>
  <c r="C12" i="40"/>
  <c r="A13" i="40"/>
  <c r="E12" i="40"/>
  <c r="D12" i="40" l="1"/>
  <c r="C13" i="40"/>
  <c r="A14" i="40"/>
  <c r="E13" i="40"/>
  <c r="D16" i="29"/>
  <c r="I16" i="53"/>
  <c r="I15" i="53"/>
  <c r="I14" i="53"/>
  <c r="I13" i="53"/>
  <c r="I10" i="53"/>
  <c r="I12" i="53"/>
  <c r="I11" i="53"/>
  <c r="D13" i="40" l="1"/>
  <c r="C14" i="40"/>
  <c r="A15" i="40"/>
  <c r="E14" i="40"/>
  <c r="D10" i="29"/>
  <c r="Y23" i="40"/>
  <c r="G7" i="53"/>
  <c r="H7" i="53" s="1"/>
  <c r="Z29" i="55"/>
  <c r="D16" i="56"/>
  <c r="D7" i="56"/>
  <c r="E40" i="56"/>
  <c r="Y42" i="55"/>
  <c r="G5" i="57"/>
  <c r="H5" i="57" s="1"/>
  <c r="E40" i="58"/>
  <c r="F38" i="58"/>
  <c r="Z28" i="40"/>
  <c r="Z19" i="40"/>
  <c r="Y17" i="40"/>
  <c r="D46" i="54"/>
  <c r="E46" i="54" s="1"/>
  <c r="Y21" i="55"/>
  <c r="D5" i="56"/>
  <c r="I5" i="56"/>
  <c r="E53" i="56"/>
  <c r="Z24" i="40"/>
  <c r="G7" i="55"/>
  <c r="H7" i="55" s="1"/>
  <c r="Y20" i="57"/>
  <c r="D4" i="58"/>
  <c r="E38" i="58"/>
  <c r="Y19" i="40"/>
  <c r="C17" i="53"/>
  <c r="Y20" i="53"/>
  <c r="G5" i="55"/>
  <c r="Y26" i="55"/>
  <c r="Y37" i="55"/>
  <c r="G7" i="57"/>
  <c r="E40" i="54"/>
  <c r="Z23" i="53"/>
  <c r="F40" i="54"/>
  <c r="F37" i="54"/>
  <c r="G12" i="55"/>
  <c r="H12" i="55" s="1"/>
  <c r="Z27" i="55"/>
  <c r="F37" i="56"/>
  <c r="I7" i="56"/>
  <c r="E57" i="56"/>
  <c r="Z22" i="57"/>
  <c r="E36" i="58"/>
  <c r="Y23" i="53"/>
  <c r="D4" i="54"/>
  <c r="N4" i="54" s="1"/>
  <c r="G11" i="55"/>
  <c r="H11" i="55" s="1"/>
  <c r="Y17" i="55"/>
  <c r="F40" i="56"/>
  <c r="Y31" i="55"/>
  <c r="E49" i="56"/>
  <c r="E44" i="56"/>
  <c r="Y20" i="40"/>
  <c r="Y28" i="40"/>
  <c r="E43" i="54"/>
  <c r="Y24" i="55"/>
  <c r="E50" i="56"/>
  <c r="F45" i="56"/>
  <c r="D20" i="56"/>
  <c r="Z21" i="57"/>
  <c r="Z42" i="55"/>
  <c r="H5" i="55"/>
  <c r="Z23" i="40"/>
  <c r="Y16" i="53"/>
  <c r="G17" i="55"/>
  <c r="Z28" i="55"/>
  <c r="F46" i="56"/>
  <c r="D9" i="56"/>
  <c r="I9" i="56" s="1"/>
  <c r="Y18" i="57"/>
  <c r="D15" i="58"/>
  <c r="Y29" i="40"/>
  <c r="Y16" i="40"/>
  <c r="G10" i="55"/>
  <c r="H10" i="55" s="1"/>
  <c r="Z19" i="55"/>
  <c r="N7" i="56"/>
  <c r="E55" i="56"/>
  <c r="Y15" i="57"/>
  <c r="Y23" i="57"/>
  <c r="E37" i="58"/>
  <c r="E33" i="58"/>
  <c r="H7" i="57"/>
  <c r="Z30" i="40"/>
  <c r="Z16" i="40"/>
  <c r="Z15" i="40"/>
  <c r="G9" i="55"/>
  <c r="Z17" i="55"/>
  <c r="E48" i="56"/>
  <c r="E58" i="56"/>
  <c r="G8" i="57"/>
  <c r="H8" i="57" s="1"/>
  <c r="Y22" i="57"/>
  <c r="E35" i="58"/>
  <c r="H17" i="55"/>
  <c r="F36" i="54"/>
  <c r="Z19" i="53"/>
  <c r="Z18" i="53"/>
  <c r="Z21" i="55"/>
  <c r="D19" i="56"/>
  <c r="I19" i="56" s="1"/>
  <c r="E42" i="56"/>
  <c r="E61" i="56"/>
  <c r="Z19" i="57"/>
  <c r="Z37" i="55"/>
  <c r="E45" i="54"/>
  <c r="Z20" i="40"/>
  <c r="Z15" i="53"/>
  <c r="Y20" i="55"/>
  <c r="D17" i="56"/>
  <c r="E47" i="56"/>
  <c r="E54" i="56"/>
  <c r="Y17" i="57"/>
  <c r="F37" i="58"/>
  <c r="D5" i="54"/>
  <c r="G17" i="53"/>
  <c r="H17" i="53" s="1"/>
  <c r="G6" i="55"/>
  <c r="H6" i="55" s="1"/>
  <c r="E51" i="56"/>
  <c r="Y39" i="55"/>
  <c r="Z39" i="55" s="1"/>
  <c r="I15" i="58"/>
  <c r="D16" i="54"/>
  <c r="I16" i="54" s="1"/>
  <c r="C18" i="53"/>
  <c r="Y19" i="55"/>
  <c r="E39" i="56"/>
  <c r="Z16" i="57"/>
  <c r="I16" i="56"/>
  <c r="Z17" i="57"/>
  <c r="H9" i="55"/>
  <c r="Z16" i="53"/>
  <c r="F36" i="56"/>
  <c r="Y32" i="55"/>
  <c r="Z32" i="55" s="1"/>
  <c r="I4" i="58"/>
  <c r="Z31" i="55"/>
  <c r="F40" i="58"/>
  <c r="D6" i="58"/>
  <c r="N6" i="58" s="1"/>
  <c r="Z20" i="57"/>
  <c r="Y34" i="55"/>
  <c r="Z34" i="55" s="1"/>
  <c r="E36" i="56"/>
  <c r="Y28" i="55"/>
  <c r="G13" i="55"/>
  <c r="H13" i="55" s="1"/>
  <c r="N5" i="54"/>
  <c r="E36" i="54"/>
  <c r="Z20" i="53"/>
  <c r="F36" i="58"/>
  <c r="Y21" i="57"/>
  <c r="E63" i="56"/>
  <c r="E45" i="56"/>
  <c r="F43" i="56"/>
  <c r="D6" i="56"/>
  <c r="Y30" i="55"/>
  <c r="G14" i="55"/>
  <c r="H14" i="55" s="1"/>
  <c r="I4" i="54"/>
  <c r="Y18" i="40"/>
  <c r="Y15" i="53"/>
  <c r="Y19" i="53"/>
  <c r="Z18" i="57"/>
  <c r="Y35" i="55"/>
  <c r="Z35" i="55" s="1"/>
  <c r="F48" i="56"/>
  <c r="I17" i="56"/>
  <c r="F51" i="56"/>
  <c r="Z26" i="55"/>
  <c r="Y16" i="55"/>
  <c r="G15" i="55"/>
  <c r="H15" i="55" s="1"/>
  <c r="Z21" i="40"/>
  <c r="E39" i="54"/>
  <c r="D6" i="54"/>
  <c r="Z17" i="53"/>
  <c r="Z25" i="40"/>
  <c r="F39" i="54"/>
  <c r="D15" i="54"/>
  <c r="I15" i="54" s="1"/>
  <c r="Z27" i="40"/>
  <c r="Z22" i="40"/>
  <c r="Y22" i="53"/>
  <c r="Y24" i="53"/>
  <c r="E52" i="56"/>
  <c r="F44" i="56"/>
  <c r="E46" i="56"/>
  <c r="Z22" i="55"/>
  <c r="Z25" i="55"/>
  <c r="Z29" i="40"/>
  <c r="Y17" i="53"/>
  <c r="E38" i="54"/>
  <c r="Y24" i="40"/>
  <c r="N4" i="58"/>
  <c r="Y16" i="57"/>
  <c r="Y38" i="55"/>
  <c r="Z38" i="55" s="1"/>
  <c r="F41" i="56"/>
  <c r="N5" i="56"/>
  <c r="Y18" i="55"/>
  <c r="Y15" i="55"/>
  <c r="Y22" i="40"/>
  <c r="Y26" i="40"/>
  <c r="Z21" i="53"/>
  <c r="E41" i="54"/>
  <c r="G9" i="53"/>
  <c r="N9" i="56"/>
  <c r="F34" i="58"/>
  <c r="D16" i="58"/>
  <c r="Y19" i="57"/>
  <c r="E56" i="56"/>
  <c r="F50" i="56"/>
  <c r="D4" i="56"/>
  <c r="I4" i="56" s="1"/>
  <c r="Z23" i="55"/>
  <c r="Z30" i="55"/>
  <c r="Y15" i="40"/>
  <c r="Y25" i="40"/>
  <c r="E42" i="54"/>
  <c r="D17" i="54"/>
  <c r="I17" i="54" s="1"/>
  <c r="Z22" i="53"/>
  <c r="I20" i="56"/>
  <c r="F35" i="58"/>
  <c r="Z15" i="57"/>
  <c r="Y41" i="55"/>
  <c r="Z41" i="55" s="1"/>
  <c r="Y36" i="55"/>
  <c r="Z36" i="55" s="1"/>
  <c r="E43" i="56"/>
  <c r="N4" i="56"/>
  <c r="Y22" i="55"/>
  <c r="Y27" i="55"/>
  <c r="Y23" i="55"/>
  <c r="Z26" i="40"/>
  <c r="Y21" i="53"/>
  <c r="F41" i="54"/>
  <c r="Z17" i="40"/>
  <c r="G8" i="53"/>
  <c r="Y21" i="40"/>
  <c r="E34" i="58"/>
  <c r="I16" i="58"/>
  <c r="D17" i="58"/>
  <c r="I17" i="58" s="1"/>
  <c r="D5" i="58"/>
  <c r="I5" i="54"/>
  <c r="Z24" i="57"/>
  <c r="Z25" i="57"/>
  <c r="Y33" i="55"/>
  <c r="Z33" i="55" s="1"/>
  <c r="E60" i="56"/>
  <c r="F39" i="56"/>
  <c r="F38" i="56"/>
  <c r="E41" i="56"/>
  <c r="D15" i="56"/>
  <c r="I15" i="56" s="1"/>
  <c r="Z24" i="55"/>
  <c r="Z20" i="55"/>
  <c r="Z16" i="55"/>
  <c r="E39" i="58"/>
  <c r="F39" i="58"/>
  <c r="I6" i="58"/>
  <c r="F33" i="58"/>
  <c r="Z23" i="57"/>
  <c r="G6" i="57"/>
  <c r="H6" i="57" s="1"/>
  <c r="Y24" i="57"/>
  <c r="Y25" i="57"/>
  <c r="Y40" i="55"/>
  <c r="Z40" i="55" s="1"/>
  <c r="E62" i="56"/>
  <c r="E59" i="56"/>
  <c r="F47" i="56"/>
  <c r="F42" i="56"/>
  <c r="F49" i="56"/>
  <c r="D8" i="56"/>
  <c r="E38" i="56"/>
  <c r="E37" i="56"/>
  <c r="D18" i="56"/>
  <c r="I18" i="56" s="1"/>
  <c r="Y25" i="55"/>
  <c r="Z18" i="55"/>
  <c r="Z15" i="55"/>
  <c r="Y29" i="55"/>
  <c r="G8" i="55"/>
  <c r="H8" i="55" s="1"/>
  <c r="G16" i="55"/>
  <c r="H16" i="55" s="1"/>
  <c r="G6" i="53"/>
  <c r="Y27" i="40"/>
  <c r="E37" i="54"/>
  <c r="G5" i="53"/>
  <c r="Y30" i="40"/>
  <c r="F42" i="54"/>
  <c r="Z24" i="53"/>
  <c r="E44" i="54"/>
  <c r="F38" i="54"/>
  <c r="Y18" i="53"/>
  <c r="Z18" i="40"/>
  <c r="G18" i="53"/>
  <c r="C19" i="53"/>
  <c r="I6" i="56"/>
  <c r="N6" i="56"/>
  <c r="I6" i="54"/>
  <c r="N6" i="54"/>
  <c r="I5" i="58"/>
  <c r="N5" i="58"/>
  <c r="N8" i="56"/>
  <c r="I8" i="56"/>
  <c r="H6" i="53"/>
  <c r="H5" i="53"/>
  <c r="H18" i="53"/>
  <c r="G19" i="53"/>
  <c r="C20" i="53"/>
  <c r="H19" i="53"/>
  <c r="C21" i="53"/>
  <c r="G20" i="53"/>
  <c r="G21" i="53"/>
  <c r="C22" i="53"/>
  <c r="H20" i="53"/>
  <c r="H21" i="53"/>
  <c r="C23" i="53"/>
  <c r="G22" i="53"/>
  <c r="G23" i="53"/>
  <c r="C24" i="53"/>
  <c r="H22" i="53"/>
  <c r="H23" i="53"/>
  <c r="C25" i="53"/>
  <c r="G24" i="53"/>
  <c r="G25" i="53"/>
  <c r="C26" i="53"/>
  <c r="H24" i="53"/>
  <c r="H25" i="53"/>
  <c r="C27" i="53"/>
  <c r="G26" i="53"/>
  <c r="G27" i="53"/>
  <c r="C28" i="53"/>
  <c r="G28" i="53" s="1"/>
  <c r="H26" i="53"/>
  <c r="H27" i="53"/>
  <c r="H28" i="53"/>
  <c r="G16" i="53"/>
  <c r="G15" i="53"/>
  <c r="G14" i="53"/>
  <c r="G13" i="53"/>
  <c r="G11" i="53"/>
  <c r="G12" i="53"/>
  <c r="G10" i="53"/>
  <c r="J16" i="53"/>
  <c r="H16" i="53"/>
  <c r="L16" i="53"/>
  <c r="J15" i="53"/>
  <c r="H15" i="53"/>
  <c r="L15" i="53"/>
  <c r="J14" i="53"/>
  <c r="H14" i="53"/>
  <c r="L14" i="53"/>
  <c r="J13" i="53"/>
  <c r="H13" i="53"/>
  <c r="L13" i="53"/>
  <c r="J11" i="53"/>
  <c r="H11" i="53"/>
  <c r="L11" i="53"/>
  <c r="J12" i="53"/>
  <c r="H12" i="53"/>
  <c r="L12" i="53"/>
  <c r="H10" i="53"/>
  <c r="J10" i="53"/>
  <c r="L10" i="53"/>
  <c r="K10" i="53" l="1"/>
  <c r="K12" i="53"/>
  <c r="K11" i="53"/>
  <c r="K13" i="53"/>
  <c r="K14" i="53"/>
  <c r="K15" i="53"/>
  <c r="K16" i="53"/>
  <c r="L4" i="58"/>
  <c r="K4" i="58"/>
  <c r="K6" i="58"/>
  <c r="L6" i="58"/>
  <c r="K5" i="58"/>
  <c r="L5" i="58"/>
  <c r="BC6" i="58"/>
  <c r="D14" i="58"/>
  <c r="D3" i="58"/>
  <c r="L9" i="56"/>
  <c r="K9" i="56"/>
  <c r="R3" i="57"/>
  <c r="G3" i="57"/>
  <c r="G4" i="57"/>
  <c r="K4" i="56"/>
  <c r="L4" i="56"/>
  <c r="L8" i="56"/>
  <c r="K8" i="56"/>
  <c r="L7" i="56"/>
  <c r="K7" i="56"/>
  <c r="K5" i="56"/>
  <c r="L5" i="56"/>
  <c r="K6" i="56"/>
  <c r="L6" i="56"/>
  <c r="BC6" i="56"/>
  <c r="D3" i="56"/>
  <c r="D14" i="56"/>
  <c r="G3" i="55"/>
  <c r="R3" i="55"/>
  <c r="G4" i="55"/>
  <c r="X30" i="53"/>
  <c r="X29" i="53"/>
  <c r="X28" i="53"/>
  <c r="B9" i="54"/>
  <c r="X27" i="53"/>
  <c r="B8" i="54"/>
  <c r="X26" i="53"/>
  <c r="F58" i="54"/>
  <c r="B7" i="54"/>
  <c r="X25" i="53"/>
  <c r="D28" i="53"/>
  <c r="D27" i="53"/>
  <c r="D26" i="53"/>
  <c r="D25" i="53"/>
  <c r="D24" i="53"/>
  <c r="D23" i="53"/>
  <c r="D22" i="53"/>
  <c r="D21" i="53"/>
  <c r="D20" i="53"/>
  <c r="D19" i="53"/>
  <c r="D18" i="53"/>
  <c r="K6" i="54"/>
  <c r="L6" i="54"/>
  <c r="K4" i="54"/>
  <c r="L4" i="54"/>
  <c r="K5" i="54"/>
  <c r="L5" i="54"/>
  <c r="D17" i="53"/>
  <c r="BC6" i="54"/>
  <c r="D14" i="54"/>
  <c r="D3" i="54"/>
  <c r="R3" i="53"/>
  <c r="G4" i="53"/>
  <c r="G3" i="53"/>
  <c r="D14" i="40"/>
  <c r="G4" i="40"/>
  <c r="C15" i="40"/>
  <c r="A16" i="40"/>
  <c r="F10" i="53"/>
  <c r="F12" i="53"/>
  <c r="F11" i="53"/>
  <c r="F13" i="53"/>
  <c r="F14" i="53"/>
  <c r="F15" i="53"/>
  <c r="F16" i="53"/>
  <c r="H8" i="53"/>
  <c r="H3" i="55"/>
  <c r="BC7" i="56"/>
  <c r="Y26" i="53"/>
  <c r="BD6" i="54"/>
  <c r="BC8" i="56"/>
  <c r="H9" i="53"/>
  <c r="I14" i="58"/>
  <c r="N3" i="56"/>
  <c r="T3" i="53"/>
  <c r="D9" i="54"/>
  <c r="D7" i="54"/>
  <c r="I14" i="54"/>
  <c r="D8" i="54"/>
  <c r="H4" i="57"/>
  <c r="I3" i="56"/>
  <c r="Y25" i="53"/>
  <c r="Y27" i="53"/>
  <c r="E23" i="53"/>
  <c r="Y30" i="53"/>
  <c r="E19" i="53"/>
  <c r="I3" i="58"/>
  <c r="I14" i="56"/>
  <c r="E27" i="53"/>
  <c r="T3" i="55"/>
  <c r="E26" i="53"/>
  <c r="E24" i="53"/>
  <c r="N9" i="54"/>
  <c r="BD8" i="56"/>
  <c r="R4" i="55"/>
  <c r="T4" i="55" s="1"/>
  <c r="Y28" i="53"/>
  <c r="BC7" i="54"/>
  <c r="BD6" i="58"/>
  <c r="E28" i="53"/>
  <c r="D47" i="54"/>
  <c r="E47" i="54" s="1"/>
  <c r="E22" i="53"/>
  <c r="N7" i="54"/>
  <c r="BC7" i="58"/>
  <c r="Y29" i="53"/>
  <c r="N3" i="54"/>
  <c r="H4" i="53"/>
  <c r="I7" i="54"/>
  <c r="N3" i="58"/>
  <c r="E21" i="53"/>
  <c r="E15" i="40"/>
  <c r="E17" i="53"/>
  <c r="T3" i="57"/>
  <c r="I3" i="54"/>
  <c r="E20" i="53"/>
  <c r="N8" i="54"/>
  <c r="R4" i="53"/>
  <c r="T4" i="53" s="1"/>
  <c r="BD7" i="56"/>
  <c r="BC8" i="58"/>
  <c r="BD8" i="58" s="1"/>
  <c r="E25" i="53"/>
  <c r="BD7" i="58"/>
  <c r="BC9" i="56"/>
  <c r="BD9" i="56" s="1"/>
  <c r="R5" i="53"/>
  <c r="BC9" i="58"/>
  <c r="H3" i="53"/>
  <c r="I9" i="54"/>
  <c r="R5" i="55"/>
  <c r="T5" i="55" s="1"/>
  <c r="H4" i="55"/>
  <c r="I8" i="54"/>
  <c r="R6" i="55"/>
  <c r="BD6" i="56"/>
  <c r="E18" i="53"/>
  <c r="R4" i="57"/>
  <c r="BC10" i="58"/>
  <c r="BC11" i="58" s="1"/>
  <c r="H3" i="57"/>
  <c r="BC10" i="56"/>
  <c r="BD9" i="58"/>
  <c r="BD10" i="58"/>
  <c r="T6" i="55"/>
  <c r="R7" i="55"/>
  <c r="BD7" i="54"/>
  <c r="BC8" i="54"/>
  <c r="R6" i="53"/>
  <c r="T5" i="53"/>
  <c r="R5" i="57"/>
  <c r="BD11" i="58"/>
  <c r="BC12" i="58"/>
  <c r="BC11" i="56"/>
  <c r="BD10" i="56"/>
  <c r="R8" i="55"/>
  <c r="T7" i="55"/>
  <c r="BC9" i="54"/>
  <c r="BD8" i="54"/>
  <c r="T6" i="53"/>
  <c r="R6" i="57"/>
  <c r="BC13" i="58"/>
  <c r="BD12" i="58"/>
  <c r="BD11" i="56"/>
  <c r="BC12" i="56"/>
  <c r="R9" i="55"/>
  <c r="T8" i="55"/>
  <c r="BD9" i="54"/>
  <c r="BC10" i="54"/>
  <c r="R7" i="57"/>
  <c r="BC14" i="58"/>
  <c r="BD13" i="58"/>
  <c r="BD12" i="56"/>
  <c r="BC13" i="56"/>
  <c r="R10" i="55"/>
  <c r="T9" i="55"/>
  <c r="BC11" i="54"/>
  <c r="BD10" i="54"/>
  <c r="R8" i="57"/>
  <c r="BD14" i="58"/>
  <c r="BC15" i="58"/>
  <c r="BD13" i="56"/>
  <c r="BC14" i="56"/>
  <c r="R11" i="55"/>
  <c r="T10" i="55"/>
  <c r="BD11" i="54"/>
  <c r="BC12" i="54"/>
  <c r="R9" i="57"/>
  <c r="BC16" i="58"/>
  <c r="BD15" i="58"/>
  <c r="BC15" i="56"/>
  <c r="BD14" i="56"/>
  <c r="R12" i="55"/>
  <c r="T11" i="55"/>
  <c r="BD12" i="54"/>
  <c r="BC13" i="54"/>
  <c r="R10" i="57"/>
  <c r="BC17" i="58"/>
  <c r="BD16" i="58"/>
  <c r="BD15" i="56"/>
  <c r="BC16" i="56"/>
  <c r="R13" i="55"/>
  <c r="T12" i="55"/>
  <c r="BD13" i="54"/>
  <c r="BC14" i="54"/>
  <c r="R11" i="57"/>
  <c r="BC18" i="58"/>
  <c r="BD17" i="58"/>
  <c r="BC17" i="56"/>
  <c r="BD16" i="56"/>
  <c r="R14" i="55"/>
  <c r="T13" i="55"/>
  <c r="BC15" i="54"/>
  <c r="BD14" i="54"/>
  <c r="R12" i="57"/>
  <c r="BC19" i="58"/>
  <c r="BD18" i="58"/>
  <c r="BC18" i="56"/>
  <c r="BD17" i="56"/>
  <c r="R15" i="55"/>
  <c r="T14" i="55"/>
  <c r="BD15" i="54"/>
  <c r="BC16" i="54"/>
  <c r="R13" i="57"/>
  <c r="BD19" i="58"/>
  <c r="BC20" i="58"/>
  <c r="BC19" i="56"/>
  <c r="BD18" i="56"/>
  <c r="R16" i="55"/>
  <c r="T15" i="55"/>
  <c r="BC17" i="54"/>
  <c r="BD16" i="54"/>
  <c r="R14" i="57"/>
  <c r="BC21" i="58"/>
  <c r="BD20" i="58"/>
  <c r="BD19" i="56"/>
  <c r="BC20" i="56"/>
  <c r="R17" i="55"/>
  <c r="T16" i="55"/>
  <c r="BD17" i="54"/>
  <c r="BC18" i="54"/>
  <c r="R15" i="57"/>
  <c r="BC22" i="58"/>
  <c r="BD21" i="58"/>
  <c r="BC21" i="56"/>
  <c r="BD20" i="56"/>
  <c r="R18" i="55"/>
  <c r="T17" i="55"/>
  <c r="BD18" i="54"/>
  <c r="BC19" i="54"/>
  <c r="R16" i="57"/>
  <c r="BC23" i="58"/>
  <c r="BD22" i="58"/>
  <c r="BD21" i="56"/>
  <c r="BC22" i="56"/>
  <c r="R19" i="55"/>
  <c r="T18" i="55"/>
  <c r="BD19" i="54"/>
  <c r="BC20" i="54"/>
  <c r="R17" i="57"/>
  <c r="BD23" i="58"/>
  <c r="BC24" i="58"/>
  <c r="BD22" i="56"/>
  <c r="BC23" i="56"/>
  <c r="R20" i="55"/>
  <c r="T19" i="55"/>
  <c r="BC21" i="54"/>
  <c r="BD20" i="54"/>
  <c r="R18" i="57"/>
  <c r="BC25" i="58"/>
  <c r="BD24" i="58"/>
  <c r="BD23" i="56"/>
  <c r="BC24" i="56"/>
  <c r="R21" i="55"/>
  <c r="T20" i="55"/>
  <c r="BD21" i="54"/>
  <c r="BC22" i="54"/>
  <c r="R19" i="57"/>
  <c r="BC26" i="58"/>
  <c r="BD25" i="58"/>
  <c r="BC25" i="56"/>
  <c r="BD24" i="56"/>
  <c r="R22" i="55"/>
  <c r="T21" i="55"/>
  <c r="BD22" i="54"/>
  <c r="BC23" i="54"/>
  <c r="R20" i="57"/>
  <c r="BC27" i="58"/>
  <c r="BD26" i="58"/>
  <c r="BC26" i="56"/>
  <c r="BD25" i="56"/>
  <c r="R23" i="55"/>
  <c r="T22" i="55"/>
  <c r="BD23" i="54"/>
  <c r="BC24" i="54"/>
  <c r="R21" i="57"/>
  <c r="BD27" i="58"/>
  <c r="BC28" i="58"/>
  <c r="BC27" i="56"/>
  <c r="BD26" i="56"/>
  <c r="R24" i="55"/>
  <c r="T23" i="55"/>
  <c r="BC25" i="54"/>
  <c r="BD24" i="54"/>
  <c r="R22" i="57"/>
  <c r="BC29" i="58"/>
  <c r="BD28" i="58"/>
  <c r="BD27" i="56"/>
  <c r="BC28" i="56"/>
  <c r="R25" i="55"/>
  <c r="T24" i="55"/>
  <c r="BD25" i="54"/>
  <c r="BC26" i="54"/>
  <c r="R23" i="57"/>
  <c r="BC30" i="58"/>
  <c r="BD29" i="58"/>
  <c r="BC29" i="56"/>
  <c r="BD28" i="56"/>
  <c r="R26" i="55"/>
  <c r="T25" i="55"/>
  <c r="BC27" i="54"/>
  <c r="BD26" i="54"/>
  <c r="R24" i="57"/>
  <c r="BD30" i="58"/>
  <c r="BC31" i="58"/>
  <c r="BD29" i="56"/>
  <c r="BC30" i="56"/>
  <c r="R27" i="55"/>
  <c r="T26" i="55"/>
  <c r="BD27" i="54"/>
  <c r="BC28" i="54"/>
  <c r="R25" i="57"/>
  <c r="BD31" i="58"/>
  <c r="BC32" i="58"/>
  <c r="BD30" i="56"/>
  <c r="BC31" i="56"/>
  <c r="R28" i="55"/>
  <c r="T27" i="55"/>
  <c r="BC29" i="54"/>
  <c r="BD28" i="54"/>
  <c r="R26" i="57"/>
  <c r="BC33" i="58"/>
  <c r="BD32" i="58"/>
  <c r="BD31" i="56"/>
  <c r="BC32" i="56"/>
  <c r="R29" i="55"/>
  <c r="T28" i="55"/>
  <c r="BD29" i="54"/>
  <c r="BC30" i="54"/>
  <c r="R27" i="57"/>
  <c r="BD33" i="58"/>
  <c r="BC34" i="58"/>
  <c r="BC33" i="56"/>
  <c r="BD32" i="56"/>
  <c r="R30" i="55"/>
  <c r="T29" i="55"/>
  <c r="BD30" i="54"/>
  <c r="BC31" i="54"/>
  <c r="R28" i="57"/>
  <c r="BC35" i="58"/>
  <c r="BD34" i="58"/>
  <c r="BC34" i="56"/>
  <c r="BD33" i="56"/>
  <c r="R31" i="55"/>
  <c r="T30" i="55"/>
  <c r="BD31" i="54"/>
  <c r="BC32" i="54"/>
  <c r="R29" i="57"/>
  <c r="BC36" i="58"/>
  <c r="BD35" i="58"/>
  <c r="BC35" i="56"/>
  <c r="BD34" i="56"/>
  <c r="R32" i="55"/>
  <c r="T31" i="55"/>
  <c r="BD32" i="54"/>
  <c r="BC33" i="54"/>
  <c r="R30" i="57"/>
  <c r="BC37" i="58"/>
  <c r="BD36" i="58"/>
  <c r="BD35" i="56"/>
  <c r="BC36" i="56"/>
  <c r="R33" i="55"/>
  <c r="T32" i="55"/>
  <c r="BD33" i="54"/>
  <c r="BC34" i="54"/>
  <c r="R31" i="57"/>
  <c r="BC38" i="58"/>
  <c r="BD37" i="58"/>
  <c r="BD36" i="56"/>
  <c r="BC37" i="56"/>
  <c r="R34" i="55"/>
  <c r="T33" i="55"/>
  <c r="BD34" i="54"/>
  <c r="BC35" i="54"/>
  <c r="R32" i="57"/>
  <c r="BC39" i="58"/>
  <c r="BD38" i="58"/>
  <c r="BC38" i="56"/>
  <c r="BD37" i="56"/>
  <c r="R35" i="55"/>
  <c r="T34" i="55"/>
  <c r="BD35" i="54"/>
  <c r="BC36" i="54"/>
  <c r="R33" i="57"/>
  <c r="BC40" i="58"/>
  <c r="BD39" i="58"/>
  <c r="BC39" i="56"/>
  <c r="BD38" i="56"/>
  <c r="R36" i="55"/>
  <c r="T35" i="55"/>
  <c r="BC37" i="54"/>
  <c r="BD36" i="54"/>
  <c r="R34" i="57"/>
  <c r="BC41" i="58"/>
  <c r="BD40" i="58"/>
  <c r="BD39" i="56"/>
  <c r="BC40" i="56"/>
  <c r="R37" i="55"/>
  <c r="T36" i="55"/>
  <c r="BD37" i="54"/>
  <c r="BC38" i="54"/>
  <c r="R35" i="57"/>
  <c r="BC42" i="58"/>
  <c r="BD41" i="58"/>
  <c r="BC41" i="56"/>
  <c r="BD40" i="56"/>
  <c r="R38" i="55"/>
  <c r="T37" i="55"/>
  <c r="BD38" i="54"/>
  <c r="BC39" i="54"/>
  <c r="R36" i="57"/>
  <c r="BD42" i="58"/>
  <c r="BC43" i="58"/>
  <c r="BC42" i="56"/>
  <c r="BD41" i="56"/>
  <c r="R39" i="55"/>
  <c r="T38" i="55"/>
  <c r="BD39" i="54"/>
  <c r="BC40" i="54"/>
  <c r="R37" i="57"/>
  <c r="BC44" i="58"/>
  <c r="BD43" i="58"/>
  <c r="BC43" i="56"/>
  <c r="BD42" i="56"/>
  <c r="R40" i="55"/>
  <c r="T39" i="55"/>
  <c r="BD40" i="54"/>
  <c r="BC41" i="54"/>
  <c r="R38" i="57"/>
  <c r="BC45" i="58"/>
  <c r="BD44" i="58"/>
  <c r="BD43" i="56"/>
  <c r="BC44" i="56"/>
  <c r="R41" i="55"/>
  <c r="T40" i="55"/>
  <c r="BD41" i="54"/>
  <c r="BC42" i="54"/>
  <c r="R39" i="57"/>
  <c r="BC46" i="58"/>
  <c r="BD45" i="58"/>
  <c r="BD44" i="56"/>
  <c r="BC45" i="56"/>
  <c r="R42" i="55"/>
  <c r="T41" i="55"/>
  <c r="BD42" i="54"/>
  <c r="BC43" i="54"/>
  <c r="R40" i="57"/>
  <c r="BC47" i="58"/>
  <c r="BD46" i="58"/>
  <c r="BD45" i="56"/>
  <c r="BC46" i="56"/>
  <c r="R43" i="55"/>
  <c r="T42" i="55"/>
  <c r="BD43" i="54"/>
  <c r="BC44" i="54"/>
  <c r="R41" i="57"/>
  <c r="BC48" i="58"/>
  <c r="BD47" i="58"/>
  <c r="BC47" i="56"/>
  <c r="BD46" i="56"/>
  <c r="R44" i="55"/>
  <c r="T43" i="55"/>
  <c r="BD44" i="54"/>
  <c r="BC45" i="54"/>
  <c r="R42" i="57"/>
  <c r="BC49" i="58"/>
  <c r="BD48" i="58"/>
  <c r="BD47" i="56"/>
  <c r="BC48" i="56"/>
  <c r="R45" i="55"/>
  <c r="T44" i="55"/>
  <c r="BD45" i="54"/>
  <c r="BC46" i="54"/>
  <c r="R43" i="57"/>
  <c r="BC50" i="58"/>
  <c r="BD49" i="58"/>
  <c r="BC49" i="56"/>
  <c r="BD48" i="56"/>
  <c r="R46" i="55"/>
  <c r="T45" i="55"/>
  <c r="BD46" i="54"/>
  <c r="BC47" i="54"/>
  <c r="R44" i="57"/>
  <c r="BD50" i="58"/>
  <c r="BC51" i="58"/>
  <c r="BC50" i="56"/>
  <c r="BD49" i="56"/>
  <c r="R47" i="55"/>
  <c r="T46" i="55"/>
  <c r="BD47" i="54"/>
  <c r="BC48" i="54"/>
  <c r="R45" i="57"/>
  <c r="BD51" i="58"/>
  <c r="BC52" i="58"/>
  <c r="BC51" i="56"/>
  <c r="BD50" i="56"/>
  <c r="R48" i="55"/>
  <c r="T47" i="55"/>
  <c r="BC49" i="54"/>
  <c r="BD48" i="54"/>
  <c r="R46" i="57"/>
  <c r="BC53" i="58"/>
  <c r="BD52" i="58"/>
  <c r="BD51" i="56"/>
  <c r="BC52" i="56"/>
  <c r="R49" i="55"/>
  <c r="T48" i="55"/>
  <c r="BD49" i="54"/>
  <c r="BC50" i="54"/>
  <c r="R47" i="57"/>
  <c r="BD53" i="58"/>
  <c r="BC54" i="58"/>
  <c r="BC53" i="56"/>
  <c r="BD52" i="56"/>
  <c r="R50" i="55"/>
  <c r="T49" i="55"/>
  <c r="BD50" i="54"/>
  <c r="BC51" i="54"/>
  <c r="R48" i="57"/>
  <c r="BD54" i="58"/>
  <c r="BC55" i="58"/>
  <c r="BD53" i="56"/>
  <c r="BC54" i="56"/>
  <c r="R51" i="55"/>
  <c r="T50" i="55"/>
  <c r="BD51" i="54"/>
  <c r="BC52" i="54"/>
  <c r="R49" i="57"/>
  <c r="BC56" i="58"/>
  <c r="BD55" i="58"/>
  <c r="BD54" i="56"/>
  <c r="BC55" i="56"/>
  <c r="R52" i="55"/>
  <c r="T51" i="55"/>
  <c r="BC53" i="54"/>
  <c r="BD52" i="54"/>
  <c r="R50" i="57"/>
  <c r="BC57" i="58"/>
  <c r="BD56" i="58"/>
  <c r="BC56" i="56"/>
  <c r="BD55" i="56"/>
  <c r="R53" i="55"/>
  <c r="T52" i="55"/>
  <c r="BD53" i="54"/>
  <c r="BC54" i="54"/>
  <c r="R51" i="57"/>
  <c r="BC58" i="58"/>
  <c r="BD57" i="58"/>
  <c r="BD56" i="56"/>
  <c r="BC57" i="56"/>
  <c r="R54" i="55"/>
  <c r="T53" i="55"/>
  <c r="BD54" i="54"/>
  <c r="BC55" i="54"/>
  <c r="R52" i="57"/>
  <c r="BC59" i="58"/>
  <c r="BD58" i="58"/>
  <c r="BD57" i="56"/>
  <c r="BC58" i="56"/>
  <c r="R55" i="55"/>
  <c r="T54" i="55"/>
  <c r="BD55" i="54"/>
  <c r="BC56" i="54"/>
  <c r="R53" i="57"/>
  <c r="BC60" i="58"/>
  <c r="BD59" i="58"/>
  <c r="BD58" i="56"/>
  <c r="BC59" i="56"/>
  <c r="R56" i="55"/>
  <c r="T55" i="55"/>
  <c r="BC57" i="54"/>
  <c r="BD56" i="54"/>
  <c r="R54" i="57"/>
  <c r="BC61" i="58"/>
  <c r="BD60" i="58"/>
  <c r="BD59" i="56"/>
  <c r="BC60" i="56"/>
  <c r="R57" i="55"/>
  <c r="T56" i="55"/>
  <c r="BD57" i="54"/>
  <c r="BC58" i="54"/>
  <c r="R55" i="57"/>
  <c r="BC62" i="58"/>
  <c r="BD61" i="58"/>
  <c r="BC61" i="56"/>
  <c r="BD60" i="56"/>
  <c r="R58" i="55"/>
  <c r="T57" i="55"/>
  <c r="BC59" i="54"/>
  <c r="BD58" i="54"/>
  <c r="R56" i="57"/>
  <c r="BD62" i="58"/>
  <c r="BC63" i="58"/>
  <c r="BD61" i="56"/>
  <c r="BC62" i="56"/>
  <c r="R59" i="55"/>
  <c r="T58" i="55"/>
  <c r="BD59" i="54"/>
  <c r="BC60" i="54"/>
  <c r="R57" i="57"/>
  <c r="BC64" i="58"/>
  <c r="BD63" i="58"/>
  <c r="BD62" i="56"/>
  <c r="BC63" i="56"/>
  <c r="R60" i="55"/>
  <c r="T59" i="55"/>
  <c r="BC61" i="54"/>
  <c r="BD60" i="54"/>
  <c r="R58" i="57"/>
  <c r="BC65" i="58"/>
  <c r="BD64" i="58"/>
  <c r="BD63" i="56"/>
  <c r="BC64" i="56"/>
  <c r="T60" i="55"/>
  <c r="R61" i="55"/>
  <c r="BD61" i="54"/>
  <c r="BC62" i="54"/>
  <c r="R59" i="57"/>
  <c r="BD65" i="58"/>
  <c r="BC66" i="58"/>
  <c r="BD64" i="56"/>
  <c r="BC65" i="56"/>
  <c r="R62" i="55"/>
  <c r="T61" i="55"/>
  <c r="BC63" i="54"/>
  <c r="BD62" i="54"/>
  <c r="R60" i="57"/>
  <c r="BC67" i="58"/>
  <c r="BD66" i="58"/>
  <c r="BD65" i="56"/>
  <c r="BC66" i="56"/>
  <c r="R63" i="55"/>
  <c r="T62" i="55"/>
  <c r="BD63" i="54"/>
  <c r="BC64" i="54"/>
  <c r="R61" i="57"/>
  <c r="BC68" i="58"/>
  <c r="BD67" i="58"/>
  <c r="BD66" i="56"/>
  <c r="BC67" i="56"/>
  <c r="R64" i="55"/>
  <c r="T63" i="55"/>
  <c r="BD64" i="54"/>
  <c r="BC65" i="54"/>
  <c r="R62" i="57"/>
  <c r="BC69" i="58"/>
  <c r="BD68" i="58"/>
  <c r="BC68" i="56"/>
  <c r="BD67" i="56"/>
  <c r="R65" i="55"/>
  <c r="T64" i="55"/>
  <c r="BD65" i="54"/>
  <c r="BC66" i="54"/>
  <c r="R63" i="57"/>
  <c r="BD69" i="58"/>
  <c r="BC70" i="58"/>
  <c r="BC69" i="56"/>
  <c r="BD68" i="56"/>
  <c r="R66" i="55"/>
  <c r="T65" i="55"/>
  <c r="BD66" i="54"/>
  <c r="BC67" i="54"/>
  <c r="R64" i="57"/>
  <c r="BC71" i="58"/>
  <c r="BD70" i="58"/>
  <c r="BD69" i="56"/>
  <c r="BC70" i="56"/>
  <c r="R67" i="55"/>
  <c r="T66" i="55"/>
  <c r="BD67" i="54"/>
  <c r="BC68" i="54"/>
  <c r="R65" i="57"/>
  <c r="BC72" i="58"/>
  <c r="BD71" i="58"/>
  <c r="BD70" i="56"/>
  <c r="BC71" i="56"/>
  <c r="R68" i="55"/>
  <c r="T67" i="55"/>
  <c r="BC69" i="54"/>
  <c r="BD68" i="54"/>
  <c r="R66" i="57"/>
  <c r="BC73" i="58"/>
  <c r="BD73" i="58" s="1"/>
  <c r="BD72" i="58"/>
  <c r="BC72" i="56"/>
  <c r="BD71" i="56"/>
  <c r="R69" i="55"/>
  <c r="T68" i="55"/>
  <c r="BD69" i="54"/>
  <c r="BC70" i="54"/>
  <c r="R67" i="57"/>
  <c r="BD72" i="56"/>
  <c r="BC73" i="56"/>
  <c r="R70" i="55"/>
  <c r="T69" i="55"/>
  <c r="BD70" i="54"/>
  <c r="BC71" i="54"/>
  <c r="R68" i="57"/>
  <c r="BD73" i="56"/>
  <c r="BC74" i="56"/>
  <c r="R71" i="55"/>
  <c r="T70" i="55"/>
  <c r="BD71" i="54"/>
  <c r="BC72" i="54"/>
  <c r="R69" i="57"/>
  <c r="BD74" i="56"/>
  <c r="BC75" i="56"/>
  <c r="R72" i="55"/>
  <c r="T71" i="55"/>
  <c r="R70" i="57"/>
  <c r="BD75" i="56"/>
  <c r="BC76" i="56"/>
  <c r="R73" i="55"/>
  <c r="T72" i="55"/>
  <c r="BD76" i="56"/>
  <c r="BC77" i="56"/>
  <c r="R74" i="55"/>
  <c r="T73" i="55"/>
  <c r="BD77" i="56"/>
  <c r="BC78" i="56"/>
  <c r="R75" i="55"/>
  <c r="T74" i="55"/>
  <c r="BD78" i="56"/>
  <c r="BC79" i="56"/>
  <c r="R76" i="55"/>
  <c r="T75" i="55"/>
  <c r="BC80" i="56"/>
  <c r="BD79" i="56"/>
  <c r="R77" i="55"/>
  <c r="T76" i="55"/>
  <c r="BD80" i="56"/>
  <c r="BC81" i="56"/>
  <c r="T77" i="55"/>
  <c r="R78" i="55"/>
  <c r="BD81" i="56"/>
  <c r="BC82" i="56"/>
  <c r="R79" i="55"/>
  <c r="T78" i="55"/>
  <c r="BD82" i="56"/>
  <c r="BC83" i="56"/>
  <c r="R80" i="55"/>
  <c r="T79" i="55"/>
  <c r="BC84" i="56"/>
  <c r="BD83" i="56"/>
  <c r="R81" i="55"/>
  <c r="T80" i="55"/>
  <c r="BD84" i="56"/>
  <c r="BC85" i="56"/>
  <c r="T81" i="55"/>
  <c r="R82" i="55"/>
  <c r="BD85" i="56"/>
  <c r="BC86" i="56"/>
  <c r="R83" i="55"/>
  <c r="T82" i="55"/>
  <c r="BC87" i="56"/>
  <c r="BD86" i="56"/>
  <c r="R84" i="55"/>
  <c r="T83" i="55"/>
  <c r="BC88" i="56"/>
  <c r="BD87" i="56"/>
  <c r="R85" i="55"/>
  <c r="T84" i="55"/>
  <c r="BC89" i="56"/>
  <c r="BD88" i="56"/>
  <c r="R86" i="55"/>
  <c r="T85" i="55"/>
  <c r="BD89" i="56"/>
  <c r="BC90" i="56"/>
  <c r="R87" i="55"/>
  <c r="T86" i="55"/>
  <c r="BC91" i="56"/>
  <c r="BD90" i="56"/>
  <c r="R88" i="55"/>
  <c r="T87" i="55"/>
  <c r="BC92" i="56"/>
  <c r="BD91" i="56"/>
  <c r="T88" i="55"/>
  <c r="R89" i="55"/>
  <c r="BC93" i="56"/>
  <c r="BD92" i="56"/>
  <c r="R90" i="55"/>
  <c r="T89" i="55"/>
  <c r="BD93" i="56"/>
  <c r="BC94" i="56"/>
  <c r="R91" i="55"/>
  <c r="T90" i="55"/>
  <c r="BD94" i="56"/>
  <c r="BC95" i="56"/>
  <c r="R92" i="55"/>
  <c r="T91" i="55"/>
  <c r="BC96" i="56"/>
  <c r="BD95" i="56"/>
  <c r="T92" i="55"/>
  <c r="R93" i="55"/>
  <c r="BC97" i="56"/>
  <c r="BD96" i="56"/>
  <c r="R94" i="55"/>
  <c r="T93" i="55"/>
  <c r="BD97" i="56"/>
  <c r="BC98" i="56"/>
  <c r="R95" i="55"/>
  <c r="T94" i="55"/>
  <c r="BC99" i="56"/>
  <c r="BD98" i="56"/>
  <c r="R96" i="55"/>
  <c r="T95" i="55"/>
  <c r="BC100" i="56"/>
  <c r="BD99" i="56"/>
  <c r="R97" i="55"/>
  <c r="T96" i="55"/>
  <c r="BC101" i="56"/>
  <c r="BD100" i="56"/>
  <c r="R98" i="55"/>
  <c r="T97" i="55"/>
  <c r="BD101" i="56"/>
  <c r="BC102" i="56"/>
  <c r="R99" i="55"/>
  <c r="T98" i="55"/>
  <c r="BD102" i="56"/>
  <c r="R100" i="55"/>
  <c r="T99" i="55"/>
  <c r="R101" i="55"/>
  <c r="T100" i="55"/>
  <c r="R102" i="55"/>
  <c r="T101" i="55"/>
  <c r="R103" i="55"/>
  <c r="T102" i="55"/>
  <c r="R104" i="55"/>
  <c r="T103" i="55"/>
  <c r="R105" i="55"/>
  <c r="T104" i="55"/>
  <c r="R106" i="55"/>
  <c r="T105" i="55"/>
  <c r="R107" i="55"/>
  <c r="T106" i="55"/>
  <c r="R108" i="55"/>
  <c r="T107" i="55"/>
  <c r="R109" i="55"/>
  <c r="T108" i="55"/>
  <c r="T109" i="55"/>
  <c r="R110" i="55"/>
  <c r="R111" i="55"/>
  <c r="T110" i="55"/>
  <c r="R112" i="55"/>
  <c r="T111" i="55"/>
  <c r="R113" i="55"/>
  <c r="T112" i="55"/>
  <c r="R114" i="55"/>
  <c r="T113" i="55"/>
  <c r="R115" i="55"/>
  <c r="T114" i="55"/>
  <c r="R116" i="55"/>
  <c r="T115" i="55"/>
  <c r="R117" i="55"/>
  <c r="T116" i="55"/>
  <c r="R118" i="55"/>
  <c r="T117" i="55"/>
  <c r="R119" i="55"/>
  <c r="T118" i="55"/>
  <c r="R120" i="55"/>
  <c r="T119" i="55"/>
  <c r="T120" i="55"/>
  <c r="R121" i="55"/>
  <c r="R122" i="55"/>
  <c r="T121" i="55"/>
  <c r="R123" i="55"/>
  <c r="T122" i="55"/>
  <c r="R124" i="55"/>
  <c r="T123" i="55"/>
  <c r="T124" i="55"/>
  <c r="R125" i="55"/>
  <c r="R126" i="55"/>
  <c r="T125" i="55"/>
  <c r="R127" i="55"/>
  <c r="T126" i="55"/>
  <c r="R128" i="55"/>
  <c r="T127" i="55"/>
  <c r="R129" i="55"/>
  <c r="T128" i="55"/>
  <c r="R130" i="55"/>
  <c r="T129" i="55"/>
  <c r="T130" i="55"/>
  <c r="R131" i="55"/>
  <c r="R132" i="55"/>
  <c r="T131" i="55"/>
  <c r="R133" i="55"/>
  <c r="T132" i="55"/>
  <c r="R134" i="55"/>
  <c r="T133" i="55"/>
  <c r="R135" i="55"/>
  <c r="T134" i="55"/>
  <c r="R136" i="55"/>
  <c r="T135" i="55"/>
  <c r="R137" i="55"/>
  <c r="T136" i="55"/>
  <c r="R138" i="55"/>
  <c r="T137" i="55"/>
  <c r="R139" i="55"/>
  <c r="T138" i="55"/>
  <c r="R140" i="55"/>
  <c r="T139" i="55"/>
  <c r="R141" i="55"/>
  <c r="T140" i="55"/>
  <c r="R142" i="55"/>
  <c r="T141" i="55"/>
  <c r="R143" i="55"/>
  <c r="T142" i="55"/>
  <c r="R144" i="55"/>
  <c r="T143" i="55"/>
  <c r="R145" i="55"/>
  <c r="T144" i="55"/>
  <c r="R146" i="55"/>
  <c r="T145" i="55"/>
  <c r="R147" i="55"/>
  <c r="T146" i="55"/>
  <c r="R148" i="55"/>
  <c r="T147" i="55"/>
  <c r="R149" i="55"/>
  <c r="T148" i="55"/>
  <c r="R150" i="55"/>
  <c r="T149" i="55"/>
  <c r="R151" i="55"/>
  <c r="T150" i="55"/>
  <c r="R152" i="55"/>
  <c r="T151" i="55"/>
  <c r="T152" i="55"/>
  <c r="R153" i="55"/>
  <c r="R154" i="55"/>
  <c r="T153" i="55"/>
  <c r="R155" i="55"/>
  <c r="T154" i="55"/>
  <c r="R156" i="55"/>
  <c r="T155" i="55"/>
  <c r="T156" i="55"/>
  <c r="R157" i="55"/>
  <c r="R158" i="55"/>
  <c r="T157" i="55"/>
  <c r="R159" i="55"/>
  <c r="T158" i="55"/>
  <c r="R160" i="55"/>
  <c r="T159" i="55"/>
  <c r="R161" i="55"/>
  <c r="T160" i="55"/>
  <c r="R162" i="55"/>
  <c r="T161" i="55"/>
  <c r="T162" i="55"/>
  <c r="R163" i="55"/>
  <c r="R164" i="55"/>
  <c r="T163" i="55"/>
  <c r="R165" i="55"/>
  <c r="T164" i="55"/>
  <c r="R166" i="55"/>
  <c r="T165" i="55"/>
  <c r="R167" i="55"/>
  <c r="T166" i="55"/>
  <c r="R168" i="55"/>
  <c r="T167" i="55"/>
  <c r="T168" i="55"/>
  <c r="R169" i="55"/>
  <c r="T169" i="55"/>
  <c r="R170" i="55"/>
  <c r="R171" i="55"/>
  <c r="T170" i="55"/>
  <c r="R172" i="55"/>
  <c r="T171" i="55"/>
  <c r="R173" i="55"/>
  <c r="T172" i="55"/>
  <c r="R174" i="55"/>
  <c r="T173" i="55"/>
  <c r="T174" i="55"/>
  <c r="R175" i="55"/>
  <c r="R176" i="55"/>
  <c r="T175" i="55"/>
  <c r="T176" i="55"/>
  <c r="R177" i="55"/>
  <c r="T177" i="55"/>
  <c r="R178" i="55"/>
  <c r="R179" i="55"/>
  <c r="T178" i="55"/>
  <c r="R180" i="55"/>
  <c r="T179" i="55"/>
  <c r="R181" i="55"/>
  <c r="T180" i="55"/>
  <c r="R182" i="55"/>
  <c r="T181" i="55"/>
  <c r="R183" i="55"/>
  <c r="T182" i="55"/>
  <c r="R184" i="55"/>
  <c r="T183" i="55"/>
  <c r="R185" i="55"/>
  <c r="T184" i="55"/>
  <c r="T185" i="55"/>
  <c r="R186" i="55"/>
  <c r="T186" i="55"/>
  <c r="R187" i="55"/>
  <c r="R188" i="55"/>
  <c r="T187" i="55"/>
  <c r="R189" i="55"/>
  <c r="T188" i="55"/>
  <c r="R190" i="55"/>
  <c r="T189" i="55"/>
  <c r="R191" i="55"/>
  <c r="T190" i="55"/>
  <c r="R192" i="55"/>
  <c r="T191" i="55"/>
  <c r="T192" i="55"/>
  <c r="R193" i="55"/>
  <c r="T193" i="55"/>
  <c r="R194" i="55"/>
  <c r="T194" i="55"/>
  <c r="R195" i="55"/>
  <c r="R196" i="55"/>
  <c r="T195" i="55"/>
  <c r="R197" i="55"/>
  <c r="T196" i="55"/>
  <c r="R198" i="55"/>
  <c r="T197" i="55"/>
  <c r="T198" i="55"/>
  <c r="R199" i="55"/>
  <c r="R200" i="55"/>
  <c r="T199" i="55"/>
  <c r="T200" i="55"/>
  <c r="R201" i="55"/>
  <c r="R202" i="55"/>
  <c r="T201" i="55"/>
  <c r="R203" i="55"/>
  <c r="T202" i="55"/>
  <c r="R204" i="55"/>
  <c r="T203" i="55"/>
  <c r="R205" i="55"/>
  <c r="T204" i="55"/>
  <c r="R206" i="55"/>
  <c r="T205" i="55"/>
  <c r="R207" i="55"/>
  <c r="T206" i="55"/>
  <c r="R208" i="55"/>
  <c r="T207" i="55"/>
  <c r="T208" i="55"/>
  <c r="R209" i="55"/>
  <c r="T209" i="55"/>
  <c r="R210" i="55"/>
  <c r="R211" i="55"/>
  <c r="T210" i="55"/>
  <c r="R212" i="55"/>
  <c r="T211" i="55"/>
  <c r="R213" i="55"/>
  <c r="T212" i="55"/>
  <c r="R214" i="55"/>
  <c r="T213" i="55"/>
  <c r="R215" i="55"/>
  <c r="T214" i="55"/>
  <c r="R216" i="55"/>
  <c r="T215" i="55"/>
  <c r="T216" i="55"/>
  <c r="R217" i="55"/>
  <c r="T217" i="55"/>
  <c r="R218" i="55"/>
  <c r="T218" i="55"/>
  <c r="R219" i="55"/>
  <c r="R220" i="55"/>
  <c r="T219" i="55"/>
  <c r="R221" i="55"/>
  <c r="T220" i="55"/>
  <c r="R222" i="55"/>
  <c r="T221" i="55"/>
  <c r="R223" i="55"/>
  <c r="T222" i="55"/>
  <c r="R224" i="55"/>
  <c r="T223" i="55"/>
  <c r="T224" i="55"/>
  <c r="R225" i="55"/>
  <c r="R226" i="55"/>
  <c r="T225" i="55"/>
  <c r="T226" i="55"/>
  <c r="R227" i="55"/>
  <c r="R228" i="55"/>
  <c r="T227" i="55"/>
  <c r="R229" i="55"/>
  <c r="T228" i="55"/>
  <c r="R230" i="55"/>
  <c r="T229" i="55"/>
  <c r="R231" i="55"/>
  <c r="T230" i="55"/>
  <c r="R232" i="55"/>
  <c r="T231" i="55"/>
  <c r="T232" i="55"/>
  <c r="R233" i="55"/>
  <c r="R234" i="55"/>
  <c r="T233" i="55"/>
  <c r="R235" i="55"/>
  <c r="T234" i="55"/>
  <c r="R236" i="55"/>
  <c r="T235" i="55"/>
  <c r="R237" i="55"/>
  <c r="T236" i="55"/>
  <c r="R238" i="55"/>
  <c r="T237" i="55"/>
  <c r="R239" i="55"/>
  <c r="T238" i="55"/>
  <c r="R240" i="55"/>
  <c r="T239" i="55"/>
  <c r="T240" i="55"/>
  <c r="R241" i="55"/>
  <c r="T241" i="55"/>
  <c r="R242" i="55"/>
  <c r="T242" i="55"/>
  <c r="R243" i="55"/>
  <c r="R244" i="55"/>
  <c r="T243" i="55"/>
  <c r="T244" i="55"/>
  <c r="R245" i="55"/>
  <c r="R246" i="55"/>
  <c r="T245" i="55"/>
  <c r="R247" i="55"/>
  <c r="T246" i="55"/>
  <c r="R248" i="55"/>
  <c r="T247" i="55"/>
  <c r="T248" i="55"/>
  <c r="R249" i="55"/>
  <c r="T249" i="55"/>
  <c r="R250" i="55"/>
  <c r="T250" i="55"/>
  <c r="R251" i="55"/>
  <c r="R252" i="55"/>
  <c r="T251" i="55"/>
  <c r="R253" i="55"/>
  <c r="T252" i="55"/>
  <c r="T253" i="55"/>
  <c r="R254" i="55"/>
  <c r="R255" i="55"/>
  <c r="T254" i="55"/>
  <c r="R256" i="55"/>
  <c r="T255" i="55"/>
  <c r="R257" i="55"/>
  <c r="T256" i="55"/>
  <c r="R258" i="55"/>
  <c r="T257" i="55"/>
  <c r="T258" i="55"/>
  <c r="R259" i="55"/>
  <c r="R260" i="55"/>
  <c r="T259" i="55"/>
  <c r="R261" i="55"/>
  <c r="T260" i="55"/>
  <c r="R262" i="55"/>
  <c r="T262" i="55" s="1"/>
  <c r="T261" i="55"/>
  <c r="M16" i="53" l="1"/>
  <c r="M15" i="53"/>
  <c r="M14" i="53"/>
  <c r="M13" i="53"/>
  <c r="M11" i="53"/>
  <c r="M12" i="53"/>
  <c r="M10" i="53"/>
  <c r="L3" i="58"/>
  <c r="K3" i="58"/>
  <c r="L3" i="56"/>
  <c r="K3" i="56"/>
  <c r="K8" i="54"/>
  <c r="L8" i="54"/>
  <c r="L7" i="54"/>
  <c r="K7" i="54"/>
  <c r="L9" i="54"/>
  <c r="K9" i="54"/>
  <c r="F59" i="54"/>
  <c r="C8" i="54"/>
  <c r="B19" i="54"/>
  <c r="C7" i="54"/>
  <c r="B18" i="54"/>
  <c r="B20" i="54"/>
  <c r="C9" i="54"/>
  <c r="L3" i="54"/>
  <c r="K3" i="54"/>
  <c r="D15" i="40"/>
  <c r="C16" i="40"/>
  <c r="A17" i="40"/>
  <c r="BC103" i="56"/>
  <c r="T64" i="57"/>
  <c r="T56" i="57"/>
  <c r="T48" i="57"/>
  <c r="T40" i="57"/>
  <c r="T32" i="57"/>
  <c r="T24" i="57"/>
  <c r="T16" i="57"/>
  <c r="T8" i="57"/>
  <c r="Z30" i="53"/>
  <c r="T70" i="57"/>
  <c r="T63" i="57"/>
  <c r="T55" i="57"/>
  <c r="T47" i="57"/>
  <c r="T39" i="57"/>
  <c r="T31" i="57"/>
  <c r="T23" i="57"/>
  <c r="T15" i="57"/>
  <c r="T7" i="57"/>
  <c r="Z27" i="53"/>
  <c r="T69" i="57"/>
  <c r="T62" i="57"/>
  <c r="T54" i="57"/>
  <c r="T38" i="57"/>
  <c r="T30" i="57"/>
  <c r="T22" i="57"/>
  <c r="T14" i="57"/>
  <c r="T6" i="57"/>
  <c r="Z25" i="53"/>
  <c r="BD72" i="54"/>
  <c r="T45" i="57"/>
  <c r="T29" i="57"/>
  <c r="T13" i="57"/>
  <c r="T5" i="57"/>
  <c r="D18" i="54"/>
  <c r="T68" i="57"/>
  <c r="T60" i="57"/>
  <c r="T44" i="57"/>
  <c r="T36" i="57"/>
  <c r="T20" i="57"/>
  <c r="R7" i="53"/>
  <c r="T67" i="57"/>
  <c r="T59" i="57"/>
  <c r="T51" i="57"/>
  <c r="T43" i="57"/>
  <c r="T35" i="57"/>
  <c r="T27" i="57"/>
  <c r="T19" i="57"/>
  <c r="T11" i="57"/>
  <c r="T4" i="57"/>
  <c r="D20" i="54"/>
  <c r="I20" i="54" s="1"/>
  <c r="T66" i="57"/>
  <c r="T58" i="57"/>
  <c r="T50" i="57"/>
  <c r="T42" i="57"/>
  <c r="T34" i="57"/>
  <c r="T26" i="57"/>
  <c r="T18" i="57"/>
  <c r="T10" i="57"/>
  <c r="Z29" i="53"/>
  <c r="D48" i="54"/>
  <c r="E48" i="54" s="1"/>
  <c r="T65" i="57"/>
  <c r="T57" i="57"/>
  <c r="T49" i="57"/>
  <c r="T41" i="57"/>
  <c r="T33" i="57"/>
  <c r="T25" i="57"/>
  <c r="T17" i="57"/>
  <c r="T9" i="57"/>
  <c r="Z28" i="53"/>
  <c r="D49" i="54"/>
  <c r="I18" i="54"/>
  <c r="T46" i="57"/>
  <c r="D19" i="54"/>
  <c r="I19" i="54" s="1"/>
  <c r="T61" i="57"/>
  <c r="T53" i="57"/>
  <c r="T37" i="57"/>
  <c r="T21" i="57"/>
  <c r="Z26" i="53"/>
  <c r="T52" i="57"/>
  <c r="T28" i="57"/>
  <c r="T12" i="57"/>
  <c r="E16" i="40"/>
  <c r="BC104" i="56"/>
  <c r="BD103" i="56"/>
  <c r="R8" i="53"/>
  <c r="T7" i="53"/>
  <c r="E49" i="54"/>
  <c r="D50" i="54"/>
  <c r="BC105" i="56"/>
  <c r="BD104" i="56"/>
  <c r="T8" i="53"/>
  <c r="R9" i="53"/>
  <c r="E50" i="54"/>
  <c r="D51" i="54"/>
  <c r="E51" i="54" s="1"/>
  <c r="BD105" i="56"/>
  <c r="BC106" i="56"/>
  <c r="T9" i="53"/>
  <c r="R10" i="53"/>
  <c r="BC107" i="56"/>
  <c r="BD106" i="56"/>
  <c r="R11" i="53"/>
  <c r="T10" i="53"/>
  <c r="BC108" i="56"/>
  <c r="BD107" i="56"/>
  <c r="R12" i="53"/>
  <c r="T11" i="53"/>
  <c r="BD108" i="56"/>
  <c r="BC109" i="56"/>
  <c r="T12" i="53"/>
  <c r="R13" i="53"/>
  <c r="BD109" i="56"/>
  <c r="BC110" i="56"/>
  <c r="T13" i="53"/>
  <c r="R14" i="53"/>
  <c r="BC111" i="56"/>
  <c r="BD110" i="56"/>
  <c r="R15" i="53"/>
  <c r="T14" i="53"/>
  <c r="BD111" i="56"/>
  <c r="BC112" i="56"/>
  <c r="T15" i="53"/>
  <c r="R16" i="53"/>
  <c r="BC113" i="56"/>
  <c r="BD112" i="56"/>
  <c r="T16" i="53"/>
  <c r="R17" i="53"/>
  <c r="BD113" i="56"/>
  <c r="BC114" i="56"/>
  <c r="T17" i="53"/>
  <c r="R18" i="53"/>
  <c r="BC115" i="56"/>
  <c r="BD114" i="56"/>
  <c r="R19" i="53"/>
  <c r="T18" i="53"/>
  <c r="BC116" i="56"/>
  <c r="BD115" i="56"/>
  <c r="T19" i="53"/>
  <c r="R20" i="53"/>
  <c r="BC117" i="56"/>
  <c r="BD116" i="56"/>
  <c r="T20" i="53"/>
  <c r="R21" i="53"/>
  <c r="BD117" i="56"/>
  <c r="BC118" i="56"/>
  <c r="T21" i="53"/>
  <c r="R22" i="53"/>
  <c r="BC119" i="56"/>
  <c r="BD118" i="56"/>
  <c r="R23" i="53"/>
  <c r="T22" i="53"/>
  <c r="BC120" i="56"/>
  <c r="BD119" i="56"/>
  <c r="R24" i="53"/>
  <c r="T23" i="53"/>
  <c r="BC121" i="56"/>
  <c r="BD120" i="56"/>
  <c r="T24" i="53"/>
  <c r="R25" i="53"/>
  <c r="BD121" i="56"/>
  <c r="BC122" i="56"/>
  <c r="T25" i="53"/>
  <c r="R26" i="53"/>
  <c r="BD122" i="56"/>
  <c r="BC123" i="56"/>
  <c r="R27" i="53"/>
  <c r="T26" i="53"/>
  <c r="BC124" i="56"/>
  <c r="BD123" i="56"/>
  <c r="R28" i="53"/>
  <c r="T27" i="53"/>
  <c r="BC125" i="56"/>
  <c r="BD124" i="56"/>
  <c r="R29" i="53"/>
  <c r="T28" i="53"/>
  <c r="BD125" i="56"/>
  <c r="BC126" i="56"/>
  <c r="T29" i="53"/>
  <c r="R30" i="53"/>
  <c r="BD126" i="56"/>
  <c r="BC127" i="56"/>
  <c r="R31" i="53"/>
  <c r="T30" i="53"/>
  <c r="BC128" i="56"/>
  <c r="BD127" i="56"/>
  <c r="T31" i="53"/>
  <c r="R32" i="53"/>
  <c r="BD128" i="56"/>
  <c r="BC129" i="56"/>
  <c r="T32" i="53"/>
  <c r="R33" i="53"/>
  <c r="BD129" i="56"/>
  <c r="BC130" i="56"/>
  <c r="R34" i="53"/>
  <c r="T33" i="53"/>
  <c r="BD130" i="56"/>
  <c r="BC131" i="56"/>
  <c r="R35" i="53"/>
  <c r="T34" i="53"/>
  <c r="BD131" i="56"/>
  <c r="BC132" i="56"/>
  <c r="T35" i="53"/>
  <c r="R36" i="53"/>
  <c r="BC133" i="56"/>
  <c r="BD132" i="56"/>
  <c r="T36" i="53"/>
  <c r="R37" i="53"/>
  <c r="BD133" i="56"/>
  <c r="BC134" i="56"/>
  <c r="R38" i="53"/>
  <c r="T37" i="53"/>
  <c r="BD134" i="56"/>
  <c r="BC135" i="56"/>
  <c r="R39" i="53"/>
  <c r="T38" i="53"/>
  <c r="BC136" i="56"/>
  <c r="BD135" i="56"/>
  <c r="T39" i="53"/>
  <c r="R40" i="53"/>
  <c r="BC137" i="56"/>
  <c r="BD136" i="56"/>
  <c r="R41" i="53"/>
  <c r="T40" i="53"/>
  <c r="BD137" i="56"/>
  <c r="BC138" i="56"/>
  <c r="T41" i="53"/>
  <c r="R42" i="53"/>
  <c r="BC139" i="56"/>
  <c r="BD138" i="56"/>
  <c r="R43" i="53"/>
  <c r="T42" i="53"/>
  <c r="BD139" i="56"/>
  <c r="BC140" i="56"/>
  <c r="R44" i="53"/>
  <c r="T43" i="53"/>
  <c r="BD140" i="56"/>
  <c r="BC141" i="56"/>
  <c r="T44" i="53"/>
  <c r="R45" i="53"/>
  <c r="BD141" i="56"/>
  <c r="BC142" i="56"/>
  <c r="R46" i="53"/>
  <c r="T45" i="53"/>
  <c r="BD142" i="56"/>
  <c r="BC143" i="56"/>
  <c r="R47" i="53"/>
  <c r="T46" i="53"/>
  <c r="BC144" i="56"/>
  <c r="BD143" i="56"/>
  <c r="R48" i="53"/>
  <c r="T47" i="53"/>
  <c r="BD144" i="56"/>
  <c r="BC145" i="56"/>
  <c r="T48" i="53"/>
  <c r="R49" i="53"/>
  <c r="BD145" i="56"/>
  <c r="BC146" i="56"/>
  <c r="T49" i="53"/>
  <c r="R50" i="53"/>
  <c r="BC147" i="56"/>
  <c r="BD146" i="56"/>
  <c r="R51" i="53"/>
  <c r="T50" i="53"/>
  <c r="BC148" i="56"/>
  <c r="BD147" i="56"/>
  <c r="T51" i="53"/>
  <c r="R52" i="53"/>
  <c r="BD148" i="56"/>
  <c r="BC149" i="56"/>
  <c r="R53" i="53"/>
  <c r="T52" i="53"/>
  <c r="BD149" i="56"/>
  <c r="BC150" i="56"/>
  <c r="T53" i="53"/>
  <c r="R54" i="53"/>
  <c r="BC151" i="56"/>
  <c r="BD150" i="56"/>
  <c r="R55" i="53"/>
  <c r="T54" i="53"/>
  <c r="BC152" i="56"/>
  <c r="BD151" i="56"/>
  <c r="T55" i="53"/>
  <c r="R56" i="53"/>
  <c r="BD152" i="56"/>
  <c r="BC153" i="56"/>
  <c r="T56" i="53"/>
  <c r="R57" i="53"/>
  <c r="BD153" i="56"/>
  <c r="BC154" i="56"/>
  <c r="R58" i="53"/>
  <c r="T57" i="53"/>
  <c r="BD154" i="56"/>
  <c r="BC155" i="56"/>
  <c r="R59" i="53"/>
  <c r="T58" i="53"/>
  <c r="BC156" i="56"/>
  <c r="BD155" i="56"/>
  <c r="R60" i="53"/>
  <c r="T59" i="53"/>
  <c r="BC157" i="56"/>
  <c r="BD156" i="56"/>
  <c r="R61" i="53"/>
  <c r="T60" i="53"/>
  <c r="BD157" i="56"/>
  <c r="BC158" i="56"/>
  <c r="R62" i="53"/>
  <c r="T61" i="53"/>
  <c r="BC159" i="56"/>
  <c r="BD158" i="56"/>
  <c r="R63" i="53"/>
  <c r="T62" i="53"/>
  <c r="BC160" i="56"/>
  <c r="BD159" i="56"/>
  <c r="R64" i="53"/>
  <c r="T63" i="53"/>
  <c r="BD160" i="56"/>
  <c r="BC161" i="56"/>
  <c r="T64" i="53"/>
  <c r="R65" i="53"/>
  <c r="BD161" i="56"/>
  <c r="BC162" i="56"/>
  <c r="T65" i="53"/>
  <c r="R66" i="53"/>
  <c r="BC163" i="56"/>
  <c r="BD162" i="56"/>
  <c r="R67" i="53"/>
  <c r="T66" i="53"/>
  <c r="BD163" i="56"/>
  <c r="BC164" i="56"/>
  <c r="T67" i="53"/>
  <c r="R68" i="53"/>
  <c r="BC165" i="56"/>
  <c r="BD164" i="56"/>
  <c r="T68" i="53"/>
  <c r="R69" i="53"/>
  <c r="BD165" i="56"/>
  <c r="BC166" i="56"/>
  <c r="R70" i="53"/>
  <c r="T69" i="53"/>
  <c r="BD166" i="56"/>
  <c r="BC167" i="56"/>
  <c r="R71" i="53"/>
  <c r="T70" i="53"/>
  <c r="BC168" i="56"/>
  <c r="BD167" i="56"/>
  <c r="R72" i="53"/>
  <c r="T71" i="53"/>
  <c r="BC169" i="56"/>
  <c r="BD168" i="56"/>
  <c r="R73" i="53"/>
  <c r="T72" i="53"/>
  <c r="BD169" i="56"/>
  <c r="BC170" i="56"/>
  <c r="T73" i="53"/>
  <c r="R74" i="53"/>
  <c r="BC171" i="56"/>
  <c r="BD170" i="56"/>
  <c r="R75" i="53"/>
  <c r="T74" i="53"/>
  <c r="BC172" i="56"/>
  <c r="BD171" i="56"/>
  <c r="T75" i="53"/>
  <c r="R76" i="53"/>
  <c r="BD172" i="56"/>
  <c r="BC173" i="56"/>
  <c r="T76" i="53"/>
  <c r="R77" i="53"/>
  <c r="BD173" i="56"/>
  <c r="BC174" i="56"/>
  <c r="T77" i="53"/>
  <c r="R78" i="53"/>
  <c r="BD174" i="56"/>
  <c r="BC175" i="56"/>
  <c r="R79" i="53"/>
  <c r="T78" i="53"/>
  <c r="BC176" i="56"/>
  <c r="BD175" i="56"/>
  <c r="R80" i="53"/>
  <c r="T79" i="53"/>
  <c r="BC177" i="56"/>
  <c r="BD176" i="56"/>
  <c r="T80" i="53"/>
  <c r="R81" i="53"/>
  <c r="BD177" i="56"/>
  <c r="BC178" i="56"/>
  <c r="T81" i="53"/>
  <c r="R82" i="53"/>
  <c r="BC179" i="56"/>
  <c r="BD178" i="56"/>
  <c r="R83" i="53"/>
  <c r="T82" i="53"/>
  <c r="BC180" i="56"/>
  <c r="BD179" i="56"/>
  <c r="R84" i="53"/>
  <c r="T83" i="53"/>
  <c r="BC181" i="56"/>
  <c r="BD180" i="56"/>
  <c r="T84" i="53"/>
  <c r="R85" i="53"/>
  <c r="BD181" i="56"/>
  <c r="BC182" i="56"/>
  <c r="T85" i="53"/>
  <c r="R86" i="53"/>
  <c r="BC183" i="56"/>
  <c r="BD182" i="56"/>
  <c r="R87" i="53"/>
  <c r="T86" i="53"/>
  <c r="BC184" i="56"/>
  <c r="BD183" i="56"/>
  <c r="T87" i="53"/>
  <c r="R88" i="53"/>
  <c r="BD184" i="56"/>
  <c r="BC185" i="56"/>
  <c r="R89" i="53"/>
  <c r="T88" i="53"/>
  <c r="BD185" i="56"/>
  <c r="BC186" i="56"/>
  <c r="T89" i="53"/>
  <c r="R90" i="53"/>
  <c r="BD186" i="56"/>
  <c r="BC187" i="56"/>
  <c r="R91" i="53"/>
  <c r="T90" i="53"/>
  <c r="BC188" i="56"/>
  <c r="BD187" i="56"/>
  <c r="T91" i="53"/>
  <c r="R92" i="53"/>
  <c r="BC189" i="56"/>
  <c r="BD188" i="56"/>
  <c r="T92" i="53"/>
  <c r="R93" i="53"/>
  <c r="BD189" i="56"/>
  <c r="BC190" i="56"/>
  <c r="T93" i="53"/>
  <c r="R94" i="53"/>
  <c r="BD190" i="56"/>
  <c r="BC191" i="56"/>
  <c r="R95" i="53"/>
  <c r="T94" i="53"/>
  <c r="BC192" i="56"/>
  <c r="BD191" i="56"/>
  <c r="R96" i="53"/>
  <c r="T95" i="53"/>
  <c r="BC193" i="56"/>
  <c r="BD192" i="56"/>
  <c r="T96" i="53"/>
  <c r="R97" i="53"/>
  <c r="BD193" i="56"/>
  <c r="BC194" i="56"/>
  <c r="T97" i="53"/>
  <c r="R98" i="53"/>
  <c r="BD194" i="56"/>
  <c r="BC195" i="56"/>
  <c r="R99" i="53"/>
  <c r="T98" i="53"/>
  <c r="BD195" i="56"/>
  <c r="BC196" i="56"/>
  <c r="T99" i="53"/>
  <c r="R100" i="53"/>
  <c r="BC197" i="56"/>
  <c r="BD196" i="56"/>
  <c r="R101" i="53"/>
  <c r="T100" i="53"/>
  <c r="BD197" i="56"/>
  <c r="BC198" i="56"/>
  <c r="R102" i="53"/>
  <c r="T101" i="53"/>
  <c r="BC199" i="56"/>
  <c r="BD198" i="56"/>
  <c r="R103" i="53"/>
  <c r="T102" i="53"/>
  <c r="BC200" i="56"/>
  <c r="BD199" i="56"/>
  <c r="T103" i="53"/>
  <c r="R104" i="53"/>
  <c r="BC201" i="56"/>
  <c r="BD200" i="56"/>
  <c r="R105" i="53"/>
  <c r="T104" i="53"/>
  <c r="BD201" i="56"/>
  <c r="BC202" i="56"/>
  <c r="T105" i="53"/>
  <c r="R106" i="53"/>
  <c r="BC203" i="56"/>
  <c r="BD202" i="56"/>
  <c r="R107" i="53"/>
  <c r="T106" i="53"/>
  <c r="BD203" i="56"/>
  <c r="BC204" i="56"/>
  <c r="T107" i="53"/>
  <c r="R108" i="53"/>
  <c r="BD204" i="56"/>
  <c r="BC205" i="56"/>
  <c r="R109" i="53"/>
  <c r="T108" i="53"/>
  <c r="BD205" i="56"/>
  <c r="BC206" i="56"/>
  <c r="R110" i="53"/>
  <c r="T109" i="53"/>
  <c r="BC207" i="56"/>
  <c r="BD206" i="56"/>
  <c r="R111" i="53"/>
  <c r="T110" i="53"/>
  <c r="BD207" i="56"/>
  <c r="BC208" i="56"/>
  <c r="R112" i="53"/>
  <c r="T111" i="53"/>
  <c r="BD208" i="56"/>
  <c r="BC209" i="56"/>
  <c r="T112" i="53"/>
  <c r="R113" i="53"/>
  <c r="BD209" i="56"/>
  <c r="BC210" i="56"/>
  <c r="T113" i="53"/>
  <c r="R114" i="53"/>
  <c r="BD210" i="56"/>
  <c r="BC211" i="56"/>
  <c r="R115" i="53"/>
  <c r="T114" i="53"/>
  <c r="BC212" i="56"/>
  <c r="BD211" i="56"/>
  <c r="T115" i="53"/>
  <c r="R116" i="53"/>
  <c r="BD212" i="56"/>
  <c r="BC213" i="56"/>
  <c r="R117" i="53"/>
  <c r="T116" i="53"/>
  <c r="BD213" i="56"/>
  <c r="BC214" i="56"/>
  <c r="T117" i="53"/>
  <c r="R118" i="53"/>
  <c r="BC215" i="56"/>
  <c r="BD214" i="56"/>
  <c r="R119" i="53"/>
  <c r="T118" i="53"/>
  <c r="BC216" i="56"/>
  <c r="BD215" i="56"/>
  <c r="R120" i="53"/>
  <c r="T119" i="53"/>
  <c r="BC217" i="56"/>
  <c r="BD216" i="56"/>
  <c r="R121" i="53"/>
  <c r="T120" i="53"/>
  <c r="BD217" i="56"/>
  <c r="BC218" i="56"/>
  <c r="R122" i="53"/>
  <c r="T121" i="53"/>
  <c r="BD218" i="56"/>
  <c r="BC219" i="56"/>
  <c r="R123" i="53"/>
  <c r="T122" i="53"/>
  <c r="BC220" i="56"/>
  <c r="BD219" i="56"/>
  <c r="T123" i="53"/>
  <c r="R124" i="53"/>
  <c r="BC221" i="56"/>
  <c r="BD220" i="56"/>
  <c r="T124" i="53"/>
  <c r="R125" i="53"/>
  <c r="BD221" i="56"/>
  <c r="BC222" i="56"/>
  <c r="T125" i="53"/>
  <c r="R126" i="53"/>
  <c r="BC223" i="56"/>
  <c r="BD222" i="56"/>
  <c r="R127" i="53"/>
  <c r="T126" i="53"/>
  <c r="BC224" i="56"/>
  <c r="BD223" i="56"/>
  <c r="T127" i="53"/>
  <c r="R128" i="53"/>
  <c r="BD224" i="56"/>
  <c r="BC225" i="56"/>
  <c r="R129" i="53"/>
  <c r="T128" i="53"/>
  <c r="BD225" i="56"/>
  <c r="BC226" i="56"/>
  <c r="T129" i="53"/>
  <c r="R130" i="53"/>
  <c r="BC227" i="56"/>
  <c r="BD226" i="56"/>
  <c r="R131" i="53"/>
  <c r="T130" i="53"/>
  <c r="BD227" i="56"/>
  <c r="BC228" i="56"/>
  <c r="T131" i="53"/>
  <c r="R132" i="53"/>
  <c r="BC229" i="56"/>
  <c r="BD228" i="56"/>
  <c r="T132" i="53"/>
  <c r="R133" i="53"/>
  <c r="BD229" i="56"/>
  <c r="BC230" i="56"/>
  <c r="R134" i="53"/>
  <c r="T133" i="53"/>
  <c r="BC231" i="56"/>
  <c r="BD230" i="56"/>
  <c r="R135" i="53"/>
  <c r="T134" i="53"/>
  <c r="BC232" i="56"/>
  <c r="BD231" i="56"/>
  <c r="T135" i="53"/>
  <c r="R136" i="53"/>
  <c r="BC233" i="56"/>
  <c r="BD232" i="56"/>
  <c r="R137" i="53"/>
  <c r="T136" i="53"/>
  <c r="BD233" i="56"/>
  <c r="BC234" i="56"/>
  <c r="R138" i="53"/>
  <c r="T137" i="53"/>
  <c r="BC235" i="56"/>
  <c r="BD234" i="56"/>
  <c r="R139" i="53"/>
  <c r="T138" i="53"/>
  <c r="BC236" i="56"/>
  <c r="BD235" i="56"/>
  <c r="T139" i="53"/>
  <c r="R140" i="53"/>
  <c r="BD236" i="56"/>
  <c r="BC237" i="56"/>
  <c r="R141" i="53"/>
  <c r="T140" i="53"/>
  <c r="BD237" i="56"/>
  <c r="BC238" i="56"/>
  <c r="T141" i="53"/>
  <c r="R142" i="53"/>
  <c r="BD238" i="56"/>
  <c r="BC239" i="56"/>
  <c r="R143" i="53"/>
  <c r="T142" i="53"/>
  <c r="BD239" i="56"/>
  <c r="BC240" i="56"/>
  <c r="R144" i="53"/>
  <c r="T143" i="53"/>
  <c r="BC241" i="56"/>
  <c r="BD240" i="56"/>
  <c r="T144" i="53"/>
  <c r="R145" i="53"/>
  <c r="BD241" i="56"/>
  <c r="BC242" i="56"/>
  <c r="T145" i="53"/>
  <c r="R146" i="53"/>
  <c r="BC243" i="56"/>
  <c r="BD242" i="56"/>
  <c r="R147" i="53"/>
  <c r="T146" i="53"/>
  <c r="BC244" i="56"/>
  <c r="BD243" i="56"/>
  <c r="T147" i="53"/>
  <c r="R148" i="53"/>
  <c r="BC245" i="56"/>
  <c r="BD244" i="56"/>
  <c r="R149" i="53"/>
  <c r="T148" i="53"/>
  <c r="BD245" i="56"/>
  <c r="BC246" i="56"/>
  <c r="R150" i="53"/>
  <c r="T149" i="53"/>
  <c r="BC247" i="56"/>
  <c r="BD246" i="56"/>
  <c r="R151" i="53"/>
  <c r="T150" i="53"/>
  <c r="BC248" i="56"/>
  <c r="BD247" i="56"/>
  <c r="T151" i="53"/>
  <c r="R152" i="53"/>
  <c r="BC249" i="56"/>
  <c r="BD248" i="56"/>
  <c r="R153" i="53"/>
  <c r="T152" i="53"/>
  <c r="BD249" i="56"/>
  <c r="BC250" i="56"/>
  <c r="R154" i="53"/>
  <c r="T153" i="53"/>
  <c r="BD250" i="56"/>
  <c r="BC251" i="56"/>
  <c r="R155" i="53"/>
  <c r="T154" i="53"/>
  <c r="BC252" i="56"/>
  <c r="BD251" i="56"/>
  <c r="T155" i="53"/>
  <c r="R156" i="53"/>
  <c r="BC253" i="56"/>
  <c r="BD252" i="56"/>
  <c r="T156" i="53"/>
  <c r="R157" i="53"/>
  <c r="BD253" i="56"/>
  <c r="BC254" i="56"/>
  <c r="T157" i="53"/>
  <c r="R158" i="53"/>
  <c r="BC255" i="56"/>
  <c r="BD254" i="56"/>
  <c r="R159" i="53"/>
  <c r="T158" i="53"/>
  <c r="BC256" i="56"/>
  <c r="BD255" i="56"/>
  <c r="R160" i="53"/>
  <c r="T159" i="53"/>
  <c r="BC257" i="56"/>
  <c r="BD256" i="56"/>
  <c r="R161" i="53"/>
  <c r="T160" i="53"/>
  <c r="BD257" i="56"/>
  <c r="BC258" i="56"/>
  <c r="T161" i="53"/>
  <c r="R162" i="53"/>
  <c r="BD258" i="56"/>
  <c r="BC259" i="56"/>
  <c r="R163" i="53"/>
  <c r="T162" i="53"/>
  <c r="BD259" i="56"/>
  <c r="BC260" i="56"/>
  <c r="T163" i="53"/>
  <c r="R164" i="53"/>
  <c r="BC261" i="56"/>
  <c r="BD260" i="56"/>
  <c r="R165" i="53"/>
  <c r="T164" i="53"/>
  <c r="BD261" i="56"/>
  <c r="BC262" i="56"/>
  <c r="R166" i="53"/>
  <c r="T165" i="53"/>
  <c r="BC263" i="56"/>
  <c r="BD262" i="56"/>
  <c r="R167" i="53"/>
  <c r="T166" i="53"/>
  <c r="BC264" i="56"/>
  <c r="BD263" i="56"/>
  <c r="R168" i="53"/>
  <c r="T167" i="53"/>
  <c r="T168" i="53"/>
  <c r="R169" i="53"/>
  <c r="T169" i="53"/>
  <c r="R170" i="53"/>
  <c r="R171" i="53"/>
  <c r="T170" i="53"/>
  <c r="T171" i="53"/>
  <c r="R172" i="53"/>
  <c r="T172" i="53"/>
  <c r="R173" i="53"/>
  <c r="T173" i="53"/>
  <c r="R174" i="53"/>
  <c r="R175" i="53"/>
  <c r="T174" i="53"/>
  <c r="T175" i="53"/>
  <c r="R176" i="53"/>
  <c r="T176" i="53"/>
  <c r="R177" i="53"/>
  <c r="T177" i="53"/>
  <c r="R178" i="53"/>
  <c r="R179" i="53"/>
  <c r="T178" i="53"/>
  <c r="R180" i="53"/>
  <c r="T179" i="53"/>
  <c r="R181" i="53"/>
  <c r="T180" i="53"/>
  <c r="T181" i="53"/>
  <c r="R182" i="53"/>
  <c r="R183" i="53"/>
  <c r="T182" i="53"/>
  <c r="T183" i="53"/>
  <c r="R184" i="53"/>
  <c r="T184" i="53"/>
  <c r="R185" i="53"/>
  <c r="R186" i="53"/>
  <c r="T185" i="53"/>
  <c r="R187" i="53"/>
  <c r="T186" i="53"/>
  <c r="T187" i="53"/>
  <c r="R188" i="53"/>
  <c r="T188" i="53"/>
  <c r="R189" i="53"/>
  <c r="T189" i="53"/>
  <c r="R190" i="53"/>
  <c r="R191" i="53"/>
  <c r="T190" i="53"/>
  <c r="T191" i="53"/>
  <c r="R192" i="53"/>
  <c r="R193" i="53"/>
  <c r="T192" i="53"/>
  <c r="T193" i="53"/>
  <c r="R194" i="53"/>
  <c r="R195" i="53"/>
  <c r="T194" i="53"/>
  <c r="R196" i="53"/>
  <c r="T195" i="53"/>
  <c r="T196" i="53"/>
  <c r="R197" i="53"/>
  <c r="R198" i="53"/>
  <c r="T197" i="53"/>
  <c r="R199" i="53"/>
  <c r="T198" i="53"/>
  <c r="T199" i="53"/>
  <c r="R200" i="53"/>
  <c r="T200" i="53"/>
  <c r="R201" i="53"/>
  <c r="T201" i="53"/>
  <c r="R202" i="53"/>
  <c r="R203" i="53"/>
  <c r="T202" i="53"/>
  <c r="T203" i="53"/>
  <c r="R204" i="53"/>
  <c r="T204" i="53"/>
  <c r="R205" i="53"/>
  <c r="T205" i="53"/>
  <c r="R206" i="53"/>
  <c r="R207" i="53"/>
  <c r="T206" i="53"/>
  <c r="R208" i="53"/>
  <c r="T207" i="53"/>
  <c r="T208" i="53"/>
  <c r="R209" i="53"/>
  <c r="T209" i="53"/>
  <c r="R210" i="53"/>
  <c r="R211" i="53"/>
  <c r="T210" i="53"/>
  <c r="T211" i="53"/>
  <c r="R212" i="53"/>
  <c r="R213" i="53"/>
  <c r="T212" i="53"/>
  <c r="T213" i="53"/>
  <c r="R214" i="53"/>
  <c r="R215" i="53"/>
  <c r="T214" i="53"/>
  <c r="T215" i="53"/>
  <c r="R216" i="53"/>
  <c r="T216" i="53"/>
  <c r="R217" i="53"/>
  <c r="R218" i="53"/>
  <c r="T217" i="53"/>
  <c r="R219" i="53"/>
  <c r="T218" i="53"/>
  <c r="R220" i="53"/>
  <c r="T219" i="53"/>
  <c r="T220" i="53"/>
  <c r="R221" i="53"/>
  <c r="T221" i="53"/>
  <c r="R222" i="53"/>
  <c r="R223" i="53"/>
  <c r="T222" i="53"/>
  <c r="T223" i="53"/>
  <c r="R224" i="53"/>
  <c r="R225" i="53"/>
  <c r="T224" i="53"/>
  <c r="T225" i="53"/>
  <c r="R226" i="53"/>
  <c r="R227" i="53"/>
  <c r="T226" i="53"/>
  <c r="R228" i="53"/>
  <c r="T227" i="53"/>
  <c r="T228" i="53"/>
  <c r="R229" i="53"/>
  <c r="R230" i="53"/>
  <c r="T229" i="53"/>
  <c r="R231" i="53"/>
  <c r="T230" i="53"/>
  <c r="T231" i="53"/>
  <c r="R232" i="53"/>
  <c r="T232" i="53"/>
  <c r="R233" i="53"/>
  <c r="T233" i="53"/>
  <c r="R234" i="53"/>
  <c r="R235" i="53"/>
  <c r="T234" i="53"/>
  <c r="T235" i="53"/>
  <c r="R236" i="53"/>
  <c r="T236" i="53"/>
  <c r="R237" i="53"/>
  <c r="T237" i="53"/>
  <c r="R238" i="53"/>
  <c r="R239" i="53"/>
  <c r="T238" i="53"/>
  <c r="R240" i="53"/>
  <c r="T239" i="53"/>
  <c r="T240" i="53"/>
  <c r="R241" i="53"/>
  <c r="T241" i="53"/>
  <c r="R242" i="53"/>
  <c r="R243" i="53"/>
  <c r="T242" i="53"/>
  <c r="T243" i="53"/>
  <c r="R244" i="53"/>
  <c r="T244" i="53"/>
  <c r="R245" i="53"/>
  <c r="R246" i="53"/>
  <c r="T245" i="53"/>
  <c r="R247" i="53"/>
  <c r="T246" i="53"/>
  <c r="T247" i="53"/>
  <c r="R248" i="53"/>
  <c r="T248" i="53"/>
  <c r="R249" i="53"/>
  <c r="T249" i="53"/>
  <c r="R250" i="53"/>
  <c r="R251" i="53"/>
  <c r="T250" i="53"/>
  <c r="T251" i="53"/>
  <c r="R252" i="53"/>
  <c r="R253" i="53"/>
  <c r="T252" i="53"/>
  <c r="T253" i="53"/>
  <c r="R254" i="53"/>
  <c r="R255" i="53"/>
  <c r="T254" i="53"/>
  <c r="T255" i="53"/>
  <c r="R256" i="53"/>
  <c r="T256" i="53"/>
  <c r="R257" i="53"/>
  <c r="T257" i="53"/>
  <c r="R258" i="53"/>
  <c r="R259" i="53"/>
  <c r="T258" i="53"/>
  <c r="T259" i="53"/>
  <c r="R260" i="53"/>
  <c r="R261" i="53"/>
  <c r="T260" i="53"/>
  <c r="R262" i="53"/>
  <c r="T261" i="53"/>
  <c r="F63" i="54" l="1"/>
  <c r="F62" i="54"/>
  <c r="F61" i="54"/>
  <c r="F60" i="54"/>
  <c r="C20" i="54"/>
  <c r="C18" i="54"/>
  <c r="C19" i="54"/>
  <c r="D16" i="40"/>
  <c r="C17" i="40"/>
  <c r="A18" i="40"/>
  <c r="T262" i="53"/>
  <c r="BD264" i="56"/>
  <c r="E17" i="40"/>
  <c r="D17" i="40" l="1"/>
  <c r="C18" i="40"/>
  <c r="A19" i="40"/>
  <c r="E18" i="40"/>
  <c r="D18" i="40" l="1"/>
  <c r="C19" i="40"/>
  <c r="A20" i="40"/>
  <c r="D6" i="29"/>
  <c r="D22" i="58" s="1"/>
  <c r="E6" i="58"/>
  <c r="E15" i="58"/>
  <c r="O6" i="58"/>
  <c r="E16" i="58"/>
  <c r="E17" i="58"/>
  <c r="E3" i="58"/>
  <c r="AD36" i="58"/>
  <c r="E5" i="58"/>
  <c r="E19" i="40"/>
  <c r="E14" i="58"/>
  <c r="O3" i="58"/>
  <c r="E4" i="58"/>
  <c r="O4" i="58" s="1"/>
  <c r="O5" i="58"/>
  <c r="R6" i="58" l="1"/>
  <c r="P6" i="58"/>
  <c r="Q6" i="58"/>
  <c r="R4" i="58"/>
  <c r="Q4" i="58"/>
  <c r="P4" i="58"/>
  <c r="R5" i="58"/>
  <c r="Q5" i="58"/>
  <c r="P5" i="58"/>
  <c r="P3" i="58"/>
  <c r="R3" i="58"/>
  <c r="Q3" i="58"/>
  <c r="D4" i="57"/>
  <c r="D25" i="56"/>
  <c r="D4" i="55"/>
  <c r="D25" i="54"/>
  <c r="D4" i="53"/>
  <c r="D19" i="40"/>
  <c r="C20" i="40"/>
  <c r="A21" i="40"/>
  <c r="D4" i="40"/>
  <c r="D25" i="39"/>
  <c r="E3" i="56"/>
  <c r="E17" i="56"/>
  <c r="E20" i="54"/>
  <c r="E9" i="54"/>
  <c r="F56" i="56"/>
  <c r="E9" i="56"/>
  <c r="F50" i="54"/>
  <c r="O9" i="56"/>
  <c r="E18" i="56"/>
  <c r="E5" i="56"/>
  <c r="E15" i="54"/>
  <c r="E14" i="54"/>
  <c r="F57" i="56"/>
  <c r="F43" i="54"/>
  <c r="F51" i="54"/>
  <c r="E8" i="56"/>
  <c r="E6" i="56"/>
  <c r="E16" i="54"/>
  <c r="E19" i="54"/>
  <c r="F53" i="56"/>
  <c r="F44" i="54"/>
  <c r="O3" i="56"/>
  <c r="E7" i="56"/>
  <c r="F52" i="56"/>
  <c r="E4" i="54"/>
  <c r="E20" i="40"/>
  <c r="F61" i="56"/>
  <c r="F45" i="54"/>
  <c r="O8" i="56"/>
  <c r="E19" i="56"/>
  <c r="E3" i="54"/>
  <c r="E6" i="54"/>
  <c r="F55" i="56"/>
  <c r="F62" i="56"/>
  <c r="F46" i="54"/>
  <c r="O7" i="56"/>
  <c r="E15" i="56"/>
  <c r="E8" i="54"/>
  <c r="AD41" i="54"/>
  <c r="F58" i="56"/>
  <c r="F63" i="56"/>
  <c r="F47" i="54"/>
  <c r="E16" i="56"/>
  <c r="E14" i="56"/>
  <c r="E17" i="54"/>
  <c r="E5" i="54"/>
  <c r="F59" i="56"/>
  <c r="F54" i="56"/>
  <c r="F48" i="54"/>
  <c r="O5" i="56"/>
  <c r="AD50" i="56"/>
  <c r="E4" i="56"/>
  <c r="O4" i="56" s="1"/>
  <c r="E7" i="54"/>
  <c r="E18" i="54"/>
  <c r="F60" i="56"/>
  <c r="E20" i="56"/>
  <c r="F49" i="54"/>
  <c r="O6" i="56"/>
  <c r="J18" i="54" l="1"/>
  <c r="J17" i="54"/>
  <c r="J16" i="54"/>
  <c r="J15" i="54"/>
  <c r="J14" i="54"/>
  <c r="J19" i="54"/>
  <c r="J20" i="54"/>
  <c r="J20" i="56"/>
  <c r="J19" i="56"/>
  <c r="J18" i="56"/>
  <c r="J17" i="56"/>
  <c r="J15" i="56"/>
  <c r="J14" i="56"/>
  <c r="J16" i="56"/>
  <c r="Q6" i="56"/>
  <c r="P6" i="56"/>
  <c r="R6" i="56"/>
  <c r="R5" i="56"/>
  <c r="P5" i="56"/>
  <c r="Q5" i="56"/>
  <c r="R4" i="56"/>
  <c r="Q4" i="56"/>
  <c r="P4" i="56"/>
  <c r="P7" i="56"/>
  <c r="R7" i="56"/>
  <c r="Q7" i="56"/>
  <c r="R8" i="56"/>
  <c r="P8" i="56"/>
  <c r="Q8" i="56"/>
  <c r="P3" i="56"/>
  <c r="Q3" i="56"/>
  <c r="R3" i="56"/>
  <c r="R9" i="56"/>
  <c r="Q9" i="56"/>
  <c r="P9" i="56"/>
  <c r="D20" i="40"/>
  <c r="D14" i="39"/>
  <c r="G3" i="40"/>
  <c r="D3" i="39"/>
  <c r="R3" i="40"/>
  <c r="BC6" i="39"/>
  <c r="C21" i="40"/>
  <c r="A22" i="40"/>
  <c r="O7" i="54"/>
  <c r="E21" i="40"/>
  <c r="O5" i="54"/>
  <c r="N3" i="39"/>
  <c r="O8" i="54"/>
  <c r="T3" i="40"/>
  <c r="O6" i="54"/>
  <c r="O3" i="54"/>
  <c r="O4" i="54"/>
  <c r="O9" i="54"/>
  <c r="I14" i="39"/>
  <c r="P9" i="54" l="1"/>
  <c r="R9" i="54"/>
  <c r="Q9" i="54"/>
  <c r="R4" i="54"/>
  <c r="Q4" i="54"/>
  <c r="P4" i="54"/>
  <c r="R3" i="54"/>
  <c r="P3" i="54"/>
  <c r="Q3" i="54"/>
  <c r="P6" i="54"/>
  <c r="Q6" i="54"/>
  <c r="R6" i="54"/>
  <c r="P8" i="54"/>
  <c r="Q8" i="54"/>
  <c r="R8" i="54"/>
  <c r="P5" i="54"/>
  <c r="R5" i="54"/>
  <c r="Q5" i="54"/>
  <c r="P7" i="54"/>
  <c r="R7" i="54"/>
  <c r="Q7" i="54"/>
  <c r="D21" i="40"/>
  <c r="C22" i="40"/>
  <c r="AG19" i="39" a="1"/>
  <c r="AG9" i="39" a="1"/>
  <c r="AG14" i="39" a="1"/>
  <c r="E22" i="40"/>
  <c r="D22" i="40" l="1"/>
  <c r="AG16" i="39"/>
  <c r="AG15" i="39"/>
  <c r="AG14" i="39"/>
  <c r="AG9" i="39"/>
  <c r="AG10" i="39"/>
  <c r="AG21" i="39"/>
  <c r="AG19" i="39"/>
  <c r="AG20" i="39"/>
  <c r="AG5" i="39" a="1"/>
  <c r="AG6" i="39" l="1"/>
  <c r="AG5" i="39"/>
  <c r="G12" i="40"/>
  <c r="E50" i="39"/>
  <c r="R4" i="40"/>
  <c r="G9" i="40"/>
  <c r="E41" i="39"/>
  <c r="F37" i="39"/>
  <c r="F36" i="39"/>
  <c r="AD44" i="39"/>
  <c r="E46" i="39"/>
  <c r="F43" i="39"/>
  <c r="D4" i="39"/>
  <c r="I4" i="39" s="1"/>
  <c r="G8" i="40"/>
  <c r="E49" i="39"/>
  <c r="F39" i="39"/>
  <c r="F44" i="39"/>
  <c r="N4" i="39"/>
  <c r="G14" i="40"/>
  <c r="G20" i="40"/>
  <c r="E44" i="39"/>
  <c r="T4" i="40"/>
  <c r="E14" i="39"/>
  <c r="E37" i="39"/>
  <c r="G16" i="40"/>
  <c r="E38" i="39"/>
  <c r="G21" i="40"/>
  <c r="F38" i="39"/>
  <c r="E42" i="39"/>
  <c r="E39" i="39"/>
  <c r="G13" i="40"/>
  <c r="F40" i="39"/>
  <c r="D6" i="39"/>
  <c r="N6" i="39" s="1"/>
  <c r="F45" i="39"/>
  <c r="H9" i="40"/>
  <c r="I3" i="39"/>
  <c r="G18" i="40"/>
  <c r="H18" i="40" s="1"/>
  <c r="G6" i="40"/>
  <c r="E40" i="39"/>
  <c r="D9" i="39"/>
  <c r="E47" i="39"/>
  <c r="D19" i="39"/>
  <c r="D7" i="39"/>
  <c r="D8" i="39"/>
  <c r="I8" i="39" s="1"/>
  <c r="I6" i="39"/>
  <c r="B1" i="29"/>
  <c r="G11" i="40"/>
  <c r="G22" i="40"/>
  <c r="D18" i="39"/>
  <c r="G19" i="40"/>
  <c r="BD6" i="39"/>
  <c r="D17" i="39"/>
  <c r="D5" i="39"/>
  <c r="E5" i="39" s="1"/>
  <c r="BC7" i="39"/>
  <c r="BD7" i="39" s="1"/>
  <c r="E6" i="39"/>
  <c r="F41" i="39"/>
  <c r="E8" i="39"/>
  <c r="D16" i="39"/>
  <c r="G5" i="40"/>
  <c r="F42" i="39"/>
  <c r="D15" i="39"/>
  <c r="E15" i="39" s="1"/>
  <c r="G17" i="40"/>
  <c r="N8" i="39"/>
  <c r="E3" i="39"/>
  <c r="O3" i="39" s="1"/>
  <c r="E48" i="39"/>
  <c r="D20" i="39"/>
  <c r="E20" i="39" s="1"/>
  <c r="H8" i="40"/>
  <c r="G10" i="40"/>
  <c r="E36" i="39"/>
  <c r="E51" i="39"/>
  <c r="G7" i="40"/>
  <c r="H7" i="40" s="1"/>
  <c r="H3" i="40"/>
  <c r="G15" i="40"/>
  <c r="H4" i="40"/>
  <c r="E43" i="39"/>
  <c r="I20" i="39"/>
  <c r="N5" i="39"/>
  <c r="N9" i="39"/>
  <c r="I9" i="39"/>
  <c r="E7" i="39"/>
  <c r="N7" i="39"/>
  <c r="I7" i="39"/>
  <c r="E16" i="39"/>
  <c r="I16" i="39"/>
  <c r="J19" i="39" l="1"/>
  <c r="J18" i="39"/>
  <c r="J17" i="39"/>
  <c r="J16" i="39"/>
  <c r="J15" i="39"/>
  <c r="J14" i="39"/>
  <c r="J20" i="39"/>
  <c r="K9" i="39"/>
  <c r="L9" i="39"/>
  <c r="L7" i="39"/>
  <c r="K7" i="39"/>
  <c r="K6" i="39"/>
  <c r="L6" i="39"/>
  <c r="K8" i="39"/>
  <c r="L8" i="39"/>
  <c r="K3" i="39"/>
  <c r="L3" i="39"/>
  <c r="K4" i="39"/>
  <c r="L4" i="39"/>
  <c r="Q3" i="39"/>
  <c r="P3" i="39"/>
  <c r="R3" i="39"/>
  <c r="O7" i="39"/>
  <c r="H11" i="40"/>
  <c r="E4" i="39"/>
  <c r="H5" i="40"/>
  <c r="F51" i="39"/>
  <c r="I19" i="39"/>
  <c r="H14" i="40"/>
  <c r="H10" i="40"/>
  <c r="R5" i="40"/>
  <c r="H15" i="40"/>
  <c r="E17" i="39"/>
  <c r="F48" i="39"/>
  <c r="H16" i="40"/>
  <c r="H6" i="40"/>
  <c r="F49" i="39"/>
  <c r="H22" i="40"/>
  <c r="F46" i="39"/>
  <c r="I15" i="39"/>
  <c r="O5" i="39"/>
  <c r="I5" i="39"/>
  <c r="H12" i="40"/>
  <c r="E18" i="39"/>
  <c r="F47" i="39"/>
  <c r="E19" i="39"/>
  <c r="E9" i="39"/>
  <c r="H20" i="40"/>
  <c r="I18" i="39"/>
  <c r="BC8" i="39"/>
  <c r="O6" i="39"/>
  <c r="O9" i="39"/>
  <c r="H21" i="40"/>
  <c r="H19" i="40"/>
  <c r="H13" i="40"/>
  <c r="O8" i="39"/>
  <c r="H17" i="40"/>
  <c r="F50" i="39"/>
  <c r="I17" i="39"/>
  <c r="R6" i="40"/>
  <c r="T6" i="40" s="1"/>
  <c r="T5" i="40"/>
  <c r="BD8" i="39"/>
  <c r="Q8" i="39" l="1"/>
  <c r="P8" i="39"/>
  <c r="R8" i="39"/>
  <c r="Q6" i="39"/>
  <c r="R6" i="39"/>
  <c r="P6" i="39"/>
  <c r="Q5" i="39"/>
  <c r="R5" i="39"/>
  <c r="P5" i="39"/>
  <c r="R7" i="39"/>
  <c r="Q7" i="39"/>
  <c r="P7" i="39"/>
  <c r="L5" i="39"/>
  <c r="K5" i="39"/>
  <c r="Q9" i="39"/>
  <c r="R9" i="39"/>
  <c r="P9" i="39"/>
  <c r="O4" i="39"/>
  <c r="BC9" i="39"/>
  <c r="R7" i="40"/>
  <c r="T7" i="40" s="1"/>
  <c r="R8" i="40"/>
  <c r="T8" i="40" s="1"/>
  <c r="BD9" i="39"/>
  <c r="BC10" i="39"/>
  <c r="BC11" i="39"/>
  <c r="BD10" i="39"/>
  <c r="BD11" i="39"/>
  <c r="BC12" i="39"/>
  <c r="BD12" i="39"/>
  <c r="BC13" i="39"/>
  <c r="BC14" i="39"/>
  <c r="BD13" i="39"/>
  <c r="BC15" i="39"/>
  <c r="BD14" i="39"/>
  <c r="BD15" i="39"/>
  <c r="BC16" i="39"/>
  <c r="BC17" i="39"/>
  <c r="BD16" i="39"/>
  <c r="BD17" i="39"/>
  <c r="BC18" i="39"/>
  <c r="BD18" i="39"/>
  <c r="BC19" i="39"/>
  <c r="BD19" i="39"/>
  <c r="BC20" i="39"/>
  <c r="BC21" i="39"/>
  <c r="BD20" i="39"/>
  <c r="BC22" i="39"/>
  <c r="BD21" i="39"/>
  <c r="BC23" i="39"/>
  <c r="BD22" i="39"/>
  <c r="BD23" i="39"/>
  <c r="BC24" i="39"/>
  <c r="BC25" i="39"/>
  <c r="BD24" i="39"/>
  <c r="BD25" i="39"/>
  <c r="BC26" i="39"/>
  <c r="BC27" i="39"/>
  <c r="BD26" i="39"/>
  <c r="BC28" i="39"/>
  <c r="BD27" i="39"/>
  <c r="BC29" i="39"/>
  <c r="BD28" i="39"/>
  <c r="BD29" i="39"/>
  <c r="BC30" i="39"/>
  <c r="BC31" i="39"/>
  <c r="BD30" i="39"/>
  <c r="BC32" i="39"/>
  <c r="BD31" i="39"/>
  <c r="BC33" i="39"/>
  <c r="BD32" i="39"/>
  <c r="BC34" i="39"/>
  <c r="BD33" i="39"/>
  <c r="BC35" i="39"/>
  <c r="BD34" i="39"/>
  <c r="BD35" i="39"/>
  <c r="BC36" i="39"/>
  <c r="BD36" i="39"/>
  <c r="BC37" i="39"/>
  <c r="BC38" i="39"/>
  <c r="BD37" i="39"/>
  <c r="BC39" i="39"/>
  <c r="BD38" i="39"/>
  <c r="BC40" i="39"/>
  <c r="BD39" i="39"/>
  <c r="BD40" i="39"/>
  <c r="BC41" i="39"/>
  <c r="BC42" i="39"/>
  <c r="BD41" i="39"/>
  <c r="BD42" i="39"/>
  <c r="BC43" i="39"/>
  <c r="BC44" i="39"/>
  <c r="BD43" i="39"/>
  <c r="BC45" i="39"/>
  <c r="BD44" i="39"/>
  <c r="BD45" i="39"/>
  <c r="BC46" i="39"/>
  <c r="BD46" i="39"/>
  <c r="BC47" i="39"/>
  <c r="BD47" i="39"/>
  <c r="BC48" i="39"/>
  <c r="BD48" i="39"/>
  <c r="BC49" i="39"/>
  <c r="BD49" i="39"/>
  <c r="BC50" i="39"/>
  <c r="BD50" i="39"/>
  <c r="BC51" i="39"/>
  <c r="BD51" i="39"/>
  <c r="BC52" i="39"/>
  <c r="BC53" i="39"/>
  <c r="BD52" i="39"/>
  <c r="BD53" i="39"/>
  <c r="BC54" i="39"/>
  <c r="BC55" i="39"/>
  <c r="BD54" i="39"/>
  <c r="BD55" i="39"/>
  <c r="BC56" i="39"/>
  <c r="BD56" i="39"/>
  <c r="BC57" i="39"/>
  <c r="BC58" i="39"/>
  <c r="BD57" i="39"/>
  <c r="BD58" i="39"/>
  <c r="BC59" i="39"/>
  <c r="BD59" i="39"/>
  <c r="BC60" i="39"/>
  <c r="BC61" i="39"/>
  <c r="BD60" i="39"/>
  <c r="BC62" i="39"/>
  <c r="BD61" i="39"/>
  <c r="BC63" i="39"/>
  <c r="BD62" i="39"/>
  <c r="BD63" i="39"/>
  <c r="BC64" i="39"/>
  <c r="BD64" i="39"/>
  <c r="BC65" i="39"/>
  <c r="BC66" i="39"/>
  <c r="BD65" i="39"/>
  <c r="BD66" i="39"/>
  <c r="BC67" i="39"/>
  <c r="BC68" i="39"/>
  <c r="BD67" i="39"/>
  <c r="BD68" i="39"/>
  <c r="BC69" i="39"/>
  <c r="BD69" i="39"/>
  <c r="BC70" i="39"/>
  <c r="BD70" i="39"/>
  <c r="BC71" i="39"/>
  <c r="BC72" i="39"/>
  <c r="BD71" i="39"/>
  <c r="BD72" i="39"/>
  <c r="BC73" i="39"/>
  <c r="BC74" i="39"/>
  <c r="BD73" i="39"/>
  <c r="BD74" i="39"/>
  <c r="BC75" i="39"/>
  <c r="BC76" i="39"/>
  <c r="BD75" i="39"/>
  <c r="BC77" i="39"/>
  <c r="BD76" i="39"/>
  <c r="BD77" i="39"/>
  <c r="BC78" i="39"/>
  <c r="BD78" i="39"/>
  <c r="BC79" i="39"/>
  <c r="BC80" i="39"/>
  <c r="BD79" i="39"/>
  <c r="BC81" i="39"/>
  <c r="BD80" i="39"/>
  <c r="BD81" i="39"/>
  <c r="BC82" i="39"/>
  <c r="BD82" i="39"/>
  <c r="BC83" i="39"/>
  <c r="BC84" i="39"/>
  <c r="BD83" i="39"/>
  <c r="BC85" i="39"/>
  <c r="BD84" i="39"/>
  <c r="BD85" i="39"/>
  <c r="BC86" i="39"/>
  <c r="BC87" i="39"/>
  <c r="BD86" i="39"/>
  <c r="BD87" i="39"/>
  <c r="BC88" i="39"/>
  <c r="BC89" i="39"/>
  <c r="BD88" i="39"/>
  <c r="BD89" i="39"/>
  <c r="BC90" i="39"/>
  <c r="BD90" i="39"/>
  <c r="BC91" i="39"/>
  <c r="BD91" i="39"/>
  <c r="BC92" i="39"/>
  <c r="BC93" i="39"/>
  <c r="BD92" i="39"/>
  <c r="BD93" i="39"/>
  <c r="BC94" i="39"/>
  <c r="BD94" i="39"/>
  <c r="BC95" i="39"/>
  <c r="BC96" i="39"/>
  <c r="BD95" i="39"/>
  <c r="BD96" i="39"/>
  <c r="BC97" i="39"/>
  <c r="BC98" i="39"/>
  <c r="BD97" i="39"/>
  <c r="BD98" i="39"/>
  <c r="BC99" i="39"/>
  <c r="BD99" i="39"/>
  <c r="BC100" i="39"/>
  <c r="BD100" i="39"/>
  <c r="BC101" i="39"/>
  <c r="BD101" i="39"/>
  <c r="BC102" i="39"/>
  <c r="BC103" i="39"/>
  <c r="BD102" i="39"/>
  <c r="BD103" i="39"/>
  <c r="BC104" i="39"/>
  <c r="BD104" i="39"/>
  <c r="BC105" i="39"/>
  <c r="BD105" i="39"/>
  <c r="BC106" i="39"/>
  <c r="BC107" i="39"/>
  <c r="BD106" i="39"/>
  <c r="BC108" i="39"/>
  <c r="BD107" i="39"/>
  <c r="BC109" i="39"/>
  <c r="BD108" i="39"/>
  <c r="BC110" i="39"/>
  <c r="BD109" i="39"/>
  <c r="BD110" i="39"/>
  <c r="BC111" i="39"/>
  <c r="BC112" i="39"/>
  <c r="BD111" i="39"/>
  <c r="BC113" i="39"/>
  <c r="BD112" i="39"/>
  <c r="BD113" i="39"/>
  <c r="BC114" i="39"/>
  <c r="BC115" i="39"/>
  <c r="BD114" i="39"/>
  <c r="BD115" i="39"/>
  <c r="BC116" i="39"/>
  <c r="BC117" i="39"/>
  <c r="BD116" i="39"/>
  <c r="BD117" i="39"/>
  <c r="BC118" i="39"/>
  <c r="BD118" i="39"/>
  <c r="BC119" i="39"/>
  <c r="BC120" i="39"/>
  <c r="BD119" i="39"/>
  <c r="BC121" i="39"/>
  <c r="BD120" i="39"/>
  <c r="BC122" i="39"/>
  <c r="BD121" i="39"/>
  <c r="BC123" i="39"/>
  <c r="BD122" i="39"/>
  <c r="BD123" i="39"/>
  <c r="BC124" i="39"/>
  <c r="BD124" i="39"/>
  <c r="BC125" i="39"/>
  <c r="BC126" i="39"/>
  <c r="BD125" i="39"/>
  <c r="BD126" i="39"/>
  <c r="BC127" i="39"/>
  <c r="BD127" i="39"/>
  <c r="BC128" i="39"/>
  <c r="BD128" i="39"/>
  <c r="BC129" i="39"/>
  <c r="BC130" i="39"/>
  <c r="BD129" i="39"/>
  <c r="BD130" i="39"/>
  <c r="BC131" i="39"/>
  <c r="BC132" i="39"/>
  <c r="BD131" i="39"/>
  <c r="BC133" i="39"/>
  <c r="BD132" i="39"/>
  <c r="BD133" i="39"/>
  <c r="BC134" i="39"/>
  <c r="BD134" i="39"/>
  <c r="BC135" i="39"/>
  <c r="R4" i="39" l="1"/>
  <c r="Q4" i="39"/>
  <c r="P4" i="39"/>
  <c r="F54" i="39"/>
  <c r="BD135" i="39"/>
  <c r="R9" i="40"/>
  <c r="E45" i="39"/>
  <c r="T9" i="40"/>
  <c r="D18" i="29" l="1"/>
  <c r="R10" i="40"/>
  <c r="T10" i="40"/>
  <c r="I4" i="53"/>
  <c r="I4" i="55"/>
  <c r="I4" i="40"/>
  <c r="I4" i="57"/>
  <c r="AD51" i="56" l="1"/>
  <c r="AD42" i="54"/>
  <c r="AD45" i="39"/>
  <c r="R11" i="40"/>
  <c r="R12" i="40"/>
  <c r="T11" i="40"/>
  <c r="T12" i="40"/>
  <c r="R13" i="40"/>
  <c r="R14" i="40"/>
  <c r="T13" i="40"/>
  <c r="T14" i="40"/>
  <c r="R15" i="40"/>
  <c r="R16" i="40"/>
  <c r="T15" i="40"/>
  <c r="R17" i="40"/>
  <c r="T16" i="40"/>
  <c r="T17" i="40"/>
  <c r="R18" i="40"/>
  <c r="T18" i="40"/>
  <c r="R19" i="40"/>
  <c r="T19" i="40" s="1"/>
  <c r="L66" i="56" l="1"/>
  <c r="P66" i="56"/>
  <c r="K66" i="56"/>
  <c r="N66" i="56"/>
  <c r="R66" i="56"/>
  <c r="J66" i="56"/>
  <c r="Q66" i="56"/>
  <c r="O66" i="56"/>
  <c r="M66" i="56"/>
  <c r="I66" i="56"/>
  <c r="K54" i="54"/>
  <c r="R54" i="54"/>
  <c r="J54" i="54"/>
  <c r="I54" i="54"/>
  <c r="Q54" i="54"/>
  <c r="L54" i="54"/>
  <c r="P54" i="54"/>
  <c r="O54" i="54"/>
  <c r="M54" i="54"/>
  <c r="N54" i="54"/>
  <c r="AQ19" i="39" a="1"/>
  <c r="AQ14" i="39" a="1"/>
  <c r="AR19" i="39" a="1"/>
  <c r="AS9" i="39" a="1"/>
  <c r="AR14" i="39" a="1"/>
  <c r="R20" i="40"/>
  <c r="AS14" i="39" a="1"/>
  <c r="AR5" i="39" a="1"/>
  <c r="AS5" i="39" a="1"/>
  <c r="T20" i="40"/>
  <c r="AF5" i="39" a="1"/>
  <c r="AR9" i="39" a="1"/>
  <c r="R21" i="40"/>
  <c r="AS19" i="39" a="1"/>
  <c r="T21" i="40"/>
  <c r="R22" i="40"/>
  <c r="R23" i="40"/>
  <c r="T22" i="40"/>
  <c r="R24" i="40"/>
  <c r="T23" i="40"/>
  <c r="T24" i="40"/>
  <c r="R25" i="40"/>
  <c r="T25" i="40"/>
  <c r="R26" i="40"/>
  <c r="R27" i="40"/>
  <c r="T26" i="40"/>
  <c r="T27" i="40"/>
  <c r="R28" i="40"/>
  <c r="T28" i="40"/>
  <c r="R29" i="40"/>
  <c r="T29" i="40"/>
  <c r="R30" i="40"/>
  <c r="R31" i="40"/>
  <c r="T30" i="40"/>
  <c r="T31" i="40"/>
  <c r="R32" i="40"/>
  <c r="R33" i="40"/>
  <c r="T32" i="40"/>
  <c r="R34" i="40"/>
  <c r="T33" i="40"/>
  <c r="T34" i="40"/>
  <c r="R35" i="40"/>
  <c r="R36" i="40"/>
  <c r="T35" i="40"/>
  <c r="T36" i="40"/>
  <c r="R37" i="40"/>
  <c r="T37" i="40"/>
  <c r="R38" i="40"/>
  <c r="R39" i="40"/>
  <c r="T38" i="40"/>
  <c r="T39" i="40"/>
  <c r="R40" i="40"/>
  <c r="T40" i="40"/>
  <c r="R41" i="40"/>
  <c r="R42" i="40"/>
  <c r="T41" i="40"/>
  <c r="T42" i="40"/>
  <c r="R43" i="40"/>
  <c r="T43" i="40"/>
  <c r="R44" i="40"/>
  <c r="R45" i="40"/>
  <c r="T44" i="40"/>
  <c r="T45" i="40"/>
  <c r="R46" i="40"/>
  <c r="R47" i="40"/>
  <c r="T46" i="40"/>
  <c r="T47" i="40"/>
  <c r="R48" i="40"/>
  <c r="T48" i="40"/>
  <c r="R49" i="40"/>
  <c r="T49" i="40"/>
  <c r="R50" i="40"/>
  <c r="T50" i="40"/>
  <c r="R51" i="40"/>
  <c r="T51" i="40"/>
  <c r="R52" i="40"/>
  <c r="R53" i="40"/>
  <c r="T52" i="40"/>
  <c r="T53" i="40"/>
  <c r="R54" i="40"/>
  <c r="T54" i="40"/>
  <c r="R55" i="40"/>
  <c r="T55" i="40"/>
  <c r="R56" i="40"/>
  <c r="R57" i="40"/>
  <c r="T56" i="40"/>
  <c r="T57" i="40"/>
  <c r="R58" i="40"/>
  <c r="T58" i="40"/>
  <c r="R59" i="40"/>
  <c r="T59" i="40"/>
  <c r="R60" i="40"/>
  <c r="R61" i="40"/>
  <c r="T60" i="40"/>
  <c r="T61" i="40"/>
  <c r="R62" i="40"/>
  <c r="T62" i="40"/>
  <c r="R63" i="40"/>
  <c r="T63" i="40"/>
  <c r="R64" i="40"/>
  <c r="T64" i="40"/>
  <c r="R65" i="40"/>
  <c r="R66" i="40"/>
  <c r="T65" i="40"/>
  <c r="T66" i="40"/>
  <c r="R67" i="40"/>
  <c r="T67" i="40"/>
  <c r="R68" i="40"/>
  <c r="T68" i="40"/>
  <c r="R69" i="40"/>
  <c r="T69" i="40"/>
  <c r="R70" i="40"/>
  <c r="R71" i="40"/>
  <c r="T70" i="40"/>
  <c r="R72" i="40"/>
  <c r="T71" i="40"/>
  <c r="R73" i="40"/>
  <c r="T72" i="40"/>
  <c r="R74" i="40"/>
  <c r="T73" i="40"/>
  <c r="R75" i="40"/>
  <c r="T74" i="40"/>
  <c r="T75" i="40"/>
  <c r="R76" i="40"/>
  <c r="R77" i="40"/>
  <c r="T76" i="40"/>
  <c r="T77" i="40"/>
  <c r="R78" i="40"/>
  <c r="R79" i="40"/>
  <c r="T78" i="40"/>
  <c r="R80" i="40"/>
  <c r="T79" i="40"/>
  <c r="T80" i="40"/>
  <c r="R81" i="40"/>
  <c r="R82" i="40"/>
  <c r="T81" i="40"/>
  <c r="T82" i="40"/>
  <c r="R83" i="40"/>
  <c r="T83" i="40"/>
  <c r="R84" i="40"/>
  <c r="R85" i="40"/>
  <c r="T84" i="40"/>
  <c r="T85" i="40"/>
  <c r="R86" i="40"/>
  <c r="T86" i="40"/>
  <c r="R87" i="40"/>
  <c r="T87" i="40"/>
  <c r="R88" i="40"/>
  <c r="T88" i="40"/>
  <c r="R89" i="40"/>
  <c r="T89" i="40"/>
  <c r="R90" i="40"/>
  <c r="R91" i="40"/>
  <c r="T90" i="40"/>
  <c r="R92" i="40"/>
  <c r="T91" i="40"/>
  <c r="R93" i="40"/>
  <c r="T92" i="40"/>
  <c r="T93" i="40"/>
  <c r="R94" i="40"/>
  <c r="T94" i="40"/>
  <c r="R95" i="40"/>
  <c r="T95" i="40"/>
  <c r="R96" i="40"/>
  <c r="T96" i="40"/>
  <c r="R97" i="40"/>
  <c r="R98" i="40"/>
  <c r="T97" i="40"/>
  <c r="R99" i="40"/>
  <c r="T98" i="40"/>
  <c r="T99" i="40"/>
  <c r="R100" i="40"/>
  <c r="T100" i="40"/>
  <c r="R101" i="40"/>
  <c r="R102" i="40"/>
  <c r="T101" i="40"/>
  <c r="T102" i="40"/>
  <c r="R103" i="40"/>
  <c r="R104" i="40"/>
  <c r="T103" i="40"/>
  <c r="R105" i="40"/>
  <c r="T104" i="40"/>
  <c r="T105" i="40"/>
  <c r="R106" i="40"/>
  <c r="T106" i="40"/>
  <c r="R107" i="40"/>
  <c r="T107" i="40"/>
  <c r="R108" i="40"/>
  <c r="R109" i="40"/>
  <c r="T108" i="40"/>
  <c r="R110" i="40"/>
  <c r="T109" i="40"/>
  <c r="R111" i="40"/>
  <c r="T110" i="40"/>
  <c r="T111" i="40"/>
  <c r="R112" i="40"/>
  <c r="T112" i="40"/>
  <c r="R113" i="40"/>
  <c r="T113" i="40"/>
  <c r="R114" i="40"/>
  <c r="T114" i="40"/>
  <c r="R115" i="40"/>
  <c r="R116" i="40"/>
  <c r="T115" i="40"/>
  <c r="T116" i="40"/>
  <c r="R117" i="40"/>
  <c r="R118" i="40"/>
  <c r="T117" i="40"/>
  <c r="R119" i="40"/>
  <c r="T119" i="40" s="1"/>
  <c r="T118" i="40"/>
  <c r="AS9" i="39" l="1"/>
  <c r="AS10" i="39"/>
  <c r="AR21" i="39"/>
  <c r="AR19" i="39"/>
  <c r="AR20" i="39"/>
  <c r="AQ16" i="39"/>
  <c r="AQ14" i="39"/>
  <c r="AQ15" i="39"/>
  <c r="AS15" i="39"/>
  <c r="AS16" i="39"/>
  <c r="AS14" i="39"/>
  <c r="AQ21" i="39"/>
  <c r="AQ19" i="39"/>
  <c r="AQ20" i="39"/>
  <c r="AS21" i="39"/>
  <c r="AS20" i="39"/>
  <c r="AS19" i="39"/>
  <c r="AR14" i="39"/>
  <c r="AR16" i="39"/>
  <c r="AR15" i="39"/>
  <c r="AR9" i="39"/>
  <c r="AR10" i="39"/>
  <c r="AR5" i="39"/>
  <c r="AR6" i="39"/>
  <c r="AS6" i="39"/>
  <c r="AS5" i="39"/>
  <c r="AF6" i="39"/>
  <c r="AF5" i="39"/>
  <c r="AL5" i="39" s="1" a="1"/>
  <c r="R120" i="40"/>
  <c r="T120" i="40"/>
  <c r="AX5" i="39" l="1" a="1"/>
  <c r="AL5" i="39"/>
  <c r="AM6" i="39"/>
  <c r="AL6" i="39"/>
  <c r="AM5" i="39"/>
  <c r="AX14" i="39" a="1"/>
  <c r="AX9" i="39" a="1"/>
  <c r="AX19" i="39" a="1"/>
  <c r="R121" i="40"/>
  <c r="T121" i="40"/>
  <c r="AY21" i="39" l="1"/>
  <c r="AY19" i="39"/>
  <c r="AZ21" i="39"/>
  <c r="AZ20" i="39"/>
  <c r="AX20" i="39"/>
  <c r="AY20" i="39"/>
  <c r="AZ19" i="39"/>
  <c r="AX19" i="39"/>
  <c r="AX21" i="39"/>
  <c r="AX9" i="39"/>
  <c r="AY10" i="39"/>
  <c r="AX10" i="39"/>
  <c r="AY9" i="39"/>
  <c r="AZ14" i="39"/>
  <c r="AZ16" i="39"/>
  <c r="AY15" i="39"/>
  <c r="AX16" i="39"/>
  <c r="AX15" i="39"/>
  <c r="AY16" i="39"/>
  <c r="AZ15" i="39"/>
  <c r="AX14" i="39"/>
  <c r="AY14" i="39"/>
  <c r="AX5" i="39"/>
  <c r="AY6" i="39"/>
  <c r="AY5" i="39"/>
  <c r="AX6" i="39"/>
  <c r="R122" i="40"/>
  <c r="T122" i="40"/>
  <c r="D17" i="29" l="1"/>
  <c r="R123" i="40"/>
  <c r="T123" i="40"/>
  <c r="H5" i="58"/>
  <c r="H17" i="58"/>
  <c r="H3" i="58"/>
  <c r="H15" i="58"/>
  <c r="H6" i="58"/>
  <c r="H14" i="39"/>
  <c r="H4" i="54"/>
  <c r="H17" i="54"/>
  <c r="H17" i="56"/>
  <c r="H7" i="56"/>
  <c r="H3" i="39"/>
  <c r="H15" i="39"/>
  <c r="H5" i="54"/>
  <c r="H18" i="54"/>
  <c r="H18" i="56"/>
  <c r="H8" i="56"/>
  <c r="H4" i="39"/>
  <c r="H16" i="39"/>
  <c r="H6" i="54"/>
  <c r="H19" i="54"/>
  <c r="H19" i="56"/>
  <c r="H9" i="56"/>
  <c r="H5" i="39"/>
  <c r="H17" i="39"/>
  <c r="H7" i="54"/>
  <c r="H20" i="54"/>
  <c r="H20" i="56"/>
  <c r="H4" i="58"/>
  <c r="H6" i="39"/>
  <c r="H18" i="39"/>
  <c r="H8" i="54"/>
  <c r="H16" i="54"/>
  <c r="H3" i="56"/>
  <c r="H14" i="58"/>
  <c r="H7" i="39"/>
  <c r="H19" i="39"/>
  <c r="H9" i="54"/>
  <c r="H14" i="56"/>
  <c r="H4" i="56"/>
  <c r="H16" i="58"/>
  <c r="H8" i="39"/>
  <c r="H20" i="39"/>
  <c r="H14" i="54"/>
  <c r="H15" i="56"/>
  <c r="H5" i="56"/>
  <c r="H9" i="39"/>
  <c r="H3" i="54"/>
  <c r="H15" i="54"/>
  <c r="H16" i="56"/>
  <c r="H6" i="56"/>
  <c r="I25" i="53"/>
  <c r="J24" i="53"/>
  <c r="J19" i="53"/>
  <c r="J21" i="53"/>
  <c r="I8" i="53"/>
  <c r="I6" i="40"/>
  <c r="I21" i="40"/>
  <c r="J14" i="40"/>
  <c r="F6" i="39"/>
  <c r="I9" i="40"/>
  <c r="J22" i="40"/>
  <c r="F9" i="54"/>
  <c r="F3" i="58"/>
  <c r="J10" i="55"/>
  <c r="F16" i="58"/>
  <c r="F15" i="56"/>
  <c r="F16" i="54"/>
  <c r="I11" i="55"/>
  <c r="F18" i="54"/>
  <c r="J26" i="53"/>
  <c r="J16" i="40"/>
  <c r="F17" i="39"/>
  <c r="I16" i="40"/>
  <c r="J6" i="57"/>
  <c r="J13" i="55"/>
  <c r="F19" i="56"/>
  <c r="F7" i="54"/>
  <c r="F16" i="39"/>
  <c r="I20" i="40"/>
  <c r="I13" i="40"/>
  <c r="I15" i="55"/>
  <c r="J28" i="53"/>
  <c r="I17" i="40"/>
  <c r="J7" i="57"/>
  <c r="I8" i="55"/>
  <c r="J27" i="53"/>
  <c r="I22" i="40"/>
  <c r="I14" i="40"/>
  <c r="F4" i="54"/>
  <c r="J25" i="53"/>
  <c r="I15" i="40"/>
  <c r="I10" i="55"/>
  <c r="F3" i="39"/>
  <c r="I10" i="40"/>
  <c r="F20" i="39"/>
  <c r="F8" i="39"/>
  <c r="J4" i="40"/>
  <c r="J10" i="40"/>
  <c r="F14" i="56"/>
  <c r="J5" i="57"/>
  <c r="F9" i="56"/>
  <c r="J11" i="55"/>
  <c r="F17" i="58"/>
  <c r="F18" i="56"/>
  <c r="F17" i="54"/>
  <c r="I12" i="55"/>
  <c r="F19" i="54"/>
  <c r="J9" i="53"/>
  <c r="F15" i="39"/>
  <c r="J16" i="55"/>
  <c r="I17" i="55"/>
  <c r="J12" i="40"/>
  <c r="F6" i="56"/>
  <c r="I20" i="53"/>
  <c r="I24" i="53"/>
  <c r="I18" i="53"/>
  <c r="I26" i="53"/>
  <c r="I22" i="53"/>
  <c r="J17" i="53"/>
  <c r="J7" i="53"/>
  <c r="J18" i="53"/>
  <c r="I5" i="53"/>
  <c r="J9" i="40"/>
  <c r="F9" i="39"/>
  <c r="I5" i="40"/>
  <c r="F7" i="39"/>
  <c r="I12" i="40"/>
  <c r="J15" i="40"/>
  <c r="F3" i="56"/>
  <c r="F20" i="56"/>
  <c r="J12" i="55"/>
  <c r="F6" i="58"/>
  <c r="F6" i="54"/>
  <c r="F17" i="56"/>
  <c r="I5" i="55"/>
  <c r="I13" i="55"/>
  <c r="F8" i="54"/>
  <c r="J6" i="40"/>
  <c r="F14" i="39"/>
  <c r="J4" i="55"/>
  <c r="J7" i="55"/>
  <c r="F4" i="58"/>
  <c r="F5" i="54"/>
  <c r="I14" i="55"/>
  <c r="J21" i="40"/>
  <c r="J6" i="55"/>
  <c r="F5" i="58"/>
  <c r="I7" i="55"/>
  <c r="J11" i="40"/>
  <c r="F14" i="54"/>
  <c r="F7" i="56"/>
  <c r="F19" i="39"/>
  <c r="F14" i="58"/>
  <c r="I9" i="55"/>
  <c r="J5" i="53"/>
  <c r="J7" i="40"/>
  <c r="F20" i="54"/>
  <c r="I23" i="53"/>
  <c r="I28" i="53"/>
  <c r="I27" i="53"/>
  <c r="I6" i="53"/>
  <c r="I19" i="40"/>
  <c r="I6" i="55"/>
  <c r="J14" i="55"/>
  <c r="F5" i="56"/>
  <c r="J5" i="40"/>
  <c r="J15" i="55"/>
  <c r="F16" i="56"/>
  <c r="J19" i="40"/>
  <c r="I18" i="40"/>
  <c r="J9" i="55"/>
  <c r="I19" i="53"/>
  <c r="I17" i="53"/>
  <c r="J22" i="53"/>
  <c r="J20" i="53"/>
  <c r="J8" i="53"/>
  <c r="I11" i="40"/>
  <c r="F5" i="39"/>
  <c r="J17" i="40"/>
  <c r="F3" i="54"/>
  <c r="F8" i="56"/>
  <c r="J6" i="53"/>
  <c r="I8" i="40"/>
  <c r="F18" i="39"/>
  <c r="F15" i="58"/>
  <c r="I21" i="53"/>
  <c r="J8" i="40"/>
  <c r="F4" i="56"/>
  <c r="J20" i="40"/>
  <c r="J8" i="57"/>
  <c r="J4" i="53"/>
  <c r="J18" i="40"/>
  <c r="F4" i="39"/>
  <c r="J5" i="55"/>
  <c r="I16" i="55"/>
  <c r="I9" i="53"/>
  <c r="I7" i="40"/>
  <c r="J8" i="55"/>
  <c r="I7" i="53"/>
  <c r="J4" i="57"/>
  <c r="J13" i="40"/>
  <c r="J17" i="55"/>
  <c r="J23" i="53"/>
  <c r="F15" i="54"/>
  <c r="G4" i="58" l="1"/>
  <c r="G15" i="58"/>
  <c r="G5" i="58"/>
  <c r="G16" i="58"/>
  <c r="G6" i="58"/>
  <c r="G17" i="58"/>
  <c r="G3" i="58"/>
  <c r="G14" i="58"/>
  <c r="G3" i="56"/>
  <c r="G14" i="56"/>
  <c r="G4" i="56"/>
  <c r="G15" i="56"/>
  <c r="G8" i="56"/>
  <c r="G19" i="56"/>
  <c r="G5" i="56"/>
  <c r="G16" i="56"/>
  <c r="G7" i="56"/>
  <c r="G18" i="56"/>
  <c r="G6" i="56"/>
  <c r="G17" i="56"/>
  <c r="G9" i="56"/>
  <c r="G20" i="56"/>
  <c r="K17" i="55"/>
  <c r="K4" i="57"/>
  <c r="K4" i="55"/>
  <c r="AD63" i="56"/>
  <c r="K16" i="55"/>
  <c r="AD62" i="56"/>
  <c r="K15" i="55"/>
  <c r="AD61" i="56"/>
  <c r="K14" i="55"/>
  <c r="AD60" i="56"/>
  <c r="K13" i="55"/>
  <c r="AD59" i="56"/>
  <c r="K12" i="55"/>
  <c r="AD58" i="56"/>
  <c r="K11" i="55"/>
  <c r="AD57" i="56"/>
  <c r="K10" i="55"/>
  <c r="AD56" i="56"/>
  <c r="K9" i="55"/>
  <c r="AD55" i="56"/>
  <c r="K8" i="55"/>
  <c r="AD54" i="56"/>
  <c r="K7" i="55"/>
  <c r="AD53" i="56"/>
  <c r="K6" i="55"/>
  <c r="AD52" i="56"/>
  <c r="K5" i="55"/>
  <c r="G8" i="54"/>
  <c r="G17" i="54"/>
  <c r="G7" i="54"/>
  <c r="G6" i="54"/>
  <c r="G19" i="54"/>
  <c r="G5" i="54"/>
  <c r="G4" i="54"/>
  <c r="G18" i="54"/>
  <c r="G16" i="54"/>
  <c r="G15" i="54"/>
  <c r="G14" i="54"/>
  <c r="G9" i="54"/>
  <c r="G3" i="54"/>
  <c r="G20" i="54"/>
  <c r="AD44" i="54"/>
  <c r="K6" i="53"/>
  <c r="AD43" i="54"/>
  <c r="K5" i="53"/>
  <c r="K8" i="53"/>
  <c r="AD45" i="54"/>
  <c r="K7" i="53"/>
  <c r="K9" i="53"/>
  <c r="K27" i="53"/>
  <c r="AD51" i="54"/>
  <c r="K22" i="53"/>
  <c r="K26" i="53"/>
  <c r="AD47" i="54"/>
  <c r="K18" i="53"/>
  <c r="K4" i="53"/>
  <c r="K25" i="53"/>
  <c r="AD46" i="54"/>
  <c r="K17" i="53"/>
  <c r="K24" i="53"/>
  <c r="AD48" i="54"/>
  <c r="K19" i="53"/>
  <c r="AD50" i="54"/>
  <c r="K21" i="53"/>
  <c r="K28" i="53"/>
  <c r="K23" i="53"/>
  <c r="AD49" i="54"/>
  <c r="K20" i="53"/>
  <c r="G3" i="39"/>
  <c r="K10" i="40"/>
  <c r="AD51" i="39"/>
  <c r="G17" i="39"/>
  <c r="K14" i="40"/>
  <c r="G5" i="39"/>
  <c r="G4" i="39"/>
  <c r="G16" i="39"/>
  <c r="AD48" i="39"/>
  <c r="K7" i="40"/>
  <c r="G20" i="39"/>
  <c r="G14" i="39"/>
  <c r="AD47" i="39"/>
  <c r="K6" i="40"/>
  <c r="G7" i="39"/>
  <c r="G15" i="39"/>
  <c r="AD46" i="39"/>
  <c r="K5" i="40"/>
  <c r="K21" i="40"/>
  <c r="G18" i="39"/>
  <c r="K16" i="40"/>
  <c r="G6" i="39"/>
  <c r="G9" i="39"/>
  <c r="G19" i="39"/>
  <c r="K12" i="40"/>
  <c r="K18" i="40"/>
  <c r="K13" i="40"/>
  <c r="K11" i="40"/>
  <c r="K4" i="40"/>
  <c r="K20" i="40"/>
  <c r="K8" i="40"/>
  <c r="AD49" i="39"/>
  <c r="K9" i="40"/>
  <c r="AD50" i="39"/>
  <c r="K22" i="40"/>
  <c r="K19" i="40"/>
  <c r="G8" i="39"/>
  <c r="K17" i="40"/>
  <c r="K15" i="40"/>
  <c r="R124" i="40"/>
  <c r="T124" i="40" s="1"/>
  <c r="F9" i="55"/>
  <c r="F4" i="57"/>
  <c r="F10" i="55"/>
  <c r="F22" i="53"/>
  <c r="F26" i="53"/>
  <c r="F18" i="40"/>
  <c r="F9" i="53"/>
  <c r="M8" i="39"/>
  <c r="F28" i="53"/>
  <c r="F5" i="55"/>
  <c r="F17" i="53"/>
  <c r="F21" i="53"/>
  <c r="F18" i="53"/>
  <c r="M5" i="58"/>
  <c r="M8" i="54"/>
  <c r="F20" i="53"/>
  <c r="F19" i="53"/>
  <c r="F19" i="40"/>
  <c r="M4" i="56"/>
  <c r="F17" i="40"/>
  <c r="F4" i="40"/>
  <c r="M6" i="39"/>
  <c r="M6" i="56"/>
  <c r="F15" i="55"/>
  <c r="M7" i="39"/>
  <c r="F15" i="40"/>
  <c r="F6" i="53"/>
  <c r="M4" i="39"/>
  <c r="M7" i="56"/>
  <c r="F17" i="55"/>
  <c r="F5" i="40"/>
  <c r="M9" i="54"/>
  <c r="M9" i="39"/>
  <c r="F12" i="55"/>
  <c r="F12" i="40"/>
  <c r="F8" i="53"/>
  <c r="F22" i="40"/>
  <c r="F4" i="53"/>
  <c r="F13" i="55"/>
  <c r="F14" i="55"/>
  <c r="M5" i="39"/>
  <c r="F24" i="53"/>
  <c r="F7" i="55"/>
  <c r="F16" i="40"/>
  <c r="F8" i="40"/>
  <c r="F7" i="40"/>
  <c r="M4" i="58"/>
  <c r="F23" i="53"/>
  <c r="F20" i="40"/>
  <c r="F14" i="40"/>
  <c r="M3" i="56"/>
  <c r="F21" i="40"/>
  <c r="M6" i="54"/>
  <c r="F13" i="40"/>
  <c r="F16" i="55"/>
  <c r="F11" i="55"/>
  <c r="F9" i="40"/>
  <c r="F7" i="53"/>
  <c r="F27" i="53"/>
  <c r="M3" i="58"/>
  <c r="M7" i="54"/>
  <c r="F25" i="53"/>
  <c r="F6" i="55"/>
  <c r="F5" i="53"/>
  <c r="F10" i="40"/>
  <c r="F4" i="55"/>
  <c r="F8" i="55"/>
  <c r="F11" i="40"/>
  <c r="F6" i="40"/>
  <c r="M3" i="39"/>
  <c r="M3" i="54"/>
  <c r="M5" i="54"/>
  <c r="M4" i="54"/>
  <c r="M6" i="58"/>
  <c r="M8" i="56"/>
  <c r="M9" i="56"/>
  <c r="M5" i="56"/>
  <c r="I67" i="56" l="1"/>
  <c r="P67" i="56"/>
  <c r="N67" i="56"/>
  <c r="O67" i="56"/>
  <c r="L67" i="56"/>
  <c r="R67" i="56"/>
  <c r="J67" i="56"/>
  <c r="K67" i="56"/>
  <c r="Q67" i="56"/>
  <c r="M67" i="56"/>
  <c r="R68" i="56"/>
  <c r="M68" i="56"/>
  <c r="J68" i="56"/>
  <c r="O68" i="56"/>
  <c r="Q68" i="56"/>
  <c r="P68" i="56"/>
  <c r="I68" i="56"/>
  <c r="N68" i="56"/>
  <c r="L68" i="56"/>
  <c r="K68" i="56"/>
  <c r="M69" i="56"/>
  <c r="L69" i="56"/>
  <c r="R69" i="56"/>
  <c r="I69" i="56"/>
  <c r="K69" i="56"/>
  <c r="J69" i="56"/>
  <c r="P69" i="56"/>
  <c r="N69" i="56"/>
  <c r="O69" i="56"/>
  <c r="Q69" i="56"/>
  <c r="L70" i="56"/>
  <c r="P70" i="56"/>
  <c r="K70" i="56"/>
  <c r="O70" i="56"/>
  <c r="R70" i="56"/>
  <c r="J70" i="56"/>
  <c r="Q70" i="56"/>
  <c r="N70" i="56"/>
  <c r="M70" i="56"/>
  <c r="I70" i="56"/>
  <c r="K71" i="56"/>
  <c r="Q71" i="56"/>
  <c r="I71" i="56"/>
  <c r="P71" i="56"/>
  <c r="N71" i="56"/>
  <c r="J71" i="56"/>
  <c r="M71" i="56"/>
  <c r="O71" i="56"/>
  <c r="L71" i="56"/>
  <c r="R71" i="56"/>
  <c r="P72" i="56"/>
  <c r="K72" i="56"/>
  <c r="Q72" i="56"/>
  <c r="R72" i="56"/>
  <c r="O72" i="56"/>
  <c r="M72" i="56"/>
  <c r="L72" i="56"/>
  <c r="J72" i="56"/>
  <c r="N72" i="56"/>
  <c r="I72" i="56"/>
  <c r="J73" i="56"/>
  <c r="I73" i="56"/>
  <c r="O73" i="56"/>
  <c r="R73" i="56"/>
  <c r="M73" i="56"/>
  <c r="P73" i="56"/>
  <c r="N73" i="56"/>
  <c r="Q73" i="56"/>
  <c r="L73" i="56"/>
  <c r="K73" i="56"/>
  <c r="K74" i="56"/>
  <c r="R74" i="56"/>
  <c r="J74" i="56"/>
  <c r="O74" i="56"/>
  <c r="I74" i="56"/>
  <c r="Q74" i="56"/>
  <c r="L74" i="56"/>
  <c r="M74" i="56"/>
  <c r="P74" i="56"/>
  <c r="N74" i="56"/>
  <c r="L75" i="56"/>
  <c r="O75" i="56"/>
  <c r="M75" i="56"/>
  <c r="Q75" i="56"/>
  <c r="K75" i="56"/>
  <c r="R75" i="56"/>
  <c r="J75" i="56"/>
  <c r="P75" i="56"/>
  <c r="N75" i="56"/>
  <c r="I75" i="56"/>
  <c r="P76" i="56"/>
  <c r="R76" i="56"/>
  <c r="Q76" i="56"/>
  <c r="J76" i="56"/>
  <c r="I76" i="56"/>
  <c r="M76" i="56"/>
  <c r="O76" i="56"/>
  <c r="N76" i="56"/>
  <c r="L76" i="56"/>
  <c r="K76" i="56"/>
  <c r="R77" i="56"/>
  <c r="Q77" i="56"/>
  <c r="O77" i="56"/>
  <c r="N77" i="56"/>
  <c r="M77" i="56"/>
  <c r="P77" i="56"/>
  <c r="J77" i="56"/>
  <c r="I77" i="56"/>
  <c r="L77" i="56"/>
  <c r="K77" i="56"/>
  <c r="P78" i="56"/>
  <c r="L78" i="56"/>
  <c r="N78" i="56"/>
  <c r="K78" i="56"/>
  <c r="I78" i="56"/>
  <c r="O78" i="56"/>
  <c r="M78" i="56"/>
  <c r="R78" i="56"/>
  <c r="J78" i="56"/>
  <c r="Q78" i="56"/>
  <c r="I62" i="54"/>
  <c r="Q62" i="54"/>
  <c r="K62" i="54"/>
  <c r="L62" i="54"/>
  <c r="J62" i="54"/>
  <c r="R62" i="54"/>
  <c r="M62" i="54"/>
  <c r="N62" i="54"/>
  <c r="O62" i="54"/>
  <c r="P62" i="54"/>
  <c r="Q57" i="54"/>
  <c r="I57" i="54"/>
  <c r="O57" i="54"/>
  <c r="P57" i="54"/>
  <c r="J57" i="54"/>
  <c r="R57" i="54"/>
  <c r="N57" i="54"/>
  <c r="M57" i="54"/>
  <c r="L57" i="54"/>
  <c r="K57" i="54"/>
  <c r="O56" i="54"/>
  <c r="N56" i="54"/>
  <c r="M56" i="54"/>
  <c r="R56" i="54"/>
  <c r="Q56" i="54"/>
  <c r="P56" i="54"/>
  <c r="L56" i="54"/>
  <c r="K56" i="54"/>
  <c r="J56" i="54"/>
  <c r="I56" i="54"/>
  <c r="O60" i="54"/>
  <c r="M60" i="54"/>
  <c r="N60" i="54"/>
  <c r="R60" i="54"/>
  <c r="Q60" i="54"/>
  <c r="P60" i="54"/>
  <c r="L60" i="54"/>
  <c r="K60" i="54"/>
  <c r="J60" i="54"/>
  <c r="I60" i="54"/>
  <c r="M59" i="54"/>
  <c r="K59" i="54"/>
  <c r="L59" i="54"/>
  <c r="P59" i="54"/>
  <c r="O59" i="54"/>
  <c r="N59" i="54"/>
  <c r="J59" i="54"/>
  <c r="I59" i="54"/>
  <c r="Q59" i="54"/>
  <c r="R59" i="54"/>
  <c r="P61" i="54"/>
  <c r="J61" i="54"/>
  <c r="R61" i="54"/>
  <c r="I61" i="54"/>
  <c r="Q61" i="54"/>
  <c r="K61" i="54"/>
  <c r="L61" i="54"/>
  <c r="M61" i="54"/>
  <c r="N61" i="54"/>
  <c r="O61" i="54"/>
  <c r="K58" i="54"/>
  <c r="Q58" i="54"/>
  <c r="I58" i="54"/>
  <c r="R58" i="54"/>
  <c r="J58" i="54"/>
  <c r="M58" i="54"/>
  <c r="L58" i="54"/>
  <c r="P58" i="54"/>
  <c r="O58" i="54"/>
  <c r="N58" i="54"/>
  <c r="J63" i="54"/>
  <c r="R63" i="54"/>
  <c r="K63" i="54"/>
  <c r="L63" i="54"/>
  <c r="M63" i="54"/>
  <c r="N63" i="54"/>
  <c r="O63" i="54"/>
  <c r="P63" i="54"/>
  <c r="Q63" i="54"/>
  <c r="I63" i="54"/>
  <c r="M55" i="54"/>
  <c r="L55" i="54"/>
  <c r="K55" i="54"/>
  <c r="O55" i="54"/>
  <c r="N55" i="54"/>
  <c r="J55" i="54"/>
  <c r="I55" i="54"/>
  <c r="R55" i="54"/>
  <c r="Q55" i="54"/>
  <c r="P55" i="54"/>
  <c r="R125" i="40"/>
  <c r="T125" i="40"/>
  <c r="AK5" i="39" a="1"/>
  <c r="AK6" i="39" l="1"/>
  <c r="AK5" i="39"/>
  <c r="R126" i="40"/>
  <c r="T126" i="40"/>
  <c r="AK9" i="39" a="1"/>
  <c r="AK10" i="39" l="1"/>
  <c r="AK9" i="39"/>
  <c r="R127" i="40"/>
  <c r="T127" i="40"/>
  <c r="R128" i="40"/>
  <c r="T128" i="40"/>
  <c r="AK14" i="39" a="1"/>
  <c r="AK16" i="39" l="1"/>
  <c r="AK15" i="39"/>
  <c r="AK14" i="39"/>
  <c r="R129" i="40"/>
  <c r="T129" i="40"/>
  <c r="AK19" i="39" a="1"/>
  <c r="AK19" i="39" l="1"/>
  <c r="AK20" i="39"/>
  <c r="AK21" i="39"/>
  <c r="AI5" i="39" a="1"/>
  <c r="AI5" i="39" s="1"/>
  <c r="G29" i="39" s="1"/>
  <c r="R130" i="40"/>
  <c r="T130" i="40"/>
  <c r="AI6" i="39" l="1"/>
  <c r="G28" i="39" s="1"/>
  <c r="R131" i="40"/>
  <c r="T131" i="40"/>
  <c r="G27" i="39"/>
  <c r="G37" i="39"/>
  <c r="G48" i="39"/>
  <c r="G38" i="39"/>
  <c r="G44" i="39"/>
  <c r="G42" i="39"/>
  <c r="G51" i="39"/>
  <c r="G40" i="39"/>
  <c r="G43" i="39"/>
  <c r="G41" i="39"/>
  <c r="G47" i="39"/>
  <c r="G46" i="39"/>
  <c r="G50" i="39"/>
  <c r="G36" i="39"/>
  <c r="G45" i="39"/>
  <c r="G39" i="39"/>
  <c r="G49" i="39"/>
  <c r="BE1" i="39"/>
  <c r="BE92" i="39"/>
  <c r="BE95" i="39"/>
  <c r="BE75" i="39"/>
  <c r="BE122" i="39"/>
  <c r="BE13" i="39"/>
  <c r="BE7" i="39"/>
  <c r="BE34" i="39"/>
  <c r="BE107" i="39"/>
  <c r="BE104" i="39"/>
  <c r="BE66" i="39"/>
  <c r="BE24" i="39"/>
  <c r="BE85" i="39"/>
  <c r="BE113" i="39"/>
  <c r="BE80" i="39"/>
  <c r="BE61" i="39"/>
  <c r="BE114" i="39"/>
  <c r="BE130" i="39"/>
  <c r="BE59" i="39"/>
  <c r="BE33" i="39"/>
  <c r="BE47" i="39"/>
  <c r="BE134" i="39"/>
  <c r="BE21" i="39"/>
  <c r="BE88" i="39"/>
  <c r="BE43" i="39"/>
  <c r="BE77" i="39"/>
  <c r="BE74" i="39"/>
  <c r="BE11" i="39"/>
  <c r="BE99" i="39"/>
  <c r="BE6" i="39"/>
  <c r="BE39" i="39"/>
  <c r="BE110" i="39"/>
  <c r="BE102" i="39"/>
  <c r="BE120" i="39"/>
  <c r="BE109" i="39"/>
  <c r="BE8" i="39"/>
  <c r="BE70" i="39"/>
  <c r="BE93" i="39"/>
  <c r="BE51" i="39"/>
  <c r="BE55" i="39"/>
  <c r="BE36" i="39"/>
  <c r="BE131" i="39"/>
  <c r="BE29" i="39"/>
  <c r="BE67" i="39"/>
  <c r="BE60" i="39"/>
  <c r="BE64" i="39"/>
  <c r="BE84" i="39"/>
  <c r="BE91" i="39"/>
  <c r="BE86" i="39"/>
  <c r="BE40" i="39"/>
  <c r="BE71" i="39"/>
  <c r="BE26" i="39"/>
  <c r="BE116" i="39"/>
  <c r="BE128" i="39"/>
  <c r="BE46" i="39"/>
  <c r="BE78" i="39"/>
  <c r="BE96" i="39"/>
  <c r="BE12" i="39"/>
  <c r="BE126" i="39"/>
  <c r="BE19" i="39"/>
  <c r="BE41" i="39"/>
  <c r="BE25" i="39"/>
  <c r="BE111" i="39"/>
  <c r="BE106" i="39"/>
  <c r="BE38" i="39"/>
  <c r="BE100" i="39"/>
  <c r="BE135" i="39"/>
  <c r="BE53" i="39"/>
  <c r="BE79" i="39"/>
  <c r="BE45" i="39"/>
  <c r="BE18" i="39"/>
  <c r="BE117" i="39"/>
  <c r="BE48" i="39"/>
  <c r="BE119" i="39"/>
  <c r="BE56" i="39"/>
  <c r="BE58" i="39"/>
  <c r="BE89" i="39"/>
  <c r="BE20" i="39"/>
  <c r="BE72" i="39"/>
  <c r="BE17" i="39"/>
  <c r="BE9" i="39"/>
  <c r="BE105" i="39"/>
  <c r="BE37" i="39"/>
  <c r="BE127" i="39"/>
  <c r="BE49" i="39"/>
  <c r="BE98" i="39"/>
  <c r="BE123" i="39"/>
  <c r="BE90" i="39"/>
  <c r="BE129" i="39"/>
  <c r="BE83" i="39"/>
  <c r="BE103" i="39"/>
  <c r="BE115" i="39"/>
  <c r="BE42" i="39"/>
  <c r="BE57" i="39"/>
  <c r="BE124" i="39"/>
  <c r="BE44" i="39"/>
  <c r="BE108" i="39"/>
  <c r="BE125" i="39"/>
  <c r="BE15" i="39"/>
  <c r="BE76" i="39"/>
  <c r="BE121" i="39"/>
  <c r="BE112" i="39"/>
  <c r="BE52" i="39"/>
  <c r="BE31" i="39"/>
  <c r="BE65" i="39"/>
  <c r="BE28" i="39"/>
  <c r="BE73" i="39"/>
  <c r="BE82" i="39"/>
  <c r="BE50" i="39"/>
  <c r="BE118" i="39"/>
  <c r="BE97" i="39"/>
  <c r="BE81" i="39"/>
  <c r="BE132" i="39"/>
  <c r="BE54" i="39"/>
  <c r="BE32" i="39"/>
  <c r="BE133" i="39"/>
  <c r="BE63" i="39"/>
  <c r="BE87" i="39"/>
  <c r="BE101" i="39"/>
  <c r="BE35" i="39"/>
  <c r="BE94" i="39"/>
  <c r="BE68" i="39"/>
  <c r="BE69" i="39"/>
  <c r="BE23" i="39"/>
  <c r="BE22" i="39"/>
  <c r="BE27" i="39"/>
  <c r="BE30" i="39"/>
  <c r="BE16" i="39"/>
  <c r="BE10" i="39"/>
  <c r="BE14" i="39"/>
  <c r="BE62" i="39"/>
  <c r="G35" i="39" l="1"/>
  <c r="BE5" i="39" s="1"/>
  <c r="R132" i="40"/>
  <c r="T132" i="40"/>
  <c r="AW9" i="39" a="1"/>
  <c r="AW19" i="39" a="1"/>
  <c r="AW14" i="39" a="1"/>
  <c r="AW5" i="39" a="1"/>
  <c r="AW15" i="39" l="1"/>
  <c r="AW5" i="39"/>
  <c r="AW20" i="39"/>
  <c r="AW16" i="39"/>
  <c r="AW19" i="39"/>
  <c r="AW14" i="39"/>
  <c r="AW6" i="39"/>
  <c r="AW10" i="39"/>
  <c r="AW9" i="39"/>
  <c r="AW21" i="39"/>
  <c r="R133" i="40"/>
  <c r="T133" i="40"/>
  <c r="AU5" i="39" l="1" a="1"/>
  <c r="AU5" i="39" s="1"/>
  <c r="U29" i="39" s="1"/>
  <c r="AU14" i="39" a="1"/>
  <c r="AU16" i="39" s="1"/>
  <c r="V28" i="39" s="1"/>
  <c r="AU9" i="39" a="1"/>
  <c r="AU10" i="39" s="1"/>
  <c r="W28" i="39" s="1"/>
  <c r="AU19" i="39" a="1"/>
  <c r="AU19" i="39" s="1"/>
  <c r="X30" i="39" s="1"/>
  <c r="R134" i="40"/>
  <c r="T134" i="40"/>
  <c r="AU6" i="39" l="1"/>
  <c r="U28" i="39" s="1"/>
  <c r="AU14" i="39"/>
  <c r="V30" i="39" s="1"/>
  <c r="AU15" i="39"/>
  <c r="V29" i="39" s="1"/>
  <c r="V35" i="39" s="1"/>
  <c r="BJ5" i="39" s="1"/>
  <c r="AU21" i="39"/>
  <c r="X28" i="39" s="1"/>
  <c r="AU9" i="39"/>
  <c r="W29" i="39" s="1"/>
  <c r="AU20" i="39"/>
  <c r="X29" i="39" s="1"/>
  <c r="R135" i="40"/>
  <c r="T135" i="40"/>
  <c r="V27" i="39"/>
  <c r="V44" i="39"/>
  <c r="W27" i="39"/>
  <c r="W41" i="39" s="1"/>
  <c r="V38" i="39"/>
  <c r="W40" i="39"/>
  <c r="V48" i="39"/>
  <c r="V45" i="39"/>
  <c r="W36" i="39"/>
  <c r="W37" i="39"/>
  <c r="V50" i="39"/>
  <c r="U27" i="39"/>
  <c r="U38" i="39"/>
  <c r="V49" i="39"/>
  <c r="V51" i="39"/>
  <c r="W46" i="39"/>
  <c r="U51" i="39"/>
  <c r="W49" i="39"/>
  <c r="V37" i="39"/>
  <c r="U37" i="39"/>
  <c r="W44" i="39"/>
  <c r="W48" i="39"/>
  <c r="V41" i="39"/>
  <c r="U44" i="39"/>
  <c r="V47" i="39"/>
  <c r="U41" i="39"/>
  <c r="X27" i="39"/>
  <c r="U48" i="39"/>
  <c r="BI1" i="39"/>
  <c r="BI124" i="39"/>
  <c r="BI89" i="39"/>
  <c r="X41" i="39"/>
  <c r="X45" i="39"/>
  <c r="X48" i="39"/>
  <c r="BI131" i="39"/>
  <c r="BI57" i="39"/>
  <c r="BI83" i="39"/>
  <c r="U36" i="39"/>
  <c r="X43" i="39"/>
  <c r="BI79" i="39"/>
  <c r="BI26" i="39"/>
  <c r="U45" i="39"/>
  <c r="W50" i="39"/>
  <c r="V36" i="39"/>
  <c r="W45" i="39"/>
  <c r="BI54" i="39"/>
  <c r="BI66" i="39"/>
  <c r="V39" i="39"/>
  <c r="U43" i="39"/>
  <c r="W39" i="39"/>
  <c r="BI103" i="39"/>
  <c r="BI12" i="39"/>
  <c r="BI116" i="39"/>
  <c r="BI35" i="39"/>
  <c r="BI92" i="39"/>
  <c r="BI6" i="39"/>
  <c r="W51" i="39"/>
  <c r="BI84" i="39"/>
  <c r="BI75" i="39"/>
  <c r="BI127" i="39"/>
  <c r="V46" i="39"/>
  <c r="W47" i="39"/>
  <c r="BI47" i="39"/>
  <c r="BI76" i="39"/>
  <c r="BI99" i="39"/>
  <c r="BI58" i="39"/>
  <c r="BI134" i="39"/>
  <c r="BI121" i="39"/>
  <c r="BI120" i="39"/>
  <c r="BI126" i="39"/>
  <c r="BI8" i="39"/>
  <c r="BI13" i="39"/>
  <c r="U40" i="39"/>
  <c r="W38" i="39"/>
  <c r="BI14" i="39"/>
  <c r="BI135" i="39"/>
  <c r="BI28" i="39"/>
  <c r="BI125" i="39"/>
  <c r="BI102" i="39"/>
  <c r="BI100" i="39"/>
  <c r="BI29" i="39"/>
  <c r="BI72" i="39"/>
  <c r="BI87" i="39"/>
  <c r="BI37" i="39"/>
  <c r="U46" i="39"/>
  <c r="W43" i="39"/>
  <c r="BI105" i="39"/>
  <c r="BI55" i="39"/>
  <c r="BI77" i="39"/>
  <c r="BI48" i="39"/>
  <c r="BI24" i="39"/>
  <c r="BI80" i="39"/>
  <c r="BI39" i="39"/>
  <c r="BI10" i="39"/>
  <c r="BI9" i="39"/>
  <c r="BI32" i="39"/>
  <c r="V43" i="39"/>
  <c r="U47" i="39"/>
  <c r="W42" i="39"/>
  <c r="V42" i="39"/>
  <c r="V40" i="39"/>
  <c r="U49" i="39"/>
  <c r="U50" i="39"/>
  <c r="U39" i="39"/>
  <c r="U42" i="39"/>
  <c r="X40" i="39"/>
  <c r="X38" i="39"/>
  <c r="X50" i="39"/>
  <c r="X49" i="39"/>
  <c r="X37" i="39"/>
  <c r="X39" i="39"/>
  <c r="X47" i="39"/>
  <c r="X44" i="39"/>
  <c r="X36" i="39"/>
  <c r="X46" i="39"/>
  <c r="X51" i="39"/>
  <c r="BI45" i="39"/>
  <c r="BI97" i="39"/>
  <c r="BI104" i="39"/>
  <c r="BI62" i="39"/>
  <c r="BI119" i="39"/>
  <c r="BI70" i="39"/>
  <c r="BI49" i="39"/>
  <c r="BI52" i="39"/>
  <c r="BI33" i="39"/>
  <c r="BI94" i="39"/>
  <c r="BI71" i="39"/>
  <c r="BI27" i="39"/>
  <c r="BI65" i="39"/>
  <c r="BI7" i="39"/>
  <c r="BI132" i="39"/>
  <c r="BI46" i="39"/>
  <c r="BI38" i="39"/>
  <c r="BI30" i="39"/>
  <c r="BI34" i="39"/>
  <c r="BI108" i="39"/>
  <c r="BI53" i="39"/>
  <c r="BI19" i="39"/>
  <c r="BI18" i="39"/>
  <c r="BI44" i="39"/>
  <c r="BI117" i="39"/>
  <c r="BI68" i="39"/>
  <c r="BI43" i="39"/>
  <c r="BI42" i="39"/>
  <c r="BI113" i="39"/>
  <c r="BI107" i="39"/>
  <c r="BI128" i="39"/>
  <c r="BI110" i="39"/>
  <c r="BI59" i="39"/>
  <c r="BI86" i="39"/>
  <c r="BI93" i="39"/>
  <c r="BI22" i="39"/>
  <c r="BI82" i="39"/>
  <c r="BI118" i="39"/>
  <c r="BI23" i="39"/>
  <c r="BI11" i="39"/>
  <c r="BI36" i="39"/>
  <c r="BI61" i="39"/>
  <c r="BI96" i="39"/>
  <c r="BI63" i="39"/>
  <c r="BI98" i="39"/>
  <c r="BI69" i="39"/>
  <c r="BI95" i="39"/>
  <c r="BI114" i="39"/>
  <c r="BI109" i="39"/>
  <c r="BI73" i="39"/>
  <c r="BI21" i="39"/>
  <c r="BI64" i="39"/>
  <c r="BI16" i="39"/>
  <c r="BI25" i="39"/>
  <c r="BI67" i="39"/>
  <c r="BI88" i="39"/>
  <c r="BI111" i="39"/>
  <c r="BI122" i="39"/>
  <c r="BI51" i="39"/>
  <c r="BI41" i="39"/>
  <c r="BI115" i="39"/>
  <c r="BI56" i="39"/>
  <c r="BI20" i="39"/>
  <c r="BI133" i="39"/>
  <c r="BI112" i="39"/>
  <c r="BI60" i="39"/>
  <c r="BI31" i="39"/>
  <c r="BI85" i="39"/>
  <c r="BI15" i="39"/>
  <c r="BI129" i="39"/>
  <c r="BI17" i="39"/>
  <c r="BI81" i="39"/>
  <c r="BI78" i="39"/>
  <c r="BI106" i="39"/>
  <c r="BI101" i="39"/>
  <c r="BI130" i="39"/>
  <c r="BI123" i="39"/>
  <c r="BI90" i="39"/>
  <c r="BI40" i="39"/>
  <c r="BI74" i="39"/>
  <c r="BI50" i="39"/>
  <c r="BI91" i="39"/>
  <c r="U35" i="39" l="1"/>
  <c r="BI5" i="39" s="1"/>
  <c r="X35" i="39"/>
  <c r="BL5" i="39" s="1"/>
  <c r="U57" i="39"/>
  <c r="U55" i="39"/>
  <c r="U59" i="39"/>
  <c r="U60" i="39"/>
  <c r="U56" i="39"/>
  <c r="U54" i="39"/>
  <c r="U58" i="39"/>
  <c r="V57" i="39"/>
  <c r="V59" i="39"/>
  <c r="V56" i="39"/>
  <c r="V58" i="39"/>
  <c r="V55" i="39"/>
  <c r="V54" i="39"/>
  <c r="V60" i="39"/>
  <c r="W58" i="39"/>
  <c r="W56" i="39"/>
  <c r="W55" i="39"/>
  <c r="W60" i="39"/>
  <c r="W57" i="39"/>
  <c r="W54" i="39"/>
  <c r="W59" i="39"/>
  <c r="X57" i="39"/>
  <c r="X59" i="39"/>
  <c r="X56" i="39"/>
  <c r="X54" i="39"/>
  <c r="X60" i="39"/>
  <c r="X55" i="39"/>
  <c r="X58" i="39"/>
  <c r="W35" i="39"/>
  <c r="BK5" i="39" s="1"/>
  <c r="R136" i="40"/>
  <c r="X42" i="39"/>
  <c r="R137" i="40"/>
  <c r="T137" i="40" s="1"/>
  <c r="T136" i="40"/>
  <c r="R138" i="40"/>
  <c r="T138" i="40"/>
  <c r="G57" i="39" l="1"/>
  <c r="G58" i="39"/>
  <c r="G56" i="39"/>
  <c r="G54" i="39"/>
  <c r="G59" i="39"/>
  <c r="G60" i="39"/>
  <c r="G55" i="39"/>
  <c r="AF19" i="39" a="1"/>
  <c r="AE19" i="39" a="1"/>
  <c r="AF9" i="39" a="1"/>
  <c r="R139" i="40"/>
  <c r="T139" i="40" s="1"/>
  <c r="AE14" i="39" a="1"/>
  <c r="AF14" i="39" a="1"/>
  <c r="AF10" i="39" l="1"/>
  <c r="AF9" i="39"/>
  <c r="AL9" i="39" s="1" a="1"/>
  <c r="AE19" i="39"/>
  <c r="AE21" i="39"/>
  <c r="AE20" i="39"/>
  <c r="AF21" i="39"/>
  <c r="AF20" i="39"/>
  <c r="AF19" i="39"/>
  <c r="AF16" i="39"/>
  <c r="AF14" i="39"/>
  <c r="AF15" i="39"/>
  <c r="AE14" i="39"/>
  <c r="AE16" i="39"/>
  <c r="AE15" i="39"/>
  <c r="R140" i="40"/>
  <c r="T140" i="40"/>
  <c r="AL14" i="39" l="1" a="1"/>
  <c r="AL19" i="39" a="1"/>
  <c r="AL10" i="39"/>
  <c r="AM9" i="39"/>
  <c r="AL9" i="39"/>
  <c r="AM10" i="39"/>
  <c r="R141" i="40"/>
  <c r="T141" i="40"/>
  <c r="AL19" i="39" l="1"/>
  <c r="AN21" i="39"/>
  <c r="AN19" i="39"/>
  <c r="AL20" i="39"/>
  <c r="AM20" i="39"/>
  <c r="AM19" i="39"/>
  <c r="AM21" i="39"/>
  <c r="AL21" i="39"/>
  <c r="AN20" i="39"/>
  <c r="AL15" i="39"/>
  <c r="AM15" i="39"/>
  <c r="AL14" i="39"/>
  <c r="AN14" i="39"/>
  <c r="AM16" i="39"/>
  <c r="AL16" i="39"/>
  <c r="AM14" i="39"/>
  <c r="AN15" i="39"/>
  <c r="AN16" i="39"/>
  <c r="AI9" i="39" a="1"/>
  <c r="AI9" i="39" s="1"/>
  <c r="S29" i="39" s="1"/>
  <c r="R142" i="40"/>
  <c r="T142" i="40"/>
  <c r="AI10" i="39" l="1"/>
  <c r="S28" i="39" s="1"/>
  <c r="AI14" i="39" a="1"/>
  <c r="AI14" i="39" s="1"/>
  <c r="H30" i="39" s="1"/>
  <c r="R143" i="40"/>
  <c r="T143" i="40"/>
  <c r="BK1" i="39"/>
  <c r="BK87" i="39"/>
  <c r="S27" i="39"/>
  <c r="BK54" i="39"/>
  <c r="BK85" i="39"/>
  <c r="BK24" i="39"/>
  <c r="BK42" i="39"/>
  <c r="BK101" i="39"/>
  <c r="BK57" i="39"/>
  <c r="BK134" i="39"/>
  <c r="BK64" i="39"/>
  <c r="BK122" i="39"/>
  <c r="BK79" i="39"/>
  <c r="BK82" i="39"/>
  <c r="BK65" i="39"/>
  <c r="BK20" i="39"/>
  <c r="BK61" i="39"/>
  <c r="BK93" i="39"/>
  <c r="BK81" i="39"/>
  <c r="BK11" i="39"/>
  <c r="BK41" i="39"/>
  <c r="BK75" i="39"/>
  <c r="BK114" i="39"/>
  <c r="BK47" i="39"/>
  <c r="BK76" i="39"/>
  <c r="BK58" i="39"/>
  <c r="BK19" i="39"/>
  <c r="BK107" i="39"/>
  <c r="BK113" i="39"/>
  <c r="BK129" i="39"/>
  <c r="BK25" i="39"/>
  <c r="BK88" i="39"/>
  <c r="BK53" i="39"/>
  <c r="BK6" i="39"/>
  <c r="BK123" i="39"/>
  <c r="BK51" i="39"/>
  <c r="BK46" i="39"/>
  <c r="BK50" i="39"/>
  <c r="BK73" i="39"/>
  <c r="BK22" i="39"/>
  <c r="BK39" i="39"/>
  <c r="BK67" i="39"/>
  <c r="BK12" i="39"/>
  <c r="BK127" i="39"/>
  <c r="BK28" i="39"/>
  <c r="BK104" i="39"/>
  <c r="BK86" i="39"/>
  <c r="BK99" i="39"/>
  <c r="BK8" i="39"/>
  <c r="BK74" i="39"/>
  <c r="BK98" i="39"/>
  <c r="BK125" i="39"/>
  <c r="BK109" i="39"/>
  <c r="BK117" i="39"/>
  <c r="BK124" i="39"/>
  <c r="BK69" i="39"/>
  <c r="BK14" i="39"/>
  <c r="BK18" i="39"/>
  <c r="BK56" i="39"/>
  <c r="BK52" i="39"/>
  <c r="BK21" i="39"/>
  <c r="BK128" i="39"/>
  <c r="BK100" i="39"/>
  <c r="BK71" i="39"/>
  <c r="BK96" i="39"/>
  <c r="BK32" i="39"/>
  <c r="BK68" i="39"/>
  <c r="BK43" i="39"/>
  <c r="BK90" i="39"/>
  <c r="BK49" i="39"/>
  <c r="BK35" i="39"/>
  <c r="BK102" i="39"/>
  <c r="BK27" i="39"/>
  <c r="BK118" i="39"/>
  <c r="BK106" i="39"/>
  <c r="BK9" i="39"/>
  <c r="BK38" i="39"/>
  <c r="BK97" i="39"/>
  <c r="BK111" i="39"/>
  <c r="BK44" i="39"/>
  <c r="BK115" i="39"/>
  <c r="BK91" i="39"/>
  <c r="BK120" i="39"/>
  <c r="BK15" i="39"/>
  <c r="BK66" i="39"/>
  <c r="BK36" i="39"/>
  <c r="BK119" i="39"/>
  <c r="BK45" i="39"/>
  <c r="BK37" i="39"/>
  <c r="BK34" i="39"/>
  <c r="BK48" i="39"/>
  <c r="BK94" i="39"/>
  <c r="BK60" i="39"/>
  <c r="BK29" i="39"/>
  <c r="BK10" i="39"/>
  <c r="BK84" i="39"/>
  <c r="BK130" i="39"/>
  <c r="BK63" i="39"/>
  <c r="BK126" i="39"/>
  <c r="BK23" i="39"/>
  <c r="BK103" i="39"/>
  <c r="BK59" i="39"/>
  <c r="BK92" i="39"/>
  <c r="BK80" i="39"/>
  <c r="BK77" i="39"/>
  <c r="BK121" i="39"/>
  <c r="BK16" i="39"/>
  <c r="BK30" i="39"/>
  <c r="BK33" i="39"/>
  <c r="BK131" i="39"/>
  <c r="BK95" i="39"/>
  <c r="BK31" i="39"/>
  <c r="BK78" i="39"/>
  <c r="BK112" i="39"/>
  <c r="BK110" i="39"/>
  <c r="BK133" i="39"/>
  <c r="BK7" i="39"/>
  <c r="BK108" i="39"/>
  <c r="BK17" i="39"/>
  <c r="BK55" i="39"/>
  <c r="BK132" i="39"/>
  <c r="BK83" i="39"/>
  <c r="BK135" i="39"/>
  <c r="BK105" i="39"/>
  <c r="BK116" i="39"/>
  <c r="BK72" i="39"/>
  <c r="BK89" i="39"/>
  <c r="BK13" i="39"/>
  <c r="BK26" i="39"/>
  <c r="BK40" i="39"/>
  <c r="BK62" i="39"/>
  <c r="BK70" i="39"/>
  <c r="S35" i="39" l="1"/>
  <c r="BG5" i="39" s="1"/>
  <c r="AI16" i="39"/>
  <c r="H28" i="39" s="1"/>
  <c r="AI15" i="39"/>
  <c r="H29" i="39"/>
  <c r="AI19" i="39" a="1"/>
  <c r="AI19" i="39" s="1"/>
  <c r="T30" i="39" s="1"/>
  <c r="R144" i="40"/>
  <c r="T144" i="40"/>
  <c r="S40" i="39"/>
  <c r="S43" i="39"/>
  <c r="S50" i="39"/>
  <c r="BJ1" i="39"/>
  <c r="BJ89" i="39"/>
  <c r="BJ107" i="39"/>
  <c r="BJ38" i="39"/>
  <c r="H27" i="39"/>
  <c r="BJ119" i="39"/>
  <c r="BJ64" i="39"/>
  <c r="BJ40" i="39"/>
  <c r="H49" i="39"/>
  <c r="S51" i="39"/>
  <c r="BJ104" i="39"/>
  <c r="BJ106" i="39"/>
  <c r="BJ73" i="39"/>
  <c r="S37" i="39"/>
  <c r="H39" i="39"/>
  <c r="BJ72" i="39"/>
  <c r="BJ29" i="39"/>
  <c r="BJ47" i="39"/>
  <c r="BJ37" i="39"/>
  <c r="H44" i="39"/>
  <c r="BJ71" i="39"/>
  <c r="S36" i="39"/>
  <c r="BJ99" i="39"/>
  <c r="BJ94" i="39"/>
  <c r="BJ48" i="39"/>
  <c r="S46" i="39"/>
  <c r="BJ128" i="39"/>
  <c r="BJ19" i="39"/>
  <c r="S49" i="39"/>
  <c r="BJ124" i="39"/>
  <c r="H45" i="39"/>
  <c r="BJ109" i="39"/>
  <c r="BJ93" i="39"/>
  <c r="BJ60" i="39"/>
  <c r="H41" i="39"/>
  <c r="BJ126" i="39"/>
  <c r="BJ101" i="39"/>
  <c r="BJ117" i="39"/>
  <c r="BJ13" i="39"/>
  <c r="BJ33" i="39"/>
  <c r="BJ50" i="39"/>
  <c r="BJ16" i="39"/>
  <c r="H36" i="39"/>
  <c r="BJ135" i="39"/>
  <c r="BJ100" i="39"/>
  <c r="BJ68" i="39"/>
  <c r="BJ45" i="39"/>
  <c r="BJ83" i="39"/>
  <c r="BJ46" i="39"/>
  <c r="BJ11" i="39"/>
  <c r="BJ121" i="39"/>
  <c r="S38" i="39"/>
  <c r="BJ56" i="39"/>
  <c r="BJ132" i="39"/>
  <c r="BJ123" i="39"/>
  <c r="BJ53" i="39"/>
  <c r="BJ52" i="39"/>
  <c r="H48" i="39"/>
  <c r="S48" i="39"/>
  <c r="BJ102" i="39"/>
  <c r="BJ39" i="39"/>
  <c r="BJ24" i="39"/>
  <c r="BJ69" i="39"/>
  <c r="BJ23" i="39"/>
  <c r="BJ14" i="39"/>
  <c r="BJ134" i="39"/>
  <c r="BJ43" i="39"/>
  <c r="BJ61" i="39"/>
  <c r="BJ129" i="39"/>
  <c r="S42" i="39"/>
  <c r="BJ96" i="39"/>
  <c r="BJ116" i="39"/>
  <c r="H38" i="39"/>
  <c r="BJ49" i="39"/>
  <c r="S39" i="39"/>
  <c r="BJ81" i="39"/>
  <c r="S47" i="39"/>
  <c r="BJ22" i="39"/>
  <c r="BJ86" i="39"/>
  <c r="BJ91" i="39"/>
  <c r="BJ103" i="39"/>
  <c r="BJ8" i="39"/>
  <c r="H42" i="39"/>
  <c r="BJ36" i="39"/>
  <c r="BJ44" i="39"/>
  <c r="H50" i="39"/>
  <c r="BJ25" i="39"/>
  <c r="BJ85" i="39"/>
  <c r="BJ28" i="39"/>
  <c r="BJ115" i="39"/>
  <c r="BJ17" i="39"/>
  <c r="BJ74" i="39"/>
  <c r="BJ127" i="39"/>
  <c r="BJ31" i="39"/>
  <c r="BJ27" i="39"/>
  <c r="BJ10" i="39"/>
  <c r="BJ59" i="39"/>
  <c r="BJ41" i="39"/>
  <c r="H47" i="39"/>
  <c r="BJ7" i="39"/>
  <c r="BJ30" i="39"/>
  <c r="BJ82" i="39"/>
  <c r="BJ77" i="39"/>
  <c r="H51" i="39"/>
  <c r="BJ113" i="39"/>
  <c r="BJ80" i="39"/>
  <c r="BJ118" i="39"/>
  <c r="BJ58" i="39"/>
  <c r="BJ55" i="39"/>
  <c r="BJ15" i="39"/>
  <c r="BJ67" i="39"/>
  <c r="BJ57" i="39"/>
  <c r="BJ66" i="39"/>
  <c r="BJ131" i="39"/>
  <c r="BJ92" i="39"/>
  <c r="BG1" i="39"/>
  <c r="S41" i="39"/>
  <c r="BJ98" i="39"/>
  <c r="S45" i="39"/>
  <c r="BG133" i="39"/>
  <c r="BG51" i="39"/>
  <c r="BG129" i="39"/>
  <c r="BG122" i="39"/>
  <c r="BG7" i="39"/>
  <c r="BG46" i="39"/>
  <c r="BJ105" i="39"/>
  <c r="S44" i="39"/>
  <c r="BJ110" i="39"/>
  <c r="BJ51" i="39"/>
  <c r="BJ114" i="39"/>
  <c r="BG35" i="39"/>
  <c r="BG47" i="39"/>
  <c r="BG74" i="39"/>
  <c r="BG100" i="39"/>
  <c r="BG34" i="39"/>
  <c r="BJ12" i="39"/>
  <c r="BJ63" i="39"/>
  <c r="BJ88" i="39"/>
  <c r="BJ112" i="39"/>
  <c r="BJ108" i="39"/>
  <c r="BJ90" i="39"/>
  <c r="BJ87" i="39"/>
  <c r="BJ34" i="39"/>
  <c r="BJ76" i="39"/>
  <c r="BJ35" i="39"/>
  <c r="BJ18" i="39"/>
  <c r="BJ84" i="39"/>
  <c r="BJ70" i="39"/>
  <c r="BJ21" i="39"/>
  <c r="BJ78" i="39"/>
  <c r="BJ75" i="39"/>
  <c r="BJ6" i="39"/>
  <c r="BJ95" i="39"/>
  <c r="BJ130" i="39"/>
  <c r="BJ20" i="39"/>
  <c r="BJ125" i="39"/>
  <c r="BJ26" i="39"/>
  <c r="BJ133" i="39"/>
  <c r="BJ65" i="39"/>
  <c r="BJ62" i="39"/>
  <c r="BJ42" i="39"/>
  <c r="BJ111" i="39"/>
  <c r="BJ54" i="39"/>
  <c r="BJ120" i="39"/>
  <c r="BJ79" i="39"/>
  <c r="BJ9" i="39"/>
  <c r="BJ122" i="39"/>
  <c r="BJ97" i="39"/>
  <c r="BJ32" i="39"/>
  <c r="H46" i="39"/>
  <c r="H40" i="39"/>
  <c r="H43" i="39"/>
  <c r="H37" i="39"/>
  <c r="BG76" i="39"/>
  <c r="BG9" i="39"/>
  <c r="BG104" i="39"/>
  <c r="BG6" i="39"/>
  <c r="BG110" i="39"/>
  <c r="BG135" i="39"/>
  <c r="BG60" i="39"/>
  <c r="BG41" i="39"/>
  <c r="BG77" i="39"/>
  <c r="BG59" i="39"/>
  <c r="BG121" i="39"/>
  <c r="BG87" i="39"/>
  <c r="BG127" i="39"/>
  <c r="BG17" i="39"/>
  <c r="BG89" i="39"/>
  <c r="BG106" i="39"/>
  <c r="BG58" i="39"/>
  <c r="BG28" i="39"/>
  <c r="BG49" i="39"/>
  <c r="BG131" i="39"/>
  <c r="BG97" i="39"/>
  <c r="BG39" i="39"/>
  <c r="BG50" i="39"/>
  <c r="BG38" i="39"/>
  <c r="BG119" i="39"/>
  <c r="BG12" i="39"/>
  <c r="BG90" i="39"/>
  <c r="BG57" i="39"/>
  <c r="BG92" i="39"/>
  <c r="BG8" i="39"/>
  <c r="BG52" i="39"/>
  <c r="BG36" i="39"/>
  <c r="BG80" i="39"/>
  <c r="BG40" i="39"/>
  <c r="BG70" i="39"/>
  <c r="BG25" i="39"/>
  <c r="BG88" i="39"/>
  <c r="BG16" i="39"/>
  <c r="BG112" i="39"/>
  <c r="BG81" i="39"/>
  <c r="BG32" i="39"/>
  <c r="BG118" i="39"/>
  <c r="BG125" i="39"/>
  <c r="BG109" i="39"/>
  <c r="BG134" i="39"/>
  <c r="BG68" i="39"/>
  <c r="BG64" i="39"/>
  <c r="BG65" i="39"/>
  <c r="BG85" i="39"/>
  <c r="BG56" i="39"/>
  <c r="BG13" i="39"/>
  <c r="BG79" i="39"/>
  <c r="BG84" i="39"/>
  <c r="BG86" i="39"/>
  <c r="BG19" i="39"/>
  <c r="BG45" i="39"/>
  <c r="BG102" i="39"/>
  <c r="BG69" i="39"/>
  <c r="BG99" i="39"/>
  <c r="BG128" i="39"/>
  <c r="BG115" i="39"/>
  <c r="BG113" i="39"/>
  <c r="BG103" i="39"/>
  <c r="BG30" i="39"/>
  <c r="BG95" i="39"/>
  <c r="BG114" i="39"/>
  <c r="BG117" i="39"/>
  <c r="BG44" i="39"/>
  <c r="BG83" i="39"/>
  <c r="BG126" i="39"/>
  <c r="BG11" i="39"/>
  <c r="BG14" i="39"/>
  <c r="BG130" i="39"/>
  <c r="BG20" i="39"/>
  <c r="BG21" i="39"/>
  <c r="BG123" i="39"/>
  <c r="BG42" i="39"/>
  <c r="BG27" i="39"/>
  <c r="BG67" i="39"/>
  <c r="BG120" i="39"/>
  <c r="BG78" i="39"/>
  <c r="BG24" i="39"/>
  <c r="BG37" i="39"/>
  <c r="BG55" i="39"/>
  <c r="BG23" i="39"/>
  <c r="BG43" i="39"/>
  <c r="BG62" i="39"/>
  <c r="BG82" i="39"/>
  <c r="BG10" i="39"/>
  <c r="BG71" i="39"/>
  <c r="BG54" i="39"/>
  <c r="BG75" i="39"/>
  <c r="BG53" i="39"/>
  <c r="BG107" i="39"/>
  <c r="BG96" i="39"/>
  <c r="BG73" i="39"/>
  <c r="BG98" i="39"/>
  <c r="BG18" i="39"/>
  <c r="BG26" i="39"/>
  <c r="BG61" i="39"/>
  <c r="BG116" i="39"/>
  <c r="BG124" i="39"/>
  <c r="BG66" i="39"/>
  <c r="BG72" i="39"/>
  <c r="BG105" i="39"/>
  <c r="BG94" i="39"/>
  <c r="BG48" i="39"/>
  <c r="BG91" i="39"/>
  <c r="BG22" i="39"/>
  <c r="BG93" i="39"/>
  <c r="BG111" i="39"/>
  <c r="BG29" i="39"/>
  <c r="BG15" i="39"/>
  <c r="BG101" i="39"/>
  <c r="BG63" i="39"/>
  <c r="BG108" i="39"/>
  <c r="BG31" i="39"/>
  <c r="BG33" i="39"/>
  <c r="BG132" i="39"/>
  <c r="H35" i="39" l="1"/>
  <c r="BF5" i="39" s="1"/>
  <c r="AI20" i="39"/>
  <c r="T29" i="39" s="1"/>
  <c r="AI21" i="39"/>
  <c r="T28" i="39" s="1"/>
  <c r="H54" i="39"/>
  <c r="S54" i="39"/>
  <c r="H57" i="39"/>
  <c r="S60" i="39"/>
  <c r="H60" i="39"/>
  <c r="S57" i="39"/>
  <c r="H58" i="39"/>
  <c r="S56" i="39"/>
  <c r="H55" i="39"/>
  <c r="S59" i="39"/>
  <c r="H59" i="39"/>
  <c r="H56" i="39"/>
  <c r="S55" i="39"/>
  <c r="S58" i="39"/>
  <c r="R145" i="40"/>
  <c r="T145" i="40"/>
  <c r="BF1" i="39"/>
  <c r="BF25" i="39"/>
  <c r="BF33" i="39"/>
  <c r="BF116" i="39"/>
  <c r="BF130" i="39"/>
  <c r="BF77" i="39"/>
  <c r="BF27" i="39"/>
  <c r="BF15" i="39"/>
  <c r="BF112" i="39"/>
  <c r="BF34" i="39"/>
  <c r="BF86" i="39"/>
  <c r="BF81" i="39"/>
  <c r="BF36" i="39"/>
  <c r="BF98" i="39"/>
  <c r="BF107" i="39"/>
  <c r="BF80" i="39"/>
  <c r="BF50" i="39"/>
  <c r="T27" i="39"/>
  <c r="T49" i="39"/>
  <c r="BF12" i="39"/>
  <c r="BF52" i="39"/>
  <c r="BF71" i="39"/>
  <c r="BF37" i="39"/>
  <c r="BF85" i="39"/>
  <c r="BF19" i="39"/>
  <c r="BF18" i="39"/>
  <c r="BF17" i="39"/>
  <c r="BF88" i="39"/>
  <c r="BF42" i="39"/>
  <c r="BF7" i="39"/>
  <c r="BF48" i="39"/>
  <c r="BF44" i="39"/>
  <c r="BF111" i="39"/>
  <c r="BF39" i="39"/>
  <c r="BF79" i="39"/>
  <c r="T42" i="39"/>
  <c r="T45" i="39"/>
  <c r="BF127" i="39"/>
  <c r="BF23" i="39"/>
  <c r="BF131" i="39"/>
  <c r="BF87" i="39"/>
  <c r="BF26" i="39"/>
  <c r="BF68" i="39"/>
  <c r="BF117" i="39"/>
  <c r="BF28" i="39"/>
  <c r="BF6" i="39"/>
  <c r="BF11" i="39"/>
  <c r="T39" i="39"/>
  <c r="T44" i="39"/>
  <c r="BF110" i="39"/>
  <c r="BF63" i="39"/>
  <c r="BF57" i="39"/>
  <c r="BF8" i="39"/>
  <c r="BF89" i="39"/>
  <c r="BF99" i="39"/>
  <c r="BF126" i="39"/>
  <c r="BF41" i="39"/>
  <c r="T50" i="39"/>
  <c r="BF66" i="39"/>
  <c r="BF103" i="39"/>
  <c r="BF123" i="39"/>
  <c r="BF96" i="39"/>
  <c r="BF124" i="39"/>
  <c r="BF70" i="39"/>
  <c r="BF83" i="39"/>
  <c r="BF132" i="39"/>
  <c r="T47" i="39"/>
  <c r="BF67" i="39"/>
  <c r="BF22" i="39"/>
  <c r="BF135" i="39"/>
  <c r="BF51" i="39"/>
  <c r="BF69" i="39"/>
  <c r="BF115" i="39"/>
  <c r="BF43" i="39"/>
  <c r="BF95" i="39"/>
  <c r="T43" i="39"/>
  <c r="BF90" i="39"/>
  <c r="BF59" i="39"/>
  <c r="BF82" i="39"/>
  <c r="BF133" i="39"/>
  <c r="BF58" i="39"/>
  <c r="BF129" i="39"/>
  <c r="BF29" i="39"/>
  <c r="BF94" i="39"/>
  <c r="BF128" i="39"/>
  <c r="BF100" i="39"/>
  <c r="BF97" i="39"/>
  <c r="BF45" i="39"/>
  <c r="BF74" i="39"/>
  <c r="BF16" i="39"/>
  <c r="T51" i="39"/>
  <c r="BF114" i="39"/>
  <c r="BF122" i="39"/>
  <c r="BF40" i="39"/>
  <c r="BF119" i="39"/>
  <c r="BF54" i="39"/>
  <c r="BF13" i="39"/>
  <c r="BF46" i="39"/>
  <c r="BF30" i="39"/>
  <c r="BL1" i="39"/>
  <c r="BF35" i="39"/>
  <c r="BF72" i="39"/>
  <c r="BF14" i="39"/>
  <c r="BF20" i="39"/>
  <c r="BF118" i="39"/>
  <c r="BF73" i="39"/>
  <c r="BF108" i="39"/>
  <c r="BF91" i="39"/>
  <c r="BF106" i="39"/>
  <c r="BL134" i="39"/>
  <c r="BL31" i="39"/>
  <c r="BL76" i="39"/>
  <c r="BL20" i="39"/>
  <c r="BL126" i="39"/>
  <c r="BL106" i="39"/>
  <c r="BL111" i="39"/>
  <c r="BF104" i="39"/>
  <c r="BF125" i="39"/>
  <c r="BF9" i="39"/>
  <c r="BF101" i="39"/>
  <c r="BF105" i="39"/>
  <c r="BF65" i="39"/>
  <c r="BF84" i="39"/>
  <c r="BF55" i="39"/>
  <c r="BF78" i="39"/>
  <c r="BF49" i="39"/>
  <c r="BF32" i="39"/>
  <c r="BF121" i="39"/>
  <c r="BF60" i="39"/>
  <c r="BF109" i="39"/>
  <c r="BF76" i="39"/>
  <c r="BF31" i="39"/>
  <c r="BF53" i="39"/>
  <c r="BF56" i="39"/>
  <c r="BF38" i="39"/>
  <c r="BF47" i="39"/>
  <c r="BF61" i="39"/>
  <c r="BF62" i="39"/>
  <c r="BF93" i="39"/>
  <c r="BF75" i="39"/>
  <c r="BF102" i="39"/>
  <c r="BF10" i="39"/>
  <c r="BF134" i="39"/>
  <c r="BF120" i="39"/>
  <c r="BF64" i="39"/>
  <c r="BF21" i="39"/>
  <c r="BF24" i="39"/>
  <c r="BF92" i="39"/>
  <c r="BF113" i="39"/>
  <c r="T38" i="39"/>
  <c r="T37" i="39"/>
  <c r="T46" i="39"/>
  <c r="T36" i="39"/>
  <c r="T40" i="39"/>
  <c r="T41" i="39"/>
  <c r="T48" i="39"/>
  <c r="BL81" i="39"/>
  <c r="BL107" i="39"/>
  <c r="BL10" i="39"/>
  <c r="BL24" i="39"/>
  <c r="BL108" i="39"/>
  <c r="BL51" i="39"/>
  <c r="BL9" i="39"/>
  <c r="BL102" i="39"/>
  <c r="BL56" i="39"/>
  <c r="BL131" i="39"/>
  <c r="BL71" i="39"/>
  <c r="BL21" i="39"/>
  <c r="BL26" i="39"/>
  <c r="BL87" i="39"/>
  <c r="BL99" i="39"/>
  <c r="BL73" i="39"/>
  <c r="BL18" i="39"/>
  <c r="BL72" i="39"/>
  <c r="BL61" i="39"/>
  <c r="BL64" i="39"/>
  <c r="BL65" i="39"/>
  <c r="BL91" i="39"/>
  <c r="BL82" i="39"/>
  <c r="BL89" i="39"/>
  <c r="BL69" i="39"/>
  <c r="BL59" i="39"/>
  <c r="BL92" i="39"/>
  <c r="BL115" i="39"/>
  <c r="BL97" i="39"/>
  <c r="BL32" i="39"/>
  <c r="BL55" i="39"/>
  <c r="BL29" i="39"/>
  <c r="BL129" i="39"/>
  <c r="BL25" i="39"/>
  <c r="BL53" i="39"/>
  <c r="BL124" i="39"/>
  <c r="BL66" i="39"/>
  <c r="BL90" i="39"/>
  <c r="BL33" i="39"/>
  <c r="BL84" i="39"/>
  <c r="BL34" i="39"/>
  <c r="BL14" i="39"/>
  <c r="BL41" i="39"/>
  <c r="BL15" i="39"/>
  <c r="BL36" i="39"/>
  <c r="BL114" i="39"/>
  <c r="BL122" i="39"/>
  <c r="BL125" i="39"/>
  <c r="BL116" i="39"/>
  <c r="BL132" i="39"/>
  <c r="BL83" i="39"/>
  <c r="BL57" i="39"/>
  <c r="BL67" i="39"/>
  <c r="BL12" i="39"/>
  <c r="BL27" i="39"/>
  <c r="BL133" i="39"/>
  <c r="BL42" i="39"/>
  <c r="BL79" i="39"/>
  <c r="BL68" i="39"/>
  <c r="BL75" i="39"/>
  <c r="BL35" i="39"/>
  <c r="BL88" i="39"/>
  <c r="BL37" i="39"/>
  <c r="BL123" i="39"/>
  <c r="BL77" i="39"/>
  <c r="BL112" i="39"/>
  <c r="BL48" i="39"/>
  <c r="BL118" i="39"/>
  <c r="BL63" i="39"/>
  <c r="BL135" i="39"/>
  <c r="BL109" i="39"/>
  <c r="BL130" i="39"/>
  <c r="BL43" i="39"/>
  <c r="BL94" i="39"/>
  <c r="BL86" i="39"/>
  <c r="BL13" i="39"/>
  <c r="BL47" i="39"/>
  <c r="BL104" i="39"/>
  <c r="BL119" i="39"/>
  <c r="BL85" i="39"/>
  <c r="BL46" i="39"/>
  <c r="BL8" i="39"/>
  <c r="BL93" i="39"/>
  <c r="BL95" i="39"/>
  <c r="BL19" i="39"/>
  <c r="BL62" i="39"/>
  <c r="BL121" i="39"/>
  <c r="BL6" i="39"/>
  <c r="BL44" i="39"/>
  <c r="BL11" i="39"/>
  <c r="BL96" i="39"/>
  <c r="BL30" i="39"/>
  <c r="BL120" i="39"/>
  <c r="BL58" i="39"/>
  <c r="BL105" i="39"/>
  <c r="BL113" i="39"/>
  <c r="BL117" i="39"/>
  <c r="BL52" i="39"/>
  <c r="BL50" i="39"/>
  <c r="BL45" i="39"/>
  <c r="BL110" i="39"/>
  <c r="BL80" i="39"/>
  <c r="BL39" i="39"/>
  <c r="BL103" i="39"/>
  <c r="BL22" i="39"/>
  <c r="BL101" i="39"/>
  <c r="BL23" i="39"/>
  <c r="BL38" i="39"/>
  <c r="BL16" i="39"/>
  <c r="BL74" i="39"/>
  <c r="BL60" i="39"/>
  <c r="BL78" i="39"/>
  <c r="BL17" i="39"/>
  <c r="BL100" i="39"/>
  <c r="BL7" i="39"/>
  <c r="BL127" i="39"/>
  <c r="BL49" i="39"/>
  <c r="BL128" i="39"/>
  <c r="BL40" i="39"/>
  <c r="BL54" i="39"/>
  <c r="BL70" i="39"/>
  <c r="BL98" i="39"/>
  <c r="BL28" i="39"/>
  <c r="T59" i="39" l="1"/>
  <c r="T56" i="39"/>
  <c r="T55" i="39"/>
  <c r="T58" i="39"/>
  <c r="T60" i="39"/>
  <c r="T57" i="39"/>
  <c r="T54" i="39"/>
  <c r="T35" i="39"/>
  <c r="BH5" i="39" s="1"/>
  <c r="R146" i="40"/>
  <c r="AF5" i="54" a="1"/>
  <c r="AR14" i="54" a="1"/>
  <c r="T146" i="40"/>
  <c r="AB25" i="39"/>
  <c r="AB28" i="39" s="1" a="1"/>
  <c r="Z25" i="39"/>
  <c r="BH1" i="39"/>
  <c r="AK19" i="54" a="1"/>
  <c r="Y25" i="39"/>
  <c r="Y26" i="39" s="1"/>
  <c r="BH48" i="39"/>
  <c r="BH91" i="39"/>
  <c r="BH70" i="39"/>
  <c r="BH84" i="39"/>
  <c r="BH129" i="39"/>
  <c r="BH75" i="39"/>
  <c r="BH60" i="39"/>
  <c r="BH32" i="39"/>
  <c r="BH115" i="39"/>
  <c r="BH114" i="39"/>
  <c r="BH34" i="39"/>
  <c r="BH81" i="39"/>
  <c r="BH92" i="39"/>
  <c r="BH86" i="39"/>
  <c r="BH82" i="39"/>
  <c r="BH125" i="39"/>
  <c r="BH66" i="39"/>
  <c r="BH40" i="39"/>
  <c r="BH77" i="39"/>
  <c r="BH110" i="39"/>
  <c r="BH132" i="39"/>
  <c r="BH62" i="39"/>
  <c r="BH22" i="39"/>
  <c r="BH106" i="39"/>
  <c r="BH130" i="39"/>
  <c r="BH59" i="39"/>
  <c r="BH109" i="39"/>
  <c r="BH101" i="39"/>
  <c r="Y28" i="39" a="1"/>
  <c r="BH111" i="39"/>
  <c r="BH113" i="39"/>
  <c r="BH61" i="39"/>
  <c r="BH85" i="39"/>
  <c r="AB26" i="39"/>
  <c r="BH65" i="39"/>
  <c r="BH99" i="39"/>
  <c r="BH69" i="39"/>
  <c r="BH102" i="39"/>
  <c r="BH8" i="39"/>
  <c r="BH13" i="39"/>
  <c r="BH36" i="39"/>
  <c r="BH88" i="39"/>
  <c r="BH19" i="39"/>
  <c r="BH96" i="39"/>
  <c r="BH135" i="39"/>
  <c r="BH23" i="39"/>
  <c r="BH33" i="39"/>
  <c r="BH120" i="39"/>
  <c r="BH90" i="39"/>
  <c r="BH14" i="39"/>
  <c r="BH127" i="39"/>
  <c r="BH107" i="39"/>
  <c r="BH15" i="39"/>
  <c r="BH117" i="39"/>
  <c r="BH17" i="39"/>
  <c r="BH46" i="39"/>
  <c r="BH27" i="39"/>
  <c r="BH41" i="39"/>
  <c r="AA25" i="39"/>
  <c r="AA26" i="39" s="1"/>
  <c r="BH47" i="39"/>
  <c r="BH131" i="39"/>
  <c r="BH26" i="39"/>
  <c r="BH11" i="39"/>
  <c r="BH30" i="39"/>
  <c r="BH50" i="39"/>
  <c r="Z26" i="39"/>
  <c r="BH24" i="39"/>
  <c r="BH79" i="39"/>
  <c r="BH133" i="39"/>
  <c r="BH123" i="39"/>
  <c r="BH80" i="39"/>
  <c r="BH95" i="39"/>
  <c r="BH38" i="39"/>
  <c r="BH29" i="39"/>
  <c r="BH116" i="39"/>
  <c r="BH43" i="39"/>
  <c r="BH83" i="39"/>
  <c r="BH9" i="39"/>
  <c r="BH67" i="39"/>
  <c r="BH6" i="39"/>
  <c r="BH71" i="39"/>
  <c r="BH126" i="39"/>
  <c r="BH16" i="39"/>
  <c r="BH42" i="39"/>
  <c r="BH124" i="39"/>
  <c r="BH28" i="39"/>
  <c r="BH87" i="39"/>
  <c r="BH39" i="39"/>
  <c r="BH57" i="39"/>
  <c r="BH56" i="39"/>
  <c r="BH31" i="39"/>
  <c r="BH98" i="39"/>
  <c r="BH37" i="39"/>
  <c r="BH119" i="39"/>
  <c r="BH121" i="39"/>
  <c r="BH7" i="39"/>
  <c r="BH51" i="39"/>
  <c r="BH25" i="39"/>
  <c r="BH55" i="39"/>
  <c r="BH105" i="39"/>
  <c r="BH49" i="39"/>
  <c r="BH54" i="39"/>
  <c r="BH104" i="39"/>
  <c r="BH122" i="39"/>
  <c r="BH97" i="39"/>
  <c r="BH64" i="39"/>
  <c r="BH118" i="39"/>
  <c r="BH76" i="39"/>
  <c r="BH45" i="39"/>
  <c r="BH20" i="39"/>
  <c r="BH78" i="39"/>
  <c r="BH52" i="39"/>
  <c r="BH100" i="39"/>
  <c r="BH73" i="39"/>
  <c r="BH10" i="39"/>
  <c r="BH128" i="39"/>
  <c r="BH94" i="39"/>
  <c r="BH68" i="39"/>
  <c r="BH18" i="39"/>
  <c r="BH53" i="39"/>
  <c r="BH44" i="39"/>
  <c r="BH12" i="39"/>
  <c r="BH134" i="39"/>
  <c r="BH112" i="39"/>
  <c r="BH58" i="39"/>
  <c r="BH72" i="39"/>
  <c r="BH103" i="39"/>
  <c r="BH35" i="39"/>
  <c r="BH108" i="39"/>
  <c r="BH74" i="39"/>
  <c r="BH89" i="39"/>
  <c r="BH93" i="39"/>
  <c r="BH21" i="39"/>
  <c r="BH63" i="39"/>
  <c r="AR14" i="54" l="1"/>
  <c r="AR15" i="54"/>
  <c r="AR16" i="54"/>
  <c r="AF6" i="54"/>
  <c r="AF5" i="54"/>
  <c r="AL5" i="54" s="1" a="1"/>
  <c r="AM5" i="54" s="1"/>
  <c r="Y28" i="39"/>
  <c r="Y29" i="39"/>
  <c r="AB28" i="39"/>
  <c r="AB29" i="39"/>
  <c r="AB30" i="39"/>
  <c r="AK20" i="54"/>
  <c r="AK21" i="54"/>
  <c r="AK19" i="54"/>
  <c r="AS5" i="54" a="1"/>
  <c r="R147" i="40"/>
  <c r="AQ14" i="54" a="1"/>
  <c r="AE19" i="54" a="1"/>
  <c r="AR19" i="54" a="1"/>
  <c r="AF19" i="54" a="1"/>
  <c r="AQ19" i="54" a="1"/>
  <c r="AE14" i="54" a="1"/>
  <c r="T147" i="40"/>
  <c r="AS14" i="54" a="1"/>
  <c r="Z28" i="39" a="1"/>
  <c r="Y27" i="39"/>
  <c r="Y43" i="39"/>
  <c r="Y45" i="39"/>
  <c r="AA28" i="39" a="1"/>
  <c r="AB27" i="39"/>
  <c r="Y40" i="39"/>
  <c r="Y51" i="39"/>
  <c r="AB45" i="39"/>
  <c r="AB43" i="39"/>
  <c r="Y36" i="39"/>
  <c r="Y44" i="39"/>
  <c r="AB46" i="39"/>
  <c r="AB36" i="39"/>
  <c r="Y38" i="39"/>
  <c r="Y49" i="39"/>
  <c r="AB38" i="39"/>
  <c r="AB37" i="39"/>
  <c r="Y39" i="39"/>
  <c r="Y37" i="39"/>
  <c r="AB44" i="39"/>
  <c r="AB47" i="39"/>
  <c r="Y50" i="39"/>
  <c r="Y47" i="39"/>
  <c r="AB49" i="39"/>
  <c r="AB48" i="39"/>
  <c r="Y41" i="39"/>
  <c r="Y42" i="39"/>
  <c r="AB42" i="39"/>
  <c r="AB41" i="39"/>
  <c r="AK14" i="54" a="1"/>
  <c r="Y48" i="39"/>
  <c r="Y46" i="39"/>
  <c r="AB51" i="39"/>
  <c r="AB40" i="39"/>
  <c r="AB39" i="39"/>
  <c r="AB50" i="39"/>
  <c r="AA29" i="39" l="1"/>
  <c r="AA28" i="39"/>
  <c r="Z29" i="39"/>
  <c r="Z30" i="39"/>
  <c r="Z28" i="39"/>
  <c r="AQ20" i="54"/>
  <c r="AQ21" i="54"/>
  <c r="AQ19" i="54"/>
  <c r="AR20" i="54"/>
  <c r="AR21" i="54"/>
  <c r="AR19" i="54"/>
  <c r="AE21" i="54"/>
  <c r="AE19" i="54"/>
  <c r="AE20" i="54"/>
  <c r="AQ16" i="54"/>
  <c r="AQ14" i="54"/>
  <c r="AQ15" i="54"/>
  <c r="AS6" i="54"/>
  <c r="AS5" i="54"/>
  <c r="AS14" i="54"/>
  <c r="AS15" i="54"/>
  <c r="AS16" i="54"/>
  <c r="AE16" i="54"/>
  <c r="AE14" i="54"/>
  <c r="AE15" i="54"/>
  <c r="AL6" i="54"/>
  <c r="AM6" i="54"/>
  <c r="AL5" i="54"/>
  <c r="AB57" i="39"/>
  <c r="AB56" i="39"/>
  <c r="AB54" i="39"/>
  <c r="AB59" i="39"/>
  <c r="AB60" i="39"/>
  <c r="AB58" i="39"/>
  <c r="AB55" i="39"/>
  <c r="Y60" i="39"/>
  <c r="Y54" i="39"/>
  <c r="Y55" i="39"/>
  <c r="Y56" i="39"/>
  <c r="Y58" i="39"/>
  <c r="Y57" i="39"/>
  <c r="Y59" i="39"/>
  <c r="AK16" i="54"/>
  <c r="AK14" i="54"/>
  <c r="AK15" i="54"/>
  <c r="AB35" i="39"/>
  <c r="BP5" i="39" s="1"/>
  <c r="Y35" i="39"/>
  <c r="BM5" i="39" s="1"/>
  <c r="AA35" i="39"/>
  <c r="BO5" i="39" s="1"/>
  <c r="AF19" i="54"/>
  <c r="AF20" i="54"/>
  <c r="AF21" i="54"/>
  <c r="R148" i="40"/>
  <c r="T148" i="40"/>
  <c r="AA27" i="39"/>
  <c r="BO1" i="39"/>
  <c r="BO74" i="39"/>
  <c r="BO66" i="39"/>
  <c r="BO87" i="39"/>
  <c r="BO57" i="39"/>
  <c r="BO46" i="39"/>
  <c r="BO116" i="39"/>
  <c r="BO43" i="39"/>
  <c r="BO100" i="39"/>
  <c r="BO34" i="39"/>
  <c r="BO125" i="39"/>
  <c r="BO77" i="39"/>
  <c r="BO26" i="39"/>
  <c r="BO49" i="39"/>
  <c r="BO58" i="39"/>
  <c r="BO99" i="39"/>
  <c r="BO50" i="39"/>
  <c r="BM1" i="39"/>
  <c r="BO18" i="39"/>
  <c r="BO113" i="39"/>
  <c r="BO114" i="39"/>
  <c r="BO19" i="39"/>
  <c r="BO108" i="39"/>
  <c r="BO78" i="39"/>
  <c r="BO91" i="39"/>
  <c r="BO128" i="39"/>
  <c r="BM103" i="39"/>
  <c r="BM54" i="39"/>
  <c r="BM58" i="39"/>
  <c r="BM135" i="39"/>
  <c r="BM13" i="39"/>
  <c r="BM100" i="39"/>
  <c r="BM102" i="39"/>
  <c r="BM50" i="39"/>
  <c r="BM59" i="39"/>
  <c r="BM117" i="39"/>
  <c r="BO109" i="39"/>
  <c r="BO45" i="39"/>
  <c r="BO126" i="39"/>
  <c r="BO84" i="39"/>
  <c r="BO115" i="39"/>
  <c r="BO33" i="39"/>
  <c r="BO47" i="39"/>
  <c r="BM133" i="39"/>
  <c r="BM91" i="39"/>
  <c r="BM49" i="39"/>
  <c r="BM22" i="39"/>
  <c r="BM79" i="39"/>
  <c r="BM70" i="39"/>
  <c r="BO60" i="39"/>
  <c r="BO71" i="39"/>
  <c r="BO72" i="39"/>
  <c r="BO17" i="39"/>
  <c r="BM53" i="39"/>
  <c r="BM121" i="39"/>
  <c r="BM109" i="39"/>
  <c r="BM129" i="39"/>
  <c r="BM94" i="39"/>
  <c r="BO122" i="39"/>
  <c r="BO101" i="39"/>
  <c r="BO37" i="39"/>
  <c r="BO15" i="39"/>
  <c r="BM36" i="39"/>
  <c r="BM128" i="39"/>
  <c r="BM64" i="39"/>
  <c r="BM51" i="39"/>
  <c r="BM33" i="39"/>
  <c r="Z27" i="39"/>
  <c r="BO51" i="39"/>
  <c r="BO64" i="39"/>
  <c r="BO123" i="39"/>
  <c r="BO54" i="39"/>
  <c r="BM84" i="39"/>
  <c r="BM89" i="39"/>
  <c r="BM40" i="39"/>
  <c r="BM126" i="39"/>
  <c r="BO129" i="39"/>
  <c r="BO23" i="39"/>
  <c r="BO90" i="39"/>
  <c r="BM93" i="39"/>
  <c r="BM10" i="39"/>
  <c r="BM26" i="39"/>
  <c r="BM47" i="39"/>
  <c r="BO83" i="39"/>
  <c r="BO8" i="39"/>
  <c r="BO94" i="39"/>
  <c r="BM8" i="39"/>
  <c r="BM62" i="39"/>
  <c r="BM127" i="39"/>
  <c r="BM16" i="39"/>
  <c r="BM11" i="39"/>
  <c r="BM122" i="39"/>
  <c r="BO73" i="39"/>
  <c r="BO42" i="39"/>
  <c r="BO93" i="39"/>
  <c r="BO16" i="39"/>
  <c r="BM32" i="39"/>
  <c r="BM85" i="39"/>
  <c r="BM132" i="39"/>
  <c r="BM118" i="39"/>
  <c r="BM43" i="39"/>
  <c r="BO32" i="39"/>
  <c r="BM134" i="39"/>
  <c r="BM123" i="39"/>
  <c r="BM111" i="39"/>
  <c r="BM23" i="39"/>
  <c r="BO104" i="39"/>
  <c r="BO55" i="39"/>
  <c r="BO80" i="39"/>
  <c r="BO31" i="39"/>
  <c r="BM80" i="39"/>
  <c r="BM56" i="39"/>
  <c r="BM25" i="39"/>
  <c r="BM88" i="39"/>
  <c r="BM48" i="39"/>
  <c r="BO59" i="39"/>
  <c r="BO107" i="39"/>
  <c r="BO76" i="39"/>
  <c r="BO118" i="39"/>
  <c r="BM35" i="39"/>
  <c r="BM81" i="39"/>
  <c r="BM78" i="39"/>
  <c r="BM21" i="39"/>
  <c r="BM39" i="39"/>
  <c r="BO25" i="39"/>
  <c r="BO82" i="39"/>
  <c r="BO110" i="39"/>
  <c r="BM9" i="39"/>
  <c r="BM67" i="39"/>
  <c r="BM19" i="39"/>
  <c r="BM75" i="39"/>
  <c r="BN1" i="39"/>
  <c r="BO81" i="39"/>
  <c r="BO124" i="39"/>
  <c r="BN41" i="39"/>
  <c r="BN67" i="39"/>
  <c r="BM38" i="39"/>
  <c r="BM83" i="39"/>
  <c r="BM18" i="39"/>
  <c r="BM14" i="39"/>
  <c r="BO13" i="39"/>
  <c r="BM116" i="39"/>
  <c r="BM115" i="39"/>
  <c r="BM46" i="39"/>
  <c r="BO63" i="39"/>
  <c r="BO121" i="39"/>
  <c r="BO48" i="39"/>
  <c r="BN10" i="39"/>
  <c r="BN6" i="39"/>
  <c r="BN113" i="39"/>
  <c r="BM98" i="39"/>
  <c r="BM37" i="39"/>
  <c r="BM44" i="39"/>
  <c r="AK9" i="54" a="1"/>
  <c r="BO67" i="39"/>
  <c r="BO36" i="39"/>
  <c r="BO21" i="39"/>
  <c r="BO98" i="39"/>
  <c r="BO30" i="39"/>
  <c r="BN19" i="39"/>
  <c r="BN57" i="39"/>
  <c r="BN90" i="39"/>
  <c r="BN52" i="39"/>
  <c r="BM124" i="39"/>
  <c r="BM131" i="39"/>
  <c r="BM107" i="39"/>
  <c r="BM63" i="39"/>
  <c r="BP1" i="39"/>
  <c r="BO61" i="39"/>
  <c r="BO39" i="39"/>
  <c r="BO22" i="39"/>
  <c r="BO38" i="39"/>
  <c r="BN75" i="39"/>
  <c r="BN92" i="39"/>
  <c r="BN49" i="39"/>
  <c r="BN78" i="39"/>
  <c r="BP113" i="39"/>
  <c r="BP81" i="39"/>
  <c r="BP13" i="39"/>
  <c r="BP26" i="39"/>
  <c r="BM105" i="39"/>
  <c r="BM101" i="39"/>
  <c r="BM96" i="39"/>
  <c r="BM60" i="39"/>
  <c r="BM17" i="39"/>
  <c r="AA37" i="39"/>
  <c r="AA47" i="39"/>
  <c r="AA50" i="39"/>
  <c r="AA36" i="39"/>
  <c r="AA51" i="39"/>
  <c r="AA39" i="39"/>
  <c r="AA41" i="39"/>
  <c r="AA43" i="39"/>
  <c r="AA49" i="39"/>
  <c r="AA42" i="39"/>
  <c r="AA40" i="39"/>
  <c r="AA48" i="39"/>
  <c r="AA45" i="39"/>
  <c r="AA44" i="39"/>
  <c r="AA38" i="39"/>
  <c r="AA46" i="39"/>
  <c r="BO62" i="39"/>
  <c r="BO117" i="39"/>
  <c r="BO52" i="39"/>
  <c r="BO103" i="39"/>
  <c r="BO130" i="39"/>
  <c r="BO53" i="39"/>
  <c r="BO120" i="39"/>
  <c r="BO69" i="39"/>
  <c r="BO88" i="39"/>
  <c r="BO68" i="39"/>
  <c r="BO105" i="39"/>
  <c r="BO14" i="39"/>
  <c r="BO131" i="39"/>
  <c r="BO29" i="39"/>
  <c r="BO111" i="39"/>
  <c r="BO11" i="39"/>
  <c r="BO6" i="39"/>
  <c r="BO20" i="39"/>
  <c r="BO133" i="39"/>
  <c r="BO65" i="39"/>
  <c r="BO119" i="39"/>
  <c r="BO44" i="39"/>
  <c r="BO102" i="39"/>
  <c r="BO92" i="39"/>
  <c r="BO97" i="39"/>
  <c r="BO112" i="39"/>
  <c r="BO56" i="39"/>
  <c r="BO85" i="39"/>
  <c r="BO12" i="39"/>
  <c r="BO70" i="39"/>
  <c r="BO10" i="39"/>
  <c r="BO132" i="39"/>
  <c r="BO9" i="39"/>
  <c r="BO40" i="39"/>
  <c r="BO95" i="39"/>
  <c r="BO24" i="39"/>
  <c r="BO28" i="39"/>
  <c r="BO135" i="39"/>
  <c r="BO86" i="39"/>
  <c r="BO96" i="39"/>
  <c r="BO127" i="39"/>
  <c r="BO89" i="39"/>
  <c r="BO41" i="39"/>
  <c r="BO134" i="39"/>
  <c r="BO106" i="39"/>
  <c r="BO27" i="39"/>
  <c r="BO79" i="39"/>
  <c r="BO35" i="39"/>
  <c r="BO75" i="39"/>
  <c r="BO7" i="39"/>
  <c r="BM45" i="39"/>
  <c r="BM42" i="39"/>
  <c r="BM61" i="39"/>
  <c r="BM65" i="39"/>
  <c r="BM74" i="39"/>
  <c r="BM69" i="39"/>
  <c r="BM77" i="39"/>
  <c r="BM106" i="39"/>
  <c r="BM20" i="39"/>
  <c r="BM34" i="39"/>
  <c r="BM41" i="39"/>
  <c r="BM31" i="39"/>
  <c r="BM72" i="39"/>
  <c r="BM57" i="39"/>
  <c r="BM7" i="39"/>
  <c r="BM52" i="39"/>
  <c r="BM82" i="39"/>
  <c r="BM112" i="39"/>
  <c r="BM86" i="39"/>
  <c r="BM119" i="39"/>
  <c r="BM108" i="39"/>
  <c r="BM120" i="39"/>
  <c r="BM92" i="39"/>
  <c r="BM99" i="39"/>
  <c r="BM110" i="39"/>
  <c r="BM113" i="39"/>
  <c r="BM27" i="39"/>
  <c r="BM30" i="39"/>
  <c r="BM66" i="39"/>
  <c r="BM87" i="39"/>
  <c r="BM104" i="39"/>
  <c r="BM15" i="39"/>
  <c r="BM95" i="39"/>
  <c r="BM55" i="39"/>
  <c r="BM114" i="39"/>
  <c r="BM68" i="39"/>
  <c r="BM130" i="39"/>
  <c r="BM71" i="39"/>
  <c r="BM12" i="39"/>
  <c r="BM76" i="39"/>
  <c r="BM97" i="39"/>
  <c r="BM29" i="39"/>
  <c r="BM90" i="39"/>
  <c r="BM73" i="39"/>
  <c r="BM28" i="39"/>
  <c r="BM6" i="39"/>
  <c r="BM24" i="39"/>
  <c r="BM125" i="39"/>
  <c r="Z47" i="39"/>
  <c r="Z46" i="39"/>
  <c r="Z43" i="39"/>
  <c r="Z49" i="39"/>
  <c r="Z51" i="39"/>
  <c r="Z42" i="39"/>
  <c r="Z37" i="39"/>
  <c r="Z39" i="39"/>
  <c r="Z45" i="39"/>
  <c r="Z36" i="39"/>
  <c r="Z40" i="39"/>
  <c r="Z48" i="39"/>
  <c r="Z50" i="39"/>
  <c r="Z38" i="39"/>
  <c r="Z44" i="39"/>
  <c r="Z41" i="39"/>
  <c r="BN9" i="39"/>
  <c r="BN72" i="39"/>
  <c r="BN18" i="39"/>
  <c r="BN32" i="39"/>
  <c r="BN44" i="39"/>
  <c r="BN85" i="39"/>
  <c r="BN45" i="39"/>
  <c r="BN61" i="39"/>
  <c r="BN74" i="39"/>
  <c r="BN96" i="39"/>
  <c r="BN71" i="39"/>
  <c r="BN112" i="39"/>
  <c r="BN15" i="39"/>
  <c r="BN82" i="39"/>
  <c r="BN116" i="39"/>
  <c r="BN37" i="39"/>
  <c r="BN60" i="39"/>
  <c r="BN130" i="39"/>
  <c r="BN21" i="39"/>
  <c r="BN11" i="39"/>
  <c r="BN110" i="39"/>
  <c r="BN55" i="39"/>
  <c r="BN120" i="39"/>
  <c r="BN117" i="39"/>
  <c r="BN99" i="39"/>
  <c r="BN91" i="39"/>
  <c r="BN56" i="39"/>
  <c r="BN109" i="39"/>
  <c r="BN59" i="39"/>
  <c r="BN35" i="39"/>
  <c r="BN80" i="39"/>
  <c r="BN100" i="39"/>
  <c r="BN81" i="39"/>
  <c r="BN79" i="39"/>
  <c r="BN36" i="39"/>
  <c r="BN88" i="39"/>
  <c r="BN22" i="39"/>
  <c r="BN101" i="39"/>
  <c r="BN46" i="39"/>
  <c r="BN134" i="39"/>
  <c r="BN76" i="39"/>
  <c r="BN63" i="39"/>
  <c r="BN84" i="39"/>
  <c r="BN69" i="39"/>
  <c r="BN73" i="39"/>
  <c r="BN125" i="39"/>
  <c r="BN87" i="39"/>
  <c r="BN94" i="39"/>
  <c r="BN102" i="39"/>
  <c r="BN135" i="39"/>
  <c r="BN29" i="39"/>
  <c r="BN40" i="39"/>
  <c r="BN123" i="39"/>
  <c r="BN62" i="39"/>
  <c r="BN50" i="39"/>
  <c r="BN105" i="39"/>
  <c r="BN111" i="39"/>
  <c r="BN38" i="39"/>
  <c r="BN68" i="39"/>
  <c r="BN64" i="39"/>
  <c r="BN48" i="39"/>
  <c r="BN53" i="39"/>
  <c r="BN65" i="39"/>
  <c r="BN13" i="39"/>
  <c r="BN66" i="39"/>
  <c r="BN124" i="39"/>
  <c r="BN43" i="39"/>
  <c r="BN93" i="39"/>
  <c r="BN114" i="39"/>
  <c r="BN122" i="39"/>
  <c r="BN70" i="39"/>
  <c r="BN129" i="39"/>
  <c r="BN107" i="39"/>
  <c r="BN30" i="39"/>
  <c r="BN97" i="39"/>
  <c r="BN42" i="39"/>
  <c r="BN25" i="39"/>
  <c r="BN54" i="39"/>
  <c r="BN31" i="39"/>
  <c r="BN23" i="39"/>
  <c r="BN104" i="39"/>
  <c r="BN47" i="39"/>
  <c r="BN131" i="39"/>
  <c r="BN98" i="39"/>
  <c r="BN103" i="39"/>
  <c r="BN121" i="39"/>
  <c r="BN126" i="39"/>
  <c r="BN8" i="39"/>
  <c r="BN133" i="39"/>
  <c r="BN28" i="39"/>
  <c r="BN14" i="39"/>
  <c r="BN17" i="39"/>
  <c r="BN115" i="39"/>
  <c r="BN58" i="39"/>
  <c r="BN83" i="39"/>
  <c r="BN34" i="39"/>
  <c r="BN128" i="39"/>
  <c r="BN108" i="39"/>
  <c r="BN16" i="39"/>
  <c r="BN118" i="39"/>
  <c r="BN89" i="39"/>
  <c r="BN132" i="39"/>
  <c r="BN33" i="39"/>
  <c r="BN26" i="39"/>
  <c r="BN39" i="39"/>
  <c r="BN20" i="39"/>
  <c r="BN24" i="39"/>
  <c r="BN77" i="39"/>
  <c r="BN7" i="39"/>
  <c r="BN119" i="39"/>
  <c r="BN127" i="39"/>
  <c r="BN86" i="39"/>
  <c r="BN95" i="39"/>
  <c r="BN12" i="39"/>
  <c r="BN51" i="39"/>
  <c r="BN106" i="39"/>
  <c r="BN27" i="39"/>
  <c r="BP10" i="39"/>
  <c r="BP68" i="39"/>
  <c r="BP85" i="39"/>
  <c r="BP93" i="39"/>
  <c r="BP124" i="39"/>
  <c r="BP118" i="39"/>
  <c r="BP6" i="39"/>
  <c r="BP55" i="39"/>
  <c r="BP78" i="39"/>
  <c r="BP7" i="39"/>
  <c r="BP105" i="39"/>
  <c r="BP131" i="39"/>
  <c r="BP46" i="39"/>
  <c r="BP135" i="39"/>
  <c r="BP41" i="39"/>
  <c r="BP123" i="39"/>
  <c r="BP17" i="39"/>
  <c r="BP20" i="39"/>
  <c r="BP84" i="39"/>
  <c r="BP44" i="39"/>
  <c r="BP99" i="39"/>
  <c r="BP65" i="39"/>
  <c r="BP28" i="39"/>
  <c r="BP36" i="39"/>
  <c r="BP129" i="39"/>
  <c r="BP35" i="39"/>
  <c r="BP16" i="39"/>
  <c r="BP104" i="39"/>
  <c r="BP90" i="39"/>
  <c r="BP18" i="39"/>
  <c r="BP23" i="39"/>
  <c r="BP101" i="39"/>
  <c r="BP115" i="39"/>
  <c r="BP132" i="39"/>
  <c r="BP125" i="39"/>
  <c r="BP56" i="39"/>
  <c r="BP107" i="39"/>
  <c r="BP12" i="39"/>
  <c r="BP134" i="39"/>
  <c r="BP121" i="39"/>
  <c r="BP79" i="39"/>
  <c r="BP50" i="39"/>
  <c r="BP51" i="39"/>
  <c r="BP30" i="39"/>
  <c r="BP14" i="39"/>
  <c r="BP29" i="39"/>
  <c r="BP48" i="39"/>
  <c r="BP76" i="39"/>
  <c r="BP47" i="39"/>
  <c r="BP112" i="39"/>
  <c r="BP119" i="39"/>
  <c r="BP96" i="39"/>
  <c r="BP92" i="39"/>
  <c r="BP53" i="39"/>
  <c r="BP71" i="39"/>
  <c r="BP58" i="39"/>
  <c r="BP62" i="39"/>
  <c r="BP66" i="39"/>
  <c r="BP127" i="39"/>
  <c r="BP61" i="39"/>
  <c r="BP83" i="39"/>
  <c r="BP11" i="39"/>
  <c r="BP77" i="39"/>
  <c r="BP102" i="39"/>
  <c r="BP82" i="39"/>
  <c r="BP110" i="39"/>
  <c r="BP100" i="39"/>
  <c r="BP94" i="39"/>
  <c r="BP74" i="39"/>
  <c r="BP109" i="39"/>
  <c r="BP114" i="39"/>
  <c r="BP128" i="39"/>
  <c r="BP21" i="39"/>
  <c r="BP120" i="39"/>
  <c r="BP95" i="39"/>
  <c r="BP130" i="39"/>
  <c r="BP80" i="39"/>
  <c r="BP69" i="39"/>
  <c r="BP49" i="39"/>
  <c r="BP57" i="39"/>
  <c r="BP15" i="39"/>
  <c r="BP59" i="39"/>
  <c r="BP45" i="39"/>
  <c r="BP19" i="39"/>
  <c r="BP22" i="39"/>
  <c r="BP39" i="39"/>
  <c r="BP42" i="39"/>
  <c r="BP64" i="39"/>
  <c r="BP116" i="39"/>
  <c r="BP126" i="39"/>
  <c r="BP72" i="39"/>
  <c r="BP32" i="39"/>
  <c r="BP117" i="39"/>
  <c r="BP37" i="39"/>
  <c r="BP33" i="39"/>
  <c r="BP73" i="39"/>
  <c r="BP40" i="39"/>
  <c r="BP75" i="39"/>
  <c r="BP9" i="39"/>
  <c r="BP34" i="39"/>
  <c r="BP98" i="39"/>
  <c r="BP52" i="39"/>
  <c r="BP106" i="39"/>
  <c r="BP86" i="39"/>
  <c r="BP87" i="39"/>
  <c r="BP111" i="39"/>
  <c r="BP97" i="39"/>
  <c r="BP122" i="39"/>
  <c r="BP133" i="39"/>
  <c r="BP27" i="39"/>
  <c r="BP8" i="39"/>
  <c r="BP89" i="39"/>
  <c r="BP31" i="39"/>
  <c r="BP91" i="39"/>
  <c r="BP38" i="39"/>
  <c r="BP54" i="39"/>
  <c r="BP63" i="39"/>
  <c r="BP67" i="39"/>
  <c r="BP70" i="39"/>
  <c r="BP103" i="39"/>
  <c r="BP43" i="39"/>
  <c r="BP108" i="39"/>
  <c r="BP25" i="39"/>
  <c r="BP24" i="39"/>
  <c r="BP88" i="39"/>
  <c r="BP60" i="39"/>
  <c r="Z59" i="39" l="1"/>
  <c r="Z57" i="39"/>
  <c r="Z54" i="39"/>
  <c r="Z60" i="39"/>
  <c r="Z58" i="39"/>
  <c r="Z55" i="39"/>
  <c r="Z56" i="39"/>
  <c r="AA55" i="39"/>
  <c r="AA54" i="39"/>
  <c r="AA57" i="39"/>
  <c r="AA58" i="39"/>
  <c r="AA60" i="39"/>
  <c r="AA59" i="39"/>
  <c r="AA56" i="39"/>
  <c r="Z35" i="39"/>
  <c r="BN5" i="39" s="1"/>
  <c r="AX14" i="54" a="1"/>
  <c r="AY14" i="54" s="1"/>
  <c r="AL19" i="54" a="1"/>
  <c r="AL21" i="54" s="1"/>
  <c r="AK9" i="54"/>
  <c r="AK10" i="54"/>
  <c r="R149" i="40"/>
  <c r="T149" i="40"/>
  <c r="R150" i="40"/>
  <c r="T150" i="40"/>
  <c r="AX14" i="54" l="1"/>
  <c r="AZ16" i="54"/>
  <c r="AZ15" i="54"/>
  <c r="AY15" i="54"/>
  <c r="AX16" i="54"/>
  <c r="AX15" i="54"/>
  <c r="AY16" i="54"/>
  <c r="AZ14" i="54"/>
  <c r="AM20" i="54"/>
  <c r="AL20" i="54"/>
  <c r="AM21" i="54"/>
  <c r="AN21" i="54"/>
  <c r="AN20" i="54"/>
  <c r="AM19" i="54"/>
  <c r="AN19" i="54"/>
  <c r="AL19" i="54"/>
  <c r="R151" i="40"/>
  <c r="T151" i="40"/>
  <c r="AW14" i="54" a="1"/>
  <c r="AI19" i="54" l="1" a="1"/>
  <c r="AI19" i="54" s="1"/>
  <c r="T30" i="54" s="1"/>
  <c r="AW14" i="54"/>
  <c r="AW15" i="54"/>
  <c r="AW16" i="54"/>
  <c r="R152" i="40"/>
  <c r="AF9" i="54" a="1"/>
  <c r="T152" i="40"/>
  <c r="AI20" i="54" l="1"/>
  <c r="T29" i="54" s="1"/>
  <c r="AI21" i="54"/>
  <c r="T28" i="54" s="1"/>
  <c r="T35" i="54" s="1"/>
  <c r="BH5" i="54" s="1"/>
  <c r="AU14" i="54" a="1"/>
  <c r="AU14" i="54" s="1"/>
  <c r="V30" i="54" s="1"/>
  <c r="AF9" i="54"/>
  <c r="R153" i="40"/>
  <c r="T153" i="40"/>
  <c r="AU16" i="54" l="1"/>
  <c r="V28" i="54" s="1"/>
  <c r="AU15" i="54"/>
  <c r="V29" i="54" s="1"/>
  <c r="AF10" i="54"/>
  <c r="AL9" i="54" s="1" a="1"/>
  <c r="R154" i="40"/>
  <c r="AS19" i="54" a="1"/>
  <c r="T154" i="40"/>
  <c r="V35" i="54" l="1"/>
  <c r="BJ5" i="54" s="1"/>
  <c r="AL10" i="54"/>
  <c r="AL9" i="54"/>
  <c r="AM10" i="54"/>
  <c r="AM9" i="54"/>
  <c r="AS19" i="54"/>
  <c r="AS20" i="54"/>
  <c r="AS21" i="54"/>
  <c r="R155" i="40"/>
  <c r="AS9" i="54" a="1"/>
  <c r="T155" i="40"/>
  <c r="AX19" i="54" l="1" a="1"/>
  <c r="AI9" i="54" a="1"/>
  <c r="AS10" i="54"/>
  <c r="AS9" i="54"/>
  <c r="R156" i="40"/>
  <c r="AF14" i="54" a="1"/>
  <c r="T156" i="40"/>
  <c r="AI10" i="54" l="1"/>
  <c r="S28" i="54" s="1"/>
  <c r="AI9" i="54"/>
  <c r="S29" i="54" s="1"/>
  <c r="AZ21" i="54"/>
  <c r="AY20" i="54"/>
  <c r="AX19" i="54"/>
  <c r="AZ20" i="54"/>
  <c r="AX21" i="54"/>
  <c r="AX20" i="54"/>
  <c r="AY19" i="54"/>
  <c r="AZ19" i="54"/>
  <c r="AY21" i="54"/>
  <c r="AF14" i="54"/>
  <c r="AF15" i="54"/>
  <c r="AF16" i="54"/>
  <c r="R157" i="40"/>
  <c r="R158" i="40" s="1"/>
  <c r="T158" i="40" s="1"/>
  <c r="T157" i="40"/>
  <c r="AK5" i="54" a="1"/>
  <c r="AL14" i="54" l="1" a="1"/>
  <c r="S35" i="54"/>
  <c r="BG5" i="54" s="1"/>
  <c r="AK5" i="54"/>
  <c r="AK6" i="54"/>
  <c r="R159" i="40"/>
  <c r="T159" i="40"/>
  <c r="AW19" i="54" a="1"/>
  <c r="AI5" i="54" l="1" a="1"/>
  <c r="AI6" i="54" s="1"/>
  <c r="G28" i="54" s="1"/>
  <c r="AN14" i="54"/>
  <c r="AL16" i="54"/>
  <c r="AL15" i="54"/>
  <c r="AM16" i="54"/>
  <c r="AM15" i="54"/>
  <c r="AN16" i="54"/>
  <c r="AN15" i="54"/>
  <c r="AL14" i="54"/>
  <c r="AM14" i="54"/>
  <c r="AW19" i="54"/>
  <c r="AW20" i="54"/>
  <c r="AW21" i="54"/>
  <c r="R160" i="40"/>
  <c r="T160" i="40"/>
  <c r="AW9" i="54" a="1"/>
  <c r="AI5" i="54" l="1"/>
  <c r="G29" i="54" s="1"/>
  <c r="AU19" i="54" a="1"/>
  <c r="AI14" i="54" a="1"/>
  <c r="G35" i="54"/>
  <c r="BE5" i="54" s="1"/>
  <c r="AW10" i="54"/>
  <c r="AW9" i="54"/>
  <c r="R161" i="40"/>
  <c r="T161" i="40"/>
  <c r="AI15" i="54" l="1"/>
  <c r="H29" i="54" s="1"/>
  <c r="AI14" i="54"/>
  <c r="H30" i="54" s="1"/>
  <c r="AI16" i="54"/>
  <c r="H28" i="54" s="1"/>
  <c r="AU21" i="54"/>
  <c r="X28" i="54" s="1"/>
  <c r="AU19" i="54"/>
  <c r="X30" i="54" s="1"/>
  <c r="AU20" i="54"/>
  <c r="X29" i="54" s="1"/>
  <c r="R162" i="40"/>
  <c r="T162" i="40"/>
  <c r="BJ1" i="54"/>
  <c r="BJ50" i="54"/>
  <c r="BJ64" i="54"/>
  <c r="BJ57" i="54"/>
  <c r="BJ32" i="54"/>
  <c r="BJ71" i="54"/>
  <c r="BJ15" i="54"/>
  <c r="BJ10" i="54"/>
  <c r="BJ25" i="54"/>
  <c r="BJ70" i="54"/>
  <c r="BJ69" i="54"/>
  <c r="BJ55" i="54"/>
  <c r="BJ60" i="54"/>
  <c r="BJ44" i="54"/>
  <c r="BJ11" i="54"/>
  <c r="BJ31" i="54"/>
  <c r="BJ56" i="54"/>
  <c r="BJ41" i="54"/>
  <c r="BJ28" i="54"/>
  <c r="BJ22" i="54"/>
  <c r="BJ23" i="54"/>
  <c r="BJ53" i="54"/>
  <c r="BJ27" i="54"/>
  <c r="BJ72" i="54"/>
  <c r="BJ19" i="54"/>
  <c r="BJ21" i="54"/>
  <c r="BJ67" i="54"/>
  <c r="BJ36" i="54"/>
  <c r="BJ42" i="54"/>
  <c r="BJ37" i="54"/>
  <c r="BJ13" i="54"/>
  <c r="BJ49" i="54"/>
  <c r="BJ54" i="54"/>
  <c r="BJ26" i="54"/>
  <c r="BJ68" i="54"/>
  <c r="BJ59" i="54"/>
  <c r="BJ51" i="54"/>
  <c r="BJ39" i="54"/>
  <c r="BJ30" i="54"/>
  <c r="BJ35" i="54"/>
  <c r="BL1" i="54"/>
  <c r="BL68" i="54"/>
  <c r="BL71" i="54"/>
  <c r="BL7" i="54"/>
  <c r="BJ52" i="54"/>
  <c r="BJ29" i="54"/>
  <c r="BJ40" i="54"/>
  <c r="BJ9" i="54"/>
  <c r="BJ47" i="54"/>
  <c r="BJ65" i="54"/>
  <c r="BJ17" i="54"/>
  <c r="BJ48" i="54"/>
  <c r="BJ62" i="54"/>
  <c r="BJ43" i="54"/>
  <c r="BJ66" i="54"/>
  <c r="BJ12" i="54"/>
  <c r="BJ20" i="54"/>
  <c r="BJ38" i="54"/>
  <c r="BJ7" i="54"/>
  <c r="BJ34" i="54"/>
  <c r="BJ24" i="54"/>
  <c r="BJ46" i="54"/>
  <c r="BJ33" i="54"/>
  <c r="BJ18" i="54"/>
  <c r="BL59" i="54"/>
  <c r="BL44" i="54"/>
  <c r="BL26" i="54"/>
  <c r="BL72" i="54"/>
  <c r="BL69" i="54"/>
  <c r="BL29" i="54"/>
  <c r="BL61" i="54"/>
  <c r="BL40" i="54"/>
  <c r="BL20" i="54"/>
  <c r="BL51" i="54"/>
  <c r="BL6" i="54"/>
  <c r="BL32" i="54"/>
  <c r="BL60" i="54"/>
  <c r="BL30" i="54"/>
  <c r="BL50" i="54"/>
  <c r="BL64" i="54"/>
  <c r="BL52" i="54"/>
  <c r="BL43" i="54"/>
  <c r="BL13" i="54"/>
  <c r="BL28" i="54"/>
  <c r="BL19" i="54"/>
  <c r="BL35" i="54"/>
  <c r="BL17" i="54"/>
  <c r="BL8" i="54"/>
  <c r="BL41" i="54"/>
  <c r="BL55" i="54"/>
  <c r="BL36" i="54"/>
  <c r="BL37" i="54"/>
  <c r="BL24" i="54"/>
  <c r="BL47" i="54"/>
  <c r="BL67" i="54"/>
  <c r="BL70" i="54"/>
  <c r="BL65" i="54"/>
  <c r="BL15" i="54"/>
  <c r="BL27" i="54"/>
  <c r="BL14" i="54"/>
  <c r="BL12" i="54"/>
  <c r="BL25" i="54"/>
  <c r="BL54" i="54"/>
  <c r="BL23" i="54"/>
  <c r="BL56" i="54"/>
  <c r="BL38" i="54"/>
  <c r="BL62" i="54"/>
  <c r="BL10" i="54"/>
  <c r="BL18" i="54"/>
  <c r="BL49" i="54"/>
  <c r="BL34" i="54"/>
  <c r="BL31" i="54"/>
  <c r="BL33" i="54"/>
  <c r="BL66" i="54"/>
  <c r="BL58" i="54"/>
  <c r="BL9" i="54"/>
  <c r="BL63" i="54"/>
  <c r="BL48" i="54"/>
  <c r="BL21" i="54"/>
  <c r="BL45" i="54"/>
  <c r="BL57" i="54"/>
  <c r="BL46" i="54"/>
  <c r="BL16" i="54"/>
  <c r="X35" i="54" l="1"/>
  <c r="BL5" i="54" s="1"/>
  <c r="H35" i="54"/>
  <c r="BF5" i="54" s="1"/>
  <c r="R163" i="40"/>
  <c r="AR9" i="54" a="1"/>
  <c r="AR5" i="54" a="1"/>
  <c r="T163" i="40"/>
  <c r="BJ8" i="54"/>
  <c r="BJ63" i="54"/>
  <c r="BJ45" i="54"/>
  <c r="BL42" i="54"/>
  <c r="BL53" i="54"/>
  <c r="BL11" i="54"/>
  <c r="BJ61" i="54"/>
  <c r="BJ6" i="54"/>
  <c r="BJ58" i="54"/>
  <c r="BL39" i="54"/>
  <c r="BL22" i="54"/>
  <c r="BJ16" i="54"/>
  <c r="BJ14" i="54"/>
  <c r="AW5" i="54" a="1"/>
  <c r="AR9" i="54" l="1"/>
  <c r="AR10" i="54"/>
  <c r="AW6" i="54"/>
  <c r="AW5" i="54"/>
  <c r="AX9" i="54" a="1"/>
  <c r="AY9" i="54" s="1"/>
  <c r="AR5" i="54"/>
  <c r="AR6" i="54"/>
  <c r="AX5" i="54" s="1" a="1"/>
  <c r="AX6" i="54" s="1"/>
  <c r="R164" i="40"/>
  <c r="T164" i="40" s="1"/>
  <c r="V27" i="54"/>
  <c r="S27" i="54"/>
  <c r="S40" i="54"/>
  <c r="S44" i="54"/>
  <c r="V50" i="54"/>
  <c r="S51" i="54"/>
  <c r="S48" i="54"/>
  <c r="S50" i="54"/>
  <c r="S43" i="54"/>
  <c r="S42" i="54"/>
  <c r="H27" i="54"/>
  <c r="V41" i="54"/>
  <c r="X27" i="54"/>
  <c r="S41" i="54"/>
  <c r="X43" i="54"/>
  <c r="V45" i="54"/>
  <c r="H40" i="54"/>
  <c r="H42" i="54"/>
  <c r="X38" i="54"/>
  <c r="V39" i="54"/>
  <c r="S39" i="54"/>
  <c r="H43" i="54"/>
  <c r="X40" i="54"/>
  <c r="V42" i="54"/>
  <c r="V47" i="54"/>
  <c r="S47" i="54"/>
  <c r="V40" i="54"/>
  <c r="H41" i="54"/>
  <c r="H49" i="54"/>
  <c r="V48" i="54"/>
  <c r="V37" i="54"/>
  <c r="H37" i="54"/>
  <c r="H46" i="54"/>
  <c r="V49" i="54"/>
  <c r="BG1" i="54"/>
  <c r="X45" i="54"/>
  <c r="BG44" i="54"/>
  <c r="BG8" i="54"/>
  <c r="BG29" i="54"/>
  <c r="V44" i="54"/>
  <c r="V38" i="54"/>
  <c r="V51" i="54"/>
  <c r="S49" i="54"/>
  <c r="BG21" i="54"/>
  <c r="BG15" i="54"/>
  <c r="BG22" i="54"/>
  <c r="BG51" i="54"/>
  <c r="V36" i="54"/>
  <c r="H44" i="54"/>
  <c r="BF1" i="54"/>
  <c r="X41" i="54"/>
  <c r="BF13" i="54"/>
  <c r="BF51" i="54"/>
  <c r="BF63" i="54"/>
  <c r="BF8" i="54"/>
  <c r="BF30" i="54"/>
  <c r="BG61" i="54"/>
  <c r="BG65" i="54"/>
  <c r="BG7" i="54"/>
  <c r="H48" i="54"/>
  <c r="X47" i="54"/>
  <c r="S38" i="54"/>
  <c r="X36" i="54"/>
  <c r="BF40" i="54"/>
  <c r="BF72" i="54"/>
  <c r="BG54" i="54"/>
  <c r="BG42" i="54"/>
  <c r="BG40" i="54"/>
  <c r="S46" i="54"/>
  <c r="S36" i="54"/>
  <c r="X39" i="54"/>
  <c r="BF52" i="54"/>
  <c r="BF42" i="54"/>
  <c r="BG6" i="54"/>
  <c r="BG24" i="54"/>
  <c r="BG35" i="54"/>
  <c r="V46" i="54"/>
  <c r="H50" i="54"/>
  <c r="X50" i="54"/>
  <c r="BF29" i="54"/>
  <c r="BF48" i="54"/>
  <c r="BG58" i="54"/>
  <c r="BG36" i="54"/>
  <c r="H36" i="54"/>
  <c r="X44" i="54"/>
  <c r="X51" i="54"/>
  <c r="BF67" i="54"/>
  <c r="BF12" i="54"/>
  <c r="BF17" i="54"/>
  <c r="BG55" i="54"/>
  <c r="BG12" i="54"/>
  <c r="BG66" i="54"/>
  <c r="BF64" i="54"/>
  <c r="BF20" i="54"/>
  <c r="BF41" i="54"/>
  <c r="BG9" i="54"/>
  <c r="BG60" i="54"/>
  <c r="BG32" i="54"/>
  <c r="H47" i="54"/>
  <c r="S37" i="54"/>
  <c r="BF45" i="54"/>
  <c r="BF69" i="54"/>
  <c r="BF36" i="54"/>
  <c r="BG50" i="54"/>
  <c r="BG23" i="54"/>
  <c r="BG10" i="54"/>
  <c r="V43" i="54"/>
  <c r="T27" i="54"/>
  <c r="X42" i="54"/>
  <c r="T44" i="54"/>
  <c r="BF37" i="54"/>
  <c r="BF61" i="54"/>
  <c r="BF59" i="54"/>
  <c r="BG71" i="54"/>
  <c r="BG67" i="54"/>
  <c r="BG45" i="54"/>
  <c r="G27" i="54"/>
  <c r="S45" i="54"/>
  <c r="X37" i="54"/>
  <c r="BF11" i="54"/>
  <c r="BF53" i="54"/>
  <c r="BF43" i="54"/>
  <c r="BG26" i="54"/>
  <c r="BG30" i="54"/>
  <c r="BG68" i="54"/>
  <c r="BG18" i="54"/>
  <c r="H38" i="54"/>
  <c r="H45" i="54"/>
  <c r="H51" i="54"/>
  <c r="H39" i="54"/>
  <c r="X46" i="54"/>
  <c r="X49" i="54"/>
  <c r="X48" i="54"/>
  <c r="BG48" i="54"/>
  <c r="BG38" i="54"/>
  <c r="BG53" i="54"/>
  <c r="BG63" i="54"/>
  <c r="BG41" i="54"/>
  <c r="BG56" i="54"/>
  <c r="BG49" i="54"/>
  <c r="BG17" i="54"/>
  <c r="BG14" i="54"/>
  <c r="BG70" i="54"/>
  <c r="BG69" i="54"/>
  <c r="BG39" i="54"/>
  <c r="BG28" i="54"/>
  <c r="BG13" i="54"/>
  <c r="BG34" i="54"/>
  <c r="BG37" i="54"/>
  <c r="BG25" i="54"/>
  <c r="BG31" i="54"/>
  <c r="BG59" i="54"/>
  <c r="BG43" i="54"/>
  <c r="BG57" i="54"/>
  <c r="BG20" i="54"/>
  <c r="BG33" i="54"/>
  <c r="BG46" i="54"/>
  <c r="BG27" i="54"/>
  <c r="BG72" i="54"/>
  <c r="BG11" i="54"/>
  <c r="BG19" i="54"/>
  <c r="BG64" i="54"/>
  <c r="BG52" i="54"/>
  <c r="BG47" i="54"/>
  <c r="BG62" i="54"/>
  <c r="BG16" i="54"/>
  <c r="BF19" i="54"/>
  <c r="BF10" i="54"/>
  <c r="BF58" i="54"/>
  <c r="BF60" i="54"/>
  <c r="BF66" i="54"/>
  <c r="BF15" i="54"/>
  <c r="BF47" i="54"/>
  <c r="BF68" i="54"/>
  <c r="BF65" i="54"/>
  <c r="BF9" i="54"/>
  <c r="BF21" i="54"/>
  <c r="BF27" i="54"/>
  <c r="BF34" i="54"/>
  <c r="BF49" i="54"/>
  <c r="BF38" i="54"/>
  <c r="BF70" i="54"/>
  <c r="BF33" i="54"/>
  <c r="BF28" i="54"/>
  <c r="BF56" i="54"/>
  <c r="BF57" i="54"/>
  <c r="BF14" i="54"/>
  <c r="BF26" i="54"/>
  <c r="BF23" i="54"/>
  <c r="BF35" i="54"/>
  <c r="BF22" i="54"/>
  <c r="BF39" i="54"/>
  <c r="BF62" i="54"/>
  <c r="BF7" i="54"/>
  <c r="BF31" i="54"/>
  <c r="BF55" i="54"/>
  <c r="BF24" i="54"/>
  <c r="BF54" i="54"/>
  <c r="BF32" i="54"/>
  <c r="BF16" i="54"/>
  <c r="BF50" i="54"/>
  <c r="BF71" i="54"/>
  <c r="BF6" i="54"/>
  <c r="BF25" i="54"/>
  <c r="BF46" i="54"/>
  <c r="BF44" i="54"/>
  <c r="BF18" i="54"/>
  <c r="T36" i="54"/>
  <c r="T43" i="54"/>
  <c r="T46" i="54"/>
  <c r="BH1" i="54"/>
  <c r="T37" i="54"/>
  <c r="T42" i="54"/>
  <c r="T48" i="54"/>
  <c r="T49" i="54"/>
  <c r="T38" i="54"/>
  <c r="T47" i="54"/>
  <c r="T45" i="54"/>
  <c r="T41" i="54"/>
  <c r="T51" i="54"/>
  <c r="T40" i="54"/>
  <c r="T50" i="54"/>
  <c r="T39" i="54"/>
  <c r="G46" i="54"/>
  <c r="G48" i="54"/>
  <c r="G40" i="54"/>
  <c r="G38" i="54"/>
  <c r="G47" i="54"/>
  <c r="G36" i="54"/>
  <c r="G50" i="54"/>
  <c r="BE1" i="54"/>
  <c r="G39" i="54"/>
  <c r="G42" i="54"/>
  <c r="G41" i="54"/>
  <c r="G37" i="54"/>
  <c r="G45" i="54"/>
  <c r="G44" i="54"/>
  <c r="G49" i="54"/>
  <c r="G51" i="54"/>
  <c r="G43" i="54"/>
  <c r="BH69" i="54"/>
  <c r="BH23" i="54"/>
  <c r="BH45" i="54"/>
  <c r="BH62" i="54"/>
  <c r="BH48" i="54"/>
  <c r="BH68" i="54"/>
  <c r="BH60" i="54"/>
  <c r="BH55" i="54"/>
  <c r="BH66" i="54"/>
  <c r="BH71" i="54"/>
  <c r="BH20" i="54"/>
  <c r="BH27" i="54"/>
  <c r="BH53" i="54"/>
  <c r="BH51" i="54"/>
  <c r="BH58" i="54"/>
  <c r="BH67" i="54"/>
  <c r="BH16" i="54"/>
  <c r="BH14" i="54"/>
  <c r="BH52" i="54"/>
  <c r="BH21" i="54"/>
  <c r="BH72" i="54"/>
  <c r="BH34" i="54"/>
  <c r="BH38" i="54"/>
  <c r="BH22" i="54"/>
  <c r="BH9" i="54"/>
  <c r="BH50" i="54"/>
  <c r="BH40" i="54"/>
  <c r="BH49" i="54"/>
  <c r="BH31" i="54"/>
  <c r="BH30" i="54"/>
  <c r="BH54" i="54"/>
  <c r="BH57" i="54"/>
  <c r="BH42" i="54"/>
  <c r="BH44" i="54"/>
  <c r="BH33" i="54"/>
  <c r="BH11" i="54"/>
  <c r="BH65" i="54"/>
  <c r="BH35" i="54"/>
  <c r="BH47" i="54"/>
  <c r="BH24" i="54"/>
  <c r="BH36" i="54"/>
  <c r="BH17" i="54"/>
  <c r="BH56" i="54"/>
  <c r="BH15" i="54"/>
  <c r="BH10" i="54"/>
  <c r="BH12" i="54"/>
  <c r="BH29" i="54"/>
  <c r="BH61" i="54"/>
  <c r="BH59" i="54"/>
  <c r="BH46" i="54"/>
  <c r="BH41" i="54"/>
  <c r="BH18" i="54"/>
  <c r="BH37" i="54"/>
  <c r="BH13" i="54"/>
  <c r="BH32" i="54"/>
  <c r="BH6" i="54"/>
  <c r="BH25" i="54"/>
  <c r="BH39" i="54"/>
  <c r="BH7" i="54"/>
  <c r="BH19" i="54"/>
  <c r="BH43" i="54"/>
  <c r="BH70" i="54"/>
  <c r="BH26" i="54"/>
  <c r="BH63" i="54"/>
  <c r="BH64" i="54"/>
  <c r="BH28" i="54"/>
  <c r="BH8" i="54"/>
  <c r="BE69" i="54"/>
  <c r="BE34" i="54"/>
  <c r="BE16" i="54"/>
  <c r="BE70" i="54"/>
  <c r="BE40" i="54"/>
  <c r="BE46" i="54"/>
  <c r="BE7" i="54"/>
  <c r="BE38" i="54"/>
  <c r="BE15" i="54"/>
  <c r="BE39" i="54"/>
  <c r="BE12" i="54"/>
  <c r="BE52" i="54"/>
  <c r="BE36" i="54"/>
  <c r="BE57" i="54"/>
  <c r="BE8" i="54"/>
  <c r="BE58" i="54"/>
  <c r="BE18" i="54"/>
  <c r="BE53" i="54"/>
  <c r="BE17" i="54"/>
  <c r="BE32" i="54"/>
  <c r="BE6" i="54"/>
  <c r="BE51" i="54"/>
  <c r="BE48" i="54"/>
  <c r="BE21" i="54"/>
  <c r="BE62" i="54"/>
  <c r="BE64" i="54"/>
  <c r="BE72" i="54"/>
  <c r="BE45" i="54"/>
  <c r="BE54" i="54"/>
  <c r="BE29" i="54"/>
  <c r="BE24" i="54"/>
  <c r="BE22" i="54"/>
  <c r="BE9" i="54"/>
  <c r="BE43" i="54"/>
  <c r="BE33" i="54"/>
  <c r="BE35" i="54"/>
  <c r="BE37" i="54"/>
  <c r="BE42" i="54"/>
  <c r="BE26" i="54"/>
  <c r="BE67" i="54"/>
  <c r="BE61" i="54"/>
  <c r="BE31" i="54"/>
  <c r="BE65" i="54"/>
  <c r="BE63" i="54"/>
  <c r="BE25" i="54"/>
  <c r="BE44" i="54"/>
  <c r="BE60" i="54"/>
  <c r="BE66" i="54"/>
  <c r="BE55" i="54"/>
  <c r="BE30" i="54"/>
  <c r="BE41" i="54"/>
  <c r="BE56" i="54"/>
  <c r="BE23" i="54"/>
  <c r="BE19" i="54"/>
  <c r="BE27" i="54"/>
  <c r="BE11" i="54"/>
  <c r="BE10" i="54"/>
  <c r="BE49" i="54"/>
  <c r="BE14" i="54"/>
  <c r="BE20" i="54"/>
  <c r="BE28" i="54"/>
  <c r="BE50" i="54"/>
  <c r="BE13" i="54"/>
  <c r="BE47" i="54"/>
  <c r="BE59" i="54"/>
  <c r="BE68" i="54"/>
  <c r="BE71" i="54"/>
  <c r="T63" i="54" l="1"/>
  <c r="T62" i="54"/>
  <c r="T61" i="54"/>
  <c r="T56" i="54"/>
  <c r="T58" i="54"/>
  <c r="T57" i="54"/>
  <c r="T60" i="54"/>
  <c r="T59" i="54"/>
  <c r="T55" i="54"/>
  <c r="T54" i="54"/>
  <c r="X61" i="54"/>
  <c r="X63" i="54"/>
  <c r="X62" i="54"/>
  <c r="X55" i="54"/>
  <c r="X58" i="54"/>
  <c r="X57" i="54"/>
  <c r="X60" i="54"/>
  <c r="X54" i="54"/>
  <c r="G62" i="54"/>
  <c r="G61" i="54"/>
  <c r="G63" i="54"/>
  <c r="G54" i="54"/>
  <c r="G60" i="54"/>
  <c r="G57" i="54"/>
  <c r="G56" i="54"/>
  <c r="G55" i="54"/>
  <c r="G59" i="54"/>
  <c r="G58" i="54"/>
  <c r="S61" i="54"/>
  <c r="S62" i="54"/>
  <c r="S63" i="54"/>
  <c r="S57" i="54"/>
  <c r="S59" i="54"/>
  <c r="S54" i="54"/>
  <c r="H63" i="54"/>
  <c r="H61" i="54"/>
  <c r="H62" i="54"/>
  <c r="H55" i="54"/>
  <c r="H54" i="54"/>
  <c r="V63" i="54"/>
  <c r="V61" i="54"/>
  <c r="V62" i="54"/>
  <c r="X56" i="54"/>
  <c r="X59" i="54"/>
  <c r="H56" i="54"/>
  <c r="S55" i="54"/>
  <c r="S60" i="54"/>
  <c r="S56" i="54"/>
  <c r="V59" i="54"/>
  <c r="H58" i="54"/>
  <c r="V58" i="54"/>
  <c r="S58" i="54"/>
  <c r="V55" i="54"/>
  <c r="H59" i="54"/>
  <c r="V57" i="54"/>
  <c r="H57" i="54"/>
  <c r="V54" i="54"/>
  <c r="H60" i="54"/>
  <c r="V56" i="54"/>
  <c r="V60" i="54"/>
  <c r="AY10" i="54"/>
  <c r="AX9" i="54"/>
  <c r="AX10" i="54"/>
  <c r="AY5" i="54"/>
  <c r="AX5" i="54"/>
  <c r="AY6" i="54"/>
  <c r="R165" i="40"/>
  <c r="T165" i="40"/>
  <c r="AU9" i="54" l="1" a="1"/>
  <c r="AU10" i="54" s="1"/>
  <c r="W28" i="54" s="1"/>
  <c r="AU5" i="54" a="1"/>
  <c r="AU6" i="54" s="1"/>
  <c r="U28" i="54" s="1"/>
  <c r="R166" i="40"/>
  <c r="T166" i="40"/>
  <c r="AU9" i="54" l="1"/>
  <c r="W29" i="54" s="1"/>
  <c r="AU5" i="54"/>
  <c r="U29" i="54" s="1"/>
  <c r="U35" i="54" s="1"/>
  <c r="BI5" i="54" s="1"/>
  <c r="W35" i="54"/>
  <c r="BK5" i="54" s="1"/>
  <c r="R167" i="40"/>
  <c r="T167" i="40"/>
  <c r="Z25" i="54"/>
  <c r="Z26" i="54"/>
  <c r="W27" i="54"/>
  <c r="W47" i="54"/>
  <c r="W36" i="54"/>
  <c r="BK1" i="54"/>
  <c r="W40" i="54"/>
  <c r="W46" i="54"/>
  <c r="BK39" i="54"/>
  <c r="BK32" i="54"/>
  <c r="BK15" i="54"/>
  <c r="BK65" i="54"/>
  <c r="BK49" i="54"/>
  <c r="BK35" i="54"/>
  <c r="BK17" i="54"/>
  <c r="BK25" i="54"/>
  <c r="U27" i="54"/>
  <c r="U51" i="54"/>
  <c r="U45" i="54"/>
  <c r="W44" i="54"/>
  <c r="W39" i="54"/>
  <c r="BK9" i="54"/>
  <c r="BK58" i="54"/>
  <c r="BK52" i="54"/>
  <c r="BK38" i="54"/>
  <c r="BK61" i="54"/>
  <c r="BK33" i="54"/>
  <c r="BK11" i="54"/>
  <c r="BK19" i="54"/>
  <c r="BI1" i="54"/>
  <c r="U50" i="54"/>
  <c r="U38" i="54"/>
  <c r="BI29" i="54"/>
  <c r="BI34" i="54"/>
  <c r="BI25" i="54"/>
  <c r="BI43" i="54"/>
  <c r="BI14" i="54"/>
  <c r="BI24" i="54"/>
  <c r="BI38" i="54"/>
  <c r="BI44" i="54"/>
  <c r="BI13" i="54"/>
  <c r="W48" i="54"/>
  <c r="W38" i="54"/>
  <c r="BK7" i="54"/>
  <c r="BK20" i="54"/>
  <c r="BK67" i="54"/>
  <c r="BK62" i="54"/>
  <c r="BK34" i="54"/>
  <c r="BK72" i="54"/>
  <c r="BK6" i="54"/>
  <c r="BK13" i="54"/>
  <c r="U44" i="54"/>
  <c r="U40" i="54"/>
  <c r="BI58" i="54"/>
  <c r="BI6" i="54"/>
  <c r="BI28" i="54"/>
  <c r="BI33" i="54"/>
  <c r="BI37" i="54"/>
  <c r="BI9" i="54"/>
  <c r="BI69" i="54"/>
  <c r="W51" i="54"/>
  <c r="W37" i="54"/>
  <c r="BK50" i="54"/>
  <c r="BK64" i="54"/>
  <c r="BK10" i="54"/>
  <c r="BK68" i="54"/>
  <c r="BI40" i="54"/>
  <c r="BK16" i="54"/>
  <c r="BK55" i="54"/>
  <c r="BK46" i="54"/>
  <c r="BK36" i="54"/>
  <c r="BK29" i="54"/>
  <c r="W41" i="54"/>
  <c r="W43" i="54"/>
  <c r="W42" i="54"/>
  <c r="W49" i="54"/>
  <c r="W45" i="54"/>
  <c r="W50" i="54"/>
  <c r="BK40" i="54"/>
  <c r="BK48" i="54"/>
  <c r="BK23" i="54"/>
  <c r="BK8" i="54"/>
  <c r="BK57" i="54"/>
  <c r="BK44" i="54"/>
  <c r="BK56" i="54"/>
  <c r="BK71" i="54"/>
  <c r="BK24" i="54"/>
  <c r="BK60" i="54"/>
  <c r="BK59" i="54"/>
  <c r="BK31" i="54"/>
  <c r="BK14" i="54"/>
  <c r="BK26" i="54"/>
  <c r="BK30" i="54"/>
  <c r="BK45" i="54"/>
  <c r="BK42" i="54"/>
  <c r="BK18" i="54"/>
  <c r="BK51" i="54"/>
  <c r="BK47" i="54"/>
  <c r="BK28" i="54"/>
  <c r="BK12" i="54"/>
  <c r="BK27" i="54"/>
  <c r="BK37" i="54"/>
  <c r="BK41" i="54"/>
  <c r="BK69" i="54"/>
  <c r="BK43" i="54"/>
  <c r="BK63" i="54"/>
  <c r="BK53" i="54"/>
  <c r="BK21" i="54"/>
  <c r="BK22" i="54"/>
  <c r="BK54" i="54"/>
  <c r="BK66" i="54"/>
  <c r="BK70" i="54"/>
  <c r="U41" i="54"/>
  <c r="U49" i="54"/>
  <c r="U37" i="54"/>
  <c r="U36" i="54"/>
  <c r="U39" i="54"/>
  <c r="U48" i="54"/>
  <c r="U47" i="54"/>
  <c r="U43" i="54"/>
  <c r="U46" i="54"/>
  <c r="U42" i="54"/>
  <c r="BI17" i="54"/>
  <c r="BI49" i="54"/>
  <c r="BI36" i="54"/>
  <c r="BI52" i="54"/>
  <c r="BI56" i="54"/>
  <c r="BI67" i="54"/>
  <c r="BI59" i="54"/>
  <c r="BI21" i="54"/>
  <c r="BI11" i="54"/>
  <c r="BI51" i="54"/>
  <c r="BI30" i="54"/>
  <c r="BI50" i="54"/>
  <c r="BI47" i="54"/>
  <c r="BI60" i="54"/>
  <c r="BI31" i="54"/>
  <c r="BI20" i="54"/>
  <c r="BI65" i="54"/>
  <c r="BI10" i="54"/>
  <c r="BI66" i="54"/>
  <c r="BI53" i="54"/>
  <c r="BI39" i="54"/>
  <c r="BI19" i="54"/>
  <c r="BI7" i="54"/>
  <c r="BI27" i="54"/>
  <c r="BI72" i="54"/>
  <c r="BI71" i="54"/>
  <c r="BI46" i="54"/>
  <c r="BI55" i="54"/>
  <c r="BI16" i="54"/>
  <c r="BI18" i="54"/>
  <c r="BI45" i="54"/>
  <c r="BI42" i="54"/>
  <c r="BI35" i="54"/>
  <c r="BI68" i="54"/>
  <c r="BI26" i="54"/>
  <c r="BI41" i="54"/>
  <c r="BI48" i="54"/>
  <c r="BI8" i="54"/>
  <c r="BI22" i="54"/>
  <c r="BI63" i="54"/>
  <c r="BI23" i="54"/>
  <c r="BI32" i="54"/>
  <c r="BI57" i="54"/>
  <c r="BI62" i="54"/>
  <c r="BI12" i="54"/>
  <c r="BI70" i="54"/>
  <c r="BI64" i="54"/>
  <c r="BI15" i="54"/>
  <c r="BI61" i="54"/>
  <c r="BI54" i="54"/>
  <c r="W58" i="54" l="1"/>
  <c r="W54" i="54"/>
  <c r="W57" i="54"/>
  <c r="W60" i="54"/>
  <c r="W56" i="54"/>
  <c r="W59" i="54"/>
  <c r="W55" i="54"/>
  <c r="W61" i="54"/>
  <c r="W62" i="54"/>
  <c r="W63" i="54"/>
  <c r="U59" i="54"/>
  <c r="U58" i="54"/>
  <c r="U57" i="54"/>
  <c r="U60" i="54"/>
  <c r="U55" i="54"/>
  <c r="U54" i="54"/>
  <c r="U56" i="54"/>
  <c r="U62" i="54"/>
  <c r="U63" i="54"/>
  <c r="U61" i="54"/>
  <c r="R168" i="40"/>
  <c r="T168" i="40"/>
  <c r="Z28" i="54" a="1"/>
  <c r="Z28" i="54" l="1"/>
  <c r="Z29" i="54"/>
  <c r="Z30" i="54"/>
  <c r="R169" i="40"/>
  <c r="T169" i="40"/>
  <c r="Z27" i="54"/>
  <c r="Z38" i="54"/>
  <c r="Z46" i="54"/>
  <c r="Z48" i="54"/>
  <c r="Z47" i="54"/>
  <c r="Z40" i="54"/>
  <c r="Z45" i="54"/>
  <c r="Z42" i="54"/>
  <c r="Z44" i="54"/>
  <c r="Z51" i="54"/>
  <c r="Z41" i="54"/>
  <c r="Z36" i="54"/>
  <c r="Z50" i="54"/>
  <c r="Z43" i="54"/>
  <c r="Z49" i="54"/>
  <c r="BN1" i="54"/>
  <c r="Z37" i="54"/>
  <c r="Z39" i="54"/>
  <c r="BN49" i="54"/>
  <c r="BN50" i="54"/>
  <c r="BN51" i="54"/>
  <c r="BN55" i="54"/>
  <c r="BN28" i="54"/>
  <c r="BN56" i="54"/>
  <c r="BN9" i="54"/>
  <c r="BN27" i="54"/>
  <c r="BN33" i="54"/>
  <c r="BN42" i="54"/>
  <c r="BN54" i="54"/>
  <c r="BN26" i="54"/>
  <c r="BN70" i="54"/>
  <c r="BN71" i="54"/>
  <c r="BN38" i="54"/>
  <c r="BN46" i="54"/>
  <c r="BN19" i="54"/>
  <c r="BN29" i="54"/>
  <c r="BN30" i="54"/>
  <c r="BN35" i="54"/>
  <c r="BN7" i="54"/>
  <c r="BN60" i="54"/>
  <c r="BN8" i="54"/>
  <c r="BN34" i="54"/>
  <c r="BN22" i="54"/>
  <c r="BN17" i="54"/>
  <c r="BN24" i="54"/>
  <c r="BN37" i="54"/>
  <c r="BN57" i="54"/>
  <c r="BN59" i="54"/>
  <c r="BN64" i="54"/>
  <c r="BN15" i="54"/>
  <c r="BN72" i="54"/>
  <c r="BN23" i="54"/>
  <c r="BN48" i="54"/>
  <c r="BN21" i="54"/>
  <c r="BN39" i="54"/>
  <c r="BN53" i="54"/>
  <c r="BN62" i="54"/>
  <c r="BN45" i="54"/>
  <c r="BN13" i="54"/>
  <c r="BN66" i="54"/>
  <c r="BN12" i="54"/>
  <c r="BN20" i="54"/>
  <c r="BN25" i="54"/>
  <c r="BN31" i="54"/>
  <c r="BN36" i="54"/>
  <c r="BN18" i="54"/>
  <c r="BN47" i="54"/>
  <c r="BN61" i="54"/>
  <c r="BN32" i="54"/>
  <c r="BN40" i="54"/>
  <c r="BN44" i="54"/>
  <c r="BN65" i="54"/>
  <c r="BN52" i="54"/>
  <c r="BN41" i="54"/>
  <c r="BN14" i="54"/>
  <c r="BN6" i="54"/>
  <c r="BN68" i="54"/>
  <c r="BN58" i="54"/>
  <c r="BN67" i="54"/>
  <c r="BN63" i="54"/>
  <c r="BN69" i="54"/>
  <c r="BN10" i="54"/>
  <c r="BN16" i="54"/>
  <c r="BN11" i="54"/>
  <c r="BN43" i="54"/>
  <c r="Z61" i="54" l="1"/>
  <c r="Z55" i="54"/>
  <c r="Z62" i="54"/>
  <c r="Z63" i="54"/>
  <c r="Z56" i="54"/>
  <c r="Z54" i="54"/>
  <c r="Z57" i="54"/>
  <c r="Z59" i="54"/>
  <c r="Z60" i="54"/>
  <c r="Z58" i="54"/>
  <c r="Z35" i="54"/>
  <c r="BN5" i="54" s="1"/>
  <c r="R170" i="40"/>
  <c r="T170" i="40" s="1"/>
  <c r="R171" i="40"/>
  <c r="T171" i="40"/>
  <c r="R172" i="40"/>
  <c r="T172" i="40"/>
  <c r="R173" i="40"/>
  <c r="T173" i="40"/>
  <c r="R174" i="40"/>
  <c r="T174" i="40"/>
  <c r="R175" i="40"/>
  <c r="T175" i="40"/>
  <c r="R176" i="40"/>
  <c r="T176" i="40"/>
  <c r="R177" i="40"/>
  <c r="T177" i="40"/>
  <c r="R178" i="40"/>
  <c r="T178" i="40"/>
  <c r="R179" i="40"/>
  <c r="T179" i="40"/>
  <c r="R180" i="40"/>
  <c r="T180" i="40"/>
  <c r="R181" i="40"/>
  <c r="T181" i="40"/>
  <c r="R182" i="40"/>
  <c r="T182" i="40"/>
  <c r="R183" i="40"/>
  <c r="T183" i="40"/>
  <c r="R184" i="40"/>
  <c r="T184" i="40"/>
  <c r="R185" i="40"/>
  <c r="T185" i="40"/>
  <c r="R186" i="40"/>
  <c r="T186" i="40"/>
  <c r="R187" i="40"/>
  <c r="T187" i="40"/>
  <c r="R188" i="40"/>
  <c r="T188" i="40"/>
  <c r="R189" i="40"/>
  <c r="T189" i="40"/>
  <c r="R190" i="40"/>
  <c r="T190" i="40"/>
  <c r="R191" i="40"/>
  <c r="T191" i="40"/>
  <c r="R192" i="40"/>
  <c r="T192" i="40"/>
  <c r="R193" i="40"/>
  <c r="T193" i="40"/>
  <c r="R194" i="40"/>
  <c r="T194" i="40"/>
  <c r="R195" i="40"/>
  <c r="T195" i="40"/>
  <c r="R196" i="40"/>
  <c r="T196" i="40"/>
  <c r="R197" i="40"/>
  <c r="T197" i="40"/>
  <c r="R198" i="40"/>
  <c r="T198" i="40"/>
  <c r="R199" i="40"/>
  <c r="T199" i="40"/>
  <c r="R200" i="40"/>
  <c r="T200" i="40"/>
  <c r="R201" i="40"/>
  <c r="T201" i="40"/>
  <c r="R202" i="40"/>
  <c r="T202" i="40"/>
  <c r="R203" i="40"/>
  <c r="T203" i="40"/>
  <c r="R204" i="40"/>
  <c r="T204" i="40"/>
  <c r="R205" i="40"/>
  <c r="T205" i="40"/>
  <c r="R206" i="40"/>
  <c r="T206" i="40"/>
  <c r="R207" i="40"/>
  <c r="T207" i="40"/>
  <c r="R208" i="40"/>
  <c r="T208" i="40"/>
  <c r="R209" i="40"/>
  <c r="T209" i="40"/>
  <c r="R210" i="40"/>
  <c r="T210" i="40"/>
  <c r="R211" i="40"/>
  <c r="T211" i="40"/>
  <c r="R212" i="40"/>
  <c r="T212" i="40"/>
  <c r="R213" i="40"/>
  <c r="T213" i="40"/>
  <c r="R214" i="40"/>
  <c r="T214" i="40"/>
  <c r="R215" i="40"/>
  <c r="T215" i="40"/>
  <c r="R216" i="40"/>
  <c r="T216" i="40"/>
  <c r="R217" i="40"/>
  <c r="T217" i="40"/>
  <c r="R218" i="40"/>
  <c r="T218" i="40"/>
  <c r="R219" i="40"/>
  <c r="T219" i="40"/>
  <c r="R220" i="40"/>
  <c r="T220" i="40"/>
  <c r="R221" i="40"/>
  <c r="T221" i="40"/>
  <c r="R222" i="40"/>
  <c r="T222" i="40"/>
  <c r="R223" i="40"/>
  <c r="T223" i="40"/>
  <c r="R224" i="40"/>
  <c r="T224" i="40"/>
  <c r="R225" i="40"/>
  <c r="T225" i="40"/>
  <c r="R226" i="40"/>
  <c r="T226" i="40"/>
  <c r="R227" i="40"/>
  <c r="T227" i="40"/>
  <c r="R228" i="40"/>
  <c r="T228" i="40"/>
  <c r="R229" i="40"/>
  <c r="T229" i="40"/>
  <c r="R230" i="40"/>
  <c r="T230" i="40" s="1"/>
  <c r="R231" i="40"/>
  <c r="T231" i="40"/>
  <c r="R232" i="40"/>
  <c r="T232" i="40"/>
  <c r="R233" i="40"/>
  <c r="T233" i="40"/>
  <c r="R234" i="40"/>
  <c r="T234" i="40"/>
  <c r="R235" i="40"/>
  <c r="T235" i="40"/>
  <c r="R236" i="40"/>
  <c r="T236" i="40"/>
  <c r="R237" i="40"/>
  <c r="T237" i="40"/>
  <c r="R238" i="40"/>
  <c r="T238" i="40"/>
  <c r="R239" i="40"/>
  <c r="T239" i="40"/>
  <c r="R240" i="40"/>
  <c r="T240" i="40"/>
  <c r="R241" i="40"/>
  <c r="T241" i="40"/>
  <c r="R242" i="40"/>
  <c r="T242" i="40"/>
  <c r="R243" i="40"/>
  <c r="T243" i="40"/>
  <c r="R244" i="40"/>
  <c r="T244" i="40"/>
  <c r="R245" i="40"/>
  <c r="T245" i="40"/>
  <c r="R246" i="40"/>
  <c r="T246" i="40"/>
  <c r="R247" i="40"/>
  <c r="T247" i="40"/>
  <c r="R248" i="40"/>
  <c r="T248" i="40"/>
  <c r="R249" i="40"/>
  <c r="T249" i="40"/>
  <c r="R250" i="40"/>
  <c r="T250" i="40"/>
  <c r="R251" i="40"/>
  <c r="T251" i="40"/>
  <c r="R252" i="40"/>
  <c r="T252" i="40"/>
  <c r="R253" i="40"/>
  <c r="T253" i="40"/>
  <c r="R254" i="40"/>
  <c r="T254" i="40"/>
  <c r="R255" i="40"/>
  <c r="T255" i="40"/>
  <c r="R256" i="40"/>
  <c r="T256" i="40"/>
  <c r="R257" i="40"/>
  <c r="T257" i="40"/>
  <c r="R258" i="40"/>
  <c r="T258" i="40"/>
  <c r="R259" i="40"/>
  <c r="T259" i="40"/>
  <c r="R260" i="40"/>
  <c r="T260" i="40"/>
  <c r="R261" i="40"/>
  <c r="T261" i="40"/>
  <c r="R262" i="40"/>
  <c r="T262" i="40"/>
  <c r="Y25" i="54"/>
  <c r="Y26" i="54"/>
  <c r="AB25" i="54"/>
  <c r="AA25" i="54"/>
  <c r="AA28" i="54" a="1"/>
  <c r="AB26" i="54"/>
  <c r="AB28" i="54" a="1"/>
  <c r="Y28" i="54" a="1"/>
  <c r="AA26" i="54"/>
  <c r="Y29" i="54" l="1"/>
  <c r="Y28" i="54"/>
  <c r="Y35" i="54" s="1"/>
  <c r="BM5" i="54" s="1"/>
  <c r="AB30" i="54"/>
  <c r="AB29" i="54"/>
  <c r="AB28" i="54"/>
  <c r="AA28" i="54"/>
  <c r="AA29" i="54"/>
  <c r="AB35" i="54"/>
  <c r="BP5" i="54" s="1"/>
  <c r="AE14" i="56" a="1"/>
  <c r="AF5" i="56" a="1"/>
  <c r="AR19" i="56" a="1"/>
  <c r="AA27" i="54"/>
  <c r="AA42" i="54"/>
  <c r="AA46" i="54"/>
  <c r="AA48" i="54"/>
  <c r="AA40" i="54"/>
  <c r="AK19" i="56" a="1"/>
  <c r="AW19" i="56" a="1"/>
  <c r="AA45" i="54"/>
  <c r="AA36" i="54"/>
  <c r="AA37" i="54"/>
  <c r="AA38" i="54"/>
  <c r="AB27" i="54"/>
  <c r="AB49" i="54"/>
  <c r="AA51" i="54"/>
  <c r="BO1" i="54"/>
  <c r="BO11" i="54"/>
  <c r="BO41" i="54"/>
  <c r="BO13" i="54"/>
  <c r="BO14" i="54"/>
  <c r="AB37" i="54"/>
  <c r="BO28" i="54"/>
  <c r="BO62" i="54"/>
  <c r="AB46" i="54"/>
  <c r="BO7" i="54"/>
  <c r="BO64" i="54"/>
  <c r="BO32" i="54"/>
  <c r="BO72" i="54"/>
  <c r="BO48" i="54"/>
  <c r="BO23" i="54"/>
  <c r="BO33" i="54"/>
  <c r="AB43" i="54"/>
  <c r="BO67" i="54"/>
  <c r="AA47" i="54"/>
  <c r="AA41" i="54"/>
  <c r="BO63" i="54"/>
  <c r="AB44" i="54"/>
  <c r="AA49" i="54"/>
  <c r="BO19" i="54"/>
  <c r="BO69" i="54"/>
  <c r="AB36" i="54"/>
  <c r="BO6" i="54"/>
  <c r="AA39" i="54"/>
  <c r="BO58" i="54"/>
  <c r="Y27" i="54"/>
  <c r="Y36" i="54"/>
  <c r="BO39" i="54"/>
  <c r="BO68" i="54"/>
  <c r="BO44" i="54"/>
  <c r="BO20" i="54"/>
  <c r="BO51" i="54"/>
  <c r="Y46" i="54"/>
  <c r="Y41" i="54"/>
  <c r="BO53" i="54"/>
  <c r="Y38" i="54"/>
  <c r="AK14" i="56" a="1"/>
  <c r="AB48" i="54"/>
  <c r="BO57" i="54"/>
  <c r="BO12" i="54"/>
  <c r="BO37" i="54"/>
  <c r="BO43" i="54"/>
  <c r="Y42" i="54"/>
  <c r="BO24" i="54"/>
  <c r="BO70" i="54"/>
  <c r="AA44" i="54"/>
  <c r="BO42" i="54"/>
  <c r="BO47" i="54"/>
  <c r="BO26" i="54"/>
  <c r="BO21" i="54"/>
  <c r="BO36" i="54"/>
  <c r="AA43" i="54"/>
  <c r="AA50" i="54"/>
  <c r="AB42" i="54"/>
  <c r="AB39" i="54"/>
  <c r="AB45" i="54"/>
  <c r="AB41" i="54"/>
  <c r="AB38" i="54"/>
  <c r="AB51" i="54"/>
  <c r="AB47" i="54"/>
  <c r="BP1" i="54"/>
  <c r="AB40" i="54"/>
  <c r="AB50" i="54"/>
  <c r="BO35" i="54"/>
  <c r="BO71" i="54"/>
  <c r="BO31" i="54"/>
  <c r="BO40" i="54"/>
  <c r="BO45" i="54"/>
  <c r="BO30" i="54"/>
  <c r="BO8" i="54"/>
  <c r="BO66" i="54"/>
  <c r="BO50" i="54"/>
  <c r="BO55" i="54"/>
  <c r="BO46" i="54"/>
  <c r="BO9" i="54"/>
  <c r="BO18" i="54"/>
  <c r="BO60" i="54"/>
  <c r="BO38" i="54"/>
  <c r="BO65" i="54"/>
  <c r="BO22" i="54"/>
  <c r="BO54" i="54"/>
  <c r="BO29" i="54"/>
  <c r="BO10" i="54"/>
  <c r="BO27" i="54"/>
  <c r="BO52" i="54"/>
  <c r="BO25" i="54"/>
  <c r="BO15" i="54"/>
  <c r="BO17" i="54"/>
  <c r="BO16" i="54"/>
  <c r="BO61" i="54"/>
  <c r="BO49" i="54"/>
  <c r="BO34" i="54"/>
  <c r="BO56" i="54"/>
  <c r="BO59" i="54"/>
  <c r="Y50" i="54"/>
  <c r="Y47" i="54"/>
  <c r="Y49" i="54"/>
  <c r="Y43" i="54"/>
  <c r="Y40" i="54"/>
  <c r="Y45" i="54"/>
  <c r="Y44" i="54"/>
  <c r="Y51" i="54"/>
  <c r="Y39" i="54"/>
  <c r="Y48" i="54"/>
  <c r="BM1" i="54"/>
  <c r="Y37" i="54"/>
  <c r="BP58" i="54"/>
  <c r="BP28" i="54"/>
  <c r="BP62" i="54"/>
  <c r="BP21" i="54"/>
  <c r="BP45" i="54"/>
  <c r="BP72" i="54"/>
  <c r="BP71" i="54"/>
  <c r="BP42" i="54"/>
  <c r="BP65" i="54"/>
  <c r="BP19" i="54"/>
  <c r="BP37" i="54"/>
  <c r="BP38" i="54"/>
  <c r="BP51" i="54"/>
  <c r="BP6" i="54"/>
  <c r="BP22" i="54"/>
  <c r="BP26" i="54"/>
  <c r="BP34" i="54"/>
  <c r="BP50" i="54"/>
  <c r="BP41" i="54"/>
  <c r="BP44" i="54"/>
  <c r="BP25" i="54"/>
  <c r="BP46" i="54"/>
  <c r="BP30" i="54"/>
  <c r="BP64" i="54"/>
  <c r="BP59" i="54"/>
  <c r="BP23" i="54"/>
  <c r="BP11" i="54"/>
  <c r="BP20" i="54"/>
  <c r="BP29" i="54"/>
  <c r="BP10" i="54"/>
  <c r="BP32" i="54"/>
  <c r="BP18" i="54"/>
  <c r="BP43" i="54"/>
  <c r="BP16" i="54"/>
  <c r="BP63" i="54"/>
  <c r="BP54" i="54"/>
  <c r="BP31" i="54"/>
  <c r="BP40" i="54"/>
  <c r="BP61" i="54"/>
  <c r="BP8" i="54"/>
  <c r="BP53" i="54"/>
  <c r="BP12" i="54"/>
  <c r="BP67" i="54"/>
  <c r="BP35" i="54"/>
  <c r="BP13" i="54"/>
  <c r="BP60" i="54"/>
  <c r="BP27" i="54"/>
  <c r="BP57" i="54"/>
  <c r="BP33" i="54"/>
  <c r="BP68" i="54"/>
  <c r="BP7" i="54"/>
  <c r="BP36" i="54"/>
  <c r="BP70" i="54"/>
  <c r="BP15" i="54"/>
  <c r="BP66" i="54"/>
  <c r="BP69" i="54"/>
  <c r="BP24" i="54"/>
  <c r="BP49" i="54"/>
  <c r="BP48" i="54"/>
  <c r="BP56" i="54"/>
  <c r="BP52" i="54"/>
  <c r="BP47" i="54"/>
  <c r="BP9" i="54"/>
  <c r="BP55" i="54"/>
  <c r="BP17" i="54"/>
  <c r="BP39" i="54"/>
  <c r="BP14" i="54"/>
  <c r="BM33" i="54"/>
  <c r="BM44" i="54"/>
  <c r="BM25" i="54"/>
  <c r="BM27" i="54"/>
  <c r="BM10" i="54"/>
  <c r="BM40" i="54"/>
  <c r="BM43" i="54"/>
  <c r="BM36" i="54"/>
  <c r="BM72" i="54"/>
  <c r="BM35" i="54"/>
  <c r="BM51" i="54"/>
  <c r="BM66" i="54"/>
  <c r="BM64" i="54"/>
  <c r="BM70" i="54"/>
  <c r="BM62" i="54"/>
  <c r="BM49" i="54"/>
  <c r="BM53" i="54"/>
  <c r="BM19" i="54"/>
  <c r="BM67" i="54"/>
  <c r="BM65" i="54"/>
  <c r="BM55" i="54"/>
  <c r="BM17" i="54"/>
  <c r="BM61" i="54"/>
  <c r="BM20" i="54"/>
  <c r="BM31" i="54"/>
  <c r="BM13" i="54"/>
  <c r="BM16" i="54"/>
  <c r="BM47" i="54"/>
  <c r="BM23" i="54"/>
  <c r="BM41" i="54"/>
  <c r="BM60" i="54"/>
  <c r="BM38" i="54"/>
  <c r="BM18" i="54"/>
  <c r="BM37" i="54"/>
  <c r="BM58" i="54"/>
  <c r="BM9" i="54"/>
  <c r="BM52" i="54"/>
  <c r="BM34" i="54"/>
  <c r="BM45" i="54"/>
  <c r="BM11" i="54"/>
  <c r="BM68" i="54"/>
  <c r="BM42" i="54"/>
  <c r="BM57" i="54"/>
  <c r="BM69" i="54"/>
  <c r="BM63" i="54"/>
  <c r="BM21" i="54"/>
  <c r="BM22" i="54"/>
  <c r="BM54" i="54"/>
  <c r="BM59" i="54"/>
  <c r="BM28" i="54"/>
  <c r="BM24" i="54"/>
  <c r="BM12" i="54"/>
  <c r="BM46" i="54"/>
  <c r="BM8" i="54"/>
  <c r="BM32" i="54"/>
  <c r="BM6" i="54"/>
  <c r="BM48" i="54"/>
  <c r="BM26" i="54"/>
  <c r="BM56" i="54"/>
  <c r="BM7" i="54"/>
  <c r="BM29" i="54"/>
  <c r="BM71" i="54"/>
  <c r="BM50" i="54"/>
  <c r="BM15" i="54"/>
  <c r="BM39" i="54"/>
  <c r="BM14" i="54"/>
  <c r="BM30" i="54"/>
  <c r="AR19" i="56" l="1"/>
  <c r="AR21" i="56"/>
  <c r="AR20" i="56"/>
  <c r="AF6" i="56"/>
  <c r="AF5" i="56"/>
  <c r="AL5" i="56" s="1" a="1"/>
  <c r="AL5" i="56" s="1"/>
  <c r="AE16" i="56"/>
  <c r="AE15" i="56"/>
  <c r="AE14" i="56"/>
  <c r="AA35" i="54"/>
  <c r="BO5" i="54" s="1"/>
  <c r="Y60" i="54"/>
  <c r="Y63" i="54"/>
  <c r="Y56" i="54"/>
  <c r="Y57" i="54"/>
  <c r="Y55" i="54"/>
  <c r="Y61" i="54"/>
  <c r="Y59" i="54"/>
  <c r="Y62" i="54"/>
  <c r="AB62" i="54"/>
  <c r="AB59" i="54"/>
  <c r="AB63" i="54"/>
  <c r="AB57" i="54"/>
  <c r="AB54" i="54"/>
  <c r="AA62" i="54"/>
  <c r="AA55" i="54"/>
  <c r="AA56" i="54"/>
  <c r="Y54" i="54"/>
  <c r="AB60" i="54"/>
  <c r="AK15" i="56"/>
  <c r="AK14" i="56"/>
  <c r="AK16" i="56"/>
  <c r="Y58" i="54"/>
  <c r="AA61" i="54"/>
  <c r="AB56" i="54"/>
  <c r="AA59" i="54"/>
  <c r="AB55" i="54"/>
  <c r="AB58" i="54"/>
  <c r="AA63" i="54"/>
  <c r="AB61" i="54"/>
  <c r="AA57" i="54"/>
  <c r="AK19" i="56"/>
  <c r="AK20" i="56"/>
  <c r="AK21" i="56"/>
  <c r="AA60" i="54"/>
  <c r="AA58" i="54"/>
  <c r="AA54" i="54"/>
  <c r="AM5" i="56"/>
  <c r="AM6" i="56"/>
  <c r="AL6" i="56"/>
  <c r="AW21" i="56"/>
  <c r="AW20" i="56"/>
  <c r="AW19" i="56"/>
  <c r="AF9" i="56" a="1"/>
  <c r="AW5" i="56" a="1"/>
  <c r="AF9" i="56" l="1"/>
  <c r="AF10" i="56"/>
  <c r="AL9" i="56" s="1" a="1"/>
  <c r="AM10" i="56"/>
  <c r="AL10" i="56"/>
  <c r="AM9" i="56"/>
  <c r="AL9" i="56"/>
  <c r="AW6" i="56"/>
  <c r="AW5" i="56"/>
  <c r="AR14" i="56" a="1"/>
  <c r="AR16" i="56" l="1"/>
  <c r="AR14" i="56"/>
  <c r="AR15" i="56"/>
  <c r="AQ19" i="56" a="1"/>
  <c r="AK5" i="56" a="1"/>
  <c r="AW14" i="56" a="1"/>
  <c r="AQ20" i="56" l="1"/>
  <c r="AQ21" i="56"/>
  <c r="AQ19" i="56"/>
  <c r="AW14" i="56"/>
  <c r="AW16" i="56"/>
  <c r="AW15" i="56"/>
  <c r="AK5" i="56"/>
  <c r="AI5" i="56" s="1" a="1"/>
  <c r="AI5" i="56" s="1"/>
  <c r="G29" i="56" s="1"/>
  <c r="AK6" i="56"/>
  <c r="AK9" i="56" a="1"/>
  <c r="AI6" i="56" l="1"/>
  <c r="G28" i="56" s="1"/>
  <c r="G35" i="56" s="1"/>
  <c r="BE5" i="56" s="1"/>
  <c r="AK9" i="56"/>
  <c r="AK10" i="56"/>
  <c r="AF14" i="56" a="1"/>
  <c r="AI9" i="56" l="1" a="1"/>
  <c r="AI10" i="56" s="1"/>
  <c r="S28" i="56" s="1"/>
  <c r="AF14" i="56"/>
  <c r="AF15" i="56"/>
  <c r="AF16" i="56"/>
  <c r="AF19" i="56" a="1"/>
  <c r="AL14" i="56" l="1" a="1"/>
  <c r="AN16" i="56" s="1"/>
  <c r="AI9" i="56"/>
  <c r="S29" i="56" s="1"/>
  <c r="S35" i="56"/>
  <c r="BG5" i="56" s="1"/>
  <c r="AF19" i="56"/>
  <c r="AF20" i="56"/>
  <c r="AF21" i="56"/>
  <c r="AQ14" i="56" a="1"/>
  <c r="AL15" i="56" l="1"/>
  <c r="AM15" i="56"/>
  <c r="AL16" i="56"/>
  <c r="AN15" i="56"/>
  <c r="AM16" i="56"/>
  <c r="AN14" i="56"/>
  <c r="AM14" i="56"/>
  <c r="AL14" i="56"/>
  <c r="AI14" i="56" s="1" a="1"/>
  <c r="AQ14" i="56"/>
  <c r="AQ16" i="56"/>
  <c r="AQ15" i="56"/>
  <c r="AS9" i="56" a="1"/>
  <c r="AI15" i="56" l="1"/>
  <c r="H29" i="56" s="1"/>
  <c r="AI14" i="56"/>
  <c r="H30" i="56" s="1"/>
  <c r="AI16" i="56"/>
  <c r="H28" i="56" s="1"/>
  <c r="AS9" i="56"/>
  <c r="AS10" i="56"/>
  <c r="AS5" i="56" a="1"/>
  <c r="H35" i="56" l="1"/>
  <c r="BF5" i="56" s="1"/>
  <c r="AS5" i="56"/>
  <c r="AS6" i="56"/>
  <c r="AR9" i="56" a="1"/>
  <c r="AS19" i="56" a="1"/>
  <c r="AR9" i="56" l="1"/>
  <c r="AR10" i="56"/>
  <c r="AX9" i="56" s="1" a="1"/>
  <c r="AX10" i="56" s="1"/>
  <c r="AS21" i="56"/>
  <c r="AS20" i="56"/>
  <c r="AS19" i="56"/>
  <c r="AY9" i="56" l="1"/>
  <c r="AX9" i="56"/>
  <c r="AY10" i="56"/>
  <c r="AX19" i="56" a="1"/>
  <c r="AZ20" i="56" s="1"/>
  <c r="AE19" i="56" a="1"/>
  <c r="AX20" i="56" l="1"/>
  <c r="AY20" i="56"/>
  <c r="AZ19" i="56"/>
  <c r="AY19" i="56"/>
  <c r="AX21" i="56"/>
  <c r="AZ21" i="56"/>
  <c r="AY21" i="56"/>
  <c r="AX19" i="56"/>
  <c r="AU19" i="56" s="1" a="1"/>
  <c r="AU19" i="56" s="1"/>
  <c r="X30" i="56" s="1"/>
  <c r="AE19" i="56"/>
  <c r="AU20" i="56" l="1"/>
  <c r="X29" i="56" s="1"/>
  <c r="AU21" i="56"/>
  <c r="X28" i="56" s="1"/>
  <c r="AE21" i="56"/>
  <c r="AE20" i="56"/>
  <c r="AL19" i="56" s="1" a="1"/>
  <c r="AS14" i="56" a="1"/>
  <c r="X35" i="56" l="1"/>
  <c r="BL5" i="56" s="1"/>
  <c r="AM21" i="56"/>
  <c r="AL19" i="56"/>
  <c r="AN20" i="56"/>
  <c r="AM19" i="56"/>
  <c r="AL21" i="56"/>
  <c r="AN21" i="56"/>
  <c r="AN19" i="56"/>
  <c r="AM20" i="56"/>
  <c r="AL20" i="56"/>
  <c r="AS14" i="56"/>
  <c r="AS16" i="56"/>
  <c r="AS15" i="56"/>
  <c r="AW9" i="56" a="1"/>
  <c r="AX14" i="56" l="1" a="1"/>
  <c r="AI19" i="56" a="1"/>
  <c r="AW10" i="56"/>
  <c r="AW9" i="56"/>
  <c r="AU9" i="56" s="1" a="1"/>
  <c r="AU10" i="56" l="1"/>
  <c r="W28" i="56" s="1"/>
  <c r="AU9" i="56"/>
  <c r="W29" i="56" s="1"/>
  <c r="AI21" i="56"/>
  <c r="T28" i="56" s="1"/>
  <c r="AI19" i="56"/>
  <c r="T30" i="56" s="1"/>
  <c r="AI20" i="56"/>
  <c r="T29" i="56" s="1"/>
  <c r="AZ16" i="56"/>
  <c r="AX15" i="56"/>
  <c r="AX16" i="56"/>
  <c r="AY16" i="56"/>
  <c r="AZ14" i="56"/>
  <c r="AX14" i="56"/>
  <c r="AZ15" i="56"/>
  <c r="AY15" i="56"/>
  <c r="AY14" i="56"/>
  <c r="AR5" i="56" a="1"/>
  <c r="BK1" i="56"/>
  <c r="BK260" i="56"/>
  <c r="BK212" i="56"/>
  <c r="BK180" i="56"/>
  <c r="BK148" i="56"/>
  <c r="BK116" i="56"/>
  <c r="BK107" i="56"/>
  <c r="BK117" i="56"/>
  <c r="BK74" i="56"/>
  <c r="BK26" i="56"/>
  <c r="BK252" i="56"/>
  <c r="BK204" i="56"/>
  <c r="BK172" i="56"/>
  <c r="BK132" i="56"/>
  <c r="BL1" i="56"/>
  <c r="BK36" i="56"/>
  <c r="BK25" i="56"/>
  <c r="BK77" i="56"/>
  <c r="BK75" i="56"/>
  <c r="BK85" i="56"/>
  <c r="BK102" i="56"/>
  <c r="BK95" i="56"/>
  <c r="BK92" i="56"/>
  <c r="BK46" i="56"/>
  <c r="BK40" i="56"/>
  <c r="BK21" i="56"/>
  <c r="BK84" i="56"/>
  <c r="BL76" i="56"/>
  <c r="BL88" i="56"/>
  <c r="BL86" i="56"/>
  <c r="BL48" i="56"/>
  <c r="BL9" i="56"/>
  <c r="BL62" i="56"/>
  <c r="BL8" i="56"/>
  <c r="BL94" i="56"/>
  <c r="BL23" i="56"/>
  <c r="BL25" i="56"/>
  <c r="BL42" i="56"/>
  <c r="BL35" i="56"/>
  <c r="BK259" i="56"/>
  <c r="BK251" i="56"/>
  <c r="BK243" i="56"/>
  <c r="BK235" i="56"/>
  <c r="BK227" i="56"/>
  <c r="BK219" i="56"/>
  <c r="BK211" i="56"/>
  <c r="BK203" i="56"/>
  <c r="BK195" i="56"/>
  <c r="BK187" i="56"/>
  <c r="BK179" i="56"/>
  <c r="BK171" i="56"/>
  <c r="BK163" i="56"/>
  <c r="BK155" i="56"/>
  <c r="BK147" i="56"/>
  <c r="BK139" i="56"/>
  <c r="BK131" i="56"/>
  <c r="BK123" i="56"/>
  <c r="BK115" i="56"/>
  <c r="BL236" i="56"/>
  <c r="BL220" i="56"/>
  <c r="BL180" i="56"/>
  <c r="BL132" i="56"/>
  <c r="BK109" i="56"/>
  <c r="BK141" i="56"/>
  <c r="BK173" i="56"/>
  <c r="BK205" i="56"/>
  <c r="BK237" i="56"/>
  <c r="BK261" i="56"/>
  <c r="BK110" i="56"/>
  <c r="BK142" i="56"/>
  <c r="BK174" i="56"/>
  <c r="BK198" i="56"/>
  <c r="BK230" i="56"/>
  <c r="BK262" i="56"/>
  <c r="BK73" i="56"/>
  <c r="BK167" i="56"/>
  <c r="BK68" i="56"/>
  <c r="BK124" i="56"/>
  <c r="BK156" i="56"/>
  <c r="BK188" i="56"/>
  <c r="BK228" i="56"/>
  <c r="BK48" i="56"/>
  <c r="BK39" i="56"/>
  <c r="BK133" i="56"/>
  <c r="BK165" i="56"/>
  <c r="BK197" i="56"/>
  <c r="BK229" i="56"/>
  <c r="BK253" i="56"/>
  <c r="BK22" i="56"/>
  <c r="BK49" i="56"/>
  <c r="BK134" i="56"/>
  <c r="BK166" i="56"/>
  <c r="BK190" i="56"/>
  <c r="BK214" i="56"/>
  <c r="BK246" i="56"/>
  <c r="BK111" i="56"/>
  <c r="BK159" i="56"/>
  <c r="BK255" i="56"/>
  <c r="BK32" i="56"/>
  <c r="BK52" i="56"/>
  <c r="BK50" i="56"/>
  <c r="BK60" i="56"/>
  <c r="BK54" i="56"/>
  <c r="BK127" i="56"/>
  <c r="BK143" i="56"/>
  <c r="BK183" i="56"/>
  <c r="BK199" i="56"/>
  <c r="BK215" i="56"/>
  <c r="BK231" i="56"/>
  <c r="BK247" i="56"/>
  <c r="BK80" i="56"/>
  <c r="BK30" i="56"/>
  <c r="BK87" i="56"/>
  <c r="BK51" i="56"/>
  <c r="BK27" i="56"/>
  <c r="BK112" i="56"/>
  <c r="BK128" i="56"/>
  <c r="BK144" i="56"/>
  <c r="BK160" i="56"/>
  <c r="BK176" i="56"/>
  <c r="BK192" i="56"/>
  <c r="BK216" i="56"/>
  <c r="BK232" i="56"/>
  <c r="BK248" i="56"/>
  <c r="BK11" i="56"/>
  <c r="BK94" i="56"/>
  <c r="BK64" i="56"/>
  <c r="BK56" i="56"/>
  <c r="BK113" i="56"/>
  <c r="BK137" i="56"/>
  <c r="BK161" i="56"/>
  <c r="BK185" i="56"/>
  <c r="BK209" i="56"/>
  <c r="BK233" i="56"/>
  <c r="BK257" i="56"/>
  <c r="BK19" i="56"/>
  <c r="BK33" i="56"/>
  <c r="BK61" i="56"/>
  <c r="BK18" i="56"/>
  <c r="BK63" i="56"/>
  <c r="BK90" i="56"/>
  <c r="BK42" i="56"/>
  <c r="BK38" i="56"/>
  <c r="BK34" i="56"/>
  <c r="BK108" i="56"/>
  <c r="BK140" i="56"/>
  <c r="BK164" i="56"/>
  <c r="BK196" i="56"/>
  <c r="BK220" i="56"/>
  <c r="BK236" i="56"/>
  <c r="BK244" i="56"/>
  <c r="BK88" i="56"/>
  <c r="BK82" i="56"/>
  <c r="BK6" i="56"/>
  <c r="BK65" i="56"/>
  <c r="BK59" i="56"/>
  <c r="BK96" i="56"/>
  <c r="BK83" i="56"/>
  <c r="BK58" i="56"/>
  <c r="BK125" i="56"/>
  <c r="BK149" i="56"/>
  <c r="BK157" i="56"/>
  <c r="BK181" i="56"/>
  <c r="BK189" i="56"/>
  <c r="BK213" i="56"/>
  <c r="BK221" i="56"/>
  <c r="BK245" i="56"/>
  <c r="BK35" i="56"/>
  <c r="BK101" i="56"/>
  <c r="BK16" i="56"/>
  <c r="BK71" i="56"/>
  <c r="BK66" i="56"/>
  <c r="BK100" i="56"/>
  <c r="BK91" i="56"/>
  <c r="BK55" i="56"/>
  <c r="BK57" i="56"/>
  <c r="BK118" i="56"/>
  <c r="BK126" i="56"/>
  <c r="BK150" i="56"/>
  <c r="BK158" i="56"/>
  <c r="BK182" i="56"/>
  <c r="BK206" i="56"/>
  <c r="BK222" i="56"/>
  <c r="BK238" i="56"/>
  <c r="BK254" i="56"/>
  <c r="BK13" i="56"/>
  <c r="BK8" i="56"/>
  <c r="BK24" i="56"/>
  <c r="BK72" i="56"/>
  <c r="BK99" i="56"/>
  <c r="BK69" i="56"/>
  <c r="BK119" i="56"/>
  <c r="BK135" i="56"/>
  <c r="BK151" i="56"/>
  <c r="BK175" i="56"/>
  <c r="BK191" i="56"/>
  <c r="BK207" i="56"/>
  <c r="BK223" i="56"/>
  <c r="BK239" i="56"/>
  <c r="BK263" i="56"/>
  <c r="BK14" i="56"/>
  <c r="BK10" i="56"/>
  <c r="BK62" i="56"/>
  <c r="BK86" i="56"/>
  <c r="BK98" i="56"/>
  <c r="BK9" i="56"/>
  <c r="BK104" i="56"/>
  <c r="BK120" i="56"/>
  <c r="BK136" i="56"/>
  <c r="BK152" i="56"/>
  <c r="BK168" i="56"/>
  <c r="BK184" i="56"/>
  <c r="BK200" i="56"/>
  <c r="BK208" i="56"/>
  <c r="BK224" i="56"/>
  <c r="BK240" i="56"/>
  <c r="BK256" i="56"/>
  <c r="BK264" i="56"/>
  <c r="BK15" i="56"/>
  <c r="BK29" i="56"/>
  <c r="BK41" i="56"/>
  <c r="BK97" i="56"/>
  <c r="BK79" i="56"/>
  <c r="BK7" i="56"/>
  <c r="BK43" i="56"/>
  <c r="BK47" i="56"/>
  <c r="BK105" i="56"/>
  <c r="BK121" i="56"/>
  <c r="BK129" i="56"/>
  <c r="BK145" i="56"/>
  <c r="BK153" i="56"/>
  <c r="BK169" i="56"/>
  <c r="BK177" i="56"/>
  <c r="BK193" i="56"/>
  <c r="BK201" i="56"/>
  <c r="BK217" i="56"/>
  <c r="BK225" i="56"/>
  <c r="BK241" i="56"/>
  <c r="BK249" i="56"/>
  <c r="BK45" i="56"/>
  <c r="BK67" i="56"/>
  <c r="BK76" i="56"/>
  <c r="BK53" i="56"/>
  <c r="BK106" i="56"/>
  <c r="BK114" i="56"/>
  <c r="BK122" i="56"/>
  <c r="BK130" i="56"/>
  <c r="BK138" i="56"/>
  <c r="BK146" i="56"/>
  <c r="BK154" i="56"/>
  <c r="BK162" i="56"/>
  <c r="BK170" i="56"/>
  <c r="BK178" i="56"/>
  <c r="BK186" i="56"/>
  <c r="BK194" i="56"/>
  <c r="BK202" i="56"/>
  <c r="BK210" i="56"/>
  <c r="BK218" i="56"/>
  <c r="BK226" i="56"/>
  <c r="BK234" i="56"/>
  <c r="BK242" i="56"/>
  <c r="BK250" i="56"/>
  <c r="BK258" i="56"/>
  <c r="BK20" i="56"/>
  <c r="BK17" i="56"/>
  <c r="BK78" i="56"/>
  <c r="BK37" i="56"/>
  <c r="BK89" i="56"/>
  <c r="BK81" i="56"/>
  <c r="BK44" i="56"/>
  <c r="BK70" i="56"/>
  <c r="BK93" i="56"/>
  <c r="BK23" i="56"/>
  <c r="BK31" i="56"/>
  <c r="BK12" i="56"/>
  <c r="BL156" i="56"/>
  <c r="BL196" i="56"/>
  <c r="BL252" i="56"/>
  <c r="BL117" i="56"/>
  <c r="BL157" i="56"/>
  <c r="BL197" i="56"/>
  <c r="BL245" i="56"/>
  <c r="BL15" i="56"/>
  <c r="BL65" i="56"/>
  <c r="BL110" i="56"/>
  <c r="BL116" i="56"/>
  <c r="BL164" i="56"/>
  <c r="BL204" i="56"/>
  <c r="BL141" i="56"/>
  <c r="BL173" i="56"/>
  <c r="BL205" i="56"/>
  <c r="BL237" i="56"/>
  <c r="BL10" i="56"/>
  <c r="BL61" i="56"/>
  <c r="BL118" i="56"/>
  <c r="BL150" i="56"/>
  <c r="BL182" i="56"/>
  <c r="BL214" i="56"/>
  <c r="BL238" i="56"/>
  <c r="BL16" i="56"/>
  <c r="BL17" i="56"/>
  <c r="BL92" i="56"/>
  <c r="BL111" i="56"/>
  <c r="BL143" i="56"/>
  <c r="BL167" i="56"/>
  <c r="BL199" i="56"/>
  <c r="BL231" i="56"/>
  <c r="BL51" i="56"/>
  <c r="BL100" i="56"/>
  <c r="BL112" i="56"/>
  <c r="BL144" i="56"/>
  <c r="BL176" i="56"/>
  <c r="BL216" i="56"/>
  <c r="BL256" i="56"/>
  <c r="BL43" i="56"/>
  <c r="BL108" i="56"/>
  <c r="BL140" i="56"/>
  <c r="BL188" i="56"/>
  <c r="BL228" i="56"/>
  <c r="BL260" i="56"/>
  <c r="BL125" i="56"/>
  <c r="BL149" i="56"/>
  <c r="BL181" i="56"/>
  <c r="BL221" i="56"/>
  <c r="BL253" i="56"/>
  <c r="BL52" i="56"/>
  <c r="BL102" i="56"/>
  <c r="BL13" i="56"/>
  <c r="BL84" i="56"/>
  <c r="BL134" i="56"/>
  <c r="BL158" i="56"/>
  <c r="BL174" i="56"/>
  <c r="BL206" i="56"/>
  <c r="BL230" i="56"/>
  <c r="BL254" i="56"/>
  <c r="BL24" i="56"/>
  <c r="BL29" i="56"/>
  <c r="BL59" i="56"/>
  <c r="BL119" i="56"/>
  <c r="BL151" i="56"/>
  <c r="BL183" i="56"/>
  <c r="BL215" i="56"/>
  <c r="BL239" i="56"/>
  <c r="BL263" i="56"/>
  <c r="BL55" i="56"/>
  <c r="BL66" i="56"/>
  <c r="BL128" i="56"/>
  <c r="BL168" i="56"/>
  <c r="BL200" i="56"/>
  <c r="BL240" i="56"/>
  <c r="BL217" i="56"/>
  <c r="BL44" i="56"/>
  <c r="BL28" i="56"/>
  <c r="BL77" i="56"/>
  <c r="BL36" i="56"/>
  <c r="BL82" i="56"/>
  <c r="BL120" i="56"/>
  <c r="BL152" i="56"/>
  <c r="BL192" i="56"/>
  <c r="BL224" i="56"/>
  <c r="BL264" i="56"/>
  <c r="BL41" i="56"/>
  <c r="BL11" i="56"/>
  <c r="BL37" i="56"/>
  <c r="BL40" i="56"/>
  <c r="BL72" i="56"/>
  <c r="BL99" i="56"/>
  <c r="BL113" i="56"/>
  <c r="BL129" i="56"/>
  <c r="BL145" i="56"/>
  <c r="BL169" i="56"/>
  <c r="BL185" i="56"/>
  <c r="BL201" i="56"/>
  <c r="BL241" i="56"/>
  <c r="BL257" i="56"/>
  <c r="BL27" i="56"/>
  <c r="BL7" i="56"/>
  <c r="BL22" i="56"/>
  <c r="BL45" i="56"/>
  <c r="BL79" i="56"/>
  <c r="BL114" i="56"/>
  <c r="BL138" i="56"/>
  <c r="BL154" i="56"/>
  <c r="BL178" i="56"/>
  <c r="BL194" i="56"/>
  <c r="BL210" i="56"/>
  <c r="BL234" i="56"/>
  <c r="BL258" i="56"/>
  <c r="BL34" i="56"/>
  <c r="BL53" i="56"/>
  <c r="BL49" i="56"/>
  <c r="BL74" i="56"/>
  <c r="BL124" i="56"/>
  <c r="BL148" i="56"/>
  <c r="BL172" i="56"/>
  <c r="BL212" i="56"/>
  <c r="BL244" i="56"/>
  <c r="BL109" i="56"/>
  <c r="BL133" i="56"/>
  <c r="BL165" i="56"/>
  <c r="BL189" i="56"/>
  <c r="BL213" i="56"/>
  <c r="BL229" i="56"/>
  <c r="BL261" i="56"/>
  <c r="BL57" i="56"/>
  <c r="BL14" i="56"/>
  <c r="BL75" i="56"/>
  <c r="BL95" i="56"/>
  <c r="BL126" i="56"/>
  <c r="BL142" i="56"/>
  <c r="BL166" i="56"/>
  <c r="BL190" i="56"/>
  <c r="BL198" i="56"/>
  <c r="BL222" i="56"/>
  <c r="BL246" i="56"/>
  <c r="BL262" i="56"/>
  <c r="BL78" i="56"/>
  <c r="BL90" i="56"/>
  <c r="BL31" i="56"/>
  <c r="BL89" i="56"/>
  <c r="BL73" i="56"/>
  <c r="BL71" i="56"/>
  <c r="BL103" i="56"/>
  <c r="BL127" i="56"/>
  <c r="BL135" i="56"/>
  <c r="BL159" i="56"/>
  <c r="BL175" i="56"/>
  <c r="BL191" i="56"/>
  <c r="BL207" i="56"/>
  <c r="BL223" i="56"/>
  <c r="BL247" i="56"/>
  <c r="BL255" i="56"/>
  <c r="BL12" i="56"/>
  <c r="BL18" i="56"/>
  <c r="BL33" i="56"/>
  <c r="BL97" i="56"/>
  <c r="BL30" i="56"/>
  <c r="BL104" i="56"/>
  <c r="BL136" i="56"/>
  <c r="BL160" i="56"/>
  <c r="BL184" i="56"/>
  <c r="BL208" i="56"/>
  <c r="BL232" i="56"/>
  <c r="BL248" i="56"/>
  <c r="BL70" i="56"/>
  <c r="BL19" i="56"/>
  <c r="BL56" i="56"/>
  <c r="BL54" i="56"/>
  <c r="BL85" i="56"/>
  <c r="BL105" i="56"/>
  <c r="BL121" i="56"/>
  <c r="BL137" i="56"/>
  <c r="BL153" i="56"/>
  <c r="BL161" i="56"/>
  <c r="BL177" i="56"/>
  <c r="BL193" i="56"/>
  <c r="BL209" i="56"/>
  <c r="BL225" i="56"/>
  <c r="BL233" i="56"/>
  <c r="BL249" i="56"/>
  <c r="BL67" i="56"/>
  <c r="BL20" i="56"/>
  <c r="BL64" i="56"/>
  <c r="BL58" i="56"/>
  <c r="BL96" i="56"/>
  <c r="BL106" i="56"/>
  <c r="BL122" i="56"/>
  <c r="BL130" i="56"/>
  <c r="BL146" i="56"/>
  <c r="BL162" i="56"/>
  <c r="BL170" i="56"/>
  <c r="BL186" i="56"/>
  <c r="BL202" i="56"/>
  <c r="BL218" i="56"/>
  <c r="BL226" i="56"/>
  <c r="BL242" i="56"/>
  <c r="BL250" i="56"/>
  <c r="BL21" i="56"/>
  <c r="BL80" i="56"/>
  <c r="BL60" i="56"/>
  <c r="BL63" i="56"/>
  <c r="BL69" i="56"/>
  <c r="BL46" i="56"/>
  <c r="BL87" i="56"/>
  <c r="BL98" i="56"/>
  <c r="BL107" i="56"/>
  <c r="BL115" i="56"/>
  <c r="BL123" i="56"/>
  <c r="BL131" i="56"/>
  <c r="BL139" i="56"/>
  <c r="BL147" i="56"/>
  <c r="BL155" i="56"/>
  <c r="BL163" i="56"/>
  <c r="BL171" i="56"/>
  <c r="BL179" i="56"/>
  <c r="BL187" i="56"/>
  <c r="BL195" i="56"/>
  <c r="BL203" i="56"/>
  <c r="BL211" i="56"/>
  <c r="BL219" i="56"/>
  <c r="BL227" i="56"/>
  <c r="BL235" i="56"/>
  <c r="BL243" i="56"/>
  <c r="BL251" i="56"/>
  <c r="BL259" i="56"/>
  <c r="BL26" i="56"/>
  <c r="BL6" i="56"/>
  <c r="BL32" i="56"/>
  <c r="BL39" i="56"/>
  <c r="BL93" i="56"/>
  <c r="BL101" i="56"/>
  <c r="BL50" i="56"/>
  <c r="BL83" i="56"/>
  <c r="BL47" i="56"/>
  <c r="BL81" i="56"/>
  <c r="BL91" i="56"/>
  <c r="BL68" i="56"/>
  <c r="BL38" i="56"/>
  <c r="T35" i="56" l="1"/>
  <c r="BH5" i="56" s="1"/>
  <c r="AU14" i="56" a="1"/>
  <c r="W35" i="56"/>
  <c r="BK5" i="56" s="1"/>
  <c r="AR5" i="56"/>
  <c r="AR6" i="56"/>
  <c r="BK103" i="56"/>
  <c r="T27" i="56"/>
  <c r="T47" i="56"/>
  <c r="T49" i="56"/>
  <c r="T54" i="56"/>
  <c r="T39" i="56"/>
  <c r="T36" i="56"/>
  <c r="T50" i="56"/>
  <c r="T55" i="56"/>
  <c r="T56" i="56"/>
  <c r="S27" i="56"/>
  <c r="S39" i="56"/>
  <c r="S38" i="56"/>
  <c r="T42" i="56"/>
  <c r="T40" i="56"/>
  <c r="T51" i="56"/>
  <c r="S58" i="56"/>
  <c r="S61" i="56"/>
  <c r="T60" i="56"/>
  <c r="T53" i="56"/>
  <c r="S40" i="56"/>
  <c r="S48" i="56"/>
  <c r="S42" i="56"/>
  <c r="S46" i="56"/>
  <c r="W27" i="56"/>
  <c r="W39" i="56"/>
  <c r="S57" i="56"/>
  <c r="T58" i="56"/>
  <c r="W61" i="56"/>
  <c r="S54" i="56"/>
  <c r="S51" i="56"/>
  <c r="T44" i="56"/>
  <c r="S63" i="56"/>
  <c r="BK28" i="56"/>
  <c r="S47" i="56"/>
  <c r="W38" i="56"/>
  <c r="W43" i="56"/>
  <c r="S52" i="56"/>
  <c r="T59" i="56"/>
  <c r="W52" i="56"/>
  <c r="T62" i="56"/>
  <c r="G27" i="56"/>
  <c r="G47" i="56"/>
  <c r="S44" i="56"/>
  <c r="T45" i="56"/>
  <c r="T38" i="56"/>
  <c r="W37" i="56"/>
  <c r="W44" i="56"/>
  <c r="G53" i="56"/>
  <c r="S59" i="56"/>
  <c r="T61" i="56"/>
  <c r="W63" i="56"/>
  <c r="W54" i="56"/>
  <c r="W46" i="56"/>
  <c r="W45" i="56"/>
  <c r="W59" i="56"/>
  <c r="G50" i="56"/>
  <c r="S37" i="56"/>
  <c r="T43" i="56"/>
  <c r="T46" i="56"/>
  <c r="W47" i="56"/>
  <c r="X27" i="56"/>
  <c r="G61" i="56"/>
  <c r="G42" i="56"/>
  <c r="S41" i="56"/>
  <c r="BH1" i="56"/>
  <c r="BH43" i="56"/>
  <c r="BH10" i="56"/>
  <c r="BH54" i="56"/>
  <c r="BH13" i="56"/>
  <c r="BH85" i="56"/>
  <c r="BH75" i="56"/>
  <c r="BH59" i="56"/>
  <c r="T48" i="56"/>
  <c r="W48" i="56"/>
  <c r="X40" i="56"/>
  <c r="X47" i="56"/>
  <c r="G52" i="56"/>
  <c r="S62" i="56"/>
  <c r="W55" i="56"/>
  <c r="X59" i="56"/>
  <c r="BH258" i="56"/>
  <c r="BH213" i="56"/>
  <c r="BH167" i="56"/>
  <c r="T37" i="56"/>
  <c r="BH221" i="56"/>
  <c r="T57" i="56"/>
  <c r="BH210" i="56"/>
  <c r="BH200" i="56"/>
  <c r="G37" i="56"/>
  <c r="BG1" i="56"/>
  <c r="BG13" i="56"/>
  <c r="BG63" i="56"/>
  <c r="BG70" i="56"/>
  <c r="BG101" i="56"/>
  <c r="BG82" i="56"/>
  <c r="BG95" i="56"/>
  <c r="BH6" i="56"/>
  <c r="BH44" i="56"/>
  <c r="BH46" i="56"/>
  <c r="BH56" i="56"/>
  <c r="BH65" i="56"/>
  <c r="X37" i="56"/>
  <c r="X48" i="56"/>
  <c r="G62" i="56"/>
  <c r="T63" i="56"/>
  <c r="W58" i="56"/>
  <c r="BG154" i="56"/>
  <c r="BH212" i="56"/>
  <c r="G55" i="56"/>
  <c r="BG217" i="56"/>
  <c r="BH238" i="56"/>
  <c r="BH110" i="56"/>
  <c r="BH209" i="56"/>
  <c r="S43" i="56"/>
  <c r="BG33" i="56"/>
  <c r="BG21" i="56"/>
  <c r="BG12" i="56"/>
  <c r="BG20" i="56"/>
  <c r="BG49" i="56"/>
  <c r="BG80" i="56"/>
  <c r="BH41" i="56"/>
  <c r="BH58" i="56"/>
  <c r="BH72" i="56"/>
  <c r="BG228" i="56"/>
  <c r="BH247" i="56"/>
  <c r="BH255" i="56"/>
  <c r="BH109" i="56"/>
  <c r="G48" i="56"/>
  <c r="S45" i="56"/>
  <c r="BG41" i="56"/>
  <c r="BG29" i="56"/>
  <c r="BG27" i="56"/>
  <c r="BG23" i="56"/>
  <c r="BG54" i="56"/>
  <c r="BG93" i="56"/>
  <c r="H27" i="56"/>
  <c r="H47" i="56"/>
  <c r="BH40" i="56"/>
  <c r="BH83" i="56"/>
  <c r="BH24" i="56"/>
  <c r="BH79" i="56"/>
  <c r="BH32" i="56"/>
  <c r="BH31" i="56"/>
  <c r="BH50" i="56"/>
  <c r="BH80" i="56"/>
  <c r="T41" i="56"/>
  <c r="W49" i="56"/>
  <c r="X38" i="56"/>
  <c r="G58" i="56"/>
  <c r="S56" i="56"/>
  <c r="H59" i="56"/>
  <c r="T52" i="56"/>
  <c r="W53" i="56"/>
  <c r="X57" i="56"/>
  <c r="BG252" i="56"/>
  <c r="BG202" i="56"/>
  <c r="BG124" i="56"/>
  <c r="BH237" i="56"/>
  <c r="BH154" i="56"/>
  <c r="S53" i="56"/>
  <c r="S55" i="56"/>
  <c r="S49" i="56"/>
  <c r="S50" i="56"/>
  <c r="S60" i="56"/>
  <c r="S36" i="56"/>
  <c r="W57" i="56"/>
  <c r="W40" i="56"/>
  <c r="W41" i="56"/>
  <c r="W56" i="56"/>
  <c r="W36" i="56"/>
  <c r="W42" i="56"/>
  <c r="W62" i="56"/>
  <c r="W60" i="56"/>
  <c r="W51" i="56"/>
  <c r="W50" i="56"/>
  <c r="G57" i="56"/>
  <c r="G40" i="56"/>
  <c r="G59" i="56"/>
  <c r="G39" i="56"/>
  <c r="G36" i="56"/>
  <c r="G45" i="56"/>
  <c r="G56" i="56"/>
  <c r="G38" i="56"/>
  <c r="BE1" i="56"/>
  <c r="G63" i="56"/>
  <c r="G49" i="56"/>
  <c r="G51" i="56"/>
  <c r="G46" i="56"/>
  <c r="G54" i="56"/>
  <c r="G60" i="56"/>
  <c r="G41" i="56"/>
  <c r="G43" i="56"/>
  <c r="G44" i="56"/>
  <c r="X60" i="56"/>
  <c r="X36" i="56"/>
  <c r="X54" i="56"/>
  <c r="X39" i="56"/>
  <c r="X63" i="56"/>
  <c r="X41" i="56"/>
  <c r="X62" i="56"/>
  <c r="X42" i="56"/>
  <c r="X53" i="56"/>
  <c r="X51" i="56"/>
  <c r="X56" i="56"/>
  <c r="X58" i="56"/>
  <c r="X46" i="56"/>
  <c r="X50" i="56"/>
  <c r="X52" i="56"/>
  <c r="X55" i="56"/>
  <c r="X45" i="56"/>
  <c r="X49" i="56"/>
  <c r="X61" i="56"/>
  <c r="X43" i="56"/>
  <c r="X44" i="56"/>
  <c r="BH173" i="56"/>
  <c r="BH192" i="56"/>
  <c r="BH120" i="56"/>
  <c r="BH239" i="56"/>
  <c r="BH12" i="56"/>
  <c r="BH121" i="56"/>
  <c r="BH101" i="56"/>
  <c r="BH76" i="56"/>
  <c r="BH70" i="56"/>
  <c r="BH9" i="56"/>
  <c r="BH39" i="56"/>
  <c r="BH16" i="56"/>
  <c r="BH89" i="56"/>
  <c r="BH136" i="56"/>
  <c r="BH182" i="56"/>
  <c r="BH228" i="56"/>
  <c r="BH128" i="56"/>
  <c r="BH156" i="56"/>
  <c r="BH183" i="56"/>
  <c r="BH229" i="56"/>
  <c r="BH49" i="56"/>
  <c r="BH73" i="56"/>
  <c r="BH129" i="56"/>
  <c r="BH157" i="56"/>
  <c r="BH202" i="56"/>
  <c r="BH257" i="56"/>
  <c r="BH103" i="56"/>
  <c r="BH140" i="56"/>
  <c r="BH176" i="56"/>
  <c r="BH204" i="56"/>
  <c r="BH231" i="56"/>
  <c r="BH113" i="56"/>
  <c r="BH141" i="56"/>
  <c r="BH168" i="56"/>
  <c r="BH196" i="56"/>
  <c r="BH223" i="56"/>
  <c r="BH250" i="56"/>
  <c r="BH104" i="56"/>
  <c r="BH114" i="56"/>
  <c r="BH124" i="56"/>
  <c r="BH133" i="56"/>
  <c r="BH142" i="56"/>
  <c r="BH151" i="56"/>
  <c r="BH160" i="56"/>
  <c r="BH169" i="56"/>
  <c r="BH178" i="56"/>
  <c r="BH188" i="56"/>
  <c r="BH197" i="56"/>
  <c r="BH206" i="56"/>
  <c r="BH215" i="56"/>
  <c r="BH224" i="56"/>
  <c r="BH233" i="56"/>
  <c r="BH242" i="56"/>
  <c r="BH252" i="56"/>
  <c r="BH261" i="56"/>
  <c r="BH95" i="56"/>
  <c r="BH66" i="56"/>
  <c r="BH69" i="56"/>
  <c r="BH90" i="56"/>
  <c r="BH29" i="56"/>
  <c r="BH11" i="56"/>
  <c r="BH71" i="56"/>
  <c r="BH127" i="56"/>
  <c r="BH164" i="56"/>
  <c r="BH218" i="56"/>
  <c r="BH264" i="56"/>
  <c r="BH119" i="56"/>
  <c r="BH146" i="56"/>
  <c r="BH174" i="56"/>
  <c r="BH220" i="56"/>
  <c r="BH100" i="56"/>
  <c r="BH8" i="56"/>
  <c r="BH111" i="56"/>
  <c r="BH148" i="56"/>
  <c r="BH166" i="56"/>
  <c r="BH184" i="56"/>
  <c r="BH230" i="56"/>
  <c r="BH98" i="56"/>
  <c r="BH130" i="56"/>
  <c r="BH158" i="56"/>
  <c r="BH194" i="56"/>
  <c r="BH240" i="56"/>
  <c r="BH122" i="56"/>
  <c r="BH150" i="56"/>
  <c r="BH186" i="56"/>
  <c r="BH214" i="56"/>
  <c r="BH241" i="56"/>
  <c r="BH106" i="56"/>
  <c r="BH125" i="56"/>
  <c r="BH143" i="56"/>
  <c r="BH152" i="56"/>
  <c r="BH161" i="56"/>
  <c r="BH170" i="56"/>
  <c r="BH180" i="56"/>
  <c r="BH189" i="56"/>
  <c r="BH198" i="56"/>
  <c r="BH207" i="56"/>
  <c r="BH216" i="56"/>
  <c r="BH225" i="56"/>
  <c r="BH234" i="56"/>
  <c r="BH244" i="56"/>
  <c r="BH253" i="56"/>
  <c r="BH262" i="56"/>
  <c r="BH96" i="56"/>
  <c r="BH97" i="56"/>
  <c r="BH42" i="56"/>
  <c r="BH35" i="56"/>
  <c r="BH87" i="56"/>
  <c r="BH21" i="56"/>
  <c r="BH63" i="56"/>
  <c r="BH57" i="56"/>
  <c r="BH118" i="56"/>
  <c r="BH145" i="56"/>
  <c r="BH191" i="56"/>
  <c r="BH246" i="56"/>
  <c r="BH137" i="56"/>
  <c r="BH165" i="56"/>
  <c r="BH201" i="56"/>
  <c r="BH256" i="56"/>
  <c r="BH27" i="56"/>
  <c r="BH138" i="56"/>
  <c r="BH175" i="56"/>
  <c r="BH193" i="56"/>
  <c r="BH248" i="56"/>
  <c r="BH84" i="56"/>
  <c r="BH112" i="56"/>
  <c r="BH149" i="56"/>
  <c r="BH185" i="56"/>
  <c r="BH222" i="56"/>
  <c r="BH249" i="56"/>
  <c r="BH105" i="56"/>
  <c r="BH132" i="56"/>
  <c r="BH159" i="56"/>
  <c r="BH177" i="56"/>
  <c r="BH205" i="56"/>
  <c r="BH232" i="56"/>
  <c r="BH260" i="56"/>
  <c r="BH116" i="56"/>
  <c r="BH134" i="56"/>
  <c r="BH108" i="56"/>
  <c r="BH117" i="56"/>
  <c r="BH126" i="56"/>
  <c r="BH135" i="56"/>
  <c r="BH144" i="56"/>
  <c r="BH153" i="56"/>
  <c r="BH162" i="56"/>
  <c r="BH172" i="56"/>
  <c r="BH181" i="56"/>
  <c r="BH190" i="56"/>
  <c r="BH199" i="56"/>
  <c r="BH208" i="56"/>
  <c r="BH217" i="56"/>
  <c r="BH226" i="56"/>
  <c r="BH236" i="56"/>
  <c r="BH245" i="56"/>
  <c r="BH254" i="56"/>
  <c r="BH263" i="56"/>
  <c r="BH88" i="56"/>
  <c r="BH51" i="56"/>
  <c r="BH38" i="56"/>
  <c r="BH34" i="56"/>
  <c r="BH77" i="56"/>
  <c r="BH26" i="56"/>
  <c r="BH17" i="56"/>
  <c r="BH48" i="56"/>
  <c r="BH92" i="56"/>
  <c r="BH82" i="56"/>
  <c r="BH68" i="56"/>
  <c r="BH23" i="56"/>
  <c r="BH60" i="56"/>
  <c r="BH61" i="56"/>
  <c r="BH64" i="56"/>
  <c r="BH37" i="56"/>
  <c r="BH19" i="56"/>
  <c r="BH53" i="56"/>
  <c r="BH102" i="56"/>
  <c r="BH30" i="56"/>
  <c r="BH81" i="56"/>
  <c r="BH62" i="56"/>
  <c r="BH52" i="56"/>
  <c r="BH94" i="56"/>
  <c r="BH47" i="56"/>
  <c r="BH25" i="56"/>
  <c r="BH99" i="56"/>
  <c r="BH28" i="56"/>
  <c r="BH18" i="56"/>
  <c r="BH7" i="56"/>
  <c r="BH86" i="56"/>
  <c r="BH33" i="56"/>
  <c r="BH107" i="56"/>
  <c r="BH115" i="56"/>
  <c r="BH123" i="56"/>
  <c r="BH131" i="56"/>
  <c r="BH139" i="56"/>
  <c r="BH147" i="56"/>
  <c r="BH155" i="56"/>
  <c r="BH163" i="56"/>
  <c r="BH171" i="56"/>
  <c r="BH179" i="56"/>
  <c r="BH187" i="56"/>
  <c r="BH195" i="56"/>
  <c r="BH203" i="56"/>
  <c r="BH211" i="56"/>
  <c r="BH219" i="56"/>
  <c r="BH227" i="56"/>
  <c r="BH235" i="56"/>
  <c r="BH243" i="56"/>
  <c r="BH251" i="56"/>
  <c r="BH259" i="56"/>
  <c r="BH78" i="56"/>
  <c r="BH55" i="56"/>
  <c r="BH93" i="56"/>
  <c r="BH74" i="56"/>
  <c r="BH45" i="56"/>
  <c r="BH15" i="56"/>
  <c r="BH91" i="56"/>
  <c r="BH22" i="56"/>
  <c r="BH36" i="56"/>
  <c r="BH20" i="56"/>
  <c r="BH67" i="56"/>
  <c r="BH14" i="56"/>
  <c r="BG204" i="56"/>
  <c r="BG155" i="56"/>
  <c r="BG194" i="56"/>
  <c r="BG208" i="56"/>
  <c r="BG219" i="56"/>
  <c r="BG233" i="56"/>
  <c r="BG244" i="56"/>
  <c r="BG258" i="56"/>
  <c r="BG87" i="56"/>
  <c r="BG65" i="56"/>
  <c r="BG96" i="56"/>
  <c r="BG69" i="56"/>
  <c r="BG94" i="56"/>
  <c r="BG46" i="56"/>
  <c r="BG203" i="56"/>
  <c r="BG218" i="56"/>
  <c r="BG79" i="56"/>
  <c r="BG62" i="56"/>
  <c r="BG76" i="56"/>
  <c r="BG60" i="56"/>
  <c r="BG48" i="56"/>
  <c r="BG24" i="56"/>
  <c r="BG152" i="56"/>
  <c r="BG188" i="56"/>
  <c r="BG241" i="56"/>
  <c r="BG139" i="56"/>
  <c r="BG164" i="56"/>
  <c r="BG242" i="56"/>
  <c r="BG104" i="56"/>
  <c r="BG140" i="56"/>
  <c r="BG193" i="56"/>
  <c r="BG257" i="56"/>
  <c r="BG105" i="56"/>
  <c r="BG144" i="56"/>
  <c r="BG131" i="56"/>
  <c r="BG170" i="56"/>
  <c r="BG195" i="56"/>
  <c r="BG234" i="56"/>
  <c r="BG259" i="56"/>
  <c r="BG107" i="56"/>
  <c r="BG121" i="56"/>
  <c r="BG132" i="56"/>
  <c r="BG146" i="56"/>
  <c r="BG160" i="56"/>
  <c r="BG171" i="56"/>
  <c r="BG185" i="56"/>
  <c r="BG196" i="56"/>
  <c r="BG210" i="56"/>
  <c r="BG224" i="56"/>
  <c r="BG235" i="56"/>
  <c r="BG249" i="56"/>
  <c r="BG260" i="56"/>
  <c r="BG71" i="56"/>
  <c r="BG55" i="56"/>
  <c r="BG66" i="56"/>
  <c r="BG59" i="56"/>
  <c r="BG40" i="56"/>
  <c r="BG17" i="56"/>
  <c r="BG113" i="56"/>
  <c r="BG177" i="56"/>
  <c r="BG227" i="56"/>
  <c r="BG128" i="56"/>
  <c r="BG178" i="56"/>
  <c r="BG115" i="56"/>
  <c r="BG168" i="56"/>
  <c r="BG232" i="56"/>
  <c r="BG116" i="56"/>
  <c r="BG169" i="56"/>
  <c r="BG120" i="56"/>
  <c r="BG156" i="56"/>
  <c r="BG209" i="56"/>
  <c r="BG220" i="56"/>
  <c r="BG108" i="56"/>
  <c r="BG122" i="56"/>
  <c r="BG136" i="56"/>
  <c r="BG147" i="56"/>
  <c r="BG161" i="56"/>
  <c r="BG172" i="56"/>
  <c r="BG186" i="56"/>
  <c r="BG200" i="56"/>
  <c r="BG211" i="56"/>
  <c r="BG225" i="56"/>
  <c r="BG236" i="56"/>
  <c r="BG250" i="56"/>
  <c r="BG264" i="56"/>
  <c r="BG64" i="56"/>
  <c r="BG77" i="56"/>
  <c r="BG28" i="56"/>
  <c r="BG34" i="56"/>
  <c r="BG56" i="56"/>
  <c r="BG74" i="56"/>
  <c r="BG138" i="56"/>
  <c r="BG163" i="56"/>
  <c r="BG216" i="56"/>
  <c r="BG114" i="56"/>
  <c r="BG153" i="56"/>
  <c r="BG192" i="56"/>
  <c r="BG256" i="56"/>
  <c r="BG129" i="56"/>
  <c r="BG179" i="56"/>
  <c r="BG243" i="56"/>
  <c r="BG130" i="56"/>
  <c r="BG180" i="56"/>
  <c r="BG106" i="56"/>
  <c r="BG145" i="56"/>
  <c r="BG184" i="56"/>
  <c r="BG248" i="56"/>
  <c r="BG112" i="56"/>
  <c r="BG123" i="56"/>
  <c r="BG137" i="56"/>
  <c r="BG148" i="56"/>
  <c r="BG162" i="56"/>
  <c r="BG176" i="56"/>
  <c r="BG187" i="56"/>
  <c r="BG201" i="56"/>
  <c r="BG212" i="56"/>
  <c r="BG226" i="56"/>
  <c r="BG240" i="56"/>
  <c r="BG251" i="56"/>
  <c r="BG92" i="56"/>
  <c r="BG67" i="56"/>
  <c r="BG26" i="56"/>
  <c r="BG32" i="56"/>
  <c r="BG37" i="56"/>
  <c r="BG43" i="56"/>
  <c r="BG99" i="56"/>
  <c r="BG73" i="56"/>
  <c r="BG51" i="56"/>
  <c r="BG30" i="56"/>
  <c r="BG52" i="56"/>
  <c r="BG18" i="56"/>
  <c r="BG47" i="56"/>
  <c r="BG61" i="56"/>
  <c r="BG31" i="56"/>
  <c r="BG19" i="56"/>
  <c r="BG15" i="56"/>
  <c r="BG25" i="56"/>
  <c r="BG109" i="56"/>
  <c r="BG117" i="56"/>
  <c r="BG125" i="56"/>
  <c r="BG133" i="56"/>
  <c r="BG141" i="56"/>
  <c r="BG149" i="56"/>
  <c r="BG157" i="56"/>
  <c r="BG165" i="56"/>
  <c r="BG173" i="56"/>
  <c r="BG181" i="56"/>
  <c r="BG189" i="56"/>
  <c r="BG197" i="56"/>
  <c r="BG205" i="56"/>
  <c r="BG213" i="56"/>
  <c r="BG221" i="56"/>
  <c r="BG229" i="56"/>
  <c r="BG237" i="56"/>
  <c r="BG245" i="56"/>
  <c r="BG253" i="56"/>
  <c r="BG261" i="56"/>
  <c r="BG89" i="56"/>
  <c r="BG57" i="56"/>
  <c r="BG50" i="56"/>
  <c r="BG22" i="56"/>
  <c r="BG91" i="56"/>
  <c r="BG11" i="56"/>
  <c r="BG45" i="56"/>
  <c r="BG38" i="56"/>
  <c r="BG36" i="56"/>
  <c r="BG84" i="56"/>
  <c r="BG90" i="56"/>
  <c r="BG9" i="56"/>
  <c r="BG110" i="56"/>
  <c r="BG118" i="56"/>
  <c r="BG126" i="56"/>
  <c r="BG134" i="56"/>
  <c r="BG142" i="56"/>
  <c r="BG150" i="56"/>
  <c r="BG158" i="56"/>
  <c r="BG166" i="56"/>
  <c r="BG174" i="56"/>
  <c r="BG182" i="56"/>
  <c r="BG190" i="56"/>
  <c r="BG198" i="56"/>
  <c r="BG206" i="56"/>
  <c r="BG214" i="56"/>
  <c r="BG222" i="56"/>
  <c r="BG230" i="56"/>
  <c r="BG238" i="56"/>
  <c r="BG246" i="56"/>
  <c r="BG254" i="56"/>
  <c r="BG262" i="56"/>
  <c r="BG86" i="56"/>
  <c r="BG97" i="56"/>
  <c r="BG100" i="56"/>
  <c r="BG14" i="56"/>
  <c r="BG53" i="56"/>
  <c r="BG98" i="56"/>
  <c r="BG42" i="56"/>
  <c r="BG81" i="56"/>
  <c r="BG16" i="56"/>
  <c r="BG7" i="56"/>
  <c r="BG83" i="56"/>
  <c r="BG6" i="56"/>
  <c r="BG103" i="56"/>
  <c r="BG111" i="56"/>
  <c r="BG119" i="56"/>
  <c r="BG127" i="56"/>
  <c r="BG135" i="56"/>
  <c r="BG143" i="56"/>
  <c r="BG151" i="56"/>
  <c r="BG159" i="56"/>
  <c r="BG167" i="56"/>
  <c r="BG175" i="56"/>
  <c r="BG183" i="56"/>
  <c r="BG191" i="56"/>
  <c r="BG199" i="56"/>
  <c r="BG207" i="56"/>
  <c r="BG215" i="56"/>
  <c r="BG223" i="56"/>
  <c r="BG231" i="56"/>
  <c r="BG239" i="56"/>
  <c r="BG247" i="56"/>
  <c r="BG255" i="56"/>
  <c r="BG263" i="56"/>
  <c r="BG102" i="56"/>
  <c r="BG75" i="56"/>
  <c r="BG88" i="56"/>
  <c r="BG78" i="56"/>
  <c r="BG8" i="56"/>
  <c r="BG39" i="56"/>
  <c r="BG85" i="56"/>
  <c r="BG35" i="56"/>
  <c r="BG72" i="56"/>
  <c r="BG68" i="56"/>
  <c r="BG44" i="56"/>
  <c r="BG58" i="56"/>
  <c r="BG10" i="56"/>
  <c r="H45" i="56"/>
  <c r="H55" i="56"/>
  <c r="H38" i="56"/>
  <c r="BF1" i="56"/>
  <c r="H56" i="56"/>
  <c r="H42" i="56"/>
  <c r="H58" i="56"/>
  <c r="H63" i="56"/>
  <c r="H40" i="56"/>
  <c r="H62" i="56"/>
  <c r="H36" i="56"/>
  <c r="H61" i="56"/>
  <c r="H51" i="56"/>
  <c r="H46" i="56"/>
  <c r="H53" i="56"/>
  <c r="H50" i="56"/>
  <c r="H43" i="56"/>
  <c r="H48" i="56"/>
  <c r="H52" i="56"/>
  <c r="H49" i="56"/>
  <c r="H39" i="56"/>
  <c r="H57" i="56"/>
  <c r="H41" i="56"/>
  <c r="H37" i="56"/>
  <c r="H54" i="56"/>
  <c r="H60" i="56"/>
  <c r="H44" i="56"/>
  <c r="BE143" i="56"/>
  <c r="BE193" i="56"/>
  <c r="BE218" i="56"/>
  <c r="BE71" i="56"/>
  <c r="BE74" i="56"/>
  <c r="BE22" i="56"/>
  <c r="BE55" i="56"/>
  <c r="BE168" i="56"/>
  <c r="BE247" i="56"/>
  <c r="BE77" i="56"/>
  <c r="BE67" i="56"/>
  <c r="BE52" i="56"/>
  <c r="BE38" i="56"/>
  <c r="BE18" i="56"/>
  <c r="BE154" i="56"/>
  <c r="BE194" i="56"/>
  <c r="BE145" i="56"/>
  <c r="BE262" i="56"/>
  <c r="BE69" i="56"/>
  <c r="BE34" i="56"/>
  <c r="BE43" i="56"/>
  <c r="BE33" i="56"/>
  <c r="BE13" i="56"/>
  <c r="BE182" i="56"/>
  <c r="BE105" i="56"/>
  <c r="BE159" i="56"/>
  <c r="BE248" i="56"/>
  <c r="BE146" i="56"/>
  <c r="BE160" i="56"/>
  <c r="BE174" i="56"/>
  <c r="BE185" i="56"/>
  <c r="BE199" i="56"/>
  <c r="BE210" i="56"/>
  <c r="BE224" i="56"/>
  <c r="BE238" i="56"/>
  <c r="BE249" i="56"/>
  <c r="BE263" i="56"/>
  <c r="BE94" i="56"/>
  <c r="BE25" i="56"/>
  <c r="BE39" i="56"/>
  <c r="BE30" i="56"/>
  <c r="BE24" i="56"/>
  <c r="BE207" i="56"/>
  <c r="BE183" i="56"/>
  <c r="BE198" i="56"/>
  <c r="BE136" i="56"/>
  <c r="BE264" i="56"/>
  <c r="BE86" i="56"/>
  <c r="BE20" i="56"/>
  <c r="BE96" i="56"/>
  <c r="BE48" i="56"/>
  <c r="BE7" i="56"/>
  <c r="BE129" i="56"/>
  <c r="BE246" i="56"/>
  <c r="BE130" i="56"/>
  <c r="BE169" i="56"/>
  <c r="BE233" i="56"/>
  <c r="BE134" i="56"/>
  <c r="BE184" i="56"/>
  <c r="BE234" i="56"/>
  <c r="BE135" i="56"/>
  <c r="BE150" i="56"/>
  <c r="BE186" i="56"/>
  <c r="BE200" i="56"/>
  <c r="BE239" i="56"/>
  <c r="BE250" i="56"/>
  <c r="BE112" i="56"/>
  <c r="BE126" i="56"/>
  <c r="BE137" i="56"/>
  <c r="BE151" i="56"/>
  <c r="BE162" i="56"/>
  <c r="BE176" i="56"/>
  <c r="BE190" i="56"/>
  <c r="BE201" i="56"/>
  <c r="BE215" i="56"/>
  <c r="BE226" i="56"/>
  <c r="BE240" i="56"/>
  <c r="BE254" i="56"/>
  <c r="BE99" i="56"/>
  <c r="BE68" i="56"/>
  <c r="BE81" i="56"/>
  <c r="BE47" i="56"/>
  <c r="BE118" i="56"/>
  <c r="BE232" i="56"/>
  <c r="BE119" i="56"/>
  <c r="BE158" i="56"/>
  <c r="BE222" i="56"/>
  <c r="BE120" i="56"/>
  <c r="BE209" i="56"/>
  <c r="BE121" i="56"/>
  <c r="BE111" i="56"/>
  <c r="BE175" i="56"/>
  <c r="BE225" i="56"/>
  <c r="BE113" i="56"/>
  <c r="BE127" i="56"/>
  <c r="BE138" i="56"/>
  <c r="BE152" i="56"/>
  <c r="BE166" i="56"/>
  <c r="BE177" i="56"/>
  <c r="BE191" i="56"/>
  <c r="BE202" i="56"/>
  <c r="BE216" i="56"/>
  <c r="BE230" i="56"/>
  <c r="BE241" i="56"/>
  <c r="BE255" i="56"/>
  <c r="BE89" i="56"/>
  <c r="BE56" i="56"/>
  <c r="BE28" i="56"/>
  <c r="BE26" i="56"/>
  <c r="BE104" i="56"/>
  <c r="BE257" i="56"/>
  <c r="BE144" i="56"/>
  <c r="BE208" i="56"/>
  <c r="BE258" i="56"/>
  <c r="BE106" i="56"/>
  <c r="BE170" i="56"/>
  <c r="BE223" i="56"/>
  <c r="BE110" i="56"/>
  <c r="BE122" i="56"/>
  <c r="BE161" i="56"/>
  <c r="BE214" i="56"/>
  <c r="BE103" i="56"/>
  <c r="BE114" i="56"/>
  <c r="BE128" i="56"/>
  <c r="BE142" i="56"/>
  <c r="BE153" i="56"/>
  <c r="BE167" i="56"/>
  <c r="BE178" i="56"/>
  <c r="BE192" i="56"/>
  <c r="BE206" i="56"/>
  <c r="BE217" i="56"/>
  <c r="BE231" i="56"/>
  <c r="BE242" i="56"/>
  <c r="BE256" i="56"/>
  <c r="BE98" i="56"/>
  <c r="BE40" i="56"/>
  <c r="BE37" i="56"/>
  <c r="BE65" i="56"/>
  <c r="BE91" i="56"/>
  <c r="BE78" i="56"/>
  <c r="BE92" i="56"/>
  <c r="BE16" i="56"/>
  <c r="BE31" i="56"/>
  <c r="BE36" i="56"/>
  <c r="BE102" i="56"/>
  <c r="BE29" i="56"/>
  <c r="BE27" i="56"/>
  <c r="BE21" i="56"/>
  <c r="BE8" i="56"/>
  <c r="BE19" i="56"/>
  <c r="BE100" i="56"/>
  <c r="BE80" i="56"/>
  <c r="BE76" i="56"/>
  <c r="BE90" i="56"/>
  <c r="BE12" i="56"/>
  <c r="BE17" i="56"/>
  <c r="BE14" i="56"/>
  <c r="BE83" i="56"/>
  <c r="BE73" i="56"/>
  <c r="BE9" i="56"/>
  <c r="BE46" i="56"/>
  <c r="BE82" i="56"/>
  <c r="BE15" i="56"/>
  <c r="BE107" i="56"/>
  <c r="BE115" i="56"/>
  <c r="BE123" i="56"/>
  <c r="BE131" i="56"/>
  <c r="BE139" i="56"/>
  <c r="BE147" i="56"/>
  <c r="BE155" i="56"/>
  <c r="BE163" i="56"/>
  <c r="BE171" i="56"/>
  <c r="BE179" i="56"/>
  <c r="BE187" i="56"/>
  <c r="BE195" i="56"/>
  <c r="BE203" i="56"/>
  <c r="BE211" i="56"/>
  <c r="BE219" i="56"/>
  <c r="BE227" i="56"/>
  <c r="BE235" i="56"/>
  <c r="BE243" i="56"/>
  <c r="BE251" i="56"/>
  <c r="BE259" i="56"/>
  <c r="BE101" i="56"/>
  <c r="BE62" i="56"/>
  <c r="BE64" i="56"/>
  <c r="BE79" i="56"/>
  <c r="BE10" i="56"/>
  <c r="BE95" i="56"/>
  <c r="BE11" i="56"/>
  <c r="BE57" i="56"/>
  <c r="BE66" i="56"/>
  <c r="BE6" i="56"/>
  <c r="BE45" i="56"/>
  <c r="BE44" i="56"/>
  <c r="BE108" i="56"/>
  <c r="BE116" i="56"/>
  <c r="BE124" i="56"/>
  <c r="BE132" i="56"/>
  <c r="BE140" i="56"/>
  <c r="BE148" i="56"/>
  <c r="BE156" i="56"/>
  <c r="BE164" i="56"/>
  <c r="BE172" i="56"/>
  <c r="BE180" i="56"/>
  <c r="BE188" i="56"/>
  <c r="BE196" i="56"/>
  <c r="BE204" i="56"/>
  <c r="BE212" i="56"/>
  <c r="BE220" i="56"/>
  <c r="BE228" i="56"/>
  <c r="BE236" i="56"/>
  <c r="BE244" i="56"/>
  <c r="BE252" i="56"/>
  <c r="BE260" i="56"/>
  <c r="BE93" i="56"/>
  <c r="BE58" i="56"/>
  <c r="BE61" i="56"/>
  <c r="BE63" i="56"/>
  <c r="BE59" i="56"/>
  <c r="BE88" i="56"/>
  <c r="BE70" i="56"/>
  <c r="BE41" i="56"/>
  <c r="BE60" i="56"/>
  <c r="BE50" i="56"/>
  <c r="BE87" i="56"/>
  <c r="BE42" i="56"/>
  <c r="BE109" i="56"/>
  <c r="BE117" i="56"/>
  <c r="BE125" i="56"/>
  <c r="BE133" i="56"/>
  <c r="BE141" i="56"/>
  <c r="BE149" i="56"/>
  <c r="BE157" i="56"/>
  <c r="BE165" i="56"/>
  <c r="BE173" i="56"/>
  <c r="BE181" i="56"/>
  <c r="BE189" i="56"/>
  <c r="BE197" i="56"/>
  <c r="BE205" i="56"/>
  <c r="BE213" i="56"/>
  <c r="BE221" i="56"/>
  <c r="BE229" i="56"/>
  <c r="BE237" i="56"/>
  <c r="BE245" i="56"/>
  <c r="BE253" i="56"/>
  <c r="BE261" i="56"/>
  <c r="BE85" i="56"/>
  <c r="BE97" i="56"/>
  <c r="BE54" i="56"/>
  <c r="BE53" i="56"/>
  <c r="BE84" i="56"/>
  <c r="BE75" i="56"/>
  <c r="BE51" i="56"/>
  <c r="BE32" i="56"/>
  <c r="BE49" i="56"/>
  <c r="BE35" i="56"/>
  <c r="BE72" i="56"/>
  <c r="BE23" i="56"/>
  <c r="BF172" i="56"/>
  <c r="BF69" i="56"/>
  <c r="BF73" i="56"/>
  <c r="BF62" i="56"/>
  <c r="BF51" i="56"/>
  <c r="BF35" i="56"/>
  <c r="BF44" i="56"/>
  <c r="BF46" i="56"/>
  <c r="BF250" i="56"/>
  <c r="BF212" i="56"/>
  <c r="BF63" i="56"/>
  <c r="BF82" i="56"/>
  <c r="BF197" i="56"/>
  <c r="BF198" i="56"/>
  <c r="BF54" i="56"/>
  <c r="BF163" i="56"/>
  <c r="BF99" i="56"/>
  <c r="BF37" i="56"/>
  <c r="BF88" i="56"/>
  <c r="BF18" i="56"/>
  <c r="BF49" i="56"/>
  <c r="BF7" i="56"/>
  <c r="BF186" i="56"/>
  <c r="BF237" i="56"/>
  <c r="BF20" i="56"/>
  <c r="BF213" i="56"/>
  <c r="BF164" i="56"/>
  <c r="BF242" i="56"/>
  <c r="BF102" i="56"/>
  <c r="BF89" i="56"/>
  <c r="BF27" i="56"/>
  <c r="BF79" i="56"/>
  <c r="BF45" i="56"/>
  <c r="BF38" i="56"/>
  <c r="BF68" i="56"/>
  <c r="BF160" i="56"/>
  <c r="BF187" i="56"/>
  <c r="BF57" i="56"/>
  <c r="BF227" i="56"/>
  <c r="BF125" i="56"/>
  <c r="BF94" i="56"/>
  <c r="BF100" i="56"/>
  <c r="BF21" i="56"/>
  <c r="BF43" i="56"/>
  <c r="BF32" i="56"/>
  <c r="BF33" i="56"/>
  <c r="BF56" i="56"/>
  <c r="BF111" i="56"/>
  <c r="BF130" i="56"/>
  <c r="BF211" i="56"/>
  <c r="BF261" i="56"/>
  <c r="BF112" i="56"/>
  <c r="BF140" i="56"/>
  <c r="BF162" i="56"/>
  <c r="BF262" i="56"/>
  <c r="BF76" i="56"/>
  <c r="BF123" i="56"/>
  <c r="BF152" i="56"/>
  <c r="BF202" i="56"/>
  <c r="BF106" i="56"/>
  <c r="BF133" i="56"/>
  <c r="BF178" i="56"/>
  <c r="BF214" i="56"/>
  <c r="BF116" i="56"/>
  <c r="BF144" i="56"/>
  <c r="BF179" i="56"/>
  <c r="BF218" i="56"/>
  <c r="BF254" i="56"/>
  <c r="BF108" i="56"/>
  <c r="BF117" i="56"/>
  <c r="BF126" i="56"/>
  <c r="BF135" i="56"/>
  <c r="BF146" i="56"/>
  <c r="BF156" i="56"/>
  <c r="BF166" i="56"/>
  <c r="BF180" i="56"/>
  <c r="BF194" i="56"/>
  <c r="BF205" i="56"/>
  <c r="BF219" i="56"/>
  <c r="BF230" i="56"/>
  <c r="BF244" i="56"/>
  <c r="BF258" i="56"/>
  <c r="BF86" i="56"/>
  <c r="BF67" i="56"/>
  <c r="BF19" i="56"/>
  <c r="BF36" i="56"/>
  <c r="BF39" i="56"/>
  <c r="BF30" i="56"/>
  <c r="BF29" i="56"/>
  <c r="BF139" i="56"/>
  <c r="BF222" i="56"/>
  <c r="BF103" i="56"/>
  <c r="BF131" i="56"/>
  <c r="BF173" i="56"/>
  <c r="BF251" i="56"/>
  <c r="BF81" i="56"/>
  <c r="BF104" i="56"/>
  <c r="BF132" i="56"/>
  <c r="BF174" i="56"/>
  <c r="BF238" i="56"/>
  <c r="BF115" i="56"/>
  <c r="BF142" i="56"/>
  <c r="BF189" i="56"/>
  <c r="BF228" i="56"/>
  <c r="BF107" i="56"/>
  <c r="BF155" i="56"/>
  <c r="BF204" i="56"/>
  <c r="BF243" i="56"/>
  <c r="BF109" i="56"/>
  <c r="BF118" i="56"/>
  <c r="BF127" i="56"/>
  <c r="BF136" i="56"/>
  <c r="BF147" i="56"/>
  <c r="BF157" i="56"/>
  <c r="BF170" i="56"/>
  <c r="BF181" i="56"/>
  <c r="BF195" i="56"/>
  <c r="BF206" i="56"/>
  <c r="BF220" i="56"/>
  <c r="BF234" i="56"/>
  <c r="BF245" i="56"/>
  <c r="BF259" i="56"/>
  <c r="BF78" i="56"/>
  <c r="BF93" i="56"/>
  <c r="BF15" i="56"/>
  <c r="BF14" i="56"/>
  <c r="BF60" i="56"/>
  <c r="BF22" i="56"/>
  <c r="BF61" i="56"/>
  <c r="BF120" i="56"/>
  <c r="BF149" i="56"/>
  <c r="BF236" i="56"/>
  <c r="BF122" i="56"/>
  <c r="BF150" i="56"/>
  <c r="BF226" i="56"/>
  <c r="BF114" i="56"/>
  <c r="BF141" i="56"/>
  <c r="BF188" i="56"/>
  <c r="BF252" i="56"/>
  <c r="BF124" i="56"/>
  <c r="BF154" i="56"/>
  <c r="BF203" i="56"/>
  <c r="BF253" i="56"/>
  <c r="BF134" i="56"/>
  <c r="BF165" i="56"/>
  <c r="BF190" i="56"/>
  <c r="BF229" i="56"/>
  <c r="BF110" i="56"/>
  <c r="BF119" i="56"/>
  <c r="BF128" i="56"/>
  <c r="BF138" i="56"/>
  <c r="BF148" i="56"/>
  <c r="BF158" i="56"/>
  <c r="BF171" i="56"/>
  <c r="BF182" i="56"/>
  <c r="BF196" i="56"/>
  <c r="BF210" i="56"/>
  <c r="BF221" i="56"/>
  <c r="BF235" i="56"/>
  <c r="BF246" i="56"/>
  <c r="BF260" i="56"/>
  <c r="BF70" i="56"/>
  <c r="BF80" i="56"/>
  <c r="BF75" i="56"/>
  <c r="BF53" i="56"/>
  <c r="BF42" i="56"/>
  <c r="BF8" i="56"/>
  <c r="BF55" i="56"/>
  <c r="BF65" i="56"/>
  <c r="BF25" i="56"/>
  <c r="BF50" i="56"/>
  <c r="BF87" i="56"/>
  <c r="BF10" i="56"/>
  <c r="BF143" i="56"/>
  <c r="BF151" i="56"/>
  <c r="BF159" i="56"/>
  <c r="BF167" i="56"/>
  <c r="BF175" i="56"/>
  <c r="BF183" i="56"/>
  <c r="BF191" i="56"/>
  <c r="BF199" i="56"/>
  <c r="BF207" i="56"/>
  <c r="BF215" i="56"/>
  <c r="BF223" i="56"/>
  <c r="BF231" i="56"/>
  <c r="BF239" i="56"/>
  <c r="BF247" i="56"/>
  <c r="BF255" i="56"/>
  <c r="BF263" i="56"/>
  <c r="BF97" i="56"/>
  <c r="BF98" i="56"/>
  <c r="BF91" i="56"/>
  <c r="BF11" i="56"/>
  <c r="BF74" i="56"/>
  <c r="BF28" i="56"/>
  <c r="BF47" i="56"/>
  <c r="BF84" i="56"/>
  <c r="BF9" i="56"/>
  <c r="BF48" i="56"/>
  <c r="BF24" i="56"/>
  <c r="BF13" i="56"/>
  <c r="BF168" i="56"/>
  <c r="BF184" i="56"/>
  <c r="BF192" i="56"/>
  <c r="BF200" i="56"/>
  <c r="BF216" i="56"/>
  <c r="BF224" i="56"/>
  <c r="BF232" i="56"/>
  <c r="BF240" i="56"/>
  <c r="BF248" i="56"/>
  <c r="BF256" i="56"/>
  <c r="BF264" i="56"/>
  <c r="BF83" i="56"/>
  <c r="BF85" i="56"/>
  <c r="BF59" i="56"/>
  <c r="BF95" i="56"/>
  <c r="BF58" i="56"/>
  <c r="BF26" i="56"/>
  <c r="BF34" i="56"/>
  <c r="BF66" i="56"/>
  <c r="BF6" i="56"/>
  <c r="BF40" i="56"/>
  <c r="BF90" i="56"/>
  <c r="BF17" i="56"/>
  <c r="BF176" i="56"/>
  <c r="BF208" i="56"/>
  <c r="BF105" i="56"/>
  <c r="BF113" i="56"/>
  <c r="BF121" i="56"/>
  <c r="BF129" i="56"/>
  <c r="BF137" i="56"/>
  <c r="BF145" i="56"/>
  <c r="BF153" i="56"/>
  <c r="BF161" i="56"/>
  <c r="BF169" i="56"/>
  <c r="BF177" i="56"/>
  <c r="BF185" i="56"/>
  <c r="BF193" i="56"/>
  <c r="BF201" i="56"/>
  <c r="BF209" i="56"/>
  <c r="BF217" i="56"/>
  <c r="BF225" i="56"/>
  <c r="BF233" i="56"/>
  <c r="BF241" i="56"/>
  <c r="BF249" i="56"/>
  <c r="BF257" i="56"/>
  <c r="BF101" i="56"/>
  <c r="BF72" i="56"/>
  <c r="BF71" i="56"/>
  <c r="BF41" i="56"/>
  <c r="BF77" i="56"/>
  <c r="BF52" i="56"/>
  <c r="BF23" i="56"/>
  <c r="BF92" i="56"/>
  <c r="BF64" i="56"/>
  <c r="BF31" i="56"/>
  <c r="BF12" i="56"/>
  <c r="BF96" i="56"/>
  <c r="BF16" i="56"/>
  <c r="X69" i="56" l="1"/>
  <c r="X77" i="56"/>
  <c r="X71" i="56"/>
  <c r="X67" i="56"/>
  <c r="X76" i="56"/>
  <c r="X68" i="56"/>
  <c r="X72" i="56"/>
  <c r="X78" i="56"/>
  <c r="X75" i="56"/>
  <c r="X74" i="56"/>
  <c r="X73" i="56"/>
  <c r="X70" i="56"/>
  <c r="W77" i="56"/>
  <c r="W69" i="56"/>
  <c r="W78" i="56"/>
  <c r="W67" i="56"/>
  <c r="W76" i="56"/>
  <c r="W68" i="56"/>
  <c r="W72" i="56"/>
  <c r="W71" i="56"/>
  <c r="W75" i="56"/>
  <c r="W74" i="56"/>
  <c r="W73" i="56"/>
  <c r="W70" i="56"/>
  <c r="T77" i="56"/>
  <c r="T76" i="56"/>
  <c r="T68" i="56"/>
  <c r="T71" i="56"/>
  <c r="T69" i="56"/>
  <c r="T74" i="56"/>
  <c r="T73" i="56"/>
  <c r="T67" i="56"/>
  <c r="T72" i="56"/>
  <c r="T78" i="56"/>
  <c r="T75" i="56"/>
  <c r="T70" i="56"/>
  <c r="H69" i="56"/>
  <c r="H71" i="56"/>
  <c r="H78" i="56"/>
  <c r="H77" i="56"/>
  <c r="H76" i="56"/>
  <c r="H68" i="56"/>
  <c r="H67" i="56"/>
  <c r="H72" i="56"/>
  <c r="H75" i="56"/>
  <c r="H74" i="56"/>
  <c r="H73" i="56"/>
  <c r="H70" i="56"/>
  <c r="S77" i="56"/>
  <c r="S69" i="56"/>
  <c r="S76" i="56"/>
  <c r="S68" i="56"/>
  <c r="S75" i="56"/>
  <c r="S74" i="56"/>
  <c r="S67" i="56"/>
  <c r="S72" i="56"/>
  <c r="S71" i="56"/>
  <c r="S78" i="56"/>
  <c r="S73" i="56"/>
  <c r="S70" i="56"/>
  <c r="G69" i="56"/>
  <c r="G77" i="56"/>
  <c r="G67" i="56"/>
  <c r="G76" i="56"/>
  <c r="G68" i="56"/>
  <c r="G72" i="56"/>
  <c r="G71" i="56"/>
  <c r="G78" i="56"/>
  <c r="G75" i="56"/>
  <c r="G74" i="56"/>
  <c r="G73" i="56"/>
  <c r="G70" i="56"/>
  <c r="X66" i="56"/>
  <c r="W66" i="56"/>
  <c r="T66" i="56"/>
  <c r="H66" i="56"/>
  <c r="S66" i="56"/>
  <c r="G66" i="56"/>
  <c r="AX5" i="56" a="1"/>
  <c r="AX5" i="56" s="1"/>
  <c r="AU16" i="56"/>
  <c r="V28" i="56" s="1"/>
  <c r="AU14" i="56"/>
  <c r="V30" i="56" s="1"/>
  <c r="AU15" i="56"/>
  <c r="V29" i="56" s="1"/>
  <c r="V27" i="56"/>
  <c r="V60" i="56"/>
  <c r="V47" i="56"/>
  <c r="V39" i="56"/>
  <c r="V37" i="56"/>
  <c r="V56" i="56"/>
  <c r="V57" i="56"/>
  <c r="V63" i="56"/>
  <c r="V43" i="56"/>
  <c r="V38" i="56"/>
  <c r="BJ1" i="56"/>
  <c r="BJ32" i="56"/>
  <c r="BJ42" i="56"/>
  <c r="BJ77" i="56"/>
  <c r="BJ39" i="56"/>
  <c r="BJ30" i="56"/>
  <c r="BJ78" i="56"/>
  <c r="V62" i="56"/>
  <c r="BJ254" i="56"/>
  <c r="BJ238" i="56"/>
  <c r="BJ222" i="56"/>
  <c r="BJ206" i="56"/>
  <c r="BJ190" i="56"/>
  <c r="BJ174" i="56"/>
  <c r="BJ158" i="56"/>
  <c r="BJ142" i="56"/>
  <c r="BJ118" i="56"/>
  <c r="V50" i="56"/>
  <c r="BJ9" i="56"/>
  <c r="BJ23" i="56"/>
  <c r="BJ95" i="56"/>
  <c r="BJ24" i="56"/>
  <c r="BJ17" i="56"/>
  <c r="BJ245" i="56"/>
  <c r="BJ221" i="56"/>
  <c r="BJ197" i="56"/>
  <c r="BJ173" i="56"/>
  <c r="BJ149" i="56"/>
  <c r="BJ125" i="56"/>
  <c r="V48" i="56"/>
  <c r="BJ36" i="56"/>
  <c r="BJ67" i="56"/>
  <c r="BJ33" i="56"/>
  <c r="BJ49" i="56"/>
  <c r="BJ260" i="56"/>
  <c r="BJ236" i="56"/>
  <c r="BJ212" i="56"/>
  <c r="BJ188" i="56"/>
  <c r="BJ156" i="56"/>
  <c r="BJ132" i="56"/>
  <c r="BJ108" i="56"/>
  <c r="V46" i="56"/>
  <c r="BJ25" i="56"/>
  <c r="BJ98" i="56"/>
  <c r="BJ61" i="56"/>
  <c r="BJ48" i="56"/>
  <c r="V53" i="56"/>
  <c r="BJ243" i="56"/>
  <c r="BJ219" i="56"/>
  <c r="BJ195" i="56"/>
  <c r="BJ171" i="56"/>
  <c r="BJ147" i="56"/>
  <c r="BJ115" i="56"/>
  <c r="V45" i="56"/>
  <c r="BJ100" i="56"/>
  <c r="BJ93" i="56"/>
  <c r="BJ102" i="56"/>
  <c r="BJ20" i="56"/>
  <c r="BJ258" i="56"/>
  <c r="BJ226" i="56"/>
  <c r="BJ202" i="56"/>
  <c r="BJ178" i="56"/>
  <c r="BJ154" i="56"/>
  <c r="BJ130" i="56"/>
  <c r="BJ106" i="56"/>
  <c r="BJ126" i="56"/>
  <c r="BJ34" i="56"/>
  <c r="BJ60" i="56"/>
  <c r="BJ21" i="56"/>
  <c r="BJ68" i="56"/>
  <c r="BJ261" i="56"/>
  <c r="BJ237" i="56"/>
  <c r="BJ213" i="56"/>
  <c r="BJ189" i="56"/>
  <c r="BJ165" i="56"/>
  <c r="BJ141" i="56"/>
  <c r="BJ117" i="56"/>
  <c r="V41" i="56"/>
  <c r="BJ10" i="56"/>
  <c r="BJ75" i="56"/>
  <c r="BJ6" i="56"/>
  <c r="V55" i="56"/>
  <c r="BJ252" i="56"/>
  <c r="BJ228" i="56"/>
  <c r="BJ204" i="56"/>
  <c r="BJ180" i="56"/>
  <c r="BJ164" i="56"/>
  <c r="BJ140" i="56"/>
  <c r="BJ116" i="56"/>
  <c r="V42" i="56"/>
  <c r="BJ94" i="56"/>
  <c r="BJ57" i="56"/>
  <c r="BJ29" i="56"/>
  <c r="BJ37" i="56"/>
  <c r="V58" i="56"/>
  <c r="BJ251" i="56"/>
  <c r="BJ227" i="56"/>
  <c r="BJ203" i="56"/>
  <c r="BJ187" i="56"/>
  <c r="BJ163" i="56"/>
  <c r="BJ139" i="56"/>
  <c r="BJ123" i="56"/>
  <c r="V40" i="56"/>
  <c r="BJ51" i="56"/>
  <c r="BJ79" i="56"/>
  <c r="BJ81" i="56"/>
  <c r="BJ66" i="56"/>
  <c r="V61" i="56"/>
  <c r="BJ234" i="56"/>
  <c r="BJ210" i="56"/>
  <c r="BJ186" i="56"/>
  <c r="BJ162" i="56"/>
  <c r="BJ138" i="56"/>
  <c r="BJ114" i="56"/>
  <c r="BJ250" i="56"/>
  <c r="V59" i="56"/>
  <c r="V49" i="56"/>
  <c r="V36" i="56"/>
  <c r="V54" i="56"/>
  <c r="V52" i="56"/>
  <c r="V44" i="56"/>
  <c r="V51" i="56"/>
  <c r="BJ111" i="56"/>
  <c r="BJ127" i="56"/>
  <c r="BJ143" i="56"/>
  <c r="BJ159" i="56"/>
  <c r="BJ175" i="56"/>
  <c r="BJ191" i="56"/>
  <c r="BJ207" i="56"/>
  <c r="BJ231" i="56"/>
  <c r="BJ247" i="56"/>
  <c r="BJ263" i="56"/>
  <c r="BJ26" i="56"/>
  <c r="BJ89" i="56"/>
  <c r="BJ80" i="56"/>
  <c r="BJ56" i="56"/>
  <c r="BJ87" i="56"/>
  <c r="BJ13" i="56"/>
  <c r="BJ112" i="56"/>
  <c r="BJ128" i="56"/>
  <c r="BJ144" i="56"/>
  <c r="BJ168" i="56"/>
  <c r="BJ208" i="56"/>
  <c r="BJ72" i="56"/>
  <c r="BJ122" i="56"/>
  <c r="BJ146" i="56"/>
  <c r="BJ170" i="56"/>
  <c r="BJ194" i="56"/>
  <c r="BJ218" i="56"/>
  <c r="BJ242" i="56"/>
  <c r="BJ46" i="56"/>
  <c r="BJ58" i="56"/>
  <c r="BJ90" i="56"/>
  <c r="BJ31" i="56"/>
  <c r="BJ107" i="56"/>
  <c r="BJ131" i="56"/>
  <c r="BJ155" i="56"/>
  <c r="BJ179" i="56"/>
  <c r="BJ211" i="56"/>
  <c r="BJ235" i="56"/>
  <c r="BJ259" i="56"/>
  <c r="BJ8" i="56"/>
  <c r="BJ86" i="56"/>
  <c r="BJ91" i="56"/>
  <c r="BJ40" i="56"/>
  <c r="BJ124" i="56"/>
  <c r="BJ148" i="56"/>
  <c r="BJ172" i="56"/>
  <c r="BJ196" i="56"/>
  <c r="BJ220" i="56"/>
  <c r="BJ244" i="56"/>
  <c r="BJ47" i="56"/>
  <c r="BJ7" i="56"/>
  <c r="BJ53" i="56"/>
  <c r="BJ83" i="56"/>
  <c r="BJ22" i="56"/>
  <c r="BJ109" i="56"/>
  <c r="BJ133" i="56"/>
  <c r="BJ157" i="56"/>
  <c r="BJ181" i="56"/>
  <c r="BJ205" i="56"/>
  <c r="BJ229" i="56"/>
  <c r="BJ253" i="56"/>
  <c r="BJ62" i="56"/>
  <c r="BJ35" i="56"/>
  <c r="BJ73" i="56"/>
  <c r="BJ65" i="56"/>
  <c r="BJ110" i="56"/>
  <c r="BJ134" i="56"/>
  <c r="BJ150" i="56"/>
  <c r="BJ166" i="56"/>
  <c r="BJ182" i="56"/>
  <c r="BJ198" i="56"/>
  <c r="BJ214" i="56"/>
  <c r="BJ230" i="56"/>
  <c r="BJ246" i="56"/>
  <c r="BJ262" i="56"/>
  <c r="BJ19" i="56"/>
  <c r="BJ64" i="56"/>
  <c r="BJ38" i="56"/>
  <c r="BJ101" i="56"/>
  <c r="BJ76" i="56"/>
  <c r="BJ45" i="56"/>
  <c r="BJ103" i="56"/>
  <c r="BJ119" i="56"/>
  <c r="BJ135" i="56"/>
  <c r="BJ151" i="56"/>
  <c r="BJ167" i="56"/>
  <c r="BJ183" i="56"/>
  <c r="BJ199" i="56"/>
  <c r="BJ215" i="56"/>
  <c r="BJ223" i="56"/>
  <c r="BJ239" i="56"/>
  <c r="BJ255" i="56"/>
  <c r="BJ99" i="56"/>
  <c r="BJ41" i="56"/>
  <c r="BJ43" i="56"/>
  <c r="BJ84" i="56"/>
  <c r="BJ59" i="56"/>
  <c r="BJ28" i="56"/>
  <c r="BJ105" i="56"/>
  <c r="BJ120" i="56"/>
  <c r="BJ136" i="56"/>
  <c r="BJ152" i="56"/>
  <c r="BJ160" i="56"/>
  <c r="BJ176" i="56"/>
  <c r="BJ184" i="56"/>
  <c r="BJ192" i="56"/>
  <c r="BJ200" i="56"/>
  <c r="BJ216" i="56"/>
  <c r="BJ224" i="56"/>
  <c r="BJ232" i="56"/>
  <c r="BJ240" i="56"/>
  <c r="BJ248" i="56"/>
  <c r="BJ256" i="56"/>
  <c r="BJ264" i="56"/>
  <c r="BJ54" i="56"/>
  <c r="BJ88" i="56"/>
  <c r="BJ50" i="56"/>
  <c r="BJ44" i="56"/>
  <c r="BJ52" i="56"/>
  <c r="BJ63" i="56"/>
  <c r="BJ92" i="56"/>
  <c r="BJ74" i="56"/>
  <c r="BJ18" i="56"/>
  <c r="BJ14" i="56"/>
  <c r="BJ27" i="56"/>
  <c r="BJ104" i="56"/>
  <c r="BJ113" i="56"/>
  <c r="BJ121" i="56"/>
  <c r="BJ129" i="56"/>
  <c r="BJ137" i="56"/>
  <c r="BJ145" i="56"/>
  <c r="BJ153" i="56"/>
  <c r="BJ161" i="56"/>
  <c r="BJ169" i="56"/>
  <c r="BJ177" i="56"/>
  <c r="BJ185" i="56"/>
  <c r="BJ193" i="56"/>
  <c r="BJ201" i="56"/>
  <c r="BJ209" i="56"/>
  <c r="BJ217" i="56"/>
  <c r="BJ225" i="56"/>
  <c r="BJ233" i="56"/>
  <c r="BJ241" i="56"/>
  <c r="BJ249" i="56"/>
  <c r="BJ257" i="56"/>
  <c r="BJ15" i="56"/>
  <c r="BJ97" i="56"/>
  <c r="BJ16" i="56"/>
  <c r="BJ71" i="56"/>
  <c r="BJ85" i="56"/>
  <c r="BJ55" i="56"/>
  <c r="BJ70" i="56"/>
  <c r="BJ96" i="56"/>
  <c r="BJ82" i="56"/>
  <c r="BJ11" i="56"/>
  <c r="BJ69" i="56"/>
  <c r="BJ12" i="56"/>
  <c r="AX6" i="56" l="1"/>
  <c r="V69" i="56"/>
  <c r="V76" i="56"/>
  <c r="V68" i="56"/>
  <c r="V72" i="56"/>
  <c r="V71" i="56"/>
  <c r="V77" i="56"/>
  <c r="V75" i="56"/>
  <c r="V74" i="56"/>
  <c r="V67" i="56"/>
  <c r="V78" i="56"/>
  <c r="V73" i="56"/>
  <c r="V70" i="56"/>
  <c r="V66" i="56"/>
  <c r="AY6" i="56"/>
  <c r="AY5" i="56"/>
  <c r="V35" i="56"/>
  <c r="BJ5" i="56" s="1"/>
  <c r="AU5" i="56" l="1" a="1"/>
  <c r="AU6" i="56" s="1"/>
  <c r="U28" i="56" s="1"/>
  <c r="Z25" i="56"/>
  <c r="Y25" i="56"/>
  <c r="Y26" i="56"/>
  <c r="AA25" i="56"/>
  <c r="AA26" i="56"/>
  <c r="AU5" i="56" l="1"/>
  <c r="U29" i="56" s="1"/>
  <c r="Y28" i="56" a="1"/>
  <c r="U27" i="56"/>
  <c r="U47" i="56"/>
  <c r="U46" i="56"/>
  <c r="AA28" i="56" a="1"/>
  <c r="BI1" i="56"/>
  <c r="BI22" i="56"/>
  <c r="BI90" i="56"/>
  <c r="BI42" i="56"/>
  <c r="BI50" i="56"/>
  <c r="BI264" i="56"/>
  <c r="BI240" i="56"/>
  <c r="BI216" i="56"/>
  <c r="BI192" i="56"/>
  <c r="BI168" i="56"/>
  <c r="BI144" i="56"/>
  <c r="BI120" i="56"/>
  <c r="AB25" i="56"/>
  <c r="BI31" i="56"/>
  <c r="BI87" i="56"/>
  <c r="BI25" i="56"/>
  <c r="BI36" i="56"/>
  <c r="BI263" i="56"/>
  <c r="BI239" i="56"/>
  <c r="BI215" i="56"/>
  <c r="BI191" i="56"/>
  <c r="BI167" i="56"/>
  <c r="BI143" i="56"/>
  <c r="BI119" i="56"/>
  <c r="BI103" i="56"/>
  <c r="U41" i="56"/>
  <c r="BI37" i="56"/>
  <c r="BI88" i="56"/>
  <c r="BI41" i="56"/>
  <c r="BI206" i="56"/>
  <c r="U56" i="56"/>
  <c r="U38" i="56"/>
  <c r="U61" i="56"/>
  <c r="U39" i="56"/>
  <c r="U53" i="56"/>
  <c r="U40" i="56"/>
  <c r="U60" i="56"/>
  <c r="U45" i="56"/>
  <c r="U57" i="56"/>
  <c r="U48" i="56"/>
  <c r="U52" i="56"/>
  <c r="U42" i="56"/>
  <c r="U37" i="56"/>
  <c r="U54" i="56"/>
  <c r="U44" i="56"/>
  <c r="U59" i="56"/>
  <c r="U49" i="56"/>
  <c r="U63" i="56"/>
  <c r="U58" i="56"/>
  <c r="U50" i="56"/>
  <c r="U43" i="56"/>
  <c r="U62" i="56"/>
  <c r="U55" i="56"/>
  <c r="U36" i="56"/>
  <c r="U51" i="56"/>
  <c r="BI121" i="56"/>
  <c r="BI145" i="56"/>
  <c r="BI169" i="56"/>
  <c r="BI209" i="56"/>
  <c r="BI44" i="56"/>
  <c r="BI110" i="56"/>
  <c r="BI126" i="56"/>
  <c r="BI142" i="56"/>
  <c r="BI158" i="56"/>
  <c r="BI174" i="56"/>
  <c r="BI190" i="56"/>
  <c r="BI214" i="56"/>
  <c r="BI230" i="56"/>
  <c r="BI246" i="56"/>
  <c r="BI262" i="56"/>
  <c r="BI69" i="56"/>
  <c r="BI99" i="56"/>
  <c r="BI60" i="56"/>
  <c r="BI45" i="56"/>
  <c r="BI127" i="56"/>
  <c r="BI151" i="56"/>
  <c r="BI175" i="56"/>
  <c r="BI207" i="56"/>
  <c r="BI231" i="56"/>
  <c r="BI255" i="56"/>
  <c r="BI6" i="56"/>
  <c r="BI30" i="56"/>
  <c r="BI77" i="56"/>
  <c r="BI48" i="56"/>
  <c r="BI112" i="56"/>
  <c r="BI136" i="56"/>
  <c r="BI160" i="56"/>
  <c r="BI184" i="56"/>
  <c r="BI208" i="56"/>
  <c r="BI232" i="56"/>
  <c r="BI256" i="56"/>
  <c r="BI43" i="56"/>
  <c r="BI7" i="56"/>
  <c r="BI92" i="56"/>
  <c r="BI79" i="56"/>
  <c r="BI104" i="56"/>
  <c r="BI129" i="56"/>
  <c r="BI153" i="56"/>
  <c r="BI177" i="56"/>
  <c r="BI193" i="56"/>
  <c r="BI217" i="56"/>
  <c r="BI233" i="56"/>
  <c r="BI249" i="56"/>
  <c r="BI72" i="56"/>
  <c r="BI85" i="56"/>
  <c r="BI51" i="56"/>
  <c r="BI96" i="56"/>
  <c r="BI89" i="56"/>
  <c r="BI23" i="56"/>
  <c r="BI114" i="56"/>
  <c r="BI130" i="56"/>
  <c r="BI146" i="56"/>
  <c r="BI162" i="56"/>
  <c r="BI178" i="56"/>
  <c r="BI194" i="56"/>
  <c r="BI210" i="56"/>
  <c r="BI226" i="56"/>
  <c r="BI242" i="56"/>
  <c r="BI258" i="56"/>
  <c r="BI47" i="56"/>
  <c r="BI100" i="56"/>
  <c r="BI38" i="56"/>
  <c r="BI62" i="56"/>
  <c r="BI66" i="56"/>
  <c r="BI56" i="56"/>
  <c r="BI115" i="56"/>
  <c r="BI139" i="56"/>
  <c r="BI155" i="56"/>
  <c r="BI171" i="56"/>
  <c r="BI187" i="56"/>
  <c r="BI203" i="56"/>
  <c r="BI219" i="56"/>
  <c r="BI235" i="56"/>
  <c r="BI251" i="56"/>
  <c r="BI82" i="56"/>
  <c r="BI20" i="56"/>
  <c r="BI71" i="56"/>
  <c r="BI55" i="56"/>
  <c r="BI65" i="56"/>
  <c r="BI10" i="56"/>
  <c r="BI108" i="56"/>
  <c r="BI124" i="56"/>
  <c r="BI140" i="56"/>
  <c r="BI156" i="56"/>
  <c r="BI180" i="56"/>
  <c r="BI204" i="56"/>
  <c r="BI228" i="56"/>
  <c r="BI40" i="56"/>
  <c r="BI14" i="56"/>
  <c r="BI118" i="56"/>
  <c r="BI134" i="56"/>
  <c r="BI150" i="56"/>
  <c r="BI166" i="56"/>
  <c r="BI182" i="56"/>
  <c r="BI198" i="56"/>
  <c r="BI222" i="56"/>
  <c r="BI238" i="56"/>
  <c r="BI254" i="56"/>
  <c r="BI18" i="56"/>
  <c r="BI34" i="56"/>
  <c r="BI15" i="56"/>
  <c r="BI24" i="56"/>
  <c r="BI101" i="56"/>
  <c r="BI111" i="56"/>
  <c r="BI135" i="56"/>
  <c r="BI159" i="56"/>
  <c r="BI183" i="56"/>
  <c r="BI199" i="56"/>
  <c r="BI223" i="56"/>
  <c r="BI247" i="56"/>
  <c r="BI8" i="56"/>
  <c r="BI29" i="56"/>
  <c r="BI26" i="56"/>
  <c r="BI73" i="56"/>
  <c r="BI105" i="56"/>
  <c r="BI128" i="56"/>
  <c r="BI152" i="56"/>
  <c r="BI176" i="56"/>
  <c r="BI200" i="56"/>
  <c r="BI224" i="56"/>
  <c r="BI248" i="56"/>
  <c r="BI35" i="56"/>
  <c r="BI33" i="56"/>
  <c r="BI28" i="56"/>
  <c r="BI81" i="56"/>
  <c r="BI113" i="56"/>
  <c r="BI137" i="56"/>
  <c r="BI161" i="56"/>
  <c r="BI185" i="56"/>
  <c r="BI201" i="56"/>
  <c r="BI225" i="56"/>
  <c r="BI241" i="56"/>
  <c r="BI257" i="56"/>
  <c r="BI46" i="56"/>
  <c r="BI16" i="56"/>
  <c r="BI21" i="56"/>
  <c r="BI32" i="56"/>
  <c r="BI98" i="56"/>
  <c r="BI64" i="56"/>
  <c r="BI106" i="56"/>
  <c r="BI122" i="56"/>
  <c r="BI138" i="56"/>
  <c r="BI154" i="56"/>
  <c r="BI170" i="56"/>
  <c r="BI186" i="56"/>
  <c r="BI202" i="56"/>
  <c r="BI218" i="56"/>
  <c r="BI234" i="56"/>
  <c r="BI250" i="56"/>
  <c r="BI91" i="56"/>
  <c r="BI19" i="56"/>
  <c r="BI63" i="56"/>
  <c r="BI59" i="56"/>
  <c r="BI52" i="56"/>
  <c r="BI97" i="56"/>
  <c r="BI107" i="56"/>
  <c r="BI123" i="56"/>
  <c r="BI131" i="56"/>
  <c r="BI147" i="56"/>
  <c r="BI163" i="56"/>
  <c r="BI179" i="56"/>
  <c r="BI195" i="56"/>
  <c r="BI211" i="56"/>
  <c r="BI227" i="56"/>
  <c r="BI243" i="56"/>
  <c r="BI259" i="56"/>
  <c r="BI78" i="56"/>
  <c r="BI102" i="56"/>
  <c r="BI80" i="56"/>
  <c r="BI74" i="56"/>
  <c r="BI70" i="56"/>
  <c r="BI54" i="56"/>
  <c r="BI116" i="56"/>
  <c r="BI132" i="56"/>
  <c r="BI148" i="56"/>
  <c r="BI164" i="56"/>
  <c r="BI172" i="56"/>
  <c r="BI188" i="56"/>
  <c r="BI196" i="56"/>
  <c r="BI212" i="56"/>
  <c r="BI220" i="56"/>
  <c r="BI236" i="56"/>
  <c r="BI244" i="56"/>
  <c r="BI252" i="56"/>
  <c r="BI260" i="56"/>
  <c r="BI11" i="56"/>
  <c r="BI12" i="56"/>
  <c r="BI83" i="56"/>
  <c r="BI76" i="56"/>
  <c r="BI9" i="56"/>
  <c r="BI58" i="56"/>
  <c r="BI94" i="56"/>
  <c r="BI68" i="56"/>
  <c r="BI84" i="56"/>
  <c r="BI49" i="56"/>
  <c r="BI109" i="56"/>
  <c r="BI117" i="56"/>
  <c r="BI125" i="56"/>
  <c r="BI133" i="56"/>
  <c r="BI141" i="56"/>
  <c r="BI149" i="56"/>
  <c r="BI157" i="56"/>
  <c r="BI165" i="56"/>
  <c r="BI173" i="56"/>
  <c r="BI181" i="56"/>
  <c r="BI189" i="56"/>
  <c r="BI197" i="56"/>
  <c r="BI205" i="56"/>
  <c r="BI213" i="56"/>
  <c r="BI221" i="56"/>
  <c r="BI229" i="56"/>
  <c r="BI237" i="56"/>
  <c r="BI245" i="56"/>
  <c r="BI253" i="56"/>
  <c r="BI261" i="56"/>
  <c r="BI17" i="56"/>
  <c r="BI57" i="56"/>
  <c r="BI27" i="56"/>
  <c r="BI93" i="56"/>
  <c r="BI86" i="56"/>
  <c r="BI13" i="56"/>
  <c r="BI61" i="56"/>
  <c r="BI53" i="56"/>
  <c r="BI75" i="56"/>
  <c r="BI95" i="56"/>
  <c r="BI67" i="56"/>
  <c r="BI39" i="56"/>
  <c r="Y28" i="56" l="1"/>
  <c r="Y29" i="56"/>
  <c r="Y35" i="56" s="1"/>
  <c r="BM5" i="56" s="1"/>
  <c r="U69" i="56"/>
  <c r="U76" i="56"/>
  <c r="U78" i="56"/>
  <c r="U77" i="56"/>
  <c r="U68" i="56"/>
  <c r="U75" i="56"/>
  <c r="U72" i="56"/>
  <c r="U67" i="56"/>
  <c r="U71" i="56"/>
  <c r="U74" i="56"/>
  <c r="U73" i="56"/>
  <c r="U70" i="56"/>
  <c r="U66" i="56"/>
  <c r="U35" i="56"/>
  <c r="BI5" i="56" s="1"/>
  <c r="AA28" i="56"/>
  <c r="AA29" i="56"/>
  <c r="Z26" i="56"/>
  <c r="AB26" i="56"/>
  <c r="AB28" i="56" a="1"/>
  <c r="AA35" i="56" l="1"/>
  <c r="BO5" i="56" s="1"/>
  <c r="AB30" i="56"/>
  <c r="AB28" i="56"/>
  <c r="AB29" i="56"/>
  <c r="Z28" i="56" a="1"/>
  <c r="Y27" i="56"/>
  <c r="Y49" i="56"/>
  <c r="Y39" i="56"/>
  <c r="Y57" i="56"/>
  <c r="Y52" i="56"/>
  <c r="BM1" i="56"/>
  <c r="BM33" i="56"/>
  <c r="BM42" i="56"/>
  <c r="BM45" i="56"/>
  <c r="BM14" i="56"/>
  <c r="BM98" i="56"/>
  <c r="BM99" i="56"/>
  <c r="BM19" i="56"/>
  <c r="BM70" i="56"/>
  <c r="BM50" i="56"/>
  <c r="BM83" i="56"/>
  <c r="BM58" i="56"/>
  <c r="BM101" i="56"/>
  <c r="Y44" i="56"/>
  <c r="Y37" i="56"/>
  <c r="AB27" i="56"/>
  <c r="AB43" i="56"/>
  <c r="AB49" i="56"/>
  <c r="BM35" i="56"/>
  <c r="BM38" i="56"/>
  <c r="BM44" i="56"/>
  <c r="BM55" i="56"/>
  <c r="BM24" i="56"/>
  <c r="BM68" i="56"/>
  <c r="BM36" i="56"/>
  <c r="BM22" i="56"/>
  <c r="BM84" i="56"/>
  <c r="BM51" i="56"/>
  <c r="BM54" i="56"/>
  <c r="BM62" i="56"/>
  <c r="BM100" i="56"/>
  <c r="Y46" i="56"/>
  <c r="Y41" i="56"/>
  <c r="AB57" i="56"/>
  <c r="Y53" i="56"/>
  <c r="AB46" i="56"/>
  <c r="AB51" i="56"/>
  <c r="BM37" i="56"/>
  <c r="BM9" i="56"/>
  <c r="BM75" i="56"/>
  <c r="BM30" i="56"/>
  <c r="BM8" i="56"/>
  <c r="BM97" i="56"/>
  <c r="BM57" i="56"/>
  <c r="BM48" i="56"/>
  <c r="BM12" i="56"/>
  <c r="BM71" i="56"/>
  <c r="BM86" i="56"/>
  <c r="BM88" i="56"/>
  <c r="Y48" i="56"/>
  <c r="Y45" i="56"/>
  <c r="AB55" i="56"/>
  <c r="AB53" i="56"/>
  <c r="Y55" i="56"/>
  <c r="Y56" i="56"/>
  <c r="AB47" i="56"/>
  <c r="BM27" i="56"/>
  <c r="BM63" i="56"/>
  <c r="BM69" i="56"/>
  <c r="Y58" i="56"/>
  <c r="BM259" i="56"/>
  <c r="BM245" i="56"/>
  <c r="BM234" i="56"/>
  <c r="BM220" i="56"/>
  <c r="BM209" i="56"/>
  <c r="BM195" i="56"/>
  <c r="BM185" i="56"/>
  <c r="BM171" i="56"/>
  <c r="BM157" i="56"/>
  <c r="BM146" i="56"/>
  <c r="BM132" i="56"/>
  <c r="BM121" i="56"/>
  <c r="BM109" i="56"/>
  <c r="BM257" i="56"/>
  <c r="BM218" i="56"/>
  <c r="BM180" i="56"/>
  <c r="BM155" i="56"/>
  <c r="BM117" i="56"/>
  <c r="BM242" i="56"/>
  <c r="BM191" i="56"/>
  <c r="BM154" i="56"/>
  <c r="BM116" i="56"/>
  <c r="BM252" i="56"/>
  <c r="BM202" i="56"/>
  <c r="BM164" i="56"/>
  <c r="BM115" i="56"/>
  <c r="BM43" i="56"/>
  <c r="BM237" i="56"/>
  <c r="BM177" i="56"/>
  <c r="BM114" i="56"/>
  <c r="BM236" i="56"/>
  <c r="BM173" i="56"/>
  <c r="BM113" i="56"/>
  <c r="BM260" i="56"/>
  <c r="BM186" i="56"/>
  <c r="BM133" i="56"/>
  <c r="AB45" i="56"/>
  <c r="BM26" i="56"/>
  <c r="BM7" i="56"/>
  <c r="BM10" i="56"/>
  <c r="Y36" i="56"/>
  <c r="Y63" i="56"/>
  <c r="BM258" i="56"/>
  <c r="BM244" i="56"/>
  <c r="BM233" i="56"/>
  <c r="BM219" i="56"/>
  <c r="BM205" i="56"/>
  <c r="BM194" i="56"/>
  <c r="BM181" i="56"/>
  <c r="BM170" i="56"/>
  <c r="BM156" i="56"/>
  <c r="BM145" i="56"/>
  <c r="BM131" i="56"/>
  <c r="BM119" i="56"/>
  <c r="BM108" i="56"/>
  <c r="BM243" i="56"/>
  <c r="BM204" i="56"/>
  <c r="BM169" i="56"/>
  <c r="BM130" i="56"/>
  <c r="BM107" i="56"/>
  <c r="BM73" i="56"/>
  <c r="AB52" i="56"/>
  <c r="BM253" i="56"/>
  <c r="BM228" i="56"/>
  <c r="BM203" i="56"/>
  <c r="BM165" i="56"/>
  <c r="BM129" i="56"/>
  <c r="AA27" i="56"/>
  <c r="BM241" i="56"/>
  <c r="BM189" i="56"/>
  <c r="BM139" i="56"/>
  <c r="AA40" i="56"/>
  <c r="BM28" i="56"/>
  <c r="BM81" i="56"/>
  <c r="BM251" i="56"/>
  <c r="BM201" i="56"/>
  <c r="BM138" i="56"/>
  <c r="BM103" i="56"/>
  <c r="BM80" i="56"/>
  <c r="BM95" i="56"/>
  <c r="BM250" i="56"/>
  <c r="BM211" i="56"/>
  <c r="BM162" i="56"/>
  <c r="BM123" i="56"/>
  <c r="AA62" i="56"/>
  <c r="BM210" i="56"/>
  <c r="BM161" i="56"/>
  <c r="BP1" i="56"/>
  <c r="BP34" i="56"/>
  <c r="BP73" i="56"/>
  <c r="AB40" i="56"/>
  <c r="BM21" i="56"/>
  <c r="BM18" i="56"/>
  <c r="BM16" i="56"/>
  <c r="Y40" i="56"/>
  <c r="AB58" i="56"/>
  <c r="Y61" i="56"/>
  <c r="BP253" i="56"/>
  <c r="BP231" i="56"/>
  <c r="BP208" i="56"/>
  <c r="BP175" i="56"/>
  <c r="BP150" i="56"/>
  <c r="BP111" i="56"/>
  <c r="BM229" i="56"/>
  <c r="BM193" i="56"/>
  <c r="BM141" i="56"/>
  <c r="Y51" i="56"/>
  <c r="BP207" i="56"/>
  <c r="BP149" i="56"/>
  <c r="BP110" i="56"/>
  <c r="BM217" i="56"/>
  <c r="BM179" i="56"/>
  <c r="BM140" i="56"/>
  <c r="BM106" i="56"/>
  <c r="BP224" i="56"/>
  <c r="BP173" i="56"/>
  <c r="BP120" i="56"/>
  <c r="BM227" i="56"/>
  <c r="BM178" i="56"/>
  <c r="BM125" i="56"/>
  <c r="BP66" i="56"/>
  <c r="AA63" i="56"/>
  <c r="BP245" i="56"/>
  <c r="BP158" i="56"/>
  <c r="BP119" i="56"/>
  <c r="BM226" i="56"/>
  <c r="BM188" i="56"/>
  <c r="BM124" i="56"/>
  <c r="BP7" i="56"/>
  <c r="BM17" i="56"/>
  <c r="BP221" i="56"/>
  <c r="BP157" i="56"/>
  <c r="BM261" i="56"/>
  <c r="BM225" i="56"/>
  <c r="BM148" i="56"/>
  <c r="BP6" i="56"/>
  <c r="BP239" i="56"/>
  <c r="BP153" i="56"/>
  <c r="BM196" i="56"/>
  <c r="BM147" i="56"/>
  <c r="BP53" i="56"/>
  <c r="BP90" i="56"/>
  <c r="AB50" i="56"/>
  <c r="BM79" i="56"/>
  <c r="BM56" i="56"/>
  <c r="BP223" i="56"/>
  <c r="BM163" i="56"/>
  <c r="BP75" i="56"/>
  <c r="AA52" i="56"/>
  <c r="BP183" i="56"/>
  <c r="BM197" i="56"/>
  <c r="BP167" i="56"/>
  <c r="BM249" i="56"/>
  <c r="BP97" i="56"/>
  <c r="BP14" i="56"/>
  <c r="BP55" i="56"/>
  <c r="BM39" i="56"/>
  <c r="BM65" i="56"/>
  <c r="BM72" i="56"/>
  <c r="Y38" i="56"/>
  <c r="AB61" i="56"/>
  <c r="BP159" i="56"/>
  <c r="BM213" i="56"/>
  <c r="BM153" i="56"/>
  <c r="BM105" i="56"/>
  <c r="BP201" i="56"/>
  <c r="BM149" i="56"/>
  <c r="BP82" i="56"/>
  <c r="BP143" i="56"/>
  <c r="BM137" i="56"/>
  <c r="BP117" i="56"/>
  <c r="BM172" i="56"/>
  <c r="BM212" i="56"/>
  <c r="AA44" i="56"/>
  <c r="BP129" i="56"/>
  <c r="BM187" i="56"/>
  <c r="BP142" i="56"/>
  <c r="BM235" i="56"/>
  <c r="BM122" i="56"/>
  <c r="BP88" i="56"/>
  <c r="AA45" i="56"/>
  <c r="BM59" i="56"/>
  <c r="BM46" i="56"/>
  <c r="BM74" i="56"/>
  <c r="BP181" i="56"/>
  <c r="BM221" i="56"/>
  <c r="BM111" i="56"/>
  <c r="Y62" i="56"/>
  <c r="Y60" i="56"/>
  <c r="Y42" i="56"/>
  <c r="Y43" i="56"/>
  <c r="Y54" i="56"/>
  <c r="Y59" i="56"/>
  <c r="Y47" i="56"/>
  <c r="Y50" i="56"/>
  <c r="BM110" i="56"/>
  <c r="BM118" i="56"/>
  <c r="BM126" i="56"/>
  <c r="BM134" i="56"/>
  <c r="BM142" i="56"/>
  <c r="BM150" i="56"/>
  <c r="BM158" i="56"/>
  <c r="BM166" i="56"/>
  <c r="BM174" i="56"/>
  <c r="BM182" i="56"/>
  <c r="BM190" i="56"/>
  <c r="BM198" i="56"/>
  <c r="BM206" i="56"/>
  <c r="BM214" i="56"/>
  <c r="BM222" i="56"/>
  <c r="BM230" i="56"/>
  <c r="BM238" i="56"/>
  <c r="BM246" i="56"/>
  <c r="BM254" i="56"/>
  <c r="BM262" i="56"/>
  <c r="BM93" i="56"/>
  <c r="BM102" i="56"/>
  <c r="BM64" i="56"/>
  <c r="BM34" i="56"/>
  <c r="BM60" i="56"/>
  <c r="BM82" i="56"/>
  <c r="BM90" i="56"/>
  <c r="BM89" i="56"/>
  <c r="BM23" i="56"/>
  <c r="BM15" i="56"/>
  <c r="BM6" i="56"/>
  <c r="BM52" i="56"/>
  <c r="BM13" i="56"/>
  <c r="BM47" i="56"/>
  <c r="BM49" i="56"/>
  <c r="BM66" i="56"/>
  <c r="BM127" i="56"/>
  <c r="BM135" i="56"/>
  <c r="BM143" i="56"/>
  <c r="BM151" i="56"/>
  <c r="BM159" i="56"/>
  <c r="BM167" i="56"/>
  <c r="BM175" i="56"/>
  <c r="BM183" i="56"/>
  <c r="BM199" i="56"/>
  <c r="BM207" i="56"/>
  <c r="BM215" i="56"/>
  <c r="BM223" i="56"/>
  <c r="BM231" i="56"/>
  <c r="BM239" i="56"/>
  <c r="BM247" i="56"/>
  <c r="BM255" i="56"/>
  <c r="BM263" i="56"/>
  <c r="BM85" i="56"/>
  <c r="BM94" i="56"/>
  <c r="BM61" i="56"/>
  <c r="BM25" i="56"/>
  <c r="BM92" i="56"/>
  <c r="BM40" i="56"/>
  <c r="BM78" i="56"/>
  <c r="BM53" i="56"/>
  <c r="BM104" i="56"/>
  <c r="BM112" i="56"/>
  <c r="BM120" i="56"/>
  <c r="BM128" i="56"/>
  <c r="BM136" i="56"/>
  <c r="BM144" i="56"/>
  <c r="BM152" i="56"/>
  <c r="BM160" i="56"/>
  <c r="BM168" i="56"/>
  <c r="BM176" i="56"/>
  <c r="BM184" i="56"/>
  <c r="BM192" i="56"/>
  <c r="BM200" i="56"/>
  <c r="BM208" i="56"/>
  <c r="BM216" i="56"/>
  <c r="BM224" i="56"/>
  <c r="BM232" i="56"/>
  <c r="BM240" i="56"/>
  <c r="BM248" i="56"/>
  <c r="BM256" i="56"/>
  <c r="BM264" i="56"/>
  <c r="BM77" i="56"/>
  <c r="BM91" i="56"/>
  <c r="BM96" i="56"/>
  <c r="BM20" i="56"/>
  <c r="BM76" i="56"/>
  <c r="BM31" i="56"/>
  <c r="BM67" i="56"/>
  <c r="BM29" i="56"/>
  <c r="BM32" i="56"/>
  <c r="BM87" i="56"/>
  <c r="BM41" i="56"/>
  <c r="BM11" i="56"/>
  <c r="AB38" i="56"/>
  <c r="AB36" i="56"/>
  <c r="AB56" i="56"/>
  <c r="AB63" i="56"/>
  <c r="AB41" i="56"/>
  <c r="AB48" i="56"/>
  <c r="AB44" i="56"/>
  <c r="AB42" i="56"/>
  <c r="AB62" i="56"/>
  <c r="AB60" i="56"/>
  <c r="AB54" i="56"/>
  <c r="AB59" i="56"/>
  <c r="AB37" i="56"/>
  <c r="AB39" i="56"/>
  <c r="AA38" i="56"/>
  <c r="AA57" i="56"/>
  <c r="AA47" i="56"/>
  <c r="AA43" i="56"/>
  <c r="AA61" i="56"/>
  <c r="AA60" i="56"/>
  <c r="AA48" i="56"/>
  <c r="BO1" i="56"/>
  <c r="AA39" i="56"/>
  <c r="AA53" i="56"/>
  <c r="AA58" i="56"/>
  <c r="AA56" i="56"/>
  <c r="AA55" i="56"/>
  <c r="AA50" i="56"/>
  <c r="AA37" i="56"/>
  <c r="AA51" i="56"/>
  <c r="AA49" i="56"/>
  <c r="AA36" i="56"/>
  <c r="AA54" i="56"/>
  <c r="AA59" i="56"/>
  <c r="AA42" i="56"/>
  <c r="AA41" i="56"/>
  <c r="AA46" i="56"/>
  <c r="BP103" i="56"/>
  <c r="BP199" i="56"/>
  <c r="BP261" i="56"/>
  <c r="BP118" i="56"/>
  <c r="BP200" i="56"/>
  <c r="BP263" i="56"/>
  <c r="BP105" i="56"/>
  <c r="BP133" i="56"/>
  <c r="BP169" i="56"/>
  <c r="BP264" i="56"/>
  <c r="BP46" i="56"/>
  <c r="BP134" i="56"/>
  <c r="BP205" i="56"/>
  <c r="BP135" i="56"/>
  <c r="BP160" i="56"/>
  <c r="BP189" i="56"/>
  <c r="BP248" i="56"/>
  <c r="BP50" i="56"/>
  <c r="BP125" i="56"/>
  <c r="BP136" i="56"/>
  <c r="BP161" i="56"/>
  <c r="BP191" i="56"/>
  <c r="BP112" i="56"/>
  <c r="BP126" i="56"/>
  <c r="BP137" i="56"/>
  <c r="BP151" i="56"/>
  <c r="BP165" i="56"/>
  <c r="BP176" i="56"/>
  <c r="BP192" i="56"/>
  <c r="BP213" i="56"/>
  <c r="BP232" i="56"/>
  <c r="BP255" i="56"/>
  <c r="BP62" i="56"/>
  <c r="BP27" i="56"/>
  <c r="BP128" i="56"/>
  <c r="BP216" i="56"/>
  <c r="BP38" i="56"/>
  <c r="BP104" i="56"/>
  <c r="BP168" i="56"/>
  <c r="BP240" i="56"/>
  <c r="BP144" i="56"/>
  <c r="BP184" i="56"/>
  <c r="BP59" i="56"/>
  <c r="BP109" i="56"/>
  <c r="BP145" i="56"/>
  <c r="BP185" i="56"/>
  <c r="BP247" i="56"/>
  <c r="BP121" i="56"/>
  <c r="BP174" i="56"/>
  <c r="BP229" i="56"/>
  <c r="BP113" i="56"/>
  <c r="BP127" i="56"/>
  <c r="BP141" i="56"/>
  <c r="BP152" i="56"/>
  <c r="BP166" i="56"/>
  <c r="BP177" i="56"/>
  <c r="BP197" i="56"/>
  <c r="BP215" i="56"/>
  <c r="BP237" i="56"/>
  <c r="BP256" i="56"/>
  <c r="BP64" i="56"/>
  <c r="BP44" i="56"/>
  <c r="BP36" i="56"/>
  <c r="BP95" i="56"/>
  <c r="BP24" i="56"/>
  <c r="BP182" i="56"/>
  <c r="BP190" i="56"/>
  <c r="BP198" i="56"/>
  <c r="BP206" i="56"/>
  <c r="BP214" i="56"/>
  <c r="BP222" i="56"/>
  <c r="BP230" i="56"/>
  <c r="BP238" i="56"/>
  <c r="BP246" i="56"/>
  <c r="BP254" i="56"/>
  <c r="BP262" i="56"/>
  <c r="BP96" i="56"/>
  <c r="BP65" i="56"/>
  <c r="BP51" i="56"/>
  <c r="BP71" i="56"/>
  <c r="BP42" i="56"/>
  <c r="BP77" i="56"/>
  <c r="BP11" i="56"/>
  <c r="BP32" i="56"/>
  <c r="BP10" i="56"/>
  <c r="BP60" i="56"/>
  <c r="BP29" i="56"/>
  <c r="BP76" i="56"/>
  <c r="BP8" i="56"/>
  <c r="BP80" i="56"/>
  <c r="BP99" i="56"/>
  <c r="BP49" i="56"/>
  <c r="BP52" i="56"/>
  <c r="BP31" i="56"/>
  <c r="BP39" i="56"/>
  <c r="BP67" i="56"/>
  <c r="BP12" i="56"/>
  <c r="BP25" i="56"/>
  <c r="BP98" i="56"/>
  <c r="BP61" i="56"/>
  <c r="BP19" i="56"/>
  <c r="BP72" i="56"/>
  <c r="BP92" i="56"/>
  <c r="BP48" i="56"/>
  <c r="BP87" i="56"/>
  <c r="BP23" i="56"/>
  <c r="BP28" i="56"/>
  <c r="BP56" i="56"/>
  <c r="BP100" i="56"/>
  <c r="BP9" i="56"/>
  <c r="BP70" i="56"/>
  <c r="BP41" i="56"/>
  <c r="BP17" i="56"/>
  <c r="BP193" i="56"/>
  <c r="BP209" i="56"/>
  <c r="BP217" i="56"/>
  <c r="BP225" i="56"/>
  <c r="BP233" i="56"/>
  <c r="BP241" i="56"/>
  <c r="BP249" i="56"/>
  <c r="BP257" i="56"/>
  <c r="BP106" i="56"/>
  <c r="BP114" i="56"/>
  <c r="BP122" i="56"/>
  <c r="BP130" i="56"/>
  <c r="BP138" i="56"/>
  <c r="BP146" i="56"/>
  <c r="BP154" i="56"/>
  <c r="BP162" i="56"/>
  <c r="BP170" i="56"/>
  <c r="BP178" i="56"/>
  <c r="BP186" i="56"/>
  <c r="BP194" i="56"/>
  <c r="BP202" i="56"/>
  <c r="BP210" i="56"/>
  <c r="BP218" i="56"/>
  <c r="BP226" i="56"/>
  <c r="BP234" i="56"/>
  <c r="BP242" i="56"/>
  <c r="BP250" i="56"/>
  <c r="BP258" i="56"/>
  <c r="BP102" i="56"/>
  <c r="BP78" i="56"/>
  <c r="BP101" i="56"/>
  <c r="BP83" i="56"/>
  <c r="BP63" i="56"/>
  <c r="BP26" i="56"/>
  <c r="BP47" i="56"/>
  <c r="BP91" i="56"/>
  <c r="BP43" i="56"/>
  <c r="BP58" i="56"/>
  <c r="BP40" i="56"/>
  <c r="BP16" i="56"/>
  <c r="BP89" i="56"/>
  <c r="BP69" i="56"/>
  <c r="BP94" i="56"/>
  <c r="BP81" i="56"/>
  <c r="BP54" i="56"/>
  <c r="BP20" i="56"/>
  <c r="BP45" i="56"/>
  <c r="BP74" i="56"/>
  <c r="BP30" i="56"/>
  <c r="BP33" i="56"/>
  <c r="BP79" i="56"/>
  <c r="BP15" i="56"/>
  <c r="BP107" i="56"/>
  <c r="BP115" i="56"/>
  <c r="BP123" i="56"/>
  <c r="BP131" i="56"/>
  <c r="BP139" i="56"/>
  <c r="BP147" i="56"/>
  <c r="BP155" i="56"/>
  <c r="BP163" i="56"/>
  <c r="BP171" i="56"/>
  <c r="BP179" i="56"/>
  <c r="BP187" i="56"/>
  <c r="BP195" i="56"/>
  <c r="BP203" i="56"/>
  <c r="BP211" i="56"/>
  <c r="BP219" i="56"/>
  <c r="BP227" i="56"/>
  <c r="BP235" i="56"/>
  <c r="BP243" i="56"/>
  <c r="BP251" i="56"/>
  <c r="BP259" i="56"/>
  <c r="BP108" i="56"/>
  <c r="BP116" i="56"/>
  <c r="BP124" i="56"/>
  <c r="BP132" i="56"/>
  <c r="BP140" i="56"/>
  <c r="BP148" i="56"/>
  <c r="BP156" i="56"/>
  <c r="BP164" i="56"/>
  <c r="BP172" i="56"/>
  <c r="BP180" i="56"/>
  <c r="BP188" i="56"/>
  <c r="BP196" i="56"/>
  <c r="BP204" i="56"/>
  <c r="BP212" i="56"/>
  <c r="BP220" i="56"/>
  <c r="BP228" i="56"/>
  <c r="BP236" i="56"/>
  <c r="BP244" i="56"/>
  <c r="BP252" i="56"/>
  <c r="BP260" i="56"/>
  <c r="BP86" i="56"/>
  <c r="BP57" i="56"/>
  <c r="BP85" i="56"/>
  <c r="BP68" i="56"/>
  <c r="BP93" i="56"/>
  <c r="BP18" i="56"/>
  <c r="BP35" i="56"/>
  <c r="BP84" i="56"/>
  <c r="BP21" i="56"/>
  <c r="BP22" i="56"/>
  <c r="BP37" i="56"/>
  <c r="BP13" i="56"/>
  <c r="BO137" i="56"/>
  <c r="BO226" i="56"/>
  <c r="BO17" i="56"/>
  <c r="BO177" i="56"/>
  <c r="BO7" i="56"/>
  <c r="BO138" i="56"/>
  <c r="BO167" i="56"/>
  <c r="BO129" i="56"/>
  <c r="BO218" i="56"/>
  <c r="BO38" i="56"/>
  <c r="BO81" i="56"/>
  <c r="BO191" i="56"/>
  <c r="BO178" i="56"/>
  <c r="BO155" i="56"/>
  <c r="BO67" i="56"/>
  <c r="BO112" i="56"/>
  <c r="BO162" i="56"/>
  <c r="BO201" i="56"/>
  <c r="BO251" i="56"/>
  <c r="BO152" i="56"/>
  <c r="BO216" i="56"/>
  <c r="BO255" i="56"/>
  <c r="BO36" i="56"/>
  <c r="BO104" i="56"/>
  <c r="BO139" i="56"/>
  <c r="BO203" i="56"/>
  <c r="BO242" i="56"/>
  <c r="BO103" i="56"/>
  <c r="BO154" i="56"/>
  <c r="BO193" i="56"/>
  <c r="BO243" i="56"/>
  <c r="BO23" i="56"/>
  <c r="BO105" i="56"/>
  <c r="BO144" i="56"/>
  <c r="BO194" i="56"/>
  <c r="BO233" i="56"/>
  <c r="BO18" i="56"/>
  <c r="BO106" i="56"/>
  <c r="BO145" i="56"/>
  <c r="BO195" i="56"/>
  <c r="BO234" i="56"/>
  <c r="BO98" i="56"/>
  <c r="BO45" i="56"/>
  <c r="BO48" i="56"/>
  <c r="BO123" i="56"/>
  <c r="BO176" i="56"/>
  <c r="BO215" i="56"/>
  <c r="BO127" i="56"/>
  <c r="BO202" i="56"/>
  <c r="BO241" i="56"/>
  <c r="BO9" i="56"/>
  <c r="BO128" i="56"/>
  <c r="BO192" i="56"/>
  <c r="BO231" i="56"/>
  <c r="BO83" i="56"/>
  <c r="BO93" i="56"/>
  <c r="BO92" i="56"/>
  <c r="BO115" i="56"/>
  <c r="BO168" i="56"/>
  <c r="BO207" i="56"/>
  <c r="BO257" i="56"/>
  <c r="BO130" i="56"/>
  <c r="BO183" i="56"/>
  <c r="BO219" i="56"/>
  <c r="BO258" i="56"/>
  <c r="BO120" i="56"/>
  <c r="BO159" i="56"/>
  <c r="BO184" i="56"/>
  <c r="BO223" i="56"/>
  <c r="BO248" i="56"/>
  <c r="BO107" i="56"/>
  <c r="BO121" i="56"/>
  <c r="BO135" i="56"/>
  <c r="BO146" i="56"/>
  <c r="BO160" i="56"/>
  <c r="BO171" i="56"/>
  <c r="BO185" i="56"/>
  <c r="BO199" i="56"/>
  <c r="BO210" i="56"/>
  <c r="BO224" i="56"/>
  <c r="BO235" i="56"/>
  <c r="BO249" i="56"/>
  <c r="BO263" i="56"/>
  <c r="BO70" i="56"/>
  <c r="BO73" i="56"/>
  <c r="BO37" i="56"/>
  <c r="BO151" i="56"/>
  <c r="BO187" i="56"/>
  <c r="BO240" i="56"/>
  <c r="BO113" i="56"/>
  <c r="BO163" i="56"/>
  <c r="BO227" i="56"/>
  <c r="BO97" i="56"/>
  <c r="BO114" i="56"/>
  <c r="BO153" i="56"/>
  <c r="BO217" i="56"/>
  <c r="BO256" i="56"/>
  <c r="BO143" i="56"/>
  <c r="BO179" i="56"/>
  <c r="BO232" i="56"/>
  <c r="BO90" i="56"/>
  <c r="BO119" i="56"/>
  <c r="BO169" i="56"/>
  <c r="BO208" i="56"/>
  <c r="BO247" i="56"/>
  <c r="BO12" i="56"/>
  <c r="BO131" i="56"/>
  <c r="BO170" i="56"/>
  <c r="BO209" i="56"/>
  <c r="BO259" i="56"/>
  <c r="BO111" i="56"/>
  <c r="BO122" i="56"/>
  <c r="BO136" i="56"/>
  <c r="BO147" i="56"/>
  <c r="BO161" i="56"/>
  <c r="BO175" i="56"/>
  <c r="BO186" i="56"/>
  <c r="BO200" i="56"/>
  <c r="BO211" i="56"/>
  <c r="BO225" i="56"/>
  <c r="BO239" i="56"/>
  <c r="BO250" i="56"/>
  <c r="BO264" i="56"/>
  <c r="BO99" i="56"/>
  <c r="BO75" i="56"/>
  <c r="BO46" i="56"/>
  <c r="BO94" i="56"/>
  <c r="BO76" i="56"/>
  <c r="BO82" i="56"/>
  <c r="BO88" i="56"/>
  <c r="BO96" i="56"/>
  <c r="BO20" i="56"/>
  <c r="BO35" i="56"/>
  <c r="BO19" i="56"/>
  <c r="BO27" i="56"/>
  <c r="BO33" i="56"/>
  <c r="BO40" i="56"/>
  <c r="BO24" i="56"/>
  <c r="BO102" i="56"/>
  <c r="BO72" i="56"/>
  <c r="BO78" i="56"/>
  <c r="BO53" i="56"/>
  <c r="BO80" i="56"/>
  <c r="BO77" i="56"/>
  <c r="BO11" i="56"/>
  <c r="BO56" i="56"/>
  <c r="BO16" i="56"/>
  <c r="BO44" i="56"/>
  <c r="BO31" i="56"/>
  <c r="BO21" i="56"/>
  <c r="BO29" i="56"/>
  <c r="BO95" i="56"/>
  <c r="BO69" i="56"/>
  <c r="BO57" i="56"/>
  <c r="BO30" i="56"/>
  <c r="BO68" i="56"/>
  <c r="BO66" i="56"/>
  <c r="BO54" i="56"/>
  <c r="BO47" i="56"/>
  <c r="BO15" i="56"/>
  <c r="BO10" i="56"/>
  <c r="BO61" i="56"/>
  <c r="BO62" i="56"/>
  <c r="BO108" i="56"/>
  <c r="BO116" i="56"/>
  <c r="BO124" i="56"/>
  <c r="BO132" i="56"/>
  <c r="BO140" i="56"/>
  <c r="BO148" i="56"/>
  <c r="BO156" i="56"/>
  <c r="BO164" i="56"/>
  <c r="BO172" i="56"/>
  <c r="BO180" i="56"/>
  <c r="BO188" i="56"/>
  <c r="BO196" i="56"/>
  <c r="BO204" i="56"/>
  <c r="BO212" i="56"/>
  <c r="BO220" i="56"/>
  <c r="BO228" i="56"/>
  <c r="BO236" i="56"/>
  <c r="BO244" i="56"/>
  <c r="BO252" i="56"/>
  <c r="BO260" i="56"/>
  <c r="BO87" i="56"/>
  <c r="BO64" i="56"/>
  <c r="BO55" i="56"/>
  <c r="BO22" i="56"/>
  <c r="BO101" i="56"/>
  <c r="BO39" i="56"/>
  <c r="BO42" i="56"/>
  <c r="BO84" i="56"/>
  <c r="BO13" i="56"/>
  <c r="BO63" i="56"/>
  <c r="BO74" i="56"/>
  <c r="BO85" i="56"/>
  <c r="BO79" i="56"/>
  <c r="BO89" i="56"/>
  <c r="BO51" i="56"/>
  <c r="BO14" i="56"/>
  <c r="BO65" i="56"/>
  <c r="BO28" i="56"/>
  <c r="BO34" i="56"/>
  <c r="BO100" i="56"/>
  <c r="BO6" i="56"/>
  <c r="BO58" i="56"/>
  <c r="BO52" i="56"/>
  <c r="BO60" i="56"/>
  <c r="BO109" i="56"/>
  <c r="BO117" i="56"/>
  <c r="BO125" i="56"/>
  <c r="BO133" i="56"/>
  <c r="BO141" i="56"/>
  <c r="BO149" i="56"/>
  <c r="BO157" i="56"/>
  <c r="BO165" i="56"/>
  <c r="BO173" i="56"/>
  <c r="BO181" i="56"/>
  <c r="BO189" i="56"/>
  <c r="BO197" i="56"/>
  <c r="BO205" i="56"/>
  <c r="BO213" i="56"/>
  <c r="BO221" i="56"/>
  <c r="BO229" i="56"/>
  <c r="BO237" i="56"/>
  <c r="BO245" i="56"/>
  <c r="BO253" i="56"/>
  <c r="BO261" i="56"/>
  <c r="BO110" i="56"/>
  <c r="BO118" i="56"/>
  <c r="BO126" i="56"/>
  <c r="BO134" i="56"/>
  <c r="BO142" i="56"/>
  <c r="BO150" i="56"/>
  <c r="BO158" i="56"/>
  <c r="BO166" i="56"/>
  <c r="BO174" i="56"/>
  <c r="BO182" i="56"/>
  <c r="BO190" i="56"/>
  <c r="BO198" i="56"/>
  <c r="BO206" i="56"/>
  <c r="BO214" i="56"/>
  <c r="BO222" i="56"/>
  <c r="BO230" i="56"/>
  <c r="BO238" i="56"/>
  <c r="BO246" i="56"/>
  <c r="BO254" i="56"/>
  <c r="BO262" i="56"/>
  <c r="BO71" i="56"/>
  <c r="BO86" i="56"/>
  <c r="BO50" i="56"/>
  <c r="BO8" i="56"/>
  <c r="BO43" i="56"/>
  <c r="BO26" i="56"/>
  <c r="BO32" i="56"/>
  <c r="BO91" i="56"/>
  <c r="BO25" i="56"/>
  <c r="BO41" i="56"/>
  <c r="BO49" i="56"/>
  <c r="BO59" i="56"/>
  <c r="AB35" i="56" l="1"/>
  <c r="BP5" i="56" s="1"/>
  <c r="Z29" i="56"/>
  <c r="Z30" i="56"/>
  <c r="Z28" i="56"/>
  <c r="Z35" i="56"/>
  <c r="BN5" i="56" s="1"/>
  <c r="Y77" i="56"/>
  <c r="Y69" i="56"/>
  <c r="Y76" i="56"/>
  <c r="Y71" i="56"/>
  <c r="Y78" i="56"/>
  <c r="Y68" i="56"/>
  <c r="Y67" i="56"/>
  <c r="Y72" i="56"/>
  <c r="Y75" i="56"/>
  <c r="Y74" i="56"/>
  <c r="Y73" i="56"/>
  <c r="Y70" i="56"/>
  <c r="AA77" i="56"/>
  <c r="AA76" i="56"/>
  <c r="AA68" i="56"/>
  <c r="AA71" i="56"/>
  <c r="AA69" i="56"/>
  <c r="AA74" i="56"/>
  <c r="AA67" i="56"/>
  <c r="AA72" i="56"/>
  <c r="AA78" i="56"/>
  <c r="AA75" i="56"/>
  <c r="AA73" i="56"/>
  <c r="AA70" i="56"/>
  <c r="AB77" i="56"/>
  <c r="AB69" i="56"/>
  <c r="AB76" i="56"/>
  <c r="AB68" i="56"/>
  <c r="AB67" i="56"/>
  <c r="AB72" i="56"/>
  <c r="AB71" i="56"/>
  <c r="AB78" i="56"/>
  <c r="AB75" i="56"/>
  <c r="AB74" i="56"/>
  <c r="AB73" i="56"/>
  <c r="AB70" i="56"/>
  <c r="Y66" i="56"/>
  <c r="AA66" i="56"/>
  <c r="AB66" i="56"/>
  <c r="AQ19" i="58" a="1"/>
  <c r="AS19" i="58" a="1"/>
  <c r="AF9" i="58" a="1"/>
  <c r="AF19" i="58" a="1"/>
  <c r="AW19" i="58" a="1"/>
  <c r="Z27" i="56"/>
  <c r="BN1" i="56"/>
  <c r="Z37" i="56"/>
  <c r="Z62" i="56"/>
  <c r="Z60" i="56"/>
  <c r="Z56" i="56"/>
  <c r="Z38" i="56"/>
  <c r="Z41" i="56"/>
  <c r="Z63" i="56"/>
  <c r="Z39" i="56"/>
  <c r="Z61" i="56"/>
  <c r="Z59" i="56"/>
  <c r="Z50" i="56"/>
  <c r="Z40" i="56"/>
  <c r="Z58" i="56"/>
  <c r="Z49" i="56"/>
  <c r="Z51" i="56"/>
  <c r="Z48" i="56"/>
  <c r="Z53" i="56"/>
  <c r="Z54" i="56"/>
  <c r="Z55" i="56"/>
  <c r="Z42" i="56"/>
  <c r="Z46" i="56"/>
  <c r="Z36" i="56"/>
  <c r="Z47" i="56"/>
  <c r="Z44" i="56"/>
  <c r="Z52" i="56"/>
  <c r="Z57" i="56"/>
  <c r="Z45" i="56"/>
  <c r="Z43" i="56"/>
  <c r="BN141" i="56"/>
  <c r="BN227" i="56"/>
  <c r="BN30" i="56"/>
  <c r="BN229" i="56"/>
  <c r="BN187" i="56"/>
  <c r="BN126" i="56"/>
  <c r="BN213" i="56"/>
  <c r="BN99" i="56"/>
  <c r="BN87" i="56"/>
  <c r="BN93" i="56"/>
  <c r="BN163" i="56"/>
  <c r="BN246" i="56"/>
  <c r="BN123" i="56"/>
  <c r="BN206" i="56"/>
  <c r="BN147" i="56"/>
  <c r="BN211" i="56"/>
  <c r="BN149" i="56"/>
  <c r="BN235" i="56"/>
  <c r="BN131" i="56"/>
  <c r="BN195" i="56"/>
  <c r="BN261" i="56"/>
  <c r="BN110" i="56"/>
  <c r="BN133" i="56"/>
  <c r="BN174" i="56"/>
  <c r="BN219" i="56"/>
  <c r="BN238" i="56"/>
  <c r="BN59" i="56"/>
  <c r="BN182" i="56"/>
  <c r="BN90" i="56"/>
  <c r="BN165" i="56"/>
  <c r="BN37" i="56"/>
  <c r="BN166" i="56"/>
  <c r="BN230" i="56"/>
  <c r="BN107" i="56"/>
  <c r="BN190" i="56"/>
  <c r="BN150" i="56"/>
  <c r="BN214" i="56"/>
  <c r="BN155" i="56"/>
  <c r="BN115" i="56"/>
  <c r="BN134" i="56"/>
  <c r="BN157" i="56"/>
  <c r="BN179" i="56"/>
  <c r="BN198" i="56"/>
  <c r="BN221" i="56"/>
  <c r="BN243" i="56"/>
  <c r="BN102" i="56"/>
  <c r="BN32" i="56"/>
  <c r="BN118" i="56"/>
  <c r="BN205" i="56"/>
  <c r="BN142" i="56"/>
  <c r="BN251" i="56"/>
  <c r="BN73" i="56"/>
  <c r="BN125" i="56"/>
  <c r="BN189" i="56"/>
  <c r="BN253" i="56"/>
  <c r="BN171" i="56"/>
  <c r="BN259" i="56"/>
  <c r="BN109" i="56"/>
  <c r="BN173" i="56"/>
  <c r="BN237" i="56"/>
  <c r="BN197" i="56"/>
  <c r="BN117" i="56"/>
  <c r="BN139" i="56"/>
  <c r="BN158" i="56"/>
  <c r="BN181" i="56"/>
  <c r="BN203" i="56"/>
  <c r="BN222" i="56"/>
  <c r="BN245" i="56"/>
  <c r="BN77" i="56"/>
  <c r="BN10" i="56"/>
  <c r="BN91" i="56"/>
  <c r="BN61" i="56"/>
  <c r="BN60" i="56"/>
  <c r="BN98" i="56"/>
  <c r="BN31" i="56"/>
  <c r="BN39" i="56"/>
  <c r="BN81" i="56"/>
  <c r="BN42" i="56"/>
  <c r="BN16" i="56"/>
  <c r="BN51" i="56"/>
  <c r="BN22" i="56"/>
  <c r="BN8" i="56"/>
  <c r="BN108" i="56"/>
  <c r="BN116" i="56"/>
  <c r="BN124" i="56"/>
  <c r="BN132" i="56"/>
  <c r="BN140" i="56"/>
  <c r="BN148" i="56"/>
  <c r="BN156" i="56"/>
  <c r="BN164" i="56"/>
  <c r="BN172" i="56"/>
  <c r="BN180" i="56"/>
  <c r="BN188" i="56"/>
  <c r="BN196" i="56"/>
  <c r="BN204" i="56"/>
  <c r="BN212" i="56"/>
  <c r="BN220" i="56"/>
  <c r="BN228" i="56"/>
  <c r="BN236" i="56"/>
  <c r="BN244" i="56"/>
  <c r="BN252" i="56"/>
  <c r="BN260" i="56"/>
  <c r="BN101" i="56"/>
  <c r="BN80" i="56"/>
  <c r="BN58" i="56"/>
  <c r="BN41" i="56"/>
  <c r="BN89" i="56"/>
  <c r="BN17" i="56"/>
  <c r="BN96" i="56"/>
  <c r="BN88" i="56"/>
  <c r="BN6" i="56"/>
  <c r="BN13" i="56"/>
  <c r="BN25" i="56"/>
  <c r="BN12" i="56"/>
  <c r="BN7" i="56"/>
  <c r="BN254" i="56"/>
  <c r="BN262" i="56"/>
  <c r="BN94" i="56"/>
  <c r="BN63" i="56"/>
  <c r="BN76" i="56"/>
  <c r="BN27" i="56"/>
  <c r="BN82" i="56"/>
  <c r="BN65" i="56"/>
  <c r="BN72" i="56"/>
  <c r="BN46" i="56"/>
  <c r="BN28" i="56"/>
  <c r="BN47" i="56"/>
  <c r="BN49" i="56"/>
  <c r="BN68" i="56"/>
  <c r="BN111" i="56"/>
  <c r="BN183" i="56"/>
  <c r="BN255" i="56"/>
  <c r="BN86" i="56"/>
  <c r="BN97" i="56"/>
  <c r="BN69" i="56"/>
  <c r="BN21" i="56"/>
  <c r="BN57" i="56"/>
  <c r="BN43" i="56"/>
  <c r="BN66" i="56"/>
  <c r="BN45" i="56"/>
  <c r="BN9" i="56"/>
  <c r="BN26" i="56"/>
  <c r="BN54" i="56"/>
  <c r="BN50" i="56"/>
  <c r="BN103" i="56"/>
  <c r="BN119" i="56"/>
  <c r="BN127" i="56"/>
  <c r="BN135" i="56"/>
  <c r="BN143" i="56"/>
  <c r="BN151" i="56"/>
  <c r="BN159" i="56"/>
  <c r="BN167" i="56"/>
  <c r="BN175" i="56"/>
  <c r="BN191" i="56"/>
  <c r="BN199" i="56"/>
  <c r="BN207" i="56"/>
  <c r="BN215" i="56"/>
  <c r="BN223" i="56"/>
  <c r="BN231" i="56"/>
  <c r="BN239" i="56"/>
  <c r="BN247" i="56"/>
  <c r="BN263" i="56"/>
  <c r="BN104" i="56"/>
  <c r="BN112" i="56"/>
  <c r="BN120" i="56"/>
  <c r="BN128" i="56"/>
  <c r="BN136" i="56"/>
  <c r="BN144" i="56"/>
  <c r="BN152" i="56"/>
  <c r="BN160" i="56"/>
  <c r="BN168" i="56"/>
  <c r="BN176" i="56"/>
  <c r="BN184" i="56"/>
  <c r="BN192" i="56"/>
  <c r="BN200" i="56"/>
  <c r="BN208" i="56"/>
  <c r="BN216" i="56"/>
  <c r="BN224" i="56"/>
  <c r="BN232" i="56"/>
  <c r="BN240" i="56"/>
  <c r="BN248" i="56"/>
  <c r="BN256" i="56"/>
  <c r="BN264" i="56"/>
  <c r="BN78" i="56"/>
  <c r="BN83" i="56"/>
  <c r="BN67" i="56"/>
  <c r="BN19" i="56"/>
  <c r="BN53" i="56"/>
  <c r="BN36" i="56"/>
  <c r="BN79" i="56"/>
  <c r="BN24" i="56"/>
  <c r="BN52" i="56"/>
  <c r="BN56" i="56"/>
  <c r="BN38" i="56"/>
  <c r="BN29" i="56"/>
  <c r="BN70" i="56"/>
  <c r="BN74" i="56"/>
  <c r="BN85" i="56"/>
  <c r="BN15" i="56"/>
  <c r="BN71" i="56"/>
  <c r="BN14" i="56"/>
  <c r="BN95" i="56"/>
  <c r="BN23" i="56"/>
  <c r="BN62" i="56"/>
  <c r="BN48" i="56"/>
  <c r="BN34" i="56"/>
  <c r="BN20" i="56"/>
  <c r="BN105" i="56"/>
  <c r="BN113" i="56"/>
  <c r="BN121" i="56"/>
  <c r="BN129" i="56"/>
  <c r="BN137" i="56"/>
  <c r="BN145" i="56"/>
  <c r="BN153" i="56"/>
  <c r="BN161" i="56"/>
  <c r="BN169" i="56"/>
  <c r="BN177" i="56"/>
  <c r="BN185" i="56"/>
  <c r="BN193" i="56"/>
  <c r="BN201" i="56"/>
  <c r="BN209" i="56"/>
  <c r="BN217" i="56"/>
  <c r="BN225" i="56"/>
  <c r="BN233" i="56"/>
  <c r="BN241" i="56"/>
  <c r="BN249" i="56"/>
  <c r="BN257" i="56"/>
  <c r="BN106" i="56"/>
  <c r="BN114" i="56"/>
  <c r="BN122" i="56"/>
  <c r="BN130" i="56"/>
  <c r="BN138" i="56"/>
  <c r="BN146" i="56"/>
  <c r="BN154" i="56"/>
  <c r="BN162" i="56"/>
  <c r="BN170" i="56"/>
  <c r="BN178" i="56"/>
  <c r="BN186" i="56"/>
  <c r="BN194" i="56"/>
  <c r="BN202" i="56"/>
  <c r="BN210" i="56"/>
  <c r="BN218" i="56"/>
  <c r="BN226" i="56"/>
  <c r="BN234" i="56"/>
  <c r="BN242" i="56"/>
  <c r="BN250" i="56"/>
  <c r="BN258" i="56"/>
  <c r="BN100" i="56"/>
  <c r="BN64" i="56"/>
  <c r="BN84" i="56"/>
  <c r="BN11" i="56"/>
  <c r="BN40" i="56"/>
  <c r="BN55" i="56"/>
  <c r="BN92" i="56"/>
  <c r="BN44" i="56"/>
  <c r="BN75" i="56"/>
  <c r="BN35" i="56"/>
  <c r="BN33" i="56"/>
  <c r="BN18" i="56"/>
  <c r="AF9" i="58" l="1"/>
  <c r="AF10" i="58"/>
  <c r="AL9" i="58" s="1" a="1"/>
  <c r="AL10" i="58" s="1"/>
  <c r="AS19" i="58"/>
  <c r="AS20" i="58"/>
  <c r="AS21" i="58"/>
  <c r="AQ19" i="58"/>
  <c r="AQ20" i="58"/>
  <c r="AQ21" i="58"/>
  <c r="Z72" i="56"/>
  <c r="Z67" i="56"/>
  <c r="Z70" i="56"/>
  <c r="Z69" i="56"/>
  <c r="Z68" i="56"/>
  <c r="Z66" i="56"/>
  <c r="Z73" i="56"/>
  <c r="Z74" i="56"/>
  <c r="Z76" i="56"/>
  <c r="Z78" i="56"/>
  <c r="Z71" i="56"/>
  <c r="Z75" i="56"/>
  <c r="Z77" i="56"/>
  <c r="AW20" i="58"/>
  <c r="AW19" i="58"/>
  <c r="AW21" i="58"/>
  <c r="AM10" i="58"/>
  <c r="AF21" i="58"/>
  <c r="AF19" i="58"/>
  <c r="AF20" i="58"/>
  <c r="AF14" i="58" a="1"/>
  <c r="AM9" i="58" l="1"/>
  <c r="AL9" i="58"/>
  <c r="AF15" i="58"/>
  <c r="AF16" i="58"/>
  <c r="AF14" i="58"/>
  <c r="AE14" i="58" a="1"/>
  <c r="AE14" i="58" l="1"/>
  <c r="AE15" i="58"/>
  <c r="AE16" i="58"/>
  <c r="AS5" i="58" a="1"/>
  <c r="AL14" i="58" l="1" a="1"/>
  <c r="AL14" i="58" s="1"/>
  <c r="AS5" i="58"/>
  <c r="AS6" i="58"/>
  <c r="AF5" i="58" a="1"/>
  <c r="AM16" i="58" l="1"/>
  <c r="AM14" i="58"/>
  <c r="AL16" i="58"/>
  <c r="AM15" i="58"/>
  <c r="AN15" i="58"/>
  <c r="AL15" i="58"/>
  <c r="AN14" i="58"/>
  <c r="AN16" i="58"/>
  <c r="AF6" i="58"/>
  <c r="AF5" i="58"/>
  <c r="AL5" i="58" a="1"/>
  <c r="AM5" i="58" s="1"/>
  <c r="AL5" i="58" l="1"/>
  <c r="AM6" i="58"/>
  <c r="AL6" i="58"/>
  <c r="AW5" i="58" a="1"/>
  <c r="AW6" i="58" l="1"/>
  <c r="AW5" i="58"/>
  <c r="AR5" i="58" a="1"/>
  <c r="AR6" i="58" l="1"/>
  <c r="AR5" i="58"/>
  <c r="AX5" i="58" a="1"/>
  <c r="AY6" i="58" s="1"/>
  <c r="AS9" i="58" a="1"/>
  <c r="AY5" i="58" l="1"/>
  <c r="AX5" i="58"/>
  <c r="AX6" i="58"/>
  <c r="AU5" i="58" a="1"/>
  <c r="AS10" i="58"/>
  <c r="AS9" i="58"/>
  <c r="AK5" i="58" a="1"/>
  <c r="AU5" i="58" l="1"/>
  <c r="U26" i="58" s="1"/>
  <c r="AU6" i="58"/>
  <c r="U25" i="58" s="1"/>
  <c r="AK5" i="58"/>
  <c r="AI5" i="58" s="1" a="1"/>
  <c r="AK6" i="58"/>
  <c r="AK19" i="58" a="1"/>
  <c r="U32" i="58" l="1"/>
  <c r="BI5" i="58" s="1"/>
  <c r="AI6" i="58"/>
  <c r="G25" i="58" s="1"/>
  <c r="AI5" i="58"/>
  <c r="G26" i="58" s="1"/>
  <c r="AK21" i="58"/>
  <c r="AK19" i="58"/>
  <c r="AK20" i="58"/>
  <c r="AQ14" i="58" a="1"/>
  <c r="BI1" i="58"/>
  <c r="BI48" i="58"/>
  <c r="BI34" i="58"/>
  <c r="BI29" i="58"/>
  <c r="BI24" i="58"/>
  <c r="BI30" i="58"/>
  <c r="BI65" i="58"/>
  <c r="BI45" i="58"/>
  <c r="BI66" i="58"/>
  <c r="BI43" i="58"/>
  <c r="BI70" i="58"/>
  <c r="BI51" i="58"/>
  <c r="BI19" i="58"/>
  <c r="BI10" i="58"/>
  <c r="BI39" i="58"/>
  <c r="BI63" i="58"/>
  <c r="BI42" i="58"/>
  <c r="BI18" i="58"/>
  <c r="BI71" i="58"/>
  <c r="BI52" i="58"/>
  <c r="BI17" i="58"/>
  <c r="BI68" i="58"/>
  <c r="BI33" i="58"/>
  <c r="BI31" i="58"/>
  <c r="BI60" i="58"/>
  <c r="BI21" i="58"/>
  <c r="BI28" i="58"/>
  <c r="BI73" i="58"/>
  <c r="BI13" i="58"/>
  <c r="BI37" i="58"/>
  <c r="BI35" i="58"/>
  <c r="BI20" i="58"/>
  <c r="BI16" i="58"/>
  <c r="BI72" i="58"/>
  <c r="BI56" i="58"/>
  <c r="BI53" i="58"/>
  <c r="BI38" i="58"/>
  <c r="BI9" i="58"/>
  <c r="BI44" i="58"/>
  <c r="BI62" i="58"/>
  <c r="BI32" i="58"/>
  <c r="G32" i="58" l="1"/>
  <c r="BE5" i="58" s="1"/>
  <c r="AQ16" i="58"/>
  <c r="AQ14" i="58"/>
  <c r="AQ15" i="58"/>
  <c r="AR19" i="58" a="1"/>
  <c r="BI23" i="58"/>
  <c r="BI46" i="58"/>
  <c r="BI15" i="58"/>
  <c r="BI12" i="58"/>
  <c r="AK9" i="58" a="1"/>
  <c r="BI11" i="58"/>
  <c r="BI50" i="58"/>
  <c r="BI8" i="58"/>
  <c r="BI61" i="58"/>
  <c r="BI64" i="58"/>
  <c r="BI59" i="58"/>
  <c r="BI55" i="58"/>
  <c r="BI58" i="58"/>
  <c r="BI36" i="58"/>
  <c r="BI54" i="58"/>
  <c r="AK9" i="58" l="1"/>
  <c r="AK10" i="58"/>
  <c r="AI9" i="58" a="1"/>
  <c r="AI9" i="58" s="1"/>
  <c r="S26" i="58" s="1"/>
  <c r="AR20" i="58"/>
  <c r="AR19" i="58"/>
  <c r="AR21" i="58"/>
  <c r="AE19" i="58" a="1"/>
  <c r="AI10" i="58" l="1"/>
  <c r="S25" i="58" s="1"/>
  <c r="S32" i="58" s="1"/>
  <c r="BG5" i="58" s="1"/>
  <c r="AX19" i="58" a="1"/>
  <c r="AE19" i="58"/>
  <c r="AE20" i="58"/>
  <c r="AE21" i="58"/>
  <c r="AR14" i="58" a="1"/>
  <c r="AL19" i="58" l="1" a="1"/>
  <c r="AM21" i="58" s="1"/>
  <c r="AZ21" i="58"/>
  <c r="AX19" i="58"/>
  <c r="AZ19" i="58"/>
  <c r="AY20" i="58"/>
  <c r="AX21" i="58"/>
  <c r="AZ20" i="58"/>
  <c r="AX20" i="58"/>
  <c r="AY21" i="58"/>
  <c r="AY19" i="58"/>
  <c r="AR14" i="58"/>
  <c r="AR15" i="58"/>
  <c r="AR16" i="58"/>
  <c r="AS14" i="58" a="1"/>
  <c r="BI47" i="58"/>
  <c r="BI57" i="58"/>
  <c r="BI49" i="58"/>
  <c r="BI40" i="58"/>
  <c r="BI27" i="58"/>
  <c r="BI69" i="58"/>
  <c r="BI41" i="58"/>
  <c r="AN21" i="58" l="1"/>
  <c r="AN20" i="58"/>
  <c r="AN19" i="58"/>
  <c r="AL20" i="58"/>
  <c r="AM20" i="58"/>
  <c r="AL21" i="58"/>
  <c r="AM19" i="58"/>
  <c r="AL19" i="58"/>
  <c r="AI19" i="58" s="1" a="1"/>
  <c r="AU19" i="58" a="1"/>
  <c r="AS14" i="58"/>
  <c r="AS15" i="58"/>
  <c r="AS16" i="58"/>
  <c r="BI26" i="58"/>
  <c r="BI22" i="58"/>
  <c r="AW9" i="58" a="1"/>
  <c r="AX14" i="58" l="1" a="1"/>
  <c r="AZ16" i="58" s="1"/>
  <c r="AI21" i="58"/>
  <c r="T25" i="58" s="1"/>
  <c r="AI19" i="58"/>
  <c r="T27" i="58" s="1"/>
  <c r="AI20" i="58"/>
  <c r="T26" i="58" s="1"/>
  <c r="AU19" i="58"/>
  <c r="X27" i="58" s="1"/>
  <c r="AU20" i="58"/>
  <c r="X26" i="58" s="1"/>
  <c r="AU21" i="58"/>
  <c r="X25" i="58" s="1"/>
  <c r="AW9" i="58"/>
  <c r="AW10" i="58"/>
  <c r="BL1" i="58"/>
  <c r="BL18" i="58"/>
  <c r="BL63" i="58"/>
  <c r="BL20" i="58"/>
  <c r="BL27" i="58"/>
  <c r="BL29" i="58"/>
  <c r="BL30" i="58"/>
  <c r="BL15" i="58"/>
  <c r="BL65" i="58"/>
  <c r="BI7" i="58"/>
  <c r="BL53" i="58"/>
  <c r="BL64" i="58"/>
  <c r="BL22" i="58"/>
  <c r="BL12" i="58"/>
  <c r="BI67" i="58"/>
  <c r="BL70" i="58"/>
  <c r="BL61" i="58"/>
  <c r="BL73" i="58"/>
  <c r="BL47" i="58"/>
  <c r="AW14" i="58" a="1"/>
  <c r="BL60" i="58"/>
  <c r="BL58" i="58"/>
  <c r="BL67" i="58"/>
  <c r="BL40" i="58"/>
  <c r="BL48" i="58"/>
  <c r="BL59" i="58"/>
  <c r="BL8" i="58"/>
  <c r="BL6" i="58"/>
  <c r="BL56" i="58"/>
  <c r="BL52" i="58"/>
  <c r="BL43" i="58"/>
  <c r="BL57" i="58"/>
  <c r="BL13" i="58"/>
  <c r="BL34" i="58"/>
  <c r="BL38" i="58"/>
  <c r="BL10" i="58"/>
  <c r="BL45" i="58"/>
  <c r="BL42" i="58"/>
  <c r="BL46" i="58"/>
  <c r="BL41" i="58"/>
  <c r="BL32" i="58"/>
  <c r="BL9" i="58"/>
  <c r="BL23" i="58"/>
  <c r="BL17" i="58"/>
  <c r="BL54" i="58"/>
  <c r="BL7" i="58"/>
  <c r="BL39" i="58"/>
  <c r="BL68" i="58"/>
  <c r="BL51" i="58"/>
  <c r="BL55" i="58"/>
  <c r="BL71" i="58"/>
  <c r="BL35" i="58"/>
  <c r="BL14" i="58"/>
  <c r="BL66" i="58"/>
  <c r="BL24" i="58"/>
  <c r="BL62" i="58"/>
  <c r="BL19" i="58"/>
  <c r="BL72" i="58"/>
  <c r="BL50" i="58"/>
  <c r="BL49" i="58"/>
  <c r="BL28" i="58"/>
  <c r="BL16" i="58"/>
  <c r="BL31" i="58"/>
  <c r="BL26" i="58"/>
  <c r="BL11" i="58"/>
  <c r="BL36" i="58"/>
  <c r="BL44" i="58"/>
  <c r="BL33" i="58"/>
  <c r="BL37" i="58"/>
  <c r="BL25" i="58"/>
  <c r="BL69" i="58"/>
  <c r="BL21" i="58"/>
  <c r="AZ14" i="58" l="1"/>
  <c r="AY14" i="58"/>
  <c r="AY16" i="58"/>
  <c r="AZ15" i="58"/>
  <c r="AY15" i="58"/>
  <c r="X32" i="58"/>
  <c r="BL5" i="58" s="1"/>
  <c r="AX14" i="58"/>
  <c r="AX15" i="58"/>
  <c r="AX16" i="58"/>
  <c r="T32" i="58"/>
  <c r="BH5" i="58" s="1"/>
  <c r="AW15" i="58"/>
  <c r="AW14" i="58"/>
  <c r="AW16" i="58"/>
  <c r="AK14" i="58" a="1"/>
  <c r="AU14" i="58" l="1" a="1"/>
  <c r="AU14" i="58" s="1"/>
  <c r="V27" i="58" s="1"/>
  <c r="AK14" i="58"/>
  <c r="AK15" i="58"/>
  <c r="AK16" i="58"/>
  <c r="AR9" i="58" a="1"/>
  <c r="BI6" i="58"/>
  <c r="BI25" i="58"/>
  <c r="AU16" i="58" l="1"/>
  <c r="V25" i="58" s="1"/>
  <c r="AU15" i="58"/>
  <c r="V26" i="58" s="1"/>
  <c r="AI14" i="58" a="1"/>
  <c r="AI15" i="58" s="1"/>
  <c r="H26" i="58" s="1"/>
  <c r="V32" i="58"/>
  <c r="BJ5" i="58" s="1"/>
  <c r="AR9" i="58"/>
  <c r="AR10" i="58"/>
  <c r="V24" i="58"/>
  <c r="V38" i="58" s="1"/>
  <c r="V39" i="58"/>
  <c r="X24" i="58"/>
  <c r="G24" i="58"/>
  <c r="G37" i="58"/>
  <c r="X36" i="58"/>
  <c r="BE1" i="58"/>
  <c r="BE44" i="58"/>
  <c r="BE33" i="58"/>
  <c r="BE18" i="58"/>
  <c r="BE27" i="58"/>
  <c r="V34" i="58"/>
  <c r="BI14" i="58"/>
  <c r="BE42" i="58"/>
  <c r="BE11" i="58"/>
  <c r="BE35" i="58"/>
  <c r="BE37" i="58"/>
  <c r="V35" i="58"/>
  <c r="S24" i="58"/>
  <c r="BE17" i="58"/>
  <c r="BE45" i="58"/>
  <c r="BE13" i="58"/>
  <c r="BE53" i="58"/>
  <c r="G40" i="58"/>
  <c r="X40" i="58"/>
  <c r="S37" i="58"/>
  <c r="S34" i="58"/>
  <c r="BE8" i="58"/>
  <c r="BE43" i="58"/>
  <c r="BE9" i="58"/>
  <c r="BE52" i="58"/>
  <c r="BE48" i="58"/>
  <c r="BE59" i="58"/>
  <c r="BE57" i="58"/>
  <c r="BE61" i="58"/>
  <c r="BE64" i="58"/>
  <c r="G39" i="58"/>
  <c r="V33" i="58"/>
  <c r="X39" i="58"/>
  <c r="S39" i="58"/>
  <c r="S35" i="58"/>
  <c r="BE65" i="58"/>
  <c r="BE28" i="58"/>
  <c r="BE60" i="58"/>
  <c r="BE69" i="58"/>
  <c r="V37" i="58"/>
  <c r="S33" i="58"/>
  <c r="U24" i="58"/>
  <c r="BE68" i="58"/>
  <c r="BE20" i="58"/>
  <c r="BE66" i="58"/>
  <c r="G36" i="58"/>
  <c r="X38" i="58"/>
  <c r="S40" i="58"/>
  <c r="U38" i="58"/>
  <c r="BE10" i="58"/>
  <c r="BE34" i="58"/>
  <c r="BE31" i="58"/>
  <c r="BE71" i="58"/>
  <c r="BE21" i="58"/>
  <c r="V40" i="58"/>
  <c r="T24" i="58"/>
  <c r="U39" i="58"/>
  <c r="BE15" i="58"/>
  <c r="BE39" i="58"/>
  <c r="BE26" i="58"/>
  <c r="BE73" i="58"/>
  <c r="G38" i="58"/>
  <c r="X35" i="58"/>
  <c r="BE25" i="58"/>
  <c r="BE36" i="58"/>
  <c r="BE38" i="58"/>
  <c r="BE7" i="58"/>
  <c r="G34" i="58"/>
  <c r="X37" i="58"/>
  <c r="T39" i="58"/>
  <c r="U34" i="58"/>
  <c r="BE29" i="58"/>
  <c r="BE12" i="58"/>
  <c r="BE40" i="58"/>
  <c r="BE41" i="58"/>
  <c r="V36" i="58"/>
  <c r="BE30" i="58"/>
  <c r="BE32" i="58"/>
  <c r="X34" i="58"/>
  <c r="X33" i="58"/>
  <c r="G33" i="58"/>
  <c r="G35" i="58"/>
  <c r="BE70" i="58"/>
  <c r="BE23" i="58"/>
  <c r="BE55" i="58"/>
  <c r="BE19" i="58"/>
  <c r="BE63" i="58"/>
  <c r="BE14" i="58"/>
  <c r="BE67" i="58"/>
  <c r="BE22" i="58"/>
  <c r="BE62" i="58"/>
  <c r="BE51" i="58"/>
  <c r="BE24" i="58"/>
  <c r="BE54" i="58"/>
  <c r="BE56" i="58"/>
  <c r="BE58" i="58"/>
  <c r="BE47" i="58"/>
  <c r="BE50" i="58"/>
  <c r="BE49" i="58"/>
  <c r="BE46" i="58"/>
  <c r="BE72" i="58"/>
  <c r="BE6" i="58"/>
  <c r="BE16" i="58"/>
  <c r="BG1" i="58"/>
  <c r="S36" i="58"/>
  <c r="S38" i="58"/>
  <c r="U33" i="58"/>
  <c r="U36" i="58"/>
  <c r="U40" i="58"/>
  <c r="U37" i="58"/>
  <c r="U35" i="58"/>
  <c r="BH1" i="58"/>
  <c r="T36" i="58"/>
  <c r="T34" i="58"/>
  <c r="T38" i="58"/>
  <c r="T40" i="58"/>
  <c r="T33" i="58"/>
  <c r="T37" i="58"/>
  <c r="T35" i="58"/>
  <c r="BG36" i="58"/>
  <c r="BG38" i="58"/>
  <c r="BG26" i="58"/>
  <c r="BG62" i="58"/>
  <c r="BG10" i="58"/>
  <c r="BG66" i="58"/>
  <c r="BG58" i="58"/>
  <c r="BG14" i="58"/>
  <c r="BG60" i="58"/>
  <c r="BG22" i="58"/>
  <c r="BG23" i="58"/>
  <c r="BG25" i="58"/>
  <c r="BG30" i="58"/>
  <c r="BG13" i="58"/>
  <c r="BG32" i="58"/>
  <c r="BG72" i="58"/>
  <c r="BG20" i="58"/>
  <c r="BG8" i="58"/>
  <c r="BG67" i="58"/>
  <c r="BG53" i="58"/>
  <c r="BG7" i="58"/>
  <c r="BG29" i="58"/>
  <c r="BG68" i="58"/>
  <c r="BG40" i="58"/>
  <c r="BG44" i="58"/>
  <c r="BG15" i="58"/>
  <c r="BG12" i="58"/>
  <c r="BG57" i="58"/>
  <c r="BG65" i="58"/>
  <c r="BG48" i="58"/>
  <c r="BG39" i="58"/>
  <c r="BG37" i="58"/>
  <c r="BG34" i="58"/>
  <c r="BG63" i="58"/>
  <c r="BG6" i="58"/>
  <c r="BG73" i="58"/>
  <c r="BG59" i="58"/>
  <c r="BG17" i="58"/>
  <c r="BG47" i="58"/>
  <c r="BG31" i="58"/>
  <c r="BG27" i="58"/>
  <c r="BG16" i="58"/>
  <c r="BG46" i="58"/>
  <c r="BG54" i="58"/>
  <c r="BG56" i="58"/>
  <c r="BG24" i="58"/>
  <c r="BG43" i="58"/>
  <c r="BG21" i="58"/>
  <c r="BG71" i="58"/>
  <c r="BG55" i="58"/>
  <c r="BG9" i="58"/>
  <c r="BG35" i="58"/>
  <c r="BG28" i="58"/>
  <c r="BG50" i="58"/>
  <c r="BG18" i="58"/>
  <c r="BG11" i="58"/>
  <c r="BG64" i="58"/>
  <c r="BG52" i="58"/>
  <c r="BG45" i="58"/>
  <c r="BG69" i="58"/>
  <c r="BG42" i="58"/>
  <c r="BG61" i="58"/>
  <c r="BG41" i="58"/>
  <c r="BG33" i="58"/>
  <c r="BG19" i="58"/>
  <c r="BG70" i="58"/>
  <c r="BG49" i="58"/>
  <c r="BG51" i="58"/>
  <c r="BH62" i="58"/>
  <c r="BH53" i="58"/>
  <c r="BH34" i="58"/>
  <c r="BH69" i="58"/>
  <c r="BH67" i="58"/>
  <c r="BH51" i="58"/>
  <c r="BH9" i="58"/>
  <c r="BH10" i="58"/>
  <c r="BH6" i="58"/>
  <c r="BH50" i="58"/>
  <c r="BH7" i="58"/>
  <c r="BH8" i="58"/>
  <c r="BH39" i="58"/>
  <c r="BH36" i="58"/>
  <c r="BH20" i="58"/>
  <c r="BH40" i="58"/>
  <c r="BH35" i="58"/>
  <c r="BH27" i="58"/>
  <c r="BH19" i="58"/>
  <c r="BH47" i="58"/>
  <c r="BH26" i="58"/>
  <c r="BH25" i="58"/>
  <c r="BH18" i="58"/>
  <c r="BH14" i="58"/>
  <c r="BH24" i="58"/>
  <c r="BH29" i="58"/>
  <c r="BH71" i="58"/>
  <c r="BH72" i="58"/>
  <c r="BH17" i="58"/>
  <c r="BH44" i="58"/>
  <c r="BH42" i="58"/>
  <c r="BH65" i="58"/>
  <c r="BH70" i="58"/>
  <c r="BH55" i="58"/>
  <c r="BH13" i="58"/>
  <c r="BH30" i="58"/>
  <c r="BH12" i="58"/>
  <c r="BH56" i="58"/>
  <c r="BH52" i="58"/>
  <c r="BH68" i="58"/>
  <c r="BH61" i="58"/>
  <c r="BH57" i="58"/>
  <c r="BH43" i="58"/>
  <c r="BH41" i="58"/>
  <c r="BH45" i="58"/>
  <c r="BH46" i="58"/>
  <c r="BH63" i="58"/>
  <c r="BH32" i="58"/>
  <c r="BH49" i="58"/>
  <c r="BH38" i="58"/>
  <c r="BH64" i="58"/>
  <c r="BH23" i="58"/>
  <c r="BH28" i="58"/>
  <c r="BH48" i="58"/>
  <c r="BH37" i="58"/>
  <c r="BH59" i="58"/>
  <c r="BH15" i="58"/>
  <c r="BH33" i="58"/>
  <c r="BH31" i="58"/>
  <c r="BH58" i="58"/>
  <c r="BH73" i="58"/>
  <c r="BH60" i="58"/>
  <c r="BH54" i="58"/>
  <c r="BH21" i="58"/>
  <c r="BH16" i="58"/>
  <c r="BH66" i="58"/>
  <c r="BH22" i="58"/>
  <c r="BH11" i="58"/>
  <c r="AI16" i="58" l="1"/>
  <c r="H25" i="58" s="1"/>
  <c r="AI14" i="58"/>
  <c r="H27" i="58" s="1"/>
  <c r="AX9" i="58" a="1"/>
  <c r="AX10" i="58" s="1"/>
  <c r="H24" i="58"/>
  <c r="H33" i="58"/>
  <c r="BJ1" i="58"/>
  <c r="BF1" i="58"/>
  <c r="BJ34" i="58"/>
  <c r="BJ42" i="58"/>
  <c r="BJ47" i="58"/>
  <c r="BJ58" i="58"/>
  <c r="BJ52" i="58"/>
  <c r="BJ21" i="58"/>
  <c r="BF59" i="58"/>
  <c r="BF67" i="58"/>
  <c r="BF56" i="58"/>
  <c r="BF32" i="58"/>
  <c r="BF27" i="58"/>
  <c r="BJ15" i="58"/>
  <c r="BJ48" i="58"/>
  <c r="BJ23" i="58"/>
  <c r="BJ9" i="58"/>
  <c r="BF63" i="58"/>
  <c r="BF46" i="58"/>
  <c r="BF29" i="58"/>
  <c r="BJ28" i="58"/>
  <c r="BJ49" i="58"/>
  <c r="BJ29" i="58"/>
  <c r="BJ17" i="58"/>
  <c r="BF60" i="58"/>
  <c r="BF37" i="58"/>
  <c r="BJ30" i="58"/>
  <c r="BJ66" i="58"/>
  <c r="BJ25" i="58"/>
  <c r="BJ39" i="58"/>
  <c r="BF50" i="58"/>
  <c r="BF13" i="58"/>
  <c r="BF10" i="58"/>
  <c r="BJ8" i="58"/>
  <c r="BF20" i="58"/>
  <c r="BF68" i="58"/>
  <c r="H39" i="58"/>
  <c r="BJ55" i="58"/>
  <c r="BJ38" i="58"/>
  <c r="BF64" i="58"/>
  <c r="BF28" i="58"/>
  <c r="H35" i="58"/>
  <c r="BJ59" i="58"/>
  <c r="BJ67" i="58"/>
  <c r="BF57" i="58"/>
  <c r="BF21" i="58"/>
  <c r="BF25" i="58"/>
  <c r="BJ12" i="58"/>
  <c r="BJ71" i="58"/>
  <c r="BJ19" i="58"/>
  <c r="BF42" i="58"/>
  <c r="BF9" i="58"/>
  <c r="BJ65" i="58"/>
  <c r="BF47" i="58"/>
  <c r="BF43" i="58"/>
  <c r="H40" i="58"/>
  <c r="BJ54" i="58"/>
  <c r="BJ69" i="58"/>
  <c r="BF69" i="58"/>
  <c r="BF18" i="58"/>
  <c r="BF45" i="58"/>
  <c r="BF8" i="58"/>
  <c r="BJ10" i="58"/>
  <c r="BJ61" i="58"/>
  <c r="BJ33" i="58"/>
  <c r="BF61" i="58"/>
  <c r="BF6" i="58"/>
  <c r="BF24" i="58"/>
  <c r="H36" i="58"/>
  <c r="BJ50" i="58"/>
  <c r="BJ63" i="58"/>
  <c r="BF58" i="58"/>
  <c r="BF55" i="58"/>
  <c r="BF36" i="58"/>
  <c r="H34" i="58"/>
  <c r="H37" i="58"/>
  <c r="H38" i="58"/>
  <c r="BJ11" i="58"/>
  <c r="BJ14" i="58"/>
  <c r="BJ60" i="58"/>
  <c r="BJ64" i="58"/>
  <c r="BJ44" i="58"/>
  <c r="BJ46" i="58"/>
  <c r="BJ37" i="58"/>
  <c r="BJ73" i="58"/>
  <c r="BJ7" i="58"/>
  <c r="BJ27" i="58"/>
  <c r="BJ62" i="58"/>
  <c r="BJ35" i="58"/>
  <c r="BJ18" i="58"/>
  <c r="BJ45" i="58"/>
  <c r="BJ31" i="58"/>
  <c r="BJ56" i="58"/>
  <c r="BJ13" i="58"/>
  <c r="BJ20" i="58"/>
  <c r="BJ41" i="58"/>
  <c r="BJ70" i="58"/>
  <c r="BJ43" i="58"/>
  <c r="BJ68" i="58"/>
  <c r="BJ40" i="58"/>
  <c r="BJ24" i="58"/>
  <c r="BJ53" i="58"/>
  <c r="BJ6" i="58"/>
  <c r="BJ26" i="58"/>
  <c r="BJ57" i="58"/>
  <c r="BJ22" i="58"/>
  <c r="BJ72" i="58"/>
  <c r="BJ51" i="58"/>
  <c r="BJ36" i="58"/>
  <c r="BJ16" i="58"/>
  <c r="BJ32" i="58"/>
  <c r="BF15" i="58"/>
  <c r="BF34" i="58"/>
  <c r="BF16" i="58"/>
  <c r="BF14" i="58"/>
  <c r="BF49" i="58"/>
  <c r="BF23" i="58"/>
  <c r="BF62" i="58"/>
  <c r="BF71" i="58"/>
  <c r="BF65" i="58"/>
  <c r="BF41" i="58"/>
  <c r="BF44" i="58"/>
  <c r="BF19" i="58"/>
  <c r="BF39" i="58"/>
  <c r="BF52" i="58"/>
  <c r="BF26" i="58"/>
  <c r="BF73" i="58"/>
  <c r="BF22" i="58"/>
  <c r="BF70" i="58"/>
  <c r="BF48" i="58"/>
  <c r="BF17" i="58"/>
  <c r="BF7" i="58"/>
  <c r="BF11" i="58"/>
  <c r="BF72" i="58"/>
  <c r="BF35" i="58"/>
  <c r="BF31" i="58"/>
  <c r="BF30" i="58"/>
  <c r="BF51" i="58"/>
  <c r="BF66" i="58"/>
  <c r="BF33" i="58"/>
  <c r="BF12" i="58"/>
  <c r="BF54" i="58"/>
  <c r="BF40" i="58"/>
  <c r="BF38" i="58"/>
  <c r="BF53" i="58"/>
  <c r="AY10" i="58" l="1"/>
  <c r="AX9" i="58"/>
  <c r="AY9" i="58"/>
  <c r="H32" i="58"/>
  <c r="BF5" i="58" s="1"/>
  <c r="AU9" i="58" l="1" a="1"/>
  <c r="AU10" i="58" s="1"/>
  <c r="W25" i="58" s="1"/>
  <c r="AU9" i="58" l="1"/>
  <c r="W26" i="58" s="1"/>
  <c r="W32" i="58" s="1"/>
  <c r="BK5" i="58" s="1"/>
  <c r="BK1" i="58"/>
  <c r="BK9" i="58"/>
  <c r="BK57" i="58"/>
  <c r="BK11" i="58"/>
  <c r="BK48" i="58"/>
  <c r="W24" i="58"/>
  <c r="BK21" i="58"/>
  <c r="BK23" i="58"/>
  <c r="BK70" i="58"/>
  <c r="BK27" i="58"/>
  <c r="BK18" i="58"/>
  <c r="BK69" i="58"/>
  <c r="BK22" i="58"/>
  <c r="BK17" i="58"/>
  <c r="BK28" i="58"/>
  <c r="BK61" i="58"/>
  <c r="BK29" i="58"/>
  <c r="BK36" i="58"/>
  <c r="BK12" i="58"/>
  <c r="BK16" i="58"/>
  <c r="BK73" i="58"/>
  <c r="BK47" i="58"/>
  <c r="BK60" i="58"/>
  <c r="BK14" i="58"/>
  <c r="BK64" i="58"/>
  <c r="BK25" i="58"/>
  <c r="BK54" i="58"/>
  <c r="BK71" i="58"/>
  <c r="BK62" i="58"/>
  <c r="BK46" i="58"/>
  <c r="BK55" i="58"/>
  <c r="BK43" i="58"/>
  <c r="BK37" i="58"/>
  <c r="BK6" i="58"/>
  <c r="BK42" i="58"/>
  <c r="BK56" i="58"/>
  <c r="BK51" i="58"/>
  <c r="BK72" i="58"/>
  <c r="BK59" i="58"/>
  <c r="BK39" i="58"/>
  <c r="BK50" i="58"/>
  <c r="BK53" i="58"/>
  <c r="BK8" i="58"/>
  <c r="BK26" i="58"/>
  <c r="BK49" i="58"/>
  <c r="BK15" i="58"/>
  <c r="BK19" i="58"/>
  <c r="BK67" i="58"/>
  <c r="BK30" i="58"/>
  <c r="BK32" i="58"/>
  <c r="BK63" i="58"/>
  <c r="BK66" i="58"/>
  <c r="BK10" i="58"/>
  <c r="BK13" i="58"/>
  <c r="BK58" i="58"/>
  <c r="BK45" i="58"/>
  <c r="BK52" i="58"/>
  <c r="BK38" i="58"/>
  <c r="BK31" i="58"/>
  <c r="BK44" i="58"/>
  <c r="BK41" i="58"/>
  <c r="BK20" i="58"/>
  <c r="BK68" i="58"/>
  <c r="BK40" i="58"/>
  <c r="BK34" i="58"/>
  <c r="BK33" i="58"/>
  <c r="BK24" i="58"/>
  <c r="BK35" i="58"/>
  <c r="BK65" i="58"/>
  <c r="BK7" i="58"/>
  <c r="W33" i="58"/>
  <c r="W39" i="58"/>
  <c r="W40" i="58"/>
  <c r="W38" i="58"/>
  <c r="W34" i="58"/>
  <c r="W37" i="58"/>
  <c r="W35" i="58"/>
  <c r="W36" i="58"/>
  <c r="AB22" i="58"/>
  <c r="AA22" i="58"/>
  <c r="Z22" i="58"/>
  <c r="Y22" i="58"/>
  <c r="Y25" i="58" a="1"/>
  <c r="Y23" i="58"/>
  <c r="Y25" i="58" l="1"/>
  <c r="Y26" i="58"/>
  <c r="Z23" i="58"/>
  <c r="AA23" i="58"/>
  <c r="AB23" i="58"/>
  <c r="Y24" i="58"/>
  <c r="Y37" i="58"/>
  <c r="Y40" i="58"/>
  <c r="Y33" i="58"/>
  <c r="Y36" i="58"/>
  <c r="Y34" i="58"/>
  <c r="Y39" i="58"/>
  <c r="BM1" i="58"/>
  <c r="Y35" i="58"/>
  <c r="Y38" i="58"/>
  <c r="BM69" i="58"/>
  <c r="BM12" i="58"/>
  <c r="BM31" i="58"/>
  <c r="BM49" i="58"/>
  <c r="BM61" i="58"/>
  <c r="BM41" i="58"/>
  <c r="BM6" i="58"/>
  <c r="BM18" i="58"/>
  <c r="BM46" i="58"/>
  <c r="BM55" i="58"/>
  <c r="BM9" i="58"/>
  <c r="BM7" i="58"/>
  <c r="BM13" i="58"/>
  <c r="BM54" i="58"/>
  <c r="BM35" i="58"/>
  <c r="BM38" i="58"/>
  <c r="BM45" i="58"/>
  <c r="BM47" i="58"/>
  <c r="BM37" i="58"/>
  <c r="BM25" i="58"/>
  <c r="BM53" i="58"/>
  <c r="BM44" i="58"/>
  <c r="BM15" i="58"/>
  <c r="BM71" i="58"/>
  <c r="BM23" i="58"/>
  <c r="BM59" i="58"/>
  <c r="BM36" i="58"/>
  <c r="BM32" i="58"/>
  <c r="BM67" i="58"/>
  <c r="BM70" i="58"/>
  <c r="BM20" i="58"/>
  <c r="BM57" i="58"/>
  <c r="BM60" i="58"/>
  <c r="BM8" i="58"/>
  <c r="BM72" i="58"/>
  <c r="BM39" i="58"/>
  <c r="BM40" i="58"/>
  <c r="BM64" i="58"/>
  <c r="BM27" i="58"/>
  <c r="BM73" i="58"/>
  <c r="BM11" i="58"/>
  <c r="BM52" i="58"/>
  <c r="BM56" i="58"/>
  <c r="BM21" i="58"/>
  <c r="BM34" i="58"/>
  <c r="BM68" i="58"/>
  <c r="BM43" i="58"/>
  <c r="BM58" i="58"/>
  <c r="BM51" i="58"/>
  <c r="BM16" i="58"/>
  <c r="BM14" i="58"/>
  <c r="BM66" i="58"/>
  <c r="BM19" i="58"/>
  <c r="BM28" i="58"/>
  <c r="BM65" i="58"/>
  <c r="BM29" i="58"/>
  <c r="BM42" i="58"/>
  <c r="BM50" i="58"/>
  <c r="BM10" i="58"/>
  <c r="BM33" i="58"/>
  <c r="BM63" i="58"/>
  <c r="BM30" i="58"/>
  <c r="BM17" i="58"/>
  <c r="BM62" i="58"/>
  <c r="BM22" i="58"/>
  <c r="BM26" i="58"/>
  <c r="BM48" i="58"/>
  <c r="BM24" i="58"/>
  <c r="Y32" i="58" l="1"/>
  <c r="BM5" i="58" s="1"/>
  <c r="AB25" i="58" a="1"/>
  <c r="AA25" i="58" a="1"/>
  <c r="Z25" i="58" a="1"/>
  <c r="Z25" i="58" l="1"/>
  <c r="Z26" i="58"/>
  <c r="Z27" i="58"/>
  <c r="AA25" i="58"/>
  <c r="AA26" i="58"/>
  <c r="AB25" i="58"/>
  <c r="AB26" i="58"/>
  <c r="AB27" i="58"/>
  <c r="Z24" i="58"/>
  <c r="AA24" i="58"/>
  <c r="AB24" i="58"/>
  <c r="Z38" i="58"/>
  <c r="Z34" i="58"/>
  <c r="Z37" i="58"/>
  <c r="Z33" i="58"/>
  <c r="Z40" i="58"/>
  <c r="Z35" i="58"/>
  <c r="BN1" i="58"/>
  <c r="Z39" i="58"/>
  <c r="Z36" i="58"/>
  <c r="AA37" i="58"/>
  <c r="AA38" i="58"/>
  <c r="AA33" i="58"/>
  <c r="AA40" i="58"/>
  <c r="AA35" i="58"/>
  <c r="BO1" i="58"/>
  <c r="AA36" i="58"/>
  <c r="AA39" i="58"/>
  <c r="AA34" i="58"/>
  <c r="AB37" i="58"/>
  <c r="AB40" i="58"/>
  <c r="AB33" i="58"/>
  <c r="AB39" i="58"/>
  <c r="AB34" i="58"/>
  <c r="AB36" i="58"/>
  <c r="AB35" i="58"/>
  <c r="AB38" i="58"/>
  <c r="BP1" i="58"/>
  <c r="BN51" i="58"/>
  <c r="BN25" i="58"/>
  <c r="BN59" i="58"/>
  <c r="BN19" i="58"/>
  <c r="BN40" i="58"/>
  <c r="BN73" i="58"/>
  <c r="BN33" i="58"/>
  <c r="BN44" i="58"/>
  <c r="BN53" i="58"/>
  <c r="BN41" i="58"/>
  <c r="BN67" i="58"/>
  <c r="BN56" i="58"/>
  <c r="BN36" i="58"/>
  <c r="BN64" i="58"/>
  <c r="BN38" i="58"/>
  <c r="BN63" i="58"/>
  <c r="BN66" i="58"/>
  <c r="BN42" i="58"/>
  <c r="BN37" i="58"/>
  <c r="BN47" i="58"/>
  <c r="BN6" i="58"/>
  <c r="BN52" i="58"/>
  <c r="BN55" i="58"/>
  <c r="BN58" i="58"/>
  <c r="BN54" i="58"/>
  <c r="BN60" i="58"/>
  <c r="BN17" i="58"/>
  <c r="BN21" i="58"/>
  <c r="BN32" i="58"/>
  <c r="BN24" i="58"/>
  <c r="BN34" i="58"/>
  <c r="BN65" i="58"/>
  <c r="BN14" i="58"/>
  <c r="BN69" i="58"/>
  <c r="BN68" i="58"/>
  <c r="BN28" i="58"/>
  <c r="BN11" i="58"/>
  <c r="BN39" i="58"/>
  <c r="BN8" i="58"/>
  <c r="BN12" i="58"/>
  <c r="BN18" i="58"/>
  <c r="BN45" i="58"/>
  <c r="BN61" i="58"/>
  <c r="BN7" i="58"/>
  <c r="BN46" i="58"/>
  <c r="BN9" i="58"/>
  <c r="BN29" i="58"/>
  <c r="BN70" i="58"/>
  <c r="BN20" i="58"/>
  <c r="BN49" i="58"/>
  <c r="BN22" i="58"/>
  <c r="BN10" i="58"/>
  <c r="BN48" i="58"/>
  <c r="BN27" i="58"/>
  <c r="BN43" i="58"/>
  <c r="BN57" i="58"/>
  <c r="BN23" i="58"/>
  <c r="BN71" i="58"/>
  <c r="BN30" i="58"/>
  <c r="BN35" i="58"/>
  <c r="BN16" i="58"/>
  <c r="BN50" i="58"/>
  <c r="BN13" i="58"/>
  <c r="BN15" i="58"/>
  <c r="BN62" i="58"/>
  <c r="BN26" i="58"/>
  <c r="BN31" i="58"/>
  <c r="BN72" i="58"/>
  <c r="BO31" i="58"/>
  <c r="BO29" i="58"/>
  <c r="BO55" i="58"/>
  <c r="BO62" i="58"/>
  <c r="BO21" i="58"/>
  <c r="BO36" i="58"/>
  <c r="BO54" i="58"/>
  <c r="BO35" i="58"/>
  <c r="BO39" i="58"/>
  <c r="BO64" i="58"/>
  <c r="BO41" i="58"/>
  <c r="BO24" i="58"/>
  <c r="BO65" i="58"/>
  <c r="BO73" i="58"/>
  <c r="BO27" i="58"/>
  <c r="BO25" i="58"/>
  <c r="BO66" i="58"/>
  <c r="BO40" i="58"/>
  <c r="BO49" i="58"/>
  <c r="BO67" i="58"/>
  <c r="BO9" i="58"/>
  <c r="BO15" i="58"/>
  <c r="BO72" i="58"/>
  <c r="BO33" i="58"/>
  <c r="BO30" i="58"/>
  <c r="BO51" i="58"/>
  <c r="BO8" i="58"/>
  <c r="BO70" i="58"/>
  <c r="BO47" i="58"/>
  <c r="BO52" i="58"/>
  <c r="BO23" i="58"/>
  <c r="BO12" i="58"/>
  <c r="BO44" i="58"/>
  <c r="BO56" i="58"/>
  <c r="BO11" i="58"/>
  <c r="BO34" i="58"/>
  <c r="BO61" i="58"/>
  <c r="BO68" i="58"/>
  <c r="BO14" i="58"/>
  <c r="BO58" i="58"/>
  <c r="BO57" i="58"/>
  <c r="BO7" i="58"/>
  <c r="BO19" i="58"/>
  <c r="BO53" i="58"/>
  <c r="BO32" i="58"/>
  <c r="BO26" i="58"/>
  <c r="BO63" i="58"/>
  <c r="BO59" i="58"/>
  <c r="BO50" i="58"/>
  <c r="BO17" i="58"/>
  <c r="BO45" i="58"/>
  <c r="BO42" i="58"/>
  <c r="BO28" i="58"/>
  <c r="BO20" i="58"/>
  <c r="BO60" i="58"/>
  <c r="BO22" i="58"/>
  <c r="BO48" i="58"/>
  <c r="BO16" i="58"/>
  <c r="BO37" i="58"/>
  <c r="BO69" i="58"/>
  <c r="BO38" i="58"/>
  <c r="BO71" i="58"/>
  <c r="BO18" i="58"/>
  <c r="BO43" i="58"/>
  <c r="BO13" i="58"/>
  <c r="BO46" i="58"/>
  <c r="BO10" i="58"/>
  <c r="BO6" i="58"/>
  <c r="BP35" i="58"/>
  <c r="BP22" i="58"/>
  <c r="BP20" i="58"/>
  <c r="BP33" i="58"/>
  <c r="BP21" i="58"/>
  <c r="BP44" i="58"/>
  <c r="BP26" i="58"/>
  <c r="BP60" i="58"/>
  <c r="BP72" i="58"/>
  <c r="BP24" i="58"/>
  <c r="BP61" i="58"/>
  <c r="BP34" i="58"/>
  <c r="BP73" i="58"/>
  <c r="BP13" i="58"/>
  <c r="BP17" i="58"/>
  <c r="BP63" i="58"/>
  <c r="BP12" i="58"/>
  <c r="BP46" i="58"/>
  <c r="BP52" i="58"/>
  <c r="BP40" i="58"/>
  <c r="BP30" i="58"/>
  <c r="BP65" i="58"/>
  <c r="BP41" i="58"/>
  <c r="BP15" i="58"/>
  <c r="BP51" i="58"/>
  <c r="BP27" i="58"/>
  <c r="BP53" i="58"/>
  <c r="BP67" i="58"/>
  <c r="BP32" i="58"/>
  <c r="BP47" i="58"/>
  <c r="BP54" i="58"/>
  <c r="BP28" i="58"/>
  <c r="BP62" i="58"/>
  <c r="BP8" i="58"/>
  <c r="BP29" i="58"/>
  <c r="BP42" i="58"/>
  <c r="BP19" i="58"/>
  <c r="BP70" i="58"/>
  <c r="BP23" i="58"/>
  <c r="BP45" i="58"/>
  <c r="BP71" i="58"/>
  <c r="BP59" i="58"/>
  <c r="BP38" i="58"/>
  <c r="BP69" i="58"/>
  <c r="BP50" i="58"/>
  <c r="BP68" i="58"/>
  <c r="BP58" i="58"/>
  <c r="BP14" i="58"/>
  <c r="BP37" i="58"/>
  <c r="BP6" i="58"/>
  <c r="BP16" i="58"/>
  <c r="BP57" i="58"/>
  <c r="BP43" i="58"/>
  <c r="BP49" i="58"/>
  <c r="BP25" i="58"/>
  <c r="BP56" i="58"/>
  <c r="BP9" i="58"/>
  <c r="BP36" i="58"/>
  <c r="BP18" i="58"/>
  <c r="BP10" i="58"/>
  <c r="BP64" i="58"/>
  <c r="BP39" i="58"/>
  <c r="BP48" i="58"/>
  <c r="BP66" i="58"/>
  <c r="BP55" i="58"/>
  <c r="BP7" i="58"/>
  <c r="BP31" i="58"/>
  <c r="BP11" i="58"/>
  <c r="AB32" i="58" l="1"/>
  <c r="BP5" i="58" s="1"/>
  <c r="AA32" i="58"/>
  <c r="BO5" i="58" s="1"/>
  <c r="Z32" i="58"/>
  <c r="BN5" i="58" s="1"/>
  <c r="I7" i="57" l="1"/>
  <c r="I5" i="57"/>
  <c r="I6" i="57"/>
  <c r="I8" i="57"/>
  <c r="K8" i="57" l="1"/>
  <c r="K6" i="57"/>
  <c r="K5" i="57"/>
  <c r="K7" i="57"/>
  <c r="F8" i="57"/>
  <c r="F6" i="57"/>
  <c r="F5" i="57"/>
  <c r="F7" i="57"/>
  <c r="P3" i="57" l="1"/>
  <c r="S66" i="57"/>
  <c r="S50" i="57"/>
  <c r="S34" i="57"/>
  <c r="S18" i="57"/>
  <c r="L3" i="57"/>
  <c r="AA22" i="57"/>
  <c r="S57" i="57"/>
  <c r="S41" i="57"/>
  <c r="S17" i="57"/>
  <c r="S3" i="57"/>
  <c r="AA18" i="57"/>
  <c r="S64" i="57"/>
  <c r="S48" i="57"/>
  <c r="S32" i="57"/>
  <c r="S16" i="57"/>
  <c r="S55" i="57"/>
  <c r="S39" i="57"/>
  <c r="S23" i="57"/>
  <c r="S15" i="57"/>
  <c r="L5" i="57"/>
  <c r="AA15" i="57"/>
  <c r="S70" i="57"/>
  <c r="S62" i="57"/>
  <c r="S54" i="57"/>
  <c r="S46" i="57"/>
  <c r="S38" i="57"/>
  <c r="S30" i="57"/>
  <c r="S22" i="57"/>
  <c r="S14" i="57"/>
  <c r="S6" i="57"/>
  <c r="L6" i="57"/>
  <c r="AA24" i="57"/>
  <c r="S69" i="57"/>
  <c r="S61" i="57"/>
  <c r="S53" i="57"/>
  <c r="S45" i="57"/>
  <c r="S37" i="57"/>
  <c r="S29" i="57"/>
  <c r="S21" i="57"/>
  <c r="S13" i="57"/>
  <c r="S5" i="57"/>
  <c r="L7" i="57"/>
  <c r="AA21" i="57"/>
  <c r="S58" i="57"/>
  <c r="S42" i="57"/>
  <c r="S26" i="57"/>
  <c r="S10" i="57"/>
  <c r="AA19" i="57"/>
  <c r="S65" i="57"/>
  <c r="S49" i="57"/>
  <c r="S33" i="57"/>
  <c r="S25" i="57"/>
  <c r="S9" i="57"/>
  <c r="AA25" i="57"/>
  <c r="S56" i="57"/>
  <c r="S40" i="57"/>
  <c r="S24" i="57"/>
  <c r="S8" i="57"/>
  <c r="L4" i="57"/>
  <c r="AA20" i="57"/>
  <c r="S63" i="57"/>
  <c r="S47" i="57"/>
  <c r="S31" i="57"/>
  <c r="S7" i="57"/>
  <c r="S68" i="57"/>
  <c r="S60" i="57"/>
  <c r="S52" i="57"/>
  <c r="S44" i="57"/>
  <c r="S36" i="57"/>
  <c r="S28" i="57"/>
  <c r="S20" i="57"/>
  <c r="S12" i="57"/>
  <c r="L8" i="57"/>
  <c r="AA16" i="57"/>
  <c r="S67" i="57"/>
  <c r="S59" i="57"/>
  <c r="S51" i="57"/>
  <c r="S43" i="57"/>
  <c r="S35" i="57"/>
  <c r="S27" i="57"/>
  <c r="S19" i="57"/>
  <c r="S11" i="57"/>
  <c r="S4" i="57"/>
  <c r="AA23" i="57"/>
  <c r="AA17" i="57"/>
  <c r="P13" i="57" a="1"/>
  <c r="P6" i="57" a="1"/>
  <c r="F3" i="57"/>
  <c r="P6" i="57" l="1"/>
  <c r="P7" i="57"/>
  <c r="P9" i="57"/>
  <c r="P10" i="57"/>
  <c r="P8" i="57"/>
  <c r="P15" i="57"/>
  <c r="P14" i="57"/>
  <c r="P13" i="57"/>
  <c r="P17" i="57"/>
  <c r="P16" i="57"/>
  <c r="AC35" i="58"/>
  <c r="AC34" i="58"/>
  <c r="M8" i="57"/>
  <c r="AD38" i="58"/>
  <c r="AC38" i="58"/>
  <c r="M4" i="57"/>
  <c r="AC37" i="58"/>
  <c r="AD37" i="58"/>
  <c r="AC39" i="58"/>
  <c r="AD39" i="58"/>
  <c r="M7" i="57"/>
  <c r="M6" i="57"/>
  <c r="AC33" i="58"/>
  <c r="M5" i="57"/>
  <c r="AC36" i="58"/>
  <c r="AD40" i="58"/>
  <c r="AC40" i="58"/>
  <c r="I3" i="57"/>
  <c r="S44" i="58" l="1"/>
  <c r="P44" i="58"/>
  <c r="M44" i="58"/>
  <c r="N44" i="58"/>
  <c r="O44" i="58"/>
  <c r="I44" i="58"/>
  <c r="K44" i="58"/>
  <c r="H44" i="58"/>
  <c r="G44" i="58"/>
  <c r="T44" i="58"/>
  <c r="L44" i="58"/>
  <c r="R44" i="58"/>
  <c r="W44" i="58"/>
  <c r="Q44" i="58"/>
  <c r="V44" i="58"/>
  <c r="J44" i="58"/>
  <c r="X44" i="58"/>
  <c r="AC44" i="58"/>
  <c r="U44" i="58"/>
  <c r="Y44" i="58"/>
  <c r="AB44" i="58"/>
  <c r="Z44" i="58"/>
  <c r="AA44" i="58"/>
  <c r="H45" i="58"/>
  <c r="T45" i="58"/>
  <c r="AC45" i="58"/>
  <c r="K45" i="58"/>
  <c r="Q45" i="58"/>
  <c r="U45" i="58"/>
  <c r="M45" i="58"/>
  <c r="W45" i="58"/>
  <c r="L45" i="58"/>
  <c r="G45" i="58"/>
  <c r="V45" i="58"/>
  <c r="N45" i="58"/>
  <c r="J45" i="58"/>
  <c r="O45" i="58"/>
  <c r="S45" i="58"/>
  <c r="R45" i="58"/>
  <c r="X45" i="58"/>
  <c r="P45" i="58"/>
  <c r="I45" i="58"/>
  <c r="Y45" i="58"/>
  <c r="Z45" i="58"/>
  <c r="AA45" i="58"/>
  <c r="AB45" i="58"/>
  <c r="K46" i="58"/>
  <c r="Q46" i="58"/>
  <c r="AC46" i="58"/>
  <c r="H46" i="58"/>
  <c r="W46" i="58"/>
  <c r="V46" i="58"/>
  <c r="R46" i="58"/>
  <c r="P46" i="58"/>
  <c r="G46" i="58"/>
  <c r="I46" i="58"/>
  <c r="T46" i="58"/>
  <c r="L46" i="58"/>
  <c r="N46" i="58"/>
  <c r="J46" i="58"/>
  <c r="O46" i="58"/>
  <c r="U46" i="58"/>
  <c r="M46" i="58"/>
  <c r="X46" i="58"/>
  <c r="S46" i="58"/>
  <c r="Y46" i="58"/>
  <c r="AB46" i="58"/>
  <c r="Z46" i="58"/>
  <c r="AA46" i="58"/>
  <c r="W43" i="58"/>
  <c r="L43" i="58"/>
  <c r="H43" i="58"/>
  <c r="U43" i="58"/>
  <c r="M43" i="58"/>
  <c r="O43" i="58"/>
  <c r="S43" i="58"/>
  <c r="X43" i="58"/>
  <c r="AC43" i="58"/>
  <c r="G43" i="58"/>
  <c r="K43" i="58"/>
  <c r="P43" i="58"/>
  <c r="R43" i="58"/>
  <c r="J43" i="58"/>
  <c r="V43" i="58"/>
  <c r="T43" i="58"/>
  <c r="N43" i="58"/>
  <c r="Q43" i="58"/>
  <c r="I43" i="58"/>
  <c r="Y43" i="58"/>
  <c r="AB43" i="58"/>
  <c r="AA43" i="58"/>
  <c r="Z43" i="58"/>
  <c r="P3" i="53" l="1"/>
  <c r="S127" i="53"/>
  <c r="S181" i="53"/>
  <c r="S65" i="53"/>
  <c r="S194" i="53"/>
  <c r="S154" i="53"/>
  <c r="S48" i="53"/>
  <c r="S197" i="53"/>
  <c r="S203" i="53"/>
  <c r="S196" i="53"/>
  <c r="S61" i="53"/>
  <c r="S45" i="53"/>
  <c r="S152" i="53"/>
  <c r="S171" i="53"/>
  <c r="S195" i="53"/>
  <c r="S237" i="53"/>
  <c r="S150" i="53"/>
  <c r="S239" i="53"/>
  <c r="S185" i="53"/>
  <c r="S14" i="53"/>
  <c r="S262" i="53"/>
  <c r="S135" i="53"/>
  <c r="S58" i="53"/>
  <c r="S139" i="53"/>
  <c r="S81" i="53"/>
  <c r="S218" i="53"/>
  <c r="S205" i="53"/>
  <c r="S207" i="53"/>
  <c r="AA16" i="53"/>
  <c r="S22" i="53"/>
  <c r="S62" i="53"/>
  <c r="S110" i="53"/>
  <c r="S163" i="53"/>
  <c r="S211" i="53"/>
  <c r="S230" i="53"/>
  <c r="S28" i="53"/>
  <c r="S161" i="53"/>
  <c r="S249" i="53"/>
  <c r="S44" i="53"/>
  <c r="S156" i="53"/>
  <c r="S162" i="53"/>
  <c r="S74" i="53"/>
  <c r="S261" i="53"/>
  <c r="S96" i="53"/>
  <c r="S208" i="53"/>
  <c r="S184" i="53"/>
  <c r="S118" i="53"/>
  <c r="S201" i="53"/>
  <c r="S97" i="53"/>
  <c r="S252" i="53"/>
  <c r="S132" i="53"/>
  <c r="S7" i="53"/>
  <c r="S242" i="53"/>
  <c r="S213" i="53"/>
  <c r="S77" i="53"/>
  <c r="S240" i="53"/>
  <c r="S236" i="53"/>
  <c r="S247" i="53"/>
  <c r="S141" i="53"/>
  <c r="S72" i="53"/>
  <c r="S192" i="53"/>
  <c r="S245" i="53"/>
  <c r="S259" i="53"/>
  <c r="S64" i="53"/>
  <c r="S231" i="53"/>
  <c r="AA24" i="53"/>
  <c r="S25" i="53"/>
  <c r="S255" i="53"/>
  <c r="S80" i="53"/>
  <c r="S105" i="53"/>
  <c r="S186" i="53"/>
  <c r="S100" i="53"/>
  <c r="S168" i="53"/>
  <c r="AA26" i="53"/>
  <c r="S27" i="53"/>
  <c r="S67" i="53"/>
  <c r="S115" i="53"/>
  <c r="S166" i="53"/>
  <c r="S219" i="53"/>
  <c r="S238" i="53"/>
  <c r="S33" i="53"/>
  <c r="S177" i="53"/>
  <c r="S257" i="53"/>
  <c r="S52" i="53"/>
  <c r="S167" i="53"/>
  <c r="S3" i="53"/>
  <c r="S191" i="53"/>
  <c r="S93" i="53"/>
  <c r="S112" i="53"/>
  <c r="S224" i="53"/>
  <c r="S121" i="53"/>
  <c r="S214" i="53"/>
  <c r="S116" i="53"/>
  <c r="S39" i="53"/>
  <c r="S151" i="53"/>
  <c r="S50" i="53"/>
  <c r="S258" i="53"/>
  <c r="S229" i="53"/>
  <c r="S88" i="53"/>
  <c r="S248" i="53"/>
  <c r="S55" i="53"/>
  <c r="S34" i="53"/>
  <c r="S157" i="53"/>
  <c r="S85" i="53"/>
  <c r="S216" i="53"/>
  <c r="S173" i="53"/>
  <c r="S11" i="53"/>
  <c r="S23" i="53"/>
  <c r="S91" i="53"/>
  <c r="S54" i="53"/>
  <c r="S145" i="53"/>
  <c r="S143" i="53"/>
  <c r="S200" i="53"/>
  <c r="S198" i="53"/>
  <c r="S124" i="53"/>
  <c r="S69" i="53"/>
  <c r="S106" i="53"/>
  <c r="AA19" i="53"/>
  <c r="S126" i="53"/>
  <c r="S174" i="53"/>
  <c r="S254" i="53"/>
  <c r="S209" i="53"/>
  <c r="S260" i="53"/>
  <c r="S60" i="53"/>
  <c r="S180" i="53"/>
  <c r="S10" i="53"/>
  <c r="S210" i="53"/>
  <c r="S122" i="53"/>
  <c r="S5" i="53"/>
  <c r="S120" i="53"/>
  <c r="S256" i="53"/>
  <c r="S41" i="53"/>
  <c r="S134" i="53"/>
  <c r="S222" i="53"/>
  <c r="S148" i="53"/>
  <c r="S47" i="53"/>
  <c r="S172" i="53"/>
  <c r="S98" i="53"/>
  <c r="S13" i="53"/>
  <c r="S104" i="53"/>
  <c r="S92" i="53"/>
  <c r="S63" i="53"/>
  <c r="S221" i="53"/>
  <c r="S101" i="53"/>
  <c r="S232" i="53"/>
  <c r="S136" i="53"/>
  <c r="S17" i="53"/>
  <c r="S130" i="53"/>
  <c r="S228" i="53"/>
  <c r="AA30" i="53"/>
  <c r="S102" i="53"/>
  <c r="S241" i="53"/>
  <c r="S187" i="53"/>
  <c r="AA29" i="53"/>
  <c r="AA21" i="53"/>
  <c r="AA28" i="53"/>
  <c r="AA23" i="53"/>
  <c r="S78" i="53"/>
  <c r="S227" i="53"/>
  <c r="AA25" i="53"/>
  <c r="S35" i="53"/>
  <c r="S83" i="53"/>
  <c r="S131" i="53"/>
  <c r="S179" i="53"/>
  <c r="S235" i="53"/>
  <c r="S68" i="53"/>
  <c r="S212" i="53"/>
  <c r="S79" i="53"/>
  <c r="S188" i="53"/>
  <c r="S18" i="53"/>
  <c r="S234" i="53"/>
  <c r="S138" i="53"/>
  <c r="S21" i="53"/>
  <c r="S133" i="53"/>
  <c r="S57" i="53"/>
  <c r="S137" i="53"/>
  <c r="S246" i="53"/>
  <c r="S164" i="53"/>
  <c r="S71" i="53"/>
  <c r="S183" i="53"/>
  <c r="S111" i="53"/>
  <c r="S42" i="53"/>
  <c r="S16" i="53"/>
  <c r="S128" i="53"/>
  <c r="S43" i="53"/>
  <c r="S108" i="53"/>
  <c r="S114" i="53"/>
  <c r="S253" i="53"/>
  <c r="S117" i="53"/>
  <c r="S56" i="53"/>
  <c r="AA17" i="53"/>
  <c r="S51" i="53"/>
  <c r="S233" i="53"/>
  <c r="S202" i="53"/>
  <c r="S89" i="53"/>
  <c r="S206" i="53"/>
  <c r="S244" i="53"/>
  <c r="AA20" i="53"/>
  <c r="AA15" i="53"/>
  <c r="AA22" i="53"/>
  <c r="S38" i="53"/>
  <c r="S86" i="53"/>
  <c r="S142" i="53"/>
  <c r="S182" i="53"/>
  <c r="S243" i="53"/>
  <c r="S9" i="53"/>
  <c r="S84" i="53"/>
  <c r="S217" i="53"/>
  <c r="S4" i="53"/>
  <c r="S95" i="53"/>
  <c r="S204" i="53"/>
  <c r="S66" i="53"/>
  <c r="S250" i="53"/>
  <c r="S170" i="53"/>
  <c r="S29" i="53"/>
  <c r="S149" i="53"/>
  <c r="S19" i="53"/>
  <c r="S70" i="53"/>
  <c r="S153" i="53"/>
  <c r="S20" i="53"/>
  <c r="S193" i="53"/>
  <c r="S76" i="53"/>
  <c r="S199" i="53"/>
  <c r="S146" i="53"/>
  <c r="S90" i="53"/>
  <c r="S24" i="53"/>
  <c r="S165" i="53"/>
  <c r="S75" i="53"/>
  <c r="S140" i="53"/>
  <c r="S178" i="53"/>
  <c r="S8" i="53"/>
  <c r="S125" i="53"/>
  <c r="S107" i="53"/>
  <c r="S99" i="53"/>
  <c r="S129" i="53"/>
  <c r="S26" i="53"/>
  <c r="S103" i="53"/>
  <c r="S158" i="53"/>
  <c r="S31" i="53"/>
  <c r="S53" i="53"/>
  <c r="AA27" i="53"/>
  <c r="S30" i="53"/>
  <c r="S49" i="53"/>
  <c r="AA18" i="53"/>
  <c r="S6" i="53"/>
  <c r="S46" i="53"/>
  <c r="S94" i="53"/>
  <c r="S147" i="53"/>
  <c r="S190" i="53"/>
  <c r="S251" i="53"/>
  <c r="S12" i="53"/>
  <c r="S113" i="53"/>
  <c r="S225" i="53"/>
  <c r="S15" i="53"/>
  <c r="S119" i="53"/>
  <c r="S215" i="53"/>
  <c r="S82" i="53"/>
  <c r="S189" i="53"/>
  <c r="S40" i="53"/>
  <c r="S160" i="53"/>
  <c r="S59" i="53"/>
  <c r="S73" i="53"/>
  <c r="S169" i="53"/>
  <c r="S36" i="53"/>
  <c r="S220" i="53"/>
  <c r="S87" i="53"/>
  <c r="S223" i="53"/>
  <c r="S175" i="53"/>
  <c r="S109" i="53"/>
  <c r="S37" i="53"/>
  <c r="S176" i="53"/>
  <c r="S155" i="53"/>
  <c r="S159" i="53"/>
  <c r="S226" i="53"/>
  <c r="S32" i="53"/>
  <c r="S144" i="53"/>
  <c r="S123" i="53"/>
  <c r="L4" i="53"/>
  <c r="L3" i="53"/>
  <c r="L28" i="53"/>
  <c r="L27" i="53"/>
  <c r="L26" i="53"/>
  <c r="L25" i="53"/>
  <c r="L24" i="53"/>
  <c r="L23" i="53"/>
  <c r="L22" i="53"/>
  <c r="L21" i="53"/>
  <c r="L20" i="53"/>
  <c r="L19" i="53"/>
  <c r="L18" i="53"/>
  <c r="L5" i="53"/>
  <c r="L6" i="53"/>
  <c r="L8" i="53"/>
  <c r="L9" i="53"/>
  <c r="L7" i="53"/>
  <c r="L17" i="53"/>
  <c r="P6" i="53" a="1"/>
  <c r="P13" i="53" a="1"/>
  <c r="F3" i="53"/>
  <c r="P17" i="53" l="1"/>
  <c r="P14" i="53"/>
  <c r="P13" i="53"/>
  <c r="P16" i="53"/>
  <c r="P15" i="53"/>
  <c r="P7" i="53"/>
  <c r="P6" i="53"/>
  <c r="P10" i="53"/>
  <c r="P9" i="53"/>
  <c r="P8" i="53"/>
  <c r="M17" i="53"/>
  <c r="M7" i="53"/>
  <c r="M9" i="53"/>
  <c r="M8" i="53"/>
  <c r="M6" i="53"/>
  <c r="M5" i="53"/>
  <c r="M18" i="53"/>
  <c r="M19" i="53"/>
  <c r="M20" i="53"/>
  <c r="M21" i="53"/>
  <c r="M22" i="53"/>
  <c r="M23" i="53"/>
  <c r="M24" i="53"/>
  <c r="M25" i="53"/>
  <c r="M26" i="53"/>
  <c r="M27" i="53"/>
  <c r="M28" i="53"/>
  <c r="I3" i="53"/>
  <c r="M4" i="53"/>
  <c r="AC39" i="54"/>
  <c r="AC48" i="54"/>
  <c r="AC60" i="54" s="1"/>
  <c r="AC43" i="54"/>
  <c r="AC55" i="54" s="1"/>
  <c r="AC36" i="54"/>
  <c r="AC41" i="54"/>
  <c r="AC38" i="54"/>
  <c r="AC46" i="54"/>
  <c r="AC58" i="54" s="1"/>
  <c r="AC44" i="54"/>
  <c r="AC56" i="54" s="1"/>
  <c r="AC49" i="54"/>
  <c r="AC61" i="54" s="1"/>
  <c r="AC42" i="54"/>
  <c r="AC54" i="54" s="1"/>
  <c r="AC50" i="54"/>
  <c r="AC62" i="54" s="1"/>
  <c r="AC51" i="54"/>
  <c r="AC63" i="54" s="1"/>
  <c r="AC40" i="54"/>
  <c r="AC47" i="54"/>
  <c r="AC59" i="54" s="1"/>
  <c r="AC45" i="54"/>
  <c r="AC57" i="54" s="1"/>
  <c r="AC37" i="54"/>
  <c r="P3" i="55" l="1"/>
  <c r="S116" i="55"/>
  <c r="S244" i="55"/>
  <c r="S109" i="55"/>
  <c r="S237" i="55"/>
  <c r="S102" i="55"/>
  <c r="S230" i="55"/>
  <c r="S95" i="55"/>
  <c r="S223" i="55"/>
  <c r="S242" i="55"/>
  <c r="S232" i="55"/>
  <c r="S218" i="55"/>
  <c r="S203" i="55"/>
  <c r="S192" i="55"/>
  <c r="S209" i="55"/>
  <c r="S83" i="55"/>
  <c r="S131" i="55"/>
  <c r="AA24" i="55"/>
  <c r="L9" i="55"/>
  <c r="S60" i="55"/>
  <c r="S188" i="55"/>
  <c r="S53" i="55"/>
  <c r="S181" i="55"/>
  <c r="S46" i="55"/>
  <c r="S174" i="55"/>
  <c r="S39" i="55"/>
  <c r="S167" i="55"/>
  <c r="S136" i="55"/>
  <c r="S121" i="55"/>
  <c r="S106" i="55"/>
  <c r="S91" i="55"/>
  <c r="S80" i="55"/>
  <c r="S81" i="55"/>
  <c r="S130" i="55"/>
  <c r="S146" i="55"/>
  <c r="AA29" i="55"/>
  <c r="L16" i="55"/>
  <c r="S4" i="55"/>
  <c r="S132" i="55"/>
  <c r="S260" i="55"/>
  <c r="S61" i="55"/>
  <c r="S253" i="55"/>
  <c r="S118" i="55"/>
  <c r="S246" i="55"/>
  <c r="S111" i="55"/>
  <c r="S24" i="55"/>
  <c r="S9" i="55"/>
  <c r="S257" i="55"/>
  <c r="S247" i="55"/>
  <c r="S234" i="55"/>
  <c r="S224" i="55"/>
  <c r="S239" i="55"/>
  <c r="S147" i="55"/>
  <c r="S195" i="55"/>
  <c r="AA26" i="55"/>
  <c r="L5" i="55"/>
  <c r="S76" i="55"/>
  <c r="S204" i="55"/>
  <c r="S69" i="55"/>
  <c r="S197" i="55"/>
  <c r="S62" i="55"/>
  <c r="S190" i="55"/>
  <c r="S55" i="55"/>
  <c r="S183" i="55"/>
  <c r="S168" i="55"/>
  <c r="S153" i="55"/>
  <c r="S138" i="55"/>
  <c r="S123" i="55"/>
  <c r="S112" i="55"/>
  <c r="S113" i="55"/>
  <c r="S194" i="55"/>
  <c r="S210" i="55"/>
  <c r="AA27" i="55"/>
  <c r="L6" i="55"/>
  <c r="S20" i="55"/>
  <c r="S148" i="55"/>
  <c r="S13" i="55"/>
  <c r="S141" i="55"/>
  <c r="S6" i="55"/>
  <c r="S134" i="55"/>
  <c r="S262" i="55"/>
  <c r="S127" i="55"/>
  <c r="S56" i="55"/>
  <c r="S41" i="55"/>
  <c r="S26" i="55"/>
  <c r="S139" i="55"/>
  <c r="S128" i="55"/>
  <c r="S129" i="55"/>
  <c r="S226" i="55"/>
  <c r="S251" i="55"/>
  <c r="AA15" i="55"/>
  <c r="L13" i="55"/>
  <c r="S28" i="55"/>
  <c r="S220" i="55"/>
  <c r="S149" i="55"/>
  <c r="S14" i="55"/>
  <c r="S142" i="55"/>
  <c r="S7" i="55"/>
  <c r="S71" i="55"/>
  <c r="S135" i="55"/>
  <c r="S199" i="55"/>
  <c r="S72" i="55"/>
  <c r="S200" i="55"/>
  <c r="S57" i="55"/>
  <c r="S185" i="55"/>
  <c r="S42" i="55"/>
  <c r="S170" i="55"/>
  <c r="S27" i="55"/>
  <c r="S155" i="55"/>
  <c r="S16" i="55"/>
  <c r="S144" i="55"/>
  <c r="S17" i="55"/>
  <c r="S161" i="55"/>
  <c r="S34" i="55"/>
  <c r="S240" i="55"/>
  <c r="S241" i="55"/>
  <c r="S19" i="55"/>
  <c r="S3" i="55"/>
  <c r="AA20" i="55"/>
  <c r="AA25" i="55"/>
  <c r="L12" i="55"/>
  <c r="L4" i="55"/>
  <c r="S52" i="55"/>
  <c r="S180" i="55"/>
  <c r="S45" i="55"/>
  <c r="S173" i="55"/>
  <c r="S38" i="55"/>
  <c r="S166" i="55"/>
  <c r="S31" i="55"/>
  <c r="S159" i="55"/>
  <c r="S120" i="55"/>
  <c r="S105" i="55"/>
  <c r="S90" i="55"/>
  <c r="S75" i="55"/>
  <c r="S64" i="55"/>
  <c r="S65" i="55"/>
  <c r="S98" i="55"/>
  <c r="S114" i="55"/>
  <c r="AA21" i="55"/>
  <c r="L17" i="55"/>
  <c r="S124" i="55"/>
  <c r="S252" i="55"/>
  <c r="S117" i="55"/>
  <c r="S245" i="55"/>
  <c r="S110" i="55"/>
  <c r="S238" i="55"/>
  <c r="S103" i="55"/>
  <c r="S8" i="55"/>
  <c r="S256" i="55"/>
  <c r="S243" i="55"/>
  <c r="S233" i="55"/>
  <c r="S219" i="55"/>
  <c r="S208" i="55"/>
  <c r="S225" i="55"/>
  <c r="S115" i="55"/>
  <c r="S163" i="55"/>
  <c r="AA30" i="55"/>
  <c r="L8" i="55"/>
  <c r="S68" i="55"/>
  <c r="S196" i="55"/>
  <c r="S125" i="55"/>
  <c r="S189" i="55"/>
  <c r="S54" i="55"/>
  <c r="S182" i="55"/>
  <c r="S47" i="55"/>
  <c r="S175" i="55"/>
  <c r="S152" i="55"/>
  <c r="S137" i="55"/>
  <c r="S122" i="55"/>
  <c r="S107" i="55"/>
  <c r="S96" i="55"/>
  <c r="S97" i="55"/>
  <c r="S162" i="55"/>
  <c r="S178" i="55"/>
  <c r="AA16" i="55"/>
  <c r="L15" i="55"/>
  <c r="S12" i="55"/>
  <c r="S140" i="55"/>
  <c r="S5" i="55"/>
  <c r="S133" i="55"/>
  <c r="S261" i="55"/>
  <c r="S126" i="55"/>
  <c r="S254" i="55"/>
  <c r="S119" i="55"/>
  <c r="S40" i="55"/>
  <c r="S25" i="55"/>
  <c r="S10" i="55"/>
  <c r="S258" i="55"/>
  <c r="S248" i="55"/>
  <c r="S235" i="55"/>
  <c r="S250" i="55"/>
  <c r="S179" i="55"/>
  <c r="S227" i="55"/>
  <c r="AA19" i="55"/>
  <c r="L14" i="55"/>
  <c r="S84" i="55"/>
  <c r="S212" i="55"/>
  <c r="S77" i="55"/>
  <c r="S205" i="55"/>
  <c r="S70" i="55"/>
  <c r="S198" i="55"/>
  <c r="S63" i="55"/>
  <c r="S191" i="55"/>
  <c r="S184" i="55"/>
  <c r="S169" i="55"/>
  <c r="S154" i="55"/>
  <c r="S11" i="55"/>
  <c r="S259" i="55"/>
  <c r="S249" i="55"/>
  <c r="S18" i="55"/>
  <c r="S211" i="55"/>
  <c r="S255" i="55"/>
  <c r="AA17" i="55"/>
  <c r="L7" i="55"/>
  <c r="S92" i="55"/>
  <c r="S156" i="55"/>
  <c r="S21" i="55"/>
  <c r="S85" i="55"/>
  <c r="S213" i="55"/>
  <c r="S78" i="55"/>
  <c r="S206" i="55"/>
  <c r="S36" i="55"/>
  <c r="S100" i="55"/>
  <c r="S164" i="55"/>
  <c r="S228" i="55"/>
  <c r="S29" i="55"/>
  <c r="S93" i="55"/>
  <c r="S157" i="55"/>
  <c r="S221" i="55"/>
  <c r="S22" i="55"/>
  <c r="S86" i="55"/>
  <c r="S150" i="55"/>
  <c r="S214" i="55"/>
  <c r="S15" i="55"/>
  <c r="S79" i="55"/>
  <c r="S143" i="55"/>
  <c r="S207" i="55"/>
  <c r="S88" i="55"/>
  <c r="S216" i="55"/>
  <c r="S73" i="55"/>
  <c r="S201" i="55"/>
  <c r="S58" i="55"/>
  <c r="S186" i="55"/>
  <c r="S43" i="55"/>
  <c r="S171" i="55"/>
  <c r="S32" i="55"/>
  <c r="S160" i="55"/>
  <c r="S33" i="55"/>
  <c r="S177" i="55"/>
  <c r="S50" i="55"/>
  <c r="S35" i="55"/>
  <c r="S145" i="55"/>
  <c r="S51" i="55"/>
  <c r="P13" i="55" a="1"/>
  <c r="AA28" i="55"/>
  <c r="AA22" i="55"/>
  <c r="L11" i="55"/>
  <c r="L3" i="55"/>
  <c r="S44" i="55"/>
  <c r="S108" i="55"/>
  <c r="S172" i="55"/>
  <c r="S236" i="55"/>
  <c r="S37" i="55"/>
  <c r="S101" i="55"/>
  <c r="S165" i="55"/>
  <c r="S229" i="55"/>
  <c r="S30" i="55"/>
  <c r="S94" i="55"/>
  <c r="S158" i="55"/>
  <c r="S222" i="55"/>
  <c r="S23" i="55"/>
  <c r="S87" i="55"/>
  <c r="S151" i="55"/>
  <c r="S215" i="55"/>
  <c r="S104" i="55"/>
  <c r="S231" i="55"/>
  <c r="S89" i="55"/>
  <c r="S217" i="55"/>
  <c r="S74" i="55"/>
  <c r="S202" i="55"/>
  <c r="S59" i="55"/>
  <c r="S187" i="55"/>
  <c r="S48" i="55"/>
  <c r="S176" i="55"/>
  <c r="S49" i="55"/>
  <c r="S193" i="55"/>
  <c r="S82" i="55"/>
  <c r="S67" i="55"/>
  <c r="S66" i="55"/>
  <c r="S99" i="55"/>
  <c r="P6" i="55" a="1"/>
  <c r="AA18" i="55"/>
  <c r="AA23" i="55"/>
  <c r="L10" i="55"/>
  <c r="AA41" i="55"/>
  <c r="AA36" i="55"/>
  <c r="AA32" i="55"/>
  <c r="AA39" i="55"/>
  <c r="AA31" i="55"/>
  <c r="AA42" i="55"/>
  <c r="AA34" i="55"/>
  <c r="AA33" i="55"/>
  <c r="AA35" i="55"/>
  <c r="AA40" i="55"/>
  <c r="AA38" i="55"/>
  <c r="AA37" i="55"/>
  <c r="F3" i="55"/>
  <c r="AC58" i="56" l="1"/>
  <c r="AC73" i="56" s="1"/>
  <c r="AC59" i="56"/>
  <c r="AC74" i="56" s="1"/>
  <c r="AC61" i="56"/>
  <c r="AC76" i="56" s="1"/>
  <c r="AC56" i="56"/>
  <c r="AC71" i="56" s="1"/>
  <c r="AC54" i="56"/>
  <c r="AC69" i="56" s="1"/>
  <c r="AC55" i="56"/>
  <c r="AC70" i="56" s="1"/>
  <c r="AC63" i="56"/>
  <c r="AC78" i="56" s="1"/>
  <c r="AC52" i="56"/>
  <c r="AC67" i="56" s="1"/>
  <c r="AC60" i="56"/>
  <c r="AC75" i="56" s="1"/>
  <c r="AC53" i="56"/>
  <c r="AC68" i="56" s="1"/>
  <c r="AC57" i="56"/>
  <c r="AC72" i="56" s="1"/>
  <c r="AC62" i="56"/>
  <c r="AC77" i="56" s="1"/>
  <c r="M10" i="55"/>
  <c r="AC44" i="56"/>
  <c r="AC39" i="56"/>
  <c r="P9" i="55"/>
  <c r="P7" i="55"/>
  <c r="P8" i="55"/>
  <c r="P10" i="55"/>
  <c r="P6" i="55"/>
  <c r="I3" i="55"/>
  <c r="M11" i="55"/>
  <c r="AC43" i="56"/>
  <c r="AC49" i="56"/>
  <c r="P17" i="55"/>
  <c r="P13" i="55"/>
  <c r="P14" i="55"/>
  <c r="P16" i="55"/>
  <c r="P15" i="55"/>
  <c r="M7" i="55"/>
  <c r="AC38" i="56"/>
  <c r="M14" i="55"/>
  <c r="AC40" i="56"/>
  <c r="M15" i="55"/>
  <c r="AC37" i="56"/>
  <c r="M8" i="55"/>
  <c r="AC51" i="56"/>
  <c r="AC66" i="56" s="1"/>
  <c r="M17" i="55"/>
  <c r="AC42" i="56"/>
  <c r="M4" i="55"/>
  <c r="M12" i="55"/>
  <c r="AC46" i="56"/>
  <c r="AC41" i="56"/>
  <c r="M13" i="55"/>
  <c r="AC36" i="56"/>
  <c r="M6" i="55"/>
  <c r="AC48" i="56"/>
  <c r="M5" i="55"/>
  <c r="AC47" i="56"/>
  <c r="M16" i="55"/>
  <c r="AC50" i="56"/>
  <c r="M9" i="55"/>
  <c r="AC45" i="56"/>
  <c r="P3" i="40" l="1"/>
  <c r="S262" i="40"/>
  <c r="S261" i="40"/>
  <c r="S260" i="40"/>
  <c r="S259" i="40"/>
  <c r="S258" i="40"/>
  <c r="S257" i="40"/>
  <c r="S256" i="40"/>
  <c r="S255" i="40"/>
  <c r="S254" i="40"/>
  <c r="S253" i="40"/>
  <c r="S252" i="40"/>
  <c r="S251" i="40"/>
  <c r="S250" i="40"/>
  <c r="S249" i="40"/>
  <c r="S248" i="40"/>
  <c r="S247" i="40"/>
  <c r="S246" i="40"/>
  <c r="S245" i="40"/>
  <c r="S244" i="40"/>
  <c r="S243" i="40"/>
  <c r="S242" i="40"/>
  <c r="S241" i="40"/>
  <c r="S240" i="40"/>
  <c r="S239" i="40"/>
  <c r="S238" i="40"/>
  <c r="S237" i="40"/>
  <c r="S236" i="40"/>
  <c r="S235" i="40"/>
  <c r="S234" i="40"/>
  <c r="S233" i="40"/>
  <c r="S232" i="40"/>
  <c r="S231" i="40"/>
  <c r="S230" i="40"/>
  <c r="S229" i="40"/>
  <c r="S228" i="40"/>
  <c r="S227" i="40"/>
  <c r="S226" i="40"/>
  <c r="S225" i="40"/>
  <c r="S224" i="40"/>
  <c r="S223" i="40"/>
  <c r="S222" i="40"/>
  <c r="S221" i="40"/>
  <c r="S220" i="40"/>
  <c r="S219" i="40"/>
  <c r="S218" i="40"/>
  <c r="S217" i="40"/>
  <c r="S216" i="40"/>
  <c r="S215" i="40"/>
  <c r="S214" i="40"/>
  <c r="S213" i="40"/>
  <c r="S212" i="40"/>
  <c r="S211" i="40"/>
  <c r="S210" i="40"/>
  <c r="S209" i="40"/>
  <c r="S208" i="40"/>
  <c r="S207" i="40"/>
  <c r="S206" i="40"/>
  <c r="S205" i="40"/>
  <c r="S204" i="40"/>
  <c r="S203" i="40"/>
  <c r="S202" i="40"/>
  <c r="S201" i="40"/>
  <c r="S200" i="40"/>
  <c r="S199" i="40"/>
  <c r="S198" i="40"/>
  <c r="S197" i="40"/>
  <c r="S196" i="40"/>
  <c r="S195" i="40"/>
  <c r="S194" i="40"/>
  <c r="S193" i="40"/>
  <c r="S192" i="40"/>
  <c r="S191" i="40"/>
  <c r="S190" i="40"/>
  <c r="S189" i="40"/>
  <c r="S188" i="40"/>
  <c r="S187" i="40"/>
  <c r="S186" i="40"/>
  <c r="S185" i="40"/>
  <c r="S184" i="40"/>
  <c r="S183" i="40"/>
  <c r="S182" i="40"/>
  <c r="S181" i="40"/>
  <c r="S180" i="40"/>
  <c r="S179" i="40"/>
  <c r="S178" i="40"/>
  <c r="S177" i="40"/>
  <c r="S176" i="40"/>
  <c r="S175" i="40"/>
  <c r="S174" i="40"/>
  <c r="S173" i="40"/>
  <c r="S172" i="40"/>
  <c r="S171" i="40"/>
  <c r="S170" i="40"/>
  <c r="S169" i="40"/>
  <c r="S168" i="40"/>
  <c r="S167" i="40"/>
  <c r="S166" i="40"/>
  <c r="S165" i="40"/>
  <c r="S164" i="40"/>
  <c r="S163" i="40"/>
  <c r="S162" i="40"/>
  <c r="S161" i="40"/>
  <c r="S160" i="40"/>
  <c r="S159" i="40"/>
  <c r="S158" i="40"/>
  <c r="S157" i="40"/>
  <c r="S156" i="40"/>
  <c r="S155" i="40"/>
  <c r="S154" i="40"/>
  <c r="S153" i="40"/>
  <c r="S152" i="40"/>
  <c r="S151" i="40"/>
  <c r="S150" i="40"/>
  <c r="S149" i="40"/>
  <c r="S148" i="40"/>
  <c r="S147" i="40"/>
  <c r="S146" i="40"/>
  <c r="S145" i="40"/>
  <c r="S144" i="40"/>
  <c r="S143" i="40"/>
  <c r="S142" i="40"/>
  <c r="S141" i="40"/>
  <c r="S140" i="40"/>
  <c r="S139" i="40"/>
  <c r="S79" i="40"/>
  <c r="L17" i="40"/>
  <c r="S109" i="40"/>
  <c r="S117" i="40"/>
  <c r="AA24" i="40"/>
  <c r="S75" i="40"/>
  <c r="AA18" i="40"/>
  <c r="S67" i="40"/>
  <c r="AA25" i="40"/>
  <c r="S89" i="40"/>
  <c r="AA16" i="40"/>
  <c r="S73" i="40"/>
  <c r="AA17" i="40"/>
  <c r="L10" i="40"/>
  <c r="S84" i="40"/>
  <c r="S51" i="40"/>
  <c r="L16" i="40"/>
  <c r="S71" i="40"/>
  <c r="S48" i="40"/>
  <c r="L22" i="40"/>
  <c r="S43" i="40"/>
  <c r="AA19" i="40"/>
  <c r="AA27" i="40"/>
  <c r="S93" i="40"/>
  <c r="S26" i="40"/>
  <c r="S85" i="40"/>
  <c r="S32" i="40"/>
  <c r="S137" i="40"/>
  <c r="S34" i="40"/>
  <c r="S56" i="40"/>
  <c r="L20" i="40"/>
  <c r="L5" i="40"/>
  <c r="S60" i="40"/>
  <c r="S62" i="40"/>
  <c r="S44" i="40"/>
  <c r="AA26" i="40"/>
  <c r="S35" i="40"/>
  <c r="S49" i="40"/>
  <c r="S86" i="40"/>
  <c r="S76" i="40"/>
  <c r="S135" i="40"/>
  <c r="S112" i="40"/>
  <c r="S36" i="40"/>
  <c r="S72" i="40"/>
  <c r="S18" i="40"/>
  <c r="S110" i="40"/>
  <c r="L21" i="40"/>
  <c r="S64" i="40"/>
  <c r="S47" i="40"/>
  <c r="S53" i="40"/>
  <c r="S108" i="40"/>
  <c r="AA23" i="40"/>
  <c r="S106" i="40"/>
  <c r="S134" i="40"/>
  <c r="S92" i="40"/>
  <c r="S54" i="40"/>
  <c r="S22" i="40"/>
  <c r="AA15" i="40"/>
  <c r="S39" i="40"/>
  <c r="S37" i="40"/>
  <c r="S107" i="40"/>
  <c r="S132" i="40"/>
  <c r="S16" i="40"/>
  <c r="S63" i="40"/>
  <c r="S98" i="40"/>
  <c r="S74" i="40"/>
  <c r="S88" i="40"/>
  <c r="S94" i="40"/>
  <c r="AA20" i="40"/>
  <c r="AA29" i="40"/>
  <c r="L19" i="40"/>
  <c r="S115" i="40"/>
  <c r="S59" i="40"/>
  <c r="S87" i="40"/>
  <c r="L4" i="40"/>
  <c r="S19" i="40"/>
  <c r="S77" i="40"/>
  <c r="S45" i="40"/>
  <c r="S116" i="40"/>
  <c r="S21" i="40"/>
  <c r="S15" i="40"/>
  <c r="S27" i="40"/>
  <c r="S102" i="40"/>
  <c r="S104" i="40"/>
  <c r="S25" i="40"/>
  <c r="S20" i="40"/>
  <c r="S57" i="40"/>
  <c r="S70" i="40"/>
  <c r="S97" i="40"/>
  <c r="S5" i="40"/>
  <c r="S52" i="40"/>
  <c r="S55" i="40"/>
  <c r="S33" i="40"/>
  <c r="S121" i="40"/>
  <c r="L15" i="40"/>
  <c r="S9" i="40"/>
  <c r="S11" i="40"/>
  <c r="S7" i="40"/>
  <c r="S122" i="40"/>
  <c r="L13" i="40"/>
  <c r="S95" i="40"/>
  <c r="S24" i="40"/>
  <c r="S42" i="40"/>
  <c r="S46" i="40"/>
  <c r="S80" i="40"/>
  <c r="L14" i="40"/>
  <c r="L18" i="40"/>
  <c r="S105" i="40"/>
  <c r="S113" i="40"/>
  <c r="L3" i="40"/>
  <c r="S133" i="40"/>
  <c r="S38" i="40"/>
  <c r="S126" i="40"/>
  <c r="S58" i="40"/>
  <c r="S28" i="40"/>
  <c r="S123" i="40"/>
  <c r="S13" i="40"/>
  <c r="S120" i="40"/>
  <c r="S136" i="40"/>
  <c r="S31" i="40"/>
  <c r="L6" i="40"/>
  <c r="AA30" i="40"/>
  <c r="S4" i="40"/>
  <c r="S111" i="40"/>
  <c r="AA28" i="40"/>
  <c r="S124" i="40"/>
  <c r="S81" i="40"/>
  <c r="S40" i="40"/>
  <c r="S6" i="40"/>
  <c r="S50" i="40"/>
  <c r="P13" i="40" a="1"/>
  <c r="S69" i="40"/>
  <c r="S66" i="40"/>
  <c r="S138" i="40"/>
  <c r="S41" i="40"/>
  <c r="S10" i="40"/>
  <c r="L8" i="40"/>
  <c r="S65" i="40"/>
  <c r="S118" i="40"/>
  <c r="L9" i="40"/>
  <c r="S78" i="40"/>
  <c r="S96" i="40"/>
  <c r="S17" i="40"/>
  <c r="L11" i="40"/>
  <c r="S90" i="40"/>
  <c r="S127" i="40"/>
  <c r="S83" i="40"/>
  <c r="S3" i="40"/>
  <c r="L7" i="40"/>
  <c r="S101" i="40"/>
  <c r="S129" i="40"/>
  <c r="S99" i="40"/>
  <c r="S103" i="40"/>
  <c r="P6" i="40" a="1"/>
  <c r="S128" i="40"/>
  <c r="S23" i="40"/>
  <c r="S68" i="40"/>
  <c r="S131" i="40"/>
  <c r="S91" i="40"/>
  <c r="S114" i="40"/>
  <c r="S14" i="40"/>
  <c r="S82" i="40"/>
  <c r="S29" i="40"/>
  <c r="AA22" i="40"/>
  <c r="S100" i="40"/>
  <c r="S119" i="40"/>
  <c r="AA21" i="40"/>
  <c r="L12" i="40"/>
  <c r="S12" i="40"/>
  <c r="S125" i="40"/>
  <c r="S130" i="40"/>
  <c r="S30" i="40"/>
  <c r="S61" i="40"/>
  <c r="S8" i="40"/>
  <c r="F3" i="40"/>
  <c r="M12" i="40" l="1"/>
  <c r="AC42" i="39"/>
  <c r="AC43" i="39"/>
  <c r="P8" i="40"/>
  <c r="P10" i="40"/>
  <c r="P7" i="40"/>
  <c r="P9" i="40"/>
  <c r="P6" i="40"/>
  <c r="M7" i="40"/>
  <c r="M11" i="40"/>
  <c r="M9" i="40"/>
  <c r="M8" i="40"/>
  <c r="P16" i="40"/>
  <c r="P17" i="40"/>
  <c r="P13" i="40"/>
  <c r="P15" i="40"/>
  <c r="P14" i="40"/>
  <c r="AC49" i="39"/>
  <c r="AC58" i="39" s="1"/>
  <c r="AC51" i="39"/>
  <c r="AC60" i="39" s="1"/>
  <c r="M6" i="40"/>
  <c r="I3" i="40"/>
  <c r="M18" i="40"/>
  <c r="M14" i="40"/>
  <c r="M13" i="40"/>
  <c r="M15" i="40"/>
  <c r="M4" i="40"/>
  <c r="M19" i="40"/>
  <c r="AC50" i="39"/>
  <c r="AC59" i="39" s="1"/>
  <c r="AC41" i="39"/>
  <c r="AC36" i="39"/>
  <c r="AC44" i="39"/>
  <c r="M21" i="40"/>
  <c r="AC47" i="39"/>
  <c r="AC56" i="39" s="1"/>
  <c r="M5" i="40"/>
  <c r="M20" i="40"/>
  <c r="AC48" i="39"/>
  <c r="AC57" i="39" s="1"/>
  <c r="AC40" i="39"/>
  <c r="M22" i="40"/>
  <c r="M16" i="40"/>
  <c r="M10" i="40"/>
  <c r="AC38" i="39"/>
  <c r="AC37" i="39"/>
  <c r="AC46" i="39"/>
  <c r="AC55" i="39" s="1"/>
  <c r="AC39" i="39"/>
  <c r="AC45" i="39"/>
  <c r="AC54" i="39" s="1"/>
  <c r="M17" i="40"/>
  <c r="P18" i="40"/>
  <c r="U14" i="40"/>
  <c r="U76" i="40"/>
  <c r="U64" i="40"/>
  <c r="BQ106" i="39"/>
  <c r="U40" i="40"/>
  <c r="BQ54" i="39"/>
  <c r="U36" i="40"/>
  <c r="BQ65" i="39"/>
  <c r="BQ89" i="39"/>
  <c r="BQ124" i="39"/>
  <c r="U121" i="40"/>
  <c r="BQ93" i="39"/>
  <c r="BQ101" i="39"/>
  <c r="U83" i="40"/>
  <c r="U53" i="40"/>
  <c r="U7" i="40"/>
  <c r="BQ80" i="39"/>
  <c r="BQ96" i="39"/>
  <c r="BQ90" i="39"/>
  <c r="U127" i="40"/>
  <c r="BQ45" i="39"/>
  <c r="BQ53" i="39"/>
  <c r="U9" i="40"/>
  <c r="U31" i="40"/>
  <c r="BQ86" i="39"/>
  <c r="U108" i="40"/>
  <c r="U19" i="40"/>
  <c r="U18" i="40"/>
  <c r="BQ128" i="39"/>
  <c r="U145" i="40"/>
  <c r="U146" i="40"/>
  <c r="BQ52" i="39"/>
  <c r="U87" i="40"/>
  <c r="BQ22" i="39"/>
  <c r="BQ135" i="39"/>
  <c r="U91" i="40"/>
  <c r="BQ46" i="39"/>
  <c r="U57" i="40"/>
  <c r="U74" i="40"/>
  <c r="BQ72" i="39"/>
  <c r="BQ51" i="39"/>
  <c r="U32" i="40"/>
  <c r="U115" i="40"/>
  <c r="BQ78" i="39"/>
  <c r="U49" i="40"/>
  <c r="U128" i="40"/>
  <c r="BQ62" i="39"/>
  <c r="U93" i="40"/>
  <c r="U134" i="40"/>
  <c r="BQ48" i="39"/>
  <c r="U71" i="40"/>
  <c r="BQ84" i="39"/>
  <c r="BQ59" i="39"/>
  <c r="BQ97" i="39"/>
  <c r="U44" i="40"/>
  <c r="BQ130" i="39"/>
  <c r="BQ134" i="39"/>
  <c r="BQ83" i="39"/>
  <c r="U3" i="40"/>
  <c r="BQ55" i="39"/>
  <c r="U103" i="40"/>
  <c r="U116" i="40"/>
  <c r="U73" i="40"/>
  <c r="U28" i="40"/>
  <c r="U84" i="40"/>
  <c r="BQ64" i="39"/>
  <c r="BQ77" i="39"/>
  <c r="U35" i="40"/>
  <c r="U4" i="40"/>
  <c r="U113" i="40"/>
  <c r="BQ10" i="39"/>
  <c r="U120" i="40"/>
  <c r="U41" i="40"/>
  <c r="BQ121" i="39"/>
  <c r="BQ110" i="39"/>
  <c r="BQ43" i="39"/>
  <c r="BQ29" i="39"/>
  <c r="U21" i="40"/>
  <c r="U118" i="40"/>
  <c r="BQ56" i="39"/>
  <c r="U56" i="40"/>
  <c r="BQ69" i="39"/>
  <c r="U94" i="40"/>
  <c r="BQ75" i="39"/>
  <c r="U8" i="40"/>
  <c r="BQ57" i="39"/>
  <c r="BQ47" i="39"/>
  <c r="BQ100" i="39"/>
  <c r="BQ39" i="39"/>
  <c r="U15" i="40"/>
  <c r="U100" i="40"/>
  <c r="U78" i="40"/>
  <c r="BQ114" i="39"/>
  <c r="BQ111" i="39"/>
  <c r="BQ67" i="39"/>
  <c r="U43" i="40"/>
  <c r="U25" i="40"/>
  <c r="BQ31" i="39"/>
  <c r="U139" i="40"/>
  <c r="U59" i="40"/>
  <c r="U129" i="40"/>
  <c r="U89" i="40"/>
  <c r="U102" i="40"/>
  <c r="BQ127" i="39"/>
  <c r="BQ122" i="39"/>
  <c r="P18" i="53"/>
  <c r="U236" i="53"/>
  <c r="U39" i="53"/>
  <c r="U95" i="40"/>
  <c r="U72" i="40"/>
  <c r="BQ91" i="39"/>
  <c r="U22" i="53"/>
  <c r="U211" i="53"/>
  <c r="U63" i="53"/>
  <c r="BQ117" i="39"/>
  <c r="BQ42" i="39"/>
  <c r="U16" i="40"/>
  <c r="BQ36" i="39"/>
  <c r="U119" i="40"/>
  <c r="BQ7" i="39"/>
  <c r="U88" i="40"/>
  <c r="U143" i="40"/>
  <c r="U61" i="53"/>
  <c r="U120" i="53"/>
  <c r="U175" i="53"/>
  <c r="U109" i="53"/>
  <c r="U129" i="53"/>
  <c r="U180" i="53"/>
  <c r="U162" i="53"/>
  <c r="U215" i="53"/>
  <c r="U221" i="53"/>
  <c r="BQ34" i="54"/>
  <c r="BQ44" i="54"/>
  <c r="BQ46" i="54"/>
  <c r="BQ32" i="54"/>
  <c r="U98" i="40"/>
  <c r="U63" i="40"/>
  <c r="BQ119" i="39"/>
  <c r="U20" i="53"/>
  <c r="U24" i="53"/>
  <c r="U17" i="40"/>
  <c r="BQ123" i="39"/>
  <c r="U123" i="40"/>
  <c r="U106" i="53"/>
  <c r="U158" i="53"/>
  <c r="BQ33" i="39"/>
  <c r="U55" i="40"/>
  <c r="U122" i="40"/>
  <c r="U33" i="40"/>
  <c r="U140" i="40"/>
  <c r="U66" i="53"/>
  <c r="U145" i="53"/>
  <c r="U148" i="53"/>
  <c r="U146" i="53"/>
  <c r="U105" i="53"/>
  <c r="BQ19" i="54"/>
  <c r="BQ15" i="54"/>
  <c r="U75" i="40"/>
  <c r="U68" i="53"/>
  <c r="BQ107" i="39"/>
  <c r="U222" i="53"/>
  <c r="BQ98" i="39"/>
  <c r="U34" i="40"/>
  <c r="U45" i="40"/>
  <c r="U126" i="40"/>
  <c r="U259" i="53"/>
  <c r="U7" i="53"/>
  <c r="U116" i="53"/>
  <c r="U10" i="53"/>
  <c r="BQ9" i="54"/>
  <c r="BQ29" i="54"/>
  <c r="U77" i="40"/>
  <c r="BQ104" i="39"/>
  <c r="BQ99" i="39"/>
  <c r="U234" i="53"/>
  <c r="U106" i="40"/>
  <c r="U4" i="53"/>
  <c r="BQ120" i="39"/>
  <c r="BQ17" i="39"/>
  <c r="U5" i="40"/>
  <c r="U27" i="40"/>
  <c r="U167" i="53"/>
  <c r="U255" i="53"/>
  <c r="U80" i="53"/>
  <c r="U51" i="53"/>
  <c r="BQ17" i="54"/>
  <c r="BQ37" i="54"/>
  <c r="BQ118" i="39"/>
  <c r="U70" i="40"/>
  <c r="U74" i="53"/>
  <c r="U52" i="40"/>
  <c r="BQ70" i="39"/>
  <c r="BQ82" i="39"/>
  <c r="BQ50" i="39"/>
  <c r="U50" i="40"/>
  <c r="U135" i="40"/>
  <c r="U163" i="53"/>
  <c r="U133" i="53"/>
  <c r="U21" i="53"/>
  <c r="U235" i="53"/>
  <c r="U18" i="53"/>
  <c r="BQ43" i="54"/>
  <c r="BQ39" i="54"/>
  <c r="U99" i="40"/>
  <c r="U11" i="40"/>
  <c r="U10" i="40"/>
  <c r="U142" i="53"/>
  <c r="U155" i="53"/>
  <c r="U159" i="53"/>
  <c r="U192" i="53"/>
  <c r="U92" i="40"/>
  <c r="U96" i="40"/>
  <c r="U133" i="40"/>
  <c r="U86" i="40"/>
  <c r="U166" i="53"/>
  <c r="U104" i="53"/>
  <c r="U107" i="53"/>
  <c r="U54" i="53"/>
  <c r="BQ20" i="54"/>
  <c r="BQ8" i="54"/>
  <c r="U48" i="40"/>
  <c r="U37" i="53"/>
  <c r="U52" i="53"/>
  <c r="U110" i="40"/>
  <c r="U59" i="53"/>
  <c r="U47" i="40"/>
  <c r="U112" i="40"/>
  <c r="U80" i="40"/>
  <c r="U109" i="40"/>
  <c r="U118" i="53"/>
  <c r="U48" i="53"/>
  <c r="U258" i="53"/>
  <c r="BQ18" i="54"/>
  <c r="BQ30" i="54"/>
  <c r="U132" i="40"/>
  <c r="U65" i="53"/>
  <c r="U43" i="53"/>
  <c r="U189" i="53"/>
  <c r="BQ25" i="39"/>
  <c r="U131" i="53"/>
  <c r="U203" i="53"/>
  <c r="U227" i="53"/>
  <c r="BQ38" i="54"/>
  <c r="BQ6" i="39"/>
  <c r="BQ66" i="39"/>
  <c r="U46" i="40"/>
  <c r="BQ60" i="39"/>
  <c r="BQ35" i="39"/>
  <c r="BQ21" i="39"/>
  <c r="U31" i="53"/>
  <c r="U195" i="53"/>
  <c r="U262" i="53"/>
  <c r="U99" i="53"/>
  <c r="BQ50" i="54"/>
  <c r="BQ21" i="54"/>
  <c r="BQ72" i="54"/>
  <c r="BQ108" i="39"/>
  <c r="BQ76" i="39"/>
  <c r="U104" i="40"/>
  <c r="U30" i="40"/>
  <c r="U22" i="40"/>
  <c r="U136" i="40"/>
  <c r="BQ74" i="39"/>
  <c r="U176" i="53"/>
  <c r="U199" i="53"/>
  <c r="BQ40" i="39"/>
  <c r="BQ26" i="39"/>
  <c r="BQ20" i="39"/>
  <c r="U246" i="53"/>
  <c r="U244" i="53"/>
  <c r="U230" i="53"/>
  <c r="U130" i="53"/>
  <c r="U143" i="53"/>
  <c r="BQ27" i="54"/>
  <c r="BQ23" i="54"/>
  <c r="BQ81" i="39"/>
  <c r="U20" i="40"/>
  <c r="U53" i="53"/>
  <c r="U61" i="40"/>
  <c r="U137" i="53"/>
  <c r="BQ94" i="39"/>
  <c r="U34" i="53"/>
  <c r="U6" i="40"/>
  <c r="U184" i="53"/>
  <c r="U26" i="53"/>
  <c r="U103" i="53"/>
  <c r="BQ26" i="54"/>
  <c r="U37" i="40"/>
  <c r="BQ133" i="39"/>
  <c r="BQ131" i="39"/>
  <c r="U141" i="40"/>
  <c r="U60" i="40"/>
  <c r="BQ19" i="39"/>
  <c r="U198" i="53"/>
  <c r="U196" i="53"/>
  <c r="U182" i="53"/>
  <c r="U114" i="53"/>
  <c r="U179" i="53"/>
  <c r="BQ35" i="54"/>
  <c r="BQ31" i="54"/>
  <c r="BQ132" i="39"/>
  <c r="U105" i="40"/>
  <c r="BQ85" i="39"/>
  <c r="BQ115" i="39"/>
  <c r="BQ88" i="39"/>
  <c r="U219" i="53"/>
  <c r="U101" i="40"/>
  <c r="U67" i="40"/>
  <c r="BQ28" i="39"/>
  <c r="BQ14" i="39"/>
  <c r="U8" i="53"/>
  <c r="U214" i="53"/>
  <c r="U152" i="53"/>
  <c r="U35" i="53"/>
  <c r="U70" i="53"/>
  <c r="BQ33" i="54"/>
  <c r="BQ45" i="54"/>
  <c r="BQ38" i="39"/>
  <c r="U237" i="53"/>
  <c r="U73" i="53"/>
  <c r="U123" i="53"/>
  <c r="U138" i="40"/>
  <c r="BQ92" i="39"/>
  <c r="BQ41" i="39"/>
  <c r="BQ27" i="39"/>
  <c r="BQ13" i="39"/>
  <c r="U11" i="53"/>
  <c r="U119" i="53"/>
  <c r="U33" i="53"/>
  <c r="U101" i="53"/>
  <c r="U231" i="53"/>
  <c r="BQ22" i="54"/>
  <c r="U39" i="40"/>
  <c r="BQ63" i="39"/>
  <c r="U245" i="53"/>
  <c r="U57" i="53"/>
  <c r="U202" i="53"/>
  <c r="BQ103" i="39"/>
  <c r="BQ34" i="39"/>
  <c r="BQ12" i="39"/>
  <c r="U183" i="53"/>
  <c r="U15" i="53"/>
  <c r="U27" i="53"/>
  <c r="U177" i="53"/>
  <c r="BQ28" i="54"/>
  <c r="U79" i="40"/>
  <c r="BQ73" i="39"/>
  <c r="U254" i="53"/>
  <c r="U62" i="40"/>
  <c r="U87" i="53"/>
  <c r="BQ87" i="39"/>
  <c r="U85" i="40"/>
  <c r="U209" i="53"/>
  <c r="U242" i="53"/>
  <c r="U187" i="53"/>
  <c r="BQ10" i="54"/>
  <c r="U69" i="40"/>
  <c r="BQ32" i="39"/>
  <c r="U248" i="53"/>
  <c r="U169" i="53"/>
  <c r="U38" i="53"/>
  <c r="BQ16" i="54"/>
  <c r="U97" i="40"/>
  <c r="U36" i="53"/>
  <c r="BQ109" i="39"/>
  <c r="U64" i="53"/>
  <c r="BQ24" i="54"/>
  <c r="BQ11" i="39"/>
  <c r="U38" i="40"/>
  <c r="U131" i="40"/>
  <c r="BQ36" i="54"/>
  <c r="U124" i="40"/>
  <c r="BQ58" i="39"/>
  <c r="U111" i="40"/>
  <c r="U68" i="40"/>
  <c r="BQ71" i="39"/>
  <c r="BQ37" i="39"/>
  <c r="U23" i="40"/>
  <c r="U90" i="40"/>
  <c r="BQ61" i="39"/>
  <c r="U24" i="40"/>
  <c r="BQ125" i="39"/>
  <c r="U142" i="40"/>
  <c r="BQ8" i="39"/>
  <c r="U117" i="40"/>
  <c r="BQ15" i="39"/>
  <c r="BQ44" i="39"/>
  <c r="BQ112" i="39"/>
  <c r="U42" i="40"/>
  <c r="BQ9" i="39"/>
  <c r="BQ79" i="39"/>
  <c r="U114" i="40"/>
  <c r="U125" i="40"/>
  <c r="BQ18" i="39"/>
  <c r="BQ129" i="39"/>
  <c r="U82" i="40"/>
  <c r="U81" i="40"/>
  <c r="BQ16" i="39"/>
  <c r="BQ24" i="39"/>
  <c r="U12" i="40"/>
  <c r="U13" i="40"/>
  <c r="U54" i="40"/>
  <c r="BQ30" i="39"/>
  <c r="BQ23" i="39"/>
  <c r="U65" i="40"/>
  <c r="BQ68" i="39"/>
  <c r="U29" i="40"/>
  <c r="BQ95" i="39"/>
  <c r="BQ102" i="39"/>
  <c r="U58" i="40"/>
  <c r="U107" i="40"/>
  <c r="BQ113" i="39"/>
  <c r="U51" i="40"/>
  <c r="U66" i="40"/>
  <c r="BQ126" i="39"/>
  <c r="U26" i="40"/>
  <c r="BQ105" i="39"/>
  <c r="U137" i="40"/>
  <c r="BQ49" i="39"/>
  <c r="U130" i="40"/>
  <c r="U144" i="40"/>
  <c r="BQ116" i="39"/>
  <c r="U204" i="53"/>
  <c r="U113" i="53"/>
  <c r="U29" i="53"/>
  <c r="U257" i="53"/>
  <c r="U9" i="53"/>
  <c r="U156" i="53"/>
  <c r="U97" i="53"/>
  <c r="U75" i="53"/>
  <c r="U81" i="53"/>
  <c r="BQ64" i="54"/>
  <c r="BQ14" i="54"/>
  <c r="BQ11" i="54"/>
  <c r="U233" i="53"/>
  <c r="U3" i="53"/>
  <c r="U261" i="53"/>
  <c r="U247" i="53"/>
  <c r="U13" i="53"/>
  <c r="U168" i="53"/>
  <c r="U77" i="53"/>
  <c r="U32" i="53"/>
  <c r="U186" i="53"/>
  <c r="U124" i="53"/>
  <c r="U121" i="53"/>
  <c r="U17" i="53"/>
  <c r="BQ56" i="54"/>
  <c r="BQ67" i="54"/>
  <c r="BQ6" i="54"/>
  <c r="U102" i="53"/>
  <c r="U194" i="53"/>
  <c r="U46" i="53"/>
  <c r="U157" i="53"/>
  <c r="U217" i="53"/>
  <c r="U165" i="53"/>
  <c r="U229" i="53"/>
  <c r="U50" i="53"/>
  <c r="U92" i="53"/>
  <c r="U122" i="53"/>
  <c r="U238" i="53"/>
  <c r="U256" i="53"/>
  <c r="U154" i="53"/>
  <c r="U240" i="53"/>
  <c r="U140" i="53"/>
  <c r="U93" i="53"/>
  <c r="U225" i="53"/>
  <c r="U76" i="53"/>
  <c r="U252" i="53"/>
  <c r="U126" i="53"/>
  <c r="BQ7" i="54"/>
  <c r="BQ12" i="54"/>
  <c r="BQ25" i="54"/>
  <c r="U86" i="53"/>
  <c r="U178" i="53"/>
  <c r="U19" i="53"/>
  <c r="U44" i="53"/>
  <c r="U185" i="53"/>
  <c r="U218" i="53"/>
  <c r="U173" i="53"/>
  <c r="U172" i="53"/>
  <c r="BQ63" i="54"/>
  <c r="BQ69" i="54"/>
  <c r="BQ66" i="54"/>
  <c r="U127" i="53"/>
  <c r="U205" i="53"/>
  <c r="U55" i="53"/>
  <c r="U47" i="53"/>
  <c r="U98" i="53"/>
  <c r="U216" i="53"/>
  <c r="U171" i="53"/>
  <c r="U197" i="53"/>
  <c r="BQ48" i="54"/>
  <c r="BQ62" i="54"/>
  <c r="BQ59" i="54"/>
  <c r="U5" i="53"/>
  <c r="U78" i="53"/>
  <c r="U243" i="53"/>
  <c r="U95" i="53"/>
  <c r="U132" i="53"/>
  <c r="U125" i="53"/>
  <c r="U213" i="53"/>
  <c r="U94" i="53"/>
  <c r="U220" i="53"/>
  <c r="U147" i="53"/>
  <c r="U67" i="53"/>
  <c r="U224" i="53"/>
  <c r="U207" i="53"/>
  <c r="U141" i="53"/>
  <c r="U88" i="53"/>
  <c r="U69" i="53"/>
  <c r="U174" i="53"/>
  <c r="U58" i="53"/>
  <c r="U85" i="53"/>
  <c r="U144" i="53"/>
  <c r="U14" i="53"/>
  <c r="U108" i="53"/>
  <c r="U138" i="53"/>
  <c r="U250" i="53"/>
  <c r="BQ71" i="54"/>
  <c r="BQ13" i="54"/>
  <c r="BQ65" i="54"/>
  <c r="U41" i="53"/>
  <c r="U42" i="53"/>
  <c r="U212" i="53"/>
  <c r="U200" i="53"/>
  <c r="U25" i="53"/>
  <c r="U28" i="53"/>
  <c r="U139" i="53"/>
  <c r="U190" i="53"/>
  <c r="U208" i="53"/>
  <c r="U30" i="53"/>
  <c r="BQ70" i="54"/>
  <c r="BQ68" i="54"/>
  <c r="BQ57" i="54"/>
  <c r="U151" i="53"/>
  <c r="U60" i="53"/>
  <c r="U228" i="53"/>
  <c r="U232" i="53"/>
  <c r="U223" i="53"/>
  <c r="U251" i="53"/>
  <c r="U112" i="53"/>
  <c r="BQ55" i="54"/>
  <c r="BQ61" i="54"/>
  <c r="BQ60" i="54"/>
  <c r="BQ58" i="54"/>
  <c r="BQ49" i="54"/>
  <c r="U161" i="53"/>
  <c r="U49" i="53"/>
  <c r="U153" i="53"/>
  <c r="U210" i="53"/>
  <c r="U260" i="53"/>
  <c r="U82" i="53"/>
  <c r="U241" i="53"/>
  <c r="U12" i="53"/>
  <c r="U135" i="53"/>
  <c r="U16" i="53"/>
  <c r="U100" i="53"/>
  <c r="U84" i="53"/>
  <c r="BQ40" i="54"/>
  <c r="BQ47" i="54"/>
  <c r="BQ54" i="54"/>
  <c r="BQ53" i="54"/>
  <c r="BQ52" i="54"/>
  <c r="BQ51" i="54"/>
  <c r="BQ42" i="54"/>
  <c r="BQ41" i="54"/>
  <c r="U6" i="53"/>
  <c r="U117" i="53"/>
  <c r="U83" i="53"/>
  <c r="U253" i="53"/>
  <c r="U96" i="53"/>
  <c r="U226" i="53"/>
  <c r="U62" i="53"/>
  <c r="U115" i="53"/>
  <c r="U134" i="53"/>
  <c r="U201" i="53"/>
  <c r="U249" i="53"/>
  <c r="U23" i="53"/>
  <c r="U164" i="53"/>
  <c r="U149" i="53"/>
  <c r="U239" i="53"/>
  <c r="U111" i="53"/>
  <c r="U150" i="53"/>
  <c r="U136" i="53"/>
  <c r="U181" i="53"/>
  <c r="U160" i="53"/>
  <c r="U56" i="53"/>
  <c r="U191" i="53"/>
  <c r="U90" i="53"/>
  <c r="U170" i="53"/>
  <c r="U128" i="53"/>
  <c r="U45" i="53"/>
  <c r="U71" i="53"/>
  <c r="U91" i="53"/>
  <c r="U110" i="53"/>
  <c r="U193" i="53"/>
  <c r="U188" i="53"/>
  <c r="U79" i="53"/>
  <c r="U40" i="53"/>
  <c r="U206" i="53"/>
  <c r="U72" i="53"/>
  <c r="U89" i="53"/>
  <c r="U147" i="40"/>
  <c r="U148" i="40"/>
  <c r="U150" i="40"/>
  <c r="U149" i="40"/>
  <c r="U151" i="40"/>
  <c r="U152" i="40"/>
  <c r="U153" i="40"/>
  <c r="U154" i="40"/>
  <c r="U155" i="40"/>
  <c r="U156" i="40"/>
  <c r="U157" i="40"/>
  <c r="U158" i="40"/>
  <c r="U159" i="40"/>
  <c r="U160" i="40"/>
  <c r="U161" i="40"/>
  <c r="U162" i="40"/>
  <c r="U163" i="40"/>
  <c r="U164" i="40"/>
  <c r="U165" i="40"/>
  <c r="U166" i="40"/>
  <c r="U167" i="40"/>
  <c r="U168" i="40"/>
  <c r="U169" i="40"/>
  <c r="U170" i="40"/>
  <c r="U171" i="40"/>
  <c r="U172" i="40"/>
  <c r="U173" i="40"/>
  <c r="U174" i="40"/>
  <c r="U175" i="40"/>
  <c r="U176" i="40"/>
  <c r="U177" i="40"/>
  <c r="U178" i="40"/>
  <c r="U179" i="40"/>
  <c r="U180" i="40"/>
  <c r="U181" i="40"/>
  <c r="U182" i="40"/>
  <c r="U183" i="40"/>
  <c r="U184" i="40"/>
  <c r="U185" i="40"/>
  <c r="U186" i="40"/>
  <c r="U187" i="40"/>
  <c r="U188" i="40"/>
  <c r="U189" i="40"/>
  <c r="U190" i="40"/>
  <c r="U191" i="40"/>
  <c r="U192" i="40"/>
  <c r="U193" i="40"/>
  <c r="U194" i="40"/>
  <c r="U195" i="40"/>
  <c r="U196" i="40"/>
  <c r="U197" i="40"/>
  <c r="U198" i="40"/>
  <c r="U199" i="40"/>
  <c r="U200" i="40"/>
  <c r="U201" i="40"/>
  <c r="U202" i="40"/>
  <c r="U203" i="40"/>
  <c r="U204" i="40"/>
  <c r="U205" i="40"/>
  <c r="U206" i="40"/>
  <c r="U207" i="40"/>
  <c r="U208" i="40"/>
  <c r="U209" i="40"/>
  <c r="U210" i="40"/>
  <c r="U211" i="40"/>
  <c r="U212" i="40"/>
  <c r="U213" i="40"/>
  <c r="U214" i="40"/>
  <c r="U215" i="40"/>
  <c r="U216" i="40"/>
  <c r="U217" i="40"/>
  <c r="U218" i="40"/>
  <c r="U219" i="40"/>
  <c r="U220" i="40"/>
  <c r="U221" i="40"/>
  <c r="U222" i="40"/>
  <c r="U223" i="40"/>
  <c r="U224" i="40"/>
  <c r="U225" i="40"/>
  <c r="U226" i="40"/>
  <c r="U227" i="40"/>
  <c r="U228" i="40"/>
  <c r="U229" i="40"/>
  <c r="U230" i="40"/>
  <c r="U231" i="40"/>
  <c r="U232" i="40"/>
  <c r="U233" i="40"/>
  <c r="U234" i="40"/>
  <c r="U235" i="40"/>
  <c r="U236" i="40"/>
  <c r="U237" i="40"/>
  <c r="U238" i="40"/>
  <c r="U239" i="40"/>
  <c r="U240" i="40"/>
  <c r="U241" i="40"/>
  <c r="U242" i="40"/>
  <c r="U243" i="40"/>
  <c r="U244" i="40"/>
  <c r="U245" i="40"/>
  <c r="U246" i="40"/>
  <c r="U247" i="40"/>
  <c r="U248" i="40"/>
  <c r="U249" i="40"/>
  <c r="U250" i="40"/>
  <c r="U251" i="40"/>
  <c r="U252" i="40"/>
  <c r="U253" i="40"/>
  <c r="U254" i="40"/>
  <c r="U255" i="40"/>
  <c r="U256" i="40"/>
  <c r="U257" i="40"/>
  <c r="U258" i="40"/>
  <c r="U259" i="40"/>
  <c r="U260" i="40"/>
  <c r="U261" i="40"/>
  <c r="U262" i="40"/>
  <c r="P18" i="55"/>
  <c r="U48" i="55"/>
  <c r="U240" i="55"/>
  <c r="BQ217" i="56"/>
  <c r="BQ258" i="56"/>
  <c r="BQ237" i="56"/>
  <c r="BQ197" i="56"/>
  <c r="BQ159" i="56"/>
  <c r="U101" i="55"/>
  <c r="U52" i="55"/>
  <c r="U244" i="55"/>
  <c r="BQ178" i="56"/>
  <c r="BQ259" i="56"/>
  <c r="BQ253" i="56"/>
  <c r="BQ53" i="56"/>
  <c r="BQ263" i="56"/>
  <c r="BQ256" i="56"/>
  <c r="U192" i="55"/>
  <c r="BQ242" i="56"/>
  <c r="BQ107" i="56"/>
  <c r="BQ238" i="56"/>
  <c r="BQ229" i="56"/>
  <c r="BQ88" i="56"/>
  <c r="U77" i="55"/>
  <c r="U211" i="55"/>
  <c r="U143" i="55"/>
  <c r="U80" i="55"/>
  <c r="U144" i="55"/>
  <c r="U208" i="55"/>
  <c r="U53" i="55"/>
  <c r="U67" i="55"/>
  <c r="BQ233" i="56"/>
  <c r="BQ19" i="56"/>
  <c r="BQ66" i="56"/>
  <c r="BQ90" i="56"/>
  <c r="BQ129" i="56"/>
  <c r="BQ81" i="56"/>
  <c r="BQ74" i="56"/>
  <c r="BQ155" i="56"/>
  <c r="BQ68" i="56"/>
  <c r="BQ236" i="56"/>
  <c r="BQ157" i="56"/>
  <c r="BQ78" i="56"/>
  <c r="BQ99" i="56"/>
  <c r="BQ20" i="56"/>
  <c r="BQ196" i="56"/>
  <c r="BQ101" i="56"/>
  <c r="BQ22" i="56"/>
  <c r="BQ190" i="56"/>
  <c r="BQ23" i="56"/>
  <c r="BQ119" i="56"/>
  <c r="BQ207" i="56"/>
  <c r="BQ24" i="56"/>
  <c r="BQ112" i="56"/>
  <c r="BQ65" i="56"/>
  <c r="BQ193" i="56"/>
  <c r="BQ92" i="56"/>
  <c r="BQ189" i="56"/>
  <c r="BQ52" i="56"/>
  <c r="BQ54" i="56"/>
  <c r="BQ135" i="56"/>
  <c r="BQ32" i="56"/>
  <c r="U97" i="55"/>
  <c r="U160" i="55"/>
  <c r="BQ106" i="56"/>
  <c r="BQ186" i="56"/>
  <c r="BQ162" i="56"/>
  <c r="BQ29" i="56"/>
  <c r="BQ147" i="56"/>
  <c r="BQ228" i="56"/>
  <c r="BQ70" i="56"/>
  <c r="BQ143" i="56"/>
  <c r="BQ136" i="56"/>
  <c r="BQ234" i="56"/>
  <c r="BQ257" i="56"/>
  <c r="BQ227" i="56"/>
  <c r="BQ126" i="56"/>
  <c r="BQ181" i="56"/>
  <c r="BQ151" i="56"/>
  <c r="U225" i="55"/>
  <c r="U112" i="55"/>
  <c r="U217" i="55"/>
  <c r="BQ146" i="56"/>
  <c r="BQ9" i="56"/>
  <c r="BQ243" i="56"/>
  <c r="BQ166" i="56"/>
  <c r="BQ21" i="56"/>
  <c r="BQ102" i="56"/>
  <c r="BQ247" i="56"/>
  <c r="BQ240" i="56"/>
  <c r="U257" i="55"/>
  <c r="U180" i="55"/>
  <c r="U173" i="55"/>
  <c r="BQ82" i="56"/>
  <c r="BQ27" i="56"/>
  <c r="BQ93" i="56"/>
  <c r="BQ198" i="56"/>
  <c r="BQ116" i="56"/>
  <c r="BQ262" i="56"/>
  <c r="BQ80" i="56"/>
  <c r="U253" i="55"/>
  <c r="U64" i="55"/>
  <c r="U91" i="55"/>
  <c r="BQ75" i="56"/>
  <c r="BQ49" i="56"/>
  <c r="BQ204" i="56"/>
  <c r="BQ219" i="56"/>
  <c r="BQ69" i="56"/>
  <c r="BQ95" i="56"/>
  <c r="BQ264" i="56"/>
  <c r="U137" i="55"/>
  <c r="U243" i="55"/>
  <c r="U175" i="55"/>
  <c r="U84" i="55"/>
  <c r="U148" i="55"/>
  <c r="U212" i="55"/>
  <c r="U123" i="55"/>
  <c r="U43" i="55"/>
  <c r="BQ17" i="56"/>
  <c r="BQ122" i="56"/>
  <c r="BQ98" i="56"/>
  <c r="BQ94" i="56"/>
  <c r="BQ117" i="56"/>
  <c r="BQ31" i="56"/>
  <c r="BQ128" i="56"/>
  <c r="U32" i="55"/>
  <c r="U7" i="55"/>
  <c r="BQ121" i="56"/>
  <c r="BQ202" i="56"/>
  <c r="BQ108" i="56"/>
  <c r="BQ110" i="56"/>
  <c r="BQ149" i="56"/>
  <c r="BQ47" i="56"/>
  <c r="BQ48" i="56"/>
  <c r="BQ114" i="56"/>
  <c r="BQ18" i="56"/>
  <c r="BQ61" i="56"/>
  <c r="BQ84" i="56"/>
  <c r="BQ222" i="56"/>
  <c r="BQ64" i="56"/>
  <c r="U45" i="55"/>
  <c r="U176" i="55"/>
  <c r="BQ41" i="56"/>
  <c r="BQ11" i="56"/>
  <c r="BQ77" i="56"/>
  <c r="BQ100" i="56"/>
  <c r="BQ246" i="56"/>
  <c r="BQ152" i="56"/>
  <c r="U69" i="55"/>
  <c r="U116" i="55"/>
  <c r="U187" i="55"/>
  <c r="BQ34" i="56"/>
  <c r="BQ26" i="56"/>
  <c r="BQ188" i="56"/>
  <c r="BQ211" i="56"/>
  <c r="BQ118" i="56"/>
  <c r="BQ160" i="56"/>
  <c r="U128" i="55"/>
  <c r="BQ145" i="56"/>
  <c r="BQ169" i="56"/>
  <c r="BQ109" i="56"/>
  <c r="BQ148" i="56"/>
  <c r="BQ7" i="56"/>
  <c r="BQ176" i="56"/>
  <c r="U224" i="55"/>
  <c r="BQ144" i="56"/>
  <c r="BQ113" i="56"/>
  <c r="BQ71" i="56"/>
  <c r="BQ10" i="56"/>
  <c r="BQ213" i="56"/>
  <c r="BQ50" i="56"/>
  <c r="BQ183" i="56"/>
  <c r="U105" i="55"/>
  <c r="U129" i="55"/>
  <c r="U36" i="55"/>
  <c r="U100" i="55"/>
  <c r="U164" i="55"/>
  <c r="U228" i="55"/>
  <c r="U71" i="55"/>
  <c r="U85" i="55"/>
  <c r="BQ250" i="56"/>
  <c r="BQ124" i="56"/>
  <c r="BQ179" i="56"/>
  <c r="BQ86" i="56"/>
  <c r="BQ231" i="56"/>
  <c r="BQ156" i="56"/>
  <c r="BQ72" i="56"/>
  <c r="BQ91" i="56"/>
  <c r="BQ167" i="56"/>
  <c r="BQ30" i="56"/>
  <c r="U249" i="55"/>
  <c r="BQ195" i="56"/>
  <c r="BQ57" i="56"/>
  <c r="BQ79" i="56"/>
  <c r="BQ33" i="56"/>
  <c r="BQ8" i="56"/>
  <c r="U75" i="55"/>
  <c r="U24" i="55"/>
  <c r="U256" i="55"/>
  <c r="BQ28" i="56"/>
  <c r="BQ150" i="56"/>
  <c r="BQ224" i="56"/>
  <c r="BQ63" i="56"/>
  <c r="BQ244" i="56"/>
  <c r="BQ221" i="56"/>
  <c r="BQ226" i="56"/>
  <c r="BQ153" i="56"/>
  <c r="BQ216" i="56"/>
  <c r="BQ223" i="56"/>
  <c r="BQ214" i="56"/>
  <c r="BQ76" i="56"/>
  <c r="BQ205" i="56"/>
  <c r="BQ203" i="56"/>
  <c r="BQ225" i="56"/>
  <c r="BQ83" i="56"/>
  <c r="U181" i="55"/>
  <c r="U96" i="55"/>
  <c r="U22" i="55"/>
  <c r="BQ208" i="56"/>
  <c r="BQ215" i="56"/>
  <c r="BQ206" i="56"/>
  <c r="BQ212" i="56"/>
  <c r="BQ115" i="56"/>
  <c r="BQ260" i="56"/>
  <c r="BQ187" i="56"/>
  <c r="BQ138" i="56"/>
  <c r="BQ89" i="56"/>
  <c r="BQ200" i="56"/>
  <c r="BQ192" i="56"/>
  <c r="BQ96" i="56"/>
  <c r="BQ16" i="56"/>
  <c r="BQ199" i="56"/>
  <c r="BQ103" i="56"/>
  <c r="BQ15" i="56"/>
  <c r="BQ174" i="56"/>
  <c r="BQ245" i="56"/>
  <c r="BQ85" i="56"/>
  <c r="BQ180" i="56"/>
  <c r="BQ235" i="56"/>
  <c r="BQ87" i="56"/>
  <c r="BQ62" i="56"/>
  <c r="BQ125" i="56"/>
  <c r="BQ220" i="56"/>
  <c r="BQ60" i="56"/>
  <c r="BQ123" i="56"/>
  <c r="BQ51" i="56"/>
  <c r="BQ35" i="56"/>
  <c r="BQ73" i="56"/>
  <c r="BQ67" i="56"/>
  <c r="BQ43" i="56"/>
  <c r="BQ177" i="56"/>
  <c r="BQ137" i="56"/>
  <c r="U39" i="55"/>
  <c r="U260" i="55"/>
  <c r="U196" i="55"/>
  <c r="U132" i="55"/>
  <c r="U68" i="55"/>
  <c r="U47" i="55"/>
  <c r="U115" i="55"/>
  <c r="U149" i="55"/>
  <c r="U231" i="55"/>
  <c r="U169" i="55"/>
  <c r="U55" i="55"/>
  <c r="U51" i="55"/>
  <c r="U245" i="55"/>
  <c r="U119" i="55"/>
  <c r="U30" i="55"/>
  <c r="U258" i="55"/>
  <c r="U242" i="55"/>
  <c r="U226" i="55"/>
  <c r="U210" i="55"/>
  <c r="U194" i="55"/>
  <c r="U178" i="55"/>
  <c r="U162" i="55"/>
  <c r="U146" i="55"/>
  <c r="U130" i="55"/>
  <c r="U114" i="55"/>
  <c r="U98" i="55"/>
  <c r="U82" i="55"/>
  <c r="U66" i="55"/>
  <c r="U50" i="55"/>
  <c r="U34" i="55"/>
  <c r="U159" i="55"/>
  <c r="U31" i="55"/>
  <c r="U241" i="55"/>
  <c r="U113" i="55"/>
  <c r="U227" i="55"/>
  <c r="U261" i="55"/>
  <c r="U57" i="55"/>
  <c r="U93" i="55"/>
  <c r="U89" i="55"/>
  <c r="U87" i="55"/>
  <c r="U37" i="55"/>
  <c r="U5" i="55"/>
  <c r="U12" i="55"/>
  <c r="U221" i="55"/>
  <c r="U103" i="55"/>
  <c r="U199" i="55"/>
  <c r="U189" i="55"/>
  <c r="U167" i="55"/>
  <c r="U254" i="55"/>
  <c r="U238" i="55"/>
  <c r="U222" i="55"/>
  <c r="U206" i="55"/>
  <c r="U190" i="55"/>
  <c r="U174" i="55"/>
  <c r="U158" i="55"/>
  <c r="U142" i="55"/>
  <c r="U126" i="55"/>
  <c r="U110" i="55"/>
  <c r="U94" i="55"/>
  <c r="U78" i="55"/>
  <c r="U62" i="55"/>
  <c r="U46" i="55"/>
  <c r="U255" i="55"/>
  <c r="U127" i="55"/>
  <c r="U20" i="55"/>
  <c r="U209" i="55"/>
  <c r="U81" i="55"/>
  <c r="U195" i="55"/>
  <c r="U205" i="55"/>
  <c r="U17" i="55"/>
  <c r="U18" i="55"/>
  <c r="U28" i="55"/>
  <c r="U171" i="55"/>
  <c r="U117" i="55"/>
  <c r="U247" i="55"/>
  <c r="U252" i="55"/>
  <c r="U236" i="55"/>
  <c r="U220" i="55"/>
  <c r="U204" i="55"/>
  <c r="U188" i="55"/>
  <c r="U172" i="55"/>
  <c r="U156" i="55"/>
  <c r="U140" i="55"/>
  <c r="U124" i="55"/>
  <c r="U108" i="55"/>
  <c r="U76" i="55"/>
  <c r="U60" i="55"/>
  <c r="U44" i="55"/>
  <c r="U239" i="55"/>
  <c r="U111" i="55"/>
  <c r="U15" i="55"/>
  <c r="U193" i="55"/>
  <c r="U65" i="55"/>
  <c r="U179" i="55"/>
  <c r="U201" i="55"/>
  <c r="U8" i="55"/>
  <c r="U11" i="55"/>
  <c r="U219" i="55"/>
  <c r="U109" i="55"/>
  <c r="U235" i="55"/>
  <c r="U155" i="55"/>
  <c r="U23" i="55"/>
  <c r="U6" i="55"/>
  <c r="U229" i="55"/>
  <c r="U92" i="55"/>
  <c r="BQ248" i="56"/>
  <c r="BQ184" i="56"/>
  <c r="BQ120" i="56"/>
  <c r="BQ56" i="56"/>
  <c r="BQ255" i="56"/>
  <c r="BQ191" i="56"/>
  <c r="BQ127" i="56"/>
  <c r="BQ55" i="56"/>
  <c r="BQ254" i="56"/>
  <c r="BQ158" i="56"/>
  <c r="BQ38" i="56"/>
  <c r="BQ165" i="56"/>
  <c r="BQ37" i="56"/>
  <c r="BQ164" i="56"/>
  <c r="BQ36" i="56"/>
  <c r="BQ163" i="56"/>
  <c r="BQ182" i="56"/>
  <c r="BQ46" i="56"/>
  <c r="BQ173" i="56"/>
  <c r="BQ45" i="56"/>
  <c r="BQ172" i="56"/>
  <c r="BQ44" i="56"/>
  <c r="BQ171" i="56"/>
  <c r="BQ194" i="56"/>
  <c r="BQ241" i="56"/>
  <c r="BQ201" i="56"/>
  <c r="BQ161" i="56"/>
  <c r="BQ218" i="56"/>
  <c r="BQ249" i="56"/>
  <c r="BQ25" i="56"/>
  <c r="BQ42" i="56"/>
  <c r="BQ170" i="56"/>
  <c r="BQ6" i="56"/>
  <c r="U10" i="55"/>
  <c r="U213" i="55"/>
  <c r="U107" i="55"/>
  <c r="U121" i="55"/>
  <c r="U133" i="55"/>
  <c r="U251" i="55"/>
  <c r="U233" i="55"/>
  <c r="U250" i="55"/>
  <c r="U234" i="55"/>
  <c r="U218" i="55"/>
  <c r="U202" i="55"/>
  <c r="U186" i="55"/>
  <c r="U170" i="55"/>
  <c r="U154" i="55"/>
  <c r="U138" i="55"/>
  <c r="U122" i="55"/>
  <c r="U106" i="55"/>
  <c r="U90" i="55"/>
  <c r="U74" i="55"/>
  <c r="U58" i="55"/>
  <c r="U42" i="55"/>
  <c r="U223" i="55"/>
  <c r="U95" i="55"/>
  <c r="U14" i="55"/>
  <c r="U177" i="55"/>
  <c r="U49" i="55"/>
  <c r="U163" i="55"/>
  <c r="U197" i="55"/>
  <c r="U99" i="55"/>
  <c r="U9" i="55"/>
  <c r="U215" i="55"/>
  <c r="U41" i="55"/>
  <c r="U151" i="55"/>
  <c r="U21" i="55"/>
  <c r="U26" i="55"/>
  <c r="U165" i="55"/>
  <c r="U125" i="55"/>
  <c r="U19" i="55"/>
  <c r="U25" i="55"/>
  <c r="U237" i="55"/>
  <c r="U248" i="55"/>
  <c r="U232" i="55"/>
  <c r="U216" i="55"/>
  <c r="U200" i="55"/>
  <c r="U184" i="55"/>
  <c r="U168" i="55"/>
  <c r="U152" i="55"/>
  <c r="U136" i="55"/>
  <c r="U120" i="55"/>
  <c r="U104" i="55"/>
  <c r="U88" i="55"/>
  <c r="U72" i="55"/>
  <c r="U56" i="55"/>
  <c r="U40" i="55"/>
  <c r="U207" i="55"/>
  <c r="U79" i="55"/>
  <c r="U13" i="55"/>
  <c r="U161" i="55"/>
  <c r="U33" i="55"/>
  <c r="U147" i="55"/>
  <c r="U139" i="55"/>
  <c r="U35" i="55"/>
  <c r="U185" i="55"/>
  <c r="U157" i="55"/>
  <c r="U4" i="55"/>
  <c r="BQ232" i="56"/>
  <c r="BQ168" i="56"/>
  <c r="BQ104" i="56"/>
  <c r="BQ40" i="56"/>
  <c r="BQ239" i="56"/>
  <c r="BQ175" i="56"/>
  <c r="BQ111" i="56"/>
  <c r="BQ39" i="56"/>
  <c r="BQ230" i="56"/>
  <c r="BQ134" i="56"/>
  <c r="BQ261" i="56"/>
  <c r="BQ133" i="56"/>
  <c r="BQ252" i="56"/>
  <c r="BQ132" i="56"/>
  <c r="BQ251" i="56"/>
  <c r="BQ131" i="56"/>
  <c r="BQ142" i="56"/>
  <c r="BQ14" i="56"/>
  <c r="BQ141" i="56"/>
  <c r="BQ13" i="56"/>
  <c r="BQ140" i="56"/>
  <c r="BQ12" i="56"/>
  <c r="BQ139" i="56"/>
  <c r="BQ130" i="56"/>
  <c r="BQ59" i="56"/>
  <c r="BQ105" i="56"/>
  <c r="BQ97" i="56"/>
  <c r="BQ154" i="56"/>
  <c r="BQ185" i="56"/>
  <c r="BQ210" i="56"/>
  <c r="BQ209" i="56"/>
  <c r="BQ58" i="56"/>
  <c r="U73" i="55"/>
  <c r="U61" i="55"/>
  <c r="U16" i="55"/>
  <c r="U29" i="55"/>
  <c r="U183" i="55"/>
  <c r="U59" i="55"/>
  <c r="U83" i="55"/>
  <c r="U262" i="55"/>
  <c r="U246" i="55"/>
  <c r="U230" i="55"/>
  <c r="U214" i="55"/>
  <c r="U198" i="55"/>
  <c r="U182" i="55"/>
  <c r="U166" i="55"/>
  <c r="U150" i="55"/>
  <c r="U134" i="55"/>
  <c r="U118" i="55"/>
  <c r="U102" i="55"/>
  <c r="U86" i="55"/>
  <c r="U70" i="55"/>
  <c r="U54" i="55"/>
  <c r="U38" i="55"/>
  <c r="U191" i="55"/>
  <c r="U63" i="55"/>
  <c r="U3" i="55"/>
  <c r="U145" i="55"/>
  <c r="U259" i="55"/>
  <c r="U131" i="55"/>
  <c r="U135" i="55"/>
  <c r="U27" i="55"/>
  <c r="U203" i="55"/>
  <c r="U153" i="55"/>
  <c r="U141" i="55"/>
  <c r="P18" i="57"/>
  <c r="U69" i="57"/>
  <c r="U17" i="57"/>
  <c r="U59" i="57"/>
  <c r="U21" i="57"/>
  <c r="U40" i="57"/>
  <c r="U56" i="57"/>
  <c r="U13" i="57"/>
  <c r="U37" i="57"/>
  <c r="BQ42" i="58"/>
  <c r="BQ18" i="58"/>
  <c r="BQ12" i="58"/>
  <c r="BQ21" i="58"/>
  <c r="BQ30" i="58"/>
  <c r="BQ23" i="58"/>
  <c r="BQ16" i="58"/>
  <c r="BQ9" i="58"/>
  <c r="BQ73" i="58"/>
  <c r="U20" i="57"/>
  <c r="U30" i="57"/>
  <c r="U33" i="57"/>
  <c r="U6" i="57"/>
  <c r="U28" i="57"/>
  <c r="U42" i="57"/>
  <c r="U58" i="57"/>
  <c r="U67" i="57"/>
  <c r="U55" i="57"/>
  <c r="BQ66" i="58"/>
  <c r="BQ34" i="58"/>
  <c r="BQ20" i="58"/>
  <c r="BQ29" i="58"/>
  <c r="BQ38" i="58"/>
  <c r="BQ31" i="58"/>
  <c r="BQ24" i="58"/>
  <c r="BQ17" i="58"/>
  <c r="U19" i="57"/>
  <c r="U47" i="57"/>
  <c r="U45" i="57"/>
  <c r="U7" i="57"/>
  <c r="U41" i="57"/>
  <c r="U44" i="57"/>
  <c r="U60" i="57"/>
  <c r="U25" i="57"/>
  <c r="U53" i="57"/>
  <c r="BQ11" i="58"/>
  <c r="BQ50" i="58"/>
  <c r="BQ36" i="58"/>
  <c r="BQ37" i="58"/>
  <c r="BQ46" i="58"/>
  <c r="BQ39" i="58"/>
  <c r="BQ32" i="58"/>
  <c r="BQ25" i="58"/>
  <c r="U3" i="57"/>
  <c r="U5" i="57"/>
  <c r="U8" i="57"/>
  <c r="U9" i="57"/>
  <c r="U57" i="57"/>
  <c r="U46" i="57"/>
  <c r="U62" i="57"/>
  <c r="U15" i="57"/>
  <c r="U22" i="57"/>
  <c r="BQ27" i="58"/>
  <c r="BQ58" i="58"/>
  <c r="BQ44" i="58"/>
  <c r="BQ45" i="58"/>
  <c r="BQ54" i="58"/>
  <c r="BQ47" i="58"/>
  <c r="BQ40" i="58"/>
  <c r="BQ33" i="58"/>
  <c r="U27" i="57"/>
  <c r="U39" i="57"/>
  <c r="U11" i="57"/>
  <c r="U10" i="57"/>
  <c r="U32" i="57"/>
  <c r="U48" i="57"/>
  <c r="U64" i="57"/>
  <c r="U31" i="57"/>
  <c r="U65" i="57"/>
  <c r="BQ43" i="58"/>
  <c r="BQ19" i="58"/>
  <c r="BQ52" i="58"/>
  <c r="BQ53" i="58"/>
  <c r="BQ62" i="58"/>
  <c r="BQ55" i="58"/>
  <c r="BQ48" i="58"/>
  <c r="BQ41" i="58"/>
  <c r="U24" i="57"/>
  <c r="U51" i="57"/>
  <c r="U23" i="57"/>
  <c r="U12" i="57"/>
  <c r="U34" i="57"/>
  <c r="U50" i="57"/>
  <c r="U66" i="57"/>
  <c r="U4" i="57"/>
  <c r="BQ6" i="58"/>
  <c r="BQ67" i="58"/>
  <c r="BQ60" i="58"/>
  <c r="BQ69" i="58"/>
  <c r="BQ70" i="58"/>
  <c r="BQ63" i="58"/>
  <c r="BQ56" i="58"/>
  <c r="BQ35" i="58"/>
  <c r="BQ49" i="58"/>
  <c r="BQ65" i="58"/>
  <c r="BQ72" i="58"/>
  <c r="BQ8" i="58"/>
  <c r="BQ15" i="58"/>
  <c r="BQ22" i="58"/>
  <c r="BQ13" i="58"/>
  <c r="BQ59" i="58"/>
  <c r="BQ61" i="58"/>
  <c r="BQ26" i="58"/>
  <c r="U49" i="57"/>
  <c r="U70" i="57"/>
  <c r="U54" i="57"/>
  <c r="U38" i="57"/>
  <c r="U16" i="57"/>
  <c r="U43" i="57"/>
  <c r="U14" i="57"/>
  <c r="U26" i="57"/>
  <c r="BQ57" i="58"/>
  <c r="BQ64" i="58"/>
  <c r="BQ71" i="58"/>
  <c r="BQ7" i="58"/>
  <c r="BQ14" i="58"/>
  <c r="BQ68" i="58"/>
  <c r="BQ51" i="58"/>
  <c r="BQ28" i="58"/>
  <c r="BQ10" i="58"/>
  <c r="U61" i="57"/>
  <c r="U68" i="57"/>
  <c r="U52" i="57"/>
  <c r="U36" i="57"/>
  <c r="U18" i="57"/>
  <c r="U29" i="57"/>
  <c r="U63" i="57"/>
  <c r="U35" i="57"/>
</calcChain>
</file>

<file path=xl/sharedStrings.xml><?xml version="1.0" encoding="utf-8"?>
<sst xmlns="http://schemas.openxmlformats.org/spreadsheetml/2006/main" count="708" uniqueCount="119">
  <si>
    <t>General Settings</t>
  </si>
  <si>
    <t>Currency</t>
  </si>
  <si>
    <t>EUR</t>
  </si>
  <si>
    <t>Calendar</t>
  </si>
  <si>
    <t>TARGET</t>
  </si>
  <si>
    <t>IborType</t>
  </si>
  <si>
    <t>OvenightIndex</t>
  </si>
  <si>
    <t>Eonia</t>
  </si>
  <si>
    <t>Permanent</t>
  </si>
  <si>
    <t>ObjectOverwrite</t>
  </si>
  <si>
    <t>SettlementDate</t>
  </si>
  <si>
    <t>Actual/360</t>
  </si>
  <si>
    <t>QuoteSuffix</t>
  </si>
  <si>
    <t>_Quote</t>
  </si>
  <si>
    <t>Trigger</t>
  </si>
  <si>
    <t>Evaluation Date</t>
  </si>
  <si>
    <t>Interest Rates Trigger</t>
  </si>
  <si>
    <t>LastFixingsTrigger</t>
  </si>
  <si>
    <t>1Y</t>
  </si>
  <si>
    <t>TriggerCounter</t>
  </si>
  <si>
    <t>x</t>
  </si>
  <si>
    <t>=</t>
  </si>
  <si>
    <t>1M</t>
  </si>
  <si>
    <t>3M</t>
  </si>
  <si>
    <t>6M</t>
  </si>
  <si>
    <t>1D</t>
  </si>
  <si>
    <t>1W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</si>
  <si>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</si>
  <si>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</si>
  <si>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</si>
  <si>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</si>
  <si>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</si>
  <si>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</si>
  <si>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</si>
  <si>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</si>
  <si>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</si>
  <si>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</si>
  <si>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12M</t>
  </si>
  <si>
    <t>Value Date</t>
  </si>
  <si>
    <t>Maturity Date</t>
  </si>
  <si>
    <t>Triggers</t>
  </si>
  <si>
    <t>Linear</t>
  </si>
  <si>
    <t>Quadratic</t>
  </si>
  <si>
    <t>Instruments</t>
  </si>
  <si>
    <t>γ,β,α</t>
  </si>
  <si>
    <t>β,α</t>
  </si>
  <si>
    <t>coef α</t>
  </si>
  <si>
    <t>coef β</t>
  </si>
  <si>
    <t>coef γ</t>
  </si>
  <si>
    <t>tenor</t>
  </si>
  <si>
    <t>start date</t>
  </si>
  <si>
    <t>Discounting</t>
  </si>
  <si>
    <t>EURON</t>
  </si>
  <si>
    <t>Index</t>
  </si>
  <si>
    <t>Additional Settings</t>
  </si>
  <si>
    <t>tau</t>
  </si>
  <si>
    <t>F ON</t>
  </si>
  <si>
    <t>Delta</t>
  </si>
  <si>
    <t>Daycounter</t>
  </si>
  <si>
    <t>tau 1</t>
  </si>
  <si>
    <t>tau 2</t>
  </si>
  <si>
    <t>Basis</t>
  </si>
  <si>
    <t>Tenor</t>
  </si>
  <si>
    <t>Diff (bps)</t>
  </si>
  <si>
    <t>with 0X6</t>
  </si>
  <si>
    <t>without 0X6</t>
  </si>
  <si>
    <t>Exact Fit</t>
  </si>
  <si>
    <t>Best Fit</t>
  </si>
  <si>
    <t>Repricing Error</t>
  </si>
  <si>
    <t>FRA</t>
  </si>
  <si>
    <t xml:space="preserve"> </t>
  </si>
  <si>
    <t>Value date</t>
  </si>
  <si>
    <t>ON 6M Index</t>
  </si>
  <si>
    <t>C0</t>
  </si>
  <si>
    <t>C1</t>
  </si>
  <si>
    <t>C2</t>
  </si>
  <si>
    <t>C3</t>
  </si>
  <si>
    <t>c0</t>
  </si>
  <si>
    <t>c1</t>
  </si>
  <si>
    <t>c2</t>
  </si>
  <si>
    <t>c3</t>
  </si>
  <si>
    <t>c4</t>
  </si>
  <si>
    <t>Tenor Basis</t>
  </si>
  <si>
    <t>Basis BestFit</t>
  </si>
  <si>
    <t>Quote object</t>
  </si>
  <si>
    <t>Set Value</t>
  </si>
  <si>
    <t>ESTIMATED</t>
  </si>
  <si>
    <t>0 X 6 EXACT</t>
  </si>
  <si>
    <t>0 X 6 BEST</t>
  </si>
  <si>
    <t>t</t>
  </si>
  <si>
    <t>Is simple</t>
  </si>
  <si>
    <t>Calibration</t>
  </si>
  <si>
    <t>Compute</t>
  </si>
  <si>
    <t>Synth Depo</t>
  </si>
  <si>
    <t>Simple Basis Coeff</t>
  </si>
  <si>
    <t>Continuous Basis Coeff</t>
  </si>
  <si>
    <t>end date</t>
  </si>
  <si>
    <t xml:space="preserve">Cont Basis </t>
  </si>
  <si>
    <t>Simple Basis</t>
  </si>
  <si>
    <t>function</t>
  </si>
  <si>
    <t>Using Continuous Basis</t>
  </si>
  <si>
    <t>Start Date</t>
  </si>
  <si>
    <t>End Date</t>
  </si>
  <si>
    <t>Using Simple Basis</t>
  </si>
  <si>
    <t>Wheigts</t>
  </si>
  <si>
    <t>Contribution</t>
  </si>
  <si>
    <t>Simple Basis Approximation</t>
  </si>
  <si>
    <t>Continuous Basis Approximation</t>
  </si>
  <si>
    <t>Continuous Basis approximation</t>
  </si>
  <si>
    <t>Simple Basis approximation</t>
  </si>
  <si>
    <t>ON 3M Index</t>
  </si>
  <si>
    <t>0 X 3 EXACT</t>
  </si>
  <si>
    <t>0 X 3 BEST</t>
  </si>
  <si>
    <t>ON 12M Index</t>
  </si>
  <si>
    <t>0 X 12 EXACT</t>
  </si>
  <si>
    <t>0 X 12 BEST</t>
  </si>
  <si>
    <t>ON 1M Index</t>
  </si>
  <si>
    <t>0 X 1 EXACT</t>
  </si>
  <si>
    <t>0 X 1 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</si>
</sst>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&quot;£&quot;#,##0;[Red]\-&quot;£&quot;#,##0"/>
    <numFmt numFmtId="165" formatCode="#,##0.0;#,##0.0"/>
    <numFmt numFmtId="166" formatCode="_([$€-2]* #,##0.00_);_([$€-2]* \(#,##0.00\);_([$€-2]* &quot;-&quot;??_)"/>
    <numFmt numFmtId="167" formatCode="General_)"/>
    <numFmt numFmtId="168" formatCode="ddd\,\ dd\-mmm\-yyyy\ h:mm:ss"/>
    <numFmt numFmtId="169" formatCode="ddd\,\ d\-mmm\-yyyy"/>
    <numFmt numFmtId="170" formatCode="ddd\,\ d\-mmm\-yyyy\,\ hh:mm:ss"/>
    <numFmt numFmtId="171" formatCode="ddd\,\ dd\-mmm\-yyyy"/>
    <numFmt numFmtId="172" formatCode="0.0000%"/>
    <numFmt numFmtId="173" formatCode="0.0000"/>
    <numFmt numFmtId="174" formatCode="ddd\,\ dd\-mmm\-yyyy\,\ h:mm:ss"/>
    <numFmt numFmtId="175" formatCode="0.000000000"/>
    <numFmt numFmtId="176" formatCode="0.00000"/>
    <numFmt numFmtId="177" formatCode="0.000000"/>
    <numFmt numFmtId="178" formatCode="0.00000000"/>
    <numFmt numFmtId="179" formatCode="dd\-mmm\-yy"/>
  </numFmts>
  <fonts count="21" x14ac:knownFonts="1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8"/>
      <name val="Microsoft Sans Serif"/>
      <family val="2"/>
    </font>
    <font>
      <sz val="8"/>
      <color indexed="12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10"/>
      <name val="Courier New"/>
      <family val="3"/>
    </font>
    <font>
      <sz val="8"/>
      <color rgb="FFFF0000"/>
      <name val="Courier New"/>
      <family val="3"/>
    </font>
    <font>
      <sz val="9"/>
      <name val="Courier New"/>
      <family val="3"/>
    </font>
  </fonts>
  <fills count="14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fgColor auto="1"/>
        <bgColor theme="0" tint="-0.14996795556505021"/>
      </patternFill>
    </fill>
    <fill>
      <patternFill patternType="solid">
        <fgColor theme="8" tint="0.59999389629810485"/>
        <bgColor theme="8" tint="0.59996337778862885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2">
    <xf numFmtId="0" fontId="0" fillId="0" borderId="0"/>
    <xf numFmtId="166" fontId="6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67" fontId="9" fillId="0" borderId="0"/>
    <xf numFmtId="165" fontId="7" fillId="2" borderId="0">
      <alignment horizontal="center"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0" fillId="0" borderId="0"/>
    <xf numFmtId="0" fontId="4" fillId="0" borderId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0" fontId="3" fillId="0" borderId="0"/>
    <xf numFmtId="9" fontId="12" fillId="0" borderId="0" applyFont="0" applyFill="0" applyBorder="0" applyAlignment="0" applyProtection="0"/>
    <xf numFmtId="0" fontId="5" fillId="0" borderId="0"/>
    <xf numFmtId="0" fontId="5" fillId="0" borderId="0"/>
    <xf numFmtId="0" fontId="2" fillId="0" borderId="0"/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9" fontId="5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2" fillId="0" borderId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6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  <xf numFmtId="0" fontId="1" fillId="0" borderId="0"/>
  </cellStyleXfs>
  <cellXfs count="304">
    <xf numFmtId="0" fontId="0" fillId="0" borderId="0" xfId="0"/>
    <xf numFmtId="0" fontId="11" fillId="3" borderId="0" xfId="15" applyFont="1" applyFill="1" applyBorder="1"/>
    <xf numFmtId="0" fontId="11" fillId="4" borderId="1" xfId="15" applyFont="1" applyFill="1" applyBorder="1" applyAlignment="1">
      <alignment horizontal="right"/>
    </xf>
    <xf numFmtId="0" fontId="11" fillId="3" borderId="1" xfId="15" applyFont="1" applyFill="1" applyBorder="1" applyAlignment="1">
      <alignment horizontal="center"/>
    </xf>
    <xf numFmtId="168" fontId="11" fillId="3" borderId="1" xfId="15" applyNumberFormat="1" applyFont="1" applyFill="1" applyBorder="1" applyAlignment="1">
      <alignment horizontal="center"/>
    </xf>
    <xf numFmtId="0" fontId="14" fillId="3" borderId="0" xfId="14" applyFont="1" applyFill="1" applyBorder="1"/>
    <xf numFmtId="169" fontId="11" fillId="3" borderId="1" xfId="17" applyNumberFormat="1" applyFont="1" applyFill="1" applyBorder="1" applyAlignment="1">
      <alignment horizontal="center"/>
    </xf>
    <xf numFmtId="0" fontId="14" fillId="4" borderId="1" xfId="14" applyNumberFormat="1" applyFont="1" applyFill="1" applyBorder="1"/>
    <xf numFmtId="171" fontId="11" fillId="3" borderId="2" xfId="17" applyNumberFormat="1" applyFont="1" applyFill="1" applyBorder="1" applyAlignment="1">
      <alignment horizontal="center"/>
    </xf>
    <xf numFmtId="169" fontId="11" fillId="3" borderId="2" xfId="17" applyNumberFormat="1" applyFont="1" applyFill="1" applyBorder="1" applyAlignment="1">
      <alignment horizontal="center"/>
    </xf>
    <xf numFmtId="0" fontId="11" fillId="3" borderId="0" xfId="0" applyFont="1" applyFill="1" applyBorder="1"/>
    <xf numFmtId="0" fontId="11" fillId="4" borderId="1" xfId="15" applyFont="1" applyFill="1" applyBorder="1" applyAlignment="1">
      <alignment horizontal="right" vertical="center"/>
    </xf>
    <xf numFmtId="171" fontId="11" fillId="3" borderId="1" xfId="15" applyNumberFormat="1" applyFont="1" applyFill="1" applyBorder="1" applyAlignment="1">
      <alignment horizontal="center"/>
    </xf>
    <xf numFmtId="1" fontId="11" fillId="3" borderId="1" xfId="17" applyNumberFormat="1" applyFont="1" applyFill="1" applyBorder="1" applyAlignment="1">
      <alignment horizontal="center"/>
    </xf>
    <xf numFmtId="1" fontId="11" fillId="3" borderId="2" xfId="17" applyNumberFormat="1" applyFont="1" applyFill="1" applyBorder="1" applyAlignment="1">
      <alignment horizontal="center"/>
    </xf>
    <xf numFmtId="0" fontId="11" fillId="7" borderId="0" xfId="15" applyFont="1" applyFill="1"/>
    <xf numFmtId="0" fontId="11" fillId="7" borderId="0" xfId="16" applyFont="1" applyFill="1"/>
    <xf numFmtId="170" fontId="14" fillId="9" borderId="2" xfId="14" applyNumberFormat="1" applyFont="1" applyFill="1" applyBorder="1" applyAlignment="1" applyProtection="1">
      <alignment horizontal="center"/>
    </xf>
    <xf numFmtId="170" fontId="14" fillId="9" borderId="2" xfId="14" quotePrefix="1" applyNumberFormat="1" applyFont="1" applyFill="1" applyBorder="1" applyAlignment="1" applyProtection="1">
      <alignment horizontal="center"/>
    </xf>
    <xf numFmtId="0" fontId="11" fillId="7" borderId="0" xfId="0" applyFont="1" applyFill="1"/>
    <xf numFmtId="0" fontId="11" fillId="7" borderId="0" xfId="0" applyNumberFormat="1" applyFont="1" applyFill="1"/>
    <xf numFmtId="0" fontId="11" fillId="7" borderId="0" xfId="0" applyFont="1" applyFill="1" applyBorder="1"/>
    <xf numFmtId="0" fontId="11" fillId="7" borderId="0" xfId="0" applyFont="1" applyFill="1" applyBorder="1" applyAlignment="1"/>
    <xf numFmtId="171" fontId="11" fillId="7" borderId="0" xfId="0" applyNumberFormat="1" applyFont="1" applyFill="1" applyBorder="1" applyAlignment="1"/>
    <xf numFmtId="172" fontId="11" fillId="7" borderId="0" xfId="0" applyNumberFormat="1" applyFont="1" applyFill="1" applyBorder="1" applyAlignment="1"/>
    <xf numFmtId="173" fontId="11" fillId="7" borderId="0" xfId="0" applyNumberFormat="1" applyFont="1" applyFill="1" applyBorder="1"/>
    <xf numFmtId="172" fontId="11" fillId="7" borderId="0" xfId="17" applyNumberFormat="1" applyFont="1" applyFill="1" applyBorder="1"/>
    <xf numFmtId="2" fontId="11" fillId="7" borderId="5" xfId="0" applyNumberFormat="1" applyFont="1" applyFill="1" applyBorder="1" applyAlignment="1">
      <alignment horizontal="center" vertical="center"/>
    </xf>
    <xf numFmtId="2" fontId="11" fillId="7" borderId="4" xfId="0" applyNumberFormat="1" applyFont="1" applyFill="1" applyBorder="1" applyAlignment="1">
      <alignment horizontal="center" vertical="center"/>
    </xf>
    <xf numFmtId="172" fontId="11" fillId="7" borderId="3" xfId="0" applyNumberFormat="1" applyFont="1" applyFill="1" applyBorder="1" applyAlignment="1">
      <alignment vertical="center"/>
    </xf>
    <xf numFmtId="172" fontId="11" fillId="7" borderId="3" xfId="0" applyNumberFormat="1" applyFont="1" applyFill="1" applyBorder="1" applyAlignment="1"/>
    <xf numFmtId="2" fontId="11" fillId="7" borderId="0" xfId="0" applyNumberFormat="1" applyFont="1" applyFill="1" applyBorder="1" applyAlignment="1">
      <alignment horizontal="center" vertical="center"/>
    </xf>
    <xf numFmtId="2" fontId="11" fillId="7" borderId="0" xfId="0" applyNumberFormat="1" applyFont="1" applyFill="1" applyBorder="1"/>
    <xf numFmtId="0" fontId="11" fillId="7" borderId="0" xfId="0" applyFont="1" applyFill="1" applyBorder="1" applyAlignment="1">
      <alignment horizontal="center"/>
    </xf>
    <xf numFmtId="172" fontId="11" fillId="7" borderId="0" xfId="0" applyNumberFormat="1" applyFont="1" applyFill="1" applyBorder="1"/>
    <xf numFmtId="172" fontId="11" fillId="7" borderId="0" xfId="0" applyNumberFormat="1" applyFont="1" applyFill="1"/>
    <xf numFmtId="0" fontId="11" fillId="8" borderId="1" xfId="0" applyFont="1" applyFill="1" applyBorder="1" applyAlignment="1">
      <alignment horizontal="center" vertical="center" wrapText="1"/>
    </xf>
    <xf numFmtId="0" fontId="11" fillId="8" borderId="1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0" fontId="11" fillId="10" borderId="3" xfId="0" applyFont="1" applyFill="1" applyBorder="1" applyAlignment="1"/>
    <xf numFmtId="177" fontId="11" fillId="10" borderId="3" xfId="0" applyNumberFormat="1" applyFont="1" applyFill="1" applyBorder="1" applyAlignment="1"/>
    <xf numFmtId="173" fontId="11" fillId="10" borderId="3" xfId="0" applyNumberFormat="1" applyFont="1" applyFill="1" applyBorder="1"/>
    <xf numFmtId="0" fontId="11" fillId="10" borderId="10" xfId="0" applyFont="1" applyFill="1" applyBorder="1" applyAlignment="1"/>
    <xf numFmtId="177" fontId="11" fillId="10" borderId="10" xfId="0" applyNumberFormat="1" applyFont="1" applyFill="1" applyBorder="1" applyAlignment="1"/>
    <xf numFmtId="173" fontId="11" fillId="10" borderId="10" xfId="0" applyNumberFormat="1" applyFont="1" applyFill="1" applyBorder="1"/>
    <xf numFmtId="0" fontId="11" fillId="10" borderId="8" xfId="0" applyFont="1" applyFill="1" applyBorder="1" applyAlignment="1">
      <alignment horizontal="center" vertical="center"/>
    </xf>
    <xf numFmtId="173" fontId="11" fillId="10" borderId="8" xfId="0" applyNumberFormat="1" applyFont="1" applyFill="1" applyBorder="1"/>
    <xf numFmtId="172" fontId="11" fillId="10" borderId="3" xfId="0" applyNumberFormat="1" applyFont="1" applyFill="1" applyBorder="1"/>
    <xf numFmtId="0" fontId="11" fillId="10" borderId="3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172" fontId="11" fillId="10" borderId="10" xfId="0" applyNumberFormat="1" applyFont="1" applyFill="1" applyBorder="1"/>
    <xf numFmtId="171" fontId="11" fillId="10" borderId="1" xfId="0" applyNumberFormat="1" applyFont="1" applyFill="1" applyBorder="1" applyAlignment="1">
      <alignment horizontal="center" vertical="center"/>
    </xf>
    <xf numFmtId="172" fontId="11" fillId="10" borderId="8" xfId="0" applyNumberFormat="1" applyFont="1" applyFill="1" applyBorder="1"/>
    <xf numFmtId="172" fontId="11" fillId="10" borderId="3" xfId="0" applyNumberFormat="1" applyFont="1" applyFill="1" applyBorder="1" applyAlignment="1"/>
    <xf numFmtId="172" fontId="11" fillId="10" borderId="10" xfId="0" applyNumberFormat="1" applyFont="1" applyFill="1" applyBorder="1" applyAlignment="1"/>
    <xf numFmtId="0" fontId="11" fillId="7" borderId="0" xfId="0" applyNumberFormat="1" applyFont="1" applyFill="1" applyBorder="1" applyAlignment="1"/>
    <xf numFmtId="176" fontId="11" fillId="7" borderId="3" xfId="0" applyNumberFormat="1" applyFont="1" applyFill="1" applyBorder="1" applyAlignment="1"/>
    <xf numFmtId="0" fontId="11" fillId="3" borderId="4" xfId="0" applyFont="1" applyFill="1" applyBorder="1"/>
    <xf numFmtId="0" fontId="11" fillId="3" borderId="18" xfId="0" applyFont="1" applyFill="1" applyBorder="1"/>
    <xf numFmtId="0" fontId="11" fillId="3" borderId="7" xfId="0" applyFont="1" applyFill="1" applyBorder="1"/>
    <xf numFmtId="171" fontId="11" fillId="7" borderId="0" xfId="0" applyNumberFormat="1" applyFont="1" applyFill="1"/>
    <xf numFmtId="171" fontId="11" fillId="7" borderId="0" xfId="0" applyNumberFormat="1" applyFont="1" applyFill="1" applyBorder="1"/>
    <xf numFmtId="172" fontId="19" fillId="10" borderId="1" xfId="0" applyNumberFormat="1" applyFont="1" applyFill="1" applyBorder="1"/>
    <xf numFmtId="2" fontId="19" fillId="10" borderId="1" xfId="0" applyNumberFormat="1" applyFont="1" applyFill="1" applyBorder="1"/>
    <xf numFmtId="2" fontId="11" fillId="10" borderId="3" xfId="0" applyNumberFormat="1" applyFont="1" applyFill="1" applyBorder="1"/>
    <xf numFmtId="2" fontId="11" fillId="10" borderId="10" xfId="0" applyNumberFormat="1" applyFont="1" applyFill="1" applyBorder="1"/>
    <xf numFmtId="172" fontId="11" fillId="10" borderId="1" xfId="0" applyNumberFormat="1" applyFont="1" applyFill="1" applyBorder="1"/>
    <xf numFmtId="0" fontId="11" fillId="7" borderId="0" xfId="0" applyFont="1" applyFill="1" applyAlignment="1">
      <alignment horizontal="right"/>
    </xf>
    <xf numFmtId="0" fontId="13" fillId="8" borderId="20" xfId="16" applyFont="1" applyFill="1" applyBorder="1" applyAlignment="1">
      <alignment horizontal="centerContinuous" vertical="center"/>
    </xf>
    <xf numFmtId="0" fontId="13" fillId="8" borderId="21" xfId="16" applyFont="1" applyFill="1" applyBorder="1" applyAlignment="1">
      <alignment horizontal="centerContinuous" vertical="center"/>
    </xf>
    <xf numFmtId="0" fontId="13" fillId="8" borderId="17" xfId="16" applyFont="1" applyFill="1" applyBorder="1" applyAlignment="1">
      <alignment horizontal="centerContinuous" vertical="center"/>
    </xf>
    <xf numFmtId="0" fontId="11" fillId="3" borderId="5" xfId="15" applyFont="1" applyFill="1" applyBorder="1"/>
    <xf numFmtId="0" fontId="11" fillId="3" borderId="4" xfId="15" applyFont="1" applyFill="1" applyBorder="1"/>
    <xf numFmtId="0" fontId="11" fillId="5" borderId="5" xfId="15" applyFont="1" applyFill="1" applyBorder="1"/>
    <xf numFmtId="0" fontId="11" fillId="3" borderId="6" xfId="15" applyFont="1" applyFill="1" applyBorder="1"/>
    <xf numFmtId="0" fontId="15" fillId="3" borderId="18" xfId="15" applyFont="1" applyFill="1" applyBorder="1" applyAlignment="1">
      <alignment horizontal="right" vertical="center"/>
    </xf>
    <xf numFmtId="0" fontId="11" fillId="3" borderId="7" xfId="15" applyFont="1" applyFill="1" applyBorder="1"/>
    <xf numFmtId="0" fontId="14" fillId="3" borderId="5" xfId="14" applyFont="1" applyFill="1" applyBorder="1"/>
    <xf numFmtId="0" fontId="14" fillId="3" borderId="4" xfId="14" applyFont="1" applyFill="1" applyBorder="1"/>
    <xf numFmtId="15" fontId="14" fillId="3" borderId="4" xfId="14" applyNumberFormat="1" applyFont="1" applyFill="1" applyBorder="1"/>
    <xf numFmtId="0" fontId="14" fillId="3" borderId="6" xfId="14" applyFont="1" applyFill="1" applyBorder="1"/>
    <xf numFmtId="0" fontId="14" fillId="3" borderId="18" xfId="14" applyFont="1" applyFill="1" applyBorder="1"/>
    <xf numFmtId="0" fontId="11" fillId="3" borderId="5" xfId="0" applyFont="1" applyFill="1" applyBorder="1"/>
    <xf numFmtId="0" fontId="11" fillId="3" borderId="6" xfId="0" applyFont="1" applyFill="1" applyBorder="1"/>
    <xf numFmtId="0" fontId="13" fillId="8" borderId="11" xfId="16" applyFont="1" applyFill="1" applyBorder="1" applyAlignment="1">
      <alignment horizontal="centerContinuous" vertical="center"/>
    </xf>
    <xf numFmtId="0" fontId="13" fillId="8" borderId="19" xfId="16" applyFont="1" applyFill="1" applyBorder="1" applyAlignment="1">
      <alignment horizontal="centerContinuous" vertical="center"/>
    </xf>
    <xf numFmtId="0" fontId="13" fillId="8" borderId="16" xfId="16" applyFont="1" applyFill="1" applyBorder="1" applyAlignment="1">
      <alignment horizontal="centerContinuous" vertical="center"/>
    </xf>
    <xf numFmtId="171" fontId="11" fillId="11" borderId="1" xfId="15" applyNumberFormat="1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72" fontId="11" fillId="12" borderId="1" xfId="0" applyNumberFormat="1" applyFont="1" applyFill="1" applyBorder="1"/>
    <xf numFmtId="172" fontId="11" fillId="7" borderId="1" xfId="0" applyNumberFormat="1" applyFont="1" applyFill="1" applyBorder="1"/>
    <xf numFmtId="2" fontId="11" fillId="10" borderId="8" xfId="0" applyNumberFormat="1" applyFont="1" applyFill="1" applyBorder="1"/>
    <xf numFmtId="0" fontId="11" fillId="7" borderId="13" xfId="0" applyFont="1" applyFill="1" applyBorder="1"/>
    <xf numFmtId="0" fontId="11" fillId="7" borderId="14" xfId="0" applyFont="1" applyFill="1" applyBorder="1"/>
    <xf numFmtId="0" fontId="11" fillId="7" borderId="5" xfId="0" applyFont="1" applyFill="1" applyBorder="1"/>
    <xf numFmtId="0" fontId="11" fillId="7" borderId="6" xfId="0" applyFont="1" applyFill="1" applyBorder="1"/>
    <xf numFmtId="0" fontId="11" fillId="7" borderId="18" xfId="0" applyFont="1" applyFill="1" applyBorder="1"/>
    <xf numFmtId="0" fontId="11" fillId="10" borderId="2" xfId="0" applyFont="1" applyFill="1" applyBorder="1"/>
    <xf numFmtId="0" fontId="11" fillId="10" borderId="9" xfId="0" applyFont="1" applyFill="1" applyBorder="1"/>
    <xf numFmtId="0" fontId="11" fillId="10" borderId="4" xfId="0" applyFont="1" applyFill="1" applyBorder="1"/>
    <xf numFmtId="0" fontId="11" fillId="10" borderId="7" xfId="0" applyFont="1" applyFill="1" applyBorder="1"/>
    <xf numFmtId="0" fontId="11" fillId="7" borderId="4" xfId="0" applyFont="1" applyFill="1" applyBorder="1"/>
    <xf numFmtId="0" fontId="11" fillId="7" borderId="9" xfId="0" applyFont="1" applyFill="1" applyBorder="1"/>
    <xf numFmtId="0" fontId="11" fillId="7" borderId="7" xfId="0" applyFont="1" applyFill="1" applyBorder="1"/>
    <xf numFmtId="0" fontId="11" fillId="7" borderId="11" xfId="0" applyFont="1" applyFill="1" applyBorder="1"/>
    <xf numFmtId="0" fontId="11" fillId="7" borderId="12" xfId="0" applyFont="1" applyFill="1" applyBorder="1"/>
    <xf numFmtId="0" fontId="11" fillId="7" borderId="2" xfId="0" applyFont="1" applyFill="1" applyBorder="1" applyAlignment="1">
      <alignment horizontal="right"/>
    </xf>
    <xf numFmtId="172" fontId="11" fillId="11" borderId="1" xfId="0" applyNumberFormat="1" applyFont="1" applyFill="1" applyBorder="1"/>
    <xf numFmtId="0" fontId="11" fillId="10" borderId="2" xfId="0" applyFont="1" applyFill="1" applyBorder="1" applyAlignment="1">
      <alignment vertical="center"/>
    </xf>
    <xf numFmtId="0" fontId="17" fillId="6" borderId="11" xfId="0" applyFont="1" applyFill="1" applyBorder="1" applyAlignment="1">
      <alignment horizontal="centerContinuous" vertical="center" wrapText="1"/>
    </xf>
    <xf numFmtId="0" fontId="17" fillId="6" borderId="2" xfId="0" applyFont="1" applyFill="1" applyBorder="1" applyAlignment="1">
      <alignment horizontal="centerContinuous" vertical="center" wrapText="1"/>
    </xf>
    <xf numFmtId="0" fontId="11" fillId="7" borderId="0" xfId="0" applyFont="1" applyFill="1" applyBorder="1" applyAlignment="1">
      <alignment vertical="center"/>
    </xf>
    <xf numFmtId="0" fontId="18" fillId="7" borderId="0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172" fontId="11" fillId="11" borderId="3" xfId="17" applyNumberFormat="1" applyFont="1" applyFill="1" applyBorder="1"/>
    <xf numFmtId="172" fontId="11" fillId="11" borderId="10" xfId="0" applyNumberFormat="1" applyFont="1" applyFill="1" applyBorder="1"/>
    <xf numFmtId="0" fontId="11" fillId="13" borderId="11" xfId="0" applyFont="1" applyFill="1" applyBorder="1" applyAlignment="1">
      <alignment horizontal="centerContinuous" vertical="center"/>
    </xf>
    <xf numFmtId="0" fontId="11" fillId="13" borderId="12" xfId="0" applyFont="1" applyFill="1" applyBorder="1" applyAlignment="1">
      <alignment horizontal="centerContinuous" vertical="center"/>
    </xf>
    <xf numFmtId="0" fontId="11" fillId="13" borderId="2" xfId="0" applyFont="1" applyFill="1" applyBorder="1" applyAlignment="1">
      <alignment horizontal="centerContinuous" vertical="center"/>
    </xf>
    <xf numFmtId="0" fontId="11" fillId="8" borderId="11" xfId="0" applyFont="1" applyFill="1" applyBorder="1" applyAlignment="1">
      <alignment horizontal="centerContinuous" vertical="center" wrapText="1"/>
    </xf>
    <xf numFmtId="0" fontId="11" fillId="8" borderId="2" xfId="0" applyFont="1" applyFill="1" applyBorder="1" applyAlignment="1">
      <alignment horizontal="centerContinuous" vertical="center"/>
    </xf>
    <xf numFmtId="0" fontId="11" fillId="8" borderId="12" xfId="0" applyFont="1" applyFill="1" applyBorder="1" applyAlignment="1">
      <alignment horizontal="centerContinuous" vertical="center"/>
    </xf>
    <xf numFmtId="175" fontId="11" fillId="7" borderId="0" xfId="0" applyNumberFormat="1" applyFont="1" applyFill="1" applyBorder="1" applyAlignment="1"/>
    <xf numFmtId="173" fontId="11" fillId="7" borderId="0" xfId="0" applyNumberFormat="1" applyFont="1" applyFill="1" applyBorder="1" applyAlignment="1"/>
    <xf numFmtId="0" fontId="11" fillId="7" borderId="4" xfId="0" applyFont="1" applyFill="1" applyBorder="1" applyAlignment="1">
      <alignment vertical="center"/>
    </xf>
    <xf numFmtId="0" fontId="11" fillId="8" borderId="11" xfId="0" applyFont="1" applyFill="1" applyBorder="1" applyAlignment="1">
      <alignment horizontal="centerContinuous" vertical="center"/>
    </xf>
    <xf numFmtId="0" fontId="11" fillId="8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172" fontId="11" fillId="11" borderId="3" xfId="0" applyNumberFormat="1" applyFont="1" applyFill="1" applyBorder="1"/>
    <xf numFmtId="0" fontId="11" fillId="10" borderId="23" xfId="0" applyFont="1" applyFill="1" applyBorder="1" applyAlignment="1">
      <alignment horizontal="center" vertical="center"/>
    </xf>
    <xf numFmtId="173" fontId="11" fillId="10" borderId="23" xfId="0" applyNumberFormat="1" applyFont="1" applyFill="1" applyBorder="1"/>
    <xf numFmtId="172" fontId="11" fillId="11" borderId="23" xfId="0" applyNumberFormat="1" applyFont="1" applyFill="1" applyBorder="1"/>
    <xf numFmtId="171" fontId="11" fillId="7" borderId="0" xfId="0" applyNumberFormat="1" applyFont="1" applyFill="1" applyAlignment="1">
      <alignment horizontal="center" vertical="center"/>
    </xf>
    <xf numFmtId="0" fontId="11" fillId="8" borderId="11" xfId="0" applyFont="1" applyFill="1" applyBorder="1" applyAlignment="1">
      <alignment horizontal="center"/>
    </xf>
    <xf numFmtId="0" fontId="17" fillId="6" borderId="19" xfId="0" applyFont="1" applyFill="1" applyBorder="1" applyAlignment="1">
      <alignment horizontal="centerContinuous" vertical="center" wrapText="1"/>
    </xf>
    <xf numFmtId="0" fontId="17" fillId="6" borderId="22" xfId="0" applyFont="1" applyFill="1" applyBorder="1" applyAlignment="1">
      <alignment horizontal="centerContinuous" vertical="center" wrapText="1"/>
    </xf>
    <xf numFmtId="0" fontId="17" fillId="6" borderId="16" xfId="0" applyFont="1" applyFill="1" applyBorder="1" applyAlignment="1">
      <alignment horizontal="center" vertical="center" wrapText="1"/>
    </xf>
    <xf numFmtId="0" fontId="17" fillId="6" borderId="25" xfId="0" applyFont="1" applyFill="1" applyBorder="1" applyAlignment="1">
      <alignment horizontal="center" vertical="center" wrapText="1"/>
    </xf>
    <xf numFmtId="172" fontId="11" fillId="11" borderId="26" xfId="0" applyNumberFormat="1" applyFont="1" applyFill="1" applyBorder="1"/>
    <xf numFmtId="172" fontId="11" fillId="11" borderId="27" xfId="0" applyNumberFormat="1" applyFont="1" applyFill="1" applyBorder="1"/>
    <xf numFmtId="172" fontId="11" fillId="11" borderId="28" xfId="0" applyNumberFormat="1" applyFont="1" applyFill="1" applyBorder="1"/>
    <xf numFmtId="172" fontId="11" fillId="11" borderId="29" xfId="0" applyNumberFormat="1" applyFont="1" applyFill="1" applyBorder="1"/>
    <xf numFmtId="172" fontId="11" fillId="11" borderId="30" xfId="0" applyNumberFormat="1" applyFont="1" applyFill="1" applyBorder="1"/>
    <xf numFmtId="172" fontId="11" fillId="11" borderId="31" xfId="0" applyNumberFormat="1" applyFont="1" applyFill="1" applyBorder="1"/>
    <xf numFmtId="172" fontId="11" fillId="8" borderId="17" xfId="0" applyNumberFormat="1" applyFont="1" applyFill="1" applyBorder="1"/>
    <xf numFmtId="172" fontId="11" fillId="8" borderId="32" xfId="0" applyNumberFormat="1" applyFont="1" applyFill="1" applyBorder="1"/>
    <xf numFmtId="172" fontId="11" fillId="8" borderId="33" xfId="0" applyNumberFormat="1" applyFont="1" applyFill="1" applyBorder="1"/>
    <xf numFmtId="0" fontId="17" fillId="6" borderId="34" xfId="0" applyFont="1" applyFill="1" applyBorder="1" applyAlignment="1">
      <alignment horizontal="centerContinuous" vertical="center" wrapText="1"/>
    </xf>
    <xf numFmtId="0" fontId="17" fillId="6" borderId="35" xfId="0" applyFont="1" applyFill="1" applyBorder="1" applyAlignment="1">
      <alignment horizontal="centerContinuous" vertical="center" wrapText="1"/>
    </xf>
    <xf numFmtId="0" fontId="17" fillId="6" borderId="36" xfId="0" applyFont="1" applyFill="1" applyBorder="1" applyAlignment="1">
      <alignment horizontal="centerContinuous" vertical="center" wrapText="1"/>
    </xf>
    <xf numFmtId="172" fontId="11" fillId="11" borderId="10" xfId="17" applyNumberFormat="1" applyFont="1" applyFill="1" applyBorder="1"/>
    <xf numFmtId="172" fontId="11" fillId="10" borderId="15" xfId="0" applyNumberFormat="1" applyFont="1" applyFill="1" applyBorder="1"/>
    <xf numFmtId="172" fontId="11" fillId="10" borderId="37" xfId="0" applyNumberFormat="1" applyFont="1" applyFill="1" applyBorder="1"/>
    <xf numFmtId="172" fontId="11" fillId="10" borderId="38" xfId="0" applyNumberFormat="1" applyFont="1" applyFill="1" applyBorder="1"/>
    <xf numFmtId="172" fontId="11" fillId="10" borderId="27" xfId="0" applyNumberFormat="1" applyFont="1" applyFill="1" applyBorder="1"/>
    <xf numFmtId="172" fontId="11" fillId="10" borderId="26" xfId="0" applyNumberFormat="1" applyFont="1" applyFill="1" applyBorder="1"/>
    <xf numFmtId="172" fontId="11" fillId="10" borderId="39" xfId="0" applyNumberFormat="1" applyFont="1" applyFill="1" applyBorder="1"/>
    <xf numFmtId="172" fontId="11" fillId="10" borderId="40" xfId="0" applyNumberFormat="1" applyFont="1" applyFill="1" applyBorder="1"/>
    <xf numFmtId="172" fontId="11" fillId="10" borderId="41" xfId="0" applyNumberFormat="1" applyFont="1" applyFill="1" applyBorder="1"/>
    <xf numFmtId="172" fontId="11" fillId="10" borderId="42" xfId="0" applyNumberFormat="1" applyFont="1" applyFill="1" applyBorder="1"/>
    <xf numFmtId="172" fontId="11" fillId="10" borderId="43" xfId="0" applyNumberFormat="1" applyFont="1" applyFill="1" applyBorder="1"/>
    <xf numFmtId="172" fontId="11" fillId="10" borderId="44" xfId="0" applyNumberFormat="1" applyFont="1" applyFill="1" applyBorder="1"/>
    <xf numFmtId="0" fontId="11" fillId="10" borderId="42" xfId="0" applyFont="1" applyFill="1" applyBorder="1" applyAlignment="1">
      <alignment horizontal="center" vertical="center"/>
    </xf>
    <xf numFmtId="0" fontId="11" fillId="7" borderId="45" xfId="0" applyFont="1" applyFill="1" applyBorder="1"/>
    <xf numFmtId="173" fontId="11" fillId="10" borderId="46" xfId="0" applyNumberFormat="1" applyFont="1" applyFill="1" applyBorder="1"/>
    <xf numFmtId="0" fontId="11" fillId="7" borderId="45" xfId="0" applyNumberFormat="1" applyFont="1" applyFill="1" applyBorder="1" applyAlignment="1"/>
    <xf numFmtId="0" fontId="11" fillId="10" borderId="46" xfId="0" applyFont="1" applyFill="1" applyBorder="1" applyAlignment="1"/>
    <xf numFmtId="0" fontId="11" fillId="10" borderId="23" xfId="0" applyFont="1" applyFill="1" applyBorder="1" applyAlignment="1"/>
    <xf numFmtId="172" fontId="11" fillId="10" borderId="23" xfId="0" applyNumberFormat="1" applyFont="1" applyFill="1" applyBorder="1" applyAlignment="1"/>
    <xf numFmtId="177" fontId="11" fillId="10" borderId="23" xfId="0" applyNumberFormat="1" applyFont="1" applyFill="1" applyBorder="1" applyAlignment="1"/>
    <xf numFmtId="172" fontId="11" fillId="11" borderId="23" xfId="17" applyNumberFormat="1" applyFont="1" applyFill="1" applyBorder="1"/>
    <xf numFmtId="0" fontId="11" fillId="10" borderId="39" xfId="0" applyFont="1" applyFill="1" applyBorder="1" applyAlignment="1"/>
    <xf numFmtId="172" fontId="11" fillId="10" borderId="39" xfId="0" applyNumberFormat="1" applyFont="1" applyFill="1" applyBorder="1" applyAlignment="1"/>
    <xf numFmtId="173" fontId="11" fillId="10" borderId="39" xfId="0" applyNumberFormat="1" applyFont="1" applyFill="1" applyBorder="1"/>
    <xf numFmtId="172" fontId="11" fillId="7" borderId="39" xfId="17" applyNumberFormat="1" applyFont="1" applyFill="1" applyBorder="1"/>
    <xf numFmtId="15" fontId="11" fillId="10" borderId="8" xfId="0" applyNumberFormat="1" applyFont="1" applyFill="1" applyBorder="1" applyAlignment="1"/>
    <xf numFmtId="15" fontId="11" fillId="10" borderId="8" xfId="0" applyNumberFormat="1" applyFont="1" applyFill="1" applyBorder="1"/>
    <xf numFmtId="15" fontId="11" fillId="10" borderId="3" xfId="0" applyNumberFormat="1" applyFont="1" applyFill="1" applyBorder="1" applyAlignment="1"/>
    <xf numFmtId="15" fontId="11" fillId="10" borderId="3" xfId="0" applyNumberFormat="1" applyFont="1" applyFill="1" applyBorder="1"/>
    <xf numFmtId="15" fontId="11" fillId="10" borderId="23" xfId="0" applyNumberFormat="1" applyFont="1" applyFill="1" applyBorder="1" applyAlignment="1"/>
    <xf numFmtId="15" fontId="11" fillId="10" borderId="23" xfId="0" applyNumberFormat="1" applyFont="1" applyFill="1" applyBorder="1"/>
    <xf numFmtId="15" fontId="11" fillId="10" borderId="10" xfId="0" applyNumberFormat="1" applyFont="1" applyFill="1" applyBorder="1" applyAlignment="1"/>
    <xf numFmtId="15" fontId="11" fillId="10" borderId="10" xfId="0" applyNumberFormat="1" applyFont="1" applyFill="1" applyBorder="1"/>
    <xf numFmtId="15" fontId="11" fillId="10" borderId="1" xfId="0" applyNumberFormat="1" applyFont="1" applyFill="1" applyBorder="1" applyAlignment="1"/>
    <xf numFmtId="15" fontId="11" fillId="10" borderId="1" xfId="0" applyNumberFormat="1" applyFont="1" applyFill="1" applyBorder="1"/>
    <xf numFmtId="15" fontId="11" fillId="10" borderId="42" xfId="0" applyNumberFormat="1" applyFont="1" applyFill="1" applyBorder="1" applyAlignment="1"/>
    <xf numFmtId="15" fontId="11" fillId="10" borderId="39" xfId="0" applyNumberFormat="1" applyFont="1" applyFill="1" applyBorder="1" applyAlignment="1"/>
    <xf numFmtId="0" fontId="11" fillId="8" borderId="1" xfId="0" applyFont="1" applyFill="1" applyBorder="1" applyAlignment="1">
      <alignment horizontal="center"/>
    </xf>
    <xf numFmtId="173" fontId="11" fillId="7" borderId="1" xfId="0" applyNumberFormat="1" applyFont="1" applyFill="1" applyBorder="1"/>
    <xf numFmtId="0" fontId="11" fillId="10" borderId="39" xfId="0" applyFont="1" applyFill="1" applyBorder="1" applyAlignment="1">
      <alignment horizontal="right"/>
    </xf>
    <xf numFmtId="0" fontId="11" fillId="10" borderId="3" xfId="0" applyFont="1" applyFill="1" applyBorder="1" applyAlignment="1">
      <alignment horizontal="right"/>
    </xf>
    <xf numFmtId="0" fontId="11" fillId="10" borderId="42" xfId="0" applyFont="1" applyFill="1" applyBorder="1" applyAlignment="1">
      <alignment horizontal="right"/>
    </xf>
    <xf numFmtId="0" fontId="11" fillId="8" borderId="1" xfId="0" applyFont="1" applyFill="1" applyBorder="1" applyAlignment="1">
      <alignment horizontal="right" vertical="center" wrapText="1"/>
    </xf>
    <xf numFmtId="172" fontId="11" fillId="11" borderId="8" xfId="0" applyNumberFormat="1" applyFont="1" applyFill="1" applyBorder="1"/>
    <xf numFmtId="15" fontId="11" fillId="7" borderId="0" xfId="0" applyNumberFormat="1" applyFont="1" applyFill="1"/>
    <xf numFmtId="175" fontId="11" fillId="7" borderId="0" xfId="0" applyNumberFormat="1" applyFont="1" applyFill="1"/>
    <xf numFmtId="178" fontId="11" fillId="7" borderId="0" xfId="0" applyNumberFormat="1" applyFont="1" applyFill="1"/>
    <xf numFmtId="172" fontId="11" fillId="10" borderId="2" xfId="0" applyNumberFormat="1" applyFont="1" applyFill="1" applyBorder="1" applyAlignment="1">
      <alignment vertical="center"/>
    </xf>
    <xf numFmtId="172" fontId="11" fillId="10" borderId="2" xfId="0" applyNumberFormat="1" applyFont="1" applyFill="1" applyBorder="1"/>
    <xf numFmtId="172" fontId="11" fillId="10" borderId="9" xfId="0" applyNumberFormat="1" applyFont="1" applyFill="1" applyBorder="1"/>
    <xf numFmtId="172" fontId="11" fillId="10" borderId="4" xfId="0" applyNumberFormat="1" applyFont="1" applyFill="1" applyBorder="1"/>
    <xf numFmtId="172" fontId="11" fillId="10" borderId="7" xfId="0" applyNumberFormat="1" applyFont="1" applyFill="1" applyBorder="1"/>
    <xf numFmtId="172" fontId="11" fillId="11" borderId="3" xfId="0" applyNumberFormat="1" applyFont="1" applyFill="1" applyBorder="1" applyAlignment="1"/>
    <xf numFmtId="172" fontId="11" fillId="11" borderId="10" xfId="0" applyNumberFormat="1" applyFont="1" applyFill="1" applyBorder="1" applyAlignment="1"/>
    <xf numFmtId="0" fontId="11" fillId="8" borderId="8" xfId="0" applyFont="1" applyFill="1" applyBorder="1" applyAlignment="1">
      <alignment horizontal="center" vertical="center" wrapText="1"/>
    </xf>
    <xf numFmtId="172" fontId="11" fillId="11" borderId="47" xfId="0" applyNumberFormat="1" applyFont="1" applyFill="1" applyBorder="1"/>
    <xf numFmtId="172" fontId="11" fillId="11" borderId="48" xfId="0" applyNumberFormat="1" applyFont="1" applyFill="1" applyBorder="1"/>
    <xf numFmtId="172" fontId="11" fillId="11" borderId="49" xfId="0" applyNumberFormat="1" applyFont="1" applyFill="1" applyBorder="1"/>
    <xf numFmtId="172" fontId="11" fillId="11" borderId="50" xfId="0" applyNumberFormat="1" applyFont="1" applyFill="1" applyBorder="1"/>
    <xf numFmtId="172" fontId="11" fillId="8" borderId="51" xfId="0" applyNumberFormat="1" applyFont="1" applyFill="1" applyBorder="1"/>
    <xf numFmtId="179" fontId="11" fillId="10" borderId="1" xfId="0" applyNumberFormat="1" applyFont="1" applyFill="1" applyBorder="1"/>
    <xf numFmtId="179" fontId="11" fillId="10" borderId="8" xfId="0" applyNumberFormat="1" applyFont="1" applyFill="1" applyBorder="1"/>
    <xf numFmtId="179" fontId="11" fillId="10" borderId="3" xfId="0" applyNumberFormat="1" applyFont="1" applyFill="1" applyBorder="1"/>
    <xf numFmtId="179" fontId="11" fillId="10" borderId="10" xfId="0" applyNumberFormat="1" applyFont="1" applyFill="1" applyBorder="1"/>
    <xf numFmtId="0" fontId="17" fillId="6" borderId="52" xfId="0" applyFont="1" applyFill="1" applyBorder="1" applyAlignment="1">
      <alignment horizontal="centerContinuous" vertical="center" wrapText="1"/>
    </xf>
    <xf numFmtId="0" fontId="17" fillId="6" borderId="18" xfId="0" applyFont="1" applyFill="1" applyBorder="1" applyAlignment="1">
      <alignment horizontal="centerContinuous" vertical="center" wrapText="1"/>
    </xf>
    <xf numFmtId="0" fontId="17" fillId="6" borderId="53" xfId="0" applyFont="1" applyFill="1" applyBorder="1" applyAlignment="1">
      <alignment horizontal="centerContinuous" vertical="center" wrapText="1"/>
    </xf>
    <xf numFmtId="177" fontId="11" fillId="10" borderId="39" xfId="0" applyNumberFormat="1" applyFont="1" applyFill="1" applyBorder="1" applyAlignment="1"/>
    <xf numFmtId="176" fontId="11" fillId="7" borderId="0" xfId="0" applyNumberFormat="1" applyFont="1" applyFill="1" applyBorder="1" applyAlignment="1"/>
    <xf numFmtId="0" fontId="11" fillId="7" borderId="54" xfId="0" applyFont="1" applyFill="1" applyBorder="1"/>
    <xf numFmtId="0" fontId="11" fillId="7" borderId="55" xfId="0" applyFont="1" applyFill="1" applyBorder="1"/>
    <xf numFmtId="0" fontId="11" fillId="7" borderId="55" xfId="0" applyFont="1" applyFill="1" applyBorder="1" applyAlignment="1">
      <alignment horizontal="center" vertical="center"/>
    </xf>
    <xf numFmtId="0" fontId="11" fillId="7" borderId="56" xfId="0" applyFont="1" applyFill="1" applyBorder="1"/>
    <xf numFmtId="0" fontId="11" fillId="8" borderId="0" xfId="0" applyFont="1" applyFill="1"/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172" fontId="11" fillId="11" borderId="39" xfId="0" applyNumberFormat="1" applyFont="1" applyFill="1" applyBorder="1" applyAlignment="1"/>
    <xf numFmtId="173" fontId="11" fillId="7" borderId="57" xfId="0" applyNumberFormat="1" applyFont="1" applyFill="1" applyBorder="1"/>
    <xf numFmtId="173" fontId="11" fillId="7" borderId="58" xfId="0" applyNumberFormat="1" applyFont="1" applyFill="1" applyBorder="1"/>
    <xf numFmtId="172" fontId="11" fillId="7" borderId="57" xfId="0" applyNumberFormat="1" applyFont="1" applyFill="1" applyBorder="1"/>
    <xf numFmtId="172" fontId="11" fillId="7" borderId="58" xfId="0" applyNumberFormat="1" applyFont="1" applyFill="1" applyBorder="1"/>
    <xf numFmtId="172" fontId="11" fillId="12" borderId="58" xfId="0" applyNumberFormat="1" applyFont="1" applyFill="1" applyBorder="1"/>
    <xf numFmtId="172" fontId="11" fillId="12" borderId="59" xfId="0" applyNumberFormat="1" applyFont="1" applyFill="1" applyBorder="1"/>
    <xf numFmtId="172" fontId="11" fillId="12" borderId="60" xfId="0" applyNumberFormat="1" applyFont="1" applyFill="1" applyBorder="1"/>
    <xf numFmtId="172" fontId="11" fillId="12" borderId="32" xfId="0" applyNumberFormat="1" applyFont="1" applyFill="1" applyBorder="1"/>
    <xf numFmtId="173" fontId="11" fillId="7" borderId="6" xfId="0" applyNumberFormat="1" applyFont="1" applyFill="1" applyBorder="1"/>
    <xf numFmtId="173" fontId="11" fillId="7" borderId="18" xfId="0" applyNumberFormat="1" applyFont="1" applyFill="1" applyBorder="1"/>
    <xf numFmtId="173" fontId="11" fillId="7" borderId="7" xfId="0" applyNumberFormat="1" applyFont="1" applyFill="1" applyBorder="1"/>
    <xf numFmtId="172" fontId="11" fillId="12" borderId="57" xfId="0" applyNumberFormat="1" applyFont="1" applyFill="1" applyBorder="1"/>
    <xf numFmtId="0" fontId="11" fillId="7" borderId="61" xfId="0" applyFont="1" applyFill="1" applyBorder="1"/>
    <xf numFmtId="172" fontId="11" fillId="10" borderId="56" xfId="0" applyNumberFormat="1" applyFont="1" applyFill="1" applyBorder="1"/>
    <xf numFmtId="172" fontId="11" fillId="10" borderId="62" xfId="0" applyNumberFormat="1" applyFont="1" applyFill="1" applyBorder="1"/>
    <xf numFmtId="1" fontId="11" fillId="10" borderId="3" xfId="0" applyNumberFormat="1" applyFont="1" applyFill="1" applyBorder="1"/>
    <xf numFmtId="1" fontId="11" fillId="10" borderId="10" xfId="0" applyNumberFormat="1" applyFont="1" applyFill="1" applyBorder="1"/>
    <xf numFmtId="1" fontId="11" fillId="10" borderId="39" xfId="0" applyNumberFormat="1" applyFont="1" applyFill="1" applyBorder="1"/>
    <xf numFmtId="15" fontId="11" fillId="10" borderId="13" xfId="0" applyNumberFormat="1" applyFont="1" applyFill="1" applyBorder="1"/>
    <xf numFmtId="15" fontId="11" fillId="10" borderId="5" xfId="0" applyNumberFormat="1" applyFont="1" applyFill="1" applyBorder="1"/>
    <xf numFmtId="15" fontId="11" fillId="10" borderId="24" xfId="0" applyNumberFormat="1" applyFont="1" applyFill="1" applyBorder="1"/>
    <xf numFmtId="15" fontId="11" fillId="10" borderId="6" xfId="0" applyNumberFormat="1" applyFont="1" applyFill="1" applyBorder="1"/>
    <xf numFmtId="15" fontId="11" fillId="10" borderId="11" xfId="0" applyNumberFormat="1" applyFont="1" applyFill="1" applyBorder="1"/>
    <xf numFmtId="15" fontId="11" fillId="10" borderId="13" xfId="0" applyNumberFormat="1" applyFont="1" applyFill="1" applyBorder="1" applyAlignment="1"/>
    <xf numFmtId="15" fontId="11" fillId="10" borderId="5" xfId="0" applyNumberFormat="1" applyFont="1" applyFill="1" applyBorder="1" applyAlignment="1"/>
    <xf numFmtId="15" fontId="11" fillId="10" borderId="63" xfId="0" applyNumberFormat="1" applyFont="1" applyFill="1" applyBorder="1" applyAlignment="1"/>
    <xf numFmtId="172" fontId="11" fillId="11" borderId="64" xfId="0" applyNumberFormat="1" applyFont="1" applyFill="1" applyBorder="1"/>
    <xf numFmtId="172" fontId="11" fillId="11" borderId="65" xfId="0" applyNumberFormat="1" applyFont="1" applyFill="1" applyBorder="1"/>
    <xf numFmtId="0" fontId="17" fillId="6" borderId="66" xfId="0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Continuous" vertical="center"/>
    </xf>
    <xf numFmtId="0" fontId="11" fillId="7" borderId="13" xfId="0" applyFont="1" applyFill="1" applyBorder="1" applyAlignment="1">
      <alignment horizontal="centerContinuous" vertical="center"/>
    </xf>
    <xf numFmtId="0" fontId="11" fillId="7" borderId="14" xfId="0" applyFont="1" applyFill="1" applyBorder="1" applyAlignment="1">
      <alignment horizontal="centerContinuous" vertical="center"/>
    </xf>
    <xf numFmtId="0" fontId="11" fillId="7" borderId="5" xfId="0" applyFont="1" applyFill="1" applyBorder="1" applyAlignment="1">
      <alignment horizontal="centerContinuous" vertical="center"/>
    </xf>
    <xf numFmtId="0" fontId="11" fillId="7" borderId="0" xfId="0" applyFont="1" applyFill="1" applyBorder="1" applyAlignment="1">
      <alignment horizontal="centerContinuous" vertical="center"/>
    </xf>
    <xf numFmtId="0" fontId="11" fillId="7" borderId="6" xfId="0" applyFont="1" applyFill="1" applyBorder="1" applyAlignment="1">
      <alignment horizontal="centerContinuous" vertical="center"/>
    </xf>
    <xf numFmtId="0" fontId="11" fillId="7" borderId="18" xfId="0" applyFont="1" applyFill="1" applyBorder="1" applyAlignment="1">
      <alignment horizontal="centerContinuous" vertical="center"/>
    </xf>
    <xf numFmtId="15" fontId="11" fillId="10" borderId="46" xfId="0" applyNumberFormat="1" applyFont="1" applyFill="1" applyBorder="1" applyAlignment="1"/>
    <xf numFmtId="172" fontId="11" fillId="10" borderId="46" xfId="0" applyNumberFormat="1" applyFont="1" applyFill="1" applyBorder="1" applyAlignment="1"/>
    <xf numFmtId="177" fontId="11" fillId="10" borderId="46" xfId="0" applyNumberFormat="1" applyFont="1" applyFill="1" applyBorder="1" applyAlignment="1"/>
    <xf numFmtId="172" fontId="11" fillId="11" borderId="46" xfId="17" applyNumberFormat="1" applyFont="1" applyFill="1" applyBorder="1"/>
    <xf numFmtId="172" fontId="11" fillId="11" borderId="23" xfId="0" applyNumberFormat="1" applyFont="1" applyFill="1" applyBorder="1" applyAlignment="1"/>
    <xf numFmtId="172" fontId="11" fillId="11" borderId="46" xfId="0" applyNumberFormat="1" applyFont="1" applyFill="1" applyBorder="1" applyAlignment="1"/>
    <xf numFmtId="1" fontId="11" fillId="10" borderId="46" xfId="0" applyNumberFormat="1" applyFont="1" applyFill="1" applyBorder="1"/>
    <xf numFmtId="15" fontId="11" fillId="10" borderId="65" xfId="0" applyNumberFormat="1" applyFont="1" applyFill="1" applyBorder="1"/>
    <xf numFmtId="15" fontId="11" fillId="10" borderId="27" xfId="0" applyNumberFormat="1" applyFont="1" applyFill="1" applyBorder="1"/>
    <xf numFmtId="172" fontId="11" fillId="10" borderId="64" xfId="0" applyNumberFormat="1" applyFont="1" applyFill="1" applyBorder="1"/>
    <xf numFmtId="172" fontId="11" fillId="10" borderId="65" xfId="0" applyNumberFormat="1" applyFont="1" applyFill="1" applyBorder="1"/>
    <xf numFmtId="15" fontId="11" fillId="10" borderId="6" xfId="0" applyNumberFormat="1" applyFont="1" applyFill="1" applyBorder="1" applyAlignment="1"/>
    <xf numFmtId="172" fontId="11" fillId="10" borderId="30" xfId="0" applyNumberFormat="1" applyFont="1" applyFill="1" applyBorder="1"/>
    <xf numFmtId="172" fontId="11" fillId="10" borderId="31" xfId="0" applyNumberFormat="1" applyFont="1" applyFill="1" applyBorder="1"/>
    <xf numFmtId="0" fontId="11" fillId="10" borderId="10" xfId="0" applyFont="1" applyFill="1" applyBorder="1" applyAlignment="1">
      <alignment horizontal="right"/>
    </xf>
    <xf numFmtId="0" fontId="11" fillId="10" borderId="8" xfId="0" applyFont="1" applyFill="1" applyBorder="1" applyAlignment="1">
      <alignment horizontal="right"/>
    </xf>
    <xf numFmtId="172" fontId="11" fillId="8" borderId="67" xfId="0" applyNumberFormat="1" applyFont="1" applyFill="1" applyBorder="1"/>
    <xf numFmtId="0" fontId="11" fillId="10" borderId="10" xfId="0" applyFont="1" applyFill="1" applyBorder="1"/>
    <xf numFmtId="15" fontId="11" fillId="10" borderId="68" xfId="0" applyNumberFormat="1" applyFont="1" applyFill="1" applyBorder="1"/>
    <xf numFmtId="172" fontId="11" fillId="11" borderId="69" xfId="0" applyNumberFormat="1" applyFont="1" applyFill="1" applyBorder="1"/>
    <xf numFmtId="15" fontId="11" fillId="10" borderId="29" xfId="0" applyNumberFormat="1" applyFont="1" applyFill="1" applyBorder="1"/>
    <xf numFmtId="172" fontId="11" fillId="11" borderId="70" xfId="0" applyNumberFormat="1" applyFont="1" applyFill="1" applyBorder="1"/>
    <xf numFmtId="172" fontId="11" fillId="11" borderId="71" xfId="0" applyNumberFormat="1" applyFont="1" applyFill="1" applyBorder="1"/>
    <xf numFmtId="0" fontId="11" fillId="7" borderId="72" xfId="0" applyFont="1" applyFill="1" applyBorder="1"/>
    <xf numFmtId="172" fontId="11" fillId="11" borderId="73" xfId="0" applyNumberFormat="1" applyFont="1" applyFill="1" applyBorder="1"/>
    <xf numFmtId="15" fontId="11" fillId="10" borderId="27" xfId="0" applyNumberFormat="1" applyFont="1" applyFill="1" applyBorder="1" applyAlignment="1"/>
    <xf numFmtId="15" fontId="11" fillId="10" borderId="24" xfId="0" applyNumberFormat="1" applyFont="1" applyFill="1" applyBorder="1" applyAlignment="1"/>
    <xf numFmtId="172" fontId="11" fillId="8" borderId="49" xfId="0" applyNumberFormat="1" applyFont="1" applyFill="1" applyBorder="1"/>
    <xf numFmtId="172" fontId="11" fillId="5" borderId="15" xfId="0" applyNumberFormat="1" applyFont="1" applyFill="1" applyBorder="1"/>
    <xf numFmtId="172" fontId="11" fillId="5" borderId="3" xfId="0" applyNumberFormat="1" applyFont="1" applyFill="1" applyBorder="1"/>
    <xf numFmtId="172" fontId="11" fillId="5" borderId="10" xfId="0" applyNumberFormat="1" applyFont="1" applyFill="1" applyBorder="1"/>
    <xf numFmtId="0" fontId="11" fillId="7" borderId="18" xfId="0" applyNumberFormat="1" applyFont="1" applyFill="1" applyBorder="1" applyAlignment="1"/>
    <xf numFmtId="15" fontId="11" fillId="10" borderId="42" xfId="0" applyNumberFormat="1" applyFont="1" applyFill="1" applyBorder="1"/>
    <xf numFmtId="172" fontId="11" fillId="5" borderId="26" xfId="0" applyNumberFormat="1" applyFont="1" applyFill="1" applyBorder="1"/>
    <xf numFmtId="172" fontId="11" fillId="5" borderId="27" xfId="0" applyNumberFormat="1" applyFont="1" applyFill="1" applyBorder="1"/>
    <xf numFmtId="172" fontId="11" fillId="5" borderId="30" xfId="0" applyNumberFormat="1" applyFont="1" applyFill="1" applyBorder="1"/>
    <xf numFmtId="172" fontId="11" fillId="5" borderId="31" xfId="0" applyNumberFormat="1" applyFont="1" applyFill="1" applyBorder="1"/>
    <xf numFmtId="15" fontId="11" fillId="10" borderId="31" xfId="0" applyNumberFormat="1" applyFont="1" applyFill="1" applyBorder="1"/>
    <xf numFmtId="15" fontId="14" fillId="3" borderId="7" xfId="14" applyNumberFormat="1" applyFont="1" applyFill="1" applyBorder="1"/>
    <xf numFmtId="174" fontId="16" fillId="3" borderId="18" xfId="15" applyNumberFormat="1" applyFont="1" applyFill="1" applyBorder="1" applyAlignment="1">
      <alignment horizontal="right" vertical="center"/>
    </xf>
    <xf numFmtId="0" fontId="11" fillId="7" borderId="3" xfId="0" applyFont="1" applyFill="1" applyBorder="1" applyAlignment="1">
      <alignment horizontal="center" vertical="center"/>
    </xf>
  </cellXfs>
  <cellStyles count="42">
    <cellStyle name="Euro" xfId="1"/>
    <cellStyle name="Euro 2" xfId="28"/>
    <cellStyle name="Migliaia (0)_AZIONI" xfId="2"/>
    <cellStyle name="Migliaia_AZIONI" xfId="3"/>
    <cellStyle name="Normal" xfId="0" builtinId="0"/>
    <cellStyle name="Normal 2" xfId="8"/>
    <cellStyle name="Normal 2 2" xfId="14"/>
    <cellStyle name="Normal 2 2 2" xfId="30"/>
    <cellStyle name="Normal 3" xfId="9"/>
    <cellStyle name="Normal 3 2" xfId="18"/>
    <cellStyle name="Normal 3 2 2" xfId="34"/>
    <cellStyle name="Normal 3 2 2 2" xfId="37"/>
    <cellStyle name="Normal 3 2 3" xfId="35"/>
    <cellStyle name="Normal 3 2 4" xfId="25"/>
    <cellStyle name="Normal 3 3" xfId="31"/>
    <cellStyle name="Normal 3 4" xfId="36"/>
    <cellStyle name="Normal 3 5" xfId="22"/>
    <cellStyle name="Normal 4" xfId="12"/>
    <cellStyle name="Normal 5" xfId="21"/>
    <cellStyle name="Normal 6" xfId="27"/>
    <cellStyle name="Normal 6 2" xfId="39"/>
    <cellStyle name="Normal 7" xfId="20"/>
    <cellStyle name="Normal 8" xfId="41"/>
    <cellStyle name="Normal_InterestRateQuotesFeed" xfId="15"/>
    <cellStyle name="Normal_SwaptionATMVols" xfId="16"/>
    <cellStyle name="Normale_AZIONI" xfId="4"/>
    <cellStyle name="Percent 2" xfId="11"/>
    <cellStyle name="Percent 2 2" xfId="33"/>
    <cellStyle name="Percent 2 2 2" xfId="38"/>
    <cellStyle name="Percent 2 3" xfId="23"/>
    <cellStyle name="Percent 3" xfId="10"/>
    <cellStyle name="Percent 3 2" xfId="19"/>
    <cellStyle name="Percent 3 2 2" xfId="26"/>
    <cellStyle name="Percent 3 3" xfId="32"/>
    <cellStyle name="Percent 4" xfId="13"/>
    <cellStyle name="Percent 5" xfId="17"/>
    <cellStyle name="Percent 5 2" xfId="24"/>
    <cellStyle name="Percent 6" xfId="29"/>
    <cellStyle name="Percent 7" xfId="40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'6MSynthDepo_used'!$G$4</c:f>
              <c:numCache>
                <c:formatCode>d\-mmm\-yy</c:formatCode>
                <c:ptCount val="1"/>
                <c:pt idx="0">
                  <c:v>42279</c:v>
                </c:pt>
              </c:numCache>
            </c:numRef>
          </c:xVal>
          <c:yVal>
            <c:numRef>
              <c:f>'6MSynthDepo_used'!$K$4</c:f>
              <c:numCache>
                <c:formatCode>0.0000%</c:formatCode>
                <c:ptCount val="1"/>
                <c:pt idx="0">
                  <c:v>1.8481314027987707E-3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'6MSynthDepo_used'!$G$5:$G$16</c:f>
              <c:numCache>
                <c:formatCode>d\-mmm\-yy</c:formatCode>
                <c:ptCount val="12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42492</c:v>
                </c:pt>
                <c:pt idx="7">
                  <c:v>42523</c:v>
                </c:pt>
                <c:pt idx="8">
                  <c:v>42555</c:v>
                </c:pt>
                <c:pt idx="9">
                  <c:v>42584</c:v>
                </c:pt>
                <c:pt idx="10">
                  <c:v>42615</c:v>
                </c:pt>
                <c:pt idx="11">
                  <c:v>42646</c:v>
                </c:pt>
              </c:numCache>
            </c:numRef>
          </c:xVal>
          <c:yVal>
            <c:numRef>
              <c:f>'6MSynthDepo_used'!$K$5:$K$22</c:f>
              <c:numCache>
                <c:formatCode>0.0000%</c:formatCode>
                <c:ptCount val="18"/>
                <c:pt idx="0">
                  <c:v>1.8693594075615929E-3</c:v>
                </c:pt>
                <c:pt idx="1">
                  <c:v>1.9116667402538344E-3</c:v>
                </c:pt>
                <c:pt idx="2">
                  <c:v>1.976792389679767E-3</c:v>
                </c:pt>
                <c:pt idx="3">
                  <c:v>2.0196504771476677E-3</c:v>
                </c:pt>
                <c:pt idx="4">
                  <c:v>2.0559392549738729E-3</c:v>
                </c:pt>
                <c:pt idx="5">
                  <c:v>2.1011608091102535E-3</c:v>
                </c:pt>
                <c:pt idx="6">
                  <c:v>2.1431509043799354E-3</c:v>
                </c:pt>
                <c:pt idx="7">
                  <c:v>2.1639511548627432E-3</c:v>
                </c:pt>
                <c:pt idx="8">
                  <c:v>2.1957949029748043E-3</c:v>
                </c:pt>
                <c:pt idx="9">
                  <c:v>2.2282223355975178E-3</c:v>
                </c:pt>
                <c:pt idx="10">
                  <c:v>2.2505141499971322E-3</c:v>
                </c:pt>
                <c:pt idx="11">
                  <c:v>2.276243496527755E-3</c:v>
                </c:pt>
                <c:pt idx="12">
                  <c:v>2.3224748666880245E-3</c:v>
                </c:pt>
                <c:pt idx="13">
                  <c:v>2.3491242998012717E-3</c:v>
                </c:pt>
                <c:pt idx="14">
                  <c:v>2.3998965864000105E-3</c:v>
                </c:pt>
                <c:pt idx="15">
                  <c:v>2.4401154835549722E-3</c:v>
                </c:pt>
                <c:pt idx="16">
                  <c:v>2.4695663576225686E-3</c:v>
                </c:pt>
                <c:pt idx="17">
                  <c:v>2.4986517745179231E-3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'6MSynthDepo_used'!$S$2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'6MSynthDepo_used'!$R$3:$R$262</c:f>
              <c:numCache>
                <c:formatCode>d\-mmm\-yy</c:formatCode>
                <c:ptCount val="26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</c:numCache>
            </c:numRef>
          </c:xVal>
          <c:yVal>
            <c:numRef>
              <c:f>'6MSynthDepo_used'!$S$3:$S$262</c:f>
              <c:numCache>
                <c:formatCode>0.0000%</c:formatCode>
                <c:ptCount val="260"/>
                <c:pt idx="0">
                  <c:v>1.8281244584021563E-3</c:v>
                </c:pt>
                <c:pt idx="1">
                  <c:v>1.8335506934607554E-3</c:v>
                </c:pt>
                <c:pt idx="2">
                  <c:v>1.8353497254261376E-3</c:v>
                </c:pt>
                <c:pt idx="3">
                  <c:v>1.8371439255300773E-3</c:v>
                </c:pt>
                <c:pt idx="4">
                  <c:v>1.8389333085719543E-3</c:v>
                </c:pt>
                <c:pt idx="5">
                  <c:v>1.840717889351148E-3</c:v>
                </c:pt>
                <c:pt idx="6">
                  <c:v>1.8460429661064275E-3</c:v>
                </c:pt>
                <c:pt idx="7">
                  <c:v>1.8478084858286861E-3</c:v>
                </c:pt>
                <c:pt idx="8">
                  <c:v>1.84956927728516E-3</c:v>
                </c:pt>
                <c:pt idx="9">
                  <c:v>1.8513253552752292E-3</c:v>
                </c:pt>
                <c:pt idx="10">
                  <c:v>1.8530767345982732E-3</c:v>
                </c:pt>
                <c:pt idx="11">
                  <c:v>1.858302828559053E-3</c:v>
                </c:pt>
                <c:pt idx="12">
                  <c:v>1.8600355612077939E-3</c:v>
                </c:pt>
                <c:pt idx="13">
                  <c:v>1.8617636691864088E-3</c:v>
                </c:pt>
                <c:pt idx="14">
                  <c:v>1.8634871672942768E-3</c:v>
                </c:pt>
                <c:pt idx="15">
                  <c:v>1.865206070330778E-3</c:v>
                </c:pt>
                <c:pt idx="16">
                  <c:v>1.8703353570058763E-3</c:v>
                </c:pt>
                <c:pt idx="17">
                  <c:v>1.8720360277507068E-3</c:v>
                </c:pt>
                <c:pt idx="18">
                  <c:v>1.8737321774210689E-3</c:v>
                </c:pt>
                <c:pt idx="19">
                  <c:v>1.8754238208163422E-3</c:v>
                </c:pt>
                <c:pt idx="20">
                  <c:v>1.8771109727359066E-3</c:v>
                </c:pt>
                <c:pt idx="21">
                  <c:v>1.8821456276341439E-3</c:v>
                </c:pt>
                <c:pt idx="22">
                  <c:v>1.8838149616446699E-3</c:v>
                </c:pt>
                <c:pt idx="23">
                  <c:v>1.8854798781763854E-3</c:v>
                </c:pt>
                <c:pt idx="24">
                  <c:v>1.8871403920286704E-3</c:v>
                </c:pt>
                <c:pt idx="25">
                  <c:v>1.8887965180009046E-3</c:v>
                </c:pt>
                <c:pt idx="26">
                  <c:v>1.8937387166310996E-3</c:v>
                </c:pt>
                <c:pt idx="27">
                  <c:v>1.8953774390769278E-3</c:v>
                </c:pt>
                <c:pt idx="28">
                  <c:v>1.8970118476396036E-3</c:v>
                </c:pt>
                <c:pt idx="29">
                  <c:v>1.8986419571185068E-3</c:v>
                </c:pt>
                <c:pt idx="30">
                  <c:v>1.9002677823130175E-3</c:v>
                </c:pt>
                <c:pt idx="31">
                  <c:v>1.9051197001839894E-3</c:v>
                </c:pt>
                <c:pt idx="32">
                  <c:v>1.906728536234726E-3</c:v>
                </c:pt>
                <c:pt idx="33">
                  <c:v>1.9083331619979685E-3</c:v>
                </c:pt>
                <c:pt idx="34">
                  <c:v>1.9099335922730962E-3</c:v>
                </c:pt>
                <c:pt idx="35">
                  <c:v>1.9115298418594896E-3</c:v>
                </c:pt>
                <c:pt idx="36">
                  <c:v>1.9162936544800582E-3</c:v>
                </c:pt>
                <c:pt idx="37">
                  <c:v>1.9178733293053096E-3</c:v>
                </c:pt>
                <c:pt idx="38">
                  <c:v>1.9194488974387249E-3</c:v>
                </c:pt>
                <c:pt idx="39">
                  <c:v>1.9210203736796843E-3</c:v>
                </c:pt>
                <c:pt idx="40">
                  <c:v>1.9225877728275666E-3</c:v>
                </c:pt>
                <c:pt idx="41">
                  <c:v>1.927265655706551E-3</c:v>
                </c:pt>
                <c:pt idx="42">
                  <c:v>1.928816894475924E-3</c:v>
                </c:pt>
                <c:pt idx="43">
                  <c:v>1.9303641301491191E-3</c:v>
                </c:pt>
                <c:pt idx="44">
                  <c:v>1.9319073775255155E-3</c:v>
                </c:pt>
                <c:pt idx="45">
                  <c:v>1.9334466514044934E-3</c:v>
                </c:pt>
                <c:pt idx="46">
                  <c:v>1.9380407800507133E-3</c:v>
                </c:pt>
                <c:pt idx="47">
                  <c:v>1.939564307933814E-3</c:v>
                </c:pt>
                <c:pt idx="48">
                  <c:v>1.9410839363163948E-3</c:v>
                </c:pt>
                <c:pt idx="49">
                  <c:v>1.9425996799978357E-3</c:v>
                </c:pt>
                <c:pt idx="50">
                  <c:v>1.9441115537775159E-3</c:v>
                </c:pt>
                <c:pt idx="51">
                  <c:v>1.9486241036997898E-3</c:v>
                </c:pt>
                <c:pt idx="52">
                  <c:v>1.9501206458662249E-3</c:v>
                </c:pt>
                <c:pt idx="53">
                  <c:v>1.9516133921277984E-3</c:v>
                </c:pt>
                <c:pt idx="54">
                  <c:v>1.9531023572838895E-3</c:v>
                </c:pt>
                <c:pt idx="55">
                  <c:v>1.9545875561338779E-3</c:v>
                </c:pt>
                <c:pt idx="56">
                  <c:v>1.9590207028410259E-3</c:v>
                </c:pt>
                <c:pt idx="57">
                  <c:v>1.9604909844604017E-3</c:v>
                </c:pt>
                <c:pt idx="58">
                  <c:v>1.9619575737705743E-3</c:v>
                </c:pt>
                <c:pt idx="59">
                  <c:v>1.963420485570922E-3</c:v>
                </c:pt>
                <c:pt idx="60">
                  <c:v>1.9692356536616671E-3</c:v>
                </c:pt>
                <c:pt idx="61">
                  <c:v>1.9706803999035905E-3</c:v>
                </c:pt>
                <c:pt idx="62">
                  <c:v>1.9721215574319681E-3</c:v>
                </c:pt>
                <c:pt idx="63">
                  <c:v>1.9735591410461792E-3</c:v>
                </c:pt>
                <c:pt idx="64">
                  <c:v>1.9792740323489582E-3</c:v>
                </c:pt>
                <c:pt idx="65">
                  <c:v>1.9806939683830347E-3</c:v>
                </c:pt>
                <c:pt idx="66">
                  <c:v>1.9821104192992243E-3</c:v>
                </c:pt>
                <c:pt idx="67">
                  <c:v>1.9835233998969051E-3</c:v>
                </c:pt>
                <c:pt idx="68">
                  <c:v>1.9849329249754582E-3</c:v>
                </c:pt>
                <c:pt idx="69">
                  <c:v>1.9891409150901438E-3</c:v>
                </c:pt>
                <c:pt idx="70">
                  <c:v>1.9905367660859805E-3</c:v>
                </c:pt>
                <c:pt idx="71">
                  <c:v>1.9919292355595878E-3</c:v>
                </c:pt>
                <c:pt idx="72">
                  <c:v>1.9933183383103459E-3</c:v>
                </c:pt>
                <c:pt idx="73">
                  <c:v>1.994704089137633E-3</c:v>
                </c:pt>
                <c:pt idx="74">
                  <c:v>1.9988413780724704E-3</c:v>
                </c:pt>
                <c:pt idx="75">
                  <c:v>2.0002138691996734E-3</c:v>
                </c:pt>
                <c:pt idx="76">
                  <c:v>2.0015830824003057E-3</c:v>
                </c:pt>
                <c:pt idx="77">
                  <c:v>2.0029490324737454E-3</c:v>
                </c:pt>
                <c:pt idx="78">
                  <c:v>2.0043117342193736E-3</c:v>
                </c:pt>
                <c:pt idx="79">
                  <c:v>2.0083804974831815E-3</c:v>
                </c:pt>
                <c:pt idx="80">
                  <c:v>2.0097303539113581E-3</c:v>
                </c:pt>
                <c:pt idx="81">
                  <c:v>2.0110770360086214E-3</c:v>
                </c:pt>
                <c:pt idx="82">
                  <c:v>2.0124205585743504E-3</c:v>
                </c:pt>
                <c:pt idx="83">
                  <c:v>2.0137609364079254E-3</c:v>
                </c:pt>
                <c:pt idx="84">
                  <c:v>2.0177633495095239E-3</c:v>
                </c:pt>
                <c:pt idx="85">
                  <c:v>2.0190912964082796E-3</c:v>
                </c:pt>
                <c:pt idx="86">
                  <c:v>2.0204161725717804E-3</c:v>
                </c:pt>
                <c:pt idx="87">
                  <c:v>2.0217379927994052E-3</c:v>
                </c:pt>
                <c:pt idx="88">
                  <c:v>2.0230567718905342E-3</c:v>
                </c:pt>
                <c:pt idx="89">
                  <c:v>2.0269950103387418E-3</c:v>
                </c:pt>
                <c:pt idx="90">
                  <c:v>2.0283017728776834E-3</c:v>
                </c:pt>
                <c:pt idx="91">
                  <c:v>2.0296055682770277E-3</c:v>
                </c:pt>
                <c:pt idx="92">
                  <c:v>2.0309064113361547E-3</c:v>
                </c:pt>
                <c:pt idx="93">
                  <c:v>2.0322043168544434E-3</c:v>
                </c:pt>
                <c:pt idx="94">
                  <c:v>2.0360805561580801E-3</c:v>
                </c:pt>
                <c:pt idx="95">
                  <c:v>2.0373668595068139E-3</c:v>
                </c:pt>
                <c:pt idx="96">
                  <c:v>2.0386502993116093E-3</c:v>
                </c:pt>
                <c:pt idx="97">
                  <c:v>2.0399308903718445E-3</c:v>
                </c:pt>
                <c:pt idx="98">
                  <c:v>2.0412086474868997E-3</c:v>
                </c:pt>
                <c:pt idx="99">
                  <c:v>2.0450250631547841E-3</c:v>
                </c:pt>
                <c:pt idx="100">
                  <c:v>2.0462916324829172E-3</c:v>
                </c:pt>
                <c:pt idx="101">
                  <c:v>2.047555441862769E-3</c:v>
                </c:pt>
                <c:pt idx="102">
                  <c:v>2.0488165060937196E-3</c:v>
                </c:pt>
                <c:pt idx="103">
                  <c:v>2.0500748399751479E-3</c:v>
                </c:pt>
                <c:pt idx="104">
                  <c:v>2.0538336075161001E-3</c:v>
                </c:pt>
                <c:pt idx="105">
                  <c:v>2.0550811679932381E-3</c:v>
                </c:pt>
                <c:pt idx="106">
                  <c:v>2.0563260721177534E-3</c:v>
                </c:pt>
                <c:pt idx="107">
                  <c:v>2.0575683346890248E-3</c:v>
                </c:pt>
                <c:pt idx="108">
                  <c:v>2.0588079705064328E-3</c:v>
                </c:pt>
                <c:pt idx="109">
                  <c:v>2.0625112654292718E-3</c:v>
                </c:pt>
                <c:pt idx="110">
                  <c:v>2.0637405422250219E-3</c:v>
                </c:pt>
                <c:pt idx="111">
                  <c:v>2.064967266263807E-3</c:v>
                </c:pt>
                <c:pt idx="112">
                  <c:v>2.0661914523450058E-3</c:v>
                </c:pt>
                <c:pt idx="113">
                  <c:v>2.0674131152680002E-3</c:v>
                </c:pt>
                <c:pt idx="114">
                  <c:v>2.0710631130815447E-3</c:v>
                </c:pt>
                <c:pt idx="115">
                  <c:v>2.0722748313655131E-3</c:v>
                </c:pt>
                <c:pt idx="116">
                  <c:v>2.0734841004881742E-3</c:v>
                </c:pt>
                <c:pt idx="117">
                  <c:v>2.074690935248908E-3</c:v>
                </c:pt>
                <c:pt idx="118">
                  <c:v>2.0758953504470944E-3</c:v>
                </c:pt>
                <c:pt idx="119">
                  <c:v>2.079494226660164E-3</c:v>
                </c:pt>
                <c:pt idx="120">
                  <c:v>2.0806891116019574E-3</c:v>
                </c:pt>
                <c:pt idx="121">
                  <c:v>2.0818816509781016E-3</c:v>
                </c:pt>
                <c:pt idx="122">
                  <c:v>2.083071859587976E-3</c:v>
                </c:pt>
                <c:pt idx="123">
                  <c:v>2.0889884591216005E-3</c:v>
                </c:pt>
                <c:pt idx="124">
                  <c:v>2.090164993920833E-3</c:v>
                </c:pt>
                <c:pt idx="125">
                  <c:v>2.0913393015494549E-3</c:v>
                </c:pt>
                <c:pt idx="126">
                  <c:v>2.0925113968068452E-3</c:v>
                </c:pt>
                <c:pt idx="127">
                  <c:v>2.0960145563454248E-3</c:v>
                </c:pt>
                <c:pt idx="128">
                  <c:v>2.0971779501116859E-3</c:v>
                </c:pt>
                <c:pt idx="129">
                  <c:v>2.0983392055036148E-3</c:v>
                </c:pt>
                <c:pt idx="130">
                  <c:v>2.0994983373205903E-3</c:v>
                </c:pt>
                <c:pt idx="131">
                  <c:v>2.1006553603619919E-3</c:v>
                </c:pt>
                <c:pt idx="132">
                  <c:v>2.1041139248265547E-3</c:v>
                </c:pt>
                <c:pt idx="133">
                  <c:v>2.1052626607594603E-3</c:v>
                </c:pt>
                <c:pt idx="134">
                  <c:v>2.1064093619136909E-3</c:v>
                </c:pt>
                <c:pt idx="135">
                  <c:v>2.1075540430886266E-3</c:v>
                </c:pt>
                <c:pt idx="136">
                  <c:v>2.1086967190836465E-3</c:v>
                </c:pt>
                <c:pt idx="137">
                  <c:v>2.1121128639830125E-3</c:v>
                </c:pt>
                <c:pt idx="138">
                  <c:v>2.113247667252168E-3</c:v>
                </c:pt>
                <c:pt idx="139">
                  <c:v>2.1143805393383074E-3</c:v>
                </c:pt>
                <c:pt idx="140">
                  <c:v>2.1155114950408092E-3</c:v>
                </c:pt>
                <c:pt idx="141">
                  <c:v>2.1166405491590541E-3</c:v>
                </c:pt>
                <c:pt idx="142">
                  <c:v>2.1200164500020423E-3</c:v>
                </c:pt>
                <c:pt idx="143">
                  <c:v>2.1211380457770552E-3</c:v>
                </c:pt>
                <c:pt idx="144">
                  <c:v>2.1222578139647092E-3</c:v>
                </c:pt>
                <c:pt idx="145">
                  <c:v>2.1233757693643845E-3</c:v>
                </c:pt>
                <c:pt idx="146">
                  <c:v>2.1244919267754602E-3</c:v>
                </c:pt>
                <c:pt idx="147">
                  <c:v>2.1278297590708894E-3</c:v>
                </c:pt>
                <c:pt idx="148">
                  <c:v>2.1289388725213658E-3</c:v>
                </c:pt>
                <c:pt idx="149">
                  <c:v>2.1300462619801412E-3</c:v>
                </c:pt>
                <c:pt idx="150">
                  <c:v>2.1311519422465958E-3</c:v>
                </c:pt>
                <c:pt idx="151">
                  <c:v>2.1322559281201094E-3</c:v>
                </c:pt>
                <c:pt idx="152">
                  <c:v>2.135557867376799E-3</c:v>
                </c:pt>
                <c:pt idx="153">
                  <c:v>2.1366552236723453E-3</c:v>
                </c:pt>
                <c:pt idx="154">
                  <c:v>2.1377509595718485E-3</c:v>
                </c:pt>
                <c:pt idx="155">
                  <c:v>2.1388450898746892E-3</c:v>
                </c:pt>
                <c:pt idx="156">
                  <c:v>2.1399376293802464E-3</c:v>
                </c:pt>
                <c:pt idx="157">
                  <c:v>2.1432058511070169E-3</c:v>
                </c:pt>
                <c:pt idx="158">
                  <c:v>2.1442921754172392E-3</c:v>
                </c:pt>
                <c:pt idx="159">
                  <c:v>2.145376982927077E-3</c:v>
                </c:pt>
                <c:pt idx="160">
                  <c:v>2.1464602884359099E-3</c:v>
                </c:pt>
                <c:pt idx="161">
                  <c:v>2.1475421067431175E-3</c:v>
                </c:pt>
                <c:pt idx="162">
                  <c:v>2.1507787864487875E-3</c:v>
                </c:pt>
                <c:pt idx="163">
                  <c:v>2.1518548039432925E-3</c:v>
                </c:pt>
                <c:pt idx="164">
                  <c:v>2.1529294082330707E-3</c:v>
                </c:pt>
                <c:pt idx="165">
                  <c:v>2.1540026141175029E-3</c:v>
                </c:pt>
                <c:pt idx="166">
                  <c:v>2.1550744363959674E-3</c:v>
                </c:pt>
                <c:pt idx="167">
                  <c:v>2.158281749589356E-3</c:v>
                </c:pt>
                <c:pt idx="168">
                  <c:v>2.15934818543775E-3</c:v>
                </c:pt>
                <c:pt idx="169">
                  <c:v>2.1604133116770756E-3</c:v>
                </c:pt>
                <c:pt idx="170">
                  <c:v>2.1614771431067124E-3</c:v>
                </c:pt>
                <c:pt idx="171">
                  <c:v>2.1625396945260411E-3</c:v>
                </c:pt>
                <c:pt idx="172">
                  <c:v>2.1657198167159687E-3</c:v>
                </c:pt>
                <c:pt idx="173">
                  <c:v>2.1667773960878578E-3</c:v>
                </c:pt>
                <c:pt idx="174">
                  <c:v>2.1678337694463375E-3</c:v>
                </c:pt>
                <c:pt idx="175">
                  <c:v>2.1688889515907857E-3</c:v>
                </c:pt>
                <c:pt idx="176">
                  <c:v>2.1699429573205833E-3</c:v>
                </c:pt>
                <c:pt idx="177">
                  <c:v>2.1730980640158686E-3</c:v>
                </c:pt>
                <c:pt idx="178">
                  <c:v>2.1741475120808603E-3</c:v>
                </c:pt>
                <c:pt idx="179">
                  <c:v>2.1751958577280995E-3</c:v>
                </c:pt>
                <c:pt idx="180">
                  <c:v>2.1762431157569665E-3</c:v>
                </c:pt>
                <c:pt idx="181">
                  <c:v>2.1772893009668398E-3</c:v>
                </c:pt>
                <c:pt idx="182">
                  <c:v>2.1804215676763023E-3</c:v>
                </c:pt>
                <c:pt idx="183">
                  <c:v>2.1814636096040021E-3</c:v>
                </c:pt>
                <c:pt idx="184">
                  <c:v>2.1825046527096082E-3</c:v>
                </c:pt>
                <c:pt idx="185">
                  <c:v>2.1835447117924994E-3</c:v>
                </c:pt>
                <c:pt idx="186">
                  <c:v>2.1845838016520563E-3</c:v>
                </c:pt>
                <c:pt idx="187">
                  <c:v>2.1876954038845152E-3</c:v>
                </c:pt>
                <c:pt idx="188">
                  <c:v>2.18873076484453E-3</c:v>
                </c:pt>
                <c:pt idx="189">
                  <c:v>2.1897652305781089E-3</c:v>
                </c:pt>
                <c:pt idx="190">
                  <c:v>2.190798815884631E-3</c:v>
                </c:pt>
                <c:pt idx="191">
                  <c:v>2.1918315355634768E-3</c:v>
                </c:pt>
                <c:pt idx="192">
                  <c:v>2.1949246488277511E-3</c:v>
                </c:pt>
                <c:pt idx="193">
                  <c:v>2.1959540539896877E-3</c:v>
                </c:pt>
                <c:pt idx="194">
                  <c:v>2.196982667520846E-3</c:v>
                </c:pt>
                <c:pt idx="195">
                  <c:v>2.1980105042206056E-3</c:v>
                </c:pt>
                <c:pt idx="196">
                  <c:v>2.199037578888347E-3</c:v>
                </c:pt>
                <c:pt idx="197">
                  <c:v>2.2021143786932562E-3</c:v>
                </c:pt>
                <c:pt idx="198">
                  <c:v>2.2031385532267204E-3</c:v>
                </c:pt>
                <c:pt idx="199">
                  <c:v>2.2041620397250648E-3</c:v>
                </c:pt>
                <c:pt idx="200">
                  <c:v>2.2051848529876686E-3</c:v>
                </c:pt>
                <c:pt idx="201">
                  <c:v>2.2062070078139122E-3</c:v>
                </c:pt>
                <c:pt idx="202">
                  <c:v>2.2092696696682764E-3</c:v>
                </c:pt>
                <c:pt idx="203">
                  <c:v>2.2102893387428743E-3</c:v>
                </c:pt>
                <c:pt idx="204">
                  <c:v>2.211308423378011E-3</c:v>
                </c:pt>
                <c:pt idx="205">
                  <c:v>2.2123269383730652E-3</c:v>
                </c:pt>
                <c:pt idx="206">
                  <c:v>2.2133448985274169E-3</c:v>
                </c:pt>
                <c:pt idx="207">
                  <c:v>2.216395597940055E-3</c:v>
                </c:pt>
                <c:pt idx="208">
                  <c:v>2.2174114867253938E-3</c:v>
                </c:pt>
                <c:pt idx="209">
                  <c:v>2.218426894666929E-3</c:v>
                </c:pt>
                <c:pt idx="210">
                  <c:v>2.2194418365640398E-3</c:v>
                </c:pt>
                <c:pt idx="211">
                  <c:v>2.2204563272161071E-3</c:v>
                </c:pt>
                <c:pt idx="212">
                  <c:v>2.2234972396958379E-3</c:v>
                </c:pt>
                <c:pt idx="213">
                  <c:v>2.2245100733615242E-3</c:v>
                </c:pt>
                <c:pt idx="214">
                  <c:v>2.2255225297790645E-3</c:v>
                </c:pt>
                <c:pt idx="215">
                  <c:v>2.226534623747839E-3</c:v>
                </c:pt>
                <c:pt idx="216">
                  <c:v>2.2275463700672272E-3</c:v>
                </c:pt>
                <c:pt idx="217">
                  <c:v>2.2305796711228707E-3</c:v>
                </c:pt>
                <c:pt idx="218">
                  <c:v>2.2315901748385103E-3</c:v>
                </c:pt>
                <c:pt idx="219">
                  <c:v>2.2326004049016629E-3</c:v>
                </c:pt>
                <c:pt idx="220">
                  <c:v>2.2336103761117065E-3</c:v>
                </c:pt>
                <c:pt idx="221">
                  <c:v>2.2346201032680227E-3</c:v>
                </c:pt>
                <c:pt idx="222">
                  <c:v>2.2376479684083983E-3</c:v>
                </c:pt>
                <c:pt idx="223">
                  <c:v>2.2386568673435979E-3</c:v>
                </c:pt>
                <c:pt idx="224">
                  <c:v>2.2396655962219681E-3</c:v>
                </c:pt>
                <c:pt idx="225">
                  <c:v>2.2406741698428882E-3</c:v>
                </c:pt>
                <c:pt idx="226">
                  <c:v>2.2416826030057387E-3</c:v>
                </c:pt>
                <c:pt idx="227">
                  <c:v>2.2447072077396652E-3</c:v>
                </c:pt>
                <c:pt idx="228">
                  <c:v>2.2457152270640322E-3</c:v>
                </c:pt>
                <c:pt idx="229">
                  <c:v>2.2467231799272267E-3</c:v>
                </c:pt>
                <c:pt idx="230">
                  <c:v>2.2477310811286301E-3</c:v>
                </c:pt>
                <c:pt idx="231">
                  <c:v>2.248738945467621E-3</c:v>
                </c:pt>
                <c:pt idx="232">
                  <c:v>2.2517624653039174E-3</c:v>
                </c:pt>
                <c:pt idx="233">
                  <c:v>2.2527703301870572E-3</c:v>
                </c:pt>
                <c:pt idx="234">
                  <c:v>2.2537782322046831E-3</c:v>
                </c:pt>
                <c:pt idx="235">
                  <c:v>2.2547861861561755E-3</c:v>
                </c:pt>
                <c:pt idx="236">
                  <c:v>2.2557942068409135E-3</c:v>
                </c:pt>
                <c:pt idx="237">
                  <c:v>2.2588188172884003E-3</c:v>
                </c:pt>
                <c:pt idx="238">
                  <c:v>2.2598272528999187E-3</c:v>
                </c:pt>
                <c:pt idx="239">
                  <c:v>2.2608358292415822E-3</c:v>
                </c:pt>
                <c:pt idx="240">
                  <c:v>2.2618445611127702E-3</c:v>
                </c:pt>
                <c:pt idx="241">
                  <c:v>2.262853463312862E-3</c:v>
                </c:pt>
                <c:pt idx="242">
                  <c:v>2.2658813398803578E-3</c:v>
                </c:pt>
                <c:pt idx="243">
                  <c:v>2.2668910713898628E-3</c:v>
                </c:pt>
                <c:pt idx="244">
                  <c:v>2.2679010472251705E-3</c:v>
                </c:pt>
                <c:pt idx="245">
                  <c:v>2.26891128218566E-3</c:v>
                </c:pt>
                <c:pt idx="246">
                  <c:v>2.2699217910707118E-3</c:v>
                </c:pt>
                <c:pt idx="247">
                  <c:v>2.2729551092670365E-3</c:v>
                </c:pt>
                <c:pt idx="248">
                  <c:v>2.2739668618441335E-3</c:v>
                </c:pt>
                <c:pt idx="249">
                  <c:v>2.2749789623426912E-3</c:v>
                </c:pt>
                <c:pt idx="250">
                  <c:v>2.2759914255620897E-3</c:v>
                </c:pt>
                <c:pt idx="251">
                  <c:v>2.2770042663017077E-3</c:v>
                </c:pt>
                <c:pt idx="252">
                  <c:v>2.28004520163568E-3</c:v>
                </c:pt>
                <c:pt idx="253">
                  <c:v>2.281059700449976E-3</c:v>
                </c:pt>
                <c:pt idx="254">
                  <c:v>2.2820746507813908E-3</c:v>
                </c:pt>
                <c:pt idx="255">
                  <c:v>2.2830900674293037E-3</c:v>
                </c:pt>
                <c:pt idx="256">
                  <c:v>2.284105965193095E-3</c:v>
                </c:pt>
                <c:pt idx="257">
                  <c:v>2.2871566931735349E-3</c:v>
                </c:pt>
                <c:pt idx="258">
                  <c:v>2.2881746633946361E-3</c:v>
                </c:pt>
                <c:pt idx="259">
                  <c:v>2.2891931887285143E-3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555392"/>
        <c:axId val="140059776"/>
      </c:scatterChart>
      <c:valAx>
        <c:axId val="6125553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0059776"/>
        <c:crosses val="autoZero"/>
        <c:crossBetween val="midCat"/>
      </c:valAx>
      <c:valAx>
        <c:axId val="140059776"/>
        <c:scaling>
          <c:orientation val="minMax"/>
          <c:max val="2.5000000000000005E-3"/>
          <c:min val="1.500000000000000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255539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tx>
            <c:v>Cont Basis 0M-6M</c:v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'6MSynthDepo_used'!$R$3:$R$133</c:f>
              <c:numCache>
                <c:formatCode>d\-mmm\-yy</c:formatCode>
                <c:ptCount val="131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</c:numCache>
            </c:numRef>
          </c:xVal>
          <c:yVal>
            <c:numRef>
              <c:f>'6MSynthDepo_used'!$U$3:$U$133</c:f>
              <c:numCache>
                <c:formatCode>0.0000%</c:formatCode>
                <c:ptCount val="131"/>
                <c:pt idx="0">
                  <c:v>1.6434659406548819E-3</c:v>
                </c:pt>
                <c:pt idx="1">
                  <c:v>1.6503922187722964E-3</c:v>
                </c:pt>
                <c:pt idx="2">
                  <c:v>1.6526884891791844E-3</c:v>
                </c:pt>
                <c:pt idx="3">
                  <c:v>1.654978539768913E-3</c:v>
                </c:pt>
                <c:pt idx="4">
                  <c:v>1.6572623853408628E-3</c:v>
                </c:pt>
                <c:pt idx="5">
                  <c:v>1.659540040694413E-3</c:v>
                </c:pt>
                <c:pt idx="6">
                  <c:v>1.6663360134384628E-3</c:v>
                </c:pt>
                <c:pt idx="7">
                  <c:v>1.668589055912212E-3</c:v>
                </c:pt>
                <c:pt idx="8">
                  <c:v>1.6708359821644603E-3</c:v>
                </c:pt>
                <c:pt idx="9">
                  <c:v>1.6730768069945872E-3</c:v>
                </c:pt>
                <c:pt idx="10">
                  <c:v>1.6753115452019726E-3</c:v>
                </c:pt>
                <c:pt idx="11">
                  <c:v>1.6819793880814777E-3</c:v>
                </c:pt>
                <c:pt idx="12">
                  <c:v>1.6841899277916946E-3</c:v>
                </c:pt>
                <c:pt idx="13">
                  <c:v>1.6863944548760686E-3</c:v>
                </c:pt>
                <c:pt idx="14">
                  <c:v>1.6885929841339794E-3</c:v>
                </c:pt>
                <c:pt idx="15">
                  <c:v>1.6907855303648067E-3</c:v>
                </c:pt>
                <c:pt idx="16">
                  <c:v>1.6973274188885859E-3</c:v>
                </c:pt>
                <c:pt idx="17">
                  <c:v>1.6994961810048769E-3</c:v>
                </c:pt>
                <c:pt idx="18">
                  <c:v>1.7016590340909832E-3</c:v>
                </c:pt>
                <c:pt idx="19">
                  <c:v>1.7038159929462845E-3</c:v>
                </c:pt>
                <c:pt idx="20">
                  <c:v>1.7059670723701601E-3</c:v>
                </c:pt>
                <c:pt idx="21">
                  <c:v>1.7123851820470327E-3</c:v>
                </c:pt>
                <c:pt idx="22">
                  <c:v>1.7145128917390043E-3</c:v>
                </c:pt>
                <c:pt idx="23">
                  <c:v>1.7166347959964494E-3</c:v>
                </c:pt>
                <c:pt idx="24">
                  <c:v>1.7187509096187471E-3</c:v>
                </c:pt>
                <c:pt idx="25">
                  <c:v>1.7208612474052779E-3</c:v>
                </c:pt>
                <c:pt idx="26">
                  <c:v>1.7271577537440635E-3</c:v>
                </c:pt>
                <c:pt idx="27">
                  <c:v>1.729245136181322E-3</c:v>
                </c:pt>
                <c:pt idx="28">
                  <c:v>1.7313268167797123E-3</c:v>
                </c:pt>
                <c:pt idx="29">
                  <c:v>1.7334028103386135E-3</c:v>
                </c:pt>
                <c:pt idx="30">
                  <c:v>1.7354731316574052E-3</c:v>
                </c:pt>
                <c:pt idx="31">
                  <c:v>1.7416502101669229E-3</c:v>
                </c:pt>
                <c:pt idx="32">
                  <c:v>1.743697990519075E-3</c:v>
                </c:pt>
                <c:pt idx="33">
                  <c:v>1.7457401726280169E-3</c:v>
                </c:pt>
                <c:pt idx="34">
                  <c:v>1.7477767712931276E-3</c:v>
                </c:pt>
                <c:pt idx="35">
                  <c:v>1.7498078013137874E-3</c:v>
                </c:pt>
                <c:pt idx="36">
                  <c:v>1.7558676275028565E-3</c:v>
                </c:pt>
                <c:pt idx="37">
                  <c:v>1.7578765309395087E-3</c:v>
                </c:pt>
                <c:pt idx="38">
                  <c:v>1.7598799397286083E-3</c:v>
                </c:pt>
                <c:pt idx="39">
                  <c:v>1.7618778686695354E-3</c:v>
                </c:pt>
                <c:pt idx="40">
                  <c:v>1.763870332561669E-3</c:v>
                </c:pt>
                <c:pt idx="41">
                  <c:v>1.7698150819391092E-3</c:v>
                </c:pt>
                <c:pt idx="42">
                  <c:v>1.7717858336298679E-3</c:v>
                </c:pt>
                <c:pt idx="43">
                  <c:v>1.7737511942687322E-3</c:v>
                </c:pt>
                <c:pt idx="44">
                  <c:v>1.7757111786550815E-3</c:v>
                </c:pt>
                <c:pt idx="45">
                  <c:v>1.7776658015882961E-3</c:v>
                </c:pt>
                <c:pt idx="46">
                  <c:v>1.7834976496629265E-3</c:v>
                </c:pt>
                <c:pt idx="47">
                  <c:v>1.7854309747773981E-3</c:v>
                </c:pt>
                <c:pt idx="48">
                  <c:v>1.7873590124356331E-3</c:v>
                </c:pt>
                <c:pt idx="49">
                  <c:v>1.7892817774370117E-3</c:v>
                </c:pt>
                <c:pt idx="50">
                  <c:v>1.7911992845809134E-3</c:v>
                </c:pt>
                <c:pt idx="51">
                  <c:v>1.7969204068615534E-3</c:v>
                </c:pt>
                <c:pt idx="52">
                  <c:v>1.798817030569344E-3</c:v>
                </c:pt>
                <c:pt idx="53">
                  <c:v>1.8007084704165567E-3</c:v>
                </c:pt>
                <c:pt idx="54">
                  <c:v>1.8025947412025707E-3</c:v>
                </c:pt>
                <c:pt idx="55">
                  <c:v>1.8044758577267655E-3</c:v>
                </c:pt>
                <c:pt idx="56">
                  <c:v>1.8100884297222346E-3</c:v>
                </c:pt>
                <c:pt idx="57">
                  <c:v>1.8119490771929512E-3</c:v>
                </c:pt>
                <c:pt idx="58">
                  <c:v>1.8138046443987475E-3</c:v>
                </c:pt>
                <c:pt idx="59">
                  <c:v>1.8156551461390035E-3</c:v>
                </c:pt>
                <c:pt idx="60">
                  <c:v>1.8230067944322158E-3</c:v>
                </c:pt>
                <c:pt idx="61">
                  <c:v>1.8248321908354646E-3</c:v>
                </c:pt>
                <c:pt idx="62">
                  <c:v>1.8266526105694516E-3</c:v>
                </c:pt>
                <c:pt idx="63">
                  <c:v>1.8284680684335555E-3</c:v>
                </c:pt>
                <c:pt idx="64">
                  <c:v>1.835680577178742E-3</c:v>
                </c:pt>
                <c:pt idx="65">
                  <c:v>1.8374714476841296E-3</c:v>
                </c:pt>
                <c:pt idx="66">
                  <c:v>1.8392574451159128E-3</c:v>
                </c:pt>
                <c:pt idx="67">
                  <c:v>1.8410385842734722E-3</c:v>
                </c:pt>
                <c:pt idx="68">
                  <c:v>1.8428148799561864E-3</c:v>
                </c:pt>
                <c:pt idx="69">
                  <c:v>1.8481148541490584E-3</c:v>
                </c:pt>
                <c:pt idx="70">
                  <c:v>1.8498719239261911E-3</c:v>
                </c:pt>
                <c:pt idx="71">
                  <c:v>1.8516242242253779E-3</c:v>
                </c:pt>
                <c:pt idx="72">
                  <c:v>1.8533717698459981E-3</c:v>
                </c:pt>
                <c:pt idx="73">
                  <c:v>1.8551145755874316E-3</c:v>
                </c:pt>
                <c:pt idx="74">
                  <c:v>1.86031470153041E-3</c:v>
                </c:pt>
                <c:pt idx="75">
                  <c:v>1.8620386957488944E-3</c:v>
                </c:pt>
                <c:pt idx="76">
                  <c:v>1.8637580240850906E-3</c:v>
                </c:pt>
                <c:pt idx="77">
                  <c:v>1.8654727013383784E-3</c:v>
                </c:pt>
                <c:pt idx="78">
                  <c:v>1.8671827423081379E-3</c:v>
                </c:pt>
                <c:pt idx="79">
                  <c:v>1.8722851955100422E-3</c:v>
                </c:pt>
                <c:pt idx="80">
                  <c:v>1.8739768393394845E-3</c:v>
                </c:pt>
                <c:pt idx="81">
                  <c:v>1.8756639208822967E-3</c:v>
                </c:pt>
                <c:pt idx="82">
                  <c:v>1.8773464549378591E-3</c:v>
                </c:pt>
                <c:pt idx="83">
                  <c:v>1.8790244563055508E-3</c:v>
                </c:pt>
                <c:pt idx="84">
                  <c:v>1.8840314122751999E-3</c:v>
                </c:pt>
                <c:pt idx="85">
                  <c:v>1.8856914308852065E-3</c:v>
                </c:pt>
                <c:pt idx="86">
                  <c:v>1.8873469908042414E-3</c:v>
                </c:pt>
                <c:pt idx="87">
                  <c:v>1.8889981068316841E-3</c:v>
                </c:pt>
                <c:pt idx="88">
                  <c:v>1.8906447937669145E-3</c:v>
                </c:pt>
                <c:pt idx="89">
                  <c:v>1.8955584280131281E-3</c:v>
                </c:pt>
                <c:pt idx="90">
                  <c:v>1.8971875465733055E-3</c:v>
                </c:pt>
                <c:pt idx="91">
                  <c:v>1.8988123100381696E-3</c:v>
                </c:pt>
                <c:pt idx="92">
                  <c:v>1.9004327332070995E-3</c:v>
                </c:pt>
                <c:pt idx="93">
                  <c:v>1.9020488308794747E-3</c:v>
                </c:pt>
                <c:pt idx="94">
                  <c:v>1.9068713189110721E-3</c:v>
                </c:pt>
                <c:pt idx="95">
                  <c:v>1.9084702625910275E-3</c:v>
                </c:pt>
                <c:pt idx="96">
                  <c:v>1.9100649547713268E-3</c:v>
                </c:pt>
                <c:pt idx="97">
                  <c:v>1.91165541025135E-3</c:v>
                </c:pt>
                <c:pt idx="98">
                  <c:v>1.913241643830477E-3</c:v>
                </c:pt>
                <c:pt idx="99">
                  <c:v>1.9179751611562777E-3</c:v>
                </c:pt>
                <c:pt idx="100">
                  <c:v>1.9195446551256165E-3</c:v>
                </c:pt>
                <c:pt idx="101">
                  <c:v>1.9211100011909579E-3</c:v>
                </c:pt>
                <c:pt idx="102">
                  <c:v>1.9226712141516807E-3</c:v>
                </c:pt>
                <c:pt idx="103">
                  <c:v>1.9242283088071663E-3</c:v>
                </c:pt>
                <c:pt idx="104">
                  <c:v>1.928875030935989E-3</c:v>
                </c:pt>
                <c:pt idx="105">
                  <c:v>1.930415800364318E-3</c:v>
                </c:pt>
                <c:pt idx="106">
                  <c:v>1.9319525254843076E-3</c:v>
                </c:pt>
                <c:pt idx="107">
                  <c:v>1.9334852210953378E-3</c:v>
                </c:pt>
                <c:pt idx="108">
                  <c:v>1.9350139019967871E-3</c:v>
                </c:pt>
                <c:pt idx="109">
                  <c:v>1.9395760044374519E-3</c:v>
                </c:pt>
                <c:pt idx="110">
                  <c:v>1.9410887744943776E-3</c:v>
                </c:pt>
                <c:pt idx="111">
                  <c:v>1.9425976038386225E-3</c:v>
                </c:pt>
                <c:pt idx="112">
                  <c:v>1.9441025072695647E-3</c:v>
                </c:pt>
                <c:pt idx="113">
                  <c:v>1.945603499586585E-3</c:v>
                </c:pt>
                <c:pt idx="114">
                  <c:v>1.950083157847911E-3</c:v>
                </c:pt>
                <c:pt idx="115">
                  <c:v>1.9515686537030404E-3</c:v>
                </c:pt>
                <c:pt idx="116">
                  <c:v>1.9530503124411459E-3</c:v>
                </c:pt>
                <c:pt idx="117">
                  <c:v>1.9545281488616076E-3</c:v>
                </c:pt>
                <c:pt idx="118">
                  <c:v>1.9560021777638059E-3</c:v>
                </c:pt>
                <c:pt idx="119">
                  <c:v>1.9604015673546121E-3</c:v>
                </c:pt>
                <c:pt idx="120">
                  <c:v>1.961860514177551E-3</c:v>
                </c:pt>
                <c:pt idx="121">
                  <c:v>1.963315727479124E-3</c:v>
                </c:pt>
                <c:pt idx="122">
                  <c:v>1.9647672220587122E-3</c:v>
                </c:pt>
                <c:pt idx="123">
                  <c:v>1.9719694321051547E-3</c:v>
                </c:pt>
                <c:pt idx="124">
                  <c:v>1.9733989251398023E-3</c:v>
                </c:pt>
                <c:pt idx="125">
                  <c:v>1.9748248030481224E-3</c:v>
                </c:pt>
                <c:pt idx="126">
                  <c:v>1.976247080629494E-3</c:v>
                </c:pt>
                <c:pt idx="127">
                  <c:v>1.9804924594057196E-3</c:v>
                </c:pt>
                <c:pt idx="128">
                  <c:v>1.9819004836730972E-3</c:v>
                </c:pt>
                <c:pt idx="129">
                  <c:v>1.9833049816104253E-3</c:v>
                </c:pt>
                <c:pt idx="130">
                  <c:v>1.9847059680170834E-3</c:v>
                </c:pt>
              </c:numCache>
            </c:numRef>
          </c:yVal>
          <c:smooth val="0"/>
        </c:ser>
        <c:ser>
          <c:idx val="0"/>
          <c:order val="1"/>
          <c:tx>
            <c:v>Cont Basis 6M-12M</c:v>
          </c:tx>
          <c:marker>
            <c:symbol val="none"/>
          </c:marker>
          <c:xVal>
            <c:numRef>
              <c:f>'6MSynthDepo_used'!$R$134:$R$262</c:f>
              <c:numCache>
                <c:formatCode>d\-mmm\-yy</c:formatCode>
                <c:ptCount val="129"/>
                <c:pt idx="0">
                  <c:v>42468</c:v>
                </c:pt>
                <c:pt idx="1">
                  <c:v>42471</c:v>
                </c:pt>
                <c:pt idx="2">
                  <c:v>42472</c:v>
                </c:pt>
                <c:pt idx="3">
                  <c:v>42473</c:v>
                </c:pt>
                <c:pt idx="4">
                  <c:v>42474</c:v>
                </c:pt>
                <c:pt idx="5">
                  <c:v>42475</c:v>
                </c:pt>
                <c:pt idx="6">
                  <c:v>42478</c:v>
                </c:pt>
                <c:pt idx="7">
                  <c:v>42479</c:v>
                </c:pt>
                <c:pt idx="8">
                  <c:v>42480</c:v>
                </c:pt>
                <c:pt idx="9">
                  <c:v>42481</c:v>
                </c:pt>
                <c:pt idx="10">
                  <c:v>42482</c:v>
                </c:pt>
                <c:pt idx="11">
                  <c:v>42485</c:v>
                </c:pt>
                <c:pt idx="12">
                  <c:v>42486</c:v>
                </c:pt>
                <c:pt idx="13">
                  <c:v>42487</c:v>
                </c:pt>
                <c:pt idx="14">
                  <c:v>42488</c:v>
                </c:pt>
                <c:pt idx="15">
                  <c:v>42489</c:v>
                </c:pt>
                <c:pt idx="16">
                  <c:v>42492</c:v>
                </c:pt>
                <c:pt idx="17">
                  <c:v>42493</c:v>
                </c:pt>
                <c:pt idx="18">
                  <c:v>42494</c:v>
                </c:pt>
                <c:pt idx="19">
                  <c:v>42495</c:v>
                </c:pt>
                <c:pt idx="20">
                  <c:v>42496</c:v>
                </c:pt>
                <c:pt idx="21">
                  <c:v>42499</c:v>
                </c:pt>
                <c:pt idx="22">
                  <c:v>42500</c:v>
                </c:pt>
                <c:pt idx="23">
                  <c:v>42501</c:v>
                </c:pt>
                <c:pt idx="24">
                  <c:v>42502</c:v>
                </c:pt>
                <c:pt idx="25">
                  <c:v>42503</c:v>
                </c:pt>
                <c:pt idx="26">
                  <c:v>42506</c:v>
                </c:pt>
                <c:pt idx="27">
                  <c:v>42507</c:v>
                </c:pt>
                <c:pt idx="28">
                  <c:v>42508</c:v>
                </c:pt>
                <c:pt idx="29">
                  <c:v>42509</c:v>
                </c:pt>
                <c:pt idx="30">
                  <c:v>42510</c:v>
                </c:pt>
                <c:pt idx="31">
                  <c:v>42513</c:v>
                </c:pt>
                <c:pt idx="32">
                  <c:v>42514</c:v>
                </c:pt>
                <c:pt idx="33">
                  <c:v>42515</c:v>
                </c:pt>
                <c:pt idx="34">
                  <c:v>42516</c:v>
                </c:pt>
                <c:pt idx="35">
                  <c:v>42517</c:v>
                </c:pt>
                <c:pt idx="36">
                  <c:v>42520</c:v>
                </c:pt>
                <c:pt idx="37">
                  <c:v>42521</c:v>
                </c:pt>
                <c:pt idx="38">
                  <c:v>42522</c:v>
                </c:pt>
                <c:pt idx="39">
                  <c:v>42523</c:v>
                </c:pt>
                <c:pt idx="40">
                  <c:v>42524</c:v>
                </c:pt>
                <c:pt idx="41">
                  <c:v>42527</c:v>
                </c:pt>
                <c:pt idx="42">
                  <c:v>42528</c:v>
                </c:pt>
                <c:pt idx="43">
                  <c:v>42529</c:v>
                </c:pt>
                <c:pt idx="44">
                  <c:v>42530</c:v>
                </c:pt>
                <c:pt idx="45">
                  <c:v>42531</c:v>
                </c:pt>
                <c:pt idx="46">
                  <c:v>42534</c:v>
                </c:pt>
                <c:pt idx="47">
                  <c:v>42535</c:v>
                </c:pt>
                <c:pt idx="48">
                  <c:v>42536</c:v>
                </c:pt>
                <c:pt idx="49">
                  <c:v>42537</c:v>
                </c:pt>
                <c:pt idx="50">
                  <c:v>42538</c:v>
                </c:pt>
                <c:pt idx="51">
                  <c:v>42541</c:v>
                </c:pt>
                <c:pt idx="52">
                  <c:v>42542</c:v>
                </c:pt>
                <c:pt idx="53">
                  <c:v>42543</c:v>
                </c:pt>
                <c:pt idx="54">
                  <c:v>42544</c:v>
                </c:pt>
                <c:pt idx="55">
                  <c:v>42545</c:v>
                </c:pt>
                <c:pt idx="56">
                  <c:v>42548</c:v>
                </c:pt>
                <c:pt idx="57">
                  <c:v>42549</c:v>
                </c:pt>
                <c:pt idx="58">
                  <c:v>42550</c:v>
                </c:pt>
                <c:pt idx="59">
                  <c:v>42551</c:v>
                </c:pt>
                <c:pt idx="60">
                  <c:v>42552</c:v>
                </c:pt>
                <c:pt idx="61">
                  <c:v>42555</c:v>
                </c:pt>
                <c:pt idx="62">
                  <c:v>42556</c:v>
                </c:pt>
                <c:pt idx="63">
                  <c:v>42557</c:v>
                </c:pt>
                <c:pt idx="64">
                  <c:v>42558</c:v>
                </c:pt>
                <c:pt idx="65">
                  <c:v>42559</c:v>
                </c:pt>
                <c:pt idx="66">
                  <c:v>42562</c:v>
                </c:pt>
                <c:pt idx="67">
                  <c:v>42563</c:v>
                </c:pt>
                <c:pt idx="68">
                  <c:v>42564</c:v>
                </c:pt>
                <c:pt idx="69">
                  <c:v>42565</c:v>
                </c:pt>
                <c:pt idx="70">
                  <c:v>42566</c:v>
                </c:pt>
                <c:pt idx="71">
                  <c:v>42569</c:v>
                </c:pt>
                <c:pt idx="72">
                  <c:v>42570</c:v>
                </c:pt>
                <c:pt idx="73">
                  <c:v>42571</c:v>
                </c:pt>
                <c:pt idx="74">
                  <c:v>42572</c:v>
                </c:pt>
                <c:pt idx="75">
                  <c:v>42573</c:v>
                </c:pt>
                <c:pt idx="76">
                  <c:v>42576</c:v>
                </c:pt>
                <c:pt idx="77">
                  <c:v>42577</c:v>
                </c:pt>
                <c:pt idx="78">
                  <c:v>42578</c:v>
                </c:pt>
                <c:pt idx="79">
                  <c:v>42579</c:v>
                </c:pt>
                <c:pt idx="80">
                  <c:v>42580</c:v>
                </c:pt>
                <c:pt idx="81">
                  <c:v>42583</c:v>
                </c:pt>
                <c:pt idx="82">
                  <c:v>42584</c:v>
                </c:pt>
                <c:pt idx="83">
                  <c:v>42585</c:v>
                </c:pt>
                <c:pt idx="84">
                  <c:v>42586</c:v>
                </c:pt>
                <c:pt idx="85">
                  <c:v>42587</c:v>
                </c:pt>
                <c:pt idx="86">
                  <c:v>42590</c:v>
                </c:pt>
                <c:pt idx="87">
                  <c:v>42591</c:v>
                </c:pt>
                <c:pt idx="88">
                  <c:v>42592</c:v>
                </c:pt>
                <c:pt idx="89">
                  <c:v>42593</c:v>
                </c:pt>
                <c:pt idx="90">
                  <c:v>42594</c:v>
                </c:pt>
                <c:pt idx="91">
                  <c:v>42597</c:v>
                </c:pt>
                <c:pt idx="92">
                  <c:v>42598</c:v>
                </c:pt>
                <c:pt idx="93">
                  <c:v>42599</c:v>
                </c:pt>
                <c:pt idx="94">
                  <c:v>42600</c:v>
                </c:pt>
                <c:pt idx="95">
                  <c:v>42601</c:v>
                </c:pt>
                <c:pt idx="96">
                  <c:v>42604</c:v>
                </c:pt>
                <c:pt idx="97">
                  <c:v>42605</c:v>
                </c:pt>
                <c:pt idx="98">
                  <c:v>42606</c:v>
                </c:pt>
                <c:pt idx="99">
                  <c:v>42607</c:v>
                </c:pt>
                <c:pt idx="100">
                  <c:v>42608</c:v>
                </c:pt>
                <c:pt idx="101">
                  <c:v>42611</c:v>
                </c:pt>
                <c:pt idx="102">
                  <c:v>42612</c:v>
                </c:pt>
                <c:pt idx="103">
                  <c:v>42613</c:v>
                </c:pt>
                <c:pt idx="104">
                  <c:v>42614</c:v>
                </c:pt>
                <c:pt idx="105">
                  <c:v>42615</c:v>
                </c:pt>
                <c:pt idx="106">
                  <c:v>42618</c:v>
                </c:pt>
                <c:pt idx="107">
                  <c:v>42619</c:v>
                </c:pt>
                <c:pt idx="108">
                  <c:v>42620</c:v>
                </c:pt>
                <c:pt idx="109">
                  <c:v>42621</c:v>
                </c:pt>
                <c:pt idx="110">
                  <c:v>42622</c:v>
                </c:pt>
                <c:pt idx="111">
                  <c:v>42625</c:v>
                </c:pt>
                <c:pt idx="112">
                  <c:v>42626</c:v>
                </c:pt>
                <c:pt idx="113">
                  <c:v>42627</c:v>
                </c:pt>
                <c:pt idx="114">
                  <c:v>42628</c:v>
                </c:pt>
                <c:pt idx="115">
                  <c:v>42629</c:v>
                </c:pt>
                <c:pt idx="116">
                  <c:v>42632</c:v>
                </c:pt>
                <c:pt idx="117">
                  <c:v>42633</c:v>
                </c:pt>
                <c:pt idx="118">
                  <c:v>42634</c:v>
                </c:pt>
                <c:pt idx="119">
                  <c:v>42635</c:v>
                </c:pt>
                <c:pt idx="120">
                  <c:v>42636</c:v>
                </c:pt>
                <c:pt idx="121">
                  <c:v>42639</c:v>
                </c:pt>
                <c:pt idx="122">
                  <c:v>42640</c:v>
                </c:pt>
                <c:pt idx="123">
                  <c:v>42641</c:v>
                </c:pt>
                <c:pt idx="124">
                  <c:v>42642</c:v>
                </c:pt>
                <c:pt idx="125">
                  <c:v>42643</c:v>
                </c:pt>
                <c:pt idx="126">
                  <c:v>42646</c:v>
                </c:pt>
                <c:pt idx="127">
                  <c:v>42647</c:v>
                </c:pt>
                <c:pt idx="128">
                  <c:v>42648</c:v>
                </c:pt>
              </c:numCache>
            </c:numRef>
          </c:xVal>
          <c:yVal>
            <c:numRef>
              <c:f>'6MSynthDepo_used'!$U$134:$U$262</c:f>
              <c:numCache>
                <c:formatCode>0.0000%</c:formatCode>
                <c:ptCount val="129"/>
                <c:pt idx="0">
                  <c:v>1.9861034576924516E-3</c:v>
                </c:pt>
                <c:pt idx="1">
                  <c:v>1.9902750943246159E-3</c:v>
                </c:pt>
                <c:pt idx="2">
                  <c:v>1.9916587450686226E-3</c:v>
                </c:pt>
                <c:pt idx="3">
                  <c:v>1.9930389730782377E-3</c:v>
                </c:pt>
                <c:pt idx="4">
                  <c:v>1.9944157931528414E-3</c:v>
                </c:pt>
                <c:pt idx="5">
                  <c:v>1.9957892200918132E-3</c:v>
                </c:pt>
                <c:pt idx="6">
                  <c:v>1.9998892900887351E-3</c:v>
                </c:pt>
                <c:pt idx="7">
                  <c:v>2.0012492924789769E-3</c:v>
                </c:pt>
                <c:pt idx="8">
                  <c:v>2.0026059757304853E-3</c:v>
                </c:pt>
                <c:pt idx="9">
                  <c:v>2.0039593546426408E-3</c:v>
                </c:pt>
                <c:pt idx="10">
                  <c:v>2.0053094440148221E-3</c:v>
                </c:pt>
                <c:pt idx="11">
                  <c:v>2.0093401228853214E-3</c:v>
                </c:pt>
                <c:pt idx="12">
                  <c:v>2.010677202091405E-3</c:v>
                </c:pt>
                <c:pt idx="13">
                  <c:v>2.0120110657544142E-3</c:v>
                </c:pt>
                <c:pt idx="14">
                  <c:v>2.0133417286737269E-3</c:v>
                </c:pt>
                <c:pt idx="15">
                  <c:v>2.0146692056487244E-3</c:v>
                </c:pt>
                <c:pt idx="16">
                  <c:v>2.0186326689016201E-3</c:v>
                </c:pt>
                <c:pt idx="17">
                  <c:v>2.0199475500931527E-3</c:v>
                </c:pt>
                <c:pt idx="18">
                  <c:v>2.0212593193372676E-3</c:v>
                </c:pt>
                <c:pt idx="19">
                  <c:v>2.022567991433345E-3</c:v>
                </c:pt>
                <c:pt idx="20">
                  <c:v>2.0238735811807657E-3</c:v>
                </c:pt>
                <c:pt idx="21">
                  <c:v>2.0277720043248766E-3</c:v>
                </c:pt>
                <c:pt idx="22">
                  <c:v>2.0290654126714639E-3</c:v>
                </c:pt>
                <c:pt idx="23">
                  <c:v>2.0303558126662916E-3</c:v>
                </c:pt>
                <c:pt idx="24">
                  <c:v>2.0316432191087403E-3</c:v>
                </c:pt>
                <c:pt idx="25">
                  <c:v>2.0329276467981896E-3</c:v>
                </c:pt>
                <c:pt idx="26">
                  <c:v>2.0367632053423365E-3</c:v>
                </c:pt>
                <c:pt idx="27">
                  <c:v>2.0380358660135843E-3</c:v>
                </c:pt>
                <c:pt idx="28">
                  <c:v>2.039305621928732E-3</c:v>
                </c:pt>
                <c:pt idx="29">
                  <c:v>2.0405724878871578E-3</c:v>
                </c:pt>
                <c:pt idx="30">
                  <c:v>2.0418364786882423E-3</c:v>
                </c:pt>
                <c:pt idx="31">
                  <c:v>2.0456113481412438E-3</c:v>
                </c:pt>
                <c:pt idx="32">
                  <c:v>2.0468639863067597E-3</c:v>
                </c:pt>
                <c:pt idx="33">
                  <c:v>2.0481138233118326E-3</c:v>
                </c:pt>
                <c:pt idx="34">
                  <c:v>2.0493608739558427E-3</c:v>
                </c:pt>
                <c:pt idx="35">
                  <c:v>2.0506051530381686E-3</c:v>
                </c:pt>
                <c:pt idx="36">
                  <c:v>2.0543215089088443E-3</c:v>
                </c:pt>
                <c:pt idx="37">
                  <c:v>2.0555548497382344E-3</c:v>
                </c:pt>
                <c:pt idx="38">
                  <c:v>2.0567854930028393E-3</c:v>
                </c:pt>
                <c:pt idx="39">
                  <c:v>2.0580134535020393E-3</c:v>
                </c:pt>
                <c:pt idx="40">
                  <c:v>2.0592387460352146E-3</c:v>
                </c:pt>
                <c:pt idx="41">
                  <c:v>2.0628987638323837E-3</c:v>
                </c:pt>
                <c:pt idx="42">
                  <c:v>2.0641135324952539E-3</c:v>
                </c:pt>
                <c:pt idx="43">
                  <c:v>2.0653257071889973E-3</c:v>
                </c:pt>
                <c:pt idx="44">
                  <c:v>2.0665353027129944E-3</c:v>
                </c:pt>
                <c:pt idx="45">
                  <c:v>2.0677423338666236E-3</c:v>
                </c:pt>
                <c:pt idx="46">
                  <c:v>2.0713481890991059E-3</c:v>
                </c:pt>
                <c:pt idx="47">
                  <c:v>2.0725451107650632E-3</c:v>
                </c:pt>
                <c:pt idx="48">
                  <c:v>2.0737395420575518E-3</c:v>
                </c:pt>
                <c:pt idx="49">
                  <c:v>2.0749314977759523E-3</c:v>
                </c:pt>
                <c:pt idx="50">
                  <c:v>2.0761209927196429E-3</c:v>
                </c:pt>
                <c:pt idx="51">
                  <c:v>2.0796748608962567E-3</c:v>
                </c:pt>
                <c:pt idx="52">
                  <c:v>2.0808546607349078E-3</c:v>
                </c:pt>
                <c:pt idx="53">
                  <c:v>2.0820320737957483E-3</c:v>
                </c:pt>
                <c:pt idx="54">
                  <c:v>2.0832071148781574E-3</c:v>
                </c:pt>
                <c:pt idx="55">
                  <c:v>2.0843797987815161E-3</c:v>
                </c:pt>
                <c:pt idx="56">
                  <c:v>2.0878838554110814E-3</c:v>
                </c:pt>
                <c:pt idx="57">
                  <c:v>2.0890472585920325E-3</c:v>
                </c:pt>
                <c:pt idx="58">
                  <c:v>2.0902083785908311E-3</c:v>
                </c:pt>
                <c:pt idx="59">
                  <c:v>2.0913672302068568E-3</c:v>
                </c:pt>
                <c:pt idx="60">
                  <c:v>2.0925238282394894E-3</c:v>
                </c:pt>
                <c:pt idx="61">
                  <c:v>2.0959802488308252E-3</c:v>
                </c:pt>
                <c:pt idx="62">
                  <c:v>2.0971279805236825E-3</c:v>
                </c:pt>
                <c:pt idx="63">
                  <c:v>2.0982735326300454E-3</c:v>
                </c:pt>
                <c:pt idx="64">
                  <c:v>2.0994169199492936E-3</c:v>
                </c:pt>
                <c:pt idx="65">
                  <c:v>2.1005581572808066E-3</c:v>
                </c:pt>
                <c:pt idx="66">
                  <c:v>2.1039691173427326E-3</c:v>
                </c:pt>
                <c:pt idx="67">
                  <c:v>2.1051019027171032E-3</c:v>
                </c:pt>
                <c:pt idx="68">
                  <c:v>2.1062326121006367E-3</c:v>
                </c:pt>
                <c:pt idx="69">
                  <c:v>2.1073612602927139E-3</c:v>
                </c:pt>
                <c:pt idx="70">
                  <c:v>2.1084878620927137E-3</c:v>
                </c:pt>
                <c:pt idx="71">
                  <c:v>2.1118555371340496E-3</c:v>
                </c:pt>
                <c:pt idx="72">
                  <c:v>2.1129741013595394E-3</c:v>
                </c:pt>
                <c:pt idx="73">
                  <c:v>2.1140906931898505E-3</c:v>
                </c:pt>
                <c:pt idx="74">
                  <c:v>2.1152053274243626E-3</c:v>
                </c:pt>
                <c:pt idx="75">
                  <c:v>2.1163180188624561E-3</c:v>
                </c:pt>
                <c:pt idx="76">
                  <c:v>2.1196445843920213E-3</c:v>
                </c:pt>
                <c:pt idx="77">
                  <c:v>2.1207496526382359E-3</c:v>
                </c:pt>
                <c:pt idx="78">
                  <c:v>2.1218528520849309E-3</c:v>
                </c:pt>
                <c:pt idx="79">
                  <c:v>2.1229541975314849E-3</c:v>
                </c:pt>
                <c:pt idx="80">
                  <c:v>2.124053703777279E-3</c:v>
                </c:pt>
                <c:pt idx="81">
                  <c:v>2.1273413353038919E-3</c:v>
                </c:pt>
                <c:pt idx="82">
                  <c:v>2.1284336327404389E-3</c:v>
                </c:pt>
                <c:pt idx="83">
                  <c:v>2.129524164973124E-3</c:v>
                </c:pt>
                <c:pt idx="84">
                  <c:v>2.1306129468013271E-3</c:v>
                </c:pt>
                <c:pt idx="85">
                  <c:v>2.1316999930244269E-3</c:v>
                </c:pt>
                <c:pt idx="86">
                  <c:v>2.1349508660569072E-3</c:v>
                </c:pt>
                <c:pt idx="87">
                  <c:v>2.1360311178533929E-3</c:v>
                </c:pt>
                <c:pt idx="88">
                  <c:v>2.1371097080416751E-3</c:v>
                </c:pt>
                <c:pt idx="89">
                  <c:v>2.1381866514211321E-3</c:v>
                </c:pt>
                <c:pt idx="90">
                  <c:v>2.1392619627911454E-3</c:v>
                </c:pt>
                <c:pt idx="91">
                  <c:v>2.1424782528383121E-3</c:v>
                </c:pt>
                <c:pt idx="92">
                  <c:v>2.1435471841643435E-3</c:v>
                </c:pt>
                <c:pt idx="93">
                  <c:v>2.1446145574778282E-3</c:v>
                </c:pt>
                <c:pt idx="94">
                  <c:v>2.1456803875781472E-3</c:v>
                </c:pt>
                <c:pt idx="95">
                  <c:v>2.1467446892646791E-3</c:v>
                </c:pt>
                <c:pt idx="96">
                  <c:v>2.1499285718353522E-3</c:v>
                </c:pt>
                <c:pt idx="97">
                  <c:v>2.1509869078605351E-3</c:v>
                </c:pt>
                <c:pt idx="98">
                  <c:v>2.1520437894688295E-3</c:v>
                </c:pt>
                <c:pt idx="99">
                  <c:v>2.1530992314596161E-3</c:v>
                </c:pt>
                <c:pt idx="100">
                  <c:v>2.1541532486322739E-3</c:v>
                </c:pt>
                <c:pt idx="101">
                  <c:v>2.1573068992352725E-3</c:v>
                </c:pt>
                <c:pt idx="102">
                  <c:v>2.1583553651292136E-3</c:v>
                </c:pt>
                <c:pt idx="103">
                  <c:v>2.1594024802019242E-3</c:v>
                </c:pt>
                <c:pt idx="104">
                  <c:v>2.1604482592527843E-3</c:v>
                </c:pt>
                <c:pt idx="105">
                  <c:v>2.1614927170811745E-3</c:v>
                </c:pt>
                <c:pt idx="106">
                  <c:v>2.1646183112253182E-3</c:v>
                </c:pt>
                <c:pt idx="107">
                  <c:v>2.1656576321576236E-3</c:v>
                </c:pt>
                <c:pt idx="108">
                  <c:v>2.1666957058643563E-3</c:v>
                </c:pt>
                <c:pt idx="109">
                  <c:v>2.1677325471448974E-3</c:v>
                </c:pt>
                <c:pt idx="110">
                  <c:v>2.1687681707986263E-3</c:v>
                </c:pt>
                <c:pt idx="111">
                  <c:v>2.1718678839927341E-3</c:v>
                </c:pt>
                <c:pt idx="112">
                  <c:v>2.1728987851330102E-3</c:v>
                </c:pt>
                <c:pt idx="113">
                  <c:v>2.1739285426433724E-3</c:v>
                </c:pt>
                <c:pt idx="114">
                  <c:v>2.1749571713231999E-3</c:v>
                </c:pt>
                <c:pt idx="115">
                  <c:v>2.1759846859718737E-3</c:v>
                </c:pt>
                <c:pt idx="116">
                  <c:v>2.1790606937247656E-3</c:v>
                </c:pt>
                <c:pt idx="117">
                  <c:v>2.1800839002426185E-3</c:v>
                </c:pt>
                <c:pt idx="118">
                  <c:v>2.1811060667262161E-3</c:v>
                </c:pt>
                <c:pt idx="119">
                  <c:v>2.1821272079749379E-3</c:v>
                </c:pt>
                <c:pt idx="120">
                  <c:v>2.1831473387881632E-3</c:v>
                </c:pt>
                <c:pt idx="121">
                  <c:v>2.1862018166086575E-3</c:v>
                </c:pt>
                <c:pt idx="122">
                  <c:v>2.1872180536736947E-3</c:v>
                </c:pt>
                <c:pt idx="123">
                  <c:v>2.1882333543001343E-3</c:v>
                </c:pt>
                <c:pt idx="124">
                  <c:v>2.1892477332873554E-3</c:v>
                </c:pt>
                <c:pt idx="125">
                  <c:v>2.1902612054347389E-3</c:v>
                </c:pt>
                <c:pt idx="126">
                  <c:v>2.1932963288316554E-3</c:v>
                </c:pt>
                <c:pt idx="127">
                  <c:v>2.1943063216134828E-3</c:v>
                </c:pt>
                <c:pt idx="128">
                  <c:v>2.1953154815523711E-3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93696"/>
        <c:axId val="140095488"/>
      </c:scatterChart>
      <c:valAx>
        <c:axId val="1400936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0095488"/>
        <c:crosses val="autoZero"/>
        <c:crossBetween val="midCat"/>
      </c:valAx>
      <c:valAx>
        <c:axId val="14009548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009369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4341151726895061"/>
          <c:y val="0.39793589936640678"/>
          <c:w val="0.19328056178408162"/>
          <c:h val="0.11319504807091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'6MSynthDepo_allScenario'!$BE$6:$BE$135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'6MSynthDepo_allScenario'!$BF$6:$BF$135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'6MSynthDepo_allScenario'!$BG$6:$BG$135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'6MSynthDepo_allScenario'!$BH$6:$BH$135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225536"/>
        <c:axId val="140231424"/>
      </c:lineChart>
      <c:dateAx>
        <c:axId val="14022553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40231424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140231424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40225536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'6MSynthDepo_allScenario'!$BI$6:$BI$135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'6MSynthDepo_allScenario'!$BJ$6:$BJ$135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'6MSynthDepo_allScenario'!$BK$6:$BK$135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'6MSynthDepo_allScenario'!$BL$6:$BL$135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86688"/>
        <c:axId val="140788480"/>
      </c:lineChart>
      <c:dateAx>
        <c:axId val="1407866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40788480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140788480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40786688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'6MSynthDepo_allScenario'!$BM$6:$BM$135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'6MSynthDepo_allScenario'!$BN$6:$BN$135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'6MSynthDepo_allScenario'!$BO$6:$BO$135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'6MSynthDepo_allScenario'!$BP$6:$BP$135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'6MSynthDepo_allScenario'!$BQ$5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'6MSynthDepo_allScenario'!$BQ$6:$BQ$135</c:f>
              <c:numCache>
                <c:formatCode>0.0000%</c:formatCode>
                <c:ptCount val="130"/>
                <c:pt idx="0">
                  <c:v>1.6434659406548819E-3</c:v>
                </c:pt>
                <c:pt idx="1">
                  <c:v>1.6504880210791728E-3</c:v>
                </c:pt>
                <c:pt idx="2">
                  <c:v>1.6528158772495544E-3</c:v>
                </c:pt>
                <c:pt idx="3">
                  <c:v>1.6551373404754526E-3</c:v>
                </c:pt>
                <c:pt idx="4">
                  <c:v>1.6574524261814918E-3</c:v>
                </c:pt>
                <c:pt idx="5">
                  <c:v>1.6597611497922973E-3</c:v>
                </c:pt>
                <c:pt idx="6">
                  <c:v>1.6666493022995557E-3</c:v>
                </c:pt>
                <c:pt idx="7">
                  <c:v>1.6689327317756714E-3</c:v>
                </c:pt>
                <c:pt idx="8">
                  <c:v>1.6712098762796763E-3</c:v>
                </c:pt>
                <c:pt idx="9">
                  <c:v>1.6734807512361952E-3</c:v>
                </c:pt>
                <c:pt idx="10">
                  <c:v>1.6757453720698525E-3</c:v>
                </c:pt>
                <c:pt idx="11">
                  <c:v>1.6825018640799021E-3</c:v>
                </c:pt>
                <c:pt idx="12">
                  <c:v>1.68474162266836E-3</c:v>
                </c:pt>
                <c:pt idx="13">
                  <c:v>1.6869752042570798E-3</c:v>
                </c:pt>
                <c:pt idx="14">
                  <c:v>1.6892026242706858E-3</c:v>
                </c:pt>
                <c:pt idx="15">
                  <c:v>1.6914238981338031E-3</c:v>
                </c:pt>
                <c:pt idx="16">
                  <c:v>1.6980509970664676E-3</c:v>
                </c:pt>
                <c:pt idx="17">
                  <c:v>1.7002478405738757E-3</c:v>
                </c:pt>
                <c:pt idx="18">
                  <c:v>1.7024386150539181E-3</c:v>
                </c:pt>
                <c:pt idx="19">
                  <c:v>1.7046233359312192E-3</c:v>
                </c:pt>
                <c:pt idx="20">
                  <c:v>1.7068020186304044E-3</c:v>
                </c:pt>
                <c:pt idx="21">
                  <c:v>1.7133019919055076E-3</c:v>
                </c:pt>
                <c:pt idx="22">
                  <c:v>1.7154566761384737E-3</c:v>
                </c:pt>
                <c:pt idx="23">
                  <c:v>1.7176053993164467E-3</c:v>
                </c:pt>
                <c:pt idx="24">
                  <c:v>1.7197481768640511E-3</c:v>
                </c:pt>
                <c:pt idx="25">
                  <c:v>1.7218850242059118E-3</c:v>
                </c:pt>
                <c:pt idx="26">
                  <c:v>1.7282601392432776E-3</c:v>
                </c:pt>
                <c:pt idx="27">
                  <c:v>1.7303734200084095E-3</c:v>
                </c:pt>
                <c:pt idx="28">
                  <c:v>1.7324808476909209E-3</c:v>
                </c:pt>
                <c:pt idx="29">
                  <c:v>1.7345824377154363E-3</c:v>
                </c:pt>
                <c:pt idx="30">
                  <c:v>1.7366782055065809E-3</c:v>
                </c:pt>
                <c:pt idx="31">
                  <c:v>1.7429307297260328E-3</c:v>
                </c:pt>
                <c:pt idx="32">
                  <c:v>1.7450033628299388E-3</c:v>
                </c:pt>
                <c:pt idx="33">
                  <c:v>1.7470702508235966E-3</c:v>
                </c:pt>
                <c:pt idx="34">
                  <c:v>1.749131409131631E-3</c:v>
                </c:pt>
                <c:pt idx="35">
                  <c:v>1.7511868531786669E-3</c:v>
                </c:pt>
                <c:pt idx="36">
                  <c:v>1.7573190540000289E-3</c:v>
                </c:pt>
                <c:pt idx="37">
                  <c:v>1.7593517952493164E-3</c:v>
                </c:pt>
                <c:pt idx="38">
                  <c:v>1.7613788993607288E-3</c:v>
                </c:pt>
                <c:pt idx="39">
                  <c:v>1.7634003817588902E-3</c:v>
                </c:pt>
                <c:pt idx="40">
                  <c:v>1.7654162578684255E-3</c:v>
                </c:pt>
                <c:pt idx="41">
                  <c:v>1.7714304027115213E-3</c:v>
                </c:pt>
                <c:pt idx="42">
                  <c:v>1.7734240079127985E-3</c:v>
                </c:pt>
                <c:pt idx="43">
                  <c:v>1.7754120839485732E-3</c:v>
                </c:pt>
                <c:pt idx="44">
                  <c:v>1.7773946462434692E-3</c:v>
                </c:pt>
                <c:pt idx="45">
                  <c:v>1.7793717102221119E-3</c:v>
                </c:pt>
                <c:pt idx="46">
                  <c:v>1.785270066506765E-3</c:v>
                </c:pt>
                <c:pt idx="47">
                  <c:v>1.7872252914666402E-3</c:v>
                </c:pt>
                <c:pt idx="48">
                  <c:v>1.7891750952333848E-3</c:v>
                </c:pt>
                <c:pt idx="49">
                  <c:v>1.7911194932316236E-3</c:v>
                </c:pt>
                <c:pt idx="50">
                  <c:v>1.7930585008859817E-3</c:v>
                </c:pt>
                <c:pt idx="51">
                  <c:v>1.7988433360320161E-3</c:v>
                </c:pt>
                <c:pt idx="52">
                  <c:v>1.8007609365570964E-3</c:v>
                </c:pt>
                <c:pt idx="53">
                  <c:v>1.8026732238614193E-3</c:v>
                </c:pt>
                <c:pt idx="54">
                  <c:v>1.8045802133696087E-3</c:v>
                </c:pt>
                <c:pt idx="55">
                  <c:v>1.8064819205062901E-3</c:v>
                </c:pt>
                <c:pt idx="56">
                  <c:v>1.8121555019335297E-3</c:v>
                </c:pt>
                <c:pt idx="57">
                  <c:v>1.8140362338304235E-3</c:v>
                </c:pt>
                <c:pt idx="58">
                  <c:v>1.8159117604789323E-3</c:v>
                </c:pt>
                <c:pt idx="59">
                  <c:v>1.8177820973036805E-3</c:v>
                </c:pt>
                <c:pt idx="60">
                  <c:v>1.825211854857561E-3</c:v>
                </c:pt>
                <c:pt idx="61">
                  <c:v>1.8270564739328763E-3</c:v>
                </c:pt>
                <c:pt idx="62">
                  <c:v>1.8288959957321791E-3</c:v>
                </c:pt>
                <c:pt idx="63">
                  <c:v>1.8307304356800936E-3</c:v>
                </c:pt>
                <c:pt idx="64">
                  <c:v>1.8380176854503657E-3</c:v>
                </c:pt>
                <c:pt idx="65">
                  <c:v>1.8398269475107104E-3</c:v>
                </c:pt>
                <c:pt idx="66">
                  <c:v>1.841631220267415E-3</c:v>
                </c:pt>
                <c:pt idx="67">
                  <c:v>1.8434305191451039E-3</c:v>
                </c:pt>
                <c:pt idx="68">
                  <c:v>1.8452248595684025E-3</c:v>
                </c:pt>
                <c:pt idx="69">
                  <c:v>1.8505782843581992E-3</c:v>
                </c:pt>
                <c:pt idx="70">
                  <c:v>1.8523529452101812E-3</c:v>
                </c:pt>
                <c:pt idx="71">
                  <c:v>1.8541227247308955E-3</c:v>
                </c:pt>
                <c:pt idx="72">
                  <c:v>1.8558876383449668E-3</c:v>
                </c:pt>
                <c:pt idx="73">
                  <c:v>1.8576477014770202E-3</c:v>
                </c:pt>
                <c:pt idx="74">
                  <c:v>1.8628989422273172E-3</c:v>
                </c:pt>
                <c:pt idx="75">
                  <c:v>1.8646397576775442E-3</c:v>
                </c:pt>
                <c:pt idx="76">
                  <c:v>1.8663757997688763E-3</c:v>
                </c:pt>
                <c:pt idx="77">
                  <c:v>1.8681070839259377E-3</c:v>
                </c:pt>
                <c:pt idx="78">
                  <c:v>1.8698336255733538E-3</c:v>
                </c:pt>
                <c:pt idx="79">
                  <c:v>1.8749849497039746E-3</c:v>
                </c:pt>
                <c:pt idx="80">
                  <c:v>1.8766926755590546E-3</c:v>
                </c:pt>
                <c:pt idx="81">
                  <c:v>1.8783957360276123E-3</c:v>
                </c:pt>
                <c:pt idx="82">
                  <c:v>1.880094146534272E-3</c:v>
                </c:pt>
                <c:pt idx="83">
                  <c:v>1.881787922503659E-3</c:v>
                </c:pt>
                <c:pt idx="84">
                  <c:v>1.886841597434427E-3</c:v>
                </c:pt>
                <c:pt idx="85">
                  <c:v>1.8885169895009682E-3</c:v>
                </c:pt>
                <c:pt idx="86">
                  <c:v>1.8901878241533595E-3</c:v>
                </c:pt>
                <c:pt idx="87">
                  <c:v>1.8918541168162252E-3</c:v>
                </c:pt>
                <c:pt idx="88">
                  <c:v>1.8935158829141907E-3</c:v>
                </c:pt>
                <c:pt idx="89">
                  <c:v>1.8984741760649303E-3</c:v>
                </c:pt>
                <c:pt idx="90">
                  <c:v>1.90011799014954E-3</c:v>
                </c:pt>
                <c:pt idx="91">
                  <c:v>1.9017573547923726E-3</c:v>
                </c:pt>
                <c:pt idx="92">
                  <c:v>1.9033922854180525E-3</c:v>
                </c:pt>
                <c:pt idx="93">
                  <c:v>1.9050227974512046E-3</c:v>
                </c:pt>
                <c:pt idx="94">
                  <c:v>1.9098879762417394E-3</c:v>
                </c:pt>
                <c:pt idx="95">
                  <c:v>1.9115009681510257E-3</c:v>
                </c:pt>
                <c:pt idx="96">
                  <c:v>1.9131096185909077E-3</c:v>
                </c:pt>
                <c:pt idx="97">
                  <c:v>1.9147139429860098E-3</c:v>
                </c:pt>
                <c:pt idx="98">
                  <c:v>1.9163139567609563E-3</c:v>
                </c:pt>
                <c:pt idx="99">
                  <c:v>1.9210882886111099E-3</c:v>
                </c:pt>
                <c:pt idx="100">
                  <c:v>1.9226712141516807E-3</c:v>
                </c:pt>
                <c:pt idx="101">
                  <c:v>1.92424990619522E-3</c:v>
                </c:pt>
                <c:pt idx="102">
                  <c:v>1.9258243801663518E-3</c:v>
                </c:pt>
                <c:pt idx="103">
                  <c:v>1.927394651489701E-3</c:v>
                </c:pt>
                <c:pt idx="104">
                  <c:v>1.9320804038192971E-3</c:v>
                </c:pt>
                <c:pt idx="105">
                  <c:v>1.9336340187977607E-3</c:v>
                </c:pt>
                <c:pt idx="106">
                  <c:v>1.9351835082515652E-3</c:v>
                </c:pt>
                <c:pt idx="107">
                  <c:v>1.9367288876053347E-3</c:v>
                </c:pt>
                <c:pt idx="108">
                  <c:v>1.938270172283694E-3</c:v>
                </c:pt>
                <c:pt idx="109">
                  <c:v>1.9428696125125566E-3</c:v>
                </c:pt>
                <c:pt idx="110">
                  <c:v>1.9443946727355208E-3</c:v>
                </c:pt>
                <c:pt idx="111">
                  <c:v>1.9459157154061984E-3</c:v>
                </c:pt>
                <c:pt idx="112">
                  <c:v>1.9474327559492136E-3</c:v>
                </c:pt>
                <c:pt idx="113">
                  <c:v>1.9489458097891911E-3</c:v>
                </c:pt>
                <c:pt idx="114">
                  <c:v>1.9534612053371436E-3</c:v>
                </c:pt>
                <c:pt idx="115">
                  <c:v>1.9549584666112164E-3</c:v>
                </c:pt>
                <c:pt idx="116">
                  <c:v>1.956451818305375E-3</c:v>
                </c:pt>
                <c:pt idx="117">
                  <c:v>1.9579412758442436E-3</c:v>
                </c:pt>
                <c:pt idx="118">
                  <c:v>1.9594268546524476E-3</c:v>
                </c:pt>
                <c:pt idx="119">
                  <c:v>1.963860472939314E-3</c:v>
                </c:pt>
                <c:pt idx="120">
                  <c:v>1.9653306910711026E-3</c:v>
                </c:pt>
                <c:pt idx="121">
                  <c:v>1.9667971075953503E-3</c:v>
                </c:pt>
                <c:pt idx="122">
                  <c:v>1.9682597379366809E-3</c:v>
                </c:pt>
                <c:pt idx="123">
                  <c:v>1.9755166367614362E-3</c:v>
                </c:pt>
                <c:pt idx="124">
                  <c:v>1.9769568739223804E-3</c:v>
                </c:pt>
                <c:pt idx="125">
                  <c:v>1.9783934328727803E-3</c:v>
                </c:pt>
                <c:pt idx="126">
                  <c:v>1.9798263290372597E-3</c:v>
                </c:pt>
                <c:pt idx="127">
                  <c:v>1.9841031950614254E-3</c:v>
                </c:pt>
                <c:pt idx="128">
                  <c:v>1.9855215943284715E-3</c:v>
                </c:pt>
                <c:pt idx="129">
                  <c:v>1.9869364079327205E-3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840960"/>
        <c:axId val="140842496"/>
      </c:lineChart>
      <c:dateAx>
        <c:axId val="1408409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4084249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140842496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40840960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'3MSynthDepo_used'!$G$4</c:f>
              <c:numCache>
                <c:formatCode>d\-mmm\-yy</c:formatCode>
                <c:ptCount val="1"/>
                <c:pt idx="0">
                  <c:v>42279</c:v>
                </c:pt>
              </c:numCache>
            </c:numRef>
          </c:xVal>
          <c:yVal>
            <c:numRef>
              <c:f>'3MSynthDepo_used'!$K$4</c:f>
              <c:numCache>
                <c:formatCode>0.0000%</c:formatCode>
                <c:ptCount val="1"/>
                <c:pt idx="0">
                  <c:v>1.0486444602656425E-3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'3MSynthDepo_used'!$G$5:$G$16</c:f>
              <c:numCache>
                <c:formatCode>d\-mmm\-yy</c:formatCode>
                <c:ptCount val="12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42492</c:v>
                </c:pt>
                <c:pt idx="7">
                  <c:v>42523</c:v>
                </c:pt>
                <c:pt idx="8">
                  <c:v>42555</c:v>
                </c:pt>
                <c:pt idx="9">
                  <c:v>42584</c:v>
                </c:pt>
                <c:pt idx="10">
                  <c:v>42615</c:v>
                </c:pt>
                <c:pt idx="11">
                  <c:v>42646</c:v>
                </c:pt>
              </c:numCache>
            </c:numRef>
          </c:xVal>
          <c:yVal>
            <c:numRef>
              <c:f>'3MSynthDepo_used'!$K$5:$K$16</c:f>
              <c:numCache>
                <c:formatCode>0.0000%</c:formatCode>
                <c:ptCount val="12"/>
                <c:pt idx="0">
                  <c:v>1.0546603244055855E-3</c:v>
                </c:pt>
                <c:pt idx="1">
                  <c:v>1.0912473974574882E-3</c:v>
                </c:pt>
                <c:pt idx="2">
                  <c:v>1.1418601980741749E-3</c:v>
                </c:pt>
                <c:pt idx="3">
                  <c:v>1.1770536446938321E-3</c:v>
                </c:pt>
                <c:pt idx="4">
                  <c:v>1.2117067241216143E-3</c:v>
                </c:pt>
                <c:pt idx="5">
                  <c:v>1.2425032399314912E-3</c:v>
                </c:pt>
                <c:pt idx="6">
                  <c:v>1.2712683067427175E-3</c:v>
                </c:pt>
                <c:pt idx="7">
                  <c:v>1.2810510417415983E-3</c:v>
                </c:pt>
                <c:pt idx="8">
                  <c:v>1.3100936976483172E-3</c:v>
                </c:pt>
                <c:pt idx="9">
                  <c:v>1.3259885449471102E-3</c:v>
                </c:pt>
                <c:pt idx="10">
                  <c:v>1.3380790814501199E-3</c:v>
                </c:pt>
                <c:pt idx="11">
                  <c:v>1.3433617094474677E-3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'3MSynthDepo_used'!$S$2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'3MSynthDepo_used'!$R$3:$R$262</c:f>
              <c:numCache>
                <c:formatCode>d\-mmm\-yy</c:formatCode>
                <c:ptCount val="26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</c:numCache>
            </c:numRef>
          </c:xVal>
          <c:yVal>
            <c:numRef>
              <c:f>'3MSynthDepo_used'!$S$3:$S$262</c:f>
              <c:numCache>
                <c:formatCode>0.0000%</c:formatCode>
                <c:ptCount val="260"/>
                <c:pt idx="0">
                  <c:v>1.0070488729628803E-3</c:v>
                </c:pt>
                <c:pt idx="1">
                  <c:v>1.0121330743627756E-3</c:v>
                </c:pt>
                <c:pt idx="2">
                  <c:v>1.0138167622732706E-3</c:v>
                </c:pt>
                <c:pt idx="3">
                  <c:v>1.0154949454339024E-3</c:v>
                </c:pt>
                <c:pt idx="4">
                  <c:v>1.0171676347615947E-3</c:v>
                </c:pt>
                <c:pt idx="5">
                  <c:v>1.0188348411732705E-3</c:v>
                </c:pt>
                <c:pt idx="6">
                  <c:v>1.0238036720814339E-3</c:v>
                </c:pt>
                <c:pt idx="7">
                  <c:v>1.025449055998278E-3</c:v>
                </c:pt>
                <c:pt idx="8">
                  <c:v>1.0270890115837226E-3</c:v>
                </c:pt>
                <c:pt idx="9">
                  <c:v>1.028723549754691E-3</c:v>
                </c:pt>
                <c:pt idx="10">
                  <c:v>1.0303526814281062E-3</c:v>
                </c:pt>
                <c:pt idx="11">
                  <c:v>1.035207746632269E-3</c:v>
                </c:pt>
                <c:pt idx="12">
                  <c:v>1.0368153614847063E-3</c:v>
                </c:pt>
                <c:pt idx="13">
                  <c:v>1.0384176244242072E-3</c:v>
                </c:pt>
                <c:pt idx="14">
                  <c:v>1.0400145463676958E-3</c:v>
                </c:pt>
                <c:pt idx="15">
                  <c:v>1.0416061382320946E-3</c:v>
                </c:pt>
                <c:pt idx="16">
                  <c:v>1.0463490425199876E-3</c:v>
                </c:pt>
                <c:pt idx="17">
                  <c:v>1.0479194232372614E-3</c:v>
                </c:pt>
                <c:pt idx="18">
                  <c:v>1.0494845284600631E-3</c:v>
                </c:pt>
                <c:pt idx="19">
                  <c:v>1.051044369105315E-3</c:v>
                </c:pt>
                <c:pt idx="20">
                  <c:v>1.052598956089941E-3</c:v>
                </c:pt>
                <c:pt idx="21">
                  <c:v>1.0572313042492953E-3</c:v>
                </c:pt>
                <c:pt idx="22">
                  <c:v>1.05876498576065E-3</c:v>
                </c:pt>
                <c:pt idx="23">
                  <c:v>1.0602934681959956E-3</c:v>
                </c:pt>
                <c:pt idx="24">
                  <c:v>1.061816762472255E-3</c:v>
                </c:pt>
                <c:pt idx="25">
                  <c:v>1.0633348795063514E-3</c:v>
                </c:pt>
                <c:pt idx="26">
                  <c:v>1.0678582763248986E-3</c:v>
                </c:pt>
                <c:pt idx="27">
                  <c:v>1.0693557935595778E-3</c:v>
                </c:pt>
                <c:pt idx="28">
                  <c:v>1.0708481881367105E-3</c:v>
                </c:pt>
                <c:pt idx="29">
                  <c:v>1.0723354709732211E-3</c:v>
                </c:pt>
                <c:pt idx="30">
                  <c:v>1.0738176529860323E-3</c:v>
                </c:pt>
                <c:pt idx="31">
                  <c:v>1.0782337032515031E-3</c:v>
                </c:pt>
                <c:pt idx="32">
                  <c:v>1.0796955911387502E-3</c:v>
                </c:pt>
                <c:pt idx="33">
                  <c:v>1.0811524327869148E-3</c:v>
                </c:pt>
                <c:pt idx="34">
                  <c:v>1.0826042391129203E-3</c:v>
                </c:pt>
                <c:pt idx="35">
                  <c:v>1.0840510210336895E-3</c:v>
                </c:pt>
                <c:pt idx="36">
                  <c:v>1.0883613295338151E-3</c:v>
                </c:pt>
                <c:pt idx="37">
                  <c:v>1.0897881230028741E-3</c:v>
                </c:pt>
                <c:pt idx="38">
                  <c:v>1.0912099466513139E-3</c:v>
                </c:pt>
                <c:pt idx="39">
                  <c:v>1.0926268113960577E-3</c:v>
                </c:pt>
                <c:pt idx="40">
                  <c:v>1.0940387281540289E-3</c:v>
                </c:pt>
                <c:pt idx="41">
                  <c:v>1.0982448996765409E-3</c:v>
                </c:pt>
                <c:pt idx="42">
                  <c:v>1.0996371336566553E-3</c:v>
                </c:pt>
                <c:pt idx="43">
                  <c:v>1.101024474234614E-3</c:v>
                </c:pt>
                <c:pt idx="44">
                  <c:v>1.1024069323273399E-3</c:v>
                </c:pt>
                <c:pt idx="45">
                  <c:v>1.1037845188517567E-3</c:v>
                </c:pt>
                <c:pt idx="46">
                  <c:v>1.1078881581843862E-3</c:v>
                </c:pt>
                <c:pt idx="47">
                  <c:v>1.1092463676047994E-3</c:v>
                </c:pt>
                <c:pt idx="48">
                  <c:v>1.1105997600415207E-3</c:v>
                </c:pt>
                <c:pt idx="49">
                  <c:v>1.1119483464114728E-3</c:v>
                </c:pt>
                <c:pt idx="50">
                  <c:v>1.1132921376315792E-3</c:v>
                </c:pt>
                <c:pt idx="51">
                  <c:v>1.1172948495620568E-3</c:v>
                </c:pt>
                <c:pt idx="52">
                  <c:v>1.1186195693520132E-3</c:v>
                </c:pt>
                <c:pt idx="53">
                  <c:v>1.119939548576741E-3</c:v>
                </c:pt>
                <c:pt idx="54">
                  <c:v>1.1212547981531626E-3</c:v>
                </c:pt>
                <c:pt idx="55">
                  <c:v>1.1225653289982022E-3</c:v>
                </c:pt>
                <c:pt idx="56">
                  <c:v>1.1264687183142592E-3</c:v>
                </c:pt>
                <c:pt idx="57">
                  <c:v>1.1277604834030025E-3</c:v>
                </c:pt>
                <c:pt idx="58">
                  <c:v>1.1290475843449802E-3</c:v>
                </c:pt>
                <c:pt idx="59">
                  <c:v>1.1303300320571153E-3</c:v>
                </c:pt>
                <c:pt idx="60">
                  <c:v>1.1354135089456997E-3</c:v>
                </c:pt>
                <c:pt idx="61">
                  <c:v>1.1366728542624733E-3</c:v>
                </c:pt>
                <c:pt idx="62">
                  <c:v>1.1379276118509444E-3</c:v>
                </c:pt>
                <c:pt idx="63">
                  <c:v>1.1391777926280369E-3</c:v>
                </c:pt>
                <c:pt idx="64">
                  <c:v>1.1441329659610837E-3</c:v>
                </c:pt>
                <c:pt idx="65">
                  <c:v>1.1453604264351313E-3</c:v>
                </c:pt>
                <c:pt idx="66">
                  <c:v>1.1465833755993403E-3</c:v>
                </c:pt>
                <c:pt idx="67">
                  <c:v>1.1478018243706335E-3</c:v>
                </c:pt>
                <c:pt idx="68">
                  <c:v>1.1490157836659346E-3</c:v>
                </c:pt>
                <c:pt idx="69">
                  <c:v>1.1526308338651176E-3</c:v>
                </c:pt>
                <c:pt idx="70">
                  <c:v>1.1538269444256832E-3</c:v>
                </c:pt>
                <c:pt idx="71">
                  <c:v>1.1550186200948733E-3</c:v>
                </c:pt>
                <c:pt idx="72">
                  <c:v>1.1562058717896112E-3</c:v>
                </c:pt>
                <c:pt idx="73">
                  <c:v>1.1573887104268199E-3</c:v>
                </c:pt>
                <c:pt idx="74">
                  <c:v>1.1609108571625074E-3</c:v>
                </c:pt>
                <c:pt idx="75">
                  <c:v>1.1620761527388343E-3</c:v>
                </c:pt>
                <c:pt idx="76">
                  <c:v>1.1632370898422494E-3</c:v>
                </c:pt>
                <c:pt idx="77">
                  <c:v>1.1643936793896755E-3</c:v>
                </c:pt>
                <c:pt idx="78">
                  <c:v>1.1655459322980363E-3</c:v>
                </c:pt>
                <c:pt idx="79">
                  <c:v>1.1689767803579592E-3</c:v>
                </c:pt>
                <c:pt idx="80">
                  <c:v>1.1701117958792914E-3</c:v>
                </c:pt>
                <c:pt idx="81">
                  <c:v>1.171242529346175E-3</c:v>
                </c:pt>
                <c:pt idx="82">
                  <c:v>1.1723689916755332E-3</c:v>
                </c:pt>
                <c:pt idx="83">
                  <c:v>1.1734911937842894E-3</c:v>
                </c:pt>
                <c:pt idx="84">
                  <c:v>1.1768323479561787E-3</c:v>
                </c:pt>
                <c:pt idx="85">
                  <c:v>1.1779376183517602E-3</c:v>
                </c:pt>
                <c:pt idx="86">
                  <c:v>1.1790386831113562E-3</c:v>
                </c:pt>
                <c:pt idx="87">
                  <c:v>1.1801355531518901E-3</c:v>
                </c:pt>
                <c:pt idx="88">
                  <c:v>1.1812282393902855E-3</c:v>
                </c:pt>
                <c:pt idx="89">
                  <c:v>1.1844813044618726E-3</c:v>
                </c:pt>
                <c:pt idx="90">
                  <c:v>1.1855573646609467E-3</c:v>
                </c:pt>
                <c:pt idx="91">
                  <c:v>1.1866292956424988E-3</c:v>
                </c:pt>
                <c:pt idx="92">
                  <c:v>1.1876971083234521E-3</c:v>
                </c:pt>
                <c:pt idx="93">
                  <c:v>1.1887608136207301E-3</c:v>
                </c:pt>
                <c:pt idx="94">
                  <c:v>1.1919273943797465E-3</c:v>
                </c:pt>
                <c:pt idx="95">
                  <c:v>1.192974779311557E-3</c:v>
                </c:pt>
                <c:pt idx="96">
                  <c:v>1.1940181114443087E-3</c:v>
                </c:pt>
                <c:pt idx="97">
                  <c:v>1.1950574016949254E-3</c:v>
                </c:pt>
                <c:pt idx="98">
                  <c:v>1.1960926609803301E-3</c:v>
                </c:pt>
                <c:pt idx="99">
                  <c:v>1.1991743622145063E-3</c:v>
                </c:pt>
                <c:pt idx="100">
                  <c:v>1.200193606808297E-3</c:v>
                </c:pt>
                <c:pt idx="101">
                  <c:v>1.2012088750214926E-3</c:v>
                </c:pt>
                <c:pt idx="102">
                  <c:v>1.2022201777710162E-3</c:v>
                </c:pt>
                <c:pt idx="103">
                  <c:v>1.2032275259737913E-3</c:v>
                </c:pt>
                <c:pt idx="104">
                  <c:v>1.2062259524708587E-3</c:v>
                </c:pt>
                <c:pt idx="105">
                  <c:v>1.2072175916558732E-3</c:v>
                </c:pt>
                <c:pt idx="106">
                  <c:v>1.2082053308787558E-3</c:v>
                </c:pt>
                <c:pt idx="107">
                  <c:v>1.2091891810564299E-3</c:v>
                </c:pt>
                <c:pt idx="108">
                  <c:v>1.2101691531058191E-3</c:v>
                </c:pt>
                <c:pt idx="109">
                  <c:v>1.213085909653509E-3</c:v>
                </c:pt>
                <c:pt idx="110">
                  <c:v>1.214050478358991E-3</c:v>
                </c:pt>
                <c:pt idx="111">
                  <c:v>1.2150112235208047E-3</c:v>
                </c:pt>
                <c:pt idx="112">
                  <c:v>1.2159681560558733E-3</c:v>
                </c:pt>
                <c:pt idx="113">
                  <c:v>1.2169212868811201E-3</c:v>
                </c:pt>
                <c:pt idx="114">
                  <c:v>1.219757978267164E-3</c:v>
                </c:pt>
                <c:pt idx="115">
                  <c:v>1.2206960114223573E-3</c:v>
                </c:pt>
                <c:pt idx="116">
                  <c:v>1.2216302974523453E-3</c:v>
                </c:pt>
                <c:pt idx="117">
                  <c:v>1.2225608472740521E-3</c:v>
                </c:pt>
                <c:pt idx="118">
                  <c:v>1.2234876718044006E-3</c:v>
                </c:pt>
                <c:pt idx="119">
                  <c:v>1.2262459028165289E-3</c:v>
                </c:pt>
                <c:pt idx="120">
                  <c:v>1.2271579353506773E-3</c:v>
                </c:pt>
                <c:pt idx="121">
                  <c:v>1.2280662971780841E-3</c:v>
                </c:pt>
                <c:pt idx="122">
                  <c:v>1.2289709992156727E-3</c:v>
                </c:pt>
                <c:pt idx="123">
                  <c:v>1.2334399946486577E-3</c:v>
                </c:pt>
                <c:pt idx="124">
                  <c:v>1.2343229672027265E-3</c:v>
                </c:pt>
                <c:pt idx="125">
                  <c:v>1.2352023563854404E-3</c:v>
                </c:pt>
                <c:pt idx="126">
                  <c:v>1.2360781731137228E-3</c:v>
                </c:pt>
                <c:pt idx="127">
                  <c:v>1.2386842977412144E-3</c:v>
                </c:pt>
                <c:pt idx="128">
                  <c:v>1.2395459338210041E-3</c:v>
                </c:pt>
                <c:pt idx="129">
                  <c:v>1.2404040520309788E-3</c:v>
                </c:pt>
                <c:pt idx="130">
                  <c:v>1.2412586632880621E-3</c:v>
                </c:pt>
                <c:pt idx="131">
                  <c:v>1.2421097785091772E-3</c:v>
                </c:pt>
                <c:pt idx="132">
                  <c:v>1.2446422571259469E-3</c:v>
                </c:pt>
                <c:pt idx="133">
                  <c:v>1.2454794973724226E-3</c:v>
                </c:pt>
                <c:pt idx="134">
                  <c:v>1.2463132961675471E-3</c:v>
                </c:pt>
                <c:pt idx="135">
                  <c:v>1.2471436644282434E-3</c:v>
                </c:pt>
                <c:pt idx="136">
                  <c:v>1.2479706130714349E-3</c:v>
                </c:pt>
                <c:pt idx="137">
                  <c:v>1.250431050465214E-3</c:v>
                </c:pt>
                <c:pt idx="138">
                  <c:v>1.2512444298076197E-3</c:v>
                </c:pt>
                <c:pt idx="139">
                  <c:v>1.2520544441171374E-3</c:v>
                </c:pt>
                <c:pt idx="140">
                  <c:v>1.2528611043106902E-3</c:v>
                </c:pt>
                <c:pt idx="141">
                  <c:v>1.2536644213052017E-3</c:v>
                </c:pt>
                <c:pt idx="142">
                  <c:v>1.2560544222637215E-3</c:v>
                </c:pt>
                <c:pt idx="143">
                  <c:v>1.2568444756313009E-3</c:v>
                </c:pt>
                <c:pt idx="144">
                  <c:v>1.2576312403844558E-3</c:v>
                </c:pt>
                <c:pt idx="145">
                  <c:v>1.2584147274401088E-3</c:v>
                </c:pt>
                <c:pt idx="146">
                  <c:v>1.2591949477151843E-3</c:v>
                </c:pt>
                <c:pt idx="147">
                  <c:v>1.2615161170261759E-3</c:v>
                </c:pt>
                <c:pt idx="148">
                  <c:v>1.2622833793481726E-3</c:v>
                </c:pt>
                <c:pt idx="149">
                  <c:v>1.2630474294742079E-3</c:v>
                </c:pt>
                <c:pt idx="150">
                  <c:v>1.2638082783212057E-3</c:v>
                </c:pt>
                <c:pt idx="151">
                  <c:v>1.2645659368060883E-3</c:v>
                </c:pt>
                <c:pt idx="152">
                  <c:v>1.2668198792572828E-3</c:v>
                </c:pt>
                <c:pt idx="153">
                  <c:v>1.2675648854629407E-3</c:v>
                </c:pt>
                <c:pt idx="154">
                  <c:v>1.2683067558911007E-3</c:v>
                </c:pt>
                <c:pt idx="155">
                  <c:v>1.2690455014586861E-3</c:v>
                </c:pt>
                <c:pt idx="156">
                  <c:v>1.26978113308262E-3</c:v>
                </c:pt>
                <c:pt idx="157">
                  <c:v>1.2719694534617488E-3</c:v>
                </c:pt>
                <c:pt idx="158">
                  <c:v>1.2726927384803114E-3</c:v>
                </c:pt>
                <c:pt idx="159">
                  <c:v>1.2734129641398394E-3</c:v>
                </c:pt>
                <c:pt idx="160">
                  <c:v>1.2741301413572562E-3</c:v>
                </c:pt>
                <c:pt idx="161">
                  <c:v>1.2748442810494856E-3</c:v>
                </c:pt>
                <c:pt idx="162">
                  <c:v>1.276968584144279E-3</c:v>
                </c:pt>
                <c:pt idx="163">
                  <c:v>1.2776706829049904E-3</c:v>
                </c:pt>
                <c:pt idx="164">
                  <c:v>1.2783697987251304E-3</c:v>
                </c:pt>
                <c:pt idx="165">
                  <c:v>1.2790659425216226E-3</c:v>
                </c:pt>
                <c:pt idx="166">
                  <c:v>1.2797591252113906E-3</c:v>
                </c:pt>
                <c:pt idx="167">
                  <c:v>1.2818210158095807E-3</c:v>
                </c:pt>
                <c:pt idx="168">
                  <c:v>1.2825024632416842E-3</c:v>
                </c:pt>
                <c:pt idx="169">
                  <c:v>1.2831810041516799E-3</c:v>
                </c:pt>
                <c:pt idx="170">
                  <c:v>1.2838566494564911E-3</c:v>
                </c:pt>
                <c:pt idx="171">
                  <c:v>1.2845294100730415E-3</c:v>
                </c:pt>
                <c:pt idx="172">
                  <c:v>1.286530492962359E-3</c:v>
                </c:pt>
                <c:pt idx="173">
                  <c:v>1.2871918239950981E-3</c:v>
                </c:pt>
                <c:pt idx="174">
                  <c:v>1.2878503249241933E-3</c:v>
                </c:pt>
                <c:pt idx="175">
                  <c:v>1.2885060066665675E-3</c:v>
                </c:pt>
                <c:pt idx="176">
                  <c:v>1.2891588801391437E-3</c:v>
                </c:pt>
                <c:pt idx="177">
                  <c:v>1.2911007601073203E-3</c:v>
                </c:pt>
                <c:pt idx="178">
                  <c:v>1.2917425096699393E-3</c:v>
                </c:pt>
                <c:pt idx="179">
                  <c:v>1.2923815055473776E-3</c:v>
                </c:pt>
                <c:pt idx="180">
                  <c:v>1.293017758656558E-3</c:v>
                </c:pt>
                <c:pt idx="181">
                  <c:v>1.2936512799144044E-3</c:v>
                </c:pt>
                <c:pt idx="182">
                  <c:v>1.2955355617491706E-3</c:v>
                </c:pt>
                <c:pt idx="183">
                  <c:v>1.296158264770913E-3</c:v>
                </c:pt>
                <c:pt idx="184">
                  <c:v>1.2967782905259381E-3</c:v>
                </c:pt>
                <c:pt idx="185">
                  <c:v>1.2973956499311688E-3</c:v>
                </c:pt>
                <c:pt idx="186">
                  <c:v>1.2980103539035285E-3</c:v>
                </c:pt>
                <c:pt idx="187">
                  <c:v>1.2998386423926161E-3</c:v>
                </c:pt>
                <c:pt idx="188">
                  <c:v>1.3004428338027256E-3</c:v>
                </c:pt>
                <c:pt idx="189">
                  <c:v>1.3010444243645811E-3</c:v>
                </c:pt>
                <c:pt idx="190">
                  <c:v>1.3016434249951058E-3</c:v>
                </c:pt>
                <c:pt idx="191">
                  <c:v>1.3022398466112227E-3</c:v>
                </c:pt>
                <c:pt idx="192">
                  <c:v>1.3040137465423624E-3</c:v>
                </c:pt>
                <c:pt idx="193">
                  <c:v>1.3045999612700829E-3</c:v>
                </c:pt>
                <c:pt idx="194">
                  <c:v>1.3051836515680128E-3</c:v>
                </c:pt>
                <c:pt idx="195">
                  <c:v>1.3057648283530752E-3</c:v>
                </c:pt>
                <c:pt idx="196">
                  <c:v>1.3063435025421931E-3</c:v>
                </c:pt>
                <c:pt idx="197">
                  <c:v>1.3080646187031161E-3</c:v>
                </c:pt>
                <c:pt idx="198">
                  <c:v>1.3086333916776912E-3</c:v>
                </c:pt>
                <c:pt idx="199">
                  <c:v>1.3091997166409391E-3</c:v>
                </c:pt>
                <c:pt idx="200">
                  <c:v>1.3097636045097828E-3</c:v>
                </c:pt>
                <c:pt idx="201">
                  <c:v>1.3103250662011457E-3</c:v>
                </c:pt>
                <c:pt idx="202">
                  <c:v>1.3119950033795833E-3</c:v>
                </c:pt>
                <c:pt idx="203">
                  <c:v>1.3125468695302563E-3</c:v>
                </c:pt>
                <c:pt idx="204">
                  <c:v>1.3130963640880658E-3</c:v>
                </c:pt>
                <c:pt idx="205">
                  <c:v>1.3136434979699346E-3</c:v>
                </c:pt>
                <c:pt idx="206">
                  <c:v>1.3141882820927862E-3</c:v>
                </c:pt>
                <c:pt idx="207">
                  <c:v>1.3158086450764694E-3</c:v>
                </c:pt>
                <c:pt idx="208">
                  <c:v>1.3163441393324847E-3</c:v>
                </c:pt>
                <c:pt idx="209">
                  <c:v>1.3168773384140996E-3</c:v>
                </c:pt>
                <c:pt idx="210">
                  <c:v>1.3174082532382372E-3</c:v>
                </c:pt>
                <c:pt idx="211">
                  <c:v>1.3179368947218205E-3</c:v>
                </c:pt>
                <c:pt idx="212">
                  <c:v>1.3195092882984812E-3</c:v>
                </c:pt>
                <c:pt idx="213">
                  <c:v>1.3200289455890819E-3</c:v>
                </c:pt>
                <c:pt idx="214">
                  <c:v>1.320546384123746E-3</c:v>
                </c:pt>
                <c:pt idx="215">
                  <c:v>1.321061614819396E-3</c:v>
                </c:pt>
                <c:pt idx="216">
                  <c:v>1.3215746485929552E-3</c:v>
                </c:pt>
                <c:pt idx="217">
                  <c:v>1.3231006775503238E-3</c:v>
                </c:pt>
                <c:pt idx="218">
                  <c:v>1.3236050328047546E-3</c:v>
                </c:pt>
                <c:pt idx="219">
                  <c:v>1.3241072457217114E-3</c:v>
                </c:pt>
                <c:pt idx="220">
                  <c:v>1.3246073272181176E-3</c:v>
                </c:pt>
                <c:pt idx="221">
                  <c:v>1.3251052882108964E-3</c:v>
                </c:pt>
                <c:pt idx="222">
                  <c:v>1.3265865573367042E-3</c:v>
                </c:pt>
                <c:pt idx="223">
                  <c:v>1.3270761454842082E-3</c:v>
                </c:pt>
                <c:pt idx="224">
                  <c:v>1.3275636677127012E-3</c:v>
                </c:pt>
                <c:pt idx="225">
                  <c:v>1.3280491349391078E-3</c:v>
                </c:pt>
                <c:pt idx="226">
                  <c:v>1.3285325580803498E-3</c:v>
                </c:pt>
                <c:pt idx="227">
                  <c:v>1.3299706721623277E-3</c:v>
                </c:pt>
                <c:pt idx="228">
                  <c:v>1.3304460281321488E-3</c:v>
                </c:pt>
                <c:pt idx="229">
                  <c:v>1.3309193946014224E-3</c:v>
                </c:pt>
                <c:pt idx="230">
                  <c:v>1.3313907824870723E-3</c:v>
                </c:pt>
                <c:pt idx="231">
                  <c:v>1.3318602027060219E-3</c:v>
                </c:pt>
                <c:pt idx="232">
                  <c:v>1.3332567665319014E-3</c:v>
                </c:pt>
                <c:pt idx="233">
                  <c:v>1.3337184252532827E-3</c:v>
                </c:pt>
                <c:pt idx="234">
                  <c:v>1.3341781708925806E-3</c:v>
                </c:pt>
                <c:pt idx="235">
                  <c:v>1.3346360143667176E-3</c:v>
                </c:pt>
                <c:pt idx="236">
                  <c:v>1.3350919665926183E-3</c:v>
                </c:pt>
                <c:pt idx="237">
                  <c:v>1.3364485849501303E-3</c:v>
                </c:pt>
                <c:pt idx="238">
                  <c:v>1.3368970813523158E-3</c:v>
                </c:pt>
                <c:pt idx="239">
                  <c:v>1.3373437410908815E-3</c:v>
                </c:pt>
                <c:pt idx="240">
                  <c:v>1.3377885750827498E-3</c:v>
                </c:pt>
                <c:pt idx="241">
                  <c:v>1.3382315942448446E-3</c:v>
                </c:pt>
                <c:pt idx="242">
                  <c:v>1.3395498719217208E-3</c:v>
                </c:pt>
                <c:pt idx="243">
                  <c:v>1.3399857409339545E-3</c:v>
                </c:pt>
                <c:pt idx="244">
                  <c:v>1.3404198497010314E-3</c:v>
                </c:pt>
                <c:pt idx="245">
                  <c:v>1.3408522091398747E-3</c:v>
                </c:pt>
                <c:pt idx="246">
                  <c:v>1.3412828301674075E-3</c:v>
                </c:pt>
                <c:pt idx="247">
                  <c:v>1.3425643719513793E-3</c:v>
                </c:pt>
                <c:pt idx="248">
                  <c:v>1.3429881485029045E-3</c:v>
                </c:pt>
                <c:pt idx="249">
                  <c:v>1.3434102412277367E-3</c:v>
                </c:pt>
                <c:pt idx="250">
                  <c:v>1.3438306610427987E-3</c:v>
                </c:pt>
                <c:pt idx="251">
                  <c:v>1.3442494188650135E-3</c:v>
                </c:pt>
                <c:pt idx="252">
                  <c:v>1.3454958295438112E-3</c:v>
                </c:pt>
                <c:pt idx="253">
                  <c:v>1.3459080485638722E-3</c:v>
                </c:pt>
                <c:pt idx="254">
                  <c:v>1.3463186601757032E-3</c:v>
                </c:pt>
                <c:pt idx="255">
                  <c:v>1.3467276752962272E-3</c:v>
                </c:pt>
                <c:pt idx="256">
                  <c:v>1.347135104842368E-3</c:v>
                </c:pt>
                <c:pt idx="257">
                  <c:v>1.3483479892037228E-3</c:v>
                </c:pt>
                <c:pt idx="258">
                  <c:v>1.3487491856215633E-3</c:v>
                </c:pt>
                <c:pt idx="259">
                  <c:v>1.3491488510496367E-3</c:v>
                </c:pt>
              </c:numCache>
            </c:numRef>
          </c:yVal>
          <c:smooth val="0"/>
        </c:ser>
        <c:ser>
          <c:idx val="2"/>
          <c:order val="3"/>
          <c:tx>
            <c:v>Basis Futures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'3MSynthDepo_used'!$G$17:$G$21</c:f>
              <c:numCache>
                <c:formatCode>d\-mmm\-yy</c:formatCode>
                <c:ptCount val="5"/>
                <c:pt idx="0">
                  <c:v>42298</c:v>
                </c:pt>
                <c:pt idx="1">
                  <c:v>42326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</c:numCache>
            </c:numRef>
          </c:xVal>
          <c:yVal>
            <c:numRef>
              <c:f>'3MSynthDepo_used'!$K$17:$K$21</c:f>
              <c:numCache>
                <c:formatCode>0.0000%</c:formatCode>
                <c:ptCount val="5"/>
                <c:pt idx="0">
                  <c:v>1.0539197749502608E-3</c:v>
                </c:pt>
                <c:pt idx="1">
                  <c:v>1.0772365734513839E-3</c:v>
                </c:pt>
                <c:pt idx="2">
                  <c:v>1.1107154833773073E-3</c:v>
                </c:pt>
                <c:pt idx="3">
                  <c:v>1.2326534044802384E-3</c:v>
                </c:pt>
                <c:pt idx="4">
                  <c:v>1.2690616383456096E-3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54240"/>
        <c:axId val="140556160"/>
      </c:scatterChart>
      <c:valAx>
        <c:axId val="14055424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0556160"/>
        <c:crosses val="autoZero"/>
        <c:crossBetween val="midCat"/>
      </c:valAx>
      <c:valAx>
        <c:axId val="14055616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055424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4733816551076812"/>
          <c:h val="0.226390096141831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'3MSynthDepo_used'!$R$3:$R$69</c:f>
              <c:numCache>
                <c:formatCode>d\-mmm\-yy</c:formatCode>
                <c:ptCount val="67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xVal>
          <c:yVal>
            <c:numRef>
              <c:f>'3MSynthDepo_used'!$U$3:$U$69</c:f>
              <c:numCache>
                <c:formatCode>0.0000%</c:formatCode>
                <c:ptCount val="67"/>
                <c:pt idx="0">
                  <c:v>9.2169452529223357E-4</c:v>
                </c:pt>
                <c:pt idx="1">
                  <c:v>9.2759436823098337E-4</c:v>
                </c:pt>
                <c:pt idx="2">
                  <c:v>9.2954889621098551E-4</c:v>
                </c:pt>
                <c:pt idx="3">
                  <c:v>9.3149739921940286E-4</c:v>
                </c:pt>
                <c:pt idx="4">
                  <c:v>9.3343988817315849E-4</c:v>
                </c:pt>
                <c:pt idx="5">
                  <c:v>9.3537637398917581E-4</c:v>
                </c:pt>
                <c:pt idx="6">
                  <c:v>9.411499217800316E-4</c:v>
                </c:pt>
                <c:pt idx="7">
                  <c:v>9.430625042143293E-4</c:v>
                </c:pt>
                <c:pt idx="8">
                  <c:v>9.4496913809550545E-4</c:v>
                </c:pt>
                <c:pt idx="9">
                  <c:v>9.4686983434048323E-4</c:v>
                </c:pt>
                <c:pt idx="10">
                  <c:v>9.4876460386618617E-4</c:v>
                </c:pt>
                <c:pt idx="11">
                  <c:v>9.5441346129687926E-4</c:v>
                </c:pt>
                <c:pt idx="12">
                  <c:v>9.562846331147161E-4</c:v>
                </c:pt>
                <c:pt idx="13">
                  <c:v>9.5814993279789474E-4</c:v>
                </c:pt>
                <c:pt idx="14">
                  <c:v>9.6000937126333849E-4</c:v>
                </c:pt>
                <c:pt idx="15">
                  <c:v>9.6186295942797084E-4</c:v>
                </c:pt>
                <c:pt idx="16">
                  <c:v>9.6738873128623221E-4</c:v>
                </c:pt>
                <c:pt idx="17">
                  <c:v>9.69219027416852E-4</c:v>
                </c:pt>
                <c:pt idx="18">
                  <c:v>9.7104352783127683E-4</c:v>
                </c:pt>
                <c:pt idx="19">
                  <c:v>9.7286224344643023E-4</c:v>
                </c:pt>
                <c:pt idx="20">
                  <c:v>9.7467518517923559E-4</c:v>
                </c:pt>
                <c:pt idx="21">
                  <c:v>9.8007947625279655E-4</c:v>
                </c:pt>
                <c:pt idx="22">
                  <c:v>9.8186943162544287E-4</c:v>
                </c:pt>
                <c:pt idx="23">
                  <c:v>9.8365366770035803E-4</c:v>
                </c:pt>
                <c:pt idx="24">
                  <c:v>9.8543219539446456E-4</c:v>
                </c:pt>
                <c:pt idx="25">
                  <c:v>9.8720502562468695E-4</c:v>
                </c:pt>
                <c:pt idx="26">
                  <c:v>9.9248944070127868E-4</c:v>
                </c:pt>
                <c:pt idx="27">
                  <c:v>9.9423959024519545E-4</c:v>
                </c:pt>
                <c:pt idx="28">
                  <c:v>9.9598409690984375E-4</c:v>
                </c:pt>
                <c:pt idx="29">
                  <c:v>9.9772297161214787E-4</c:v>
                </c:pt>
                <c:pt idx="30">
                  <c:v>9.9945622526903055E-4</c:v>
                </c:pt>
                <c:pt idx="31">
                  <c:v>1.0046223691363837E-3</c:v>
                </c:pt>
                <c:pt idx="32">
                  <c:v>1.0063332477808146E-3</c:v>
                </c:pt>
                <c:pt idx="33">
                  <c:v>1.0080385599644406E-3</c:v>
                </c:pt>
                <c:pt idx="34">
                  <c:v>1.0097383166041856E-3</c:v>
                </c:pt>
                <c:pt idx="35">
                  <c:v>1.0114325286169723E-3</c:v>
                </c:pt>
                <c:pt idx="36">
                  <c:v>1.0164820060628188E-3</c:v>
                </c:pt>
                <c:pt idx="37">
                  <c:v>1.0181541487370074E-3</c:v>
                </c:pt>
                <c:pt idx="38">
                  <c:v>1.0198208013688546E-3</c:v>
                </c:pt>
                <c:pt idx="39">
                  <c:v>1.0214819748752839E-3</c:v>
                </c:pt>
                <c:pt idx="40">
                  <c:v>1.0231376801732189E-3</c:v>
                </c:pt>
                <c:pt idx="41">
                  <c:v>1.0280720959852895E-3</c:v>
                </c:pt>
                <c:pt idx="42">
                  <c:v>1.0297060376184793E-3</c:v>
                </c:pt>
                <c:pt idx="43">
                  <c:v>1.0313345656277916E-3</c:v>
                </c:pt>
                <c:pt idx="44">
                  <c:v>1.0329576909301494E-3</c:v>
                </c:pt>
                <c:pt idx="45">
                  <c:v>1.0345754244424758E-3</c:v>
                </c:pt>
                <c:pt idx="46">
                  <c:v>1.0393963834085017E-3</c:v>
                </c:pt>
                <c:pt idx="47">
                  <c:v>1.040992658929937E-3</c:v>
                </c:pt>
                <c:pt idx="48">
                  <c:v>1.0425835972459579E-3</c:v>
                </c:pt>
                <c:pt idx="49">
                  <c:v>1.0441692092734874E-3</c:v>
                </c:pt>
                <c:pt idx="50">
                  <c:v>1.0457495059294493E-3</c:v>
                </c:pt>
                <c:pt idx="51">
                  <c:v>1.0504586128371619E-3</c:v>
                </c:pt>
                <c:pt idx="52">
                  <c:v>1.0520177571760859E-3</c:v>
                </c:pt>
                <c:pt idx="53">
                  <c:v>1.053571640728059E-3</c:v>
                </c:pt>
                <c:pt idx="54">
                  <c:v>1.0551202744100044E-3</c:v>
                </c:pt>
                <c:pt idx="55">
                  <c:v>1.0566636691388455E-3</c:v>
                </c:pt>
                <c:pt idx="56">
                  <c:v>1.0612625287759754E-3</c:v>
                </c:pt>
                <c:pt idx="57">
                  <c:v>1.0627850768616324E-3</c:v>
                </c:pt>
                <c:pt idx="58">
                  <c:v>1.0643024405788016E-3</c:v>
                </c:pt>
                <c:pt idx="59">
                  <c:v>1.0658146308444062E-3</c:v>
                </c:pt>
                <c:pt idx="60">
                  <c:v>1.0718118757296492E-3</c:v>
                </c:pt>
                <c:pt idx="61">
                  <c:v>1.0732983624912825E-3</c:v>
                </c:pt>
                <c:pt idx="62">
                  <c:v>1.0747797413028913E-3</c:v>
                </c:pt>
                <c:pt idx="63">
                  <c:v>1.0762560230813995E-3</c:v>
                </c:pt>
                <c:pt idx="64">
                  <c:v>1.0821103982028889E-3</c:v>
                </c:pt>
                <c:pt idx="65">
                  <c:v>1.0835613585697421E-3</c:v>
                </c:pt>
                <c:pt idx="66">
                  <c:v>1.0850072874050347E-3</c:v>
                </c:pt>
              </c:numCache>
            </c:numRef>
          </c:yVal>
          <c:smooth val="0"/>
        </c:ser>
        <c:ser>
          <c:idx val="0"/>
          <c:order val="1"/>
          <c:marker>
            <c:symbol val="none"/>
          </c:marker>
          <c:xVal>
            <c:numRef>
              <c:f>'3MSynthDepo_used'!$R$70:$R$262</c:f>
              <c:numCache>
                <c:formatCode>d\-mmm\-yy</c:formatCode>
                <c:ptCount val="193"/>
                <c:pt idx="0">
                  <c:v>42376</c:v>
                </c:pt>
                <c:pt idx="1">
                  <c:v>42377</c:v>
                </c:pt>
                <c:pt idx="2">
                  <c:v>42380</c:v>
                </c:pt>
                <c:pt idx="3">
                  <c:v>42381</c:v>
                </c:pt>
                <c:pt idx="4">
                  <c:v>42382</c:v>
                </c:pt>
                <c:pt idx="5">
                  <c:v>42383</c:v>
                </c:pt>
                <c:pt idx="6">
                  <c:v>42384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42394</c:v>
                </c:pt>
                <c:pt idx="13">
                  <c:v>42395</c:v>
                </c:pt>
                <c:pt idx="14">
                  <c:v>42396</c:v>
                </c:pt>
                <c:pt idx="15">
                  <c:v>42397</c:v>
                </c:pt>
                <c:pt idx="16">
                  <c:v>42398</c:v>
                </c:pt>
                <c:pt idx="17">
                  <c:v>42401</c:v>
                </c:pt>
                <c:pt idx="18">
                  <c:v>42402</c:v>
                </c:pt>
                <c:pt idx="19">
                  <c:v>42403</c:v>
                </c:pt>
                <c:pt idx="20">
                  <c:v>42404</c:v>
                </c:pt>
                <c:pt idx="21">
                  <c:v>42405</c:v>
                </c:pt>
                <c:pt idx="22">
                  <c:v>42408</c:v>
                </c:pt>
                <c:pt idx="23">
                  <c:v>42409</c:v>
                </c:pt>
                <c:pt idx="24">
                  <c:v>42410</c:v>
                </c:pt>
                <c:pt idx="25">
                  <c:v>42411</c:v>
                </c:pt>
                <c:pt idx="26">
                  <c:v>42412</c:v>
                </c:pt>
                <c:pt idx="27">
                  <c:v>42415</c:v>
                </c:pt>
                <c:pt idx="28">
                  <c:v>42416</c:v>
                </c:pt>
                <c:pt idx="29">
                  <c:v>42417</c:v>
                </c:pt>
                <c:pt idx="30">
                  <c:v>42418</c:v>
                </c:pt>
                <c:pt idx="31">
                  <c:v>42419</c:v>
                </c:pt>
                <c:pt idx="32">
                  <c:v>42422</c:v>
                </c:pt>
                <c:pt idx="33">
                  <c:v>42423</c:v>
                </c:pt>
                <c:pt idx="34">
                  <c:v>42424</c:v>
                </c:pt>
                <c:pt idx="35">
                  <c:v>42425</c:v>
                </c:pt>
                <c:pt idx="36">
                  <c:v>42426</c:v>
                </c:pt>
                <c:pt idx="37">
                  <c:v>42429</c:v>
                </c:pt>
                <c:pt idx="38">
                  <c:v>42430</c:v>
                </c:pt>
                <c:pt idx="39">
                  <c:v>42431</c:v>
                </c:pt>
                <c:pt idx="40">
                  <c:v>42432</c:v>
                </c:pt>
                <c:pt idx="41">
                  <c:v>42433</c:v>
                </c:pt>
                <c:pt idx="42">
                  <c:v>42436</c:v>
                </c:pt>
                <c:pt idx="43">
                  <c:v>42437</c:v>
                </c:pt>
                <c:pt idx="44">
                  <c:v>42438</c:v>
                </c:pt>
                <c:pt idx="45">
                  <c:v>42439</c:v>
                </c:pt>
                <c:pt idx="46">
                  <c:v>42440</c:v>
                </c:pt>
                <c:pt idx="47">
                  <c:v>42443</c:v>
                </c:pt>
                <c:pt idx="48">
                  <c:v>42444</c:v>
                </c:pt>
                <c:pt idx="49">
                  <c:v>42445</c:v>
                </c:pt>
                <c:pt idx="50">
                  <c:v>42446</c:v>
                </c:pt>
                <c:pt idx="51">
                  <c:v>42447</c:v>
                </c:pt>
                <c:pt idx="52">
                  <c:v>42450</c:v>
                </c:pt>
                <c:pt idx="53">
                  <c:v>42451</c:v>
                </c:pt>
                <c:pt idx="54">
                  <c:v>42452</c:v>
                </c:pt>
                <c:pt idx="55">
                  <c:v>42453</c:v>
                </c:pt>
                <c:pt idx="56">
                  <c:v>42458</c:v>
                </c:pt>
                <c:pt idx="57">
                  <c:v>42459</c:v>
                </c:pt>
                <c:pt idx="58">
                  <c:v>42460</c:v>
                </c:pt>
                <c:pt idx="59">
                  <c:v>42461</c:v>
                </c:pt>
                <c:pt idx="60">
                  <c:v>42464</c:v>
                </c:pt>
                <c:pt idx="61">
                  <c:v>42465</c:v>
                </c:pt>
                <c:pt idx="62">
                  <c:v>42466</c:v>
                </c:pt>
                <c:pt idx="63">
                  <c:v>42467</c:v>
                </c:pt>
                <c:pt idx="64">
                  <c:v>42468</c:v>
                </c:pt>
                <c:pt idx="65">
                  <c:v>42471</c:v>
                </c:pt>
                <c:pt idx="66">
                  <c:v>42472</c:v>
                </c:pt>
                <c:pt idx="67">
                  <c:v>42473</c:v>
                </c:pt>
                <c:pt idx="68">
                  <c:v>42474</c:v>
                </c:pt>
                <c:pt idx="69">
                  <c:v>42475</c:v>
                </c:pt>
                <c:pt idx="70">
                  <c:v>42478</c:v>
                </c:pt>
                <c:pt idx="71">
                  <c:v>42479</c:v>
                </c:pt>
                <c:pt idx="72">
                  <c:v>42480</c:v>
                </c:pt>
                <c:pt idx="73">
                  <c:v>42481</c:v>
                </c:pt>
                <c:pt idx="74">
                  <c:v>42482</c:v>
                </c:pt>
                <c:pt idx="75">
                  <c:v>42485</c:v>
                </c:pt>
                <c:pt idx="76">
                  <c:v>42486</c:v>
                </c:pt>
                <c:pt idx="77">
                  <c:v>42487</c:v>
                </c:pt>
                <c:pt idx="78">
                  <c:v>42488</c:v>
                </c:pt>
                <c:pt idx="79">
                  <c:v>42489</c:v>
                </c:pt>
                <c:pt idx="80">
                  <c:v>42492</c:v>
                </c:pt>
                <c:pt idx="81">
                  <c:v>42493</c:v>
                </c:pt>
                <c:pt idx="82">
                  <c:v>42494</c:v>
                </c:pt>
                <c:pt idx="83">
                  <c:v>42495</c:v>
                </c:pt>
                <c:pt idx="84">
                  <c:v>42496</c:v>
                </c:pt>
                <c:pt idx="85">
                  <c:v>42499</c:v>
                </c:pt>
                <c:pt idx="86">
                  <c:v>42500</c:v>
                </c:pt>
                <c:pt idx="87">
                  <c:v>42501</c:v>
                </c:pt>
                <c:pt idx="88">
                  <c:v>42502</c:v>
                </c:pt>
                <c:pt idx="89">
                  <c:v>42503</c:v>
                </c:pt>
                <c:pt idx="90">
                  <c:v>42506</c:v>
                </c:pt>
                <c:pt idx="91">
                  <c:v>42507</c:v>
                </c:pt>
                <c:pt idx="92">
                  <c:v>42508</c:v>
                </c:pt>
                <c:pt idx="93">
                  <c:v>42509</c:v>
                </c:pt>
                <c:pt idx="94">
                  <c:v>42510</c:v>
                </c:pt>
                <c:pt idx="95">
                  <c:v>42513</c:v>
                </c:pt>
                <c:pt idx="96">
                  <c:v>42514</c:v>
                </c:pt>
                <c:pt idx="97">
                  <c:v>42515</c:v>
                </c:pt>
                <c:pt idx="98">
                  <c:v>42516</c:v>
                </c:pt>
                <c:pt idx="99">
                  <c:v>42517</c:v>
                </c:pt>
                <c:pt idx="100">
                  <c:v>42520</c:v>
                </c:pt>
                <c:pt idx="101">
                  <c:v>42521</c:v>
                </c:pt>
                <c:pt idx="102">
                  <c:v>42522</c:v>
                </c:pt>
                <c:pt idx="103">
                  <c:v>42523</c:v>
                </c:pt>
                <c:pt idx="104">
                  <c:v>42524</c:v>
                </c:pt>
                <c:pt idx="105">
                  <c:v>42527</c:v>
                </c:pt>
                <c:pt idx="106">
                  <c:v>42528</c:v>
                </c:pt>
                <c:pt idx="107">
                  <c:v>42529</c:v>
                </c:pt>
                <c:pt idx="108">
                  <c:v>42530</c:v>
                </c:pt>
                <c:pt idx="109">
                  <c:v>42531</c:v>
                </c:pt>
                <c:pt idx="110">
                  <c:v>42534</c:v>
                </c:pt>
                <c:pt idx="111">
                  <c:v>42535</c:v>
                </c:pt>
                <c:pt idx="112">
                  <c:v>42536</c:v>
                </c:pt>
                <c:pt idx="113">
                  <c:v>42537</c:v>
                </c:pt>
                <c:pt idx="114">
                  <c:v>42538</c:v>
                </c:pt>
                <c:pt idx="115">
                  <c:v>42541</c:v>
                </c:pt>
                <c:pt idx="116">
                  <c:v>42542</c:v>
                </c:pt>
                <c:pt idx="117">
                  <c:v>42543</c:v>
                </c:pt>
                <c:pt idx="118">
                  <c:v>42544</c:v>
                </c:pt>
                <c:pt idx="119">
                  <c:v>42545</c:v>
                </c:pt>
                <c:pt idx="120">
                  <c:v>42548</c:v>
                </c:pt>
                <c:pt idx="121">
                  <c:v>42549</c:v>
                </c:pt>
                <c:pt idx="122">
                  <c:v>42550</c:v>
                </c:pt>
                <c:pt idx="123">
                  <c:v>42551</c:v>
                </c:pt>
                <c:pt idx="124">
                  <c:v>42552</c:v>
                </c:pt>
                <c:pt idx="125">
                  <c:v>42555</c:v>
                </c:pt>
                <c:pt idx="126">
                  <c:v>42556</c:v>
                </c:pt>
                <c:pt idx="127">
                  <c:v>42557</c:v>
                </c:pt>
                <c:pt idx="128">
                  <c:v>42558</c:v>
                </c:pt>
                <c:pt idx="129">
                  <c:v>42559</c:v>
                </c:pt>
                <c:pt idx="130">
                  <c:v>42562</c:v>
                </c:pt>
                <c:pt idx="131">
                  <c:v>42563</c:v>
                </c:pt>
                <c:pt idx="132">
                  <c:v>42564</c:v>
                </c:pt>
                <c:pt idx="133">
                  <c:v>42565</c:v>
                </c:pt>
                <c:pt idx="134">
                  <c:v>42566</c:v>
                </c:pt>
                <c:pt idx="135">
                  <c:v>42569</c:v>
                </c:pt>
                <c:pt idx="136">
                  <c:v>42570</c:v>
                </c:pt>
                <c:pt idx="137">
                  <c:v>42571</c:v>
                </c:pt>
                <c:pt idx="138">
                  <c:v>42572</c:v>
                </c:pt>
                <c:pt idx="139">
                  <c:v>42573</c:v>
                </c:pt>
                <c:pt idx="140">
                  <c:v>42576</c:v>
                </c:pt>
                <c:pt idx="141">
                  <c:v>42577</c:v>
                </c:pt>
                <c:pt idx="142">
                  <c:v>42578</c:v>
                </c:pt>
                <c:pt idx="143">
                  <c:v>42579</c:v>
                </c:pt>
                <c:pt idx="144">
                  <c:v>42580</c:v>
                </c:pt>
                <c:pt idx="145">
                  <c:v>42583</c:v>
                </c:pt>
                <c:pt idx="146">
                  <c:v>42584</c:v>
                </c:pt>
                <c:pt idx="147">
                  <c:v>42585</c:v>
                </c:pt>
                <c:pt idx="148">
                  <c:v>42586</c:v>
                </c:pt>
                <c:pt idx="149">
                  <c:v>42587</c:v>
                </c:pt>
                <c:pt idx="150">
                  <c:v>42590</c:v>
                </c:pt>
                <c:pt idx="151">
                  <c:v>42591</c:v>
                </c:pt>
                <c:pt idx="152">
                  <c:v>42592</c:v>
                </c:pt>
                <c:pt idx="153">
                  <c:v>42593</c:v>
                </c:pt>
                <c:pt idx="154">
                  <c:v>42594</c:v>
                </c:pt>
                <c:pt idx="155">
                  <c:v>42597</c:v>
                </c:pt>
                <c:pt idx="156">
                  <c:v>42598</c:v>
                </c:pt>
                <c:pt idx="157">
                  <c:v>42599</c:v>
                </c:pt>
                <c:pt idx="158">
                  <c:v>42600</c:v>
                </c:pt>
                <c:pt idx="159">
                  <c:v>42601</c:v>
                </c:pt>
                <c:pt idx="160">
                  <c:v>42604</c:v>
                </c:pt>
                <c:pt idx="161">
                  <c:v>42605</c:v>
                </c:pt>
                <c:pt idx="162">
                  <c:v>42606</c:v>
                </c:pt>
                <c:pt idx="163">
                  <c:v>42607</c:v>
                </c:pt>
                <c:pt idx="164">
                  <c:v>42608</c:v>
                </c:pt>
                <c:pt idx="165">
                  <c:v>42611</c:v>
                </c:pt>
                <c:pt idx="166">
                  <c:v>42612</c:v>
                </c:pt>
                <c:pt idx="167">
                  <c:v>42613</c:v>
                </c:pt>
                <c:pt idx="168">
                  <c:v>42614</c:v>
                </c:pt>
                <c:pt idx="169">
                  <c:v>42615</c:v>
                </c:pt>
                <c:pt idx="170">
                  <c:v>42618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</c:numCache>
            </c:numRef>
          </c:xVal>
          <c:yVal>
            <c:numRef>
              <c:f>'3MSynthDepo_used'!$U$70:$U$262</c:f>
              <c:numCache>
                <c:formatCode>0.0000%</c:formatCode>
                <c:ptCount val="193"/>
                <c:pt idx="0">
                  <c:v>1.0864481956256898E-3</c:v>
                </c:pt>
                <c:pt idx="1">
                  <c:v>1.0878840941486302E-3</c:v>
                </c:pt>
                <c:pt idx="2">
                  <c:v>1.0921618407004001E-3</c:v>
                </c:pt>
                <c:pt idx="3">
                  <c:v>1.0935778096017174E-3</c:v>
                </c:pt>
                <c:pt idx="4">
                  <c:v>1.0949888233899373E-3</c:v>
                </c:pt>
                <c:pt idx="5">
                  <c:v>1.0963948929819827E-3</c:v>
                </c:pt>
                <c:pt idx="6">
                  <c:v>1.0977960292947774E-3</c:v>
                </c:pt>
                <c:pt idx="7">
                  <c:v>1.1019699477268898E-3</c:v>
                </c:pt>
                <c:pt idx="8">
                  <c:v>1.1033514600919142E-3</c:v>
                </c:pt>
                <c:pt idx="9">
                  <c:v>1.1047280937623049E-3</c:v>
                </c:pt>
                <c:pt idx="10">
                  <c:v>1.1060998596549849E-3</c:v>
                </c:pt>
                <c:pt idx="11">
                  <c:v>1.1074667686868773E-3</c:v>
                </c:pt>
                <c:pt idx="12">
                  <c:v>1.111538463787063E-3</c:v>
                </c:pt>
                <c:pt idx="13">
                  <c:v>1.1128860545450393E-3</c:v>
                </c:pt>
                <c:pt idx="14">
                  <c:v>1.1142288430268446E-3</c:v>
                </c:pt>
                <c:pt idx="15">
                  <c:v>1.1155668401494024E-3</c:v>
                </c:pt>
                <c:pt idx="16">
                  <c:v>1.1169000568296361E-3</c:v>
                </c:pt>
                <c:pt idx="17">
                  <c:v>1.1208711333856266E-3</c:v>
                </c:pt>
                <c:pt idx="18">
                  <c:v>1.1221853374657976E-3</c:v>
                </c:pt>
                <c:pt idx="19">
                  <c:v>1.1234948156882613E-3</c:v>
                </c:pt>
                <c:pt idx="20">
                  <c:v>1.1247995789699411E-3</c:v>
                </c:pt>
                <c:pt idx="21">
                  <c:v>1.1260996382277599E-3</c:v>
                </c:pt>
                <c:pt idx="22">
                  <c:v>1.1299717010272864E-3</c:v>
                </c:pt>
                <c:pt idx="23">
                  <c:v>1.1312530533588963E-3</c:v>
                </c:pt>
                <c:pt idx="24">
                  <c:v>1.1325297562512621E-3</c:v>
                </c:pt>
                <c:pt idx="25">
                  <c:v>1.1338018206213071E-3</c:v>
                </c:pt>
                <c:pt idx="26">
                  <c:v>1.135069257385955E-3</c:v>
                </c:pt>
                <c:pt idx="27">
                  <c:v>1.1388439112167484E-3</c:v>
                </c:pt>
                <c:pt idx="28">
                  <c:v>1.1400929467290408E-3</c:v>
                </c:pt>
                <c:pt idx="29">
                  <c:v>1.1413374092205523E-3</c:v>
                </c:pt>
                <c:pt idx="30">
                  <c:v>1.1425773096082066E-3</c:v>
                </c:pt>
                <c:pt idx="31">
                  <c:v>1.143812658808927E-3</c:v>
                </c:pt>
                <c:pt idx="32">
                  <c:v>1.1474915084587188E-3</c:v>
                </c:pt>
                <c:pt idx="33">
                  <c:v>1.1487087620809368E-3</c:v>
                </c:pt>
                <c:pt idx="34">
                  <c:v>1.1499215191008382E-3</c:v>
                </c:pt>
                <c:pt idx="35">
                  <c:v>1.1511297904353455E-3</c:v>
                </c:pt>
                <c:pt idx="36">
                  <c:v>1.1523335870013821E-3</c:v>
                </c:pt>
                <c:pt idx="37">
                  <c:v>1.1559182372579029E-3</c:v>
                </c:pt>
                <c:pt idx="38">
                  <c:v>1.1571042439192914E-3</c:v>
                </c:pt>
                <c:pt idx="39">
                  <c:v>1.158285830396826E-3</c:v>
                </c:pt>
                <c:pt idx="40">
                  <c:v>1.1594630076074298E-3</c:v>
                </c:pt>
                <c:pt idx="41">
                  <c:v>1.1606357864680267E-3</c:v>
                </c:pt>
                <c:pt idx="42">
                  <c:v>1.1641278421190078E-3</c:v>
                </c:pt>
                <c:pt idx="43">
                  <c:v>1.1652831367488098E-3</c:v>
                </c:pt>
                <c:pt idx="44">
                  <c:v>1.166434087613221E-3</c:v>
                </c:pt>
                <c:pt idx="45">
                  <c:v>1.1675807056291654E-3</c:v>
                </c:pt>
                <c:pt idx="46">
                  <c:v>1.1687230017135663E-3</c:v>
                </c:pt>
                <c:pt idx="47">
                  <c:v>1.1721240675467391E-3</c:v>
                </c:pt>
                <c:pt idx="48">
                  <c:v>1.1732491850741983E-3</c:v>
                </c:pt>
                <c:pt idx="49">
                  <c:v>1.1743700352547304E-3</c:v>
                </c:pt>
                <c:pt idx="50">
                  <c:v>1.175486629005259E-3</c:v>
                </c:pt>
                <c:pt idx="51">
                  <c:v>1.1765989772427072E-3</c:v>
                </c:pt>
                <c:pt idx="52">
                  <c:v>1.1799106580458029E-3</c:v>
                </c:pt>
                <c:pt idx="53">
                  <c:v>1.1810061334001632E-3</c:v>
                </c:pt>
                <c:pt idx="54">
                  <c:v>1.1820974178260594E-3</c:v>
                </c:pt>
                <c:pt idx="55">
                  <c:v>1.1831845222404159E-3</c:v>
                </c:pt>
                <c:pt idx="56">
                  <c:v>1.1885577262314099E-3</c:v>
                </c:pt>
                <c:pt idx="57">
                  <c:v>1.1896199798319147E-3</c:v>
                </c:pt>
                <c:pt idx="58">
                  <c:v>1.1906781298393423E-3</c:v>
                </c:pt>
                <c:pt idx="59">
                  <c:v>1.1917321871706167E-3</c:v>
                </c:pt>
                <c:pt idx="60">
                  <c:v>1.1948699122767516E-3</c:v>
                </c:pt>
                <c:pt idx="61">
                  <c:v>1.1959077080726452E-3</c:v>
                </c:pt>
                <c:pt idx="62">
                  <c:v>1.1969414657770016E-3</c:v>
                </c:pt>
                <c:pt idx="63">
                  <c:v>1.1979711963067449E-3</c:v>
                </c:pt>
                <c:pt idx="64">
                  <c:v>1.1989969105787978E-3</c:v>
                </c:pt>
                <c:pt idx="65">
                  <c:v>1.2020500650180492E-3</c:v>
                </c:pt>
                <c:pt idx="66">
                  <c:v>1.2030598234285747E-3</c:v>
                </c:pt>
                <c:pt idx="67">
                  <c:v>1.2040656201660269E-3</c:v>
                </c:pt>
                <c:pt idx="68">
                  <c:v>1.2050674661473291E-3</c:v>
                </c:pt>
                <c:pt idx="69">
                  <c:v>1.2060653722894043E-3</c:v>
                </c:pt>
                <c:pt idx="70">
                  <c:v>1.2090355608495029E-3</c:v>
                </c:pt>
                <c:pt idx="71">
                  <c:v>1.2100178168039045E-3</c:v>
                </c:pt>
                <c:pt idx="72">
                  <c:v>1.2109961875036962E-3</c:v>
                </c:pt>
                <c:pt idx="73">
                  <c:v>1.2119706838658009E-3</c:v>
                </c:pt>
                <c:pt idx="74">
                  <c:v>1.2129413168071423E-3</c:v>
                </c:pt>
                <c:pt idx="75">
                  <c:v>1.2158301442758196E-3</c:v>
                </c:pt>
                <c:pt idx="76">
                  <c:v>1.216785432703341E-3</c:v>
                </c:pt>
                <c:pt idx="77">
                  <c:v>1.2177369122947155E-3</c:v>
                </c:pt>
                <c:pt idx="78">
                  <c:v>1.2186845939668668E-3</c:v>
                </c:pt>
                <c:pt idx="79">
                  <c:v>1.2196284886367181E-3</c:v>
                </c:pt>
                <c:pt idx="80">
                  <c:v>1.2224375598017053E-3</c:v>
                </c:pt>
                <c:pt idx="81">
                  <c:v>1.2233664156315897E-3</c:v>
                </c:pt>
                <c:pt idx="82">
                  <c:v>1.2242915390437911E-3</c:v>
                </c:pt>
                <c:pt idx="83">
                  <c:v>1.2252129409552326E-3</c:v>
                </c:pt>
                <c:pt idx="84">
                  <c:v>1.2261306322828374E-3</c:v>
                </c:pt>
                <c:pt idx="85">
                  <c:v>1.2288615519318656E-3</c:v>
                </c:pt>
                <c:pt idx="86">
                  <c:v>1.229764510093357E-3</c:v>
                </c:pt>
                <c:pt idx="87">
                  <c:v>1.2306638122556292E-3</c:v>
                </c:pt>
                <c:pt idx="88">
                  <c:v>1.2315594693356044E-3</c:v>
                </c:pt>
                <c:pt idx="89">
                  <c:v>1.2324514922502064E-3</c:v>
                </c:pt>
                <c:pt idx="90">
                  <c:v>1.2351058651710067E-3</c:v>
                </c:pt>
                <c:pt idx="91">
                  <c:v>1.235983460593349E-3</c:v>
                </c:pt>
                <c:pt idx="92">
                  <c:v>1.2368574764349352E-3</c:v>
                </c:pt>
                <c:pt idx="93">
                  <c:v>1.2377279236126877E-3</c:v>
                </c:pt>
                <c:pt idx="94">
                  <c:v>1.2385948130435309E-3</c:v>
                </c:pt>
                <c:pt idx="95">
                  <c:v>1.2411742440238346E-3</c:v>
                </c:pt>
                <c:pt idx="96">
                  <c:v>1.2420270116362717E-3</c:v>
                </c:pt>
                <c:pt idx="97">
                  <c:v>1.2428762760864156E-3</c:v>
                </c:pt>
                <c:pt idx="98">
                  <c:v>1.2437220482911899E-3</c:v>
                </c:pt>
                <c:pt idx="99">
                  <c:v>1.2445643391675177E-3</c:v>
                </c:pt>
                <c:pt idx="100">
                  <c:v>1.2470704329950557E-3</c:v>
                </c:pt>
                <c:pt idx="101">
                  <c:v>1.2478989077268311E-3</c:v>
                </c:pt>
                <c:pt idx="102">
                  <c:v>1.2487239557147766E-3</c:v>
                </c:pt>
                <c:pt idx="103">
                  <c:v>1.2495455878758159E-3</c:v>
                </c:pt>
                <c:pt idx="104">
                  <c:v>1.250363815126872E-3</c:v>
                </c:pt>
                <c:pt idx="105">
                  <c:v>1.2527981765893756E-3</c:v>
                </c:pt>
                <c:pt idx="106">
                  <c:v>1.2536028933697329E-3</c:v>
                </c:pt>
                <c:pt idx="107">
                  <c:v>1.254404259824724E-3</c:v>
                </c:pt>
                <c:pt idx="108">
                  <c:v>1.2552022868712719E-3</c:v>
                </c:pt>
                <c:pt idx="109">
                  <c:v>1.2559969854263003E-3</c:v>
                </c:pt>
                <c:pt idx="110">
                  <c:v>1.2583612193115005E-3</c:v>
                </c:pt>
                <c:pt idx="111">
                  <c:v>1.2591427130696838E-3</c:v>
                </c:pt>
                <c:pt idx="112">
                  <c:v>1.2599209329209639E-3</c:v>
                </c:pt>
                <c:pt idx="113">
                  <c:v>1.2606958897822644E-3</c:v>
                </c:pt>
                <c:pt idx="114">
                  <c:v>1.2614675945705088E-3</c:v>
                </c:pt>
                <c:pt idx="115">
                  <c:v>1.2637633056661371E-3</c:v>
                </c:pt>
                <c:pt idx="116">
                  <c:v>1.2645221113313893E-3</c:v>
                </c:pt>
                <c:pt idx="117">
                  <c:v>1.2652777195082023E-3</c:v>
                </c:pt>
                <c:pt idx="118">
                  <c:v>1.2660301411134989E-3</c:v>
                </c:pt>
                <c:pt idx="119">
                  <c:v>1.2667793870642027E-3</c:v>
                </c:pt>
                <c:pt idx="120">
                  <c:v>1.2690081801579902E-3</c:v>
                </c:pt>
                <c:pt idx="121">
                  <c:v>1.2697448326595556E-3</c:v>
                </c:pt>
                <c:pt idx="122">
                  <c:v>1.2704783640911455E-3</c:v>
                </c:pt>
                <c:pt idx="123">
                  <c:v>1.2712087853696821E-3</c:v>
                </c:pt>
                <c:pt idx="124">
                  <c:v>1.271936107412089E-3</c:v>
                </c:pt>
                <c:pt idx="125">
                  <c:v>1.2740995872917665E-3</c:v>
                </c:pt>
                <c:pt idx="126">
                  <c:v>1.2748146215588894E-3</c:v>
                </c:pt>
                <c:pt idx="127">
                  <c:v>1.2755266111744989E-3</c:v>
                </c:pt>
                <c:pt idx="128">
                  <c:v>1.2762355670555192E-3</c:v>
                </c:pt>
                <c:pt idx="129">
                  <c:v>1.2769415001188734E-3</c:v>
                </c:pt>
                <c:pt idx="130">
                  <c:v>1.2790412715721728E-3</c:v>
                </c:pt>
                <c:pt idx="131">
                  <c:v>1.2797352225340957E-3</c:v>
                </c:pt>
                <c:pt idx="132">
                  <c:v>1.2804262052629695E-3</c:v>
                </c:pt>
                <c:pt idx="133">
                  <c:v>1.2811142306757173E-3</c:v>
                </c:pt>
                <c:pt idx="134">
                  <c:v>1.2817993096892622E-3</c:v>
                </c:pt>
                <c:pt idx="135">
                  <c:v>1.283836977503914E-3</c:v>
                </c:pt>
                <c:pt idx="136">
                  <c:v>1.2845103800898812E-3</c:v>
                </c:pt>
                <c:pt idx="137">
                  <c:v>1.2851808908612627E-3</c:v>
                </c:pt>
                <c:pt idx="138">
                  <c:v>1.2858485207349814E-3</c:v>
                </c:pt>
                <c:pt idx="139">
                  <c:v>1.2865132806279607E-3</c:v>
                </c:pt>
                <c:pt idx="140">
                  <c:v>1.2884904495916963E-3</c:v>
                </c:pt>
                <c:pt idx="141">
                  <c:v>1.2891438387309521E-3</c:v>
                </c:pt>
                <c:pt idx="142">
                  <c:v>1.2897944124740848E-3</c:v>
                </c:pt>
                <c:pt idx="143">
                  <c:v>1.2904421817380184E-3</c:v>
                </c:pt>
                <c:pt idx="144">
                  <c:v>1.2910871574396761E-3</c:v>
                </c:pt>
                <c:pt idx="145">
                  <c:v>1.2930054323402264E-3</c:v>
                </c:pt>
                <c:pt idx="146">
                  <c:v>1.2936393429620139E-3</c:v>
                </c:pt>
                <c:pt idx="147">
                  <c:v>1.2942705146061415E-3</c:v>
                </c:pt>
                <c:pt idx="148">
                  <c:v>1.2948989581895336E-3</c:v>
                </c:pt>
                <c:pt idx="149">
                  <c:v>1.2955246846291133E-3</c:v>
                </c:pt>
                <c:pt idx="150">
                  <c:v>1.2973856702542098E-3</c:v>
                </c:pt>
                <c:pt idx="151">
                  <c:v>1.2980006372877726E-3</c:v>
                </c:pt>
                <c:pt idx="152">
                  <c:v>1.2986129417621396E-3</c:v>
                </c:pt>
                <c:pt idx="153">
                  <c:v>1.2992225945942339E-3</c:v>
                </c:pt>
                <c:pt idx="154">
                  <c:v>1.2998296067009789E-3</c:v>
                </c:pt>
                <c:pt idx="155">
                  <c:v>1.301634907838353E-3</c:v>
                </c:pt>
                <c:pt idx="156">
                  <c:v>1.3022314662129348E-3</c:v>
                </c:pt>
                <c:pt idx="157">
                  <c:v>1.3028254384467844E-3</c:v>
                </c:pt>
                <c:pt idx="158">
                  <c:v>1.3034168354568245E-3</c:v>
                </c:pt>
                <c:pt idx="159">
                  <c:v>1.304005668159979E-3</c:v>
                </c:pt>
                <c:pt idx="160">
                  <c:v>1.3057568895973614E-3</c:v>
                </c:pt>
                <c:pt idx="161">
                  <c:v>1.3063355742422064E-3</c:v>
                </c:pt>
                <c:pt idx="162">
                  <c:v>1.3069117491647821E-3</c:v>
                </c:pt>
                <c:pt idx="163">
                  <c:v>1.3074854252820118E-3</c:v>
                </c:pt>
                <c:pt idx="164">
                  <c:v>1.30805661351082E-3</c:v>
                </c:pt>
                <c:pt idx="165">
                  <c:v>1.3097553600359419E-3</c:v>
                </c:pt>
                <c:pt idx="166">
                  <c:v>1.3103167058802932E-3</c:v>
                </c:pt>
                <c:pt idx="167">
                  <c:v>1.310875618420839E-3</c:v>
                </c:pt>
                <c:pt idx="168">
                  <c:v>1.3114321085745026E-3</c:v>
                </c:pt>
                <c:pt idx="169">
                  <c:v>1.3119861872582068E-3</c:v>
                </c:pt>
                <c:pt idx="170">
                  <c:v>1.3136340636587995E-3</c:v>
                </c:pt>
                <c:pt idx="171">
                  <c:v>1.3141786056319012E-3</c:v>
                </c:pt>
                <c:pt idx="172">
                  <c:v>1.3147207907196611E-3</c:v>
                </c:pt>
                <c:pt idx="173">
                  <c:v>1.3152606298390014E-3</c:v>
                </c:pt>
                <c:pt idx="174">
                  <c:v>1.3157981339068463E-3</c:v>
                </c:pt>
                <c:pt idx="175">
                  <c:v>1.3173967449706409E-3</c:v>
                </c:pt>
                <c:pt idx="176">
                  <c:v>1.317925018001737E-3</c:v>
                </c:pt>
                <c:pt idx="177">
                  <c:v>1.3184510105659541E-3</c:v>
                </c:pt>
                <c:pt idx="178">
                  <c:v>1.3189747335802156E-3</c:v>
                </c:pt>
                <c:pt idx="179">
                  <c:v>1.3194961979614446E-3</c:v>
                </c:pt>
                <c:pt idx="180">
                  <c:v>1.3210471484761724E-3</c:v>
                </c:pt>
                <c:pt idx="181">
                  <c:v>1.3215596874945063E-3</c:v>
                </c:pt>
                <c:pt idx="182">
                  <c:v>1.3220700224644243E-3</c:v>
                </c:pt>
                <c:pt idx="183">
                  <c:v>1.3225781643028507E-3</c:v>
                </c:pt>
                <c:pt idx="184">
                  <c:v>1.3230841239267076E-3</c:v>
                </c:pt>
                <c:pt idx="185">
                  <c:v>1.3245890186800999E-3</c:v>
                </c:pt>
                <c:pt idx="186">
                  <c:v>1.3250863586149149E-3</c:v>
                </c:pt>
                <c:pt idx="187">
                  <c:v>1.3255815709197782E-3</c:v>
                </c:pt>
                <c:pt idx="188">
                  <c:v>1.3260746665116124E-3</c:v>
                </c:pt>
                <c:pt idx="189">
                  <c:v>1.3265656563073414E-3</c:v>
                </c:pt>
                <c:pt idx="190">
                  <c:v>1.3280261000871289E-3</c:v>
                </c:pt>
                <c:pt idx="191">
                  <c:v>1.3285087758676693E-3</c:v>
                </c:pt>
                <c:pt idx="192">
                  <c:v>1.3289894004367211E-3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93792"/>
        <c:axId val="140599680"/>
      </c:scatterChart>
      <c:valAx>
        <c:axId val="1405937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0599680"/>
        <c:crosses val="autoZero"/>
        <c:crossBetween val="midCat"/>
      </c:valAx>
      <c:valAx>
        <c:axId val="14059968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059379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4341151726895061"/>
          <c:y val="0.39793589936640678"/>
          <c:w val="0.19328056178408162"/>
          <c:h val="0.11319504807091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'3MSynthDepo_allScenario'!$BE$6:$BE$135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'3MSynthDepo_allScenario'!$BF$6:$BF$135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'3MSynthDepo_allScenario'!$BG$6:$BG$135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'3MSynthDepo_allScenario'!$BH$6:$BH$135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77888"/>
        <c:axId val="141087872"/>
      </c:lineChart>
      <c:dateAx>
        <c:axId val="1410778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4108787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1410878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410778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'3MSynthDepo_allScenario'!$BI$6:$BI$135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'3MSynthDepo_allScenario'!$BJ$6:$BJ$135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'3MSynthDepo_allScenario'!$BK$6:$BK$135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'3MSynthDepo_allScenario'!$BL$6:$BL$135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335040"/>
        <c:axId val="171336832"/>
      </c:lineChart>
      <c:dateAx>
        <c:axId val="17133504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7133683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17133683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1335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'3MSynthDepo_allScenario'!$BM$6:$BM$135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'3MSynthDepo_allScenario'!$BN$6:$BN$135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'3MSynthDepo_allScenario'!$BO$6:$BO$135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'3MSynthDepo_allScenario'!$BP$6:$BP$135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'3MSynthDepo_allScenario'!$BQ$5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'3MSynthDepo_allScenario'!$BQ$6:$BQ$135</c:f>
              <c:numCache>
                <c:formatCode>0.0000%</c:formatCode>
                <c:ptCount val="130"/>
                <c:pt idx="0">
                  <c:v>9.2169452529223357E-4</c:v>
                </c:pt>
                <c:pt idx="1">
                  <c:v>9.2767592732932713E-4</c:v>
                </c:pt>
                <c:pt idx="2">
                  <c:v>9.2965730433987542E-4</c:v>
                </c:pt>
                <c:pt idx="3">
                  <c:v>9.3163248847975215E-4</c:v>
                </c:pt>
                <c:pt idx="4">
                  <c:v>9.3360149112709976E-4</c:v>
                </c:pt>
                <c:pt idx="5">
                  <c:v>9.3556432366006007E-4</c:v>
                </c:pt>
                <c:pt idx="6">
                  <c:v>9.4141591435403782E-4</c:v>
                </c:pt>
                <c:pt idx="7">
                  <c:v>9.4335418021086965E-4</c:v>
                </c:pt>
                <c:pt idx="8">
                  <c:v>9.4528633284402441E-4</c:v>
                </c:pt>
                <c:pt idx="9">
                  <c:v>9.4721238363164447E-4</c:v>
                </c:pt>
                <c:pt idx="10">
                  <c:v>9.4913234395187143E-4</c:v>
                </c:pt>
                <c:pt idx="11">
                  <c:v>9.5485579588961626E-4</c:v>
                </c:pt>
                <c:pt idx="12">
                  <c:v>9.5675150812169266E-4</c:v>
                </c:pt>
                <c:pt idx="13">
                  <c:v>9.586411867770864E-4</c:v>
                </c:pt>
                <c:pt idx="14">
                  <c:v>9.6052484323393963E-4</c:v>
                </c:pt>
                <c:pt idx="15">
                  <c:v>9.6240248887039448E-4</c:v>
                </c:pt>
                <c:pt idx="16">
                  <c:v>9.6799947463878898E-4</c:v>
                </c:pt>
                <c:pt idx="17">
                  <c:v>9.6985319077507088E-4</c:v>
                </c:pt>
                <c:pt idx="18">
                  <c:v>9.7170095298166432E-4</c:v>
                </c:pt>
                <c:pt idx="19">
                  <c:v>9.7354277263671186E-4</c:v>
                </c:pt>
                <c:pt idx="20">
                  <c:v>9.7537866111835532E-4</c:v>
                </c:pt>
                <c:pt idx="21">
                  <c:v>9.8085085330428239E-4</c:v>
                </c:pt>
                <c:pt idx="22">
                  <c:v>9.8266313087373041E-4</c:v>
                </c:pt>
                <c:pt idx="23">
                  <c:v>9.8446953416048469E-4</c:v>
                </c:pt>
                <c:pt idx="24">
                  <c:v>9.8627007454268737E-4</c:v>
                </c:pt>
                <c:pt idx="25">
                  <c:v>9.8806476339848058E-4</c:v>
                </c:pt>
                <c:pt idx="26">
                  <c:v>9.9341383458882281E-4</c:v>
                </c:pt>
                <c:pt idx="27">
                  <c:v>9.9518523112039799E-4</c:v>
                </c:pt>
                <c:pt idx="28">
                  <c:v>9.9695083301627415E-4</c:v>
                </c:pt>
                <c:pt idx="29">
                  <c:v>9.9871065165459279E-4</c:v>
                </c:pt>
                <c:pt idx="30">
                  <c:v>1.0004646984134967E-3</c:v>
                </c:pt>
                <c:pt idx="31">
                  <c:v>1.0056923211951365E-3</c:v>
                </c:pt>
                <c:pt idx="32">
                  <c:v>1.0074233942178002E-3</c:v>
                </c:pt>
                <c:pt idx="33">
                  <c:v>1.009148752251759E-3</c:v>
                </c:pt>
                <c:pt idx="34">
                  <c:v>1.0108684066751548E-3</c:v>
                </c:pt>
                <c:pt idx="35">
                  <c:v>1.0125823688661299E-3</c:v>
                </c:pt>
                <c:pt idx="36">
                  <c:v>1.0176902158259506E-3</c:v>
                </c:pt>
                <c:pt idx="37">
                  <c:v>1.0193815228686633E-3</c:v>
                </c:pt>
                <c:pt idx="38">
                  <c:v>1.0210671945696654E-3</c:v>
                </c:pt>
                <c:pt idx="39">
                  <c:v>1.0227472423070991E-3</c:v>
                </c:pt>
                <c:pt idx="40">
                  <c:v>1.0244216774591064E-3</c:v>
                </c:pt>
                <c:pt idx="41">
                  <c:v>1.0294114211839909E-3</c:v>
                </c:pt>
                <c:pt idx="42">
                  <c:v>1.0310635197757136E-3</c:v>
                </c:pt>
                <c:pt idx="43">
                  <c:v>1.0327100626727201E-3</c:v>
                </c:pt>
                <c:pt idx="44">
                  <c:v>1.0343510612531527E-3</c:v>
                </c:pt>
                <c:pt idx="45">
                  <c:v>1.0359865268951532E-3</c:v>
                </c:pt>
                <c:pt idx="46">
                  <c:v>1.0408598399719842E-3</c:v>
                </c:pt>
                <c:pt idx="47">
                  <c:v>1.0424732876416775E-3</c:v>
                </c:pt>
                <c:pt idx="48">
                  <c:v>1.0440812592636493E-3</c:v>
                </c:pt>
                <c:pt idx="49">
                  <c:v>1.0456837662160417E-3</c:v>
                </c:pt>
                <c:pt idx="50">
                  <c:v>1.0472808198769964E-3</c:v>
                </c:pt>
                <c:pt idx="51">
                  <c:v>1.0520393748926565E-3</c:v>
                </c:pt>
                <c:pt idx="52">
                  <c:v>1.0536147291692816E-3</c:v>
                </c:pt>
                <c:pt idx="53">
                  <c:v>1.0551846870451799E-3</c:v>
                </c:pt>
                <c:pt idx="54">
                  <c:v>1.0567492598984928E-3</c:v>
                </c:pt>
                <c:pt idx="55">
                  <c:v>1.0583084591073626E-3</c:v>
                </c:pt>
                <c:pt idx="56">
                  <c:v>1.0629539286487342E-3</c:v>
                </c:pt>
                <c:pt idx="57">
                  <c:v>1.0644917470612524E-3</c:v>
                </c:pt>
                <c:pt idx="58">
                  <c:v>1.0660242487200377E-3</c:v>
                </c:pt>
                <c:pt idx="59">
                  <c:v>1.0675514450032323E-3</c:v>
                </c:pt>
                <c:pt idx="60">
                  <c:v>1.0736074039429443E-3</c:v>
                </c:pt>
                <c:pt idx="61">
                  <c:v>1.0751082440203161E-3</c:v>
                </c:pt>
                <c:pt idx="62">
                  <c:v>1.0766038469909496E-3</c:v>
                </c:pt>
                <c:pt idx="63">
                  <c:v>1.0780942242329867E-3</c:v>
                </c:pt>
                <c:pt idx="64">
                  <c:v>1.0840037034780129E-3</c:v>
                </c:pt>
                <c:pt idx="65">
                  <c:v>1.0854681227491995E-3</c:v>
                </c:pt>
                <c:pt idx="66">
                  <c:v>1.0869273845606419E-3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329664"/>
        <c:axId val="367331200"/>
      </c:lineChart>
      <c:dateAx>
        <c:axId val="36732966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67331200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6733120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7329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'12MSynthDepo_used'!$G$4</c:f>
              <c:numCache>
                <c:formatCode>d\-mmm\-yy</c:formatCode>
                <c:ptCount val="1"/>
                <c:pt idx="0">
                  <c:v>42279</c:v>
                </c:pt>
              </c:numCache>
            </c:numRef>
          </c:xVal>
          <c:yVal>
            <c:numRef>
              <c:f>'12MSynthDepo_used'!$K$4</c:f>
              <c:numCache>
                <c:formatCode>0.0000%</c:formatCode>
                <c:ptCount val="1"/>
                <c:pt idx="0">
                  <c:v>3.1472425857299799E-3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'12MSynthDepo_used'!$G$5:$G$16</c:f>
              <c:numCache>
                <c:formatCode>d\-mmm\-yy</c:formatCode>
                <c:ptCount val="12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42492</c:v>
                </c:pt>
                <c:pt idx="7">
                  <c:v>42523</c:v>
                </c:pt>
                <c:pt idx="8">
                  <c:v>42555</c:v>
                </c:pt>
                <c:pt idx="9">
                  <c:v>42584</c:v>
                </c:pt>
                <c:pt idx="10">
                  <c:v>42615</c:v>
                </c:pt>
                <c:pt idx="11">
                  <c:v>42646</c:v>
                </c:pt>
              </c:numCache>
            </c:numRef>
          </c:xVal>
          <c:yVal>
            <c:numRef>
              <c:f>'12MSynthDepo_used'!$K$5:$K$16</c:f>
              <c:numCache>
                <c:formatCode>0.0000%</c:formatCode>
                <c:ptCount val="12"/>
                <c:pt idx="0">
                  <c:v>3.1763168734115169E-3</c:v>
                </c:pt>
                <c:pt idx="1">
                  <c:v>3.2169737826632334E-3</c:v>
                </c:pt>
                <c:pt idx="2">
                  <c:v>3.2709412400042963E-3</c:v>
                </c:pt>
                <c:pt idx="3">
                  <c:v>3.3333962313760838E-3</c:v>
                </c:pt>
                <c:pt idx="4">
                  <c:v>3.3770579215961489E-3</c:v>
                </c:pt>
                <c:pt idx="5">
                  <c:v>3.4421511343135894E-3</c:v>
                </c:pt>
                <c:pt idx="6">
                  <c:v>3.4972827749870689E-3</c:v>
                </c:pt>
                <c:pt idx="7">
                  <c:v>3.5408774204147217E-3</c:v>
                </c:pt>
                <c:pt idx="8">
                  <c:v>3.5912961242530847E-3</c:v>
                </c:pt>
                <c:pt idx="9">
                  <c:v>3.6344502704281898E-3</c:v>
                </c:pt>
                <c:pt idx="10">
                  <c:v>3.6720079493725252E-3</c:v>
                </c:pt>
                <c:pt idx="11">
                  <c:v>3.7212001724411668E-3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'12MSynthDepo_used'!$S$2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'12MSynthDepo_used'!$R$3:$R$262</c:f>
              <c:numCache>
                <c:formatCode>d\-mmm\-yy</c:formatCode>
                <c:ptCount val="26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</c:numCache>
            </c:numRef>
          </c:xVal>
          <c:yVal>
            <c:numRef>
              <c:f>'12MSynthDepo_used'!$S$3:$S$262</c:f>
              <c:numCache>
                <c:formatCode>0.0000%</c:formatCode>
                <c:ptCount val="260"/>
                <c:pt idx="0">
                  <c:v>3.1306454608112906E-3</c:v>
                </c:pt>
                <c:pt idx="1">
                  <c:v>3.1354999951303171E-3</c:v>
                </c:pt>
                <c:pt idx="2">
                  <c:v>3.137119527170708E-3</c:v>
                </c:pt>
                <c:pt idx="3">
                  <c:v>3.1387397277827071E-3</c:v>
                </c:pt>
                <c:pt idx="4">
                  <c:v>3.1403605919290653E-3</c:v>
                </c:pt>
                <c:pt idx="5">
                  <c:v>3.1419821145725322E-3</c:v>
                </c:pt>
                <c:pt idx="6">
                  <c:v>3.14685058311309E-3</c:v>
                </c:pt>
                <c:pt idx="7">
                  <c:v>3.1484746893724958E-3</c:v>
                </c:pt>
                <c:pt idx="8">
                  <c:v>3.1500994289427619E-3</c:v>
                </c:pt>
                <c:pt idx="9">
                  <c:v>3.1517247967866391E-3</c:v>
                </c:pt>
                <c:pt idx="10">
                  <c:v>3.1533507878668773E-3</c:v>
                </c:pt>
                <c:pt idx="11">
                  <c:v>3.1582324501532632E-3</c:v>
                </c:pt>
                <c:pt idx="12">
                  <c:v>3.159860883806449E-3</c:v>
                </c:pt>
                <c:pt idx="13">
                  <c:v>3.1614899155097483E-3</c:v>
                </c:pt>
                <c:pt idx="14">
                  <c:v>3.1631195402259103E-3</c:v>
                </c:pt>
                <c:pt idx="15">
                  <c:v>3.1647497529176858E-3</c:v>
                </c:pt>
                <c:pt idx="16">
                  <c:v>3.169643868474196E-3</c:v>
                </c:pt>
                <c:pt idx="17">
                  <c:v>3.1712763826959281E-3</c:v>
                </c:pt>
                <c:pt idx="18">
                  <c:v>3.1729094597070257E-3</c:v>
                </c:pt>
                <c:pt idx="19">
                  <c:v>3.1745430944702373E-3</c:v>
                </c:pt>
                <c:pt idx="20">
                  <c:v>3.1761772819483159E-3</c:v>
                </c:pt>
                <c:pt idx="21">
                  <c:v>3.1810831102992471E-3</c:v>
                </c:pt>
                <c:pt idx="22">
                  <c:v>3.1827194582642908E-3</c:v>
                </c:pt>
                <c:pt idx="23">
                  <c:v>3.184356333757952E-3</c:v>
                </c:pt>
                <c:pt idx="24">
                  <c:v>3.1859937317429803E-3</c:v>
                </c:pt>
                <c:pt idx="25">
                  <c:v>3.1876316471821267E-3</c:v>
                </c:pt>
                <c:pt idx="26">
                  <c:v>3.1925484478517755E-3</c:v>
                </c:pt>
                <c:pt idx="27">
                  <c:v>3.1941883827348969E-3</c:v>
                </c:pt>
                <c:pt idx="28">
                  <c:v>3.1958288098858866E-3</c:v>
                </c:pt>
                <c:pt idx="29">
                  <c:v>3.1974697242674963E-3</c:v>
                </c:pt>
                <c:pt idx="30">
                  <c:v>3.1991111208424768E-3</c:v>
                </c:pt>
                <c:pt idx="31">
                  <c:v>3.2040381533551404E-3</c:v>
                </c:pt>
                <c:pt idx="32">
                  <c:v>3.2056814283311038E-3</c:v>
                </c:pt>
                <c:pt idx="33">
                  <c:v>3.207325160314189E-3</c:v>
                </c:pt>
                <c:pt idx="34">
                  <c:v>3.2089693442671464E-3</c:v>
                </c:pt>
                <c:pt idx="35">
                  <c:v>3.2106139751527252E-3</c:v>
                </c:pt>
                <c:pt idx="36">
                  <c:v>3.2155504990326999E-3</c:v>
                </c:pt>
                <c:pt idx="37">
                  <c:v>3.2171968672762715E-3</c:v>
                </c:pt>
                <c:pt idx="38">
                  <c:v>3.2188436572662175E-3</c:v>
                </c:pt>
                <c:pt idx="39">
                  <c:v>3.2204908639652872E-3</c:v>
                </c:pt>
                <c:pt idx="40">
                  <c:v>3.2221384823362307E-3</c:v>
                </c:pt>
                <c:pt idx="41">
                  <c:v>3.2270837571078143E-3</c:v>
                </c:pt>
                <c:pt idx="42">
                  <c:v>3.228732971793759E-3</c:v>
                </c:pt>
                <c:pt idx="43">
                  <c:v>3.230382572965331E-3</c:v>
                </c:pt>
                <c:pt idx="44">
                  <c:v>3.2320325555852789E-3</c:v>
                </c:pt>
                <c:pt idx="45">
                  <c:v>3.2336829146163526E-3</c:v>
                </c:pt>
                <c:pt idx="46">
                  <c:v>3.2386361998038406E-3</c:v>
                </c:pt>
                <c:pt idx="47">
                  <c:v>3.2402880141069249E-3</c:v>
                </c:pt>
                <c:pt idx="48">
                  <c:v>3.2419401796348881E-3</c:v>
                </c:pt>
                <c:pt idx="49">
                  <c:v>3.2435926913504795E-3</c:v>
                </c:pt>
                <c:pt idx="50">
                  <c:v>3.2452455442164505E-3</c:v>
                </c:pt>
                <c:pt idx="51">
                  <c:v>3.2502060993441387E-3</c:v>
                </c:pt>
                <c:pt idx="52">
                  <c:v>3.2518602664391278E-3</c:v>
                </c:pt>
                <c:pt idx="53">
                  <c:v>3.2535147494982481E-3</c:v>
                </c:pt>
                <c:pt idx="54">
                  <c:v>3.255169543484249E-3</c:v>
                </c:pt>
                <c:pt idx="55">
                  <c:v>3.2568246433598812E-3</c:v>
                </c:pt>
                <c:pt idx="56">
                  <c:v>3.2617917279520675E-3</c:v>
                </c:pt>
                <c:pt idx="57">
                  <c:v>3.2634480010137268E-3</c:v>
                </c:pt>
                <c:pt idx="58">
                  <c:v>3.2651045547787698E-3</c:v>
                </c:pt>
                <c:pt idx="59">
                  <c:v>3.2667613842099455E-3</c:v>
                </c:pt>
                <c:pt idx="60">
                  <c:v>3.2733913578509855E-3</c:v>
                </c:pt>
                <c:pt idx="61">
                  <c:v>3.2750494900540814E-3</c:v>
                </c:pt>
                <c:pt idx="62">
                  <c:v>3.2767078676998124E-3</c:v>
                </c:pt>
                <c:pt idx="63">
                  <c:v>3.2783664857509286E-3</c:v>
                </c:pt>
                <c:pt idx="64">
                  <c:v>3.2850032612642519E-3</c:v>
                </c:pt>
                <c:pt idx="65">
                  <c:v>3.2866630057835494E-3</c:v>
                </c:pt>
                <c:pt idx="66">
                  <c:v>3.2883229604847341E-3</c:v>
                </c:pt>
                <c:pt idx="67">
                  <c:v>3.2899831203305561E-3</c:v>
                </c:pt>
                <c:pt idx="68">
                  <c:v>3.2916434802837658E-3</c:v>
                </c:pt>
                <c:pt idx="69">
                  <c:v>3.2966257104152259E-3</c:v>
                </c:pt>
                <c:pt idx="70">
                  <c:v>3.2982868204254898E-3</c:v>
                </c:pt>
                <c:pt idx="71">
                  <c:v>3.2999481053568938E-3</c:v>
                </c:pt>
                <c:pt idx="72">
                  <c:v>3.3016095601721873E-3</c:v>
                </c:pt>
                <c:pt idx="73">
                  <c:v>3.3032711798341211E-3</c:v>
                </c:pt>
                <c:pt idx="74">
                  <c:v>3.3082569775272656E-3</c:v>
                </c:pt>
                <c:pt idx="75">
                  <c:v>3.3099192062032625E-3</c:v>
                </c:pt>
                <c:pt idx="76">
                  <c:v>3.3115815745396512E-3</c:v>
                </c:pt>
                <c:pt idx="77">
                  <c:v>3.3132440774991819E-3</c:v>
                </c:pt>
                <c:pt idx="78">
                  <c:v>3.3149067100446046E-3</c:v>
                </c:pt>
                <c:pt idx="79">
                  <c:v>3.3198953348237302E-3</c:v>
                </c:pt>
                <c:pt idx="80">
                  <c:v>3.3215584353402249E-3</c:v>
                </c:pt>
                <c:pt idx="81">
                  <c:v>3.3232216402563648E-3</c:v>
                </c:pt>
                <c:pt idx="82">
                  <c:v>3.324884944534898E-3</c:v>
                </c:pt>
                <c:pt idx="83">
                  <c:v>3.3265483431385756E-3</c:v>
                </c:pt>
                <c:pt idx="84">
                  <c:v>3.3315390545279786E-3</c:v>
                </c:pt>
                <c:pt idx="85">
                  <c:v>3.3332027800597372E-3</c:v>
                </c:pt>
                <c:pt idx="86">
                  <c:v>3.3348665747303927E-3</c:v>
                </c:pt>
                <c:pt idx="87">
                  <c:v>3.3365304335026937E-3</c:v>
                </c:pt>
                <c:pt idx="88">
                  <c:v>3.3381943513393921E-3</c:v>
                </c:pt>
                <c:pt idx="89">
                  <c:v>3.34318640886337E-3</c:v>
                </c:pt>
                <c:pt idx="90">
                  <c:v>3.3448505125851587E-3</c:v>
                </c:pt>
                <c:pt idx="91">
                  <c:v>3.3465146501850947E-3</c:v>
                </c:pt>
                <c:pt idx="92">
                  <c:v>3.3481788166259299E-3</c:v>
                </c:pt>
                <c:pt idx="93">
                  <c:v>3.3498430068704143E-3</c:v>
                </c:pt>
                <c:pt idx="94">
                  <c:v>3.3548356700532629E-3</c:v>
                </c:pt>
                <c:pt idx="95">
                  <c:v>3.3564999051398461E-3</c:v>
                </c:pt>
                <c:pt idx="96">
                  <c:v>3.3581641388438295E-3</c:v>
                </c:pt>
                <c:pt idx="97">
                  <c:v>3.3598283661279639E-3</c:v>
                </c:pt>
                <c:pt idx="98">
                  <c:v>3.3614925819549996E-3</c:v>
                </c:pt>
                <c:pt idx="99">
                  <c:v>3.366485110321016E-3</c:v>
                </c:pt>
                <c:pt idx="100">
                  <c:v>3.3681492299471598E-3</c:v>
                </c:pt>
                <c:pt idx="101">
                  <c:v>3.3698133129299555E-3</c:v>
                </c:pt>
                <c:pt idx="102">
                  <c:v>3.3714773542321552E-3</c:v>
                </c:pt>
                <c:pt idx="103">
                  <c:v>3.3731413488165074E-3</c:v>
                </c:pt>
                <c:pt idx="104">
                  <c:v>3.3781330018899892E-3</c:v>
                </c:pt>
                <c:pt idx="105">
                  <c:v>3.3797967592304585E-3</c:v>
                </c:pt>
                <c:pt idx="106">
                  <c:v>3.3814604446668322E-3</c:v>
                </c:pt>
                <c:pt idx="107">
                  <c:v>3.3831240531618624E-3</c:v>
                </c:pt>
                <c:pt idx="108">
                  <c:v>3.3847875796782973E-3</c:v>
                </c:pt>
                <c:pt idx="109">
                  <c:v>3.3897776169835403E-3</c:v>
                </c:pt>
                <c:pt idx="110">
                  <c:v>3.3914407652131007E-3</c:v>
                </c:pt>
                <c:pt idx="111">
                  <c:v>3.393103806277819E-3</c:v>
                </c:pt>
                <c:pt idx="112">
                  <c:v>3.3947667351404442E-3</c:v>
                </c:pt>
                <c:pt idx="113">
                  <c:v>3.3964295467637279E-3</c:v>
                </c:pt>
                <c:pt idx="114">
                  <c:v>3.4014172278250283E-3</c:v>
                </c:pt>
                <c:pt idx="115">
                  <c:v>3.403079520118446E-3</c:v>
                </c:pt>
                <c:pt idx="116">
                  <c:v>3.4047416699862732E-3</c:v>
                </c:pt>
                <c:pt idx="117">
                  <c:v>3.40640367239126E-3</c:v>
                </c:pt>
                <c:pt idx="118">
                  <c:v>3.4080655222961573E-3</c:v>
                </c:pt>
                <c:pt idx="119">
                  <c:v>3.4130501066378122E-3</c:v>
                </c:pt>
                <c:pt idx="120">
                  <c:v>3.4147112961698525E-3</c:v>
                </c:pt>
                <c:pt idx="121">
                  <c:v>3.4163723080155549E-3</c:v>
                </c:pt>
                <c:pt idx="122">
                  <c:v>3.4180331371376684E-3</c:v>
                </c:pt>
                <c:pt idx="123">
                  <c:v>3.4263343655906793E-3</c:v>
                </c:pt>
                <c:pt idx="124">
                  <c:v>3.4279939925890221E-3</c:v>
                </c:pt>
                <c:pt idx="125">
                  <c:v>3.429653401603029E-3</c:v>
                </c:pt>
                <c:pt idx="126">
                  <c:v>3.4313125875954499E-3</c:v>
                </c:pt>
                <c:pt idx="127">
                  <c:v>3.4362887570707035E-3</c:v>
                </c:pt>
                <c:pt idx="128">
                  <c:v>3.4379470006042859E-3</c:v>
                </c:pt>
                <c:pt idx="129">
                  <c:v>3.4396049959300339E-3</c:v>
                </c:pt>
                <c:pt idx="130">
                  <c:v>3.441262738010699E-3</c:v>
                </c:pt>
                <c:pt idx="131">
                  <c:v>3.4429202218090307E-3</c:v>
                </c:pt>
                <c:pt idx="132">
                  <c:v>3.4478910731375288E-3</c:v>
                </c:pt>
                <c:pt idx="133">
                  <c:v>3.4495474734340301E-3</c:v>
                </c:pt>
                <c:pt idx="134">
                  <c:v>3.4512035902619508E-3</c:v>
                </c:pt>
                <c:pt idx="135">
                  <c:v>3.4528594185840389E-3</c:v>
                </c:pt>
                <c:pt idx="136">
                  <c:v>3.4545149533630462E-3</c:v>
                </c:pt>
                <c:pt idx="137">
                  <c:v>3.4594797460690855E-3</c:v>
                </c:pt>
                <c:pt idx="138">
                  <c:v>3.4611340563032718E-3</c:v>
                </c:pt>
                <c:pt idx="139">
                  <c:v>3.4627880478081286E-3</c:v>
                </c:pt>
                <c:pt idx="140">
                  <c:v>3.4644417155464068E-3</c:v>
                </c:pt>
                <c:pt idx="141">
                  <c:v>3.4660950544808558E-3</c:v>
                </c:pt>
                <c:pt idx="142">
                  <c:v>3.4710530480887326E-3</c:v>
                </c:pt>
                <c:pt idx="143">
                  <c:v>3.4727050214353691E-3</c:v>
                </c:pt>
                <c:pt idx="144">
                  <c:v>3.4743566407919287E-3</c:v>
                </c:pt>
                <c:pt idx="145">
                  <c:v>3.4760079011211618E-3</c:v>
                </c:pt>
                <c:pt idx="146">
                  <c:v>3.4776587973858178E-3</c:v>
                </c:pt>
                <c:pt idx="147">
                  <c:v>3.4826092514198288E-3</c:v>
                </c:pt>
                <c:pt idx="148">
                  <c:v>3.4842586410536816E-3</c:v>
                </c:pt>
                <c:pt idx="149">
                  <c:v>3.4859076414367096E-3</c:v>
                </c:pt>
                <c:pt idx="150">
                  <c:v>3.487556247531662E-3</c:v>
                </c:pt>
                <c:pt idx="151">
                  <c:v>3.4892044543012911E-3</c:v>
                </c:pt>
                <c:pt idx="152">
                  <c:v>3.4941466282857334E-3</c:v>
                </c:pt>
                <c:pt idx="153">
                  <c:v>3.4957931873815678E-3</c:v>
                </c:pt>
                <c:pt idx="154">
                  <c:v>3.4974393219658288E-3</c:v>
                </c:pt>
                <c:pt idx="155">
                  <c:v>3.4990850270012674E-3</c:v>
                </c:pt>
                <c:pt idx="156">
                  <c:v>3.5007302974506345E-3</c:v>
                </c:pt>
                <c:pt idx="157">
                  <c:v>3.5056634509098047E-3</c:v>
                </c:pt>
                <c:pt idx="158">
                  <c:v>3.5073069326423865E-3</c:v>
                </c:pt>
                <c:pt idx="159">
                  <c:v>3.5089499546026469E-3</c:v>
                </c:pt>
                <c:pt idx="160">
                  <c:v>3.5105925117533375E-3</c:v>
                </c:pt>
                <c:pt idx="161">
                  <c:v>3.5122345990572074E-3</c:v>
                </c:pt>
                <c:pt idx="162">
                  <c:v>3.5171579915154027E-3</c:v>
                </c:pt>
                <c:pt idx="163">
                  <c:v>3.5187981490594966E-3</c:v>
                </c:pt>
                <c:pt idx="164">
                  <c:v>3.5204378115705212E-3</c:v>
                </c:pt>
                <c:pt idx="165">
                  <c:v>3.5220769740112292E-3</c:v>
                </c:pt>
                <c:pt idx="166">
                  <c:v>3.5237156313443689E-3</c:v>
                </c:pt>
                <c:pt idx="167">
                  <c:v>3.5286285223258846E-3</c:v>
                </c:pt>
                <c:pt idx="168">
                  <c:v>3.5302651088562568E-3</c:v>
                </c:pt>
                <c:pt idx="169">
                  <c:v>3.5319011650928127E-3</c:v>
                </c:pt>
                <c:pt idx="170">
                  <c:v>3.5335366859983023E-3</c:v>
                </c:pt>
                <c:pt idx="171">
                  <c:v>3.5351716665354767E-3</c:v>
                </c:pt>
                <c:pt idx="172">
                  <c:v>3.5400733155646108E-3</c:v>
                </c:pt>
                <c:pt idx="173">
                  <c:v>3.5417060842560261E-3</c:v>
                </c:pt>
                <c:pt idx="174">
                  <c:v>3.5433382873928782E-3</c:v>
                </c:pt>
                <c:pt idx="175">
                  <c:v>3.544969919937916E-3</c:v>
                </c:pt>
                <c:pt idx="176">
                  <c:v>3.5466009768538912E-3</c:v>
                </c:pt>
                <c:pt idx="177">
                  <c:v>3.5514906434549391E-3</c:v>
                </c:pt>
                <c:pt idx="178">
                  <c:v>3.5531193474821637E-3</c:v>
                </c:pt>
                <c:pt idx="179">
                  <c:v>3.5547474506940771E-3</c:v>
                </c:pt>
                <c:pt idx="180">
                  <c:v>3.5563749480534289E-3</c:v>
                </c:pt>
                <c:pt idx="181">
                  <c:v>3.5580018345229697E-3</c:v>
                </c:pt>
                <c:pt idx="182">
                  <c:v>3.5628787782202289E-3</c:v>
                </c:pt>
                <c:pt idx="183">
                  <c:v>3.5645031707580285E-3</c:v>
                </c:pt>
                <c:pt idx="184">
                  <c:v>3.5661269272197686E-3</c:v>
                </c:pt>
                <c:pt idx="185">
                  <c:v>3.5677500425682E-3</c:v>
                </c:pt>
                <c:pt idx="186">
                  <c:v>3.5693725117660717E-3</c:v>
                </c:pt>
                <c:pt idx="187">
                  <c:v>3.574235992083839E-3</c:v>
                </c:pt>
                <c:pt idx="188">
                  <c:v>3.5758558263069792E-3</c:v>
                </c:pt>
                <c:pt idx="189">
                  <c:v>3.5774749891933112E-3</c:v>
                </c:pt>
                <c:pt idx="190">
                  <c:v>3.5790934757055875E-3</c:v>
                </c:pt>
                <c:pt idx="191">
                  <c:v>3.5807112808065571E-3</c:v>
                </c:pt>
                <c:pt idx="192">
                  <c:v>3.5855605572691278E-3</c:v>
                </c:pt>
                <c:pt idx="193">
                  <c:v>3.5871755863523744E-3</c:v>
                </c:pt>
                <c:pt idx="194">
                  <c:v>3.5887899088380645E-3</c:v>
                </c:pt>
                <c:pt idx="195">
                  <c:v>3.590403519688951E-3</c:v>
                </c:pt>
                <c:pt idx="196">
                  <c:v>3.5920164138677829E-3</c:v>
                </c:pt>
                <c:pt idx="197">
                  <c:v>3.5968507459994557E-3</c:v>
                </c:pt>
                <c:pt idx="198">
                  <c:v>3.5984607231175727E-3</c:v>
                </c:pt>
                <c:pt idx="199">
                  <c:v>3.600069958377387E-3</c:v>
                </c:pt>
                <c:pt idx="200">
                  <c:v>3.6016784467416494E-3</c:v>
                </c:pt>
                <c:pt idx="201">
                  <c:v>3.6032861831731093E-3</c:v>
                </c:pt>
                <c:pt idx="202">
                  <c:v>3.6081048304981798E-3</c:v>
                </c:pt>
                <c:pt idx="203">
                  <c:v>3.6097095088259341E-3</c:v>
                </c:pt>
                <c:pt idx="204">
                  <c:v>3.6113134100346379E-3</c:v>
                </c:pt>
                <c:pt idx="205">
                  <c:v>3.6129165290870414E-3</c:v>
                </c:pt>
                <c:pt idx="206">
                  <c:v>3.614518860945895E-3</c:v>
                </c:pt>
                <c:pt idx="207">
                  <c:v>3.6193210829886598E-3</c:v>
                </c:pt>
                <c:pt idx="208">
                  <c:v>3.6209202157008167E-3</c:v>
                </c:pt>
                <c:pt idx="209">
                  <c:v>3.6225185360331752E-3</c:v>
                </c:pt>
                <c:pt idx="210">
                  <c:v>3.6241160389484861E-3</c:v>
                </c:pt>
                <c:pt idx="211">
                  <c:v>3.6257127194094991E-3</c:v>
                </c:pt>
                <c:pt idx="212">
                  <c:v>3.6304977756942539E-3</c:v>
                </c:pt>
                <c:pt idx="213">
                  <c:v>3.6320911159655796E-3</c:v>
                </c:pt>
                <c:pt idx="214">
                  <c:v>3.6336836085963586E-3</c:v>
                </c:pt>
                <c:pt idx="215">
                  <c:v>3.6352752485493411E-3</c:v>
                </c:pt>
                <c:pt idx="216">
                  <c:v>3.6368660307872793E-3</c:v>
                </c:pt>
                <c:pt idx="217">
                  <c:v>3.6416331808383222E-3</c:v>
                </c:pt>
                <c:pt idx="218">
                  <c:v>3.6432204818435815E-3</c:v>
                </c:pt>
                <c:pt idx="219">
                  <c:v>3.6448068999475462E-3</c:v>
                </c:pt>
                <c:pt idx="220">
                  <c:v>3.6463924301129674E-3</c:v>
                </c:pt>
                <c:pt idx="221">
                  <c:v>3.6479770673025955E-3</c:v>
                </c:pt>
                <c:pt idx="222">
                  <c:v>3.6527255706442232E-3</c:v>
                </c:pt>
                <c:pt idx="223">
                  <c:v>3.6543065855581813E-3</c:v>
                </c:pt>
                <c:pt idx="224">
                  <c:v>3.6558866823100974E-3</c:v>
                </c:pt>
                <c:pt idx="225">
                  <c:v>3.6574658558627226E-3</c:v>
                </c:pt>
                <c:pt idx="226">
                  <c:v>3.6590441011788064E-3</c:v>
                </c:pt>
                <c:pt idx="227">
                  <c:v>3.6637732173353151E-3</c:v>
                </c:pt>
                <c:pt idx="228">
                  <c:v>3.6653476993327378E-3</c:v>
                </c:pt>
                <c:pt idx="229">
                  <c:v>3.6669212279073714E-3</c:v>
                </c:pt>
                <c:pt idx="230">
                  <c:v>3.6684937980219659E-3</c:v>
                </c:pt>
                <c:pt idx="231">
                  <c:v>3.670065404639271E-3</c:v>
                </c:pt>
                <c:pt idx="232">
                  <c:v>3.6747743931349578E-3</c:v>
                </c:pt>
                <c:pt idx="233">
                  <c:v>3.6763420953906103E-3</c:v>
                </c:pt>
                <c:pt idx="234">
                  <c:v>3.6779088089627264E-3</c:v>
                </c:pt>
                <c:pt idx="235">
                  <c:v>3.6794745288140558E-3</c:v>
                </c:pt>
                <c:pt idx="236">
                  <c:v>3.6810392499073484E-3</c:v>
                </c:pt>
                <c:pt idx="237">
                  <c:v>3.685727370266509E-3</c:v>
                </c:pt>
                <c:pt idx="238">
                  <c:v>3.6872880459551576E-3</c:v>
                </c:pt>
                <c:pt idx="239">
                  <c:v>3.6888476976995222E-3</c:v>
                </c:pt>
                <c:pt idx="240">
                  <c:v>3.6904063204623509E-3</c:v>
                </c:pt>
                <c:pt idx="241">
                  <c:v>3.6919639092063959E-3</c:v>
                </c:pt>
                <c:pt idx="242">
                  <c:v>3.696630420953328E-3</c:v>
                </c:pt>
                <c:pt idx="243">
                  <c:v>3.6981838232497382E-3</c:v>
                </c:pt>
                <c:pt idx="244">
                  <c:v>3.6997361663411161E-3</c:v>
                </c:pt>
                <c:pt idx="245">
                  <c:v>3.7012874451902112E-3</c:v>
                </c:pt>
                <c:pt idx="246">
                  <c:v>3.7028376547597747E-3</c:v>
                </c:pt>
                <c:pt idx="247">
                  <c:v>3.707481817418774E-3</c:v>
                </c:pt>
                <c:pt idx="248">
                  <c:v>3.7090276994977116E-3</c:v>
                </c:pt>
                <c:pt idx="249">
                  <c:v>3.7105724871108682E-3</c:v>
                </c:pt>
                <c:pt idx="250">
                  <c:v>3.7121161752209949E-3</c:v>
                </c:pt>
                <c:pt idx="251">
                  <c:v>3.7136587587908421E-3</c:v>
                </c:pt>
                <c:pt idx="252">
                  <c:v>3.7182798318862054E-3</c:v>
                </c:pt>
                <c:pt idx="253">
                  <c:v>3.7198179469224361E-3</c:v>
                </c:pt>
                <c:pt idx="254">
                  <c:v>3.7213549322321375E-3</c:v>
                </c:pt>
                <c:pt idx="255">
                  <c:v>3.7228907827780615E-3</c:v>
                </c:pt>
                <c:pt idx="256">
                  <c:v>3.7244254935229573E-3</c:v>
                </c:pt>
                <c:pt idx="257">
                  <c:v>3.7290227365789821E-3</c:v>
                </c:pt>
                <c:pt idx="258">
                  <c:v>3.7305528377472703E-3</c:v>
                </c:pt>
                <c:pt idx="259">
                  <c:v>3.7320817739282825E-3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67712"/>
        <c:axId val="141269248"/>
      </c:scatterChart>
      <c:valAx>
        <c:axId val="14126771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1269248"/>
        <c:crosses val="autoZero"/>
        <c:crossBetween val="midCat"/>
      </c:valAx>
      <c:valAx>
        <c:axId val="14126924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126771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'12MSynthDepo_used'!$R$3:$R$262</c:f>
              <c:numCache>
                <c:formatCode>d\-mmm\-yy</c:formatCode>
                <c:ptCount val="26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</c:numCache>
            </c:numRef>
          </c:xVal>
          <c:yVal>
            <c:numRef>
              <c:f>'12MSynthDepo_used'!$U$3:$U$262</c:f>
              <c:numCache>
                <c:formatCode>0.0000%</c:formatCode>
                <c:ptCount val="260"/>
                <c:pt idx="0">
                  <c:v>2.837722947142234E-3</c:v>
                </c:pt>
                <c:pt idx="1">
                  <c:v>2.8420229324118045E-3</c:v>
                </c:pt>
                <c:pt idx="2">
                  <c:v>2.8434594891156581E-3</c:v>
                </c:pt>
                <c:pt idx="3">
                  <c:v>2.8448976515644273E-3</c:v>
                </c:pt>
                <c:pt idx="4">
                  <c:v>2.8463374147208623E-3</c:v>
                </c:pt>
                <c:pt idx="5">
                  <c:v>2.8477787735477142E-3</c:v>
                </c:pt>
                <c:pt idx="6">
                  <c:v>2.852112373678268E-3</c:v>
                </c:pt>
                <c:pt idx="7">
                  <c:v>2.8535600648142874E-3</c:v>
                </c:pt>
                <c:pt idx="8">
                  <c:v>2.8550093264344749E-3</c:v>
                </c:pt>
                <c:pt idx="9">
                  <c:v>2.8564601535015794E-3</c:v>
                </c:pt>
                <c:pt idx="10">
                  <c:v>2.857912540978353E-3</c:v>
                </c:pt>
                <c:pt idx="11">
                  <c:v>2.8622790154941881E-3</c:v>
                </c:pt>
                <c:pt idx="12">
                  <c:v>2.8637375942371385E-3</c:v>
                </c:pt>
                <c:pt idx="13">
                  <c:v>2.8651977082035087E-3</c:v>
                </c:pt>
                <c:pt idx="14">
                  <c:v>2.8666593523560503E-3</c:v>
                </c:pt>
                <c:pt idx="15">
                  <c:v>2.8681225216575118E-3</c:v>
                </c:pt>
                <c:pt idx="16">
                  <c:v>2.8725211300829234E-3</c:v>
                </c:pt>
                <c:pt idx="17">
                  <c:v>2.8739903496075706E-3</c:v>
                </c:pt>
                <c:pt idx="18">
                  <c:v>2.8754610690948906E-3</c:v>
                </c:pt>
                <c:pt idx="19">
                  <c:v>2.8769332835076322E-3</c:v>
                </c:pt>
                <c:pt idx="20">
                  <c:v>2.8784069878085472E-3</c:v>
                </c:pt>
                <c:pt idx="21">
                  <c:v>2.8828369896678331E-3</c:v>
                </c:pt>
                <c:pt idx="22">
                  <c:v>2.8843166031489423E-3</c:v>
                </c:pt>
                <c:pt idx="23">
                  <c:v>2.8857976813319768E-3</c:v>
                </c:pt>
                <c:pt idx="24">
                  <c:v>2.887280219179686E-3</c:v>
                </c:pt>
                <c:pt idx="25">
                  <c:v>2.8887642116548198E-3</c:v>
                </c:pt>
                <c:pt idx="26">
                  <c:v>2.8932248664722757E-3</c:v>
                </c:pt>
                <c:pt idx="27">
                  <c:v>2.8947146270846135E-3</c:v>
                </c:pt>
                <c:pt idx="28">
                  <c:v>2.8962058171381278E-3</c:v>
                </c:pt>
                <c:pt idx="29">
                  <c:v>2.8976984315955689E-3</c:v>
                </c:pt>
                <c:pt idx="30">
                  <c:v>2.8991924654196873E-3</c:v>
                </c:pt>
                <c:pt idx="31">
                  <c:v>2.9036830327196107E-3</c:v>
                </c:pt>
                <c:pt idx="32">
                  <c:v>2.9051826936379414E-3</c:v>
                </c:pt>
                <c:pt idx="33">
                  <c:v>2.9066837487367013E-3</c:v>
                </c:pt>
                <c:pt idx="34">
                  <c:v>2.9081861929786406E-3</c:v>
                </c:pt>
                <c:pt idx="35">
                  <c:v>2.9096900213265091E-3</c:v>
                </c:pt>
                <c:pt idx="36">
                  <c:v>2.9142097606331958E-3</c:v>
                </c:pt>
                <c:pt idx="37">
                  <c:v>2.9157190750322857E-3</c:v>
                </c:pt>
                <c:pt idx="38">
                  <c:v>2.9172297483510573E-3</c:v>
                </c:pt>
                <c:pt idx="39">
                  <c:v>2.9187417755522599E-3</c:v>
                </c:pt>
                <c:pt idx="40">
                  <c:v>2.9202551515986443E-3</c:v>
                </c:pt>
                <c:pt idx="41">
                  <c:v>2.9248033224363915E-3</c:v>
                </c:pt>
                <c:pt idx="42">
                  <c:v>2.9263220434910058E-3</c:v>
                </c:pt>
                <c:pt idx="43">
                  <c:v>2.9278420882045534E-3</c:v>
                </c:pt>
                <c:pt idx="44">
                  <c:v>2.9293634515397855E-3</c:v>
                </c:pt>
                <c:pt idx="45">
                  <c:v>2.9308861284594507E-3</c:v>
                </c:pt>
                <c:pt idx="46">
                  <c:v>2.9354619903525551E-3</c:v>
                </c:pt>
                <c:pt idx="47">
                  <c:v>2.9369898712374594E-3</c:v>
                </c:pt>
                <c:pt idx="48">
                  <c:v>2.9385190405205501E-3</c:v>
                </c:pt>
                <c:pt idx="49">
                  <c:v>2.9400494931645766E-3</c:v>
                </c:pt>
                <c:pt idx="50">
                  <c:v>2.9415812241322891E-3</c:v>
                </c:pt>
                <c:pt idx="51">
                  <c:v>2.9461840366050464E-3</c:v>
                </c:pt>
                <c:pt idx="52">
                  <c:v>2.947720830495007E-3</c:v>
                </c:pt>
                <c:pt idx="53">
                  <c:v>2.9492588775224056E-3</c:v>
                </c:pt>
                <c:pt idx="54">
                  <c:v>2.9507981726499917E-3</c:v>
                </c:pt>
                <c:pt idx="55">
                  <c:v>2.9523387108405163E-3</c:v>
                </c:pt>
                <c:pt idx="56">
                  <c:v>2.956967733417225E-3</c:v>
                </c:pt>
                <c:pt idx="57">
                  <c:v>2.9585131934870062E-3</c:v>
                </c:pt>
                <c:pt idx="58">
                  <c:v>2.960059871433478E-3</c:v>
                </c:pt>
                <c:pt idx="59">
                  <c:v>2.9616077622193903E-3</c:v>
                </c:pt>
                <c:pt idx="60">
                  <c:v>2.9678113530124473E-3</c:v>
                </c:pt>
                <c:pt idx="61">
                  <c:v>2.9693652324368162E-3</c:v>
                </c:pt>
                <c:pt idx="62">
                  <c:v>2.9709202944771273E-3</c:v>
                </c:pt>
                <c:pt idx="63">
                  <c:v>2.9724765340961301E-3</c:v>
                </c:pt>
                <c:pt idx="64">
                  <c:v>2.978713167614075E-3</c:v>
                </c:pt>
                <c:pt idx="65">
                  <c:v>2.9802752195677955E-3</c:v>
                </c:pt>
                <c:pt idx="66">
                  <c:v>2.9818384188767112E-3</c:v>
                </c:pt>
                <c:pt idx="67">
                  <c:v>2.9834027605035712E-3</c:v>
                </c:pt>
                <c:pt idx="68">
                  <c:v>2.9849682394111261E-3</c:v>
                </c:pt>
                <c:pt idx="69">
                  <c:v>2.989671449445465E-3</c:v>
                </c:pt>
                <c:pt idx="70">
                  <c:v>2.9912414271033041E-3</c:v>
                </c:pt>
                <c:pt idx="71">
                  <c:v>2.9928125168555897E-3</c:v>
                </c:pt>
                <c:pt idx="72">
                  <c:v>2.9943847136650716E-3</c:v>
                </c:pt>
                <c:pt idx="73">
                  <c:v>2.9959580124945015E-3</c:v>
                </c:pt>
                <c:pt idx="74">
                  <c:v>3.0006844707299776E-3</c:v>
                </c:pt>
                <c:pt idx="75">
                  <c:v>3.0022621272667001E-3</c:v>
                </c:pt>
                <c:pt idx="76">
                  <c:v>3.0038408606371204E-3</c:v>
                </c:pt>
                <c:pt idx="77">
                  <c:v>3.0054206658039909E-3</c:v>
                </c:pt>
                <c:pt idx="78">
                  <c:v>3.007001537730061E-3</c:v>
                </c:pt>
                <c:pt idx="79">
                  <c:v>3.0117505036909705E-3</c:v>
                </c:pt>
                <c:pt idx="80">
                  <c:v>3.0133355922813414E-3</c:v>
                </c:pt>
                <c:pt idx="81">
                  <c:v>3.0149217224446643E-3</c:v>
                </c:pt>
                <c:pt idx="82">
                  <c:v>3.0165088891436881E-3</c:v>
                </c:pt>
                <c:pt idx="83">
                  <c:v>3.0180970873411638E-3</c:v>
                </c:pt>
                <c:pt idx="84">
                  <c:v>3.0228678205518034E-3</c:v>
                </c:pt>
                <c:pt idx="85">
                  <c:v>3.0244600943705891E-3</c:v>
                </c:pt>
                <c:pt idx="86">
                  <c:v>3.0260533745015785E-3</c:v>
                </c:pt>
                <c:pt idx="87">
                  <c:v>3.0276476559075206E-3</c:v>
                </c:pt>
                <c:pt idx="88">
                  <c:v>3.0292429335511675E-3</c:v>
                </c:pt>
                <c:pt idx="89">
                  <c:v>3.0340346935358352E-3</c:v>
                </c:pt>
                <c:pt idx="90">
                  <c:v>3.0356339057578006E-3</c:v>
                </c:pt>
                <c:pt idx="91">
                  <c:v>3.0372340890312218E-3</c:v>
                </c:pt>
                <c:pt idx="92">
                  <c:v>3.0388352383188492E-3</c:v>
                </c:pt>
                <c:pt idx="93">
                  <c:v>3.040437348583433E-3</c:v>
                </c:pt>
                <c:pt idx="94">
                  <c:v>3.0452493948664233E-3</c:v>
                </c:pt>
                <c:pt idx="95">
                  <c:v>3.0468552986663345E-3</c:v>
                </c:pt>
                <c:pt idx="96">
                  <c:v>3.0484621382569545E-3</c:v>
                </c:pt>
                <c:pt idx="97">
                  <c:v>3.0500699086010311E-3</c:v>
                </c:pt>
                <c:pt idx="98">
                  <c:v>3.0516786046613171E-3</c:v>
                </c:pt>
                <c:pt idx="99">
                  <c:v>3.0565101967669284E-3</c:v>
                </c:pt>
                <c:pt idx="100">
                  <c:v>3.0581225453195507E-3</c:v>
                </c:pt>
                <c:pt idx="101">
                  <c:v>3.0597357944021335E-3</c:v>
                </c:pt>
                <c:pt idx="102">
                  <c:v>3.0613499389774267E-3</c:v>
                </c:pt>
                <c:pt idx="103">
                  <c:v>3.0629649740081806E-3</c:v>
                </c:pt>
                <c:pt idx="104">
                  <c:v>3.0678153714607083E-3</c:v>
                </c:pt>
                <c:pt idx="105">
                  <c:v>3.0694339179408083E-3</c:v>
                </c:pt>
                <c:pt idx="106">
                  <c:v>3.0710533296901196E-3</c:v>
                </c:pt>
                <c:pt idx="107">
                  <c:v>3.0726736016713943E-3</c:v>
                </c:pt>
                <c:pt idx="108">
                  <c:v>3.0742947288473809E-3</c:v>
                </c:pt>
                <c:pt idx="109">
                  <c:v>3.079163191171123E-3</c:v>
                </c:pt>
                <c:pt idx="110">
                  <c:v>3.0807876887534646E-3</c:v>
                </c:pt>
                <c:pt idx="111">
                  <c:v>3.0824130163442705E-3</c:v>
                </c:pt>
                <c:pt idx="112">
                  <c:v>3.0840391689062915E-3</c:v>
                </c:pt>
                <c:pt idx="113">
                  <c:v>3.0856661414022778E-3</c:v>
                </c:pt>
                <c:pt idx="114">
                  <c:v>3.0905519281215297E-3</c:v>
                </c:pt>
                <c:pt idx="115">
                  <c:v>3.0921821299808795E-3</c:v>
                </c:pt>
                <c:pt idx="116">
                  <c:v>3.0938131265879458E-3</c:v>
                </c:pt>
                <c:pt idx="117">
                  <c:v>3.0954449129054792E-3</c:v>
                </c:pt>
                <c:pt idx="118">
                  <c:v>3.0970774838962297E-3</c:v>
                </c:pt>
                <c:pt idx="119">
                  <c:v>3.1019798545352893E-3</c:v>
                </c:pt>
                <c:pt idx="120">
                  <c:v>3.1036155138464121E-3</c:v>
                </c:pt>
                <c:pt idx="121">
                  <c:v>3.105251932644504E-3</c:v>
                </c:pt>
                <c:pt idx="122">
                  <c:v>3.1068891058923151E-3</c:v>
                </c:pt>
                <c:pt idx="123">
                  <c:v>3.1150861125734206E-3</c:v>
                </c:pt>
                <c:pt idx="124">
                  <c:v>3.1167277067373042E-3</c:v>
                </c:pt>
                <c:pt idx="125">
                  <c:v>3.1183700200901588E-3</c:v>
                </c:pt>
                <c:pt idx="126">
                  <c:v>3.1200130475947351E-3</c:v>
                </c:pt>
                <c:pt idx="127">
                  <c:v>3.1249463646462979E-3</c:v>
                </c:pt>
                <c:pt idx="128">
                  <c:v>3.1265921983852645E-3</c:v>
                </c:pt>
                <c:pt idx="129">
                  <c:v>3.1282387210897046E-3</c:v>
                </c:pt>
                <c:pt idx="130">
                  <c:v>3.1298859277223679E-3</c:v>
                </c:pt>
                <c:pt idx="131">
                  <c:v>3.1315338132460058E-3</c:v>
                </c:pt>
                <c:pt idx="132">
                  <c:v>3.136481492790266E-3</c:v>
                </c:pt>
                <c:pt idx="133">
                  <c:v>3.1381320435053019E-3</c:v>
                </c:pt>
                <c:pt idx="134">
                  <c:v>3.1397832479250647E-3</c:v>
                </c:pt>
                <c:pt idx="135">
                  <c:v>3.1414351010123028E-3</c:v>
                </c:pt>
                <c:pt idx="136">
                  <c:v>3.1430875977297673E-3</c:v>
                </c:pt>
                <c:pt idx="137">
                  <c:v>3.1480488992910206E-3</c:v>
                </c:pt>
                <c:pt idx="138">
                  <c:v>3.1497039201568932E-3</c:v>
                </c:pt>
                <c:pt idx="139">
                  <c:v>3.1513595594667432E-3</c:v>
                </c:pt>
                <c:pt idx="140">
                  <c:v>3.1530158121833214E-3</c:v>
                </c:pt>
                <c:pt idx="141">
                  <c:v>3.154672673269378E-3</c:v>
                </c:pt>
                <c:pt idx="142">
                  <c:v>3.1596468563719221E-3</c:v>
                </c:pt>
                <c:pt idx="143">
                  <c:v>3.1613061005633957E-3</c:v>
                </c:pt>
                <c:pt idx="144">
                  <c:v>3.162965927938099E-3</c:v>
                </c:pt>
                <c:pt idx="145">
                  <c:v>3.1646263334587834E-3</c:v>
                </c:pt>
                <c:pt idx="146">
                  <c:v>3.1662873120881976E-3</c:v>
                </c:pt>
                <c:pt idx="147">
                  <c:v>3.1712736362563281E-3</c:v>
                </c:pt>
                <c:pt idx="148">
                  <c:v>3.1729368569481686E-3</c:v>
                </c:pt>
                <c:pt idx="149">
                  <c:v>3.1746006255624912E-3</c:v>
                </c:pt>
                <c:pt idx="150">
                  <c:v>3.1762649370620463E-3</c:v>
                </c:pt>
                <c:pt idx="151">
                  <c:v>3.1779297864095841E-3</c:v>
                </c:pt>
                <c:pt idx="152">
                  <c:v>3.182927511167599E-3</c:v>
                </c:pt>
                <c:pt idx="153">
                  <c:v>3.1845944615345712E-3</c:v>
                </c:pt>
                <c:pt idx="154">
                  <c:v>3.1862619245632785E-3</c:v>
                </c:pt>
                <c:pt idx="155">
                  <c:v>3.1879298952164699E-3</c:v>
                </c:pt>
                <c:pt idx="156">
                  <c:v>3.189598368456897E-3</c:v>
                </c:pt>
                <c:pt idx="157">
                  <c:v>3.1946067533290914E-3</c:v>
                </c:pt>
                <c:pt idx="158">
                  <c:v>3.1962771865459627E-3</c:v>
                </c:pt>
                <c:pt idx="159">
                  <c:v>3.1979480971638195E-3</c:v>
                </c:pt>
                <c:pt idx="160">
                  <c:v>3.1996194801454138E-3</c:v>
                </c:pt>
                <c:pt idx="161">
                  <c:v>3.2012913304534951E-3</c:v>
                </c:pt>
                <c:pt idx="162">
                  <c:v>3.2063096349641668E-3</c:v>
                </c:pt>
                <c:pt idx="163">
                  <c:v>3.2079833042057012E-3</c:v>
                </c:pt>
                <c:pt idx="164">
                  <c:v>3.2096574155874732E-3</c:v>
                </c:pt>
                <c:pt idx="165">
                  <c:v>3.2113319640722357E-3</c:v>
                </c:pt>
                <c:pt idx="166">
                  <c:v>3.2130069446227373E-3</c:v>
                </c:pt>
                <c:pt idx="167">
                  <c:v>3.2180344282961822E-3</c:v>
                </c:pt>
                <c:pt idx="168">
                  <c:v>3.2197110867371453E-3</c:v>
                </c:pt>
                <c:pt idx="169">
                  <c:v>3.2213881520575991E-3</c:v>
                </c:pt>
                <c:pt idx="170">
                  <c:v>3.2230656192202946E-3</c:v>
                </c:pt>
                <c:pt idx="171">
                  <c:v>3.2247434831879822E-3</c:v>
                </c:pt>
                <c:pt idx="172">
                  <c:v>3.2297794055484975E-3</c:v>
                </c:pt>
                <c:pt idx="173">
                  <c:v>3.2314588063636551E-3</c:v>
                </c:pt>
                <c:pt idx="174">
                  <c:v>3.2331385787975559E-3</c:v>
                </c:pt>
                <c:pt idx="175">
                  <c:v>3.2348187178129497E-3</c:v>
                </c:pt>
                <c:pt idx="176">
                  <c:v>3.2364992183725881E-3</c:v>
                </c:pt>
                <c:pt idx="177">
                  <c:v>3.2415428389444708E-3</c:v>
                </c:pt>
                <c:pt idx="178">
                  <c:v>3.2432247353085882E-3</c:v>
                </c:pt>
                <c:pt idx="179">
                  <c:v>3.2449069680307013E-3</c:v>
                </c:pt>
                <c:pt idx="180">
                  <c:v>3.2465895320735604E-3</c:v>
                </c:pt>
                <c:pt idx="181">
                  <c:v>3.2482724223999154E-3</c:v>
                </c:pt>
                <c:pt idx="182">
                  <c:v>3.2533230007074612E-3</c:v>
                </c:pt>
                <c:pt idx="183">
                  <c:v>3.2550071457953041E-3</c:v>
                </c:pt>
                <c:pt idx="184">
                  <c:v>3.2566915919803956E-3</c:v>
                </c:pt>
                <c:pt idx="185">
                  <c:v>3.2583763342254849E-3</c:v>
                </c:pt>
                <c:pt idx="186">
                  <c:v>3.2600613674933217E-3</c:v>
                </c:pt>
                <c:pt idx="187">
                  <c:v>3.2651181630608283E-3</c:v>
                </c:pt>
                <c:pt idx="188">
                  <c:v>3.2668043100471627E-3</c:v>
                </c:pt>
                <c:pt idx="189">
                  <c:v>3.2684907228699963E-3</c:v>
                </c:pt>
                <c:pt idx="190">
                  <c:v>3.2701773964920813E-3</c:v>
                </c:pt>
                <c:pt idx="191">
                  <c:v>3.271864325876167E-3</c:v>
                </c:pt>
                <c:pt idx="192">
                  <c:v>3.2769265982279293E-3</c:v>
                </c:pt>
                <c:pt idx="193">
                  <c:v>3.2786145002875211E-3</c:v>
                </c:pt>
                <c:pt idx="194">
                  <c:v>3.280302632922864E-3</c:v>
                </c:pt>
                <c:pt idx="195">
                  <c:v>3.2819909910967102E-3</c:v>
                </c:pt>
                <c:pt idx="196">
                  <c:v>3.2836795697718086E-3</c:v>
                </c:pt>
                <c:pt idx="197">
                  <c:v>3.2887465784321255E-3</c:v>
                </c:pt>
                <c:pt idx="198">
                  <c:v>3.2904359887397389E-3</c:v>
                </c:pt>
                <c:pt idx="199">
                  <c:v>3.2921255943623566E-3</c:v>
                </c:pt>
                <c:pt idx="200">
                  <c:v>3.2938153902627291E-3</c:v>
                </c:pt>
                <c:pt idx="201">
                  <c:v>3.2955053714036069E-3</c:v>
                </c:pt>
                <c:pt idx="202">
                  <c:v>3.3005763758967737E-3</c:v>
                </c:pt>
                <c:pt idx="203">
                  <c:v>3.302267047627175E-3</c:v>
                </c:pt>
                <c:pt idx="204">
                  <c:v>3.303957879411833E-3</c:v>
                </c:pt>
                <c:pt idx="205">
                  <c:v>3.3056488662134976E-3</c:v>
                </c:pt>
                <c:pt idx="206">
                  <c:v>3.30734000299492E-3</c:v>
                </c:pt>
                <c:pt idx="207">
                  <c:v>3.3124142628452339E-3</c:v>
                </c:pt>
                <c:pt idx="208">
                  <c:v>3.3141059491731887E-3</c:v>
                </c:pt>
                <c:pt idx="209">
                  <c:v>3.3157977602946516E-3</c:v>
                </c:pt>
                <c:pt idx="210">
                  <c:v>3.3174896911723748E-3</c:v>
                </c:pt>
                <c:pt idx="211">
                  <c:v>3.3191817367691071E-3</c:v>
                </c:pt>
                <c:pt idx="212">
                  <c:v>3.3242585115008639E-3</c:v>
                </c:pt>
                <c:pt idx="213">
                  <c:v>3.3259509656011375E-3</c:v>
                </c:pt>
                <c:pt idx="214">
                  <c:v>3.3276435092341725E-3</c:v>
                </c:pt>
                <c:pt idx="215">
                  <c:v>3.3293361373627189E-3</c:v>
                </c:pt>
                <c:pt idx="216">
                  <c:v>3.3310288449495268E-3</c:v>
                </c:pt>
                <c:pt idx="217">
                  <c:v>3.3361073940870243E-3</c:v>
                </c:pt>
                <c:pt idx="218">
                  <c:v>3.3378003691343825E-3</c:v>
                </c:pt>
                <c:pt idx="219">
                  <c:v>3.3394933984537537E-3</c:v>
                </c:pt>
                <c:pt idx="220">
                  <c:v>3.3411864770078884E-3</c:v>
                </c:pt>
                <c:pt idx="221">
                  <c:v>3.342879599759538E-3</c:v>
                </c:pt>
                <c:pt idx="222">
                  <c:v>3.3479591828270727E-3</c:v>
                </c:pt>
                <c:pt idx="223">
                  <c:v>3.3496524319962802E-3</c:v>
                </c:pt>
                <c:pt idx="224">
                  <c:v>3.3513457001767542E-3</c:v>
                </c:pt>
                <c:pt idx="225">
                  <c:v>3.3530389823312437E-3</c:v>
                </c:pt>
                <c:pt idx="226">
                  <c:v>3.3547322734224999E-3</c:v>
                </c:pt>
                <c:pt idx="227">
                  <c:v>3.3598121499443679E-3</c:v>
                </c:pt>
                <c:pt idx="228">
                  <c:v>3.3615054264101913E-3</c:v>
                </c:pt>
                <c:pt idx="229">
                  <c:v>3.3631986866265334E-3</c:v>
                </c:pt>
                <c:pt idx="230">
                  <c:v>3.3648919255561435E-3</c:v>
                </c:pt>
                <c:pt idx="231">
                  <c:v>3.3665851381617707E-3</c:v>
                </c:pt>
                <c:pt idx="232">
                  <c:v>3.3716645676622691E-3</c:v>
                </c:pt>
                <c:pt idx="233">
                  <c:v>3.3733576245994741E-3</c:v>
                </c:pt>
                <c:pt idx="234">
                  <c:v>3.3750506300264491E-3</c:v>
                </c:pt>
                <c:pt idx="235">
                  <c:v>3.3767435789059446E-3</c:v>
                </c:pt>
                <c:pt idx="236">
                  <c:v>3.3784364662007107E-3</c:v>
                </c:pt>
                <c:pt idx="237">
                  <c:v>3.3835147082041353E-3</c:v>
                </c:pt>
                <c:pt idx="238">
                  <c:v>3.3852072987874868E-3</c:v>
                </c:pt>
                <c:pt idx="239">
                  <c:v>3.3868998025998612E-3</c:v>
                </c:pt>
                <c:pt idx="240">
                  <c:v>3.3885922146040075E-3</c:v>
                </c:pt>
                <c:pt idx="241">
                  <c:v>3.3902845297626772E-3</c:v>
                </c:pt>
                <c:pt idx="242">
                  <c:v>3.3953608437933256E-3</c:v>
                </c:pt>
                <c:pt idx="243">
                  <c:v>3.3970527211975893E-3</c:v>
                </c:pt>
                <c:pt idx="244">
                  <c:v>3.3987444765701284E-3</c:v>
                </c:pt>
                <c:pt idx="245">
                  <c:v>3.4004361048736911E-3</c:v>
                </c:pt>
                <c:pt idx="246">
                  <c:v>3.4021276010710298E-3</c:v>
                </c:pt>
                <c:pt idx="247">
                  <c:v>3.4072012466531982E-3</c:v>
                </c:pt>
                <c:pt idx="248">
                  <c:v>3.4088921640531402E-3</c:v>
                </c:pt>
                <c:pt idx="249">
                  <c:v>3.4105829241606084E-3</c:v>
                </c:pt>
                <c:pt idx="250">
                  <c:v>3.412273521938354E-3</c:v>
                </c:pt>
                <c:pt idx="251">
                  <c:v>3.413963952349127E-3</c:v>
                </c:pt>
                <c:pt idx="252">
                  <c:v>3.4190341890071125E-3</c:v>
                </c:pt>
                <c:pt idx="253">
                  <c:v>3.4207238995774976E-3</c:v>
                </c:pt>
                <c:pt idx="254">
                  <c:v>3.422413417594662E-3</c:v>
                </c:pt>
                <c:pt idx="255">
                  <c:v>3.4241027380213554E-3</c:v>
                </c:pt>
                <c:pt idx="256">
                  <c:v>3.4257918558203283E-3</c:v>
                </c:pt>
                <c:pt idx="257">
                  <c:v>3.4308579430784268E-3</c:v>
                </c:pt>
                <c:pt idx="258">
                  <c:v>3.4325461999940216E-3</c:v>
                </c:pt>
                <c:pt idx="259">
                  <c:v>3.434234229095647E-3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37184"/>
        <c:axId val="141438976"/>
      </c:scatterChart>
      <c:valAx>
        <c:axId val="1414371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1438976"/>
        <c:crosses val="autoZero"/>
        <c:crossBetween val="midCat"/>
      </c:valAx>
      <c:valAx>
        <c:axId val="14143897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143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'12MSynthDepo_allScenario'!$BE$6:$BE$264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'12MSynthDepo_allScenario'!$BF$6:$BF$264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'12MSynthDepo_allScenario'!$BG$6:$BG$264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'12MSynthDepo_allScenario'!$BH$6:$BH$264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87040"/>
        <c:axId val="368505216"/>
      </c:lineChart>
      <c:dateAx>
        <c:axId val="36848704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6850521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68505216"/>
        <c:scaling>
          <c:orientation val="minMax"/>
          <c:max val="3.1000000000000008E-3"/>
          <c:min val="2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8487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'12MSynthDepo_allScenario'!$BI$6:$BI$264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>
              <a:prstDash val="sys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'12MSynthDepo_allScenario'!$BJ$6:$BJ$264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'12MSynthDepo_allScenario'!$BK$6:$BK$264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'12MSynthDepo_allScenario'!$BL$6:$BL$264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536192"/>
        <c:axId val="368537984"/>
      </c:lineChart>
      <c:dateAx>
        <c:axId val="3685361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68537984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68537984"/>
        <c:scaling>
          <c:orientation val="minMax"/>
          <c:max val="3.1000000000000008E-3"/>
          <c:min val="2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853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'12MSynthDepo_allScenario'!$BM$6:$BM$264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'12MSynthDepo_allScenario'!$BN$6:$BN$264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'12MSynthDepo_allScenario'!$BO$6:$BO$264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3"/>
          <c:order val="3"/>
          <c:spPr>
            <a:ln>
              <a:prstDash val="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'12MSynthDepo_allScenario'!$BP$6:$BP$264</c:f>
              <c:numCache>
                <c:formatCode>0.0000%</c:formatCode>
                <c:ptCount val="2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'12MSynthDepo_allScenario'!$BQ$5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'12MSynthDepo_allScenario'!$BQ$6:$BQ$264</c:f>
              <c:numCache>
                <c:formatCode>0.0000%</c:formatCode>
                <c:ptCount val="259"/>
                <c:pt idx="0">
                  <c:v>2.837722947142234E-3</c:v>
                </c:pt>
                <c:pt idx="1">
                  <c:v>2.8420827568163384E-3</c:v>
                </c:pt>
                <c:pt idx="2">
                  <c:v>2.8435393449499518E-3</c:v>
                </c:pt>
                <c:pt idx="3">
                  <c:v>2.8449975834545821E-3</c:v>
                </c:pt>
                <c:pt idx="4">
                  <c:v>2.8464574670801642E-3</c:v>
                </c:pt>
                <c:pt idx="5">
                  <c:v>2.847918990576636E-3</c:v>
                </c:pt>
                <c:pt idx="6">
                  <c:v>2.8523133477907493E-3</c:v>
                </c:pt>
                <c:pt idx="7">
                  <c:v>2.853781378270141E-3</c:v>
                </c:pt>
                <c:pt idx="8">
                  <c:v>2.8552510223701041E-3</c:v>
                </c:pt>
                <c:pt idx="9">
                  <c:v>2.8567222748405734E-3</c:v>
                </c:pt>
                <c:pt idx="10">
                  <c:v>2.8581951304314872E-3</c:v>
                </c:pt>
                <c:pt idx="11">
                  <c:v>2.8626232634262521E-3</c:v>
                </c:pt>
                <c:pt idx="12">
                  <c:v>2.8641024789983031E-3</c:v>
                </c:pt>
                <c:pt idx="13">
                  <c:v>2.8655832714404796E-3</c:v>
                </c:pt>
                <c:pt idx="14">
                  <c:v>2.8670656355027171E-3</c:v>
                </c:pt>
                <c:pt idx="15">
                  <c:v>2.8685495659349527E-3</c:v>
                </c:pt>
                <c:pt idx="16">
                  <c:v>2.8730107029510121E-3</c:v>
                </c:pt>
                <c:pt idx="17">
                  <c:v>2.8745008463626032E-3</c:v>
                </c:pt>
                <c:pt idx="18">
                  <c:v>2.8759925298938735E-3</c:v>
                </c:pt>
                <c:pt idx="19">
                  <c:v>2.8774857482947603E-3</c:v>
                </c:pt>
                <c:pt idx="20">
                  <c:v>2.8789804963152E-3</c:v>
                </c:pt>
                <c:pt idx="21">
                  <c:v>2.8834738655931949E-3</c:v>
                </c:pt>
                <c:pt idx="22">
                  <c:v>2.8849746795912069E-3</c:v>
                </c:pt>
                <c:pt idx="23">
                  <c:v>2.8864769969584531E-3</c:v>
                </c:pt>
                <c:pt idx="24">
                  <c:v>2.8879808124448697E-3</c:v>
                </c:pt>
                <c:pt idx="25">
                  <c:v>2.8894861208003928E-3</c:v>
                </c:pt>
                <c:pt idx="26">
                  <c:v>2.8940109505809662E-3</c:v>
                </c:pt>
                <c:pt idx="27">
                  <c:v>2.8955221779122802E-3</c:v>
                </c:pt>
                <c:pt idx="28">
                  <c:v>2.8970348718623824E-3</c:v>
                </c:pt>
                <c:pt idx="29">
                  <c:v>2.8985490271812098E-3</c:v>
                </c:pt>
                <c:pt idx="30">
                  <c:v>2.9000646386186978E-3</c:v>
                </c:pt>
                <c:pt idx="31">
                  <c:v>2.9046201571424927E-3</c:v>
                </c:pt>
                <c:pt idx="32">
                  <c:v>2.9061415405539888E-3</c:v>
                </c:pt>
                <c:pt idx="33">
                  <c:v>2.907664353833828E-3</c:v>
                </c:pt>
                <c:pt idx="34">
                  <c:v>2.9091885917319465E-3</c:v>
                </c:pt>
                <c:pt idx="35">
                  <c:v>2.9107142489982803E-3</c:v>
                </c:pt>
                <c:pt idx="36">
                  <c:v>2.9152996845059394E-3</c:v>
                </c:pt>
                <c:pt idx="37">
                  <c:v>2.9168309667444987E-3</c:v>
                </c:pt>
                <c:pt idx="38">
                  <c:v>2.9183636421009559E-3</c:v>
                </c:pt>
                <c:pt idx="39">
                  <c:v>2.919897705325246E-3</c:v>
                </c:pt>
                <c:pt idx="40">
                  <c:v>2.9214331511673063E-3</c:v>
                </c:pt>
                <c:pt idx="41">
                  <c:v>2.9260477318994718E-3</c:v>
                </c:pt>
                <c:pt idx="42">
                  <c:v>2.9275886557119757E-3</c:v>
                </c:pt>
                <c:pt idx="43">
                  <c:v>2.9291309358919306E-3</c:v>
                </c:pt>
                <c:pt idx="44">
                  <c:v>2.9306745671892746E-3</c:v>
                </c:pt>
                <c:pt idx="45">
                  <c:v>2.9322195443539424E-3</c:v>
                </c:pt>
                <c:pt idx="46">
                  <c:v>2.9368624985512551E-3</c:v>
                </c:pt>
                <c:pt idx="47">
                  <c:v>2.9384128066845842E-3</c:v>
                </c:pt>
                <c:pt idx="48">
                  <c:v>2.9399644344349197E-3</c:v>
                </c:pt>
                <c:pt idx="49">
                  <c:v>2.9415173765521968E-3</c:v>
                </c:pt>
                <c:pt idx="50">
                  <c:v>2.9430716277863531E-3</c:v>
                </c:pt>
                <c:pt idx="51">
                  <c:v>2.947742183689457E-3</c:v>
                </c:pt>
                <c:pt idx="52">
                  <c:v>2.9493016188904915E-3</c:v>
                </c:pt>
                <c:pt idx="53">
                  <c:v>2.9508623369580867E-3</c:v>
                </c:pt>
                <c:pt idx="54">
                  <c:v>2.9524243326421785E-3</c:v>
                </c:pt>
                <c:pt idx="55">
                  <c:v>2.9539876006927043E-3</c:v>
                </c:pt>
                <c:pt idx="56">
                  <c:v>2.958684986542242E-3</c:v>
                </c:pt>
                <c:pt idx="57">
                  <c:v>2.9602532915578629E-3</c:v>
                </c:pt>
                <c:pt idx="58">
                  <c:v>2.9618228426895989E-3</c:v>
                </c:pt>
                <c:pt idx="59">
                  <c:v>2.9633936346873863E-3</c:v>
                </c:pt>
                <c:pt idx="60">
                  <c:v>2.9696891063377756E-3</c:v>
                </c:pt>
                <c:pt idx="61">
                  <c:v>2.9712660239148642E-3</c:v>
                </c:pt>
                <c:pt idx="62">
                  <c:v>2.9728441508576221E-3</c:v>
                </c:pt>
                <c:pt idx="63">
                  <c:v>2.9744234819159853E-3</c:v>
                </c:pt>
                <c:pt idx="64">
                  <c:v>2.980752742304223E-3</c:v>
                </c:pt>
                <c:pt idx="65">
                  <c:v>2.98233801518966E-3</c:v>
                </c:pt>
                <c:pt idx="66">
                  <c:v>2.9839244606903207E-3</c:v>
                </c:pt>
                <c:pt idx="67">
                  <c:v>2.9855120735561417E-3</c:v>
                </c:pt>
                <c:pt idx="68">
                  <c:v>2.9871008485370587E-3</c:v>
                </c:pt>
                <c:pt idx="69">
                  <c:v>2.9918740936697515E-3</c:v>
                </c:pt>
                <c:pt idx="70">
                  <c:v>2.9934674646104175E-3</c:v>
                </c:pt>
                <c:pt idx="71">
                  <c:v>2.9950619714158612E-3</c:v>
                </c:pt>
                <c:pt idx="72">
                  <c:v>2.99665760883602E-3</c:v>
                </c:pt>
                <c:pt idx="73">
                  <c:v>2.9982543716208297E-3</c:v>
                </c:pt>
                <c:pt idx="74">
                  <c:v>3.003051359662526E-3</c:v>
                </c:pt>
                <c:pt idx="75">
                  <c:v>3.004652571405302E-3</c:v>
                </c:pt>
                <c:pt idx="76">
                  <c:v>3.0062548822624101E-3</c:v>
                </c:pt>
                <c:pt idx="77">
                  <c:v>3.0078582869837874E-3</c:v>
                </c:pt>
                <c:pt idx="78">
                  <c:v>3.00946278031937E-3</c:v>
                </c:pt>
                <c:pt idx="79">
                  <c:v>3.0142827395107123E-3</c:v>
                </c:pt>
                <c:pt idx="80">
                  <c:v>3.0158915348024789E-3</c:v>
                </c:pt>
                <c:pt idx="81">
                  <c:v>3.0175013924581325E-3</c:v>
                </c:pt>
                <c:pt idx="82">
                  <c:v>3.0191123072276088E-3</c:v>
                </c:pt>
                <c:pt idx="83">
                  <c:v>3.0207242738608457E-3</c:v>
                </c:pt>
                <c:pt idx="84">
                  <c:v>3.0255664324424759E-3</c:v>
                </c:pt>
                <c:pt idx="85">
                  <c:v>3.0271825540301141E-3</c:v>
                </c:pt>
                <c:pt idx="86">
                  <c:v>3.0287997012311933E-3</c:v>
                </c:pt>
                <c:pt idx="87">
                  <c:v>3.0304178687956505E-3</c:v>
                </c:pt>
                <c:pt idx="88">
                  <c:v>3.0320370514734215E-3</c:v>
                </c:pt>
                <c:pt idx="89">
                  <c:v>3.0369006376859825E-3</c:v>
                </c:pt>
                <c:pt idx="90">
                  <c:v>3.038523828316373E-3</c:v>
                </c:pt>
                <c:pt idx="91">
                  <c:v>3.0401480078097597E-3</c:v>
                </c:pt>
                <c:pt idx="92">
                  <c:v>3.041773170916078E-3</c:v>
                </c:pt>
                <c:pt idx="93">
                  <c:v>3.0433993123852648E-3</c:v>
                </c:pt>
                <c:pt idx="94">
                  <c:v>3.0482835544693985E-3</c:v>
                </c:pt>
                <c:pt idx="95">
                  <c:v>3.0499135568894222E-3</c:v>
                </c:pt>
                <c:pt idx="96">
                  <c:v>3.0515445114219961E-3</c:v>
                </c:pt>
                <c:pt idx="97">
                  <c:v>3.053176412817056E-3</c:v>
                </c:pt>
                <c:pt idx="98">
                  <c:v>3.0548092558245398E-3</c:v>
                </c:pt>
                <c:pt idx="99">
                  <c:v>3.0597133820208892E-3</c:v>
                </c:pt>
                <c:pt idx="100">
                  <c:v>3.0613499389774267E-3</c:v>
                </c:pt>
                <c:pt idx="101">
                  <c:v>3.0629874112960689E-3</c:v>
                </c:pt>
                <c:pt idx="102">
                  <c:v>3.0646257937267519E-3</c:v>
                </c:pt>
                <c:pt idx="103">
                  <c:v>3.066265081019412E-3</c:v>
                </c:pt>
                <c:pt idx="104">
                  <c:v>3.0711883195686197E-3</c:v>
                </c:pt>
                <c:pt idx="105">
                  <c:v>3.0728311738085529E-3</c:v>
                </c:pt>
                <c:pt idx="106">
                  <c:v>3.0744749066601439E-3</c:v>
                </c:pt>
                <c:pt idx="107">
                  <c:v>3.0761195128733306E-3</c:v>
                </c:pt>
                <c:pt idx="108">
                  <c:v>3.0777649871980492E-3</c:v>
                </c:pt>
                <c:pt idx="109">
                  <c:v>3.0827065663407566E-3</c:v>
                </c:pt>
                <c:pt idx="110">
                  <c:v>3.0843554606109652E-3</c:v>
                </c:pt>
                <c:pt idx="111">
                  <c:v>3.0860051967423864E-3</c:v>
                </c:pt>
                <c:pt idx="112">
                  <c:v>3.0876557694849574E-3</c:v>
                </c:pt>
                <c:pt idx="113">
                  <c:v>3.0893071735886147E-3</c:v>
                </c:pt>
                <c:pt idx="114">
                  <c:v>3.0942663215654653E-3</c:v>
                </c:pt>
                <c:pt idx="115">
                  <c:v>3.0959209986128303E-3</c:v>
                </c:pt>
                <c:pt idx="116">
                  <c:v>3.0975764807709629E-3</c:v>
                </c:pt>
                <c:pt idx="117">
                  <c:v>3.0992327627897991E-3</c:v>
                </c:pt>
                <c:pt idx="118">
                  <c:v>3.1008898394192757E-3</c:v>
                </c:pt>
                <c:pt idx="119">
                  <c:v>3.105865784470912E-3</c:v>
                </c:pt>
                <c:pt idx="120">
                  <c:v>3.1075259870423136E-3</c:v>
                </c:pt>
                <c:pt idx="121">
                  <c:v>3.1091869579740381E-3</c:v>
                </c:pt>
                <c:pt idx="122">
                  <c:v>3.1108486920160203E-3</c:v>
                </c:pt>
                <c:pt idx="123">
                  <c:v>3.1191686251275819E-3</c:v>
                </c:pt>
                <c:pt idx="124">
                  <c:v>3.1208348275797784E-3</c:v>
                </c:pt>
                <c:pt idx="125">
                  <c:v>3.1225017563917875E-3</c:v>
                </c:pt>
                <c:pt idx="126">
                  <c:v>3.1241694063135462E-3</c:v>
                </c:pt>
                <c:pt idx="127">
                  <c:v>3.129176630236681E-3</c:v>
                </c:pt>
                <c:pt idx="128">
                  <c:v>3.1308471120967997E-3</c:v>
                </c:pt>
                <c:pt idx="129">
                  <c:v>3.1325182888163497E-3</c:v>
                </c:pt>
                <c:pt idx="130">
                  <c:v>3.1341901551452662E-3</c:v>
                </c:pt>
                <c:pt idx="131">
                  <c:v>3.1358627058334868E-3</c:v>
                </c:pt>
                <c:pt idx="132">
                  <c:v>3.140884411553334E-3</c:v>
                </c:pt>
                <c:pt idx="133">
                  <c:v>3.1425596471781328E-3</c:v>
                </c:pt>
                <c:pt idx="134">
                  <c:v>3.144235540911916E-3</c:v>
                </c:pt>
                <c:pt idx="135">
                  <c:v>3.1459120875046223E-3</c:v>
                </c:pt>
                <c:pt idx="136">
                  <c:v>3.1475892817061858E-3</c:v>
                </c:pt>
                <c:pt idx="137">
                  <c:v>3.152624697463388E-3</c:v>
                </c:pt>
                <c:pt idx="138">
                  <c:v>3.154304429599747E-3</c:v>
                </c:pt>
                <c:pt idx="139">
                  <c:v>3.1559847830946457E-3</c:v>
                </c:pt>
                <c:pt idx="140">
                  <c:v>3.1576657526980211E-3</c:v>
                </c:pt>
                <c:pt idx="141">
                  <c:v>3.1593473331598086E-3</c:v>
                </c:pt>
                <c:pt idx="142">
                  <c:v>3.1643956871950083E-3</c:v>
                </c:pt>
                <c:pt idx="143">
                  <c:v>3.1660796585898086E-3</c:v>
                </c:pt>
                <c:pt idx="144">
                  <c:v>3.1677642145927034E-3</c:v>
                </c:pt>
                <c:pt idx="145">
                  <c:v>3.1694493499536281E-3</c:v>
                </c:pt>
                <c:pt idx="146">
                  <c:v>3.1711350594225201E-3</c:v>
                </c:pt>
                <c:pt idx="147">
                  <c:v>3.1761955799763605E-3</c:v>
                </c:pt>
                <c:pt idx="148">
                  <c:v>3.177883533376483E-3</c:v>
                </c:pt>
                <c:pt idx="149">
                  <c:v>3.1795720346342545E-3</c:v>
                </c:pt>
                <c:pt idx="150">
                  <c:v>3.1812610784996104E-3</c:v>
                </c:pt>
                <c:pt idx="151">
                  <c:v>3.1829506597224875E-3</c:v>
                </c:pt>
                <c:pt idx="152">
                  <c:v>3.1880225750356103E-3</c:v>
                </c:pt>
                <c:pt idx="153">
                  <c:v>3.1897142531879361E-3</c:v>
                </c:pt>
                <c:pt idx="154">
                  <c:v>3.1914064424474644E-3</c:v>
                </c:pt>
                <c:pt idx="155">
                  <c:v>3.1930991375641324E-3</c:v>
                </c:pt>
                <c:pt idx="156">
                  <c:v>3.1947923332878757E-3</c:v>
                </c:pt>
                <c:pt idx="157">
                  <c:v>3.1998748716009231E-3</c:v>
                </c:pt>
                <c:pt idx="158">
                  <c:v>3.2015700172523323E-3</c:v>
                </c:pt>
                <c:pt idx="159">
                  <c:v>3.2032656372604994E-3</c:v>
                </c:pt>
                <c:pt idx="160">
                  <c:v>3.2049617263753597E-3</c:v>
                </c:pt>
                <c:pt idx="161">
                  <c:v>3.2066582793468506E-3</c:v>
                </c:pt>
                <c:pt idx="162">
                  <c:v>3.2117506689004656E-3</c:v>
                </c:pt>
                <c:pt idx="163">
                  <c:v>3.2134490247978393E-3</c:v>
                </c:pt>
                <c:pt idx="164">
                  <c:v>3.2151478183015253E-3</c:v>
                </c:pt>
                <c:pt idx="165">
                  <c:v>3.2168470441614589E-3</c:v>
                </c:pt>
                <c:pt idx="166">
                  <c:v>3.2185466971275775E-3</c:v>
                </c:pt>
                <c:pt idx="167">
                  <c:v>3.2236481661624028E-3</c:v>
                </c:pt>
                <c:pt idx="168">
                  <c:v>3.225349475052622E-3</c:v>
                </c:pt>
                <c:pt idx="169">
                  <c:v>3.2270511847987079E-3</c:v>
                </c:pt>
                <c:pt idx="170">
                  <c:v>3.2287532901505958E-3</c:v>
                </c:pt>
                <c:pt idx="171">
                  <c:v>3.2304557858582228E-3</c:v>
                </c:pt>
                <c:pt idx="172">
                  <c:v>3.2355655626149001E-3</c:v>
                </c:pt>
                <c:pt idx="173">
                  <c:v>3.2372695672448462E-3</c:v>
                </c:pt>
                <c:pt idx="174">
                  <c:v>3.2389739359802122E-3</c:v>
                </c:pt>
                <c:pt idx="175">
                  <c:v>3.2406786635709355E-3</c:v>
                </c:pt>
                <c:pt idx="176">
                  <c:v>3.2423837447669518E-3</c:v>
                </c:pt>
                <c:pt idx="177">
                  <c:v>3.2475010574861242E-3</c:v>
                </c:pt>
                <c:pt idx="178">
                  <c:v>3.249207500602677E-3</c:v>
                </c:pt>
                <c:pt idx="179">
                  <c:v>3.2509142710742049E-3</c:v>
                </c:pt>
                <c:pt idx="180">
                  <c:v>3.2526213636506441E-3</c:v>
                </c:pt>
                <c:pt idx="181">
                  <c:v>3.2543287730819304E-3</c:v>
                </c:pt>
                <c:pt idx="182">
                  <c:v>3.2594528500042397E-3</c:v>
                </c:pt>
                <c:pt idx="183">
                  <c:v>3.2611614743542805E-3</c:v>
                </c:pt>
                <c:pt idx="184">
                  <c:v>3.262870389308851E-3</c:v>
                </c:pt>
                <c:pt idx="185">
                  <c:v>3.2645795896178867E-3</c:v>
                </c:pt>
                <c:pt idx="186">
                  <c:v>3.2662890700313248E-3</c:v>
                </c:pt>
                <c:pt idx="187">
                  <c:v>3.2714191393974136E-3</c:v>
                </c:pt>
                <c:pt idx="188">
                  <c:v>3.2731296877278235E-3</c:v>
                </c:pt>
                <c:pt idx="189">
                  <c:v>3.2748404899123162E-3</c:v>
                </c:pt>
                <c:pt idx="190">
                  <c:v>3.2765515407008295E-3</c:v>
                </c:pt>
                <c:pt idx="191">
                  <c:v>3.2782628348432996E-3</c:v>
                </c:pt>
                <c:pt idx="192">
                  <c:v>3.2833981248938109E-3</c:v>
                </c:pt>
                <c:pt idx="193">
                  <c:v>3.2851103399514697E-3</c:v>
                </c:pt>
                <c:pt idx="194">
                  <c:v>3.286822772112767E-3</c:v>
                </c:pt>
                <c:pt idx="195">
                  <c:v>3.2885354161276388E-3</c:v>
                </c:pt>
                <c:pt idx="196">
                  <c:v>3.2902482667460211E-3</c:v>
                </c:pt>
                <c:pt idx="197">
                  <c:v>3.295388005721597E-3</c:v>
                </c:pt>
                <c:pt idx="198">
                  <c:v>3.2971016302533866E-3</c:v>
                </c:pt>
                <c:pt idx="199">
                  <c:v>3.2988154351383686E-3</c:v>
                </c:pt>
                <c:pt idx="200">
                  <c:v>3.3005294151264796E-3</c:v>
                </c:pt>
                <c:pt idx="201">
                  <c:v>3.3022435649676554E-3</c:v>
                </c:pt>
                <c:pt idx="202">
                  <c:v>3.3073869811089383E-3</c:v>
                </c:pt>
                <c:pt idx="203">
                  <c:v>3.3091017578617387E-3</c:v>
                </c:pt>
                <c:pt idx="204">
                  <c:v>3.3108166782172869E-3</c:v>
                </c:pt>
                <c:pt idx="205">
                  <c:v>3.3125317369255172E-3</c:v>
                </c:pt>
                <c:pt idx="206">
                  <c:v>3.3142469287363681E-3</c:v>
                </c:pt>
                <c:pt idx="207">
                  <c:v>3.319393250284E-3</c:v>
                </c:pt>
                <c:pt idx="208">
                  <c:v>3.3211089220046928E-3</c:v>
                </c:pt>
                <c:pt idx="209">
                  <c:v>3.3228247005776868E-3</c:v>
                </c:pt>
                <c:pt idx="210">
                  <c:v>3.3245405807529179E-3</c:v>
                </c:pt>
                <c:pt idx="211">
                  <c:v>3.3262565572803235E-3</c:v>
                </c:pt>
                <c:pt idx="212">
                  <c:v>3.3314050124749485E-3</c:v>
                </c:pt>
                <c:pt idx="213">
                  <c:v>3.3331213219104142E-3</c:v>
                </c:pt>
                <c:pt idx="214">
                  <c:v>3.3348377014477352E-3</c:v>
                </c:pt>
                <c:pt idx="215">
                  <c:v>3.3365541458368481E-3</c:v>
                </c:pt>
                <c:pt idx="216">
                  <c:v>3.3382706498276894E-3</c:v>
                </c:pt>
                <c:pt idx="217">
                  <c:v>3.3434204669099492E-3</c:v>
                </c:pt>
                <c:pt idx="218">
                  <c:v>3.345137156807068E-3</c:v>
                </c:pt>
                <c:pt idx="219">
                  <c:v>3.3468538800555973E-3</c:v>
                </c:pt>
                <c:pt idx="220">
                  <c:v>3.3485706314054725E-3</c:v>
                </c:pt>
                <c:pt idx="221">
                  <c:v>3.3502874056066312E-3</c:v>
                </c:pt>
                <c:pt idx="222">
                  <c:v>3.355437812817167E-3</c:v>
                </c:pt>
                <c:pt idx="223">
                  <c:v>3.3571546259228203E-3</c:v>
                </c:pt>
                <c:pt idx="224">
                  <c:v>3.3588714356294382E-3</c:v>
                </c:pt>
                <c:pt idx="225">
                  <c:v>3.3605882366869572E-3</c:v>
                </c:pt>
                <c:pt idx="226">
                  <c:v>3.3623050238453132E-3</c:v>
                </c:pt>
                <c:pt idx="227">
                  <c:v>3.3674552494247687E-3</c:v>
                </c:pt>
                <c:pt idx="228">
                  <c:v>3.3691719284858371E-3</c:v>
                </c:pt>
                <c:pt idx="229">
                  <c:v>3.3708885673974249E-3</c:v>
                </c:pt>
                <c:pt idx="230">
                  <c:v>3.3726051609094679E-3</c:v>
                </c:pt>
                <c:pt idx="231">
                  <c:v>3.3743217037719027E-3</c:v>
                </c:pt>
                <c:pt idx="232">
                  <c:v>3.37947097596092E-3</c:v>
                </c:pt>
                <c:pt idx="233">
                  <c:v>3.3811872637242845E-3</c:v>
                </c:pt>
                <c:pt idx="234">
                  <c:v>3.3829034745877225E-3</c:v>
                </c:pt>
                <c:pt idx="235">
                  <c:v>3.38461960330117E-3</c:v>
                </c:pt>
                <c:pt idx="236">
                  <c:v>3.3863356446145643E-3</c:v>
                </c:pt>
                <c:pt idx="237">
                  <c:v>3.3914831916537855E-3</c:v>
                </c:pt>
                <c:pt idx="238">
                  <c:v>3.3931988308663276E-3</c:v>
                </c:pt>
                <c:pt idx="239">
                  <c:v>3.3949143564284967E-3</c:v>
                </c:pt>
                <c:pt idx="240">
                  <c:v>3.3966297630902303E-3</c:v>
                </c:pt>
                <c:pt idx="241">
                  <c:v>3.3983450456014641E-3</c:v>
                </c:pt>
                <c:pt idx="242">
                  <c:v>3.4034900957315328E-3</c:v>
                </c:pt>
                <c:pt idx="243">
                  <c:v>3.4052048291401322E-3</c:v>
                </c:pt>
                <c:pt idx="244">
                  <c:v>3.4069194121479135E-3</c:v>
                </c:pt>
                <c:pt idx="245">
                  <c:v>3.4086338395048132E-3</c:v>
                </c:pt>
                <c:pt idx="246">
                  <c:v>3.410348105960768E-3</c:v>
                </c:pt>
                <c:pt idx="247">
                  <c:v>3.4154898874223256E-3</c:v>
                </c:pt>
                <c:pt idx="248">
                  <c:v>3.4172034577738633E-3</c:v>
                </c:pt>
                <c:pt idx="249">
                  <c:v>3.4189168409741377E-3</c:v>
                </c:pt>
                <c:pt idx="250">
                  <c:v>3.4206300317730851E-3</c:v>
                </c:pt>
                <c:pt idx="251">
                  <c:v>3.4223430249206419E-3</c:v>
                </c:pt>
                <c:pt idx="252">
                  <c:v>3.4274807659543309E-3</c:v>
                </c:pt>
                <c:pt idx="253">
                  <c:v>3.4291929159956883E-3</c:v>
                </c:pt>
                <c:pt idx="254">
                  <c:v>3.4309048421353361E-3</c:v>
                </c:pt>
                <c:pt idx="255">
                  <c:v>3.4326165391232117E-3</c:v>
                </c:pt>
                <c:pt idx="256">
                  <c:v>3.4343280017092512E-3</c:v>
                </c:pt>
                <c:pt idx="257">
                  <c:v>3.4394609305557142E-3</c:v>
                </c:pt>
                <c:pt idx="258">
                  <c:v>3.4411714030337711E-3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75232"/>
        <c:axId val="368985216"/>
      </c:lineChart>
      <c:dateAx>
        <c:axId val="3689752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6898521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68985216"/>
        <c:scaling>
          <c:orientation val="minMax"/>
          <c:max val="3.1000000000000008E-3"/>
          <c:min val="2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8975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'1MSynthDepo_used'!$G$4</c:f>
              <c:numCache>
                <c:formatCode>d\-mmm\-yy</c:formatCode>
                <c:ptCount val="1"/>
                <c:pt idx="0">
                  <c:v>42279</c:v>
                </c:pt>
              </c:numCache>
            </c:numRef>
          </c:xVal>
          <c:yVal>
            <c:numRef>
              <c:f>'1MSynthDepo_used'!$K$4</c:f>
              <c:numCache>
                <c:formatCode>0.0000%</c:formatCode>
                <c:ptCount val="1"/>
                <c:pt idx="0">
                  <c:v>2.7000000000401464E-4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'1MSynthDepo_used'!$G$5:$G$16</c:f>
              <c:numCache>
                <c:formatCode>d\-mmm\-yy</c:formatCode>
                <c:ptCount val="12"/>
                <c:pt idx="0">
                  <c:v>42279</c:v>
                </c:pt>
                <c:pt idx="1">
                  <c:v>42310</c:v>
                </c:pt>
                <c:pt idx="2">
                  <c:v>42340</c:v>
                </c:pt>
                <c:pt idx="3">
                  <c:v>42373</c:v>
                </c:pt>
              </c:numCache>
            </c:numRef>
          </c:xVal>
          <c:yVal>
            <c:numRef>
              <c:f>'1MSynthDepo_used'!$K$5:$K$22</c:f>
              <c:numCache>
                <c:formatCode>0.0000%</c:formatCode>
                <c:ptCount val="18"/>
                <c:pt idx="0">
                  <c:v>2.7000000000401464E-4</c:v>
                </c:pt>
                <c:pt idx="1">
                  <c:v>2.3409490089720819E-4</c:v>
                </c:pt>
                <c:pt idx="2">
                  <c:v>2.9887399067012933E-4</c:v>
                </c:pt>
                <c:pt idx="3">
                  <c:v>3.0028587321738768E-4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'1MSynthDepo_used'!$S$2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'1MSynthDepo_used'!$R$3:$R$70</c:f>
              <c:numCache>
                <c:formatCode>d\-mmm\-yy</c:formatCode>
                <c:ptCount val="68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xVal>
          <c:yVal>
            <c:numRef>
              <c:f>'1MSynthDepo_used'!$S$3:$S$70</c:f>
              <c:numCache>
                <c:formatCode>0.0000%</c:formatCode>
                <c:ptCount val="68"/>
                <c:pt idx="0">
                  <c:v>2.7000000000292914E-4</c:v>
                </c:pt>
                <c:pt idx="1">
                  <c:v>2.5739685596291086E-4</c:v>
                </c:pt>
                <c:pt idx="2">
                  <c:v>2.5373158128307814E-4</c:v>
                </c:pt>
                <c:pt idx="3">
                  <c:v>2.503248335567101E-4</c:v>
                </c:pt>
                <c:pt idx="4">
                  <c:v>2.4717099695583376E-4</c:v>
                </c:pt>
                <c:pt idx="5">
                  <c:v>2.4426445565247572E-4</c:v>
                </c:pt>
                <c:pt idx="6">
                  <c:v>2.3697244524778084E-4</c:v>
                </c:pt>
                <c:pt idx="7">
                  <c:v>2.3499892685476505E-4</c:v>
                </c:pt>
                <c:pt idx="8">
                  <c:v>2.332446246194019E-4</c:v>
                </c:pt>
                <c:pt idx="9">
                  <c:v>2.3170392271371824E-4</c:v>
                </c:pt>
                <c:pt idx="10">
                  <c:v>2.3037120530974091E-4</c:v>
                </c:pt>
                <c:pt idx="11">
                  <c:v>2.2756480182831545E-4</c:v>
                </c:pt>
                <c:pt idx="12">
                  <c:v>2.2700786415143193E-4</c:v>
                </c:pt>
                <c:pt idx="13">
                  <c:v>2.2663083183638896E-4</c:v>
                </c:pt>
                <c:pt idx="14">
                  <c:v>2.2642808905521341E-4</c:v>
                </c:pt>
                <c:pt idx="15">
                  <c:v>2.2639401997993208E-4</c:v>
                </c:pt>
                <c:pt idx="16">
                  <c:v>2.2724769670972209E-4</c:v>
                </c:pt>
                <c:pt idx="17">
                  <c:v>2.2783216417828617E-4</c:v>
                </c:pt>
                <c:pt idx="18">
                  <c:v>2.2855722621287878E-4</c:v>
                </c:pt>
                <c:pt idx="19">
                  <c:v>2.2941726698552664E-4</c:v>
                </c:pt>
                <c:pt idx="20">
                  <c:v>2.3040667066825672E-4</c:v>
                </c:pt>
                <c:pt idx="21">
                  <c:v>2.3409490089720814E-4</c:v>
                </c:pt>
                <c:pt idx="22">
                  <c:v>2.3554559794053528E-4</c:v>
                </c:pt>
                <c:pt idx="23">
                  <c:v>2.3709757875407876E-4</c:v>
                </c:pt>
                <c:pt idx="24">
                  <c:v>2.3874522750986542E-4</c:v>
                </c:pt>
                <c:pt idx="25">
                  <c:v>2.4048292837992223E-4</c:v>
                </c:pt>
                <c:pt idx="26">
                  <c:v>2.4618018539598121E-4</c:v>
                </c:pt>
                <c:pt idx="27">
                  <c:v>2.4822193644338667E-4</c:v>
                </c:pt>
                <c:pt idx="28">
                  <c:v>2.503256604651964E-4</c:v>
                </c:pt>
                <c:pt idx="29">
                  <c:v>2.5248574163343722E-4</c:v>
                </c:pt>
                <c:pt idx="30">
                  <c:v>2.5469656412013602E-4</c:v>
                </c:pt>
                <c:pt idx="31">
                  <c:v>2.6157732121124866E-4</c:v>
                </c:pt>
                <c:pt idx="32">
                  <c:v>2.6393495069204777E-4</c:v>
                </c:pt>
                <c:pt idx="33">
                  <c:v>2.6631524235143909E-4</c:v>
                </c:pt>
                <c:pt idx="34">
                  <c:v>2.6871258036144938E-4</c:v>
                </c:pt>
                <c:pt idx="35">
                  <c:v>2.7112134889410559E-4</c:v>
                </c:pt>
                <c:pt idx="36">
                  <c:v>2.7836007934821795E-4</c:v>
                </c:pt>
                <c:pt idx="37">
                  <c:v>2.80758411691726E-4</c:v>
                </c:pt>
                <c:pt idx="38">
                  <c:v>2.8314009541801423E-4</c:v>
                </c:pt>
                <c:pt idx="39">
                  <c:v>2.8549951469910938E-4</c:v>
                </c:pt>
                <c:pt idx="40">
                  <c:v>2.8783105370703839E-4</c:v>
                </c:pt>
                <c:pt idx="41">
                  <c:v>2.9460223081209636E-4</c:v>
                </c:pt>
                <c:pt idx="42">
                  <c:v>2.9676609044762878E-4</c:v>
                </c:pt>
                <c:pt idx="43">
                  <c:v>2.9887399067012944E-4</c:v>
                </c:pt>
                <c:pt idx="44">
                  <c:v>3.0092031565162462E-4</c:v>
                </c:pt>
                <c:pt idx="45">
                  <c:v>3.028994495641418E-4</c:v>
                </c:pt>
                <c:pt idx="46">
                  <c:v>3.0837754660809156E-4</c:v>
                </c:pt>
                <c:pt idx="47">
                  <c:v>3.1003175796496385E-4</c:v>
                </c:pt>
                <c:pt idx="48">
                  <c:v>3.1159069911299188E-4</c:v>
                </c:pt>
                <c:pt idx="49">
                  <c:v>3.1304875422420286E-4</c:v>
                </c:pt>
                <c:pt idx="50">
                  <c:v>3.1440030747062334E-4</c:v>
                </c:pt>
                <c:pt idx="51">
                  <c:v>3.1775979774141078E-4</c:v>
                </c:pt>
                <c:pt idx="52">
                  <c:v>3.1862918524893806E-4</c:v>
                </c:pt>
                <c:pt idx="53">
                  <c:v>3.1936399175180923E-4</c:v>
                </c:pt>
                <c:pt idx="54">
                  <c:v>3.1995860142205096E-4</c:v>
                </c:pt>
                <c:pt idx="55">
                  <c:v>3.2040739843169035E-4</c:v>
                </c:pt>
                <c:pt idx="56">
                  <c:v>3.2082275521726162E-4</c:v>
                </c:pt>
                <c:pt idx="57">
                  <c:v>3.2063214330475939E-4</c:v>
                </c:pt>
                <c:pt idx="58">
                  <c:v>3.2026763959178888E-4</c:v>
                </c:pt>
                <c:pt idx="59">
                  <c:v>3.197236282503768E-4</c:v>
                </c:pt>
                <c:pt idx="60">
                  <c:v>3.156401900408515E-4</c:v>
                </c:pt>
                <c:pt idx="61">
                  <c:v>3.1411440313763492E-4</c:v>
                </c:pt>
                <c:pt idx="62">
                  <c:v>3.1237541363813811E-4</c:v>
                </c:pt>
                <c:pt idx="63">
                  <c:v>3.1041760571438772E-4</c:v>
                </c:pt>
                <c:pt idx="64">
                  <c:v>3.0028587321738779E-4</c:v>
                </c:pt>
                <c:pt idx="65">
                  <c:v>2.9714973575277243E-4</c:v>
                </c:pt>
                <c:pt idx="66">
                  <c:v>2.9376108489606459E-4</c:v>
                </c:pt>
                <c:pt idx="67">
                  <c:v>2.9011430481929096E-4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49696"/>
        <c:axId val="142751232"/>
      </c:scatterChart>
      <c:valAx>
        <c:axId val="1427496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2751232"/>
        <c:crosses val="autoZero"/>
        <c:crossBetween val="midCat"/>
      </c:valAx>
      <c:valAx>
        <c:axId val="14275123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274969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tx>
            <c:v>Cont Basis</c:v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'1MSynthDepo_used'!$R$3:$R$70</c:f>
              <c:numCache>
                <c:formatCode>d\-mmm\-yy</c:formatCode>
                <c:ptCount val="68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xVal>
          <c:yVal>
            <c:numRef>
              <c:f>'1MSynthDepo_used'!$U$3:$U$70</c:f>
              <c:numCache>
                <c:formatCode>0.0000%</c:formatCode>
                <c:ptCount val="68"/>
                <c:pt idx="0">
                  <c:v>3.6564406627777275E-4</c:v>
                </c:pt>
                <c:pt idx="1">
                  <c:v>3.3880360556803207E-4</c:v>
                </c:pt>
                <c:pt idx="2">
                  <c:v>3.3056906725805932E-4</c:v>
                </c:pt>
                <c:pt idx="3">
                  <c:v>3.2268131019810159E-4</c:v>
                </c:pt>
                <c:pt idx="4">
                  <c:v>3.1513471856018586E-4</c:v>
                </c:pt>
                <c:pt idx="5">
                  <c:v>3.0792367651633892E-4</c:v>
                </c:pt>
                <c:pt idx="6">
                  <c:v>2.8824768966947934E-4</c:v>
                </c:pt>
                <c:pt idx="7">
                  <c:v>2.8232268772217597E-4</c:v>
                </c:pt>
                <c:pt idx="8">
                  <c:v>2.7670515622907566E-4</c:v>
                </c:pt>
                <c:pt idx="9">
                  <c:v>2.7138947936220523E-4</c:v>
                </c:pt>
                <c:pt idx="10">
                  <c:v>2.6637004129359147E-4</c:v>
                </c:pt>
                <c:pt idx="11">
                  <c:v>2.5303300159755889E-4</c:v>
                </c:pt>
                <c:pt idx="12">
                  <c:v>2.4914236044224045E-4</c:v>
                </c:pt>
                <c:pt idx="13">
                  <c:v>2.4551987894531289E-4</c:v>
                </c:pt>
                <c:pt idx="14">
                  <c:v>2.4215994127880307E-4</c:v>
                </c:pt>
                <c:pt idx="15">
                  <c:v>2.3905693161473785E-4</c:v>
                </c:pt>
                <c:pt idx="16">
                  <c:v>2.3123331235747841E-4</c:v>
                </c:pt>
                <c:pt idx="17">
                  <c:v>2.2910185642346006E-4</c:v>
                </c:pt>
                <c:pt idx="18">
                  <c:v>2.2719924935202059E-4</c:v>
                </c:pt>
                <c:pt idx="19">
                  <c:v>2.2551987531518677E-4</c:v>
                </c:pt>
                <c:pt idx="20">
                  <c:v>2.2405811848498551E-4</c:v>
                </c:pt>
                <c:pt idx="21">
                  <c:v>2.2092239295444521E-4</c:v>
                </c:pt>
                <c:pt idx="22">
                  <c:v>2.202749466710424E-4</c:v>
                </c:pt>
                <c:pt idx="23">
                  <c:v>2.1981703845440641E-4</c:v>
                </c:pt>
                <c:pt idx="24">
                  <c:v>2.1954305247656386E-4</c:v>
                </c:pt>
                <c:pt idx="25">
                  <c:v>2.1944737290954184E-4</c:v>
                </c:pt>
                <c:pt idx="26">
                  <c:v>2.2017401439366672E-4</c:v>
                </c:pt>
                <c:pt idx="27">
                  <c:v>2.2073540219019478E-4</c:v>
                </c:pt>
                <c:pt idx="28">
                  <c:v>2.214470172576776E-4</c:v>
                </c:pt>
                <c:pt idx="29">
                  <c:v>2.2230324376814177E-4</c:v>
                </c:pt>
                <c:pt idx="30">
                  <c:v>2.2329846589361435E-4</c:v>
                </c:pt>
                <c:pt idx="31">
                  <c:v>2.2706194768035045E-4</c:v>
                </c:pt>
                <c:pt idx="32">
                  <c:v>2.2855699398612478E-4</c:v>
                </c:pt>
                <c:pt idx="33">
                  <c:v>2.3016295676704163E-4</c:v>
                </c:pt>
                <c:pt idx="34">
                  <c:v>2.3187422019512789E-4</c:v>
                </c:pt>
                <c:pt idx="35">
                  <c:v>2.3368516844241038E-4</c:v>
                </c:pt>
                <c:pt idx="36">
                  <c:v>2.3965996381970379E-4</c:v>
                </c:pt>
                <c:pt idx="37">
                  <c:v>2.4181349306403969E-4</c:v>
                </c:pt>
                <c:pt idx="38">
                  <c:v>2.4403862798770602E-4</c:v>
                </c:pt>
                <c:pt idx="39">
                  <c:v>2.4632975276272969E-4</c:v>
                </c:pt>
                <c:pt idx="40">
                  <c:v>2.4868125156113753E-4</c:v>
                </c:pt>
                <c:pt idx="41">
                  <c:v>2.5604183381693426E-4</c:v>
                </c:pt>
                <c:pt idx="42">
                  <c:v>2.5857867042914707E-4</c:v>
                </c:pt>
                <c:pt idx="43">
                  <c:v>2.6114780192487816E-4</c:v>
                </c:pt>
                <c:pt idx="44">
                  <c:v>2.6374361247615469E-4</c:v>
                </c:pt>
                <c:pt idx="45">
                  <c:v>2.6636048625500316E-4</c:v>
                </c:pt>
                <c:pt idx="46">
                  <c:v>2.742813286772494E-4</c:v>
                </c:pt>
                <c:pt idx="47">
                  <c:v>2.7692629708665431E-4</c:v>
                </c:pt>
                <c:pt idx="48">
                  <c:v>2.7956424958376554E-4</c:v>
                </c:pt>
                <c:pt idx="49">
                  <c:v>2.8218957034061021E-4</c:v>
                </c:pt>
                <c:pt idx="50">
                  <c:v>2.8479664352921454E-4</c:v>
                </c:pt>
                <c:pt idx="51">
                  <c:v>2.9245221940585618E-4</c:v>
                </c:pt>
                <c:pt idx="52">
                  <c:v>2.949301440417688E-4</c:v>
                </c:pt>
                <c:pt idx="53">
                  <c:v>2.9736174196957557E-4</c:v>
                </c:pt>
                <c:pt idx="54">
                  <c:v>2.997413973613036E-4</c:v>
                </c:pt>
                <c:pt idx="55">
                  <c:v>3.0206349438897934E-4</c:v>
                </c:pt>
                <c:pt idx="56">
                  <c:v>3.0862827700796244E-4</c:v>
                </c:pt>
                <c:pt idx="57">
                  <c:v>3.1066398229969816E-4</c:v>
                </c:pt>
                <c:pt idx="58">
                  <c:v>3.1261405008751585E-4</c:v>
                </c:pt>
                <c:pt idx="59">
                  <c:v>3.1447286454344247E-4</c:v>
                </c:pt>
                <c:pt idx="60">
                  <c:v>3.2088327248877536E-4</c:v>
                </c:pt>
                <c:pt idx="61">
                  <c:v>3.2220158286564967E-4</c:v>
                </c:pt>
                <c:pt idx="62">
                  <c:v>3.2339494494279346E-4</c:v>
                </c:pt>
                <c:pt idx="63">
                  <c:v>3.2445774289223417E-4</c:v>
                </c:pt>
                <c:pt idx="64">
                  <c:v>3.2729097685350276E-4</c:v>
                </c:pt>
                <c:pt idx="65">
                  <c:v>3.2761671674483045E-4</c:v>
                </c:pt>
                <c:pt idx="66">
                  <c:v>3.2777819754061595E-4</c:v>
                </c:pt>
                <c:pt idx="67">
                  <c:v>3.2776980341288635E-4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79904"/>
        <c:axId val="142781440"/>
      </c:scatterChart>
      <c:valAx>
        <c:axId val="14277990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2781440"/>
        <c:crosses val="autoZero"/>
        <c:crossBetween val="midCat"/>
      </c:valAx>
      <c:valAx>
        <c:axId val="14278144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277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'1MSynthDepo_allScenario'!$BE$6:$BE$135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'1MSynthDepo_allScenario'!$BF$6:$BF$135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'1MSynthDepo_allScenario'!$BG$6:$BG$135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'1MSynthDepo_allScenario'!$BH$6:$BH$135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673792"/>
        <c:axId val="142675328"/>
      </c:lineChart>
      <c:dateAx>
        <c:axId val="1426737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2675328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14267532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42673792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'1MSynthDepo_allScenario'!$BI$6:$BI$135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'1MSynthDepo_allScenario'!$BJ$6:$BJ$135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'1MSynthDepo_allScenario'!$BK$6:$BK$135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'1MSynthDepo_allScenario'!$BL$6:$BL$135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715648"/>
        <c:axId val="368717184"/>
      </c:lineChart>
      <c:dateAx>
        <c:axId val="3687156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68717184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687171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8715648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'1MSynthDepo_allScenario'!$BM$6:$BM$135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'1MSynthDepo_allScenario'!$BN$6:$BN$135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'1MSynthDepo_allScenario'!$BO$6:$BO$135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'1MSynthDepo_allScenario'!$BP$6:$BP$135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'1MSynthDepo_allScenario'!$BQ$6:$BQ$135</c:f>
              <c:numCache>
                <c:formatCode>0.0000%</c:formatCode>
                <c:ptCount val="130"/>
                <c:pt idx="0">
                  <c:v>3.6564406627777275E-4</c:v>
                </c:pt>
                <c:pt idx="1">
                  <c:v>3.3845350303066558E-4</c:v>
                </c:pt>
                <c:pt idx="2">
                  <c:v>3.3012181271417396E-4</c:v>
                </c:pt>
                <c:pt idx="3">
                  <c:v>3.2214628263770164E-4</c:v>
                </c:pt>
                <c:pt idx="4">
                  <c:v>3.1452105971549698E-4</c:v>
                </c:pt>
                <c:pt idx="5">
                  <c:v>3.0724029086180824E-4</c:v>
                </c:pt>
                <c:pt idx="6">
                  <c:v>2.8740617785432153E-4</c:v>
                </c:pt>
                <c:pt idx="7">
                  <c:v>2.8144469441718022E-4</c:v>
                </c:pt>
                <c:pt idx="8">
                  <c:v>2.7579839961979668E-4</c:v>
                </c:pt>
                <c:pt idx="9">
                  <c:v>2.7046144037641914E-4</c:v>
                </c:pt>
                <c:pt idx="10">
                  <c:v>2.6542796360129602E-4</c:v>
                </c:pt>
                <c:pt idx="11">
                  <c:v>2.5208989722793658E-4</c:v>
                </c:pt>
                <c:pt idx="12">
                  <c:v>2.4821181946831463E-4</c:v>
                </c:pt>
                <c:pt idx="13">
                  <c:v>2.4460795874818873E-4</c:v>
                </c:pt>
                <c:pt idx="14">
                  <c:v>2.4127246198180733E-4</c:v>
                </c:pt>
                <c:pt idx="15">
                  <c:v>2.3819947608341881E-4</c:v>
                </c:pt>
                <c:pt idx="16">
                  <c:v>2.3049705273869359E-4</c:v>
                </c:pt>
                <c:pt idx="17">
                  <c:v>2.2841557945475982E-4</c:v>
                </c:pt>
                <c:pt idx="18">
                  <c:v>2.2656735161006065E-4</c:v>
                </c:pt>
                <c:pt idx="19">
                  <c:v>2.2494651611884432E-4</c:v>
                </c:pt>
                <c:pt idx="20">
                  <c:v>2.2354721989535929E-4</c:v>
                </c:pt>
                <c:pt idx="21">
                  <c:v>2.2062003597377524E-4</c:v>
                </c:pt>
                <c:pt idx="22">
                  <c:v>2.2004836596369867E-4</c:v>
                </c:pt>
                <c:pt idx="23">
                  <c:v>2.1966896979259509E-4</c:v>
                </c:pt>
                <c:pt idx="24">
                  <c:v>2.194759943747129E-4</c:v>
                </c:pt>
                <c:pt idx="25">
                  <c:v>2.1946358662430031E-4</c:v>
                </c:pt>
                <c:pt idx="26">
                  <c:v>2.2045123852036419E-4</c:v>
                </c:pt>
                <c:pt idx="27">
                  <c:v>2.2110257058231388E-4</c:v>
                </c:pt>
                <c:pt idx="28">
                  <c:v>2.2190520488297495E-4</c:v>
                </c:pt>
                <c:pt idx="29">
                  <c:v>2.2285328833659566E-4</c:v>
                </c:pt>
                <c:pt idx="30">
                  <c:v>2.2394096785742463E-4</c:v>
                </c:pt>
                <c:pt idx="31">
                  <c:v>2.2798305196564337E-4</c:v>
                </c:pt>
                <c:pt idx="32">
                  <c:v>2.2957058489778809E-4</c:v>
                </c:pt>
                <c:pt idx="33">
                  <c:v>2.3126844846838276E-4</c:v>
                </c:pt>
                <c:pt idx="34">
                  <c:v>2.3307078959167553E-4</c:v>
                </c:pt>
                <c:pt idx="35">
                  <c:v>2.3497175518191483E-4</c:v>
                </c:pt>
                <c:pt idx="36">
                  <c:v>2.4120786789679535E-4</c:v>
                </c:pt>
                <c:pt idx="37">
                  <c:v>2.4344480049730432E-4</c:v>
                </c:pt>
                <c:pt idx="38">
                  <c:v>2.457510921360013E-4</c:v>
                </c:pt>
                <c:pt idx="39">
                  <c:v>2.4812088972713512E-4</c:v>
                </c:pt>
                <c:pt idx="40">
                  <c:v>2.5054834018495379E-4</c:v>
                </c:pt>
                <c:pt idx="41">
                  <c:v>2.5811807790100292E-4</c:v>
                </c:pt>
                <c:pt idx="42">
                  <c:v>2.6071760896804487E-4</c:v>
                </c:pt>
                <c:pt idx="43">
                  <c:v>2.6334552747301352E-4</c:v>
                </c:pt>
                <c:pt idx="44">
                  <c:v>2.6599598033015716E-4</c:v>
                </c:pt>
                <c:pt idx="45">
                  <c:v>2.6866311445372421E-4</c:v>
                </c:pt>
                <c:pt idx="46">
                  <c:v>2.7670607356544881E-4</c:v>
                </c:pt>
                <c:pt idx="47">
                  <c:v>2.7938140189719292E-4</c:v>
                </c:pt>
                <c:pt idx="48">
                  <c:v>2.8204414606660181E-4</c:v>
                </c:pt>
                <c:pt idx="49">
                  <c:v>2.8468845298792442E-4</c:v>
                </c:pt>
                <c:pt idx="50">
                  <c:v>2.8730846957540857E-4</c:v>
                </c:pt>
                <c:pt idx="51">
                  <c:v>2.9496424647731587E-4</c:v>
                </c:pt>
                <c:pt idx="52">
                  <c:v>2.974285708719307E-4</c:v>
                </c:pt>
                <c:pt idx="53">
                  <c:v>2.9983933950394935E-4</c:v>
                </c:pt>
                <c:pt idx="54">
                  <c:v>3.0219069928761943E-4</c:v>
                </c:pt>
                <c:pt idx="55">
                  <c:v>3.0447679713719016E-4</c:v>
                </c:pt>
                <c:pt idx="56">
                  <c:v>3.1088498822378675E-4</c:v>
                </c:pt>
                <c:pt idx="57">
                  <c:v>3.1285150747944167E-4</c:v>
                </c:pt>
                <c:pt idx="58">
                  <c:v>3.1472349937223837E-4</c:v>
                </c:pt>
                <c:pt idx="59">
                  <c:v>3.1649511081642567E-4</c:v>
                </c:pt>
                <c:pt idx="60">
                  <c:v>3.224606903920441E-4</c:v>
                </c:pt>
                <c:pt idx="61">
                  <c:v>3.2364260330690797E-4</c:v>
                </c:pt>
                <c:pt idx="62">
                  <c:v>3.2468901725865205E-4</c:v>
                </c:pt>
                <c:pt idx="63">
                  <c:v>3.25594079161525E-4</c:v>
                </c:pt>
                <c:pt idx="64">
                  <c:v>3.2768374456927066E-4</c:v>
                </c:pt>
                <c:pt idx="65">
                  <c:v>3.2779424994151232E-4</c:v>
                </c:pt>
                <c:pt idx="66">
                  <c:v>3.2772828475037302E-4</c:v>
                </c:pt>
                <c:pt idx="67">
                  <c:v>3.2747999591010036E-4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17120"/>
        <c:axId val="368931200"/>
      </c:lineChart>
      <c:dateAx>
        <c:axId val="3689171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68931200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6893120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89171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57149</xdr:rowOff>
    </xdr:from>
    <xdr:to>
      <xdr:col>15</xdr:col>
      <xdr:colOff>104775</xdr:colOff>
      <xdr:row>50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51</xdr:row>
      <xdr:rowOff>38100</xdr:rowOff>
    </xdr:from>
    <xdr:to>
      <xdr:col>15</xdr:col>
      <xdr:colOff>104775</xdr:colOff>
      <xdr:row>79</xdr:row>
      <xdr:rowOff>95251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66675</xdr:rowOff>
    </xdr:from>
    <xdr:to>
      <xdr:col>18</xdr:col>
      <xdr:colOff>429450</xdr:colOff>
      <xdr:row>86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476250</xdr:colOff>
      <xdr:row>60</xdr:row>
      <xdr:rowOff>66675</xdr:rowOff>
    </xdr:from>
    <xdr:to>
      <xdr:col>26</xdr:col>
      <xdr:colOff>48450</xdr:colOff>
      <xdr:row>86</xdr:row>
      <xdr:rowOff>133350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114300</xdr:colOff>
      <xdr:row>60</xdr:row>
      <xdr:rowOff>76200</xdr:rowOff>
    </xdr:from>
    <xdr:to>
      <xdr:col>43</xdr:col>
      <xdr:colOff>19050</xdr:colOff>
      <xdr:row>87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57149</xdr:rowOff>
    </xdr:from>
    <xdr:to>
      <xdr:col>15</xdr:col>
      <xdr:colOff>104775</xdr:colOff>
      <xdr:row>56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57</xdr:row>
      <xdr:rowOff>38100</xdr:rowOff>
    </xdr:from>
    <xdr:to>
      <xdr:col>15</xdr:col>
      <xdr:colOff>104775</xdr:colOff>
      <xdr:row>85</xdr:row>
      <xdr:rowOff>95251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63</xdr:row>
      <xdr:rowOff>76200</xdr:rowOff>
    </xdr:from>
    <xdr:to>
      <xdr:col>18</xdr:col>
      <xdr:colOff>429450</xdr:colOff>
      <xdr:row>90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504825</xdr:colOff>
      <xdr:row>63</xdr:row>
      <xdr:rowOff>76200</xdr:rowOff>
    </xdr:from>
    <xdr:to>
      <xdr:col>26</xdr:col>
      <xdr:colOff>77025</xdr:colOff>
      <xdr:row>90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114300</xdr:colOff>
      <xdr:row>63</xdr:row>
      <xdr:rowOff>95250</xdr:rowOff>
    </xdr:from>
    <xdr:to>
      <xdr:col>43</xdr:col>
      <xdr:colOff>19050</xdr:colOff>
      <xdr:row>90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95249</xdr:rowOff>
    </xdr:from>
    <xdr:to>
      <xdr:col>15</xdr:col>
      <xdr:colOff>104775</xdr:colOff>
      <xdr:row>48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48</xdr:row>
      <xdr:rowOff>57150</xdr:rowOff>
    </xdr:from>
    <xdr:to>
      <xdr:col>15</xdr:col>
      <xdr:colOff>104775</xdr:colOff>
      <xdr:row>76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78</xdr:row>
      <xdr:rowOff>19050</xdr:rowOff>
    </xdr:from>
    <xdr:to>
      <xdr:col>18</xdr:col>
      <xdr:colOff>429450</xdr:colOff>
      <xdr:row>104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438150</xdr:colOff>
      <xdr:row>78</xdr:row>
      <xdr:rowOff>19050</xdr:rowOff>
    </xdr:from>
    <xdr:to>
      <xdr:col>26</xdr:col>
      <xdr:colOff>10350</xdr:colOff>
      <xdr:row>104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28575</xdr:colOff>
      <xdr:row>78</xdr:row>
      <xdr:rowOff>9525</xdr:rowOff>
    </xdr:from>
    <xdr:to>
      <xdr:col>42</xdr:col>
      <xdr:colOff>266700</xdr:colOff>
      <xdr:row>104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57149</xdr:rowOff>
    </xdr:from>
    <xdr:to>
      <xdr:col>15</xdr:col>
      <xdr:colOff>38100</xdr:colOff>
      <xdr:row>46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46</xdr:row>
      <xdr:rowOff>114300</xdr:rowOff>
    </xdr:from>
    <xdr:to>
      <xdr:col>15</xdr:col>
      <xdr:colOff>38100</xdr:colOff>
      <xdr:row>75</xdr:row>
      <xdr:rowOff>28576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46</xdr:row>
      <xdr:rowOff>76200</xdr:rowOff>
    </xdr:from>
    <xdr:to>
      <xdr:col>18</xdr:col>
      <xdr:colOff>429450</xdr:colOff>
      <xdr:row>73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466725</xdr:colOff>
      <xdr:row>46</xdr:row>
      <xdr:rowOff>85725</xdr:rowOff>
    </xdr:from>
    <xdr:to>
      <xdr:col>26</xdr:col>
      <xdr:colOff>38925</xdr:colOff>
      <xdr:row>73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95250</xdr:colOff>
      <xdr:row>46</xdr:row>
      <xdr:rowOff>95250</xdr:rowOff>
    </xdr:from>
    <xdr:to>
      <xdr:col>43</xdr:col>
      <xdr:colOff>0</xdr:colOff>
      <xdr:row>73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UR_SynthQuotesFe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LastFixingsTrigger" refersTo="='General Settings'!$D$8"/>
      <definedName name="TriggerCounter" refersTo="='General Settings'!$D$7"/>
    </definedNames>
    <sheetDataSet>
      <sheetData sheetId="0">
        <row r="7">
          <cell r="D7">
            <v>2</v>
          </cell>
        </row>
        <row r="8">
          <cell r="D8">
            <v>1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  <row r="8">
          <cell r="D8" t="str">
            <v>EUR6M#0000</v>
          </cell>
        </row>
      </sheetData>
      <sheetData sheetId="3">
        <row r="7">
          <cell r="D7" t="str">
            <v>D</v>
          </cell>
        </row>
        <row r="8">
          <cell r="D8" t="str">
            <v>D</v>
          </cell>
        </row>
      </sheetData>
      <sheetData sheetId="4">
        <row r="7">
          <cell r="D7" t="str">
            <v>6F</v>
          </cell>
        </row>
        <row r="8">
          <cell r="D8" t="str">
            <v>7F</v>
          </cell>
        </row>
      </sheetData>
      <sheetData sheetId="5"/>
      <sheetData sheetId="6">
        <row r="7">
          <cell r="D7" t="str">
            <v>OIS</v>
          </cell>
        </row>
        <row r="8">
          <cell r="D8" t="str">
            <v>OIS</v>
          </cell>
        </row>
      </sheetData>
      <sheetData sheetId="7">
        <row r="7">
          <cell r="D7" t="str">
            <v>M6</v>
          </cell>
        </row>
        <row r="8">
          <cell r="D8" t="str">
            <v>U6</v>
          </cell>
        </row>
      </sheetData>
      <sheetData sheetId="8">
        <row r="7">
          <cell r="D7" t="str">
            <v>Z5</v>
          </cell>
        </row>
        <row r="8">
          <cell r="D8" t="str">
            <v>F6</v>
          </cell>
        </row>
      </sheetData>
      <sheetData sheetId="9"/>
      <sheetData sheetId="10">
        <row r="7">
          <cell r="D7" t="str">
            <v>3E</v>
          </cell>
        </row>
        <row r="8">
          <cell r="D8" t="str">
            <v>3E</v>
          </cell>
        </row>
      </sheetData>
      <sheetData sheetId="11">
        <row r="7">
          <cell r="D7" t="str">
            <v>6E</v>
          </cell>
        </row>
        <row r="8">
          <cell r="D8" t="str">
            <v>6E</v>
          </cell>
        </row>
      </sheetData>
      <sheetData sheetId="12">
        <row r="7">
          <cell r="D7" t="str">
            <v>6E</v>
          </cell>
        </row>
        <row r="8">
          <cell r="D8" t="str">
            <v>6E</v>
          </cell>
        </row>
      </sheetData>
      <sheetData sheetId="13">
        <row r="7">
          <cell r="D7" t="str">
            <v>12E</v>
          </cell>
        </row>
        <row r="8">
          <cell r="D8" t="str">
            <v>12E</v>
          </cell>
        </row>
      </sheetData>
      <sheetData sheetId="14">
        <row r="7">
          <cell r="D7" t="str">
            <v>X1S</v>
          </cell>
        </row>
        <row r="8">
          <cell r="D8" t="str">
            <v>X1S</v>
          </cell>
        </row>
      </sheetData>
      <sheetData sheetId="15">
        <row r="7">
          <cell r="D7" t="str">
            <v>1E</v>
          </cell>
        </row>
        <row r="8">
          <cell r="D8" t="str">
            <v>1E</v>
          </cell>
        </row>
      </sheetData>
      <sheetData sheetId="16">
        <row r="7">
          <cell r="D7" t="str">
            <v>3E</v>
          </cell>
        </row>
        <row r="8">
          <cell r="D8" t="str">
            <v>3E</v>
          </cell>
        </row>
      </sheetData>
      <sheetData sheetId="17">
        <row r="7">
          <cell r="D7" t="str">
            <v>6E</v>
          </cell>
        </row>
        <row r="8">
          <cell r="D8" t="str">
            <v>6E</v>
          </cell>
        </row>
      </sheetData>
      <sheetData sheetId="18">
        <row r="7">
          <cell r="D7" t="str">
            <v>EUR1F3Y_Quote</v>
          </cell>
        </row>
        <row r="8">
          <cell r="D8" t="str">
            <v>EUR1F4Y_Quote</v>
          </cell>
        </row>
      </sheetData>
      <sheetData sheetId="19">
        <row r="7">
          <cell r="D7">
            <v>12</v>
          </cell>
        </row>
        <row r="8">
          <cell r="D8">
            <v>12</v>
          </cell>
        </row>
      </sheetData>
      <sheetData sheetId="20">
        <row r="7">
          <cell r="D7" t="str">
            <v>Z5</v>
          </cell>
        </row>
        <row r="8">
          <cell r="D8" t="str">
            <v>F6</v>
          </cell>
        </row>
      </sheetData>
      <sheetData sheetId="21">
        <row r="7">
          <cell r="D7" t="str">
            <v>3E</v>
          </cell>
        </row>
        <row r="8">
          <cell r="D8" t="str">
            <v>3E</v>
          </cell>
        </row>
      </sheetData>
      <sheetData sheetId="22">
        <row r="7">
          <cell r="D7" t="str">
            <v>1E</v>
          </cell>
        </row>
        <row r="8">
          <cell r="D8" t="str">
            <v>1E</v>
          </cell>
        </row>
      </sheetData>
      <sheetData sheetId="23">
        <row r="7">
          <cell r="D7" t="str">
            <v>3E</v>
          </cell>
        </row>
        <row r="8">
          <cell r="D8" t="str">
            <v>3E</v>
          </cell>
        </row>
      </sheetData>
      <sheetData sheetId="24">
        <row r="7">
          <cell r="D7" t="str">
            <v>6E</v>
          </cell>
        </row>
        <row r="8">
          <cell r="D8" t="str">
            <v>6E</v>
          </cell>
        </row>
      </sheetData>
      <sheetData sheetId="25">
        <row r="7">
          <cell r="D7" t="str">
            <v>12E</v>
          </cell>
        </row>
        <row r="8">
          <cell r="D8" t="str">
            <v>12E</v>
          </cell>
        </row>
      </sheetData>
      <sheetData sheetId="26">
        <row r="7">
          <cell r="D7">
            <v>42275</v>
          </cell>
        </row>
        <row r="8">
          <cell r="D8">
            <v>42272</v>
          </cell>
        </row>
      </sheetData>
      <sheetData sheetId="27">
        <row r="7">
          <cell r="D7">
            <v>42275</v>
          </cell>
        </row>
        <row r="8">
          <cell r="D8">
            <v>42272</v>
          </cell>
        </row>
      </sheetData>
      <sheetData sheetId="28">
        <row r="7">
          <cell r="D7">
            <v>42276</v>
          </cell>
        </row>
        <row r="8">
          <cell r="D8">
            <v>42275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1MSynthDepo"/>
      <sheetName val="3MSynthDepo"/>
      <sheetName val="6MSynthDepo"/>
      <sheetName val="1YSynthDepo"/>
      <sheetName val="SynthFra"/>
      <sheetName val="Contribution"/>
    </sheetNames>
    <definedNames>
      <definedName name="iborindex1M" refersTo="='General Settings'!$D$28"/>
      <definedName name="TenorBasis12M" refersTo="='1YSynthDepo'!$R$18"/>
      <definedName name="TenorBasis1M" refersTo="='1MSynthDepo'!$AE$18"/>
      <definedName name="TenorBasis3M" refersTo="='3MSynthDepo'!$R$19"/>
      <definedName name="TenorBasis6M" refersTo="='6MSynthDepo'!$R$18"/>
    </definedNames>
    <sheetDataSet>
      <sheetData sheetId="0">
        <row r="28">
          <cell r="D28" t="str">
            <v>obj_0048f#0001</v>
          </cell>
        </row>
      </sheetData>
      <sheetData sheetId="1">
        <row r="18">
          <cell r="AE18" t="str">
            <v>obj_005a1#0001</v>
          </cell>
        </row>
      </sheetData>
      <sheetData sheetId="2">
        <row r="18">
          <cell r="R18" t="e">
            <v>#N/A</v>
          </cell>
        </row>
        <row r="19">
          <cell r="R19" t="str">
            <v>obj_005a2#0013</v>
          </cell>
        </row>
        <row r="28">
          <cell r="D28" t="str">
            <v>EURFUT3MH8_Quote</v>
          </cell>
        </row>
      </sheetData>
      <sheetData sheetId="3">
        <row r="18">
          <cell r="R18" t="str">
            <v>obj_005a4#0001</v>
          </cell>
        </row>
      </sheetData>
      <sheetData sheetId="4">
        <row r="18">
          <cell r="R18" t="str">
            <v>obj_005a3#0001</v>
          </cell>
        </row>
      </sheetData>
      <sheetData sheetId="5"/>
      <sheetData sheetId="6">
        <row r="28">
          <cell r="D28" t="str">
            <v>EUR3WD_SYNTH1Y_Quote#0001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0"/>
  <sheetViews>
    <sheetView tabSelected="1" workbookViewId="0">
      <selection activeCell="D15" sqref="D15"/>
    </sheetView>
  </sheetViews>
  <sheetFormatPr defaultColWidth="10.6640625" defaultRowHeight="11.25" x14ac:dyDescent="0.2"/>
  <cols>
    <col min="1" max="2" width="2.83203125" style="15" customWidth="1"/>
    <col min="3" max="3" width="27.5" style="15" bestFit="1" customWidth="1"/>
    <col min="4" max="4" width="35.83203125" style="15" customWidth="1"/>
    <col min="5" max="7" width="2.83203125" style="15" customWidth="1"/>
    <col min="8" max="8" width="27.5" style="15" bestFit="1" customWidth="1"/>
    <col min="9" max="9" width="39.33203125" style="15" bestFit="1" customWidth="1"/>
    <col min="10" max="10" width="2.83203125" style="15" customWidth="1"/>
    <col min="11" max="16384" width="10.6640625" style="15"/>
  </cols>
  <sheetData>
    <row r="1" spans="1:34" x14ac:dyDescent="0.2">
      <c r="B1" s="15" t="str">
        <f>_xll.qlxlVersion(TRUE,EvaluationDate)</f>
        <v>QuantLibXL 1.7.0 - MS VC++ (version unknown) - Multithreaded Dynamic Runtime library - Release Configuration - Nov 10 2015 11:01:27</v>
      </c>
    </row>
    <row r="2" spans="1:34" ht="19.5" thickBot="1" x14ac:dyDescent="0.25">
      <c r="B2" s="68" t="s">
        <v>0</v>
      </c>
      <c r="C2" s="69"/>
      <c r="D2" s="69"/>
      <c r="E2" s="70"/>
      <c r="G2" s="68" t="s">
        <v>54</v>
      </c>
      <c r="H2" s="69"/>
      <c r="I2" s="69"/>
      <c r="J2" s="70"/>
    </row>
    <row r="3" spans="1:34" x14ac:dyDescent="0.2">
      <c r="B3" s="71"/>
      <c r="C3" s="1"/>
      <c r="D3" s="1"/>
      <c r="E3" s="72"/>
      <c r="G3" s="77"/>
      <c r="H3" s="5"/>
      <c r="I3" s="5"/>
      <c r="J3" s="78"/>
    </row>
    <row r="4" spans="1:34" x14ac:dyDescent="0.2">
      <c r="B4" s="71"/>
      <c r="C4" s="2" t="s">
        <v>1</v>
      </c>
      <c r="D4" s="3" t="s">
        <v>2</v>
      </c>
      <c r="E4" s="72"/>
      <c r="G4" s="77"/>
      <c r="H4" s="7" t="s">
        <v>8</v>
      </c>
      <c r="I4" s="17" t="b">
        <v>1</v>
      </c>
      <c r="J4" s="79"/>
    </row>
    <row r="5" spans="1:34" s="16" customFormat="1" x14ac:dyDescent="0.2">
      <c r="A5" s="15"/>
      <c r="B5" s="71"/>
      <c r="C5" s="2" t="s">
        <v>3</v>
      </c>
      <c r="D5" s="4" t="s">
        <v>4</v>
      </c>
      <c r="E5" s="72"/>
      <c r="F5" s="15"/>
      <c r="G5" s="77"/>
      <c r="H5" s="7" t="s">
        <v>9</v>
      </c>
      <c r="I5" s="17" t="b">
        <v>1</v>
      </c>
      <c r="J5" s="79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</row>
    <row r="6" spans="1:34" s="16" customFormat="1" x14ac:dyDescent="0.2">
      <c r="A6" s="15"/>
      <c r="B6" s="71"/>
      <c r="C6" s="2" t="s">
        <v>5</v>
      </c>
      <c r="D6" s="4" t="str">
        <f>IF(UPPER(Currency)&lt;&gt;"EUR","L","")&amp;"ibor"</f>
        <v>ibor</v>
      </c>
      <c r="E6" s="72"/>
      <c r="F6" s="15"/>
      <c r="G6" s="77"/>
      <c r="H6" s="7" t="s">
        <v>12</v>
      </c>
      <c r="I6" s="18" t="s">
        <v>13</v>
      </c>
      <c r="J6" s="79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</row>
    <row r="7" spans="1:34" x14ac:dyDescent="0.2">
      <c r="B7" s="71"/>
      <c r="C7" s="2" t="s">
        <v>6</v>
      </c>
      <c r="D7" s="6" t="s">
        <v>7</v>
      </c>
      <c r="E7" s="72"/>
      <c r="G7" s="80"/>
      <c r="H7" s="81"/>
      <c r="I7" s="81"/>
      <c r="J7" s="301"/>
    </row>
    <row r="8" spans="1:34" x14ac:dyDescent="0.2">
      <c r="B8" s="71"/>
      <c r="C8" s="2" t="s">
        <v>51</v>
      </c>
      <c r="D8" s="9" t="s">
        <v>52</v>
      </c>
      <c r="E8" s="72"/>
    </row>
    <row r="9" spans="1:34" x14ac:dyDescent="0.2">
      <c r="B9" s="71"/>
      <c r="C9" s="2" t="s">
        <v>58</v>
      </c>
      <c r="D9" s="9" t="s">
        <v>11</v>
      </c>
      <c r="E9" s="72"/>
    </row>
    <row r="10" spans="1:34" x14ac:dyDescent="0.2">
      <c r="B10" s="73"/>
      <c r="C10" s="11" t="s">
        <v>10</v>
      </c>
      <c r="D10" s="8">
        <f>_xll.qlCalendarAdvance(Calendar,_xll.qlCalendarAdjust(Calendar,EvaluationDate,"f",Trigger),"2D","f")</f>
        <v>42279</v>
      </c>
      <c r="E10" s="72"/>
    </row>
    <row r="11" spans="1:34" x14ac:dyDescent="0.2">
      <c r="B11" s="74"/>
      <c r="C11" s="75"/>
      <c r="D11" s="302"/>
      <c r="E11" s="76"/>
    </row>
    <row r="13" spans="1:34" ht="18.75" x14ac:dyDescent="0.2">
      <c r="B13" s="84" t="s">
        <v>40</v>
      </c>
      <c r="C13" s="85"/>
      <c r="D13" s="85"/>
      <c r="E13" s="86"/>
    </row>
    <row r="14" spans="1:34" x14ac:dyDescent="0.2">
      <c r="B14" s="82"/>
      <c r="C14" s="10"/>
      <c r="D14" s="10"/>
      <c r="E14" s="57"/>
    </row>
    <row r="15" spans="1:34" x14ac:dyDescent="0.2">
      <c r="B15" s="82"/>
      <c r="C15" s="2" t="s">
        <v>14</v>
      </c>
      <c r="D15" s="87"/>
      <c r="E15" s="57"/>
    </row>
    <row r="16" spans="1:34" x14ac:dyDescent="0.2">
      <c r="B16" s="82"/>
      <c r="C16" s="2" t="s">
        <v>15</v>
      </c>
      <c r="D16" s="12">
        <f>_xll.qlSettingsEvaluationDate(Trigger)</f>
        <v>42277</v>
      </c>
      <c r="E16" s="57"/>
    </row>
    <row r="17" spans="2:5" x14ac:dyDescent="0.2">
      <c r="B17" s="82"/>
      <c r="C17" s="2" t="s">
        <v>16</v>
      </c>
      <c r="D17" s="13">
        <f>[1]!TriggerCounter</f>
        <v>2</v>
      </c>
      <c r="E17" s="57"/>
    </row>
    <row r="18" spans="2:5" x14ac:dyDescent="0.2">
      <c r="B18" s="82"/>
      <c r="C18" s="2" t="s">
        <v>17</v>
      </c>
      <c r="D18" s="14">
        <f>[1]!LastFixingsTrigger</f>
        <v>1</v>
      </c>
      <c r="E18" s="57"/>
    </row>
    <row r="19" spans="2:5" x14ac:dyDescent="0.2">
      <c r="B19" s="82"/>
      <c r="C19" s="2" t="s">
        <v>19</v>
      </c>
      <c r="D19" s="3">
        <v>0</v>
      </c>
      <c r="E19" s="57"/>
    </row>
    <row r="20" spans="2:5" x14ac:dyDescent="0.2">
      <c r="B20" s="83"/>
      <c r="C20" s="58"/>
      <c r="D20" s="58"/>
      <c r="E20" s="59"/>
    </row>
  </sheetData>
  <dataValidations count="3"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0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16384" width="9.33203125" style="19"/>
  </cols>
  <sheetData>
    <row r="1" spans="1:27" x14ac:dyDescent="0.2">
      <c r="G1" s="126" t="s">
        <v>49</v>
      </c>
      <c r="H1" s="127" t="s">
        <v>24</v>
      </c>
    </row>
    <row r="2" spans="1:27" ht="26.25" customHeight="1" x14ac:dyDescent="0.2">
      <c r="D2" s="36" t="str">
        <f>H1&amp;" Instruments"</f>
        <v>6M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6M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6</v>
      </c>
      <c r="D3" s="108" t="str">
        <f>Currency&amp;A3&amp;B3&amp;C3&amp;"F"&amp;"_Estimated"</f>
        <v>EUR0x6F_Estimated</v>
      </c>
      <c r="E3" s="108" t="str">
        <f>_xll.qlSimpleQuote(UPPER("B"&amp;$H$1&amp;"_"&amp;A3&amp;B3&amp;C3&amp;"Estimated"),,,Permanent,Trigger,ObjectOverwrite)</f>
        <v>B6M_0X6ESTIMATED#0002</v>
      </c>
      <c r="F3" s="197" t="e">
        <f>_xll.qlSimpleQuoteSetValue(E3,L3,AllTriggers)</f>
        <v>#N/A</v>
      </c>
      <c r="G3" s="210">
        <f>SettlementDate</f>
        <v>42279</v>
      </c>
      <c r="H3" s="210">
        <f>_xll.qlInterestRateIndexMaturity(PROPER(Currency)&amp;"ibor"&amp;$H$1,G3)</f>
        <v>42464</v>
      </c>
      <c r="I3" s="107">
        <f>L3+$J$4</f>
        <v>2.6999305560338567E-4</v>
      </c>
      <c r="J3" s="89"/>
      <c r="K3" s="89"/>
      <c r="L3" s="66">
        <f>_xll.qlTenorBasisValue($P$3,G3,Trigger)</f>
        <v>1.8281244584021563E-3</v>
      </c>
      <c r="M3" s="89"/>
      <c r="N3" s="21"/>
      <c r="O3" s="192" t="s">
        <v>82</v>
      </c>
      <c r="P3" s="66" t="str">
        <f>[2]!TenorBasis6M</f>
        <v>obj_005a4#0001</v>
      </c>
      <c r="R3" s="211">
        <f>SettlementDate</f>
        <v>42279</v>
      </c>
      <c r="S3" s="52">
        <f>_xll.qlTenorBasisValue($P$3,R3,AllTriggers)</f>
        <v>1.8281244584021563E-3</v>
      </c>
      <c r="T3" s="46">
        <f>_xll.qlDayCounterYearFraction("actual/365 (fixed)",SettlementDate,R3,,,Trigger)</f>
        <v>0</v>
      </c>
      <c r="U3" s="52">
        <f>_xll.qlPolynomialFunctionValue($P$18,T3,AllTriggers)</f>
        <v>1.6434659406548819E-3</v>
      </c>
    </row>
    <row r="4" spans="1:27" ht="11.25" customHeight="1" x14ac:dyDescent="0.2">
      <c r="A4" s="104">
        <v>0</v>
      </c>
      <c r="B4" s="105" t="s">
        <v>20</v>
      </c>
      <c r="C4" s="106">
        <v>6</v>
      </c>
      <c r="D4" s="97" t="str">
        <f>PROPER(Currency&amp;IborType)&amp;H1&amp;"LastFixing"&amp;QuoteSuffix</f>
        <v>Euribor6MLastFixing_Quote</v>
      </c>
      <c r="E4" s="97" t="str">
        <f>_xll.qlSimpleQuote(UPPER("B"&amp;$H$1&amp;"_"&amp;A4&amp;B4&amp;C4&amp;"FIXING"),,,Permanent,Trigger,ObjectOverwrite)</f>
        <v>B6M_0X6FIXING#0002</v>
      </c>
      <c r="F4" s="198" t="e">
        <f>_xll.qlSimpleQuoteSetValue(E4,K4,AllTriggers)</f>
        <v>#N/A</v>
      </c>
      <c r="G4" s="210">
        <f>SettlementDate</f>
        <v>42279</v>
      </c>
      <c r="H4" s="210">
        <f>_xll.qlInterestRateIndexMaturity(ON_6M_index,G4)</f>
        <v>42464</v>
      </c>
      <c r="I4" s="66">
        <f>_xll.qlQuoteValue(D4,LastFixingsTrigger)</f>
        <v>2.9E-4</v>
      </c>
      <c r="J4" s="66">
        <f>_xll.qlIndexFixing(ON_6M_index,_xll.qlInterestRateIndexFixingDate(ON_6M_index,G4),,AllTriggers)</f>
        <v>-1.5581314027987706E-3</v>
      </c>
      <c r="K4" s="107">
        <f t="shared" ref="K4:K22" si="0">I4-J4</f>
        <v>1.8481314027987707E-3</v>
      </c>
      <c r="L4" s="62">
        <f>_xll.qlTenorBasisValue($P$3,G4,Trigger)</f>
        <v>1.8281244584021563E-3</v>
      </c>
      <c r="M4" s="63">
        <f>(K4-L4)*10000</f>
        <v>0.20006944396614443</v>
      </c>
      <c r="N4" s="21"/>
      <c r="R4" s="212">
        <f>_xll.qlCalendarAdvance(Calendar,R3,"1D","f")</f>
        <v>42282</v>
      </c>
      <c r="S4" s="47">
        <f>_xll.qlTenorBasisValue($P$3,R4,AllTriggers)</f>
        <v>1.8335506934607554E-3</v>
      </c>
      <c r="T4" s="41">
        <f>_xll.qlDayCounterYearFraction("actual/365 (fixed)",SettlementDate,R4,,,Trigger)</f>
        <v>8.21917808219178E-3</v>
      </c>
      <c r="U4" s="47">
        <f>_xll.qlPolynomialFunctionValue($P$18,T4,AllTriggers)</f>
        <v>1.6503922187722964E-3</v>
      </c>
    </row>
    <row r="5" spans="1:27" ht="11.25" customHeight="1" x14ac:dyDescent="0.2">
      <c r="A5" s="94">
        <v>1</v>
      </c>
      <c r="B5" s="21" t="s">
        <v>20</v>
      </c>
      <c r="C5" s="101">
        <f t="shared" ref="C5:C22" si="1">A5+SUBSTITUTE($H$1,"M","")</f>
        <v>7</v>
      </c>
      <c r="D5" s="98" t="str">
        <f t="shared" ref="D5:D22" si="2">Currency&amp;A5&amp;B5&amp;C5&amp;"F"&amp;QuoteSuffix</f>
        <v>EUR1x7F_Quote</v>
      </c>
      <c r="E5" s="98" t="str">
        <f>_xll.qlSimpleQuote(UPPER("B"&amp;$H$1&amp;"_"&amp;A5&amp;B5&amp;C5),,,Permanent,Trigger,ObjectOverwrite)</f>
        <v>B6M_1X7#0002</v>
      </c>
      <c r="F5" s="199" t="e">
        <f>_xll.qlSimpleQuoteSetValue(E5,K5,AllTriggers)</f>
        <v>#N/A</v>
      </c>
      <c r="G5" s="211">
        <f>_xll.qlCalendarAdvance("target",SettlementDate,A5&amp;"M","mf",,Trigger)</f>
        <v>42310</v>
      </c>
      <c r="H5" s="211">
        <f>_xll.qlInterestRateIndexMaturity(ON_6M_index,G5)</f>
        <v>42492</v>
      </c>
      <c r="I5" s="52">
        <f>_xll.qlQuoteValue(D5,AllTriggers)</f>
        <v>2.5000000000000001E-4</v>
      </c>
      <c r="J5" s="52">
        <f>_xll.qlIndexFixing(ON_6M_index,_xll.qlInterestRateIndexFixingDate(ON_6M_index,G5),,AllTriggers)</f>
        <v>-1.6193594075615929E-3</v>
      </c>
      <c r="K5" s="193">
        <f t="shared" si="0"/>
        <v>1.8693594075615929E-3</v>
      </c>
      <c r="L5" s="52">
        <f>_xll.qlTenorBasisValue($P$3,G5,Trigger)</f>
        <v>1.8821456276341439E-3</v>
      </c>
      <c r="M5" s="91">
        <f t="shared" ref="M5:M22" si="3">(K5-L5)*10000</f>
        <v>-0.12786220072550986</v>
      </c>
      <c r="N5" s="21"/>
      <c r="O5" s="119" t="s">
        <v>94</v>
      </c>
      <c r="P5" s="120"/>
      <c r="Q5" s="20"/>
      <c r="R5" s="212">
        <f>_xll.qlCalendarAdvance(Calendar,R4,"1D","f")</f>
        <v>42283</v>
      </c>
      <c r="S5" s="47">
        <f>_xll.qlTenorBasisValue($P$3,R5,AllTriggers)</f>
        <v>1.8353497254261376E-3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1.6526884891791844E-3</v>
      </c>
    </row>
    <row r="6" spans="1:27" ht="11.25" customHeight="1" x14ac:dyDescent="0.2">
      <c r="A6" s="94">
        <v>2</v>
      </c>
      <c r="B6" s="21" t="s">
        <v>20</v>
      </c>
      <c r="C6" s="101">
        <f t="shared" si="1"/>
        <v>8</v>
      </c>
      <c r="D6" s="99" t="str">
        <f t="shared" si="2"/>
        <v>EUR2x8F_Quote</v>
      </c>
      <c r="E6" s="99" t="str">
        <f>_xll.qlSimpleQuote(UPPER("B"&amp;$H$1&amp;"_"&amp;A6&amp;B6&amp;C6),,,Permanent,Trigger,ObjectOverwrite)</f>
        <v>B6M_2X8#0002</v>
      </c>
      <c r="F6" s="200" t="e">
        <f>_xll.qlSimpleQuoteSetValue(E6,K6,AllTriggers)</f>
        <v>#N/A</v>
      </c>
      <c r="G6" s="212">
        <f>_xll.qlCalendarAdvance("target",SettlementDate,A6&amp;"M","mf",,Trigger)</f>
        <v>42340</v>
      </c>
      <c r="H6" s="212">
        <f>_xll.qlInterestRateIndexMaturity(ON_6M_index,G6)</f>
        <v>42523</v>
      </c>
      <c r="I6" s="47">
        <f>_xll.qlQuoteValue(D6,AllTriggers)</f>
        <v>2.3000000000000001E-4</v>
      </c>
      <c r="J6" s="47">
        <f>_xll.qlIndexFixing(ON_6M_index,_xll.qlInterestRateIndexFixingDate(ON_6M_index,G6),,AllTriggers)</f>
        <v>-1.6816667402538344E-3</v>
      </c>
      <c r="K6" s="128">
        <f t="shared" si="0"/>
        <v>1.9116667402538344E-3</v>
      </c>
      <c r="L6" s="47">
        <f>_xll.qlTenorBasisValue($P$3,G6,Trigger)</f>
        <v>1.9303641301491191E-3</v>
      </c>
      <c r="M6" s="64">
        <f t="shared" si="3"/>
        <v>-0.18697389895284705</v>
      </c>
      <c r="N6" s="21"/>
      <c r="O6" s="192" t="s">
        <v>77</v>
      </c>
      <c r="P6" s="66">
        <f t="array" ref="P6:P10">_xll.qlTenorBasisCoefficients(P3)</f>
        <v>1.8281244584021563E-3</v>
      </c>
      <c r="Q6" s="20"/>
      <c r="R6" s="212">
        <f>_xll.qlCalendarAdvance(Calendar,R5,"1D","f")</f>
        <v>42284</v>
      </c>
      <c r="S6" s="47">
        <f>_xll.qlTenorBasisValue($P$3,R6,AllTriggers)</f>
        <v>1.8371439255300773E-3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1.654978539768913E-3</v>
      </c>
    </row>
    <row r="7" spans="1:27" ht="11.25" customHeight="1" x14ac:dyDescent="0.2">
      <c r="A7" s="94">
        <f>A6+1</f>
        <v>3</v>
      </c>
      <c r="B7" s="21" t="s">
        <v>20</v>
      </c>
      <c r="C7" s="101">
        <f t="shared" si="1"/>
        <v>9</v>
      </c>
      <c r="D7" s="99" t="str">
        <f t="shared" si="2"/>
        <v>EUR3x9F_Quote</v>
      </c>
      <c r="E7" s="99" t="str">
        <f>_xll.qlSimpleQuote(UPPER("B"&amp;$H$1&amp;"_"&amp;A7&amp;B7&amp;C7),,,Permanent,Trigger,ObjectOverwrite)</f>
        <v>B6M_3X9#0002</v>
      </c>
      <c r="F7" s="200" t="e">
        <f>_xll.qlSimpleQuoteSetValue(E7,K7,AllTriggers)</f>
        <v>#N/A</v>
      </c>
      <c r="G7" s="212">
        <f>_xll.qlCalendarAdvance("target",SettlementDate,A7&amp;"M","mf",,Trigger)</f>
        <v>42373</v>
      </c>
      <c r="H7" s="212">
        <f>_xll.qlInterestRateIndexMaturity(ON_6M_index,G7)</f>
        <v>42555</v>
      </c>
      <c r="I7" s="47">
        <f>_xll.qlQuoteValue(D7,AllTriggers)</f>
        <v>2.1999999999999998E-4</v>
      </c>
      <c r="J7" s="47">
        <f>_xll.qlIndexFixing(ON_6M_index,_xll.qlInterestRateIndexFixingDate(ON_6M_index,G7),,AllTriggers)</f>
        <v>-1.7567923896797668E-3</v>
      </c>
      <c r="K7" s="128">
        <f t="shared" si="0"/>
        <v>1.976792389679767E-3</v>
      </c>
      <c r="L7" s="47">
        <f>_xll.qlTenorBasisValue($P$3,G7,Trigger)</f>
        <v>1.9792740323489582E-3</v>
      </c>
      <c r="M7" s="64">
        <f t="shared" si="3"/>
        <v>-2.4816426691912259E-2</v>
      </c>
      <c r="N7" s="21"/>
      <c r="O7" s="192" t="s">
        <v>78</v>
      </c>
      <c r="P7" s="66">
        <v>6.6286168425057075E-4</v>
      </c>
      <c r="Q7" s="20"/>
      <c r="R7" s="212">
        <f>_xll.qlCalendarAdvance(Calendar,R6,"1D","f")</f>
        <v>42285</v>
      </c>
      <c r="S7" s="47">
        <f>_xll.qlTenorBasisValue($P$3,R7,AllTriggers)</f>
        <v>1.8389333085719543E-3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1.6572623853408628E-3</v>
      </c>
    </row>
    <row r="8" spans="1:27" ht="11.25" customHeight="1" x14ac:dyDescent="0.2">
      <c r="A8" s="94">
        <f t="shared" ref="A8:A22" si="4">A7+1</f>
        <v>4</v>
      </c>
      <c r="B8" s="21" t="s">
        <v>20</v>
      </c>
      <c r="C8" s="101">
        <f t="shared" si="1"/>
        <v>10</v>
      </c>
      <c r="D8" s="99" t="str">
        <f t="shared" si="2"/>
        <v>EUR4x10F_Quote</v>
      </c>
      <c r="E8" s="99" t="str">
        <f>_xll.qlSimpleQuote(UPPER("B"&amp;$H$1&amp;"_"&amp;A8&amp;B8&amp;C8),,,Permanent,Trigger,ObjectOverwrite)</f>
        <v>B6M_4X10#0002</v>
      </c>
      <c r="F8" s="200" t="e">
        <f>_xll.qlSimpleQuoteSetValue(E8,K8,AllTriggers)</f>
        <v>#N/A</v>
      </c>
      <c r="G8" s="212">
        <f>_xll.qlCalendarAdvance("target",SettlementDate,A8&amp;"M","mf",,Trigger)</f>
        <v>42402</v>
      </c>
      <c r="H8" s="212">
        <f>_xll.qlInterestRateIndexMaturity(ON_6M_index,G8)</f>
        <v>42584</v>
      </c>
      <c r="I8" s="47">
        <f>_xll.qlQuoteValue(D8,AllTriggers)</f>
        <v>2.0999999999999998E-4</v>
      </c>
      <c r="J8" s="47">
        <f>_xll.qlIndexFixing(ON_6M_index,_xll.qlInterestRateIndexFixingDate(ON_6M_index,G8),,AllTriggers)</f>
        <v>-1.8096504771476678E-3</v>
      </c>
      <c r="K8" s="128">
        <f t="shared" si="0"/>
        <v>2.0196504771476677E-3</v>
      </c>
      <c r="L8" s="47">
        <f>_xll.qlTenorBasisValue($P$3,G8,Trigger)</f>
        <v>2.0190912964082796E-3</v>
      </c>
      <c r="M8" s="64">
        <f t="shared" si="3"/>
        <v>5.5918073938810223E-3</v>
      </c>
      <c r="N8" s="21"/>
      <c r="O8" s="192" t="s">
        <v>79</v>
      </c>
      <c r="P8" s="66">
        <v>-3.258056650698723E-4</v>
      </c>
      <c r="Q8" s="20"/>
      <c r="R8" s="212">
        <f>_xll.qlCalendarAdvance(Calendar,R7,"1D","f")</f>
        <v>42286</v>
      </c>
      <c r="S8" s="47">
        <f>_xll.qlTenorBasisValue($P$3,R8,AllTriggers)</f>
        <v>1.840717889351148E-3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1.659540040694413E-3</v>
      </c>
    </row>
    <row r="9" spans="1:27" ht="11.25" customHeight="1" x14ac:dyDescent="0.2">
      <c r="A9" s="94">
        <f t="shared" si="4"/>
        <v>5</v>
      </c>
      <c r="B9" s="21" t="s">
        <v>20</v>
      </c>
      <c r="C9" s="101">
        <f t="shared" si="1"/>
        <v>11</v>
      </c>
      <c r="D9" s="99" t="str">
        <f t="shared" si="2"/>
        <v>EUR5x11F_Quote</v>
      </c>
      <c r="E9" s="99" t="str">
        <f>_xll.qlSimpleQuote(UPPER("B"&amp;$H$1&amp;"_"&amp;A9&amp;B9&amp;C9),,,Permanent,Trigger,ObjectOverwrite)</f>
        <v>B6M_5X11#0002</v>
      </c>
      <c r="F9" s="200" t="e">
        <f>_xll.qlSimpleQuoteSetValue(E9,K9,AllTriggers)</f>
        <v>#N/A</v>
      </c>
      <c r="G9" s="212">
        <f>_xll.qlCalendarAdvance("target",SettlementDate,A9&amp;"M","mf",,Trigger)</f>
        <v>42431</v>
      </c>
      <c r="H9" s="212">
        <f>_xll.qlInterestRateIndexMaturity(ON_6M_index,G9)</f>
        <v>42615</v>
      </c>
      <c r="I9" s="47">
        <f>_xll.qlQuoteValue(D9,AllTriggers)</f>
        <v>2.0000000000000001E-4</v>
      </c>
      <c r="J9" s="47">
        <f>_xll.qlIndexFixing(ON_6M_index,_xll.qlInterestRateIndexFixingDate(ON_6M_index,G9),,AllTriggers)</f>
        <v>-1.8559392549738728E-3</v>
      </c>
      <c r="K9" s="128">
        <f t="shared" si="0"/>
        <v>2.0559392549738729E-3</v>
      </c>
      <c r="L9" s="47">
        <f>_xll.qlTenorBasisValue($P$3,G9,Trigger)</f>
        <v>2.0563260721177534E-3</v>
      </c>
      <c r="M9" s="64">
        <f t="shared" si="3"/>
        <v>-3.8681714388056135E-3</v>
      </c>
      <c r="N9" s="21"/>
      <c r="O9" s="192" t="s">
        <v>80</v>
      </c>
      <c r="P9" s="66">
        <v>1.1994188128928957E-4</v>
      </c>
      <c r="Q9" s="20"/>
      <c r="R9" s="212">
        <f>_xll.qlCalendarAdvance(Calendar,R8,"1D","f")</f>
        <v>42289</v>
      </c>
      <c r="S9" s="47">
        <f>_xll.qlTenorBasisValue($P$3,R9,AllTriggers)</f>
        <v>1.8460429661064275E-3</v>
      </c>
      <c r="T9" s="41">
        <f>_xll.qlDayCounterYearFraction("actual/365 (fixed)",SettlementDate,R9,,,Trigger)</f>
        <v>2.7397260273972601E-2</v>
      </c>
      <c r="U9" s="47">
        <f>_xll.qlPolynomialFunctionValue($P$18,T9,AllTriggers)</f>
        <v>1.6663360134384628E-3</v>
      </c>
    </row>
    <row r="10" spans="1:27" ht="11.25" customHeight="1" x14ac:dyDescent="0.2">
      <c r="A10" s="94">
        <f t="shared" si="4"/>
        <v>6</v>
      </c>
      <c r="B10" s="21" t="s">
        <v>20</v>
      </c>
      <c r="C10" s="101">
        <f t="shared" si="1"/>
        <v>12</v>
      </c>
      <c r="D10" s="99" t="str">
        <f t="shared" si="2"/>
        <v>EUR6x12F_Quote</v>
      </c>
      <c r="E10" s="99" t="str">
        <f>_xll.qlSimpleQuote(UPPER("B"&amp;$H$1&amp;"_"&amp;A10&amp;B10&amp;C10),,,Permanent,Trigger,ObjectOverwrite)</f>
        <v>B6M_6X12#0002</v>
      </c>
      <c r="F10" s="200" t="e">
        <f>_xll.qlSimpleQuoteSetValue(E10,K10,AllTriggers)</f>
        <v>#N/A</v>
      </c>
      <c r="G10" s="212">
        <f>_xll.qlCalendarAdvance("target",SettlementDate,A10&amp;"M","mf",,Trigger)</f>
        <v>42464</v>
      </c>
      <c r="H10" s="212">
        <f>_xll.qlInterestRateIndexMaturity(ON_6M_index,G10)</f>
        <v>42647</v>
      </c>
      <c r="I10" s="47">
        <f>_xll.qlQuoteValue(D10,AllTriggers)</f>
        <v>2.0000000000000001E-4</v>
      </c>
      <c r="J10" s="47">
        <f>_xll.qlIndexFixing(ON_6M_index,_xll.qlInterestRateIndexFixingDate(ON_6M_index,G10),,AllTriggers)</f>
        <v>-1.9011608091102535E-3</v>
      </c>
      <c r="K10" s="128">
        <f t="shared" si="0"/>
        <v>2.1011608091102535E-3</v>
      </c>
      <c r="L10" s="47">
        <f>_xll.qlTenorBasisValue($P$3,G10,Trigger)</f>
        <v>2.0960145563454248E-3</v>
      </c>
      <c r="M10" s="64">
        <f t="shared" si="3"/>
        <v>5.1462527648287425E-2</v>
      </c>
      <c r="N10" s="21"/>
      <c r="O10" s="192" t="s">
        <v>81</v>
      </c>
      <c r="P10" s="66" t="e">
        <v>#N/A</v>
      </c>
      <c r="Q10" s="20"/>
      <c r="R10" s="212">
        <f>_xll.qlCalendarAdvance(Calendar,R9,"1D","f")</f>
        <v>42290</v>
      </c>
      <c r="S10" s="47">
        <f>_xll.qlTenorBasisValue($P$3,R10,AllTriggers)</f>
        <v>1.8478084858286861E-3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1.668589055912212E-3</v>
      </c>
    </row>
    <row r="11" spans="1:27" ht="11.25" customHeight="1" x14ac:dyDescent="0.2">
      <c r="A11" s="92">
        <f t="shared" si="4"/>
        <v>7</v>
      </c>
      <c r="B11" s="93" t="s">
        <v>20</v>
      </c>
      <c r="C11" s="102">
        <f t="shared" si="1"/>
        <v>13</v>
      </c>
      <c r="D11" s="98" t="str">
        <f t="shared" si="2"/>
        <v>EUR7x13F_Quote</v>
      </c>
      <c r="E11" s="98" t="str">
        <f>_xll.qlSimpleQuote(UPPER("B"&amp;$H$1&amp;"_"&amp;A11&amp;B11&amp;C11),,,Permanent,Trigger,ObjectOverwrite)</f>
        <v>B6M_7X13#0002</v>
      </c>
      <c r="F11" s="199" t="e">
        <f>_xll.qlSimpleQuoteSetValue(E11,K11,AllTriggers)</f>
        <v>#N/A</v>
      </c>
      <c r="G11" s="211">
        <f>_xll.qlCalendarAdvance("target",SettlementDate,A11&amp;"M","mf",,Trigger)</f>
        <v>42492</v>
      </c>
      <c r="H11" s="211">
        <f>_xll.qlInterestRateIndexMaturity(ON_6M_index,G11)</f>
        <v>42676</v>
      </c>
      <c r="I11" s="52">
        <f>_xll.qlQuoteValue(D11,AllTriggers)</f>
        <v>2.0999999999999998E-4</v>
      </c>
      <c r="J11" s="52">
        <f>_xll.qlIndexFixing(ON_6M_index,_xll.qlInterestRateIndexFixingDate(ON_6M_index,G11),,AllTriggers)</f>
        <v>-1.9331509043799353E-3</v>
      </c>
      <c r="K11" s="193">
        <f t="shared" si="0"/>
        <v>2.1431509043799354E-3</v>
      </c>
      <c r="L11" s="52">
        <f>_xll.qlTenorBasisValue($P$3,G11,Trigger)</f>
        <v>2.1278297590708894E-3</v>
      </c>
      <c r="M11" s="91">
        <f t="shared" si="3"/>
        <v>0.15321145309046044</v>
      </c>
      <c r="N11" s="21"/>
      <c r="Q11" s="20"/>
      <c r="R11" s="212">
        <f>_xll.qlCalendarAdvance(Calendar,R10,"1D","f")</f>
        <v>42291</v>
      </c>
      <c r="S11" s="47">
        <f>_xll.qlTenorBasisValue($P$3,R11,AllTriggers)</f>
        <v>1.84956927728516E-3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1.6708359821644603E-3</v>
      </c>
    </row>
    <row r="12" spans="1:27" ht="11.25" customHeight="1" x14ac:dyDescent="0.2">
      <c r="A12" s="94">
        <f t="shared" si="4"/>
        <v>8</v>
      </c>
      <c r="B12" s="21" t="s">
        <v>20</v>
      </c>
      <c r="C12" s="101">
        <f t="shared" si="1"/>
        <v>14</v>
      </c>
      <c r="D12" s="99" t="str">
        <f t="shared" si="2"/>
        <v>EUR8x14F_Quote</v>
      </c>
      <c r="E12" s="99" t="str">
        <f>_xll.qlSimpleQuote(UPPER("B"&amp;$H$1&amp;"_"&amp;A12&amp;B12&amp;C12),,,Permanent,Trigger,ObjectOverwrite)</f>
        <v>B6M_8X14#0002</v>
      </c>
      <c r="F12" s="200" t="e">
        <f>_xll.qlSimpleQuoteSetValue(E12,K12,AllTriggers)</f>
        <v>#N/A</v>
      </c>
      <c r="G12" s="212">
        <f>_xll.qlCalendarAdvance("target",SettlementDate,A12&amp;"M","mf",,Trigger)</f>
        <v>42523</v>
      </c>
      <c r="H12" s="212">
        <f>_xll.qlInterestRateIndexMaturity(ON_6M_index,G12)</f>
        <v>42706</v>
      </c>
      <c r="I12" s="47">
        <f>_xll.qlQuoteValue(D12,AllTriggers)</f>
        <v>2.0999999999999998E-4</v>
      </c>
      <c r="J12" s="47">
        <f>_xll.qlIndexFixing(ON_6M_index,_xll.qlInterestRateIndexFixingDate(ON_6M_index,G12),,AllTriggers)</f>
        <v>-1.9539511548627431E-3</v>
      </c>
      <c r="K12" s="128">
        <f t="shared" si="0"/>
        <v>2.1639511548627432E-3</v>
      </c>
      <c r="L12" s="47">
        <f>_xll.qlTenorBasisValue($P$3,G12,Trigger)</f>
        <v>2.1614771431067124E-3</v>
      </c>
      <c r="M12" s="64">
        <f t="shared" si="3"/>
        <v>2.4740117560307501E-2</v>
      </c>
      <c r="N12" s="21"/>
      <c r="O12" s="119" t="s">
        <v>95</v>
      </c>
      <c r="P12" s="120"/>
      <c r="Q12" s="20"/>
      <c r="R12" s="212">
        <f>_xll.qlCalendarAdvance(Calendar,R11,"1D","f")</f>
        <v>42292</v>
      </c>
      <c r="S12" s="47">
        <f>_xll.qlTenorBasisValue($P$3,R12,AllTriggers)</f>
        <v>1.8513253552752292E-3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1.6730768069945872E-3</v>
      </c>
    </row>
    <row r="13" spans="1:27" ht="11.25" customHeight="1" x14ac:dyDescent="0.2">
      <c r="A13" s="94">
        <f t="shared" si="4"/>
        <v>9</v>
      </c>
      <c r="B13" s="21" t="s">
        <v>20</v>
      </c>
      <c r="C13" s="101">
        <f t="shared" si="1"/>
        <v>15</v>
      </c>
      <c r="D13" s="99" t="str">
        <f t="shared" si="2"/>
        <v>EUR9x15F_Quote</v>
      </c>
      <c r="E13" s="99" t="str">
        <f>_xll.qlSimpleQuote(UPPER("B"&amp;$H$1&amp;"_"&amp;A13&amp;B13&amp;C13),,,Permanent,Trigger,ObjectOverwrite)</f>
        <v>B6M_9X15#0002</v>
      </c>
      <c r="F13" s="200" t="e">
        <f>_xll.qlSimpleQuoteSetValue(E13,K13,AllTriggers)</f>
        <v>#N/A</v>
      </c>
      <c r="G13" s="212">
        <f>_xll.qlCalendarAdvance("target",SettlementDate,A13&amp;"M","mf",,Trigger)</f>
        <v>42555</v>
      </c>
      <c r="H13" s="212">
        <f>_xll.qlInterestRateIndexMaturity(ON_6M_index,G13)</f>
        <v>42739</v>
      </c>
      <c r="I13" s="47">
        <f>_xll.qlQuoteValue(D13,AllTriggers)</f>
        <v>2.5000000000000001E-4</v>
      </c>
      <c r="J13" s="47">
        <f>_xll.qlIndexFixing(ON_6M_index,_xll.qlInterestRateIndexFixingDate(ON_6M_index,G13),,AllTriggers)</f>
        <v>-1.9457949029748046E-3</v>
      </c>
      <c r="K13" s="128">
        <f t="shared" si="0"/>
        <v>2.1957949029748043E-3</v>
      </c>
      <c r="L13" s="47">
        <f>_xll.qlTenorBasisValue($P$3,G13,Trigger)</f>
        <v>2.1949246488277511E-3</v>
      </c>
      <c r="M13" s="64">
        <f t="shared" si="3"/>
        <v>8.7025414705326626E-3</v>
      </c>
      <c r="N13" s="21"/>
      <c r="O13" s="192" t="s">
        <v>77</v>
      </c>
      <c r="P13" s="66">
        <f t="array" ref="P13:P17">_xll.qlTenorInstCoefficients(P3)</f>
        <v>1.6434659406548819E-3</v>
      </c>
      <c r="Q13" s="20"/>
      <c r="R13" s="212">
        <f>_xll.qlCalendarAdvance(Calendar,R12,"1D","f")</f>
        <v>42293</v>
      </c>
      <c r="S13" s="47">
        <f>_xll.qlTenorBasisValue($P$3,R13,AllTriggers)</f>
        <v>1.8530767345982732E-3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1.6753115452019726E-3</v>
      </c>
    </row>
    <row r="14" spans="1:27" ht="11.25" customHeight="1" thickBot="1" x14ac:dyDescent="0.25">
      <c r="A14" s="94">
        <f t="shared" si="4"/>
        <v>10</v>
      </c>
      <c r="B14" s="21" t="s">
        <v>20</v>
      </c>
      <c r="C14" s="101">
        <f t="shared" si="1"/>
        <v>16</v>
      </c>
      <c r="D14" s="99" t="str">
        <f t="shared" si="2"/>
        <v>EUR10x16F_Quote</v>
      </c>
      <c r="E14" s="99" t="str">
        <f>_xll.qlSimpleQuote(UPPER("B"&amp;$H$1&amp;"_"&amp;A14&amp;B14&amp;C14),,,Permanent,Trigger,ObjectOverwrite)</f>
        <v>B6M_10X16#0002</v>
      </c>
      <c r="F14" s="200" t="e">
        <f>_xll.qlSimpleQuoteSetValue(E14,K14,AllTriggers)</f>
        <v>#N/A</v>
      </c>
      <c r="G14" s="212">
        <f>_xll.qlCalendarAdvance("target",SettlementDate,A14&amp;"M","mf",,Trigger)</f>
        <v>42584</v>
      </c>
      <c r="H14" s="212">
        <f>_xll.qlInterestRateIndexMaturity(ON_6M_index,G14)</f>
        <v>42768</v>
      </c>
      <c r="I14" s="47">
        <f>_xll.qlQuoteValue(D14,AllTriggers)</f>
        <v>2.9000000000000006E-4</v>
      </c>
      <c r="J14" s="47">
        <f>_xll.qlIndexFixing(ON_6M_index,_xll.qlInterestRateIndexFixingDate(ON_6M_index,G14),,AllTriggers)</f>
        <v>-1.9382223355975177E-3</v>
      </c>
      <c r="K14" s="128">
        <f t="shared" si="0"/>
        <v>2.2282223355975178E-3</v>
      </c>
      <c r="L14" s="47">
        <f>_xll.qlTenorBasisValue($P$3,G14,Trigger)</f>
        <v>2.2245100733615242E-3</v>
      </c>
      <c r="M14" s="64">
        <f t="shared" si="3"/>
        <v>3.7122622359936699E-2</v>
      </c>
      <c r="N14" s="21"/>
      <c r="O14" s="192" t="s">
        <v>78</v>
      </c>
      <c r="P14" s="66">
        <v>8.4612682882785823E-4</v>
      </c>
      <c r="Q14" s="20"/>
      <c r="R14" s="212">
        <f>_xll.qlCalendarAdvance(Calendar,R13,"1D","f")</f>
        <v>42296</v>
      </c>
      <c r="S14" s="47">
        <f>_xll.qlTenorBasisValue($P$3,R14,AllTriggers)</f>
        <v>1.858302828559053E-3</v>
      </c>
      <c r="T14" s="41">
        <f>_xll.qlDayCounterYearFraction("actual/365 (fixed)",SettlementDate,R14,,,Trigger)</f>
        <v>4.6575342465753428E-2</v>
      </c>
      <c r="U14" s="47">
        <f>_xll.qlPolynomialFunctionValue($P$18,T14,AllTriggers)</f>
        <v>1.6819793880814777E-3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A15" s="94">
        <f t="shared" si="4"/>
        <v>11</v>
      </c>
      <c r="B15" s="21" t="s">
        <v>20</v>
      </c>
      <c r="C15" s="101">
        <f t="shared" si="1"/>
        <v>17</v>
      </c>
      <c r="D15" s="99" t="str">
        <f t="shared" si="2"/>
        <v>EUR11x17F_Quote</v>
      </c>
      <c r="E15" s="99" t="str">
        <f>_xll.qlSimpleQuote(UPPER("B"&amp;$H$1&amp;"_"&amp;A15&amp;B15&amp;C15),,,Permanent,Trigger,ObjectOverwrite)</f>
        <v>B6M_11X17#0002</v>
      </c>
      <c r="F15" s="200" t="e">
        <f>_xll.qlSimpleQuoteSetValue(E15,K15,AllTriggers)</f>
        <v>#N/A</v>
      </c>
      <c r="G15" s="212">
        <f>_xll.qlCalendarAdvance("target",SettlementDate,A15&amp;"M","mf",,Trigger)</f>
        <v>42615</v>
      </c>
      <c r="H15" s="212">
        <f>_xll.qlInterestRateIndexMaturity(ON_6M_index,G15)</f>
        <v>42796</v>
      </c>
      <c r="I15" s="47">
        <f>_xll.qlQuoteValue(D15,AllTriggers)</f>
        <v>3.3E-4</v>
      </c>
      <c r="J15" s="47">
        <f>_xll.qlIndexFixing(ON_6M_index,_xll.qlInterestRateIndexFixingDate(ON_6M_index,G15),,AllTriggers)</f>
        <v>-1.9205141499971325E-3</v>
      </c>
      <c r="K15" s="128">
        <f t="shared" si="0"/>
        <v>2.2505141499971322E-3</v>
      </c>
      <c r="L15" s="47">
        <f>_xll.qlTenorBasisValue($P$3,G15,Trigger)</f>
        <v>2.2557942068409135E-3</v>
      </c>
      <c r="M15" s="64">
        <f t="shared" si="3"/>
        <v>-5.2800568437812861E-2</v>
      </c>
      <c r="N15" s="21"/>
      <c r="O15" s="192" t="s">
        <v>79</v>
      </c>
      <c r="P15" s="66">
        <v>-4.1826086523036635E-4</v>
      </c>
      <c r="Q15" s="20"/>
      <c r="R15" s="212">
        <f>_xll.qlCalendarAdvance(Calendar,R14,"1D","f")</f>
        <v>42297</v>
      </c>
      <c r="S15" s="47">
        <f>_xll.qlTenorBasisValue($P$3,R15,AllTriggers)</f>
        <v>1.8600355612077939E-3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1.6841899277916946E-3</v>
      </c>
      <c r="W15" s="45">
        <v>0</v>
      </c>
      <c r="X15" s="45" t="s">
        <v>25</v>
      </c>
      <c r="Y15" s="175">
        <f>_xll.qlCalendarAdvance(Calendar,SettlementDate,W15&amp;"M","mf",TRUE,Trigger)</f>
        <v>42279</v>
      </c>
      <c r="Z15" s="176">
        <f>_xll.qlCalendarAdvance(Calendar,SettlementDate,X15,"Following",,Trigger)</f>
        <v>42282</v>
      </c>
      <c r="AA15" s="205">
        <f>_xll.qlTenorBasisForwardRate2(TenorBasis6M,Y15,Z15,AllTriggers)</f>
        <v>2.6443670122944241E-4</v>
      </c>
    </row>
    <row r="16" spans="1:27" ht="11.25" customHeight="1" x14ac:dyDescent="0.2">
      <c r="A16" s="94">
        <f t="shared" si="4"/>
        <v>12</v>
      </c>
      <c r="B16" s="21" t="s">
        <v>20</v>
      </c>
      <c r="C16" s="101">
        <f t="shared" si="1"/>
        <v>18</v>
      </c>
      <c r="D16" s="99" t="str">
        <f t="shared" si="2"/>
        <v>EUR12x18F_Quote</v>
      </c>
      <c r="E16" s="99" t="str">
        <f>_xll.qlSimpleQuote(UPPER("B"&amp;$H$1&amp;"_"&amp;A16&amp;B16&amp;C16),,,Permanent,Trigger,ObjectOverwrite)</f>
        <v>B6M_12X18#0002</v>
      </c>
      <c r="F16" s="200" t="e">
        <f>_xll.qlSimpleQuoteSetValue(E16,K16,AllTriggers)</f>
        <v>#N/A</v>
      </c>
      <c r="G16" s="212">
        <f>_xll.qlCalendarAdvance("target",SettlementDate,A16&amp;"M","mf",,Trigger)</f>
        <v>42646</v>
      </c>
      <c r="H16" s="212">
        <f>_xll.qlInterestRateIndexMaturity(ON_6M_index,G16)</f>
        <v>42828</v>
      </c>
      <c r="I16" s="47">
        <f>_xll.qlQuoteValue(D16,AllTriggers)</f>
        <v>3.8999999999999999E-4</v>
      </c>
      <c r="J16" s="47">
        <f>_xll.qlIndexFixing(ON_6M_index,_xll.qlInterestRateIndexFixingDate(ON_6M_index,G16),,AllTriggers)</f>
        <v>-1.8862434965277548E-3</v>
      </c>
      <c r="K16" s="128">
        <f t="shared" si="0"/>
        <v>2.276243496527755E-3</v>
      </c>
      <c r="L16" s="47">
        <f>_xll.qlTenorBasisValue($P$3,G16,Trigger)</f>
        <v>2.2871566931735349E-3</v>
      </c>
      <c r="M16" s="64">
        <f t="shared" si="3"/>
        <v>-0.10913196645779936</v>
      </c>
      <c r="N16" s="21"/>
      <c r="O16" s="192" t="s">
        <v>80</v>
      </c>
      <c r="P16" s="66">
        <v>1.1994188128928957E-4</v>
      </c>
      <c r="Q16" s="20"/>
      <c r="R16" s="212">
        <f>_xll.qlCalendarAdvance(Calendar,R15,"1D","f")</f>
        <v>42298</v>
      </c>
      <c r="S16" s="47">
        <f>_xll.qlTenorBasisValue($P$3,R16,AllTriggers)</f>
        <v>1.8617636691864088E-3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1.6863944548760686E-3</v>
      </c>
      <c r="W16" s="48">
        <v>0</v>
      </c>
      <c r="X16" s="48" t="s">
        <v>26</v>
      </c>
      <c r="Y16" s="177">
        <f>_xll.qlCalendarAdvance(Calendar,SettlementDate,W16&amp;"M","mf",TRUE,Trigger)</f>
        <v>42279</v>
      </c>
      <c r="Z16" s="178">
        <f>_xll.qlCalendarAdvance(Calendar,SettlementDate,X16,"Following",,Trigger)</f>
        <v>42286</v>
      </c>
      <c r="AA16" s="206">
        <f>_xll.qlTenorBasisForwardRate2(TenorBasis6M,Y16,Z16,AllTriggers)</f>
        <v>1.9888524474178025E-4</v>
      </c>
    </row>
    <row r="17" spans="1:27" ht="11.25" customHeight="1" x14ac:dyDescent="0.2">
      <c r="A17" s="94">
        <f t="shared" si="4"/>
        <v>13</v>
      </c>
      <c r="B17" s="21" t="s">
        <v>20</v>
      </c>
      <c r="C17" s="101">
        <f t="shared" si="1"/>
        <v>19</v>
      </c>
      <c r="D17" s="99" t="str">
        <f t="shared" si="2"/>
        <v>EUR13x19F_Quote</v>
      </c>
      <c r="E17" s="99" t="str">
        <f>_xll.qlSimpleQuote(UPPER("B"&amp;$H$1&amp;"_"&amp;A17&amp;B17&amp;C17),,,Permanent,Trigger,ObjectOverwrite)</f>
        <v>B6M_13X19#0002</v>
      </c>
      <c r="F17" s="200" t="e">
        <f>_xll.qlSimpleQuoteSetValue(E17,K17,AllTriggers)</f>
        <v>#N/A</v>
      </c>
      <c r="G17" s="212">
        <f>_xll.qlCalendarAdvance("target",SettlementDate,A17&amp;"M","mf",,Trigger)</f>
        <v>42676</v>
      </c>
      <c r="H17" s="212">
        <f>_xll.qlInterestRateIndexMaturity(ON_6M_index,G17)</f>
        <v>42857</v>
      </c>
      <c r="I17" s="47">
        <f>_xll.qlQuoteValue(D17,AllTriggers)</f>
        <v>4.8000000000000001E-4</v>
      </c>
      <c r="J17" s="47">
        <f>_xll.qlIndexFixing(ON_6M_index,_xll.qlInterestRateIndexFixingDate(ON_6M_index,G17),,AllTriggers)</f>
        <v>-1.8424748666880243E-3</v>
      </c>
      <c r="K17" s="128">
        <f t="shared" si="0"/>
        <v>2.3224748666880245E-3</v>
      </c>
      <c r="L17" s="47">
        <f>_xll.qlTenorBasisValue($P$3,G17,Trigger)</f>
        <v>2.317997359346147E-3</v>
      </c>
      <c r="M17" s="64">
        <f t="shared" si="3"/>
        <v>4.4775073418774035E-2</v>
      </c>
      <c r="N17" s="21"/>
      <c r="O17" s="192" t="s">
        <v>81</v>
      </c>
      <c r="P17" s="66" t="e">
        <v>#N/A</v>
      </c>
      <c r="Q17" s="20"/>
      <c r="R17" s="212">
        <f>_xll.qlCalendarAdvance(Calendar,R16,"1D","f")</f>
        <v>42299</v>
      </c>
      <c r="S17" s="47">
        <f>_xll.qlTenorBasisValue($P$3,R17,AllTriggers)</f>
        <v>1.8634871672942768E-3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1.6885929841339794E-3</v>
      </c>
      <c r="W17" s="48">
        <v>0</v>
      </c>
      <c r="X17" s="48" t="s">
        <v>27</v>
      </c>
      <c r="Y17" s="177">
        <f>_xll.qlCalendarAdvance(Calendar,SettlementDate,W17&amp;"M","mf",TRUE,Trigger)</f>
        <v>42279</v>
      </c>
      <c r="Z17" s="178">
        <f>_xll.qlCalendarAdvance(Calendar,SettlementDate,X17,"Following",,Trigger)</f>
        <v>42293</v>
      </c>
      <c r="AA17" s="206">
        <f>_xll.qlTenorBasisForwardRate2(TenorBasis6M,Y17,Z17,AllTriggers)</f>
        <v>2.0671794049663208E-4</v>
      </c>
    </row>
    <row r="18" spans="1:27" ht="11.25" customHeight="1" x14ac:dyDescent="0.2">
      <c r="A18" s="94">
        <f t="shared" si="4"/>
        <v>14</v>
      </c>
      <c r="B18" s="21" t="s">
        <v>20</v>
      </c>
      <c r="C18" s="101">
        <f t="shared" si="1"/>
        <v>20</v>
      </c>
      <c r="D18" s="99" t="str">
        <f t="shared" si="2"/>
        <v>EUR14x20F_Quote</v>
      </c>
      <c r="E18" s="99" t="str">
        <f>_xll.qlSimpleQuote(UPPER("B"&amp;$H$1&amp;"_"&amp;A18&amp;B18&amp;C18),,,Permanent,Trigger,ObjectOverwrite)</f>
        <v>B6M_14X20#0002</v>
      </c>
      <c r="F18" s="200" t="e">
        <f>_xll.qlSimpleQuoteSetValue(E18,K18,AllTriggers)</f>
        <v>#N/A</v>
      </c>
      <c r="G18" s="212">
        <f>_xll.qlCalendarAdvance("target",SettlementDate,A18&amp;"M","mf",,Trigger)</f>
        <v>42706</v>
      </c>
      <c r="H18" s="212">
        <f>_xll.qlInterestRateIndexMaturity(ON_6M_index,G18)</f>
        <v>42888</v>
      </c>
      <c r="I18" s="47">
        <f>_xll.qlQuoteValue(D18,AllTriggers)</f>
        <v>5.5999999999999995E-4</v>
      </c>
      <c r="J18" s="47">
        <f>_xll.qlIndexFixing(ON_6M_index,_xll.qlInterestRateIndexFixingDate(ON_6M_index,G18),,AllTriggers)</f>
        <v>-1.7891242998012715E-3</v>
      </c>
      <c r="K18" s="128">
        <f t="shared" si="0"/>
        <v>2.3491242998012717E-3</v>
      </c>
      <c r="L18" s="47">
        <f>_xll.qlTenorBasisValue($P$3,G18,Trigger)</f>
        <v>2.3497238908286471E-3</v>
      </c>
      <c r="M18" s="64">
        <f t="shared" si="3"/>
        <v>-5.995910273754769E-3</v>
      </c>
      <c r="N18" s="21"/>
      <c r="O18" s="192" t="s">
        <v>99</v>
      </c>
      <c r="P18" s="66" t="str">
        <f>_xll.qlPolynomialFunction(,_xll.ohPack(P13:P17),,Trigger)</f>
        <v>obj_005a5#0004</v>
      </c>
      <c r="Q18" s="20"/>
      <c r="R18" s="212">
        <f>_xll.qlCalendarAdvance(Calendar,R17,"1D","f")</f>
        <v>42300</v>
      </c>
      <c r="S18" s="47">
        <f>_xll.qlTenorBasisValue($P$3,R18,AllTriggers)</f>
        <v>1.865206070330778E-3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1.6907855303648067E-3</v>
      </c>
      <c r="W18" s="48">
        <v>0</v>
      </c>
      <c r="X18" s="48" t="s">
        <v>28</v>
      </c>
      <c r="Y18" s="177">
        <f>_xll.qlCalendarAdvance(Calendar,SettlementDate,W18&amp;"M","mf",TRUE,Trigger)</f>
        <v>42279</v>
      </c>
      <c r="Z18" s="178">
        <f>_xll.qlCalendarAdvance(Calendar,SettlementDate,X18,"Following",,Trigger)</f>
        <v>42300</v>
      </c>
      <c r="AA18" s="206">
        <f>_xll.qlTenorBasisForwardRate2(TenorBasis6M,Y18,Z18,AllTriggers)</f>
        <v>2.1445205192982542E-4</v>
      </c>
    </row>
    <row r="19" spans="1:27" ht="11.25" customHeight="1" x14ac:dyDescent="0.2">
      <c r="A19" s="94">
        <f t="shared" si="4"/>
        <v>15</v>
      </c>
      <c r="B19" s="21" t="s">
        <v>20</v>
      </c>
      <c r="C19" s="101">
        <f t="shared" si="1"/>
        <v>21</v>
      </c>
      <c r="D19" s="99" t="str">
        <f t="shared" si="2"/>
        <v>EUR15x21F_Quote</v>
      </c>
      <c r="E19" s="99" t="str">
        <f>_xll.qlSimpleQuote(UPPER("B"&amp;$H$1&amp;"_"&amp;A19&amp;B19&amp;C19),,,Permanent,Trigger,ObjectOverwrite)</f>
        <v>B6M_15X21#0002</v>
      </c>
      <c r="F19" s="200" t="e">
        <f>_xll.qlSimpleQuoteSetValue(E19,K19,AllTriggers)</f>
        <v>#N/A</v>
      </c>
      <c r="G19" s="212">
        <f>_xll.qlCalendarAdvance("target",SettlementDate,A19&amp;"M","mf",,Trigger)</f>
        <v>42737</v>
      </c>
      <c r="H19" s="212">
        <f>_xll.qlInterestRateIndexMaturity(ON_6M_index,G19)</f>
        <v>42919</v>
      </c>
      <c r="I19" s="47">
        <f>_xll.qlQuoteValue(D19,AllTriggers)</f>
        <v>6.6E-4</v>
      </c>
      <c r="J19" s="47">
        <f>_xll.qlIndexFixing(ON_6M_index,_xll.qlInterestRateIndexFixingDate(ON_6M_index,G19),,AllTriggers)</f>
        <v>-1.7398965864000107E-3</v>
      </c>
      <c r="K19" s="128">
        <f t="shared" si="0"/>
        <v>2.3998965864000105E-3</v>
      </c>
      <c r="L19" s="47">
        <f>_xll.qlTenorBasisValue($P$3,G19,Trigger)</f>
        <v>2.3838630727603723E-3</v>
      </c>
      <c r="M19" s="64">
        <f t="shared" si="3"/>
        <v>0.16033513639638133</v>
      </c>
      <c r="N19" s="21"/>
      <c r="Q19" s="20"/>
      <c r="R19" s="212">
        <f>_xll.qlCalendarAdvance(Calendar,R18,"1D","f")</f>
        <v>42303</v>
      </c>
      <c r="S19" s="47">
        <f>_xll.qlTenorBasisValue($P$3,R19,AllTriggers)</f>
        <v>1.8703353570058763E-3</v>
      </c>
      <c r="T19" s="41">
        <f>_xll.qlDayCounterYearFraction("actual/365 (fixed)",SettlementDate,R19,,,Trigger)</f>
        <v>6.575342465753424E-2</v>
      </c>
      <c r="U19" s="47">
        <f>_xll.qlPolynomialFunctionValue($P$18,T19,AllTriggers)</f>
        <v>1.6973274188885859E-3</v>
      </c>
      <c r="W19" s="129">
        <v>0</v>
      </c>
      <c r="X19" s="129" t="s">
        <v>22</v>
      </c>
      <c r="Y19" s="179">
        <f>_xll.qlCalendarAdvance(Calendar,SettlementDate,W19&amp;"M","mf",TRUE,Trigger)</f>
        <v>42279</v>
      </c>
      <c r="Z19" s="180">
        <f>_xll.qlCalendarAdvance(Calendar,SettlementDate,X19,"mf",TRUE,Trigger)</f>
        <v>42310</v>
      </c>
      <c r="AA19" s="207">
        <f>_xll.qlTenorBasisForwardRate2(TenorBasis6M,Y19,Z19,AllTriggers)</f>
        <v>2.5533652850138274E-4</v>
      </c>
    </row>
    <row r="20" spans="1:27" ht="11.25" customHeight="1" x14ac:dyDescent="0.2">
      <c r="A20" s="94">
        <f t="shared" si="4"/>
        <v>16</v>
      </c>
      <c r="B20" s="21" t="s">
        <v>20</v>
      </c>
      <c r="C20" s="101">
        <f t="shared" si="1"/>
        <v>22</v>
      </c>
      <c r="D20" s="99" t="str">
        <f t="shared" si="2"/>
        <v>EUR16x22F_Quote</v>
      </c>
      <c r="E20" s="99" t="str">
        <f>_xll.qlSimpleQuote(UPPER("B"&amp;$H$1&amp;"_"&amp;A20&amp;B20&amp;C20),,,Permanent,Trigger,ObjectOverwrite)</f>
        <v>B6M_16X22#0002</v>
      </c>
      <c r="F20" s="200" t="e">
        <f>_xll.qlSimpleQuoteSetValue(E20,K20,AllTriggers)</f>
        <v>#N/A</v>
      </c>
      <c r="G20" s="212">
        <f>_xll.qlCalendarAdvance("target",SettlementDate,A20&amp;"M","mf",,Trigger)</f>
        <v>42768</v>
      </c>
      <c r="H20" s="212">
        <f>_xll.qlInterestRateIndexMaturity(ON_6M_index,G20)</f>
        <v>42949</v>
      </c>
      <c r="I20" s="47">
        <f>_xll.qlQuoteValue(D20,AllTriggers)</f>
        <v>7.7000000000000018E-4</v>
      </c>
      <c r="J20" s="47">
        <f>_xll.qlIndexFixing(ON_6M_index,_xll.qlInterestRateIndexFixingDate(ON_6M_index,G20),,AllTriggers)</f>
        <v>-1.6701154835549719E-3</v>
      </c>
      <c r="K20" s="128">
        <f t="shared" si="0"/>
        <v>2.4401154835549722E-3</v>
      </c>
      <c r="L20" s="47">
        <f>_xll.qlTenorBasisValue($P$3,G20,Trigger)</f>
        <v>2.4198157164228699E-3</v>
      </c>
      <c r="M20" s="64">
        <f t="shared" si="3"/>
        <v>0.20299767132102298</v>
      </c>
      <c r="N20" s="21"/>
      <c r="Q20" s="20"/>
      <c r="R20" s="212">
        <f>_xll.qlCalendarAdvance(Calendar,R19,"1D","f")</f>
        <v>42304</v>
      </c>
      <c r="S20" s="47">
        <f>_xll.qlTenorBasisValue($P$3,R20,AllTriggers)</f>
        <v>1.8720360277507068E-3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1.6994961810048769E-3</v>
      </c>
      <c r="W20" s="48">
        <v>0</v>
      </c>
      <c r="X20" s="48" t="s">
        <v>29</v>
      </c>
      <c r="Y20" s="177">
        <f>_xll.qlCalendarAdvance(Calendar,SettlementDate,W20&amp;"M","mf",TRUE,Trigger)</f>
        <v>42279</v>
      </c>
      <c r="Z20" s="178">
        <f>_xll.qlCalendarAdvance(Calendar,SettlementDate,X20,"mf",TRUE,Trigger)</f>
        <v>42340</v>
      </c>
      <c r="AA20" s="206">
        <f>_xll.qlTenorBasisForwardRate2(TenorBasis6M,Y20,Z20,AllTriggers)</f>
        <v>2.5449192234883541E-4</v>
      </c>
    </row>
    <row r="21" spans="1:27" ht="11.25" customHeight="1" x14ac:dyDescent="0.2">
      <c r="A21" s="94">
        <f t="shared" si="4"/>
        <v>17</v>
      </c>
      <c r="B21" s="21" t="s">
        <v>20</v>
      </c>
      <c r="C21" s="101">
        <f t="shared" si="1"/>
        <v>23</v>
      </c>
      <c r="D21" s="99" t="str">
        <f t="shared" si="2"/>
        <v>EUR17x23F_Quote</v>
      </c>
      <c r="E21" s="99" t="str">
        <f>_xll.qlSimpleQuote(UPPER("B"&amp;$H$1&amp;"_"&amp;A21&amp;B21&amp;C21),,,Permanent,Trigger,ObjectOverwrite)</f>
        <v>B6M_17X23#0002</v>
      </c>
      <c r="F21" s="200" t="e">
        <f>_xll.qlSimpleQuoteSetValue(E21,K21,AllTriggers)</f>
        <v>#N/A</v>
      </c>
      <c r="G21" s="212">
        <f>_xll.qlCalendarAdvance("target",SettlementDate,A21&amp;"M","mf",,Trigger)</f>
        <v>42796</v>
      </c>
      <c r="H21" s="212">
        <f>_xll.qlInterestRateIndexMaturity(ON_6M_index,G21)</f>
        <v>42982</v>
      </c>
      <c r="I21" s="47">
        <f>_xll.qlQuoteValue(D21,AllTriggers)</f>
        <v>8.7999999999999992E-4</v>
      </c>
      <c r="J21" s="47">
        <f>_xll.qlIndexFixing(ON_6M_index,_xll.qlInterestRateIndexFixingDate(ON_6M_index,G21),,AllTriggers)</f>
        <v>-1.5895663576225687E-3</v>
      </c>
      <c r="K21" s="128">
        <f t="shared" si="0"/>
        <v>2.4695663576225686E-3</v>
      </c>
      <c r="L21" s="47">
        <f>_xll.qlTenorBasisValue($P$3,G21,Trigger)</f>
        <v>2.4542145096608098E-3</v>
      </c>
      <c r="M21" s="64">
        <f t="shared" si="3"/>
        <v>0.15351847961758788</v>
      </c>
      <c r="N21" s="21"/>
      <c r="Q21" s="20"/>
      <c r="R21" s="212">
        <f>_xll.qlCalendarAdvance(Calendar,R20,"1D","f")</f>
        <v>42305</v>
      </c>
      <c r="S21" s="47">
        <f>_xll.qlTenorBasisValue($P$3,R21,AllTriggers)</f>
        <v>1.8737321774210689E-3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1.7016590340909832E-3</v>
      </c>
      <c r="W21" s="48">
        <v>0</v>
      </c>
      <c r="X21" s="48" t="s">
        <v>23</v>
      </c>
      <c r="Y21" s="177">
        <f>_xll.qlCalendarAdvance(Calendar,SettlementDate,W21&amp;"M","mf",TRUE,Trigger)</f>
        <v>42279</v>
      </c>
      <c r="Z21" s="178">
        <f>_xll.qlCalendarAdvance(Calendar,SettlementDate,X21,"mf",TRUE,Trigger)</f>
        <v>42373</v>
      </c>
      <c r="AA21" s="206">
        <f>_xll.qlTenorBasisForwardRate2(TenorBasis6M,Y21,Z21,AllTriggers)</f>
        <v>2.7088951562233434E-4</v>
      </c>
    </row>
    <row r="22" spans="1:27" ht="11.25" customHeight="1" x14ac:dyDescent="0.2">
      <c r="A22" s="95">
        <f t="shared" si="4"/>
        <v>18</v>
      </c>
      <c r="B22" s="96" t="s">
        <v>20</v>
      </c>
      <c r="C22" s="103">
        <f t="shared" si="1"/>
        <v>24</v>
      </c>
      <c r="D22" s="100" t="str">
        <f t="shared" si="2"/>
        <v>EUR18x24F_Quote</v>
      </c>
      <c r="E22" s="100" t="str">
        <f>_xll.qlSimpleQuote(UPPER("B"&amp;$H$1&amp;"_"&amp;A22&amp;B22&amp;C22),,,Permanent,Trigger,ObjectOverwrite)</f>
        <v>B6M_18X24#0002</v>
      </c>
      <c r="F22" s="201" t="e">
        <f>_xll.qlSimpleQuoteSetValue(E22,K22,AllTriggers)</f>
        <v>#N/A</v>
      </c>
      <c r="G22" s="213">
        <f>_xll.qlCalendarAdvance("target",SettlementDate,A22&amp;"M","mf",,Trigger)</f>
        <v>42828</v>
      </c>
      <c r="H22" s="213">
        <f>_xll.qlInterestRateIndexMaturity(ON_6M_index,G22)</f>
        <v>43011</v>
      </c>
      <c r="I22" s="50">
        <f>_xll.qlQuoteValue(D22,AllTriggers)</f>
        <v>1E-3</v>
      </c>
      <c r="J22" s="50">
        <f>_xll.qlIndexFixing(ON_6M_index,_xll.qlInterestRateIndexFixingDate(ON_6M_index,G22),,AllTriggers)</f>
        <v>-1.4986517745179228E-3</v>
      </c>
      <c r="K22" s="115">
        <f t="shared" si="0"/>
        <v>2.4986517745179231E-3</v>
      </c>
      <c r="L22" s="50">
        <f>_xll.qlTenorBasisValue($P$3,G22,Trigger)</f>
        <v>2.49619617096586E-3</v>
      </c>
      <c r="M22" s="65">
        <f t="shared" si="3"/>
        <v>2.4556035520630938E-2</v>
      </c>
      <c r="N22" s="21"/>
      <c r="Q22" s="20"/>
      <c r="R22" s="212">
        <f>_xll.qlCalendarAdvance(Calendar,R21,"1D","f")</f>
        <v>42306</v>
      </c>
      <c r="S22" s="47">
        <f>_xll.qlTenorBasisValue($P$3,R22,AllTriggers)</f>
        <v>1.8754238208163422E-3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1.7038159929462845E-3</v>
      </c>
      <c r="W22" s="48">
        <v>0</v>
      </c>
      <c r="X22" s="48" t="s">
        <v>30</v>
      </c>
      <c r="Y22" s="177">
        <f>_xll.qlCalendarAdvance(Calendar,SettlementDate,W22&amp;"M","mf",TRUE,Trigger)</f>
        <v>42279</v>
      </c>
      <c r="Z22" s="178">
        <f>_xll.qlCalendarAdvance(Calendar,SettlementDate,X22,"mf",TRUE,Trigger)</f>
        <v>42402</v>
      </c>
      <c r="AA22" s="206">
        <f>_xll.qlTenorBasisForwardRate2(TenorBasis6M,Y22,Z22,AllTriggers)</f>
        <v>2.6109129243197894E-4</v>
      </c>
    </row>
    <row r="23" spans="1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42307</v>
      </c>
      <c r="S23" s="47">
        <f>_xll.qlTenorBasisValue($P$3,R23,AllTriggers)</f>
        <v>1.8771109727359066E-3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1.7059670723701601E-3</v>
      </c>
      <c r="W23" s="49">
        <v>0</v>
      </c>
      <c r="X23" s="49" t="s">
        <v>31</v>
      </c>
      <c r="Y23" s="181">
        <f>_xll.qlCalendarAdvance(Calendar,SettlementDate,W23&amp;"M","mf",TRUE,Trigger)</f>
        <v>42279</v>
      </c>
      <c r="Z23" s="182">
        <f>_xll.qlCalendarAdvance(Calendar,SettlementDate,X23,"mf",TRUE,Trigger)</f>
        <v>42431</v>
      </c>
      <c r="AA23" s="208">
        <f>_xll.qlTenorBasisForwardRate2(TenorBasis6M,Y23,Z23,AllTriggers)</f>
        <v>2.5127963184580856E-4</v>
      </c>
    </row>
    <row r="24" spans="1:27" ht="11.25" customHeight="1" thickBot="1" x14ac:dyDescent="0.25">
      <c r="G24" s="60"/>
      <c r="H24" s="60"/>
      <c r="I24" s="35"/>
      <c r="J24" s="35"/>
      <c r="K24" s="35"/>
      <c r="Q24" s="20"/>
      <c r="R24" s="212">
        <f>_xll.qlCalendarAdvance(Calendar,R23,"1D","f")</f>
        <v>42310</v>
      </c>
      <c r="S24" s="47">
        <f>_xll.qlTenorBasisValue($P$3,R24,AllTriggers)</f>
        <v>1.8821456276341439E-3</v>
      </c>
      <c r="T24" s="41">
        <f>_xll.qlDayCounterYearFraction("actual/365 (fixed)",SettlementDate,R24,,,Trigger)</f>
        <v>8.4931506849315067E-2</v>
      </c>
      <c r="U24" s="47">
        <f>_xll.qlPolynomialFunctionValue($P$18,T24,AllTriggers)</f>
        <v>1.7123851820470327E-3</v>
      </c>
      <c r="W24" s="127">
        <v>0</v>
      </c>
      <c r="X24" s="127" t="s">
        <v>24</v>
      </c>
      <c r="Y24" s="183">
        <f>_xll.qlCalendarAdvance(Calendar,SettlementDate,W24&amp;"M","mf",TRUE,Trigger)</f>
        <v>42279</v>
      </c>
      <c r="Z24" s="184">
        <f>_xll.qlCalendarAdvance(Calendar,SettlementDate,X24,"mf",TRUE,Trigger)</f>
        <v>42464</v>
      </c>
      <c r="AA24" s="209">
        <f>_xll.qlTenorBasisForwardRate2(TenorBasis6M,Y24,Z24,AllTriggers)</f>
        <v>2.4222920316914441E-4</v>
      </c>
    </row>
    <row r="25" spans="1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42311</v>
      </c>
      <c r="S25" s="47">
        <f>_xll.qlTenorBasisValue($P$3,R25,AllTriggers)</f>
        <v>1.8838149616446699E-3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1.7145128917390043E-3</v>
      </c>
      <c r="W25" s="45">
        <v>1</v>
      </c>
      <c r="X25" s="45" t="str">
        <f t="shared" ref="X25:X30" si="5">W25+SUBSTITUTE($H$1,"M","")&amp;"M"</f>
        <v>7M</v>
      </c>
      <c r="Y25" s="175">
        <f>_xll.qlCalendarAdvance(Calendar,SettlementDate,W25&amp;"M","mf",TRUE,Trigger)</f>
        <v>42310</v>
      </c>
      <c r="Z25" s="175">
        <f>_xll.qlCalendarAdvance(Calendar,SettlementDate,X25,"mf",TRUE,Trigger)</f>
        <v>42492</v>
      </c>
      <c r="AA25" s="151">
        <f>_xll.qlTenorBasisTenorForwardRate(TenorBasis6M,Y25,AllTriggers)</f>
        <v>2.6278622007255099E-4</v>
      </c>
    </row>
    <row r="26" spans="1:27" ht="11.25" customHeight="1" x14ac:dyDescent="0.2">
      <c r="R26" s="212">
        <f>_xll.qlCalendarAdvance(Calendar,R25,"1D","f")</f>
        <v>42312</v>
      </c>
      <c r="S26" s="47">
        <f>_xll.qlTenorBasisValue($P$3,R26,AllTriggers)</f>
        <v>1.8854798781763854E-3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1.7166347959964494E-3</v>
      </c>
      <c r="W26" s="48">
        <v>2</v>
      </c>
      <c r="X26" s="48" t="str">
        <f t="shared" si="5"/>
        <v>8M</v>
      </c>
      <c r="Y26" s="177">
        <f>_xll.qlCalendarAdvance(Calendar,SettlementDate,W26&amp;"M","mf",TRUE,Trigger)</f>
        <v>42340</v>
      </c>
      <c r="Z26" s="177">
        <f>_xll.qlCalendarAdvance(Calendar,SettlementDate,X26,"mf",TRUE,Trigger)</f>
        <v>42523</v>
      </c>
      <c r="AA26" s="47">
        <f>_xll.qlTenorBasisTenorForwardRate(TenorBasis6M,Y26,AllTriggers)</f>
        <v>2.4869738989528466E-4</v>
      </c>
    </row>
    <row r="27" spans="1:27" ht="11.25" customHeight="1" x14ac:dyDescent="0.2">
      <c r="R27" s="212">
        <f>_xll.qlCalendarAdvance(Calendar,R26,"1D","f")</f>
        <v>42313</v>
      </c>
      <c r="S27" s="47">
        <f>_xll.qlTenorBasisValue($P$3,R27,AllTriggers)</f>
        <v>1.8871403920286704E-3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1.7187509096187471E-3</v>
      </c>
      <c r="W27" s="48">
        <v>3</v>
      </c>
      <c r="X27" s="48" t="str">
        <f t="shared" si="5"/>
        <v>9M</v>
      </c>
      <c r="Y27" s="177">
        <f>_xll.qlCalendarAdvance(Calendar,SettlementDate,W27&amp;"M","mf",TRUE,Trigger)</f>
        <v>42373</v>
      </c>
      <c r="Z27" s="177">
        <f>_xll.qlCalendarAdvance(Calendar,SettlementDate,X27,"mf",TRUE,Trigger)</f>
        <v>42555</v>
      </c>
      <c r="AA27" s="47">
        <f>_xll.qlTenorBasisTenorForwardRate(TenorBasis6M,Y27,AllTriggers)</f>
        <v>2.2248164266919137E-4</v>
      </c>
    </row>
    <row r="28" spans="1:27" ht="11.25" customHeight="1" x14ac:dyDescent="0.2">
      <c r="R28" s="212">
        <f>_xll.qlCalendarAdvance(Calendar,R27,"1D","f")</f>
        <v>42314</v>
      </c>
      <c r="S28" s="47">
        <f>_xll.qlTenorBasisValue($P$3,R28,AllTriggers)</f>
        <v>1.8887965180009046E-3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1.7208612474052779E-3</v>
      </c>
      <c r="W28" s="48">
        <v>4</v>
      </c>
      <c r="X28" s="48" t="str">
        <f t="shared" si="5"/>
        <v>10M</v>
      </c>
      <c r="Y28" s="177">
        <f>_xll.qlCalendarAdvance(Calendar,SettlementDate,W28&amp;"M","mf",TRUE,Trigger)</f>
        <v>42402</v>
      </c>
      <c r="Z28" s="177">
        <f>_xll.qlCalendarAdvance(Calendar,SettlementDate,X28,"mf",TRUE,Trigger)</f>
        <v>42584</v>
      </c>
      <c r="AA28" s="47">
        <f>_xll.qlTenorBasisTenorForwardRate(TenorBasis6M,Y28,AllTriggers)</f>
        <v>2.094408192606118E-4</v>
      </c>
    </row>
    <row r="29" spans="1:27" ht="11.25" customHeight="1" x14ac:dyDescent="0.2">
      <c r="R29" s="212">
        <f>_xll.qlCalendarAdvance(Calendar,R28,"1D","f")</f>
        <v>42317</v>
      </c>
      <c r="S29" s="47">
        <f>_xll.qlTenorBasisValue($P$3,R29,AllTriggers)</f>
        <v>1.8937387166310996E-3</v>
      </c>
      <c r="T29" s="41">
        <f>_xll.qlDayCounterYearFraction("actual/365 (fixed)",SettlementDate,R29,,,Trigger)</f>
        <v>0.10410958904109589</v>
      </c>
      <c r="U29" s="47">
        <f>_xll.qlPolynomialFunctionValue($P$18,T29,AllTriggers)</f>
        <v>1.7271577537440635E-3</v>
      </c>
      <c r="W29" s="48">
        <v>5</v>
      </c>
      <c r="X29" s="48" t="str">
        <f t="shared" si="5"/>
        <v>11M</v>
      </c>
      <c r="Y29" s="177">
        <f>_xll.qlCalendarAdvance(Calendar,SettlementDate,W29&amp;"M","mf",TRUE,Trigger)</f>
        <v>42431</v>
      </c>
      <c r="Z29" s="177">
        <f>_xll.qlCalendarAdvance(Calendar,SettlementDate,X29,"mf",TRUE,Trigger)</f>
        <v>42615</v>
      </c>
      <c r="AA29" s="47">
        <f>_xll.qlTenorBasisTenorForwardRate(TenorBasis6M,Y29,AllTriggers)</f>
        <v>2.0038681714388065E-4</v>
      </c>
    </row>
    <row r="30" spans="1:27" ht="11.25" customHeight="1" x14ac:dyDescent="0.2">
      <c r="R30" s="212">
        <f>_xll.qlCalendarAdvance(Calendar,R29,"1D","f")</f>
        <v>42318</v>
      </c>
      <c r="S30" s="47">
        <f>_xll.qlTenorBasisValue($P$3,R30,AllTriggers)</f>
        <v>1.8953774390769278E-3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1.729245136181322E-3</v>
      </c>
      <c r="W30" s="162">
        <v>6</v>
      </c>
      <c r="X30" s="162" t="str">
        <f t="shared" si="5"/>
        <v>12M</v>
      </c>
      <c r="Y30" s="185">
        <f>_xll.qlCalendarAdvance(Calendar,SettlementDate,W30&amp;"M","mf",TRUE,Trigger)</f>
        <v>42464</v>
      </c>
      <c r="Z30" s="185">
        <f>_xll.qlCalendarAdvance(Calendar,SettlementDate,X30,"mf",TRUE,Trigger)</f>
        <v>42646</v>
      </c>
      <c r="AA30" s="159">
        <f>_xll.qlTenorBasisTenorForwardRate(TenorBasis6M,Y30,AllTriggers)</f>
        <v>1.9485374723517135E-4</v>
      </c>
    </row>
    <row r="31" spans="1:27" ht="11.25" customHeight="1" x14ac:dyDescent="0.2">
      <c r="R31" s="212">
        <f>_xll.qlCalendarAdvance(Calendar,R30,"1D","f")</f>
        <v>42319</v>
      </c>
      <c r="S31" s="47">
        <f>_xll.qlTenorBasisValue($P$3,R31,AllTriggers)</f>
        <v>1.8970118476396036E-3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1.7313268167797123E-3</v>
      </c>
    </row>
    <row r="32" spans="1:27" ht="11.25" customHeight="1" x14ac:dyDescent="0.2">
      <c r="R32" s="212">
        <f>_xll.qlCalendarAdvance(Calendar,R31,"1D","f")</f>
        <v>42320</v>
      </c>
      <c r="S32" s="47">
        <f>_xll.qlTenorBasisValue($P$3,R32,AllTriggers)</f>
        <v>1.8986419571185068E-3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1.7334028103386135E-3</v>
      </c>
    </row>
    <row r="33" spans="7:21" ht="11.25" customHeight="1" x14ac:dyDescent="0.2">
      <c r="R33" s="212">
        <f>_xll.qlCalendarAdvance(Calendar,R32,"1D","f")</f>
        <v>42321</v>
      </c>
      <c r="S33" s="47">
        <f>_xll.qlTenorBasisValue($P$3,R33,AllTriggers)</f>
        <v>1.9002677823130175E-3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1.7354731316574052E-3</v>
      </c>
    </row>
    <row r="34" spans="7:21" ht="11.25" customHeight="1" x14ac:dyDescent="0.2">
      <c r="R34" s="212">
        <f>_xll.qlCalendarAdvance(Calendar,R33,"1D","f")</f>
        <v>42324</v>
      </c>
      <c r="S34" s="47">
        <f>_xll.qlTenorBasisValue($P$3,R34,AllTriggers)</f>
        <v>1.9051197001839894E-3</v>
      </c>
      <c r="T34" s="41">
        <f>_xll.qlDayCounterYearFraction("actual/365 (fixed)",SettlementDate,R34,,,Trigger)</f>
        <v>0.12328767123287671</v>
      </c>
      <c r="U34" s="47">
        <f>_xll.qlPolynomialFunctionValue($P$18,T34,AllTriggers)</f>
        <v>1.7416502101669229E-3</v>
      </c>
    </row>
    <row r="35" spans="7:21" ht="11.25" customHeight="1" x14ac:dyDescent="0.2">
      <c r="R35" s="212">
        <f>_xll.qlCalendarAdvance(Calendar,R34,"1D","f")</f>
        <v>42325</v>
      </c>
      <c r="S35" s="47">
        <f>_xll.qlTenorBasisValue($P$3,R35,AllTriggers)</f>
        <v>1.906728536234726E-3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1.743697990519075E-3</v>
      </c>
    </row>
    <row r="36" spans="7:21" ht="11.25" customHeight="1" x14ac:dyDescent="0.2">
      <c r="R36" s="212">
        <f>_xll.qlCalendarAdvance(Calendar,R35,"1D","f")</f>
        <v>42326</v>
      </c>
      <c r="S36" s="47">
        <f>_xll.qlTenorBasisValue($P$3,R36,AllTriggers)</f>
        <v>1.9083331619979685E-3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1.7457401726280169E-3</v>
      </c>
    </row>
    <row r="37" spans="7:21" ht="11.25" customHeight="1" x14ac:dyDescent="0.2">
      <c r="R37" s="212">
        <f>_xll.qlCalendarAdvance(Calendar,R36,"1D","f")</f>
        <v>42327</v>
      </c>
      <c r="S37" s="47">
        <f>_xll.qlTenorBasisValue($P$3,R37,AllTriggers)</f>
        <v>1.9099335922730962E-3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1.7477767712931276E-3</v>
      </c>
    </row>
    <row r="38" spans="7:21" ht="11.25" customHeight="1" x14ac:dyDescent="0.2">
      <c r="R38" s="212">
        <f>_xll.qlCalendarAdvance(Calendar,R37,"1D","f")</f>
        <v>42328</v>
      </c>
      <c r="S38" s="47">
        <f>_xll.qlTenorBasisValue($P$3,R38,AllTriggers)</f>
        <v>1.9115298418594896E-3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1.7498078013137874E-3</v>
      </c>
    </row>
    <row r="39" spans="7:21" ht="11.25" customHeight="1" x14ac:dyDescent="0.2">
      <c r="R39" s="212">
        <f>_xll.qlCalendarAdvance(Calendar,R38,"1D","f")</f>
        <v>42331</v>
      </c>
      <c r="S39" s="47">
        <f>_xll.qlTenorBasisValue($P$3,R39,AllTriggers)</f>
        <v>1.9162936544800582E-3</v>
      </c>
      <c r="T39" s="41">
        <f>_xll.qlDayCounterYearFraction("actual/365 (fixed)",SettlementDate,R39,,,Trigger)</f>
        <v>0.14246575342465753</v>
      </c>
      <c r="U39" s="47">
        <f>_xll.qlPolynomialFunctionValue($P$18,T39,AllTriggers)</f>
        <v>1.7558676275028565E-3</v>
      </c>
    </row>
    <row r="40" spans="7:21" ht="11.25" customHeight="1" x14ac:dyDescent="0.2">
      <c r="R40" s="212">
        <f>_xll.qlCalendarAdvance(Calendar,R39,"1D","f")</f>
        <v>42332</v>
      </c>
      <c r="S40" s="47">
        <f>_xll.qlTenorBasisValue($P$3,R40,AllTriggers)</f>
        <v>1.9178733293053096E-3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1.7578765309395087E-3</v>
      </c>
    </row>
    <row r="41" spans="7:21" ht="11.25" customHeight="1" x14ac:dyDescent="0.2">
      <c r="R41" s="212">
        <f>_xll.qlCalendarAdvance(Calendar,R40,"1D","f")</f>
        <v>42333</v>
      </c>
      <c r="S41" s="47">
        <f>_xll.qlTenorBasisValue($P$3,R41,AllTriggers)</f>
        <v>1.9194488974387249E-3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1.7598799397286083E-3</v>
      </c>
    </row>
    <row r="42" spans="7:21" ht="11.25" customHeight="1" x14ac:dyDescent="0.2">
      <c r="R42" s="212">
        <f>_xll.qlCalendarAdvance(Calendar,R41,"1D","f")</f>
        <v>42334</v>
      </c>
      <c r="S42" s="47">
        <f>_xll.qlTenorBasisValue($P$3,R42,AllTriggers)</f>
        <v>1.9210203736796843E-3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1.7618778686695354E-3</v>
      </c>
    </row>
    <row r="43" spans="7:21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42335</v>
      </c>
      <c r="S43" s="47">
        <f>_xll.qlTenorBasisValue($P$3,R43,AllTriggers)</f>
        <v>1.9225877728275666E-3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1.763870332561669E-3</v>
      </c>
    </row>
    <row r="44" spans="7:21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42338</v>
      </c>
      <c r="S44" s="47">
        <f>_xll.qlTenorBasisValue($P$3,R44,AllTriggers)</f>
        <v>1.927265655706551E-3</v>
      </c>
      <c r="T44" s="41">
        <f>_xll.qlDayCounterYearFraction("actual/365 (fixed)",SettlementDate,R44,,,Trigger)</f>
        <v>0.16164383561643836</v>
      </c>
      <c r="U44" s="47">
        <f>_xll.qlPolynomialFunctionValue($P$18,T44,AllTriggers)</f>
        <v>1.7698150819391092E-3</v>
      </c>
    </row>
    <row r="45" spans="7:21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42339</v>
      </c>
      <c r="S45" s="47">
        <f>_xll.qlTenorBasisValue($P$3,R45,AllTriggers)</f>
        <v>1.928816894475924E-3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1.7717858336298679E-3</v>
      </c>
    </row>
    <row r="46" spans="7:21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42340</v>
      </c>
      <c r="S46" s="47">
        <f>_xll.qlTenorBasisValue($P$3,R46,AllTriggers)</f>
        <v>1.9303641301491191E-3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1.7737511942687322E-3</v>
      </c>
    </row>
    <row r="47" spans="7:21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42341</v>
      </c>
      <c r="S47" s="47">
        <f>_xll.qlTenorBasisValue($P$3,R47,AllTriggers)</f>
        <v>1.9319073775255155E-3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1.7757111786550815E-3</v>
      </c>
    </row>
    <row r="48" spans="7:21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42342</v>
      </c>
      <c r="S48" s="47">
        <f>_xll.qlTenorBasisValue($P$3,R48,AllTriggers)</f>
        <v>1.9334466514044934E-3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1.7776658015882961E-3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42345</v>
      </c>
      <c r="S49" s="47">
        <f>_xll.qlTenorBasisValue($P$3,R49,AllTriggers)</f>
        <v>1.9380407800507133E-3</v>
      </c>
      <c r="T49" s="41">
        <f>_xll.qlDayCounterYearFraction("actual/365 (fixed)",SettlementDate,R49,,,Trigger)</f>
        <v>0.18082191780821918</v>
      </c>
      <c r="U49" s="47">
        <f>_xll.qlPolynomialFunctionValue($P$18,T49,AllTriggers)</f>
        <v>1.7834976496629265E-3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42346</v>
      </c>
      <c r="S50" s="47">
        <f>_xll.qlTenorBasisValue($P$3,R50,AllTriggers)</f>
        <v>1.939564307933814E-3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1.7854309747773981E-3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42347</v>
      </c>
      <c r="S51" s="47">
        <f>_xll.qlTenorBasisValue($P$3,R51,AllTriggers)</f>
        <v>1.9410839363163948E-3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1.7873590124356331E-3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42348</v>
      </c>
      <c r="S52" s="47">
        <f>_xll.qlTenorBasisValue($P$3,R52,AllTriggers)</f>
        <v>1.9425996799978357E-3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1.7892817774370117E-3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42349</v>
      </c>
      <c r="S53" s="47">
        <f>_xll.qlTenorBasisValue($P$3,R53,AllTriggers)</f>
        <v>1.9441115537775159E-3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1.7911992845809134E-3</v>
      </c>
    </row>
    <row r="54" spans="7:21" x14ac:dyDescent="0.2">
      <c r="R54" s="212">
        <f>_xll.qlCalendarAdvance(Calendar,R53,"1D","f")</f>
        <v>42352</v>
      </c>
      <c r="S54" s="47">
        <f>_xll.qlTenorBasisValue($P$3,R54,AllTriggers)</f>
        <v>1.9486241036997898E-3</v>
      </c>
      <c r="T54" s="41">
        <f>_xll.qlDayCounterYearFraction("actual/365 (fixed)",SettlementDate,R54,,,Trigger)</f>
        <v>0.2</v>
      </c>
      <c r="U54" s="47">
        <f>_xll.qlPolynomialFunctionValue($P$18,T54,AllTriggers)</f>
        <v>1.7969204068615534E-3</v>
      </c>
    </row>
    <row r="55" spans="7:21" x14ac:dyDescent="0.2">
      <c r="R55" s="212">
        <f>_xll.qlCalendarAdvance(Calendar,R54,"1D","f")</f>
        <v>42353</v>
      </c>
      <c r="S55" s="47">
        <f>_xll.qlTenorBasisValue($P$3,R55,AllTriggers)</f>
        <v>1.9501206458662249E-3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1.798817030569344E-3</v>
      </c>
    </row>
    <row r="56" spans="7:21" x14ac:dyDescent="0.2">
      <c r="R56" s="212">
        <f>_xll.qlCalendarAdvance(Calendar,R55,"1D","f")</f>
        <v>42354</v>
      </c>
      <c r="S56" s="47">
        <f>_xll.qlTenorBasisValue($P$3,R56,AllTriggers)</f>
        <v>1.9516133921277984E-3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1.8007084704165567E-3</v>
      </c>
    </row>
    <row r="57" spans="7:21" x14ac:dyDescent="0.2">
      <c r="R57" s="212">
        <f>_xll.qlCalendarAdvance(Calendar,R56,"1D","f")</f>
        <v>42355</v>
      </c>
      <c r="S57" s="47">
        <f>_xll.qlTenorBasisValue($P$3,R57,AllTriggers)</f>
        <v>1.9531023572838895E-3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1.8025947412025707E-3</v>
      </c>
    </row>
    <row r="58" spans="7:21" x14ac:dyDescent="0.2">
      <c r="R58" s="212">
        <f>_xll.qlCalendarAdvance(Calendar,R57,"1D","f")</f>
        <v>42356</v>
      </c>
      <c r="S58" s="47">
        <f>_xll.qlTenorBasisValue($P$3,R58,AllTriggers)</f>
        <v>1.9545875561338779E-3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1.8044758577267655E-3</v>
      </c>
    </row>
    <row r="59" spans="7:21" x14ac:dyDescent="0.2">
      <c r="R59" s="212">
        <f>_xll.qlCalendarAdvance(Calendar,R58,"1D","f")</f>
        <v>42359</v>
      </c>
      <c r="S59" s="47">
        <f>_xll.qlTenorBasisValue($P$3,R59,AllTriggers)</f>
        <v>1.9590207028410259E-3</v>
      </c>
      <c r="T59" s="41">
        <f>_xll.qlDayCounterYearFraction("actual/365 (fixed)",SettlementDate,R59,,,Trigger)</f>
        <v>0.21917808219178081</v>
      </c>
      <c r="U59" s="47">
        <f>_xll.qlPolynomialFunctionValue($P$18,T59,AllTriggers)</f>
        <v>1.8100884297222346E-3</v>
      </c>
    </row>
    <row r="60" spans="7:21" x14ac:dyDescent="0.2">
      <c r="R60" s="212">
        <f>_xll.qlCalendarAdvance(Calendar,R59,"1D","f")</f>
        <v>42360</v>
      </c>
      <c r="S60" s="47">
        <f>_xll.qlTenorBasisValue($P$3,R60,AllTriggers)</f>
        <v>1.9604909844604017E-3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1.8119490771929512E-3</v>
      </c>
    </row>
    <row r="61" spans="7:21" x14ac:dyDescent="0.2">
      <c r="R61" s="212">
        <f>_xll.qlCalendarAdvance(Calendar,R60,"1D","f")</f>
        <v>42361</v>
      </c>
      <c r="S61" s="47">
        <f>_xll.qlTenorBasisValue($P$3,R61,AllTriggers)</f>
        <v>1.9619575737705743E-3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1.8138046443987475E-3</v>
      </c>
    </row>
    <row r="62" spans="7:21" x14ac:dyDescent="0.2">
      <c r="R62" s="212">
        <f>_xll.qlCalendarAdvance(Calendar,R61,"1D","f")</f>
        <v>42362</v>
      </c>
      <c r="S62" s="47">
        <f>_xll.qlTenorBasisValue($P$3,R62,AllTriggers)</f>
        <v>1.963420485570922E-3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1.8156551461390035E-3</v>
      </c>
    </row>
    <row r="63" spans="7:21" x14ac:dyDescent="0.2">
      <c r="R63" s="212">
        <f>_xll.qlCalendarAdvance(Calendar,R62,"1D","f")</f>
        <v>42366</v>
      </c>
      <c r="S63" s="47">
        <f>_xll.qlTenorBasisValue($P$3,R63,AllTriggers)</f>
        <v>1.9692356536616671E-3</v>
      </c>
      <c r="T63" s="41">
        <f>_xll.qlDayCounterYearFraction("actual/365 (fixed)",SettlementDate,R63,,,Trigger)</f>
        <v>0.23835616438356164</v>
      </c>
      <c r="U63" s="47">
        <f>_xll.qlPolynomialFunctionValue($P$18,T63,AllTriggers)</f>
        <v>1.8230067944322158E-3</v>
      </c>
    </row>
    <row r="64" spans="7:21" x14ac:dyDescent="0.2">
      <c r="R64" s="212">
        <f>_xll.qlCalendarAdvance(Calendar,R63,"1D","f")</f>
        <v>42367</v>
      </c>
      <c r="S64" s="47">
        <f>_xll.qlTenorBasisValue($P$3,R64,AllTriggers)</f>
        <v>1.9706803999035905E-3</v>
      </c>
      <c r="T64" s="41">
        <f>_xll.qlDayCounterYearFraction("actual/365 (fixed)",SettlementDate,R64,,,Trigger)</f>
        <v>0.24109589041095891</v>
      </c>
      <c r="U64" s="47">
        <f>_xll.qlPolynomialFunctionValue($P$18,T64,AllTriggers)</f>
        <v>1.8248321908354646E-3</v>
      </c>
    </row>
    <row r="65" spans="18:21" x14ac:dyDescent="0.2">
      <c r="R65" s="212">
        <f>_xll.qlCalendarAdvance(Calendar,R64,"1D","f")</f>
        <v>42368</v>
      </c>
      <c r="S65" s="47">
        <f>_xll.qlTenorBasisValue($P$3,R65,AllTriggers)</f>
        <v>1.9721215574319681E-3</v>
      </c>
      <c r="T65" s="41">
        <f>_xll.qlDayCounterYearFraction("actual/365 (fixed)",SettlementDate,R65,,,Trigger)</f>
        <v>0.24383561643835616</v>
      </c>
      <c r="U65" s="47">
        <f>_xll.qlPolynomialFunctionValue($P$18,T65,AllTriggers)</f>
        <v>1.8266526105694516E-3</v>
      </c>
    </row>
    <row r="66" spans="18:21" x14ac:dyDescent="0.2">
      <c r="R66" s="212">
        <f>_xll.qlCalendarAdvance(Calendar,R65,"1D","f")</f>
        <v>42369</v>
      </c>
      <c r="S66" s="47">
        <f>_xll.qlTenorBasisValue($P$3,R66,AllTriggers)</f>
        <v>1.9735591410461792E-3</v>
      </c>
      <c r="T66" s="41">
        <f>_xll.qlDayCounterYearFraction("actual/365 (fixed)",SettlementDate,R66,,,Trigger)</f>
        <v>0.24657534246575341</v>
      </c>
      <c r="U66" s="47">
        <f>_xll.qlPolynomialFunctionValue($P$18,T66,AllTriggers)</f>
        <v>1.8284680684335555E-3</v>
      </c>
    </row>
    <row r="67" spans="18:21" x14ac:dyDescent="0.2">
      <c r="R67" s="212">
        <f>_xll.qlCalendarAdvance(Calendar,R66,"1D","f")</f>
        <v>42373</v>
      </c>
      <c r="S67" s="47">
        <f>_xll.qlTenorBasisValue($P$3,R67,AllTriggers)</f>
        <v>1.9792740323489582E-3</v>
      </c>
      <c r="T67" s="41">
        <f>_xll.qlDayCounterYearFraction("actual/365 (fixed)",SettlementDate,R67,,,Trigger)</f>
        <v>0.25753424657534246</v>
      </c>
      <c r="U67" s="47">
        <f>_xll.qlPolynomialFunctionValue($P$18,T67,AllTriggers)</f>
        <v>1.835680577178742E-3</v>
      </c>
    </row>
    <row r="68" spans="18:21" x14ac:dyDescent="0.2">
      <c r="R68" s="212">
        <f>_xll.qlCalendarAdvance(Calendar,R67,"1D","f")</f>
        <v>42374</v>
      </c>
      <c r="S68" s="47">
        <f>_xll.qlTenorBasisValue($P$3,R68,AllTriggers)</f>
        <v>1.9806939683830347E-3</v>
      </c>
      <c r="T68" s="41">
        <f>_xll.qlDayCounterYearFraction("actual/365 (fixed)",SettlementDate,R68,,,Trigger)</f>
        <v>0.26027397260273971</v>
      </c>
      <c r="U68" s="47">
        <f>_xll.qlPolynomialFunctionValue($P$18,T68,AllTriggers)</f>
        <v>1.8374714476841296E-3</v>
      </c>
    </row>
    <row r="69" spans="18:21" x14ac:dyDescent="0.2">
      <c r="R69" s="212">
        <f>_xll.qlCalendarAdvance(Calendar,R68,"1D","f")</f>
        <v>42375</v>
      </c>
      <c r="S69" s="47">
        <f>_xll.qlTenorBasisValue($P$3,R69,AllTriggers)</f>
        <v>1.9821104192992243E-3</v>
      </c>
      <c r="T69" s="41">
        <f>_xll.qlDayCounterYearFraction("actual/365 (fixed)",SettlementDate,R69,,,Trigger)</f>
        <v>0.26301369863013696</v>
      </c>
      <c r="U69" s="47">
        <f>_xll.qlPolynomialFunctionValue($P$18,T69,AllTriggers)</f>
        <v>1.8392574451159128E-3</v>
      </c>
    </row>
    <row r="70" spans="18:21" x14ac:dyDescent="0.2">
      <c r="R70" s="212">
        <f>_xll.qlCalendarAdvance(Calendar,R69,"1D","f")</f>
        <v>42376</v>
      </c>
      <c r="S70" s="47">
        <f>_xll.qlTenorBasisValue($P$3,R70,AllTriggers)</f>
        <v>1.9835233998969051E-3</v>
      </c>
      <c r="T70" s="41">
        <f>_xll.qlDayCounterYearFraction("actual/365 (fixed)",SettlementDate,R70,,,Trigger)</f>
        <v>0.26575342465753427</v>
      </c>
      <c r="U70" s="47">
        <f>_xll.qlPolynomialFunctionValue($P$18,T70,AllTriggers)</f>
        <v>1.8410385842734722E-3</v>
      </c>
    </row>
    <row r="71" spans="18:21" x14ac:dyDescent="0.2">
      <c r="R71" s="212">
        <f>_xll.qlCalendarAdvance(Calendar,R70,"1D","f")</f>
        <v>42377</v>
      </c>
      <c r="S71" s="47">
        <f>_xll.qlTenorBasisValue($P$3,R71,AllTriggers)</f>
        <v>1.9849329249754582E-3</v>
      </c>
      <c r="T71" s="41">
        <f>_xll.qlDayCounterYearFraction("actual/365 (fixed)",SettlementDate,R71,,,Trigger)</f>
        <v>0.26849315068493151</v>
      </c>
      <c r="U71" s="47">
        <f>_xll.qlPolynomialFunctionValue($P$18,T71,AllTriggers)</f>
        <v>1.8428148799561864E-3</v>
      </c>
    </row>
    <row r="72" spans="18:21" x14ac:dyDescent="0.2">
      <c r="R72" s="212">
        <f>_xll.qlCalendarAdvance(Calendar,R71,"1D","f")</f>
        <v>42380</v>
      </c>
      <c r="S72" s="47">
        <f>_xll.qlTenorBasisValue($P$3,R72,AllTriggers)</f>
        <v>1.9891409150901438E-3</v>
      </c>
      <c r="T72" s="41">
        <f>_xll.qlDayCounterYearFraction("actual/365 (fixed)",SettlementDate,R72,,,Trigger)</f>
        <v>0.27671232876712326</v>
      </c>
      <c r="U72" s="47">
        <f>_xll.qlPolynomialFunctionValue($P$18,T72,AllTriggers)</f>
        <v>1.8481148541490584E-3</v>
      </c>
    </row>
    <row r="73" spans="18:21" x14ac:dyDescent="0.2">
      <c r="R73" s="212">
        <f>_xll.qlCalendarAdvance(Calendar,R72,"1D","f")</f>
        <v>42381</v>
      </c>
      <c r="S73" s="47">
        <f>_xll.qlTenorBasisValue($P$3,R73,AllTriggers)</f>
        <v>1.9905367660859805E-3</v>
      </c>
      <c r="T73" s="41">
        <f>_xll.qlDayCounterYearFraction("actual/365 (fixed)",SettlementDate,R73,,,Trigger)</f>
        <v>0.27945205479452057</v>
      </c>
      <c r="U73" s="47">
        <f>_xll.qlPolynomialFunctionValue($P$18,T73,AllTriggers)</f>
        <v>1.8498719239261911E-3</v>
      </c>
    </row>
    <row r="74" spans="18:21" x14ac:dyDescent="0.2">
      <c r="R74" s="212">
        <f>_xll.qlCalendarAdvance(Calendar,R73,"1D","f")</f>
        <v>42382</v>
      </c>
      <c r="S74" s="47">
        <f>_xll.qlTenorBasisValue($P$3,R74,AllTriggers)</f>
        <v>1.9919292355595878E-3</v>
      </c>
      <c r="T74" s="41">
        <f>_xll.qlDayCounterYearFraction("actual/365 (fixed)",SettlementDate,R74,,,Trigger)</f>
        <v>0.28219178082191781</v>
      </c>
      <c r="U74" s="47">
        <f>_xll.qlPolynomialFunctionValue($P$18,T74,AllTriggers)</f>
        <v>1.8516242242253779E-3</v>
      </c>
    </row>
    <row r="75" spans="18:21" x14ac:dyDescent="0.2">
      <c r="R75" s="212">
        <f>_xll.qlCalendarAdvance(Calendar,R74,"1D","f")</f>
        <v>42383</v>
      </c>
      <c r="S75" s="47">
        <f>_xll.qlTenorBasisValue($P$3,R75,AllTriggers)</f>
        <v>1.9933183383103459E-3</v>
      </c>
      <c r="T75" s="41">
        <f>_xll.qlDayCounterYearFraction("actual/365 (fixed)",SettlementDate,R75,,,Trigger)</f>
        <v>0.28493150684931506</v>
      </c>
      <c r="U75" s="47">
        <f>_xll.qlPolynomialFunctionValue($P$18,T75,AllTriggers)</f>
        <v>1.8533717698459981E-3</v>
      </c>
    </row>
    <row r="76" spans="18:21" x14ac:dyDescent="0.2">
      <c r="R76" s="212">
        <f>_xll.qlCalendarAdvance(Calendar,R75,"1D","f")</f>
        <v>42384</v>
      </c>
      <c r="S76" s="47">
        <f>_xll.qlTenorBasisValue($P$3,R76,AllTriggers)</f>
        <v>1.994704089137633E-3</v>
      </c>
      <c r="T76" s="41">
        <f>_xll.qlDayCounterYearFraction("actual/365 (fixed)",SettlementDate,R76,,,Trigger)</f>
        <v>0.28767123287671231</v>
      </c>
      <c r="U76" s="47">
        <f>_xll.qlPolynomialFunctionValue($P$18,T76,AllTriggers)</f>
        <v>1.8551145755874316E-3</v>
      </c>
    </row>
    <row r="77" spans="18:21" x14ac:dyDescent="0.2">
      <c r="R77" s="212">
        <f>_xll.qlCalendarAdvance(Calendar,R76,"1D","f")</f>
        <v>42387</v>
      </c>
      <c r="S77" s="47">
        <f>_xll.qlTenorBasisValue($P$3,R77,AllTriggers)</f>
        <v>1.9988413780724704E-3</v>
      </c>
      <c r="T77" s="41">
        <f>_xll.qlDayCounterYearFraction("actual/365 (fixed)",SettlementDate,R77,,,Trigger)</f>
        <v>0.29589041095890412</v>
      </c>
      <c r="U77" s="47">
        <f>_xll.qlPolynomialFunctionValue($P$18,T77,AllTriggers)</f>
        <v>1.86031470153041E-3</v>
      </c>
    </row>
    <row r="78" spans="18:21" x14ac:dyDescent="0.2">
      <c r="R78" s="212">
        <f>_xll.qlCalendarAdvance(Calendar,R77,"1D","f")</f>
        <v>42388</v>
      </c>
      <c r="S78" s="47">
        <f>_xll.qlTenorBasisValue($P$3,R78,AllTriggers)</f>
        <v>2.0002138691996734E-3</v>
      </c>
      <c r="T78" s="41">
        <f>_xll.qlDayCounterYearFraction("actual/365 (fixed)",SettlementDate,R78,,,Trigger)</f>
        <v>0.29863013698630136</v>
      </c>
      <c r="U78" s="47">
        <f>_xll.qlPolynomialFunctionValue($P$18,T78,AllTriggers)</f>
        <v>1.8620386957488944E-3</v>
      </c>
    </row>
    <row r="79" spans="18:21" x14ac:dyDescent="0.2">
      <c r="R79" s="212">
        <f>_xll.qlCalendarAdvance(Calendar,R78,"1D","f")</f>
        <v>42389</v>
      </c>
      <c r="S79" s="47">
        <f>_xll.qlTenorBasisValue($P$3,R79,AllTriggers)</f>
        <v>2.0015830824003057E-3</v>
      </c>
      <c r="T79" s="41">
        <f>_xll.qlDayCounterYearFraction("actual/365 (fixed)",SettlementDate,R79,,,Trigger)</f>
        <v>0.30136986301369861</v>
      </c>
      <c r="U79" s="47">
        <f>_xll.qlPolynomialFunctionValue($P$18,T79,AllTriggers)</f>
        <v>1.8637580240850906E-3</v>
      </c>
    </row>
    <row r="80" spans="18:21" x14ac:dyDescent="0.2">
      <c r="R80" s="212">
        <f>_xll.qlCalendarAdvance(Calendar,R79,"1D","f")</f>
        <v>42390</v>
      </c>
      <c r="S80" s="47">
        <f>_xll.qlTenorBasisValue($P$3,R80,AllTriggers)</f>
        <v>2.0029490324737454E-3</v>
      </c>
      <c r="T80" s="41">
        <f>_xll.qlDayCounterYearFraction("actual/365 (fixed)",SettlementDate,R80,,,Trigger)</f>
        <v>0.30410958904109592</v>
      </c>
      <c r="U80" s="47">
        <f>_xll.qlPolynomialFunctionValue($P$18,T80,AllTriggers)</f>
        <v>1.8654727013383784E-3</v>
      </c>
    </row>
    <row r="81" spans="18:21" x14ac:dyDescent="0.2">
      <c r="R81" s="212">
        <f>_xll.qlCalendarAdvance(Calendar,R80,"1D","f")</f>
        <v>42391</v>
      </c>
      <c r="S81" s="47">
        <f>_xll.qlTenorBasisValue($P$3,R81,AllTriggers)</f>
        <v>2.0043117342193736E-3</v>
      </c>
      <c r="T81" s="41">
        <f>_xll.qlDayCounterYearFraction("actual/365 (fixed)",SettlementDate,R81,,,Trigger)</f>
        <v>0.30684931506849317</v>
      </c>
      <c r="U81" s="47">
        <f>_xll.qlPolynomialFunctionValue($P$18,T81,AllTriggers)</f>
        <v>1.8671827423081379E-3</v>
      </c>
    </row>
    <row r="82" spans="18:21" x14ac:dyDescent="0.2">
      <c r="R82" s="212">
        <f>_xll.qlCalendarAdvance(Calendar,R81,"1D","f")</f>
        <v>42394</v>
      </c>
      <c r="S82" s="47">
        <f>_xll.qlTenorBasisValue($P$3,R82,AllTriggers)</f>
        <v>2.0083804974831815E-3</v>
      </c>
      <c r="T82" s="41">
        <f>_xll.qlDayCounterYearFraction("actual/365 (fixed)",SettlementDate,R82,,,Trigger)</f>
        <v>0.31506849315068491</v>
      </c>
      <c r="U82" s="47">
        <f>_xll.qlPolynomialFunctionValue($P$18,T82,AllTriggers)</f>
        <v>1.8722851955100422E-3</v>
      </c>
    </row>
    <row r="83" spans="18:21" x14ac:dyDescent="0.2">
      <c r="R83" s="212">
        <f>_xll.qlCalendarAdvance(Calendar,R82,"1D","f")</f>
        <v>42395</v>
      </c>
      <c r="S83" s="47">
        <f>_xll.qlTenorBasisValue($P$3,R83,AllTriggers)</f>
        <v>2.0097303539113581E-3</v>
      </c>
      <c r="T83" s="41">
        <f>_xll.qlDayCounterYearFraction("actual/365 (fixed)",SettlementDate,R83,,,Trigger)</f>
        <v>0.31780821917808222</v>
      </c>
      <c r="U83" s="47">
        <f>_xll.qlPolynomialFunctionValue($P$18,T83,AllTriggers)</f>
        <v>1.8739768393394845E-3</v>
      </c>
    </row>
    <row r="84" spans="18:21" x14ac:dyDescent="0.2">
      <c r="R84" s="212">
        <f>_xll.qlCalendarAdvance(Calendar,R83,"1D","f")</f>
        <v>42396</v>
      </c>
      <c r="S84" s="47">
        <f>_xll.qlTenorBasisValue($P$3,R84,AllTriggers)</f>
        <v>2.0110770360086214E-3</v>
      </c>
      <c r="T84" s="41">
        <f>_xll.qlDayCounterYearFraction("actual/365 (fixed)",SettlementDate,R84,,,Trigger)</f>
        <v>0.32054794520547947</v>
      </c>
      <c r="U84" s="47">
        <f>_xll.qlPolynomialFunctionValue($P$18,T84,AllTriggers)</f>
        <v>1.8756639208822967E-3</v>
      </c>
    </row>
    <row r="85" spans="18:21" x14ac:dyDescent="0.2">
      <c r="R85" s="212">
        <f>_xll.qlCalendarAdvance(Calendar,R84,"1D","f")</f>
        <v>42397</v>
      </c>
      <c r="S85" s="47">
        <f>_xll.qlTenorBasisValue($P$3,R85,AllTriggers)</f>
        <v>2.0124205585743504E-3</v>
      </c>
      <c r="T85" s="41">
        <f>_xll.qlDayCounterYearFraction("actual/365 (fixed)",SettlementDate,R85,,,Trigger)</f>
        <v>0.32328767123287672</v>
      </c>
      <c r="U85" s="47">
        <f>_xll.qlPolynomialFunctionValue($P$18,T85,AllTriggers)</f>
        <v>1.8773464549378591E-3</v>
      </c>
    </row>
    <row r="86" spans="18:21" x14ac:dyDescent="0.2">
      <c r="R86" s="212">
        <f>_xll.qlCalendarAdvance(Calendar,R85,"1D","f")</f>
        <v>42398</v>
      </c>
      <c r="S86" s="47">
        <f>_xll.qlTenorBasisValue($P$3,R86,AllTriggers)</f>
        <v>2.0137609364079254E-3</v>
      </c>
      <c r="T86" s="41">
        <f>_xll.qlDayCounterYearFraction("actual/365 (fixed)",SettlementDate,R86,,,Trigger)</f>
        <v>0.32602739726027397</v>
      </c>
      <c r="U86" s="47">
        <f>_xll.qlPolynomialFunctionValue($P$18,T86,AllTriggers)</f>
        <v>1.8790244563055508E-3</v>
      </c>
    </row>
    <row r="87" spans="18:21" x14ac:dyDescent="0.2">
      <c r="R87" s="212">
        <f>_xll.qlCalendarAdvance(Calendar,R86,"1D","f")</f>
        <v>42401</v>
      </c>
      <c r="S87" s="47">
        <f>_xll.qlTenorBasisValue($P$3,R87,AllTriggers)</f>
        <v>2.0177633495095239E-3</v>
      </c>
      <c r="T87" s="41">
        <f>_xll.qlDayCounterYearFraction("actual/365 (fixed)",SettlementDate,R87,,,Trigger)</f>
        <v>0.33424657534246577</v>
      </c>
      <c r="U87" s="47">
        <f>_xll.qlPolynomialFunctionValue($P$18,T87,AllTriggers)</f>
        <v>1.8840314122751999E-3</v>
      </c>
    </row>
    <row r="88" spans="18:21" x14ac:dyDescent="0.2">
      <c r="R88" s="212">
        <f>_xll.qlCalendarAdvance(Calendar,R87,"1D","f")</f>
        <v>42402</v>
      </c>
      <c r="S88" s="47">
        <f>_xll.qlTenorBasisValue($P$3,R88,AllTriggers)</f>
        <v>2.0190912964082796E-3</v>
      </c>
      <c r="T88" s="41">
        <f>_xll.qlDayCounterYearFraction("actual/365 (fixed)",SettlementDate,R88,,,Trigger)</f>
        <v>0.33698630136986302</v>
      </c>
      <c r="U88" s="47">
        <f>_xll.qlPolynomialFunctionValue($P$18,T88,AllTriggers)</f>
        <v>1.8856914308852065E-3</v>
      </c>
    </row>
    <row r="89" spans="18:21" x14ac:dyDescent="0.2">
      <c r="R89" s="212">
        <f>_xll.qlCalendarAdvance(Calendar,R88,"1D","f")</f>
        <v>42403</v>
      </c>
      <c r="S89" s="47">
        <f>_xll.qlTenorBasisValue($P$3,R89,AllTriggers)</f>
        <v>2.0204161725717804E-3</v>
      </c>
      <c r="T89" s="41">
        <f>_xll.qlDayCounterYearFraction("actual/365 (fixed)",SettlementDate,R89,,,Trigger)</f>
        <v>0.33972602739726027</v>
      </c>
      <c r="U89" s="47">
        <f>_xll.qlPolynomialFunctionValue($P$18,T89,AllTriggers)</f>
        <v>1.8873469908042414E-3</v>
      </c>
    </row>
    <row r="90" spans="18:21" x14ac:dyDescent="0.2">
      <c r="R90" s="212">
        <f>_xll.qlCalendarAdvance(Calendar,R89,"1D","f")</f>
        <v>42404</v>
      </c>
      <c r="S90" s="47">
        <f>_xll.qlTenorBasisValue($P$3,R90,AllTriggers)</f>
        <v>2.0217379927994052E-3</v>
      </c>
      <c r="T90" s="41">
        <f>_xll.qlDayCounterYearFraction("actual/365 (fixed)",SettlementDate,R90,,,Trigger)</f>
        <v>0.34246575342465752</v>
      </c>
      <c r="U90" s="47">
        <f>_xll.qlPolynomialFunctionValue($P$18,T90,AllTriggers)</f>
        <v>1.8889981068316841E-3</v>
      </c>
    </row>
    <row r="91" spans="18:21" x14ac:dyDescent="0.2">
      <c r="R91" s="212">
        <f>_xll.qlCalendarAdvance(Calendar,R90,"1D","f")</f>
        <v>42405</v>
      </c>
      <c r="S91" s="47">
        <f>_xll.qlTenorBasisValue($P$3,R91,AllTriggers)</f>
        <v>2.0230567718905342E-3</v>
      </c>
      <c r="T91" s="41">
        <f>_xll.qlDayCounterYearFraction("actual/365 (fixed)",SettlementDate,R91,,,Trigger)</f>
        <v>0.34520547945205482</v>
      </c>
      <c r="U91" s="47">
        <f>_xll.qlPolynomialFunctionValue($P$18,T91,AllTriggers)</f>
        <v>1.8906447937669145E-3</v>
      </c>
    </row>
    <row r="92" spans="18:21" x14ac:dyDescent="0.2">
      <c r="R92" s="212">
        <f>_xll.qlCalendarAdvance(Calendar,R91,"1D","f")</f>
        <v>42408</v>
      </c>
      <c r="S92" s="47">
        <f>_xll.qlTenorBasisValue($P$3,R92,AllTriggers)</f>
        <v>2.0269950103387418E-3</v>
      </c>
      <c r="T92" s="41">
        <f>_xll.qlDayCounterYearFraction("actual/365 (fixed)",SettlementDate,R92,,,Trigger)</f>
        <v>0.35342465753424657</v>
      </c>
      <c r="U92" s="47">
        <f>_xll.qlPolynomialFunctionValue($P$18,T92,AllTriggers)</f>
        <v>1.8955584280131281E-3</v>
      </c>
    </row>
    <row r="93" spans="18:21" x14ac:dyDescent="0.2">
      <c r="R93" s="212">
        <f>_xll.qlCalendarAdvance(Calendar,R92,"1D","f")</f>
        <v>42409</v>
      </c>
      <c r="S93" s="47">
        <f>_xll.qlTenorBasisValue($P$3,R93,AllTriggers)</f>
        <v>2.0283017728776834E-3</v>
      </c>
      <c r="T93" s="41">
        <f>_xll.qlDayCounterYearFraction("actual/365 (fixed)",SettlementDate,R93,,,Trigger)</f>
        <v>0.35616438356164382</v>
      </c>
      <c r="U93" s="47">
        <f>_xll.qlPolynomialFunctionValue($P$18,T93,AllTriggers)</f>
        <v>1.8971875465733055E-3</v>
      </c>
    </row>
    <row r="94" spans="18:21" x14ac:dyDescent="0.2">
      <c r="R94" s="212">
        <f>_xll.qlCalendarAdvance(Calendar,R93,"1D","f")</f>
        <v>42410</v>
      </c>
      <c r="S94" s="47">
        <f>_xll.qlTenorBasisValue($P$3,R94,AllTriggers)</f>
        <v>2.0296055682770277E-3</v>
      </c>
      <c r="T94" s="41">
        <f>_xll.qlDayCounterYearFraction("actual/365 (fixed)",SettlementDate,R94,,,Trigger)</f>
        <v>0.35890410958904112</v>
      </c>
      <c r="U94" s="47">
        <f>_xll.qlPolynomialFunctionValue($P$18,T94,AllTriggers)</f>
        <v>1.8988123100381696E-3</v>
      </c>
    </row>
    <row r="95" spans="18:21" x14ac:dyDescent="0.2">
      <c r="R95" s="212">
        <f>_xll.qlCalendarAdvance(Calendar,R94,"1D","f")</f>
        <v>42411</v>
      </c>
      <c r="S95" s="47">
        <f>_xll.qlTenorBasisValue($P$3,R95,AllTriggers)</f>
        <v>2.0309064113361547E-3</v>
      </c>
      <c r="T95" s="41">
        <f>_xll.qlDayCounterYearFraction("actual/365 (fixed)",SettlementDate,R95,,,Trigger)</f>
        <v>0.36164383561643837</v>
      </c>
      <c r="U95" s="47">
        <f>_xll.qlPolynomialFunctionValue($P$18,T95,AllTriggers)</f>
        <v>1.9004327332070995E-3</v>
      </c>
    </row>
    <row r="96" spans="18:21" x14ac:dyDescent="0.2">
      <c r="R96" s="212">
        <f>_xll.qlCalendarAdvance(Calendar,R95,"1D","f")</f>
        <v>42412</v>
      </c>
      <c r="S96" s="47">
        <f>_xll.qlTenorBasisValue($P$3,R96,AllTriggers)</f>
        <v>2.0322043168544434E-3</v>
      </c>
      <c r="T96" s="41">
        <f>_xll.qlDayCounterYearFraction("actual/365 (fixed)",SettlementDate,R96,,,Trigger)</f>
        <v>0.36438356164383562</v>
      </c>
      <c r="U96" s="47">
        <f>_xll.qlPolynomialFunctionValue($P$18,T96,AllTriggers)</f>
        <v>1.9020488308794747E-3</v>
      </c>
    </row>
    <row r="97" spans="18:21" x14ac:dyDescent="0.2">
      <c r="R97" s="212">
        <f>_xll.qlCalendarAdvance(Calendar,R96,"1D","f")</f>
        <v>42415</v>
      </c>
      <c r="S97" s="47">
        <f>_xll.qlTenorBasisValue($P$3,R97,AllTriggers)</f>
        <v>2.0360805561580801E-3</v>
      </c>
      <c r="T97" s="41">
        <f>_xll.qlDayCounterYearFraction("actual/365 (fixed)",SettlementDate,R97,,,Trigger)</f>
        <v>0.37260273972602742</v>
      </c>
      <c r="U97" s="47">
        <f>_xll.qlPolynomialFunctionValue($P$18,T97,AllTriggers)</f>
        <v>1.9068713189110721E-3</v>
      </c>
    </row>
    <row r="98" spans="18:21" x14ac:dyDescent="0.2">
      <c r="R98" s="212">
        <f>_xll.qlCalendarAdvance(Calendar,R97,"1D","f")</f>
        <v>42416</v>
      </c>
      <c r="S98" s="47">
        <f>_xll.qlTenorBasisValue($P$3,R98,AllTriggers)</f>
        <v>2.0373668595068139E-3</v>
      </c>
      <c r="T98" s="41">
        <f>_xll.qlDayCounterYearFraction("actual/365 (fixed)",SettlementDate,R98,,,Trigger)</f>
        <v>0.37534246575342467</v>
      </c>
      <c r="U98" s="47">
        <f>_xll.qlPolynomialFunctionValue($P$18,T98,AllTriggers)</f>
        <v>1.9084702625910275E-3</v>
      </c>
    </row>
    <row r="99" spans="18:21" x14ac:dyDescent="0.2">
      <c r="R99" s="212">
        <f>_xll.qlCalendarAdvance(Calendar,R98,"1D","f")</f>
        <v>42417</v>
      </c>
      <c r="S99" s="47">
        <f>_xll.qlTenorBasisValue($P$3,R99,AllTriggers)</f>
        <v>2.0386502993116093E-3</v>
      </c>
      <c r="T99" s="41">
        <f>_xll.qlDayCounterYearFraction("actual/365 (fixed)",SettlementDate,R99,,,Trigger)</f>
        <v>0.37808219178082192</v>
      </c>
      <c r="U99" s="47">
        <f>_xll.qlPolynomialFunctionValue($P$18,T99,AllTriggers)</f>
        <v>1.9100649547713268E-3</v>
      </c>
    </row>
    <row r="100" spans="18:21" x14ac:dyDescent="0.2">
      <c r="R100" s="212">
        <f>_xll.qlCalendarAdvance(Calendar,R99,"1D","f")</f>
        <v>42418</v>
      </c>
      <c r="S100" s="47">
        <f>_xll.qlTenorBasisValue($P$3,R100,AllTriggers)</f>
        <v>2.0399308903718445E-3</v>
      </c>
      <c r="T100" s="41">
        <f>_xll.qlDayCounterYearFraction("actual/365 (fixed)",SettlementDate,R100,,,Trigger)</f>
        <v>0.38082191780821917</v>
      </c>
      <c r="U100" s="47">
        <f>_xll.qlPolynomialFunctionValue($P$18,T100,AllTriggers)</f>
        <v>1.91165541025135E-3</v>
      </c>
    </row>
    <row r="101" spans="18:21" x14ac:dyDescent="0.2">
      <c r="R101" s="212">
        <f>_xll.qlCalendarAdvance(Calendar,R100,"1D","f")</f>
        <v>42419</v>
      </c>
      <c r="S101" s="47">
        <f>_xll.qlTenorBasisValue($P$3,R101,AllTriggers)</f>
        <v>2.0412086474868997E-3</v>
      </c>
      <c r="T101" s="41">
        <f>_xll.qlDayCounterYearFraction("actual/365 (fixed)",SettlementDate,R101,,,Trigger)</f>
        <v>0.38356164383561642</v>
      </c>
      <c r="U101" s="47">
        <f>_xll.qlPolynomialFunctionValue($P$18,T101,AllTriggers)</f>
        <v>1.913241643830477E-3</v>
      </c>
    </row>
    <row r="102" spans="18:21" x14ac:dyDescent="0.2">
      <c r="R102" s="212">
        <f>_xll.qlCalendarAdvance(Calendar,R101,"1D","f")</f>
        <v>42422</v>
      </c>
      <c r="S102" s="47">
        <f>_xll.qlTenorBasisValue($P$3,R102,AllTriggers)</f>
        <v>2.0450250631547841E-3</v>
      </c>
      <c r="T102" s="41">
        <f>_xll.qlDayCounterYearFraction("actual/365 (fixed)",SettlementDate,R102,,,Trigger)</f>
        <v>0.39178082191780822</v>
      </c>
      <c r="U102" s="47">
        <f>_xll.qlPolynomialFunctionValue($P$18,T102,AllTriggers)</f>
        <v>1.9179751611562777E-3</v>
      </c>
    </row>
    <row r="103" spans="18:21" x14ac:dyDescent="0.2">
      <c r="R103" s="212">
        <f>_xll.qlCalendarAdvance(Calendar,R102,"1D","f")</f>
        <v>42423</v>
      </c>
      <c r="S103" s="47">
        <f>_xll.qlTenorBasisValue($P$3,R103,AllTriggers)</f>
        <v>2.0462916324829172E-3</v>
      </c>
      <c r="T103" s="41">
        <f>_xll.qlDayCounterYearFraction("actual/365 (fixed)",SettlementDate,R103,,,Trigger)</f>
        <v>0.39452054794520547</v>
      </c>
      <c r="U103" s="47">
        <f>_xll.qlPolynomialFunctionValue($P$18,T103,AllTriggers)</f>
        <v>1.9195446551256165E-3</v>
      </c>
    </row>
    <row r="104" spans="18:21" x14ac:dyDescent="0.2">
      <c r="R104" s="212">
        <f>_xll.qlCalendarAdvance(Calendar,R103,"1D","f")</f>
        <v>42424</v>
      </c>
      <c r="S104" s="47">
        <f>_xll.qlTenorBasisValue($P$3,R104,AllTriggers)</f>
        <v>2.047555441862769E-3</v>
      </c>
      <c r="T104" s="41">
        <f>_xll.qlDayCounterYearFraction("actual/365 (fixed)",SettlementDate,R104,,,Trigger)</f>
        <v>0.39726027397260272</v>
      </c>
      <c r="U104" s="47">
        <f>_xll.qlPolynomialFunctionValue($P$18,T104,AllTriggers)</f>
        <v>1.9211100011909579E-3</v>
      </c>
    </row>
    <row r="105" spans="18:21" x14ac:dyDescent="0.2">
      <c r="R105" s="212">
        <f>_xll.qlCalendarAdvance(Calendar,R104,"1D","f")</f>
        <v>42425</v>
      </c>
      <c r="S105" s="47">
        <f>_xll.qlTenorBasisValue($P$3,R105,AllTriggers)</f>
        <v>2.0488165060937196E-3</v>
      </c>
      <c r="T105" s="41">
        <f>_xll.qlDayCounterYearFraction("actual/365 (fixed)",SettlementDate,R105,,,Trigger)</f>
        <v>0.4</v>
      </c>
      <c r="U105" s="47">
        <f>_xll.qlPolynomialFunctionValue($P$18,T105,AllTriggers)</f>
        <v>1.9226712141516807E-3</v>
      </c>
    </row>
    <row r="106" spans="18:21" x14ac:dyDescent="0.2">
      <c r="R106" s="212">
        <f>_xll.qlCalendarAdvance(Calendar,R105,"1D","f")</f>
        <v>42426</v>
      </c>
      <c r="S106" s="47">
        <f>_xll.qlTenorBasisValue($P$3,R106,AllTriggers)</f>
        <v>2.0500748399751479E-3</v>
      </c>
      <c r="T106" s="41">
        <f>_xll.qlDayCounterYearFraction("actual/365 (fixed)",SettlementDate,R106,,,Trigger)</f>
        <v>0.40273972602739727</v>
      </c>
      <c r="U106" s="47">
        <f>_xll.qlPolynomialFunctionValue($P$18,T106,AllTriggers)</f>
        <v>1.9242283088071663E-3</v>
      </c>
    </row>
    <row r="107" spans="18:21" x14ac:dyDescent="0.2">
      <c r="R107" s="212">
        <f>_xll.qlCalendarAdvance(Calendar,R106,"1D","f")</f>
        <v>42429</v>
      </c>
      <c r="S107" s="47">
        <f>_xll.qlTenorBasisValue($P$3,R107,AllTriggers)</f>
        <v>2.0538336075161001E-3</v>
      </c>
      <c r="T107" s="41">
        <f>_xll.qlDayCounterYearFraction("actual/365 (fixed)",SettlementDate,R107,,,Trigger)</f>
        <v>0.41095890410958902</v>
      </c>
      <c r="U107" s="47">
        <f>_xll.qlPolynomialFunctionValue($P$18,T107,AllTriggers)</f>
        <v>1.928875030935989E-3</v>
      </c>
    </row>
    <row r="108" spans="18:21" x14ac:dyDescent="0.2">
      <c r="R108" s="212">
        <f>_xll.qlCalendarAdvance(Calendar,R107,"1D","f")</f>
        <v>42430</v>
      </c>
      <c r="S108" s="47">
        <f>_xll.qlTenorBasisValue($P$3,R108,AllTriggers)</f>
        <v>2.0550811679932381E-3</v>
      </c>
      <c r="T108" s="41">
        <f>_xll.qlDayCounterYearFraction("actual/365 (fixed)",SettlementDate,R108,,,Trigger)</f>
        <v>0.41369863013698632</v>
      </c>
      <c r="U108" s="47">
        <f>_xll.qlPolynomialFunctionValue($P$18,T108,AllTriggers)</f>
        <v>1.930415800364318E-3</v>
      </c>
    </row>
    <row r="109" spans="18:21" x14ac:dyDescent="0.2">
      <c r="R109" s="212">
        <f>_xll.qlCalendarAdvance(Calendar,R108,"1D","f")</f>
        <v>42431</v>
      </c>
      <c r="S109" s="47">
        <f>_xll.qlTenorBasisValue($P$3,R109,AllTriggers)</f>
        <v>2.0563260721177534E-3</v>
      </c>
      <c r="T109" s="41">
        <f>_xll.qlDayCounterYearFraction("actual/365 (fixed)",SettlementDate,R109,,,Trigger)</f>
        <v>0.41643835616438357</v>
      </c>
      <c r="U109" s="47">
        <f>_xll.qlPolynomialFunctionValue($P$18,T109,AllTriggers)</f>
        <v>1.9319525254843076E-3</v>
      </c>
    </row>
    <row r="110" spans="18:21" x14ac:dyDescent="0.2">
      <c r="R110" s="212">
        <f>_xll.qlCalendarAdvance(Calendar,R109,"1D","f")</f>
        <v>42432</v>
      </c>
      <c r="S110" s="47">
        <f>_xll.qlTenorBasisValue($P$3,R110,AllTriggers)</f>
        <v>2.0575683346890248E-3</v>
      </c>
      <c r="T110" s="41">
        <f>_xll.qlDayCounterYearFraction("actual/365 (fixed)",SettlementDate,R110,,,Trigger)</f>
        <v>0.41917808219178082</v>
      </c>
      <c r="U110" s="47">
        <f>_xll.qlPolynomialFunctionValue($P$18,T110,AllTriggers)</f>
        <v>1.9334852210953378E-3</v>
      </c>
    </row>
    <row r="111" spans="18:21" x14ac:dyDescent="0.2">
      <c r="R111" s="212">
        <f>_xll.qlCalendarAdvance(Calendar,R110,"1D","f")</f>
        <v>42433</v>
      </c>
      <c r="S111" s="47">
        <f>_xll.qlTenorBasisValue($P$3,R111,AllTriggers)</f>
        <v>2.0588079705064328E-3</v>
      </c>
      <c r="T111" s="41">
        <f>_xll.qlDayCounterYearFraction("actual/365 (fixed)",SettlementDate,R111,,,Trigger)</f>
        <v>0.42191780821917807</v>
      </c>
      <c r="U111" s="47">
        <f>_xll.qlPolynomialFunctionValue($P$18,T111,AllTriggers)</f>
        <v>1.9350139019967871E-3</v>
      </c>
    </row>
    <row r="112" spans="18:21" x14ac:dyDescent="0.2">
      <c r="R112" s="212">
        <f>_xll.qlCalendarAdvance(Calendar,R111,"1D","f")</f>
        <v>42436</v>
      </c>
      <c r="S112" s="47">
        <f>_xll.qlTenorBasisValue($P$3,R112,AllTriggers)</f>
        <v>2.0625112654292718E-3</v>
      </c>
      <c r="T112" s="41">
        <f>_xll.qlDayCounterYearFraction("actual/365 (fixed)",SettlementDate,R112,,,Trigger)</f>
        <v>0.43013698630136987</v>
      </c>
      <c r="U112" s="47">
        <f>_xll.qlPolynomialFunctionValue($P$18,T112,AllTriggers)</f>
        <v>1.9395760044374519E-3</v>
      </c>
    </row>
    <row r="113" spans="18:21" x14ac:dyDescent="0.2">
      <c r="R113" s="212">
        <f>_xll.qlCalendarAdvance(Calendar,R112,"1D","f")</f>
        <v>42437</v>
      </c>
      <c r="S113" s="47">
        <f>_xll.qlTenorBasisValue($P$3,R113,AllTriggers)</f>
        <v>2.0637405422250219E-3</v>
      </c>
      <c r="T113" s="41">
        <f>_xll.qlDayCounterYearFraction("actual/365 (fixed)",SettlementDate,R113,,,Trigger)</f>
        <v>0.43287671232876712</v>
      </c>
      <c r="U113" s="47">
        <f>_xll.qlPolynomialFunctionValue($P$18,T113,AllTriggers)</f>
        <v>1.9410887744943776E-3</v>
      </c>
    </row>
    <row r="114" spans="18:21" x14ac:dyDescent="0.2">
      <c r="R114" s="212">
        <f>_xll.qlCalendarAdvance(Calendar,R113,"1D","f")</f>
        <v>42438</v>
      </c>
      <c r="S114" s="47">
        <f>_xll.qlTenorBasisValue($P$3,R114,AllTriggers)</f>
        <v>2.064967266263807E-3</v>
      </c>
      <c r="T114" s="41">
        <f>_xll.qlDayCounterYearFraction("actual/365 (fixed)",SettlementDate,R114,,,Trigger)</f>
        <v>0.43561643835616437</v>
      </c>
      <c r="U114" s="47">
        <f>_xll.qlPolynomialFunctionValue($P$18,T114,AllTriggers)</f>
        <v>1.9425976038386225E-3</v>
      </c>
    </row>
    <row r="115" spans="18:21" x14ac:dyDescent="0.2">
      <c r="R115" s="212">
        <f>_xll.qlCalendarAdvance(Calendar,R114,"1D","f")</f>
        <v>42439</v>
      </c>
      <c r="S115" s="47">
        <f>_xll.qlTenorBasisValue($P$3,R115,AllTriggers)</f>
        <v>2.0661914523450058E-3</v>
      </c>
      <c r="T115" s="41">
        <f>_xll.qlDayCounterYearFraction("actual/365 (fixed)",SettlementDate,R115,,,Trigger)</f>
        <v>0.43835616438356162</v>
      </c>
      <c r="U115" s="47">
        <f>_xll.qlPolynomialFunctionValue($P$18,T115,AllTriggers)</f>
        <v>1.9441025072695647E-3</v>
      </c>
    </row>
    <row r="116" spans="18:21" x14ac:dyDescent="0.2">
      <c r="R116" s="212">
        <f>_xll.qlCalendarAdvance(Calendar,R115,"1D","f")</f>
        <v>42440</v>
      </c>
      <c r="S116" s="47">
        <f>_xll.qlTenorBasisValue($P$3,R116,AllTriggers)</f>
        <v>2.0674131152680002E-3</v>
      </c>
      <c r="T116" s="41">
        <f>_xll.qlDayCounterYearFraction("actual/365 (fixed)",SettlementDate,R116,,,Trigger)</f>
        <v>0.44109589041095892</v>
      </c>
      <c r="U116" s="47">
        <f>_xll.qlPolynomialFunctionValue($P$18,T116,AllTriggers)</f>
        <v>1.945603499586585E-3</v>
      </c>
    </row>
    <row r="117" spans="18:21" x14ac:dyDescent="0.2">
      <c r="R117" s="212">
        <f>_xll.qlCalendarAdvance(Calendar,R116,"1D","f")</f>
        <v>42443</v>
      </c>
      <c r="S117" s="47">
        <f>_xll.qlTenorBasisValue($P$3,R117,AllTriggers)</f>
        <v>2.0710631130815447E-3</v>
      </c>
      <c r="T117" s="41">
        <f>_xll.qlDayCounterYearFraction("actual/365 (fixed)",SettlementDate,R117,,,Trigger)</f>
        <v>0.44931506849315067</v>
      </c>
      <c r="U117" s="47">
        <f>_xll.qlPolynomialFunctionValue($P$18,T117,AllTriggers)</f>
        <v>1.950083157847911E-3</v>
      </c>
    </row>
    <row r="118" spans="18:21" x14ac:dyDescent="0.2">
      <c r="R118" s="212">
        <f>_xll.qlCalendarAdvance(Calendar,R117,"1D","f")</f>
        <v>42444</v>
      </c>
      <c r="S118" s="47">
        <f>_xll.qlTenorBasisValue($P$3,R118,AllTriggers)</f>
        <v>2.0722748313655131E-3</v>
      </c>
      <c r="T118" s="41">
        <f>_xll.qlDayCounterYearFraction("actual/365 (fixed)",SettlementDate,R118,,,Trigger)</f>
        <v>0.45205479452054792</v>
      </c>
      <c r="U118" s="47">
        <f>_xll.qlPolynomialFunctionValue($P$18,T118,AllTriggers)</f>
        <v>1.9515686537030404E-3</v>
      </c>
    </row>
    <row r="119" spans="18:21" x14ac:dyDescent="0.2">
      <c r="R119" s="212">
        <f>_xll.qlCalendarAdvance(Calendar,R118,"1D","f")</f>
        <v>42445</v>
      </c>
      <c r="S119" s="47">
        <f>_xll.qlTenorBasisValue($P$3,R119,AllTriggers)</f>
        <v>2.0734841004881742E-3</v>
      </c>
      <c r="T119" s="41">
        <f>_xll.qlDayCounterYearFraction("actual/365 (fixed)",SettlementDate,R119,,,Trigger)</f>
        <v>0.45479452054794522</v>
      </c>
      <c r="U119" s="47">
        <f>_xll.qlPolynomialFunctionValue($P$18,T119,AllTriggers)</f>
        <v>1.9530503124411459E-3</v>
      </c>
    </row>
    <row r="120" spans="18:21" x14ac:dyDescent="0.2">
      <c r="R120" s="212">
        <f>_xll.qlCalendarAdvance(Calendar,R119,"1D","f")</f>
        <v>42446</v>
      </c>
      <c r="S120" s="47">
        <f>_xll.qlTenorBasisValue($P$3,R120,AllTriggers)</f>
        <v>2.074690935248908E-3</v>
      </c>
      <c r="T120" s="41">
        <f>_xll.qlDayCounterYearFraction("actual/365 (fixed)",SettlementDate,R120,,,Trigger)</f>
        <v>0.45753424657534247</v>
      </c>
      <c r="U120" s="47">
        <f>_xll.qlPolynomialFunctionValue($P$18,T120,AllTriggers)</f>
        <v>1.9545281488616076E-3</v>
      </c>
    </row>
    <row r="121" spans="18:21" x14ac:dyDescent="0.2">
      <c r="R121" s="212">
        <f>_xll.qlCalendarAdvance(Calendar,R120,"1D","f")</f>
        <v>42447</v>
      </c>
      <c r="S121" s="47">
        <f>_xll.qlTenorBasisValue($P$3,R121,AllTriggers)</f>
        <v>2.0758953504470944E-3</v>
      </c>
      <c r="T121" s="41">
        <f>_xll.qlDayCounterYearFraction("actual/365 (fixed)",SettlementDate,R121,,,Trigger)</f>
        <v>0.46027397260273972</v>
      </c>
      <c r="U121" s="47">
        <f>_xll.qlPolynomialFunctionValue($P$18,T121,AllTriggers)</f>
        <v>1.9560021777638059E-3</v>
      </c>
    </row>
    <row r="122" spans="18:21" x14ac:dyDescent="0.2">
      <c r="R122" s="212">
        <f>_xll.qlCalendarAdvance(Calendar,R121,"1D","f")</f>
        <v>42450</v>
      </c>
      <c r="S122" s="47">
        <f>_xll.qlTenorBasisValue($P$3,R122,AllTriggers)</f>
        <v>2.079494226660164E-3</v>
      </c>
      <c r="T122" s="41">
        <f>_xll.qlDayCounterYearFraction("actual/365 (fixed)",SettlementDate,R122,,,Trigger)</f>
        <v>0.46849315068493153</v>
      </c>
      <c r="U122" s="47">
        <f>_xll.qlPolynomialFunctionValue($P$18,T122,AllTriggers)</f>
        <v>1.9604015673546121E-3</v>
      </c>
    </row>
    <row r="123" spans="18:21" x14ac:dyDescent="0.2">
      <c r="R123" s="212">
        <f>_xll.qlCalendarAdvance(Calendar,R122,"1D","f")</f>
        <v>42451</v>
      </c>
      <c r="S123" s="47">
        <f>_xll.qlTenorBasisValue($P$3,R123,AllTriggers)</f>
        <v>2.0806891116019574E-3</v>
      </c>
      <c r="T123" s="41">
        <f>_xll.qlDayCounterYearFraction("actual/365 (fixed)",SettlementDate,R123,,,Trigger)</f>
        <v>0.47123287671232877</v>
      </c>
      <c r="U123" s="47">
        <f>_xll.qlPolynomialFunctionValue($P$18,T123,AllTriggers)</f>
        <v>1.961860514177551E-3</v>
      </c>
    </row>
    <row r="124" spans="18:21" x14ac:dyDescent="0.2">
      <c r="R124" s="212">
        <f>_xll.qlCalendarAdvance(Calendar,R123,"1D","f")</f>
        <v>42452</v>
      </c>
      <c r="S124" s="47">
        <f>_xll.qlTenorBasisValue($P$3,R124,AllTriggers)</f>
        <v>2.0818816509781016E-3</v>
      </c>
      <c r="T124" s="41">
        <f>_xll.qlDayCounterYearFraction("actual/365 (fixed)",SettlementDate,R124,,,Trigger)</f>
        <v>0.47397260273972602</v>
      </c>
      <c r="U124" s="47">
        <f>_xll.qlPolynomialFunctionValue($P$18,T124,AllTriggers)</f>
        <v>1.963315727479124E-3</v>
      </c>
    </row>
    <row r="125" spans="18:21" x14ac:dyDescent="0.2">
      <c r="R125" s="212">
        <f>_xll.qlCalendarAdvance(Calendar,R124,"1D","f")</f>
        <v>42453</v>
      </c>
      <c r="S125" s="47">
        <f>_xll.qlTenorBasisValue($P$3,R125,AllTriggers)</f>
        <v>2.083071859587976E-3</v>
      </c>
      <c r="T125" s="41">
        <f>_xll.qlDayCounterYearFraction("actual/365 (fixed)",SettlementDate,R125,,,Trigger)</f>
        <v>0.47671232876712327</v>
      </c>
      <c r="U125" s="47">
        <f>_xll.qlPolynomialFunctionValue($P$18,T125,AllTriggers)</f>
        <v>1.9647672220587122E-3</v>
      </c>
    </row>
    <row r="126" spans="18:21" x14ac:dyDescent="0.2">
      <c r="R126" s="212">
        <f>_xll.qlCalendarAdvance(Calendar,R125,"1D","f")</f>
        <v>42458</v>
      </c>
      <c r="S126" s="47">
        <f>_xll.qlTenorBasisValue($P$3,R126,AllTriggers)</f>
        <v>2.0889884591216005E-3</v>
      </c>
      <c r="T126" s="41">
        <f>_xll.qlDayCounterYearFraction("actual/365 (fixed)",SettlementDate,R126,,,Trigger)</f>
        <v>0.49041095890410957</v>
      </c>
      <c r="U126" s="47">
        <f>_xll.qlPolynomialFunctionValue($P$18,T126,AllTriggers)</f>
        <v>1.9719694321051547E-3</v>
      </c>
    </row>
    <row r="127" spans="18:21" x14ac:dyDescent="0.2">
      <c r="R127" s="212">
        <f>_xll.qlCalendarAdvance(Calendar,R126,"1D","f")</f>
        <v>42459</v>
      </c>
      <c r="S127" s="47">
        <f>_xll.qlTenorBasisValue($P$3,R127,AllTriggers)</f>
        <v>2.090164993920833E-3</v>
      </c>
      <c r="T127" s="41">
        <f>_xll.qlDayCounterYearFraction("actual/365 (fixed)",SettlementDate,R127,,,Trigger)</f>
        <v>0.49315068493150682</v>
      </c>
      <c r="U127" s="47">
        <f>_xll.qlPolynomialFunctionValue($P$18,T127,AllTriggers)</f>
        <v>1.9733989251398023E-3</v>
      </c>
    </row>
    <row r="128" spans="18:21" x14ac:dyDescent="0.2">
      <c r="R128" s="212">
        <f>_xll.qlCalendarAdvance(Calendar,R127,"1D","f")</f>
        <v>42460</v>
      </c>
      <c r="S128" s="47">
        <f>_xll.qlTenorBasisValue($P$3,R128,AllTriggers)</f>
        <v>2.0913393015494549E-3</v>
      </c>
      <c r="T128" s="41">
        <f>_xll.qlDayCounterYearFraction("actual/365 (fixed)",SettlementDate,R128,,,Trigger)</f>
        <v>0.49589041095890413</v>
      </c>
      <c r="U128" s="47">
        <f>_xll.qlPolynomialFunctionValue($P$18,T128,AllTriggers)</f>
        <v>1.9748248030481224E-3</v>
      </c>
    </row>
    <row r="129" spans="18:21" x14ac:dyDescent="0.2">
      <c r="R129" s="212">
        <f>_xll.qlCalendarAdvance(Calendar,R128,"1D","f")</f>
        <v>42461</v>
      </c>
      <c r="S129" s="47">
        <f>_xll.qlTenorBasisValue($P$3,R129,AllTriggers)</f>
        <v>2.0925113968068452E-3</v>
      </c>
      <c r="T129" s="41">
        <f>_xll.qlDayCounterYearFraction("actual/365 (fixed)",SettlementDate,R129,,,Trigger)</f>
        <v>0.49863013698630138</v>
      </c>
      <c r="U129" s="47">
        <f>_xll.qlPolynomialFunctionValue($P$18,T129,AllTriggers)</f>
        <v>1.976247080629494E-3</v>
      </c>
    </row>
    <row r="130" spans="18:21" x14ac:dyDescent="0.2">
      <c r="R130" s="212">
        <f>_xll.qlCalendarAdvance(Calendar,R129,"1D","f")</f>
        <v>42464</v>
      </c>
      <c r="S130" s="47">
        <f>_xll.qlTenorBasisValue($P$3,R130,AllTriggers)</f>
        <v>2.0960145563454248E-3</v>
      </c>
      <c r="T130" s="41">
        <f>_xll.qlDayCounterYearFraction("actual/365 (fixed)",SettlementDate,R130,,,Trigger)</f>
        <v>0.50684931506849318</v>
      </c>
      <c r="U130" s="47">
        <f>_xll.qlPolynomialFunctionValue($P$18,T130,AllTriggers)</f>
        <v>1.9804924594057196E-3</v>
      </c>
    </row>
    <row r="131" spans="18:21" x14ac:dyDescent="0.2">
      <c r="R131" s="212">
        <f>_xll.qlCalendarAdvance(Calendar,R130,"1D","f")</f>
        <v>42465</v>
      </c>
      <c r="S131" s="47">
        <f>_xll.qlTenorBasisValue($P$3,R131,AllTriggers)</f>
        <v>2.0971779501116859E-3</v>
      </c>
      <c r="T131" s="41">
        <f>_xll.qlDayCounterYearFraction("actual/365 (fixed)",SettlementDate,R131,,,Trigger)</f>
        <v>0.50958904109589043</v>
      </c>
      <c r="U131" s="47">
        <f>_xll.qlPolynomialFunctionValue($P$18,T131,AllTriggers)</f>
        <v>1.9819004836730972E-3</v>
      </c>
    </row>
    <row r="132" spans="18:21" x14ac:dyDescent="0.2">
      <c r="R132" s="212">
        <f>_xll.qlCalendarAdvance(Calendar,R131,"1D","f")</f>
        <v>42466</v>
      </c>
      <c r="S132" s="47">
        <f>_xll.qlTenorBasisValue($P$3,R132,AllTriggers)</f>
        <v>2.0983392055036148E-3</v>
      </c>
      <c r="T132" s="41">
        <f>_xll.qlDayCounterYearFraction("actual/365 (fixed)",SettlementDate,R132,,,Trigger)</f>
        <v>0.51232876712328768</v>
      </c>
      <c r="U132" s="47">
        <f>_xll.qlPolynomialFunctionValue($P$18,T132,AllTriggers)</f>
        <v>1.9833049816104253E-3</v>
      </c>
    </row>
    <row r="133" spans="18:21" x14ac:dyDescent="0.2">
      <c r="R133" s="213">
        <f>_xll.qlCalendarAdvance(Calendar,R132,"1D","f")</f>
        <v>42467</v>
      </c>
      <c r="S133" s="50">
        <f>_xll.qlTenorBasisValue($P$3,R133,AllTriggers)</f>
        <v>2.0994983373205903E-3</v>
      </c>
      <c r="T133" s="44">
        <f>_xll.qlDayCounterYearFraction("actual/365 (fixed)",SettlementDate,R133,,,Trigger)</f>
        <v>0.51506849315068493</v>
      </c>
      <c r="U133" s="50">
        <f>_xll.qlPolynomialFunctionValue($P$18,T133,AllTriggers)</f>
        <v>1.9847059680170834E-3</v>
      </c>
    </row>
    <row r="134" spans="18:21" x14ac:dyDescent="0.2">
      <c r="R134" s="211">
        <f>_xll.qlCalendarAdvance(Calendar,R133,"1D","f")</f>
        <v>42468</v>
      </c>
      <c r="S134" s="52">
        <f>_xll.qlTenorBasisValue($P$3,R134,AllTriggers)</f>
        <v>2.1006553603619919E-3</v>
      </c>
      <c r="T134" s="46">
        <f>_xll.qlDayCounterYearFraction("actual/365 (fixed)",SettlementDate,R134,,,Trigger)</f>
        <v>0.51780821917808217</v>
      </c>
      <c r="U134" s="52">
        <f>_xll.qlPolynomialFunctionValue($P$18,T134,AllTriggers)</f>
        <v>1.9861034576924516E-3</v>
      </c>
    </row>
    <row r="135" spans="18:21" x14ac:dyDescent="0.2">
      <c r="R135" s="212">
        <f>_xll.qlCalendarAdvance(Calendar,R134,"1D","f")</f>
        <v>42471</v>
      </c>
      <c r="S135" s="47">
        <f>_xll.qlTenorBasisValue($P$3,R135,AllTriggers)</f>
        <v>2.1041139248265547E-3</v>
      </c>
      <c r="T135" s="41">
        <f>_xll.qlDayCounterYearFraction("actual/365 (fixed)",SettlementDate,R135,,,Trigger)</f>
        <v>0.52602739726027392</v>
      </c>
      <c r="U135" s="47">
        <f>_xll.qlPolynomialFunctionValue($P$18,T135,AllTriggers)</f>
        <v>1.9902750943246159E-3</v>
      </c>
    </row>
    <row r="136" spans="18:21" x14ac:dyDescent="0.2">
      <c r="R136" s="212">
        <f>_xll.qlCalendarAdvance(Calendar,R135,"1D","f")</f>
        <v>42472</v>
      </c>
      <c r="S136" s="47">
        <f>_xll.qlTenorBasisValue($P$3,R136,AllTriggers)</f>
        <v>2.1052626607594603E-3</v>
      </c>
      <c r="T136" s="41">
        <f>_xll.qlDayCounterYearFraction("actual/365 (fixed)",SettlementDate,R136,,,Trigger)</f>
        <v>0.52876712328767128</v>
      </c>
      <c r="U136" s="47">
        <f>_xll.qlPolynomialFunctionValue($P$18,T136,AllTriggers)</f>
        <v>1.9916587450686226E-3</v>
      </c>
    </row>
    <row r="137" spans="18:21" x14ac:dyDescent="0.2">
      <c r="R137" s="212">
        <f>_xll.qlCalendarAdvance(Calendar,R136,"1D","f")</f>
        <v>42473</v>
      </c>
      <c r="S137" s="47">
        <f>_xll.qlTenorBasisValue($P$3,R137,AllTriggers)</f>
        <v>2.1064093619136909E-3</v>
      </c>
      <c r="T137" s="41">
        <f>_xll.qlDayCounterYearFraction("actual/365 (fixed)",SettlementDate,R137,,,Trigger)</f>
        <v>0.53150684931506853</v>
      </c>
      <c r="U137" s="47">
        <f>_xll.qlPolynomialFunctionValue($P$18,T137,AllTriggers)</f>
        <v>1.9930389730782377E-3</v>
      </c>
    </row>
    <row r="138" spans="18:21" x14ac:dyDescent="0.2">
      <c r="R138" s="212">
        <f>_xll.qlCalendarAdvance(Calendar,R137,"1D","f")</f>
        <v>42474</v>
      </c>
      <c r="S138" s="47">
        <f>_xll.qlTenorBasisValue($P$3,R138,AllTriggers)</f>
        <v>2.1075540430886266E-3</v>
      </c>
      <c r="T138" s="41">
        <f>_xll.qlDayCounterYearFraction("actual/365 (fixed)",SettlementDate,R138,,,Trigger)</f>
        <v>0.53424657534246578</v>
      </c>
      <c r="U138" s="47">
        <f>_xll.qlPolynomialFunctionValue($P$18,T138,AllTriggers)</f>
        <v>1.9944157931528414E-3</v>
      </c>
    </row>
    <row r="139" spans="18:21" x14ac:dyDescent="0.2">
      <c r="R139" s="212">
        <f>_xll.qlCalendarAdvance(Calendar,R138,"1D","f")</f>
        <v>42475</v>
      </c>
      <c r="S139" s="47">
        <f>_xll.qlTenorBasisValue($P$3,R139,AllTriggers)</f>
        <v>2.1086967190836465E-3</v>
      </c>
      <c r="T139" s="41">
        <f>_xll.qlDayCounterYearFraction("actual/365 (fixed)",SettlementDate,R139,,,Trigger)</f>
        <v>0.53698630136986303</v>
      </c>
      <c r="U139" s="47">
        <f>_xll.qlPolynomialFunctionValue($P$18,T139,AllTriggers)</f>
        <v>1.9957892200918132E-3</v>
      </c>
    </row>
    <row r="140" spans="18:21" x14ac:dyDescent="0.2">
      <c r="R140" s="212">
        <f>_xll.qlCalendarAdvance(Calendar,R139,"1D","f")</f>
        <v>42478</v>
      </c>
      <c r="S140" s="47">
        <f>_xll.qlTenorBasisValue($P$3,R140,AllTriggers)</f>
        <v>2.1121128639830125E-3</v>
      </c>
      <c r="T140" s="41">
        <f>_xll.qlDayCounterYearFraction("actual/365 (fixed)",SettlementDate,R140,,,Trigger)</f>
        <v>0.54520547945205478</v>
      </c>
      <c r="U140" s="47">
        <f>_xll.qlPolynomialFunctionValue($P$18,T140,AllTriggers)</f>
        <v>1.9998892900887351E-3</v>
      </c>
    </row>
    <row r="141" spans="18:21" x14ac:dyDescent="0.2">
      <c r="R141" s="212">
        <f>_xll.qlCalendarAdvance(Calendar,R140,"1D","f")</f>
        <v>42479</v>
      </c>
      <c r="S141" s="47">
        <f>_xll.qlTenorBasisValue($P$3,R141,AllTriggers)</f>
        <v>2.113247667252168E-3</v>
      </c>
      <c r="T141" s="41">
        <f>_xll.qlDayCounterYearFraction("actual/365 (fixed)",SettlementDate,R141,,,Trigger)</f>
        <v>0.54794520547945202</v>
      </c>
      <c r="U141" s="47">
        <f>_xll.qlPolynomialFunctionValue($P$18,T141,AllTriggers)</f>
        <v>2.0012492924789769E-3</v>
      </c>
    </row>
    <row r="142" spans="18:21" x14ac:dyDescent="0.2">
      <c r="R142" s="212">
        <f>_xll.qlCalendarAdvance(Calendar,R141,"1D","f")</f>
        <v>42480</v>
      </c>
      <c r="S142" s="47">
        <f>_xll.qlTenorBasisValue($P$3,R142,AllTriggers)</f>
        <v>2.1143805393383074E-3</v>
      </c>
      <c r="T142" s="41">
        <f>_xll.qlDayCounterYearFraction("actual/365 (fixed)",SettlementDate,R142,,,Trigger)</f>
        <v>0.55068493150684927</v>
      </c>
      <c r="U142" s="47">
        <f>_xll.qlPolynomialFunctionValue($P$18,T142,AllTriggers)</f>
        <v>2.0026059757304853E-3</v>
      </c>
    </row>
    <row r="143" spans="18:21" x14ac:dyDescent="0.2">
      <c r="R143" s="212">
        <f>_xll.qlCalendarAdvance(Calendar,R142,"1D","f")</f>
        <v>42481</v>
      </c>
      <c r="S143" s="47">
        <f>_xll.qlTenorBasisValue($P$3,R143,AllTriggers)</f>
        <v>2.1155114950408092E-3</v>
      </c>
      <c r="T143" s="41">
        <f>_xll.qlDayCounterYearFraction("actual/365 (fixed)",SettlementDate,R143,,,Trigger)</f>
        <v>0.55342465753424652</v>
      </c>
      <c r="U143" s="47">
        <f>_xll.qlPolynomialFunctionValue($P$18,T143,AllTriggers)</f>
        <v>2.0039593546426408E-3</v>
      </c>
    </row>
    <row r="144" spans="18:21" x14ac:dyDescent="0.2">
      <c r="R144" s="212">
        <f>_xll.qlCalendarAdvance(Calendar,R143,"1D","f")</f>
        <v>42482</v>
      </c>
      <c r="S144" s="47">
        <f>_xll.qlTenorBasisValue($P$3,R144,AllTriggers)</f>
        <v>2.1166405491590541E-3</v>
      </c>
      <c r="T144" s="41">
        <f>_xll.qlDayCounterYearFraction("actual/365 (fixed)",SettlementDate,R144,,,Trigger)</f>
        <v>0.55616438356164388</v>
      </c>
      <c r="U144" s="47">
        <f>_xll.qlPolynomialFunctionValue($P$18,T144,AllTriggers)</f>
        <v>2.0053094440148221E-3</v>
      </c>
    </row>
    <row r="145" spans="18:21" x14ac:dyDescent="0.2">
      <c r="R145" s="212">
        <f>_xll.qlCalendarAdvance(Calendar,R144,"1D","f")</f>
        <v>42485</v>
      </c>
      <c r="S145" s="47">
        <f>_xll.qlTenorBasisValue($P$3,R145,AllTriggers)</f>
        <v>2.1200164500020423E-3</v>
      </c>
      <c r="T145" s="41">
        <f>_xll.qlDayCounterYearFraction("actual/365 (fixed)",SettlementDate,R145,,,Trigger)</f>
        <v>0.56438356164383563</v>
      </c>
      <c r="U145" s="47">
        <f>_xll.qlPolynomialFunctionValue($P$18,T145,AllTriggers)</f>
        <v>2.0093401228853214E-3</v>
      </c>
    </row>
    <row r="146" spans="18:21" x14ac:dyDescent="0.2">
      <c r="R146" s="212">
        <f>_xll.qlCalendarAdvance(Calendar,R145,"1D","f")</f>
        <v>42486</v>
      </c>
      <c r="S146" s="47">
        <f>_xll.qlTenorBasisValue($P$3,R146,AllTriggers)</f>
        <v>2.1211380457770552E-3</v>
      </c>
      <c r="T146" s="41">
        <f>_xll.qlDayCounterYearFraction("actual/365 (fixed)",SettlementDate,R146,,,Trigger)</f>
        <v>0.56712328767123288</v>
      </c>
      <c r="U146" s="47">
        <f>_xll.qlPolynomialFunctionValue($P$18,T146,AllTriggers)</f>
        <v>2.010677202091405E-3</v>
      </c>
    </row>
    <row r="147" spans="18:21" x14ac:dyDescent="0.2">
      <c r="R147" s="212">
        <f>_xll.qlCalendarAdvance(Calendar,R146,"1D","f")</f>
        <v>42487</v>
      </c>
      <c r="S147" s="47">
        <f>_xll.qlTenorBasisValue($P$3,R147,AllTriggers)</f>
        <v>2.1222578139647092E-3</v>
      </c>
      <c r="T147" s="41">
        <f>_xll.qlDayCounterYearFraction("actual/365 (fixed)",SettlementDate,R147,,,Trigger)</f>
        <v>0.56986301369863013</v>
      </c>
      <c r="U147" s="47">
        <f>_xll.qlPolynomialFunctionValue($P$18,T147,AllTriggers)</f>
        <v>2.0120110657544142E-3</v>
      </c>
    </row>
    <row r="148" spans="18:21" x14ac:dyDescent="0.2">
      <c r="R148" s="212">
        <f>_xll.qlCalendarAdvance(Calendar,R147,"1D","f")</f>
        <v>42488</v>
      </c>
      <c r="S148" s="47">
        <f>_xll.qlTenorBasisValue($P$3,R148,AllTriggers)</f>
        <v>2.1233757693643845E-3</v>
      </c>
      <c r="T148" s="41">
        <f>_xll.qlDayCounterYearFraction("actual/365 (fixed)",SettlementDate,R148,,,Trigger)</f>
        <v>0.57260273972602738</v>
      </c>
      <c r="U148" s="47">
        <f>_xll.qlPolynomialFunctionValue($P$18,T148,AllTriggers)</f>
        <v>2.0133417286737269E-3</v>
      </c>
    </row>
    <row r="149" spans="18:21" x14ac:dyDescent="0.2">
      <c r="R149" s="212">
        <f>_xll.qlCalendarAdvance(Calendar,R148,"1D","f")</f>
        <v>42489</v>
      </c>
      <c r="S149" s="47">
        <f>_xll.qlTenorBasisValue($P$3,R149,AllTriggers)</f>
        <v>2.1244919267754602E-3</v>
      </c>
      <c r="T149" s="41">
        <f>_xll.qlDayCounterYearFraction("actual/365 (fixed)",SettlementDate,R149,,,Trigger)</f>
        <v>0.57534246575342463</v>
      </c>
      <c r="U149" s="47">
        <f>_xll.qlPolynomialFunctionValue($P$18,T149,AllTriggers)</f>
        <v>2.0146692056487244E-3</v>
      </c>
    </row>
    <row r="150" spans="18:21" x14ac:dyDescent="0.2">
      <c r="R150" s="212">
        <f>_xll.qlCalendarAdvance(Calendar,R149,"1D","f")</f>
        <v>42492</v>
      </c>
      <c r="S150" s="47">
        <f>_xll.qlTenorBasisValue($P$3,R150,AllTriggers)</f>
        <v>2.1278297590708894E-3</v>
      </c>
      <c r="T150" s="41">
        <f>_xll.qlDayCounterYearFraction("actual/365 (fixed)",SettlementDate,R150,,,Trigger)</f>
        <v>0.58356164383561648</v>
      </c>
      <c r="U150" s="47">
        <f>_xll.qlPolynomialFunctionValue($P$18,T150,AllTriggers)</f>
        <v>2.0186326689016201E-3</v>
      </c>
    </row>
    <row r="151" spans="18:21" x14ac:dyDescent="0.2">
      <c r="R151" s="212">
        <f>_xll.qlCalendarAdvance(Calendar,R150,"1D","f")</f>
        <v>42493</v>
      </c>
      <c r="S151" s="47">
        <f>_xll.qlTenorBasisValue($P$3,R151,AllTriggers)</f>
        <v>2.1289388725213658E-3</v>
      </c>
      <c r="T151" s="41">
        <f>_xll.qlDayCounterYearFraction("actual/365 (fixed)",SettlementDate,R151,,,Trigger)</f>
        <v>0.58630136986301373</v>
      </c>
      <c r="U151" s="47">
        <f>_xll.qlPolynomialFunctionValue($P$18,T151,AllTriggers)</f>
        <v>2.0199475500931527E-3</v>
      </c>
    </row>
    <row r="152" spans="18:21" x14ac:dyDescent="0.2">
      <c r="R152" s="212">
        <f>_xll.qlCalendarAdvance(Calendar,R151,"1D","f")</f>
        <v>42494</v>
      </c>
      <c r="S152" s="47">
        <f>_xll.qlTenorBasisValue($P$3,R152,AllTriggers)</f>
        <v>2.1300462619801412E-3</v>
      </c>
      <c r="T152" s="41">
        <f>_xll.qlDayCounterYearFraction("actual/365 (fixed)",SettlementDate,R152,,,Trigger)</f>
        <v>0.58904109589041098</v>
      </c>
      <c r="U152" s="47">
        <f>_xll.qlPolynomialFunctionValue($P$18,T152,AllTriggers)</f>
        <v>2.0212593193372676E-3</v>
      </c>
    </row>
    <row r="153" spans="18:21" x14ac:dyDescent="0.2">
      <c r="R153" s="212">
        <f>_xll.qlCalendarAdvance(Calendar,R152,"1D","f")</f>
        <v>42495</v>
      </c>
      <c r="S153" s="47">
        <f>_xll.qlTenorBasisValue($P$3,R153,AllTriggers)</f>
        <v>2.1311519422465958E-3</v>
      </c>
      <c r="T153" s="41">
        <f>_xll.qlDayCounterYearFraction("actual/365 (fixed)",SettlementDate,R153,,,Trigger)</f>
        <v>0.59178082191780823</v>
      </c>
      <c r="U153" s="47">
        <f>_xll.qlPolynomialFunctionValue($P$18,T153,AllTriggers)</f>
        <v>2.022567991433345E-3</v>
      </c>
    </row>
    <row r="154" spans="18:21" x14ac:dyDescent="0.2">
      <c r="R154" s="212">
        <f>_xll.qlCalendarAdvance(Calendar,R153,"1D","f")</f>
        <v>42496</v>
      </c>
      <c r="S154" s="47">
        <f>_xll.qlTenorBasisValue($P$3,R154,AllTriggers)</f>
        <v>2.1322559281201094E-3</v>
      </c>
      <c r="T154" s="41">
        <f>_xll.qlDayCounterYearFraction("actual/365 (fixed)",SettlementDate,R154,,,Trigger)</f>
        <v>0.59452054794520548</v>
      </c>
      <c r="U154" s="47">
        <f>_xll.qlPolynomialFunctionValue($P$18,T154,AllTriggers)</f>
        <v>2.0238735811807657E-3</v>
      </c>
    </row>
    <row r="155" spans="18:21" x14ac:dyDescent="0.2">
      <c r="R155" s="212">
        <f>_xll.qlCalendarAdvance(Calendar,R154,"1D","f")</f>
        <v>42499</v>
      </c>
      <c r="S155" s="47">
        <f>_xll.qlTenorBasisValue($P$3,R155,AllTriggers)</f>
        <v>2.135557867376799E-3</v>
      </c>
      <c r="T155" s="41">
        <f>_xll.qlDayCounterYearFraction("actual/365 (fixed)",SettlementDate,R155,,,Trigger)</f>
        <v>0.60273972602739723</v>
      </c>
      <c r="U155" s="47">
        <f>_xll.qlPolynomialFunctionValue($P$18,T155,AllTriggers)</f>
        <v>2.0277720043248766E-3</v>
      </c>
    </row>
    <row r="156" spans="18:21" x14ac:dyDescent="0.2">
      <c r="R156" s="212">
        <f>_xll.qlCalendarAdvance(Calendar,R155,"1D","f")</f>
        <v>42500</v>
      </c>
      <c r="S156" s="47">
        <f>_xll.qlTenorBasisValue($P$3,R156,AllTriggers)</f>
        <v>2.1366552236723453E-3</v>
      </c>
      <c r="T156" s="41">
        <f>_xll.qlDayCounterYearFraction("actual/365 (fixed)",SettlementDate,R156,,,Trigger)</f>
        <v>0.60547945205479448</v>
      </c>
      <c r="U156" s="47">
        <f>_xll.qlPolynomialFunctionValue($P$18,T156,AllTriggers)</f>
        <v>2.0290654126714639E-3</v>
      </c>
    </row>
    <row r="157" spans="18:21" x14ac:dyDescent="0.2">
      <c r="R157" s="212">
        <f>_xll.qlCalendarAdvance(Calendar,R156,"1D","f")</f>
        <v>42501</v>
      </c>
      <c r="S157" s="47">
        <f>_xll.qlTenorBasisValue($P$3,R157,AllTriggers)</f>
        <v>2.1377509595718485E-3</v>
      </c>
      <c r="T157" s="41">
        <f>_xll.qlDayCounterYearFraction("actual/365 (fixed)",SettlementDate,R157,,,Trigger)</f>
        <v>0.60821917808219184</v>
      </c>
      <c r="U157" s="47">
        <f>_xll.qlPolynomialFunctionValue($P$18,T157,AllTriggers)</f>
        <v>2.0303558126662916E-3</v>
      </c>
    </row>
    <row r="158" spans="18:21" x14ac:dyDescent="0.2">
      <c r="R158" s="212">
        <f>_xll.qlCalendarAdvance(Calendar,R157,"1D","f")</f>
        <v>42502</v>
      </c>
      <c r="S158" s="47">
        <f>_xll.qlTenorBasisValue($P$3,R158,AllTriggers)</f>
        <v>2.1388450898746892E-3</v>
      </c>
      <c r="T158" s="41">
        <f>_xll.qlDayCounterYearFraction("actual/365 (fixed)",SettlementDate,R158,,,Trigger)</f>
        <v>0.61095890410958908</v>
      </c>
      <c r="U158" s="47">
        <f>_xll.qlPolynomialFunctionValue($P$18,T158,AllTriggers)</f>
        <v>2.0316432191087403E-3</v>
      </c>
    </row>
    <row r="159" spans="18:21" x14ac:dyDescent="0.2">
      <c r="R159" s="212">
        <f>_xll.qlCalendarAdvance(Calendar,R158,"1D","f")</f>
        <v>42503</v>
      </c>
      <c r="S159" s="47">
        <f>_xll.qlTenorBasisValue($P$3,R159,AllTriggers)</f>
        <v>2.1399376293802464E-3</v>
      </c>
      <c r="T159" s="41">
        <f>_xll.qlDayCounterYearFraction("actual/365 (fixed)",SettlementDate,R159,,,Trigger)</f>
        <v>0.61369863013698633</v>
      </c>
      <c r="U159" s="47">
        <f>_xll.qlPolynomialFunctionValue($P$18,T159,AllTriggers)</f>
        <v>2.0329276467981896E-3</v>
      </c>
    </row>
    <row r="160" spans="18:21" x14ac:dyDescent="0.2">
      <c r="R160" s="212">
        <f>_xll.qlCalendarAdvance(Calendar,R159,"1D","f")</f>
        <v>42506</v>
      </c>
      <c r="S160" s="47">
        <f>_xll.qlTenorBasisValue($P$3,R160,AllTriggers)</f>
        <v>2.1432058511070169E-3</v>
      </c>
      <c r="T160" s="41">
        <f>_xll.qlDayCounterYearFraction("actual/365 (fixed)",SettlementDate,R160,,,Trigger)</f>
        <v>0.62191780821917808</v>
      </c>
      <c r="U160" s="47">
        <f>_xll.qlPolynomialFunctionValue($P$18,T160,AllTriggers)</f>
        <v>2.0367632053423365E-3</v>
      </c>
    </row>
    <row r="161" spans="18:21" x14ac:dyDescent="0.2">
      <c r="R161" s="212">
        <f>_xll.qlCalendarAdvance(Calendar,R160,"1D","f")</f>
        <v>42507</v>
      </c>
      <c r="S161" s="47">
        <f>_xll.qlTenorBasisValue($P$3,R161,AllTriggers)</f>
        <v>2.1442921754172392E-3</v>
      </c>
      <c r="T161" s="41">
        <f>_xll.qlDayCounterYearFraction("actual/365 (fixed)",SettlementDate,R161,,,Trigger)</f>
        <v>0.62465753424657533</v>
      </c>
      <c r="U161" s="47">
        <f>_xll.qlPolynomialFunctionValue($P$18,T161,AllTriggers)</f>
        <v>2.0380358660135843E-3</v>
      </c>
    </row>
    <row r="162" spans="18:21" x14ac:dyDescent="0.2">
      <c r="R162" s="212">
        <f>_xll.qlCalendarAdvance(Calendar,R161,"1D","f")</f>
        <v>42508</v>
      </c>
      <c r="S162" s="47">
        <f>_xll.qlTenorBasisValue($P$3,R162,AllTriggers)</f>
        <v>2.145376982927077E-3</v>
      </c>
      <c r="T162" s="41">
        <f>_xll.qlDayCounterYearFraction("actual/365 (fixed)",SettlementDate,R162,,,Trigger)</f>
        <v>0.62739726027397258</v>
      </c>
      <c r="U162" s="47">
        <f>_xll.qlPolynomialFunctionValue($P$18,T162,AllTriggers)</f>
        <v>2.039305621928732E-3</v>
      </c>
    </row>
    <row r="163" spans="18:21" x14ac:dyDescent="0.2">
      <c r="R163" s="212">
        <f>_xll.qlCalendarAdvance(Calendar,R162,"1D","f")</f>
        <v>42509</v>
      </c>
      <c r="S163" s="47">
        <f>_xll.qlTenorBasisValue($P$3,R163,AllTriggers)</f>
        <v>2.1464602884359099E-3</v>
      </c>
      <c r="T163" s="41">
        <f>_xll.qlDayCounterYearFraction("actual/365 (fixed)",SettlementDate,R163,,,Trigger)</f>
        <v>0.63013698630136983</v>
      </c>
      <c r="U163" s="47">
        <f>_xll.qlPolynomialFunctionValue($P$18,T163,AllTriggers)</f>
        <v>2.0405724878871578E-3</v>
      </c>
    </row>
    <row r="164" spans="18:21" x14ac:dyDescent="0.2">
      <c r="R164" s="212">
        <f>_xll.qlCalendarAdvance(Calendar,R163,"1D","f")</f>
        <v>42510</v>
      </c>
      <c r="S164" s="47">
        <f>_xll.qlTenorBasisValue($P$3,R164,AllTriggers)</f>
        <v>2.1475421067431175E-3</v>
      </c>
      <c r="T164" s="41">
        <f>_xll.qlDayCounterYearFraction("actual/365 (fixed)",SettlementDate,R164,,,Trigger)</f>
        <v>0.63287671232876708</v>
      </c>
      <c r="U164" s="47">
        <f>_xll.qlPolynomialFunctionValue($P$18,T164,AllTriggers)</f>
        <v>2.0418364786882423E-3</v>
      </c>
    </row>
    <row r="165" spans="18:21" x14ac:dyDescent="0.2">
      <c r="R165" s="212">
        <f>_xll.qlCalendarAdvance(Calendar,R164,"1D","f")</f>
        <v>42513</v>
      </c>
      <c r="S165" s="47">
        <f>_xll.qlTenorBasisValue($P$3,R165,AllTriggers)</f>
        <v>2.1507787864487875E-3</v>
      </c>
      <c r="T165" s="41">
        <f>_xll.qlDayCounterYearFraction("actual/365 (fixed)",SettlementDate,R165,,,Trigger)</f>
        <v>0.64109589041095894</v>
      </c>
      <c r="U165" s="47">
        <f>_xll.qlPolynomialFunctionValue($P$18,T165,AllTriggers)</f>
        <v>2.0456113481412438E-3</v>
      </c>
    </row>
    <row r="166" spans="18:21" x14ac:dyDescent="0.2">
      <c r="R166" s="212">
        <f>_xll.qlCalendarAdvance(Calendar,R165,"1D","f")</f>
        <v>42514</v>
      </c>
      <c r="S166" s="47">
        <f>_xll.qlTenorBasisValue($P$3,R166,AllTriggers)</f>
        <v>2.1518548039432925E-3</v>
      </c>
      <c r="T166" s="41">
        <f>_xll.qlDayCounterYearFraction("actual/365 (fixed)",SettlementDate,R166,,,Trigger)</f>
        <v>0.64383561643835618</v>
      </c>
      <c r="U166" s="47">
        <f>_xll.qlPolynomialFunctionValue($P$18,T166,AllTriggers)</f>
        <v>2.0468639863067597E-3</v>
      </c>
    </row>
    <row r="167" spans="18:21" x14ac:dyDescent="0.2">
      <c r="R167" s="212">
        <f>_xll.qlCalendarAdvance(Calendar,R166,"1D","f")</f>
        <v>42515</v>
      </c>
      <c r="S167" s="47">
        <f>_xll.qlTenorBasisValue($P$3,R167,AllTriggers)</f>
        <v>2.1529294082330707E-3</v>
      </c>
      <c r="T167" s="41">
        <f>_xll.qlDayCounterYearFraction("actual/365 (fixed)",SettlementDate,R167,,,Trigger)</f>
        <v>0.64657534246575343</v>
      </c>
      <c r="U167" s="47">
        <f>_xll.qlPolynomialFunctionValue($P$18,T167,AllTriggers)</f>
        <v>2.0481138233118326E-3</v>
      </c>
    </row>
    <row r="168" spans="18:21" x14ac:dyDescent="0.2">
      <c r="R168" s="212">
        <f>_xll.qlCalendarAdvance(Calendar,R167,"1D","f")</f>
        <v>42516</v>
      </c>
      <c r="S168" s="47">
        <f>_xll.qlTenorBasisValue($P$3,R168,AllTriggers)</f>
        <v>2.1540026141175029E-3</v>
      </c>
      <c r="T168" s="41">
        <f>_xll.qlDayCounterYearFraction("actual/365 (fixed)",SettlementDate,R168,,,Trigger)</f>
        <v>0.64931506849315068</v>
      </c>
      <c r="U168" s="47">
        <f>_xll.qlPolynomialFunctionValue($P$18,T168,AllTriggers)</f>
        <v>2.0493608739558427E-3</v>
      </c>
    </row>
    <row r="169" spans="18:21" x14ac:dyDescent="0.2">
      <c r="R169" s="212">
        <f>_xll.qlCalendarAdvance(Calendar,R168,"1D","f")</f>
        <v>42517</v>
      </c>
      <c r="S169" s="47">
        <f>_xll.qlTenorBasisValue($P$3,R169,AllTriggers)</f>
        <v>2.1550744363959674E-3</v>
      </c>
      <c r="T169" s="41">
        <f>_xll.qlDayCounterYearFraction("actual/365 (fixed)",SettlementDate,R169,,,Trigger)</f>
        <v>0.65205479452054793</v>
      </c>
      <c r="U169" s="47">
        <f>_xll.qlPolynomialFunctionValue($P$18,T169,AllTriggers)</f>
        <v>2.0506051530381686E-3</v>
      </c>
    </row>
    <row r="170" spans="18:21" x14ac:dyDescent="0.2">
      <c r="R170" s="212">
        <f>_xll.qlCalendarAdvance(Calendar,R169,"1D","f")</f>
        <v>42520</v>
      </c>
      <c r="S170" s="47">
        <f>_xll.qlTenorBasisValue($P$3,R170,AllTriggers)</f>
        <v>2.158281749589356E-3</v>
      </c>
      <c r="T170" s="41">
        <f>_xll.qlDayCounterYearFraction("actual/365 (fixed)",SettlementDate,R170,,,Trigger)</f>
        <v>0.66027397260273968</v>
      </c>
      <c r="U170" s="47">
        <f>_xll.qlPolynomialFunctionValue($P$18,T170,AllTriggers)</f>
        <v>2.0543215089088443E-3</v>
      </c>
    </row>
    <row r="171" spans="18:21" x14ac:dyDescent="0.2">
      <c r="R171" s="212">
        <f>_xll.qlCalendarAdvance(Calendar,R170,"1D","f")</f>
        <v>42521</v>
      </c>
      <c r="S171" s="47">
        <f>_xll.qlTenorBasisValue($P$3,R171,AllTriggers)</f>
        <v>2.15934818543775E-3</v>
      </c>
      <c r="T171" s="41">
        <f>_xll.qlDayCounterYearFraction("actual/365 (fixed)",SettlementDate,R171,,,Trigger)</f>
        <v>0.66301369863013704</v>
      </c>
      <c r="U171" s="47">
        <f>_xll.qlPolynomialFunctionValue($P$18,T171,AllTriggers)</f>
        <v>2.0555548497382344E-3</v>
      </c>
    </row>
    <row r="172" spans="18:21" x14ac:dyDescent="0.2">
      <c r="R172" s="212">
        <f>_xll.qlCalendarAdvance(Calendar,R171,"1D","f")</f>
        <v>42522</v>
      </c>
      <c r="S172" s="47">
        <f>_xll.qlTenorBasisValue($P$3,R172,AllTriggers)</f>
        <v>2.1604133116770756E-3</v>
      </c>
      <c r="T172" s="41">
        <f>_xll.qlDayCounterYearFraction("actual/365 (fixed)",SettlementDate,R172,,,Trigger)</f>
        <v>0.66575342465753429</v>
      </c>
      <c r="U172" s="47">
        <f>_xll.qlPolynomialFunctionValue($P$18,T172,AllTriggers)</f>
        <v>2.0567854930028393E-3</v>
      </c>
    </row>
    <row r="173" spans="18:21" x14ac:dyDescent="0.2">
      <c r="R173" s="212">
        <f>_xll.qlCalendarAdvance(Calendar,R172,"1D","f")</f>
        <v>42523</v>
      </c>
      <c r="S173" s="47">
        <f>_xll.qlTenorBasisValue($P$3,R173,AllTriggers)</f>
        <v>2.1614771431067124E-3</v>
      </c>
      <c r="T173" s="41">
        <f>_xll.qlDayCounterYearFraction("actual/365 (fixed)",SettlementDate,R173,,,Trigger)</f>
        <v>0.66849315068493154</v>
      </c>
      <c r="U173" s="47">
        <f>_xll.qlPolynomialFunctionValue($P$18,T173,AllTriggers)</f>
        <v>2.0580134535020393E-3</v>
      </c>
    </row>
    <row r="174" spans="18:21" x14ac:dyDescent="0.2">
      <c r="R174" s="212">
        <f>_xll.qlCalendarAdvance(Calendar,R173,"1D","f")</f>
        <v>42524</v>
      </c>
      <c r="S174" s="47">
        <f>_xll.qlTenorBasisValue($P$3,R174,AllTriggers)</f>
        <v>2.1625396945260411E-3</v>
      </c>
      <c r="T174" s="41">
        <f>_xll.qlDayCounterYearFraction("actual/365 (fixed)",SettlementDate,R174,,,Trigger)</f>
        <v>0.67123287671232879</v>
      </c>
      <c r="U174" s="47">
        <f>_xll.qlPolynomialFunctionValue($P$18,T174,AllTriggers)</f>
        <v>2.0592387460352146E-3</v>
      </c>
    </row>
    <row r="175" spans="18:21" x14ac:dyDescent="0.2">
      <c r="R175" s="212">
        <f>_xll.qlCalendarAdvance(Calendar,R174,"1D","f")</f>
        <v>42527</v>
      </c>
      <c r="S175" s="47">
        <f>_xll.qlTenorBasisValue($P$3,R175,AllTriggers)</f>
        <v>2.1657198167159687E-3</v>
      </c>
      <c r="T175" s="41">
        <f>_xll.qlDayCounterYearFraction("actual/365 (fixed)",SettlementDate,R175,,,Trigger)</f>
        <v>0.67945205479452053</v>
      </c>
      <c r="U175" s="47">
        <f>_xll.qlPolynomialFunctionValue($P$18,T175,AllTriggers)</f>
        <v>2.0628987638323837E-3</v>
      </c>
    </row>
    <row r="176" spans="18:21" x14ac:dyDescent="0.2">
      <c r="R176" s="212">
        <f>_xll.qlCalendarAdvance(Calendar,R175,"1D","f")</f>
        <v>42528</v>
      </c>
      <c r="S176" s="47">
        <f>_xll.qlTenorBasisValue($P$3,R176,AllTriggers)</f>
        <v>2.1667773960878578E-3</v>
      </c>
      <c r="T176" s="41">
        <f>_xll.qlDayCounterYearFraction("actual/365 (fixed)",SettlementDate,R176,,,Trigger)</f>
        <v>0.68219178082191778</v>
      </c>
      <c r="U176" s="47">
        <f>_xll.qlPolynomialFunctionValue($P$18,T176,AllTriggers)</f>
        <v>2.0641135324952539E-3</v>
      </c>
    </row>
    <row r="177" spans="18:21" x14ac:dyDescent="0.2">
      <c r="R177" s="212">
        <f>_xll.qlCalendarAdvance(Calendar,R176,"1D","f")</f>
        <v>42529</v>
      </c>
      <c r="S177" s="47">
        <f>_xll.qlTenorBasisValue($P$3,R177,AllTriggers)</f>
        <v>2.1678337694463375E-3</v>
      </c>
      <c r="T177" s="41">
        <f>_xll.qlDayCounterYearFraction("actual/365 (fixed)",SettlementDate,R177,,,Trigger)</f>
        <v>0.68493150684931503</v>
      </c>
      <c r="U177" s="47">
        <f>_xll.qlPolynomialFunctionValue($P$18,T177,AllTriggers)</f>
        <v>2.0653257071889973E-3</v>
      </c>
    </row>
    <row r="178" spans="18:21" x14ac:dyDescent="0.2">
      <c r="R178" s="212">
        <f>_xll.qlCalendarAdvance(Calendar,R177,"1D","f")</f>
        <v>42530</v>
      </c>
      <c r="S178" s="47">
        <f>_xll.qlTenorBasisValue($P$3,R178,AllTriggers)</f>
        <v>2.1688889515907857E-3</v>
      </c>
      <c r="T178" s="41">
        <f>_xll.qlDayCounterYearFraction("actual/365 (fixed)",SettlementDate,R178,,,Trigger)</f>
        <v>0.68767123287671228</v>
      </c>
      <c r="U178" s="47">
        <f>_xll.qlPolynomialFunctionValue($P$18,T178,AllTriggers)</f>
        <v>2.0665353027129944E-3</v>
      </c>
    </row>
    <row r="179" spans="18:21" x14ac:dyDescent="0.2">
      <c r="R179" s="212">
        <f>_xll.qlCalendarAdvance(Calendar,R178,"1D","f")</f>
        <v>42531</v>
      </c>
      <c r="S179" s="47">
        <f>_xll.qlTenorBasisValue($P$3,R179,AllTriggers)</f>
        <v>2.1699429573205833E-3</v>
      </c>
      <c r="T179" s="41">
        <f>_xll.qlDayCounterYearFraction("actual/365 (fixed)",SettlementDate,R179,,,Trigger)</f>
        <v>0.69041095890410964</v>
      </c>
      <c r="U179" s="47">
        <f>_xll.qlPolynomialFunctionValue($P$18,T179,AllTriggers)</f>
        <v>2.0677423338666236E-3</v>
      </c>
    </row>
    <row r="180" spans="18:21" x14ac:dyDescent="0.2">
      <c r="R180" s="212">
        <f>_xll.qlCalendarAdvance(Calendar,R179,"1D","f")</f>
        <v>42534</v>
      </c>
      <c r="S180" s="47">
        <f>_xll.qlTenorBasisValue($P$3,R180,AllTriggers)</f>
        <v>2.1730980640158686E-3</v>
      </c>
      <c r="T180" s="41">
        <f>_xll.qlDayCounterYearFraction("actual/365 (fixed)",SettlementDate,R180,,,Trigger)</f>
        <v>0.69863013698630139</v>
      </c>
      <c r="U180" s="47">
        <f>_xll.qlPolynomialFunctionValue($P$18,T180,AllTriggers)</f>
        <v>2.0713481890991059E-3</v>
      </c>
    </row>
    <row r="181" spans="18:21" x14ac:dyDescent="0.2">
      <c r="R181" s="212">
        <f>_xll.qlCalendarAdvance(Calendar,R180,"1D","f")</f>
        <v>42535</v>
      </c>
      <c r="S181" s="47">
        <f>_xll.qlTenorBasisValue($P$3,R181,AllTriggers)</f>
        <v>2.1741475120808603E-3</v>
      </c>
      <c r="T181" s="41">
        <f>_xll.qlDayCounterYearFraction("actual/365 (fixed)",SettlementDate,R181,,,Trigger)</f>
        <v>0.70136986301369864</v>
      </c>
      <c r="U181" s="47">
        <f>_xll.qlPolynomialFunctionValue($P$18,T181,AllTriggers)</f>
        <v>2.0725451107650632E-3</v>
      </c>
    </row>
    <row r="182" spans="18:21" x14ac:dyDescent="0.2">
      <c r="R182" s="212">
        <f>_xll.qlCalendarAdvance(Calendar,R181,"1D","f")</f>
        <v>42536</v>
      </c>
      <c r="S182" s="47">
        <f>_xll.qlTenorBasisValue($P$3,R182,AllTriggers)</f>
        <v>2.1751958577280995E-3</v>
      </c>
      <c r="T182" s="41">
        <f>_xll.qlDayCounterYearFraction("actual/365 (fixed)",SettlementDate,R182,,,Trigger)</f>
        <v>0.70410958904109588</v>
      </c>
      <c r="U182" s="47">
        <f>_xll.qlPolynomialFunctionValue($P$18,T182,AllTriggers)</f>
        <v>2.0737395420575518E-3</v>
      </c>
    </row>
    <row r="183" spans="18:21" x14ac:dyDescent="0.2">
      <c r="R183" s="212">
        <f>_xll.qlCalendarAdvance(Calendar,R182,"1D","f")</f>
        <v>42537</v>
      </c>
      <c r="S183" s="47">
        <f>_xll.qlTenorBasisValue($P$3,R183,AllTriggers)</f>
        <v>2.1762431157569665E-3</v>
      </c>
      <c r="T183" s="41">
        <f>_xll.qlDayCounterYearFraction("actual/365 (fixed)",SettlementDate,R183,,,Trigger)</f>
        <v>0.70684931506849313</v>
      </c>
      <c r="U183" s="47">
        <f>_xll.qlPolynomialFunctionValue($P$18,T183,AllTriggers)</f>
        <v>2.0749314977759523E-3</v>
      </c>
    </row>
    <row r="184" spans="18:21" x14ac:dyDescent="0.2">
      <c r="R184" s="212">
        <f>_xll.qlCalendarAdvance(Calendar,R183,"1D","f")</f>
        <v>42538</v>
      </c>
      <c r="S184" s="47">
        <f>_xll.qlTenorBasisValue($P$3,R184,AllTriggers)</f>
        <v>2.1772893009668398E-3</v>
      </c>
      <c r="T184" s="41">
        <f>_xll.qlDayCounterYearFraction("actual/365 (fixed)",SettlementDate,R184,,,Trigger)</f>
        <v>0.70958904109589038</v>
      </c>
      <c r="U184" s="47">
        <f>_xll.qlPolynomialFunctionValue($P$18,T184,AllTriggers)</f>
        <v>2.0761209927196429E-3</v>
      </c>
    </row>
    <row r="185" spans="18:21" x14ac:dyDescent="0.2">
      <c r="R185" s="212">
        <f>_xll.qlCalendarAdvance(Calendar,R184,"1D","f")</f>
        <v>42541</v>
      </c>
      <c r="S185" s="47">
        <f>_xll.qlTenorBasisValue($P$3,R185,AllTriggers)</f>
        <v>2.1804215676763023E-3</v>
      </c>
      <c r="T185" s="41">
        <f>_xll.qlDayCounterYearFraction("actual/365 (fixed)",SettlementDate,R185,,,Trigger)</f>
        <v>0.71780821917808224</v>
      </c>
      <c r="U185" s="47">
        <f>_xll.qlPolynomialFunctionValue($P$18,T185,AllTriggers)</f>
        <v>2.0796748608962567E-3</v>
      </c>
    </row>
    <row r="186" spans="18:21" x14ac:dyDescent="0.2">
      <c r="R186" s="212">
        <f>_xll.qlCalendarAdvance(Calendar,R185,"1D","f")</f>
        <v>42542</v>
      </c>
      <c r="S186" s="47">
        <f>_xll.qlTenorBasisValue($P$3,R186,AllTriggers)</f>
        <v>2.1814636096040021E-3</v>
      </c>
      <c r="T186" s="41">
        <f>_xll.qlDayCounterYearFraction("actual/365 (fixed)",SettlementDate,R186,,,Trigger)</f>
        <v>0.72054794520547949</v>
      </c>
      <c r="U186" s="47">
        <f>_xll.qlPolynomialFunctionValue($P$18,T186,AllTriggers)</f>
        <v>2.0808546607349078E-3</v>
      </c>
    </row>
    <row r="187" spans="18:21" x14ac:dyDescent="0.2">
      <c r="R187" s="212">
        <f>_xll.qlCalendarAdvance(Calendar,R186,"1D","f")</f>
        <v>42543</v>
      </c>
      <c r="S187" s="47">
        <f>_xll.qlTenorBasisValue($P$3,R187,AllTriggers)</f>
        <v>2.1825046527096082E-3</v>
      </c>
      <c r="T187" s="41">
        <f>_xll.qlDayCounterYearFraction("actual/365 (fixed)",SettlementDate,R187,,,Trigger)</f>
        <v>0.72328767123287674</v>
      </c>
      <c r="U187" s="47">
        <f>_xll.qlPolynomialFunctionValue($P$18,T187,AllTriggers)</f>
        <v>2.0820320737957483E-3</v>
      </c>
    </row>
    <row r="188" spans="18:21" x14ac:dyDescent="0.2">
      <c r="R188" s="212">
        <f>_xll.qlCalendarAdvance(Calendar,R187,"1D","f")</f>
        <v>42544</v>
      </c>
      <c r="S188" s="47">
        <f>_xll.qlTenorBasisValue($P$3,R188,AllTriggers)</f>
        <v>2.1835447117924994E-3</v>
      </c>
      <c r="T188" s="41">
        <f>_xll.qlDayCounterYearFraction("actual/365 (fixed)",SettlementDate,R188,,,Trigger)</f>
        <v>0.72602739726027399</v>
      </c>
      <c r="U188" s="47">
        <f>_xll.qlPolynomialFunctionValue($P$18,T188,AllTriggers)</f>
        <v>2.0832071148781574E-3</v>
      </c>
    </row>
    <row r="189" spans="18:21" x14ac:dyDescent="0.2">
      <c r="R189" s="212">
        <f>_xll.qlCalendarAdvance(Calendar,R188,"1D","f")</f>
        <v>42545</v>
      </c>
      <c r="S189" s="47">
        <f>_xll.qlTenorBasisValue($P$3,R189,AllTriggers)</f>
        <v>2.1845838016520563E-3</v>
      </c>
      <c r="T189" s="41">
        <f>_xll.qlDayCounterYearFraction("actual/365 (fixed)",SettlementDate,R189,,,Trigger)</f>
        <v>0.72876712328767124</v>
      </c>
      <c r="U189" s="47">
        <f>_xll.qlPolynomialFunctionValue($P$18,T189,AllTriggers)</f>
        <v>2.0843797987815161E-3</v>
      </c>
    </row>
    <row r="190" spans="18:21" x14ac:dyDescent="0.2">
      <c r="R190" s="212">
        <f>_xll.qlCalendarAdvance(Calendar,R189,"1D","f")</f>
        <v>42548</v>
      </c>
      <c r="S190" s="47">
        <f>_xll.qlTenorBasisValue($P$3,R190,AllTriggers)</f>
        <v>2.1876954038845152E-3</v>
      </c>
      <c r="T190" s="41">
        <f>_xll.qlDayCounterYearFraction("actual/365 (fixed)",SettlementDate,R190,,,Trigger)</f>
        <v>0.73698630136986298</v>
      </c>
      <c r="U190" s="47">
        <f>_xll.qlPolynomialFunctionValue($P$18,T190,AllTriggers)</f>
        <v>2.0878838554110814E-3</v>
      </c>
    </row>
    <row r="191" spans="18:21" x14ac:dyDescent="0.2">
      <c r="R191" s="212">
        <f>_xll.qlCalendarAdvance(Calendar,R190,"1D","f")</f>
        <v>42549</v>
      </c>
      <c r="S191" s="47">
        <f>_xll.qlTenorBasisValue($P$3,R191,AllTriggers)</f>
        <v>2.18873076484453E-3</v>
      </c>
      <c r="T191" s="41">
        <f>_xll.qlDayCounterYearFraction("actual/365 (fixed)",SettlementDate,R191,,,Trigger)</f>
        <v>0.73972602739726023</v>
      </c>
      <c r="U191" s="47">
        <f>_xll.qlPolynomialFunctionValue($P$18,T191,AllTriggers)</f>
        <v>2.0890472585920325E-3</v>
      </c>
    </row>
    <row r="192" spans="18:21" x14ac:dyDescent="0.2">
      <c r="R192" s="212">
        <f>_xll.qlCalendarAdvance(Calendar,R191,"1D","f")</f>
        <v>42550</v>
      </c>
      <c r="S192" s="47">
        <f>_xll.qlTenorBasisValue($P$3,R192,AllTriggers)</f>
        <v>2.1897652305781089E-3</v>
      </c>
      <c r="T192" s="41">
        <f>_xll.qlDayCounterYearFraction("actual/365 (fixed)",SettlementDate,R192,,,Trigger)</f>
        <v>0.74246575342465748</v>
      </c>
      <c r="U192" s="47">
        <f>_xll.qlPolynomialFunctionValue($P$18,T192,AllTriggers)</f>
        <v>2.0902083785908311E-3</v>
      </c>
    </row>
    <row r="193" spans="18:21" x14ac:dyDescent="0.2">
      <c r="R193" s="212">
        <f>_xll.qlCalendarAdvance(Calendar,R192,"1D","f")</f>
        <v>42551</v>
      </c>
      <c r="S193" s="47">
        <f>_xll.qlTenorBasisValue($P$3,R193,AllTriggers)</f>
        <v>2.190798815884631E-3</v>
      </c>
      <c r="T193" s="41">
        <f>_xll.qlDayCounterYearFraction("actual/365 (fixed)",SettlementDate,R193,,,Trigger)</f>
        <v>0.74520547945205484</v>
      </c>
      <c r="U193" s="47">
        <f>_xll.qlPolynomialFunctionValue($P$18,T193,AllTriggers)</f>
        <v>2.0913672302068568E-3</v>
      </c>
    </row>
    <row r="194" spans="18:21" x14ac:dyDescent="0.2">
      <c r="R194" s="212">
        <f>_xll.qlCalendarAdvance(Calendar,R193,"1D","f")</f>
        <v>42552</v>
      </c>
      <c r="S194" s="47">
        <f>_xll.qlTenorBasisValue($P$3,R194,AllTriggers)</f>
        <v>2.1918315355634768E-3</v>
      </c>
      <c r="T194" s="41">
        <f>_xll.qlDayCounterYearFraction("actual/365 (fixed)",SettlementDate,R194,,,Trigger)</f>
        <v>0.74794520547945209</v>
      </c>
      <c r="U194" s="47">
        <f>_xll.qlPolynomialFunctionValue($P$18,T194,AllTriggers)</f>
        <v>2.0925238282394894E-3</v>
      </c>
    </row>
    <row r="195" spans="18:21" x14ac:dyDescent="0.2">
      <c r="R195" s="212">
        <f>_xll.qlCalendarAdvance(Calendar,R194,"1D","f")</f>
        <v>42555</v>
      </c>
      <c r="S195" s="47">
        <f>_xll.qlTenorBasisValue($P$3,R195,AllTriggers)</f>
        <v>2.1949246488277511E-3</v>
      </c>
      <c r="T195" s="41">
        <f>_xll.qlDayCounterYearFraction("actual/365 (fixed)",SettlementDate,R195,,,Trigger)</f>
        <v>0.75616438356164384</v>
      </c>
      <c r="U195" s="47">
        <f>_xll.qlPolynomialFunctionValue($P$18,T195,AllTriggers)</f>
        <v>2.0959802488308252E-3</v>
      </c>
    </row>
    <row r="196" spans="18:21" x14ac:dyDescent="0.2">
      <c r="R196" s="212">
        <f>_xll.qlCalendarAdvance(Calendar,R195,"1D","f")</f>
        <v>42556</v>
      </c>
      <c r="S196" s="47">
        <f>_xll.qlTenorBasisValue($P$3,R196,AllTriggers)</f>
        <v>2.1959540539896877E-3</v>
      </c>
      <c r="T196" s="41">
        <f>_xll.qlDayCounterYearFraction("actual/365 (fixed)",SettlementDate,R196,,,Trigger)</f>
        <v>0.75890410958904109</v>
      </c>
      <c r="U196" s="47">
        <f>_xll.qlPolynomialFunctionValue($P$18,T196,AllTriggers)</f>
        <v>2.0971279805236825E-3</v>
      </c>
    </row>
    <row r="197" spans="18:21" x14ac:dyDescent="0.2">
      <c r="R197" s="212">
        <f>_xll.qlCalendarAdvance(Calendar,R196,"1D","f")</f>
        <v>42557</v>
      </c>
      <c r="S197" s="47">
        <f>_xll.qlTenorBasisValue($P$3,R197,AllTriggers)</f>
        <v>2.196982667520846E-3</v>
      </c>
      <c r="T197" s="41">
        <f>_xll.qlDayCounterYearFraction("actual/365 (fixed)",SettlementDate,R197,,,Trigger)</f>
        <v>0.76164383561643834</v>
      </c>
      <c r="U197" s="47">
        <f>_xll.qlPolynomialFunctionValue($P$18,T197,AllTriggers)</f>
        <v>2.0982735326300454E-3</v>
      </c>
    </row>
    <row r="198" spans="18:21" x14ac:dyDescent="0.2">
      <c r="R198" s="212">
        <f>_xll.qlCalendarAdvance(Calendar,R197,"1D","f")</f>
        <v>42558</v>
      </c>
      <c r="S198" s="47">
        <f>_xll.qlTenorBasisValue($P$3,R198,AllTriggers)</f>
        <v>2.1980105042206056E-3</v>
      </c>
      <c r="T198" s="41">
        <f>_xll.qlDayCounterYearFraction("actual/365 (fixed)",SettlementDate,R198,,,Trigger)</f>
        <v>0.76438356164383559</v>
      </c>
      <c r="U198" s="47">
        <f>_xll.qlPolynomialFunctionValue($P$18,T198,AllTriggers)</f>
        <v>2.0994169199492936E-3</v>
      </c>
    </row>
    <row r="199" spans="18:21" x14ac:dyDescent="0.2">
      <c r="R199" s="212">
        <f>_xll.qlCalendarAdvance(Calendar,R198,"1D","f")</f>
        <v>42559</v>
      </c>
      <c r="S199" s="47">
        <f>_xll.qlTenorBasisValue($P$3,R199,AllTriggers)</f>
        <v>2.199037578888347E-3</v>
      </c>
      <c r="T199" s="41">
        <f>_xll.qlDayCounterYearFraction("actual/365 (fixed)",SettlementDate,R199,,,Trigger)</f>
        <v>0.76712328767123283</v>
      </c>
      <c r="U199" s="47">
        <f>_xll.qlPolynomialFunctionValue($P$18,T199,AllTriggers)</f>
        <v>2.1005581572808066E-3</v>
      </c>
    </row>
    <row r="200" spans="18:21" x14ac:dyDescent="0.2">
      <c r="R200" s="212">
        <f>_xll.qlCalendarAdvance(Calendar,R199,"1D","f")</f>
        <v>42562</v>
      </c>
      <c r="S200" s="47">
        <f>_xll.qlTenorBasisValue($P$3,R200,AllTriggers)</f>
        <v>2.2021143786932562E-3</v>
      </c>
      <c r="T200" s="41">
        <f>_xll.qlDayCounterYearFraction("actual/365 (fixed)",SettlementDate,R200,,,Trigger)</f>
        <v>0.77534246575342469</v>
      </c>
      <c r="U200" s="47">
        <f>_xll.qlPolynomialFunctionValue($P$18,T200,AllTriggers)</f>
        <v>2.1039691173427326E-3</v>
      </c>
    </row>
    <row r="201" spans="18:21" x14ac:dyDescent="0.2">
      <c r="R201" s="212">
        <f>_xll.qlCalendarAdvance(Calendar,R200,"1D","f")</f>
        <v>42563</v>
      </c>
      <c r="S201" s="47">
        <f>_xll.qlTenorBasisValue($P$3,R201,AllTriggers)</f>
        <v>2.2031385532267204E-3</v>
      </c>
      <c r="T201" s="41">
        <f>_xll.qlDayCounterYearFraction("actual/365 (fixed)",SettlementDate,R201,,,Trigger)</f>
        <v>0.77808219178082194</v>
      </c>
      <c r="U201" s="47">
        <f>_xll.qlPolynomialFunctionValue($P$18,T201,AllTriggers)</f>
        <v>2.1051019027171032E-3</v>
      </c>
    </row>
    <row r="202" spans="18:21" x14ac:dyDescent="0.2">
      <c r="R202" s="212">
        <f>_xll.qlCalendarAdvance(Calendar,R201,"1D","f")</f>
        <v>42564</v>
      </c>
      <c r="S202" s="47">
        <f>_xll.qlTenorBasisValue($P$3,R202,AllTriggers)</f>
        <v>2.2041620397250648E-3</v>
      </c>
      <c r="T202" s="41">
        <f>_xll.qlDayCounterYearFraction("actual/365 (fixed)",SettlementDate,R202,,,Trigger)</f>
        <v>0.78082191780821919</v>
      </c>
      <c r="U202" s="47">
        <f>_xll.qlPolynomialFunctionValue($P$18,T202,AllTriggers)</f>
        <v>2.1062326121006367E-3</v>
      </c>
    </row>
    <row r="203" spans="18:21" x14ac:dyDescent="0.2">
      <c r="R203" s="212">
        <f>_xll.qlCalendarAdvance(Calendar,R202,"1D","f")</f>
        <v>42565</v>
      </c>
      <c r="S203" s="47">
        <f>_xll.qlTenorBasisValue($P$3,R203,AllTriggers)</f>
        <v>2.2051848529876686E-3</v>
      </c>
      <c r="T203" s="41">
        <f>_xll.qlDayCounterYearFraction("actual/365 (fixed)",SettlementDate,R203,,,Trigger)</f>
        <v>0.78356164383561644</v>
      </c>
      <c r="U203" s="47">
        <f>_xll.qlPolynomialFunctionValue($P$18,T203,AllTriggers)</f>
        <v>2.1073612602927139E-3</v>
      </c>
    </row>
    <row r="204" spans="18:21" x14ac:dyDescent="0.2">
      <c r="R204" s="212">
        <f>_xll.qlCalendarAdvance(Calendar,R203,"1D","f")</f>
        <v>42566</v>
      </c>
      <c r="S204" s="47">
        <f>_xll.qlTenorBasisValue($P$3,R204,AllTriggers)</f>
        <v>2.2062070078139122E-3</v>
      </c>
      <c r="T204" s="41">
        <f>_xll.qlDayCounterYearFraction("actual/365 (fixed)",SettlementDate,R204,,,Trigger)</f>
        <v>0.78630136986301369</v>
      </c>
      <c r="U204" s="47">
        <f>_xll.qlPolynomialFunctionValue($P$18,T204,AllTriggers)</f>
        <v>2.1084878620927137E-3</v>
      </c>
    </row>
    <row r="205" spans="18:21" x14ac:dyDescent="0.2">
      <c r="R205" s="212">
        <f>_xll.qlCalendarAdvance(Calendar,R204,"1D","f")</f>
        <v>42569</v>
      </c>
      <c r="S205" s="47">
        <f>_xll.qlTenorBasisValue($P$3,R205,AllTriggers)</f>
        <v>2.2092696696682764E-3</v>
      </c>
      <c r="T205" s="41">
        <f>_xll.qlDayCounterYearFraction("actual/365 (fixed)",SettlementDate,R205,,,Trigger)</f>
        <v>0.79452054794520544</v>
      </c>
      <c r="U205" s="47">
        <f>_xll.qlPolynomialFunctionValue($P$18,T205,AllTriggers)</f>
        <v>2.1118555371340496E-3</v>
      </c>
    </row>
    <row r="206" spans="18:21" x14ac:dyDescent="0.2">
      <c r="R206" s="212">
        <f>_xll.qlCalendarAdvance(Calendar,R205,"1D","f")</f>
        <v>42570</v>
      </c>
      <c r="S206" s="47">
        <f>_xll.qlTenorBasisValue($P$3,R206,AllTriggers)</f>
        <v>2.2102893387428743E-3</v>
      </c>
      <c r="T206" s="41">
        <f>_xll.qlDayCounterYearFraction("actual/365 (fixed)",SettlementDate,R206,,,Trigger)</f>
        <v>0.79726027397260268</v>
      </c>
      <c r="U206" s="47">
        <f>_xll.qlPolynomialFunctionValue($P$18,T206,AllTriggers)</f>
        <v>2.1129741013595394E-3</v>
      </c>
    </row>
    <row r="207" spans="18:21" x14ac:dyDescent="0.2">
      <c r="R207" s="212">
        <f>_xll.qlCalendarAdvance(Calendar,R206,"1D","f")</f>
        <v>42571</v>
      </c>
      <c r="S207" s="47">
        <f>_xll.qlTenorBasisValue($P$3,R207,AllTriggers)</f>
        <v>2.211308423378011E-3</v>
      </c>
      <c r="T207" s="41">
        <f>_xll.qlDayCounterYearFraction("actual/365 (fixed)",SettlementDate,R207,,,Trigger)</f>
        <v>0.8</v>
      </c>
      <c r="U207" s="47">
        <f>_xll.qlPolynomialFunctionValue($P$18,T207,AllTriggers)</f>
        <v>2.1140906931898505E-3</v>
      </c>
    </row>
    <row r="208" spans="18:21" x14ac:dyDescent="0.2">
      <c r="R208" s="212">
        <f>_xll.qlCalendarAdvance(Calendar,R207,"1D","f")</f>
        <v>42572</v>
      </c>
      <c r="S208" s="47">
        <f>_xll.qlTenorBasisValue($P$3,R208,AllTriggers)</f>
        <v>2.2123269383730652E-3</v>
      </c>
      <c r="T208" s="41">
        <f>_xll.qlDayCounterYearFraction("actual/365 (fixed)",SettlementDate,R208,,,Trigger)</f>
        <v>0.80273972602739729</v>
      </c>
      <c r="U208" s="47">
        <f>_xll.qlPolynomialFunctionValue($P$18,T208,AllTriggers)</f>
        <v>2.1152053274243626E-3</v>
      </c>
    </row>
    <row r="209" spans="18:21" x14ac:dyDescent="0.2">
      <c r="R209" s="212">
        <f>_xll.qlCalendarAdvance(Calendar,R208,"1D","f")</f>
        <v>42573</v>
      </c>
      <c r="S209" s="47">
        <f>_xll.qlTenorBasisValue($P$3,R209,AllTriggers)</f>
        <v>2.2133448985274169E-3</v>
      </c>
      <c r="T209" s="41">
        <f>_xll.qlDayCounterYearFraction("actual/365 (fixed)",SettlementDate,R209,,,Trigger)</f>
        <v>0.80547945205479454</v>
      </c>
      <c r="U209" s="47">
        <f>_xll.qlPolynomialFunctionValue($P$18,T209,AllTriggers)</f>
        <v>2.1163180188624561E-3</v>
      </c>
    </row>
    <row r="210" spans="18:21" x14ac:dyDescent="0.2">
      <c r="R210" s="212">
        <f>_xll.qlCalendarAdvance(Calendar,R209,"1D","f")</f>
        <v>42576</v>
      </c>
      <c r="S210" s="47">
        <f>_xll.qlTenorBasisValue($P$3,R210,AllTriggers)</f>
        <v>2.216395597940055E-3</v>
      </c>
      <c r="T210" s="41">
        <f>_xll.qlDayCounterYearFraction("actual/365 (fixed)",SettlementDate,R210,,,Trigger)</f>
        <v>0.81369863013698629</v>
      </c>
      <c r="U210" s="47">
        <f>_xll.qlPolynomialFunctionValue($P$18,T210,AllTriggers)</f>
        <v>2.1196445843920213E-3</v>
      </c>
    </row>
    <row r="211" spans="18:21" x14ac:dyDescent="0.2">
      <c r="R211" s="212">
        <f>_xll.qlCalendarAdvance(Calendar,R210,"1D","f")</f>
        <v>42577</v>
      </c>
      <c r="S211" s="47">
        <f>_xll.qlTenorBasisValue($P$3,R211,AllTriggers)</f>
        <v>2.2174114867253938E-3</v>
      </c>
      <c r="T211" s="41">
        <f>_xll.qlDayCounterYearFraction("actual/365 (fixed)",SettlementDate,R211,,,Trigger)</f>
        <v>0.81643835616438354</v>
      </c>
      <c r="U211" s="47">
        <f>_xll.qlPolynomialFunctionValue($P$18,T211,AllTriggers)</f>
        <v>2.1207496526382359E-3</v>
      </c>
    </row>
    <row r="212" spans="18:21" x14ac:dyDescent="0.2">
      <c r="R212" s="212">
        <f>_xll.qlCalendarAdvance(Calendar,R211,"1D","f")</f>
        <v>42578</v>
      </c>
      <c r="S212" s="47">
        <f>_xll.qlTenorBasisValue($P$3,R212,AllTriggers)</f>
        <v>2.218426894666929E-3</v>
      </c>
      <c r="T212" s="41">
        <f>_xll.qlDayCounterYearFraction("actual/365 (fixed)",SettlementDate,R212,,,Trigger)</f>
        <v>0.81917808219178079</v>
      </c>
      <c r="U212" s="47">
        <f>_xll.qlPolynomialFunctionValue($P$18,T212,AllTriggers)</f>
        <v>2.1218528520849309E-3</v>
      </c>
    </row>
    <row r="213" spans="18:21" x14ac:dyDescent="0.2">
      <c r="R213" s="212">
        <f>_xll.qlCalendarAdvance(Calendar,R212,"1D","f")</f>
        <v>42579</v>
      </c>
      <c r="S213" s="47">
        <f>_xll.qlTenorBasisValue($P$3,R213,AllTriggers)</f>
        <v>2.2194418365640398E-3</v>
      </c>
      <c r="T213" s="41">
        <f>_xll.qlDayCounterYearFraction("actual/365 (fixed)",SettlementDate,R213,,,Trigger)</f>
        <v>0.82191780821917804</v>
      </c>
      <c r="U213" s="47">
        <f>_xll.qlPolynomialFunctionValue($P$18,T213,AllTriggers)</f>
        <v>2.1229541975314849E-3</v>
      </c>
    </row>
    <row r="214" spans="18:21" x14ac:dyDescent="0.2">
      <c r="R214" s="212">
        <f>_xll.qlCalendarAdvance(Calendar,R213,"1D","f")</f>
        <v>42580</v>
      </c>
      <c r="S214" s="47">
        <f>_xll.qlTenorBasisValue($P$3,R214,AllTriggers)</f>
        <v>2.2204563272161071E-3</v>
      </c>
      <c r="T214" s="41">
        <f>_xll.qlDayCounterYearFraction("actual/365 (fixed)",SettlementDate,R214,,,Trigger)</f>
        <v>0.8246575342465754</v>
      </c>
      <c r="U214" s="47">
        <f>_xll.qlPolynomialFunctionValue($P$18,T214,AllTriggers)</f>
        <v>2.124053703777279E-3</v>
      </c>
    </row>
    <row r="215" spans="18:21" x14ac:dyDescent="0.2">
      <c r="R215" s="212">
        <f>_xll.qlCalendarAdvance(Calendar,R214,"1D","f")</f>
        <v>42583</v>
      </c>
      <c r="S215" s="47">
        <f>_xll.qlTenorBasisValue($P$3,R215,AllTriggers)</f>
        <v>2.2234972396958379E-3</v>
      </c>
      <c r="T215" s="41">
        <f>_xll.qlDayCounterYearFraction("actual/365 (fixed)",SettlementDate,R215,,,Trigger)</f>
        <v>0.83287671232876714</v>
      </c>
      <c r="U215" s="47">
        <f>_xll.qlPolynomialFunctionValue($P$18,T215,AllTriggers)</f>
        <v>2.1273413353038919E-3</v>
      </c>
    </row>
    <row r="216" spans="18:21" x14ac:dyDescent="0.2">
      <c r="R216" s="212">
        <f>_xll.qlCalendarAdvance(Calendar,R215,"1D","f")</f>
        <v>42584</v>
      </c>
      <c r="S216" s="47">
        <f>_xll.qlTenorBasisValue($P$3,R216,AllTriggers)</f>
        <v>2.2245100733615242E-3</v>
      </c>
      <c r="T216" s="41">
        <f>_xll.qlDayCounterYearFraction("actual/365 (fixed)",SettlementDate,R216,,,Trigger)</f>
        <v>0.83561643835616439</v>
      </c>
      <c r="U216" s="47">
        <f>_xll.qlPolynomialFunctionValue($P$18,T216,AllTriggers)</f>
        <v>2.1284336327404389E-3</v>
      </c>
    </row>
    <row r="217" spans="18:21" x14ac:dyDescent="0.2">
      <c r="R217" s="212">
        <f>_xll.qlCalendarAdvance(Calendar,R216,"1D","f")</f>
        <v>42585</v>
      </c>
      <c r="S217" s="47">
        <f>_xll.qlTenorBasisValue($P$3,R217,AllTriggers)</f>
        <v>2.2255225297790645E-3</v>
      </c>
      <c r="T217" s="41">
        <f>_xll.qlDayCounterYearFraction("actual/365 (fixed)",SettlementDate,R217,,,Trigger)</f>
        <v>0.83835616438356164</v>
      </c>
      <c r="U217" s="47">
        <f>_xll.qlPolynomialFunctionValue($P$18,T217,AllTriggers)</f>
        <v>2.129524164973124E-3</v>
      </c>
    </row>
    <row r="218" spans="18:21" x14ac:dyDescent="0.2">
      <c r="R218" s="212">
        <f>_xll.qlCalendarAdvance(Calendar,R217,"1D","f")</f>
        <v>42586</v>
      </c>
      <c r="S218" s="47">
        <f>_xll.qlTenorBasisValue($P$3,R218,AllTriggers)</f>
        <v>2.226534623747839E-3</v>
      </c>
      <c r="T218" s="41">
        <f>_xll.qlDayCounterYearFraction("actual/365 (fixed)",SettlementDate,R218,,,Trigger)</f>
        <v>0.84109589041095889</v>
      </c>
      <c r="U218" s="47">
        <f>_xll.qlPolynomialFunctionValue($P$18,T218,AllTriggers)</f>
        <v>2.1306129468013271E-3</v>
      </c>
    </row>
    <row r="219" spans="18:21" x14ac:dyDescent="0.2">
      <c r="R219" s="212">
        <f>_xll.qlCalendarAdvance(Calendar,R218,"1D","f")</f>
        <v>42587</v>
      </c>
      <c r="S219" s="47">
        <f>_xll.qlTenorBasisValue($P$3,R219,AllTriggers)</f>
        <v>2.2275463700672272E-3</v>
      </c>
      <c r="T219" s="41">
        <f>_xll.qlDayCounterYearFraction("actual/365 (fixed)",SettlementDate,R219,,,Trigger)</f>
        <v>0.84383561643835614</v>
      </c>
      <c r="U219" s="47">
        <f>_xll.qlPolynomialFunctionValue($P$18,T219,AllTriggers)</f>
        <v>2.1316999930244269E-3</v>
      </c>
    </row>
    <row r="220" spans="18:21" x14ac:dyDescent="0.2">
      <c r="R220" s="212">
        <f>_xll.qlCalendarAdvance(Calendar,R219,"1D","f")</f>
        <v>42590</v>
      </c>
      <c r="S220" s="47">
        <f>_xll.qlTenorBasisValue($P$3,R220,AllTriggers)</f>
        <v>2.2305796711228707E-3</v>
      </c>
      <c r="T220" s="41">
        <f>_xll.qlDayCounterYearFraction("actual/365 (fixed)",SettlementDate,R220,,,Trigger)</f>
        <v>0.852054794520548</v>
      </c>
      <c r="U220" s="47">
        <f>_xll.qlPolynomialFunctionValue($P$18,T220,AllTriggers)</f>
        <v>2.1349508660569072E-3</v>
      </c>
    </row>
    <row r="221" spans="18:21" x14ac:dyDescent="0.2">
      <c r="R221" s="212">
        <f>_xll.qlCalendarAdvance(Calendar,R220,"1D","f")</f>
        <v>42591</v>
      </c>
      <c r="S221" s="47">
        <f>_xll.qlTenorBasisValue($P$3,R221,AllTriggers)</f>
        <v>2.2315901748385103E-3</v>
      </c>
      <c r="T221" s="41">
        <f>_xll.qlDayCounterYearFraction("actual/365 (fixed)",SettlementDate,R221,,,Trigger)</f>
        <v>0.85479452054794525</v>
      </c>
      <c r="U221" s="47">
        <f>_xll.qlPolynomialFunctionValue($P$18,T221,AllTriggers)</f>
        <v>2.1360311178533929E-3</v>
      </c>
    </row>
    <row r="222" spans="18:21" x14ac:dyDescent="0.2">
      <c r="R222" s="212">
        <f>_xll.qlCalendarAdvance(Calendar,R221,"1D","f")</f>
        <v>42592</v>
      </c>
      <c r="S222" s="47">
        <f>_xll.qlTenorBasisValue($P$3,R222,AllTriggers)</f>
        <v>2.2326004049016629E-3</v>
      </c>
      <c r="T222" s="41">
        <f>_xll.qlDayCounterYearFraction("actual/365 (fixed)",SettlementDate,R222,,,Trigger)</f>
        <v>0.8575342465753425</v>
      </c>
      <c r="U222" s="47">
        <f>_xll.qlPolynomialFunctionValue($P$18,T222,AllTriggers)</f>
        <v>2.1371097080416751E-3</v>
      </c>
    </row>
    <row r="223" spans="18:21" x14ac:dyDescent="0.2">
      <c r="R223" s="212">
        <f>_xll.qlCalendarAdvance(Calendar,R222,"1D","f")</f>
        <v>42593</v>
      </c>
      <c r="S223" s="47">
        <f>_xll.qlTenorBasisValue($P$3,R223,AllTriggers)</f>
        <v>2.2336103761117065E-3</v>
      </c>
      <c r="T223" s="41">
        <f>_xll.qlDayCounterYearFraction("actual/365 (fixed)",SettlementDate,R223,,,Trigger)</f>
        <v>0.86027397260273974</v>
      </c>
      <c r="U223" s="47">
        <f>_xll.qlPolynomialFunctionValue($P$18,T223,AllTriggers)</f>
        <v>2.1381866514211321E-3</v>
      </c>
    </row>
    <row r="224" spans="18:21" x14ac:dyDescent="0.2">
      <c r="R224" s="212">
        <f>_xll.qlCalendarAdvance(Calendar,R223,"1D","f")</f>
        <v>42594</v>
      </c>
      <c r="S224" s="47">
        <f>_xll.qlTenorBasisValue($P$3,R224,AllTriggers)</f>
        <v>2.2346201032680227E-3</v>
      </c>
      <c r="T224" s="41">
        <f>_xll.qlDayCounterYearFraction("actual/365 (fixed)",SettlementDate,R224,,,Trigger)</f>
        <v>0.86301369863013699</v>
      </c>
      <c r="U224" s="47">
        <f>_xll.qlPolynomialFunctionValue($P$18,T224,AllTriggers)</f>
        <v>2.1392619627911454E-3</v>
      </c>
    </row>
    <row r="225" spans="18:21" x14ac:dyDescent="0.2">
      <c r="R225" s="212">
        <f>_xll.qlCalendarAdvance(Calendar,R224,"1D","f")</f>
        <v>42597</v>
      </c>
      <c r="S225" s="47">
        <f>_xll.qlTenorBasisValue($P$3,R225,AllTriggers)</f>
        <v>2.2376479684083983E-3</v>
      </c>
      <c r="T225" s="41">
        <f>_xll.qlDayCounterYearFraction("actual/365 (fixed)",SettlementDate,R225,,,Trigger)</f>
        <v>0.87123287671232874</v>
      </c>
      <c r="U225" s="47">
        <f>_xll.qlPolynomialFunctionValue($P$18,T225,AllTriggers)</f>
        <v>2.1424782528383121E-3</v>
      </c>
    </row>
    <row r="226" spans="18:21" x14ac:dyDescent="0.2">
      <c r="R226" s="212">
        <f>_xll.qlCalendarAdvance(Calendar,R225,"1D","f")</f>
        <v>42598</v>
      </c>
      <c r="S226" s="47">
        <f>_xll.qlTenorBasisValue($P$3,R226,AllTriggers)</f>
        <v>2.2386568673435979E-3</v>
      </c>
      <c r="T226" s="41">
        <f>_xll.qlDayCounterYearFraction("actual/365 (fixed)",SettlementDate,R226,,,Trigger)</f>
        <v>0.87397260273972599</v>
      </c>
      <c r="U226" s="47">
        <f>_xll.qlPolynomialFunctionValue($P$18,T226,AllTriggers)</f>
        <v>2.1435471841643435E-3</v>
      </c>
    </row>
    <row r="227" spans="18:21" x14ac:dyDescent="0.2">
      <c r="R227" s="212">
        <f>_xll.qlCalendarAdvance(Calendar,R226,"1D","f")</f>
        <v>42599</v>
      </c>
      <c r="S227" s="47">
        <f>_xll.qlTenorBasisValue($P$3,R227,AllTriggers)</f>
        <v>2.2396655962219681E-3</v>
      </c>
      <c r="T227" s="41">
        <f>_xll.qlDayCounterYearFraction("actual/365 (fixed)",SettlementDate,R227,,,Trigger)</f>
        <v>0.87671232876712324</v>
      </c>
      <c r="U227" s="47">
        <f>_xll.qlPolynomialFunctionValue($P$18,T227,AllTriggers)</f>
        <v>2.1446145574778282E-3</v>
      </c>
    </row>
    <row r="228" spans="18:21" x14ac:dyDescent="0.2">
      <c r="R228" s="212">
        <f>_xll.qlCalendarAdvance(Calendar,R227,"1D","f")</f>
        <v>42600</v>
      </c>
      <c r="S228" s="47">
        <f>_xll.qlTenorBasisValue($P$3,R228,AllTriggers)</f>
        <v>2.2406741698428882E-3</v>
      </c>
      <c r="T228" s="41">
        <f>_xll.qlDayCounterYearFraction("actual/365 (fixed)",SettlementDate,R228,,,Trigger)</f>
        <v>0.8794520547945206</v>
      </c>
      <c r="U228" s="47">
        <f>_xll.qlPolynomialFunctionValue($P$18,T228,AllTriggers)</f>
        <v>2.1456803875781472E-3</v>
      </c>
    </row>
    <row r="229" spans="18:21" x14ac:dyDescent="0.2">
      <c r="R229" s="212">
        <f>_xll.qlCalendarAdvance(Calendar,R228,"1D","f")</f>
        <v>42601</v>
      </c>
      <c r="S229" s="47">
        <f>_xll.qlTenorBasisValue($P$3,R229,AllTriggers)</f>
        <v>2.2416826030057387E-3</v>
      </c>
      <c r="T229" s="41">
        <f>_xll.qlDayCounterYearFraction("actual/365 (fixed)",SettlementDate,R229,,,Trigger)</f>
        <v>0.88219178082191785</v>
      </c>
      <c r="U229" s="47">
        <f>_xll.qlPolynomialFunctionValue($P$18,T229,AllTriggers)</f>
        <v>2.1467446892646791E-3</v>
      </c>
    </row>
    <row r="230" spans="18:21" x14ac:dyDescent="0.2">
      <c r="R230" s="212">
        <f>_xll.qlCalendarAdvance(Calendar,R229,"1D","f")</f>
        <v>42604</v>
      </c>
      <c r="S230" s="47">
        <f>_xll.qlTenorBasisValue($P$3,R230,AllTriggers)</f>
        <v>2.2447072077396652E-3</v>
      </c>
      <c r="T230" s="41">
        <f>_xll.qlDayCounterYearFraction("actual/365 (fixed)",SettlementDate,R230,,,Trigger)</f>
        <v>0.8904109589041096</v>
      </c>
      <c r="U230" s="47">
        <f>_xll.qlPolynomialFunctionValue($P$18,T230,AllTriggers)</f>
        <v>2.1499285718353522E-3</v>
      </c>
    </row>
    <row r="231" spans="18:21" x14ac:dyDescent="0.2">
      <c r="R231" s="212">
        <f>_xll.qlCalendarAdvance(Calendar,R230,"1D","f")</f>
        <v>42605</v>
      </c>
      <c r="S231" s="47">
        <f>_xll.qlTenorBasisValue($P$3,R231,AllTriggers)</f>
        <v>2.2457152270640322E-3</v>
      </c>
      <c r="T231" s="41">
        <f>_xll.qlDayCounterYearFraction("actual/365 (fixed)",SettlementDate,R231,,,Trigger)</f>
        <v>0.89315068493150684</v>
      </c>
      <c r="U231" s="47">
        <f>_xll.qlPolynomialFunctionValue($P$18,T231,AllTriggers)</f>
        <v>2.1509869078605351E-3</v>
      </c>
    </row>
    <row r="232" spans="18:21" x14ac:dyDescent="0.2">
      <c r="R232" s="212">
        <f>_xll.qlCalendarAdvance(Calendar,R231,"1D","f")</f>
        <v>42606</v>
      </c>
      <c r="S232" s="47">
        <f>_xll.qlTenorBasisValue($P$3,R232,AllTriggers)</f>
        <v>2.2467231799272267E-3</v>
      </c>
      <c r="T232" s="41">
        <f>_xll.qlDayCounterYearFraction("actual/365 (fixed)",SettlementDate,R232,,,Trigger)</f>
        <v>0.89589041095890409</v>
      </c>
      <c r="U232" s="47">
        <f>_xll.qlPolynomialFunctionValue($P$18,T232,AllTriggers)</f>
        <v>2.1520437894688295E-3</v>
      </c>
    </row>
    <row r="233" spans="18:21" x14ac:dyDescent="0.2">
      <c r="R233" s="212">
        <f>_xll.qlCalendarAdvance(Calendar,R232,"1D","f")</f>
        <v>42607</v>
      </c>
      <c r="S233" s="47">
        <f>_xll.qlTenorBasisValue($P$3,R233,AllTriggers)</f>
        <v>2.2477310811286301E-3</v>
      </c>
      <c r="T233" s="41">
        <f>_xll.qlDayCounterYearFraction("actual/365 (fixed)",SettlementDate,R233,,,Trigger)</f>
        <v>0.89863013698630134</v>
      </c>
      <c r="U233" s="47">
        <f>_xll.qlPolynomialFunctionValue($P$18,T233,AllTriggers)</f>
        <v>2.1530992314596161E-3</v>
      </c>
    </row>
    <row r="234" spans="18:21" x14ac:dyDescent="0.2">
      <c r="R234" s="212">
        <f>_xll.qlCalendarAdvance(Calendar,R233,"1D","f")</f>
        <v>42608</v>
      </c>
      <c r="S234" s="47">
        <f>_xll.qlTenorBasisValue($P$3,R234,AllTriggers)</f>
        <v>2.248738945467621E-3</v>
      </c>
      <c r="T234" s="41">
        <f>_xll.qlDayCounterYearFraction("actual/365 (fixed)",SettlementDate,R234,,,Trigger)</f>
        <v>0.90136986301369859</v>
      </c>
      <c r="U234" s="47">
        <f>_xll.qlPolynomialFunctionValue($P$18,T234,AllTriggers)</f>
        <v>2.1541532486322739E-3</v>
      </c>
    </row>
    <row r="235" spans="18:21" x14ac:dyDescent="0.2">
      <c r="R235" s="212">
        <f>_xll.qlCalendarAdvance(Calendar,R234,"1D","f")</f>
        <v>42611</v>
      </c>
      <c r="S235" s="47">
        <f>_xll.qlTenorBasisValue($P$3,R235,AllTriggers)</f>
        <v>2.2517624653039174E-3</v>
      </c>
      <c r="T235" s="41">
        <f>_xll.qlDayCounterYearFraction("actual/365 (fixed)",SettlementDate,R235,,,Trigger)</f>
        <v>0.90958904109589045</v>
      </c>
      <c r="U235" s="47">
        <f>_xll.qlPolynomialFunctionValue($P$18,T235,AllTriggers)</f>
        <v>2.1573068992352725E-3</v>
      </c>
    </row>
    <row r="236" spans="18:21" x14ac:dyDescent="0.2">
      <c r="R236" s="212">
        <f>_xll.qlCalendarAdvance(Calendar,R235,"1D","f")</f>
        <v>42612</v>
      </c>
      <c r="S236" s="47">
        <f>_xll.qlTenorBasisValue($P$3,R236,AllTriggers)</f>
        <v>2.2527703301870572E-3</v>
      </c>
      <c r="T236" s="41">
        <f>_xll.qlDayCounterYearFraction("actual/365 (fixed)",SettlementDate,R236,,,Trigger)</f>
        <v>0.9123287671232877</v>
      </c>
      <c r="U236" s="47">
        <f>_xll.qlPolynomialFunctionValue($P$18,T236,AllTriggers)</f>
        <v>2.1583553651292136E-3</v>
      </c>
    </row>
    <row r="237" spans="18:21" x14ac:dyDescent="0.2">
      <c r="R237" s="212">
        <f>_xll.qlCalendarAdvance(Calendar,R236,"1D","f")</f>
        <v>42613</v>
      </c>
      <c r="S237" s="47">
        <f>_xll.qlTenorBasisValue($P$3,R237,AllTriggers)</f>
        <v>2.2537782322046831E-3</v>
      </c>
      <c r="T237" s="41">
        <f>_xll.qlDayCounterYearFraction("actual/365 (fixed)",SettlementDate,R237,,,Trigger)</f>
        <v>0.91506849315068495</v>
      </c>
      <c r="U237" s="47">
        <f>_xll.qlPolynomialFunctionValue($P$18,T237,AllTriggers)</f>
        <v>2.1594024802019242E-3</v>
      </c>
    </row>
    <row r="238" spans="18:21" x14ac:dyDescent="0.2">
      <c r="R238" s="212">
        <f>_xll.qlCalendarAdvance(Calendar,R237,"1D","f")</f>
        <v>42614</v>
      </c>
      <c r="S238" s="47">
        <f>_xll.qlTenorBasisValue($P$3,R238,AllTriggers)</f>
        <v>2.2547861861561755E-3</v>
      </c>
      <c r="T238" s="41">
        <f>_xll.qlDayCounterYearFraction("actual/365 (fixed)",SettlementDate,R238,,,Trigger)</f>
        <v>0.9178082191780822</v>
      </c>
      <c r="U238" s="47">
        <f>_xll.qlPolynomialFunctionValue($P$18,T238,AllTriggers)</f>
        <v>2.1604482592527843E-3</v>
      </c>
    </row>
    <row r="239" spans="18:21" x14ac:dyDescent="0.2">
      <c r="R239" s="212">
        <f>_xll.qlCalendarAdvance(Calendar,R238,"1D","f")</f>
        <v>42615</v>
      </c>
      <c r="S239" s="47">
        <f>_xll.qlTenorBasisValue($P$3,R239,AllTriggers)</f>
        <v>2.2557942068409135E-3</v>
      </c>
      <c r="T239" s="41">
        <f>_xll.qlDayCounterYearFraction("actual/365 (fixed)",SettlementDate,R239,,,Trigger)</f>
        <v>0.92054794520547945</v>
      </c>
      <c r="U239" s="47">
        <f>_xll.qlPolynomialFunctionValue($P$18,T239,AllTriggers)</f>
        <v>2.1614927170811745E-3</v>
      </c>
    </row>
    <row r="240" spans="18:21" x14ac:dyDescent="0.2">
      <c r="R240" s="212">
        <f>_xll.qlCalendarAdvance(Calendar,R239,"1D","f")</f>
        <v>42618</v>
      </c>
      <c r="S240" s="47">
        <f>_xll.qlTenorBasisValue($P$3,R240,AllTriggers)</f>
        <v>2.2588188172884003E-3</v>
      </c>
      <c r="T240" s="41">
        <f>_xll.qlDayCounterYearFraction("actual/365 (fixed)",SettlementDate,R240,,,Trigger)</f>
        <v>0.92876712328767119</v>
      </c>
      <c r="U240" s="47">
        <f>_xll.qlPolynomialFunctionValue($P$18,T240,AllTriggers)</f>
        <v>2.1646183112253182E-3</v>
      </c>
    </row>
    <row r="241" spans="18:21" x14ac:dyDescent="0.2">
      <c r="R241" s="212">
        <f>_xll.qlCalendarAdvance(Calendar,R240,"1D","f")</f>
        <v>42619</v>
      </c>
      <c r="S241" s="47">
        <f>_xll.qlTenorBasisValue($P$3,R241,AllTriggers)</f>
        <v>2.2598272528999187E-3</v>
      </c>
      <c r="T241" s="41">
        <f>_xll.qlDayCounterYearFraction("actual/365 (fixed)",SettlementDate,R241,,,Trigger)</f>
        <v>0.93150684931506844</v>
      </c>
      <c r="U241" s="47">
        <f>_xll.qlPolynomialFunctionValue($P$18,T241,AllTriggers)</f>
        <v>2.1656576321576236E-3</v>
      </c>
    </row>
    <row r="242" spans="18:21" x14ac:dyDescent="0.2">
      <c r="R242" s="212">
        <f>_xll.qlCalendarAdvance(Calendar,R241,"1D","f")</f>
        <v>42620</v>
      </c>
      <c r="S242" s="47">
        <f>_xll.qlTenorBasisValue($P$3,R242,AllTriggers)</f>
        <v>2.2608358292415822E-3</v>
      </c>
      <c r="T242" s="41">
        <f>_xll.qlDayCounterYearFraction("actual/365 (fixed)",SettlementDate,R242,,,Trigger)</f>
        <v>0.9342465753424658</v>
      </c>
      <c r="U242" s="47">
        <f>_xll.qlPolynomialFunctionValue($P$18,T242,AllTriggers)</f>
        <v>2.1666957058643563E-3</v>
      </c>
    </row>
    <row r="243" spans="18:21" x14ac:dyDescent="0.2">
      <c r="R243" s="212">
        <f>_xll.qlCalendarAdvance(Calendar,R242,"1D","f")</f>
        <v>42621</v>
      </c>
      <c r="S243" s="47">
        <f>_xll.qlTenorBasisValue($P$3,R243,AllTriggers)</f>
        <v>2.2618445611127702E-3</v>
      </c>
      <c r="T243" s="41">
        <f>_xll.qlDayCounterYearFraction("actual/365 (fixed)",SettlementDate,R243,,,Trigger)</f>
        <v>0.93698630136986305</v>
      </c>
      <c r="U243" s="47">
        <f>_xll.qlPolynomialFunctionValue($P$18,T243,AllTriggers)</f>
        <v>2.1677325471448974E-3</v>
      </c>
    </row>
    <row r="244" spans="18:21" x14ac:dyDescent="0.2">
      <c r="R244" s="212">
        <f>_xll.qlCalendarAdvance(Calendar,R243,"1D","f")</f>
        <v>42622</v>
      </c>
      <c r="S244" s="47">
        <f>_xll.qlTenorBasisValue($P$3,R244,AllTriggers)</f>
        <v>2.262853463312862E-3</v>
      </c>
      <c r="T244" s="41">
        <f>_xll.qlDayCounterYearFraction("actual/365 (fixed)",SettlementDate,R244,,,Trigger)</f>
        <v>0.9397260273972603</v>
      </c>
      <c r="U244" s="47">
        <f>_xll.qlPolynomialFunctionValue($P$18,T244,AllTriggers)</f>
        <v>2.1687681707986263E-3</v>
      </c>
    </row>
    <row r="245" spans="18:21" x14ac:dyDescent="0.2">
      <c r="R245" s="212">
        <f>_xll.qlCalendarAdvance(Calendar,R244,"1D","f")</f>
        <v>42625</v>
      </c>
      <c r="S245" s="47">
        <f>_xll.qlTenorBasisValue($P$3,R245,AllTriggers)</f>
        <v>2.2658813398803578E-3</v>
      </c>
      <c r="T245" s="41">
        <f>_xll.qlDayCounterYearFraction("actual/365 (fixed)",SettlementDate,R245,,,Trigger)</f>
        <v>0.94794520547945205</v>
      </c>
      <c r="U245" s="47">
        <f>_xll.qlPolynomialFunctionValue($P$18,T245,AllTriggers)</f>
        <v>2.1718678839927341E-3</v>
      </c>
    </row>
    <row r="246" spans="18:21" x14ac:dyDescent="0.2">
      <c r="R246" s="212">
        <f>_xll.qlCalendarAdvance(Calendar,R245,"1D","f")</f>
        <v>42626</v>
      </c>
      <c r="S246" s="47">
        <f>_xll.qlTenorBasisValue($P$3,R246,AllTriggers)</f>
        <v>2.2668910713898628E-3</v>
      </c>
      <c r="T246" s="41">
        <f>_xll.qlDayCounterYearFraction("actual/365 (fixed)",SettlementDate,R246,,,Trigger)</f>
        <v>0.9506849315068493</v>
      </c>
      <c r="U246" s="47">
        <f>_xll.qlPolynomialFunctionValue($P$18,T246,AllTriggers)</f>
        <v>2.1728987851330102E-3</v>
      </c>
    </row>
    <row r="247" spans="18:21" x14ac:dyDescent="0.2">
      <c r="R247" s="212">
        <f>_xll.qlCalendarAdvance(Calendar,R246,"1D","f")</f>
        <v>42627</v>
      </c>
      <c r="S247" s="47">
        <f>_xll.qlTenorBasisValue($P$3,R247,AllTriggers)</f>
        <v>2.2679010472251705E-3</v>
      </c>
      <c r="T247" s="41">
        <f>_xll.qlDayCounterYearFraction("actual/365 (fixed)",SettlementDate,R247,,,Trigger)</f>
        <v>0.95342465753424654</v>
      </c>
      <c r="U247" s="47">
        <f>_xll.qlPolynomialFunctionValue($P$18,T247,AllTriggers)</f>
        <v>2.1739285426433724E-3</v>
      </c>
    </row>
    <row r="248" spans="18:21" x14ac:dyDescent="0.2">
      <c r="R248" s="212">
        <f>_xll.qlCalendarAdvance(Calendar,R247,"1D","f")</f>
        <v>42628</v>
      </c>
      <c r="S248" s="47">
        <f>_xll.qlTenorBasisValue($P$3,R248,AllTriggers)</f>
        <v>2.26891128218566E-3</v>
      </c>
      <c r="T248" s="41">
        <f>_xll.qlDayCounterYearFraction("actual/365 (fixed)",SettlementDate,R248,,,Trigger)</f>
        <v>0.95616438356164379</v>
      </c>
      <c r="U248" s="47">
        <f>_xll.qlPolynomialFunctionValue($P$18,T248,AllTriggers)</f>
        <v>2.1749571713231999E-3</v>
      </c>
    </row>
    <row r="249" spans="18:21" x14ac:dyDescent="0.2">
      <c r="R249" s="212">
        <f>_xll.qlCalendarAdvance(Calendar,R248,"1D","f")</f>
        <v>42629</v>
      </c>
      <c r="S249" s="47">
        <f>_xll.qlTenorBasisValue($P$3,R249,AllTriggers)</f>
        <v>2.2699217910707118E-3</v>
      </c>
      <c r="T249" s="41">
        <f>_xll.qlDayCounterYearFraction("actual/365 (fixed)",SettlementDate,R249,,,Trigger)</f>
        <v>0.95890410958904104</v>
      </c>
      <c r="U249" s="47">
        <f>_xll.qlPolynomialFunctionValue($P$18,T249,AllTriggers)</f>
        <v>2.1759846859718737E-3</v>
      </c>
    </row>
    <row r="250" spans="18:21" x14ac:dyDescent="0.2">
      <c r="R250" s="212">
        <f>_xll.qlCalendarAdvance(Calendar,R249,"1D","f")</f>
        <v>42632</v>
      </c>
      <c r="S250" s="47">
        <f>_xll.qlTenorBasisValue($P$3,R250,AllTriggers)</f>
        <v>2.2729551092670365E-3</v>
      </c>
      <c r="T250" s="41">
        <f>_xll.qlDayCounterYearFraction("actual/365 (fixed)",SettlementDate,R250,,,Trigger)</f>
        <v>0.9671232876712329</v>
      </c>
      <c r="U250" s="47">
        <f>_xll.qlPolynomialFunctionValue($P$18,T250,AllTriggers)</f>
        <v>2.1790606937247656E-3</v>
      </c>
    </row>
    <row r="251" spans="18:21" x14ac:dyDescent="0.2">
      <c r="R251" s="212">
        <f>_xll.qlCalendarAdvance(Calendar,R250,"1D","f")</f>
        <v>42633</v>
      </c>
      <c r="S251" s="47">
        <f>_xll.qlTenorBasisValue($P$3,R251,AllTriggers)</f>
        <v>2.2739668618441335E-3</v>
      </c>
      <c r="T251" s="41">
        <f>_xll.qlDayCounterYearFraction("actual/365 (fixed)",SettlementDate,R251,,,Trigger)</f>
        <v>0.96986301369863015</v>
      </c>
      <c r="U251" s="47">
        <f>_xll.qlPolynomialFunctionValue($P$18,T251,AllTriggers)</f>
        <v>2.1800839002426185E-3</v>
      </c>
    </row>
    <row r="252" spans="18:21" x14ac:dyDescent="0.2">
      <c r="R252" s="212">
        <f>_xll.qlCalendarAdvance(Calendar,R251,"1D","f")</f>
        <v>42634</v>
      </c>
      <c r="S252" s="47">
        <f>_xll.qlTenorBasisValue($P$3,R252,AllTriggers)</f>
        <v>2.2749789623426912E-3</v>
      </c>
      <c r="T252" s="41">
        <f>_xll.qlDayCounterYearFraction("actual/365 (fixed)",SettlementDate,R252,,,Trigger)</f>
        <v>0.9726027397260274</v>
      </c>
      <c r="U252" s="47">
        <f>_xll.qlPolynomialFunctionValue($P$18,T252,AllTriggers)</f>
        <v>2.1811060667262161E-3</v>
      </c>
    </row>
    <row r="253" spans="18:21" x14ac:dyDescent="0.2">
      <c r="R253" s="212">
        <f>_xll.qlCalendarAdvance(Calendar,R252,"1D","f")</f>
        <v>42635</v>
      </c>
      <c r="S253" s="47">
        <f>_xll.qlTenorBasisValue($P$3,R253,AllTriggers)</f>
        <v>2.2759914255620897E-3</v>
      </c>
      <c r="T253" s="41">
        <f>_xll.qlDayCounterYearFraction("actual/365 (fixed)",SettlementDate,R253,,,Trigger)</f>
        <v>0.97534246575342465</v>
      </c>
      <c r="U253" s="47">
        <f>_xll.qlPolynomialFunctionValue($P$18,T253,AllTriggers)</f>
        <v>2.1821272079749379E-3</v>
      </c>
    </row>
    <row r="254" spans="18:21" x14ac:dyDescent="0.2">
      <c r="R254" s="212">
        <f>_xll.qlCalendarAdvance(Calendar,R253,"1D","f")</f>
        <v>42636</v>
      </c>
      <c r="S254" s="47">
        <f>_xll.qlTenorBasisValue($P$3,R254,AllTriggers)</f>
        <v>2.2770042663017077E-3</v>
      </c>
      <c r="T254" s="41">
        <f>_xll.qlDayCounterYearFraction("actual/365 (fixed)",SettlementDate,R254,,,Trigger)</f>
        <v>0.9780821917808219</v>
      </c>
      <c r="U254" s="47">
        <f>_xll.qlPolynomialFunctionValue($P$18,T254,AllTriggers)</f>
        <v>2.1831473387881632E-3</v>
      </c>
    </row>
    <row r="255" spans="18:21" x14ac:dyDescent="0.2">
      <c r="R255" s="212">
        <f>_xll.qlCalendarAdvance(Calendar,R254,"1D","f")</f>
        <v>42639</v>
      </c>
      <c r="S255" s="47">
        <f>_xll.qlTenorBasisValue($P$3,R255,AllTriggers)</f>
        <v>2.28004520163568E-3</v>
      </c>
      <c r="T255" s="41">
        <f>_xll.qlDayCounterYearFraction("actual/365 (fixed)",SettlementDate,R255,,,Trigger)</f>
        <v>0.98630136986301364</v>
      </c>
      <c r="U255" s="47">
        <f>_xll.qlPolynomialFunctionValue($P$18,T255,AllTriggers)</f>
        <v>2.1862018166086575E-3</v>
      </c>
    </row>
    <row r="256" spans="18:21" x14ac:dyDescent="0.2">
      <c r="R256" s="212">
        <f>_xll.qlCalendarAdvance(Calendar,R255,"1D","f")</f>
        <v>42640</v>
      </c>
      <c r="S256" s="47">
        <f>_xll.qlTenorBasisValue($P$3,R256,AllTriggers)</f>
        <v>2.281059700449976E-3</v>
      </c>
      <c r="T256" s="41">
        <f>_xll.qlDayCounterYearFraction("actual/365 (fixed)",SettlementDate,R256,,,Trigger)</f>
        <v>0.989041095890411</v>
      </c>
      <c r="U256" s="47">
        <f>_xll.qlPolynomialFunctionValue($P$18,T256,AllTriggers)</f>
        <v>2.1872180536736947E-3</v>
      </c>
    </row>
    <row r="257" spans="18:21" x14ac:dyDescent="0.2">
      <c r="R257" s="212">
        <f>_xll.qlCalendarAdvance(Calendar,R256,"1D","f")</f>
        <v>42641</v>
      </c>
      <c r="S257" s="47">
        <f>_xll.qlTenorBasisValue($P$3,R257,AllTriggers)</f>
        <v>2.2820746507813908E-3</v>
      </c>
      <c r="T257" s="41">
        <f>_xll.qlDayCounterYearFraction("actual/365 (fixed)",SettlementDate,R257,,,Trigger)</f>
        <v>0.99178082191780825</v>
      </c>
      <c r="U257" s="47">
        <f>_xll.qlPolynomialFunctionValue($P$18,T257,AllTriggers)</f>
        <v>2.1882333543001343E-3</v>
      </c>
    </row>
    <row r="258" spans="18:21" x14ac:dyDescent="0.2">
      <c r="R258" s="212">
        <f>_xll.qlCalendarAdvance(Calendar,R257,"1D","f")</f>
        <v>42642</v>
      </c>
      <c r="S258" s="47">
        <f>_xll.qlTenorBasisValue($P$3,R258,AllTriggers)</f>
        <v>2.2830900674293037E-3</v>
      </c>
      <c r="T258" s="41">
        <f>_xll.qlDayCounterYearFraction("actual/365 (fixed)",SettlementDate,R258,,,Trigger)</f>
        <v>0.9945205479452055</v>
      </c>
      <c r="U258" s="47">
        <f>_xll.qlPolynomialFunctionValue($P$18,T258,AllTriggers)</f>
        <v>2.1892477332873554E-3</v>
      </c>
    </row>
    <row r="259" spans="18:21" x14ac:dyDescent="0.2">
      <c r="R259" s="212">
        <f>_xll.qlCalendarAdvance(Calendar,R258,"1D","f")</f>
        <v>42643</v>
      </c>
      <c r="S259" s="47">
        <f>_xll.qlTenorBasisValue($P$3,R259,AllTriggers)</f>
        <v>2.284105965193095E-3</v>
      </c>
      <c r="T259" s="41">
        <f>_xll.qlDayCounterYearFraction("actual/365 (fixed)",SettlementDate,R259,,,Trigger)</f>
        <v>0.99726027397260275</v>
      </c>
      <c r="U259" s="47">
        <f>_xll.qlPolynomialFunctionValue($P$18,T259,AllTriggers)</f>
        <v>2.1902612054347389E-3</v>
      </c>
    </row>
    <row r="260" spans="18:21" x14ac:dyDescent="0.2">
      <c r="R260" s="212">
        <f>_xll.qlCalendarAdvance(Calendar,R259,"1D","f")</f>
        <v>42646</v>
      </c>
      <c r="S260" s="47">
        <f>_xll.qlTenorBasisValue($P$3,R260,AllTriggers)</f>
        <v>2.2871566931735349E-3</v>
      </c>
      <c r="T260" s="41">
        <f>_xll.qlDayCounterYearFraction("actual/365 (fixed)",SettlementDate,R260,,,Trigger)</f>
        <v>1.0054794520547945</v>
      </c>
      <c r="U260" s="47">
        <f>_xll.qlPolynomialFunctionValue($P$18,T260,AllTriggers)</f>
        <v>2.1932963288316554E-3</v>
      </c>
    </row>
    <row r="261" spans="18:21" x14ac:dyDescent="0.2">
      <c r="R261" s="212">
        <f>_xll.qlCalendarAdvance(Calendar,R260,"1D","f")</f>
        <v>42647</v>
      </c>
      <c r="S261" s="47">
        <f>_xll.qlTenorBasisValue($P$3,R261,AllTriggers)</f>
        <v>2.2881746633946361E-3</v>
      </c>
      <c r="T261" s="41">
        <f>_xll.qlDayCounterYearFraction("actual/365 (fixed)",SettlementDate,R261,,,Trigger)</f>
        <v>1.0082191780821919</v>
      </c>
      <c r="U261" s="47">
        <f>_xll.qlPolynomialFunctionValue($P$18,T261,AllTriggers)</f>
        <v>2.1943063216134828E-3</v>
      </c>
    </row>
    <row r="262" spans="18:21" x14ac:dyDescent="0.2">
      <c r="R262" s="213">
        <f>_xll.qlCalendarAdvance(Calendar,R261,"1D","f")</f>
        <v>42648</v>
      </c>
      <c r="S262" s="50">
        <f>_xll.qlTenorBasisValue($P$3,R262,AllTriggers)</f>
        <v>2.2891931887285143E-3</v>
      </c>
      <c r="T262" s="44">
        <f>_xll.qlDayCounterYearFraction("actual/365 (fixed)",SettlementDate,R262,,,Trigger)</f>
        <v>1.010958904109589</v>
      </c>
      <c r="U262" s="50">
        <f>_xll.qlPolynomialFunctionValue($P$18,T262,AllTriggers)</f>
        <v>2.1953154815523711E-3</v>
      </c>
    </row>
    <row r="263" spans="18:21" x14ac:dyDescent="0.2">
      <c r="R263" s="61"/>
    </row>
    <row r="264" spans="18:21" x14ac:dyDescent="0.2">
      <c r="R264" s="61"/>
    </row>
    <row r="265" spans="18:21" x14ac:dyDescent="0.2">
      <c r="R265" s="61"/>
    </row>
    <row r="266" spans="18:21" x14ac:dyDescent="0.2">
      <c r="R266" s="61"/>
    </row>
    <row r="267" spans="18:21" x14ac:dyDescent="0.2">
      <c r="R267" s="61"/>
    </row>
    <row r="268" spans="18:21" x14ac:dyDescent="0.2">
      <c r="R268" s="61"/>
    </row>
    <row r="269" spans="18:21" x14ac:dyDescent="0.2">
      <c r="R269" s="61"/>
    </row>
    <row r="270" spans="18:21" x14ac:dyDescent="0.2">
      <c r="R270" s="61"/>
    </row>
    <row r="271" spans="18:21" x14ac:dyDescent="0.2">
      <c r="R271" s="61"/>
    </row>
    <row r="272" spans="18:21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154"/>
  <sheetViews>
    <sheetView topLeftCell="A34" workbookViewId="0">
      <selection activeCell="D24" sqref="D24"/>
    </sheetView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0X"&amp;SUBSTITUTE($D$24,"M","")</f>
        <v>with 0X6</v>
      </c>
      <c r="T1" s="118"/>
      <c r="U1" s="117" t="str">
        <f>"without 0X"&amp;SUBSTITUTE($D$24,"M","")</f>
        <v>without 0X6</v>
      </c>
      <c r="V1" s="118"/>
      <c r="AG1" s="88"/>
      <c r="AH1" s="88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e">
        <f>_xll.qlPolynomialFunction(,_xll.qlTenorInstCoefficients(G$27),,_xll.ohTrigger(Trigger,G$28:G$31))</f>
        <v>#NUM!</v>
      </c>
      <c r="BF1" s="19" t="e">
        <f>_xll.qlPolynomialFunction(,_xll.qlTenorInstCoefficients(H$27),,_xll.ohTrigger(Trigger,H$28:H$31))</f>
        <v>#NUM!</v>
      </c>
      <c r="BG1" s="19" t="e">
        <f>_xll.qlPolynomialFunction(,_xll.qlTenorInstCoefficients(S$27),,_xll.ohTrigger(Trigger,S$28:S$31))</f>
        <v>#NUM!</v>
      </c>
      <c r="BH1" s="19" t="e">
        <f>_xll.qlPolynomialFunction(,_xll.qlTenorInstCoefficients(T$27),,_xll.ohTrigger(Trigger,T$28:T$31))</f>
        <v>#NUM!</v>
      </c>
      <c r="BI1" s="19" t="e">
        <f>_xll.qlPolynomialFunction(,U$28:U$31,,_xll.ohTrigger(Trigger,G$28:G$31))</f>
        <v>#NUM!</v>
      </c>
      <c r="BJ1" s="19" t="e">
        <f>_xll.qlPolynomialFunction(,V$28:V$31,,_xll.ohTrigger(Trigger,H$28:H$31))</f>
        <v>#NUM!</v>
      </c>
      <c r="BK1" s="19" t="e">
        <f>_xll.qlPolynomialFunction(,W$28:W$31,,_xll.ohTrigger(Trigger,S$28:S$31))</f>
        <v>#NUM!</v>
      </c>
      <c r="BL1" s="19" t="e">
        <f>_xll.qlPolynomialFunction(,X$28:X$31,,_xll.ohTrigger(Trigger,T$28:T$31))</f>
        <v>#NUM!</v>
      </c>
      <c r="BM1" s="19" t="e">
        <f>_xll.qlPolynomialFunction(,_xll.qlTenorInstCoefficients(Y$27),,_xll.ohTrigger(Trigger,G$28:G$31))</f>
        <v>#NUM!</v>
      </c>
      <c r="BN1" s="19" t="e">
        <f>_xll.qlPolynomialFunction(,_xll.qlTenorInstCoefficients(Z$27),,_xll.ohTrigger(Trigger,H$28:H$31))</f>
        <v>#NUM!</v>
      </c>
      <c r="BO1" s="19" t="e">
        <f>_xll.qlPolynomialFunction(,_xll.qlTenorInstCoefficients(AA$27),,_xll.ohTrigger(Trigger,S$28:S$31))</f>
        <v>#NUM!</v>
      </c>
      <c r="BP1" s="19" t="e">
        <f>_xll.qlPolynomialFunction(,_xll.qlTenorInstCoefficients(AB$27),,_xll.ohTrigger(Trigger,T$28:T$31))</f>
        <v>#NUM!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"&amp;$D$24</f>
        <v>F 6M</v>
      </c>
      <c r="H2" s="36" t="str">
        <f>"B "&amp;$D$24</f>
        <v>B 6M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 t="shared" ref="B3:B9" si="0">A3+SUBSTITUTE($D$24,"M","")</f>
        <v>6</v>
      </c>
      <c r="C3" s="171" t="str">
        <f>"B"&amp;$D$24&amp;"_"&amp;A3&amp;"X"&amp;B3&amp;$D$27</f>
        <v>B6M_0X6ESTIMATED</v>
      </c>
      <c r="D3" s="186">
        <f>SettlementDate</f>
        <v>42279</v>
      </c>
      <c r="E3" s="186">
        <f>_xll.qlInterestRateIndexMaturity($D$25,D3)</f>
        <v>42464</v>
      </c>
      <c r="F3" s="172">
        <f>_xll.qlIndexFixing(ON_6M_index,_xll.qlInterestRateIndexFixingDate(ON_6M_index,D3,Trigger),,AllTriggers)</f>
        <v>-1.5581314027987706E-3</v>
      </c>
      <c r="G3" s="172" t="e">
        <f>H3+F3</f>
        <v>#NUM!</v>
      </c>
      <c r="H3" s="226" t="e">
        <f>_xll.qlQuoteValue(C3,_xll.ohTrigger(InterestRatesTrigger,'6MSynthDepo_used'!E3))</f>
        <v>#NUM!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9" si="1">I3</f>
        <v>0</v>
      </c>
      <c r="L3" s="173">
        <f t="shared" ref="L3:L9" si="2">I3^2</f>
        <v>0</v>
      </c>
      <c r="M3" s="217" t="e">
        <f>LN((1+G3*_xll.qlDayCounterYearFraction(DayCounter,D3,E3,,,Trigger))/(1+F3*_xll.qlDayCounterYearFraction(DayCounter,D3,E3,,,Trigger)))</f>
        <v>#NUM!</v>
      </c>
      <c r="N3" s="173">
        <f>_xll.qlDayCounterYearFraction(DayCounter,SettlementDate,D3,,,Trigger)</f>
        <v>0</v>
      </c>
      <c r="O3" s="173">
        <f>_xll.qlDayCounterYearFraction(DayCounter,SettlementDate,E3,,,Trigger)</f>
        <v>0.51388888888888884</v>
      </c>
      <c r="P3" s="173">
        <f>O3-N3</f>
        <v>0.51388888888888884</v>
      </c>
      <c r="Q3" s="173">
        <f>(O3^2-N3^2)/2</f>
        <v>0.13204089506172836</v>
      </c>
      <c r="R3" s="173">
        <f>(O3^3-N3^3)/3</f>
        <v>4.5236232567443968E-2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f>'6MSynthDepo_used'!A5</f>
        <v>1</v>
      </c>
      <c r="B4" s="55">
        <f t="shared" si="0"/>
        <v>7</v>
      </c>
      <c r="C4" s="39" t="str">
        <f t="shared" ref="C4:C9" si="3">"B"&amp;$D$24&amp;"_"&amp;A4&amp;"X"&amp;B4</f>
        <v>B6M_1X7</v>
      </c>
      <c r="D4" s="177">
        <f>_xll.qlCalendarAdvance(Calendar,SettlementDate,A4&amp;"M","mf")</f>
        <v>42310</v>
      </c>
      <c r="E4" s="177">
        <f>_xll.qlInterestRateIndexMaturity($D$25,D4)</f>
        <v>42492</v>
      </c>
      <c r="F4" s="53">
        <f>_xll.qlIndexFixing(ON_6M_index,_xll.qlInterestRateIndexFixingDate(ON_6M_index,D4,Trigger),,AllTriggers)</f>
        <v>-1.6193594075615929E-3</v>
      </c>
      <c r="G4" s="53" t="e">
        <f t="shared" ref="G4:G9" si="4">H4+F4</f>
        <v>#NUM!</v>
      </c>
      <c r="H4" s="202" t="e">
        <f>_xll.qlQuoteValue(C4,_xll.ohTrigger(InterestRatesTrigger,'6MSynthDepo_used'!E4))</f>
        <v>#NUM!</v>
      </c>
      <c r="I4" s="41">
        <f>_xll.qlDayCounterYearFraction(DayCounter,SettlementDate,D4,,,Trigger)</f>
        <v>8.611111111111111E-2</v>
      </c>
      <c r="J4" s="41">
        <f>1</f>
        <v>1</v>
      </c>
      <c r="K4" s="41">
        <f t="shared" si="1"/>
        <v>8.611111111111111E-2</v>
      </c>
      <c r="L4" s="41">
        <f t="shared" si="2"/>
        <v>7.4151234567901231E-3</v>
      </c>
      <c r="M4" s="40" t="e">
        <f>LN((1+G4*_xll.qlDayCounterYearFraction(DayCounter,D4,E4,,,Trigger))/(1+F4*_xll.qlDayCounterYearFraction(DayCounter,D4,E4,,,Trigger)))</f>
        <v>#NUM!</v>
      </c>
      <c r="N4" s="41">
        <f>_xll.qlDayCounterYearFraction(DayCounter,SettlementDate,D4,,,Trigger)</f>
        <v>8.611111111111111E-2</v>
      </c>
      <c r="O4" s="41">
        <f>_xll.qlDayCounterYearFraction(DayCounter,SettlementDate,E4,,,Trigger)</f>
        <v>0.59166666666666667</v>
      </c>
      <c r="P4" s="41">
        <f t="shared" ref="P4:P9" si="5">O4-N4</f>
        <v>0.50555555555555554</v>
      </c>
      <c r="Q4" s="41">
        <f t="shared" ref="Q4:Q9" si="6">(O4^2-N4^2)/2</f>
        <v>0.17132716049382715</v>
      </c>
      <c r="R4" s="41">
        <f t="shared" ref="R4:R9" si="7">(O4^3-N4^3)/3</f>
        <v>6.8828632258802008E-2</v>
      </c>
      <c r="S4" s="114" t="b">
        <v>1</v>
      </c>
      <c r="T4" s="114" t="b">
        <v>1</v>
      </c>
      <c r="U4" s="114" t="b">
        <v>1</v>
      </c>
      <c r="V4" s="114" t="b">
        <v>1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G34</f>
        <v>with 0X6</v>
      </c>
      <c r="BF4" s="118"/>
      <c r="BG4" s="117" t="str">
        <f>S34</f>
        <v>without 0X6</v>
      </c>
      <c r="BH4" s="118"/>
      <c r="BI4" s="116" t="str">
        <f>U34</f>
        <v>with 0X6</v>
      </c>
      <c r="BJ4" s="118"/>
      <c r="BK4" s="117" t="str">
        <f>W34</f>
        <v>without 0X6</v>
      </c>
      <c r="BL4" s="118"/>
      <c r="BM4" s="116" t="str">
        <f>Y34</f>
        <v>with 0X6</v>
      </c>
      <c r="BN4" s="118"/>
      <c r="BO4" s="117" t="str">
        <f>AA34</f>
        <v>without 0X6</v>
      </c>
      <c r="BP4" s="118"/>
    </row>
    <row r="5" spans="1:69" ht="12" customHeight="1" x14ac:dyDescent="0.2">
      <c r="A5" s="21">
        <f>'6MSynthDepo_used'!A6</f>
        <v>2</v>
      </c>
      <c r="B5" s="55">
        <f t="shared" si="0"/>
        <v>8</v>
      </c>
      <c r="C5" s="39" t="str">
        <f t="shared" si="3"/>
        <v>B6M_2X8</v>
      </c>
      <c r="D5" s="177">
        <f>_xll.qlCalendarAdvance(Calendar,SettlementDate,A5&amp;"M","mf")</f>
        <v>42340</v>
      </c>
      <c r="E5" s="177">
        <f>_xll.qlInterestRateIndexMaturity($D$25,D5)</f>
        <v>42523</v>
      </c>
      <c r="F5" s="53">
        <f>_xll.qlIndexFixing(ON_6M_index,_xll.qlInterestRateIndexFixingDate(ON_6M_index,D5,Trigger),,AllTriggers)</f>
        <v>-1.6816667402538344E-3</v>
      </c>
      <c r="G5" s="53" t="e">
        <f t="shared" si="4"/>
        <v>#NUM!</v>
      </c>
      <c r="H5" s="202" t="e">
        <f>_xll.qlQuoteValue(C5,_xll.ohTrigger(InterestRatesTrigger,'6MSynthDepo_used'!E5))</f>
        <v>#NUM!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1"/>
        <v>0.16944444444444445</v>
      </c>
      <c r="L5" s="41">
        <f t="shared" si="2"/>
        <v>2.8711419753086422E-2</v>
      </c>
      <c r="M5" s="40" t="e">
        <f>LN((1+G5*_xll.qlDayCounterYearFraction(DayCounter,D5,E5,,,Trigger))/(1+F5*_xll.qlDayCounterYearFraction(DayCounter,D5,E5,,,Trigger)))</f>
        <v>#NUM!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0.67777777777777781</v>
      </c>
      <c r="P5" s="41">
        <f t="shared" si="5"/>
        <v>0.5083333333333333</v>
      </c>
      <c r="Q5" s="41">
        <f t="shared" si="6"/>
        <v>0.21533564814814815</v>
      </c>
      <c r="R5" s="41">
        <f t="shared" si="7"/>
        <v>0.10216480195473253</v>
      </c>
      <c r="S5" s="114" t="b">
        <v>1</v>
      </c>
      <c r="T5" s="114" t="b">
        <v>1</v>
      </c>
      <c r="U5" s="114" t="b">
        <v>1</v>
      </c>
      <c r="V5" s="114" t="b">
        <v>1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303" t="s">
        <v>20</v>
      </c>
      <c r="AI5" s="29" t="e">
        <f t="array" ref="AI5:AI6">MMULT(AL5:AM6,AK5:AK6)</f>
        <v>#NUM!</v>
      </c>
      <c r="AJ5" s="303" t="s">
        <v>21</v>
      </c>
      <c r="AK5" s="30" t="e">
        <f t="array" ref="AK5:AK6">_xll.ohFilter(H3:H9,S3:S9)</f>
        <v>#NUM!</v>
      </c>
      <c r="AL5" s="27">
        <f t="array" ref="AL5:AM6">MINVERSE(AF5:AG6)</f>
        <v>-11.612903225806452</v>
      </c>
      <c r="AM5" s="28">
        <v>11.612903225806452</v>
      </c>
      <c r="AN5" s="21"/>
      <c r="AO5" s="101"/>
      <c r="AP5" s="94"/>
      <c r="AQ5" s="124"/>
      <c r="AR5" s="27">
        <f t="array" ref="AR5:AR6">_xll.ohFilter(Q3:Q9,S3:S9)</f>
        <v>0.13204089506172836</v>
      </c>
      <c r="AS5" s="28">
        <f t="array" ref="AS5:AS6">_xll.ohFilter(P3:P9,S3:S9)</f>
        <v>0.51388888888888884</v>
      </c>
      <c r="AT5" s="303" t="s">
        <v>20</v>
      </c>
      <c r="AU5" s="29" t="e">
        <f t="array" ref="AU5:AU6">MMULT(AX5:AY6,AW5:AW6)</f>
        <v>#NUM!</v>
      </c>
      <c r="AV5" s="303" t="s">
        <v>21</v>
      </c>
      <c r="AW5" s="56" t="e">
        <f t="array" ref="AW5:AW6">_xll.ohFilter(M3:M9,S3:S9)</f>
        <v>#NUM!</v>
      </c>
      <c r="AX5" s="27">
        <f t="array" ref="AX5:AY6">MINVERSE(AR5:AS6)</f>
        <v>-23.747136967475949</v>
      </c>
      <c r="AY5" s="28">
        <v>24.138573291115659</v>
      </c>
      <c r="AZ5" s="21"/>
      <c r="BA5" s="101"/>
      <c r="BC5" s="36" t="s">
        <v>38</v>
      </c>
      <c r="BD5" s="36" t="s">
        <v>55</v>
      </c>
      <c r="BE5" s="36" t="str">
        <f>G35</f>
        <v>Quadratic</v>
      </c>
      <c r="BF5" s="36" t="str">
        <f>H35</f>
        <v>Quadratic</v>
      </c>
      <c r="BG5" s="36" t="str">
        <f>S35</f>
        <v>Quadratic</v>
      </c>
      <c r="BH5" s="36" t="str">
        <f>T35</f>
        <v>Quadratic</v>
      </c>
      <c r="BI5" s="36" t="str">
        <f>U35</f>
        <v>Quadratic</v>
      </c>
      <c r="BJ5" s="36" t="str">
        <f>V35</f>
        <v>Quadratic</v>
      </c>
      <c r="BK5" s="36" t="str">
        <f>W35</f>
        <v>Quadratic</v>
      </c>
      <c r="BL5" s="36" t="str">
        <f>X35</f>
        <v>Quadratic</v>
      </c>
      <c r="BM5" s="36" t="str">
        <f>Y35</f>
        <v>Quadratic</v>
      </c>
      <c r="BN5" s="36" t="str">
        <f>Z35</f>
        <v>Quadratic</v>
      </c>
      <c r="BO5" s="36" t="str">
        <f>AA35</f>
        <v>Quadratic</v>
      </c>
      <c r="BP5" s="36" t="str">
        <f>AB35</f>
        <v>Quadratic</v>
      </c>
      <c r="BQ5" s="36" t="s">
        <v>105</v>
      </c>
    </row>
    <row r="6" spans="1:69" ht="12" customHeight="1" x14ac:dyDescent="0.2">
      <c r="A6" s="21">
        <f>'6MSynthDepo_used'!A7</f>
        <v>3</v>
      </c>
      <c r="B6" s="55">
        <f t="shared" si="0"/>
        <v>9</v>
      </c>
      <c r="C6" s="39" t="str">
        <f t="shared" si="3"/>
        <v>B6M_3X9</v>
      </c>
      <c r="D6" s="177">
        <f>_xll.qlCalendarAdvance(Calendar,SettlementDate,A6&amp;"M","mf")</f>
        <v>42373</v>
      </c>
      <c r="E6" s="177">
        <f>_xll.qlInterestRateIndexMaturity($D$25,D6)</f>
        <v>42555</v>
      </c>
      <c r="F6" s="53">
        <f>_xll.qlIndexFixing(ON_6M_index,_xll.qlInterestRateIndexFixingDate(ON_6M_index,D6,Trigger),,AllTriggers)</f>
        <v>-1.7567923896797668E-3</v>
      </c>
      <c r="G6" s="53" t="e">
        <f t="shared" si="4"/>
        <v>#NUM!</v>
      </c>
      <c r="H6" s="202" t="e">
        <f>_xll.qlQuoteValue(C6,_xll.ohTrigger(InterestRatesTrigger,'6MSynthDepo_used'!E6))</f>
        <v>#NUM!</v>
      </c>
      <c r="I6" s="41">
        <f>_xll.qlDayCounterYearFraction(DayCounter,SettlementDate,D6,,,Trigger)</f>
        <v>0.26111111111111113</v>
      </c>
      <c r="J6" s="41">
        <f>1</f>
        <v>1</v>
      </c>
      <c r="K6" s="41">
        <f t="shared" si="1"/>
        <v>0.26111111111111113</v>
      </c>
      <c r="L6" s="41">
        <f t="shared" si="2"/>
        <v>6.8179012345679024E-2</v>
      </c>
      <c r="M6" s="40" t="e">
        <f>LN((1+G6*_xll.qlDayCounterYearFraction(DayCounter,D6,E6,,,Trigger))/(1+F6*_xll.qlDayCounterYearFraction(DayCounter,D6,E6,,,Trigger)))</f>
        <v>#NUM!</v>
      </c>
      <c r="N6" s="41">
        <f>_xll.qlDayCounterYearFraction(DayCounter,SettlementDate,D6,,,Trigger)</f>
        <v>0.26111111111111113</v>
      </c>
      <c r="O6" s="41">
        <f>_xll.qlDayCounterYearFraction(DayCounter,SettlementDate,E6,,,Trigger)</f>
        <v>0.76666666666666672</v>
      </c>
      <c r="P6" s="41">
        <f t="shared" si="5"/>
        <v>0.50555555555555554</v>
      </c>
      <c r="Q6" s="41">
        <f t="shared" si="6"/>
        <v>0.25979938271604941</v>
      </c>
      <c r="R6" s="41">
        <f t="shared" si="7"/>
        <v>0.14427577732053043</v>
      </c>
      <c r="S6" s="114" t="b">
        <v>0</v>
      </c>
      <c r="T6" s="114" t="b">
        <v>0</v>
      </c>
      <c r="U6" s="114" t="b">
        <v>1</v>
      </c>
      <c r="V6" s="114" t="b">
        <v>1</v>
      </c>
      <c r="AD6" s="94"/>
      <c r="AE6" s="21"/>
      <c r="AF6" s="27">
        <v>8.611111111111111E-2</v>
      </c>
      <c r="AG6" s="28">
        <v>1</v>
      </c>
      <c r="AH6" s="303"/>
      <c r="AI6" s="29" t="e">
        <v>#NUM!</v>
      </c>
      <c r="AJ6" s="303"/>
      <c r="AK6" s="30" t="e">
        <v>#NUM!</v>
      </c>
      <c r="AL6" s="27">
        <v>1</v>
      </c>
      <c r="AM6" s="28">
        <v>0</v>
      </c>
      <c r="AN6" s="21"/>
      <c r="AO6" s="101"/>
      <c r="AP6" s="94"/>
      <c r="AQ6" s="21"/>
      <c r="AR6" s="27">
        <v>0.17132716049382715</v>
      </c>
      <c r="AS6" s="28">
        <v>0.50555555555555554</v>
      </c>
      <c r="AT6" s="303"/>
      <c r="AU6" s="29" t="e">
        <v>#NUM!</v>
      </c>
      <c r="AV6" s="303"/>
      <c r="AW6" s="56" t="e">
        <v>#NUM!</v>
      </c>
      <c r="AX6" s="27">
        <v>8.0476408612001826</v>
      </c>
      <c r="AY6" s="28">
        <v>-6.2022723039672174</v>
      </c>
      <c r="AZ6" s="21"/>
      <c r="BA6" s="101"/>
      <c r="BC6" s="176">
        <f>SettlementDate</f>
        <v>42279</v>
      </c>
      <c r="BD6" s="41">
        <f>_xll.qlDayCounterYearFraction(DayCounter,SettlementDate,BC6,,,Trigger)</f>
        <v>0</v>
      </c>
      <c r="BE6" s="47" t="e">
        <f>_xll.qlPolynomialFunctionValue(BE$1,$BD6,AllTriggers)</f>
        <v>#VALUE!</v>
      </c>
      <c r="BF6" s="52" t="e">
        <f>_xll.qlPolynomialFunctionValue(BF$1,$BD6,AllTriggers)</f>
        <v>#VALUE!</v>
      </c>
      <c r="BG6" s="47" t="e">
        <f>_xll.qlPolynomialFunctionValue(BG$1,$BD6,AllTriggers)</f>
        <v>#VALUE!</v>
      </c>
      <c r="BH6" s="52" t="e">
        <f>_xll.qlPolynomialFunctionValue(BH$1,$BD6,AllTriggers)</f>
        <v>#VALUE!</v>
      </c>
      <c r="BI6" s="52" t="e">
        <f>_xll.qlPolynomialFunctionValue(BI$1,$BD6,AllTriggers)</f>
        <v>#VALUE!</v>
      </c>
      <c r="BJ6" s="52" t="e">
        <f>_xll.qlPolynomialFunctionValue(BJ$1,$BD6,AllTriggers)</f>
        <v>#VALUE!</v>
      </c>
      <c r="BK6" s="52" t="e">
        <f>_xll.qlPolynomialFunctionValue(BK$1,$BD6,AllTriggers)</f>
        <v>#VALUE!</v>
      </c>
      <c r="BL6" s="52" t="e">
        <f>_xll.qlPolynomialFunctionValue(BL$1,$BD6,AllTriggers)</f>
        <v>#VALUE!</v>
      </c>
      <c r="BM6" s="52" t="e">
        <f>_xll.qlPolynomialFunctionValue(BM$1,$BD6,AllTriggers)</f>
        <v>#VALUE!</v>
      </c>
      <c r="BN6" s="52" t="e">
        <f>_xll.qlPolynomialFunctionValue(BN$1,$BD6,AllTriggers)</f>
        <v>#VALUE!</v>
      </c>
      <c r="BO6" s="52" t="e">
        <f>_xll.qlPolynomialFunctionValue(BO$1,$BD6,AllTriggers)</f>
        <v>#VALUE!</v>
      </c>
      <c r="BP6" s="52" t="e">
        <f>_xll.qlPolynomialFunctionValue(BP$1,$BD6,AllTriggers)</f>
        <v>#VALUE!</v>
      </c>
      <c r="BQ6" s="52">
        <f>_xll.qlPolynomialFunctionValue('6MSynthDepo_used'!$P$18,BD6,AllTriggers)</f>
        <v>1.6434659406548819E-3</v>
      </c>
    </row>
    <row r="7" spans="1:69" ht="12" customHeight="1" x14ac:dyDescent="0.2">
      <c r="A7" s="21">
        <f>'6MSynthDepo_used'!A8</f>
        <v>4</v>
      </c>
      <c r="B7" s="55">
        <f t="shared" si="0"/>
        <v>10</v>
      </c>
      <c r="C7" s="39" t="str">
        <f t="shared" si="3"/>
        <v>B6M_4X10</v>
      </c>
      <c r="D7" s="177">
        <f>_xll.qlCalendarAdvance(Calendar,SettlementDate,A7&amp;"M","mf")</f>
        <v>42402</v>
      </c>
      <c r="E7" s="177">
        <f>_xll.qlInterestRateIndexMaturity($D$25,D7)</f>
        <v>42584</v>
      </c>
      <c r="F7" s="53">
        <f>_xll.qlIndexFixing(ON_6M_index,_xll.qlInterestRateIndexFixingDate(ON_6M_index,D7,Trigger),,AllTriggers)</f>
        <v>-1.8096504771476678E-3</v>
      </c>
      <c r="G7" s="53" t="e">
        <f t="shared" si="4"/>
        <v>#NUM!</v>
      </c>
      <c r="H7" s="202" t="e">
        <f>_xll.qlQuoteValue(C7,_xll.ohTrigger(InterestRatesTrigger,'6MSynthDepo_used'!E7))</f>
        <v>#NUM!</v>
      </c>
      <c r="I7" s="41">
        <f>_xll.qlDayCounterYearFraction(DayCounter,SettlementDate,D7,,,Trigger)</f>
        <v>0.34166666666666667</v>
      </c>
      <c r="J7" s="41">
        <f>1</f>
        <v>1</v>
      </c>
      <c r="K7" s="41">
        <f t="shared" si="1"/>
        <v>0.34166666666666667</v>
      </c>
      <c r="L7" s="41">
        <f t="shared" si="2"/>
        <v>0.11673611111111111</v>
      </c>
      <c r="M7" s="40" t="e">
        <f>LN((1+G7*_xll.qlDayCounterYearFraction(DayCounter,D7,E7,,,Trigger))/(1+F7*_xll.qlDayCounterYearFraction(DayCounter,D7,E7,,,Trigger)))</f>
        <v>#NUM!</v>
      </c>
      <c r="N7" s="41">
        <f>_xll.qlDayCounterYearFraction(DayCounter,SettlementDate,D7,,,Trigger)</f>
        <v>0.34166666666666667</v>
      </c>
      <c r="O7" s="41">
        <f>_xll.qlDayCounterYearFraction(DayCounter,SettlementDate,E7,,,Trigger)</f>
        <v>0.84722222222222221</v>
      </c>
      <c r="P7" s="41">
        <f t="shared" si="5"/>
        <v>0.50555555555555554</v>
      </c>
      <c r="Q7" s="41">
        <f t="shared" si="6"/>
        <v>0.30052469135802468</v>
      </c>
      <c r="R7" s="41">
        <f t="shared" si="7"/>
        <v>0.18941299439871973</v>
      </c>
      <c r="S7" s="114" t="b">
        <v>0</v>
      </c>
      <c r="T7" s="114" t="b">
        <v>0</v>
      </c>
      <c r="U7" s="114" t="b">
        <v>0</v>
      </c>
      <c r="V7" s="114" t="b">
        <v>0</v>
      </c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42282</v>
      </c>
      <c r="BD7" s="41">
        <f>_xll.qlDayCounterYearFraction(DayCounter,SettlementDate,BC7,,,Trigger)</f>
        <v>8.3333333333333332E-3</v>
      </c>
      <c r="BE7" s="47" t="e">
        <f>_xll.qlPolynomialFunctionValue(BE$1,$BD7,AllTriggers)</f>
        <v>#VALUE!</v>
      </c>
      <c r="BF7" s="47" t="e">
        <f>_xll.qlPolynomialFunctionValue(BF$1,$BD7,AllTriggers)</f>
        <v>#VALUE!</v>
      </c>
      <c r="BG7" s="47" t="e">
        <f>_xll.qlPolynomialFunctionValue(BG$1,$BD7,AllTriggers)</f>
        <v>#VALUE!</v>
      </c>
      <c r="BH7" s="47" t="e">
        <f>_xll.qlPolynomialFunctionValue(BH$1,$BD7,AllTriggers)</f>
        <v>#VALUE!</v>
      </c>
      <c r="BI7" s="47" t="e">
        <f>_xll.qlPolynomialFunctionValue(BI$1,$BD7,AllTriggers)</f>
        <v>#VALUE!</v>
      </c>
      <c r="BJ7" s="47" t="e">
        <f>_xll.qlPolynomialFunctionValue(BJ$1,$BD7,AllTriggers)</f>
        <v>#VALUE!</v>
      </c>
      <c r="BK7" s="47" t="e">
        <f>_xll.qlPolynomialFunctionValue(BK$1,$BD7,AllTriggers)</f>
        <v>#VALUE!</v>
      </c>
      <c r="BL7" s="47" t="e">
        <f>_xll.qlPolynomialFunctionValue(BL$1,$BD7,AllTriggers)</f>
        <v>#VALUE!</v>
      </c>
      <c r="BM7" s="47" t="e">
        <f>_xll.qlPolynomialFunctionValue(BM$1,$BD7,AllTriggers)</f>
        <v>#VALUE!</v>
      </c>
      <c r="BN7" s="47" t="e">
        <f>_xll.qlPolynomialFunctionValue(BN$1,$BD7,AllTriggers)</f>
        <v>#VALUE!</v>
      </c>
      <c r="BO7" s="47" t="e">
        <f>_xll.qlPolynomialFunctionValue(BO$1,$BD7,AllTriggers)</f>
        <v>#VALUE!</v>
      </c>
      <c r="BP7" s="47" t="e">
        <f>_xll.qlPolynomialFunctionValue(BP$1,$BD7,AllTriggers)</f>
        <v>#VALUE!</v>
      </c>
      <c r="BQ7" s="47">
        <f>_xll.qlPolynomialFunctionValue('6MSynthDepo_used'!$P$18,BD7,AllTriggers)</f>
        <v>1.6504880210791728E-3</v>
      </c>
    </row>
    <row r="8" spans="1:69" ht="12" customHeight="1" x14ac:dyDescent="0.2">
      <c r="A8" s="21">
        <f>'6MSynthDepo_used'!A9</f>
        <v>5</v>
      </c>
      <c r="B8" s="55">
        <f t="shared" si="0"/>
        <v>11</v>
      </c>
      <c r="C8" s="39" t="str">
        <f t="shared" si="3"/>
        <v>B6M_5X11</v>
      </c>
      <c r="D8" s="177">
        <f>_xll.qlCalendarAdvance(Calendar,SettlementDate,A8&amp;"M","mf")</f>
        <v>42431</v>
      </c>
      <c r="E8" s="177">
        <f>_xll.qlInterestRateIndexMaturity($D$25,D8)</f>
        <v>42615</v>
      </c>
      <c r="F8" s="53">
        <f>_xll.qlIndexFixing(ON_6M_index,_xll.qlInterestRateIndexFixingDate(ON_6M_index,D8,Trigger),,AllTriggers)</f>
        <v>-1.8559392549738728E-3</v>
      </c>
      <c r="G8" s="53" t="e">
        <f t="shared" si="4"/>
        <v>#NUM!</v>
      </c>
      <c r="H8" s="202" t="e">
        <f>_xll.qlQuoteValue(C8,_xll.ohTrigger(InterestRatesTrigger,'6MSynthDepo_used'!E8))</f>
        <v>#NUM!</v>
      </c>
      <c r="I8" s="41">
        <f>_xll.qlDayCounterYearFraction(DayCounter,SettlementDate,D8,,,Trigger)</f>
        <v>0.42222222222222222</v>
      </c>
      <c r="J8" s="41">
        <f>1</f>
        <v>1</v>
      </c>
      <c r="K8" s="41">
        <f t="shared" si="1"/>
        <v>0.42222222222222222</v>
      </c>
      <c r="L8" s="41">
        <f t="shared" si="2"/>
        <v>0.1782716049382716</v>
      </c>
      <c r="M8" s="40" t="e">
        <f>LN((1+G8*_xll.qlDayCounterYearFraction(DayCounter,D8,E8,,,Trigger))/(1+F8*_xll.qlDayCounterYearFraction(DayCounter,D8,E8,,,Trigger)))</f>
        <v>#NUM!</v>
      </c>
      <c r="N8" s="41">
        <f>_xll.qlDayCounterYearFraction(DayCounter,SettlementDate,D8,,,Trigger)</f>
        <v>0.42222222222222222</v>
      </c>
      <c r="O8" s="41">
        <f>_xll.qlDayCounterYearFraction(DayCounter,SettlementDate,E8,,,Trigger)</f>
        <v>0.93333333333333335</v>
      </c>
      <c r="P8" s="41">
        <f t="shared" si="5"/>
        <v>0.51111111111111107</v>
      </c>
      <c r="Q8" s="41">
        <f t="shared" si="6"/>
        <v>0.34641975308641981</v>
      </c>
      <c r="R8" s="41">
        <f t="shared" si="7"/>
        <v>0.24592226794695934</v>
      </c>
      <c r="S8" s="114" t="b">
        <v>0</v>
      </c>
      <c r="T8" s="114" t="b">
        <v>0</v>
      </c>
      <c r="U8" s="114" t="b">
        <v>0</v>
      </c>
      <c r="V8" s="114" t="b">
        <v>0</v>
      </c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42283</v>
      </c>
      <c r="BD8" s="41">
        <f>_xll.qlDayCounterYearFraction(DayCounter,SettlementDate,BC8,,,Trigger)</f>
        <v>1.1111111111111112E-2</v>
      </c>
      <c r="BE8" s="47" t="e">
        <f>_xll.qlPolynomialFunctionValue(BE$1,$BD8,AllTriggers)</f>
        <v>#VALUE!</v>
      </c>
      <c r="BF8" s="47" t="e">
        <f>_xll.qlPolynomialFunctionValue(BF$1,$BD8,AllTriggers)</f>
        <v>#VALUE!</v>
      </c>
      <c r="BG8" s="47" t="e">
        <f>_xll.qlPolynomialFunctionValue(BG$1,$BD8,AllTriggers)</f>
        <v>#VALUE!</v>
      </c>
      <c r="BH8" s="47" t="e">
        <f>_xll.qlPolynomialFunctionValue(BH$1,$BD8,AllTriggers)</f>
        <v>#VALUE!</v>
      </c>
      <c r="BI8" s="47" t="e">
        <f>_xll.qlPolynomialFunctionValue(BI$1,$BD8,AllTriggers)</f>
        <v>#VALUE!</v>
      </c>
      <c r="BJ8" s="47" t="e">
        <f>_xll.qlPolynomialFunctionValue(BJ$1,$BD8,AllTriggers)</f>
        <v>#VALUE!</v>
      </c>
      <c r="BK8" s="47" t="e">
        <f>_xll.qlPolynomialFunctionValue(BK$1,$BD8,AllTriggers)</f>
        <v>#VALUE!</v>
      </c>
      <c r="BL8" s="47" t="e">
        <f>_xll.qlPolynomialFunctionValue(BL$1,$BD8,AllTriggers)</f>
        <v>#VALUE!</v>
      </c>
      <c r="BM8" s="47" t="e">
        <f>_xll.qlPolynomialFunctionValue(BM$1,$BD8,AllTriggers)</f>
        <v>#VALUE!</v>
      </c>
      <c r="BN8" s="47" t="e">
        <f>_xll.qlPolynomialFunctionValue(BN$1,$BD8,AllTriggers)</f>
        <v>#VALUE!</v>
      </c>
      <c r="BO8" s="47" t="e">
        <f>_xll.qlPolynomialFunctionValue(BO$1,$BD8,AllTriggers)</f>
        <v>#VALUE!</v>
      </c>
      <c r="BP8" s="47" t="e">
        <f>_xll.qlPolynomialFunctionValue(BP$1,$BD8,AllTriggers)</f>
        <v>#VALUE!</v>
      </c>
      <c r="BQ8" s="47">
        <f>_xll.qlPolynomialFunctionValue('6MSynthDepo_used'!$P$18,BD8,AllTriggers)</f>
        <v>1.6528158772495544E-3</v>
      </c>
    </row>
    <row r="9" spans="1:69" ht="12" customHeight="1" x14ac:dyDescent="0.2">
      <c r="A9" s="21">
        <f>'6MSynthDepo_used'!A10</f>
        <v>6</v>
      </c>
      <c r="B9" s="55">
        <f t="shared" si="0"/>
        <v>12</v>
      </c>
      <c r="C9" s="42" t="str">
        <f t="shared" si="3"/>
        <v>B6M_6X12</v>
      </c>
      <c r="D9" s="181">
        <f>_xll.qlCalendarAdvance(Calendar,SettlementDate,A9&amp;"M","mf")</f>
        <v>42464</v>
      </c>
      <c r="E9" s="181">
        <f>_xll.qlInterestRateIndexMaturity($D$25,D9)</f>
        <v>42647</v>
      </c>
      <c r="F9" s="54">
        <f>_xll.qlIndexFixing(ON_6M_index,_xll.qlInterestRateIndexFixingDate(ON_6M_index,D9,Trigger),,AllTriggers)</f>
        <v>-1.9011608091102535E-3</v>
      </c>
      <c r="G9" s="54" t="e">
        <f t="shared" si="4"/>
        <v>#NUM!</v>
      </c>
      <c r="H9" s="203" t="e">
        <f>_xll.qlQuoteValue(C9,_xll.ohTrigger(InterestRatesTrigger,'6MSynthDepo_used'!E9))</f>
        <v>#NUM!</v>
      </c>
      <c r="I9" s="44">
        <f>_xll.qlDayCounterYearFraction(DayCounter,SettlementDate,D9,,,Trigger)</f>
        <v>0.51388888888888884</v>
      </c>
      <c r="J9" s="44">
        <f>1</f>
        <v>1</v>
      </c>
      <c r="K9" s="44">
        <f t="shared" si="1"/>
        <v>0.51388888888888884</v>
      </c>
      <c r="L9" s="44">
        <f t="shared" si="2"/>
        <v>0.26408179012345673</v>
      </c>
      <c r="M9" s="43" t="e">
        <f>LN((1+G9*_xll.qlDayCounterYearFraction(DayCounter,D9,E9,,,Trigger))/(1+F9*_xll.qlDayCounterYearFraction(DayCounter,D9,E9,,,Trigger)))</f>
        <v>#NUM!</v>
      </c>
      <c r="N9" s="44">
        <f>_xll.qlDayCounterYearFraction(DayCounter,SettlementDate,D9,,,Trigger)</f>
        <v>0.51388888888888884</v>
      </c>
      <c r="O9" s="44">
        <f>_xll.qlDayCounterYearFraction(DayCounter,SettlementDate,E9,,,Trigger)</f>
        <v>1.0222222222222221</v>
      </c>
      <c r="P9" s="44">
        <f t="shared" si="5"/>
        <v>0.5083333333333333</v>
      </c>
      <c r="Q9" s="44">
        <f t="shared" si="6"/>
        <v>0.39042824074074067</v>
      </c>
      <c r="R9" s="44">
        <f t="shared" si="7"/>
        <v>0.31081680812757195</v>
      </c>
      <c r="S9" s="150" t="b">
        <v>0</v>
      </c>
      <c r="T9" s="150" t="b">
        <v>0</v>
      </c>
      <c r="U9" s="150" t="b">
        <v>0</v>
      </c>
      <c r="V9" s="150" t="b">
        <v>0</v>
      </c>
      <c r="AD9" s="94"/>
      <c r="AE9" s="32"/>
      <c r="AF9" s="27">
        <f t="array" ref="AF9:AF10">_xll.ohFilter(K3:K9,U3:U9)</f>
        <v>8.611111111111111E-2</v>
      </c>
      <c r="AG9" s="28">
        <f t="array" ref="AG9:AG10">_xll.ohFilter(J3:J9,U3:U9)</f>
        <v>1</v>
      </c>
      <c r="AH9" s="303" t="s">
        <v>20</v>
      </c>
      <c r="AI9" s="29" t="e">
        <f t="array" ref="AI9:AI10">MMULT(AL9:AM10,AK9:AK10)</f>
        <v>#NUM!</v>
      </c>
      <c r="AJ9" s="303" t="s">
        <v>21</v>
      </c>
      <c r="AK9" s="30" t="e">
        <f t="array" ref="AK9:AK10">_xll.ohFilter(H3:H9,U3:U9)</f>
        <v>#NUM!</v>
      </c>
      <c r="AL9" s="27">
        <f t="array" ref="AL9:AM10">MINVERSE(AF9:AG10)</f>
        <v>-11.999999999999998</v>
      </c>
      <c r="AM9" s="28">
        <v>11.999999999999998</v>
      </c>
      <c r="AN9" s="21"/>
      <c r="AO9" s="101"/>
      <c r="AP9" s="94"/>
      <c r="AQ9" s="32"/>
      <c r="AR9" s="27">
        <f t="array" ref="AR9:AR10">_xll.ohFilter(Q3:Q9,U3:U9)</f>
        <v>0.17132716049382715</v>
      </c>
      <c r="AS9" s="28">
        <f t="array" ref="AS9:AS10">_xll.ohFilter(P3:P9,U3:U9)</f>
        <v>0.50555555555555554</v>
      </c>
      <c r="AT9" s="303" t="s">
        <v>20</v>
      </c>
      <c r="AU9" s="29" t="e">
        <f t="array" ref="AU9:AU10">MMULT(AX9:AY10,AW9:AW10)</f>
        <v>#NUM!</v>
      </c>
      <c r="AV9" s="303" t="s">
        <v>21</v>
      </c>
      <c r="AW9" s="56" t="e">
        <f t="array" ref="AW9:AW10">_xll.ohFilter(M3:M9,U3:U9)</f>
        <v>#NUM!</v>
      </c>
      <c r="AX9" s="27">
        <f t="array" ref="AX9:AY10">MINVERSE(AR9:AS10)</f>
        <v>-23.34714465862006</v>
      </c>
      <c r="AY9" s="28">
        <v>23.21956463316312</v>
      </c>
      <c r="AZ9" s="21"/>
      <c r="BA9" s="101"/>
      <c r="BC9" s="178">
        <f>_xll.qlCalendarAdvance(Calendar,BC8,"1d","mf",,Trigger)</f>
        <v>42284</v>
      </c>
      <c r="BD9" s="41">
        <f>_xll.qlDayCounterYearFraction(DayCounter,SettlementDate,BC9,,,Trigger)</f>
        <v>1.3888888888888888E-2</v>
      </c>
      <c r="BE9" s="47" t="e">
        <f>_xll.qlPolynomialFunctionValue(BE$1,$BD9,AllTriggers)</f>
        <v>#VALUE!</v>
      </c>
      <c r="BF9" s="47" t="e">
        <f>_xll.qlPolynomialFunctionValue(BF$1,$BD9,AllTriggers)</f>
        <v>#VALUE!</v>
      </c>
      <c r="BG9" s="47" t="e">
        <f>_xll.qlPolynomialFunctionValue(BG$1,$BD9,AllTriggers)</f>
        <v>#VALUE!</v>
      </c>
      <c r="BH9" s="47" t="e">
        <f>_xll.qlPolynomialFunctionValue(BH$1,$BD9,AllTriggers)</f>
        <v>#VALUE!</v>
      </c>
      <c r="BI9" s="47" t="e">
        <f>_xll.qlPolynomialFunctionValue(BI$1,$BD9,AllTriggers)</f>
        <v>#VALUE!</v>
      </c>
      <c r="BJ9" s="47" t="e">
        <f>_xll.qlPolynomialFunctionValue(BJ$1,$BD9,AllTriggers)</f>
        <v>#VALUE!</v>
      </c>
      <c r="BK9" s="47" t="e">
        <f>_xll.qlPolynomialFunctionValue(BK$1,$BD9,AllTriggers)</f>
        <v>#VALUE!</v>
      </c>
      <c r="BL9" s="47" t="e">
        <f>_xll.qlPolynomialFunctionValue(BL$1,$BD9,AllTriggers)</f>
        <v>#VALUE!</v>
      </c>
      <c r="BM9" s="47" t="e">
        <f>_xll.qlPolynomialFunctionValue(BM$1,$BD9,AllTriggers)</f>
        <v>#VALUE!</v>
      </c>
      <c r="BN9" s="47" t="e">
        <f>_xll.qlPolynomialFunctionValue(BN$1,$BD9,AllTriggers)</f>
        <v>#VALUE!</v>
      </c>
      <c r="BO9" s="47" t="e">
        <f>_xll.qlPolynomialFunctionValue(BO$1,$BD9,AllTriggers)</f>
        <v>#VALUE!</v>
      </c>
      <c r="BP9" s="47" t="e">
        <f>_xll.qlPolynomialFunctionValue(BP$1,$BD9,AllTriggers)</f>
        <v>#VALUE!</v>
      </c>
      <c r="BQ9" s="47">
        <f>_xll.qlPolynomialFunctionValue('6MSynthDepo_used'!$P$18,BD9,AllTriggers)</f>
        <v>1.6551373404754526E-3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0.16944444444444445</v>
      </c>
      <c r="AG10" s="28">
        <v>1</v>
      </c>
      <c r="AH10" s="303"/>
      <c r="AI10" s="29" t="e">
        <v>#NUM!</v>
      </c>
      <c r="AJ10" s="303"/>
      <c r="AK10" s="30" t="e">
        <v>#NUM!</v>
      </c>
      <c r="AL10" s="27">
        <v>2.0333333333333332</v>
      </c>
      <c r="AM10" s="28">
        <v>-1.0333333333333334</v>
      </c>
      <c r="AN10" s="21"/>
      <c r="AO10" s="101"/>
      <c r="AP10" s="94"/>
      <c r="AQ10" s="32"/>
      <c r="AR10" s="27">
        <v>0.21533564814814815</v>
      </c>
      <c r="AS10" s="28">
        <v>0.5083333333333333</v>
      </c>
      <c r="AT10" s="303"/>
      <c r="AU10" s="29" t="e">
        <v>#NUM!</v>
      </c>
      <c r="AV10" s="303"/>
      <c r="AW10" s="56" t="e">
        <v>#NUM!</v>
      </c>
      <c r="AX10" s="27">
        <v>9.8901098901098869</v>
      </c>
      <c r="AY10" s="28">
        <v>-7.8688524590163897</v>
      </c>
      <c r="AZ10" s="21"/>
      <c r="BA10" s="101"/>
      <c r="BC10" s="178">
        <f>_xll.qlCalendarAdvance(Calendar,BC9,"1d","mf",,Trigger)</f>
        <v>42285</v>
      </c>
      <c r="BD10" s="41">
        <f>_xll.qlDayCounterYearFraction(DayCounter,SettlementDate,BC10,,,Trigger)</f>
        <v>1.6666666666666666E-2</v>
      </c>
      <c r="BE10" s="47" t="e">
        <f>_xll.qlPolynomialFunctionValue(BE$1,$BD10,AllTriggers)</f>
        <v>#VALUE!</v>
      </c>
      <c r="BF10" s="47" t="e">
        <f>_xll.qlPolynomialFunctionValue(BF$1,$BD10,AllTriggers)</f>
        <v>#VALUE!</v>
      </c>
      <c r="BG10" s="47" t="e">
        <f>_xll.qlPolynomialFunctionValue(BG$1,$BD10,AllTriggers)</f>
        <v>#VALUE!</v>
      </c>
      <c r="BH10" s="47" t="e">
        <f>_xll.qlPolynomialFunctionValue(BH$1,$BD10,AllTriggers)</f>
        <v>#VALUE!</v>
      </c>
      <c r="BI10" s="47" t="e">
        <f>_xll.qlPolynomialFunctionValue(BI$1,$BD10,AllTriggers)</f>
        <v>#VALUE!</v>
      </c>
      <c r="BJ10" s="47" t="e">
        <f>_xll.qlPolynomialFunctionValue(BJ$1,$BD10,AllTriggers)</f>
        <v>#VALUE!</v>
      </c>
      <c r="BK10" s="47" t="e">
        <f>_xll.qlPolynomialFunctionValue(BK$1,$BD10,AllTriggers)</f>
        <v>#VALUE!</v>
      </c>
      <c r="BL10" s="47" t="e">
        <f>_xll.qlPolynomialFunctionValue(BL$1,$BD10,AllTriggers)</f>
        <v>#VALUE!</v>
      </c>
      <c r="BM10" s="47" t="e">
        <f>_xll.qlPolynomialFunctionValue(BM$1,$BD10,AllTriggers)</f>
        <v>#VALUE!</v>
      </c>
      <c r="BN10" s="47" t="e">
        <f>_xll.qlPolynomialFunctionValue(BN$1,$BD10,AllTriggers)</f>
        <v>#VALUE!</v>
      </c>
      <c r="BO10" s="47" t="e">
        <f>_xll.qlPolynomialFunctionValue(BO$1,$BD10,AllTriggers)</f>
        <v>#VALUE!</v>
      </c>
      <c r="BP10" s="47" t="e">
        <f>_xll.qlPolynomialFunctionValue(BP$1,$BD10,AllTriggers)</f>
        <v>#VALUE!</v>
      </c>
      <c r="BQ10" s="47">
        <f>_xll.qlPolynomialFunctionValue('6MSynthDepo_used'!$P$18,BD10,AllTriggers)</f>
        <v>1.6574524261814918E-3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42286</v>
      </c>
      <c r="BD11" s="41">
        <f>_xll.qlDayCounterYearFraction(DayCounter,SettlementDate,BC11,,,Trigger)</f>
        <v>1.9444444444444445E-2</v>
      </c>
      <c r="BE11" s="47" t="e">
        <f>_xll.qlPolynomialFunctionValue(BE$1,$BD11,AllTriggers)</f>
        <v>#VALUE!</v>
      </c>
      <c r="BF11" s="47" t="e">
        <f>_xll.qlPolynomialFunctionValue(BF$1,$BD11,AllTriggers)</f>
        <v>#VALUE!</v>
      </c>
      <c r="BG11" s="47" t="e">
        <f>_xll.qlPolynomialFunctionValue(BG$1,$BD11,AllTriggers)</f>
        <v>#VALUE!</v>
      </c>
      <c r="BH11" s="47" t="e">
        <f>_xll.qlPolynomialFunctionValue(BH$1,$BD11,AllTriggers)</f>
        <v>#VALUE!</v>
      </c>
      <c r="BI11" s="47" t="e">
        <f>_xll.qlPolynomialFunctionValue(BI$1,$BD11,AllTriggers)</f>
        <v>#VALUE!</v>
      </c>
      <c r="BJ11" s="47" t="e">
        <f>_xll.qlPolynomialFunctionValue(BJ$1,$BD11,AllTriggers)</f>
        <v>#VALUE!</v>
      </c>
      <c r="BK11" s="47" t="e">
        <f>_xll.qlPolynomialFunctionValue(BK$1,$BD11,AllTriggers)</f>
        <v>#VALUE!</v>
      </c>
      <c r="BL11" s="47" t="e">
        <f>_xll.qlPolynomialFunctionValue(BL$1,$BD11,AllTriggers)</f>
        <v>#VALUE!</v>
      </c>
      <c r="BM11" s="47" t="e">
        <f>_xll.qlPolynomialFunctionValue(BM$1,$BD11,AllTriggers)</f>
        <v>#VALUE!</v>
      </c>
      <c r="BN11" s="47" t="e">
        <f>_xll.qlPolynomialFunctionValue(BN$1,$BD11,AllTriggers)</f>
        <v>#VALUE!</v>
      </c>
      <c r="BO11" s="47" t="e">
        <f>_xll.qlPolynomialFunctionValue(BO$1,$BD11,AllTriggers)</f>
        <v>#VALUE!</v>
      </c>
      <c r="BP11" s="47" t="e">
        <f>_xll.qlPolynomialFunctionValue(BP$1,$BD11,AllTriggers)</f>
        <v>#VALUE!</v>
      </c>
      <c r="BQ11" s="47">
        <f>_xll.qlPolynomialFunctionValue('6MSynthDepo_used'!$P$18,BD11,AllTriggers)</f>
        <v>1.6597611497922973E-3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0X"&amp;SUBSTITUTE($D$24,"M","")</f>
        <v>with 0X6</v>
      </c>
      <c r="T12" s="118"/>
      <c r="U12" s="117" t="str">
        <f>"without 0X"&amp;SUBSTITUTE($D$24,"M","")</f>
        <v>without 0X6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42289</v>
      </c>
      <c r="BD12" s="41">
        <f>_xll.qlDayCounterYearFraction(DayCounter,SettlementDate,BC12,,,Trigger)</f>
        <v>2.7777777777777776E-2</v>
      </c>
      <c r="BE12" s="47" t="e">
        <f>_xll.qlPolynomialFunctionValue(BE$1,$BD12,AllTriggers)</f>
        <v>#VALUE!</v>
      </c>
      <c r="BF12" s="47" t="e">
        <f>_xll.qlPolynomialFunctionValue(BF$1,$BD12,AllTriggers)</f>
        <v>#VALUE!</v>
      </c>
      <c r="BG12" s="47" t="e">
        <f>_xll.qlPolynomialFunctionValue(BG$1,$BD12,AllTriggers)</f>
        <v>#VALUE!</v>
      </c>
      <c r="BH12" s="47" t="e">
        <f>_xll.qlPolynomialFunctionValue(BH$1,$BD12,AllTriggers)</f>
        <v>#VALUE!</v>
      </c>
      <c r="BI12" s="47" t="e">
        <f>_xll.qlPolynomialFunctionValue(BI$1,$BD12,AllTriggers)</f>
        <v>#VALUE!</v>
      </c>
      <c r="BJ12" s="47" t="e">
        <f>_xll.qlPolynomialFunctionValue(BJ$1,$BD12,AllTriggers)</f>
        <v>#VALUE!</v>
      </c>
      <c r="BK12" s="47" t="e">
        <f>_xll.qlPolynomialFunctionValue(BK$1,$BD12,AllTriggers)</f>
        <v>#VALUE!</v>
      </c>
      <c r="BL12" s="47" t="e">
        <f>_xll.qlPolynomialFunctionValue(BL$1,$BD12,AllTriggers)</f>
        <v>#VALUE!</v>
      </c>
      <c r="BM12" s="47" t="e">
        <f>_xll.qlPolynomialFunctionValue(BM$1,$BD12,AllTriggers)</f>
        <v>#VALUE!</v>
      </c>
      <c r="BN12" s="47" t="e">
        <f>_xll.qlPolynomialFunctionValue(BN$1,$BD12,AllTriggers)</f>
        <v>#VALUE!</v>
      </c>
      <c r="BO12" s="47" t="e">
        <f>_xll.qlPolynomialFunctionValue(BO$1,$BD12,AllTriggers)</f>
        <v>#VALUE!</v>
      </c>
      <c r="BP12" s="47" t="e">
        <f>_xll.qlPolynomialFunctionValue(BP$1,$BD12,AllTriggers)</f>
        <v>#VALUE!</v>
      </c>
      <c r="BQ12" s="47">
        <f>_xll.qlPolynomialFunctionValue('6MSynthDepo_used'!$P$18,BD12,AllTriggers)</f>
        <v>1.6666493022995557E-3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"&amp;$D$24</f>
        <v>F 6M</v>
      </c>
      <c r="H13" s="36" t="str">
        <f>"B "&amp;$D$24</f>
        <v>B 6M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42290</v>
      </c>
      <c r="BD13" s="41">
        <f>_xll.qlDayCounterYearFraction(DayCounter,SettlementDate,BC13,,,Trigger)</f>
        <v>3.0555555555555555E-2</v>
      </c>
      <c r="BE13" s="47" t="e">
        <f>_xll.qlPolynomialFunctionValue(BE$1,$BD13,AllTriggers)</f>
        <v>#VALUE!</v>
      </c>
      <c r="BF13" s="47" t="e">
        <f>_xll.qlPolynomialFunctionValue(BF$1,$BD13,AllTriggers)</f>
        <v>#VALUE!</v>
      </c>
      <c r="BG13" s="47" t="e">
        <f>_xll.qlPolynomialFunctionValue(BG$1,$BD13,AllTriggers)</f>
        <v>#VALUE!</v>
      </c>
      <c r="BH13" s="47" t="e">
        <f>_xll.qlPolynomialFunctionValue(BH$1,$BD13,AllTriggers)</f>
        <v>#VALUE!</v>
      </c>
      <c r="BI13" s="47" t="e">
        <f>_xll.qlPolynomialFunctionValue(BI$1,$BD13,AllTriggers)</f>
        <v>#VALUE!</v>
      </c>
      <c r="BJ13" s="47" t="e">
        <f>_xll.qlPolynomialFunctionValue(BJ$1,$BD13,AllTriggers)</f>
        <v>#VALUE!</v>
      </c>
      <c r="BK13" s="47" t="e">
        <f>_xll.qlPolynomialFunctionValue(BK$1,$BD13,AllTriggers)</f>
        <v>#VALUE!</v>
      </c>
      <c r="BL13" s="47" t="e">
        <f>_xll.qlPolynomialFunctionValue(BL$1,$BD13,AllTriggers)</f>
        <v>#VALUE!</v>
      </c>
      <c r="BM13" s="47" t="e">
        <f>_xll.qlPolynomialFunctionValue(BM$1,$BD13,AllTriggers)</f>
        <v>#VALUE!</v>
      </c>
      <c r="BN13" s="47" t="e">
        <f>_xll.qlPolynomialFunctionValue(BN$1,$BD13,AllTriggers)</f>
        <v>#VALUE!</v>
      </c>
      <c r="BO13" s="47" t="e">
        <f>_xll.qlPolynomialFunctionValue(BO$1,$BD13,AllTriggers)</f>
        <v>#VALUE!</v>
      </c>
      <c r="BP13" s="47" t="e">
        <f>_xll.qlPolynomialFunctionValue(BP$1,$BD13,AllTriggers)</f>
        <v>#VALUE!</v>
      </c>
      <c r="BQ13" s="47">
        <f>_xll.qlPolynomialFunctionValue('6MSynthDepo_used'!$P$18,BD13,AllTriggers)</f>
        <v>1.6689327317756714E-3</v>
      </c>
    </row>
    <row r="14" spans="1:69" ht="12" customHeight="1" x14ac:dyDescent="0.2">
      <c r="A14" s="19">
        <f>A3</f>
        <v>0</v>
      </c>
      <c r="B14" s="55">
        <f t="shared" ref="B14:B20" si="8">A14+SUBSTITUTE($D$24,"M","")</f>
        <v>6</v>
      </c>
      <c r="C14" s="171" t="str">
        <f>"B"&amp;$D$24&amp;"_"&amp;A14&amp;"X"&amp;B14&amp;$D$28</f>
        <v>B6M_0X6ESTIMATED</v>
      </c>
      <c r="D14" s="186">
        <f>SettlementDate</f>
        <v>42279</v>
      </c>
      <c r="E14" s="186">
        <f>_xll.qlInterestRateIndexMaturity($D$25,D14)</f>
        <v>42464</v>
      </c>
      <c r="F14" s="172">
        <f>_xll.qlIndexFixing(ON_6M_index,_xll.qlInterestRateIndexFixingDate(ON_6M_index,D14,Trigger),,AllTriggers)</f>
        <v>-1.5581314027987706E-3</v>
      </c>
      <c r="G14" s="172" t="e">
        <f>H14+F14</f>
        <v>#NUM!</v>
      </c>
      <c r="H14" s="226" t="e">
        <f>_xll.qlQuoteValue(C14,_xll.ohTrigger(InterestRatesTrigger,'6MSynthDepo_used'!E3))</f>
        <v>#NUM!</v>
      </c>
      <c r="I14" s="173">
        <f>_xll.qlDayCounterYearFraction(DayCounter,SettlementDate,D14,,,Trigger)</f>
        <v>0</v>
      </c>
      <c r="J14" s="244">
        <f t="shared" ref="J14:J20" si="9">IF(($E$14-SettlementDate)-($D14-SettlementDate)&lt;0,0,($E$14-SettlementDate)-($D14-SettlementDate))</f>
        <v>185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303" t="s">
        <v>20</v>
      </c>
      <c r="AI14" s="29" t="e">
        <f t="array" ref="AI14:AI16">MMULT(AL14:AN16,AK14:AK16)</f>
        <v>#NUM!</v>
      </c>
      <c r="AJ14" s="303" t="s">
        <v>21</v>
      </c>
      <c r="AK14" s="56" t="e">
        <f t="array" ref="AK14:AK16">_xll.ohFilter(H3:H9,T3:T9)</f>
        <v>#NUM!</v>
      </c>
      <c r="AL14" s="27">
        <f t="array" ref="AL14:AN16">MINVERSE(AE14:AG16)</f>
        <v>68.535166578529882</v>
      </c>
      <c r="AM14" s="31">
        <v>-139.35483870967741</v>
      </c>
      <c r="AN14" s="28">
        <v>70.819672131147527</v>
      </c>
      <c r="AO14" s="101"/>
      <c r="AP14" s="94"/>
      <c r="AQ14" s="27">
        <f t="array" ref="AQ14:AQ16">_xll.ohFilter(R3:R9,T3:T9)</f>
        <v>4.5236232567443968E-2</v>
      </c>
      <c r="AR14" s="31">
        <f t="array" ref="AR14:AR16">_xll.ohFilter(Q3:Q9,T3:T9)</f>
        <v>0.13204089506172836</v>
      </c>
      <c r="AS14" s="28">
        <f t="array" ref="AS14:AS16">_xll.ohFilter(P3:P9,T3:T9)</f>
        <v>0.51388888888888884</v>
      </c>
      <c r="AT14" s="303" t="s">
        <v>20</v>
      </c>
      <c r="AU14" s="29" t="e">
        <f t="array" ref="AU14:AU16">MMULT(AX14:AZ16,AW14:AW16)</f>
        <v>#NUM!</v>
      </c>
      <c r="AV14" s="303" t="s">
        <v>21</v>
      </c>
      <c r="AW14" s="56" t="e">
        <f t="array" ref="AW14:AW16">_xll.ohFilter(M3:M9,T3:T9)</f>
        <v>#NUM!</v>
      </c>
      <c r="AX14" s="27">
        <f t="array" ref="AX14:AZ16">MINVERSE(AQ14:AS16)</f>
        <v>133.35378350576903</v>
      </c>
      <c r="AY14" s="31">
        <v>-266.65952025113256</v>
      </c>
      <c r="AZ14" s="28">
        <v>130.39116249802655</v>
      </c>
      <c r="BA14" s="101"/>
      <c r="BC14" s="178">
        <f>_xll.qlCalendarAdvance(Calendar,BC13,"1d","mf",,Trigger)</f>
        <v>42291</v>
      </c>
      <c r="BD14" s="41">
        <f>_xll.qlDayCounterYearFraction(DayCounter,SettlementDate,BC14,,,Trigger)</f>
        <v>3.3333333333333333E-2</v>
      </c>
      <c r="BE14" s="47" t="e">
        <f>_xll.qlPolynomialFunctionValue(BE$1,$BD14,AllTriggers)</f>
        <v>#VALUE!</v>
      </c>
      <c r="BF14" s="47" t="e">
        <f>_xll.qlPolynomialFunctionValue(BF$1,$BD14,AllTriggers)</f>
        <v>#VALUE!</v>
      </c>
      <c r="BG14" s="47" t="e">
        <f>_xll.qlPolynomialFunctionValue(BG$1,$BD14,AllTriggers)</f>
        <v>#VALUE!</v>
      </c>
      <c r="BH14" s="47" t="e">
        <f>_xll.qlPolynomialFunctionValue(BH$1,$BD14,AllTriggers)</f>
        <v>#VALUE!</v>
      </c>
      <c r="BI14" s="47" t="e">
        <f>_xll.qlPolynomialFunctionValue(BI$1,$BD14,AllTriggers)</f>
        <v>#VALUE!</v>
      </c>
      <c r="BJ14" s="47" t="e">
        <f>_xll.qlPolynomialFunctionValue(BJ$1,$BD14,AllTriggers)</f>
        <v>#VALUE!</v>
      </c>
      <c r="BK14" s="47" t="e">
        <f>_xll.qlPolynomialFunctionValue(BK$1,$BD14,AllTriggers)</f>
        <v>#VALUE!</v>
      </c>
      <c r="BL14" s="47" t="e">
        <f>_xll.qlPolynomialFunctionValue(BL$1,$BD14,AllTriggers)</f>
        <v>#VALUE!</v>
      </c>
      <c r="BM14" s="47" t="e">
        <f>_xll.qlPolynomialFunctionValue(BM$1,$BD14,AllTriggers)</f>
        <v>#VALUE!</v>
      </c>
      <c r="BN14" s="47" t="e">
        <f>_xll.qlPolynomialFunctionValue(BN$1,$BD14,AllTriggers)</f>
        <v>#VALUE!</v>
      </c>
      <c r="BO14" s="47" t="e">
        <f>_xll.qlPolynomialFunctionValue(BO$1,$BD14,AllTriggers)</f>
        <v>#VALUE!</v>
      </c>
      <c r="BP14" s="47" t="e">
        <f>_xll.qlPolynomialFunctionValue(BP$1,$BD14,AllTriggers)</f>
        <v>#VALUE!</v>
      </c>
      <c r="BQ14" s="47">
        <f>_xll.qlPolynomialFunctionValue('6MSynthDepo_used'!$P$18,BD14,AllTriggers)</f>
        <v>1.6712098762796763E-3</v>
      </c>
    </row>
    <row r="15" spans="1:69" ht="12" customHeight="1" x14ac:dyDescent="0.2">
      <c r="A15" s="21">
        <f t="shared" ref="A15:A20" si="10">A4</f>
        <v>1</v>
      </c>
      <c r="B15" s="55">
        <f t="shared" si="8"/>
        <v>7</v>
      </c>
      <c r="C15" s="39" t="str">
        <f t="shared" ref="C15:C20" si="11">"B"&amp;$D$24&amp;"_"&amp;A15&amp;"X"&amp;B15</f>
        <v>B6M_1X7</v>
      </c>
      <c r="D15" s="177">
        <f>_xll.qlCalendarAdvance(Calendar,SettlementDate,A15&amp;"M","mf")</f>
        <v>42310</v>
      </c>
      <c r="E15" s="177">
        <f>_xll.qlInterestRateIndexMaturity($D$25,D15)</f>
        <v>42492</v>
      </c>
      <c r="F15" s="53">
        <f>_xll.qlIndexFixing(ON_6M_index,_xll.qlInterestRateIndexFixingDate(ON_6M_index,D15,Trigger),,AllTriggers)</f>
        <v>-1.6193594075615929E-3</v>
      </c>
      <c r="G15" s="53" t="e">
        <f t="shared" ref="G15:G20" si="12">H15+F15</f>
        <v>#NUM!</v>
      </c>
      <c r="H15" s="202" t="e">
        <f>_xll.qlQuoteValue(C15,_xll.ohTrigger(InterestRatesTrigger,'6MSynthDepo_used'!E4))</f>
        <v>#NUM!</v>
      </c>
      <c r="I15" s="41">
        <f>_xll.qlDayCounterYearFraction(DayCounter,SettlementDate,D15,,,Trigger)</f>
        <v>8.611111111111111E-2</v>
      </c>
      <c r="J15" s="242">
        <f t="shared" si="9"/>
        <v>154</v>
      </c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7.4151234567901231E-3</v>
      </c>
      <c r="AF15" s="31">
        <v>8.611111111111111E-2</v>
      </c>
      <c r="AG15" s="28">
        <v>1</v>
      </c>
      <c r="AH15" s="303"/>
      <c r="AI15" s="29" t="e">
        <v>#NUM!</v>
      </c>
      <c r="AJ15" s="303"/>
      <c r="AK15" s="56" t="e">
        <v>#NUM!</v>
      </c>
      <c r="AL15" s="27">
        <v>-17.514542570068745</v>
      </c>
      <c r="AM15" s="31">
        <v>23.612903225806452</v>
      </c>
      <c r="AN15" s="28">
        <v>-6.0983606557377046</v>
      </c>
      <c r="AO15" s="101"/>
      <c r="AP15" s="94"/>
      <c r="AQ15" s="27">
        <v>6.8828632258802008E-2</v>
      </c>
      <c r="AR15" s="31">
        <v>0.17132716049382715</v>
      </c>
      <c r="AS15" s="28">
        <v>0.50555555555555554</v>
      </c>
      <c r="AT15" s="303"/>
      <c r="AU15" s="29" t="e">
        <v>#NUM!</v>
      </c>
      <c r="AV15" s="303"/>
      <c r="AW15" s="56" t="e">
        <v>#NUM!</v>
      </c>
      <c r="AX15" s="27">
        <v>-102.05167500344348</v>
      </c>
      <c r="AY15" s="31">
        <v>180.71943659488798</v>
      </c>
      <c r="AZ15" s="28">
        <v>-76.564904834057742</v>
      </c>
      <c r="BA15" s="101"/>
      <c r="BC15" s="178">
        <f>_xll.qlCalendarAdvance(Calendar,BC14,"1d","mf",,Trigger)</f>
        <v>42292</v>
      </c>
      <c r="BD15" s="41">
        <f>_xll.qlDayCounterYearFraction(DayCounter,SettlementDate,BC15,,,Trigger)</f>
        <v>3.6111111111111108E-2</v>
      </c>
      <c r="BE15" s="47" t="e">
        <f>_xll.qlPolynomialFunctionValue(BE$1,$BD15,AllTriggers)</f>
        <v>#VALUE!</v>
      </c>
      <c r="BF15" s="47" t="e">
        <f>_xll.qlPolynomialFunctionValue(BF$1,$BD15,AllTriggers)</f>
        <v>#VALUE!</v>
      </c>
      <c r="BG15" s="47" t="e">
        <f>_xll.qlPolynomialFunctionValue(BG$1,$BD15,AllTriggers)</f>
        <v>#VALUE!</v>
      </c>
      <c r="BH15" s="47" t="e">
        <f>_xll.qlPolynomialFunctionValue(BH$1,$BD15,AllTriggers)</f>
        <v>#VALUE!</v>
      </c>
      <c r="BI15" s="47" t="e">
        <f>_xll.qlPolynomialFunctionValue(BI$1,$BD15,AllTriggers)</f>
        <v>#VALUE!</v>
      </c>
      <c r="BJ15" s="47" t="e">
        <f>_xll.qlPolynomialFunctionValue(BJ$1,$BD15,AllTriggers)</f>
        <v>#VALUE!</v>
      </c>
      <c r="BK15" s="47" t="e">
        <f>_xll.qlPolynomialFunctionValue(BK$1,$BD15,AllTriggers)</f>
        <v>#VALUE!</v>
      </c>
      <c r="BL15" s="47" t="e">
        <f>_xll.qlPolynomialFunctionValue(BL$1,$BD15,AllTriggers)</f>
        <v>#VALUE!</v>
      </c>
      <c r="BM15" s="47" t="e">
        <f>_xll.qlPolynomialFunctionValue(BM$1,$BD15,AllTriggers)</f>
        <v>#VALUE!</v>
      </c>
      <c r="BN15" s="47" t="e">
        <f>_xll.qlPolynomialFunctionValue(BN$1,$BD15,AllTriggers)</f>
        <v>#VALUE!</v>
      </c>
      <c r="BO15" s="47" t="e">
        <f>_xll.qlPolynomialFunctionValue(BO$1,$BD15,AllTriggers)</f>
        <v>#VALUE!</v>
      </c>
      <c r="BP15" s="47" t="e">
        <f>_xll.qlPolynomialFunctionValue(BP$1,$BD15,AllTriggers)</f>
        <v>#VALUE!</v>
      </c>
      <c r="BQ15" s="47">
        <f>_xll.qlPolynomialFunctionValue('6MSynthDepo_used'!$P$18,BD15,AllTriggers)</f>
        <v>1.6734807512361952E-3</v>
      </c>
    </row>
    <row r="16" spans="1:69" ht="12" customHeight="1" x14ac:dyDescent="0.2">
      <c r="A16" s="21">
        <f t="shared" si="10"/>
        <v>2</v>
      </c>
      <c r="B16" s="55">
        <f t="shared" si="8"/>
        <v>8</v>
      </c>
      <c r="C16" s="39" t="str">
        <f t="shared" si="11"/>
        <v>B6M_2X8</v>
      </c>
      <c r="D16" s="177">
        <f>_xll.qlCalendarAdvance(Calendar,SettlementDate,A16&amp;"M","mf")</f>
        <v>42340</v>
      </c>
      <c r="E16" s="177">
        <f>_xll.qlInterestRateIndexMaturity($D$25,D16)</f>
        <v>42523</v>
      </c>
      <c r="F16" s="53">
        <f>_xll.qlIndexFixing(ON_6M_index,_xll.qlInterestRateIndexFixingDate(ON_6M_index,D16,Trigger),,AllTriggers)</f>
        <v>-1.6816667402538344E-3</v>
      </c>
      <c r="G16" s="53" t="e">
        <f t="shared" si="12"/>
        <v>#NUM!</v>
      </c>
      <c r="H16" s="202" t="e">
        <f>_xll.qlQuoteValue(C16,_xll.ohTrigger(InterestRatesTrigger,'6MSynthDepo_used'!E5))</f>
        <v>#NUM!</v>
      </c>
      <c r="I16" s="41">
        <f>_xll.qlDayCounterYearFraction(DayCounter,SettlementDate,D16,,,Trigger)</f>
        <v>0.16944444444444445</v>
      </c>
      <c r="J16" s="242">
        <f t="shared" si="9"/>
        <v>124</v>
      </c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2.8711419753086422E-2</v>
      </c>
      <c r="AF16" s="31">
        <v>0.16944444444444445</v>
      </c>
      <c r="AG16" s="28">
        <v>1</v>
      </c>
      <c r="AH16" s="303"/>
      <c r="AI16" s="29" t="e">
        <v>#NUM!</v>
      </c>
      <c r="AJ16" s="303"/>
      <c r="AK16" s="56" t="e">
        <v>#NUM!</v>
      </c>
      <c r="AL16" s="27">
        <v>1</v>
      </c>
      <c r="AM16" s="31">
        <v>0</v>
      </c>
      <c r="AN16" s="28">
        <v>0</v>
      </c>
      <c r="AO16" s="101"/>
      <c r="AP16" s="94"/>
      <c r="AQ16" s="27">
        <v>0.10216480195473253</v>
      </c>
      <c r="AR16" s="31">
        <v>0.21533564814814815</v>
      </c>
      <c r="AS16" s="28">
        <v>0.5083333333333333</v>
      </c>
      <c r="AT16" s="303"/>
      <c r="AU16" s="29" t="e">
        <v>#NUM!</v>
      </c>
      <c r="AV16" s="303"/>
      <c r="AW16" s="56" t="e">
        <v>#NUM!</v>
      </c>
      <c r="AX16" s="27">
        <v>16.428788261684264</v>
      </c>
      <c r="AY16" s="31">
        <v>-22.96154741572607</v>
      </c>
      <c r="AZ16" s="28">
        <v>8.1949497336095938</v>
      </c>
      <c r="BA16" s="101"/>
      <c r="BC16" s="178">
        <f>_xll.qlCalendarAdvance(Calendar,BC15,"1d","mf",,Trigger)</f>
        <v>42293</v>
      </c>
      <c r="BD16" s="41">
        <f>_xll.qlDayCounterYearFraction(DayCounter,SettlementDate,BC16,,,Trigger)</f>
        <v>3.888888888888889E-2</v>
      </c>
      <c r="BE16" s="47" t="e">
        <f>_xll.qlPolynomialFunctionValue(BE$1,$BD16,AllTriggers)</f>
        <v>#VALUE!</v>
      </c>
      <c r="BF16" s="47" t="e">
        <f>_xll.qlPolynomialFunctionValue(BF$1,$BD16,AllTriggers)</f>
        <v>#VALUE!</v>
      </c>
      <c r="BG16" s="47" t="e">
        <f>_xll.qlPolynomialFunctionValue(BG$1,$BD16,AllTriggers)</f>
        <v>#VALUE!</v>
      </c>
      <c r="BH16" s="47" t="e">
        <f>_xll.qlPolynomialFunctionValue(BH$1,$BD16,AllTriggers)</f>
        <v>#VALUE!</v>
      </c>
      <c r="BI16" s="47" t="e">
        <f>_xll.qlPolynomialFunctionValue(BI$1,$BD16,AllTriggers)</f>
        <v>#VALUE!</v>
      </c>
      <c r="BJ16" s="47" t="e">
        <f>_xll.qlPolynomialFunctionValue(BJ$1,$BD16,AllTriggers)</f>
        <v>#VALUE!</v>
      </c>
      <c r="BK16" s="47" t="e">
        <f>_xll.qlPolynomialFunctionValue(BK$1,$BD16,AllTriggers)</f>
        <v>#VALUE!</v>
      </c>
      <c r="BL16" s="47" t="e">
        <f>_xll.qlPolynomialFunctionValue(BL$1,$BD16,AllTriggers)</f>
        <v>#VALUE!</v>
      </c>
      <c r="BM16" s="47" t="e">
        <f>_xll.qlPolynomialFunctionValue(BM$1,$BD16,AllTriggers)</f>
        <v>#VALUE!</v>
      </c>
      <c r="BN16" s="47" t="e">
        <f>_xll.qlPolynomialFunctionValue(BN$1,$BD16,AllTriggers)</f>
        <v>#VALUE!</v>
      </c>
      <c r="BO16" s="47" t="e">
        <f>_xll.qlPolynomialFunctionValue(BO$1,$BD16,AllTriggers)</f>
        <v>#VALUE!</v>
      </c>
      <c r="BP16" s="47" t="e">
        <f>_xll.qlPolynomialFunctionValue(BP$1,$BD16,AllTriggers)</f>
        <v>#VALUE!</v>
      </c>
      <c r="BQ16" s="47">
        <f>_xll.qlPolynomialFunctionValue('6MSynthDepo_used'!$P$18,BD16,AllTriggers)</f>
        <v>1.6757453720698525E-3</v>
      </c>
    </row>
    <row r="17" spans="1:69" ht="12" customHeight="1" x14ac:dyDescent="0.2">
      <c r="A17" s="21">
        <f t="shared" si="10"/>
        <v>3</v>
      </c>
      <c r="B17" s="55">
        <f t="shared" si="8"/>
        <v>9</v>
      </c>
      <c r="C17" s="39" t="str">
        <f t="shared" si="11"/>
        <v>B6M_3X9</v>
      </c>
      <c r="D17" s="177">
        <f>_xll.qlCalendarAdvance(Calendar,SettlementDate,A17&amp;"M","mf")</f>
        <v>42373</v>
      </c>
      <c r="E17" s="177">
        <f>_xll.qlInterestRateIndexMaturity($D$25,D17)</f>
        <v>42555</v>
      </c>
      <c r="F17" s="53">
        <f>_xll.qlIndexFixing(ON_6M_index,_xll.qlInterestRateIndexFixingDate(ON_6M_index,D17,Trigger),,AllTriggers)</f>
        <v>-1.7567923896797668E-3</v>
      </c>
      <c r="G17" s="53" t="e">
        <f t="shared" si="12"/>
        <v>#NUM!</v>
      </c>
      <c r="H17" s="202" t="e">
        <f>_xll.qlQuoteValue(C17,_xll.ohTrigger(InterestRatesTrigger,'6MSynthDepo_used'!E6))</f>
        <v>#NUM!</v>
      </c>
      <c r="I17" s="41">
        <f>_xll.qlDayCounterYearFraction(DayCounter,SettlementDate,D17,,,Trigger)</f>
        <v>0.26111111111111113</v>
      </c>
      <c r="J17" s="242">
        <f t="shared" si="9"/>
        <v>91</v>
      </c>
      <c r="P17" s="55"/>
      <c r="Q17" s="55"/>
      <c r="R17" s="55"/>
      <c r="S17" s="114" t="b">
        <v>1</v>
      </c>
      <c r="T17" s="114" t="b">
        <v>1</v>
      </c>
      <c r="U17" s="114" t="b">
        <v>1</v>
      </c>
      <c r="V17" s="114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42296</v>
      </c>
      <c r="BD17" s="41">
        <f>_xll.qlDayCounterYearFraction(DayCounter,SettlementDate,BC17,,,Trigger)</f>
        <v>4.7222222222222221E-2</v>
      </c>
      <c r="BE17" s="47" t="e">
        <f>_xll.qlPolynomialFunctionValue(BE$1,$BD17,AllTriggers)</f>
        <v>#VALUE!</v>
      </c>
      <c r="BF17" s="47" t="e">
        <f>_xll.qlPolynomialFunctionValue(BF$1,$BD17,AllTriggers)</f>
        <v>#VALUE!</v>
      </c>
      <c r="BG17" s="47" t="e">
        <f>_xll.qlPolynomialFunctionValue(BG$1,$BD17,AllTriggers)</f>
        <v>#VALUE!</v>
      </c>
      <c r="BH17" s="47" t="e">
        <f>_xll.qlPolynomialFunctionValue(BH$1,$BD17,AllTriggers)</f>
        <v>#VALUE!</v>
      </c>
      <c r="BI17" s="47" t="e">
        <f>_xll.qlPolynomialFunctionValue(BI$1,$BD17,AllTriggers)</f>
        <v>#VALUE!</v>
      </c>
      <c r="BJ17" s="47" t="e">
        <f>_xll.qlPolynomialFunctionValue(BJ$1,$BD17,AllTriggers)</f>
        <v>#VALUE!</v>
      </c>
      <c r="BK17" s="47" t="e">
        <f>_xll.qlPolynomialFunctionValue(BK$1,$BD17,AllTriggers)</f>
        <v>#VALUE!</v>
      </c>
      <c r="BL17" s="47" t="e">
        <f>_xll.qlPolynomialFunctionValue(BL$1,$BD17,AllTriggers)</f>
        <v>#VALUE!</v>
      </c>
      <c r="BM17" s="47" t="e">
        <f>_xll.qlPolynomialFunctionValue(BM$1,$BD17,AllTriggers)</f>
        <v>#VALUE!</v>
      </c>
      <c r="BN17" s="47" t="e">
        <f>_xll.qlPolynomialFunctionValue(BN$1,$BD17,AllTriggers)</f>
        <v>#VALUE!</v>
      </c>
      <c r="BO17" s="47" t="e">
        <f>_xll.qlPolynomialFunctionValue(BO$1,$BD17,AllTriggers)</f>
        <v>#VALUE!</v>
      </c>
      <c r="BP17" s="47" t="e">
        <f>_xll.qlPolynomialFunctionValue(BP$1,$BD17,AllTriggers)</f>
        <v>#VALUE!</v>
      </c>
      <c r="BQ17" s="47">
        <f>_xll.qlPolynomialFunctionValue('6MSynthDepo_used'!$P$18,BD17,AllTriggers)</f>
        <v>1.6825018640799021E-3</v>
      </c>
    </row>
    <row r="18" spans="1:69" ht="12" customHeight="1" x14ac:dyDescent="0.2">
      <c r="A18" s="21">
        <f t="shared" si="10"/>
        <v>4</v>
      </c>
      <c r="B18" s="55">
        <f t="shared" si="8"/>
        <v>10</v>
      </c>
      <c r="C18" s="39" t="str">
        <f t="shared" si="11"/>
        <v>B6M_4X10</v>
      </c>
      <c r="D18" s="177">
        <f>_xll.qlCalendarAdvance(Calendar,SettlementDate,A18&amp;"M","mf")</f>
        <v>42402</v>
      </c>
      <c r="E18" s="177">
        <f>_xll.qlInterestRateIndexMaturity($D$25,D18)</f>
        <v>42584</v>
      </c>
      <c r="F18" s="53">
        <f>_xll.qlIndexFixing(ON_6M_index,_xll.qlInterestRateIndexFixingDate(ON_6M_index,D18,Trigger),,AllTriggers)</f>
        <v>-1.8096504771476678E-3</v>
      </c>
      <c r="G18" s="53" t="e">
        <f t="shared" si="12"/>
        <v>#NUM!</v>
      </c>
      <c r="H18" s="202" t="e">
        <f>_xll.qlQuoteValue(C18,_xll.ohTrigger(InterestRatesTrigger,'6MSynthDepo_used'!E7))</f>
        <v>#NUM!</v>
      </c>
      <c r="I18" s="41">
        <f>_xll.qlDayCounterYearFraction(DayCounter,SettlementDate,D18,,,Trigger)</f>
        <v>0.34166666666666667</v>
      </c>
      <c r="J18" s="242">
        <f t="shared" si="9"/>
        <v>62</v>
      </c>
      <c r="P18" s="55"/>
      <c r="Q18" s="55"/>
      <c r="R18" s="55"/>
      <c r="S18" s="114" t="b">
        <v>1</v>
      </c>
      <c r="T18" s="114" t="b">
        <v>1</v>
      </c>
      <c r="U18" s="114" t="b">
        <v>1</v>
      </c>
      <c r="V18" s="114" t="b">
        <v>1</v>
      </c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42297</v>
      </c>
      <c r="BD18" s="41">
        <f>_xll.qlDayCounterYearFraction(DayCounter,SettlementDate,BC18,,,Trigger)</f>
        <v>0.05</v>
      </c>
      <c r="BE18" s="47" t="e">
        <f>_xll.qlPolynomialFunctionValue(BE$1,$BD18,AllTriggers)</f>
        <v>#VALUE!</v>
      </c>
      <c r="BF18" s="47" t="e">
        <f>_xll.qlPolynomialFunctionValue(BF$1,$BD18,AllTriggers)</f>
        <v>#VALUE!</v>
      </c>
      <c r="BG18" s="47" t="e">
        <f>_xll.qlPolynomialFunctionValue(BG$1,$BD18,AllTriggers)</f>
        <v>#VALUE!</v>
      </c>
      <c r="BH18" s="47" t="e">
        <f>_xll.qlPolynomialFunctionValue(BH$1,$BD18,AllTriggers)</f>
        <v>#VALUE!</v>
      </c>
      <c r="BI18" s="47" t="e">
        <f>_xll.qlPolynomialFunctionValue(BI$1,$BD18,AllTriggers)</f>
        <v>#VALUE!</v>
      </c>
      <c r="BJ18" s="47" t="e">
        <f>_xll.qlPolynomialFunctionValue(BJ$1,$BD18,AllTriggers)</f>
        <v>#VALUE!</v>
      </c>
      <c r="BK18" s="47" t="e">
        <f>_xll.qlPolynomialFunctionValue(BK$1,$BD18,AllTriggers)</f>
        <v>#VALUE!</v>
      </c>
      <c r="BL18" s="47" t="e">
        <f>_xll.qlPolynomialFunctionValue(BL$1,$BD18,AllTriggers)</f>
        <v>#VALUE!</v>
      </c>
      <c r="BM18" s="47" t="e">
        <f>_xll.qlPolynomialFunctionValue(BM$1,$BD18,AllTriggers)</f>
        <v>#VALUE!</v>
      </c>
      <c r="BN18" s="47" t="e">
        <f>_xll.qlPolynomialFunctionValue(BN$1,$BD18,AllTriggers)</f>
        <v>#VALUE!</v>
      </c>
      <c r="BO18" s="47" t="e">
        <f>_xll.qlPolynomialFunctionValue(BO$1,$BD18,AllTriggers)</f>
        <v>#VALUE!</v>
      </c>
      <c r="BP18" s="47" t="e">
        <f>_xll.qlPolynomialFunctionValue(BP$1,$BD18,AllTriggers)</f>
        <v>#VALUE!</v>
      </c>
      <c r="BQ18" s="47">
        <f>_xll.qlPolynomialFunctionValue('6MSynthDepo_used'!$P$18,BD18,AllTriggers)</f>
        <v>1.68474162266836E-3</v>
      </c>
    </row>
    <row r="19" spans="1:69" ht="12" customHeight="1" x14ac:dyDescent="0.2">
      <c r="A19" s="21">
        <f t="shared" si="10"/>
        <v>5</v>
      </c>
      <c r="B19" s="55">
        <f t="shared" si="8"/>
        <v>11</v>
      </c>
      <c r="C19" s="39" t="str">
        <f t="shared" si="11"/>
        <v>B6M_5X11</v>
      </c>
      <c r="D19" s="177">
        <f>_xll.qlCalendarAdvance(Calendar,SettlementDate,A19&amp;"M","mf")</f>
        <v>42431</v>
      </c>
      <c r="E19" s="177">
        <f>_xll.qlInterestRateIndexMaturity($D$25,D19)</f>
        <v>42615</v>
      </c>
      <c r="F19" s="53">
        <f>_xll.qlIndexFixing(ON_6M_index,_xll.qlInterestRateIndexFixingDate(ON_6M_index,D19,Trigger),,AllTriggers)</f>
        <v>-1.8559392549738728E-3</v>
      </c>
      <c r="G19" s="53" t="e">
        <f t="shared" si="12"/>
        <v>#NUM!</v>
      </c>
      <c r="H19" s="202" t="e">
        <f>_xll.qlQuoteValue(C19,_xll.ohTrigger(InterestRatesTrigger,'6MSynthDepo_used'!E8))</f>
        <v>#NUM!</v>
      </c>
      <c r="I19" s="41">
        <f>_xll.qlDayCounterYearFraction(DayCounter,SettlementDate,D19,,,Trigger)</f>
        <v>0.42222222222222222</v>
      </c>
      <c r="J19" s="242">
        <f t="shared" si="9"/>
        <v>33</v>
      </c>
      <c r="P19" s="55"/>
      <c r="Q19" s="55"/>
      <c r="R19" s="55"/>
      <c r="S19" s="114" t="b">
        <v>1</v>
      </c>
      <c r="T19" s="114" t="b">
        <v>1</v>
      </c>
      <c r="U19" s="114" t="b">
        <v>1</v>
      </c>
      <c r="V19" s="114" t="b">
        <v>1</v>
      </c>
      <c r="AD19" s="94"/>
      <c r="AE19" s="27">
        <f t="array" ref="AE19:AE21">_xll.ohFilter(L3:L9,V3:V9)</f>
        <v>7.4151234567901231E-3</v>
      </c>
      <c r="AF19" s="31">
        <f t="array" ref="AF19:AF21">_xll.ohFilter(K3:K9,V3:V9)</f>
        <v>8.611111111111111E-2</v>
      </c>
      <c r="AG19" s="28">
        <f t="array" ref="AG19:AG21">_xll.ohFilter(J3:J9,V3:V9)</f>
        <v>1</v>
      </c>
      <c r="AH19" s="303" t="s">
        <v>20</v>
      </c>
      <c r="AI19" s="29" t="e">
        <f t="array" ref="AI19:AI21">MMULT(AL19:AN21,AK19:AK21)</f>
        <v>#NUM!</v>
      </c>
      <c r="AJ19" s="303" t="s">
        <v>21</v>
      </c>
      <c r="AK19" s="56" t="e">
        <f t="array" ref="AK19:AK21">_xll.ohFilter(H3:H9,V3:V9)</f>
        <v>#NUM!</v>
      </c>
      <c r="AL19" s="27">
        <f t="array" ref="AL19:AN21">MINVERSE(AE19:AG21)</f>
        <v>68.571428571428513</v>
      </c>
      <c r="AM19" s="31">
        <v>-130.90909090909076</v>
      </c>
      <c r="AN19" s="28">
        <v>62.33766233766228</v>
      </c>
      <c r="AO19" s="101"/>
      <c r="AP19" s="94"/>
      <c r="AQ19" s="27">
        <f t="array" ref="AQ19:AQ21">_xll.ohFilter(R3:R9,V3:V9)</f>
        <v>6.8828632258802008E-2</v>
      </c>
      <c r="AR19" s="31">
        <f t="array" ref="AR19:AR21">_xll.ohFilter(Q3:Q9,V3:V9)</f>
        <v>0.17132716049382715</v>
      </c>
      <c r="AS19" s="28">
        <f t="array" ref="AS19:AS21">_xll.ohFilter(P3:P9,V3:V9)</f>
        <v>0.50555555555555554</v>
      </c>
      <c r="AT19" s="303" t="s">
        <v>20</v>
      </c>
      <c r="AU19" s="29" t="e">
        <f t="array" ref="AU19:AU21">MMULT(AX19:AZ21,AW19:AW21)</f>
        <v>#NUM!</v>
      </c>
      <c r="AV19" s="303" t="s">
        <v>21</v>
      </c>
      <c r="AW19" s="56" t="e">
        <f t="array" ref="AW19:AW21">_xll.ohFilter(M3:M9,V3:V9)</f>
        <v>#NUM!</v>
      </c>
      <c r="AX19" s="27">
        <f t="array" ref="AX19:AZ21">MINVERSE(AQ19:AS21)</f>
        <v>137.63562667044371</v>
      </c>
      <c r="AY19" s="31">
        <v>-265.34343764662577</v>
      </c>
      <c r="AZ19" s="28">
        <v>129.16574195226247</v>
      </c>
      <c r="BA19" s="101"/>
      <c r="BC19" s="178">
        <f>_xll.qlCalendarAdvance(Calendar,BC18,"1d","mf",,Trigger)</f>
        <v>42298</v>
      </c>
      <c r="BD19" s="41">
        <f>_xll.qlDayCounterYearFraction(DayCounter,SettlementDate,BC19,,,Trigger)</f>
        <v>5.2777777777777778E-2</v>
      </c>
      <c r="BE19" s="47" t="e">
        <f>_xll.qlPolynomialFunctionValue(BE$1,$BD19,AllTriggers)</f>
        <v>#VALUE!</v>
      </c>
      <c r="BF19" s="47" t="e">
        <f>_xll.qlPolynomialFunctionValue(BF$1,$BD19,AllTriggers)</f>
        <v>#VALUE!</v>
      </c>
      <c r="BG19" s="47" t="e">
        <f>_xll.qlPolynomialFunctionValue(BG$1,$BD19,AllTriggers)</f>
        <v>#VALUE!</v>
      </c>
      <c r="BH19" s="47" t="e">
        <f>_xll.qlPolynomialFunctionValue(BH$1,$BD19,AllTriggers)</f>
        <v>#VALUE!</v>
      </c>
      <c r="BI19" s="47" t="e">
        <f>_xll.qlPolynomialFunctionValue(BI$1,$BD19,AllTriggers)</f>
        <v>#VALUE!</v>
      </c>
      <c r="BJ19" s="47" t="e">
        <f>_xll.qlPolynomialFunctionValue(BJ$1,$BD19,AllTriggers)</f>
        <v>#VALUE!</v>
      </c>
      <c r="BK19" s="47" t="e">
        <f>_xll.qlPolynomialFunctionValue(BK$1,$BD19,AllTriggers)</f>
        <v>#VALUE!</v>
      </c>
      <c r="BL19" s="47" t="e">
        <f>_xll.qlPolynomialFunctionValue(BL$1,$BD19,AllTriggers)</f>
        <v>#VALUE!</v>
      </c>
      <c r="BM19" s="47" t="e">
        <f>_xll.qlPolynomialFunctionValue(BM$1,$BD19,AllTriggers)</f>
        <v>#VALUE!</v>
      </c>
      <c r="BN19" s="47" t="e">
        <f>_xll.qlPolynomialFunctionValue(BN$1,$BD19,AllTriggers)</f>
        <v>#VALUE!</v>
      </c>
      <c r="BO19" s="47" t="e">
        <f>_xll.qlPolynomialFunctionValue(BO$1,$BD19,AllTriggers)</f>
        <v>#VALUE!</v>
      </c>
      <c r="BP19" s="47" t="e">
        <f>_xll.qlPolynomialFunctionValue(BP$1,$BD19,AllTriggers)</f>
        <v>#VALUE!</v>
      </c>
      <c r="BQ19" s="47">
        <f>_xll.qlPolynomialFunctionValue('6MSynthDepo_used'!$P$18,BD19,AllTriggers)</f>
        <v>1.6869752042570798E-3</v>
      </c>
    </row>
    <row r="20" spans="1:69" ht="12" customHeight="1" x14ac:dyDescent="0.2">
      <c r="A20" s="21">
        <f t="shared" si="10"/>
        <v>6</v>
      </c>
      <c r="B20" s="55">
        <f t="shared" si="8"/>
        <v>12</v>
      </c>
      <c r="C20" s="42" t="str">
        <f t="shared" si="11"/>
        <v>B6M_6X12</v>
      </c>
      <c r="D20" s="181">
        <f>_xll.qlCalendarAdvance(Calendar,SettlementDate,A20&amp;"M","mf")</f>
        <v>42464</v>
      </c>
      <c r="E20" s="181">
        <f>_xll.qlInterestRateIndexMaturity($D$25,D20)</f>
        <v>42647</v>
      </c>
      <c r="F20" s="54">
        <f>_xll.qlIndexFixing(ON_6M_index,_xll.qlInterestRateIndexFixingDate(ON_6M_index,D20,Trigger),,AllTriggers)</f>
        <v>-1.9011608091102535E-3</v>
      </c>
      <c r="G20" s="54" t="e">
        <f t="shared" si="12"/>
        <v>#NUM!</v>
      </c>
      <c r="H20" s="203" t="e">
        <f>_xll.qlQuoteValue(C20,_xll.ohTrigger(InterestRatesTrigger,'6MSynthDepo_used'!E9))</f>
        <v>#NUM!</v>
      </c>
      <c r="I20" s="44">
        <f>_xll.qlDayCounterYearFraction(DayCounter,SettlementDate,D20,,,Trigger)</f>
        <v>0.51388888888888884</v>
      </c>
      <c r="J20" s="243">
        <f t="shared" si="9"/>
        <v>0</v>
      </c>
      <c r="P20" s="55"/>
      <c r="Q20" s="55"/>
      <c r="R20" s="55"/>
      <c r="S20" s="150" t="b">
        <v>1</v>
      </c>
      <c r="T20" s="150" t="b">
        <v>1</v>
      </c>
      <c r="U20" s="150" t="b">
        <v>1</v>
      </c>
      <c r="V20" s="150" t="b">
        <v>1</v>
      </c>
      <c r="AD20" s="94"/>
      <c r="AE20" s="27">
        <v>2.8711419753086422E-2</v>
      </c>
      <c r="AF20" s="31">
        <v>0.16944444444444445</v>
      </c>
      <c r="AG20" s="28">
        <v>1</v>
      </c>
      <c r="AH20" s="303"/>
      <c r="AI20" s="29" t="e">
        <v>#NUM!</v>
      </c>
      <c r="AJ20" s="303"/>
      <c r="AK20" s="56" t="e">
        <v>#NUM!</v>
      </c>
      <c r="AL20" s="27">
        <v>-29.523809523809504</v>
      </c>
      <c r="AM20" s="31">
        <v>45.454545454545418</v>
      </c>
      <c r="AN20" s="28">
        <v>-15.930735930735915</v>
      </c>
      <c r="AO20" s="101"/>
      <c r="AP20" s="94"/>
      <c r="AQ20" s="27">
        <v>0.10216480195473253</v>
      </c>
      <c r="AR20" s="31">
        <v>0.21533564814814815</v>
      </c>
      <c r="AS20" s="28">
        <v>0.5083333333333333</v>
      </c>
      <c r="AT20" s="303"/>
      <c r="AU20" s="29" t="e">
        <v>#NUM!</v>
      </c>
      <c r="AV20" s="303"/>
      <c r="AW20" s="56" t="e">
        <v>#NUM!</v>
      </c>
      <c r="AX20" s="27">
        <v>-128.67558658662696</v>
      </c>
      <c r="AY20" s="31">
        <v>226.27898710420587</v>
      </c>
      <c r="AZ20" s="28">
        <v>-98.846691655514093</v>
      </c>
      <c r="BA20" s="101"/>
      <c r="BC20" s="178">
        <f>_xll.qlCalendarAdvance(Calendar,BC19,"1d","mf",,Trigger)</f>
        <v>42299</v>
      </c>
      <c r="BD20" s="41">
        <f>_xll.qlDayCounterYearFraction(DayCounter,SettlementDate,BC20,,,Trigger)</f>
        <v>5.5555555555555552E-2</v>
      </c>
      <c r="BE20" s="47" t="e">
        <f>_xll.qlPolynomialFunctionValue(BE$1,$BD20,AllTriggers)</f>
        <v>#VALUE!</v>
      </c>
      <c r="BF20" s="47" t="e">
        <f>_xll.qlPolynomialFunctionValue(BF$1,$BD20,AllTriggers)</f>
        <v>#VALUE!</v>
      </c>
      <c r="BG20" s="47" t="e">
        <f>_xll.qlPolynomialFunctionValue(BG$1,$BD20,AllTriggers)</f>
        <v>#VALUE!</v>
      </c>
      <c r="BH20" s="47" t="e">
        <f>_xll.qlPolynomialFunctionValue(BH$1,$BD20,AllTriggers)</f>
        <v>#VALUE!</v>
      </c>
      <c r="BI20" s="47" t="e">
        <f>_xll.qlPolynomialFunctionValue(BI$1,$BD20,AllTriggers)</f>
        <v>#VALUE!</v>
      </c>
      <c r="BJ20" s="47" t="e">
        <f>_xll.qlPolynomialFunctionValue(BJ$1,$BD20,AllTriggers)</f>
        <v>#VALUE!</v>
      </c>
      <c r="BK20" s="47" t="e">
        <f>_xll.qlPolynomialFunctionValue(BK$1,$BD20,AllTriggers)</f>
        <v>#VALUE!</v>
      </c>
      <c r="BL20" s="47" t="e">
        <f>_xll.qlPolynomialFunctionValue(BL$1,$BD20,AllTriggers)</f>
        <v>#VALUE!</v>
      </c>
      <c r="BM20" s="47" t="e">
        <f>_xll.qlPolynomialFunctionValue(BM$1,$BD20,AllTriggers)</f>
        <v>#VALUE!</v>
      </c>
      <c r="BN20" s="47" t="e">
        <f>_xll.qlPolynomialFunctionValue(BN$1,$BD20,AllTriggers)</f>
        <v>#VALUE!</v>
      </c>
      <c r="BO20" s="47" t="e">
        <f>_xll.qlPolynomialFunctionValue(BO$1,$BD20,AllTriggers)</f>
        <v>#VALUE!</v>
      </c>
      <c r="BP20" s="47" t="e">
        <f>_xll.qlPolynomialFunctionValue(BP$1,$BD20,AllTriggers)</f>
        <v>#VALUE!</v>
      </c>
      <c r="BQ20" s="47">
        <f>_xll.qlPolynomialFunctionValue('6MSynthDepo_used'!$P$18,BD20,AllTriggers)</f>
        <v>1.6892026242706858E-3</v>
      </c>
    </row>
    <row r="21" spans="1:69" ht="12" customHeight="1" x14ac:dyDescent="0.2">
      <c r="A21" s="21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W21" s="55"/>
      <c r="AD21" s="94"/>
      <c r="AE21" s="27">
        <v>6.8179012345679024E-2</v>
      </c>
      <c r="AF21" s="31">
        <v>0.26111111111111113</v>
      </c>
      <c r="AG21" s="28">
        <v>1</v>
      </c>
      <c r="AH21" s="303"/>
      <c r="AI21" s="29" t="e">
        <v>#NUM!</v>
      </c>
      <c r="AJ21" s="303"/>
      <c r="AK21" s="56" t="e">
        <v>#NUM!</v>
      </c>
      <c r="AL21" s="27">
        <v>3.0338624338624327</v>
      </c>
      <c r="AM21" s="31">
        <v>-2.9434343434343413</v>
      </c>
      <c r="AN21" s="28">
        <v>0.9095719095719087</v>
      </c>
      <c r="AO21" s="101"/>
      <c r="AP21" s="94"/>
      <c r="AQ21" s="27">
        <v>0.14427577732053043</v>
      </c>
      <c r="AR21" s="31">
        <v>0.25979938271604941</v>
      </c>
      <c r="AS21" s="28">
        <v>0.50555555555555554</v>
      </c>
      <c r="AT21" s="303"/>
      <c r="AU21" s="29" t="e">
        <v>#NUM!</v>
      </c>
      <c r="AV21" s="303"/>
      <c r="AW21" s="56" t="e">
        <v>#NUM!</v>
      </c>
      <c r="AX21" s="27">
        <v>26.84640845463559</v>
      </c>
      <c r="AY21" s="31">
        <v>-40.558372314561012</v>
      </c>
      <c r="AZ21" s="28">
        <v>15.912834037477955</v>
      </c>
      <c r="BA21" s="101"/>
      <c r="BC21" s="178">
        <f>_xll.qlCalendarAdvance(Calendar,BC20,"1d","mf",,Trigger)</f>
        <v>42300</v>
      </c>
      <c r="BD21" s="41">
        <f>_xll.qlDayCounterYearFraction(DayCounter,SettlementDate,BC21,,,Trigger)</f>
        <v>5.8333333333333334E-2</v>
      </c>
      <c r="BE21" s="47" t="e">
        <f>_xll.qlPolynomialFunctionValue(BE$1,$BD21,AllTriggers)</f>
        <v>#VALUE!</v>
      </c>
      <c r="BF21" s="47" t="e">
        <f>_xll.qlPolynomialFunctionValue(BF$1,$BD21,AllTriggers)</f>
        <v>#VALUE!</v>
      </c>
      <c r="BG21" s="47" t="e">
        <f>_xll.qlPolynomialFunctionValue(BG$1,$BD21,AllTriggers)</f>
        <v>#VALUE!</v>
      </c>
      <c r="BH21" s="47" t="e">
        <f>_xll.qlPolynomialFunctionValue(BH$1,$BD21,AllTriggers)</f>
        <v>#VALUE!</v>
      </c>
      <c r="BI21" s="47" t="e">
        <f>_xll.qlPolynomialFunctionValue(BI$1,$BD21,AllTriggers)</f>
        <v>#VALUE!</v>
      </c>
      <c r="BJ21" s="47" t="e">
        <f>_xll.qlPolynomialFunctionValue(BJ$1,$BD21,AllTriggers)</f>
        <v>#VALUE!</v>
      </c>
      <c r="BK21" s="47" t="e">
        <f>_xll.qlPolynomialFunctionValue(BK$1,$BD21,AllTriggers)</f>
        <v>#VALUE!</v>
      </c>
      <c r="BL21" s="47" t="e">
        <f>_xll.qlPolynomialFunctionValue(BL$1,$BD21,AllTriggers)</f>
        <v>#VALUE!</v>
      </c>
      <c r="BM21" s="47" t="e">
        <f>_xll.qlPolynomialFunctionValue(BM$1,$BD21,AllTriggers)</f>
        <v>#VALUE!</v>
      </c>
      <c r="BN21" s="47" t="e">
        <f>_xll.qlPolynomialFunctionValue(BN$1,$BD21,AllTriggers)</f>
        <v>#VALUE!</v>
      </c>
      <c r="BO21" s="47" t="e">
        <f>_xll.qlPolynomialFunctionValue(BO$1,$BD21,AllTriggers)</f>
        <v>#VALUE!</v>
      </c>
      <c r="BP21" s="47" t="e">
        <f>_xll.qlPolynomialFunctionValue(BP$1,$BD21,AllTriggers)</f>
        <v>#VALUE!</v>
      </c>
      <c r="BQ21" s="47">
        <f>_xll.qlPolynomialFunctionValue('6MSynthDepo_used'!$P$18,BD21,AllTriggers)</f>
        <v>1.6914238981338031E-3</v>
      </c>
    </row>
    <row r="22" spans="1:69" ht="12" customHeight="1" x14ac:dyDescent="0.2">
      <c r="H22" s="21"/>
      <c r="I22" s="21"/>
      <c r="J22" s="21"/>
      <c r="L22" s="21"/>
      <c r="M22" s="21"/>
      <c r="N22" s="21"/>
      <c r="P22" s="21"/>
      <c r="Q22" s="21"/>
      <c r="R22" s="21"/>
      <c r="X22" s="21"/>
      <c r="Y22" s="21"/>
      <c r="Z22" s="21"/>
      <c r="AA22" s="21"/>
      <c r="AB22" s="21"/>
      <c r="AC22" s="21"/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42303</v>
      </c>
      <c r="BD22" s="41">
        <f>_xll.qlDayCounterYearFraction(DayCounter,SettlementDate,BC22,,,Trigger)</f>
        <v>6.6666666666666666E-2</v>
      </c>
      <c r="BE22" s="47" t="e">
        <f>_xll.qlPolynomialFunctionValue(BE$1,$BD22,AllTriggers)</f>
        <v>#VALUE!</v>
      </c>
      <c r="BF22" s="47" t="e">
        <f>_xll.qlPolynomialFunctionValue(BF$1,$BD22,AllTriggers)</f>
        <v>#VALUE!</v>
      </c>
      <c r="BG22" s="47" t="e">
        <f>_xll.qlPolynomialFunctionValue(BG$1,$BD22,AllTriggers)</f>
        <v>#VALUE!</v>
      </c>
      <c r="BH22" s="47" t="e">
        <f>_xll.qlPolynomialFunctionValue(BH$1,$BD22,AllTriggers)</f>
        <v>#VALUE!</v>
      </c>
      <c r="BI22" s="47" t="e">
        <f>_xll.qlPolynomialFunctionValue(BI$1,$BD22,AllTriggers)</f>
        <v>#VALUE!</v>
      </c>
      <c r="BJ22" s="47" t="e">
        <f>_xll.qlPolynomialFunctionValue(BJ$1,$BD22,AllTriggers)</f>
        <v>#VALUE!</v>
      </c>
      <c r="BK22" s="47" t="e">
        <f>_xll.qlPolynomialFunctionValue(BK$1,$BD22,AllTriggers)</f>
        <v>#VALUE!</v>
      </c>
      <c r="BL22" s="47" t="e">
        <f>_xll.qlPolynomialFunctionValue(BL$1,$BD22,AllTriggers)</f>
        <v>#VALUE!</v>
      </c>
      <c r="BM22" s="47" t="e">
        <f>_xll.qlPolynomialFunctionValue(BM$1,$BD22,AllTriggers)</f>
        <v>#VALUE!</v>
      </c>
      <c r="BN22" s="47" t="e">
        <f>_xll.qlPolynomialFunctionValue(BN$1,$BD22,AllTriggers)</f>
        <v>#VALUE!</v>
      </c>
      <c r="BO22" s="47" t="e">
        <f>_xll.qlPolynomialFunctionValue(BO$1,$BD22,AllTriggers)</f>
        <v>#VALUE!</v>
      </c>
      <c r="BP22" s="47" t="e">
        <f>_xll.qlPolynomialFunctionValue(BP$1,$BD22,AllTriggers)</f>
        <v>#VALUE!</v>
      </c>
      <c r="BQ22" s="47">
        <f>_xll.qlPolynomialFunctionValue('6MSynthDepo_used'!$P$18,BD22,AllTriggers)</f>
        <v>1.6980509970664676E-3</v>
      </c>
    </row>
    <row r="23" spans="1:69" ht="12" customHeight="1" x14ac:dyDescent="0.2">
      <c r="W23" s="21"/>
      <c r="X23" s="21"/>
      <c r="Y23" s="21"/>
      <c r="Z23" s="21"/>
      <c r="AA23" s="21"/>
      <c r="AB23" s="21"/>
      <c r="AC23" s="21"/>
      <c r="AD23" s="93"/>
      <c r="AE23" s="93"/>
      <c r="AF23" s="93"/>
      <c r="AG23" s="93"/>
      <c r="AH23" s="93"/>
      <c r="BC23" s="178">
        <f>_xll.qlCalendarAdvance(Calendar,BC22,"1d","mf",,Trigger)</f>
        <v>42304</v>
      </c>
      <c r="BD23" s="41">
        <f>_xll.qlDayCounterYearFraction(DayCounter,SettlementDate,BC23,,,Trigger)</f>
        <v>6.9444444444444448E-2</v>
      </c>
      <c r="BE23" s="47" t="e">
        <f>_xll.qlPolynomialFunctionValue(BE$1,$BD23,AllTriggers)</f>
        <v>#VALUE!</v>
      </c>
      <c r="BF23" s="47" t="e">
        <f>_xll.qlPolynomialFunctionValue(BF$1,$BD23,AllTriggers)</f>
        <v>#VALUE!</v>
      </c>
      <c r="BG23" s="47" t="e">
        <f>_xll.qlPolynomialFunctionValue(BG$1,$BD23,AllTriggers)</f>
        <v>#VALUE!</v>
      </c>
      <c r="BH23" s="47" t="e">
        <f>_xll.qlPolynomialFunctionValue(BH$1,$BD23,AllTriggers)</f>
        <v>#VALUE!</v>
      </c>
      <c r="BI23" s="47" t="e">
        <f>_xll.qlPolynomialFunctionValue(BI$1,$BD23,AllTriggers)</f>
        <v>#VALUE!</v>
      </c>
      <c r="BJ23" s="47" t="e">
        <f>_xll.qlPolynomialFunctionValue(BJ$1,$BD23,AllTriggers)</f>
        <v>#VALUE!</v>
      </c>
      <c r="BK23" s="47" t="e">
        <f>_xll.qlPolynomialFunctionValue(BK$1,$BD23,AllTriggers)</f>
        <v>#VALUE!</v>
      </c>
      <c r="BL23" s="47" t="e">
        <f>_xll.qlPolynomialFunctionValue(BL$1,$BD23,AllTriggers)</f>
        <v>#VALUE!</v>
      </c>
      <c r="BM23" s="47" t="e">
        <f>_xll.qlPolynomialFunctionValue(BM$1,$BD23,AllTriggers)</f>
        <v>#VALUE!</v>
      </c>
      <c r="BN23" s="47" t="e">
        <f>_xll.qlPolynomialFunctionValue(BN$1,$BD23,AllTriggers)</f>
        <v>#VALUE!</v>
      </c>
      <c r="BO23" s="47" t="e">
        <f>_xll.qlPolynomialFunctionValue(BO$1,$BD23,AllTriggers)</f>
        <v>#VALUE!</v>
      </c>
      <c r="BP23" s="47" t="e">
        <f>_xll.qlPolynomialFunctionValue(BP$1,$BD23,AllTriggers)</f>
        <v>#VALUE!</v>
      </c>
      <c r="BQ23" s="47">
        <f>_xll.qlPolynomialFunctionValue('6MSynthDepo_used'!$P$18,BD23,AllTriggers)</f>
        <v>1.7002478405738757E-3</v>
      </c>
    </row>
    <row r="24" spans="1:69" ht="12" customHeight="1" x14ac:dyDescent="0.2">
      <c r="A24" s="21"/>
      <c r="B24" s="55"/>
      <c r="C24" s="36" t="s">
        <v>62</v>
      </c>
      <c r="D24" s="51" t="s">
        <v>24</v>
      </c>
      <c r="F24" s="187" t="s">
        <v>90</v>
      </c>
      <c r="G24" s="188" t="b">
        <v>1</v>
      </c>
      <c r="H24" s="235"/>
      <c r="S24" s="236"/>
      <c r="T24" s="237"/>
      <c r="U24" s="188" t="b">
        <v>0</v>
      </c>
      <c r="V24" s="235"/>
      <c r="W24" s="236"/>
      <c r="X24" s="237"/>
      <c r="Y24" s="188" t="b">
        <v>1</v>
      </c>
      <c r="Z24" s="235"/>
      <c r="AA24" s="236"/>
      <c r="AB24" s="236"/>
      <c r="BC24" s="178">
        <f>_xll.qlCalendarAdvance(Calendar,BC23,"1d","mf",,Trigger)</f>
        <v>42305</v>
      </c>
      <c r="BD24" s="41">
        <f>_xll.qlDayCounterYearFraction(DayCounter,SettlementDate,BC24,,,Trigger)</f>
        <v>7.2222222222222215E-2</v>
      </c>
      <c r="BE24" s="47" t="e">
        <f>_xll.qlPolynomialFunctionValue(BE$1,$BD24,AllTriggers)</f>
        <v>#VALUE!</v>
      </c>
      <c r="BF24" s="47" t="e">
        <f>_xll.qlPolynomialFunctionValue(BF$1,$BD24,AllTriggers)</f>
        <v>#VALUE!</v>
      </c>
      <c r="BG24" s="47" t="e">
        <f>_xll.qlPolynomialFunctionValue(BG$1,$BD24,AllTriggers)</f>
        <v>#VALUE!</v>
      </c>
      <c r="BH24" s="47" t="e">
        <f>_xll.qlPolynomialFunctionValue(BH$1,$BD24,AllTriggers)</f>
        <v>#VALUE!</v>
      </c>
      <c r="BI24" s="47" t="e">
        <f>_xll.qlPolynomialFunctionValue(BI$1,$BD24,AllTriggers)</f>
        <v>#VALUE!</v>
      </c>
      <c r="BJ24" s="47" t="e">
        <f>_xll.qlPolynomialFunctionValue(BJ$1,$BD24,AllTriggers)</f>
        <v>#VALUE!</v>
      </c>
      <c r="BK24" s="47" t="e">
        <f>_xll.qlPolynomialFunctionValue(BK$1,$BD24,AllTriggers)</f>
        <v>#VALUE!</v>
      </c>
      <c r="BL24" s="47" t="e">
        <f>_xll.qlPolynomialFunctionValue(BL$1,$BD24,AllTriggers)</f>
        <v>#VALUE!</v>
      </c>
      <c r="BM24" s="47" t="e">
        <f>_xll.qlPolynomialFunctionValue(BM$1,$BD24,AllTriggers)</f>
        <v>#VALUE!</v>
      </c>
      <c r="BN24" s="47" t="e">
        <f>_xll.qlPolynomialFunctionValue(BN$1,$BD24,AllTriggers)</f>
        <v>#VALUE!</v>
      </c>
      <c r="BO24" s="47" t="e">
        <f>_xll.qlPolynomialFunctionValue(BO$1,$BD24,AllTriggers)</f>
        <v>#VALUE!</v>
      </c>
      <c r="BP24" s="47" t="e">
        <f>_xll.qlPolynomialFunctionValue(BP$1,$BD24,AllTriggers)</f>
        <v>#VALUE!</v>
      </c>
      <c r="BQ24" s="47">
        <f>_xll.qlPolynomialFunctionValue('6MSynthDepo_used'!$P$18,BD24,AllTriggers)</f>
        <v>1.7024386150539181E-3</v>
      </c>
    </row>
    <row r="25" spans="1:69" ht="12" customHeight="1" x14ac:dyDescent="0.2">
      <c r="A25" s="21"/>
      <c r="B25" s="55"/>
      <c r="C25" s="36" t="s">
        <v>53</v>
      </c>
      <c r="D25" s="51" t="str">
        <f>PROPER(Currency)&amp;IborType&amp;$D$24</f>
        <v>Euribor6M</v>
      </c>
      <c r="E25" s="23"/>
      <c r="F25" s="187" t="s">
        <v>91</v>
      </c>
      <c r="G25" s="89"/>
      <c r="H25" s="89"/>
      <c r="S25" s="89"/>
      <c r="T25" s="89"/>
      <c r="U25" s="89"/>
      <c r="V25" s="89"/>
      <c r="W25" s="89"/>
      <c r="X25" s="238"/>
      <c r="Y25" s="228" t="e">
        <f>_xll.qlPolynomialCalibration(,_xll.ohFilter($I$14:$I$20,$S$14:$S$20),_xll.ohFilter($H$14:$H$20,$S$14:$S$20),_xll.ohFilter($J$14:$J$20,$S$14:$S$20),G$28:G$29,,,,,Trigger)</f>
        <v>#NUM!</v>
      </c>
      <c r="Z25" s="188" t="e">
        <f>_xll.qlPolynomialCalibration(,_xll.ohFilter($I$14:$I$20,$T$14:$T$20),_xll.ohFilter($H$14:$H$20,$T$14:$T$20),_xll.ohFilter($J$14:$J$20,$T$14:$T$20),H$28:H$30,,,,,Trigger)</f>
        <v>#NUM!</v>
      </c>
      <c r="AA25" s="188" t="e">
        <f>_xll.qlPolynomialCalibration(,_xll.ohFilter($I$14:$I$20,$U$14:$U$20),_xll.ohFilter($H$14:$H$20,$U$14:$U$20),_xll.ohFilter($J$14:$J$20,$U$14:$U$20),S$28:S$29,,,,,Trigger)</f>
        <v>#NUM!</v>
      </c>
      <c r="AB25" s="188" t="e">
        <f>_xll.qlPolynomialCalibration(,_xll.ohFilter($I$14:$I$20,$V$14:$V$20),_xll.ohFilter($H$14:$H$20,$V$14:$V$20),_xll.ohFilter($J$14:$J$20,$V$14:$V$20),T$28:T$30,,,,,Trigger)</f>
        <v>#NUM!</v>
      </c>
      <c r="AC25" s="19" t="s">
        <v>70</v>
      </c>
      <c r="BC25" s="178">
        <f>_xll.qlCalendarAdvance(Calendar,BC24,"1d","mf",,Trigger)</f>
        <v>42306</v>
      </c>
      <c r="BD25" s="41">
        <f>_xll.qlDayCounterYearFraction(DayCounter,SettlementDate,BC25,,,Trigger)</f>
        <v>7.4999999999999997E-2</v>
      </c>
      <c r="BE25" s="47" t="e">
        <f>_xll.qlPolynomialFunctionValue(BE$1,$BD25,AllTriggers)</f>
        <v>#VALUE!</v>
      </c>
      <c r="BF25" s="47" t="e">
        <f>_xll.qlPolynomialFunctionValue(BF$1,$BD25,AllTriggers)</f>
        <v>#VALUE!</v>
      </c>
      <c r="BG25" s="47" t="e">
        <f>_xll.qlPolynomialFunctionValue(BG$1,$BD25,AllTriggers)</f>
        <v>#VALUE!</v>
      </c>
      <c r="BH25" s="47" t="e">
        <f>_xll.qlPolynomialFunctionValue(BH$1,$BD25,AllTriggers)</f>
        <v>#VALUE!</v>
      </c>
      <c r="BI25" s="47" t="e">
        <f>_xll.qlPolynomialFunctionValue(BI$1,$BD25,AllTriggers)</f>
        <v>#VALUE!</v>
      </c>
      <c r="BJ25" s="47" t="e">
        <f>_xll.qlPolynomialFunctionValue(BJ$1,$BD25,AllTriggers)</f>
        <v>#VALUE!</v>
      </c>
      <c r="BK25" s="47" t="e">
        <f>_xll.qlPolynomialFunctionValue(BK$1,$BD25,AllTriggers)</f>
        <v>#VALUE!</v>
      </c>
      <c r="BL25" s="47" t="e">
        <f>_xll.qlPolynomialFunctionValue(BL$1,$BD25,AllTriggers)</f>
        <v>#VALUE!</v>
      </c>
      <c r="BM25" s="47" t="e">
        <f>_xll.qlPolynomialFunctionValue(BM$1,$BD25,AllTriggers)</f>
        <v>#VALUE!</v>
      </c>
      <c r="BN25" s="47" t="e">
        <f>_xll.qlPolynomialFunctionValue(BN$1,$BD25,AllTriggers)</f>
        <v>#VALUE!</v>
      </c>
      <c r="BO25" s="47" t="e">
        <f>_xll.qlPolynomialFunctionValue(BO$1,$BD25,AllTriggers)</f>
        <v>#VALUE!</v>
      </c>
      <c r="BP25" s="47" t="e">
        <f>_xll.qlPolynomialFunctionValue(BP$1,$BD25,AllTriggers)</f>
        <v>#VALUE!</v>
      </c>
      <c r="BQ25" s="47">
        <f>_xll.qlPolynomialFunctionValue('6MSynthDepo_used'!$P$18,BD25,AllTriggers)</f>
        <v>1.7046233359312192E-3</v>
      </c>
    </row>
    <row r="26" spans="1:69" ht="12" customHeight="1" x14ac:dyDescent="0.2">
      <c r="A26" s="21"/>
      <c r="B26" s="55"/>
      <c r="C26" s="36" t="s">
        <v>72</v>
      </c>
      <c r="D26" s="51" t="str">
        <f>_xll.qlIborIndex(,,'6MSynthDepo_allScenario'!D24,2,Currency,Calendar,"mf",TRUE,DayCounter,Discounting,,Trigger)</f>
        <v>obj_005c9#0002</v>
      </c>
      <c r="E26" s="23"/>
      <c r="F26" s="187" t="s">
        <v>92</v>
      </c>
      <c r="G26" s="89"/>
      <c r="H26" s="89"/>
      <c r="S26" s="89"/>
      <c r="T26" s="89"/>
      <c r="U26" s="89"/>
      <c r="V26" s="89"/>
      <c r="W26" s="89"/>
      <c r="X26" s="238"/>
      <c r="Y26" s="239" t="e">
        <f>_xll.qlPolynomialCalibrationCompute(Y$25,AllTriggers)</f>
        <v>#VALUE!</v>
      </c>
      <c r="Z26" s="188" t="e">
        <f>_xll.qlPolynomialCalibrationCompute(Z$25,AllTriggers)</f>
        <v>#VALUE!</v>
      </c>
      <c r="AA26" s="188" t="e">
        <f>_xll.qlPolynomialCalibrationCompute(AA$25,AllTriggers)</f>
        <v>#VALUE!</v>
      </c>
      <c r="AB26" s="188" t="e">
        <f>_xll.qlPolynomialCalibrationCompute(AB$25,AllTriggers)</f>
        <v>#VALUE!</v>
      </c>
      <c r="AC26" s="19" t="s">
        <v>70</v>
      </c>
      <c r="BC26" s="178">
        <f>_xll.qlCalendarAdvance(Calendar,BC25,"1d","mf",,Trigger)</f>
        <v>42307</v>
      </c>
      <c r="BD26" s="41">
        <f>_xll.qlDayCounterYearFraction(DayCounter,SettlementDate,BC26,,,Trigger)</f>
        <v>7.7777777777777779E-2</v>
      </c>
      <c r="BE26" s="47" t="e">
        <f>_xll.qlPolynomialFunctionValue(BE$1,$BD26,AllTriggers)</f>
        <v>#VALUE!</v>
      </c>
      <c r="BF26" s="47" t="e">
        <f>_xll.qlPolynomialFunctionValue(BF$1,$BD26,AllTriggers)</f>
        <v>#VALUE!</v>
      </c>
      <c r="BG26" s="47" t="e">
        <f>_xll.qlPolynomialFunctionValue(BG$1,$BD26,AllTriggers)</f>
        <v>#VALUE!</v>
      </c>
      <c r="BH26" s="47" t="e">
        <f>_xll.qlPolynomialFunctionValue(BH$1,$BD26,AllTriggers)</f>
        <v>#VALUE!</v>
      </c>
      <c r="BI26" s="47" t="e">
        <f>_xll.qlPolynomialFunctionValue(BI$1,$BD26,AllTriggers)</f>
        <v>#VALUE!</v>
      </c>
      <c r="BJ26" s="47" t="e">
        <f>_xll.qlPolynomialFunctionValue(BJ$1,$BD26,AllTriggers)</f>
        <v>#VALUE!</v>
      </c>
      <c r="BK26" s="47" t="e">
        <f>_xll.qlPolynomialFunctionValue(BK$1,$BD26,AllTriggers)</f>
        <v>#VALUE!</v>
      </c>
      <c r="BL26" s="47" t="e">
        <f>_xll.qlPolynomialFunctionValue(BL$1,$BD26,AllTriggers)</f>
        <v>#VALUE!</v>
      </c>
      <c r="BM26" s="47" t="e">
        <f>_xll.qlPolynomialFunctionValue(BM$1,$BD26,AllTriggers)</f>
        <v>#VALUE!</v>
      </c>
      <c r="BN26" s="47" t="e">
        <f>_xll.qlPolynomialFunctionValue(BN$1,$BD26,AllTriggers)</f>
        <v>#VALUE!</v>
      </c>
      <c r="BO26" s="47" t="e">
        <f>_xll.qlPolynomialFunctionValue(BO$1,$BD26,AllTriggers)</f>
        <v>#VALUE!</v>
      </c>
      <c r="BP26" s="47" t="e">
        <f>_xll.qlPolynomialFunctionValue(BP$1,$BD26,AllTriggers)</f>
        <v>#VALUE!</v>
      </c>
      <c r="BQ26" s="47">
        <f>_xll.qlPolynomialFunctionValue('6MSynthDepo_used'!$P$18,BD26,AllTriggers)</f>
        <v>1.7068020186304044E-3</v>
      </c>
    </row>
    <row r="27" spans="1:69" ht="12" customHeight="1" x14ac:dyDescent="0.2">
      <c r="B27" s="22"/>
      <c r="C27" s="36" t="s">
        <v>87</v>
      </c>
      <c r="D27" s="51" t="s">
        <v>86</v>
      </c>
      <c r="E27" s="23"/>
      <c r="F27" s="187" t="s">
        <v>82</v>
      </c>
      <c r="G27" s="188" t="e">
        <f>_xll.qlPolynomialTenorBasis(,$D$25,Discounting,SettlementDate,IsSimple,G$28:G$31,,Trigger)</f>
        <v>#NUM!</v>
      </c>
      <c r="H27" s="188" t="e">
        <f>_xll.qlPolynomialTenorBasis(,$D$25,Discounting,SettlementDate,IsSimple,H$28:H$31,,Trigger)</f>
        <v>#NUM!</v>
      </c>
      <c r="S27" s="188" t="e">
        <f>_xll.qlPolynomialTenorBasis(,$D$25,Discounting,SettlementDate,IsSimple,S$28:S$31,,Trigger)</f>
        <v>#NUM!</v>
      </c>
      <c r="T27" s="188" t="e">
        <f>_xll.qlPolynomialTenorBasis(,$D$25,Discounting,SettlementDate,IsSimple,T$28:T$31,,Trigger)</f>
        <v>#NUM!</v>
      </c>
      <c r="U27" s="188" t="e">
        <f>_xll.qlPolynomialTenorBasis(,$D$25,Discounting,SettlementDate,$U$24,U$28:U$31,,Trigger)</f>
        <v>#NUM!</v>
      </c>
      <c r="V27" s="188" t="e">
        <f>_xll.qlPolynomialTenorBasis(,$D$25,Discounting,SettlementDate,$U$24,V$28:V$31,,Trigger)</f>
        <v>#NUM!</v>
      </c>
      <c r="W27" s="188" t="e">
        <f>_xll.qlPolynomialTenorBasis(,$D$25,Discounting,SettlementDate,$U$24,W$28:W$31,,Trigger)</f>
        <v>#NUM!</v>
      </c>
      <c r="X27" s="227" t="e">
        <f>_xll.qlPolynomialTenorBasis(,$D$25,Discounting,SettlementDate,$U$24,X$28:X$31,,Trigger)</f>
        <v>#NUM!</v>
      </c>
      <c r="Y27" s="228" t="e">
        <f>_xll.qlPolynomialTenorBasis(,$D$25,Discounting,SettlementDate,$Y$24,Y$28:Y$31,,Trigger)</f>
        <v>#NUM!</v>
      </c>
      <c r="Z27" s="188" t="e">
        <f>_xll.qlPolynomialTenorBasis(,$D$25,Discounting,SettlementDate,$Y$24,Z$28:Z$31,,Trigger)</f>
        <v>#NUM!</v>
      </c>
      <c r="AA27" s="188" t="e">
        <f>_xll.qlPolynomialTenorBasis(,$D$25,Discounting,SettlementDate,$Y$24,AA$28:AA$31,,Trigger)</f>
        <v>#NUM!</v>
      </c>
      <c r="AB27" s="188" t="e">
        <f>_xll.qlPolynomialTenorBasis(,$D$25,Discounting,SettlementDate,$Y$24,AB$28:AB$31,,Trigger)</f>
        <v>#NUM!</v>
      </c>
      <c r="AC27" s="19" t="s">
        <v>70</v>
      </c>
      <c r="BC27" s="178">
        <f>_xll.qlCalendarAdvance(Calendar,BC26,"1d","mf",,Trigger)</f>
        <v>42310</v>
      </c>
      <c r="BD27" s="41">
        <f>_xll.qlDayCounterYearFraction(DayCounter,SettlementDate,BC27,,,Trigger)</f>
        <v>8.611111111111111E-2</v>
      </c>
      <c r="BE27" s="47" t="e">
        <f>_xll.qlPolynomialFunctionValue(BE$1,$BD27,AllTriggers)</f>
        <v>#VALUE!</v>
      </c>
      <c r="BF27" s="47" t="e">
        <f>_xll.qlPolynomialFunctionValue(BF$1,$BD27,AllTriggers)</f>
        <v>#VALUE!</v>
      </c>
      <c r="BG27" s="47" t="e">
        <f>_xll.qlPolynomialFunctionValue(BG$1,$BD27,AllTriggers)</f>
        <v>#VALUE!</v>
      </c>
      <c r="BH27" s="47" t="e">
        <f>_xll.qlPolynomialFunctionValue(BH$1,$BD27,AllTriggers)</f>
        <v>#VALUE!</v>
      </c>
      <c r="BI27" s="47" t="e">
        <f>_xll.qlPolynomialFunctionValue(BI$1,$BD27,AllTriggers)</f>
        <v>#VALUE!</v>
      </c>
      <c r="BJ27" s="47" t="e">
        <f>_xll.qlPolynomialFunctionValue(BJ$1,$BD27,AllTriggers)</f>
        <v>#VALUE!</v>
      </c>
      <c r="BK27" s="47" t="e">
        <f>_xll.qlPolynomialFunctionValue(BK$1,$BD27,AllTriggers)</f>
        <v>#VALUE!</v>
      </c>
      <c r="BL27" s="47" t="e">
        <f>_xll.qlPolynomialFunctionValue(BL$1,$BD27,AllTriggers)</f>
        <v>#VALUE!</v>
      </c>
      <c r="BM27" s="47" t="e">
        <f>_xll.qlPolynomialFunctionValue(BM$1,$BD27,AllTriggers)</f>
        <v>#VALUE!</v>
      </c>
      <c r="BN27" s="47" t="e">
        <f>_xll.qlPolynomialFunctionValue(BN$1,$BD27,AllTriggers)</f>
        <v>#VALUE!</v>
      </c>
      <c r="BO27" s="47" t="e">
        <f>_xll.qlPolynomialFunctionValue(BO$1,$BD27,AllTriggers)</f>
        <v>#VALUE!</v>
      </c>
      <c r="BP27" s="47" t="e">
        <f>_xll.qlPolynomialFunctionValue(BP$1,$BD27,AllTriggers)</f>
        <v>#VALUE!</v>
      </c>
      <c r="BQ27" s="47">
        <f>_xll.qlPolynomialFunctionValue('6MSynthDepo_used'!$P$18,BD27,AllTriggers)</f>
        <v>1.7133019919055076E-3</v>
      </c>
    </row>
    <row r="28" spans="1:69" ht="12" customHeight="1" x14ac:dyDescent="0.2">
      <c r="C28" s="36" t="s">
        <v>88</v>
      </c>
      <c r="D28" s="51" t="s">
        <v>86</v>
      </c>
      <c r="E28" s="35"/>
      <c r="F28" s="133" t="s">
        <v>73</v>
      </c>
      <c r="G28" s="90" t="e">
        <f>AI6</f>
        <v>#NUM!</v>
      </c>
      <c r="H28" s="90" t="e">
        <f>AI16</f>
        <v>#NUM!</v>
      </c>
      <c r="S28" s="90" t="e">
        <f>AI10</f>
        <v>#NUM!</v>
      </c>
      <c r="T28" s="90" t="e">
        <f>AI21</f>
        <v>#NUM!</v>
      </c>
      <c r="U28" s="90" t="e">
        <f>AU6</f>
        <v>#NUM!</v>
      </c>
      <c r="V28" s="90" t="e">
        <f>AU16</f>
        <v>#NUM!</v>
      </c>
      <c r="W28" s="90" t="e">
        <f>AU10</f>
        <v>#NUM!</v>
      </c>
      <c r="X28" s="229" t="e">
        <f>AU21</f>
        <v>#NUM!</v>
      </c>
      <c r="Y28" s="230" t="e">
        <f t="array" ref="Y28:Y29">_xll.qlPolynomialCalibrationCoefficients($Y$25,$Y$26)</f>
        <v>#VALUE!</v>
      </c>
      <c r="Z28" s="90" t="e">
        <f t="array" ref="Z28:Z30">_xll.qlPolynomialCalibrationCoefficients($Z$25,$Z$26)</f>
        <v>#VALUE!</v>
      </c>
      <c r="AA28" s="90" t="e">
        <f t="array" ref="AA28:AA29">_xll.qlPolynomialCalibrationCoefficients($AA$25,$AA$26)</f>
        <v>#VALUE!</v>
      </c>
      <c r="AB28" s="90" t="e">
        <f t="array" ref="AB28:AB30">_xll.qlPolynomialCalibrationCoefficients($AB$25,$AB$26)</f>
        <v>#VALUE!</v>
      </c>
      <c r="AC28" s="19" t="s">
        <v>70</v>
      </c>
      <c r="BC28" s="178">
        <f>_xll.qlCalendarAdvance(Calendar,BC27,"1d","mf",,Trigger)</f>
        <v>42311</v>
      </c>
      <c r="BD28" s="41">
        <f>_xll.qlDayCounterYearFraction(DayCounter,SettlementDate,BC28,,,Trigger)</f>
        <v>8.8888888888888892E-2</v>
      </c>
      <c r="BE28" s="47" t="e">
        <f>_xll.qlPolynomialFunctionValue(BE$1,$BD28,AllTriggers)</f>
        <v>#VALUE!</v>
      </c>
      <c r="BF28" s="47" t="e">
        <f>_xll.qlPolynomialFunctionValue(BF$1,$BD28,AllTriggers)</f>
        <v>#VALUE!</v>
      </c>
      <c r="BG28" s="47" t="e">
        <f>_xll.qlPolynomialFunctionValue(BG$1,$BD28,AllTriggers)</f>
        <v>#VALUE!</v>
      </c>
      <c r="BH28" s="47" t="e">
        <f>_xll.qlPolynomialFunctionValue(BH$1,$BD28,AllTriggers)</f>
        <v>#VALUE!</v>
      </c>
      <c r="BI28" s="47" t="e">
        <f>_xll.qlPolynomialFunctionValue(BI$1,$BD28,AllTriggers)</f>
        <v>#VALUE!</v>
      </c>
      <c r="BJ28" s="47" t="e">
        <f>_xll.qlPolynomialFunctionValue(BJ$1,$BD28,AllTriggers)</f>
        <v>#VALUE!</v>
      </c>
      <c r="BK28" s="47" t="e">
        <f>_xll.qlPolynomialFunctionValue(BK$1,$BD28,AllTriggers)</f>
        <v>#VALUE!</v>
      </c>
      <c r="BL28" s="47" t="e">
        <f>_xll.qlPolynomialFunctionValue(BL$1,$BD28,AllTriggers)</f>
        <v>#VALUE!</v>
      </c>
      <c r="BM28" s="47" t="e">
        <f>_xll.qlPolynomialFunctionValue(BM$1,$BD28,AllTriggers)</f>
        <v>#VALUE!</v>
      </c>
      <c r="BN28" s="47" t="e">
        <f>_xll.qlPolynomialFunctionValue(BN$1,$BD28,AllTriggers)</f>
        <v>#VALUE!</v>
      </c>
      <c r="BO28" s="47" t="e">
        <f>_xll.qlPolynomialFunctionValue(BO$1,$BD28,AllTriggers)</f>
        <v>#VALUE!</v>
      </c>
      <c r="BP28" s="47" t="e">
        <f>_xll.qlPolynomialFunctionValue(BP$1,$BD28,AllTriggers)</f>
        <v>#VALUE!</v>
      </c>
      <c r="BQ28" s="47">
        <f>_xll.qlPolynomialFunctionValue('6MSynthDepo_used'!$P$18,BD28,AllTriggers)</f>
        <v>1.7154566761384737E-3</v>
      </c>
    </row>
    <row r="29" spans="1:69" ht="12" customHeight="1" x14ac:dyDescent="0.2">
      <c r="E29" s="35"/>
      <c r="F29" s="133" t="s">
        <v>74</v>
      </c>
      <c r="G29" s="90" t="e">
        <f>AI5</f>
        <v>#NUM!</v>
      </c>
      <c r="H29" s="90" t="e">
        <f>AI15</f>
        <v>#NUM!</v>
      </c>
      <c r="S29" s="90" t="e">
        <f>AI9</f>
        <v>#NUM!</v>
      </c>
      <c r="T29" s="90" t="e">
        <f>AI20</f>
        <v>#NUM!</v>
      </c>
      <c r="U29" s="90" t="e">
        <f>AU5</f>
        <v>#NUM!</v>
      </c>
      <c r="V29" s="90" t="e">
        <f>AU15</f>
        <v>#NUM!</v>
      </c>
      <c r="W29" s="90" t="e">
        <f>AU9</f>
        <v>#NUM!</v>
      </c>
      <c r="X29" s="229" t="e">
        <f>AU20</f>
        <v>#NUM!</v>
      </c>
      <c r="Y29" s="230" t="e">
        <v>#VALUE!</v>
      </c>
      <c r="Z29" s="90" t="e">
        <v>#VALUE!</v>
      </c>
      <c r="AA29" s="90" t="e">
        <v>#VALUE!</v>
      </c>
      <c r="AB29" s="90" t="e">
        <v>#VALUE!</v>
      </c>
      <c r="AC29" s="19" t="s">
        <v>70</v>
      </c>
      <c r="BC29" s="178">
        <f>_xll.qlCalendarAdvance(Calendar,BC28,"1d","mf",,Trigger)</f>
        <v>42312</v>
      </c>
      <c r="BD29" s="41">
        <f>_xll.qlDayCounterYearFraction(DayCounter,SettlementDate,BC29,,,Trigger)</f>
        <v>9.166666666666666E-2</v>
      </c>
      <c r="BE29" s="47" t="e">
        <f>_xll.qlPolynomialFunctionValue(BE$1,$BD29,AllTriggers)</f>
        <v>#VALUE!</v>
      </c>
      <c r="BF29" s="47" t="e">
        <f>_xll.qlPolynomialFunctionValue(BF$1,$BD29,AllTriggers)</f>
        <v>#VALUE!</v>
      </c>
      <c r="BG29" s="47" t="e">
        <f>_xll.qlPolynomialFunctionValue(BG$1,$BD29,AllTriggers)</f>
        <v>#VALUE!</v>
      </c>
      <c r="BH29" s="47" t="e">
        <f>_xll.qlPolynomialFunctionValue(BH$1,$BD29,AllTriggers)</f>
        <v>#VALUE!</v>
      </c>
      <c r="BI29" s="47" t="e">
        <f>_xll.qlPolynomialFunctionValue(BI$1,$BD29,AllTriggers)</f>
        <v>#VALUE!</v>
      </c>
      <c r="BJ29" s="47" t="e">
        <f>_xll.qlPolynomialFunctionValue(BJ$1,$BD29,AllTriggers)</f>
        <v>#VALUE!</v>
      </c>
      <c r="BK29" s="47" t="e">
        <f>_xll.qlPolynomialFunctionValue(BK$1,$BD29,AllTriggers)</f>
        <v>#VALUE!</v>
      </c>
      <c r="BL29" s="47" t="e">
        <f>_xll.qlPolynomialFunctionValue(BL$1,$BD29,AllTriggers)</f>
        <v>#VALUE!</v>
      </c>
      <c r="BM29" s="47" t="e">
        <f>_xll.qlPolynomialFunctionValue(BM$1,$BD29,AllTriggers)</f>
        <v>#VALUE!</v>
      </c>
      <c r="BN29" s="47" t="e">
        <f>_xll.qlPolynomialFunctionValue(BN$1,$BD29,AllTriggers)</f>
        <v>#VALUE!</v>
      </c>
      <c r="BO29" s="47" t="e">
        <f>_xll.qlPolynomialFunctionValue(BO$1,$BD29,AllTriggers)</f>
        <v>#VALUE!</v>
      </c>
      <c r="BP29" s="47" t="e">
        <f>_xll.qlPolynomialFunctionValue(BP$1,$BD29,AllTriggers)</f>
        <v>#VALUE!</v>
      </c>
      <c r="BQ29" s="47">
        <f>_xll.qlPolynomialFunctionValue('6MSynthDepo_used'!$P$18,BD29,AllTriggers)</f>
        <v>1.7176053993164467E-3</v>
      </c>
    </row>
    <row r="30" spans="1:69" ht="12" customHeight="1" x14ac:dyDescent="0.2">
      <c r="F30" s="133" t="s">
        <v>75</v>
      </c>
      <c r="G30" s="89"/>
      <c r="H30" s="90" t="e">
        <f>AI14</f>
        <v>#NUM!</v>
      </c>
      <c r="S30" s="89"/>
      <c r="T30" s="90" t="e">
        <f>AI19</f>
        <v>#NUM!</v>
      </c>
      <c r="U30" s="89"/>
      <c r="V30" s="90" t="e">
        <f>AU14</f>
        <v>#NUM!</v>
      </c>
      <c r="W30" s="89"/>
      <c r="X30" s="229" t="e">
        <f>AU19</f>
        <v>#NUM!</v>
      </c>
      <c r="Y30" s="231"/>
      <c r="Z30" s="90" t="e">
        <v>#VALUE!</v>
      </c>
      <c r="AA30" s="89"/>
      <c r="AB30" s="90" t="e">
        <v>#VALUE!</v>
      </c>
      <c r="AC30" s="19" t="s">
        <v>70</v>
      </c>
      <c r="BC30" s="178">
        <f>_xll.qlCalendarAdvance(Calendar,BC29,"1d","mf",,Trigger)</f>
        <v>42313</v>
      </c>
      <c r="BD30" s="41">
        <f>_xll.qlDayCounterYearFraction(DayCounter,SettlementDate,BC30,,,Trigger)</f>
        <v>9.4444444444444442E-2</v>
      </c>
      <c r="BE30" s="47" t="e">
        <f>_xll.qlPolynomialFunctionValue(BE$1,$BD30,AllTriggers)</f>
        <v>#VALUE!</v>
      </c>
      <c r="BF30" s="47" t="e">
        <f>_xll.qlPolynomialFunctionValue(BF$1,$BD30,AllTriggers)</f>
        <v>#VALUE!</v>
      </c>
      <c r="BG30" s="47" t="e">
        <f>_xll.qlPolynomialFunctionValue(BG$1,$BD30,AllTriggers)</f>
        <v>#VALUE!</v>
      </c>
      <c r="BH30" s="47" t="e">
        <f>_xll.qlPolynomialFunctionValue(BH$1,$BD30,AllTriggers)</f>
        <v>#VALUE!</v>
      </c>
      <c r="BI30" s="47" t="e">
        <f>_xll.qlPolynomialFunctionValue(BI$1,$BD30,AllTriggers)</f>
        <v>#VALUE!</v>
      </c>
      <c r="BJ30" s="47" t="e">
        <f>_xll.qlPolynomialFunctionValue(BJ$1,$BD30,AllTriggers)</f>
        <v>#VALUE!</v>
      </c>
      <c r="BK30" s="47" t="e">
        <f>_xll.qlPolynomialFunctionValue(BK$1,$BD30,AllTriggers)</f>
        <v>#VALUE!</v>
      </c>
      <c r="BL30" s="47" t="e">
        <f>_xll.qlPolynomialFunctionValue(BL$1,$BD30,AllTriggers)</f>
        <v>#VALUE!</v>
      </c>
      <c r="BM30" s="47" t="e">
        <f>_xll.qlPolynomialFunctionValue(BM$1,$BD30,AllTriggers)</f>
        <v>#VALUE!</v>
      </c>
      <c r="BN30" s="47" t="e">
        <f>_xll.qlPolynomialFunctionValue(BN$1,$BD30,AllTriggers)</f>
        <v>#VALUE!</v>
      </c>
      <c r="BO30" s="47" t="e">
        <f>_xll.qlPolynomialFunctionValue(BO$1,$BD30,AllTriggers)</f>
        <v>#VALUE!</v>
      </c>
      <c r="BP30" s="47" t="e">
        <f>_xll.qlPolynomialFunctionValue(BP$1,$BD30,AllTriggers)</f>
        <v>#VALUE!</v>
      </c>
      <c r="BQ30" s="47">
        <f>_xll.qlPolynomialFunctionValue('6MSynthDepo_used'!$P$18,BD30,AllTriggers)</f>
        <v>1.7197481768640511E-3</v>
      </c>
    </row>
    <row r="31" spans="1:69" ht="12" customHeight="1" thickBot="1" x14ac:dyDescent="0.25">
      <c r="F31" s="133" t="s">
        <v>76</v>
      </c>
      <c r="G31" s="89"/>
      <c r="H31" s="89"/>
      <c r="S31" s="89"/>
      <c r="T31" s="89"/>
      <c r="U31" s="89"/>
      <c r="V31" s="89"/>
      <c r="W31" s="89"/>
      <c r="X31" s="232"/>
      <c r="Y31" s="233"/>
      <c r="Z31" s="89"/>
      <c r="AA31" s="89"/>
      <c r="AB31" s="234"/>
      <c r="BC31" s="178">
        <f>_xll.qlCalendarAdvance(Calendar,BC30,"1d","mf",,Trigger)</f>
        <v>42314</v>
      </c>
      <c r="BD31" s="41">
        <f>_xll.qlDayCounterYearFraction(DayCounter,SettlementDate,BC31,,,Trigger)</f>
        <v>9.7222222222222224E-2</v>
      </c>
      <c r="BE31" s="47" t="e">
        <f>_xll.qlPolynomialFunctionValue(BE$1,$BD31,AllTriggers)</f>
        <v>#VALUE!</v>
      </c>
      <c r="BF31" s="47" t="e">
        <f>_xll.qlPolynomialFunctionValue(BF$1,$BD31,AllTriggers)</f>
        <v>#VALUE!</v>
      </c>
      <c r="BG31" s="47" t="e">
        <f>_xll.qlPolynomialFunctionValue(BG$1,$BD31,AllTriggers)</f>
        <v>#VALUE!</v>
      </c>
      <c r="BH31" s="47" t="e">
        <f>_xll.qlPolynomialFunctionValue(BH$1,$BD31,AllTriggers)</f>
        <v>#VALUE!</v>
      </c>
      <c r="BI31" s="47" t="e">
        <f>_xll.qlPolynomialFunctionValue(BI$1,$BD31,AllTriggers)</f>
        <v>#VALUE!</v>
      </c>
      <c r="BJ31" s="47" t="e">
        <f>_xll.qlPolynomialFunctionValue(BJ$1,$BD31,AllTriggers)</f>
        <v>#VALUE!</v>
      </c>
      <c r="BK31" s="47" t="e">
        <f>_xll.qlPolynomialFunctionValue(BK$1,$BD31,AllTriggers)</f>
        <v>#VALUE!</v>
      </c>
      <c r="BL31" s="47" t="e">
        <f>_xll.qlPolynomialFunctionValue(BL$1,$BD31,AllTriggers)</f>
        <v>#VALUE!</v>
      </c>
      <c r="BM31" s="47" t="e">
        <f>_xll.qlPolynomialFunctionValue(BM$1,$BD31,AllTriggers)</f>
        <v>#VALUE!</v>
      </c>
      <c r="BN31" s="47" t="e">
        <f>_xll.qlPolynomialFunctionValue(BN$1,$BD31,AllTriggers)</f>
        <v>#VALUE!</v>
      </c>
      <c r="BO31" s="47" t="e">
        <f>_xll.qlPolynomialFunctionValue(BO$1,$BD31,AllTriggers)</f>
        <v>#VALUE!</v>
      </c>
      <c r="BP31" s="47" t="e">
        <f>_xll.qlPolynomialFunctionValue(BP$1,$BD31,AllTriggers)</f>
        <v>#VALUE!</v>
      </c>
      <c r="BQ31" s="47">
        <f>_xll.qlPolynomialFunctionValue('6MSynthDepo_used'!$P$18,BD31,AllTriggers)</f>
        <v>1.7218850242059118E-3</v>
      </c>
    </row>
    <row r="32" spans="1:69" ht="12" customHeight="1" x14ac:dyDescent="0.2">
      <c r="G32" s="147" t="s">
        <v>66</v>
      </c>
      <c r="H32" s="148"/>
      <c r="S32" s="148"/>
      <c r="T32" s="148"/>
      <c r="U32" s="148"/>
      <c r="V32" s="148"/>
      <c r="W32" s="148"/>
      <c r="X32" s="149"/>
      <c r="Y32" s="147" t="s">
        <v>67</v>
      </c>
      <c r="Z32" s="148"/>
      <c r="AA32" s="148"/>
      <c r="AB32" s="149"/>
      <c r="BC32" s="178">
        <f>_xll.qlCalendarAdvance(Calendar,BC31,"1d","mf",,Trigger)</f>
        <v>42317</v>
      </c>
      <c r="BD32" s="41">
        <f>_xll.qlDayCounterYearFraction(DayCounter,SettlementDate,BC32,,,Trigger)</f>
        <v>0.10555555555555556</v>
      </c>
      <c r="BE32" s="47" t="e">
        <f>_xll.qlPolynomialFunctionValue(BE$1,$BD32,AllTriggers)</f>
        <v>#VALUE!</v>
      </c>
      <c r="BF32" s="47" t="e">
        <f>_xll.qlPolynomialFunctionValue(BF$1,$BD32,AllTriggers)</f>
        <v>#VALUE!</v>
      </c>
      <c r="BG32" s="47" t="e">
        <f>_xll.qlPolynomialFunctionValue(BG$1,$BD32,AllTriggers)</f>
        <v>#VALUE!</v>
      </c>
      <c r="BH32" s="47" t="e">
        <f>_xll.qlPolynomialFunctionValue(BH$1,$BD32,AllTriggers)</f>
        <v>#VALUE!</v>
      </c>
      <c r="BI32" s="47" t="e">
        <f>_xll.qlPolynomialFunctionValue(BI$1,$BD32,AllTriggers)</f>
        <v>#VALUE!</v>
      </c>
      <c r="BJ32" s="47" t="e">
        <f>_xll.qlPolynomialFunctionValue(BJ$1,$BD32,AllTriggers)</f>
        <v>#VALUE!</v>
      </c>
      <c r="BK32" s="47" t="e">
        <f>_xll.qlPolynomialFunctionValue(BK$1,$BD32,AllTriggers)</f>
        <v>#VALUE!</v>
      </c>
      <c r="BL32" s="47" t="e">
        <f>_xll.qlPolynomialFunctionValue(BL$1,$BD32,AllTriggers)</f>
        <v>#VALUE!</v>
      </c>
      <c r="BM32" s="47" t="e">
        <f>_xll.qlPolynomialFunctionValue(BM$1,$BD32,AllTriggers)</f>
        <v>#VALUE!</v>
      </c>
      <c r="BN32" s="47" t="e">
        <f>_xll.qlPolynomialFunctionValue(BN$1,$BD32,AllTriggers)</f>
        <v>#VALUE!</v>
      </c>
      <c r="BO32" s="47" t="e">
        <f>_xll.qlPolynomialFunctionValue(BO$1,$BD32,AllTriggers)</f>
        <v>#VALUE!</v>
      </c>
      <c r="BP32" s="47" t="e">
        <f>_xll.qlPolynomialFunctionValue(BP$1,$BD32,AllTriggers)</f>
        <v>#VALUE!</v>
      </c>
      <c r="BQ32" s="47">
        <f>_xll.qlPolynomialFunctionValue('6MSynthDepo_used'!$P$18,BD32,AllTriggers)</f>
        <v>1.7282601392432776E-3</v>
      </c>
    </row>
    <row r="33" spans="3:69" ht="12" customHeight="1" x14ac:dyDescent="0.2">
      <c r="G33" s="214" t="s">
        <v>106</v>
      </c>
      <c r="H33" s="215"/>
      <c r="S33" s="215"/>
      <c r="T33" s="216"/>
      <c r="U33" s="214" t="s">
        <v>107</v>
      </c>
      <c r="V33" s="215"/>
      <c r="W33" s="215"/>
      <c r="X33" s="216"/>
      <c r="Y33" s="214" t="s">
        <v>106</v>
      </c>
      <c r="Z33" s="215"/>
      <c r="AA33" s="215"/>
      <c r="AB33" s="216"/>
      <c r="BC33" s="178">
        <f>_xll.qlCalendarAdvance(Calendar,BC32,"1d","mf",,Trigger)</f>
        <v>42318</v>
      </c>
      <c r="BD33" s="41">
        <f>_xll.qlDayCounterYearFraction(DayCounter,SettlementDate,BC33,,,Trigger)</f>
        <v>0.10833333333333334</v>
      </c>
      <c r="BE33" s="47" t="e">
        <f>_xll.qlPolynomialFunctionValue(BE$1,$BD33,AllTriggers)</f>
        <v>#VALUE!</v>
      </c>
      <c r="BF33" s="47" t="e">
        <f>_xll.qlPolynomialFunctionValue(BF$1,$BD33,AllTriggers)</f>
        <v>#VALUE!</v>
      </c>
      <c r="BG33" s="47" t="e">
        <f>_xll.qlPolynomialFunctionValue(BG$1,$BD33,AllTriggers)</f>
        <v>#VALUE!</v>
      </c>
      <c r="BH33" s="47" t="e">
        <f>_xll.qlPolynomialFunctionValue(BH$1,$BD33,AllTriggers)</f>
        <v>#VALUE!</v>
      </c>
      <c r="BI33" s="47" t="e">
        <f>_xll.qlPolynomialFunctionValue(BI$1,$BD33,AllTriggers)</f>
        <v>#VALUE!</v>
      </c>
      <c r="BJ33" s="47" t="e">
        <f>_xll.qlPolynomialFunctionValue(BJ$1,$BD33,AllTriggers)</f>
        <v>#VALUE!</v>
      </c>
      <c r="BK33" s="47" t="e">
        <f>_xll.qlPolynomialFunctionValue(BK$1,$BD33,AllTriggers)</f>
        <v>#VALUE!</v>
      </c>
      <c r="BL33" s="47" t="e">
        <f>_xll.qlPolynomialFunctionValue(BL$1,$BD33,AllTriggers)</f>
        <v>#VALUE!</v>
      </c>
      <c r="BM33" s="47" t="e">
        <f>_xll.qlPolynomialFunctionValue(BM$1,$BD33,AllTriggers)</f>
        <v>#VALUE!</v>
      </c>
      <c r="BN33" s="47" t="e">
        <f>_xll.qlPolynomialFunctionValue(BN$1,$BD33,AllTriggers)</f>
        <v>#VALUE!</v>
      </c>
      <c r="BO33" s="47" t="e">
        <f>_xll.qlPolynomialFunctionValue(BO$1,$BD33,AllTriggers)</f>
        <v>#VALUE!</v>
      </c>
      <c r="BP33" s="47" t="e">
        <f>_xll.qlPolynomialFunctionValue(BP$1,$BD33,AllTriggers)</f>
        <v>#VALUE!</v>
      </c>
      <c r="BQ33" s="47">
        <f>_xll.qlPolynomialFunctionValue('6MSynthDepo_used'!$P$18,BD33,AllTriggers)</f>
        <v>1.7303734200084095E-3</v>
      </c>
    </row>
    <row r="34" spans="3:69" ht="12" customHeight="1" thickBot="1" x14ac:dyDescent="0.25">
      <c r="G34" s="134" t="str">
        <f>"with 0X"&amp;SUBSTITUTE($D$24,"M","")</f>
        <v>with 0X6</v>
      </c>
      <c r="H34" s="110"/>
      <c r="S34" s="109" t="str">
        <f>"without 0X"&amp;SUBSTITUTE($D$24,"M","")</f>
        <v>without 0X6</v>
      </c>
      <c r="T34" s="135"/>
      <c r="U34" s="134" t="str">
        <f>"with 0X"&amp;SUBSTITUTE($D$24,"M","")</f>
        <v>with 0X6</v>
      </c>
      <c r="V34" s="110"/>
      <c r="W34" s="109" t="str">
        <f>"without 0X"&amp;SUBSTITUTE($D$24,"M","")</f>
        <v>without 0X6</v>
      </c>
      <c r="X34" s="135"/>
      <c r="Y34" s="134" t="str">
        <f>"with 0X"&amp;SUBSTITUTE($D$24,"M","")</f>
        <v>with 0X6</v>
      </c>
      <c r="Z34" s="110"/>
      <c r="AA34" s="109" t="str">
        <f>"without 0X"&amp;SUBSTITUTE($D$24,"M","")</f>
        <v>without 0X6</v>
      </c>
      <c r="AB34" s="135"/>
      <c r="BC34" s="178">
        <f>_xll.qlCalendarAdvance(Calendar,BC33,"1d","mf",,Trigger)</f>
        <v>42319</v>
      </c>
      <c r="BD34" s="41">
        <f>_xll.qlDayCounterYearFraction(DayCounter,SettlementDate,BC34,,,Trigger)</f>
        <v>0.1111111111111111</v>
      </c>
      <c r="BE34" s="47" t="e">
        <f>_xll.qlPolynomialFunctionValue(BE$1,$BD34,AllTriggers)</f>
        <v>#VALUE!</v>
      </c>
      <c r="BF34" s="47" t="e">
        <f>_xll.qlPolynomialFunctionValue(BF$1,$BD34,AllTriggers)</f>
        <v>#VALUE!</v>
      </c>
      <c r="BG34" s="47" t="e">
        <f>_xll.qlPolynomialFunctionValue(BG$1,$BD34,AllTriggers)</f>
        <v>#VALUE!</v>
      </c>
      <c r="BH34" s="47" t="e">
        <f>_xll.qlPolynomialFunctionValue(BH$1,$BD34,AllTriggers)</f>
        <v>#VALUE!</v>
      </c>
      <c r="BI34" s="47" t="e">
        <f>_xll.qlPolynomialFunctionValue(BI$1,$BD34,AllTriggers)</f>
        <v>#VALUE!</v>
      </c>
      <c r="BJ34" s="47" t="e">
        <f>_xll.qlPolynomialFunctionValue(BJ$1,$BD34,AllTriggers)</f>
        <v>#VALUE!</v>
      </c>
      <c r="BK34" s="47" t="e">
        <f>_xll.qlPolynomialFunctionValue(BK$1,$BD34,AllTriggers)</f>
        <v>#VALUE!</v>
      </c>
      <c r="BL34" s="47" t="e">
        <f>_xll.qlPolynomialFunctionValue(BL$1,$BD34,AllTriggers)</f>
        <v>#VALUE!</v>
      </c>
      <c r="BM34" s="47" t="e">
        <f>_xll.qlPolynomialFunctionValue(BM$1,$BD34,AllTriggers)</f>
        <v>#VALUE!</v>
      </c>
      <c r="BN34" s="47" t="e">
        <f>_xll.qlPolynomialFunctionValue(BN$1,$BD34,AllTriggers)</f>
        <v>#VALUE!</v>
      </c>
      <c r="BO34" s="47" t="e">
        <f>_xll.qlPolynomialFunctionValue(BO$1,$BD34,AllTriggers)</f>
        <v>#VALUE!</v>
      </c>
      <c r="BP34" s="47" t="e">
        <f>_xll.qlPolynomialFunctionValue(BP$1,$BD34,AllTriggers)</f>
        <v>#VALUE!</v>
      </c>
      <c r="BQ34" s="47">
        <f>_xll.qlPolynomialFunctionValue('6MSynthDepo_used'!$P$18,BD34,AllTriggers)</f>
        <v>1.7324808476909209E-3</v>
      </c>
    </row>
    <row r="35" spans="3:69" ht="12" customHeight="1" x14ac:dyDescent="0.2">
      <c r="D35" s="36" t="s">
        <v>49</v>
      </c>
      <c r="E35" s="36" t="s">
        <v>38</v>
      </c>
      <c r="F35" s="36" t="s">
        <v>39</v>
      </c>
      <c r="G35" s="136" t="str">
        <f>IF(COUNT(G$28:G$31)=2,"Linear","Quadratic")</f>
        <v>Quadratic</v>
      </c>
      <c r="H35" s="38" t="str">
        <f>IF(COUNT(H$28:H$31)=2,"Linear","Quadratic")</f>
        <v>Quadratic</v>
      </c>
      <c r="S35" s="38" t="str">
        <f t="shared" ref="S35:AB35" si="13">IF(COUNT(S$28:S$31)=2,"Linear","Quadratic")</f>
        <v>Quadratic</v>
      </c>
      <c r="T35" s="137" t="str">
        <f t="shared" si="13"/>
        <v>Quadratic</v>
      </c>
      <c r="U35" s="136" t="str">
        <f t="shared" si="13"/>
        <v>Quadratic</v>
      </c>
      <c r="V35" s="38" t="str">
        <f t="shared" si="13"/>
        <v>Quadratic</v>
      </c>
      <c r="W35" s="38" t="str">
        <f t="shared" si="13"/>
        <v>Quadratic</v>
      </c>
      <c r="X35" s="137" t="str">
        <f t="shared" si="13"/>
        <v>Quadratic</v>
      </c>
      <c r="Y35" s="136" t="str">
        <f t="shared" si="13"/>
        <v>Quadratic</v>
      </c>
      <c r="Z35" s="38" t="str">
        <f t="shared" si="13"/>
        <v>Quadratic</v>
      </c>
      <c r="AA35" s="38" t="str">
        <f t="shared" si="13"/>
        <v>Quadratic</v>
      </c>
      <c r="AB35" s="137" t="str">
        <f t="shared" si="13"/>
        <v>Quadratic</v>
      </c>
      <c r="AC35" s="255" t="s">
        <v>105</v>
      </c>
      <c r="BC35" s="178">
        <f>_xll.qlCalendarAdvance(Calendar,BC34,"1d","mf",,Trigger)</f>
        <v>42320</v>
      </c>
      <c r="BD35" s="41">
        <f>_xll.qlDayCounterYearFraction(DayCounter,SettlementDate,BC35,,,Trigger)</f>
        <v>0.11388888888888889</v>
      </c>
      <c r="BE35" s="47" t="e">
        <f>_xll.qlPolynomialFunctionValue(BE$1,$BD35,AllTriggers)</f>
        <v>#VALUE!</v>
      </c>
      <c r="BF35" s="47" t="e">
        <f>_xll.qlPolynomialFunctionValue(BF$1,$BD35,AllTriggers)</f>
        <v>#VALUE!</v>
      </c>
      <c r="BG35" s="47" t="e">
        <f>_xll.qlPolynomialFunctionValue(BG$1,$BD35,AllTriggers)</f>
        <v>#VALUE!</v>
      </c>
      <c r="BH35" s="47" t="e">
        <f>_xll.qlPolynomialFunctionValue(BH$1,$BD35,AllTriggers)</f>
        <v>#VALUE!</v>
      </c>
      <c r="BI35" s="47" t="e">
        <f>_xll.qlPolynomialFunctionValue(BI$1,$BD35,AllTriggers)</f>
        <v>#VALUE!</v>
      </c>
      <c r="BJ35" s="47" t="e">
        <f>_xll.qlPolynomialFunctionValue(BJ$1,$BD35,AllTriggers)</f>
        <v>#VALUE!</v>
      </c>
      <c r="BK35" s="47" t="e">
        <f>_xll.qlPolynomialFunctionValue(BK$1,$BD35,AllTriggers)</f>
        <v>#VALUE!</v>
      </c>
      <c r="BL35" s="47" t="e">
        <f>_xll.qlPolynomialFunctionValue(BL$1,$BD35,AllTriggers)</f>
        <v>#VALUE!</v>
      </c>
      <c r="BM35" s="47" t="e">
        <f>_xll.qlPolynomialFunctionValue(BM$1,$BD35,AllTriggers)</f>
        <v>#VALUE!</v>
      </c>
      <c r="BN35" s="47" t="e">
        <f>_xll.qlPolynomialFunctionValue(BN$1,$BD35,AllTriggers)</f>
        <v>#VALUE!</v>
      </c>
      <c r="BO35" s="47" t="e">
        <f>_xll.qlPolynomialFunctionValue(BO$1,$BD35,AllTriggers)</f>
        <v>#VALUE!</v>
      </c>
      <c r="BP35" s="47" t="e">
        <f>_xll.qlPolynomialFunctionValue(BP$1,$BD35,AllTriggers)</f>
        <v>#VALUE!</v>
      </c>
      <c r="BQ35" s="47">
        <f>_xll.qlPolynomialFunctionValue('6MSynthDepo_used'!$P$18,BD35,AllTriggers)</f>
        <v>1.7345824377154363E-3</v>
      </c>
    </row>
    <row r="36" spans="3:69" ht="12" customHeight="1" x14ac:dyDescent="0.2">
      <c r="C36" s="19">
        <v>0</v>
      </c>
      <c r="D36" s="45" t="s">
        <v>25</v>
      </c>
      <c r="E36" s="175">
        <f>_xll.qlCalendarAdvance(Calendar,SettlementDate,C36&amp;"M","mf",TRUE,Trigger)</f>
        <v>42279</v>
      </c>
      <c r="F36" s="245">
        <f>_xll.qlCalendarAdvance(Calendar,SettlementDate,D36,"Following",,Trigger)</f>
        <v>42282</v>
      </c>
      <c r="G36" s="253" t="e">
        <f>_xll.qlTenorBasisForwardRate2(G$27,$E36,$F36,InterestRatesTrigger)</f>
        <v>#VALUE!</v>
      </c>
      <c r="H36" s="193" t="e">
        <f>_xll.qlTenorBasisForwardRate2(H$27,$E36,$F36,InterestRatesTrigger)</f>
        <v>#VALUE!</v>
      </c>
      <c r="S36" s="193" t="e">
        <f>_xll.qlTenorBasisForwardRate2(S$27,$E36,$F36,InterestRatesTrigger)</f>
        <v>#VALUE!</v>
      </c>
      <c r="T36" s="254" t="e">
        <f>_xll.qlTenorBasisForwardRate2(T$27,$E36,$F36,InterestRatesTrigger)</f>
        <v>#VALUE!</v>
      </c>
      <c r="U36" s="253" t="e">
        <f>_xll.qlTenorBasisForwardRate2(U$27,$E36,$F36,InterestRatesTrigger)</f>
        <v>#VALUE!</v>
      </c>
      <c r="V36" s="193" t="e">
        <f>_xll.qlTenorBasisForwardRate2(V$27,$E36,$F36,InterestRatesTrigger)</f>
        <v>#VALUE!</v>
      </c>
      <c r="W36" s="193" t="e">
        <f>_xll.qlTenorBasisForwardRate2(W$27,$E36,$F36,InterestRatesTrigger)</f>
        <v>#VALUE!</v>
      </c>
      <c r="X36" s="254" t="e">
        <f>_xll.qlTenorBasisForwardRate2(X$27,$E36,$F36,InterestRatesTrigger)</f>
        <v>#VALUE!</v>
      </c>
      <c r="Y36" s="253" t="e">
        <f>_xll.qlTenorBasisForwardRate2(Y$27,$E36,$F36,InterestRatesTrigger)</f>
        <v>#VALUE!</v>
      </c>
      <c r="Z36" s="193" t="e">
        <f>_xll.qlTenorBasisForwardRate2(Z$27,$E36,$F36,InterestRatesTrigger)</f>
        <v>#VALUE!</v>
      </c>
      <c r="AA36" s="193" t="e">
        <f>_xll.qlTenorBasisForwardRate2(AA$27,$E36,$F36,InterestRatesTrigger)</f>
        <v>#VALUE!</v>
      </c>
      <c r="AB36" s="254" t="e">
        <f>_xll.qlTenorBasisForwardRate2(AB$27,$E36,$F36,InterestRatesTrigger)</f>
        <v>#VALUE!</v>
      </c>
      <c r="AC36" s="254">
        <f>'6MSynthDepo_used'!AA15</f>
        <v>2.6443670122944241E-4</v>
      </c>
      <c r="BC36" s="178">
        <f>_xll.qlCalendarAdvance(Calendar,BC35,"1d","mf",,Trigger)</f>
        <v>42321</v>
      </c>
      <c r="BD36" s="41">
        <f>_xll.qlDayCounterYearFraction(DayCounter,SettlementDate,BC36,,,Trigger)</f>
        <v>0.11666666666666667</v>
      </c>
      <c r="BE36" s="47" t="e">
        <f>_xll.qlPolynomialFunctionValue(BE$1,$BD36,AllTriggers)</f>
        <v>#VALUE!</v>
      </c>
      <c r="BF36" s="47" t="e">
        <f>_xll.qlPolynomialFunctionValue(BF$1,$BD36,AllTriggers)</f>
        <v>#VALUE!</v>
      </c>
      <c r="BG36" s="47" t="e">
        <f>_xll.qlPolynomialFunctionValue(BG$1,$BD36,AllTriggers)</f>
        <v>#VALUE!</v>
      </c>
      <c r="BH36" s="47" t="e">
        <f>_xll.qlPolynomialFunctionValue(BH$1,$BD36,AllTriggers)</f>
        <v>#VALUE!</v>
      </c>
      <c r="BI36" s="47" t="e">
        <f>_xll.qlPolynomialFunctionValue(BI$1,$BD36,AllTriggers)</f>
        <v>#VALUE!</v>
      </c>
      <c r="BJ36" s="47" t="e">
        <f>_xll.qlPolynomialFunctionValue(BJ$1,$BD36,AllTriggers)</f>
        <v>#VALUE!</v>
      </c>
      <c r="BK36" s="47" t="e">
        <f>_xll.qlPolynomialFunctionValue(BK$1,$BD36,AllTriggers)</f>
        <v>#VALUE!</v>
      </c>
      <c r="BL36" s="47" t="e">
        <f>_xll.qlPolynomialFunctionValue(BL$1,$BD36,AllTriggers)</f>
        <v>#VALUE!</v>
      </c>
      <c r="BM36" s="47" t="e">
        <f>_xll.qlPolynomialFunctionValue(BM$1,$BD36,AllTriggers)</f>
        <v>#VALUE!</v>
      </c>
      <c r="BN36" s="47" t="e">
        <f>_xll.qlPolynomialFunctionValue(BN$1,$BD36,AllTriggers)</f>
        <v>#VALUE!</v>
      </c>
      <c r="BO36" s="47" t="e">
        <f>_xll.qlPolynomialFunctionValue(BO$1,$BD36,AllTriggers)</f>
        <v>#VALUE!</v>
      </c>
      <c r="BP36" s="47" t="e">
        <f>_xll.qlPolynomialFunctionValue(BP$1,$BD36,AllTriggers)</f>
        <v>#VALUE!</v>
      </c>
      <c r="BQ36" s="47">
        <f>_xll.qlPolynomialFunctionValue('6MSynthDepo_used'!$P$18,BD36,AllTriggers)</f>
        <v>1.7366782055065809E-3</v>
      </c>
    </row>
    <row r="37" spans="3:69" ht="12" customHeight="1" x14ac:dyDescent="0.2">
      <c r="C37" s="19">
        <v>0</v>
      </c>
      <c r="D37" s="48" t="s">
        <v>26</v>
      </c>
      <c r="E37" s="177">
        <f>_xll.qlCalendarAdvance(Calendar,SettlementDate,C37&amp;"M","mf",TRUE,Trigger)</f>
        <v>42279</v>
      </c>
      <c r="F37" s="246">
        <f>_xll.qlCalendarAdvance(Calendar,SettlementDate,D37,"Following",,Trigger)</f>
        <v>42286</v>
      </c>
      <c r="G37" s="138" t="e">
        <f>_xll.qlTenorBasisForwardRate2(G$27,$E37,$F37,InterestRatesTrigger)</f>
        <v>#VALUE!</v>
      </c>
      <c r="H37" s="128" t="e">
        <f>_xll.qlTenorBasisForwardRate2(H$27,$E37,$F37,InterestRatesTrigger)</f>
        <v>#VALUE!</v>
      </c>
      <c r="S37" s="128" t="e">
        <f>_xll.qlTenorBasisForwardRate2(S$27,$E37,$F37,InterestRatesTrigger)</f>
        <v>#VALUE!</v>
      </c>
      <c r="T37" s="139" t="e">
        <f>_xll.qlTenorBasisForwardRate2(T$27,$E37,$F37,InterestRatesTrigger)</f>
        <v>#VALUE!</v>
      </c>
      <c r="U37" s="138" t="e">
        <f>_xll.qlTenorBasisForwardRate2(U$27,$E37,$F37,InterestRatesTrigger)</f>
        <v>#VALUE!</v>
      </c>
      <c r="V37" s="128" t="e">
        <f>_xll.qlTenorBasisForwardRate2(V$27,$E37,$F37,InterestRatesTrigger)</f>
        <v>#VALUE!</v>
      </c>
      <c r="W37" s="128" t="e">
        <f>_xll.qlTenorBasisForwardRate2(W$27,$E37,$F37,InterestRatesTrigger)</f>
        <v>#VALUE!</v>
      </c>
      <c r="X37" s="139" t="e">
        <f>_xll.qlTenorBasisForwardRate2(X$27,$E37,$F37,InterestRatesTrigger)</f>
        <v>#VALUE!</v>
      </c>
      <c r="Y37" s="138" t="e">
        <f>_xll.qlTenorBasisForwardRate2(Y$27,$E37,$F37,InterestRatesTrigger)</f>
        <v>#VALUE!</v>
      </c>
      <c r="Z37" s="128" t="e">
        <f>_xll.qlTenorBasisForwardRate2(Z$27,$E37,$F37,InterestRatesTrigger)</f>
        <v>#VALUE!</v>
      </c>
      <c r="AA37" s="128" t="e">
        <f>_xll.qlTenorBasisForwardRate2(AA$27,$E37,$F37,InterestRatesTrigger)</f>
        <v>#VALUE!</v>
      </c>
      <c r="AB37" s="139" t="e">
        <f>_xll.qlTenorBasisForwardRate2(AB$27,$E37,$F37,InterestRatesTrigger)</f>
        <v>#VALUE!</v>
      </c>
      <c r="AC37" s="139">
        <f>'6MSynthDepo_used'!AA16</f>
        <v>1.9888524474178025E-4</v>
      </c>
      <c r="BC37" s="178">
        <f>_xll.qlCalendarAdvance(Calendar,BC36,"1d","mf",,Trigger)</f>
        <v>42324</v>
      </c>
      <c r="BD37" s="41">
        <f>_xll.qlDayCounterYearFraction(DayCounter,SettlementDate,BC37,,,Trigger)</f>
        <v>0.125</v>
      </c>
      <c r="BE37" s="47" t="e">
        <f>_xll.qlPolynomialFunctionValue(BE$1,$BD37,AllTriggers)</f>
        <v>#VALUE!</v>
      </c>
      <c r="BF37" s="47" t="e">
        <f>_xll.qlPolynomialFunctionValue(BF$1,$BD37,AllTriggers)</f>
        <v>#VALUE!</v>
      </c>
      <c r="BG37" s="47" t="e">
        <f>_xll.qlPolynomialFunctionValue(BG$1,$BD37,AllTriggers)</f>
        <v>#VALUE!</v>
      </c>
      <c r="BH37" s="47" t="e">
        <f>_xll.qlPolynomialFunctionValue(BH$1,$BD37,AllTriggers)</f>
        <v>#VALUE!</v>
      </c>
      <c r="BI37" s="47" t="e">
        <f>_xll.qlPolynomialFunctionValue(BI$1,$BD37,AllTriggers)</f>
        <v>#VALUE!</v>
      </c>
      <c r="BJ37" s="47" t="e">
        <f>_xll.qlPolynomialFunctionValue(BJ$1,$BD37,AllTriggers)</f>
        <v>#VALUE!</v>
      </c>
      <c r="BK37" s="47" t="e">
        <f>_xll.qlPolynomialFunctionValue(BK$1,$BD37,AllTriggers)</f>
        <v>#VALUE!</v>
      </c>
      <c r="BL37" s="47" t="e">
        <f>_xll.qlPolynomialFunctionValue(BL$1,$BD37,AllTriggers)</f>
        <v>#VALUE!</v>
      </c>
      <c r="BM37" s="47" t="e">
        <f>_xll.qlPolynomialFunctionValue(BM$1,$BD37,AllTriggers)</f>
        <v>#VALUE!</v>
      </c>
      <c r="BN37" s="47" t="e">
        <f>_xll.qlPolynomialFunctionValue(BN$1,$BD37,AllTriggers)</f>
        <v>#VALUE!</v>
      </c>
      <c r="BO37" s="47" t="e">
        <f>_xll.qlPolynomialFunctionValue(BO$1,$BD37,AllTriggers)</f>
        <v>#VALUE!</v>
      </c>
      <c r="BP37" s="47" t="e">
        <f>_xll.qlPolynomialFunctionValue(BP$1,$BD37,AllTriggers)</f>
        <v>#VALUE!</v>
      </c>
      <c r="BQ37" s="47">
        <f>_xll.qlPolynomialFunctionValue('6MSynthDepo_used'!$P$18,BD37,AllTriggers)</f>
        <v>1.7429307297260328E-3</v>
      </c>
    </row>
    <row r="38" spans="3:69" ht="12" customHeight="1" x14ac:dyDescent="0.2">
      <c r="C38" s="19">
        <v>0</v>
      </c>
      <c r="D38" s="48" t="s">
        <v>27</v>
      </c>
      <c r="E38" s="177">
        <f>_xll.qlCalendarAdvance(Calendar,SettlementDate,C38&amp;"M","mf",TRUE,Trigger)</f>
        <v>42279</v>
      </c>
      <c r="F38" s="246">
        <f>_xll.qlCalendarAdvance(Calendar,SettlementDate,D38,"Following",,Trigger)</f>
        <v>42293</v>
      </c>
      <c r="G38" s="138" t="e">
        <f>_xll.qlTenorBasisForwardRate2(G$27,$E38,$F38,InterestRatesTrigger)</f>
        <v>#VALUE!</v>
      </c>
      <c r="H38" s="128" t="e">
        <f>_xll.qlTenorBasisForwardRate2(H$27,$E38,$F38,InterestRatesTrigger)</f>
        <v>#VALUE!</v>
      </c>
      <c r="S38" s="128" t="e">
        <f>_xll.qlTenorBasisForwardRate2(S$27,$E38,$F38,InterestRatesTrigger)</f>
        <v>#VALUE!</v>
      </c>
      <c r="T38" s="139" t="e">
        <f>_xll.qlTenorBasisForwardRate2(T$27,$E38,$F38,InterestRatesTrigger)</f>
        <v>#VALUE!</v>
      </c>
      <c r="U38" s="138" t="e">
        <f>_xll.qlTenorBasisForwardRate2(U$27,$E38,$F38,InterestRatesTrigger)</f>
        <v>#VALUE!</v>
      </c>
      <c r="V38" s="128" t="e">
        <f>_xll.qlTenorBasisForwardRate2(V$27,$E38,$F38,InterestRatesTrigger)</f>
        <v>#VALUE!</v>
      </c>
      <c r="W38" s="128" t="e">
        <f>_xll.qlTenorBasisForwardRate2(W$27,$E38,$F38,InterestRatesTrigger)</f>
        <v>#VALUE!</v>
      </c>
      <c r="X38" s="139" t="e">
        <f>_xll.qlTenorBasisForwardRate2(X$27,$E38,$F38,InterestRatesTrigger)</f>
        <v>#VALUE!</v>
      </c>
      <c r="Y38" s="138" t="e">
        <f>_xll.qlTenorBasisForwardRate2(Y$27,$E38,$F38,InterestRatesTrigger)</f>
        <v>#VALUE!</v>
      </c>
      <c r="Z38" s="128" t="e">
        <f>_xll.qlTenorBasisForwardRate2(Z$27,$E38,$F38,InterestRatesTrigger)</f>
        <v>#VALUE!</v>
      </c>
      <c r="AA38" s="128" t="e">
        <f>_xll.qlTenorBasisForwardRate2(AA$27,$E38,$F38,InterestRatesTrigger)</f>
        <v>#VALUE!</v>
      </c>
      <c r="AB38" s="139" t="e">
        <f>_xll.qlTenorBasisForwardRate2(AB$27,$E38,$F38,InterestRatesTrigger)</f>
        <v>#VALUE!</v>
      </c>
      <c r="AC38" s="139">
        <f>'6MSynthDepo_used'!AA17</f>
        <v>2.0671794049663208E-4</v>
      </c>
      <c r="BC38" s="178">
        <f>_xll.qlCalendarAdvance(Calendar,BC37,"1d","mf",,Trigger)</f>
        <v>42325</v>
      </c>
      <c r="BD38" s="41">
        <f>_xll.qlDayCounterYearFraction(DayCounter,SettlementDate,BC38,,,Trigger)</f>
        <v>0.12777777777777777</v>
      </c>
      <c r="BE38" s="47" t="e">
        <f>_xll.qlPolynomialFunctionValue(BE$1,$BD38,AllTriggers)</f>
        <v>#VALUE!</v>
      </c>
      <c r="BF38" s="47" t="e">
        <f>_xll.qlPolynomialFunctionValue(BF$1,$BD38,AllTriggers)</f>
        <v>#VALUE!</v>
      </c>
      <c r="BG38" s="47" t="e">
        <f>_xll.qlPolynomialFunctionValue(BG$1,$BD38,AllTriggers)</f>
        <v>#VALUE!</v>
      </c>
      <c r="BH38" s="47" t="e">
        <f>_xll.qlPolynomialFunctionValue(BH$1,$BD38,AllTriggers)</f>
        <v>#VALUE!</v>
      </c>
      <c r="BI38" s="47" t="e">
        <f>_xll.qlPolynomialFunctionValue(BI$1,$BD38,AllTriggers)</f>
        <v>#VALUE!</v>
      </c>
      <c r="BJ38" s="47" t="e">
        <f>_xll.qlPolynomialFunctionValue(BJ$1,$BD38,AllTriggers)</f>
        <v>#VALUE!</v>
      </c>
      <c r="BK38" s="47" t="e">
        <f>_xll.qlPolynomialFunctionValue(BK$1,$BD38,AllTriggers)</f>
        <v>#VALUE!</v>
      </c>
      <c r="BL38" s="47" t="e">
        <f>_xll.qlPolynomialFunctionValue(BL$1,$BD38,AllTriggers)</f>
        <v>#VALUE!</v>
      </c>
      <c r="BM38" s="47" t="e">
        <f>_xll.qlPolynomialFunctionValue(BM$1,$BD38,AllTriggers)</f>
        <v>#VALUE!</v>
      </c>
      <c r="BN38" s="47" t="e">
        <f>_xll.qlPolynomialFunctionValue(BN$1,$BD38,AllTriggers)</f>
        <v>#VALUE!</v>
      </c>
      <c r="BO38" s="47" t="e">
        <f>_xll.qlPolynomialFunctionValue(BO$1,$BD38,AllTriggers)</f>
        <v>#VALUE!</v>
      </c>
      <c r="BP38" s="47" t="e">
        <f>_xll.qlPolynomialFunctionValue(BP$1,$BD38,AllTriggers)</f>
        <v>#VALUE!</v>
      </c>
      <c r="BQ38" s="47">
        <f>_xll.qlPolynomialFunctionValue('6MSynthDepo_used'!$P$18,BD38,AllTriggers)</f>
        <v>1.7450033628299388E-3</v>
      </c>
    </row>
    <row r="39" spans="3:69" x14ac:dyDescent="0.2">
      <c r="C39" s="19">
        <v>0</v>
      </c>
      <c r="D39" s="48" t="s">
        <v>28</v>
      </c>
      <c r="E39" s="177">
        <f>_xll.qlCalendarAdvance(Calendar,SettlementDate,C39&amp;"M","mf",TRUE,Trigger)</f>
        <v>42279</v>
      </c>
      <c r="F39" s="246">
        <f>_xll.qlCalendarAdvance(Calendar,SettlementDate,D39,"Following",,Trigger)</f>
        <v>42300</v>
      </c>
      <c r="G39" s="138" t="e">
        <f>_xll.qlTenorBasisForwardRate2(G$27,$E39,$F39,InterestRatesTrigger)</f>
        <v>#VALUE!</v>
      </c>
      <c r="H39" s="128" t="e">
        <f>_xll.qlTenorBasisForwardRate2(H$27,$E39,$F39,InterestRatesTrigger)</f>
        <v>#VALUE!</v>
      </c>
      <c r="S39" s="128" t="e">
        <f>_xll.qlTenorBasisForwardRate2(S$27,$E39,$F39,InterestRatesTrigger)</f>
        <v>#VALUE!</v>
      </c>
      <c r="T39" s="139" t="e">
        <f>_xll.qlTenorBasisForwardRate2(T$27,$E39,$F39,InterestRatesTrigger)</f>
        <v>#VALUE!</v>
      </c>
      <c r="U39" s="138" t="e">
        <f>_xll.qlTenorBasisForwardRate2(U$27,$E39,$F39,InterestRatesTrigger)</f>
        <v>#VALUE!</v>
      </c>
      <c r="V39" s="128" t="e">
        <f>_xll.qlTenorBasisForwardRate2(V$27,$E39,$F39,InterestRatesTrigger)</f>
        <v>#VALUE!</v>
      </c>
      <c r="W39" s="128" t="e">
        <f>_xll.qlTenorBasisForwardRate2(W$27,$E39,$F39,InterestRatesTrigger)</f>
        <v>#VALUE!</v>
      </c>
      <c r="X39" s="139" t="e">
        <f>_xll.qlTenorBasisForwardRate2(X$27,$E39,$F39,InterestRatesTrigger)</f>
        <v>#VALUE!</v>
      </c>
      <c r="Y39" s="138" t="e">
        <f>_xll.qlTenorBasisForwardRate2(Y$27,$E39,$F39,InterestRatesTrigger)</f>
        <v>#VALUE!</v>
      </c>
      <c r="Z39" s="128" t="e">
        <f>_xll.qlTenorBasisForwardRate2(Z$27,$E39,$F39,InterestRatesTrigger)</f>
        <v>#VALUE!</v>
      </c>
      <c r="AA39" s="128" t="e">
        <f>_xll.qlTenorBasisForwardRate2(AA$27,$E39,$F39,InterestRatesTrigger)</f>
        <v>#VALUE!</v>
      </c>
      <c r="AB39" s="139" t="e">
        <f>_xll.qlTenorBasisForwardRate2(AB$27,$E39,$F39,InterestRatesTrigger)</f>
        <v>#VALUE!</v>
      </c>
      <c r="AC39" s="139">
        <f>'6MSynthDepo_used'!AA18</f>
        <v>2.1445205192982542E-4</v>
      </c>
      <c r="BC39" s="178">
        <f>_xll.qlCalendarAdvance(Calendar,BC38,"1d","mf",,Trigger)</f>
        <v>42326</v>
      </c>
      <c r="BD39" s="41">
        <f>_xll.qlDayCounterYearFraction(DayCounter,SettlementDate,BC39,,,Trigger)</f>
        <v>0.13055555555555556</v>
      </c>
      <c r="BE39" s="47" t="e">
        <f>_xll.qlPolynomialFunctionValue(BE$1,$BD39,AllTriggers)</f>
        <v>#VALUE!</v>
      </c>
      <c r="BF39" s="47" t="e">
        <f>_xll.qlPolynomialFunctionValue(BF$1,$BD39,AllTriggers)</f>
        <v>#VALUE!</v>
      </c>
      <c r="BG39" s="47" t="e">
        <f>_xll.qlPolynomialFunctionValue(BG$1,$BD39,AllTriggers)</f>
        <v>#VALUE!</v>
      </c>
      <c r="BH39" s="47" t="e">
        <f>_xll.qlPolynomialFunctionValue(BH$1,$BD39,AllTriggers)</f>
        <v>#VALUE!</v>
      </c>
      <c r="BI39" s="47" t="e">
        <f>_xll.qlPolynomialFunctionValue(BI$1,$BD39,AllTriggers)</f>
        <v>#VALUE!</v>
      </c>
      <c r="BJ39" s="47" t="e">
        <f>_xll.qlPolynomialFunctionValue(BJ$1,$BD39,AllTriggers)</f>
        <v>#VALUE!</v>
      </c>
      <c r="BK39" s="47" t="e">
        <f>_xll.qlPolynomialFunctionValue(BK$1,$BD39,AllTriggers)</f>
        <v>#VALUE!</v>
      </c>
      <c r="BL39" s="47" t="e">
        <f>_xll.qlPolynomialFunctionValue(BL$1,$BD39,AllTriggers)</f>
        <v>#VALUE!</v>
      </c>
      <c r="BM39" s="47" t="e">
        <f>_xll.qlPolynomialFunctionValue(BM$1,$BD39,AllTriggers)</f>
        <v>#VALUE!</v>
      </c>
      <c r="BN39" s="47" t="e">
        <f>_xll.qlPolynomialFunctionValue(BN$1,$BD39,AllTriggers)</f>
        <v>#VALUE!</v>
      </c>
      <c r="BO39" s="47" t="e">
        <f>_xll.qlPolynomialFunctionValue(BO$1,$BD39,AllTriggers)</f>
        <v>#VALUE!</v>
      </c>
      <c r="BP39" s="47" t="e">
        <f>_xll.qlPolynomialFunctionValue(BP$1,$BD39,AllTriggers)</f>
        <v>#VALUE!</v>
      </c>
      <c r="BQ39" s="47">
        <f>_xll.qlPolynomialFunctionValue('6MSynthDepo_used'!$P$18,BD39,AllTriggers)</f>
        <v>1.7470702508235966E-3</v>
      </c>
    </row>
    <row r="40" spans="3:69" x14ac:dyDescent="0.2">
      <c r="C40" s="19">
        <v>0</v>
      </c>
      <c r="D40" s="129" t="s">
        <v>22</v>
      </c>
      <c r="E40" s="179">
        <f>_xll.qlCalendarAdvance(Calendar,SettlementDate,C40&amp;"M","mf",TRUE,Trigger)</f>
        <v>42279</v>
      </c>
      <c r="F40" s="247">
        <f>_xll.qlCalendarAdvance(Calendar,SettlementDate,D40,"mf",TRUE,Trigger)</f>
        <v>42310</v>
      </c>
      <c r="G40" s="140" t="e">
        <f>_xll.qlTenorBasisForwardRate2(G$27,$E40,$F40,InterestRatesTrigger)</f>
        <v>#VALUE!</v>
      </c>
      <c r="H40" s="131" t="e">
        <f>_xll.qlTenorBasisForwardRate2(H$27,$E40,$F40,InterestRatesTrigger)</f>
        <v>#VALUE!</v>
      </c>
      <c r="S40" s="131" t="e">
        <f>_xll.qlTenorBasisForwardRate2(S$27,$E40,$F40,InterestRatesTrigger)</f>
        <v>#VALUE!</v>
      </c>
      <c r="T40" s="141" t="e">
        <f>_xll.qlTenorBasisForwardRate2(T$27,$E40,$F40,InterestRatesTrigger)</f>
        <v>#VALUE!</v>
      </c>
      <c r="U40" s="140" t="e">
        <f>_xll.qlTenorBasisForwardRate2(U$27,$E40,$F40,InterestRatesTrigger)</f>
        <v>#VALUE!</v>
      </c>
      <c r="V40" s="131" t="e">
        <f>_xll.qlTenorBasisForwardRate2(V$27,$E40,$F40,InterestRatesTrigger)</f>
        <v>#VALUE!</v>
      </c>
      <c r="W40" s="131" t="e">
        <f>_xll.qlTenorBasisForwardRate2(W$27,$E40,$F40,InterestRatesTrigger)</f>
        <v>#VALUE!</v>
      </c>
      <c r="X40" s="141" t="e">
        <f>_xll.qlTenorBasisForwardRate2(X$27,$E40,$F40,InterestRatesTrigger)</f>
        <v>#VALUE!</v>
      </c>
      <c r="Y40" s="140" t="e">
        <f>_xll.qlTenorBasisForwardRate2(Y$27,$E40,$F40,InterestRatesTrigger)</f>
        <v>#VALUE!</v>
      </c>
      <c r="Z40" s="131" t="e">
        <f>_xll.qlTenorBasisForwardRate2(Z$27,$E40,$F40,InterestRatesTrigger)</f>
        <v>#VALUE!</v>
      </c>
      <c r="AA40" s="131" t="e">
        <f>_xll.qlTenorBasisForwardRate2(AA$27,$E40,$F40,InterestRatesTrigger)</f>
        <v>#VALUE!</v>
      </c>
      <c r="AB40" s="141" t="e">
        <f>_xll.qlTenorBasisForwardRate2(AB$27,$E40,$F40,InterestRatesTrigger)</f>
        <v>#VALUE!</v>
      </c>
      <c r="AC40" s="141">
        <f>'6MSynthDepo_used'!AA19</f>
        <v>2.5533652850138274E-4</v>
      </c>
      <c r="BC40" s="178">
        <f>_xll.qlCalendarAdvance(Calendar,BC39,"1d","mf",,Trigger)</f>
        <v>42327</v>
      </c>
      <c r="BD40" s="41">
        <f>_xll.qlDayCounterYearFraction(DayCounter,SettlementDate,BC40,,,Trigger)</f>
        <v>0.13333333333333333</v>
      </c>
      <c r="BE40" s="47" t="e">
        <f>_xll.qlPolynomialFunctionValue(BE$1,$BD40,AllTriggers)</f>
        <v>#VALUE!</v>
      </c>
      <c r="BF40" s="47" t="e">
        <f>_xll.qlPolynomialFunctionValue(BF$1,$BD40,AllTriggers)</f>
        <v>#VALUE!</v>
      </c>
      <c r="BG40" s="47" t="e">
        <f>_xll.qlPolynomialFunctionValue(BG$1,$BD40,AllTriggers)</f>
        <v>#VALUE!</v>
      </c>
      <c r="BH40" s="47" t="e">
        <f>_xll.qlPolynomialFunctionValue(BH$1,$BD40,AllTriggers)</f>
        <v>#VALUE!</v>
      </c>
      <c r="BI40" s="47" t="e">
        <f>_xll.qlPolynomialFunctionValue(BI$1,$BD40,AllTriggers)</f>
        <v>#VALUE!</v>
      </c>
      <c r="BJ40" s="47" t="e">
        <f>_xll.qlPolynomialFunctionValue(BJ$1,$BD40,AllTriggers)</f>
        <v>#VALUE!</v>
      </c>
      <c r="BK40" s="47" t="e">
        <f>_xll.qlPolynomialFunctionValue(BK$1,$BD40,AllTriggers)</f>
        <v>#VALUE!</v>
      </c>
      <c r="BL40" s="47" t="e">
        <f>_xll.qlPolynomialFunctionValue(BL$1,$BD40,AllTriggers)</f>
        <v>#VALUE!</v>
      </c>
      <c r="BM40" s="47" t="e">
        <f>_xll.qlPolynomialFunctionValue(BM$1,$BD40,AllTriggers)</f>
        <v>#VALUE!</v>
      </c>
      <c r="BN40" s="47" t="e">
        <f>_xll.qlPolynomialFunctionValue(BN$1,$BD40,AllTriggers)</f>
        <v>#VALUE!</v>
      </c>
      <c r="BO40" s="47" t="e">
        <f>_xll.qlPolynomialFunctionValue(BO$1,$BD40,AllTriggers)</f>
        <v>#VALUE!</v>
      </c>
      <c r="BP40" s="47" t="e">
        <f>_xll.qlPolynomialFunctionValue(BP$1,$BD40,AllTriggers)</f>
        <v>#VALUE!</v>
      </c>
      <c r="BQ40" s="47">
        <f>_xll.qlPolynomialFunctionValue('6MSynthDepo_used'!$P$18,BD40,AllTriggers)</f>
        <v>1.749131409131631E-3</v>
      </c>
    </row>
    <row r="41" spans="3:69" x14ac:dyDescent="0.2">
      <c r="C41" s="19">
        <v>0</v>
      </c>
      <c r="D41" s="48" t="s">
        <v>29</v>
      </c>
      <c r="E41" s="177">
        <f>_xll.qlCalendarAdvance(Calendar,SettlementDate,C41&amp;"M","mf",TRUE,Trigger)</f>
        <v>42279</v>
      </c>
      <c r="F41" s="246">
        <f>_xll.qlCalendarAdvance(Calendar,SettlementDate,D41,"mf",TRUE,Trigger)</f>
        <v>42340</v>
      </c>
      <c r="G41" s="138" t="e">
        <f>_xll.qlTenorBasisForwardRate2(G$27,$E41,$F41,InterestRatesTrigger)</f>
        <v>#VALUE!</v>
      </c>
      <c r="H41" s="128" t="e">
        <f>_xll.qlTenorBasisForwardRate2(H$27,$E41,$F41,InterestRatesTrigger)</f>
        <v>#VALUE!</v>
      </c>
      <c r="S41" s="128" t="e">
        <f>_xll.qlTenorBasisForwardRate2(S$27,$E41,$F41,InterestRatesTrigger)</f>
        <v>#VALUE!</v>
      </c>
      <c r="T41" s="139" t="e">
        <f>_xll.qlTenorBasisForwardRate2(T$27,$E41,$F41,InterestRatesTrigger)</f>
        <v>#VALUE!</v>
      </c>
      <c r="U41" s="138" t="e">
        <f>_xll.qlTenorBasisForwardRate2(U$27,$E41,$F41,InterestRatesTrigger)</f>
        <v>#VALUE!</v>
      </c>
      <c r="V41" s="128" t="e">
        <f>_xll.qlTenorBasisForwardRate2(V$27,$E41,$F41,InterestRatesTrigger)</f>
        <v>#VALUE!</v>
      </c>
      <c r="W41" s="128" t="e">
        <f>_xll.qlTenorBasisForwardRate2(W$27,$E41,$F41,InterestRatesTrigger)</f>
        <v>#VALUE!</v>
      </c>
      <c r="X41" s="139" t="e">
        <f>_xll.qlTenorBasisForwardRate2(X$27,$E41,$F41,InterestRatesTrigger)</f>
        <v>#VALUE!</v>
      </c>
      <c r="Y41" s="138" t="e">
        <f>_xll.qlTenorBasisForwardRate2(Y$27,$E41,$F41,InterestRatesTrigger)</f>
        <v>#VALUE!</v>
      </c>
      <c r="Z41" s="128" t="e">
        <f>_xll.qlTenorBasisForwardRate2(Z$27,$E41,$F41,InterestRatesTrigger)</f>
        <v>#VALUE!</v>
      </c>
      <c r="AA41" s="128" t="e">
        <f>_xll.qlTenorBasisForwardRate2(AA$27,$E41,$F41,InterestRatesTrigger)</f>
        <v>#VALUE!</v>
      </c>
      <c r="AB41" s="139" t="e">
        <f>_xll.qlTenorBasisForwardRate2(AB$27,$E41,$F41,InterestRatesTrigger)</f>
        <v>#VALUE!</v>
      </c>
      <c r="AC41" s="139">
        <f>'6MSynthDepo_used'!AA20</f>
        <v>2.5449192234883541E-4</v>
      </c>
      <c r="AD41" s="21"/>
      <c r="BC41" s="178">
        <f>_xll.qlCalendarAdvance(Calendar,BC40,"1d","mf",,Trigger)</f>
        <v>42328</v>
      </c>
      <c r="BD41" s="41">
        <f>_xll.qlDayCounterYearFraction(DayCounter,SettlementDate,BC41,,,Trigger)</f>
        <v>0.1361111111111111</v>
      </c>
      <c r="BE41" s="47" t="e">
        <f>_xll.qlPolynomialFunctionValue(BE$1,$BD41,AllTriggers)</f>
        <v>#VALUE!</v>
      </c>
      <c r="BF41" s="47" t="e">
        <f>_xll.qlPolynomialFunctionValue(BF$1,$BD41,AllTriggers)</f>
        <v>#VALUE!</v>
      </c>
      <c r="BG41" s="47" t="e">
        <f>_xll.qlPolynomialFunctionValue(BG$1,$BD41,AllTriggers)</f>
        <v>#VALUE!</v>
      </c>
      <c r="BH41" s="47" t="e">
        <f>_xll.qlPolynomialFunctionValue(BH$1,$BD41,AllTriggers)</f>
        <v>#VALUE!</v>
      </c>
      <c r="BI41" s="47" t="e">
        <f>_xll.qlPolynomialFunctionValue(BI$1,$BD41,AllTriggers)</f>
        <v>#VALUE!</v>
      </c>
      <c r="BJ41" s="47" t="e">
        <f>_xll.qlPolynomialFunctionValue(BJ$1,$BD41,AllTriggers)</f>
        <v>#VALUE!</v>
      </c>
      <c r="BK41" s="47" t="e">
        <f>_xll.qlPolynomialFunctionValue(BK$1,$BD41,AllTriggers)</f>
        <v>#VALUE!</v>
      </c>
      <c r="BL41" s="47" t="e">
        <f>_xll.qlPolynomialFunctionValue(BL$1,$BD41,AllTriggers)</f>
        <v>#VALUE!</v>
      </c>
      <c r="BM41" s="47" t="e">
        <f>_xll.qlPolynomialFunctionValue(BM$1,$BD41,AllTriggers)</f>
        <v>#VALUE!</v>
      </c>
      <c r="BN41" s="47" t="e">
        <f>_xll.qlPolynomialFunctionValue(BN$1,$BD41,AllTriggers)</f>
        <v>#VALUE!</v>
      </c>
      <c r="BO41" s="47" t="e">
        <f>_xll.qlPolynomialFunctionValue(BO$1,$BD41,AllTriggers)</f>
        <v>#VALUE!</v>
      </c>
      <c r="BP41" s="47" t="e">
        <f>_xll.qlPolynomialFunctionValue(BP$1,$BD41,AllTriggers)</f>
        <v>#VALUE!</v>
      </c>
      <c r="BQ41" s="47">
        <f>_xll.qlPolynomialFunctionValue('6MSynthDepo_used'!$P$18,BD41,AllTriggers)</f>
        <v>1.7511868531786669E-3</v>
      </c>
    </row>
    <row r="42" spans="3:69" x14ac:dyDescent="0.2">
      <c r="C42" s="19">
        <v>0</v>
      </c>
      <c r="D42" s="48" t="s">
        <v>23</v>
      </c>
      <c r="E42" s="177">
        <f>_xll.qlCalendarAdvance(Calendar,SettlementDate,C42&amp;"M","mf",TRUE,Trigger)</f>
        <v>42279</v>
      </c>
      <c r="F42" s="246">
        <f>_xll.qlCalendarAdvance(Calendar,SettlementDate,D42,"mf",TRUE,Trigger)</f>
        <v>42373</v>
      </c>
      <c r="G42" s="138" t="e">
        <f>_xll.qlTenorBasisForwardRate2(G$27,$E42,$F42,InterestRatesTrigger)</f>
        <v>#VALUE!</v>
      </c>
      <c r="H42" s="128" t="e">
        <f>_xll.qlTenorBasisForwardRate2(H$27,$E42,$F42,InterestRatesTrigger)</f>
        <v>#VALUE!</v>
      </c>
      <c r="S42" s="128" t="e">
        <f>_xll.qlTenorBasisForwardRate2(S$27,$E42,$F42,InterestRatesTrigger)</f>
        <v>#VALUE!</v>
      </c>
      <c r="T42" s="139" t="e">
        <f>_xll.qlTenorBasisForwardRate2(T$27,$E42,$F42,InterestRatesTrigger)</f>
        <v>#VALUE!</v>
      </c>
      <c r="U42" s="138" t="e">
        <f>_xll.qlTenorBasisForwardRate2(U$27,$E42,$F42,InterestRatesTrigger)</f>
        <v>#VALUE!</v>
      </c>
      <c r="V42" s="128" t="e">
        <f>_xll.qlTenorBasisForwardRate2(V$27,$E42,$F42,InterestRatesTrigger)</f>
        <v>#VALUE!</v>
      </c>
      <c r="W42" s="128" t="e">
        <f>_xll.qlTenorBasisForwardRate2(W$27,$E42,$F42,InterestRatesTrigger)</f>
        <v>#VALUE!</v>
      </c>
      <c r="X42" s="139" t="e">
        <f>_xll.qlTenorBasisForwardRate2(X$27,$E42,$F42,InterestRatesTrigger)</f>
        <v>#VALUE!</v>
      </c>
      <c r="Y42" s="138" t="e">
        <f>_xll.qlTenorBasisForwardRate2(Y$27,$E42,$F42,InterestRatesTrigger)</f>
        <v>#VALUE!</v>
      </c>
      <c r="Z42" s="128" t="e">
        <f>_xll.qlTenorBasisForwardRate2(Z$27,$E42,$F42,InterestRatesTrigger)</f>
        <v>#VALUE!</v>
      </c>
      <c r="AA42" s="128" t="e">
        <f>_xll.qlTenorBasisForwardRate2(AA$27,$E42,$F42,InterestRatesTrigger)</f>
        <v>#VALUE!</v>
      </c>
      <c r="AB42" s="139" t="e">
        <f>_xll.qlTenorBasisForwardRate2(AB$27,$E42,$F42,InterestRatesTrigger)</f>
        <v>#VALUE!</v>
      </c>
      <c r="AC42" s="139">
        <f>'6MSynthDepo_used'!AA21</f>
        <v>2.7088951562233434E-4</v>
      </c>
      <c r="AD42" s="21"/>
      <c r="BC42" s="178">
        <f>_xll.qlCalendarAdvance(Calendar,BC41,"1d","mf",,Trigger)</f>
        <v>42331</v>
      </c>
      <c r="BD42" s="41">
        <f>_xll.qlDayCounterYearFraction(DayCounter,SettlementDate,BC42,,,Trigger)</f>
        <v>0.14444444444444443</v>
      </c>
      <c r="BE42" s="47" t="e">
        <f>_xll.qlPolynomialFunctionValue(BE$1,$BD42,AllTriggers)</f>
        <v>#VALUE!</v>
      </c>
      <c r="BF42" s="47" t="e">
        <f>_xll.qlPolynomialFunctionValue(BF$1,$BD42,AllTriggers)</f>
        <v>#VALUE!</v>
      </c>
      <c r="BG42" s="47" t="e">
        <f>_xll.qlPolynomialFunctionValue(BG$1,$BD42,AllTriggers)</f>
        <v>#VALUE!</v>
      </c>
      <c r="BH42" s="47" t="e">
        <f>_xll.qlPolynomialFunctionValue(BH$1,$BD42,AllTriggers)</f>
        <v>#VALUE!</v>
      </c>
      <c r="BI42" s="47" t="e">
        <f>_xll.qlPolynomialFunctionValue(BI$1,$BD42,AllTriggers)</f>
        <v>#VALUE!</v>
      </c>
      <c r="BJ42" s="47" t="e">
        <f>_xll.qlPolynomialFunctionValue(BJ$1,$BD42,AllTriggers)</f>
        <v>#VALUE!</v>
      </c>
      <c r="BK42" s="47" t="e">
        <f>_xll.qlPolynomialFunctionValue(BK$1,$BD42,AllTriggers)</f>
        <v>#VALUE!</v>
      </c>
      <c r="BL42" s="47" t="e">
        <f>_xll.qlPolynomialFunctionValue(BL$1,$BD42,AllTriggers)</f>
        <v>#VALUE!</v>
      </c>
      <c r="BM42" s="47" t="e">
        <f>_xll.qlPolynomialFunctionValue(BM$1,$BD42,AllTriggers)</f>
        <v>#VALUE!</v>
      </c>
      <c r="BN42" s="47" t="e">
        <f>_xll.qlPolynomialFunctionValue(BN$1,$BD42,AllTriggers)</f>
        <v>#VALUE!</v>
      </c>
      <c r="BO42" s="47" t="e">
        <f>_xll.qlPolynomialFunctionValue(BO$1,$BD42,AllTriggers)</f>
        <v>#VALUE!</v>
      </c>
      <c r="BP42" s="47" t="e">
        <f>_xll.qlPolynomialFunctionValue(BP$1,$BD42,AllTriggers)</f>
        <v>#VALUE!</v>
      </c>
      <c r="BQ42" s="47">
        <f>_xll.qlPolynomialFunctionValue('6MSynthDepo_used'!$P$18,BD42,AllTriggers)</f>
        <v>1.7573190540000289E-3</v>
      </c>
    </row>
    <row r="43" spans="3:69" ht="11.25" customHeight="1" x14ac:dyDescent="0.2">
      <c r="C43" s="19">
        <v>0</v>
      </c>
      <c r="D43" s="48" t="s">
        <v>30</v>
      </c>
      <c r="E43" s="177">
        <f>_xll.qlCalendarAdvance(Calendar,SettlementDate,C43&amp;"M","mf",TRUE,Trigger)</f>
        <v>42279</v>
      </c>
      <c r="F43" s="246">
        <f>_xll.qlCalendarAdvance(Calendar,SettlementDate,D43,"mf",TRUE,Trigger)</f>
        <v>42402</v>
      </c>
      <c r="G43" s="138" t="e">
        <f>_xll.qlTenorBasisForwardRate2(G$27,$E43,$F43,InterestRatesTrigger)</f>
        <v>#VALUE!</v>
      </c>
      <c r="H43" s="128" t="e">
        <f>_xll.qlTenorBasisForwardRate2(H$27,$E43,$F43,InterestRatesTrigger)</f>
        <v>#VALUE!</v>
      </c>
      <c r="S43" s="128" t="e">
        <f>_xll.qlTenorBasisForwardRate2(S$27,$E43,$F43,InterestRatesTrigger)</f>
        <v>#VALUE!</v>
      </c>
      <c r="T43" s="139" t="e">
        <f>_xll.qlTenorBasisForwardRate2(T$27,$E43,$F43,InterestRatesTrigger)</f>
        <v>#VALUE!</v>
      </c>
      <c r="U43" s="138" t="e">
        <f>_xll.qlTenorBasisForwardRate2(U$27,$E43,$F43,InterestRatesTrigger)</f>
        <v>#VALUE!</v>
      </c>
      <c r="V43" s="128" t="e">
        <f>_xll.qlTenorBasisForwardRate2(V$27,$E43,$F43,InterestRatesTrigger)</f>
        <v>#VALUE!</v>
      </c>
      <c r="W43" s="128" t="e">
        <f>_xll.qlTenorBasisForwardRate2(W$27,$E43,$F43,InterestRatesTrigger)</f>
        <v>#VALUE!</v>
      </c>
      <c r="X43" s="139" t="e">
        <f>_xll.qlTenorBasisForwardRate2(X$27,$E43,$F43,InterestRatesTrigger)</f>
        <v>#VALUE!</v>
      </c>
      <c r="Y43" s="138" t="e">
        <f>_xll.qlTenorBasisForwardRate2(Y$27,$E43,$F43,InterestRatesTrigger)</f>
        <v>#VALUE!</v>
      </c>
      <c r="Z43" s="128" t="e">
        <f>_xll.qlTenorBasisForwardRate2(Z$27,$E43,$F43,InterestRatesTrigger)</f>
        <v>#VALUE!</v>
      </c>
      <c r="AA43" s="128" t="e">
        <f>_xll.qlTenorBasisForwardRate2(AA$27,$E43,$F43,InterestRatesTrigger)</f>
        <v>#VALUE!</v>
      </c>
      <c r="AB43" s="139" t="e">
        <f>_xll.qlTenorBasisForwardRate2(AB$27,$E43,$F43,InterestRatesTrigger)</f>
        <v>#VALUE!</v>
      </c>
      <c r="AC43" s="139">
        <f>'6MSynthDepo_used'!AA22</f>
        <v>2.6109129243197894E-4</v>
      </c>
      <c r="AD43" s="21"/>
      <c r="BC43" s="178">
        <f>_xll.qlCalendarAdvance(Calendar,BC42,"1d","mf",,Trigger)</f>
        <v>42332</v>
      </c>
      <c r="BD43" s="41">
        <f>_xll.qlDayCounterYearFraction(DayCounter,SettlementDate,BC43,,,Trigger)</f>
        <v>0.14722222222222223</v>
      </c>
      <c r="BE43" s="47" t="e">
        <f>_xll.qlPolynomialFunctionValue(BE$1,$BD43,AllTriggers)</f>
        <v>#VALUE!</v>
      </c>
      <c r="BF43" s="47" t="e">
        <f>_xll.qlPolynomialFunctionValue(BF$1,$BD43,AllTriggers)</f>
        <v>#VALUE!</v>
      </c>
      <c r="BG43" s="47" t="e">
        <f>_xll.qlPolynomialFunctionValue(BG$1,$BD43,AllTriggers)</f>
        <v>#VALUE!</v>
      </c>
      <c r="BH43" s="47" t="e">
        <f>_xll.qlPolynomialFunctionValue(BH$1,$BD43,AllTriggers)</f>
        <v>#VALUE!</v>
      </c>
      <c r="BI43" s="47" t="e">
        <f>_xll.qlPolynomialFunctionValue(BI$1,$BD43,AllTriggers)</f>
        <v>#VALUE!</v>
      </c>
      <c r="BJ43" s="47" t="e">
        <f>_xll.qlPolynomialFunctionValue(BJ$1,$BD43,AllTriggers)</f>
        <v>#VALUE!</v>
      </c>
      <c r="BK43" s="47" t="e">
        <f>_xll.qlPolynomialFunctionValue(BK$1,$BD43,AllTriggers)</f>
        <v>#VALUE!</v>
      </c>
      <c r="BL43" s="47" t="e">
        <f>_xll.qlPolynomialFunctionValue(BL$1,$BD43,AllTriggers)</f>
        <v>#VALUE!</v>
      </c>
      <c r="BM43" s="47" t="e">
        <f>_xll.qlPolynomialFunctionValue(BM$1,$BD43,AllTriggers)</f>
        <v>#VALUE!</v>
      </c>
      <c r="BN43" s="47" t="e">
        <f>_xll.qlPolynomialFunctionValue(BN$1,$BD43,AllTriggers)</f>
        <v>#VALUE!</v>
      </c>
      <c r="BO43" s="47" t="e">
        <f>_xll.qlPolynomialFunctionValue(BO$1,$BD43,AllTriggers)</f>
        <v>#VALUE!</v>
      </c>
      <c r="BP43" s="47" t="e">
        <f>_xll.qlPolynomialFunctionValue(BP$1,$BD43,AllTriggers)</f>
        <v>#VALUE!</v>
      </c>
      <c r="BQ43" s="47">
        <f>_xll.qlPolynomialFunctionValue('6MSynthDepo_used'!$P$18,BD43,AllTriggers)</f>
        <v>1.7593517952493164E-3</v>
      </c>
    </row>
    <row r="44" spans="3:69" x14ac:dyDescent="0.2">
      <c r="C44" s="19">
        <v>0</v>
      </c>
      <c r="D44" s="49" t="s">
        <v>31</v>
      </c>
      <c r="E44" s="181">
        <f>_xll.qlCalendarAdvance(Calendar,SettlementDate,C44&amp;"M","mf",TRUE,Trigger)</f>
        <v>42279</v>
      </c>
      <c r="F44" s="248">
        <f>_xll.qlCalendarAdvance(Calendar,SettlementDate,D44,"mf",TRUE,Trigger)</f>
        <v>42431</v>
      </c>
      <c r="G44" s="142" t="e">
        <f>_xll.qlTenorBasisForwardRate2(G$27,$E44,$F44,InterestRatesTrigger)</f>
        <v>#VALUE!</v>
      </c>
      <c r="H44" s="115" t="e">
        <f>_xll.qlTenorBasisForwardRate2(H$27,$E44,$F44,InterestRatesTrigger)</f>
        <v>#VALUE!</v>
      </c>
      <c r="S44" s="115" t="e">
        <f>_xll.qlTenorBasisForwardRate2(S$27,$E44,$F44,InterestRatesTrigger)</f>
        <v>#VALUE!</v>
      </c>
      <c r="T44" s="143" t="e">
        <f>_xll.qlTenorBasisForwardRate2(T$27,$E44,$F44,InterestRatesTrigger)</f>
        <v>#VALUE!</v>
      </c>
      <c r="U44" s="142" t="e">
        <f>_xll.qlTenorBasisForwardRate2(U$27,$E44,$F44,InterestRatesTrigger)</f>
        <v>#VALUE!</v>
      </c>
      <c r="V44" s="115" t="e">
        <f>_xll.qlTenorBasisForwardRate2(V$27,$E44,$F44,InterestRatesTrigger)</f>
        <v>#VALUE!</v>
      </c>
      <c r="W44" s="115" t="e">
        <f>_xll.qlTenorBasisForwardRate2(W$27,$E44,$F44,InterestRatesTrigger)</f>
        <v>#VALUE!</v>
      </c>
      <c r="X44" s="143" t="e">
        <f>_xll.qlTenorBasisForwardRate2(X$27,$E44,$F44,InterestRatesTrigger)</f>
        <v>#VALUE!</v>
      </c>
      <c r="Y44" s="142" t="e">
        <f>_xll.qlTenorBasisForwardRate2(Y$27,$E44,$F44,InterestRatesTrigger)</f>
        <v>#VALUE!</v>
      </c>
      <c r="Z44" s="115" t="e">
        <f>_xll.qlTenorBasisForwardRate2(Z$27,$E44,$F44,InterestRatesTrigger)</f>
        <v>#VALUE!</v>
      </c>
      <c r="AA44" s="115" t="e">
        <f>_xll.qlTenorBasisForwardRate2(AA$27,$E44,$F44,InterestRatesTrigger)</f>
        <v>#VALUE!</v>
      </c>
      <c r="AB44" s="143" t="e">
        <f>_xll.qlTenorBasisForwardRate2(AB$27,$E44,$F44,InterestRatesTrigger)</f>
        <v>#VALUE!</v>
      </c>
      <c r="AC44" s="143">
        <f>'6MSynthDepo_used'!AA23</f>
        <v>2.5127963184580856E-4</v>
      </c>
      <c r="AD44" s="132" t="str">
        <f>"Fixing "&amp;DAY(_xll.qlInterestRateIndexFixingDate($D$25,'6MSynthDepo_used'!G4))&amp;"/"&amp;MONTH(_xll.qlInterestRateIndexFixingDate($D$25,'6MSynthDepo_used'!G4))</f>
        <v>Fixing 30/9</v>
      </c>
      <c r="BC44" s="178">
        <f>_xll.qlCalendarAdvance(Calendar,BC43,"1d","mf",,Trigger)</f>
        <v>42333</v>
      </c>
      <c r="BD44" s="41">
        <f>_xll.qlDayCounterYearFraction(DayCounter,SettlementDate,BC44,,,Trigger)</f>
        <v>0.15</v>
      </c>
      <c r="BE44" s="47" t="e">
        <f>_xll.qlPolynomialFunctionValue(BE$1,$BD44,AllTriggers)</f>
        <v>#VALUE!</v>
      </c>
      <c r="BF44" s="47" t="e">
        <f>_xll.qlPolynomialFunctionValue(BF$1,$BD44,AllTriggers)</f>
        <v>#VALUE!</v>
      </c>
      <c r="BG44" s="47" t="e">
        <f>_xll.qlPolynomialFunctionValue(BG$1,$BD44,AllTriggers)</f>
        <v>#VALUE!</v>
      </c>
      <c r="BH44" s="47" t="e">
        <f>_xll.qlPolynomialFunctionValue(BH$1,$BD44,AllTriggers)</f>
        <v>#VALUE!</v>
      </c>
      <c r="BI44" s="47" t="e">
        <f>_xll.qlPolynomialFunctionValue(BI$1,$BD44,AllTriggers)</f>
        <v>#VALUE!</v>
      </c>
      <c r="BJ44" s="47" t="e">
        <f>_xll.qlPolynomialFunctionValue(BJ$1,$BD44,AllTriggers)</f>
        <v>#VALUE!</v>
      </c>
      <c r="BK44" s="47" t="e">
        <f>_xll.qlPolynomialFunctionValue(BK$1,$BD44,AllTriggers)</f>
        <v>#VALUE!</v>
      </c>
      <c r="BL44" s="47" t="e">
        <f>_xll.qlPolynomialFunctionValue(BL$1,$BD44,AllTriggers)</f>
        <v>#VALUE!</v>
      </c>
      <c r="BM44" s="47" t="e">
        <f>_xll.qlPolynomialFunctionValue(BM$1,$BD44,AllTriggers)</f>
        <v>#VALUE!</v>
      </c>
      <c r="BN44" s="47" t="e">
        <f>_xll.qlPolynomialFunctionValue(BN$1,$BD44,AllTriggers)</f>
        <v>#VALUE!</v>
      </c>
      <c r="BO44" s="47" t="e">
        <f>_xll.qlPolynomialFunctionValue(BO$1,$BD44,AllTriggers)</f>
        <v>#VALUE!</v>
      </c>
      <c r="BP44" s="47" t="e">
        <f>_xll.qlPolynomialFunctionValue(BP$1,$BD44,AllTriggers)</f>
        <v>#VALUE!</v>
      </c>
      <c r="BQ44" s="47">
        <f>_xll.qlPolynomialFunctionValue('6MSynthDepo_used'!$P$18,BD44,AllTriggers)</f>
        <v>1.7613788993607288E-3</v>
      </c>
    </row>
    <row r="45" spans="3:69" ht="12" thickBot="1" x14ac:dyDescent="0.25">
      <c r="C45" s="19">
        <v>0</v>
      </c>
      <c r="D45" s="127" t="s">
        <v>24</v>
      </c>
      <c r="E45" s="183">
        <f>_xll.qlCalendarAdvance(Calendar,SettlementDate,C45&amp;"M","mf",TRUE,Trigger)</f>
        <v>42279</v>
      </c>
      <c r="F45" s="249">
        <f>_xll.qlCalendarAdvance(Calendar,SettlementDate,D45,"mf",TRUE,Trigger)</f>
        <v>42464</v>
      </c>
      <c r="G45" s="144" t="e">
        <f>_xll.qlTenorBasisForwardRate2(G$27,$E45,$F45,InterestRatesTrigger)</f>
        <v>#VALUE!</v>
      </c>
      <c r="H45" s="145" t="e">
        <f>_xll.qlTenorBasisForwardRate(H$27,$E45,InterestRatesTrigger)</f>
        <v>#VALUE!</v>
      </c>
      <c r="S45" s="145" t="e">
        <f>_xll.qlTenorBasisForwardRate(S$27,$E45,InterestRatesTrigger)</f>
        <v>#VALUE!</v>
      </c>
      <c r="T45" s="146" t="e">
        <f>_xll.qlTenorBasisForwardRate(T$27,$E45,InterestRatesTrigger)</f>
        <v>#VALUE!</v>
      </c>
      <c r="U45" s="145" t="e">
        <f>_xll.qlTenorBasisForwardRate(U$27,$E45,InterestRatesTrigger)</f>
        <v>#VALUE!</v>
      </c>
      <c r="V45" s="145" t="e">
        <f>_xll.qlTenorBasisForwardRate(V$27,$E45,InterestRatesTrigger)</f>
        <v>#VALUE!</v>
      </c>
      <c r="W45" s="145" t="e">
        <f>_xll.qlTenorBasisForwardRate(W$27,$E45,InterestRatesTrigger)</f>
        <v>#VALUE!</v>
      </c>
      <c r="X45" s="146" t="e">
        <f>_xll.qlTenorBasisForwardRate(X$27,$E45,InterestRatesTrigger)</f>
        <v>#VALUE!</v>
      </c>
      <c r="Y45" s="144" t="e">
        <f>_xll.qlTenorBasisTenorForwardRate(Y$27,$E45,InterestRatesTrigger)</f>
        <v>#VALUE!</v>
      </c>
      <c r="Z45" s="145" t="e">
        <f>_xll.qlTenorBasisTenorForwardRate(Z$27,$E45,InterestRatesTrigger)</f>
        <v>#VALUE!</v>
      </c>
      <c r="AA45" s="145" t="e">
        <f>_xll.qlTenorBasisTenorForwardRate(AA$27,$E45,InterestRatesTrigger)</f>
        <v>#VALUE!</v>
      </c>
      <c r="AB45" s="146" t="e">
        <f>_xll.qlTenorBasisTenorForwardRate(AB$27,$E45,InterestRatesTrigger)</f>
        <v>#VALUE!</v>
      </c>
      <c r="AC45" s="146">
        <f>'6MSynthDepo_used'!AA24</f>
        <v>2.4222920316914441E-4</v>
      </c>
      <c r="AD45" s="144">
        <f>'6MSynthDepo_used'!$I$4</f>
        <v>2.9E-4</v>
      </c>
      <c r="BC45" s="178">
        <f>_xll.qlCalendarAdvance(Calendar,BC44,"1d","mf",,Trigger)</f>
        <v>42334</v>
      </c>
      <c r="BD45" s="41">
        <f>_xll.qlDayCounterYearFraction(DayCounter,SettlementDate,BC45,,,Trigger)</f>
        <v>0.15277777777777779</v>
      </c>
      <c r="BE45" s="47" t="e">
        <f>_xll.qlPolynomialFunctionValue(BE$1,$BD45,AllTriggers)</f>
        <v>#VALUE!</v>
      </c>
      <c r="BF45" s="47" t="e">
        <f>_xll.qlPolynomialFunctionValue(BF$1,$BD45,AllTriggers)</f>
        <v>#VALUE!</v>
      </c>
      <c r="BG45" s="47" t="e">
        <f>_xll.qlPolynomialFunctionValue(BG$1,$BD45,AllTriggers)</f>
        <v>#VALUE!</v>
      </c>
      <c r="BH45" s="47" t="e">
        <f>_xll.qlPolynomialFunctionValue(BH$1,$BD45,AllTriggers)</f>
        <v>#VALUE!</v>
      </c>
      <c r="BI45" s="47" t="e">
        <f>_xll.qlPolynomialFunctionValue(BI$1,$BD45,AllTriggers)</f>
        <v>#VALUE!</v>
      </c>
      <c r="BJ45" s="47" t="e">
        <f>_xll.qlPolynomialFunctionValue(BJ$1,$BD45,AllTriggers)</f>
        <v>#VALUE!</v>
      </c>
      <c r="BK45" s="47" t="e">
        <f>_xll.qlPolynomialFunctionValue(BK$1,$BD45,AllTriggers)</f>
        <v>#VALUE!</v>
      </c>
      <c r="BL45" s="47" t="e">
        <f>_xll.qlPolynomialFunctionValue(BL$1,$BD45,AllTriggers)</f>
        <v>#VALUE!</v>
      </c>
      <c r="BM45" s="47" t="e">
        <f>_xll.qlPolynomialFunctionValue(BM$1,$BD45,AllTriggers)</f>
        <v>#VALUE!</v>
      </c>
      <c r="BN45" s="47" t="e">
        <f>_xll.qlPolynomialFunctionValue(BN$1,$BD45,AllTriggers)</f>
        <v>#VALUE!</v>
      </c>
      <c r="BO45" s="47" t="e">
        <f>_xll.qlPolynomialFunctionValue(BO$1,$BD45,AllTriggers)</f>
        <v>#VALUE!</v>
      </c>
      <c r="BP45" s="47" t="e">
        <f>_xll.qlPolynomialFunctionValue(BP$1,$BD45,AllTriggers)</f>
        <v>#VALUE!</v>
      </c>
      <c r="BQ45" s="47">
        <f>_xll.qlPolynomialFunctionValue('6MSynthDepo_used'!$P$18,BD45,AllTriggers)</f>
        <v>1.7634003817588902E-3</v>
      </c>
    </row>
    <row r="46" spans="3:69" x14ac:dyDescent="0.2">
      <c r="C46" s="19">
        <v>1</v>
      </c>
      <c r="D46" s="45" t="str">
        <f t="shared" ref="D46:D51" si="14">C46+SUBSTITUTE($D$24,"M","")&amp;"M"</f>
        <v>7M</v>
      </c>
      <c r="E46" s="175">
        <f>_xll.qlCalendarAdvance(Calendar,SettlementDate,C46&amp;"M","mf",TRUE,Trigger)</f>
        <v>42310</v>
      </c>
      <c r="F46" s="250">
        <f>_xll.qlInterestRateIndexMaturity($D$25,E46,Trigger)</f>
        <v>42492</v>
      </c>
      <c r="G46" s="153" t="e">
        <f>_xll.qlTenorBasisForwardRate2(G$27,$E46,$F46,InterestRatesTrigger)</f>
        <v>#VALUE!</v>
      </c>
      <c r="H46" s="151" t="e">
        <f>_xll.qlTenorBasisTenorForwardRate(H$27,$E46,InterestRatesTrigger)</f>
        <v>#VALUE!</v>
      </c>
      <c r="S46" s="151" t="e">
        <f>_xll.qlTenorBasisTenorForwardRate(S$27,$E46,InterestRatesTrigger)</f>
        <v>#VALUE!</v>
      </c>
      <c r="T46" s="152" t="e">
        <f>_xll.qlTenorBasisTenorForwardRate(T$27,$E46,InterestRatesTrigger)</f>
        <v>#VALUE!</v>
      </c>
      <c r="U46" s="151" t="e">
        <f>_xll.qlTenorBasisTenorForwardRate(U$27,$E46,InterestRatesTrigger)</f>
        <v>#VALUE!</v>
      </c>
      <c r="V46" s="151" t="e">
        <f>_xll.qlTenorBasisTenorForwardRate(V$27,$E46,InterestRatesTrigger)</f>
        <v>#VALUE!</v>
      </c>
      <c r="W46" s="151" t="e">
        <f>_xll.qlTenorBasisTenorForwardRate(W$27,$E46,InterestRatesTrigger)</f>
        <v>#VALUE!</v>
      </c>
      <c r="X46" s="152" t="e">
        <f>_xll.qlTenorBasisTenorForwardRate(X$27,$E46,InterestRatesTrigger)</f>
        <v>#VALUE!</v>
      </c>
      <c r="Y46" s="153" t="e">
        <f>_xll.qlTenorBasisTenorForwardRate(Y$27,$E46,InterestRatesTrigger)</f>
        <v>#VALUE!</v>
      </c>
      <c r="Z46" s="151" t="e">
        <f>_xll.qlTenorBasisTenorForwardRate(Z$27,$E46,InterestRatesTrigger)</f>
        <v>#VALUE!</v>
      </c>
      <c r="AA46" s="151" t="e">
        <f>_xll.qlTenorBasisTenorForwardRate(AA$27,$E46,InterestRatesTrigger)</f>
        <v>#VALUE!</v>
      </c>
      <c r="AB46" s="151" t="e">
        <f>_xll.qlTenorBasisTenorForwardRate(AB$27,$E46,InterestRatesTrigger)</f>
        <v>#VALUE!</v>
      </c>
      <c r="AC46" s="152">
        <f>'6MSynthDepo_used'!AA25</f>
        <v>2.6278622007255099E-4</v>
      </c>
      <c r="AD46" s="200">
        <f>'6MSynthDepo_used'!I5</f>
        <v>2.5000000000000001E-4</v>
      </c>
      <c r="BC46" s="178">
        <f>_xll.qlCalendarAdvance(Calendar,BC45,"1d","mf",,Trigger)</f>
        <v>42335</v>
      </c>
      <c r="BD46" s="41">
        <f>_xll.qlDayCounterYearFraction(DayCounter,SettlementDate,BC46,,,Trigger)</f>
        <v>0.15555555555555556</v>
      </c>
      <c r="BE46" s="47" t="e">
        <f>_xll.qlPolynomialFunctionValue(BE$1,$BD46,AllTriggers)</f>
        <v>#VALUE!</v>
      </c>
      <c r="BF46" s="47" t="e">
        <f>_xll.qlPolynomialFunctionValue(BF$1,$BD46,AllTriggers)</f>
        <v>#VALUE!</v>
      </c>
      <c r="BG46" s="47" t="e">
        <f>_xll.qlPolynomialFunctionValue(BG$1,$BD46,AllTriggers)</f>
        <v>#VALUE!</v>
      </c>
      <c r="BH46" s="47" t="e">
        <f>_xll.qlPolynomialFunctionValue(BH$1,$BD46,AllTriggers)</f>
        <v>#VALUE!</v>
      </c>
      <c r="BI46" s="47" t="e">
        <f>_xll.qlPolynomialFunctionValue(BI$1,$BD46,AllTriggers)</f>
        <v>#VALUE!</v>
      </c>
      <c r="BJ46" s="47" t="e">
        <f>_xll.qlPolynomialFunctionValue(BJ$1,$BD46,AllTriggers)</f>
        <v>#VALUE!</v>
      </c>
      <c r="BK46" s="47" t="e">
        <f>_xll.qlPolynomialFunctionValue(BK$1,$BD46,AllTriggers)</f>
        <v>#VALUE!</v>
      </c>
      <c r="BL46" s="47" t="e">
        <f>_xll.qlPolynomialFunctionValue(BL$1,$BD46,AllTriggers)</f>
        <v>#VALUE!</v>
      </c>
      <c r="BM46" s="47" t="e">
        <f>_xll.qlPolynomialFunctionValue(BM$1,$BD46,AllTriggers)</f>
        <v>#VALUE!</v>
      </c>
      <c r="BN46" s="47" t="e">
        <f>_xll.qlPolynomialFunctionValue(BN$1,$BD46,AllTriggers)</f>
        <v>#VALUE!</v>
      </c>
      <c r="BO46" s="47" t="e">
        <f>_xll.qlPolynomialFunctionValue(BO$1,$BD46,AllTriggers)</f>
        <v>#VALUE!</v>
      </c>
      <c r="BP46" s="47" t="e">
        <f>_xll.qlPolynomialFunctionValue(BP$1,$BD46,AllTriggers)</f>
        <v>#VALUE!</v>
      </c>
      <c r="BQ46" s="47">
        <f>_xll.qlPolynomialFunctionValue('6MSynthDepo_used'!$P$18,BD46,AllTriggers)</f>
        <v>1.7654162578684255E-3</v>
      </c>
    </row>
    <row r="47" spans="3:69" x14ac:dyDescent="0.2">
      <c r="C47" s="19">
        <v>2</v>
      </c>
      <c r="D47" s="48" t="str">
        <f t="shared" si="14"/>
        <v>8M</v>
      </c>
      <c r="E47" s="177">
        <f>_xll.qlCalendarAdvance(Calendar,SettlementDate,C47&amp;"M","mf",TRUE,Trigger)</f>
        <v>42340</v>
      </c>
      <c r="F47" s="251">
        <f>_xll.qlInterestRateIndexMaturity($D$25,E47,Trigger)</f>
        <v>42523</v>
      </c>
      <c r="G47" s="155" t="e">
        <f>_xll.qlTenorBasisForwardRate2(G$27,$E47,$F47,InterestRatesTrigger)</f>
        <v>#VALUE!</v>
      </c>
      <c r="H47" s="47" t="e">
        <f>_xll.qlTenorBasisTenorForwardRate(H$27,$E47,InterestRatesTrigger)</f>
        <v>#VALUE!</v>
      </c>
      <c r="S47" s="47" t="e">
        <f>_xll.qlTenorBasisTenorForwardRate(S$27,$E47,InterestRatesTrigger)</f>
        <v>#VALUE!</v>
      </c>
      <c r="T47" s="154" t="e">
        <f>_xll.qlTenorBasisTenorForwardRate(T$27,$E47,InterestRatesTrigger)</f>
        <v>#VALUE!</v>
      </c>
      <c r="U47" s="47" t="e">
        <f>_xll.qlTenorBasisTenorForwardRate(U$27,$E47,InterestRatesTrigger)</f>
        <v>#VALUE!</v>
      </c>
      <c r="V47" s="47" t="e">
        <f>_xll.qlTenorBasisTenorForwardRate(V$27,$E47,InterestRatesTrigger)</f>
        <v>#VALUE!</v>
      </c>
      <c r="W47" s="47" t="e">
        <f>_xll.qlTenorBasisTenorForwardRate(W$27,$E47,InterestRatesTrigger)</f>
        <v>#VALUE!</v>
      </c>
      <c r="X47" s="154" t="e">
        <f>_xll.qlTenorBasisTenorForwardRate(X$27,$E47,InterestRatesTrigger)</f>
        <v>#VALUE!</v>
      </c>
      <c r="Y47" s="155" t="e">
        <f>_xll.qlTenorBasisTenorForwardRate(Y$27,$E47,InterestRatesTrigger)</f>
        <v>#VALUE!</v>
      </c>
      <c r="Z47" s="47" t="e">
        <f>_xll.qlTenorBasisTenorForwardRate(Z$27,$E47,InterestRatesTrigger)</f>
        <v>#VALUE!</v>
      </c>
      <c r="AA47" s="47" t="e">
        <f>_xll.qlTenorBasisTenorForwardRate(AA$27,$E47,InterestRatesTrigger)</f>
        <v>#VALUE!</v>
      </c>
      <c r="AB47" s="47" t="e">
        <f>_xll.qlTenorBasisTenorForwardRate(AB$27,$E47,InterestRatesTrigger)</f>
        <v>#VALUE!</v>
      </c>
      <c r="AC47" s="154">
        <f>'6MSynthDepo_used'!AA26</f>
        <v>2.4869738989528466E-4</v>
      </c>
      <c r="AD47" s="200">
        <f>'6MSynthDepo_used'!I6</f>
        <v>2.3000000000000001E-4</v>
      </c>
      <c r="BC47" s="178">
        <f>_xll.qlCalendarAdvance(Calendar,BC46,"1d","mf",,Trigger)</f>
        <v>42338</v>
      </c>
      <c r="BD47" s="41">
        <f>_xll.qlDayCounterYearFraction(DayCounter,SettlementDate,BC47,,,Trigger)</f>
        <v>0.16388888888888889</v>
      </c>
      <c r="BE47" s="47" t="e">
        <f>_xll.qlPolynomialFunctionValue(BE$1,$BD47,AllTriggers)</f>
        <v>#VALUE!</v>
      </c>
      <c r="BF47" s="47" t="e">
        <f>_xll.qlPolynomialFunctionValue(BF$1,$BD47,AllTriggers)</f>
        <v>#VALUE!</v>
      </c>
      <c r="BG47" s="47" t="e">
        <f>_xll.qlPolynomialFunctionValue(BG$1,$BD47,AllTriggers)</f>
        <v>#VALUE!</v>
      </c>
      <c r="BH47" s="47" t="e">
        <f>_xll.qlPolynomialFunctionValue(BH$1,$BD47,AllTriggers)</f>
        <v>#VALUE!</v>
      </c>
      <c r="BI47" s="47" t="e">
        <f>_xll.qlPolynomialFunctionValue(BI$1,$BD47,AllTriggers)</f>
        <v>#VALUE!</v>
      </c>
      <c r="BJ47" s="47" t="e">
        <f>_xll.qlPolynomialFunctionValue(BJ$1,$BD47,AllTriggers)</f>
        <v>#VALUE!</v>
      </c>
      <c r="BK47" s="47" t="e">
        <f>_xll.qlPolynomialFunctionValue(BK$1,$BD47,AllTriggers)</f>
        <v>#VALUE!</v>
      </c>
      <c r="BL47" s="47" t="e">
        <f>_xll.qlPolynomialFunctionValue(BL$1,$BD47,AllTriggers)</f>
        <v>#VALUE!</v>
      </c>
      <c r="BM47" s="47" t="e">
        <f>_xll.qlPolynomialFunctionValue(BM$1,$BD47,AllTriggers)</f>
        <v>#VALUE!</v>
      </c>
      <c r="BN47" s="47" t="e">
        <f>_xll.qlPolynomialFunctionValue(BN$1,$BD47,AllTriggers)</f>
        <v>#VALUE!</v>
      </c>
      <c r="BO47" s="47" t="e">
        <f>_xll.qlPolynomialFunctionValue(BO$1,$BD47,AllTriggers)</f>
        <v>#VALUE!</v>
      </c>
      <c r="BP47" s="47" t="e">
        <f>_xll.qlPolynomialFunctionValue(BP$1,$BD47,AllTriggers)</f>
        <v>#VALUE!</v>
      </c>
      <c r="BQ47" s="47">
        <f>_xll.qlPolynomialFunctionValue('6MSynthDepo_used'!$P$18,BD47,AllTriggers)</f>
        <v>1.7714304027115213E-3</v>
      </c>
    </row>
    <row r="48" spans="3:69" x14ac:dyDescent="0.2">
      <c r="C48" s="19">
        <v>3</v>
      </c>
      <c r="D48" s="48" t="str">
        <f t="shared" si="14"/>
        <v>9M</v>
      </c>
      <c r="E48" s="177">
        <f>_xll.qlCalendarAdvance(Calendar,SettlementDate,C48&amp;"M","mf",TRUE,Trigger)</f>
        <v>42373</v>
      </c>
      <c r="F48" s="251">
        <f>_xll.qlInterestRateIndexMaturity($D$25,E48,Trigger)</f>
        <v>42555</v>
      </c>
      <c r="G48" s="155" t="e">
        <f>_xll.qlTenorBasisForwardRate2(G$27,$E48,$F48,InterestRatesTrigger)</f>
        <v>#VALUE!</v>
      </c>
      <c r="H48" s="47" t="e">
        <f>_xll.qlTenorBasisTenorForwardRate(H$27,$E48,InterestRatesTrigger)</f>
        <v>#VALUE!</v>
      </c>
      <c r="S48" s="47" t="e">
        <f>_xll.qlTenorBasisTenorForwardRate(S$27,$E48,InterestRatesTrigger)</f>
        <v>#VALUE!</v>
      </c>
      <c r="T48" s="154" t="e">
        <f>_xll.qlTenorBasisTenorForwardRate(T$27,$E48,InterestRatesTrigger)</f>
        <v>#VALUE!</v>
      </c>
      <c r="U48" s="47" t="e">
        <f>_xll.qlTenorBasisTenorForwardRate(U$27,$E48,InterestRatesTrigger)</f>
        <v>#VALUE!</v>
      </c>
      <c r="V48" s="47" t="e">
        <f>_xll.qlTenorBasisTenorForwardRate(V$27,$E48,InterestRatesTrigger)</f>
        <v>#VALUE!</v>
      </c>
      <c r="W48" s="47" t="e">
        <f>_xll.qlTenorBasisTenorForwardRate(W$27,$E48,InterestRatesTrigger)</f>
        <v>#VALUE!</v>
      </c>
      <c r="X48" s="154" t="e">
        <f>_xll.qlTenorBasisTenorForwardRate(X$27,$E48,InterestRatesTrigger)</f>
        <v>#VALUE!</v>
      </c>
      <c r="Y48" s="155" t="e">
        <f>_xll.qlTenorBasisTenorForwardRate(Y$27,$E48,InterestRatesTrigger)</f>
        <v>#VALUE!</v>
      </c>
      <c r="Z48" s="47" t="e">
        <f>_xll.qlTenorBasisTenorForwardRate(Z$27,$E48,InterestRatesTrigger)</f>
        <v>#VALUE!</v>
      </c>
      <c r="AA48" s="47" t="e">
        <f>_xll.qlTenorBasisTenorForwardRate(AA$27,$E48,InterestRatesTrigger)</f>
        <v>#VALUE!</v>
      </c>
      <c r="AB48" s="47" t="e">
        <f>_xll.qlTenorBasisTenorForwardRate(AB$27,$E48,InterestRatesTrigger)</f>
        <v>#VALUE!</v>
      </c>
      <c r="AC48" s="154">
        <f>'6MSynthDepo_used'!AA27</f>
        <v>2.2248164266919137E-4</v>
      </c>
      <c r="AD48" s="200">
        <f>'6MSynthDepo_used'!I7</f>
        <v>2.1999999999999998E-4</v>
      </c>
      <c r="BC48" s="178">
        <f>_xll.qlCalendarAdvance(Calendar,BC47,"1d","mf",,Trigger)</f>
        <v>42339</v>
      </c>
      <c r="BD48" s="41">
        <f>_xll.qlDayCounterYearFraction(DayCounter,SettlementDate,BC48,,,Trigger)</f>
        <v>0.16666666666666666</v>
      </c>
      <c r="BE48" s="47" t="e">
        <f>_xll.qlPolynomialFunctionValue(BE$1,$BD48,AllTriggers)</f>
        <v>#VALUE!</v>
      </c>
      <c r="BF48" s="47" t="e">
        <f>_xll.qlPolynomialFunctionValue(BF$1,$BD48,AllTriggers)</f>
        <v>#VALUE!</v>
      </c>
      <c r="BG48" s="47" t="e">
        <f>_xll.qlPolynomialFunctionValue(BG$1,$BD48,AllTriggers)</f>
        <v>#VALUE!</v>
      </c>
      <c r="BH48" s="47" t="e">
        <f>_xll.qlPolynomialFunctionValue(BH$1,$BD48,AllTriggers)</f>
        <v>#VALUE!</v>
      </c>
      <c r="BI48" s="47" t="e">
        <f>_xll.qlPolynomialFunctionValue(BI$1,$BD48,AllTriggers)</f>
        <v>#VALUE!</v>
      </c>
      <c r="BJ48" s="47" t="e">
        <f>_xll.qlPolynomialFunctionValue(BJ$1,$BD48,AllTriggers)</f>
        <v>#VALUE!</v>
      </c>
      <c r="BK48" s="47" t="e">
        <f>_xll.qlPolynomialFunctionValue(BK$1,$BD48,AllTriggers)</f>
        <v>#VALUE!</v>
      </c>
      <c r="BL48" s="47" t="e">
        <f>_xll.qlPolynomialFunctionValue(BL$1,$BD48,AllTriggers)</f>
        <v>#VALUE!</v>
      </c>
      <c r="BM48" s="47" t="e">
        <f>_xll.qlPolynomialFunctionValue(BM$1,$BD48,AllTriggers)</f>
        <v>#VALUE!</v>
      </c>
      <c r="BN48" s="47" t="e">
        <f>_xll.qlPolynomialFunctionValue(BN$1,$BD48,AllTriggers)</f>
        <v>#VALUE!</v>
      </c>
      <c r="BO48" s="47" t="e">
        <f>_xll.qlPolynomialFunctionValue(BO$1,$BD48,AllTriggers)</f>
        <v>#VALUE!</v>
      </c>
      <c r="BP48" s="47" t="e">
        <f>_xll.qlPolynomialFunctionValue(BP$1,$BD48,AllTriggers)</f>
        <v>#VALUE!</v>
      </c>
      <c r="BQ48" s="47">
        <f>_xll.qlPolynomialFunctionValue('6MSynthDepo_used'!$P$18,BD48,AllTriggers)</f>
        <v>1.7734240079127985E-3</v>
      </c>
    </row>
    <row r="49" spans="3:69" x14ac:dyDescent="0.2">
      <c r="C49" s="19">
        <v>4</v>
      </c>
      <c r="D49" s="48" t="str">
        <f t="shared" si="14"/>
        <v>10M</v>
      </c>
      <c r="E49" s="177">
        <f>_xll.qlCalendarAdvance(Calendar,SettlementDate,C49&amp;"M","mf",TRUE,Trigger)</f>
        <v>42402</v>
      </c>
      <c r="F49" s="251">
        <f>_xll.qlInterestRateIndexMaturity($D$25,E49,Trigger)</f>
        <v>42584</v>
      </c>
      <c r="G49" s="155" t="e">
        <f>_xll.qlTenorBasisForwardRate2(G$27,$E49,$F49,InterestRatesTrigger)</f>
        <v>#VALUE!</v>
      </c>
      <c r="H49" s="47" t="e">
        <f>_xll.qlTenorBasisTenorForwardRate(H$27,$E49,InterestRatesTrigger)</f>
        <v>#VALUE!</v>
      </c>
      <c r="S49" s="47" t="e">
        <f>_xll.qlTenorBasisTenorForwardRate(S$27,$E49,InterestRatesTrigger)</f>
        <v>#VALUE!</v>
      </c>
      <c r="T49" s="154" t="e">
        <f>_xll.qlTenorBasisTenorForwardRate(T$27,$E49,InterestRatesTrigger)</f>
        <v>#VALUE!</v>
      </c>
      <c r="U49" s="47" t="e">
        <f>_xll.qlTenorBasisTenorForwardRate(U$27,$E49,InterestRatesTrigger)</f>
        <v>#VALUE!</v>
      </c>
      <c r="V49" s="47" t="e">
        <f>_xll.qlTenorBasisTenorForwardRate(V$27,$E49,InterestRatesTrigger)</f>
        <v>#VALUE!</v>
      </c>
      <c r="W49" s="47" t="e">
        <f>_xll.qlTenorBasisTenorForwardRate(W$27,$E49,InterestRatesTrigger)</f>
        <v>#VALUE!</v>
      </c>
      <c r="X49" s="154" t="e">
        <f>_xll.qlTenorBasisTenorForwardRate(X$27,$E49,InterestRatesTrigger)</f>
        <v>#VALUE!</v>
      </c>
      <c r="Y49" s="155" t="e">
        <f>_xll.qlTenorBasisTenorForwardRate(Y$27,$E49,InterestRatesTrigger)</f>
        <v>#VALUE!</v>
      </c>
      <c r="Z49" s="47" t="e">
        <f>_xll.qlTenorBasisTenorForwardRate(Z$27,$E49,InterestRatesTrigger)</f>
        <v>#VALUE!</v>
      </c>
      <c r="AA49" s="47" t="e">
        <f>_xll.qlTenorBasisTenorForwardRate(AA$27,$E49,InterestRatesTrigger)</f>
        <v>#VALUE!</v>
      </c>
      <c r="AB49" s="47" t="e">
        <f>_xll.qlTenorBasisTenorForwardRate(AB$27,$E49,InterestRatesTrigger)</f>
        <v>#VALUE!</v>
      </c>
      <c r="AC49" s="154">
        <f>'6MSynthDepo_used'!AA28</f>
        <v>2.094408192606118E-4</v>
      </c>
      <c r="AD49" s="200">
        <f>'6MSynthDepo_used'!I8</f>
        <v>2.0999999999999998E-4</v>
      </c>
      <c r="BC49" s="178">
        <f>_xll.qlCalendarAdvance(Calendar,BC48,"1d","mf",,Trigger)</f>
        <v>42340</v>
      </c>
      <c r="BD49" s="41">
        <f>_xll.qlDayCounterYearFraction(DayCounter,SettlementDate,BC49,,,Trigger)</f>
        <v>0.16944444444444445</v>
      </c>
      <c r="BE49" s="47" t="e">
        <f>_xll.qlPolynomialFunctionValue(BE$1,$BD49,AllTriggers)</f>
        <v>#VALUE!</v>
      </c>
      <c r="BF49" s="47" t="e">
        <f>_xll.qlPolynomialFunctionValue(BF$1,$BD49,AllTriggers)</f>
        <v>#VALUE!</v>
      </c>
      <c r="BG49" s="47" t="e">
        <f>_xll.qlPolynomialFunctionValue(BG$1,$BD49,AllTriggers)</f>
        <v>#VALUE!</v>
      </c>
      <c r="BH49" s="47" t="e">
        <f>_xll.qlPolynomialFunctionValue(BH$1,$BD49,AllTriggers)</f>
        <v>#VALUE!</v>
      </c>
      <c r="BI49" s="47" t="e">
        <f>_xll.qlPolynomialFunctionValue(BI$1,$BD49,AllTriggers)</f>
        <v>#VALUE!</v>
      </c>
      <c r="BJ49" s="47" t="e">
        <f>_xll.qlPolynomialFunctionValue(BJ$1,$BD49,AllTriggers)</f>
        <v>#VALUE!</v>
      </c>
      <c r="BK49" s="47" t="e">
        <f>_xll.qlPolynomialFunctionValue(BK$1,$BD49,AllTriggers)</f>
        <v>#VALUE!</v>
      </c>
      <c r="BL49" s="47" t="e">
        <f>_xll.qlPolynomialFunctionValue(BL$1,$BD49,AllTriggers)</f>
        <v>#VALUE!</v>
      </c>
      <c r="BM49" s="47" t="e">
        <f>_xll.qlPolynomialFunctionValue(BM$1,$BD49,AllTriggers)</f>
        <v>#VALUE!</v>
      </c>
      <c r="BN49" s="47" t="e">
        <f>_xll.qlPolynomialFunctionValue(BN$1,$BD49,AllTriggers)</f>
        <v>#VALUE!</v>
      </c>
      <c r="BO49" s="47" t="e">
        <f>_xll.qlPolynomialFunctionValue(BO$1,$BD49,AllTriggers)</f>
        <v>#VALUE!</v>
      </c>
      <c r="BP49" s="47" t="e">
        <f>_xll.qlPolynomialFunctionValue(BP$1,$BD49,AllTriggers)</f>
        <v>#VALUE!</v>
      </c>
      <c r="BQ49" s="47">
        <f>_xll.qlPolynomialFunctionValue('6MSynthDepo_used'!$P$18,BD49,AllTriggers)</f>
        <v>1.7754120839485732E-3</v>
      </c>
    </row>
    <row r="50" spans="3:69" x14ac:dyDescent="0.2">
      <c r="C50" s="19">
        <v>5</v>
      </c>
      <c r="D50" s="48" t="str">
        <f t="shared" si="14"/>
        <v>11M</v>
      </c>
      <c r="E50" s="177">
        <f>_xll.qlCalendarAdvance(Calendar,SettlementDate,C50&amp;"M","mf",TRUE,Trigger)</f>
        <v>42431</v>
      </c>
      <c r="F50" s="251">
        <f>_xll.qlInterestRateIndexMaturity($D$25,E50,Trigger)</f>
        <v>42615</v>
      </c>
      <c r="G50" s="155" t="e">
        <f>_xll.qlTenorBasisForwardRate2(G$27,$E50,$F50,InterestRatesTrigger)</f>
        <v>#VALUE!</v>
      </c>
      <c r="H50" s="47" t="e">
        <f>_xll.qlTenorBasisTenorForwardRate(H$27,$E50,InterestRatesTrigger)</f>
        <v>#VALUE!</v>
      </c>
      <c r="S50" s="47" t="e">
        <f>_xll.qlTenorBasisTenorForwardRate(S$27,$E50,InterestRatesTrigger)</f>
        <v>#VALUE!</v>
      </c>
      <c r="T50" s="154" t="e">
        <f>_xll.qlTenorBasisTenorForwardRate(T$27,$E50,InterestRatesTrigger)</f>
        <v>#VALUE!</v>
      </c>
      <c r="U50" s="47" t="e">
        <f>_xll.qlTenorBasisTenorForwardRate(U$27,$E50,InterestRatesTrigger)</f>
        <v>#VALUE!</v>
      </c>
      <c r="V50" s="47" t="e">
        <f>_xll.qlTenorBasisTenorForwardRate(V$27,$E50,InterestRatesTrigger)</f>
        <v>#VALUE!</v>
      </c>
      <c r="W50" s="47" t="e">
        <f>_xll.qlTenorBasisTenorForwardRate(W$27,$E50,InterestRatesTrigger)</f>
        <v>#VALUE!</v>
      </c>
      <c r="X50" s="154" t="e">
        <f>_xll.qlTenorBasisTenorForwardRate(X$27,$E50,InterestRatesTrigger)</f>
        <v>#VALUE!</v>
      </c>
      <c r="Y50" s="155" t="e">
        <f>_xll.qlTenorBasisTenorForwardRate(Y$27,$E50,InterestRatesTrigger)</f>
        <v>#VALUE!</v>
      </c>
      <c r="Z50" s="47" t="e">
        <f>_xll.qlTenorBasisTenorForwardRate(Z$27,$E50,InterestRatesTrigger)</f>
        <v>#VALUE!</v>
      </c>
      <c r="AA50" s="47" t="e">
        <f>_xll.qlTenorBasisTenorForwardRate(AA$27,$E50,InterestRatesTrigger)</f>
        <v>#VALUE!</v>
      </c>
      <c r="AB50" s="47" t="e">
        <f>_xll.qlTenorBasisTenorForwardRate(AB$27,$E50,InterestRatesTrigger)</f>
        <v>#VALUE!</v>
      </c>
      <c r="AC50" s="154">
        <f>'6MSynthDepo_used'!AA29</f>
        <v>2.0038681714388065E-4</v>
      </c>
      <c r="AD50" s="200">
        <f>'6MSynthDepo_used'!I9</f>
        <v>2.0000000000000001E-4</v>
      </c>
      <c r="BC50" s="178">
        <f>_xll.qlCalendarAdvance(Calendar,BC49,"1d","mf",,Trigger)</f>
        <v>42341</v>
      </c>
      <c r="BD50" s="41">
        <f>_xll.qlDayCounterYearFraction(DayCounter,SettlementDate,BC50,,,Trigger)</f>
        <v>0.17222222222222222</v>
      </c>
      <c r="BE50" s="47" t="e">
        <f>_xll.qlPolynomialFunctionValue(BE$1,$BD50,AllTriggers)</f>
        <v>#VALUE!</v>
      </c>
      <c r="BF50" s="47" t="e">
        <f>_xll.qlPolynomialFunctionValue(BF$1,$BD50,AllTriggers)</f>
        <v>#VALUE!</v>
      </c>
      <c r="BG50" s="47" t="e">
        <f>_xll.qlPolynomialFunctionValue(BG$1,$BD50,AllTriggers)</f>
        <v>#VALUE!</v>
      </c>
      <c r="BH50" s="47" t="e">
        <f>_xll.qlPolynomialFunctionValue(BH$1,$BD50,AllTriggers)</f>
        <v>#VALUE!</v>
      </c>
      <c r="BI50" s="47" t="e">
        <f>_xll.qlPolynomialFunctionValue(BI$1,$BD50,AllTriggers)</f>
        <v>#VALUE!</v>
      </c>
      <c r="BJ50" s="47" t="e">
        <f>_xll.qlPolynomialFunctionValue(BJ$1,$BD50,AllTriggers)</f>
        <v>#VALUE!</v>
      </c>
      <c r="BK50" s="47" t="e">
        <f>_xll.qlPolynomialFunctionValue(BK$1,$BD50,AllTriggers)</f>
        <v>#VALUE!</v>
      </c>
      <c r="BL50" s="47" t="e">
        <f>_xll.qlPolynomialFunctionValue(BL$1,$BD50,AllTriggers)</f>
        <v>#VALUE!</v>
      </c>
      <c r="BM50" s="47" t="e">
        <f>_xll.qlPolynomialFunctionValue(BM$1,$BD50,AllTriggers)</f>
        <v>#VALUE!</v>
      </c>
      <c r="BN50" s="47" t="e">
        <f>_xll.qlPolynomialFunctionValue(BN$1,$BD50,AllTriggers)</f>
        <v>#VALUE!</v>
      </c>
      <c r="BO50" s="47" t="e">
        <f>_xll.qlPolynomialFunctionValue(BO$1,$BD50,AllTriggers)</f>
        <v>#VALUE!</v>
      </c>
      <c r="BP50" s="47" t="e">
        <f>_xll.qlPolynomialFunctionValue(BP$1,$BD50,AllTriggers)</f>
        <v>#VALUE!</v>
      </c>
      <c r="BQ50" s="47">
        <f>_xll.qlPolynomialFunctionValue('6MSynthDepo_used'!$P$18,BD50,AllTriggers)</f>
        <v>1.7773946462434692E-3</v>
      </c>
    </row>
    <row r="51" spans="3:69" x14ac:dyDescent="0.2">
      <c r="C51" s="19">
        <v>6</v>
      </c>
      <c r="D51" s="162" t="str">
        <f t="shared" si="14"/>
        <v>12M</v>
      </c>
      <c r="E51" s="185">
        <f>_xll.qlCalendarAdvance(Calendar,SettlementDate,C51&amp;"M","mf",TRUE,Trigger)</f>
        <v>42464</v>
      </c>
      <c r="F51" s="252">
        <f>_xll.qlInterestRateIndexMaturity($D$25,E51,Trigger)</f>
        <v>42647</v>
      </c>
      <c r="G51" s="161" t="e">
        <f>_xll.qlTenorBasisForwardRate2(G$27,$E51,$F51,InterestRatesTrigger)</f>
        <v>#VALUE!</v>
      </c>
      <c r="H51" s="159" t="e">
        <f>_xll.qlTenorBasisTenorForwardRate(H$27,$E51,InterestRatesTrigger)</f>
        <v>#VALUE!</v>
      </c>
      <c r="S51" s="159" t="e">
        <f>_xll.qlTenorBasisTenorForwardRate(S$27,$E51,InterestRatesTrigger)</f>
        <v>#VALUE!</v>
      </c>
      <c r="T51" s="160" t="e">
        <f>_xll.qlTenorBasisTenorForwardRate(T$27,$E51,InterestRatesTrigger)</f>
        <v>#VALUE!</v>
      </c>
      <c r="U51" s="159" t="e">
        <f>_xll.qlTenorBasisTenorForwardRate(U$27,$E51,InterestRatesTrigger)</f>
        <v>#VALUE!</v>
      </c>
      <c r="V51" s="159" t="e">
        <f>_xll.qlTenorBasisTenorForwardRate(V$27,$E51,InterestRatesTrigger)</f>
        <v>#VALUE!</v>
      </c>
      <c r="W51" s="159" t="e">
        <f>_xll.qlTenorBasisTenorForwardRate(W$27,$E51,InterestRatesTrigger)</f>
        <v>#VALUE!</v>
      </c>
      <c r="X51" s="160" t="e">
        <f>_xll.qlTenorBasisTenorForwardRate(X$27,$E51,InterestRatesTrigger)</f>
        <v>#VALUE!</v>
      </c>
      <c r="Y51" s="161" t="e">
        <f>_xll.qlTenorBasisTenorForwardRate(Y$27,$E51,InterestRatesTrigger)</f>
        <v>#VALUE!</v>
      </c>
      <c r="Z51" s="159" t="e">
        <f>_xll.qlTenorBasisTenorForwardRate(Z$27,$E51,InterestRatesTrigger)</f>
        <v>#VALUE!</v>
      </c>
      <c r="AA51" s="159" t="e">
        <f>_xll.qlTenorBasisTenorForwardRate(AA$27,$E51,InterestRatesTrigger)</f>
        <v>#VALUE!</v>
      </c>
      <c r="AB51" s="159" t="e">
        <f>_xll.qlTenorBasisTenorForwardRate(AB$27,$E51,InterestRatesTrigger)</f>
        <v>#VALUE!</v>
      </c>
      <c r="AC51" s="160">
        <f>'6MSynthDepo_used'!AA30</f>
        <v>1.9485374723517135E-4</v>
      </c>
      <c r="AD51" s="241">
        <f>'6MSynthDepo_used'!I10</f>
        <v>2.0000000000000001E-4</v>
      </c>
      <c r="BC51" s="178">
        <f>_xll.qlCalendarAdvance(Calendar,BC50,"1d","mf",,Trigger)</f>
        <v>42342</v>
      </c>
      <c r="BD51" s="41">
        <f>_xll.qlDayCounterYearFraction(DayCounter,SettlementDate,BC51,,,Trigger)</f>
        <v>0.17499999999999999</v>
      </c>
      <c r="BE51" s="47" t="e">
        <f>_xll.qlPolynomialFunctionValue(BE$1,$BD51,AllTriggers)</f>
        <v>#VALUE!</v>
      </c>
      <c r="BF51" s="47" t="e">
        <f>_xll.qlPolynomialFunctionValue(BF$1,$BD51,AllTriggers)</f>
        <v>#VALUE!</v>
      </c>
      <c r="BG51" s="47" t="e">
        <f>_xll.qlPolynomialFunctionValue(BG$1,$BD51,AllTriggers)</f>
        <v>#VALUE!</v>
      </c>
      <c r="BH51" s="47" t="e">
        <f>_xll.qlPolynomialFunctionValue(BH$1,$BD51,AllTriggers)</f>
        <v>#VALUE!</v>
      </c>
      <c r="BI51" s="47" t="e">
        <f>_xll.qlPolynomialFunctionValue(BI$1,$BD51,AllTriggers)</f>
        <v>#VALUE!</v>
      </c>
      <c r="BJ51" s="47" t="e">
        <f>_xll.qlPolynomialFunctionValue(BJ$1,$BD51,AllTriggers)</f>
        <v>#VALUE!</v>
      </c>
      <c r="BK51" s="47" t="e">
        <f>_xll.qlPolynomialFunctionValue(BK$1,$BD51,AllTriggers)</f>
        <v>#VALUE!</v>
      </c>
      <c r="BL51" s="47" t="e">
        <f>_xll.qlPolynomialFunctionValue(BL$1,$BD51,AllTriggers)</f>
        <v>#VALUE!</v>
      </c>
      <c r="BM51" s="47" t="e">
        <f>_xll.qlPolynomialFunctionValue(BM$1,$BD51,AllTriggers)</f>
        <v>#VALUE!</v>
      </c>
      <c r="BN51" s="47" t="e">
        <f>_xll.qlPolynomialFunctionValue(BN$1,$BD51,AllTriggers)</f>
        <v>#VALUE!</v>
      </c>
      <c r="BO51" s="47" t="e">
        <f>_xll.qlPolynomialFunctionValue(BO$1,$BD51,AllTriggers)</f>
        <v>#VALUE!</v>
      </c>
      <c r="BP51" s="47" t="e">
        <f>_xll.qlPolynomialFunctionValue(BP$1,$BD51,AllTriggers)</f>
        <v>#VALUE!</v>
      </c>
      <c r="BQ51" s="47">
        <f>_xll.qlPolynomialFunctionValue('6MSynthDepo_used'!$P$18,BD51,AllTriggers)</f>
        <v>1.7793717102221119E-3</v>
      </c>
    </row>
    <row r="52" spans="3:69" x14ac:dyDescent="0.2">
      <c r="BC52" s="178">
        <f>_xll.qlCalendarAdvance(Calendar,BC51,"1d","mf",,Trigger)</f>
        <v>42345</v>
      </c>
      <c r="BD52" s="41">
        <f>_xll.qlDayCounterYearFraction(DayCounter,SettlementDate,BC52,,,Trigger)</f>
        <v>0.18333333333333332</v>
      </c>
      <c r="BE52" s="47" t="e">
        <f>_xll.qlPolynomialFunctionValue(BE$1,$BD52,AllTriggers)</f>
        <v>#VALUE!</v>
      </c>
      <c r="BF52" s="47" t="e">
        <f>_xll.qlPolynomialFunctionValue(BF$1,$BD52,AllTriggers)</f>
        <v>#VALUE!</v>
      </c>
      <c r="BG52" s="47" t="e">
        <f>_xll.qlPolynomialFunctionValue(BG$1,$BD52,AllTriggers)</f>
        <v>#VALUE!</v>
      </c>
      <c r="BH52" s="47" t="e">
        <f>_xll.qlPolynomialFunctionValue(BH$1,$BD52,AllTriggers)</f>
        <v>#VALUE!</v>
      </c>
      <c r="BI52" s="47" t="e">
        <f>_xll.qlPolynomialFunctionValue(BI$1,$BD52,AllTriggers)</f>
        <v>#VALUE!</v>
      </c>
      <c r="BJ52" s="47" t="e">
        <f>_xll.qlPolynomialFunctionValue(BJ$1,$BD52,AllTriggers)</f>
        <v>#VALUE!</v>
      </c>
      <c r="BK52" s="47" t="e">
        <f>_xll.qlPolynomialFunctionValue(BK$1,$BD52,AllTriggers)</f>
        <v>#VALUE!</v>
      </c>
      <c r="BL52" s="47" t="e">
        <f>_xll.qlPolynomialFunctionValue(BL$1,$BD52,AllTriggers)</f>
        <v>#VALUE!</v>
      </c>
      <c r="BM52" s="47" t="e">
        <f>_xll.qlPolynomialFunctionValue(BM$1,$BD52,AllTriggers)</f>
        <v>#VALUE!</v>
      </c>
      <c r="BN52" s="47" t="e">
        <f>_xll.qlPolynomialFunctionValue(BN$1,$BD52,AllTriggers)</f>
        <v>#VALUE!</v>
      </c>
      <c r="BO52" s="47" t="e">
        <f>_xll.qlPolynomialFunctionValue(BO$1,$BD52,AllTriggers)</f>
        <v>#VALUE!</v>
      </c>
      <c r="BP52" s="47" t="e">
        <f>_xll.qlPolynomialFunctionValue(BP$1,$BD52,AllTriggers)</f>
        <v>#VALUE!</v>
      </c>
      <c r="BQ52" s="47">
        <f>_xll.qlPolynomialFunctionValue('6MSynthDepo_used'!$P$18,BD52,AllTriggers)</f>
        <v>1.785270066506765E-3</v>
      </c>
    </row>
    <row r="53" spans="3:69" x14ac:dyDescent="0.2">
      <c r="F53" s="125" t="s">
        <v>69</v>
      </c>
      <c r="G53" s="125" t="s">
        <v>68</v>
      </c>
      <c r="H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0"/>
      <c r="AC53" s="256"/>
      <c r="BC53" s="178">
        <f>_xll.qlCalendarAdvance(Calendar,BC52,"1d","mf",,Trigger)</f>
        <v>42346</v>
      </c>
      <c r="BD53" s="41">
        <f>_xll.qlDayCounterYearFraction(DayCounter,SettlementDate,BC53,,,Trigger)</f>
        <v>0.18611111111111112</v>
      </c>
      <c r="BE53" s="47" t="e">
        <f>_xll.qlPolynomialFunctionValue(BE$1,$BD53,AllTriggers)</f>
        <v>#VALUE!</v>
      </c>
      <c r="BF53" s="47" t="e">
        <f>_xll.qlPolynomialFunctionValue(BF$1,$BD53,AllTriggers)</f>
        <v>#VALUE!</v>
      </c>
      <c r="BG53" s="47" t="e">
        <f>_xll.qlPolynomialFunctionValue(BG$1,$BD53,AllTriggers)</f>
        <v>#VALUE!</v>
      </c>
      <c r="BH53" s="47" t="e">
        <f>_xll.qlPolynomialFunctionValue(BH$1,$BD53,AllTriggers)</f>
        <v>#VALUE!</v>
      </c>
      <c r="BI53" s="47" t="e">
        <f>_xll.qlPolynomialFunctionValue(BI$1,$BD53,AllTriggers)</f>
        <v>#VALUE!</v>
      </c>
      <c r="BJ53" s="47" t="e">
        <f>_xll.qlPolynomialFunctionValue(BJ$1,$BD53,AllTriggers)</f>
        <v>#VALUE!</v>
      </c>
      <c r="BK53" s="47" t="e">
        <f>_xll.qlPolynomialFunctionValue(BK$1,$BD53,AllTriggers)</f>
        <v>#VALUE!</v>
      </c>
      <c r="BL53" s="47" t="e">
        <f>_xll.qlPolynomialFunctionValue(BL$1,$BD53,AllTriggers)</f>
        <v>#VALUE!</v>
      </c>
      <c r="BM53" s="47" t="e">
        <f>_xll.qlPolynomialFunctionValue(BM$1,$BD53,AllTriggers)</f>
        <v>#VALUE!</v>
      </c>
      <c r="BN53" s="47" t="e">
        <f>_xll.qlPolynomialFunctionValue(BN$1,$BD53,AllTriggers)</f>
        <v>#VALUE!</v>
      </c>
      <c r="BO53" s="47" t="e">
        <f>_xll.qlPolynomialFunctionValue(BO$1,$BD53,AllTriggers)</f>
        <v>#VALUE!</v>
      </c>
      <c r="BP53" s="47" t="e">
        <f>_xll.qlPolynomialFunctionValue(BP$1,$BD53,AllTriggers)</f>
        <v>#VALUE!</v>
      </c>
      <c r="BQ53" s="47">
        <f>_xll.qlPolynomialFunctionValue('6MSynthDepo_used'!$P$18,BD53,AllTriggers)</f>
        <v>1.7872252914666402E-3</v>
      </c>
    </row>
    <row r="54" spans="3:69" x14ac:dyDescent="0.2">
      <c r="F54" s="189" t="str">
        <f t="shared" ref="F54:F60" si="15">C45&amp;"x"&amp;C45+SUBSTITUTE($D$24,"M","")&amp;"F"</f>
        <v>0x6F</v>
      </c>
      <c r="G54" s="156" t="e">
        <f t="shared" ref="G54:H60" si="16">$AD45-G45</f>
        <v>#VALUE!</v>
      </c>
      <c r="H54" s="156" t="e">
        <f t="shared" si="16"/>
        <v>#VALUE!</v>
      </c>
      <c r="S54" s="156" t="e">
        <f t="shared" ref="S54:AC54" si="17">$AD45-S45</f>
        <v>#VALUE!</v>
      </c>
      <c r="T54" s="157" t="e">
        <f t="shared" si="17"/>
        <v>#VALUE!</v>
      </c>
      <c r="U54" s="158" t="e">
        <f t="shared" si="17"/>
        <v>#VALUE!</v>
      </c>
      <c r="V54" s="156" t="e">
        <f t="shared" si="17"/>
        <v>#VALUE!</v>
      </c>
      <c r="W54" s="156" t="e">
        <f t="shared" si="17"/>
        <v>#VALUE!</v>
      </c>
      <c r="X54" s="157" t="e">
        <f t="shared" si="17"/>
        <v>#VALUE!</v>
      </c>
      <c r="Y54" s="158" t="e">
        <f t="shared" si="17"/>
        <v>#VALUE!</v>
      </c>
      <c r="Z54" s="240" t="e">
        <f t="shared" si="17"/>
        <v>#VALUE!</v>
      </c>
      <c r="AA54" s="156" t="e">
        <f t="shared" si="17"/>
        <v>#VALUE!</v>
      </c>
      <c r="AB54" s="156" t="e">
        <f t="shared" si="17"/>
        <v>#VALUE!</v>
      </c>
      <c r="AC54" s="156">
        <f t="shared" si="17"/>
        <v>4.7770796830855596E-5</v>
      </c>
      <c r="BC54" s="178">
        <f>_xll.qlCalendarAdvance(Calendar,BC53,"1d","mf",,Trigger)</f>
        <v>42347</v>
      </c>
      <c r="BD54" s="41">
        <f>_xll.qlDayCounterYearFraction(DayCounter,SettlementDate,BC54,,,Trigger)</f>
        <v>0.18888888888888888</v>
      </c>
      <c r="BE54" s="47" t="e">
        <f>_xll.qlPolynomialFunctionValue(BE$1,$BD54,AllTriggers)</f>
        <v>#VALUE!</v>
      </c>
      <c r="BF54" s="47" t="e">
        <f>_xll.qlPolynomialFunctionValue(BF$1,$BD54,AllTriggers)</f>
        <v>#VALUE!</v>
      </c>
      <c r="BG54" s="47" t="e">
        <f>_xll.qlPolynomialFunctionValue(BG$1,$BD54,AllTriggers)</f>
        <v>#VALUE!</v>
      </c>
      <c r="BH54" s="47" t="e">
        <f>_xll.qlPolynomialFunctionValue(BH$1,$BD54,AllTriggers)</f>
        <v>#VALUE!</v>
      </c>
      <c r="BI54" s="47" t="e">
        <f>_xll.qlPolynomialFunctionValue(BI$1,$BD54,AllTriggers)</f>
        <v>#VALUE!</v>
      </c>
      <c r="BJ54" s="47" t="e">
        <f>_xll.qlPolynomialFunctionValue(BJ$1,$BD54,AllTriggers)</f>
        <v>#VALUE!</v>
      </c>
      <c r="BK54" s="47" t="e">
        <f>_xll.qlPolynomialFunctionValue(BK$1,$BD54,AllTriggers)</f>
        <v>#VALUE!</v>
      </c>
      <c r="BL54" s="47" t="e">
        <f>_xll.qlPolynomialFunctionValue(BL$1,$BD54,AllTriggers)</f>
        <v>#VALUE!</v>
      </c>
      <c r="BM54" s="47" t="e">
        <f>_xll.qlPolynomialFunctionValue(BM$1,$BD54,AllTriggers)</f>
        <v>#VALUE!</v>
      </c>
      <c r="BN54" s="47" t="e">
        <f>_xll.qlPolynomialFunctionValue(BN$1,$BD54,AllTriggers)</f>
        <v>#VALUE!</v>
      </c>
      <c r="BO54" s="47" t="e">
        <f>_xll.qlPolynomialFunctionValue(BO$1,$BD54,AllTriggers)</f>
        <v>#VALUE!</v>
      </c>
      <c r="BP54" s="47" t="e">
        <f>_xll.qlPolynomialFunctionValue(BP$1,$BD54,AllTriggers)</f>
        <v>#VALUE!</v>
      </c>
      <c r="BQ54" s="47">
        <f>_xll.qlPolynomialFunctionValue('6MSynthDepo_used'!$P$18,BD54,AllTriggers)</f>
        <v>1.7891750952333848E-3</v>
      </c>
    </row>
    <row r="55" spans="3:69" x14ac:dyDescent="0.2">
      <c r="F55" s="190" t="str">
        <f t="shared" si="15"/>
        <v>1x7F</v>
      </c>
      <c r="G55" s="47" t="e">
        <f t="shared" si="16"/>
        <v>#VALUE!</v>
      </c>
      <c r="H55" s="47" t="e">
        <f t="shared" si="16"/>
        <v>#VALUE!</v>
      </c>
      <c r="S55" s="47" t="e">
        <f t="shared" ref="S55:AC55" si="18">$AD46-S46</f>
        <v>#VALUE!</v>
      </c>
      <c r="T55" s="154" t="e">
        <f t="shared" si="18"/>
        <v>#VALUE!</v>
      </c>
      <c r="U55" s="155" t="e">
        <f t="shared" si="18"/>
        <v>#VALUE!</v>
      </c>
      <c r="V55" s="47" t="e">
        <f t="shared" si="18"/>
        <v>#VALUE!</v>
      </c>
      <c r="W55" s="47" t="e">
        <f t="shared" si="18"/>
        <v>#VALUE!</v>
      </c>
      <c r="X55" s="154" t="e">
        <f t="shared" si="18"/>
        <v>#VALUE!</v>
      </c>
      <c r="Y55" s="155" t="e">
        <f t="shared" si="18"/>
        <v>#VALUE!</v>
      </c>
      <c r="Z55" s="200" t="e">
        <f t="shared" si="18"/>
        <v>#VALUE!</v>
      </c>
      <c r="AA55" s="47" t="e">
        <f t="shared" si="18"/>
        <v>#VALUE!</v>
      </c>
      <c r="AB55" s="47" t="e">
        <f t="shared" si="18"/>
        <v>#VALUE!</v>
      </c>
      <c r="AC55" s="47">
        <f t="shared" si="18"/>
        <v>-1.2786220072550985E-5</v>
      </c>
      <c r="BC55" s="178">
        <f>_xll.qlCalendarAdvance(Calendar,BC54,"1d","mf",,Trigger)</f>
        <v>42348</v>
      </c>
      <c r="BD55" s="41">
        <f>_xll.qlDayCounterYearFraction(DayCounter,SettlementDate,BC55,,,Trigger)</f>
        <v>0.19166666666666668</v>
      </c>
      <c r="BE55" s="47" t="e">
        <f>_xll.qlPolynomialFunctionValue(BE$1,$BD55,AllTriggers)</f>
        <v>#VALUE!</v>
      </c>
      <c r="BF55" s="47" t="e">
        <f>_xll.qlPolynomialFunctionValue(BF$1,$BD55,AllTriggers)</f>
        <v>#VALUE!</v>
      </c>
      <c r="BG55" s="47" t="e">
        <f>_xll.qlPolynomialFunctionValue(BG$1,$BD55,AllTriggers)</f>
        <v>#VALUE!</v>
      </c>
      <c r="BH55" s="47" t="e">
        <f>_xll.qlPolynomialFunctionValue(BH$1,$BD55,AllTriggers)</f>
        <v>#VALUE!</v>
      </c>
      <c r="BI55" s="47" t="e">
        <f>_xll.qlPolynomialFunctionValue(BI$1,$BD55,AllTriggers)</f>
        <v>#VALUE!</v>
      </c>
      <c r="BJ55" s="47" t="e">
        <f>_xll.qlPolynomialFunctionValue(BJ$1,$BD55,AllTriggers)</f>
        <v>#VALUE!</v>
      </c>
      <c r="BK55" s="47" t="e">
        <f>_xll.qlPolynomialFunctionValue(BK$1,$BD55,AllTriggers)</f>
        <v>#VALUE!</v>
      </c>
      <c r="BL55" s="47" t="e">
        <f>_xll.qlPolynomialFunctionValue(BL$1,$BD55,AllTriggers)</f>
        <v>#VALUE!</v>
      </c>
      <c r="BM55" s="47" t="e">
        <f>_xll.qlPolynomialFunctionValue(BM$1,$BD55,AllTriggers)</f>
        <v>#VALUE!</v>
      </c>
      <c r="BN55" s="47" t="e">
        <f>_xll.qlPolynomialFunctionValue(BN$1,$BD55,AllTriggers)</f>
        <v>#VALUE!</v>
      </c>
      <c r="BO55" s="47" t="e">
        <f>_xll.qlPolynomialFunctionValue(BO$1,$BD55,AllTriggers)</f>
        <v>#VALUE!</v>
      </c>
      <c r="BP55" s="47" t="e">
        <f>_xll.qlPolynomialFunctionValue(BP$1,$BD55,AllTriggers)</f>
        <v>#VALUE!</v>
      </c>
      <c r="BQ55" s="47">
        <f>_xll.qlPolynomialFunctionValue('6MSynthDepo_used'!$P$18,BD55,AllTriggers)</f>
        <v>1.7911194932316236E-3</v>
      </c>
    </row>
    <row r="56" spans="3:69" x14ac:dyDescent="0.2">
      <c r="F56" s="190" t="str">
        <f t="shared" si="15"/>
        <v>2x8F</v>
      </c>
      <c r="G56" s="47" t="e">
        <f t="shared" si="16"/>
        <v>#VALUE!</v>
      </c>
      <c r="H56" s="47" t="e">
        <f t="shared" si="16"/>
        <v>#VALUE!</v>
      </c>
      <c r="S56" s="47" t="e">
        <f t="shared" ref="S56:AC56" si="19">$AD47-S47</f>
        <v>#VALUE!</v>
      </c>
      <c r="T56" s="154" t="e">
        <f t="shared" si="19"/>
        <v>#VALUE!</v>
      </c>
      <c r="U56" s="155" t="e">
        <f t="shared" si="19"/>
        <v>#VALUE!</v>
      </c>
      <c r="V56" s="47" t="e">
        <f t="shared" si="19"/>
        <v>#VALUE!</v>
      </c>
      <c r="W56" s="47" t="e">
        <f t="shared" si="19"/>
        <v>#VALUE!</v>
      </c>
      <c r="X56" s="154" t="e">
        <f t="shared" si="19"/>
        <v>#VALUE!</v>
      </c>
      <c r="Y56" s="155" t="e">
        <f t="shared" si="19"/>
        <v>#VALUE!</v>
      </c>
      <c r="Z56" s="200" t="e">
        <f t="shared" si="19"/>
        <v>#VALUE!</v>
      </c>
      <c r="AA56" s="47" t="e">
        <f t="shared" si="19"/>
        <v>#VALUE!</v>
      </c>
      <c r="AB56" s="47" t="e">
        <f t="shared" si="19"/>
        <v>#VALUE!</v>
      </c>
      <c r="AC56" s="47">
        <f t="shared" si="19"/>
        <v>-1.8697389895284652E-5</v>
      </c>
      <c r="BC56" s="178">
        <f>_xll.qlCalendarAdvance(Calendar,BC55,"1d","mf",,Trigger)</f>
        <v>42349</v>
      </c>
      <c r="BD56" s="41">
        <f>_xll.qlDayCounterYearFraction(DayCounter,SettlementDate,BC56,,,Trigger)</f>
        <v>0.19444444444444445</v>
      </c>
      <c r="BE56" s="47" t="e">
        <f>_xll.qlPolynomialFunctionValue(BE$1,$BD56,AllTriggers)</f>
        <v>#VALUE!</v>
      </c>
      <c r="BF56" s="47" t="e">
        <f>_xll.qlPolynomialFunctionValue(BF$1,$BD56,AllTriggers)</f>
        <v>#VALUE!</v>
      </c>
      <c r="BG56" s="47" t="e">
        <f>_xll.qlPolynomialFunctionValue(BG$1,$BD56,AllTriggers)</f>
        <v>#VALUE!</v>
      </c>
      <c r="BH56" s="47" t="e">
        <f>_xll.qlPolynomialFunctionValue(BH$1,$BD56,AllTriggers)</f>
        <v>#VALUE!</v>
      </c>
      <c r="BI56" s="47" t="e">
        <f>_xll.qlPolynomialFunctionValue(BI$1,$BD56,AllTriggers)</f>
        <v>#VALUE!</v>
      </c>
      <c r="BJ56" s="47" t="e">
        <f>_xll.qlPolynomialFunctionValue(BJ$1,$BD56,AllTriggers)</f>
        <v>#VALUE!</v>
      </c>
      <c r="BK56" s="47" t="e">
        <f>_xll.qlPolynomialFunctionValue(BK$1,$BD56,AllTriggers)</f>
        <v>#VALUE!</v>
      </c>
      <c r="BL56" s="47" t="e">
        <f>_xll.qlPolynomialFunctionValue(BL$1,$BD56,AllTriggers)</f>
        <v>#VALUE!</v>
      </c>
      <c r="BM56" s="47" t="e">
        <f>_xll.qlPolynomialFunctionValue(BM$1,$BD56,AllTriggers)</f>
        <v>#VALUE!</v>
      </c>
      <c r="BN56" s="47" t="e">
        <f>_xll.qlPolynomialFunctionValue(BN$1,$BD56,AllTriggers)</f>
        <v>#VALUE!</v>
      </c>
      <c r="BO56" s="47" t="e">
        <f>_xll.qlPolynomialFunctionValue(BO$1,$BD56,AllTriggers)</f>
        <v>#VALUE!</v>
      </c>
      <c r="BP56" s="47" t="e">
        <f>_xll.qlPolynomialFunctionValue(BP$1,$BD56,AllTriggers)</f>
        <v>#VALUE!</v>
      </c>
      <c r="BQ56" s="47">
        <f>_xll.qlPolynomialFunctionValue('6MSynthDepo_used'!$P$18,BD56,AllTriggers)</f>
        <v>1.7930585008859817E-3</v>
      </c>
    </row>
    <row r="57" spans="3:69" x14ac:dyDescent="0.2">
      <c r="F57" s="190" t="str">
        <f t="shared" si="15"/>
        <v>3x9F</v>
      </c>
      <c r="G57" s="47" t="e">
        <f t="shared" si="16"/>
        <v>#VALUE!</v>
      </c>
      <c r="H57" s="47" t="e">
        <f t="shared" si="16"/>
        <v>#VALUE!</v>
      </c>
      <c r="S57" s="47" t="e">
        <f t="shared" ref="S57:AC57" si="20">$AD48-S48</f>
        <v>#VALUE!</v>
      </c>
      <c r="T57" s="154" t="e">
        <f t="shared" si="20"/>
        <v>#VALUE!</v>
      </c>
      <c r="U57" s="155" t="e">
        <f t="shared" si="20"/>
        <v>#VALUE!</v>
      </c>
      <c r="V57" s="47" t="e">
        <f t="shared" si="20"/>
        <v>#VALUE!</v>
      </c>
      <c r="W57" s="47" t="e">
        <f t="shared" si="20"/>
        <v>#VALUE!</v>
      </c>
      <c r="X57" s="154" t="e">
        <f t="shared" si="20"/>
        <v>#VALUE!</v>
      </c>
      <c r="Y57" s="155" t="e">
        <f t="shared" si="20"/>
        <v>#VALUE!</v>
      </c>
      <c r="Z57" s="200" t="e">
        <f t="shared" si="20"/>
        <v>#VALUE!</v>
      </c>
      <c r="AA57" s="47" t="e">
        <f t="shared" si="20"/>
        <v>#VALUE!</v>
      </c>
      <c r="AB57" s="47" t="e">
        <f t="shared" si="20"/>
        <v>#VALUE!</v>
      </c>
      <c r="AC57" s="47">
        <f t="shared" si="20"/>
        <v>-2.4816426691913885E-6</v>
      </c>
      <c r="BC57" s="178">
        <f>_xll.qlCalendarAdvance(Calendar,BC56,"1d","mf",,Trigger)</f>
        <v>42352</v>
      </c>
      <c r="BD57" s="41">
        <f>_xll.qlDayCounterYearFraction(DayCounter,SettlementDate,BC57,,,Trigger)</f>
        <v>0.20277777777777778</v>
      </c>
      <c r="BE57" s="47" t="e">
        <f>_xll.qlPolynomialFunctionValue(BE$1,$BD57,AllTriggers)</f>
        <v>#VALUE!</v>
      </c>
      <c r="BF57" s="47" t="e">
        <f>_xll.qlPolynomialFunctionValue(BF$1,$BD57,AllTriggers)</f>
        <v>#VALUE!</v>
      </c>
      <c r="BG57" s="47" t="e">
        <f>_xll.qlPolynomialFunctionValue(BG$1,$BD57,AllTriggers)</f>
        <v>#VALUE!</v>
      </c>
      <c r="BH57" s="47" t="e">
        <f>_xll.qlPolynomialFunctionValue(BH$1,$BD57,AllTriggers)</f>
        <v>#VALUE!</v>
      </c>
      <c r="BI57" s="47" t="e">
        <f>_xll.qlPolynomialFunctionValue(BI$1,$BD57,AllTriggers)</f>
        <v>#VALUE!</v>
      </c>
      <c r="BJ57" s="47" t="e">
        <f>_xll.qlPolynomialFunctionValue(BJ$1,$BD57,AllTriggers)</f>
        <v>#VALUE!</v>
      </c>
      <c r="BK57" s="47" t="e">
        <f>_xll.qlPolynomialFunctionValue(BK$1,$BD57,AllTriggers)</f>
        <v>#VALUE!</v>
      </c>
      <c r="BL57" s="47" t="e">
        <f>_xll.qlPolynomialFunctionValue(BL$1,$BD57,AllTriggers)</f>
        <v>#VALUE!</v>
      </c>
      <c r="BM57" s="47" t="e">
        <f>_xll.qlPolynomialFunctionValue(BM$1,$BD57,AllTriggers)</f>
        <v>#VALUE!</v>
      </c>
      <c r="BN57" s="47" t="e">
        <f>_xll.qlPolynomialFunctionValue(BN$1,$BD57,AllTriggers)</f>
        <v>#VALUE!</v>
      </c>
      <c r="BO57" s="47" t="e">
        <f>_xll.qlPolynomialFunctionValue(BO$1,$BD57,AllTriggers)</f>
        <v>#VALUE!</v>
      </c>
      <c r="BP57" s="47" t="e">
        <f>_xll.qlPolynomialFunctionValue(BP$1,$BD57,AllTriggers)</f>
        <v>#VALUE!</v>
      </c>
      <c r="BQ57" s="47">
        <f>_xll.qlPolynomialFunctionValue('6MSynthDepo_used'!$P$18,BD57,AllTriggers)</f>
        <v>1.7988433360320161E-3</v>
      </c>
    </row>
    <row r="58" spans="3:69" x14ac:dyDescent="0.2">
      <c r="F58" s="190" t="str">
        <f t="shared" si="15"/>
        <v>4x10F</v>
      </c>
      <c r="G58" s="47" t="e">
        <f t="shared" si="16"/>
        <v>#VALUE!</v>
      </c>
      <c r="H58" s="47" t="e">
        <f t="shared" si="16"/>
        <v>#VALUE!</v>
      </c>
      <c r="S58" s="47" t="e">
        <f t="shared" ref="S58:AC58" si="21">$AD49-S49</f>
        <v>#VALUE!</v>
      </c>
      <c r="T58" s="154" t="e">
        <f t="shared" si="21"/>
        <v>#VALUE!</v>
      </c>
      <c r="U58" s="155" t="e">
        <f t="shared" si="21"/>
        <v>#VALUE!</v>
      </c>
      <c r="V58" s="47" t="e">
        <f t="shared" si="21"/>
        <v>#VALUE!</v>
      </c>
      <c r="W58" s="47" t="e">
        <f t="shared" si="21"/>
        <v>#VALUE!</v>
      </c>
      <c r="X58" s="154" t="e">
        <f t="shared" si="21"/>
        <v>#VALUE!</v>
      </c>
      <c r="Y58" s="155" t="e">
        <f t="shared" si="21"/>
        <v>#VALUE!</v>
      </c>
      <c r="Z58" s="200" t="e">
        <f t="shared" si="21"/>
        <v>#VALUE!</v>
      </c>
      <c r="AA58" s="47" t="e">
        <f t="shared" si="21"/>
        <v>#VALUE!</v>
      </c>
      <c r="AB58" s="47" t="e">
        <f t="shared" si="21"/>
        <v>#VALUE!</v>
      </c>
      <c r="AC58" s="47">
        <f t="shared" si="21"/>
        <v>5.5918073938818354E-7</v>
      </c>
      <c r="BC58" s="178">
        <f>_xll.qlCalendarAdvance(Calendar,BC57,"1d","mf",,Trigger)</f>
        <v>42353</v>
      </c>
      <c r="BD58" s="41">
        <f>_xll.qlDayCounterYearFraction(DayCounter,SettlementDate,BC58,,,Trigger)</f>
        <v>0.20555555555555555</v>
      </c>
      <c r="BE58" s="47" t="e">
        <f>_xll.qlPolynomialFunctionValue(BE$1,$BD58,AllTriggers)</f>
        <v>#VALUE!</v>
      </c>
      <c r="BF58" s="47" t="e">
        <f>_xll.qlPolynomialFunctionValue(BF$1,$BD58,AllTriggers)</f>
        <v>#VALUE!</v>
      </c>
      <c r="BG58" s="47" t="e">
        <f>_xll.qlPolynomialFunctionValue(BG$1,$BD58,AllTriggers)</f>
        <v>#VALUE!</v>
      </c>
      <c r="BH58" s="47" t="e">
        <f>_xll.qlPolynomialFunctionValue(BH$1,$BD58,AllTriggers)</f>
        <v>#VALUE!</v>
      </c>
      <c r="BI58" s="47" t="e">
        <f>_xll.qlPolynomialFunctionValue(BI$1,$BD58,AllTriggers)</f>
        <v>#VALUE!</v>
      </c>
      <c r="BJ58" s="47" t="e">
        <f>_xll.qlPolynomialFunctionValue(BJ$1,$BD58,AllTriggers)</f>
        <v>#VALUE!</v>
      </c>
      <c r="BK58" s="47" t="e">
        <f>_xll.qlPolynomialFunctionValue(BK$1,$BD58,AllTriggers)</f>
        <v>#VALUE!</v>
      </c>
      <c r="BL58" s="47" t="e">
        <f>_xll.qlPolynomialFunctionValue(BL$1,$BD58,AllTriggers)</f>
        <v>#VALUE!</v>
      </c>
      <c r="BM58" s="47" t="e">
        <f>_xll.qlPolynomialFunctionValue(BM$1,$BD58,AllTriggers)</f>
        <v>#VALUE!</v>
      </c>
      <c r="BN58" s="47" t="e">
        <f>_xll.qlPolynomialFunctionValue(BN$1,$BD58,AllTriggers)</f>
        <v>#VALUE!</v>
      </c>
      <c r="BO58" s="47" t="e">
        <f>_xll.qlPolynomialFunctionValue(BO$1,$BD58,AllTriggers)</f>
        <v>#VALUE!</v>
      </c>
      <c r="BP58" s="47" t="e">
        <f>_xll.qlPolynomialFunctionValue(BP$1,$BD58,AllTriggers)</f>
        <v>#VALUE!</v>
      </c>
      <c r="BQ58" s="47">
        <f>_xll.qlPolynomialFunctionValue('6MSynthDepo_used'!$P$18,BD58,AllTriggers)</f>
        <v>1.8007609365570964E-3</v>
      </c>
    </row>
    <row r="59" spans="3:69" x14ac:dyDescent="0.2">
      <c r="F59" s="190" t="str">
        <f t="shared" si="15"/>
        <v>5x11F</v>
      </c>
      <c r="G59" s="47" t="e">
        <f t="shared" si="16"/>
        <v>#VALUE!</v>
      </c>
      <c r="H59" s="47" t="e">
        <f t="shared" si="16"/>
        <v>#VALUE!</v>
      </c>
      <c r="S59" s="47" t="e">
        <f t="shared" ref="S59:AC59" si="22">$AD50-S50</f>
        <v>#VALUE!</v>
      </c>
      <c r="T59" s="154" t="e">
        <f t="shared" si="22"/>
        <v>#VALUE!</v>
      </c>
      <c r="U59" s="155" t="e">
        <f t="shared" si="22"/>
        <v>#VALUE!</v>
      </c>
      <c r="V59" s="47" t="e">
        <f t="shared" si="22"/>
        <v>#VALUE!</v>
      </c>
      <c r="W59" s="47" t="e">
        <f t="shared" si="22"/>
        <v>#VALUE!</v>
      </c>
      <c r="X59" s="154" t="e">
        <f t="shared" si="22"/>
        <v>#VALUE!</v>
      </c>
      <c r="Y59" s="155" t="e">
        <f t="shared" si="22"/>
        <v>#VALUE!</v>
      </c>
      <c r="Z59" s="200" t="e">
        <f t="shared" si="22"/>
        <v>#VALUE!</v>
      </c>
      <c r="AA59" s="47" t="e">
        <f t="shared" si="22"/>
        <v>#VALUE!</v>
      </c>
      <c r="AB59" s="47" t="e">
        <f t="shared" si="22"/>
        <v>#VALUE!</v>
      </c>
      <c r="AC59" s="47">
        <f t="shared" si="22"/>
        <v>-3.8681714388064266E-7</v>
      </c>
      <c r="BC59" s="178">
        <f>_xll.qlCalendarAdvance(Calendar,BC58,"1d","mf",,Trigger)</f>
        <v>42354</v>
      </c>
      <c r="BD59" s="41">
        <f>_xll.qlDayCounterYearFraction(DayCounter,SettlementDate,BC59,,,Trigger)</f>
        <v>0.20833333333333334</v>
      </c>
      <c r="BE59" s="47" t="e">
        <f>_xll.qlPolynomialFunctionValue(BE$1,$BD59,AllTriggers)</f>
        <v>#VALUE!</v>
      </c>
      <c r="BF59" s="47" t="e">
        <f>_xll.qlPolynomialFunctionValue(BF$1,$BD59,AllTriggers)</f>
        <v>#VALUE!</v>
      </c>
      <c r="BG59" s="47" t="e">
        <f>_xll.qlPolynomialFunctionValue(BG$1,$BD59,AllTriggers)</f>
        <v>#VALUE!</v>
      </c>
      <c r="BH59" s="47" t="e">
        <f>_xll.qlPolynomialFunctionValue(BH$1,$BD59,AllTriggers)</f>
        <v>#VALUE!</v>
      </c>
      <c r="BI59" s="47" t="e">
        <f>_xll.qlPolynomialFunctionValue(BI$1,$BD59,AllTriggers)</f>
        <v>#VALUE!</v>
      </c>
      <c r="BJ59" s="47" t="e">
        <f>_xll.qlPolynomialFunctionValue(BJ$1,$BD59,AllTriggers)</f>
        <v>#VALUE!</v>
      </c>
      <c r="BK59" s="47" t="e">
        <f>_xll.qlPolynomialFunctionValue(BK$1,$BD59,AllTriggers)</f>
        <v>#VALUE!</v>
      </c>
      <c r="BL59" s="47" t="e">
        <f>_xll.qlPolynomialFunctionValue(BL$1,$BD59,AllTriggers)</f>
        <v>#VALUE!</v>
      </c>
      <c r="BM59" s="47" t="e">
        <f>_xll.qlPolynomialFunctionValue(BM$1,$BD59,AllTriggers)</f>
        <v>#VALUE!</v>
      </c>
      <c r="BN59" s="47" t="e">
        <f>_xll.qlPolynomialFunctionValue(BN$1,$BD59,AllTriggers)</f>
        <v>#VALUE!</v>
      </c>
      <c r="BO59" s="47" t="e">
        <f>_xll.qlPolynomialFunctionValue(BO$1,$BD59,AllTriggers)</f>
        <v>#VALUE!</v>
      </c>
      <c r="BP59" s="47" t="e">
        <f>_xll.qlPolynomialFunctionValue(BP$1,$BD59,AllTriggers)</f>
        <v>#VALUE!</v>
      </c>
      <c r="BQ59" s="47">
        <f>_xll.qlPolynomialFunctionValue('6MSynthDepo_used'!$P$18,BD59,AllTriggers)</f>
        <v>1.8026732238614193E-3</v>
      </c>
    </row>
    <row r="60" spans="3:69" x14ac:dyDescent="0.2">
      <c r="F60" s="191" t="str">
        <f t="shared" si="15"/>
        <v>6x12F</v>
      </c>
      <c r="G60" s="159" t="e">
        <f t="shared" si="16"/>
        <v>#VALUE!</v>
      </c>
      <c r="H60" s="159" t="e">
        <f t="shared" si="16"/>
        <v>#VALUE!</v>
      </c>
      <c r="K60" s="55"/>
      <c r="L60" s="55"/>
      <c r="M60" s="55"/>
      <c r="N60" s="55"/>
      <c r="S60" s="159" t="e">
        <f t="shared" ref="S60:AC60" si="23">$AD51-S51</f>
        <v>#VALUE!</v>
      </c>
      <c r="T60" s="160" t="e">
        <f t="shared" si="23"/>
        <v>#VALUE!</v>
      </c>
      <c r="U60" s="161" t="e">
        <f t="shared" si="23"/>
        <v>#VALUE!</v>
      </c>
      <c r="V60" s="159" t="e">
        <f t="shared" si="23"/>
        <v>#VALUE!</v>
      </c>
      <c r="W60" s="159" t="e">
        <f t="shared" si="23"/>
        <v>#VALUE!</v>
      </c>
      <c r="X60" s="160" t="e">
        <f t="shared" si="23"/>
        <v>#VALUE!</v>
      </c>
      <c r="Y60" s="161" t="e">
        <f t="shared" si="23"/>
        <v>#VALUE!</v>
      </c>
      <c r="Z60" s="241" t="e">
        <f t="shared" si="23"/>
        <v>#VALUE!</v>
      </c>
      <c r="AA60" s="159" t="e">
        <f t="shared" si="23"/>
        <v>#VALUE!</v>
      </c>
      <c r="AB60" s="159" t="e">
        <f t="shared" si="23"/>
        <v>#VALUE!</v>
      </c>
      <c r="AC60" s="159">
        <f t="shared" si="23"/>
        <v>5.1462527648286612E-6</v>
      </c>
      <c r="BC60" s="178">
        <f>_xll.qlCalendarAdvance(Calendar,BC59,"1d","mf",,Trigger)</f>
        <v>42355</v>
      </c>
      <c r="BD60" s="41">
        <f>_xll.qlDayCounterYearFraction(DayCounter,SettlementDate,BC60,,,Trigger)</f>
        <v>0.21111111111111111</v>
      </c>
      <c r="BE60" s="47" t="e">
        <f>_xll.qlPolynomialFunctionValue(BE$1,$BD60,AllTriggers)</f>
        <v>#VALUE!</v>
      </c>
      <c r="BF60" s="47" t="e">
        <f>_xll.qlPolynomialFunctionValue(BF$1,$BD60,AllTriggers)</f>
        <v>#VALUE!</v>
      </c>
      <c r="BG60" s="47" t="e">
        <f>_xll.qlPolynomialFunctionValue(BG$1,$BD60,AllTriggers)</f>
        <v>#VALUE!</v>
      </c>
      <c r="BH60" s="47" t="e">
        <f>_xll.qlPolynomialFunctionValue(BH$1,$BD60,AllTriggers)</f>
        <v>#VALUE!</v>
      </c>
      <c r="BI60" s="47" t="e">
        <f>_xll.qlPolynomialFunctionValue(BI$1,$BD60,AllTriggers)</f>
        <v>#VALUE!</v>
      </c>
      <c r="BJ60" s="47" t="e">
        <f>_xll.qlPolynomialFunctionValue(BJ$1,$BD60,AllTriggers)</f>
        <v>#VALUE!</v>
      </c>
      <c r="BK60" s="47" t="e">
        <f>_xll.qlPolynomialFunctionValue(BK$1,$BD60,AllTriggers)</f>
        <v>#VALUE!</v>
      </c>
      <c r="BL60" s="47" t="e">
        <f>_xll.qlPolynomialFunctionValue(BL$1,$BD60,AllTriggers)</f>
        <v>#VALUE!</v>
      </c>
      <c r="BM60" s="47" t="e">
        <f>_xll.qlPolynomialFunctionValue(BM$1,$BD60,AllTriggers)</f>
        <v>#VALUE!</v>
      </c>
      <c r="BN60" s="47" t="e">
        <f>_xll.qlPolynomialFunctionValue(BN$1,$BD60,AllTriggers)</f>
        <v>#VALUE!</v>
      </c>
      <c r="BO60" s="47" t="e">
        <f>_xll.qlPolynomialFunctionValue(BO$1,$BD60,AllTriggers)</f>
        <v>#VALUE!</v>
      </c>
      <c r="BP60" s="47" t="e">
        <f>_xll.qlPolynomialFunctionValue(BP$1,$BD60,AllTriggers)</f>
        <v>#VALUE!</v>
      </c>
      <c r="BQ60" s="47">
        <f>_xll.qlPolynomialFunctionValue('6MSynthDepo_used'!$P$18,BD60,AllTriggers)</f>
        <v>1.8045802133696087E-3</v>
      </c>
    </row>
    <row r="61" spans="3:69" x14ac:dyDescent="0.2">
      <c r="K61" s="55"/>
      <c r="L61" s="55"/>
      <c r="M61" s="55"/>
      <c r="N61" s="55"/>
      <c r="BC61" s="178">
        <f>_xll.qlCalendarAdvance(Calendar,BC60,"1d","mf",,Trigger)</f>
        <v>42356</v>
      </c>
      <c r="BD61" s="41">
        <f>_xll.qlDayCounterYearFraction(DayCounter,SettlementDate,BC61,,,Trigger)</f>
        <v>0.21388888888888888</v>
      </c>
      <c r="BE61" s="47" t="e">
        <f>_xll.qlPolynomialFunctionValue(BE$1,$BD61,AllTriggers)</f>
        <v>#VALUE!</v>
      </c>
      <c r="BF61" s="47" t="e">
        <f>_xll.qlPolynomialFunctionValue(BF$1,$BD61,AllTriggers)</f>
        <v>#VALUE!</v>
      </c>
      <c r="BG61" s="47" t="e">
        <f>_xll.qlPolynomialFunctionValue(BG$1,$BD61,AllTriggers)</f>
        <v>#VALUE!</v>
      </c>
      <c r="BH61" s="47" t="e">
        <f>_xll.qlPolynomialFunctionValue(BH$1,$BD61,AllTriggers)</f>
        <v>#VALUE!</v>
      </c>
      <c r="BI61" s="47" t="e">
        <f>_xll.qlPolynomialFunctionValue(BI$1,$BD61,AllTriggers)</f>
        <v>#VALUE!</v>
      </c>
      <c r="BJ61" s="47" t="e">
        <f>_xll.qlPolynomialFunctionValue(BJ$1,$BD61,AllTriggers)</f>
        <v>#VALUE!</v>
      </c>
      <c r="BK61" s="47" t="e">
        <f>_xll.qlPolynomialFunctionValue(BK$1,$BD61,AllTriggers)</f>
        <v>#VALUE!</v>
      </c>
      <c r="BL61" s="47" t="e">
        <f>_xll.qlPolynomialFunctionValue(BL$1,$BD61,AllTriggers)</f>
        <v>#VALUE!</v>
      </c>
      <c r="BM61" s="47" t="e">
        <f>_xll.qlPolynomialFunctionValue(BM$1,$BD61,AllTriggers)</f>
        <v>#VALUE!</v>
      </c>
      <c r="BN61" s="47" t="e">
        <f>_xll.qlPolynomialFunctionValue(BN$1,$BD61,AllTriggers)</f>
        <v>#VALUE!</v>
      </c>
      <c r="BO61" s="47" t="e">
        <f>_xll.qlPolynomialFunctionValue(BO$1,$BD61,AllTriggers)</f>
        <v>#VALUE!</v>
      </c>
      <c r="BP61" s="47" t="e">
        <f>_xll.qlPolynomialFunctionValue(BP$1,$BD61,AllTriggers)</f>
        <v>#VALUE!</v>
      </c>
      <c r="BQ61" s="47">
        <f>_xll.qlPolynomialFunctionValue('6MSynthDepo_used'!$P$18,BD61,AllTriggers)</f>
        <v>1.8064819205062901E-3</v>
      </c>
    </row>
    <row r="62" spans="3:69" x14ac:dyDescent="0.2">
      <c r="K62" s="55"/>
      <c r="L62" s="55"/>
      <c r="M62" s="55"/>
      <c r="N62" s="55"/>
      <c r="BC62" s="178">
        <f>_xll.qlCalendarAdvance(Calendar,BC61,"1d","mf",,Trigger)</f>
        <v>42359</v>
      </c>
      <c r="BD62" s="41">
        <f>_xll.qlDayCounterYearFraction(DayCounter,SettlementDate,BC62,,,Trigger)</f>
        <v>0.22222222222222221</v>
      </c>
      <c r="BE62" s="47" t="e">
        <f>_xll.qlPolynomialFunctionValue(BE$1,$BD62,AllTriggers)</f>
        <v>#VALUE!</v>
      </c>
      <c r="BF62" s="47" t="e">
        <f>_xll.qlPolynomialFunctionValue(BF$1,$BD62,AllTriggers)</f>
        <v>#VALUE!</v>
      </c>
      <c r="BG62" s="47" t="e">
        <f>_xll.qlPolynomialFunctionValue(BG$1,$BD62,AllTriggers)</f>
        <v>#VALUE!</v>
      </c>
      <c r="BH62" s="47" t="e">
        <f>_xll.qlPolynomialFunctionValue(BH$1,$BD62,AllTriggers)</f>
        <v>#VALUE!</v>
      </c>
      <c r="BI62" s="47" t="e">
        <f>_xll.qlPolynomialFunctionValue(BI$1,$BD62,AllTriggers)</f>
        <v>#VALUE!</v>
      </c>
      <c r="BJ62" s="47" t="e">
        <f>_xll.qlPolynomialFunctionValue(BJ$1,$BD62,AllTriggers)</f>
        <v>#VALUE!</v>
      </c>
      <c r="BK62" s="47" t="e">
        <f>_xll.qlPolynomialFunctionValue(BK$1,$BD62,AllTriggers)</f>
        <v>#VALUE!</v>
      </c>
      <c r="BL62" s="47" t="e">
        <f>_xll.qlPolynomialFunctionValue(BL$1,$BD62,AllTriggers)</f>
        <v>#VALUE!</v>
      </c>
      <c r="BM62" s="47" t="e">
        <f>_xll.qlPolynomialFunctionValue(BM$1,$BD62,AllTriggers)</f>
        <v>#VALUE!</v>
      </c>
      <c r="BN62" s="47" t="e">
        <f>_xll.qlPolynomialFunctionValue(BN$1,$BD62,AllTriggers)</f>
        <v>#VALUE!</v>
      </c>
      <c r="BO62" s="47" t="e">
        <f>_xll.qlPolynomialFunctionValue(BO$1,$BD62,AllTriggers)</f>
        <v>#VALUE!</v>
      </c>
      <c r="BP62" s="47" t="e">
        <f>_xll.qlPolynomialFunctionValue(BP$1,$BD62,AllTriggers)</f>
        <v>#VALUE!</v>
      </c>
      <c r="BQ62" s="47">
        <f>_xll.qlPolynomialFunctionValue('6MSynthDepo_used'!$P$18,BD62,AllTriggers)</f>
        <v>1.8121555019335297E-3</v>
      </c>
    </row>
    <row r="63" spans="3:69" x14ac:dyDescent="0.2">
      <c r="C63" s="194"/>
      <c r="D63" s="194"/>
      <c r="E63" s="195"/>
      <c r="H63" s="35"/>
      <c r="K63" s="55"/>
      <c r="L63" s="55"/>
      <c r="M63" s="55"/>
      <c r="N63" s="55"/>
      <c r="P63" s="35"/>
      <c r="Q63" s="35"/>
      <c r="R63" s="34"/>
      <c r="S63" s="34"/>
      <c r="BC63" s="178">
        <f>_xll.qlCalendarAdvance(Calendar,BC62,"1d","mf",,Trigger)</f>
        <v>42360</v>
      </c>
      <c r="BD63" s="41">
        <f>_xll.qlDayCounterYearFraction(DayCounter,SettlementDate,BC63,,,Trigger)</f>
        <v>0.22500000000000001</v>
      </c>
      <c r="BE63" s="47" t="e">
        <f>_xll.qlPolynomialFunctionValue(BE$1,$BD63,AllTriggers)</f>
        <v>#VALUE!</v>
      </c>
      <c r="BF63" s="47" t="e">
        <f>_xll.qlPolynomialFunctionValue(BF$1,$BD63,AllTriggers)</f>
        <v>#VALUE!</v>
      </c>
      <c r="BG63" s="47" t="e">
        <f>_xll.qlPolynomialFunctionValue(BG$1,$BD63,AllTriggers)</f>
        <v>#VALUE!</v>
      </c>
      <c r="BH63" s="47" t="e">
        <f>_xll.qlPolynomialFunctionValue(BH$1,$BD63,AllTriggers)</f>
        <v>#VALUE!</v>
      </c>
      <c r="BI63" s="47" t="e">
        <f>_xll.qlPolynomialFunctionValue(BI$1,$BD63,AllTriggers)</f>
        <v>#VALUE!</v>
      </c>
      <c r="BJ63" s="47" t="e">
        <f>_xll.qlPolynomialFunctionValue(BJ$1,$BD63,AllTriggers)</f>
        <v>#VALUE!</v>
      </c>
      <c r="BK63" s="47" t="e">
        <f>_xll.qlPolynomialFunctionValue(BK$1,$BD63,AllTriggers)</f>
        <v>#VALUE!</v>
      </c>
      <c r="BL63" s="47" t="e">
        <f>_xll.qlPolynomialFunctionValue(BL$1,$BD63,AllTriggers)</f>
        <v>#VALUE!</v>
      </c>
      <c r="BM63" s="47" t="e">
        <f>_xll.qlPolynomialFunctionValue(BM$1,$BD63,AllTriggers)</f>
        <v>#VALUE!</v>
      </c>
      <c r="BN63" s="47" t="e">
        <f>_xll.qlPolynomialFunctionValue(BN$1,$BD63,AllTriggers)</f>
        <v>#VALUE!</v>
      </c>
      <c r="BO63" s="47" t="e">
        <f>_xll.qlPolynomialFunctionValue(BO$1,$BD63,AllTriggers)</f>
        <v>#VALUE!</v>
      </c>
      <c r="BP63" s="47" t="e">
        <f>_xll.qlPolynomialFunctionValue(BP$1,$BD63,AllTriggers)</f>
        <v>#VALUE!</v>
      </c>
      <c r="BQ63" s="47">
        <f>_xll.qlPolynomialFunctionValue('6MSynthDepo_used'!$P$18,BD63,AllTriggers)</f>
        <v>1.8140362338304235E-3</v>
      </c>
    </row>
    <row r="64" spans="3:69" x14ac:dyDescent="0.2">
      <c r="C64" s="194"/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42361</v>
      </c>
      <c r="BD64" s="41">
        <f>_xll.qlDayCounterYearFraction(DayCounter,SettlementDate,BC64,,,Trigger)</f>
        <v>0.22777777777777777</v>
      </c>
      <c r="BE64" s="47" t="e">
        <f>_xll.qlPolynomialFunctionValue(BE$1,$BD64,AllTriggers)</f>
        <v>#VALUE!</v>
      </c>
      <c r="BF64" s="47" t="e">
        <f>_xll.qlPolynomialFunctionValue(BF$1,$BD64,AllTriggers)</f>
        <v>#VALUE!</v>
      </c>
      <c r="BG64" s="47" t="e">
        <f>_xll.qlPolynomialFunctionValue(BG$1,$BD64,AllTriggers)</f>
        <v>#VALUE!</v>
      </c>
      <c r="BH64" s="47" t="e">
        <f>_xll.qlPolynomialFunctionValue(BH$1,$BD64,AllTriggers)</f>
        <v>#VALUE!</v>
      </c>
      <c r="BI64" s="47" t="e">
        <f>_xll.qlPolynomialFunctionValue(BI$1,$BD64,AllTriggers)</f>
        <v>#VALUE!</v>
      </c>
      <c r="BJ64" s="47" t="e">
        <f>_xll.qlPolynomialFunctionValue(BJ$1,$BD64,AllTriggers)</f>
        <v>#VALUE!</v>
      </c>
      <c r="BK64" s="47" t="e">
        <f>_xll.qlPolynomialFunctionValue(BK$1,$BD64,AllTriggers)</f>
        <v>#VALUE!</v>
      </c>
      <c r="BL64" s="47" t="e">
        <f>_xll.qlPolynomialFunctionValue(BL$1,$BD64,AllTriggers)</f>
        <v>#VALUE!</v>
      </c>
      <c r="BM64" s="47" t="e">
        <f>_xll.qlPolynomialFunctionValue(BM$1,$BD64,AllTriggers)</f>
        <v>#VALUE!</v>
      </c>
      <c r="BN64" s="47" t="e">
        <f>_xll.qlPolynomialFunctionValue(BN$1,$BD64,AllTriggers)</f>
        <v>#VALUE!</v>
      </c>
      <c r="BO64" s="47" t="e">
        <f>_xll.qlPolynomialFunctionValue(BO$1,$BD64,AllTriggers)</f>
        <v>#VALUE!</v>
      </c>
      <c r="BP64" s="47" t="e">
        <f>_xll.qlPolynomialFunctionValue(BP$1,$BD64,AllTriggers)</f>
        <v>#VALUE!</v>
      </c>
      <c r="BQ64" s="47">
        <f>_xll.qlPolynomialFunctionValue('6MSynthDepo_used'!$P$18,BD64,AllTriggers)</f>
        <v>1.8159117604789323E-3</v>
      </c>
    </row>
    <row r="65" spans="3:69" x14ac:dyDescent="0.2">
      <c r="C65" s="194"/>
      <c r="D65" s="194"/>
      <c r="E65" s="195"/>
      <c r="H65" s="35"/>
      <c r="K65" s="55"/>
      <c r="L65" s="55"/>
      <c r="M65" s="55"/>
      <c r="N65" s="55"/>
      <c r="P65" s="35"/>
      <c r="Q65" s="35"/>
      <c r="R65" s="35"/>
      <c r="S65" s="35"/>
      <c r="BC65" s="178">
        <f>_xll.qlCalendarAdvance(Calendar,BC64,"1d","mf",,Trigger)</f>
        <v>42362</v>
      </c>
      <c r="BD65" s="41">
        <f>_xll.qlDayCounterYearFraction(DayCounter,SettlementDate,BC65,,,Trigger)</f>
        <v>0.23055555555555557</v>
      </c>
      <c r="BE65" s="47" t="e">
        <f>_xll.qlPolynomialFunctionValue(BE$1,$BD65,AllTriggers)</f>
        <v>#VALUE!</v>
      </c>
      <c r="BF65" s="47" t="e">
        <f>_xll.qlPolynomialFunctionValue(BF$1,$BD65,AllTriggers)</f>
        <v>#VALUE!</v>
      </c>
      <c r="BG65" s="47" t="e">
        <f>_xll.qlPolynomialFunctionValue(BG$1,$BD65,AllTriggers)</f>
        <v>#VALUE!</v>
      </c>
      <c r="BH65" s="47" t="e">
        <f>_xll.qlPolynomialFunctionValue(BH$1,$BD65,AllTriggers)</f>
        <v>#VALUE!</v>
      </c>
      <c r="BI65" s="47" t="e">
        <f>_xll.qlPolynomialFunctionValue(BI$1,$BD65,AllTriggers)</f>
        <v>#VALUE!</v>
      </c>
      <c r="BJ65" s="47" t="e">
        <f>_xll.qlPolynomialFunctionValue(BJ$1,$BD65,AllTriggers)</f>
        <v>#VALUE!</v>
      </c>
      <c r="BK65" s="47" t="e">
        <f>_xll.qlPolynomialFunctionValue(BK$1,$BD65,AllTriggers)</f>
        <v>#VALUE!</v>
      </c>
      <c r="BL65" s="47" t="e">
        <f>_xll.qlPolynomialFunctionValue(BL$1,$BD65,AllTriggers)</f>
        <v>#VALUE!</v>
      </c>
      <c r="BM65" s="47" t="e">
        <f>_xll.qlPolynomialFunctionValue(BM$1,$BD65,AllTriggers)</f>
        <v>#VALUE!</v>
      </c>
      <c r="BN65" s="47" t="e">
        <f>_xll.qlPolynomialFunctionValue(BN$1,$BD65,AllTriggers)</f>
        <v>#VALUE!</v>
      </c>
      <c r="BO65" s="47" t="e">
        <f>_xll.qlPolynomialFunctionValue(BO$1,$BD65,AllTriggers)</f>
        <v>#VALUE!</v>
      </c>
      <c r="BP65" s="47" t="e">
        <f>_xll.qlPolynomialFunctionValue(BP$1,$BD65,AllTriggers)</f>
        <v>#VALUE!</v>
      </c>
      <c r="BQ65" s="47">
        <f>_xll.qlPolynomialFunctionValue('6MSynthDepo_used'!$P$18,BD65,AllTriggers)</f>
        <v>1.8177820973036805E-3</v>
      </c>
    </row>
    <row r="66" spans="3:69" x14ac:dyDescent="0.2">
      <c r="C66" s="194"/>
      <c r="D66" s="194"/>
      <c r="E66" s="195"/>
      <c r="H66" s="35"/>
      <c r="K66" s="55"/>
      <c r="L66" s="55"/>
      <c r="M66" s="55"/>
      <c r="N66" s="55"/>
      <c r="P66" s="35"/>
      <c r="Q66" s="35"/>
      <c r="R66" s="35"/>
      <c r="S66" s="35"/>
      <c r="BC66" s="178">
        <f>_xll.qlCalendarAdvance(Calendar,BC65,"1d","mf",,Trigger)</f>
        <v>42366</v>
      </c>
      <c r="BD66" s="41">
        <f>_xll.qlDayCounterYearFraction(DayCounter,SettlementDate,BC66,,,Trigger)</f>
        <v>0.24166666666666667</v>
      </c>
      <c r="BE66" s="47" t="e">
        <f>_xll.qlPolynomialFunctionValue(BE$1,$BD66,AllTriggers)</f>
        <v>#VALUE!</v>
      </c>
      <c r="BF66" s="47" t="e">
        <f>_xll.qlPolynomialFunctionValue(BF$1,$BD66,AllTriggers)</f>
        <v>#VALUE!</v>
      </c>
      <c r="BG66" s="47" t="e">
        <f>_xll.qlPolynomialFunctionValue(BG$1,$BD66,AllTriggers)</f>
        <v>#VALUE!</v>
      </c>
      <c r="BH66" s="47" t="e">
        <f>_xll.qlPolynomialFunctionValue(BH$1,$BD66,AllTriggers)</f>
        <v>#VALUE!</v>
      </c>
      <c r="BI66" s="47" t="e">
        <f>_xll.qlPolynomialFunctionValue(BI$1,$BD66,AllTriggers)</f>
        <v>#VALUE!</v>
      </c>
      <c r="BJ66" s="47" t="e">
        <f>_xll.qlPolynomialFunctionValue(BJ$1,$BD66,AllTriggers)</f>
        <v>#VALUE!</v>
      </c>
      <c r="BK66" s="47" t="e">
        <f>_xll.qlPolynomialFunctionValue(BK$1,$BD66,AllTriggers)</f>
        <v>#VALUE!</v>
      </c>
      <c r="BL66" s="47" t="e">
        <f>_xll.qlPolynomialFunctionValue(BL$1,$BD66,AllTriggers)</f>
        <v>#VALUE!</v>
      </c>
      <c r="BM66" s="47" t="e">
        <f>_xll.qlPolynomialFunctionValue(BM$1,$BD66,AllTriggers)</f>
        <v>#VALUE!</v>
      </c>
      <c r="BN66" s="47" t="e">
        <f>_xll.qlPolynomialFunctionValue(BN$1,$BD66,AllTriggers)</f>
        <v>#VALUE!</v>
      </c>
      <c r="BO66" s="47" t="e">
        <f>_xll.qlPolynomialFunctionValue(BO$1,$BD66,AllTriggers)</f>
        <v>#VALUE!</v>
      </c>
      <c r="BP66" s="47" t="e">
        <f>_xll.qlPolynomialFunctionValue(BP$1,$BD66,AllTriggers)</f>
        <v>#VALUE!</v>
      </c>
      <c r="BQ66" s="47">
        <f>_xll.qlPolynomialFunctionValue('6MSynthDepo_used'!$P$18,BD66,AllTriggers)</f>
        <v>1.825211854857561E-3</v>
      </c>
    </row>
    <row r="67" spans="3:69" x14ac:dyDescent="0.2">
      <c r="C67" s="194"/>
      <c r="D67" s="194"/>
      <c r="E67" s="195"/>
      <c r="H67" s="35"/>
      <c r="K67" s="55"/>
      <c r="L67" s="55"/>
      <c r="M67" s="55"/>
      <c r="N67" s="55"/>
      <c r="P67" s="35"/>
      <c r="Q67" s="35"/>
      <c r="R67" s="35"/>
      <c r="S67" s="35"/>
      <c r="BC67" s="178">
        <f>_xll.qlCalendarAdvance(Calendar,BC66,"1d","mf",,Trigger)</f>
        <v>42367</v>
      </c>
      <c r="BD67" s="41">
        <f>_xll.qlDayCounterYearFraction(DayCounter,SettlementDate,BC67,,,Trigger)</f>
        <v>0.24444444444444444</v>
      </c>
      <c r="BE67" s="47" t="e">
        <f>_xll.qlPolynomialFunctionValue(BE$1,$BD67,AllTriggers)</f>
        <v>#VALUE!</v>
      </c>
      <c r="BF67" s="47" t="e">
        <f>_xll.qlPolynomialFunctionValue(BF$1,$BD67,AllTriggers)</f>
        <v>#VALUE!</v>
      </c>
      <c r="BG67" s="47" t="e">
        <f>_xll.qlPolynomialFunctionValue(BG$1,$BD67,AllTriggers)</f>
        <v>#VALUE!</v>
      </c>
      <c r="BH67" s="47" t="e">
        <f>_xll.qlPolynomialFunctionValue(BH$1,$BD67,AllTriggers)</f>
        <v>#VALUE!</v>
      </c>
      <c r="BI67" s="47" t="e">
        <f>_xll.qlPolynomialFunctionValue(BI$1,$BD67,AllTriggers)</f>
        <v>#VALUE!</v>
      </c>
      <c r="BJ67" s="47" t="e">
        <f>_xll.qlPolynomialFunctionValue(BJ$1,$BD67,AllTriggers)</f>
        <v>#VALUE!</v>
      </c>
      <c r="BK67" s="47" t="e">
        <f>_xll.qlPolynomialFunctionValue(BK$1,$BD67,AllTriggers)</f>
        <v>#VALUE!</v>
      </c>
      <c r="BL67" s="47" t="e">
        <f>_xll.qlPolynomialFunctionValue(BL$1,$BD67,AllTriggers)</f>
        <v>#VALUE!</v>
      </c>
      <c r="BM67" s="47" t="e">
        <f>_xll.qlPolynomialFunctionValue(BM$1,$BD67,AllTriggers)</f>
        <v>#VALUE!</v>
      </c>
      <c r="BN67" s="47" t="e">
        <f>_xll.qlPolynomialFunctionValue(BN$1,$BD67,AllTriggers)</f>
        <v>#VALUE!</v>
      </c>
      <c r="BO67" s="47" t="e">
        <f>_xll.qlPolynomialFunctionValue(BO$1,$BD67,AllTriggers)</f>
        <v>#VALUE!</v>
      </c>
      <c r="BP67" s="47" t="e">
        <f>_xll.qlPolynomialFunctionValue(BP$1,$BD67,AllTriggers)</f>
        <v>#VALUE!</v>
      </c>
      <c r="BQ67" s="47">
        <f>_xll.qlPolynomialFunctionValue('6MSynthDepo_used'!$P$18,BD67,AllTriggers)</f>
        <v>1.8270564739328763E-3</v>
      </c>
    </row>
    <row r="68" spans="3:69" x14ac:dyDescent="0.2">
      <c r="C68" s="194"/>
      <c r="D68" s="194"/>
      <c r="E68" s="195"/>
      <c r="H68" s="35"/>
      <c r="K68" s="55"/>
      <c r="L68" s="55"/>
      <c r="M68" s="55"/>
      <c r="N68" s="55"/>
      <c r="P68" s="35"/>
      <c r="Q68" s="35"/>
      <c r="R68" s="35"/>
      <c r="S68" s="35"/>
      <c r="BC68" s="178">
        <f>_xll.qlCalendarAdvance(Calendar,BC67,"1d","mf",,Trigger)</f>
        <v>42368</v>
      </c>
      <c r="BD68" s="41">
        <f>_xll.qlDayCounterYearFraction(DayCounter,SettlementDate,BC68,,,Trigger)</f>
        <v>0.24722222222222223</v>
      </c>
      <c r="BE68" s="47" t="e">
        <f>_xll.qlPolynomialFunctionValue(BE$1,$BD68,AllTriggers)</f>
        <v>#VALUE!</v>
      </c>
      <c r="BF68" s="47" t="e">
        <f>_xll.qlPolynomialFunctionValue(BF$1,$BD68,AllTriggers)</f>
        <v>#VALUE!</v>
      </c>
      <c r="BG68" s="47" t="e">
        <f>_xll.qlPolynomialFunctionValue(BG$1,$BD68,AllTriggers)</f>
        <v>#VALUE!</v>
      </c>
      <c r="BH68" s="47" t="e">
        <f>_xll.qlPolynomialFunctionValue(BH$1,$BD68,AllTriggers)</f>
        <v>#VALUE!</v>
      </c>
      <c r="BI68" s="47" t="e">
        <f>_xll.qlPolynomialFunctionValue(BI$1,$BD68,AllTriggers)</f>
        <v>#VALUE!</v>
      </c>
      <c r="BJ68" s="47" t="e">
        <f>_xll.qlPolynomialFunctionValue(BJ$1,$BD68,AllTriggers)</f>
        <v>#VALUE!</v>
      </c>
      <c r="BK68" s="47" t="e">
        <f>_xll.qlPolynomialFunctionValue(BK$1,$BD68,AllTriggers)</f>
        <v>#VALUE!</v>
      </c>
      <c r="BL68" s="47" t="e">
        <f>_xll.qlPolynomialFunctionValue(BL$1,$BD68,AllTriggers)</f>
        <v>#VALUE!</v>
      </c>
      <c r="BM68" s="47" t="e">
        <f>_xll.qlPolynomialFunctionValue(BM$1,$BD68,AllTriggers)</f>
        <v>#VALUE!</v>
      </c>
      <c r="BN68" s="47" t="e">
        <f>_xll.qlPolynomialFunctionValue(BN$1,$BD68,AllTriggers)</f>
        <v>#VALUE!</v>
      </c>
      <c r="BO68" s="47" t="e">
        <f>_xll.qlPolynomialFunctionValue(BO$1,$BD68,AllTriggers)</f>
        <v>#VALUE!</v>
      </c>
      <c r="BP68" s="47" t="e">
        <f>_xll.qlPolynomialFunctionValue(BP$1,$BD68,AllTriggers)</f>
        <v>#VALUE!</v>
      </c>
      <c r="BQ68" s="47">
        <f>_xll.qlPolynomialFunctionValue('6MSynthDepo_used'!$P$18,BD68,AllTriggers)</f>
        <v>1.8288959957321791E-3</v>
      </c>
    </row>
    <row r="69" spans="3:69" x14ac:dyDescent="0.2">
      <c r="C69" s="194"/>
      <c r="D69" s="194"/>
      <c r="E69" s="195"/>
      <c r="G69" s="196"/>
      <c r="H69" s="35"/>
      <c r="J69" s="196"/>
      <c r="K69" s="55"/>
      <c r="L69" s="55"/>
      <c r="M69" s="55"/>
      <c r="N69" s="55"/>
      <c r="P69" s="35"/>
      <c r="Q69" s="35"/>
      <c r="R69" s="35"/>
      <c r="S69" s="35"/>
      <c r="BC69" s="178">
        <f>_xll.qlCalendarAdvance(Calendar,BC68,"1d","mf",,Trigger)</f>
        <v>42369</v>
      </c>
      <c r="BD69" s="41">
        <f>_xll.qlDayCounterYearFraction(DayCounter,SettlementDate,BC69,,,Trigger)</f>
        <v>0.25</v>
      </c>
      <c r="BE69" s="47" t="e">
        <f>_xll.qlPolynomialFunctionValue(BE$1,$BD69,AllTriggers)</f>
        <v>#VALUE!</v>
      </c>
      <c r="BF69" s="47" t="e">
        <f>_xll.qlPolynomialFunctionValue(BF$1,$BD69,AllTriggers)</f>
        <v>#VALUE!</v>
      </c>
      <c r="BG69" s="47" t="e">
        <f>_xll.qlPolynomialFunctionValue(BG$1,$BD69,AllTriggers)</f>
        <v>#VALUE!</v>
      </c>
      <c r="BH69" s="47" t="e">
        <f>_xll.qlPolynomialFunctionValue(BH$1,$BD69,AllTriggers)</f>
        <v>#VALUE!</v>
      </c>
      <c r="BI69" s="47" t="e">
        <f>_xll.qlPolynomialFunctionValue(BI$1,$BD69,AllTriggers)</f>
        <v>#VALUE!</v>
      </c>
      <c r="BJ69" s="47" t="e">
        <f>_xll.qlPolynomialFunctionValue(BJ$1,$BD69,AllTriggers)</f>
        <v>#VALUE!</v>
      </c>
      <c r="BK69" s="47" t="e">
        <f>_xll.qlPolynomialFunctionValue(BK$1,$BD69,AllTriggers)</f>
        <v>#VALUE!</v>
      </c>
      <c r="BL69" s="47" t="e">
        <f>_xll.qlPolynomialFunctionValue(BL$1,$BD69,AllTriggers)</f>
        <v>#VALUE!</v>
      </c>
      <c r="BM69" s="47" t="e">
        <f>_xll.qlPolynomialFunctionValue(BM$1,$BD69,AllTriggers)</f>
        <v>#VALUE!</v>
      </c>
      <c r="BN69" s="47" t="e">
        <f>_xll.qlPolynomialFunctionValue(BN$1,$BD69,AllTriggers)</f>
        <v>#VALUE!</v>
      </c>
      <c r="BO69" s="47" t="e">
        <f>_xll.qlPolynomialFunctionValue(BO$1,$BD69,AllTriggers)</f>
        <v>#VALUE!</v>
      </c>
      <c r="BP69" s="47" t="e">
        <f>_xll.qlPolynomialFunctionValue(BP$1,$BD69,AllTriggers)</f>
        <v>#VALUE!</v>
      </c>
      <c r="BQ69" s="47">
        <f>_xll.qlPolynomialFunctionValue('6MSynthDepo_used'!$P$18,BD69,AllTriggers)</f>
        <v>1.8307304356800936E-3</v>
      </c>
    </row>
    <row r="70" spans="3:69" x14ac:dyDescent="0.2">
      <c r="C70" s="194"/>
      <c r="D70" s="194"/>
      <c r="E70" s="195"/>
      <c r="H70" s="35"/>
      <c r="K70" s="55"/>
      <c r="L70" s="55"/>
      <c r="M70" s="55"/>
      <c r="N70" s="55"/>
      <c r="P70" s="35"/>
      <c r="Q70" s="35"/>
      <c r="R70" s="35"/>
      <c r="S70" s="35"/>
      <c r="T70" s="35"/>
      <c r="BC70" s="178">
        <f>_xll.qlCalendarAdvance(Calendar,BC69,"1d","mf",,Trigger)</f>
        <v>42373</v>
      </c>
      <c r="BD70" s="41">
        <f>_xll.qlDayCounterYearFraction(DayCounter,SettlementDate,BC70,,,Trigger)</f>
        <v>0.26111111111111113</v>
      </c>
      <c r="BE70" s="47" t="e">
        <f>_xll.qlPolynomialFunctionValue(BE$1,$BD70,AllTriggers)</f>
        <v>#VALUE!</v>
      </c>
      <c r="BF70" s="47" t="e">
        <f>_xll.qlPolynomialFunctionValue(BF$1,$BD70,AllTriggers)</f>
        <v>#VALUE!</v>
      </c>
      <c r="BG70" s="47" t="e">
        <f>_xll.qlPolynomialFunctionValue(BG$1,$BD70,AllTriggers)</f>
        <v>#VALUE!</v>
      </c>
      <c r="BH70" s="47" t="e">
        <f>_xll.qlPolynomialFunctionValue(BH$1,$BD70,AllTriggers)</f>
        <v>#VALUE!</v>
      </c>
      <c r="BI70" s="47" t="e">
        <f>_xll.qlPolynomialFunctionValue(BI$1,$BD70,AllTriggers)</f>
        <v>#VALUE!</v>
      </c>
      <c r="BJ70" s="47" t="e">
        <f>_xll.qlPolynomialFunctionValue(BJ$1,$BD70,AllTriggers)</f>
        <v>#VALUE!</v>
      </c>
      <c r="BK70" s="47" t="e">
        <f>_xll.qlPolynomialFunctionValue(BK$1,$BD70,AllTriggers)</f>
        <v>#VALUE!</v>
      </c>
      <c r="BL70" s="47" t="e">
        <f>_xll.qlPolynomialFunctionValue(BL$1,$BD70,AllTriggers)</f>
        <v>#VALUE!</v>
      </c>
      <c r="BM70" s="47" t="e">
        <f>_xll.qlPolynomialFunctionValue(BM$1,$BD70,AllTriggers)</f>
        <v>#VALUE!</v>
      </c>
      <c r="BN70" s="47" t="e">
        <f>_xll.qlPolynomialFunctionValue(BN$1,$BD70,AllTriggers)</f>
        <v>#VALUE!</v>
      </c>
      <c r="BO70" s="47" t="e">
        <f>_xll.qlPolynomialFunctionValue(BO$1,$BD70,AllTriggers)</f>
        <v>#VALUE!</v>
      </c>
      <c r="BP70" s="47" t="e">
        <f>_xll.qlPolynomialFunctionValue(BP$1,$BD70,AllTriggers)</f>
        <v>#VALUE!</v>
      </c>
      <c r="BQ70" s="47">
        <f>_xll.qlPolynomialFunctionValue('6MSynthDepo_used'!$P$18,BD70,AllTriggers)</f>
        <v>1.8380176854503657E-3</v>
      </c>
    </row>
    <row r="71" spans="3:69" x14ac:dyDescent="0.2">
      <c r="C71" s="194"/>
      <c r="D71" s="194"/>
      <c r="K71" s="55"/>
      <c r="L71" s="55"/>
      <c r="M71" s="55"/>
      <c r="N71" s="55"/>
      <c r="S71" s="35"/>
      <c r="T71" s="35"/>
      <c r="BC71" s="178">
        <f>_xll.qlCalendarAdvance(Calendar,BC70,"1d","mf",,Trigger)</f>
        <v>42374</v>
      </c>
      <c r="BD71" s="41">
        <f>_xll.qlDayCounterYearFraction(DayCounter,SettlementDate,BC71,,,Trigger)</f>
        <v>0.2638888888888889</v>
      </c>
      <c r="BE71" s="47" t="e">
        <f>_xll.qlPolynomialFunctionValue(BE$1,$BD71,AllTriggers)</f>
        <v>#VALUE!</v>
      </c>
      <c r="BF71" s="47" t="e">
        <f>_xll.qlPolynomialFunctionValue(BF$1,$BD71,AllTriggers)</f>
        <v>#VALUE!</v>
      </c>
      <c r="BG71" s="47" t="e">
        <f>_xll.qlPolynomialFunctionValue(BG$1,$BD71,AllTriggers)</f>
        <v>#VALUE!</v>
      </c>
      <c r="BH71" s="47" t="e">
        <f>_xll.qlPolynomialFunctionValue(BH$1,$BD71,AllTriggers)</f>
        <v>#VALUE!</v>
      </c>
      <c r="BI71" s="47" t="e">
        <f>_xll.qlPolynomialFunctionValue(BI$1,$BD71,AllTriggers)</f>
        <v>#VALUE!</v>
      </c>
      <c r="BJ71" s="47" t="e">
        <f>_xll.qlPolynomialFunctionValue(BJ$1,$BD71,AllTriggers)</f>
        <v>#VALUE!</v>
      </c>
      <c r="BK71" s="47" t="e">
        <f>_xll.qlPolynomialFunctionValue(BK$1,$BD71,AllTriggers)</f>
        <v>#VALUE!</v>
      </c>
      <c r="BL71" s="47" t="e">
        <f>_xll.qlPolynomialFunctionValue(BL$1,$BD71,AllTriggers)</f>
        <v>#VALUE!</v>
      </c>
      <c r="BM71" s="47" t="e">
        <f>_xll.qlPolynomialFunctionValue(BM$1,$BD71,AllTriggers)</f>
        <v>#VALUE!</v>
      </c>
      <c r="BN71" s="47" t="e">
        <f>_xll.qlPolynomialFunctionValue(BN$1,$BD71,AllTriggers)</f>
        <v>#VALUE!</v>
      </c>
      <c r="BO71" s="47" t="e">
        <f>_xll.qlPolynomialFunctionValue(BO$1,$BD71,AllTriggers)</f>
        <v>#VALUE!</v>
      </c>
      <c r="BP71" s="47" t="e">
        <f>_xll.qlPolynomialFunctionValue(BP$1,$BD71,AllTriggers)</f>
        <v>#VALUE!</v>
      </c>
      <c r="BQ71" s="47">
        <f>_xll.qlPolynomialFunctionValue('6MSynthDepo_used'!$P$18,BD71,AllTriggers)</f>
        <v>1.8398269475107104E-3</v>
      </c>
    </row>
    <row r="72" spans="3:69" x14ac:dyDescent="0.2">
      <c r="C72" s="194"/>
      <c r="D72" s="194"/>
      <c r="K72" s="55"/>
      <c r="L72" s="55"/>
      <c r="M72" s="55"/>
      <c r="N72" s="55"/>
      <c r="S72" s="35"/>
      <c r="T72" s="35"/>
      <c r="BC72" s="178">
        <f>_xll.qlCalendarAdvance(Calendar,BC71,"1d","mf",,Trigger)</f>
        <v>42375</v>
      </c>
      <c r="BD72" s="41">
        <f>_xll.qlDayCounterYearFraction(DayCounter,SettlementDate,BC72,,,Trigger)</f>
        <v>0.26666666666666666</v>
      </c>
      <c r="BE72" s="47" t="e">
        <f>_xll.qlPolynomialFunctionValue(BE$1,$BD72,AllTriggers)</f>
        <v>#VALUE!</v>
      </c>
      <c r="BF72" s="47" t="e">
        <f>_xll.qlPolynomialFunctionValue(BF$1,$BD72,AllTriggers)</f>
        <v>#VALUE!</v>
      </c>
      <c r="BG72" s="47" t="e">
        <f>_xll.qlPolynomialFunctionValue(BG$1,$BD72,AllTriggers)</f>
        <v>#VALUE!</v>
      </c>
      <c r="BH72" s="47" t="e">
        <f>_xll.qlPolynomialFunctionValue(BH$1,$BD72,AllTriggers)</f>
        <v>#VALUE!</v>
      </c>
      <c r="BI72" s="47" t="e">
        <f>_xll.qlPolynomialFunctionValue(BI$1,$BD72,AllTriggers)</f>
        <v>#VALUE!</v>
      </c>
      <c r="BJ72" s="47" t="e">
        <f>_xll.qlPolynomialFunctionValue(BJ$1,$BD72,AllTriggers)</f>
        <v>#VALUE!</v>
      </c>
      <c r="BK72" s="47" t="e">
        <f>_xll.qlPolynomialFunctionValue(BK$1,$BD72,AllTriggers)</f>
        <v>#VALUE!</v>
      </c>
      <c r="BL72" s="47" t="e">
        <f>_xll.qlPolynomialFunctionValue(BL$1,$BD72,AllTriggers)</f>
        <v>#VALUE!</v>
      </c>
      <c r="BM72" s="47" t="e">
        <f>_xll.qlPolynomialFunctionValue(BM$1,$BD72,AllTriggers)</f>
        <v>#VALUE!</v>
      </c>
      <c r="BN72" s="47" t="e">
        <f>_xll.qlPolynomialFunctionValue(BN$1,$BD72,AllTriggers)</f>
        <v>#VALUE!</v>
      </c>
      <c r="BO72" s="47" t="e">
        <f>_xll.qlPolynomialFunctionValue(BO$1,$BD72,AllTriggers)</f>
        <v>#VALUE!</v>
      </c>
      <c r="BP72" s="47" t="e">
        <f>_xll.qlPolynomialFunctionValue(BP$1,$BD72,AllTriggers)</f>
        <v>#VALUE!</v>
      </c>
      <c r="BQ72" s="47">
        <f>_xll.qlPolynomialFunctionValue('6MSynthDepo_used'!$P$18,BD72,AllTriggers)</f>
        <v>1.841631220267415E-3</v>
      </c>
    </row>
    <row r="73" spans="3:69" ht="11.25" customHeight="1" x14ac:dyDescent="0.2">
      <c r="C73" s="194"/>
      <c r="D73" s="194"/>
      <c r="K73" s="55"/>
      <c r="L73" s="55"/>
      <c r="M73" s="55"/>
      <c r="N73" s="55"/>
      <c r="S73" s="35"/>
      <c r="T73" s="35"/>
      <c r="BC73" s="178">
        <f>_xll.qlCalendarAdvance(Calendar,BC72,"1d","mf",,Trigger)</f>
        <v>42376</v>
      </c>
      <c r="BD73" s="41">
        <f>_xll.qlDayCounterYearFraction(DayCounter,SettlementDate,BC73,,,Trigger)</f>
        <v>0.26944444444444443</v>
      </c>
      <c r="BE73" s="47" t="e">
        <f>_xll.qlPolynomialFunctionValue(BE$1,$BD73,AllTriggers)</f>
        <v>#VALUE!</v>
      </c>
      <c r="BF73" s="47" t="e">
        <f>_xll.qlPolynomialFunctionValue(BF$1,$BD73,AllTriggers)</f>
        <v>#VALUE!</v>
      </c>
      <c r="BG73" s="47" t="e">
        <f>_xll.qlPolynomialFunctionValue(BG$1,$BD73,AllTriggers)</f>
        <v>#VALUE!</v>
      </c>
      <c r="BH73" s="47" t="e">
        <f>_xll.qlPolynomialFunctionValue(BH$1,$BD73,AllTriggers)</f>
        <v>#VALUE!</v>
      </c>
      <c r="BI73" s="47" t="e">
        <f>_xll.qlPolynomialFunctionValue(BI$1,$BD73,AllTriggers)</f>
        <v>#VALUE!</v>
      </c>
      <c r="BJ73" s="47" t="e">
        <f>_xll.qlPolynomialFunctionValue(BJ$1,$BD73,AllTriggers)</f>
        <v>#VALUE!</v>
      </c>
      <c r="BK73" s="47" t="e">
        <f>_xll.qlPolynomialFunctionValue(BK$1,$BD73,AllTriggers)</f>
        <v>#VALUE!</v>
      </c>
      <c r="BL73" s="47" t="e">
        <f>_xll.qlPolynomialFunctionValue(BL$1,$BD73,AllTriggers)</f>
        <v>#VALUE!</v>
      </c>
      <c r="BM73" s="47" t="e">
        <f>_xll.qlPolynomialFunctionValue(BM$1,$BD73,AllTriggers)</f>
        <v>#VALUE!</v>
      </c>
      <c r="BN73" s="47" t="e">
        <f>_xll.qlPolynomialFunctionValue(BN$1,$BD73,AllTriggers)</f>
        <v>#VALUE!</v>
      </c>
      <c r="BO73" s="47" t="e">
        <f>_xll.qlPolynomialFunctionValue(BO$1,$BD73,AllTriggers)</f>
        <v>#VALUE!</v>
      </c>
      <c r="BP73" s="47" t="e">
        <f>_xll.qlPolynomialFunctionValue(BP$1,$BD73,AllTriggers)</f>
        <v>#VALUE!</v>
      </c>
      <c r="BQ73" s="47">
        <f>_xll.qlPolynomialFunctionValue('6MSynthDepo_used'!$P$18,BD73,AllTriggers)</f>
        <v>1.8434305191451039E-3</v>
      </c>
    </row>
    <row r="74" spans="3:69" x14ac:dyDescent="0.2">
      <c r="C74" s="194"/>
      <c r="D74" s="194"/>
      <c r="K74" s="55"/>
      <c r="L74" s="55"/>
      <c r="M74" s="55"/>
      <c r="N74" s="55"/>
      <c r="S74" s="35"/>
      <c r="T74" s="35"/>
      <c r="BC74" s="178">
        <f>_xll.qlCalendarAdvance(Calendar,BC73,"1d","mf",,Trigger)</f>
        <v>42377</v>
      </c>
      <c r="BD74" s="41">
        <f>_xll.qlDayCounterYearFraction(DayCounter,SettlementDate,BC74,,,Trigger)</f>
        <v>0.2722222222222222</v>
      </c>
      <c r="BE74" s="47" t="e">
        <f>_xll.qlPolynomialFunctionValue(BE$1,$BD74,AllTriggers)</f>
        <v>#VALUE!</v>
      </c>
      <c r="BF74" s="47" t="e">
        <f>_xll.qlPolynomialFunctionValue(BF$1,$BD74,AllTriggers)</f>
        <v>#VALUE!</v>
      </c>
      <c r="BG74" s="47" t="e">
        <f>_xll.qlPolynomialFunctionValue(BG$1,$BD74,AllTriggers)</f>
        <v>#VALUE!</v>
      </c>
      <c r="BH74" s="47" t="e">
        <f>_xll.qlPolynomialFunctionValue(BH$1,$BD74,AllTriggers)</f>
        <v>#VALUE!</v>
      </c>
      <c r="BI74" s="47" t="e">
        <f>_xll.qlPolynomialFunctionValue(BI$1,$BD74,AllTriggers)</f>
        <v>#VALUE!</v>
      </c>
      <c r="BJ74" s="47" t="e">
        <f>_xll.qlPolynomialFunctionValue(BJ$1,$BD74,AllTriggers)</f>
        <v>#VALUE!</v>
      </c>
      <c r="BK74" s="47" t="e">
        <f>_xll.qlPolynomialFunctionValue(BK$1,$BD74,AllTriggers)</f>
        <v>#VALUE!</v>
      </c>
      <c r="BL74" s="47" t="e">
        <f>_xll.qlPolynomialFunctionValue(BL$1,$BD74,AllTriggers)</f>
        <v>#VALUE!</v>
      </c>
      <c r="BM74" s="47" t="e">
        <f>_xll.qlPolynomialFunctionValue(BM$1,$BD74,AllTriggers)</f>
        <v>#VALUE!</v>
      </c>
      <c r="BN74" s="47" t="e">
        <f>_xll.qlPolynomialFunctionValue(BN$1,$BD74,AllTriggers)</f>
        <v>#VALUE!</v>
      </c>
      <c r="BO74" s="47" t="e">
        <f>_xll.qlPolynomialFunctionValue(BO$1,$BD74,AllTriggers)</f>
        <v>#VALUE!</v>
      </c>
      <c r="BP74" s="47" t="e">
        <f>_xll.qlPolynomialFunctionValue(BP$1,$BD74,AllTriggers)</f>
        <v>#VALUE!</v>
      </c>
      <c r="BQ74" s="47">
        <f>_xll.qlPolynomialFunctionValue('6MSynthDepo_used'!$P$18,BD74,AllTriggers)</f>
        <v>1.8452248595684025E-3</v>
      </c>
    </row>
    <row r="75" spans="3:69" x14ac:dyDescent="0.2">
      <c r="C75" s="194"/>
      <c r="D75" s="194"/>
      <c r="K75" s="55"/>
      <c r="L75" s="55"/>
      <c r="M75" s="55"/>
      <c r="N75" s="55"/>
      <c r="S75" s="35"/>
      <c r="T75" s="35"/>
      <c r="BC75" s="178">
        <f>_xll.qlCalendarAdvance(Calendar,BC74,"1d","mf",,Trigger)</f>
        <v>42380</v>
      </c>
      <c r="BD75" s="41">
        <f>_xll.qlDayCounterYearFraction(DayCounter,SettlementDate,BC75,,,Trigger)</f>
        <v>0.28055555555555556</v>
      </c>
      <c r="BE75" s="47" t="e">
        <f>_xll.qlPolynomialFunctionValue(BE$1,$BD75,AllTriggers)</f>
        <v>#VALUE!</v>
      </c>
      <c r="BF75" s="47" t="e">
        <f>_xll.qlPolynomialFunctionValue(BF$1,$BD75,AllTriggers)</f>
        <v>#VALUE!</v>
      </c>
      <c r="BG75" s="47" t="e">
        <f>_xll.qlPolynomialFunctionValue(BG$1,$BD75,AllTriggers)</f>
        <v>#VALUE!</v>
      </c>
      <c r="BH75" s="47" t="e">
        <f>_xll.qlPolynomialFunctionValue(BH$1,$BD75,AllTriggers)</f>
        <v>#VALUE!</v>
      </c>
      <c r="BI75" s="47" t="e">
        <f>_xll.qlPolynomialFunctionValue(BI$1,$BD75,AllTriggers)</f>
        <v>#VALUE!</v>
      </c>
      <c r="BJ75" s="47" t="e">
        <f>_xll.qlPolynomialFunctionValue(BJ$1,$BD75,AllTriggers)</f>
        <v>#VALUE!</v>
      </c>
      <c r="BK75" s="47" t="e">
        <f>_xll.qlPolynomialFunctionValue(BK$1,$BD75,AllTriggers)</f>
        <v>#VALUE!</v>
      </c>
      <c r="BL75" s="47" t="e">
        <f>_xll.qlPolynomialFunctionValue(BL$1,$BD75,AllTriggers)</f>
        <v>#VALUE!</v>
      </c>
      <c r="BM75" s="47" t="e">
        <f>_xll.qlPolynomialFunctionValue(BM$1,$BD75,AllTriggers)</f>
        <v>#VALUE!</v>
      </c>
      <c r="BN75" s="47" t="e">
        <f>_xll.qlPolynomialFunctionValue(BN$1,$BD75,AllTriggers)</f>
        <v>#VALUE!</v>
      </c>
      <c r="BO75" s="47" t="e">
        <f>_xll.qlPolynomialFunctionValue(BO$1,$BD75,AllTriggers)</f>
        <v>#VALUE!</v>
      </c>
      <c r="BP75" s="47" t="e">
        <f>_xll.qlPolynomialFunctionValue(BP$1,$BD75,AllTriggers)</f>
        <v>#VALUE!</v>
      </c>
      <c r="BQ75" s="47">
        <f>_xll.qlPolynomialFunctionValue('6MSynthDepo_used'!$P$18,BD75,AllTriggers)</f>
        <v>1.8505782843581992E-3</v>
      </c>
    </row>
    <row r="76" spans="3:69" x14ac:dyDescent="0.2">
      <c r="C76" s="194"/>
      <c r="D76" s="194"/>
      <c r="K76" s="55"/>
      <c r="L76" s="55"/>
      <c r="M76" s="55"/>
      <c r="N76" s="55"/>
      <c r="S76" s="35"/>
      <c r="BC76" s="178">
        <f>_xll.qlCalendarAdvance(Calendar,BC75,"1d","mf",,Trigger)</f>
        <v>42381</v>
      </c>
      <c r="BD76" s="41">
        <f>_xll.qlDayCounterYearFraction(DayCounter,SettlementDate,BC76,,,Trigger)</f>
        <v>0.28333333333333333</v>
      </c>
      <c r="BE76" s="47" t="e">
        <f>_xll.qlPolynomialFunctionValue(BE$1,$BD76,AllTriggers)</f>
        <v>#VALUE!</v>
      </c>
      <c r="BF76" s="47" t="e">
        <f>_xll.qlPolynomialFunctionValue(BF$1,$BD76,AllTriggers)</f>
        <v>#VALUE!</v>
      </c>
      <c r="BG76" s="47" t="e">
        <f>_xll.qlPolynomialFunctionValue(BG$1,$BD76,AllTriggers)</f>
        <v>#VALUE!</v>
      </c>
      <c r="BH76" s="47" t="e">
        <f>_xll.qlPolynomialFunctionValue(BH$1,$BD76,AllTriggers)</f>
        <v>#VALUE!</v>
      </c>
      <c r="BI76" s="47" t="e">
        <f>_xll.qlPolynomialFunctionValue(BI$1,$BD76,AllTriggers)</f>
        <v>#VALUE!</v>
      </c>
      <c r="BJ76" s="47" t="e">
        <f>_xll.qlPolynomialFunctionValue(BJ$1,$BD76,AllTriggers)</f>
        <v>#VALUE!</v>
      </c>
      <c r="BK76" s="47" t="e">
        <f>_xll.qlPolynomialFunctionValue(BK$1,$BD76,AllTriggers)</f>
        <v>#VALUE!</v>
      </c>
      <c r="BL76" s="47" t="e">
        <f>_xll.qlPolynomialFunctionValue(BL$1,$BD76,AllTriggers)</f>
        <v>#VALUE!</v>
      </c>
      <c r="BM76" s="47" t="e">
        <f>_xll.qlPolynomialFunctionValue(BM$1,$BD76,AllTriggers)</f>
        <v>#VALUE!</v>
      </c>
      <c r="BN76" s="47" t="e">
        <f>_xll.qlPolynomialFunctionValue(BN$1,$BD76,AllTriggers)</f>
        <v>#VALUE!</v>
      </c>
      <c r="BO76" s="47" t="e">
        <f>_xll.qlPolynomialFunctionValue(BO$1,$BD76,AllTriggers)</f>
        <v>#VALUE!</v>
      </c>
      <c r="BP76" s="47" t="e">
        <f>_xll.qlPolynomialFunctionValue(BP$1,$BD76,AllTriggers)</f>
        <v>#VALUE!</v>
      </c>
      <c r="BQ76" s="47">
        <f>_xll.qlPolynomialFunctionValue('6MSynthDepo_used'!$P$18,BD76,AllTriggers)</f>
        <v>1.8523529452101812E-3</v>
      </c>
    </row>
    <row r="77" spans="3:69" x14ac:dyDescent="0.2">
      <c r="K77" s="55"/>
      <c r="L77" s="55"/>
      <c r="M77" s="55"/>
      <c r="N77" s="55"/>
      <c r="S77" s="35"/>
      <c r="BC77" s="178">
        <f>_xll.qlCalendarAdvance(Calendar,BC76,"1d","mf",,Trigger)</f>
        <v>42382</v>
      </c>
      <c r="BD77" s="41">
        <f>_xll.qlDayCounterYearFraction(DayCounter,SettlementDate,BC77,,,Trigger)</f>
        <v>0.28611111111111109</v>
      </c>
      <c r="BE77" s="47" t="e">
        <f>_xll.qlPolynomialFunctionValue(BE$1,$BD77,AllTriggers)</f>
        <v>#VALUE!</v>
      </c>
      <c r="BF77" s="47" t="e">
        <f>_xll.qlPolynomialFunctionValue(BF$1,$BD77,AllTriggers)</f>
        <v>#VALUE!</v>
      </c>
      <c r="BG77" s="47" t="e">
        <f>_xll.qlPolynomialFunctionValue(BG$1,$BD77,AllTriggers)</f>
        <v>#VALUE!</v>
      </c>
      <c r="BH77" s="47" t="e">
        <f>_xll.qlPolynomialFunctionValue(BH$1,$BD77,AllTriggers)</f>
        <v>#VALUE!</v>
      </c>
      <c r="BI77" s="47" t="e">
        <f>_xll.qlPolynomialFunctionValue(BI$1,$BD77,AllTriggers)</f>
        <v>#VALUE!</v>
      </c>
      <c r="BJ77" s="47" t="e">
        <f>_xll.qlPolynomialFunctionValue(BJ$1,$BD77,AllTriggers)</f>
        <v>#VALUE!</v>
      </c>
      <c r="BK77" s="47" t="e">
        <f>_xll.qlPolynomialFunctionValue(BK$1,$BD77,AllTriggers)</f>
        <v>#VALUE!</v>
      </c>
      <c r="BL77" s="47" t="e">
        <f>_xll.qlPolynomialFunctionValue(BL$1,$BD77,AllTriggers)</f>
        <v>#VALUE!</v>
      </c>
      <c r="BM77" s="47" t="e">
        <f>_xll.qlPolynomialFunctionValue(BM$1,$BD77,AllTriggers)</f>
        <v>#VALUE!</v>
      </c>
      <c r="BN77" s="47" t="e">
        <f>_xll.qlPolynomialFunctionValue(BN$1,$BD77,AllTriggers)</f>
        <v>#VALUE!</v>
      </c>
      <c r="BO77" s="47" t="e">
        <f>_xll.qlPolynomialFunctionValue(BO$1,$BD77,AllTriggers)</f>
        <v>#VALUE!</v>
      </c>
      <c r="BP77" s="47" t="e">
        <f>_xll.qlPolynomialFunctionValue(BP$1,$BD77,AllTriggers)</f>
        <v>#VALUE!</v>
      </c>
      <c r="BQ77" s="47">
        <f>_xll.qlPolynomialFunctionValue('6MSynthDepo_used'!$P$18,BD77,AllTriggers)</f>
        <v>1.8541227247308955E-3</v>
      </c>
    </row>
    <row r="78" spans="3:69" x14ac:dyDescent="0.2">
      <c r="K78" s="55"/>
      <c r="L78" s="55"/>
      <c r="M78" s="55"/>
      <c r="N78" s="55"/>
      <c r="BC78" s="178">
        <f>_xll.qlCalendarAdvance(Calendar,BC77,"1d","mf",,Trigger)</f>
        <v>42383</v>
      </c>
      <c r="BD78" s="41">
        <f>_xll.qlDayCounterYearFraction(DayCounter,SettlementDate,BC78,,,Trigger)</f>
        <v>0.28888888888888886</v>
      </c>
      <c r="BE78" s="47" t="e">
        <f>_xll.qlPolynomialFunctionValue(BE$1,$BD78,AllTriggers)</f>
        <v>#VALUE!</v>
      </c>
      <c r="BF78" s="47" t="e">
        <f>_xll.qlPolynomialFunctionValue(BF$1,$BD78,AllTriggers)</f>
        <v>#VALUE!</v>
      </c>
      <c r="BG78" s="47" t="e">
        <f>_xll.qlPolynomialFunctionValue(BG$1,$BD78,AllTriggers)</f>
        <v>#VALUE!</v>
      </c>
      <c r="BH78" s="47" t="e">
        <f>_xll.qlPolynomialFunctionValue(BH$1,$BD78,AllTriggers)</f>
        <v>#VALUE!</v>
      </c>
      <c r="BI78" s="47" t="e">
        <f>_xll.qlPolynomialFunctionValue(BI$1,$BD78,AllTriggers)</f>
        <v>#VALUE!</v>
      </c>
      <c r="BJ78" s="47" t="e">
        <f>_xll.qlPolynomialFunctionValue(BJ$1,$BD78,AllTriggers)</f>
        <v>#VALUE!</v>
      </c>
      <c r="BK78" s="47" t="e">
        <f>_xll.qlPolynomialFunctionValue(BK$1,$BD78,AllTriggers)</f>
        <v>#VALUE!</v>
      </c>
      <c r="BL78" s="47" t="e">
        <f>_xll.qlPolynomialFunctionValue(BL$1,$BD78,AllTriggers)</f>
        <v>#VALUE!</v>
      </c>
      <c r="BM78" s="47" t="e">
        <f>_xll.qlPolynomialFunctionValue(BM$1,$BD78,AllTriggers)</f>
        <v>#VALUE!</v>
      </c>
      <c r="BN78" s="47" t="e">
        <f>_xll.qlPolynomialFunctionValue(BN$1,$BD78,AllTriggers)</f>
        <v>#VALUE!</v>
      </c>
      <c r="BO78" s="47" t="e">
        <f>_xll.qlPolynomialFunctionValue(BO$1,$BD78,AllTriggers)</f>
        <v>#VALUE!</v>
      </c>
      <c r="BP78" s="47" t="e">
        <f>_xll.qlPolynomialFunctionValue(BP$1,$BD78,AllTriggers)</f>
        <v>#VALUE!</v>
      </c>
      <c r="BQ78" s="47">
        <f>_xll.qlPolynomialFunctionValue('6MSynthDepo_used'!$P$18,BD78,AllTriggers)</f>
        <v>1.8558876383449668E-3</v>
      </c>
    </row>
    <row r="79" spans="3:69" x14ac:dyDescent="0.2">
      <c r="K79" s="55"/>
      <c r="L79" s="55"/>
      <c r="M79" s="55"/>
      <c r="N79" s="55"/>
      <c r="BC79" s="178">
        <f>_xll.qlCalendarAdvance(Calendar,BC78,"1d","mf",,Trigger)</f>
        <v>42384</v>
      </c>
      <c r="BD79" s="41">
        <f>_xll.qlDayCounterYearFraction(DayCounter,SettlementDate,BC79,,,Trigger)</f>
        <v>0.29166666666666669</v>
      </c>
      <c r="BE79" s="47" t="e">
        <f>_xll.qlPolynomialFunctionValue(BE$1,$BD79,AllTriggers)</f>
        <v>#VALUE!</v>
      </c>
      <c r="BF79" s="47" t="e">
        <f>_xll.qlPolynomialFunctionValue(BF$1,$BD79,AllTriggers)</f>
        <v>#VALUE!</v>
      </c>
      <c r="BG79" s="47" t="e">
        <f>_xll.qlPolynomialFunctionValue(BG$1,$BD79,AllTriggers)</f>
        <v>#VALUE!</v>
      </c>
      <c r="BH79" s="47" t="e">
        <f>_xll.qlPolynomialFunctionValue(BH$1,$BD79,AllTriggers)</f>
        <v>#VALUE!</v>
      </c>
      <c r="BI79" s="47" t="e">
        <f>_xll.qlPolynomialFunctionValue(BI$1,$BD79,AllTriggers)</f>
        <v>#VALUE!</v>
      </c>
      <c r="BJ79" s="47" t="e">
        <f>_xll.qlPolynomialFunctionValue(BJ$1,$BD79,AllTriggers)</f>
        <v>#VALUE!</v>
      </c>
      <c r="BK79" s="47" t="e">
        <f>_xll.qlPolynomialFunctionValue(BK$1,$BD79,AllTriggers)</f>
        <v>#VALUE!</v>
      </c>
      <c r="BL79" s="47" t="e">
        <f>_xll.qlPolynomialFunctionValue(BL$1,$BD79,AllTriggers)</f>
        <v>#VALUE!</v>
      </c>
      <c r="BM79" s="47" t="e">
        <f>_xll.qlPolynomialFunctionValue(BM$1,$BD79,AllTriggers)</f>
        <v>#VALUE!</v>
      </c>
      <c r="BN79" s="47" t="e">
        <f>_xll.qlPolynomialFunctionValue(BN$1,$BD79,AllTriggers)</f>
        <v>#VALUE!</v>
      </c>
      <c r="BO79" s="47" t="e">
        <f>_xll.qlPolynomialFunctionValue(BO$1,$BD79,AllTriggers)</f>
        <v>#VALUE!</v>
      </c>
      <c r="BP79" s="47" t="e">
        <f>_xll.qlPolynomialFunctionValue(BP$1,$BD79,AllTriggers)</f>
        <v>#VALUE!</v>
      </c>
      <c r="BQ79" s="47">
        <f>_xll.qlPolynomialFunctionValue('6MSynthDepo_used'!$P$18,BD79,AllTriggers)</f>
        <v>1.8576477014770202E-3</v>
      </c>
    </row>
    <row r="80" spans="3:69" x14ac:dyDescent="0.2">
      <c r="K80" s="55"/>
      <c r="L80" s="55"/>
      <c r="M80" s="55"/>
      <c r="N80" s="55"/>
      <c r="R80" s="34"/>
      <c r="BC80" s="178">
        <f>_xll.qlCalendarAdvance(Calendar,BC79,"1d","mf",,Trigger)</f>
        <v>42387</v>
      </c>
      <c r="BD80" s="41">
        <f>_xll.qlDayCounterYearFraction(DayCounter,SettlementDate,BC80,,,Trigger)</f>
        <v>0.3</v>
      </c>
      <c r="BE80" s="47" t="e">
        <f>_xll.qlPolynomialFunctionValue(BE$1,$BD80,AllTriggers)</f>
        <v>#VALUE!</v>
      </c>
      <c r="BF80" s="47" t="e">
        <f>_xll.qlPolynomialFunctionValue(BF$1,$BD80,AllTriggers)</f>
        <v>#VALUE!</v>
      </c>
      <c r="BG80" s="47" t="e">
        <f>_xll.qlPolynomialFunctionValue(BG$1,$BD80,AllTriggers)</f>
        <v>#VALUE!</v>
      </c>
      <c r="BH80" s="47" t="e">
        <f>_xll.qlPolynomialFunctionValue(BH$1,$BD80,AllTriggers)</f>
        <v>#VALUE!</v>
      </c>
      <c r="BI80" s="47" t="e">
        <f>_xll.qlPolynomialFunctionValue(BI$1,$BD80,AllTriggers)</f>
        <v>#VALUE!</v>
      </c>
      <c r="BJ80" s="47" t="e">
        <f>_xll.qlPolynomialFunctionValue(BJ$1,$BD80,AllTriggers)</f>
        <v>#VALUE!</v>
      </c>
      <c r="BK80" s="47" t="e">
        <f>_xll.qlPolynomialFunctionValue(BK$1,$BD80,AllTriggers)</f>
        <v>#VALUE!</v>
      </c>
      <c r="BL80" s="47" t="e">
        <f>_xll.qlPolynomialFunctionValue(BL$1,$BD80,AllTriggers)</f>
        <v>#VALUE!</v>
      </c>
      <c r="BM80" s="47" t="e">
        <f>_xll.qlPolynomialFunctionValue(BM$1,$BD80,AllTriggers)</f>
        <v>#VALUE!</v>
      </c>
      <c r="BN80" s="47" t="e">
        <f>_xll.qlPolynomialFunctionValue(BN$1,$BD80,AllTriggers)</f>
        <v>#VALUE!</v>
      </c>
      <c r="BO80" s="47" t="e">
        <f>_xll.qlPolynomialFunctionValue(BO$1,$BD80,AllTriggers)</f>
        <v>#VALUE!</v>
      </c>
      <c r="BP80" s="47" t="e">
        <f>_xll.qlPolynomialFunctionValue(BP$1,$BD80,AllTriggers)</f>
        <v>#VALUE!</v>
      </c>
      <c r="BQ80" s="47">
        <f>_xll.qlPolynomialFunctionValue('6MSynthDepo_used'!$P$18,BD80,AllTriggers)</f>
        <v>1.8628989422273172E-3</v>
      </c>
    </row>
    <row r="81" spans="8:69" x14ac:dyDescent="0.2">
      <c r="K81" s="55"/>
      <c r="L81" s="55"/>
      <c r="M81" s="55"/>
      <c r="N81" s="55"/>
      <c r="R81" s="34"/>
      <c r="BC81" s="178">
        <f>_xll.qlCalendarAdvance(Calendar,BC80,"1d","mf",,Trigger)</f>
        <v>42388</v>
      </c>
      <c r="BD81" s="41">
        <f>_xll.qlDayCounterYearFraction(DayCounter,SettlementDate,BC81,,,Trigger)</f>
        <v>0.30277777777777776</v>
      </c>
      <c r="BE81" s="47" t="e">
        <f>_xll.qlPolynomialFunctionValue(BE$1,$BD81,AllTriggers)</f>
        <v>#VALUE!</v>
      </c>
      <c r="BF81" s="47" t="e">
        <f>_xll.qlPolynomialFunctionValue(BF$1,$BD81,AllTriggers)</f>
        <v>#VALUE!</v>
      </c>
      <c r="BG81" s="47" t="e">
        <f>_xll.qlPolynomialFunctionValue(BG$1,$BD81,AllTriggers)</f>
        <v>#VALUE!</v>
      </c>
      <c r="BH81" s="47" t="e">
        <f>_xll.qlPolynomialFunctionValue(BH$1,$BD81,AllTriggers)</f>
        <v>#VALUE!</v>
      </c>
      <c r="BI81" s="47" t="e">
        <f>_xll.qlPolynomialFunctionValue(BI$1,$BD81,AllTriggers)</f>
        <v>#VALUE!</v>
      </c>
      <c r="BJ81" s="47" t="e">
        <f>_xll.qlPolynomialFunctionValue(BJ$1,$BD81,AllTriggers)</f>
        <v>#VALUE!</v>
      </c>
      <c r="BK81" s="47" t="e">
        <f>_xll.qlPolynomialFunctionValue(BK$1,$BD81,AllTriggers)</f>
        <v>#VALUE!</v>
      </c>
      <c r="BL81" s="47" t="e">
        <f>_xll.qlPolynomialFunctionValue(BL$1,$BD81,AllTriggers)</f>
        <v>#VALUE!</v>
      </c>
      <c r="BM81" s="47" t="e">
        <f>_xll.qlPolynomialFunctionValue(BM$1,$BD81,AllTriggers)</f>
        <v>#VALUE!</v>
      </c>
      <c r="BN81" s="47" t="e">
        <f>_xll.qlPolynomialFunctionValue(BN$1,$BD81,AllTriggers)</f>
        <v>#VALUE!</v>
      </c>
      <c r="BO81" s="47" t="e">
        <f>_xll.qlPolynomialFunctionValue(BO$1,$BD81,AllTriggers)</f>
        <v>#VALUE!</v>
      </c>
      <c r="BP81" s="47" t="e">
        <f>_xll.qlPolynomialFunctionValue(BP$1,$BD81,AllTriggers)</f>
        <v>#VALUE!</v>
      </c>
      <c r="BQ81" s="47">
        <f>_xll.qlPolynomialFunctionValue('6MSynthDepo_used'!$P$18,BD81,AllTriggers)</f>
        <v>1.8646397576775442E-3</v>
      </c>
    </row>
    <row r="82" spans="8:69" x14ac:dyDescent="0.2">
      <c r="K82" s="55"/>
      <c r="L82" s="55"/>
      <c r="M82" s="55"/>
      <c r="N82" s="55"/>
      <c r="R82" s="34"/>
      <c r="BC82" s="178">
        <f>_xll.qlCalendarAdvance(Calendar,BC81,"1d","mf",,Trigger)</f>
        <v>42389</v>
      </c>
      <c r="BD82" s="41">
        <f>_xll.qlDayCounterYearFraction(DayCounter,SettlementDate,BC82,,,Trigger)</f>
        <v>0.30555555555555558</v>
      </c>
      <c r="BE82" s="47" t="e">
        <f>_xll.qlPolynomialFunctionValue(BE$1,$BD82,AllTriggers)</f>
        <v>#VALUE!</v>
      </c>
      <c r="BF82" s="47" t="e">
        <f>_xll.qlPolynomialFunctionValue(BF$1,$BD82,AllTriggers)</f>
        <v>#VALUE!</v>
      </c>
      <c r="BG82" s="47" t="e">
        <f>_xll.qlPolynomialFunctionValue(BG$1,$BD82,AllTriggers)</f>
        <v>#VALUE!</v>
      </c>
      <c r="BH82" s="47" t="e">
        <f>_xll.qlPolynomialFunctionValue(BH$1,$BD82,AllTriggers)</f>
        <v>#VALUE!</v>
      </c>
      <c r="BI82" s="47" t="e">
        <f>_xll.qlPolynomialFunctionValue(BI$1,$BD82,AllTriggers)</f>
        <v>#VALUE!</v>
      </c>
      <c r="BJ82" s="47" t="e">
        <f>_xll.qlPolynomialFunctionValue(BJ$1,$BD82,AllTriggers)</f>
        <v>#VALUE!</v>
      </c>
      <c r="BK82" s="47" t="e">
        <f>_xll.qlPolynomialFunctionValue(BK$1,$BD82,AllTriggers)</f>
        <v>#VALUE!</v>
      </c>
      <c r="BL82" s="47" t="e">
        <f>_xll.qlPolynomialFunctionValue(BL$1,$BD82,AllTriggers)</f>
        <v>#VALUE!</v>
      </c>
      <c r="BM82" s="47" t="e">
        <f>_xll.qlPolynomialFunctionValue(BM$1,$BD82,AllTriggers)</f>
        <v>#VALUE!</v>
      </c>
      <c r="BN82" s="47" t="e">
        <f>_xll.qlPolynomialFunctionValue(BN$1,$BD82,AllTriggers)</f>
        <v>#VALUE!</v>
      </c>
      <c r="BO82" s="47" t="e">
        <f>_xll.qlPolynomialFunctionValue(BO$1,$BD82,AllTriggers)</f>
        <v>#VALUE!</v>
      </c>
      <c r="BP82" s="47" t="e">
        <f>_xll.qlPolynomialFunctionValue(BP$1,$BD82,AllTriggers)</f>
        <v>#VALUE!</v>
      </c>
      <c r="BQ82" s="47">
        <f>_xll.qlPolynomialFunctionValue('6MSynthDepo_used'!$P$18,BD82,AllTriggers)</f>
        <v>1.8663757997688763E-3</v>
      </c>
    </row>
    <row r="83" spans="8:69" x14ac:dyDescent="0.2">
      <c r="K83" s="55"/>
      <c r="L83" s="55"/>
      <c r="M83" s="55"/>
      <c r="N83" s="55"/>
      <c r="R83" s="34"/>
      <c r="BC83" s="178">
        <f>_xll.qlCalendarAdvance(Calendar,BC82,"1d","mf",,Trigger)</f>
        <v>42390</v>
      </c>
      <c r="BD83" s="41">
        <f>_xll.qlDayCounterYearFraction(DayCounter,SettlementDate,BC83,,,Trigger)</f>
        <v>0.30833333333333335</v>
      </c>
      <c r="BE83" s="47" t="e">
        <f>_xll.qlPolynomialFunctionValue(BE$1,$BD83,AllTriggers)</f>
        <v>#VALUE!</v>
      </c>
      <c r="BF83" s="47" t="e">
        <f>_xll.qlPolynomialFunctionValue(BF$1,$BD83,AllTriggers)</f>
        <v>#VALUE!</v>
      </c>
      <c r="BG83" s="47" t="e">
        <f>_xll.qlPolynomialFunctionValue(BG$1,$BD83,AllTriggers)</f>
        <v>#VALUE!</v>
      </c>
      <c r="BH83" s="47" t="e">
        <f>_xll.qlPolynomialFunctionValue(BH$1,$BD83,AllTriggers)</f>
        <v>#VALUE!</v>
      </c>
      <c r="BI83" s="47" t="e">
        <f>_xll.qlPolynomialFunctionValue(BI$1,$BD83,AllTriggers)</f>
        <v>#VALUE!</v>
      </c>
      <c r="BJ83" s="47" t="e">
        <f>_xll.qlPolynomialFunctionValue(BJ$1,$BD83,AllTriggers)</f>
        <v>#VALUE!</v>
      </c>
      <c r="BK83" s="47" t="e">
        <f>_xll.qlPolynomialFunctionValue(BK$1,$BD83,AllTriggers)</f>
        <v>#VALUE!</v>
      </c>
      <c r="BL83" s="47" t="e">
        <f>_xll.qlPolynomialFunctionValue(BL$1,$BD83,AllTriggers)</f>
        <v>#VALUE!</v>
      </c>
      <c r="BM83" s="47" t="e">
        <f>_xll.qlPolynomialFunctionValue(BM$1,$BD83,AllTriggers)</f>
        <v>#VALUE!</v>
      </c>
      <c r="BN83" s="47" t="e">
        <f>_xll.qlPolynomialFunctionValue(BN$1,$BD83,AllTriggers)</f>
        <v>#VALUE!</v>
      </c>
      <c r="BO83" s="47" t="e">
        <f>_xll.qlPolynomialFunctionValue(BO$1,$BD83,AllTriggers)</f>
        <v>#VALUE!</v>
      </c>
      <c r="BP83" s="47" t="e">
        <f>_xll.qlPolynomialFunctionValue(BP$1,$BD83,AllTriggers)</f>
        <v>#VALUE!</v>
      </c>
      <c r="BQ83" s="47">
        <f>_xll.qlPolynomialFunctionValue('6MSynthDepo_used'!$P$18,BD83,AllTriggers)</f>
        <v>1.8681070839259377E-3</v>
      </c>
    </row>
    <row r="84" spans="8:69" x14ac:dyDescent="0.2">
      <c r="H84" s="35"/>
      <c r="K84" s="55"/>
      <c r="L84" s="55"/>
      <c r="M84" s="55"/>
      <c r="N84" s="55"/>
      <c r="R84" s="34"/>
      <c r="BC84" s="178">
        <f>_xll.qlCalendarAdvance(Calendar,BC83,"1d","mf",,Trigger)</f>
        <v>42391</v>
      </c>
      <c r="BD84" s="41">
        <f>_xll.qlDayCounterYearFraction(DayCounter,SettlementDate,BC84,,,Trigger)</f>
        <v>0.31111111111111112</v>
      </c>
      <c r="BE84" s="47" t="e">
        <f>_xll.qlPolynomialFunctionValue(BE$1,$BD84,AllTriggers)</f>
        <v>#VALUE!</v>
      </c>
      <c r="BF84" s="47" t="e">
        <f>_xll.qlPolynomialFunctionValue(BF$1,$BD84,AllTriggers)</f>
        <v>#VALUE!</v>
      </c>
      <c r="BG84" s="47" t="e">
        <f>_xll.qlPolynomialFunctionValue(BG$1,$BD84,AllTriggers)</f>
        <v>#VALUE!</v>
      </c>
      <c r="BH84" s="47" t="e">
        <f>_xll.qlPolynomialFunctionValue(BH$1,$BD84,AllTriggers)</f>
        <v>#VALUE!</v>
      </c>
      <c r="BI84" s="47" t="e">
        <f>_xll.qlPolynomialFunctionValue(BI$1,$BD84,AllTriggers)</f>
        <v>#VALUE!</v>
      </c>
      <c r="BJ84" s="47" t="e">
        <f>_xll.qlPolynomialFunctionValue(BJ$1,$BD84,AllTriggers)</f>
        <v>#VALUE!</v>
      </c>
      <c r="BK84" s="47" t="e">
        <f>_xll.qlPolynomialFunctionValue(BK$1,$BD84,AllTriggers)</f>
        <v>#VALUE!</v>
      </c>
      <c r="BL84" s="47" t="e">
        <f>_xll.qlPolynomialFunctionValue(BL$1,$BD84,AllTriggers)</f>
        <v>#VALUE!</v>
      </c>
      <c r="BM84" s="47" t="e">
        <f>_xll.qlPolynomialFunctionValue(BM$1,$BD84,AllTriggers)</f>
        <v>#VALUE!</v>
      </c>
      <c r="BN84" s="47" t="e">
        <f>_xll.qlPolynomialFunctionValue(BN$1,$BD84,AllTriggers)</f>
        <v>#VALUE!</v>
      </c>
      <c r="BO84" s="47" t="e">
        <f>_xll.qlPolynomialFunctionValue(BO$1,$BD84,AllTriggers)</f>
        <v>#VALUE!</v>
      </c>
      <c r="BP84" s="47" t="e">
        <f>_xll.qlPolynomialFunctionValue(BP$1,$BD84,AllTriggers)</f>
        <v>#VALUE!</v>
      </c>
      <c r="BQ84" s="47">
        <f>_xll.qlPolynomialFunctionValue('6MSynthDepo_used'!$P$18,BD84,AllTriggers)</f>
        <v>1.8698336255733538E-3</v>
      </c>
    </row>
    <row r="85" spans="8:69" x14ac:dyDescent="0.2">
      <c r="K85" s="55"/>
      <c r="L85" s="55"/>
      <c r="M85" s="55"/>
      <c r="N85" s="55"/>
      <c r="R85" s="34"/>
      <c r="BC85" s="178">
        <f>_xll.qlCalendarAdvance(Calendar,BC84,"1d","mf",,Trigger)</f>
        <v>42394</v>
      </c>
      <c r="BD85" s="41">
        <f>_xll.qlDayCounterYearFraction(DayCounter,SettlementDate,BC85,,,Trigger)</f>
        <v>0.31944444444444442</v>
      </c>
      <c r="BE85" s="47" t="e">
        <f>_xll.qlPolynomialFunctionValue(BE$1,$BD85,AllTriggers)</f>
        <v>#VALUE!</v>
      </c>
      <c r="BF85" s="47" t="e">
        <f>_xll.qlPolynomialFunctionValue(BF$1,$BD85,AllTriggers)</f>
        <v>#VALUE!</v>
      </c>
      <c r="BG85" s="47" t="e">
        <f>_xll.qlPolynomialFunctionValue(BG$1,$BD85,AllTriggers)</f>
        <v>#VALUE!</v>
      </c>
      <c r="BH85" s="47" t="e">
        <f>_xll.qlPolynomialFunctionValue(BH$1,$BD85,AllTriggers)</f>
        <v>#VALUE!</v>
      </c>
      <c r="BI85" s="47" t="e">
        <f>_xll.qlPolynomialFunctionValue(BI$1,$BD85,AllTriggers)</f>
        <v>#VALUE!</v>
      </c>
      <c r="BJ85" s="47" t="e">
        <f>_xll.qlPolynomialFunctionValue(BJ$1,$BD85,AllTriggers)</f>
        <v>#VALUE!</v>
      </c>
      <c r="BK85" s="47" t="e">
        <f>_xll.qlPolynomialFunctionValue(BK$1,$BD85,AllTriggers)</f>
        <v>#VALUE!</v>
      </c>
      <c r="BL85" s="47" t="e">
        <f>_xll.qlPolynomialFunctionValue(BL$1,$BD85,AllTriggers)</f>
        <v>#VALUE!</v>
      </c>
      <c r="BM85" s="47" t="e">
        <f>_xll.qlPolynomialFunctionValue(BM$1,$BD85,AllTriggers)</f>
        <v>#VALUE!</v>
      </c>
      <c r="BN85" s="47" t="e">
        <f>_xll.qlPolynomialFunctionValue(BN$1,$BD85,AllTriggers)</f>
        <v>#VALUE!</v>
      </c>
      <c r="BO85" s="47" t="e">
        <f>_xll.qlPolynomialFunctionValue(BO$1,$BD85,AllTriggers)</f>
        <v>#VALUE!</v>
      </c>
      <c r="BP85" s="47" t="e">
        <f>_xll.qlPolynomialFunctionValue(BP$1,$BD85,AllTriggers)</f>
        <v>#VALUE!</v>
      </c>
      <c r="BQ85" s="47">
        <f>_xll.qlPolynomialFunctionValue('6MSynthDepo_used'!$P$18,BD85,AllTriggers)</f>
        <v>1.8749849497039746E-3</v>
      </c>
    </row>
    <row r="86" spans="8:69" x14ac:dyDescent="0.2">
      <c r="K86" s="55"/>
      <c r="L86" s="55"/>
      <c r="M86" s="55"/>
      <c r="N86" s="55"/>
      <c r="R86" s="34"/>
      <c r="S86" s="34"/>
      <c r="BC86" s="178">
        <f>_xll.qlCalendarAdvance(Calendar,BC85,"1d","mf",,Trigger)</f>
        <v>42395</v>
      </c>
      <c r="BD86" s="41">
        <f>_xll.qlDayCounterYearFraction(DayCounter,SettlementDate,BC86,,,Trigger)</f>
        <v>0.32222222222222224</v>
      </c>
      <c r="BE86" s="47" t="e">
        <f>_xll.qlPolynomialFunctionValue(BE$1,$BD86,AllTriggers)</f>
        <v>#VALUE!</v>
      </c>
      <c r="BF86" s="47" t="e">
        <f>_xll.qlPolynomialFunctionValue(BF$1,$BD86,AllTriggers)</f>
        <v>#VALUE!</v>
      </c>
      <c r="BG86" s="47" t="e">
        <f>_xll.qlPolynomialFunctionValue(BG$1,$BD86,AllTriggers)</f>
        <v>#VALUE!</v>
      </c>
      <c r="BH86" s="47" t="e">
        <f>_xll.qlPolynomialFunctionValue(BH$1,$BD86,AllTriggers)</f>
        <v>#VALUE!</v>
      </c>
      <c r="BI86" s="47" t="e">
        <f>_xll.qlPolynomialFunctionValue(BI$1,$BD86,AllTriggers)</f>
        <v>#VALUE!</v>
      </c>
      <c r="BJ86" s="47" t="e">
        <f>_xll.qlPolynomialFunctionValue(BJ$1,$BD86,AllTriggers)</f>
        <v>#VALUE!</v>
      </c>
      <c r="BK86" s="47" t="e">
        <f>_xll.qlPolynomialFunctionValue(BK$1,$BD86,AllTriggers)</f>
        <v>#VALUE!</v>
      </c>
      <c r="BL86" s="47" t="e">
        <f>_xll.qlPolynomialFunctionValue(BL$1,$BD86,AllTriggers)</f>
        <v>#VALUE!</v>
      </c>
      <c r="BM86" s="47" t="e">
        <f>_xll.qlPolynomialFunctionValue(BM$1,$BD86,AllTriggers)</f>
        <v>#VALUE!</v>
      </c>
      <c r="BN86" s="47" t="e">
        <f>_xll.qlPolynomialFunctionValue(BN$1,$BD86,AllTriggers)</f>
        <v>#VALUE!</v>
      </c>
      <c r="BO86" s="47" t="e">
        <f>_xll.qlPolynomialFunctionValue(BO$1,$BD86,AllTriggers)</f>
        <v>#VALUE!</v>
      </c>
      <c r="BP86" s="47" t="e">
        <f>_xll.qlPolynomialFunctionValue(BP$1,$BD86,AllTriggers)</f>
        <v>#VALUE!</v>
      </c>
      <c r="BQ86" s="47">
        <f>_xll.qlPolynomialFunctionValue('6MSynthDepo_used'!$P$18,BD86,AllTriggers)</f>
        <v>1.8766926755590546E-3</v>
      </c>
    </row>
    <row r="87" spans="8:69" x14ac:dyDescent="0.2">
      <c r="K87" s="55"/>
      <c r="L87" s="55"/>
      <c r="M87" s="55"/>
      <c r="N87" s="55"/>
      <c r="R87" s="34"/>
      <c r="S87" s="34"/>
      <c r="BC87" s="178">
        <f>_xll.qlCalendarAdvance(Calendar,BC86,"1d","mf",,Trigger)</f>
        <v>42396</v>
      </c>
      <c r="BD87" s="41">
        <f>_xll.qlDayCounterYearFraction(DayCounter,SettlementDate,BC87,,,Trigger)</f>
        <v>0.32500000000000001</v>
      </c>
      <c r="BE87" s="47" t="e">
        <f>_xll.qlPolynomialFunctionValue(BE$1,$BD87,AllTriggers)</f>
        <v>#VALUE!</v>
      </c>
      <c r="BF87" s="47" t="e">
        <f>_xll.qlPolynomialFunctionValue(BF$1,$BD87,AllTriggers)</f>
        <v>#VALUE!</v>
      </c>
      <c r="BG87" s="47" t="e">
        <f>_xll.qlPolynomialFunctionValue(BG$1,$BD87,AllTriggers)</f>
        <v>#VALUE!</v>
      </c>
      <c r="BH87" s="47" t="e">
        <f>_xll.qlPolynomialFunctionValue(BH$1,$BD87,AllTriggers)</f>
        <v>#VALUE!</v>
      </c>
      <c r="BI87" s="47" t="e">
        <f>_xll.qlPolynomialFunctionValue(BI$1,$BD87,AllTriggers)</f>
        <v>#VALUE!</v>
      </c>
      <c r="BJ87" s="47" t="e">
        <f>_xll.qlPolynomialFunctionValue(BJ$1,$BD87,AllTriggers)</f>
        <v>#VALUE!</v>
      </c>
      <c r="BK87" s="47" t="e">
        <f>_xll.qlPolynomialFunctionValue(BK$1,$BD87,AllTriggers)</f>
        <v>#VALUE!</v>
      </c>
      <c r="BL87" s="47" t="e">
        <f>_xll.qlPolynomialFunctionValue(BL$1,$BD87,AllTriggers)</f>
        <v>#VALUE!</v>
      </c>
      <c r="BM87" s="47" t="e">
        <f>_xll.qlPolynomialFunctionValue(BM$1,$BD87,AllTriggers)</f>
        <v>#VALUE!</v>
      </c>
      <c r="BN87" s="47" t="e">
        <f>_xll.qlPolynomialFunctionValue(BN$1,$BD87,AllTriggers)</f>
        <v>#VALUE!</v>
      </c>
      <c r="BO87" s="47" t="e">
        <f>_xll.qlPolynomialFunctionValue(BO$1,$BD87,AllTriggers)</f>
        <v>#VALUE!</v>
      </c>
      <c r="BP87" s="47" t="e">
        <f>_xll.qlPolynomialFunctionValue(BP$1,$BD87,AllTriggers)</f>
        <v>#VALUE!</v>
      </c>
      <c r="BQ87" s="47">
        <f>_xll.qlPolynomialFunctionValue('6MSynthDepo_used'!$P$18,BD87,AllTriggers)</f>
        <v>1.8783957360276123E-3</v>
      </c>
    </row>
    <row r="88" spans="8:69" x14ac:dyDescent="0.2">
      <c r="K88" s="55"/>
      <c r="L88" s="55"/>
      <c r="M88" s="55"/>
      <c r="N88" s="55"/>
      <c r="R88" s="34"/>
      <c r="S88" s="34"/>
      <c r="BC88" s="178">
        <f>_xll.qlCalendarAdvance(Calendar,BC87,"1d","mf",,Trigger)</f>
        <v>42397</v>
      </c>
      <c r="BD88" s="41">
        <f>_xll.qlDayCounterYearFraction(DayCounter,SettlementDate,BC88,,,Trigger)</f>
        <v>0.32777777777777778</v>
      </c>
      <c r="BE88" s="47" t="e">
        <f>_xll.qlPolynomialFunctionValue(BE$1,$BD88,AllTriggers)</f>
        <v>#VALUE!</v>
      </c>
      <c r="BF88" s="47" t="e">
        <f>_xll.qlPolynomialFunctionValue(BF$1,$BD88,AllTriggers)</f>
        <v>#VALUE!</v>
      </c>
      <c r="BG88" s="47" t="e">
        <f>_xll.qlPolynomialFunctionValue(BG$1,$BD88,AllTriggers)</f>
        <v>#VALUE!</v>
      </c>
      <c r="BH88" s="47" t="e">
        <f>_xll.qlPolynomialFunctionValue(BH$1,$BD88,AllTriggers)</f>
        <v>#VALUE!</v>
      </c>
      <c r="BI88" s="47" t="e">
        <f>_xll.qlPolynomialFunctionValue(BI$1,$BD88,AllTriggers)</f>
        <v>#VALUE!</v>
      </c>
      <c r="BJ88" s="47" t="e">
        <f>_xll.qlPolynomialFunctionValue(BJ$1,$BD88,AllTriggers)</f>
        <v>#VALUE!</v>
      </c>
      <c r="BK88" s="47" t="e">
        <f>_xll.qlPolynomialFunctionValue(BK$1,$BD88,AllTriggers)</f>
        <v>#VALUE!</v>
      </c>
      <c r="BL88" s="47" t="e">
        <f>_xll.qlPolynomialFunctionValue(BL$1,$BD88,AllTriggers)</f>
        <v>#VALUE!</v>
      </c>
      <c r="BM88" s="47" t="e">
        <f>_xll.qlPolynomialFunctionValue(BM$1,$BD88,AllTriggers)</f>
        <v>#VALUE!</v>
      </c>
      <c r="BN88" s="47" t="e">
        <f>_xll.qlPolynomialFunctionValue(BN$1,$BD88,AllTriggers)</f>
        <v>#VALUE!</v>
      </c>
      <c r="BO88" s="47" t="e">
        <f>_xll.qlPolynomialFunctionValue(BO$1,$BD88,AllTriggers)</f>
        <v>#VALUE!</v>
      </c>
      <c r="BP88" s="47" t="e">
        <f>_xll.qlPolynomialFunctionValue(BP$1,$BD88,AllTriggers)</f>
        <v>#VALUE!</v>
      </c>
      <c r="BQ88" s="47">
        <f>_xll.qlPolynomialFunctionValue('6MSynthDepo_used'!$P$18,BD88,AllTriggers)</f>
        <v>1.880094146534272E-3</v>
      </c>
    </row>
    <row r="89" spans="8:69" x14ac:dyDescent="0.2">
      <c r="K89" s="55"/>
      <c r="L89" s="55"/>
      <c r="M89" s="55"/>
      <c r="N89" s="55"/>
      <c r="R89" s="34"/>
      <c r="S89" s="34"/>
      <c r="BC89" s="178">
        <f>_xll.qlCalendarAdvance(Calendar,BC88,"1d","mf",,Trigger)</f>
        <v>42398</v>
      </c>
      <c r="BD89" s="41">
        <f>_xll.qlDayCounterYearFraction(DayCounter,SettlementDate,BC89,,,Trigger)</f>
        <v>0.33055555555555555</v>
      </c>
      <c r="BE89" s="47" t="e">
        <f>_xll.qlPolynomialFunctionValue(BE$1,$BD89,AllTriggers)</f>
        <v>#VALUE!</v>
      </c>
      <c r="BF89" s="47" t="e">
        <f>_xll.qlPolynomialFunctionValue(BF$1,$BD89,AllTriggers)</f>
        <v>#VALUE!</v>
      </c>
      <c r="BG89" s="47" t="e">
        <f>_xll.qlPolynomialFunctionValue(BG$1,$BD89,AllTriggers)</f>
        <v>#VALUE!</v>
      </c>
      <c r="BH89" s="47" t="e">
        <f>_xll.qlPolynomialFunctionValue(BH$1,$BD89,AllTriggers)</f>
        <v>#VALUE!</v>
      </c>
      <c r="BI89" s="47" t="e">
        <f>_xll.qlPolynomialFunctionValue(BI$1,$BD89,AllTriggers)</f>
        <v>#VALUE!</v>
      </c>
      <c r="BJ89" s="47" t="e">
        <f>_xll.qlPolynomialFunctionValue(BJ$1,$BD89,AllTriggers)</f>
        <v>#VALUE!</v>
      </c>
      <c r="BK89" s="47" t="e">
        <f>_xll.qlPolynomialFunctionValue(BK$1,$BD89,AllTriggers)</f>
        <v>#VALUE!</v>
      </c>
      <c r="BL89" s="47" t="e">
        <f>_xll.qlPolynomialFunctionValue(BL$1,$BD89,AllTriggers)</f>
        <v>#VALUE!</v>
      </c>
      <c r="BM89" s="47" t="e">
        <f>_xll.qlPolynomialFunctionValue(BM$1,$BD89,AllTriggers)</f>
        <v>#VALUE!</v>
      </c>
      <c r="BN89" s="47" t="e">
        <f>_xll.qlPolynomialFunctionValue(BN$1,$BD89,AllTriggers)</f>
        <v>#VALUE!</v>
      </c>
      <c r="BO89" s="47" t="e">
        <f>_xll.qlPolynomialFunctionValue(BO$1,$BD89,AllTriggers)</f>
        <v>#VALUE!</v>
      </c>
      <c r="BP89" s="47" t="e">
        <f>_xll.qlPolynomialFunctionValue(BP$1,$BD89,AllTriggers)</f>
        <v>#VALUE!</v>
      </c>
      <c r="BQ89" s="47">
        <f>_xll.qlPolynomialFunctionValue('6MSynthDepo_used'!$P$18,BD89,AllTriggers)</f>
        <v>1.881787922503659E-3</v>
      </c>
    </row>
    <row r="90" spans="8:69" x14ac:dyDescent="0.2">
      <c r="K90" s="55"/>
      <c r="L90" s="55"/>
      <c r="M90" s="55"/>
      <c r="N90" s="55"/>
      <c r="R90" s="34"/>
      <c r="S90" s="34"/>
      <c r="BC90" s="178">
        <f>_xll.qlCalendarAdvance(Calendar,BC89,"1d","mf",,Trigger)</f>
        <v>42401</v>
      </c>
      <c r="BD90" s="41">
        <f>_xll.qlDayCounterYearFraction(DayCounter,SettlementDate,BC90,,,Trigger)</f>
        <v>0.33888888888888891</v>
      </c>
      <c r="BE90" s="47" t="e">
        <f>_xll.qlPolynomialFunctionValue(BE$1,$BD90,AllTriggers)</f>
        <v>#VALUE!</v>
      </c>
      <c r="BF90" s="47" t="e">
        <f>_xll.qlPolynomialFunctionValue(BF$1,$BD90,AllTriggers)</f>
        <v>#VALUE!</v>
      </c>
      <c r="BG90" s="47" t="e">
        <f>_xll.qlPolynomialFunctionValue(BG$1,$BD90,AllTriggers)</f>
        <v>#VALUE!</v>
      </c>
      <c r="BH90" s="47" t="e">
        <f>_xll.qlPolynomialFunctionValue(BH$1,$BD90,AllTriggers)</f>
        <v>#VALUE!</v>
      </c>
      <c r="BI90" s="47" t="e">
        <f>_xll.qlPolynomialFunctionValue(BI$1,$BD90,AllTriggers)</f>
        <v>#VALUE!</v>
      </c>
      <c r="BJ90" s="47" t="e">
        <f>_xll.qlPolynomialFunctionValue(BJ$1,$BD90,AllTriggers)</f>
        <v>#VALUE!</v>
      </c>
      <c r="BK90" s="47" t="e">
        <f>_xll.qlPolynomialFunctionValue(BK$1,$BD90,AllTriggers)</f>
        <v>#VALUE!</v>
      </c>
      <c r="BL90" s="47" t="e">
        <f>_xll.qlPolynomialFunctionValue(BL$1,$BD90,AllTriggers)</f>
        <v>#VALUE!</v>
      </c>
      <c r="BM90" s="47" t="e">
        <f>_xll.qlPolynomialFunctionValue(BM$1,$BD90,AllTriggers)</f>
        <v>#VALUE!</v>
      </c>
      <c r="BN90" s="47" t="e">
        <f>_xll.qlPolynomialFunctionValue(BN$1,$BD90,AllTriggers)</f>
        <v>#VALUE!</v>
      </c>
      <c r="BO90" s="47" t="e">
        <f>_xll.qlPolynomialFunctionValue(BO$1,$BD90,AllTriggers)</f>
        <v>#VALUE!</v>
      </c>
      <c r="BP90" s="47" t="e">
        <f>_xll.qlPolynomialFunctionValue(BP$1,$BD90,AllTriggers)</f>
        <v>#VALUE!</v>
      </c>
      <c r="BQ90" s="47">
        <f>_xll.qlPolynomialFunctionValue('6MSynthDepo_used'!$P$18,BD90,AllTriggers)</f>
        <v>1.886841597434427E-3</v>
      </c>
    </row>
    <row r="91" spans="8:69" x14ac:dyDescent="0.2">
      <c r="K91" s="55"/>
      <c r="L91" s="55"/>
      <c r="M91" s="55"/>
      <c r="N91" s="55"/>
      <c r="R91" s="34"/>
      <c r="S91" s="34"/>
      <c r="BC91" s="178">
        <f>_xll.qlCalendarAdvance(Calendar,BC90,"1d","mf",,Trigger)</f>
        <v>42402</v>
      </c>
      <c r="BD91" s="41">
        <f>_xll.qlDayCounterYearFraction(DayCounter,SettlementDate,BC91,,,Trigger)</f>
        <v>0.34166666666666667</v>
      </c>
      <c r="BE91" s="47" t="e">
        <f>_xll.qlPolynomialFunctionValue(BE$1,$BD91,AllTriggers)</f>
        <v>#VALUE!</v>
      </c>
      <c r="BF91" s="47" t="e">
        <f>_xll.qlPolynomialFunctionValue(BF$1,$BD91,AllTriggers)</f>
        <v>#VALUE!</v>
      </c>
      <c r="BG91" s="47" t="e">
        <f>_xll.qlPolynomialFunctionValue(BG$1,$BD91,AllTriggers)</f>
        <v>#VALUE!</v>
      </c>
      <c r="BH91" s="47" t="e">
        <f>_xll.qlPolynomialFunctionValue(BH$1,$BD91,AllTriggers)</f>
        <v>#VALUE!</v>
      </c>
      <c r="BI91" s="47" t="e">
        <f>_xll.qlPolynomialFunctionValue(BI$1,$BD91,AllTriggers)</f>
        <v>#VALUE!</v>
      </c>
      <c r="BJ91" s="47" t="e">
        <f>_xll.qlPolynomialFunctionValue(BJ$1,$BD91,AllTriggers)</f>
        <v>#VALUE!</v>
      </c>
      <c r="BK91" s="47" t="e">
        <f>_xll.qlPolynomialFunctionValue(BK$1,$BD91,AllTriggers)</f>
        <v>#VALUE!</v>
      </c>
      <c r="BL91" s="47" t="e">
        <f>_xll.qlPolynomialFunctionValue(BL$1,$BD91,AllTriggers)</f>
        <v>#VALUE!</v>
      </c>
      <c r="BM91" s="47" t="e">
        <f>_xll.qlPolynomialFunctionValue(BM$1,$BD91,AllTriggers)</f>
        <v>#VALUE!</v>
      </c>
      <c r="BN91" s="47" t="e">
        <f>_xll.qlPolynomialFunctionValue(BN$1,$BD91,AllTriggers)</f>
        <v>#VALUE!</v>
      </c>
      <c r="BO91" s="47" t="e">
        <f>_xll.qlPolynomialFunctionValue(BO$1,$BD91,AllTriggers)</f>
        <v>#VALUE!</v>
      </c>
      <c r="BP91" s="47" t="e">
        <f>_xll.qlPolynomialFunctionValue(BP$1,$BD91,AllTriggers)</f>
        <v>#VALUE!</v>
      </c>
      <c r="BQ91" s="47">
        <f>_xll.qlPolynomialFunctionValue('6MSynthDepo_used'!$P$18,BD91,AllTriggers)</f>
        <v>1.8885169895009682E-3</v>
      </c>
    </row>
    <row r="92" spans="8:69" x14ac:dyDescent="0.2">
      <c r="K92" s="55"/>
      <c r="L92" s="55"/>
      <c r="M92" s="55"/>
      <c r="N92" s="55"/>
      <c r="R92" s="34"/>
      <c r="S92" s="34"/>
      <c r="BC92" s="178">
        <f>_xll.qlCalendarAdvance(Calendar,BC91,"1d","mf",,Trigger)</f>
        <v>42403</v>
      </c>
      <c r="BD92" s="41">
        <f>_xll.qlDayCounterYearFraction(DayCounter,SettlementDate,BC92,,,Trigger)</f>
        <v>0.34444444444444444</v>
      </c>
      <c r="BE92" s="47" t="e">
        <f>_xll.qlPolynomialFunctionValue(BE$1,$BD92,AllTriggers)</f>
        <v>#VALUE!</v>
      </c>
      <c r="BF92" s="47" t="e">
        <f>_xll.qlPolynomialFunctionValue(BF$1,$BD92,AllTriggers)</f>
        <v>#VALUE!</v>
      </c>
      <c r="BG92" s="47" t="e">
        <f>_xll.qlPolynomialFunctionValue(BG$1,$BD92,AllTriggers)</f>
        <v>#VALUE!</v>
      </c>
      <c r="BH92" s="47" t="e">
        <f>_xll.qlPolynomialFunctionValue(BH$1,$BD92,AllTriggers)</f>
        <v>#VALUE!</v>
      </c>
      <c r="BI92" s="47" t="e">
        <f>_xll.qlPolynomialFunctionValue(BI$1,$BD92,AllTriggers)</f>
        <v>#VALUE!</v>
      </c>
      <c r="BJ92" s="47" t="e">
        <f>_xll.qlPolynomialFunctionValue(BJ$1,$BD92,AllTriggers)</f>
        <v>#VALUE!</v>
      </c>
      <c r="BK92" s="47" t="e">
        <f>_xll.qlPolynomialFunctionValue(BK$1,$BD92,AllTriggers)</f>
        <v>#VALUE!</v>
      </c>
      <c r="BL92" s="47" t="e">
        <f>_xll.qlPolynomialFunctionValue(BL$1,$BD92,AllTriggers)</f>
        <v>#VALUE!</v>
      </c>
      <c r="BM92" s="47" t="e">
        <f>_xll.qlPolynomialFunctionValue(BM$1,$BD92,AllTriggers)</f>
        <v>#VALUE!</v>
      </c>
      <c r="BN92" s="47" t="e">
        <f>_xll.qlPolynomialFunctionValue(BN$1,$BD92,AllTriggers)</f>
        <v>#VALUE!</v>
      </c>
      <c r="BO92" s="47" t="e">
        <f>_xll.qlPolynomialFunctionValue(BO$1,$BD92,AllTriggers)</f>
        <v>#VALUE!</v>
      </c>
      <c r="BP92" s="47" t="e">
        <f>_xll.qlPolynomialFunctionValue(BP$1,$BD92,AllTriggers)</f>
        <v>#VALUE!</v>
      </c>
      <c r="BQ92" s="47">
        <f>_xll.qlPolynomialFunctionValue('6MSynthDepo_used'!$P$18,BD92,AllTriggers)</f>
        <v>1.8901878241533595E-3</v>
      </c>
    </row>
    <row r="93" spans="8:69" x14ac:dyDescent="0.2">
      <c r="K93" s="55"/>
      <c r="L93" s="55"/>
      <c r="M93" s="55"/>
      <c r="N93" s="55"/>
      <c r="R93" s="34"/>
      <c r="S93" s="34"/>
      <c r="BC93" s="178">
        <f>_xll.qlCalendarAdvance(Calendar,BC92,"1d","mf",,Trigger)</f>
        <v>42404</v>
      </c>
      <c r="BD93" s="41">
        <f>_xll.qlDayCounterYearFraction(DayCounter,SettlementDate,BC93,,,Trigger)</f>
        <v>0.34722222222222221</v>
      </c>
      <c r="BE93" s="47" t="e">
        <f>_xll.qlPolynomialFunctionValue(BE$1,$BD93,AllTriggers)</f>
        <v>#VALUE!</v>
      </c>
      <c r="BF93" s="47" t="e">
        <f>_xll.qlPolynomialFunctionValue(BF$1,$BD93,AllTriggers)</f>
        <v>#VALUE!</v>
      </c>
      <c r="BG93" s="47" t="e">
        <f>_xll.qlPolynomialFunctionValue(BG$1,$BD93,AllTriggers)</f>
        <v>#VALUE!</v>
      </c>
      <c r="BH93" s="47" t="e">
        <f>_xll.qlPolynomialFunctionValue(BH$1,$BD93,AllTriggers)</f>
        <v>#VALUE!</v>
      </c>
      <c r="BI93" s="47" t="e">
        <f>_xll.qlPolynomialFunctionValue(BI$1,$BD93,AllTriggers)</f>
        <v>#VALUE!</v>
      </c>
      <c r="BJ93" s="47" t="e">
        <f>_xll.qlPolynomialFunctionValue(BJ$1,$BD93,AllTriggers)</f>
        <v>#VALUE!</v>
      </c>
      <c r="BK93" s="47" t="e">
        <f>_xll.qlPolynomialFunctionValue(BK$1,$BD93,AllTriggers)</f>
        <v>#VALUE!</v>
      </c>
      <c r="BL93" s="47" t="e">
        <f>_xll.qlPolynomialFunctionValue(BL$1,$BD93,AllTriggers)</f>
        <v>#VALUE!</v>
      </c>
      <c r="BM93" s="47" t="e">
        <f>_xll.qlPolynomialFunctionValue(BM$1,$BD93,AllTriggers)</f>
        <v>#VALUE!</v>
      </c>
      <c r="BN93" s="47" t="e">
        <f>_xll.qlPolynomialFunctionValue(BN$1,$BD93,AllTriggers)</f>
        <v>#VALUE!</v>
      </c>
      <c r="BO93" s="47" t="e">
        <f>_xll.qlPolynomialFunctionValue(BO$1,$BD93,AllTriggers)</f>
        <v>#VALUE!</v>
      </c>
      <c r="BP93" s="47" t="e">
        <f>_xll.qlPolynomialFunctionValue(BP$1,$BD93,AllTriggers)</f>
        <v>#VALUE!</v>
      </c>
      <c r="BQ93" s="47">
        <f>_xll.qlPolynomialFunctionValue('6MSynthDepo_used'!$P$18,BD93,AllTriggers)</f>
        <v>1.8918541168162252E-3</v>
      </c>
    </row>
    <row r="94" spans="8:69" x14ac:dyDescent="0.2">
      <c r="K94" s="55"/>
      <c r="L94" s="55"/>
      <c r="M94" s="55"/>
      <c r="N94" s="55"/>
      <c r="R94" s="34"/>
      <c r="S94" s="34"/>
      <c r="BC94" s="178">
        <f>_xll.qlCalendarAdvance(Calendar,BC93,"1d","mf",,Trigger)</f>
        <v>42405</v>
      </c>
      <c r="BD94" s="41">
        <f>_xll.qlDayCounterYearFraction(DayCounter,SettlementDate,BC94,,,Trigger)</f>
        <v>0.35</v>
      </c>
      <c r="BE94" s="47" t="e">
        <f>_xll.qlPolynomialFunctionValue(BE$1,$BD94,AllTriggers)</f>
        <v>#VALUE!</v>
      </c>
      <c r="BF94" s="47" t="e">
        <f>_xll.qlPolynomialFunctionValue(BF$1,$BD94,AllTriggers)</f>
        <v>#VALUE!</v>
      </c>
      <c r="BG94" s="47" t="e">
        <f>_xll.qlPolynomialFunctionValue(BG$1,$BD94,AllTriggers)</f>
        <v>#VALUE!</v>
      </c>
      <c r="BH94" s="47" t="e">
        <f>_xll.qlPolynomialFunctionValue(BH$1,$BD94,AllTriggers)</f>
        <v>#VALUE!</v>
      </c>
      <c r="BI94" s="47" t="e">
        <f>_xll.qlPolynomialFunctionValue(BI$1,$BD94,AllTriggers)</f>
        <v>#VALUE!</v>
      </c>
      <c r="BJ94" s="47" t="e">
        <f>_xll.qlPolynomialFunctionValue(BJ$1,$BD94,AllTriggers)</f>
        <v>#VALUE!</v>
      </c>
      <c r="BK94" s="47" t="e">
        <f>_xll.qlPolynomialFunctionValue(BK$1,$BD94,AllTriggers)</f>
        <v>#VALUE!</v>
      </c>
      <c r="BL94" s="47" t="e">
        <f>_xll.qlPolynomialFunctionValue(BL$1,$BD94,AllTriggers)</f>
        <v>#VALUE!</v>
      </c>
      <c r="BM94" s="47" t="e">
        <f>_xll.qlPolynomialFunctionValue(BM$1,$BD94,AllTriggers)</f>
        <v>#VALUE!</v>
      </c>
      <c r="BN94" s="47" t="e">
        <f>_xll.qlPolynomialFunctionValue(BN$1,$BD94,AllTriggers)</f>
        <v>#VALUE!</v>
      </c>
      <c r="BO94" s="47" t="e">
        <f>_xll.qlPolynomialFunctionValue(BO$1,$BD94,AllTriggers)</f>
        <v>#VALUE!</v>
      </c>
      <c r="BP94" s="47" t="e">
        <f>_xll.qlPolynomialFunctionValue(BP$1,$BD94,AllTriggers)</f>
        <v>#VALUE!</v>
      </c>
      <c r="BQ94" s="47">
        <f>_xll.qlPolynomialFunctionValue('6MSynthDepo_used'!$P$18,BD94,AllTriggers)</f>
        <v>1.8935158829141907E-3</v>
      </c>
    </row>
    <row r="95" spans="8:69" x14ac:dyDescent="0.2">
      <c r="K95" s="55"/>
      <c r="L95" s="55"/>
      <c r="M95" s="55"/>
      <c r="N95" s="55"/>
      <c r="R95" s="34"/>
      <c r="S95" s="34"/>
      <c r="BC95" s="178">
        <f>_xll.qlCalendarAdvance(Calendar,BC94,"1d","mf",,Trigger)</f>
        <v>42408</v>
      </c>
      <c r="BD95" s="41">
        <f>_xll.qlDayCounterYearFraction(DayCounter,SettlementDate,BC95,,,Trigger)</f>
        <v>0.35833333333333334</v>
      </c>
      <c r="BE95" s="47" t="e">
        <f>_xll.qlPolynomialFunctionValue(BE$1,$BD95,AllTriggers)</f>
        <v>#VALUE!</v>
      </c>
      <c r="BF95" s="47" t="e">
        <f>_xll.qlPolynomialFunctionValue(BF$1,$BD95,AllTriggers)</f>
        <v>#VALUE!</v>
      </c>
      <c r="BG95" s="47" t="e">
        <f>_xll.qlPolynomialFunctionValue(BG$1,$BD95,AllTriggers)</f>
        <v>#VALUE!</v>
      </c>
      <c r="BH95" s="47" t="e">
        <f>_xll.qlPolynomialFunctionValue(BH$1,$BD95,AllTriggers)</f>
        <v>#VALUE!</v>
      </c>
      <c r="BI95" s="47" t="e">
        <f>_xll.qlPolynomialFunctionValue(BI$1,$BD95,AllTriggers)</f>
        <v>#VALUE!</v>
      </c>
      <c r="BJ95" s="47" t="e">
        <f>_xll.qlPolynomialFunctionValue(BJ$1,$BD95,AllTriggers)</f>
        <v>#VALUE!</v>
      </c>
      <c r="BK95" s="47" t="e">
        <f>_xll.qlPolynomialFunctionValue(BK$1,$BD95,AllTriggers)</f>
        <v>#VALUE!</v>
      </c>
      <c r="BL95" s="47" t="e">
        <f>_xll.qlPolynomialFunctionValue(BL$1,$BD95,AllTriggers)</f>
        <v>#VALUE!</v>
      </c>
      <c r="BM95" s="47" t="e">
        <f>_xll.qlPolynomialFunctionValue(BM$1,$BD95,AllTriggers)</f>
        <v>#VALUE!</v>
      </c>
      <c r="BN95" s="47" t="e">
        <f>_xll.qlPolynomialFunctionValue(BN$1,$BD95,AllTriggers)</f>
        <v>#VALUE!</v>
      </c>
      <c r="BO95" s="47" t="e">
        <f>_xll.qlPolynomialFunctionValue(BO$1,$BD95,AllTriggers)</f>
        <v>#VALUE!</v>
      </c>
      <c r="BP95" s="47" t="e">
        <f>_xll.qlPolynomialFunctionValue(BP$1,$BD95,AllTriggers)</f>
        <v>#VALUE!</v>
      </c>
      <c r="BQ95" s="47">
        <f>_xll.qlPolynomialFunctionValue('6MSynthDepo_used'!$P$18,BD95,AllTriggers)</f>
        <v>1.8984741760649303E-3</v>
      </c>
    </row>
    <row r="96" spans="8:69" x14ac:dyDescent="0.2">
      <c r="K96" s="55"/>
      <c r="L96" s="55"/>
      <c r="M96" s="55"/>
      <c r="N96" s="55"/>
      <c r="R96" s="34"/>
      <c r="S96" s="34"/>
      <c r="BC96" s="178">
        <f>_xll.qlCalendarAdvance(Calendar,BC95,"1d","mf",,Trigger)</f>
        <v>42409</v>
      </c>
      <c r="BD96" s="41">
        <f>_xll.qlDayCounterYearFraction(DayCounter,SettlementDate,BC96,,,Trigger)</f>
        <v>0.3611111111111111</v>
      </c>
      <c r="BE96" s="47" t="e">
        <f>_xll.qlPolynomialFunctionValue(BE$1,$BD96,AllTriggers)</f>
        <v>#VALUE!</v>
      </c>
      <c r="BF96" s="47" t="e">
        <f>_xll.qlPolynomialFunctionValue(BF$1,$BD96,AllTriggers)</f>
        <v>#VALUE!</v>
      </c>
      <c r="BG96" s="47" t="e">
        <f>_xll.qlPolynomialFunctionValue(BG$1,$BD96,AllTriggers)</f>
        <v>#VALUE!</v>
      </c>
      <c r="BH96" s="47" t="e">
        <f>_xll.qlPolynomialFunctionValue(BH$1,$BD96,AllTriggers)</f>
        <v>#VALUE!</v>
      </c>
      <c r="BI96" s="47" t="e">
        <f>_xll.qlPolynomialFunctionValue(BI$1,$BD96,AllTriggers)</f>
        <v>#VALUE!</v>
      </c>
      <c r="BJ96" s="47" t="e">
        <f>_xll.qlPolynomialFunctionValue(BJ$1,$BD96,AllTriggers)</f>
        <v>#VALUE!</v>
      </c>
      <c r="BK96" s="47" t="e">
        <f>_xll.qlPolynomialFunctionValue(BK$1,$BD96,AllTriggers)</f>
        <v>#VALUE!</v>
      </c>
      <c r="BL96" s="47" t="e">
        <f>_xll.qlPolynomialFunctionValue(BL$1,$BD96,AllTriggers)</f>
        <v>#VALUE!</v>
      </c>
      <c r="BM96" s="47" t="e">
        <f>_xll.qlPolynomialFunctionValue(BM$1,$BD96,AllTriggers)</f>
        <v>#VALUE!</v>
      </c>
      <c r="BN96" s="47" t="e">
        <f>_xll.qlPolynomialFunctionValue(BN$1,$BD96,AllTriggers)</f>
        <v>#VALUE!</v>
      </c>
      <c r="BO96" s="47" t="e">
        <f>_xll.qlPolynomialFunctionValue(BO$1,$BD96,AllTriggers)</f>
        <v>#VALUE!</v>
      </c>
      <c r="BP96" s="47" t="e">
        <f>_xll.qlPolynomialFunctionValue(BP$1,$BD96,AllTriggers)</f>
        <v>#VALUE!</v>
      </c>
      <c r="BQ96" s="47">
        <f>_xll.qlPolynomialFunctionValue('6MSynthDepo_used'!$P$18,BD96,AllTriggers)</f>
        <v>1.90011799014954E-3</v>
      </c>
    </row>
    <row r="97" spans="11:69" x14ac:dyDescent="0.2">
      <c r="K97" s="55"/>
      <c r="L97" s="55"/>
      <c r="M97" s="55"/>
      <c r="N97" s="55"/>
      <c r="R97" s="34"/>
      <c r="S97" s="34"/>
      <c r="BC97" s="178">
        <f>_xll.qlCalendarAdvance(Calendar,BC96,"1d","mf",,Trigger)</f>
        <v>42410</v>
      </c>
      <c r="BD97" s="41">
        <f>_xll.qlDayCounterYearFraction(DayCounter,SettlementDate,BC97,,,Trigger)</f>
        <v>0.36388888888888887</v>
      </c>
      <c r="BE97" s="47" t="e">
        <f>_xll.qlPolynomialFunctionValue(BE$1,$BD97,AllTriggers)</f>
        <v>#VALUE!</v>
      </c>
      <c r="BF97" s="47" t="e">
        <f>_xll.qlPolynomialFunctionValue(BF$1,$BD97,AllTriggers)</f>
        <v>#VALUE!</v>
      </c>
      <c r="BG97" s="47" t="e">
        <f>_xll.qlPolynomialFunctionValue(BG$1,$BD97,AllTriggers)</f>
        <v>#VALUE!</v>
      </c>
      <c r="BH97" s="47" t="e">
        <f>_xll.qlPolynomialFunctionValue(BH$1,$BD97,AllTriggers)</f>
        <v>#VALUE!</v>
      </c>
      <c r="BI97" s="47" t="e">
        <f>_xll.qlPolynomialFunctionValue(BI$1,$BD97,AllTriggers)</f>
        <v>#VALUE!</v>
      </c>
      <c r="BJ97" s="47" t="e">
        <f>_xll.qlPolynomialFunctionValue(BJ$1,$BD97,AllTriggers)</f>
        <v>#VALUE!</v>
      </c>
      <c r="BK97" s="47" t="e">
        <f>_xll.qlPolynomialFunctionValue(BK$1,$BD97,AllTriggers)</f>
        <v>#VALUE!</v>
      </c>
      <c r="BL97" s="47" t="e">
        <f>_xll.qlPolynomialFunctionValue(BL$1,$BD97,AllTriggers)</f>
        <v>#VALUE!</v>
      </c>
      <c r="BM97" s="47" t="e">
        <f>_xll.qlPolynomialFunctionValue(BM$1,$BD97,AllTriggers)</f>
        <v>#VALUE!</v>
      </c>
      <c r="BN97" s="47" t="e">
        <f>_xll.qlPolynomialFunctionValue(BN$1,$BD97,AllTriggers)</f>
        <v>#VALUE!</v>
      </c>
      <c r="BO97" s="47" t="e">
        <f>_xll.qlPolynomialFunctionValue(BO$1,$BD97,AllTriggers)</f>
        <v>#VALUE!</v>
      </c>
      <c r="BP97" s="47" t="e">
        <f>_xll.qlPolynomialFunctionValue(BP$1,$BD97,AllTriggers)</f>
        <v>#VALUE!</v>
      </c>
      <c r="BQ97" s="47">
        <f>_xll.qlPolynomialFunctionValue('6MSynthDepo_used'!$P$18,BD97,AllTriggers)</f>
        <v>1.9017573547923726E-3</v>
      </c>
    </row>
    <row r="98" spans="11:69" x14ac:dyDescent="0.2">
      <c r="K98" s="55"/>
      <c r="L98" s="55"/>
      <c r="M98" s="55"/>
      <c r="N98" s="55"/>
      <c r="R98" s="34"/>
      <c r="S98" s="34"/>
      <c r="BC98" s="178">
        <f>_xll.qlCalendarAdvance(Calendar,BC97,"1d","mf",,Trigger)</f>
        <v>42411</v>
      </c>
      <c r="BD98" s="41">
        <f>_xll.qlDayCounterYearFraction(DayCounter,SettlementDate,BC98,,,Trigger)</f>
        <v>0.36666666666666664</v>
      </c>
      <c r="BE98" s="47" t="e">
        <f>_xll.qlPolynomialFunctionValue(BE$1,$BD98,AllTriggers)</f>
        <v>#VALUE!</v>
      </c>
      <c r="BF98" s="47" t="e">
        <f>_xll.qlPolynomialFunctionValue(BF$1,$BD98,AllTriggers)</f>
        <v>#VALUE!</v>
      </c>
      <c r="BG98" s="47" t="e">
        <f>_xll.qlPolynomialFunctionValue(BG$1,$BD98,AllTriggers)</f>
        <v>#VALUE!</v>
      </c>
      <c r="BH98" s="47" t="e">
        <f>_xll.qlPolynomialFunctionValue(BH$1,$BD98,AllTriggers)</f>
        <v>#VALUE!</v>
      </c>
      <c r="BI98" s="47" t="e">
        <f>_xll.qlPolynomialFunctionValue(BI$1,$BD98,AllTriggers)</f>
        <v>#VALUE!</v>
      </c>
      <c r="BJ98" s="47" t="e">
        <f>_xll.qlPolynomialFunctionValue(BJ$1,$BD98,AllTriggers)</f>
        <v>#VALUE!</v>
      </c>
      <c r="BK98" s="47" t="e">
        <f>_xll.qlPolynomialFunctionValue(BK$1,$BD98,AllTriggers)</f>
        <v>#VALUE!</v>
      </c>
      <c r="BL98" s="47" t="e">
        <f>_xll.qlPolynomialFunctionValue(BL$1,$BD98,AllTriggers)</f>
        <v>#VALUE!</v>
      </c>
      <c r="BM98" s="47" t="e">
        <f>_xll.qlPolynomialFunctionValue(BM$1,$BD98,AllTriggers)</f>
        <v>#VALUE!</v>
      </c>
      <c r="BN98" s="47" t="e">
        <f>_xll.qlPolynomialFunctionValue(BN$1,$BD98,AllTriggers)</f>
        <v>#VALUE!</v>
      </c>
      <c r="BO98" s="47" t="e">
        <f>_xll.qlPolynomialFunctionValue(BO$1,$BD98,AllTriggers)</f>
        <v>#VALUE!</v>
      </c>
      <c r="BP98" s="47" t="e">
        <f>_xll.qlPolynomialFunctionValue(BP$1,$BD98,AllTriggers)</f>
        <v>#VALUE!</v>
      </c>
      <c r="BQ98" s="47">
        <f>_xll.qlPolynomialFunctionValue('6MSynthDepo_used'!$P$18,BD98,AllTriggers)</f>
        <v>1.9033922854180525E-3</v>
      </c>
    </row>
    <row r="99" spans="11:69" x14ac:dyDescent="0.2">
      <c r="K99" s="55"/>
      <c r="L99" s="55"/>
      <c r="M99" s="55"/>
      <c r="N99" s="55"/>
      <c r="R99" s="34"/>
      <c r="S99" s="34"/>
      <c r="BC99" s="178">
        <f>_xll.qlCalendarAdvance(Calendar,BC98,"1d","mf",,Trigger)</f>
        <v>42412</v>
      </c>
      <c r="BD99" s="41">
        <f>_xll.qlDayCounterYearFraction(DayCounter,SettlementDate,BC99,,,Trigger)</f>
        <v>0.36944444444444446</v>
      </c>
      <c r="BE99" s="47" t="e">
        <f>_xll.qlPolynomialFunctionValue(BE$1,$BD99,AllTriggers)</f>
        <v>#VALUE!</v>
      </c>
      <c r="BF99" s="47" t="e">
        <f>_xll.qlPolynomialFunctionValue(BF$1,$BD99,AllTriggers)</f>
        <v>#VALUE!</v>
      </c>
      <c r="BG99" s="47" t="e">
        <f>_xll.qlPolynomialFunctionValue(BG$1,$BD99,AllTriggers)</f>
        <v>#VALUE!</v>
      </c>
      <c r="BH99" s="47" t="e">
        <f>_xll.qlPolynomialFunctionValue(BH$1,$BD99,AllTriggers)</f>
        <v>#VALUE!</v>
      </c>
      <c r="BI99" s="47" t="e">
        <f>_xll.qlPolynomialFunctionValue(BI$1,$BD99,AllTriggers)</f>
        <v>#VALUE!</v>
      </c>
      <c r="BJ99" s="47" t="e">
        <f>_xll.qlPolynomialFunctionValue(BJ$1,$BD99,AllTriggers)</f>
        <v>#VALUE!</v>
      </c>
      <c r="BK99" s="47" t="e">
        <f>_xll.qlPolynomialFunctionValue(BK$1,$BD99,AllTriggers)</f>
        <v>#VALUE!</v>
      </c>
      <c r="BL99" s="47" t="e">
        <f>_xll.qlPolynomialFunctionValue(BL$1,$BD99,AllTriggers)</f>
        <v>#VALUE!</v>
      </c>
      <c r="BM99" s="47" t="e">
        <f>_xll.qlPolynomialFunctionValue(BM$1,$BD99,AllTriggers)</f>
        <v>#VALUE!</v>
      </c>
      <c r="BN99" s="47" t="e">
        <f>_xll.qlPolynomialFunctionValue(BN$1,$BD99,AllTriggers)</f>
        <v>#VALUE!</v>
      </c>
      <c r="BO99" s="47" t="e">
        <f>_xll.qlPolynomialFunctionValue(BO$1,$BD99,AllTriggers)</f>
        <v>#VALUE!</v>
      </c>
      <c r="BP99" s="47" t="e">
        <f>_xll.qlPolynomialFunctionValue(BP$1,$BD99,AllTriggers)</f>
        <v>#VALUE!</v>
      </c>
      <c r="BQ99" s="47">
        <f>_xll.qlPolynomialFunctionValue('6MSynthDepo_used'!$P$18,BD99,AllTriggers)</f>
        <v>1.9050227974512046E-3</v>
      </c>
    </row>
    <row r="100" spans="11:69" x14ac:dyDescent="0.2">
      <c r="K100" s="55"/>
      <c r="L100" s="55"/>
      <c r="M100" s="55"/>
      <c r="N100" s="55"/>
      <c r="R100" s="34"/>
      <c r="S100" s="34"/>
      <c r="BC100" s="178">
        <f>_xll.qlCalendarAdvance(Calendar,BC99,"1d","mf",,Trigger)</f>
        <v>42415</v>
      </c>
      <c r="BD100" s="41">
        <f>_xll.qlDayCounterYearFraction(DayCounter,SettlementDate,BC100,,,Trigger)</f>
        <v>0.37777777777777777</v>
      </c>
      <c r="BE100" s="47" t="e">
        <f>_xll.qlPolynomialFunctionValue(BE$1,$BD100,AllTriggers)</f>
        <v>#VALUE!</v>
      </c>
      <c r="BF100" s="47" t="e">
        <f>_xll.qlPolynomialFunctionValue(BF$1,$BD100,AllTriggers)</f>
        <v>#VALUE!</v>
      </c>
      <c r="BG100" s="47" t="e">
        <f>_xll.qlPolynomialFunctionValue(BG$1,$BD100,AllTriggers)</f>
        <v>#VALUE!</v>
      </c>
      <c r="BH100" s="47" t="e">
        <f>_xll.qlPolynomialFunctionValue(BH$1,$BD100,AllTriggers)</f>
        <v>#VALUE!</v>
      </c>
      <c r="BI100" s="47" t="e">
        <f>_xll.qlPolynomialFunctionValue(BI$1,$BD100,AllTriggers)</f>
        <v>#VALUE!</v>
      </c>
      <c r="BJ100" s="47" t="e">
        <f>_xll.qlPolynomialFunctionValue(BJ$1,$BD100,AllTriggers)</f>
        <v>#VALUE!</v>
      </c>
      <c r="BK100" s="47" t="e">
        <f>_xll.qlPolynomialFunctionValue(BK$1,$BD100,AllTriggers)</f>
        <v>#VALUE!</v>
      </c>
      <c r="BL100" s="47" t="e">
        <f>_xll.qlPolynomialFunctionValue(BL$1,$BD100,AllTriggers)</f>
        <v>#VALUE!</v>
      </c>
      <c r="BM100" s="47" t="e">
        <f>_xll.qlPolynomialFunctionValue(BM$1,$BD100,AllTriggers)</f>
        <v>#VALUE!</v>
      </c>
      <c r="BN100" s="47" t="e">
        <f>_xll.qlPolynomialFunctionValue(BN$1,$BD100,AllTriggers)</f>
        <v>#VALUE!</v>
      </c>
      <c r="BO100" s="47" t="e">
        <f>_xll.qlPolynomialFunctionValue(BO$1,$BD100,AllTriggers)</f>
        <v>#VALUE!</v>
      </c>
      <c r="BP100" s="47" t="e">
        <f>_xll.qlPolynomialFunctionValue(BP$1,$BD100,AllTriggers)</f>
        <v>#VALUE!</v>
      </c>
      <c r="BQ100" s="47">
        <f>_xll.qlPolynomialFunctionValue('6MSynthDepo_used'!$P$18,BD100,AllTriggers)</f>
        <v>1.9098879762417394E-3</v>
      </c>
    </row>
    <row r="101" spans="11:69" x14ac:dyDescent="0.2">
      <c r="K101" s="55"/>
      <c r="L101" s="55"/>
      <c r="M101" s="55"/>
      <c r="N101" s="55"/>
      <c r="R101" s="34"/>
      <c r="S101" s="34"/>
      <c r="BC101" s="178">
        <f>_xll.qlCalendarAdvance(Calendar,BC100,"1d","mf",,Trigger)</f>
        <v>42416</v>
      </c>
      <c r="BD101" s="41">
        <f>_xll.qlDayCounterYearFraction(DayCounter,SettlementDate,BC101,,,Trigger)</f>
        <v>0.38055555555555554</v>
      </c>
      <c r="BE101" s="47" t="e">
        <f>_xll.qlPolynomialFunctionValue(BE$1,$BD101,AllTriggers)</f>
        <v>#VALUE!</v>
      </c>
      <c r="BF101" s="47" t="e">
        <f>_xll.qlPolynomialFunctionValue(BF$1,$BD101,AllTriggers)</f>
        <v>#VALUE!</v>
      </c>
      <c r="BG101" s="47" t="e">
        <f>_xll.qlPolynomialFunctionValue(BG$1,$BD101,AllTriggers)</f>
        <v>#VALUE!</v>
      </c>
      <c r="BH101" s="47" t="e">
        <f>_xll.qlPolynomialFunctionValue(BH$1,$BD101,AllTriggers)</f>
        <v>#VALUE!</v>
      </c>
      <c r="BI101" s="47" t="e">
        <f>_xll.qlPolynomialFunctionValue(BI$1,$BD101,AllTriggers)</f>
        <v>#VALUE!</v>
      </c>
      <c r="BJ101" s="47" t="e">
        <f>_xll.qlPolynomialFunctionValue(BJ$1,$BD101,AllTriggers)</f>
        <v>#VALUE!</v>
      </c>
      <c r="BK101" s="47" t="e">
        <f>_xll.qlPolynomialFunctionValue(BK$1,$BD101,AllTriggers)</f>
        <v>#VALUE!</v>
      </c>
      <c r="BL101" s="47" t="e">
        <f>_xll.qlPolynomialFunctionValue(BL$1,$BD101,AllTriggers)</f>
        <v>#VALUE!</v>
      </c>
      <c r="BM101" s="47" t="e">
        <f>_xll.qlPolynomialFunctionValue(BM$1,$BD101,AllTriggers)</f>
        <v>#VALUE!</v>
      </c>
      <c r="BN101" s="47" t="e">
        <f>_xll.qlPolynomialFunctionValue(BN$1,$BD101,AllTriggers)</f>
        <v>#VALUE!</v>
      </c>
      <c r="BO101" s="47" t="e">
        <f>_xll.qlPolynomialFunctionValue(BO$1,$BD101,AllTriggers)</f>
        <v>#VALUE!</v>
      </c>
      <c r="BP101" s="47" t="e">
        <f>_xll.qlPolynomialFunctionValue(BP$1,$BD101,AllTriggers)</f>
        <v>#VALUE!</v>
      </c>
      <c r="BQ101" s="47">
        <f>_xll.qlPolynomialFunctionValue('6MSynthDepo_used'!$P$18,BD101,AllTriggers)</f>
        <v>1.9115009681510257E-3</v>
      </c>
    </row>
    <row r="102" spans="11:69" x14ac:dyDescent="0.2">
      <c r="K102" s="55"/>
      <c r="L102" s="55"/>
      <c r="M102" s="55"/>
      <c r="N102" s="55"/>
      <c r="R102" s="34"/>
      <c r="S102" s="34"/>
      <c r="BC102" s="178">
        <f>_xll.qlCalendarAdvance(Calendar,BC101,"1d","mf",,Trigger)</f>
        <v>42417</v>
      </c>
      <c r="BD102" s="41">
        <f>_xll.qlDayCounterYearFraction(DayCounter,SettlementDate,BC102,,,Trigger)</f>
        <v>0.38333333333333336</v>
      </c>
      <c r="BE102" s="47" t="e">
        <f>_xll.qlPolynomialFunctionValue(BE$1,$BD102,AllTriggers)</f>
        <v>#VALUE!</v>
      </c>
      <c r="BF102" s="47" t="e">
        <f>_xll.qlPolynomialFunctionValue(BF$1,$BD102,AllTriggers)</f>
        <v>#VALUE!</v>
      </c>
      <c r="BG102" s="47" t="e">
        <f>_xll.qlPolynomialFunctionValue(BG$1,$BD102,AllTriggers)</f>
        <v>#VALUE!</v>
      </c>
      <c r="BH102" s="47" t="e">
        <f>_xll.qlPolynomialFunctionValue(BH$1,$BD102,AllTriggers)</f>
        <v>#VALUE!</v>
      </c>
      <c r="BI102" s="47" t="e">
        <f>_xll.qlPolynomialFunctionValue(BI$1,$BD102,AllTriggers)</f>
        <v>#VALUE!</v>
      </c>
      <c r="BJ102" s="47" t="e">
        <f>_xll.qlPolynomialFunctionValue(BJ$1,$BD102,AllTriggers)</f>
        <v>#VALUE!</v>
      </c>
      <c r="BK102" s="47" t="e">
        <f>_xll.qlPolynomialFunctionValue(BK$1,$BD102,AllTriggers)</f>
        <v>#VALUE!</v>
      </c>
      <c r="BL102" s="47" t="e">
        <f>_xll.qlPolynomialFunctionValue(BL$1,$BD102,AllTriggers)</f>
        <v>#VALUE!</v>
      </c>
      <c r="BM102" s="47" t="e">
        <f>_xll.qlPolynomialFunctionValue(BM$1,$BD102,AllTriggers)</f>
        <v>#VALUE!</v>
      </c>
      <c r="BN102" s="47" t="e">
        <f>_xll.qlPolynomialFunctionValue(BN$1,$BD102,AllTriggers)</f>
        <v>#VALUE!</v>
      </c>
      <c r="BO102" s="47" t="e">
        <f>_xll.qlPolynomialFunctionValue(BO$1,$BD102,AllTriggers)</f>
        <v>#VALUE!</v>
      </c>
      <c r="BP102" s="47" t="e">
        <f>_xll.qlPolynomialFunctionValue(BP$1,$BD102,AllTriggers)</f>
        <v>#VALUE!</v>
      </c>
      <c r="BQ102" s="47">
        <f>_xll.qlPolynomialFunctionValue('6MSynthDepo_used'!$P$18,BD102,AllTriggers)</f>
        <v>1.9131096185909077E-3</v>
      </c>
    </row>
    <row r="103" spans="11:69" x14ac:dyDescent="0.2">
      <c r="K103" s="55"/>
      <c r="L103" s="55"/>
      <c r="M103" s="55"/>
      <c r="N103" s="55"/>
      <c r="R103" s="34"/>
      <c r="S103" s="34"/>
      <c r="BC103" s="178">
        <f>_xll.qlCalendarAdvance(Calendar,BC102,"1d","mf",,Trigger)</f>
        <v>42418</v>
      </c>
      <c r="BD103" s="41">
        <f>_xll.qlDayCounterYearFraction(DayCounter,SettlementDate,BC103,,,Trigger)</f>
        <v>0.38611111111111113</v>
      </c>
      <c r="BE103" s="47" t="e">
        <f>_xll.qlPolynomialFunctionValue(BE$1,$BD103,AllTriggers)</f>
        <v>#VALUE!</v>
      </c>
      <c r="BF103" s="47" t="e">
        <f>_xll.qlPolynomialFunctionValue(BF$1,$BD103,AllTriggers)</f>
        <v>#VALUE!</v>
      </c>
      <c r="BG103" s="47" t="e">
        <f>_xll.qlPolynomialFunctionValue(BG$1,$BD103,AllTriggers)</f>
        <v>#VALUE!</v>
      </c>
      <c r="BH103" s="47" t="e">
        <f>_xll.qlPolynomialFunctionValue(BH$1,$BD103,AllTriggers)</f>
        <v>#VALUE!</v>
      </c>
      <c r="BI103" s="47" t="e">
        <f>_xll.qlPolynomialFunctionValue(BI$1,$BD103,AllTriggers)</f>
        <v>#VALUE!</v>
      </c>
      <c r="BJ103" s="47" t="e">
        <f>_xll.qlPolynomialFunctionValue(BJ$1,$BD103,AllTriggers)</f>
        <v>#VALUE!</v>
      </c>
      <c r="BK103" s="47" t="e">
        <f>_xll.qlPolynomialFunctionValue(BK$1,$BD103,AllTriggers)</f>
        <v>#VALUE!</v>
      </c>
      <c r="BL103" s="47" t="e">
        <f>_xll.qlPolynomialFunctionValue(BL$1,$BD103,AllTriggers)</f>
        <v>#VALUE!</v>
      </c>
      <c r="BM103" s="47" t="e">
        <f>_xll.qlPolynomialFunctionValue(BM$1,$BD103,AllTriggers)</f>
        <v>#VALUE!</v>
      </c>
      <c r="BN103" s="47" t="e">
        <f>_xll.qlPolynomialFunctionValue(BN$1,$BD103,AllTriggers)</f>
        <v>#VALUE!</v>
      </c>
      <c r="BO103" s="47" t="e">
        <f>_xll.qlPolynomialFunctionValue(BO$1,$BD103,AllTriggers)</f>
        <v>#VALUE!</v>
      </c>
      <c r="BP103" s="47" t="e">
        <f>_xll.qlPolynomialFunctionValue(BP$1,$BD103,AllTriggers)</f>
        <v>#VALUE!</v>
      </c>
      <c r="BQ103" s="47">
        <f>_xll.qlPolynomialFunctionValue('6MSynthDepo_used'!$P$18,BD103,AllTriggers)</f>
        <v>1.9147139429860098E-3</v>
      </c>
    </row>
    <row r="104" spans="11:69" x14ac:dyDescent="0.2">
      <c r="K104" s="55"/>
      <c r="L104" s="55"/>
      <c r="M104" s="55"/>
      <c r="N104" s="55"/>
      <c r="R104" s="34"/>
      <c r="S104" s="34"/>
      <c r="BC104" s="178">
        <f>_xll.qlCalendarAdvance(Calendar,BC103,"1d","mf",,Trigger)</f>
        <v>42419</v>
      </c>
      <c r="BD104" s="41">
        <f>_xll.qlDayCounterYearFraction(DayCounter,SettlementDate,BC104,,,Trigger)</f>
        <v>0.3888888888888889</v>
      </c>
      <c r="BE104" s="47" t="e">
        <f>_xll.qlPolynomialFunctionValue(BE$1,$BD104,AllTriggers)</f>
        <v>#VALUE!</v>
      </c>
      <c r="BF104" s="47" t="e">
        <f>_xll.qlPolynomialFunctionValue(BF$1,$BD104,AllTriggers)</f>
        <v>#VALUE!</v>
      </c>
      <c r="BG104" s="47" t="e">
        <f>_xll.qlPolynomialFunctionValue(BG$1,$BD104,AllTriggers)</f>
        <v>#VALUE!</v>
      </c>
      <c r="BH104" s="47" t="e">
        <f>_xll.qlPolynomialFunctionValue(BH$1,$BD104,AllTriggers)</f>
        <v>#VALUE!</v>
      </c>
      <c r="BI104" s="47" t="e">
        <f>_xll.qlPolynomialFunctionValue(BI$1,$BD104,AllTriggers)</f>
        <v>#VALUE!</v>
      </c>
      <c r="BJ104" s="47" t="e">
        <f>_xll.qlPolynomialFunctionValue(BJ$1,$BD104,AllTriggers)</f>
        <v>#VALUE!</v>
      </c>
      <c r="BK104" s="47" t="e">
        <f>_xll.qlPolynomialFunctionValue(BK$1,$BD104,AllTriggers)</f>
        <v>#VALUE!</v>
      </c>
      <c r="BL104" s="47" t="e">
        <f>_xll.qlPolynomialFunctionValue(BL$1,$BD104,AllTriggers)</f>
        <v>#VALUE!</v>
      </c>
      <c r="BM104" s="47" t="e">
        <f>_xll.qlPolynomialFunctionValue(BM$1,$BD104,AllTriggers)</f>
        <v>#VALUE!</v>
      </c>
      <c r="BN104" s="47" t="e">
        <f>_xll.qlPolynomialFunctionValue(BN$1,$BD104,AllTriggers)</f>
        <v>#VALUE!</v>
      </c>
      <c r="BO104" s="47" t="e">
        <f>_xll.qlPolynomialFunctionValue(BO$1,$BD104,AllTriggers)</f>
        <v>#VALUE!</v>
      </c>
      <c r="BP104" s="47" t="e">
        <f>_xll.qlPolynomialFunctionValue(BP$1,$BD104,AllTriggers)</f>
        <v>#VALUE!</v>
      </c>
      <c r="BQ104" s="47">
        <f>_xll.qlPolynomialFunctionValue('6MSynthDepo_used'!$P$18,BD104,AllTriggers)</f>
        <v>1.9163139567609563E-3</v>
      </c>
    </row>
    <row r="105" spans="11:69" x14ac:dyDescent="0.2">
      <c r="R105" s="34"/>
      <c r="S105" s="34"/>
      <c r="BC105" s="178">
        <f>_xll.qlCalendarAdvance(Calendar,BC104,"1d","mf",,Trigger)</f>
        <v>42422</v>
      </c>
      <c r="BD105" s="41">
        <f>_xll.qlDayCounterYearFraction(DayCounter,SettlementDate,BC105,,,Trigger)</f>
        <v>0.3972222222222222</v>
      </c>
      <c r="BE105" s="47" t="e">
        <f>_xll.qlPolynomialFunctionValue(BE$1,$BD105,AllTriggers)</f>
        <v>#VALUE!</v>
      </c>
      <c r="BF105" s="47" t="e">
        <f>_xll.qlPolynomialFunctionValue(BF$1,$BD105,AllTriggers)</f>
        <v>#VALUE!</v>
      </c>
      <c r="BG105" s="47" t="e">
        <f>_xll.qlPolynomialFunctionValue(BG$1,$BD105,AllTriggers)</f>
        <v>#VALUE!</v>
      </c>
      <c r="BH105" s="47" t="e">
        <f>_xll.qlPolynomialFunctionValue(BH$1,$BD105,AllTriggers)</f>
        <v>#VALUE!</v>
      </c>
      <c r="BI105" s="47" t="e">
        <f>_xll.qlPolynomialFunctionValue(BI$1,$BD105,AllTriggers)</f>
        <v>#VALUE!</v>
      </c>
      <c r="BJ105" s="47" t="e">
        <f>_xll.qlPolynomialFunctionValue(BJ$1,$BD105,AllTriggers)</f>
        <v>#VALUE!</v>
      </c>
      <c r="BK105" s="47" t="e">
        <f>_xll.qlPolynomialFunctionValue(BK$1,$BD105,AllTriggers)</f>
        <v>#VALUE!</v>
      </c>
      <c r="BL105" s="47" t="e">
        <f>_xll.qlPolynomialFunctionValue(BL$1,$BD105,AllTriggers)</f>
        <v>#VALUE!</v>
      </c>
      <c r="BM105" s="47" t="e">
        <f>_xll.qlPolynomialFunctionValue(BM$1,$BD105,AllTriggers)</f>
        <v>#VALUE!</v>
      </c>
      <c r="BN105" s="47" t="e">
        <f>_xll.qlPolynomialFunctionValue(BN$1,$BD105,AllTriggers)</f>
        <v>#VALUE!</v>
      </c>
      <c r="BO105" s="47" t="e">
        <f>_xll.qlPolynomialFunctionValue(BO$1,$BD105,AllTriggers)</f>
        <v>#VALUE!</v>
      </c>
      <c r="BP105" s="47" t="e">
        <f>_xll.qlPolynomialFunctionValue(BP$1,$BD105,AllTriggers)</f>
        <v>#VALUE!</v>
      </c>
      <c r="BQ105" s="47">
        <f>_xll.qlPolynomialFunctionValue('6MSynthDepo_used'!$P$18,BD105,AllTriggers)</f>
        <v>1.9210882886111099E-3</v>
      </c>
    </row>
    <row r="106" spans="11:69" x14ac:dyDescent="0.2">
      <c r="R106" s="34"/>
      <c r="S106" s="34"/>
      <c r="BC106" s="178">
        <f>_xll.qlCalendarAdvance(Calendar,BC105,"1d","mf",,Trigger)</f>
        <v>42423</v>
      </c>
      <c r="BD106" s="41">
        <f>_xll.qlDayCounterYearFraction(DayCounter,SettlementDate,BC106,,,Trigger)</f>
        <v>0.4</v>
      </c>
      <c r="BE106" s="47" t="e">
        <f>_xll.qlPolynomialFunctionValue(BE$1,$BD106,AllTriggers)</f>
        <v>#VALUE!</v>
      </c>
      <c r="BF106" s="47" t="e">
        <f>_xll.qlPolynomialFunctionValue(BF$1,$BD106,AllTriggers)</f>
        <v>#VALUE!</v>
      </c>
      <c r="BG106" s="47" t="e">
        <f>_xll.qlPolynomialFunctionValue(BG$1,$BD106,AllTriggers)</f>
        <v>#VALUE!</v>
      </c>
      <c r="BH106" s="47" t="e">
        <f>_xll.qlPolynomialFunctionValue(BH$1,$BD106,AllTriggers)</f>
        <v>#VALUE!</v>
      </c>
      <c r="BI106" s="47" t="e">
        <f>_xll.qlPolynomialFunctionValue(BI$1,$BD106,AllTriggers)</f>
        <v>#VALUE!</v>
      </c>
      <c r="BJ106" s="47" t="e">
        <f>_xll.qlPolynomialFunctionValue(BJ$1,$BD106,AllTriggers)</f>
        <v>#VALUE!</v>
      </c>
      <c r="BK106" s="47" t="e">
        <f>_xll.qlPolynomialFunctionValue(BK$1,$BD106,AllTriggers)</f>
        <v>#VALUE!</v>
      </c>
      <c r="BL106" s="47" t="e">
        <f>_xll.qlPolynomialFunctionValue(BL$1,$BD106,AllTriggers)</f>
        <v>#VALUE!</v>
      </c>
      <c r="BM106" s="47" t="e">
        <f>_xll.qlPolynomialFunctionValue(BM$1,$BD106,AllTriggers)</f>
        <v>#VALUE!</v>
      </c>
      <c r="BN106" s="47" t="e">
        <f>_xll.qlPolynomialFunctionValue(BN$1,$BD106,AllTriggers)</f>
        <v>#VALUE!</v>
      </c>
      <c r="BO106" s="47" t="e">
        <f>_xll.qlPolynomialFunctionValue(BO$1,$BD106,AllTriggers)</f>
        <v>#VALUE!</v>
      </c>
      <c r="BP106" s="47" t="e">
        <f>_xll.qlPolynomialFunctionValue(BP$1,$BD106,AllTriggers)</f>
        <v>#VALUE!</v>
      </c>
      <c r="BQ106" s="47">
        <f>_xll.qlPolynomialFunctionValue('6MSynthDepo_used'!$P$18,BD106,AllTriggers)</f>
        <v>1.9226712141516807E-3</v>
      </c>
    </row>
    <row r="107" spans="11:69" x14ac:dyDescent="0.2">
      <c r="R107" s="34"/>
      <c r="S107" s="34"/>
      <c r="BC107" s="178">
        <f>_xll.qlCalendarAdvance(Calendar,BC106,"1d","mf",,Trigger)</f>
        <v>42424</v>
      </c>
      <c r="BD107" s="41">
        <f>_xll.qlDayCounterYearFraction(DayCounter,SettlementDate,BC107,,,Trigger)</f>
        <v>0.40277777777777779</v>
      </c>
      <c r="BE107" s="47" t="e">
        <f>_xll.qlPolynomialFunctionValue(BE$1,$BD107,AllTriggers)</f>
        <v>#VALUE!</v>
      </c>
      <c r="BF107" s="47" t="e">
        <f>_xll.qlPolynomialFunctionValue(BF$1,$BD107,AllTriggers)</f>
        <v>#VALUE!</v>
      </c>
      <c r="BG107" s="47" t="e">
        <f>_xll.qlPolynomialFunctionValue(BG$1,$BD107,AllTriggers)</f>
        <v>#VALUE!</v>
      </c>
      <c r="BH107" s="47" t="e">
        <f>_xll.qlPolynomialFunctionValue(BH$1,$BD107,AllTriggers)</f>
        <v>#VALUE!</v>
      </c>
      <c r="BI107" s="47" t="e">
        <f>_xll.qlPolynomialFunctionValue(BI$1,$BD107,AllTriggers)</f>
        <v>#VALUE!</v>
      </c>
      <c r="BJ107" s="47" t="e">
        <f>_xll.qlPolynomialFunctionValue(BJ$1,$BD107,AllTriggers)</f>
        <v>#VALUE!</v>
      </c>
      <c r="BK107" s="47" t="e">
        <f>_xll.qlPolynomialFunctionValue(BK$1,$BD107,AllTriggers)</f>
        <v>#VALUE!</v>
      </c>
      <c r="BL107" s="47" t="e">
        <f>_xll.qlPolynomialFunctionValue(BL$1,$BD107,AllTriggers)</f>
        <v>#VALUE!</v>
      </c>
      <c r="BM107" s="47" t="e">
        <f>_xll.qlPolynomialFunctionValue(BM$1,$BD107,AllTriggers)</f>
        <v>#VALUE!</v>
      </c>
      <c r="BN107" s="47" t="e">
        <f>_xll.qlPolynomialFunctionValue(BN$1,$BD107,AllTriggers)</f>
        <v>#VALUE!</v>
      </c>
      <c r="BO107" s="47" t="e">
        <f>_xll.qlPolynomialFunctionValue(BO$1,$BD107,AllTriggers)</f>
        <v>#VALUE!</v>
      </c>
      <c r="BP107" s="47" t="e">
        <f>_xll.qlPolynomialFunctionValue(BP$1,$BD107,AllTriggers)</f>
        <v>#VALUE!</v>
      </c>
      <c r="BQ107" s="47">
        <f>_xll.qlPolynomialFunctionValue('6MSynthDepo_used'!$P$18,BD107,AllTriggers)</f>
        <v>1.92424990619522E-3</v>
      </c>
    </row>
    <row r="108" spans="11:69" x14ac:dyDescent="0.2">
      <c r="R108" s="34"/>
      <c r="S108" s="34"/>
      <c r="BC108" s="178">
        <f>_xll.qlCalendarAdvance(Calendar,BC107,"1d","mf",,Trigger)</f>
        <v>42425</v>
      </c>
      <c r="BD108" s="41">
        <f>_xll.qlDayCounterYearFraction(DayCounter,SettlementDate,BC108,,,Trigger)</f>
        <v>0.40555555555555556</v>
      </c>
      <c r="BE108" s="47" t="e">
        <f>_xll.qlPolynomialFunctionValue(BE$1,$BD108,AllTriggers)</f>
        <v>#VALUE!</v>
      </c>
      <c r="BF108" s="47" t="e">
        <f>_xll.qlPolynomialFunctionValue(BF$1,$BD108,AllTriggers)</f>
        <v>#VALUE!</v>
      </c>
      <c r="BG108" s="47" t="e">
        <f>_xll.qlPolynomialFunctionValue(BG$1,$BD108,AllTriggers)</f>
        <v>#VALUE!</v>
      </c>
      <c r="BH108" s="47" t="e">
        <f>_xll.qlPolynomialFunctionValue(BH$1,$BD108,AllTriggers)</f>
        <v>#VALUE!</v>
      </c>
      <c r="BI108" s="47" t="e">
        <f>_xll.qlPolynomialFunctionValue(BI$1,$BD108,AllTriggers)</f>
        <v>#VALUE!</v>
      </c>
      <c r="BJ108" s="47" t="e">
        <f>_xll.qlPolynomialFunctionValue(BJ$1,$BD108,AllTriggers)</f>
        <v>#VALUE!</v>
      </c>
      <c r="BK108" s="47" t="e">
        <f>_xll.qlPolynomialFunctionValue(BK$1,$BD108,AllTriggers)</f>
        <v>#VALUE!</v>
      </c>
      <c r="BL108" s="47" t="e">
        <f>_xll.qlPolynomialFunctionValue(BL$1,$BD108,AllTriggers)</f>
        <v>#VALUE!</v>
      </c>
      <c r="BM108" s="47" t="e">
        <f>_xll.qlPolynomialFunctionValue(BM$1,$BD108,AllTriggers)</f>
        <v>#VALUE!</v>
      </c>
      <c r="BN108" s="47" t="e">
        <f>_xll.qlPolynomialFunctionValue(BN$1,$BD108,AllTriggers)</f>
        <v>#VALUE!</v>
      </c>
      <c r="BO108" s="47" t="e">
        <f>_xll.qlPolynomialFunctionValue(BO$1,$BD108,AllTriggers)</f>
        <v>#VALUE!</v>
      </c>
      <c r="BP108" s="47" t="e">
        <f>_xll.qlPolynomialFunctionValue(BP$1,$BD108,AllTriggers)</f>
        <v>#VALUE!</v>
      </c>
      <c r="BQ108" s="47">
        <f>_xll.qlPolynomialFunctionValue('6MSynthDepo_used'!$P$18,BD108,AllTriggers)</f>
        <v>1.9258243801663518E-3</v>
      </c>
    </row>
    <row r="109" spans="11:69" x14ac:dyDescent="0.2">
      <c r="R109" s="34"/>
      <c r="S109" s="34"/>
      <c r="BC109" s="178">
        <f>_xll.qlCalendarAdvance(Calendar,BC108,"1d","mf",,Trigger)</f>
        <v>42426</v>
      </c>
      <c r="BD109" s="41">
        <f>_xll.qlDayCounterYearFraction(DayCounter,SettlementDate,BC109,,,Trigger)</f>
        <v>0.40833333333333333</v>
      </c>
      <c r="BE109" s="47" t="e">
        <f>_xll.qlPolynomialFunctionValue(BE$1,$BD109,AllTriggers)</f>
        <v>#VALUE!</v>
      </c>
      <c r="BF109" s="47" t="e">
        <f>_xll.qlPolynomialFunctionValue(BF$1,$BD109,AllTriggers)</f>
        <v>#VALUE!</v>
      </c>
      <c r="BG109" s="47" t="e">
        <f>_xll.qlPolynomialFunctionValue(BG$1,$BD109,AllTriggers)</f>
        <v>#VALUE!</v>
      </c>
      <c r="BH109" s="47" t="e">
        <f>_xll.qlPolynomialFunctionValue(BH$1,$BD109,AllTriggers)</f>
        <v>#VALUE!</v>
      </c>
      <c r="BI109" s="47" t="e">
        <f>_xll.qlPolynomialFunctionValue(BI$1,$BD109,AllTriggers)</f>
        <v>#VALUE!</v>
      </c>
      <c r="BJ109" s="47" t="e">
        <f>_xll.qlPolynomialFunctionValue(BJ$1,$BD109,AllTriggers)</f>
        <v>#VALUE!</v>
      </c>
      <c r="BK109" s="47" t="e">
        <f>_xll.qlPolynomialFunctionValue(BK$1,$BD109,AllTriggers)</f>
        <v>#VALUE!</v>
      </c>
      <c r="BL109" s="47" t="e">
        <f>_xll.qlPolynomialFunctionValue(BL$1,$BD109,AllTriggers)</f>
        <v>#VALUE!</v>
      </c>
      <c r="BM109" s="47" t="e">
        <f>_xll.qlPolynomialFunctionValue(BM$1,$BD109,AllTriggers)</f>
        <v>#VALUE!</v>
      </c>
      <c r="BN109" s="47" t="e">
        <f>_xll.qlPolynomialFunctionValue(BN$1,$BD109,AllTriggers)</f>
        <v>#VALUE!</v>
      </c>
      <c r="BO109" s="47" t="e">
        <f>_xll.qlPolynomialFunctionValue(BO$1,$BD109,AllTriggers)</f>
        <v>#VALUE!</v>
      </c>
      <c r="BP109" s="47" t="e">
        <f>_xll.qlPolynomialFunctionValue(BP$1,$BD109,AllTriggers)</f>
        <v>#VALUE!</v>
      </c>
      <c r="BQ109" s="47">
        <f>_xll.qlPolynomialFunctionValue('6MSynthDepo_used'!$P$18,BD109,AllTriggers)</f>
        <v>1.927394651489701E-3</v>
      </c>
    </row>
    <row r="110" spans="11:69" x14ac:dyDescent="0.2">
      <c r="R110" s="34"/>
      <c r="S110" s="34"/>
      <c r="BC110" s="178">
        <f>_xll.qlCalendarAdvance(Calendar,BC109,"1d","mf",,Trigger)</f>
        <v>42429</v>
      </c>
      <c r="BD110" s="41">
        <f>_xll.qlDayCounterYearFraction(DayCounter,SettlementDate,BC110,,,Trigger)</f>
        <v>0.41666666666666669</v>
      </c>
      <c r="BE110" s="47" t="e">
        <f>_xll.qlPolynomialFunctionValue(BE$1,$BD110,AllTriggers)</f>
        <v>#VALUE!</v>
      </c>
      <c r="BF110" s="47" t="e">
        <f>_xll.qlPolynomialFunctionValue(BF$1,$BD110,AllTriggers)</f>
        <v>#VALUE!</v>
      </c>
      <c r="BG110" s="47" t="e">
        <f>_xll.qlPolynomialFunctionValue(BG$1,$BD110,AllTriggers)</f>
        <v>#VALUE!</v>
      </c>
      <c r="BH110" s="47" t="e">
        <f>_xll.qlPolynomialFunctionValue(BH$1,$BD110,AllTriggers)</f>
        <v>#VALUE!</v>
      </c>
      <c r="BI110" s="47" t="e">
        <f>_xll.qlPolynomialFunctionValue(BI$1,$BD110,AllTriggers)</f>
        <v>#VALUE!</v>
      </c>
      <c r="BJ110" s="47" t="e">
        <f>_xll.qlPolynomialFunctionValue(BJ$1,$BD110,AllTriggers)</f>
        <v>#VALUE!</v>
      </c>
      <c r="BK110" s="47" t="e">
        <f>_xll.qlPolynomialFunctionValue(BK$1,$BD110,AllTriggers)</f>
        <v>#VALUE!</v>
      </c>
      <c r="BL110" s="47" t="e">
        <f>_xll.qlPolynomialFunctionValue(BL$1,$BD110,AllTriggers)</f>
        <v>#VALUE!</v>
      </c>
      <c r="BM110" s="47" t="e">
        <f>_xll.qlPolynomialFunctionValue(BM$1,$BD110,AllTriggers)</f>
        <v>#VALUE!</v>
      </c>
      <c r="BN110" s="47" t="e">
        <f>_xll.qlPolynomialFunctionValue(BN$1,$BD110,AllTriggers)</f>
        <v>#VALUE!</v>
      </c>
      <c r="BO110" s="47" t="e">
        <f>_xll.qlPolynomialFunctionValue(BO$1,$BD110,AllTriggers)</f>
        <v>#VALUE!</v>
      </c>
      <c r="BP110" s="47" t="e">
        <f>_xll.qlPolynomialFunctionValue(BP$1,$BD110,AllTriggers)</f>
        <v>#VALUE!</v>
      </c>
      <c r="BQ110" s="47">
        <f>_xll.qlPolynomialFunctionValue('6MSynthDepo_used'!$P$18,BD110,AllTriggers)</f>
        <v>1.9320804038192971E-3</v>
      </c>
    </row>
    <row r="111" spans="11:69" x14ac:dyDescent="0.2">
      <c r="R111" s="34"/>
      <c r="S111" s="34"/>
      <c r="BC111" s="178">
        <f>_xll.qlCalendarAdvance(Calendar,BC110,"1d","mf",,Trigger)</f>
        <v>42430</v>
      </c>
      <c r="BD111" s="41">
        <f>_xll.qlDayCounterYearFraction(DayCounter,SettlementDate,BC111,,,Trigger)</f>
        <v>0.41944444444444445</v>
      </c>
      <c r="BE111" s="47" t="e">
        <f>_xll.qlPolynomialFunctionValue(BE$1,$BD111,AllTriggers)</f>
        <v>#VALUE!</v>
      </c>
      <c r="BF111" s="47" t="e">
        <f>_xll.qlPolynomialFunctionValue(BF$1,$BD111,AllTriggers)</f>
        <v>#VALUE!</v>
      </c>
      <c r="BG111" s="47" t="e">
        <f>_xll.qlPolynomialFunctionValue(BG$1,$BD111,AllTriggers)</f>
        <v>#VALUE!</v>
      </c>
      <c r="BH111" s="47" t="e">
        <f>_xll.qlPolynomialFunctionValue(BH$1,$BD111,AllTriggers)</f>
        <v>#VALUE!</v>
      </c>
      <c r="BI111" s="47" t="e">
        <f>_xll.qlPolynomialFunctionValue(BI$1,$BD111,AllTriggers)</f>
        <v>#VALUE!</v>
      </c>
      <c r="BJ111" s="47" t="e">
        <f>_xll.qlPolynomialFunctionValue(BJ$1,$BD111,AllTriggers)</f>
        <v>#VALUE!</v>
      </c>
      <c r="BK111" s="47" t="e">
        <f>_xll.qlPolynomialFunctionValue(BK$1,$BD111,AllTriggers)</f>
        <v>#VALUE!</v>
      </c>
      <c r="BL111" s="47" t="e">
        <f>_xll.qlPolynomialFunctionValue(BL$1,$BD111,AllTriggers)</f>
        <v>#VALUE!</v>
      </c>
      <c r="BM111" s="47" t="e">
        <f>_xll.qlPolynomialFunctionValue(BM$1,$BD111,AllTriggers)</f>
        <v>#VALUE!</v>
      </c>
      <c r="BN111" s="47" t="e">
        <f>_xll.qlPolynomialFunctionValue(BN$1,$BD111,AllTriggers)</f>
        <v>#VALUE!</v>
      </c>
      <c r="BO111" s="47" t="e">
        <f>_xll.qlPolynomialFunctionValue(BO$1,$BD111,AllTriggers)</f>
        <v>#VALUE!</v>
      </c>
      <c r="BP111" s="47" t="e">
        <f>_xll.qlPolynomialFunctionValue(BP$1,$BD111,AllTriggers)</f>
        <v>#VALUE!</v>
      </c>
      <c r="BQ111" s="47">
        <f>_xll.qlPolynomialFunctionValue('6MSynthDepo_used'!$P$18,BD111,AllTriggers)</f>
        <v>1.9336340187977607E-3</v>
      </c>
    </row>
    <row r="112" spans="11:69" x14ac:dyDescent="0.2">
      <c r="R112" s="34"/>
      <c r="S112" s="34"/>
      <c r="BC112" s="178">
        <f>_xll.qlCalendarAdvance(Calendar,BC111,"1d","mf",,Trigger)</f>
        <v>42431</v>
      </c>
      <c r="BD112" s="41">
        <f>_xll.qlDayCounterYearFraction(DayCounter,SettlementDate,BC112,,,Trigger)</f>
        <v>0.42222222222222222</v>
      </c>
      <c r="BE112" s="47" t="e">
        <f>_xll.qlPolynomialFunctionValue(BE$1,$BD112,AllTriggers)</f>
        <v>#VALUE!</v>
      </c>
      <c r="BF112" s="47" t="e">
        <f>_xll.qlPolynomialFunctionValue(BF$1,$BD112,AllTriggers)</f>
        <v>#VALUE!</v>
      </c>
      <c r="BG112" s="47" t="e">
        <f>_xll.qlPolynomialFunctionValue(BG$1,$BD112,AllTriggers)</f>
        <v>#VALUE!</v>
      </c>
      <c r="BH112" s="47" t="e">
        <f>_xll.qlPolynomialFunctionValue(BH$1,$BD112,AllTriggers)</f>
        <v>#VALUE!</v>
      </c>
      <c r="BI112" s="47" t="e">
        <f>_xll.qlPolynomialFunctionValue(BI$1,$BD112,AllTriggers)</f>
        <v>#VALUE!</v>
      </c>
      <c r="BJ112" s="47" t="e">
        <f>_xll.qlPolynomialFunctionValue(BJ$1,$BD112,AllTriggers)</f>
        <v>#VALUE!</v>
      </c>
      <c r="BK112" s="47" t="e">
        <f>_xll.qlPolynomialFunctionValue(BK$1,$BD112,AllTriggers)</f>
        <v>#VALUE!</v>
      </c>
      <c r="BL112" s="47" t="e">
        <f>_xll.qlPolynomialFunctionValue(BL$1,$BD112,AllTriggers)</f>
        <v>#VALUE!</v>
      </c>
      <c r="BM112" s="47" t="e">
        <f>_xll.qlPolynomialFunctionValue(BM$1,$BD112,AllTriggers)</f>
        <v>#VALUE!</v>
      </c>
      <c r="BN112" s="47" t="e">
        <f>_xll.qlPolynomialFunctionValue(BN$1,$BD112,AllTriggers)</f>
        <v>#VALUE!</v>
      </c>
      <c r="BO112" s="47" t="e">
        <f>_xll.qlPolynomialFunctionValue(BO$1,$BD112,AllTriggers)</f>
        <v>#VALUE!</v>
      </c>
      <c r="BP112" s="47" t="e">
        <f>_xll.qlPolynomialFunctionValue(BP$1,$BD112,AllTriggers)</f>
        <v>#VALUE!</v>
      </c>
      <c r="BQ112" s="47">
        <f>_xll.qlPolynomialFunctionValue('6MSynthDepo_used'!$P$18,BD112,AllTriggers)</f>
        <v>1.9351835082515652E-3</v>
      </c>
    </row>
    <row r="113" spans="18:69" x14ac:dyDescent="0.2">
      <c r="R113" s="34"/>
      <c r="S113" s="34"/>
      <c r="BC113" s="178">
        <f>_xll.qlCalendarAdvance(Calendar,BC112,"1d","mf",,Trigger)</f>
        <v>42432</v>
      </c>
      <c r="BD113" s="41">
        <f>_xll.qlDayCounterYearFraction(DayCounter,SettlementDate,BC113,,,Trigger)</f>
        <v>0.42499999999999999</v>
      </c>
      <c r="BE113" s="47" t="e">
        <f>_xll.qlPolynomialFunctionValue(BE$1,$BD113,AllTriggers)</f>
        <v>#VALUE!</v>
      </c>
      <c r="BF113" s="47" t="e">
        <f>_xll.qlPolynomialFunctionValue(BF$1,$BD113,AllTriggers)</f>
        <v>#VALUE!</v>
      </c>
      <c r="BG113" s="47" t="e">
        <f>_xll.qlPolynomialFunctionValue(BG$1,$BD113,AllTriggers)</f>
        <v>#VALUE!</v>
      </c>
      <c r="BH113" s="47" t="e">
        <f>_xll.qlPolynomialFunctionValue(BH$1,$BD113,AllTriggers)</f>
        <v>#VALUE!</v>
      </c>
      <c r="BI113" s="47" t="e">
        <f>_xll.qlPolynomialFunctionValue(BI$1,$BD113,AllTriggers)</f>
        <v>#VALUE!</v>
      </c>
      <c r="BJ113" s="47" t="e">
        <f>_xll.qlPolynomialFunctionValue(BJ$1,$BD113,AllTriggers)</f>
        <v>#VALUE!</v>
      </c>
      <c r="BK113" s="47" t="e">
        <f>_xll.qlPolynomialFunctionValue(BK$1,$BD113,AllTriggers)</f>
        <v>#VALUE!</v>
      </c>
      <c r="BL113" s="47" t="e">
        <f>_xll.qlPolynomialFunctionValue(BL$1,$BD113,AllTriggers)</f>
        <v>#VALUE!</v>
      </c>
      <c r="BM113" s="47" t="e">
        <f>_xll.qlPolynomialFunctionValue(BM$1,$BD113,AllTriggers)</f>
        <v>#VALUE!</v>
      </c>
      <c r="BN113" s="47" t="e">
        <f>_xll.qlPolynomialFunctionValue(BN$1,$BD113,AllTriggers)</f>
        <v>#VALUE!</v>
      </c>
      <c r="BO113" s="47" t="e">
        <f>_xll.qlPolynomialFunctionValue(BO$1,$BD113,AllTriggers)</f>
        <v>#VALUE!</v>
      </c>
      <c r="BP113" s="47" t="e">
        <f>_xll.qlPolynomialFunctionValue(BP$1,$BD113,AllTriggers)</f>
        <v>#VALUE!</v>
      </c>
      <c r="BQ113" s="47">
        <f>_xll.qlPolynomialFunctionValue('6MSynthDepo_used'!$P$18,BD113,AllTriggers)</f>
        <v>1.9367288876053347E-3</v>
      </c>
    </row>
    <row r="114" spans="18:69" x14ac:dyDescent="0.2">
      <c r="R114" s="34"/>
      <c r="S114" s="34"/>
      <c r="BC114" s="178">
        <f>_xll.qlCalendarAdvance(Calendar,BC113,"1d","mf",,Trigger)</f>
        <v>42433</v>
      </c>
      <c r="BD114" s="41">
        <f>_xll.qlDayCounterYearFraction(DayCounter,SettlementDate,BC114,,,Trigger)</f>
        <v>0.42777777777777776</v>
      </c>
      <c r="BE114" s="47" t="e">
        <f>_xll.qlPolynomialFunctionValue(BE$1,$BD114,AllTriggers)</f>
        <v>#VALUE!</v>
      </c>
      <c r="BF114" s="47" t="e">
        <f>_xll.qlPolynomialFunctionValue(BF$1,$BD114,AllTriggers)</f>
        <v>#VALUE!</v>
      </c>
      <c r="BG114" s="47" t="e">
        <f>_xll.qlPolynomialFunctionValue(BG$1,$BD114,AllTriggers)</f>
        <v>#VALUE!</v>
      </c>
      <c r="BH114" s="47" t="e">
        <f>_xll.qlPolynomialFunctionValue(BH$1,$BD114,AllTriggers)</f>
        <v>#VALUE!</v>
      </c>
      <c r="BI114" s="47" t="e">
        <f>_xll.qlPolynomialFunctionValue(BI$1,$BD114,AllTriggers)</f>
        <v>#VALUE!</v>
      </c>
      <c r="BJ114" s="47" t="e">
        <f>_xll.qlPolynomialFunctionValue(BJ$1,$BD114,AllTriggers)</f>
        <v>#VALUE!</v>
      </c>
      <c r="BK114" s="47" t="e">
        <f>_xll.qlPolynomialFunctionValue(BK$1,$BD114,AllTriggers)</f>
        <v>#VALUE!</v>
      </c>
      <c r="BL114" s="47" t="e">
        <f>_xll.qlPolynomialFunctionValue(BL$1,$BD114,AllTriggers)</f>
        <v>#VALUE!</v>
      </c>
      <c r="BM114" s="47" t="e">
        <f>_xll.qlPolynomialFunctionValue(BM$1,$BD114,AllTriggers)</f>
        <v>#VALUE!</v>
      </c>
      <c r="BN114" s="47" t="e">
        <f>_xll.qlPolynomialFunctionValue(BN$1,$BD114,AllTriggers)</f>
        <v>#VALUE!</v>
      </c>
      <c r="BO114" s="47" t="e">
        <f>_xll.qlPolynomialFunctionValue(BO$1,$BD114,AllTriggers)</f>
        <v>#VALUE!</v>
      </c>
      <c r="BP114" s="47" t="e">
        <f>_xll.qlPolynomialFunctionValue(BP$1,$BD114,AllTriggers)</f>
        <v>#VALUE!</v>
      </c>
      <c r="BQ114" s="47">
        <f>_xll.qlPolynomialFunctionValue('6MSynthDepo_used'!$P$18,BD114,AllTriggers)</f>
        <v>1.938270172283694E-3</v>
      </c>
    </row>
    <row r="115" spans="18:69" x14ac:dyDescent="0.2">
      <c r="R115" s="34"/>
      <c r="S115" s="34"/>
      <c r="BC115" s="178">
        <f>_xll.qlCalendarAdvance(Calendar,BC114,"1d","mf",,Trigger)</f>
        <v>42436</v>
      </c>
      <c r="BD115" s="41">
        <f>_xll.qlDayCounterYearFraction(DayCounter,SettlementDate,BC115,,,Trigger)</f>
        <v>0.43611111111111112</v>
      </c>
      <c r="BE115" s="47" t="e">
        <f>_xll.qlPolynomialFunctionValue(BE$1,$BD115,AllTriggers)</f>
        <v>#VALUE!</v>
      </c>
      <c r="BF115" s="47" t="e">
        <f>_xll.qlPolynomialFunctionValue(BF$1,$BD115,AllTriggers)</f>
        <v>#VALUE!</v>
      </c>
      <c r="BG115" s="47" t="e">
        <f>_xll.qlPolynomialFunctionValue(BG$1,$BD115,AllTriggers)</f>
        <v>#VALUE!</v>
      </c>
      <c r="BH115" s="47" t="e">
        <f>_xll.qlPolynomialFunctionValue(BH$1,$BD115,AllTriggers)</f>
        <v>#VALUE!</v>
      </c>
      <c r="BI115" s="47" t="e">
        <f>_xll.qlPolynomialFunctionValue(BI$1,$BD115,AllTriggers)</f>
        <v>#VALUE!</v>
      </c>
      <c r="BJ115" s="47" t="e">
        <f>_xll.qlPolynomialFunctionValue(BJ$1,$BD115,AllTriggers)</f>
        <v>#VALUE!</v>
      </c>
      <c r="BK115" s="47" t="e">
        <f>_xll.qlPolynomialFunctionValue(BK$1,$BD115,AllTriggers)</f>
        <v>#VALUE!</v>
      </c>
      <c r="BL115" s="47" t="e">
        <f>_xll.qlPolynomialFunctionValue(BL$1,$BD115,AllTriggers)</f>
        <v>#VALUE!</v>
      </c>
      <c r="BM115" s="47" t="e">
        <f>_xll.qlPolynomialFunctionValue(BM$1,$BD115,AllTriggers)</f>
        <v>#VALUE!</v>
      </c>
      <c r="BN115" s="47" t="e">
        <f>_xll.qlPolynomialFunctionValue(BN$1,$BD115,AllTriggers)</f>
        <v>#VALUE!</v>
      </c>
      <c r="BO115" s="47" t="e">
        <f>_xll.qlPolynomialFunctionValue(BO$1,$BD115,AllTriggers)</f>
        <v>#VALUE!</v>
      </c>
      <c r="BP115" s="47" t="e">
        <f>_xll.qlPolynomialFunctionValue(BP$1,$BD115,AllTriggers)</f>
        <v>#VALUE!</v>
      </c>
      <c r="BQ115" s="47">
        <f>_xll.qlPolynomialFunctionValue('6MSynthDepo_used'!$P$18,BD115,AllTriggers)</f>
        <v>1.9428696125125566E-3</v>
      </c>
    </row>
    <row r="116" spans="18:69" x14ac:dyDescent="0.2">
      <c r="R116" s="34"/>
      <c r="S116" s="34"/>
      <c r="BC116" s="178">
        <f>_xll.qlCalendarAdvance(Calendar,BC115,"1d","mf",,Trigger)</f>
        <v>42437</v>
      </c>
      <c r="BD116" s="41">
        <f>_xll.qlDayCounterYearFraction(DayCounter,SettlementDate,BC116,,,Trigger)</f>
        <v>0.43888888888888888</v>
      </c>
      <c r="BE116" s="47" t="e">
        <f>_xll.qlPolynomialFunctionValue(BE$1,$BD116,AllTriggers)</f>
        <v>#VALUE!</v>
      </c>
      <c r="BF116" s="47" t="e">
        <f>_xll.qlPolynomialFunctionValue(BF$1,$BD116,AllTriggers)</f>
        <v>#VALUE!</v>
      </c>
      <c r="BG116" s="47" t="e">
        <f>_xll.qlPolynomialFunctionValue(BG$1,$BD116,AllTriggers)</f>
        <v>#VALUE!</v>
      </c>
      <c r="BH116" s="47" t="e">
        <f>_xll.qlPolynomialFunctionValue(BH$1,$BD116,AllTriggers)</f>
        <v>#VALUE!</v>
      </c>
      <c r="BI116" s="47" t="e">
        <f>_xll.qlPolynomialFunctionValue(BI$1,$BD116,AllTriggers)</f>
        <v>#VALUE!</v>
      </c>
      <c r="BJ116" s="47" t="e">
        <f>_xll.qlPolynomialFunctionValue(BJ$1,$BD116,AllTriggers)</f>
        <v>#VALUE!</v>
      </c>
      <c r="BK116" s="47" t="e">
        <f>_xll.qlPolynomialFunctionValue(BK$1,$BD116,AllTriggers)</f>
        <v>#VALUE!</v>
      </c>
      <c r="BL116" s="47" t="e">
        <f>_xll.qlPolynomialFunctionValue(BL$1,$BD116,AllTriggers)</f>
        <v>#VALUE!</v>
      </c>
      <c r="BM116" s="47" t="e">
        <f>_xll.qlPolynomialFunctionValue(BM$1,$BD116,AllTriggers)</f>
        <v>#VALUE!</v>
      </c>
      <c r="BN116" s="47" t="e">
        <f>_xll.qlPolynomialFunctionValue(BN$1,$BD116,AllTriggers)</f>
        <v>#VALUE!</v>
      </c>
      <c r="BO116" s="47" t="e">
        <f>_xll.qlPolynomialFunctionValue(BO$1,$BD116,AllTriggers)</f>
        <v>#VALUE!</v>
      </c>
      <c r="BP116" s="47" t="e">
        <f>_xll.qlPolynomialFunctionValue(BP$1,$BD116,AllTriggers)</f>
        <v>#VALUE!</v>
      </c>
      <c r="BQ116" s="47">
        <f>_xll.qlPolynomialFunctionValue('6MSynthDepo_used'!$P$18,BD116,AllTriggers)</f>
        <v>1.9443946727355208E-3</v>
      </c>
    </row>
    <row r="117" spans="18:69" x14ac:dyDescent="0.2">
      <c r="R117" s="34"/>
      <c r="S117" s="34"/>
      <c r="BC117" s="178">
        <f>_xll.qlCalendarAdvance(Calendar,BC116,"1d","mf",,Trigger)</f>
        <v>42438</v>
      </c>
      <c r="BD117" s="41">
        <f>_xll.qlDayCounterYearFraction(DayCounter,SettlementDate,BC117,,,Trigger)</f>
        <v>0.44166666666666665</v>
      </c>
      <c r="BE117" s="47" t="e">
        <f>_xll.qlPolynomialFunctionValue(BE$1,$BD117,AllTriggers)</f>
        <v>#VALUE!</v>
      </c>
      <c r="BF117" s="47" t="e">
        <f>_xll.qlPolynomialFunctionValue(BF$1,$BD117,AllTriggers)</f>
        <v>#VALUE!</v>
      </c>
      <c r="BG117" s="47" t="e">
        <f>_xll.qlPolynomialFunctionValue(BG$1,$BD117,AllTriggers)</f>
        <v>#VALUE!</v>
      </c>
      <c r="BH117" s="47" t="e">
        <f>_xll.qlPolynomialFunctionValue(BH$1,$BD117,AllTriggers)</f>
        <v>#VALUE!</v>
      </c>
      <c r="BI117" s="47" t="e">
        <f>_xll.qlPolynomialFunctionValue(BI$1,$BD117,AllTriggers)</f>
        <v>#VALUE!</v>
      </c>
      <c r="BJ117" s="47" t="e">
        <f>_xll.qlPolynomialFunctionValue(BJ$1,$BD117,AllTriggers)</f>
        <v>#VALUE!</v>
      </c>
      <c r="BK117" s="47" t="e">
        <f>_xll.qlPolynomialFunctionValue(BK$1,$BD117,AllTriggers)</f>
        <v>#VALUE!</v>
      </c>
      <c r="BL117" s="47" t="e">
        <f>_xll.qlPolynomialFunctionValue(BL$1,$BD117,AllTriggers)</f>
        <v>#VALUE!</v>
      </c>
      <c r="BM117" s="47" t="e">
        <f>_xll.qlPolynomialFunctionValue(BM$1,$BD117,AllTriggers)</f>
        <v>#VALUE!</v>
      </c>
      <c r="BN117" s="47" t="e">
        <f>_xll.qlPolynomialFunctionValue(BN$1,$BD117,AllTriggers)</f>
        <v>#VALUE!</v>
      </c>
      <c r="BO117" s="47" t="e">
        <f>_xll.qlPolynomialFunctionValue(BO$1,$BD117,AllTriggers)</f>
        <v>#VALUE!</v>
      </c>
      <c r="BP117" s="47" t="e">
        <f>_xll.qlPolynomialFunctionValue(BP$1,$BD117,AllTriggers)</f>
        <v>#VALUE!</v>
      </c>
      <c r="BQ117" s="47">
        <f>_xll.qlPolynomialFunctionValue('6MSynthDepo_used'!$P$18,BD117,AllTriggers)</f>
        <v>1.9459157154061984E-3</v>
      </c>
    </row>
    <row r="118" spans="18:69" x14ac:dyDescent="0.2">
      <c r="R118" s="34"/>
      <c r="S118" s="34"/>
      <c r="BC118" s="178">
        <f>_xll.qlCalendarAdvance(Calendar,BC117,"1d","mf",,Trigger)</f>
        <v>42439</v>
      </c>
      <c r="BD118" s="41">
        <f>_xll.qlDayCounterYearFraction(DayCounter,SettlementDate,BC118,,,Trigger)</f>
        <v>0.44444444444444442</v>
      </c>
      <c r="BE118" s="47" t="e">
        <f>_xll.qlPolynomialFunctionValue(BE$1,$BD118,AllTriggers)</f>
        <v>#VALUE!</v>
      </c>
      <c r="BF118" s="47" t="e">
        <f>_xll.qlPolynomialFunctionValue(BF$1,$BD118,AllTriggers)</f>
        <v>#VALUE!</v>
      </c>
      <c r="BG118" s="47" t="e">
        <f>_xll.qlPolynomialFunctionValue(BG$1,$BD118,AllTriggers)</f>
        <v>#VALUE!</v>
      </c>
      <c r="BH118" s="47" t="e">
        <f>_xll.qlPolynomialFunctionValue(BH$1,$BD118,AllTriggers)</f>
        <v>#VALUE!</v>
      </c>
      <c r="BI118" s="47" t="e">
        <f>_xll.qlPolynomialFunctionValue(BI$1,$BD118,AllTriggers)</f>
        <v>#VALUE!</v>
      </c>
      <c r="BJ118" s="47" t="e">
        <f>_xll.qlPolynomialFunctionValue(BJ$1,$BD118,AllTriggers)</f>
        <v>#VALUE!</v>
      </c>
      <c r="BK118" s="47" t="e">
        <f>_xll.qlPolynomialFunctionValue(BK$1,$BD118,AllTriggers)</f>
        <v>#VALUE!</v>
      </c>
      <c r="BL118" s="47" t="e">
        <f>_xll.qlPolynomialFunctionValue(BL$1,$BD118,AllTriggers)</f>
        <v>#VALUE!</v>
      </c>
      <c r="BM118" s="47" t="e">
        <f>_xll.qlPolynomialFunctionValue(BM$1,$BD118,AllTriggers)</f>
        <v>#VALUE!</v>
      </c>
      <c r="BN118" s="47" t="e">
        <f>_xll.qlPolynomialFunctionValue(BN$1,$BD118,AllTriggers)</f>
        <v>#VALUE!</v>
      </c>
      <c r="BO118" s="47" t="e">
        <f>_xll.qlPolynomialFunctionValue(BO$1,$BD118,AllTriggers)</f>
        <v>#VALUE!</v>
      </c>
      <c r="BP118" s="47" t="e">
        <f>_xll.qlPolynomialFunctionValue(BP$1,$BD118,AllTriggers)</f>
        <v>#VALUE!</v>
      </c>
      <c r="BQ118" s="47">
        <f>_xll.qlPolynomialFunctionValue('6MSynthDepo_used'!$P$18,BD118,AllTriggers)</f>
        <v>1.9474327559492136E-3</v>
      </c>
    </row>
    <row r="119" spans="18:69" x14ac:dyDescent="0.2">
      <c r="R119" s="34"/>
      <c r="S119" s="34"/>
      <c r="BC119" s="178">
        <f>_xll.qlCalendarAdvance(Calendar,BC118,"1d","mf",,Trigger)</f>
        <v>42440</v>
      </c>
      <c r="BD119" s="41">
        <f>_xll.qlDayCounterYearFraction(DayCounter,SettlementDate,BC119,,,Trigger)</f>
        <v>0.44722222222222224</v>
      </c>
      <c r="BE119" s="47" t="e">
        <f>_xll.qlPolynomialFunctionValue(BE$1,$BD119,AllTriggers)</f>
        <v>#VALUE!</v>
      </c>
      <c r="BF119" s="47" t="e">
        <f>_xll.qlPolynomialFunctionValue(BF$1,$BD119,AllTriggers)</f>
        <v>#VALUE!</v>
      </c>
      <c r="BG119" s="47" t="e">
        <f>_xll.qlPolynomialFunctionValue(BG$1,$BD119,AllTriggers)</f>
        <v>#VALUE!</v>
      </c>
      <c r="BH119" s="47" t="e">
        <f>_xll.qlPolynomialFunctionValue(BH$1,$BD119,AllTriggers)</f>
        <v>#VALUE!</v>
      </c>
      <c r="BI119" s="47" t="e">
        <f>_xll.qlPolynomialFunctionValue(BI$1,$BD119,AllTriggers)</f>
        <v>#VALUE!</v>
      </c>
      <c r="BJ119" s="47" t="e">
        <f>_xll.qlPolynomialFunctionValue(BJ$1,$BD119,AllTriggers)</f>
        <v>#VALUE!</v>
      </c>
      <c r="BK119" s="47" t="e">
        <f>_xll.qlPolynomialFunctionValue(BK$1,$BD119,AllTriggers)</f>
        <v>#VALUE!</v>
      </c>
      <c r="BL119" s="47" t="e">
        <f>_xll.qlPolynomialFunctionValue(BL$1,$BD119,AllTriggers)</f>
        <v>#VALUE!</v>
      </c>
      <c r="BM119" s="47" t="e">
        <f>_xll.qlPolynomialFunctionValue(BM$1,$BD119,AllTriggers)</f>
        <v>#VALUE!</v>
      </c>
      <c r="BN119" s="47" t="e">
        <f>_xll.qlPolynomialFunctionValue(BN$1,$BD119,AllTriggers)</f>
        <v>#VALUE!</v>
      </c>
      <c r="BO119" s="47" t="e">
        <f>_xll.qlPolynomialFunctionValue(BO$1,$BD119,AllTriggers)</f>
        <v>#VALUE!</v>
      </c>
      <c r="BP119" s="47" t="e">
        <f>_xll.qlPolynomialFunctionValue(BP$1,$BD119,AllTriggers)</f>
        <v>#VALUE!</v>
      </c>
      <c r="BQ119" s="47">
        <f>_xll.qlPolynomialFunctionValue('6MSynthDepo_used'!$P$18,BD119,AllTriggers)</f>
        <v>1.9489458097891911E-3</v>
      </c>
    </row>
    <row r="120" spans="18:69" x14ac:dyDescent="0.2">
      <c r="R120" s="34"/>
      <c r="S120" s="34"/>
      <c r="BC120" s="178">
        <f>_xll.qlCalendarAdvance(Calendar,BC119,"1d","mf",,Trigger)</f>
        <v>42443</v>
      </c>
      <c r="BD120" s="41">
        <f>_xll.qlDayCounterYearFraction(DayCounter,SettlementDate,BC120,,,Trigger)</f>
        <v>0.45555555555555555</v>
      </c>
      <c r="BE120" s="47" t="e">
        <f>_xll.qlPolynomialFunctionValue(BE$1,$BD120,AllTriggers)</f>
        <v>#VALUE!</v>
      </c>
      <c r="BF120" s="47" t="e">
        <f>_xll.qlPolynomialFunctionValue(BF$1,$BD120,AllTriggers)</f>
        <v>#VALUE!</v>
      </c>
      <c r="BG120" s="47" t="e">
        <f>_xll.qlPolynomialFunctionValue(BG$1,$BD120,AllTriggers)</f>
        <v>#VALUE!</v>
      </c>
      <c r="BH120" s="47" t="e">
        <f>_xll.qlPolynomialFunctionValue(BH$1,$BD120,AllTriggers)</f>
        <v>#VALUE!</v>
      </c>
      <c r="BI120" s="47" t="e">
        <f>_xll.qlPolynomialFunctionValue(BI$1,$BD120,AllTriggers)</f>
        <v>#VALUE!</v>
      </c>
      <c r="BJ120" s="47" t="e">
        <f>_xll.qlPolynomialFunctionValue(BJ$1,$BD120,AllTriggers)</f>
        <v>#VALUE!</v>
      </c>
      <c r="BK120" s="47" t="e">
        <f>_xll.qlPolynomialFunctionValue(BK$1,$BD120,AllTriggers)</f>
        <v>#VALUE!</v>
      </c>
      <c r="BL120" s="47" t="e">
        <f>_xll.qlPolynomialFunctionValue(BL$1,$BD120,AllTriggers)</f>
        <v>#VALUE!</v>
      </c>
      <c r="BM120" s="47" t="e">
        <f>_xll.qlPolynomialFunctionValue(BM$1,$BD120,AllTriggers)</f>
        <v>#VALUE!</v>
      </c>
      <c r="BN120" s="47" t="e">
        <f>_xll.qlPolynomialFunctionValue(BN$1,$BD120,AllTriggers)</f>
        <v>#VALUE!</v>
      </c>
      <c r="BO120" s="47" t="e">
        <f>_xll.qlPolynomialFunctionValue(BO$1,$BD120,AllTriggers)</f>
        <v>#VALUE!</v>
      </c>
      <c r="BP120" s="47" t="e">
        <f>_xll.qlPolynomialFunctionValue(BP$1,$BD120,AllTriggers)</f>
        <v>#VALUE!</v>
      </c>
      <c r="BQ120" s="47">
        <f>_xll.qlPolynomialFunctionValue('6MSynthDepo_used'!$P$18,BD120,AllTriggers)</f>
        <v>1.9534612053371436E-3</v>
      </c>
    </row>
    <row r="121" spans="18:69" x14ac:dyDescent="0.2">
      <c r="R121" s="34"/>
      <c r="S121" s="34"/>
      <c r="BC121" s="178">
        <f>_xll.qlCalendarAdvance(Calendar,BC120,"1d","mf",,Trigger)</f>
        <v>42444</v>
      </c>
      <c r="BD121" s="41">
        <f>_xll.qlDayCounterYearFraction(DayCounter,SettlementDate,BC121,,,Trigger)</f>
        <v>0.45833333333333331</v>
      </c>
      <c r="BE121" s="47" t="e">
        <f>_xll.qlPolynomialFunctionValue(BE$1,$BD121,AllTriggers)</f>
        <v>#VALUE!</v>
      </c>
      <c r="BF121" s="47" t="e">
        <f>_xll.qlPolynomialFunctionValue(BF$1,$BD121,AllTriggers)</f>
        <v>#VALUE!</v>
      </c>
      <c r="BG121" s="47" t="e">
        <f>_xll.qlPolynomialFunctionValue(BG$1,$BD121,AllTriggers)</f>
        <v>#VALUE!</v>
      </c>
      <c r="BH121" s="47" t="e">
        <f>_xll.qlPolynomialFunctionValue(BH$1,$BD121,AllTriggers)</f>
        <v>#VALUE!</v>
      </c>
      <c r="BI121" s="47" t="e">
        <f>_xll.qlPolynomialFunctionValue(BI$1,$BD121,AllTriggers)</f>
        <v>#VALUE!</v>
      </c>
      <c r="BJ121" s="47" t="e">
        <f>_xll.qlPolynomialFunctionValue(BJ$1,$BD121,AllTriggers)</f>
        <v>#VALUE!</v>
      </c>
      <c r="BK121" s="47" t="e">
        <f>_xll.qlPolynomialFunctionValue(BK$1,$BD121,AllTriggers)</f>
        <v>#VALUE!</v>
      </c>
      <c r="BL121" s="47" t="e">
        <f>_xll.qlPolynomialFunctionValue(BL$1,$BD121,AllTriggers)</f>
        <v>#VALUE!</v>
      </c>
      <c r="BM121" s="47" t="e">
        <f>_xll.qlPolynomialFunctionValue(BM$1,$BD121,AllTriggers)</f>
        <v>#VALUE!</v>
      </c>
      <c r="BN121" s="47" t="e">
        <f>_xll.qlPolynomialFunctionValue(BN$1,$BD121,AllTriggers)</f>
        <v>#VALUE!</v>
      </c>
      <c r="BO121" s="47" t="e">
        <f>_xll.qlPolynomialFunctionValue(BO$1,$BD121,AllTriggers)</f>
        <v>#VALUE!</v>
      </c>
      <c r="BP121" s="47" t="e">
        <f>_xll.qlPolynomialFunctionValue(BP$1,$BD121,AllTriggers)</f>
        <v>#VALUE!</v>
      </c>
      <c r="BQ121" s="47">
        <f>_xll.qlPolynomialFunctionValue('6MSynthDepo_used'!$P$18,BD121,AllTriggers)</f>
        <v>1.9549584666112164E-3</v>
      </c>
    </row>
    <row r="122" spans="18:69" x14ac:dyDescent="0.2">
      <c r="R122" s="34"/>
      <c r="S122" s="34"/>
      <c r="BC122" s="178">
        <f>_xll.qlCalendarAdvance(Calendar,BC121,"1d","mf",,Trigger)</f>
        <v>42445</v>
      </c>
      <c r="BD122" s="41">
        <f>_xll.qlDayCounterYearFraction(DayCounter,SettlementDate,BC122,,,Trigger)</f>
        <v>0.46111111111111114</v>
      </c>
      <c r="BE122" s="47" t="e">
        <f>_xll.qlPolynomialFunctionValue(BE$1,$BD122,AllTriggers)</f>
        <v>#VALUE!</v>
      </c>
      <c r="BF122" s="47" t="e">
        <f>_xll.qlPolynomialFunctionValue(BF$1,$BD122,AllTriggers)</f>
        <v>#VALUE!</v>
      </c>
      <c r="BG122" s="47" t="e">
        <f>_xll.qlPolynomialFunctionValue(BG$1,$BD122,AllTriggers)</f>
        <v>#VALUE!</v>
      </c>
      <c r="BH122" s="47" t="e">
        <f>_xll.qlPolynomialFunctionValue(BH$1,$BD122,AllTriggers)</f>
        <v>#VALUE!</v>
      </c>
      <c r="BI122" s="47" t="e">
        <f>_xll.qlPolynomialFunctionValue(BI$1,$BD122,AllTriggers)</f>
        <v>#VALUE!</v>
      </c>
      <c r="BJ122" s="47" t="e">
        <f>_xll.qlPolynomialFunctionValue(BJ$1,$BD122,AllTriggers)</f>
        <v>#VALUE!</v>
      </c>
      <c r="BK122" s="47" t="e">
        <f>_xll.qlPolynomialFunctionValue(BK$1,$BD122,AllTriggers)</f>
        <v>#VALUE!</v>
      </c>
      <c r="BL122" s="47" t="e">
        <f>_xll.qlPolynomialFunctionValue(BL$1,$BD122,AllTriggers)</f>
        <v>#VALUE!</v>
      </c>
      <c r="BM122" s="47" t="e">
        <f>_xll.qlPolynomialFunctionValue(BM$1,$BD122,AllTriggers)</f>
        <v>#VALUE!</v>
      </c>
      <c r="BN122" s="47" t="e">
        <f>_xll.qlPolynomialFunctionValue(BN$1,$BD122,AllTriggers)</f>
        <v>#VALUE!</v>
      </c>
      <c r="BO122" s="47" t="e">
        <f>_xll.qlPolynomialFunctionValue(BO$1,$BD122,AllTriggers)</f>
        <v>#VALUE!</v>
      </c>
      <c r="BP122" s="47" t="e">
        <f>_xll.qlPolynomialFunctionValue(BP$1,$BD122,AllTriggers)</f>
        <v>#VALUE!</v>
      </c>
      <c r="BQ122" s="47">
        <f>_xll.qlPolynomialFunctionValue('6MSynthDepo_used'!$P$18,BD122,AllTriggers)</f>
        <v>1.956451818305375E-3</v>
      </c>
    </row>
    <row r="123" spans="18:69" x14ac:dyDescent="0.2">
      <c r="R123" s="34"/>
      <c r="S123" s="34"/>
      <c r="BC123" s="178">
        <f>_xll.qlCalendarAdvance(Calendar,BC122,"1d","mf",,Trigger)</f>
        <v>42446</v>
      </c>
      <c r="BD123" s="41">
        <f>_xll.qlDayCounterYearFraction(DayCounter,SettlementDate,BC123,,,Trigger)</f>
        <v>0.46388888888888891</v>
      </c>
      <c r="BE123" s="47" t="e">
        <f>_xll.qlPolynomialFunctionValue(BE$1,$BD123,AllTriggers)</f>
        <v>#VALUE!</v>
      </c>
      <c r="BF123" s="47" t="e">
        <f>_xll.qlPolynomialFunctionValue(BF$1,$BD123,AllTriggers)</f>
        <v>#VALUE!</v>
      </c>
      <c r="BG123" s="47" t="e">
        <f>_xll.qlPolynomialFunctionValue(BG$1,$BD123,AllTriggers)</f>
        <v>#VALUE!</v>
      </c>
      <c r="BH123" s="47" t="e">
        <f>_xll.qlPolynomialFunctionValue(BH$1,$BD123,AllTriggers)</f>
        <v>#VALUE!</v>
      </c>
      <c r="BI123" s="47" t="e">
        <f>_xll.qlPolynomialFunctionValue(BI$1,$BD123,AllTriggers)</f>
        <v>#VALUE!</v>
      </c>
      <c r="BJ123" s="47" t="e">
        <f>_xll.qlPolynomialFunctionValue(BJ$1,$BD123,AllTriggers)</f>
        <v>#VALUE!</v>
      </c>
      <c r="BK123" s="47" t="e">
        <f>_xll.qlPolynomialFunctionValue(BK$1,$BD123,AllTriggers)</f>
        <v>#VALUE!</v>
      </c>
      <c r="BL123" s="47" t="e">
        <f>_xll.qlPolynomialFunctionValue(BL$1,$BD123,AllTriggers)</f>
        <v>#VALUE!</v>
      </c>
      <c r="BM123" s="47" t="e">
        <f>_xll.qlPolynomialFunctionValue(BM$1,$BD123,AllTriggers)</f>
        <v>#VALUE!</v>
      </c>
      <c r="BN123" s="47" t="e">
        <f>_xll.qlPolynomialFunctionValue(BN$1,$BD123,AllTriggers)</f>
        <v>#VALUE!</v>
      </c>
      <c r="BO123" s="47" t="e">
        <f>_xll.qlPolynomialFunctionValue(BO$1,$BD123,AllTriggers)</f>
        <v>#VALUE!</v>
      </c>
      <c r="BP123" s="47" t="e">
        <f>_xll.qlPolynomialFunctionValue(BP$1,$BD123,AllTriggers)</f>
        <v>#VALUE!</v>
      </c>
      <c r="BQ123" s="47">
        <f>_xll.qlPolynomialFunctionValue('6MSynthDepo_used'!$P$18,BD123,AllTriggers)</f>
        <v>1.9579412758442436E-3</v>
      </c>
    </row>
    <row r="124" spans="18:69" x14ac:dyDescent="0.2">
      <c r="R124" s="34"/>
      <c r="S124" s="34"/>
      <c r="BC124" s="178">
        <f>_xll.qlCalendarAdvance(Calendar,BC123,"1d","mf",,Trigger)</f>
        <v>42447</v>
      </c>
      <c r="BD124" s="41">
        <f>_xll.qlDayCounterYearFraction(DayCounter,SettlementDate,BC124,,,Trigger)</f>
        <v>0.46666666666666667</v>
      </c>
      <c r="BE124" s="47" t="e">
        <f>_xll.qlPolynomialFunctionValue(BE$1,$BD124,AllTriggers)</f>
        <v>#VALUE!</v>
      </c>
      <c r="BF124" s="47" t="e">
        <f>_xll.qlPolynomialFunctionValue(BF$1,$BD124,AllTriggers)</f>
        <v>#VALUE!</v>
      </c>
      <c r="BG124" s="47" t="e">
        <f>_xll.qlPolynomialFunctionValue(BG$1,$BD124,AllTriggers)</f>
        <v>#VALUE!</v>
      </c>
      <c r="BH124" s="47" t="e">
        <f>_xll.qlPolynomialFunctionValue(BH$1,$BD124,AllTriggers)</f>
        <v>#VALUE!</v>
      </c>
      <c r="BI124" s="47" t="e">
        <f>_xll.qlPolynomialFunctionValue(BI$1,$BD124,AllTriggers)</f>
        <v>#VALUE!</v>
      </c>
      <c r="BJ124" s="47" t="e">
        <f>_xll.qlPolynomialFunctionValue(BJ$1,$BD124,AllTriggers)</f>
        <v>#VALUE!</v>
      </c>
      <c r="BK124" s="47" t="e">
        <f>_xll.qlPolynomialFunctionValue(BK$1,$BD124,AllTriggers)</f>
        <v>#VALUE!</v>
      </c>
      <c r="BL124" s="47" t="e">
        <f>_xll.qlPolynomialFunctionValue(BL$1,$BD124,AllTriggers)</f>
        <v>#VALUE!</v>
      </c>
      <c r="BM124" s="47" t="e">
        <f>_xll.qlPolynomialFunctionValue(BM$1,$BD124,AllTriggers)</f>
        <v>#VALUE!</v>
      </c>
      <c r="BN124" s="47" t="e">
        <f>_xll.qlPolynomialFunctionValue(BN$1,$BD124,AllTriggers)</f>
        <v>#VALUE!</v>
      </c>
      <c r="BO124" s="47" t="e">
        <f>_xll.qlPolynomialFunctionValue(BO$1,$BD124,AllTriggers)</f>
        <v>#VALUE!</v>
      </c>
      <c r="BP124" s="47" t="e">
        <f>_xll.qlPolynomialFunctionValue(BP$1,$BD124,AllTriggers)</f>
        <v>#VALUE!</v>
      </c>
      <c r="BQ124" s="47">
        <f>_xll.qlPolynomialFunctionValue('6MSynthDepo_used'!$P$18,BD124,AllTriggers)</f>
        <v>1.9594268546524476E-3</v>
      </c>
    </row>
    <row r="125" spans="18:69" x14ac:dyDescent="0.2">
      <c r="R125" s="34"/>
      <c r="S125" s="34"/>
      <c r="BC125" s="178">
        <f>_xll.qlCalendarAdvance(Calendar,BC124,"1d","mf",,Trigger)</f>
        <v>42450</v>
      </c>
      <c r="BD125" s="41">
        <f>_xll.qlDayCounterYearFraction(DayCounter,SettlementDate,BC125,,,Trigger)</f>
        <v>0.47499999999999998</v>
      </c>
      <c r="BE125" s="47" t="e">
        <f>_xll.qlPolynomialFunctionValue(BE$1,$BD125,AllTriggers)</f>
        <v>#VALUE!</v>
      </c>
      <c r="BF125" s="47" t="e">
        <f>_xll.qlPolynomialFunctionValue(BF$1,$BD125,AllTriggers)</f>
        <v>#VALUE!</v>
      </c>
      <c r="BG125" s="47" t="e">
        <f>_xll.qlPolynomialFunctionValue(BG$1,$BD125,AllTriggers)</f>
        <v>#VALUE!</v>
      </c>
      <c r="BH125" s="47" t="e">
        <f>_xll.qlPolynomialFunctionValue(BH$1,$BD125,AllTriggers)</f>
        <v>#VALUE!</v>
      </c>
      <c r="BI125" s="47" t="e">
        <f>_xll.qlPolynomialFunctionValue(BI$1,$BD125,AllTriggers)</f>
        <v>#VALUE!</v>
      </c>
      <c r="BJ125" s="47" t="e">
        <f>_xll.qlPolynomialFunctionValue(BJ$1,$BD125,AllTriggers)</f>
        <v>#VALUE!</v>
      </c>
      <c r="BK125" s="47" t="e">
        <f>_xll.qlPolynomialFunctionValue(BK$1,$BD125,AllTriggers)</f>
        <v>#VALUE!</v>
      </c>
      <c r="BL125" s="47" t="e">
        <f>_xll.qlPolynomialFunctionValue(BL$1,$BD125,AllTriggers)</f>
        <v>#VALUE!</v>
      </c>
      <c r="BM125" s="47" t="e">
        <f>_xll.qlPolynomialFunctionValue(BM$1,$BD125,AllTriggers)</f>
        <v>#VALUE!</v>
      </c>
      <c r="BN125" s="47" t="e">
        <f>_xll.qlPolynomialFunctionValue(BN$1,$BD125,AllTriggers)</f>
        <v>#VALUE!</v>
      </c>
      <c r="BO125" s="47" t="e">
        <f>_xll.qlPolynomialFunctionValue(BO$1,$BD125,AllTriggers)</f>
        <v>#VALUE!</v>
      </c>
      <c r="BP125" s="47" t="e">
        <f>_xll.qlPolynomialFunctionValue(BP$1,$BD125,AllTriggers)</f>
        <v>#VALUE!</v>
      </c>
      <c r="BQ125" s="47">
        <f>_xll.qlPolynomialFunctionValue('6MSynthDepo_used'!$P$18,BD125,AllTriggers)</f>
        <v>1.963860472939314E-3</v>
      </c>
    </row>
    <row r="126" spans="18:69" x14ac:dyDescent="0.2">
      <c r="R126" s="34"/>
      <c r="S126" s="34"/>
      <c r="BC126" s="178">
        <f>_xll.qlCalendarAdvance(Calendar,BC125,"1d","mf",,Trigger)</f>
        <v>42451</v>
      </c>
      <c r="BD126" s="41">
        <f>_xll.qlDayCounterYearFraction(DayCounter,SettlementDate,BC126,,,Trigger)</f>
        <v>0.4777777777777778</v>
      </c>
      <c r="BE126" s="47" t="e">
        <f>_xll.qlPolynomialFunctionValue(BE$1,$BD126,AllTriggers)</f>
        <v>#VALUE!</v>
      </c>
      <c r="BF126" s="47" t="e">
        <f>_xll.qlPolynomialFunctionValue(BF$1,$BD126,AllTriggers)</f>
        <v>#VALUE!</v>
      </c>
      <c r="BG126" s="47" t="e">
        <f>_xll.qlPolynomialFunctionValue(BG$1,$BD126,AllTriggers)</f>
        <v>#VALUE!</v>
      </c>
      <c r="BH126" s="47" t="e">
        <f>_xll.qlPolynomialFunctionValue(BH$1,$BD126,AllTriggers)</f>
        <v>#VALUE!</v>
      </c>
      <c r="BI126" s="47" t="e">
        <f>_xll.qlPolynomialFunctionValue(BI$1,$BD126,AllTriggers)</f>
        <v>#VALUE!</v>
      </c>
      <c r="BJ126" s="47" t="e">
        <f>_xll.qlPolynomialFunctionValue(BJ$1,$BD126,AllTriggers)</f>
        <v>#VALUE!</v>
      </c>
      <c r="BK126" s="47" t="e">
        <f>_xll.qlPolynomialFunctionValue(BK$1,$BD126,AllTriggers)</f>
        <v>#VALUE!</v>
      </c>
      <c r="BL126" s="47" t="e">
        <f>_xll.qlPolynomialFunctionValue(BL$1,$BD126,AllTriggers)</f>
        <v>#VALUE!</v>
      </c>
      <c r="BM126" s="47" t="e">
        <f>_xll.qlPolynomialFunctionValue(BM$1,$BD126,AllTriggers)</f>
        <v>#VALUE!</v>
      </c>
      <c r="BN126" s="47" t="e">
        <f>_xll.qlPolynomialFunctionValue(BN$1,$BD126,AllTriggers)</f>
        <v>#VALUE!</v>
      </c>
      <c r="BO126" s="47" t="e">
        <f>_xll.qlPolynomialFunctionValue(BO$1,$BD126,AllTriggers)</f>
        <v>#VALUE!</v>
      </c>
      <c r="BP126" s="47" t="e">
        <f>_xll.qlPolynomialFunctionValue(BP$1,$BD126,AllTriggers)</f>
        <v>#VALUE!</v>
      </c>
      <c r="BQ126" s="47">
        <f>_xll.qlPolynomialFunctionValue('6MSynthDepo_used'!$P$18,BD126,AllTriggers)</f>
        <v>1.9653306910711026E-3</v>
      </c>
    </row>
    <row r="127" spans="18:69" x14ac:dyDescent="0.2">
      <c r="R127" s="34"/>
      <c r="S127" s="34"/>
      <c r="BC127" s="178">
        <f>_xll.qlCalendarAdvance(Calendar,BC126,"1d","mf",,Trigger)</f>
        <v>42452</v>
      </c>
      <c r="BD127" s="41">
        <f>_xll.qlDayCounterYearFraction(DayCounter,SettlementDate,BC127,,,Trigger)</f>
        <v>0.48055555555555557</v>
      </c>
      <c r="BE127" s="47" t="e">
        <f>_xll.qlPolynomialFunctionValue(BE$1,$BD127,AllTriggers)</f>
        <v>#VALUE!</v>
      </c>
      <c r="BF127" s="47" t="e">
        <f>_xll.qlPolynomialFunctionValue(BF$1,$BD127,AllTriggers)</f>
        <v>#VALUE!</v>
      </c>
      <c r="BG127" s="47" t="e">
        <f>_xll.qlPolynomialFunctionValue(BG$1,$BD127,AllTriggers)</f>
        <v>#VALUE!</v>
      </c>
      <c r="BH127" s="47" t="e">
        <f>_xll.qlPolynomialFunctionValue(BH$1,$BD127,AllTriggers)</f>
        <v>#VALUE!</v>
      </c>
      <c r="BI127" s="47" t="e">
        <f>_xll.qlPolynomialFunctionValue(BI$1,$BD127,AllTriggers)</f>
        <v>#VALUE!</v>
      </c>
      <c r="BJ127" s="47" t="e">
        <f>_xll.qlPolynomialFunctionValue(BJ$1,$BD127,AllTriggers)</f>
        <v>#VALUE!</v>
      </c>
      <c r="BK127" s="47" t="e">
        <f>_xll.qlPolynomialFunctionValue(BK$1,$BD127,AllTriggers)</f>
        <v>#VALUE!</v>
      </c>
      <c r="BL127" s="47" t="e">
        <f>_xll.qlPolynomialFunctionValue(BL$1,$BD127,AllTriggers)</f>
        <v>#VALUE!</v>
      </c>
      <c r="BM127" s="47" t="e">
        <f>_xll.qlPolynomialFunctionValue(BM$1,$BD127,AllTriggers)</f>
        <v>#VALUE!</v>
      </c>
      <c r="BN127" s="47" t="e">
        <f>_xll.qlPolynomialFunctionValue(BN$1,$BD127,AllTriggers)</f>
        <v>#VALUE!</v>
      </c>
      <c r="BO127" s="47" t="e">
        <f>_xll.qlPolynomialFunctionValue(BO$1,$BD127,AllTriggers)</f>
        <v>#VALUE!</v>
      </c>
      <c r="BP127" s="47" t="e">
        <f>_xll.qlPolynomialFunctionValue(BP$1,$BD127,AllTriggers)</f>
        <v>#VALUE!</v>
      </c>
      <c r="BQ127" s="47">
        <f>_xll.qlPolynomialFunctionValue('6MSynthDepo_used'!$P$18,BD127,AllTriggers)</f>
        <v>1.9667971075953503E-3</v>
      </c>
    </row>
    <row r="128" spans="18:69" x14ac:dyDescent="0.2">
      <c r="R128" s="34"/>
      <c r="S128" s="34"/>
      <c r="BC128" s="178">
        <f>_xll.qlCalendarAdvance(Calendar,BC127,"1d","mf",,Trigger)</f>
        <v>42453</v>
      </c>
      <c r="BD128" s="41">
        <f>_xll.qlDayCounterYearFraction(DayCounter,SettlementDate,BC128,,,Trigger)</f>
        <v>0.48333333333333334</v>
      </c>
      <c r="BE128" s="47" t="e">
        <f>_xll.qlPolynomialFunctionValue(BE$1,$BD128,AllTriggers)</f>
        <v>#VALUE!</v>
      </c>
      <c r="BF128" s="47" t="e">
        <f>_xll.qlPolynomialFunctionValue(BF$1,$BD128,AllTriggers)</f>
        <v>#VALUE!</v>
      </c>
      <c r="BG128" s="47" t="e">
        <f>_xll.qlPolynomialFunctionValue(BG$1,$BD128,AllTriggers)</f>
        <v>#VALUE!</v>
      </c>
      <c r="BH128" s="47" t="e">
        <f>_xll.qlPolynomialFunctionValue(BH$1,$BD128,AllTriggers)</f>
        <v>#VALUE!</v>
      </c>
      <c r="BI128" s="47" t="e">
        <f>_xll.qlPolynomialFunctionValue(BI$1,$BD128,AllTriggers)</f>
        <v>#VALUE!</v>
      </c>
      <c r="BJ128" s="47" t="e">
        <f>_xll.qlPolynomialFunctionValue(BJ$1,$BD128,AllTriggers)</f>
        <v>#VALUE!</v>
      </c>
      <c r="BK128" s="47" t="e">
        <f>_xll.qlPolynomialFunctionValue(BK$1,$BD128,AllTriggers)</f>
        <v>#VALUE!</v>
      </c>
      <c r="BL128" s="47" t="e">
        <f>_xll.qlPolynomialFunctionValue(BL$1,$BD128,AllTriggers)</f>
        <v>#VALUE!</v>
      </c>
      <c r="BM128" s="47" t="e">
        <f>_xll.qlPolynomialFunctionValue(BM$1,$BD128,AllTriggers)</f>
        <v>#VALUE!</v>
      </c>
      <c r="BN128" s="47" t="e">
        <f>_xll.qlPolynomialFunctionValue(BN$1,$BD128,AllTriggers)</f>
        <v>#VALUE!</v>
      </c>
      <c r="BO128" s="47" t="e">
        <f>_xll.qlPolynomialFunctionValue(BO$1,$BD128,AllTriggers)</f>
        <v>#VALUE!</v>
      </c>
      <c r="BP128" s="47" t="e">
        <f>_xll.qlPolynomialFunctionValue(BP$1,$BD128,AllTriggers)</f>
        <v>#VALUE!</v>
      </c>
      <c r="BQ128" s="47">
        <f>_xll.qlPolynomialFunctionValue('6MSynthDepo_used'!$P$18,BD128,AllTriggers)</f>
        <v>1.9682597379366809E-3</v>
      </c>
    </row>
    <row r="129" spans="18:69" x14ac:dyDescent="0.2">
      <c r="R129" s="34"/>
      <c r="S129" s="34"/>
      <c r="BC129" s="178">
        <f>_xll.qlCalendarAdvance(Calendar,BC128,"1d","mf",,Trigger)</f>
        <v>42458</v>
      </c>
      <c r="BD129" s="41">
        <f>_xll.qlDayCounterYearFraction(DayCounter,SettlementDate,BC129,,,Trigger)</f>
        <v>0.49722222222222223</v>
      </c>
      <c r="BE129" s="47" t="e">
        <f>_xll.qlPolynomialFunctionValue(BE$1,$BD129,AllTriggers)</f>
        <v>#VALUE!</v>
      </c>
      <c r="BF129" s="47" t="e">
        <f>_xll.qlPolynomialFunctionValue(BF$1,$BD129,AllTriggers)</f>
        <v>#VALUE!</v>
      </c>
      <c r="BG129" s="47" t="e">
        <f>_xll.qlPolynomialFunctionValue(BG$1,$BD129,AllTriggers)</f>
        <v>#VALUE!</v>
      </c>
      <c r="BH129" s="47" t="e">
        <f>_xll.qlPolynomialFunctionValue(BH$1,$BD129,AllTriggers)</f>
        <v>#VALUE!</v>
      </c>
      <c r="BI129" s="47" t="e">
        <f>_xll.qlPolynomialFunctionValue(BI$1,$BD129,AllTriggers)</f>
        <v>#VALUE!</v>
      </c>
      <c r="BJ129" s="47" t="e">
        <f>_xll.qlPolynomialFunctionValue(BJ$1,$BD129,AllTriggers)</f>
        <v>#VALUE!</v>
      </c>
      <c r="BK129" s="47" t="e">
        <f>_xll.qlPolynomialFunctionValue(BK$1,$BD129,AllTriggers)</f>
        <v>#VALUE!</v>
      </c>
      <c r="BL129" s="47" t="e">
        <f>_xll.qlPolynomialFunctionValue(BL$1,$BD129,AllTriggers)</f>
        <v>#VALUE!</v>
      </c>
      <c r="BM129" s="47" t="e">
        <f>_xll.qlPolynomialFunctionValue(BM$1,$BD129,AllTriggers)</f>
        <v>#VALUE!</v>
      </c>
      <c r="BN129" s="47" t="e">
        <f>_xll.qlPolynomialFunctionValue(BN$1,$BD129,AllTriggers)</f>
        <v>#VALUE!</v>
      </c>
      <c r="BO129" s="47" t="e">
        <f>_xll.qlPolynomialFunctionValue(BO$1,$BD129,AllTriggers)</f>
        <v>#VALUE!</v>
      </c>
      <c r="BP129" s="47" t="e">
        <f>_xll.qlPolynomialFunctionValue(BP$1,$BD129,AllTriggers)</f>
        <v>#VALUE!</v>
      </c>
      <c r="BQ129" s="47">
        <f>_xll.qlPolynomialFunctionValue('6MSynthDepo_used'!$P$18,BD129,AllTriggers)</f>
        <v>1.9755166367614362E-3</v>
      </c>
    </row>
    <row r="130" spans="18:69" x14ac:dyDescent="0.2">
      <c r="R130" s="34"/>
      <c r="S130" s="34"/>
      <c r="BC130" s="178">
        <f>_xll.qlCalendarAdvance(Calendar,BC129,"1d","mf",,Trigger)</f>
        <v>42459</v>
      </c>
      <c r="BD130" s="41">
        <f>_xll.qlDayCounterYearFraction(DayCounter,SettlementDate,BC130,,,Trigger)</f>
        <v>0.5</v>
      </c>
      <c r="BE130" s="47" t="e">
        <f>_xll.qlPolynomialFunctionValue(BE$1,$BD130,AllTriggers)</f>
        <v>#VALUE!</v>
      </c>
      <c r="BF130" s="47" t="e">
        <f>_xll.qlPolynomialFunctionValue(BF$1,$BD130,AllTriggers)</f>
        <v>#VALUE!</v>
      </c>
      <c r="BG130" s="47" t="e">
        <f>_xll.qlPolynomialFunctionValue(BG$1,$BD130,AllTriggers)</f>
        <v>#VALUE!</v>
      </c>
      <c r="BH130" s="47" t="e">
        <f>_xll.qlPolynomialFunctionValue(BH$1,$BD130,AllTriggers)</f>
        <v>#VALUE!</v>
      </c>
      <c r="BI130" s="47" t="e">
        <f>_xll.qlPolynomialFunctionValue(BI$1,$BD130,AllTriggers)</f>
        <v>#VALUE!</v>
      </c>
      <c r="BJ130" s="47" t="e">
        <f>_xll.qlPolynomialFunctionValue(BJ$1,$BD130,AllTriggers)</f>
        <v>#VALUE!</v>
      </c>
      <c r="BK130" s="47" t="e">
        <f>_xll.qlPolynomialFunctionValue(BK$1,$BD130,AllTriggers)</f>
        <v>#VALUE!</v>
      </c>
      <c r="BL130" s="47" t="e">
        <f>_xll.qlPolynomialFunctionValue(BL$1,$BD130,AllTriggers)</f>
        <v>#VALUE!</v>
      </c>
      <c r="BM130" s="47" t="e">
        <f>_xll.qlPolynomialFunctionValue(BM$1,$BD130,AllTriggers)</f>
        <v>#VALUE!</v>
      </c>
      <c r="BN130" s="47" t="e">
        <f>_xll.qlPolynomialFunctionValue(BN$1,$BD130,AllTriggers)</f>
        <v>#VALUE!</v>
      </c>
      <c r="BO130" s="47" t="e">
        <f>_xll.qlPolynomialFunctionValue(BO$1,$BD130,AllTriggers)</f>
        <v>#VALUE!</v>
      </c>
      <c r="BP130" s="47" t="e">
        <f>_xll.qlPolynomialFunctionValue(BP$1,$BD130,AllTriggers)</f>
        <v>#VALUE!</v>
      </c>
      <c r="BQ130" s="47">
        <f>_xll.qlPolynomialFunctionValue('6MSynthDepo_used'!$P$18,BD130,AllTriggers)</f>
        <v>1.9769568739223804E-3</v>
      </c>
    </row>
    <row r="131" spans="18:69" x14ac:dyDescent="0.2">
      <c r="R131" s="34"/>
      <c r="S131" s="34"/>
      <c r="BC131" s="178">
        <f>_xll.qlCalendarAdvance(Calendar,BC130,"1d","mf",,Trigger)</f>
        <v>42460</v>
      </c>
      <c r="BD131" s="41">
        <f>_xll.qlDayCounterYearFraction(DayCounter,SettlementDate,BC131,,,Trigger)</f>
        <v>0.50277777777777777</v>
      </c>
      <c r="BE131" s="47" t="e">
        <f>_xll.qlPolynomialFunctionValue(BE$1,$BD131,AllTriggers)</f>
        <v>#VALUE!</v>
      </c>
      <c r="BF131" s="47" t="e">
        <f>_xll.qlPolynomialFunctionValue(BF$1,$BD131,AllTriggers)</f>
        <v>#VALUE!</v>
      </c>
      <c r="BG131" s="47" t="e">
        <f>_xll.qlPolynomialFunctionValue(BG$1,$BD131,AllTriggers)</f>
        <v>#VALUE!</v>
      </c>
      <c r="BH131" s="47" t="e">
        <f>_xll.qlPolynomialFunctionValue(BH$1,$BD131,AllTriggers)</f>
        <v>#VALUE!</v>
      </c>
      <c r="BI131" s="47" t="e">
        <f>_xll.qlPolynomialFunctionValue(BI$1,$BD131,AllTriggers)</f>
        <v>#VALUE!</v>
      </c>
      <c r="BJ131" s="47" t="e">
        <f>_xll.qlPolynomialFunctionValue(BJ$1,$BD131,AllTriggers)</f>
        <v>#VALUE!</v>
      </c>
      <c r="BK131" s="47" t="e">
        <f>_xll.qlPolynomialFunctionValue(BK$1,$BD131,AllTriggers)</f>
        <v>#VALUE!</v>
      </c>
      <c r="BL131" s="47" t="e">
        <f>_xll.qlPolynomialFunctionValue(BL$1,$BD131,AllTriggers)</f>
        <v>#VALUE!</v>
      </c>
      <c r="BM131" s="47" t="e">
        <f>_xll.qlPolynomialFunctionValue(BM$1,$BD131,AllTriggers)</f>
        <v>#VALUE!</v>
      </c>
      <c r="BN131" s="47" t="e">
        <f>_xll.qlPolynomialFunctionValue(BN$1,$BD131,AllTriggers)</f>
        <v>#VALUE!</v>
      </c>
      <c r="BO131" s="47" t="e">
        <f>_xll.qlPolynomialFunctionValue(BO$1,$BD131,AllTriggers)</f>
        <v>#VALUE!</v>
      </c>
      <c r="BP131" s="47" t="e">
        <f>_xll.qlPolynomialFunctionValue(BP$1,$BD131,AllTriggers)</f>
        <v>#VALUE!</v>
      </c>
      <c r="BQ131" s="47">
        <f>_xll.qlPolynomialFunctionValue('6MSynthDepo_used'!$P$18,BD131,AllTriggers)</f>
        <v>1.9783934328727803E-3</v>
      </c>
    </row>
    <row r="132" spans="18:69" x14ac:dyDescent="0.2">
      <c r="R132" s="34"/>
      <c r="S132" s="34"/>
      <c r="BC132" s="178">
        <f>_xll.qlCalendarAdvance(Calendar,BC131,"1d","mf",,Trigger)</f>
        <v>42461</v>
      </c>
      <c r="BD132" s="41">
        <f>_xll.qlDayCounterYearFraction(DayCounter,SettlementDate,BC132,,,Trigger)</f>
        <v>0.50555555555555554</v>
      </c>
      <c r="BE132" s="47" t="e">
        <f>_xll.qlPolynomialFunctionValue(BE$1,$BD132,AllTriggers)</f>
        <v>#VALUE!</v>
      </c>
      <c r="BF132" s="47" t="e">
        <f>_xll.qlPolynomialFunctionValue(BF$1,$BD132,AllTriggers)</f>
        <v>#VALUE!</v>
      </c>
      <c r="BG132" s="47" t="e">
        <f>_xll.qlPolynomialFunctionValue(BG$1,$BD132,AllTriggers)</f>
        <v>#VALUE!</v>
      </c>
      <c r="BH132" s="47" t="e">
        <f>_xll.qlPolynomialFunctionValue(BH$1,$BD132,AllTriggers)</f>
        <v>#VALUE!</v>
      </c>
      <c r="BI132" s="47" t="e">
        <f>_xll.qlPolynomialFunctionValue(BI$1,$BD132,AllTriggers)</f>
        <v>#VALUE!</v>
      </c>
      <c r="BJ132" s="47" t="e">
        <f>_xll.qlPolynomialFunctionValue(BJ$1,$BD132,AllTriggers)</f>
        <v>#VALUE!</v>
      </c>
      <c r="BK132" s="47" t="e">
        <f>_xll.qlPolynomialFunctionValue(BK$1,$BD132,AllTriggers)</f>
        <v>#VALUE!</v>
      </c>
      <c r="BL132" s="47" t="e">
        <f>_xll.qlPolynomialFunctionValue(BL$1,$BD132,AllTriggers)</f>
        <v>#VALUE!</v>
      </c>
      <c r="BM132" s="47" t="e">
        <f>_xll.qlPolynomialFunctionValue(BM$1,$BD132,AllTriggers)</f>
        <v>#VALUE!</v>
      </c>
      <c r="BN132" s="47" t="e">
        <f>_xll.qlPolynomialFunctionValue(BN$1,$BD132,AllTriggers)</f>
        <v>#VALUE!</v>
      </c>
      <c r="BO132" s="47" t="e">
        <f>_xll.qlPolynomialFunctionValue(BO$1,$BD132,AllTriggers)</f>
        <v>#VALUE!</v>
      </c>
      <c r="BP132" s="47" t="e">
        <f>_xll.qlPolynomialFunctionValue(BP$1,$BD132,AllTriggers)</f>
        <v>#VALUE!</v>
      </c>
      <c r="BQ132" s="47">
        <f>_xll.qlPolynomialFunctionValue('6MSynthDepo_used'!$P$18,BD132,AllTriggers)</f>
        <v>1.9798263290372597E-3</v>
      </c>
    </row>
    <row r="133" spans="18:69" x14ac:dyDescent="0.2">
      <c r="R133" s="35"/>
      <c r="S133" s="34"/>
      <c r="BC133" s="178">
        <f>_xll.qlCalendarAdvance(Calendar,BC132,"1d","mf",,Trigger)</f>
        <v>42464</v>
      </c>
      <c r="BD133" s="41">
        <f>_xll.qlDayCounterYearFraction(DayCounter,SettlementDate,BC133,,,Trigger)</f>
        <v>0.51388888888888884</v>
      </c>
      <c r="BE133" s="47" t="e">
        <f>_xll.qlPolynomialFunctionValue(BE$1,$BD133,AllTriggers)</f>
        <v>#VALUE!</v>
      </c>
      <c r="BF133" s="47" t="e">
        <f>_xll.qlPolynomialFunctionValue(BF$1,$BD133,AllTriggers)</f>
        <v>#VALUE!</v>
      </c>
      <c r="BG133" s="47" t="e">
        <f>_xll.qlPolynomialFunctionValue(BG$1,$BD133,AllTriggers)</f>
        <v>#VALUE!</v>
      </c>
      <c r="BH133" s="47" t="e">
        <f>_xll.qlPolynomialFunctionValue(BH$1,$BD133,AllTriggers)</f>
        <v>#VALUE!</v>
      </c>
      <c r="BI133" s="47" t="e">
        <f>_xll.qlPolynomialFunctionValue(BI$1,$BD133,AllTriggers)</f>
        <v>#VALUE!</v>
      </c>
      <c r="BJ133" s="47" t="e">
        <f>_xll.qlPolynomialFunctionValue(BJ$1,$BD133,AllTriggers)</f>
        <v>#VALUE!</v>
      </c>
      <c r="BK133" s="47" t="e">
        <f>_xll.qlPolynomialFunctionValue(BK$1,$BD133,AllTriggers)</f>
        <v>#VALUE!</v>
      </c>
      <c r="BL133" s="47" t="e">
        <f>_xll.qlPolynomialFunctionValue(BL$1,$BD133,AllTriggers)</f>
        <v>#VALUE!</v>
      </c>
      <c r="BM133" s="47" t="e">
        <f>_xll.qlPolynomialFunctionValue(BM$1,$BD133,AllTriggers)</f>
        <v>#VALUE!</v>
      </c>
      <c r="BN133" s="47" t="e">
        <f>_xll.qlPolynomialFunctionValue(BN$1,$BD133,AllTriggers)</f>
        <v>#VALUE!</v>
      </c>
      <c r="BO133" s="47" t="e">
        <f>_xll.qlPolynomialFunctionValue(BO$1,$BD133,AllTriggers)</f>
        <v>#VALUE!</v>
      </c>
      <c r="BP133" s="47" t="e">
        <f>_xll.qlPolynomialFunctionValue(BP$1,$BD133,AllTriggers)</f>
        <v>#VALUE!</v>
      </c>
      <c r="BQ133" s="47">
        <f>_xll.qlPolynomialFunctionValue('6MSynthDepo_used'!$P$18,BD133,AllTriggers)</f>
        <v>1.9841031950614254E-3</v>
      </c>
    </row>
    <row r="134" spans="18:69" x14ac:dyDescent="0.2">
      <c r="R134" s="35"/>
      <c r="S134" s="34"/>
      <c r="BC134" s="178">
        <f>_xll.qlCalendarAdvance(Calendar,BC133,"1d","mf",,Trigger)</f>
        <v>42465</v>
      </c>
      <c r="BD134" s="41">
        <f>_xll.qlDayCounterYearFraction(DayCounter,SettlementDate,BC134,,,Trigger)</f>
        <v>0.51666666666666672</v>
      </c>
      <c r="BE134" s="47" t="e">
        <f>_xll.qlPolynomialFunctionValue(BE$1,$BD134,AllTriggers)</f>
        <v>#VALUE!</v>
      </c>
      <c r="BF134" s="47" t="e">
        <f>_xll.qlPolynomialFunctionValue(BF$1,$BD134,AllTriggers)</f>
        <v>#VALUE!</v>
      </c>
      <c r="BG134" s="47" t="e">
        <f>_xll.qlPolynomialFunctionValue(BG$1,$BD134,AllTriggers)</f>
        <v>#VALUE!</v>
      </c>
      <c r="BH134" s="47" t="e">
        <f>_xll.qlPolynomialFunctionValue(BH$1,$BD134,AllTriggers)</f>
        <v>#VALUE!</v>
      </c>
      <c r="BI134" s="47" t="e">
        <f>_xll.qlPolynomialFunctionValue(BI$1,$BD134,AllTriggers)</f>
        <v>#VALUE!</v>
      </c>
      <c r="BJ134" s="47" t="e">
        <f>_xll.qlPolynomialFunctionValue(BJ$1,$BD134,AllTriggers)</f>
        <v>#VALUE!</v>
      </c>
      <c r="BK134" s="47" t="e">
        <f>_xll.qlPolynomialFunctionValue(BK$1,$BD134,AllTriggers)</f>
        <v>#VALUE!</v>
      </c>
      <c r="BL134" s="47" t="e">
        <f>_xll.qlPolynomialFunctionValue(BL$1,$BD134,AllTriggers)</f>
        <v>#VALUE!</v>
      </c>
      <c r="BM134" s="47" t="e">
        <f>_xll.qlPolynomialFunctionValue(BM$1,$BD134,AllTriggers)</f>
        <v>#VALUE!</v>
      </c>
      <c r="BN134" s="47" t="e">
        <f>_xll.qlPolynomialFunctionValue(BN$1,$BD134,AllTriggers)</f>
        <v>#VALUE!</v>
      </c>
      <c r="BO134" s="47" t="e">
        <f>_xll.qlPolynomialFunctionValue(BO$1,$BD134,AllTriggers)</f>
        <v>#VALUE!</v>
      </c>
      <c r="BP134" s="47" t="e">
        <f>_xll.qlPolynomialFunctionValue(BP$1,$BD134,AllTriggers)</f>
        <v>#VALUE!</v>
      </c>
      <c r="BQ134" s="47">
        <f>_xll.qlPolynomialFunctionValue('6MSynthDepo_used'!$P$18,BD134,AllTriggers)</f>
        <v>1.9855215943284715E-3</v>
      </c>
    </row>
    <row r="135" spans="18:69" x14ac:dyDescent="0.2">
      <c r="R135" s="35"/>
      <c r="S135" s="34"/>
      <c r="BC135" s="182">
        <f>_xll.qlCalendarAdvance(Calendar,BC134,"1d","mf",,Trigger)</f>
        <v>42466</v>
      </c>
      <c r="BD135" s="44">
        <f>_xll.qlDayCounterYearFraction(DayCounter,SettlementDate,BC135,,,Trigger)</f>
        <v>0.51944444444444449</v>
      </c>
      <c r="BE135" s="50" t="e">
        <f>_xll.qlPolynomialFunctionValue(BE$1,$BD135,AllTriggers)</f>
        <v>#VALUE!</v>
      </c>
      <c r="BF135" s="50" t="e">
        <f>_xll.qlPolynomialFunctionValue(BF$1,$BD135,AllTriggers)</f>
        <v>#VALUE!</v>
      </c>
      <c r="BG135" s="50" t="e">
        <f>_xll.qlPolynomialFunctionValue(BG$1,$BD135,AllTriggers)</f>
        <v>#VALUE!</v>
      </c>
      <c r="BH135" s="50" t="e">
        <f>_xll.qlPolynomialFunctionValue(BH$1,$BD135,AllTriggers)</f>
        <v>#VALUE!</v>
      </c>
      <c r="BI135" s="50" t="e">
        <f>_xll.qlPolynomialFunctionValue(BI$1,$BD135,AllTriggers)</f>
        <v>#VALUE!</v>
      </c>
      <c r="BJ135" s="50" t="e">
        <f>_xll.qlPolynomialFunctionValue(BJ$1,$BD135,AllTriggers)</f>
        <v>#VALUE!</v>
      </c>
      <c r="BK135" s="50" t="e">
        <f>_xll.qlPolynomialFunctionValue(BK$1,$BD135,AllTriggers)</f>
        <v>#VALUE!</v>
      </c>
      <c r="BL135" s="50" t="e">
        <f>_xll.qlPolynomialFunctionValue(BL$1,$BD135,AllTriggers)</f>
        <v>#VALUE!</v>
      </c>
      <c r="BM135" s="50" t="e">
        <f>_xll.qlPolynomialFunctionValue(BM$1,$BD135,AllTriggers)</f>
        <v>#VALUE!</v>
      </c>
      <c r="BN135" s="50" t="e">
        <f>_xll.qlPolynomialFunctionValue(BN$1,$BD135,AllTriggers)</f>
        <v>#VALUE!</v>
      </c>
      <c r="BO135" s="50" t="e">
        <f>_xll.qlPolynomialFunctionValue(BO$1,$BD135,AllTriggers)</f>
        <v>#VALUE!</v>
      </c>
      <c r="BP135" s="50" t="e">
        <f>_xll.qlPolynomialFunctionValue(BP$1,$BD135,AllTriggers)</f>
        <v>#VALUE!</v>
      </c>
      <c r="BQ135" s="50">
        <f>_xll.qlPolynomialFunctionValue('6MSynthDepo_used'!$P$18,BD135,AllTriggers)</f>
        <v>1.9869364079327205E-3</v>
      </c>
    </row>
    <row r="136" spans="18:69" x14ac:dyDescent="0.2">
      <c r="R136" s="35"/>
      <c r="S136" s="34"/>
    </row>
    <row r="137" spans="18:69" x14ac:dyDescent="0.2">
      <c r="R137" s="35"/>
      <c r="S137" s="34"/>
    </row>
    <row r="138" spans="18:69" x14ac:dyDescent="0.2">
      <c r="R138" s="35"/>
      <c r="S138" s="34"/>
    </row>
    <row r="139" spans="18:69" x14ac:dyDescent="0.2">
      <c r="R139" s="35"/>
      <c r="S139" s="35"/>
    </row>
    <row r="140" spans="18:69" x14ac:dyDescent="0.2">
      <c r="R140" s="35"/>
      <c r="S140" s="35"/>
    </row>
    <row r="141" spans="18:69" x14ac:dyDescent="0.2">
      <c r="R141" s="35"/>
      <c r="S141" s="35"/>
    </row>
    <row r="142" spans="18:69" x14ac:dyDescent="0.2">
      <c r="R142" s="35"/>
      <c r="S142" s="35"/>
    </row>
    <row r="143" spans="18:69" x14ac:dyDescent="0.2">
      <c r="R143" s="35"/>
      <c r="S143" s="35"/>
    </row>
    <row r="144" spans="18:69" x14ac:dyDescent="0.2">
      <c r="R144" s="35"/>
      <c r="S144" s="35"/>
    </row>
    <row r="145" spans="18:19" x14ac:dyDescent="0.2">
      <c r="R145" s="35"/>
      <c r="S145" s="35"/>
    </row>
    <row r="146" spans="18:19" x14ac:dyDescent="0.2">
      <c r="R146" s="35"/>
      <c r="S146" s="35"/>
    </row>
    <row r="147" spans="18:19" x14ac:dyDescent="0.2">
      <c r="R147" s="35"/>
      <c r="S147" s="35"/>
    </row>
    <row r="148" spans="18:19" x14ac:dyDescent="0.2">
      <c r="R148" s="35"/>
      <c r="S148" s="35"/>
    </row>
    <row r="149" spans="18:19" x14ac:dyDescent="0.2">
      <c r="S149" s="35"/>
    </row>
    <row r="150" spans="18:19" x14ac:dyDescent="0.2">
      <c r="S150" s="35"/>
    </row>
    <row r="151" spans="18:19" x14ac:dyDescent="0.2">
      <c r="S151" s="35"/>
    </row>
    <row r="152" spans="18:19" x14ac:dyDescent="0.2">
      <c r="S152" s="35"/>
    </row>
    <row r="153" spans="18:19" x14ac:dyDescent="0.2">
      <c r="S153" s="35"/>
    </row>
    <row r="154" spans="18:19" x14ac:dyDescent="0.2">
      <c r="S154" s="35"/>
    </row>
  </sheetData>
  <mergeCells count="16">
    <mergeCell ref="AH19:AH21"/>
    <mergeCell ref="AJ19:AJ21"/>
    <mergeCell ref="AJ14:AJ16"/>
    <mergeCell ref="AT5:AT6"/>
    <mergeCell ref="AV5:AV6"/>
    <mergeCell ref="AT9:AT10"/>
    <mergeCell ref="AV9:AV10"/>
    <mergeCell ref="AT14:AT16"/>
    <mergeCell ref="AV14:AV16"/>
    <mergeCell ref="AT19:AT21"/>
    <mergeCell ref="AV19:AV21"/>
    <mergeCell ref="AH5:AH6"/>
    <mergeCell ref="AH9:AH10"/>
    <mergeCell ref="AJ5:AJ6"/>
    <mergeCell ref="AJ9:AJ10"/>
    <mergeCell ref="AH14:AH16"/>
  </mergeCells>
  <dataValidations count="4">
    <dataValidation type="list" allowBlank="1" showInputMessage="1" showErrorMessage="1" sqref="S3:T3 S14:T14">
      <formula1>"TRUE"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15:V20 S4:V9 T10:W10">
      <formula1>"TRUE,FALSE"</formula1>
    </dataValidation>
    <dataValidation type="list" allowBlank="1" showInputMessage="1" showErrorMessage="1" sqref="D27:D28">
      <formula1>"FIXING,ESTIMATED"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0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27" width="12.83203125" style="19" bestFit="1" customWidth="1"/>
    <col min="28" max="16384" width="9.33203125" style="19"/>
  </cols>
  <sheetData>
    <row r="1" spans="1:27" x14ac:dyDescent="0.2">
      <c r="G1" s="126" t="s">
        <v>49</v>
      </c>
      <c r="H1" s="127" t="s">
        <v>23</v>
      </c>
    </row>
    <row r="2" spans="1:27" ht="26.25" customHeight="1" x14ac:dyDescent="0.2">
      <c r="D2" s="36" t="str">
        <f>H1&amp;" Instruments"</f>
        <v>3M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3M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3</v>
      </c>
      <c r="D3" s="108" t="str">
        <f>Currency&amp;A3&amp;B3&amp;C3&amp;"F"&amp;"_Estimated"</f>
        <v>EUR0x3F_Estimated</v>
      </c>
      <c r="E3" s="108" t="str">
        <f>_xll.qlSimpleQuote(UPPER("B"&amp;$H$1&amp;"_"&amp;A3&amp;B3&amp;C3&amp;"Estimated"),,,Permanent,Trigger,ObjectOverwrite)</f>
        <v>B3M_0X3ESTIMATED#0008</v>
      </c>
      <c r="F3" s="197" t="e">
        <f>_xll.qlSimpleQuoteSetValue(E3,L3,AllTriggers)</f>
        <v>#N/A</v>
      </c>
      <c r="G3" s="210">
        <f>SettlementDate</f>
        <v>42279</v>
      </c>
      <c r="H3" s="210">
        <f>_xll.qlInterestRateIndexMaturity(PROPER(Currency)&amp;"ibor"&amp;$H$1,G3)</f>
        <v>42373</v>
      </c>
      <c r="I3" s="107">
        <f>L3+$J$4</f>
        <v>-4.4159558730276212E-4</v>
      </c>
      <c r="J3" s="89"/>
      <c r="K3" s="89"/>
      <c r="L3" s="66">
        <f>_xll.qlTenorBasisValue($P$3,G3,Trigger)</f>
        <v>1.0070488729628803E-3</v>
      </c>
      <c r="M3" s="89"/>
      <c r="N3" s="21"/>
      <c r="O3" s="192" t="s">
        <v>82</v>
      </c>
      <c r="P3" s="66" t="str">
        <f>'[2]3MSynthDepo'!TenorBasis3M</f>
        <v>obj_005a2#0013</v>
      </c>
      <c r="R3" s="211">
        <f>SettlementDate</f>
        <v>42279</v>
      </c>
      <c r="S3" s="52">
        <f>_xll.qlTenorBasisValue($P$3,R3,AllTriggers)</f>
        <v>1.0070488729628803E-3</v>
      </c>
      <c r="T3" s="46">
        <f>_xll.qlDayCounterYearFraction("actual/365 (fixed)",SettlementDate,R3,,,Trigger)</f>
        <v>0</v>
      </c>
      <c r="U3" s="52">
        <f>_xll.qlPolynomialFunctionValue($P$18,T3,AllTriggers)</f>
        <v>9.2169452529223357E-4</v>
      </c>
    </row>
    <row r="4" spans="1:27" ht="11.25" customHeight="1" x14ac:dyDescent="0.2">
      <c r="A4" s="104">
        <v>0</v>
      </c>
      <c r="B4" s="105" t="s">
        <v>20</v>
      </c>
      <c r="C4" s="106">
        <v>6</v>
      </c>
      <c r="D4" s="97" t="str">
        <f>PROPER(Currency&amp;IborType)&amp;H1&amp;"LastFixing"&amp;QuoteSuffix</f>
        <v>Euribor3MLastFixing_Quote</v>
      </c>
      <c r="E4" s="97" t="str">
        <f>_xll.qlSimpleQuote(UPPER("B"&amp;$H$1&amp;"_"&amp;A4&amp;B4&amp;C4&amp;"FIXING"),,,Permanent,Trigger,ObjectOverwrite)</f>
        <v>B3M_0X6FIXING#0008</v>
      </c>
      <c r="F4" s="198" t="e">
        <f>_xll.qlSimpleQuoteSetValue(E4,K4,AllTriggers)</f>
        <v>#N/A</v>
      </c>
      <c r="G4" s="210">
        <f>SettlementDate</f>
        <v>42279</v>
      </c>
      <c r="H4" s="210">
        <f>_xll.qlInterestRateIndexMaturity(ON_6M_index,G4)</f>
        <v>42464</v>
      </c>
      <c r="I4" s="66">
        <f>_xll.qlQuoteValue(D4,LastFixingsTrigger)</f>
        <v>-4.0000000000000002E-4</v>
      </c>
      <c r="J4" s="66">
        <f>_xll.qlIndexFixing(ON_3M_index,_xll.qlInterestRateIndexFixingDate(ON_6M_index,G4),,AllTriggers)</f>
        <v>-1.4486444602656425E-3</v>
      </c>
      <c r="K4" s="107">
        <f t="shared" ref="K4:K28" si="0">I4-J4</f>
        <v>1.0486444602656425E-3</v>
      </c>
      <c r="L4" s="62">
        <f>_xll.qlTenorBasisValue($P$3,G4,Trigger)</f>
        <v>1.0070488729628803E-3</v>
      </c>
      <c r="M4" s="63">
        <f>(K4-L4)*10000</f>
        <v>0.41595587302762149</v>
      </c>
      <c r="N4" s="21"/>
      <c r="R4" s="212">
        <f>_xll.qlCalendarAdvance(Calendar,R3,"1D","f")</f>
        <v>42282</v>
      </c>
      <c r="S4" s="47">
        <f>_xll.qlTenorBasisValue($P$3,R4,AllTriggers)</f>
        <v>1.0121330743627756E-3</v>
      </c>
      <c r="T4" s="41">
        <f>_xll.qlDayCounterYearFraction("actual/365 (fixed)",SettlementDate,R4,,,Trigger)</f>
        <v>8.21917808219178E-3</v>
      </c>
      <c r="U4" s="47">
        <f>_xll.qlPolynomialFunctionValue($P$18,T4,AllTriggers)</f>
        <v>9.2759436823098337E-4</v>
      </c>
    </row>
    <row r="5" spans="1:27" ht="11.25" customHeight="1" x14ac:dyDescent="0.2">
      <c r="A5" s="94">
        <v>1</v>
      </c>
      <c r="B5" s="21" t="s">
        <v>20</v>
      </c>
      <c r="C5" s="101">
        <f t="shared" ref="C5:C16" si="1">A5+SUBSTITUTE($H$1,"M","")</f>
        <v>4</v>
      </c>
      <c r="D5" s="98" t="str">
        <f t="shared" ref="D5:D16" si="2">Currency&amp;A5&amp;B5&amp;C5&amp;"F"&amp;QuoteSuffix</f>
        <v>EUR1x4F_Quote</v>
      </c>
      <c r="E5" s="98" t="str">
        <f>_xll.qlSimpleQuote(UPPER("B"&amp;$H$1&amp;"_"&amp;A5&amp;B5&amp;C5),,,Permanent,Trigger,ObjectOverwrite)</f>
        <v>B3M_1X4#0008</v>
      </c>
      <c r="F5" s="199" t="e">
        <f>_xll.qlSimpleQuoteSetValue(E5,K5,AllTriggers)</f>
        <v>#N/A</v>
      </c>
      <c r="G5" s="211">
        <f>_xll.qlCalendarAdvance("target",SettlementDate,A5&amp;"M","mf",,Trigger)</f>
        <v>42310</v>
      </c>
      <c r="H5" s="211">
        <f>_xll.qlInterestRateIndexMaturity(ON_6M_index,G5)</f>
        <v>42492</v>
      </c>
      <c r="I5" s="52">
        <f>_xll.qlQuoteValue(D5,AllTriggers)</f>
        <v>-4.6000000000000001E-4</v>
      </c>
      <c r="J5" s="52">
        <f>_xll.qlIndexFixing(ON_3M_index,_xll.qlInterestRateIndexFixingDate(ON_6M_index,G5),,AllTriggers)</f>
        <v>-1.5146603244055856E-3</v>
      </c>
      <c r="K5" s="193">
        <f t="shared" si="0"/>
        <v>1.0546603244055855E-3</v>
      </c>
      <c r="L5" s="52">
        <f>_xll.qlTenorBasisValue($P$3,G5,Trigger)</f>
        <v>1.0572313042492953E-3</v>
      </c>
      <c r="M5" s="91">
        <f t="shared" ref="M5:M28" si="3">(K5-L5)*10000</f>
        <v>-2.5709798437097749E-2</v>
      </c>
      <c r="N5" s="21"/>
      <c r="O5" s="119" t="s">
        <v>94</v>
      </c>
      <c r="P5" s="120"/>
      <c r="Q5" s="20"/>
      <c r="R5" s="212">
        <f>_xll.qlCalendarAdvance(Calendar,R4,"1D","f")</f>
        <v>42283</v>
      </c>
      <c r="S5" s="47">
        <f>_xll.qlTenorBasisValue($P$3,R5,AllTriggers)</f>
        <v>1.0138167622732706E-3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9.2954889621098551E-4</v>
      </c>
    </row>
    <row r="6" spans="1:27" ht="11.25" customHeight="1" x14ac:dyDescent="0.2">
      <c r="A6" s="94">
        <v>2</v>
      </c>
      <c r="B6" s="21" t="s">
        <v>20</v>
      </c>
      <c r="C6" s="101">
        <f t="shared" si="1"/>
        <v>5</v>
      </c>
      <c r="D6" s="99" t="str">
        <f t="shared" si="2"/>
        <v>EUR2x5F_Quote</v>
      </c>
      <c r="E6" s="99" t="str">
        <f>_xll.qlSimpleQuote(UPPER("B"&amp;$H$1&amp;"_"&amp;A6&amp;B6&amp;C6),,,Permanent,Trigger,ObjectOverwrite)</f>
        <v>B3M_2X5#0008</v>
      </c>
      <c r="F6" s="200" t="e">
        <f>_xll.qlSimpleQuoteSetValue(E6,K6,AllTriggers)</f>
        <v>#N/A</v>
      </c>
      <c r="G6" s="212">
        <f>_xll.qlCalendarAdvance("target",SettlementDate,A6&amp;"M","mf",,Trigger)</f>
        <v>42340</v>
      </c>
      <c r="H6" s="212">
        <f>_xll.qlInterestRateIndexMaturity(ON_6M_index,G6)</f>
        <v>42523</v>
      </c>
      <c r="I6" s="47">
        <f>_xll.qlQuoteValue(D6,AllTriggers)</f>
        <v>-4.8999999999999998E-4</v>
      </c>
      <c r="J6" s="47">
        <f>_xll.qlIndexFixing(ON_3M_index,_xll.qlInterestRateIndexFixingDate(ON_6M_index,G6),,AllTriggers)</f>
        <v>-1.5812473974574882E-3</v>
      </c>
      <c r="K6" s="128">
        <f t="shared" si="0"/>
        <v>1.0912473974574882E-3</v>
      </c>
      <c r="L6" s="47">
        <f>_xll.qlTenorBasisValue($P$3,G6,Trigger)</f>
        <v>1.101024474234614E-3</v>
      </c>
      <c r="M6" s="64">
        <f t="shared" si="3"/>
        <v>-9.777076777125765E-2</v>
      </c>
      <c r="N6" s="21"/>
      <c r="O6" s="192" t="s">
        <v>77</v>
      </c>
      <c r="P6" s="66">
        <f t="array" ref="P6:P10">_xll.qlTenorBasisCoefficients(P3)</f>
        <v>1.0070488729628803E-3</v>
      </c>
      <c r="Q6" s="20"/>
      <c r="R6" s="212">
        <f>_xll.qlCalendarAdvance(Calendar,R5,"1D","f")</f>
        <v>42284</v>
      </c>
      <c r="S6" s="47">
        <f>_xll.qlTenorBasisValue($P$3,R6,AllTriggers)</f>
        <v>1.0154949454339024E-3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9.3149739921940286E-4</v>
      </c>
    </row>
    <row r="7" spans="1:27" ht="11.25" customHeight="1" x14ac:dyDescent="0.2">
      <c r="A7" s="94">
        <f>A6+1</f>
        <v>3</v>
      </c>
      <c r="B7" s="21" t="s">
        <v>20</v>
      </c>
      <c r="C7" s="101">
        <f t="shared" si="1"/>
        <v>6</v>
      </c>
      <c r="D7" s="99" t="str">
        <f t="shared" si="2"/>
        <v>EUR3x6F_Quote</v>
      </c>
      <c r="E7" s="99" t="str">
        <f>_xll.qlSimpleQuote(UPPER("B"&amp;$H$1&amp;"_"&amp;A7&amp;B7&amp;C7),,,Permanent,Trigger,ObjectOverwrite)</f>
        <v>B3M_3X6#0008</v>
      </c>
      <c r="F7" s="200" t="e">
        <f>_xll.qlSimpleQuoteSetValue(E7,K7,AllTriggers)</f>
        <v>#N/A</v>
      </c>
      <c r="G7" s="212">
        <f>_xll.qlCalendarAdvance("target",SettlementDate,A7&amp;"M","mf",,Trigger)</f>
        <v>42373</v>
      </c>
      <c r="H7" s="212">
        <f>_xll.qlInterestRateIndexMaturity(ON_6M_index,G7)</f>
        <v>42555</v>
      </c>
      <c r="I7" s="47">
        <f>_xll.qlQuoteValue(D7,AllTriggers)</f>
        <v>-5.2999999999999998E-4</v>
      </c>
      <c r="J7" s="47">
        <f>_xll.qlIndexFixing(ON_3M_index,_xll.qlInterestRateIndexFixingDate(ON_6M_index,G7),,AllTriggers)</f>
        <v>-1.671860198074175E-3</v>
      </c>
      <c r="K7" s="128">
        <f t="shared" si="0"/>
        <v>1.1418601980741749E-3</v>
      </c>
      <c r="L7" s="47">
        <f>_xll.qlTenorBasisValue($P$3,G7,Trigger)</f>
        <v>1.1441329659610837E-3</v>
      </c>
      <c r="M7" s="64">
        <f t="shared" si="3"/>
        <v>-2.2727678869087845E-2</v>
      </c>
      <c r="N7" s="21"/>
      <c r="O7" s="192" t="s">
        <v>78</v>
      </c>
      <c r="P7" s="66">
        <v>6.2160961858383581E-4</v>
      </c>
      <c r="Q7" s="20"/>
      <c r="R7" s="212">
        <f>_xll.qlCalendarAdvance(Calendar,R6,"1D","f")</f>
        <v>42285</v>
      </c>
      <c r="S7" s="47">
        <f>_xll.qlTenorBasisValue($P$3,R7,AllTriggers)</f>
        <v>1.0171676347615947E-3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9.3343988817315849E-4</v>
      </c>
    </row>
    <row r="8" spans="1:27" ht="11.25" customHeight="1" x14ac:dyDescent="0.2">
      <c r="A8" s="94">
        <f t="shared" ref="A8:A16" si="4">A7+1</f>
        <v>4</v>
      </c>
      <c r="B8" s="21" t="s">
        <v>20</v>
      </c>
      <c r="C8" s="101">
        <f t="shared" si="1"/>
        <v>7</v>
      </c>
      <c r="D8" s="99" t="str">
        <f t="shared" si="2"/>
        <v>EUR4x7F_Quote</v>
      </c>
      <c r="E8" s="99" t="str">
        <f>_xll.qlSimpleQuote(UPPER("B"&amp;$H$1&amp;"_"&amp;A8&amp;B8&amp;C8),,,Permanent,Trigger,ObjectOverwrite)</f>
        <v>B3M_4X7#0008</v>
      </c>
      <c r="F8" s="200" t="e">
        <f>_xll.qlSimpleQuoteSetValue(E8,K8,AllTriggers)</f>
        <v>#N/A</v>
      </c>
      <c r="G8" s="212">
        <f>_xll.qlCalendarAdvance("target",SettlementDate,A8&amp;"M","mf",,Trigger)</f>
        <v>42402</v>
      </c>
      <c r="H8" s="212">
        <f>_xll.qlInterestRateIndexMaturity(ON_6M_index,G8)</f>
        <v>42584</v>
      </c>
      <c r="I8" s="47">
        <f>_xll.qlQuoteValue(D8,AllTriggers)</f>
        <v>-5.5000000000000003E-4</v>
      </c>
      <c r="J8" s="47">
        <f>_xll.qlIndexFixing(ON_3M_index,_xll.qlInterestRateIndexFixingDate(ON_6M_index,G8),,AllTriggers)</f>
        <v>-1.7270536446938323E-3</v>
      </c>
      <c r="K8" s="128">
        <f t="shared" si="0"/>
        <v>1.1770536446938321E-3</v>
      </c>
      <c r="L8" s="47">
        <f>_xll.qlTenorBasisValue($P$3,G8,Trigger)</f>
        <v>1.1779376183517602E-3</v>
      </c>
      <c r="M8" s="64">
        <f t="shared" si="3"/>
        <v>-8.839736579280711E-3</v>
      </c>
      <c r="N8" s="21"/>
      <c r="O8" s="192" t="s">
        <v>79</v>
      </c>
      <c r="P8" s="66">
        <v>-3.6959396447079108E-4</v>
      </c>
      <c r="Q8" s="20"/>
      <c r="R8" s="212">
        <f>_xll.qlCalendarAdvance(Calendar,R7,"1D","f")</f>
        <v>42286</v>
      </c>
      <c r="S8" s="47">
        <f>_xll.qlTenorBasisValue($P$3,R8,AllTriggers)</f>
        <v>1.0188348411732705E-3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9.3537637398917581E-4</v>
      </c>
    </row>
    <row r="9" spans="1:27" ht="11.25" customHeight="1" x14ac:dyDescent="0.2">
      <c r="A9" s="94">
        <f t="shared" si="4"/>
        <v>5</v>
      </c>
      <c r="B9" s="21" t="s">
        <v>20</v>
      </c>
      <c r="C9" s="101">
        <f t="shared" si="1"/>
        <v>8</v>
      </c>
      <c r="D9" s="99" t="str">
        <f t="shared" si="2"/>
        <v>EUR5x8F_Quote</v>
      </c>
      <c r="E9" s="99" t="str">
        <f>_xll.qlSimpleQuote(UPPER("B"&amp;$H$1&amp;"_"&amp;A9&amp;B9&amp;C9),,,Permanent,Trigger,ObjectOverwrite)</f>
        <v>B3M_5X8#0009</v>
      </c>
      <c r="F9" s="200" t="e">
        <f>_xll.qlSimpleQuoteSetValue(E9,K9,AllTriggers)</f>
        <v>#N/A</v>
      </c>
      <c r="G9" s="212">
        <f>_xll.qlCalendarAdvance("target",SettlementDate,A9&amp;"M","mf",,Trigger)</f>
        <v>42431</v>
      </c>
      <c r="H9" s="212">
        <f>_xll.qlInterestRateIndexMaturity(ON_6M_index,G9)</f>
        <v>42615</v>
      </c>
      <c r="I9" s="47">
        <f>_xll.qlQuoteValue(D9,AllTriggers)</f>
        <v>-5.6999999999999998E-4</v>
      </c>
      <c r="J9" s="47">
        <f>_xll.qlIndexFixing(ON_3M_index,_xll.qlInterestRateIndexFixingDate(ON_6M_index,G9),,AllTriggers)</f>
        <v>-1.7817067241216143E-3</v>
      </c>
      <c r="K9" s="128">
        <f t="shared" si="0"/>
        <v>1.2117067241216143E-3</v>
      </c>
      <c r="L9" s="47">
        <f>_xll.qlTenorBasisValue($P$3,G9,Trigger)</f>
        <v>1.2082053308787558E-3</v>
      </c>
      <c r="M9" s="64">
        <f t="shared" si="3"/>
        <v>3.5013932428585706E-2</v>
      </c>
      <c r="N9" s="21"/>
      <c r="O9" s="192" t="s">
        <v>80</v>
      </c>
      <c r="P9" s="66">
        <v>8.8476432655123518E-5</v>
      </c>
      <c r="Q9" s="20"/>
      <c r="R9" s="212">
        <f>_xll.qlCalendarAdvance(Calendar,R8,"1D","f")</f>
        <v>42289</v>
      </c>
      <c r="S9" s="47">
        <f>_xll.qlTenorBasisValue($P$3,R9,AllTriggers)</f>
        <v>1.0238036720814339E-3</v>
      </c>
      <c r="T9" s="41">
        <f>_xll.qlDayCounterYearFraction("actual/365 (fixed)",SettlementDate,R9,,,Trigger)</f>
        <v>2.7397260273972601E-2</v>
      </c>
      <c r="U9" s="47">
        <f>_xll.qlPolynomialFunctionValue($P$18,T9,AllTriggers)</f>
        <v>9.411499217800316E-4</v>
      </c>
    </row>
    <row r="10" spans="1:27" ht="11.25" customHeight="1" x14ac:dyDescent="0.2">
      <c r="A10" s="94">
        <f t="shared" si="4"/>
        <v>6</v>
      </c>
      <c r="B10" s="21" t="s">
        <v>20</v>
      </c>
      <c r="C10" s="101">
        <f t="shared" ref="C10:C16" si="5">A10+SUBSTITUTE($H$1,"M","")</f>
        <v>9</v>
      </c>
      <c r="D10" s="99" t="str">
        <f t="shared" ref="D10:D16" si="6">Currency&amp;A10&amp;B10&amp;C10&amp;"F"&amp;QuoteSuffix</f>
        <v>EUR6x9F_Quote</v>
      </c>
      <c r="E10" s="99" t="str">
        <f>_xll.qlSimpleQuote(UPPER("B"&amp;$H$1&amp;"_"&amp;A10&amp;B10&amp;C10),,,Permanent,Trigger,ObjectOverwrite)</f>
        <v>B3M_6X9#0001</v>
      </c>
      <c r="F10" s="200" t="e">
        <f>_xll.qlSimpleQuoteSetValue(E10,K10,AllTriggers)</f>
        <v>#N/A</v>
      </c>
      <c r="G10" s="212">
        <f>_xll.qlCalendarAdvance("target",SettlementDate,A10&amp;"M","mf",,Trigger)</f>
        <v>42464</v>
      </c>
      <c r="H10" s="212">
        <f>_xll.qlInterestRateIndexMaturity(ON_6M_index,G10)</f>
        <v>42647</v>
      </c>
      <c r="I10" s="47">
        <f>_xll.qlQuoteValue(D10,AllTriggers)</f>
        <v>-5.9999999999999995E-4</v>
      </c>
      <c r="J10" s="47">
        <f>_xll.qlIndexFixing(ON_3M_index,_xll.qlInterestRateIndexFixingDate(ON_6M_index,G10),,AllTriggers)</f>
        <v>-1.8425032399314912E-3</v>
      </c>
      <c r="K10" s="128">
        <f t="shared" ref="K10:K16" si="7">I10-J10</f>
        <v>1.2425032399314912E-3</v>
      </c>
      <c r="L10" s="47">
        <f>_xll.qlTenorBasisValue($P$3,G10,Trigger)</f>
        <v>1.2386842977412144E-3</v>
      </c>
      <c r="M10" s="64">
        <f t="shared" ref="M10:M16" si="8">(K10-L10)*10000</f>
        <v>3.8189421902768035E-2</v>
      </c>
      <c r="N10" s="21"/>
      <c r="O10" s="192" t="s">
        <v>81</v>
      </c>
      <c r="P10" s="66" t="e">
        <v>#N/A</v>
      </c>
      <c r="Q10" s="20"/>
      <c r="R10" s="212">
        <f>_xll.qlCalendarAdvance(Calendar,R9,"1D","f")</f>
        <v>42290</v>
      </c>
      <c r="S10" s="47">
        <f>_xll.qlTenorBasisValue($P$3,R10,AllTriggers)</f>
        <v>1.025449055998278E-3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9.430625042143293E-4</v>
      </c>
    </row>
    <row r="11" spans="1:27" ht="11.25" customHeight="1" x14ac:dyDescent="0.2">
      <c r="A11" s="94">
        <f t="shared" si="4"/>
        <v>7</v>
      </c>
      <c r="B11" s="21" t="s">
        <v>20</v>
      </c>
      <c r="C11" s="101">
        <f t="shared" si="5"/>
        <v>10</v>
      </c>
      <c r="D11" s="99" t="str">
        <f t="shared" si="6"/>
        <v>EUR7x10F_Quote</v>
      </c>
      <c r="E11" s="99" t="str">
        <f>_xll.qlSimpleQuote(UPPER("B"&amp;$H$1&amp;"_"&amp;A11&amp;B11&amp;C11),,,Permanent,Trigger,ObjectOverwrite)</f>
        <v>B3M_7X10#0001</v>
      </c>
      <c r="F11" s="200" t="e">
        <f>_xll.qlSimpleQuoteSetValue(E11,K11,AllTriggers)</f>
        <v>#N/A</v>
      </c>
      <c r="G11" s="212">
        <f>_xll.qlCalendarAdvance("target",SettlementDate,A11&amp;"M","mf",,Trigger)</f>
        <v>42492</v>
      </c>
      <c r="H11" s="212">
        <f>_xll.qlInterestRateIndexMaturity(ON_6M_index,G11)</f>
        <v>42676</v>
      </c>
      <c r="I11" s="47">
        <f>_xll.qlQuoteValue(D11,AllTriggers)</f>
        <v>-6.2E-4</v>
      </c>
      <c r="J11" s="47">
        <f>_xll.qlIndexFixing(ON_3M_index,_xll.qlInterestRateIndexFixingDate(ON_6M_index,G11),,AllTriggers)</f>
        <v>-1.8912683067427174E-3</v>
      </c>
      <c r="K11" s="128">
        <f t="shared" si="7"/>
        <v>1.2712683067427175E-3</v>
      </c>
      <c r="L11" s="47">
        <f>_xll.qlTenorBasisValue($P$3,G11,Trigger)</f>
        <v>1.2615161170261759E-3</v>
      </c>
      <c r="M11" s="64">
        <f t="shared" si="8"/>
        <v>9.7521897165415455E-2</v>
      </c>
      <c r="N11" s="21"/>
      <c r="Q11" s="20"/>
      <c r="R11" s="212">
        <f>_xll.qlCalendarAdvance(Calendar,R10,"1D","f")</f>
        <v>42291</v>
      </c>
      <c r="S11" s="47">
        <f>_xll.qlTenorBasisValue($P$3,R11,AllTriggers)</f>
        <v>1.0270890115837226E-3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9.4496913809550545E-4</v>
      </c>
    </row>
    <row r="12" spans="1:27" ht="11.25" customHeight="1" x14ac:dyDescent="0.2">
      <c r="A12" s="94">
        <f t="shared" si="4"/>
        <v>8</v>
      </c>
      <c r="B12" s="21" t="s">
        <v>20</v>
      </c>
      <c r="C12" s="101">
        <f t="shared" si="5"/>
        <v>11</v>
      </c>
      <c r="D12" s="99" t="str">
        <f t="shared" si="6"/>
        <v>EUR8x11F_Quote</v>
      </c>
      <c r="E12" s="99" t="str">
        <f>_xll.qlSimpleQuote(UPPER("B"&amp;$H$1&amp;"_"&amp;A12&amp;B12&amp;C12),,,Permanent,Trigger,ObjectOverwrite)</f>
        <v>B3M_8X11#0001</v>
      </c>
      <c r="F12" s="200" t="e">
        <f>_xll.qlSimpleQuoteSetValue(E12,K12,AllTriggers)</f>
        <v>#N/A</v>
      </c>
      <c r="G12" s="212">
        <f>_xll.qlCalendarAdvance("target",SettlementDate,A12&amp;"M","mf",,Trigger)</f>
        <v>42523</v>
      </c>
      <c r="H12" s="212">
        <f>_xll.qlInterestRateIndexMaturity(ON_6M_index,G12)</f>
        <v>42706</v>
      </c>
      <c r="I12" s="47">
        <f>_xll.qlQuoteValue(D12,AllTriggers)</f>
        <v>-6.4999999999999997E-4</v>
      </c>
      <c r="J12" s="47">
        <f>_xll.qlIndexFixing(ON_3M_index,_xll.qlInterestRateIndexFixingDate(ON_6M_index,G12),,AllTriggers)</f>
        <v>-1.9310510417415983E-3</v>
      </c>
      <c r="K12" s="128">
        <f t="shared" si="7"/>
        <v>1.2810510417415983E-3</v>
      </c>
      <c r="L12" s="47">
        <f>_xll.qlTenorBasisValue($P$3,G12,Trigger)</f>
        <v>1.2838566494564911E-3</v>
      </c>
      <c r="M12" s="64">
        <f t="shared" si="8"/>
        <v>-2.8056077148927699E-2</v>
      </c>
      <c r="N12" s="21"/>
      <c r="O12" s="119" t="s">
        <v>95</v>
      </c>
      <c r="P12" s="120"/>
      <c r="Q12" s="20"/>
      <c r="R12" s="212">
        <f>_xll.qlCalendarAdvance(Calendar,R11,"1D","f")</f>
        <v>42292</v>
      </c>
      <c r="S12" s="47">
        <f>_xll.qlTenorBasisValue($P$3,R12,AllTriggers)</f>
        <v>1.028723549754691E-3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9.4686983434048323E-4</v>
      </c>
    </row>
    <row r="13" spans="1:27" ht="11.25" customHeight="1" x14ac:dyDescent="0.2">
      <c r="A13" s="94">
        <f t="shared" si="4"/>
        <v>9</v>
      </c>
      <c r="B13" s="21" t="s">
        <v>20</v>
      </c>
      <c r="C13" s="101">
        <f t="shared" si="5"/>
        <v>12</v>
      </c>
      <c r="D13" s="99" t="str">
        <f t="shared" si="6"/>
        <v>EUR9x12F_Quote</v>
      </c>
      <c r="E13" s="99" t="str">
        <f>_xll.qlSimpleQuote(UPPER("B"&amp;$H$1&amp;"_"&amp;A13&amp;B13&amp;C13),,,Permanent,Trigger,ObjectOverwrite)</f>
        <v>B3M_9X12#0001</v>
      </c>
      <c r="F13" s="200" t="e">
        <f>_xll.qlSimpleQuoteSetValue(E13,K13,AllTriggers)</f>
        <v>#N/A</v>
      </c>
      <c r="G13" s="212">
        <f>_xll.qlCalendarAdvance("target",SettlementDate,A13&amp;"M","mf",,Trigger)</f>
        <v>42555</v>
      </c>
      <c r="H13" s="212">
        <f>_xll.qlInterestRateIndexMaturity(ON_6M_index,G13)</f>
        <v>42739</v>
      </c>
      <c r="I13" s="47">
        <f>_xll.qlQuoteValue(D13,AllTriggers)</f>
        <v>-6.4999999999999997E-4</v>
      </c>
      <c r="J13" s="47">
        <f>_xll.qlIndexFixing(ON_3M_index,_xll.qlInterestRateIndexFixingDate(ON_6M_index,G13),,AllTriggers)</f>
        <v>-1.9600936976483171E-3</v>
      </c>
      <c r="K13" s="128">
        <f t="shared" si="7"/>
        <v>1.3100936976483172E-3</v>
      </c>
      <c r="L13" s="47">
        <f>_xll.qlTenorBasisValue($P$3,G13,Trigger)</f>
        <v>1.3040137465423624E-3</v>
      </c>
      <c r="M13" s="64">
        <f t="shared" si="8"/>
        <v>6.0799511059548249E-2</v>
      </c>
      <c r="N13" s="21"/>
      <c r="O13" s="192" t="s">
        <v>77</v>
      </c>
      <c r="P13" s="66">
        <f t="array" ref="P13:P17">_xll.qlTenorInstCoefficients(P3)</f>
        <v>9.2169452529223357E-4</v>
      </c>
      <c r="Q13" s="20"/>
      <c r="R13" s="212">
        <f>_xll.qlCalendarAdvance(Calendar,R12,"1D","f")</f>
        <v>42293</v>
      </c>
      <c r="S13" s="47">
        <f>_xll.qlTenorBasisValue($P$3,R13,AllTriggers)</f>
        <v>1.0303526814281062E-3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9.4876460386618617E-4</v>
      </c>
    </row>
    <row r="14" spans="1:27" ht="11.25" customHeight="1" thickBot="1" x14ac:dyDescent="0.25">
      <c r="A14" s="94">
        <f t="shared" si="4"/>
        <v>10</v>
      </c>
      <c r="B14" s="21" t="s">
        <v>20</v>
      </c>
      <c r="C14" s="101">
        <f t="shared" si="5"/>
        <v>13</v>
      </c>
      <c r="D14" s="99" t="str">
        <f t="shared" si="6"/>
        <v>EUR10x13F_Quote</v>
      </c>
      <c r="E14" s="99" t="str">
        <f>_xll.qlSimpleQuote(UPPER("B"&amp;$H$1&amp;"_"&amp;A14&amp;B14&amp;C14),,,Permanent,Trigger,ObjectOverwrite)</f>
        <v>B3M_10X13#0001</v>
      </c>
      <c r="F14" s="200" t="e">
        <f>_xll.qlSimpleQuoteSetValue(E14,K14,AllTriggers)</f>
        <v>#N/A</v>
      </c>
      <c r="G14" s="212">
        <f>_xll.qlCalendarAdvance("target",SettlementDate,A14&amp;"M","mf",,Trigger)</f>
        <v>42584</v>
      </c>
      <c r="H14" s="212">
        <f>_xll.qlInterestRateIndexMaturity(ON_6M_index,G14)</f>
        <v>42768</v>
      </c>
      <c r="I14" s="47">
        <f>_xll.qlQuoteValue(D14,AllTriggers)</f>
        <v>-6.4999999999999997E-4</v>
      </c>
      <c r="J14" s="47">
        <f>_xll.qlIndexFixing(ON_3M_index,_xll.qlInterestRateIndexFixingDate(ON_6M_index,G14),,AllTriggers)</f>
        <v>-1.9759885449471101E-3</v>
      </c>
      <c r="K14" s="128">
        <f t="shared" si="7"/>
        <v>1.3259885449471102E-3</v>
      </c>
      <c r="L14" s="47">
        <f>_xll.qlTenorBasisValue($P$3,G14,Trigger)</f>
        <v>1.3200289455890819E-3</v>
      </c>
      <c r="M14" s="64">
        <f t="shared" si="8"/>
        <v>5.9595993580283113E-2</v>
      </c>
      <c r="N14" s="21"/>
      <c r="O14" s="192" t="s">
        <v>78</v>
      </c>
      <c r="P14" s="66">
        <v>7.211308272039123E-4</v>
      </c>
      <c r="Q14" s="20"/>
      <c r="R14" s="212">
        <f>_xll.qlCalendarAdvance(Calendar,R13,"1D","f")</f>
        <v>42296</v>
      </c>
      <c r="S14" s="47">
        <f>_xll.qlTenorBasisValue($P$3,R14,AllTriggers)</f>
        <v>1.035207746632269E-3</v>
      </c>
      <c r="T14" s="41">
        <f>_xll.qlDayCounterYearFraction("actual/365 (fixed)",SettlementDate,R14,,,Trigger)</f>
        <v>4.6575342465753428E-2</v>
      </c>
      <c r="U14" s="47">
        <f>_xll.qlPolynomialFunctionValue($P$18,T14,AllTriggers)</f>
        <v>9.5441346129687926E-4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A15" s="94">
        <f t="shared" si="4"/>
        <v>11</v>
      </c>
      <c r="B15" s="21" t="s">
        <v>20</v>
      </c>
      <c r="C15" s="101">
        <f t="shared" si="5"/>
        <v>14</v>
      </c>
      <c r="D15" s="99" t="str">
        <f t="shared" si="6"/>
        <v>EUR11x14F_Quote</v>
      </c>
      <c r="E15" s="99" t="str">
        <f>_xll.qlSimpleQuote(UPPER("B"&amp;$H$1&amp;"_"&amp;A15&amp;B15&amp;C15),,,Permanent,Trigger,ObjectOverwrite)</f>
        <v>B3M_11X14#0001</v>
      </c>
      <c r="F15" s="200" t="e">
        <f>_xll.qlSimpleQuoteSetValue(E15,K15,AllTriggers)</f>
        <v>#N/A</v>
      </c>
      <c r="G15" s="212">
        <f>_xll.qlCalendarAdvance("target",SettlementDate,A15&amp;"M","mf",,Trigger)</f>
        <v>42615</v>
      </c>
      <c r="H15" s="212">
        <f>_xll.qlInterestRateIndexMaturity(ON_6M_index,G15)</f>
        <v>42796</v>
      </c>
      <c r="I15" s="47">
        <f>_xll.qlQuoteValue(D15,AllTriggers)</f>
        <v>-6.4000000000000005E-4</v>
      </c>
      <c r="J15" s="47">
        <f>_xll.qlIndexFixing(ON_3M_index,_xll.qlInterestRateIndexFixingDate(ON_6M_index,G15),,AllTriggers)</f>
        <v>-1.9780790814501199E-3</v>
      </c>
      <c r="K15" s="128">
        <f t="shared" si="7"/>
        <v>1.3380790814501199E-3</v>
      </c>
      <c r="L15" s="47">
        <f>_xll.qlTenorBasisValue($P$3,G15,Trigger)</f>
        <v>1.3350919665926183E-3</v>
      </c>
      <c r="M15" s="64">
        <f t="shared" si="8"/>
        <v>2.987114857501633E-2</v>
      </c>
      <c r="N15" s="21"/>
      <c r="O15" s="192" t="s">
        <v>79</v>
      </c>
      <c r="P15" s="66">
        <v>-4.0424723392738115E-4</v>
      </c>
      <c r="Q15" s="20"/>
      <c r="R15" s="212">
        <f>_xll.qlCalendarAdvance(Calendar,R14,"1D","f")</f>
        <v>42297</v>
      </c>
      <c r="S15" s="47">
        <f>_xll.qlTenorBasisValue($P$3,R15,AllTriggers)</f>
        <v>1.0368153614847063E-3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9.562846331147161E-4</v>
      </c>
      <c r="W15" s="45">
        <v>0</v>
      </c>
      <c r="X15" s="45" t="s">
        <v>25</v>
      </c>
      <c r="Y15" s="175">
        <f>_xll.qlCalendarAdvance(Calendar,SettlementDate,W15&amp;"M","mf",TRUE,Trigger)</f>
        <v>42279</v>
      </c>
      <c r="Z15" s="176">
        <f>_xll.qlCalendarAdvance(Calendar,SettlementDate,X15,"Following",,Trigger)</f>
        <v>42282</v>
      </c>
      <c r="AA15" s="205">
        <f>_xll.qlTenorBasisForwardRate2(TenorBasis6M,Y15,Z15,AllTriggers)</f>
        <v>-4.4795322825752493E-4</v>
      </c>
    </row>
    <row r="16" spans="1:27" ht="11.25" customHeight="1" x14ac:dyDescent="0.2">
      <c r="A16" s="94">
        <f t="shared" si="4"/>
        <v>12</v>
      </c>
      <c r="B16" s="21" t="s">
        <v>20</v>
      </c>
      <c r="C16" s="101">
        <f t="shared" si="5"/>
        <v>15</v>
      </c>
      <c r="D16" s="99" t="str">
        <f t="shared" si="6"/>
        <v>EUR12x15F_Quote</v>
      </c>
      <c r="E16" s="99" t="str">
        <f>_xll.qlSimpleQuote(UPPER("B"&amp;$H$1&amp;"_"&amp;A16&amp;B16&amp;C16),,,Permanent,Trigger,ObjectOverwrite)</f>
        <v>B3M_12X15#0009</v>
      </c>
      <c r="F16" s="200" t="e">
        <f>_xll.qlSimpleQuoteSetValue(E16,K16,AllTriggers)</f>
        <v>#N/A</v>
      </c>
      <c r="G16" s="212">
        <f>_xll.qlCalendarAdvance("target",SettlementDate,A16&amp;"M","mf",,Trigger)</f>
        <v>42646</v>
      </c>
      <c r="H16" s="212">
        <f>_xll.qlInterestRateIndexMaturity(ON_6M_index,G16)</f>
        <v>42828</v>
      </c>
      <c r="I16" s="47">
        <f>_xll.qlQuoteValue(D16,AllTriggers)</f>
        <v>-5.8999999999999992E-4</v>
      </c>
      <c r="J16" s="47">
        <f>_xll.qlIndexFixing(ON_3M_index,_xll.qlInterestRateIndexFixingDate(ON_6M_index,G16),,AllTriggers)</f>
        <v>-1.9333617094474678E-3</v>
      </c>
      <c r="K16" s="128">
        <f t="shared" si="7"/>
        <v>1.3433617094474677E-3</v>
      </c>
      <c r="L16" s="47">
        <f>_xll.qlTenorBasisValue($P$3,G16,Trigger)</f>
        <v>1.3483479892037228E-3</v>
      </c>
      <c r="M16" s="64">
        <f t="shared" si="8"/>
        <v>-4.9862797562550631E-2</v>
      </c>
      <c r="N16" s="21"/>
      <c r="O16" s="192" t="s">
        <v>80</v>
      </c>
      <c r="P16" s="66">
        <v>8.8476432655123518E-5</v>
      </c>
      <c r="Q16" s="20"/>
      <c r="R16" s="212">
        <f>_xll.qlCalendarAdvance(Calendar,R15,"1D","f")</f>
        <v>42298</v>
      </c>
      <c r="S16" s="47">
        <f>_xll.qlTenorBasisValue($P$3,R16,AllTriggers)</f>
        <v>1.0384176244242072E-3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9.5814993279789474E-4</v>
      </c>
      <c r="W16" s="48">
        <v>0</v>
      </c>
      <c r="X16" s="48" t="s">
        <v>26</v>
      </c>
      <c r="Y16" s="177">
        <f>_xll.qlCalendarAdvance(Calendar,SettlementDate,W16&amp;"M","mf",TRUE,Trigger)</f>
        <v>42279</v>
      </c>
      <c r="Z16" s="178">
        <f>_xll.qlCalendarAdvance(Calendar,SettlementDate,X16,"Following",,Trigger)</f>
        <v>42286</v>
      </c>
      <c r="AA16" s="206">
        <f>_xll.qlTenorBasisForwardRate2(TenorBasis6M,Y16,Z16,AllTriggers)</f>
        <v>-5.1417723808963188E-4</v>
      </c>
    </row>
    <row r="17" spans="1:27" ht="11.25" customHeight="1" x14ac:dyDescent="0.2">
      <c r="A17" s="257" t="b">
        <v>0</v>
      </c>
      <c r="B17" s="258"/>
      <c r="C17" s="102" t="str">
        <f>_xll.qlIMMNextCode(SettlementDate,A17)</f>
        <v>V5</v>
      </c>
      <c r="D17" s="98" t="str">
        <f t="shared" ref="D17:D28" si="9">Currency&amp;"FUT"&amp;"3M"&amp;C17&amp;QuoteSuffix</f>
        <v>EURFUT3MV5_Quote</v>
      </c>
      <c r="E17" s="98" t="str">
        <f>_xll.qlSimpleQuote(UPPER("B"&amp;$H$1&amp;"_FUT"&amp;C17),,,Permanent,Trigger,ObjectOverwrite)</f>
        <v>B3M_FUTV5#0008</v>
      </c>
      <c r="F17" s="199" t="e">
        <f>_xll.qlSimpleQuoteSetValue(E17,K17,AllTriggers)</f>
        <v>#N/A</v>
      </c>
      <c r="G17" s="211">
        <f>_xll.qlIMMdate(C17,SettlementDate,Trigger)</f>
        <v>42298</v>
      </c>
      <c r="H17" s="211">
        <f>_xll.qlInterestRateIndexMaturity(ON_6M_index,G17)</f>
        <v>42481</v>
      </c>
      <c r="I17" s="52">
        <f>1-_xll.qlQuoteValue(D17,AllTriggers)/100-_xll.qlQuoteValue(Currency&amp;"FUT"&amp;"3M"&amp;C17&amp;"ConvAdj_Quote")</f>
        <v>-4.2500000000011973E-4</v>
      </c>
      <c r="J17" s="52">
        <f>_xll.qlIndexFixing(ON_3M_index,_xll.qlInterestRateIndexFixingDate(ON_6M_index,G17),,AllTriggers)</f>
        <v>-1.4789197749503805E-3</v>
      </c>
      <c r="K17" s="193">
        <f t="shared" si="0"/>
        <v>1.0539197749502608E-3</v>
      </c>
      <c r="L17" s="52">
        <f>_xll.qlTenorBasisValue($P$3,G17,Trigger)</f>
        <v>1.0384176244242072E-3</v>
      </c>
      <c r="M17" s="91">
        <f t="shared" si="3"/>
        <v>0.15502150526053565</v>
      </c>
      <c r="N17" s="21"/>
      <c r="O17" s="192" t="s">
        <v>81</v>
      </c>
      <c r="P17" s="66" t="e">
        <v>#N/A</v>
      </c>
      <c r="Q17" s="20"/>
      <c r="R17" s="212">
        <f>_xll.qlCalendarAdvance(Calendar,R16,"1D","f")</f>
        <v>42299</v>
      </c>
      <c r="S17" s="47">
        <f>_xll.qlTenorBasisValue($P$3,R17,AllTriggers)</f>
        <v>1.0400145463676958E-3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9.6000937126333849E-4</v>
      </c>
      <c r="W17" s="48">
        <v>0</v>
      </c>
      <c r="X17" s="48" t="s">
        <v>27</v>
      </c>
      <c r="Y17" s="177">
        <f>_xll.qlCalendarAdvance(Calendar,SettlementDate,W17&amp;"M","mf",TRUE,Trigger)</f>
        <v>42279</v>
      </c>
      <c r="Z17" s="178">
        <f>_xll.qlCalendarAdvance(Calendar,SettlementDate,X17,"Following",,Trigger)</f>
        <v>42293</v>
      </c>
      <c r="AA17" s="206">
        <f>_xll.qlTenorBasisForwardRate2(TenorBasis6M,Y17,Z17,AllTriggers)</f>
        <v>-5.0752002275349691E-4</v>
      </c>
    </row>
    <row r="18" spans="1:27" ht="11.25" customHeight="1" x14ac:dyDescent="0.2">
      <c r="A18" s="259" t="b">
        <v>0</v>
      </c>
      <c r="B18" s="260"/>
      <c r="C18" s="101" t="str">
        <f>_xll.qlIMMNextCode(C17,A18)</f>
        <v>X5</v>
      </c>
      <c r="D18" s="99" t="str">
        <f t="shared" si="9"/>
        <v>EURFUT3MX5_Quote</v>
      </c>
      <c r="E18" s="99" t="str">
        <f>_xll.qlSimpleQuote(UPPER("B"&amp;$H$1&amp;"_FUT"&amp;C18),,,Permanent,Trigger,ObjectOverwrite)</f>
        <v>B3M_FUTX5#0008</v>
      </c>
      <c r="F18" s="200" t="e">
        <f>_xll.qlSimpleQuoteSetValue(E18,K18,AllTriggers)</f>
        <v>#N/A</v>
      </c>
      <c r="G18" s="212">
        <f>_xll.qlIMMdate(C18,SettlementDate,Trigger)</f>
        <v>42326</v>
      </c>
      <c r="H18" s="212">
        <f>_xll.qlInterestRateIndexMaturity(ON_6M_index,G18)</f>
        <v>42508</v>
      </c>
      <c r="I18" s="47">
        <f>1-_xll.qlQuoteValue(D18,AllTriggers)/100-_xll.qlQuoteValue(Currency&amp;"FUT"&amp;"3M"&amp;C18&amp;"ConvAdj_Quote")</f>
        <v>-4.750000000000032E-4</v>
      </c>
      <c r="J18" s="47">
        <f>_xll.qlIndexFixing(ON_3M_index,_xll.qlInterestRateIndexFixingDate(ON_6M_index,G18),,AllTriggers)</f>
        <v>-1.5522365734513871E-3</v>
      </c>
      <c r="K18" s="128">
        <f t="shared" si="0"/>
        <v>1.0772365734513839E-3</v>
      </c>
      <c r="L18" s="47">
        <f>_xll.qlTenorBasisValue($P$3,G18,Trigger)</f>
        <v>1.0811524327869148E-3</v>
      </c>
      <c r="M18" s="64">
        <f t="shared" si="3"/>
        <v>-3.9158593355308538E-2</v>
      </c>
      <c r="N18" s="21"/>
      <c r="O18" s="192" t="s">
        <v>99</v>
      </c>
      <c r="P18" s="66" t="str">
        <f>_xll.qlPolynomialFunction(,_xll.ohPack(P13:P17),,Trigger)</f>
        <v>obj_005a6#0015</v>
      </c>
      <c r="Q18" s="20"/>
      <c r="R18" s="212">
        <f>_xll.qlCalendarAdvance(Calendar,R17,"1D","f")</f>
        <v>42300</v>
      </c>
      <c r="S18" s="47">
        <f>_xll.qlTenorBasisValue($P$3,R18,AllTriggers)</f>
        <v>1.0416061382320946E-3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9.6186295942797084E-4</v>
      </c>
      <c r="W18" s="48">
        <v>0</v>
      </c>
      <c r="X18" s="48" t="s">
        <v>28</v>
      </c>
      <c r="Y18" s="177">
        <f>_xll.qlCalendarAdvance(Calendar,SettlementDate,W18&amp;"M","mf",TRUE,Trigger)</f>
        <v>42279</v>
      </c>
      <c r="Z18" s="178">
        <f>_xll.qlCalendarAdvance(Calendar,SettlementDate,X18,"Following",,Trigger)</f>
        <v>42300</v>
      </c>
      <c r="AA18" s="206">
        <f>_xll.qlTenorBasisForwardRate2(TenorBasis6M,Y18,Z18,AllTriggers)</f>
        <v>-5.0095885035477447E-4</v>
      </c>
    </row>
    <row r="19" spans="1:27" ht="11.25" customHeight="1" x14ac:dyDescent="0.2">
      <c r="A19" s="259" t="b">
        <v>1</v>
      </c>
      <c r="B19" s="260"/>
      <c r="C19" s="101" t="str">
        <f>_xll.qlIMMNextCode(C18,A19)</f>
        <v>Z5</v>
      </c>
      <c r="D19" s="99" t="str">
        <f t="shared" si="9"/>
        <v>EURFUT3MZ5_Quote</v>
      </c>
      <c r="E19" s="99" t="str">
        <f>_xll.qlSimpleQuote(UPPER("B"&amp;$H$1&amp;"_FUT"&amp;C19),,,Permanent,Trigger,ObjectOverwrite)</f>
        <v>B3M_FUTZ5#0008</v>
      </c>
      <c r="F19" s="200" t="e">
        <f>_xll.qlSimpleQuoteSetValue(E19,K19,AllTriggers)</f>
        <v>#N/A</v>
      </c>
      <c r="G19" s="212">
        <f>_xll.qlIMMdate(C19,SettlementDate,Trigger)</f>
        <v>42354</v>
      </c>
      <c r="H19" s="212">
        <f>_xll.qlInterestRateIndexMaturity(ON_6M_index,G19)</f>
        <v>42537</v>
      </c>
      <c r="I19" s="47">
        <f>1-_xll.qlQuoteValue(D19,AllTriggers)/100-_xll.qlQuoteValue(Currency&amp;"FUT"&amp;"3M"&amp;C19&amp;"ConvAdj_Quote")</f>
        <v>-5.0000000000016698E-4</v>
      </c>
      <c r="J19" s="47">
        <f>_xll.qlIndexFixing(ON_3M_index,_xll.qlInterestRateIndexFixingDate(ON_6M_index,G19),,AllTriggers)</f>
        <v>-1.6107154833774743E-3</v>
      </c>
      <c r="K19" s="128">
        <f t="shared" si="0"/>
        <v>1.1107154833773073E-3</v>
      </c>
      <c r="L19" s="47">
        <f>_xll.qlTenorBasisValue($P$3,G19,Trigger)</f>
        <v>1.119939548576741E-3</v>
      </c>
      <c r="M19" s="64">
        <f t="shared" si="3"/>
        <v>-9.2240651994336939E-2</v>
      </c>
      <c r="N19" s="21"/>
      <c r="Q19" s="20"/>
      <c r="R19" s="212">
        <f>_xll.qlCalendarAdvance(Calendar,R18,"1D","f")</f>
        <v>42303</v>
      </c>
      <c r="S19" s="47">
        <f>_xll.qlTenorBasisValue($P$3,R19,AllTriggers)</f>
        <v>1.0463490425199876E-3</v>
      </c>
      <c r="T19" s="41">
        <f>_xll.qlDayCounterYearFraction("actual/365 (fixed)",SettlementDate,R19,,,Trigger)</f>
        <v>6.575342465753424E-2</v>
      </c>
      <c r="U19" s="47">
        <f>_xll.qlPolynomialFunctionValue($P$18,T19,AllTriggers)</f>
        <v>9.6738873128623221E-4</v>
      </c>
      <c r="W19" s="129">
        <v>0</v>
      </c>
      <c r="X19" s="129" t="s">
        <v>22</v>
      </c>
      <c r="Y19" s="179">
        <f>_xll.qlCalendarAdvance(Calendar,SettlementDate,W19&amp;"M","mf",TRUE,Trigger)</f>
        <v>42279</v>
      </c>
      <c r="Z19" s="180">
        <f>_xll.qlCalendarAdvance(Calendar,SettlementDate,X19,"mf",TRUE,Trigger)</f>
        <v>42310</v>
      </c>
      <c r="AA19" s="207">
        <f>_xll.qlTenorBasisForwardRate2(TenorBasis6M,Y19,Z19,AllTriggers)</f>
        <v>-4.6174809013914186E-4</v>
      </c>
    </row>
    <row r="20" spans="1:27" ht="11.25" customHeight="1" x14ac:dyDescent="0.2">
      <c r="A20" s="259" t="b">
        <v>1</v>
      </c>
      <c r="B20" s="260"/>
      <c r="C20" s="101" t="str">
        <f>_xll.qlIMMNextCode(C19,A20)</f>
        <v>H6</v>
      </c>
      <c r="D20" s="99" t="str">
        <f t="shared" si="9"/>
        <v>EURFUT3MH6_Quote</v>
      </c>
      <c r="E20" s="99" t="str">
        <f>_xll.qlSimpleQuote(UPPER("B"&amp;$H$1&amp;"_FUT"&amp;C20),,,Permanent,Trigger,ObjectOverwrite)</f>
        <v>B3M_FUTH6#0008</v>
      </c>
      <c r="F20" s="200" t="e">
        <f>_xll.qlSimpleQuoteSetValue(E20,K20,AllTriggers)</f>
        <v>#N/A</v>
      </c>
      <c r="G20" s="212">
        <f>_xll.qlIMMdate(C20,SettlementDate,Trigger)</f>
        <v>42445</v>
      </c>
      <c r="H20" s="212">
        <f>_xll.qlInterestRateIndexMaturity(ON_6M_index,G20)</f>
        <v>42629</v>
      </c>
      <c r="I20" s="47">
        <f>1-_xll.qlQuoteValue(D20,AllTriggers)/100-_xll.qlQuoteValue(Currency&amp;"FUT"&amp;"3M"&amp;C20&amp;"ConvAdj_Quote")</f>
        <v>-5.7499999999999218E-4</v>
      </c>
      <c r="J20" s="47">
        <f>_xll.qlIndexFixing(ON_3M_index,_xll.qlInterestRateIndexFixingDate(ON_6M_index,G20),,AllTriggers)</f>
        <v>-1.8076534044802306E-3</v>
      </c>
      <c r="K20" s="128">
        <f t="shared" si="0"/>
        <v>1.2326534044802384E-3</v>
      </c>
      <c r="L20" s="47">
        <f>_xll.qlTenorBasisValue($P$3,G20,Trigger)</f>
        <v>1.2216302974523453E-3</v>
      </c>
      <c r="M20" s="64">
        <f t="shared" si="3"/>
        <v>0.11023107027893038</v>
      </c>
      <c r="N20" s="21"/>
      <c r="Q20" s="20"/>
      <c r="R20" s="212">
        <f>_xll.qlCalendarAdvance(Calendar,R19,"1D","f")</f>
        <v>42304</v>
      </c>
      <c r="S20" s="47">
        <f>_xll.qlTenorBasisValue($P$3,R20,AllTriggers)</f>
        <v>1.0479194232372614E-3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9.69219027416852E-4</v>
      </c>
      <c r="W20" s="48">
        <v>0</v>
      </c>
      <c r="X20" s="48" t="s">
        <v>29</v>
      </c>
      <c r="Y20" s="177">
        <f>_xll.qlCalendarAdvance(Calendar,SettlementDate,W20&amp;"M","mf",TRUE,Trigger)</f>
        <v>42279</v>
      </c>
      <c r="Z20" s="178">
        <f>_xll.qlCalendarAdvance(Calendar,SettlementDate,X20,"mf",TRUE,Trigger)</f>
        <v>42340</v>
      </c>
      <c r="AA20" s="206">
        <f>_xll.qlTenorBasisForwardRate2(TenorBasis6M,Y20,Z20,AllTriggers)</f>
        <v>-4.6758850162235803E-4</v>
      </c>
    </row>
    <row r="21" spans="1:27" ht="11.25" customHeight="1" x14ac:dyDescent="0.2">
      <c r="A21" s="259" t="b">
        <v>1</v>
      </c>
      <c r="B21" s="260"/>
      <c r="C21" s="101" t="str">
        <f>_xll.qlIMMNextCode(C20,A21)</f>
        <v>M6</v>
      </c>
      <c r="D21" s="99" t="str">
        <f t="shared" si="9"/>
        <v>EURFUT3MM6_Quote</v>
      </c>
      <c r="E21" s="99" t="str">
        <f>_xll.qlSimpleQuote(UPPER("B"&amp;$H$1&amp;"_FUT"&amp;C21),,,Permanent,Trigger,ObjectOverwrite)</f>
        <v>B3M_FUTM6#0008</v>
      </c>
      <c r="F21" s="200" t="e">
        <f>_xll.qlSimpleQuoteSetValue(E21,K21,AllTriggers)</f>
        <v>#N/A</v>
      </c>
      <c r="G21" s="212">
        <f>_xll.qlIMMdate(C21,SettlementDate,Trigger)</f>
        <v>42536</v>
      </c>
      <c r="H21" s="212">
        <f>_xll.qlInterestRateIndexMaturity(ON_6M_index,G21)</f>
        <v>42719</v>
      </c>
      <c r="I21" s="47">
        <f>1-_xll.qlQuoteValue(D21,AllTriggers)/100-_xll.qlQuoteValue(Currency&amp;"FUT"&amp;"3M"&amp;C21&amp;"ConvAdj_Quote")</f>
        <v>-6.7499999999998117E-4</v>
      </c>
      <c r="J21" s="47">
        <f>_xll.qlIndexFixing(ON_3M_index,_xll.qlInterestRateIndexFixingDate(ON_6M_index,G21),,AllTriggers)</f>
        <v>-1.9440616383455908E-3</v>
      </c>
      <c r="K21" s="128">
        <f t="shared" si="0"/>
        <v>1.2690616383456096E-3</v>
      </c>
      <c r="L21" s="47">
        <f>_xll.qlTenorBasisValue($P$3,G21,Trigger)</f>
        <v>1.2923815055473776E-3</v>
      </c>
      <c r="M21" s="64">
        <f t="shared" si="3"/>
        <v>-0.23319867201768021</v>
      </c>
      <c r="N21" s="21"/>
      <c r="Q21" s="20"/>
      <c r="R21" s="212">
        <f>_xll.qlCalendarAdvance(Calendar,R20,"1D","f")</f>
        <v>42305</v>
      </c>
      <c r="S21" s="47">
        <f>_xll.qlTenorBasisValue($P$3,R21,AllTriggers)</f>
        <v>1.0494845284600631E-3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9.7104352783127683E-4</v>
      </c>
      <c r="W21" s="45">
        <v>0</v>
      </c>
      <c r="X21" s="45" t="s">
        <v>23</v>
      </c>
      <c r="Y21" s="175">
        <f>_xll.qlCalendarAdvance(Calendar,SettlementDate,W21&amp;"M","mf",TRUE,Trigger)</f>
        <v>42279</v>
      </c>
      <c r="Z21" s="176">
        <f>_xll.qlCalendarAdvance(Calendar,SettlementDate,X21,"mf",TRUE,Trigger)</f>
        <v>42373</v>
      </c>
      <c r="AA21" s="279">
        <f>_xll.qlTenorBasisForwardRate2(TenorBasis6M,Y21,Z21,AllTriggers)</f>
        <v>-4.5667881399033962E-4</v>
      </c>
    </row>
    <row r="22" spans="1:27" ht="11.25" customHeight="1" x14ac:dyDescent="0.2">
      <c r="A22" s="259" t="b">
        <v>1</v>
      </c>
      <c r="B22" s="260"/>
      <c r="C22" s="101" t="str">
        <f>_xll.qlIMMNextCode(C21,A22)</f>
        <v>U6</v>
      </c>
      <c r="D22" s="99" t="str">
        <f t="shared" si="9"/>
        <v>EURFUT3MU6_Quote</v>
      </c>
      <c r="E22" s="99" t="str">
        <f>_xll.qlSimpleQuote(UPPER("B"&amp;$H$1&amp;"_FUT"&amp;C22),,,Permanent,Trigger,ObjectOverwrite)</f>
        <v>B3M_FUTU6#0008</v>
      </c>
      <c r="F22" s="200" t="e">
        <f>_xll.qlSimpleQuoteSetValue(E22,K22,AllTriggers)</f>
        <v>#N/A</v>
      </c>
      <c r="G22" s="212">
        <f>_xll.qlIMMdate(C22,SettlementDate,Trigger)</f>
        <v>42634</v>
      </c>
      <c r="H22" s="212">
        <f>_xll.qlInterestRateIndexMaturity(ON_6M_index,G22)</f>
        <v>42815</v>
      </c>
      <c r="I22" s="47">
        <f>1-_xll.qlQuoteValue(D22,AllTriggers)/100-_xll.qlQuoteValue(Currency&amp;"FUT"&amp;"3M"&amp;C22&amp;"ConvAdj_Quote")</f>
        <v>-6.250000000000977E-4</v>
      </c>
      <c r="J22" s="47">
        <f>_xll.qlIndexFixing(ON_3M_index,_xll.qlInterestRateIndexFixingDate(ON_6M_index,G22),,AllTriggers)</f>
        <v>-1.9694680849052975E-3</v>
      </c>
      <c r="K22" s="128">
        <f t="shared" si="0"/>
        <v>1.3444680849051998E-3</v>
      </c>
      <c r="L22" s="47">
        <f>_xll.qlTenorBasisValue($P$3,G22,Trigger)</f>
        <v>1.3434102412277367E-3</v>
      </c>
      <c r="M22" s="64">
        <f t="shared" si="3"/>
        <v>1.0578436774630155E-2</v>
      </c>
      <c r="N22" s="21"/>
      <c r="Q22" s="20"/>
      <c r="R22" s="212">
        <f>_xll.qlCalendarAdvance(Calendar,R21,"1D","f")</f>
        <v>42306</v>
      </c>
      <c r="S22" s="47">
        <f>_xll.qlTenorBasisValue($P$3,R22,AllTriggers)</f>
        <v>1.051044369105315E-3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9.7286224344643023E-4</v>
      </c>
      <c r="W22" s="45">
        <v>1</v>
      </c>
      <c r="X22" s="45" t="s">
        <v>30</v>
      </c>
      <c r="Y22" s="175">
        <f>_xll.qlCalendarAdvance(Calendar,SettlementDate,W22&amp;"M","mf",TRUE,Trigger)</f>
        <v>42310</v>
      </c>
      <c r="Z22" s="176">
        <f>_xll.qlCalendarAdvance(Calendar,SettlementDate,X22,"mf",TRUE,Trigger)</f>
        <v>42402</v>
      </c>
      <c r="AA22" s="52">
        <f>_xll.qlTenorBasisForwardRate2(TenorBasis6M,Y22,Z22,AllTriggers)</f>
        <v>-4.7455444203259317E-4</v>
      </c>
    </row>
    <row r="23" spans="1:27" ht="11.25" customHeight="1" x14ac:dyDescent="0.2">
      <c r="A23" s="259" t="b">
        <v>1</v>
      </c>
      <c r="B23" s="260"/>
      <c r="C23" s="101" t="str">
        <f>_xll.qlIMMNextCode(C22,A23)</f>
        <v>Z6</v>
      </c>
      <c r="D23" s="99" t="str">
        <f t="shared" si="9"/>
        <v>EURFUT3MZ6_Quote</v>
      </c>
      <c r="E23" s="99" t="str">
        <f>_xll.qlSimpleQuote(UPPER("B"&amp;$H$1&amp;"_FUT"&amp;C23),,,Permanent,Trigger,ObjectOverwrite)</f>
        <v>B3M_FUTZ6#0008</v>
      </c>
      <c r="F23" s="200" t="e">
        <f>_xll.qlSimpleQuoteSetValue(E23,K23,AllTriggers)</f>
        <v>#N/A</v>
      </c>
      <c r="G23" s="212">
        <f>_xll.qlIMMdate(C23,SettlementDate,Trigger)</f>
        <v>42725</v>
      </c>
      <c r="H23" s="212">
        <f>_xll.qlInterestRateIndexMaturity(ON_6M_index,G23)</f>
        <v>42907</v>
      </c>
      <c r="I23" s="47">
        <f>1-_xll.qlQuoteValue(D23,AllTriggers)/100-_xll.qlQuoteValue(Currency&amp;"FUT"&amp;"3M"&amp;C23&amp;"ConvAdj_Quote")</f>
        <v>-4.750000000000032E-4</v>
      </c>
      <c r="J23" s="47">
        <f>_xll.qlIndexFixing(ON_3M_index,_xll.qlInterestRateIndexFixingDate(ON_6M_index,G23),,AllTriggers)</f>
        <v>-1.834263045137785E-3</v>
      </c>
      <c r="K23" s="128">
        <f t="shared" si="0"/>
        <v>1.3592630451377818E-3</v>
      </c>
      <c r="L23" s="47">
        <f>_xll.qlTenorBasisValue($P$3,G23,Trigger)</f>
        <v>1.3761888261226748E-3</v>
      </c>
      <c r="M23" s="64">
        <f t="shared" si="3"/>
        <v>-0.16925780984892957</v>
      </c>
      <c r="N23" s="21"/>
      <c r="Q23" s="20"/>
      <c r="R23" s="212">
        <f>_xll.qlCalendarAdvance(Calendar,R22,"1D","f")</f>
        <v>42307</v>
      </c>
      <c r="S23" s="47">
        <f>_xll.qlTenorBasisValue($P$3,R23,AllTriggers)</f>
        <v>1.052598956089941E-3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9.7467518517923559E-4</v>
      </c>
      <c r="W23" s="48">
        <v>2</v>
      </c>
      <c r="X23" s="48" t="s">
        <v>31</v>
      </c>
      <c r="Y23" s="177">
        <f>_xll.qlCalendarAdvance(Calendar,SettlementDate,W23&amp;"M","mf",TRUE,Trigger)</f>
        <v>42340</v>
      </c>
      <c r="Z23" s="178">
        <f>_xll.qlCalendarAdvance(Calendar,SettlementDate,X23,"mf",TRUE,Trigger)</f>
        <v>42431</v>
      </c>
      <c r="AA23" s="47">
        <f>_xll.qlTenorBasisForwardRate2(TenorBasis6M,Y23,Z23,AllTriggers)</f>
        <v>-4.9838014124362095E-4</v>
      </c>
    </row>
    <row r="24" spans="1:27" ht="11.25" customHeight="1" x14ac:dyDescent="0.2">
      <c r="A24" s="259" t="b">
        <v>1</v>
      </c>
      <c r="B24" s="260"/>
      <c r="C24" s="101" t="str">
        <f>_xll.qlIMMNextCode(C23,A24)</f>
        <v>H7</v>
      </c>
      <c r="D24" s="99" t="str">
        <f t="shared" si="9"/>
        <v>EURFUT3MH7_Quote</v>
      </c>
      <c r="E24" s="99" t="str">
        <f>_xll.qlSimpleQuote(UPPER("B"&amp;$H$1&amp;"_FUT"&amp;C24),,,Permanent,Trigger,ObjectOverwrite)</f>
        <v>B3M_FUTH7#0008</v>
      </c>
      <c r="F24" s="200" t="e">
        <f>_xll.qlSimpleQuoteSetValue(E24,K24,AllTriggers)</f>
        <v>#N/A</v>
      </c>
      <c r="G24" s="212">
        <f>_xll.qlIMMdate(C24,SettlementDate,Trigger)</f>
        <v>42809</v>
      </c>
      <c r="H24" s="212">
        <f>_xll.qlInterestRateIndexMaturity(ON_6M_index,G24)</f>
        <v>42993</v>
      </c>
      <c r="I24" s="47">
        <f>1-_xll.qlQuoteValue(D24,AllTriggers)/100-_xll.qlQuoteValue(Currency&amp;"FUT"&amp;"3M"&amp;C24&amp;"ConvAdj_Quote")</f>
        <v>-2.2500000000014175E-4</v>
      </c>
      <c r="J24" s="47">
        <f>_xll.qlIndexFixing(ON_3M_index,_xll.qlInterestRateIndexFixingDate(ON_6M_index,G24),,AllTriggers)</f>
        <v>-1.6866261528579393E-3</v>
      </c>
      <c r="K24" s="128">
        <f t="shared" si="0"/>
        <v>1.4616261528577975E-3</v>
      </c>
      <c r="L24" s="47">
        <f>_xll.qlTenorBasisValue($P$3,G24,Trigger)</f>
        <v>1.4012646535409845E-3</v>
      </c>
      <c r="M24" s="64">
        <f t="shared" si="3"/>
        <v>0.60361499316813039</v>
      </c>
      <c r="Q24" s="20"/>
      <c r="R24" s="212">
        <f>_xll.qlCalendarAdvance(Calendar,R23,"1D","f")</f>
        <v>42310</v>
      </c>
      <c r="S24" s="47">
        <f>_xll.qlTenorBasisValue($P$3,R24,AllTriggers)</f>
        <v>1.0572313042492953E-3</v>
      </c>
      <c r="T24" s="41">
        <f>_xll.qlDayCounterYearFraction("actual/365 (fixed)",SettlementDate,R24,,,Trigger)</f>
        <v>8.4931506849315067E-2</v>
      </c>
      <c r="U24" s="47">
        <f>_xll.qlPolynomialFunctionValue($P$18,T24,AllTriggers)</f>
        <v>9.8007947625279655E-4</v>
      </c>
      <c r="W24" s="49">
        <v>3</v>
      </c>
      <c r="X24" s="49" t="s">
        <v>24</v>
      </c>
      <c r="Y24" s="181">
        <f>_xll.qlCalendarAdvance(Calendar,SettlementDate,W24&amp;"M","mf",TRUE,Trigger)</f>
        <v>42373</v>
      </c>
      <c r="Z24" s="182">
        <f>_xll.qlCalendarAdvance(Calendar,SettlementDate,X24,"mf",TRUE,Trigger)</f>
        <v>42464</v>
      </c>
      <c r="AA24" s="50">
        <f>_xll.qlTenorBasisForwardRate2(TenorBasis6M,Y24,Z24,AllTriggers)</f>
        <v>-5.4618750192307109E-4</v>
      </c>
    </row>
    <row r="25" spans="1:27" ht="11.25" customHeight="1" x14ac:dyDescent="0.2">
      <c r="A25" s="259" t="b">
        <v>1</v>
      </c>
      <c r="B25" s="260"/>
      <c r="C25" s="101" t="str">
        <f>_xll.qlIMMNextCode(C24,A25)</f>
        <v>M7</v>
      </c>
      <c r="D25" s="99" t="str">
        <f t="shared" si="9"/>
        <v>EURFUT3MM7_Quote</v>
      </c>
      <c r="E25" s="99" t="str">
        <f>_xll.qlSimpleQuote(UPPER("B"&amp;$H$1&amp;"_FUT"&amp;C25),,,Permanent,Trigger,ObjectOverwrite)</f>
        <v>B3M_FUTM7#0008</v>
      </c>
      <c r="F25" s="200" t="e">
        <f>_xll.qlSimpleQuoteSetValue(E25,K25,AllTriggers)</f>
        <v>#N/A</v>
      </c>
      <c r="G25" s="212">
        <f>_xll.qlIMMdate(C25,SettlementDate,Trigger)</f>
        <v>42907</v>
      </c>
      <c r="H25" s="212">
        <f>_xll.qlInterestRateIndexMaturity(ON_6M_index,G25)</f>
        <v>43090</v>
      </c>
      <c r="I25" s="47">
        <f>1-_xll.qlQuoteValue(D25,AllTriggers)/100-_xll.qlQuoteValue(Currency&amp;"FUT"&amp;"3M"&amp;C25&amp;"ConvAdj_Quote")</f>
        <v>1.2500000000004174E-4</v>
      </c>
      <c r="J25" s="47">
        <f>_xll.qlIndexFixing(ON_3M_index,_xll.qlInterestRateIndexFixingDate(ON_6M_index,G25),,AllTriggers)</f>
        <v>-1.4035066349863451E-3</v>
      </c>
      <c r="K25" s="128">
        <f t="shared" si="0"/>
        <v>1.5285066349863868E-3</v>
      </c>
      <c r="L25" s="47">
        <f>_xll.qlTenorBasisValue($P$3,G25,Trigger)</f>
        <v>1.4330926058487474E-3</v>
      </c>
      <c r="M25" s="64">
        <f t="shared" si="3"/>
        <v>0.954140291376394</v>
      </c>
      <c r="R25" s="212">
        <f>_xll.qlCalendarAdvance(Calendar,R24,"1D","f")</f>
        <v>42311</v>
      </c>
      <c r="S25" s="47">
        <f>_xll.qlTenorBasisValue($P$3,R25,AllTriggers)</f>
        <v>1.05876498576065E-3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9.8186943162544287E-4</v>
      </c>
      <c r="W25" s="48"/>
      <c r="X25" s="48" t="str">
        <f>C17</f>
        <v>V5</v>
      </c>
      <c r="Y25" s="177">
        <f>_xll.qlIMMdate(X25,SettlementDate,Trigger)</f>
        <v>42298</v>
      </c>
      <c r="Z25" s="177">
        <f>_xll.qlInterestRateIndexMaturity(ON_6M_index,Y25)</f>
        <v>42481</v>
      </c>
      <c r="AA25" s="47">
        <f>_xll.qlTenorBasisTenorForwardRate(TenorBasis6M,Y25,AllTriggers)</f>
        <v>-4.4050215052617329E-4</v>
      </c>
    </row>
    <row r="26" spans="1:27" ht="11.25" customHeight="1" x14ac:dyDescent="0.2">
      <c r="A26" s="259" t="b">
        <v>1</v>
      </c>
      <c r="B26" s="260"/>
      <c r="C26" s="101" t="str">
        <f>_xll.qlIMMNextCode(C25,A26)</f>
        <v>U7</v>
      </c>
      <c r="D26" s="99" t="str">
        <f t="shared" si="9"/>
        <v>EURFUT3MU7_Quote</v>
      </c>
      <c r="E26" s="99" t="str">
        <f>_xll.qlSimpleQuote(UPPER("B"&amp;$H$1&amp;"_FUT"&amp;C26),,,Permanent,Trigger,ObjectOverwrite)</f>
        <v>B3M_FUTU7#0008</v>
      </c>
      <c r="F26" s="200" t="e">
        <f>_xll.qlSimpleQuoteSetValue(E26,K26,AllTriggers)</f>
        <v>#N/A</v>
      </c>
      <c r="G26" s="212">
        <f>_xll.qlIMMdate(C26,SettlementDate,Trigger)</f>
        <v>42998</v>
      </c>
      <c r="H26" s="212">
        <f>_xll.qlInterestRateIndexMaturity(ON_6M_index,G26)</f>
        <v>43179</v>
      </c>
      <c r="I26" s="47">
        <f>1-_xll.qlQuoteValue(D26,AllTriggers)/100-_xll.qlQuoteValue(Currency&amp;"FUT"&amp;"3M"&amp;C26&amp;"ConvAdj_Quote")</f>
        <v>5.2500000000010871E-4</v>
      </c>
      <c r="J26" s="47">
        <f>_xll.qlIndexFixing(ON_3M_index,_xll.qlInterestRateIndexFixingDate(ON_6M_index,G26),,AllTriggers)</f>
        <v>-9.9927520675959273E-4</v>
      </c>
      <c r="K26" s="128">
        <f t="shared" si="0"/>
        <v>1.5242752067597014E-3</v>
      </c>
      <c r="L26" s="47">
        <f>_xll.qlTenorBasisValue($P$3,G26,Trigger)</f>
        <v>1.473671154358272E-3</v>
      </c>
      <c r="M26" s="64">
        <f t="shared" si="3"/>
        <v>0.50604052401429434</v>
      </c>
      <c r="R26" s="212">
        <f>_xll.qlCalendarAdvance(Calendar,R25,"1D","f")</f>
        <v>42312</v>
      </c>
      <c r="S26" s="47">
        <f>_xll.qlTenorBasisValue($P$3,R26,AllTriggers)</f>
        <v>1.0602934681959956E-3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9.8365366770035803E-4</v>
      </c>
      <c r="W26" s="48"/>
      <c r="X26" s="48" t="str">
        <f t="shared" ref="X26:X30" si="10">C18</f>
        <v>X5</v>
      </c>
      <c r="Y26" s="177">
        <f>_xll.qlIMMdate(X26,SettlementDate,Trigger)</f>
        <v>42326</v>
      </c>
      <c r="Z26" s="177">
        <f>_xll.qlInterestRateIndexMaturity(ON_6M_index,Y26)</f>
        <v>42508</v>
      </c>
      <c r="AA26" s="47">
        <f>_xll.qlTenorBasisTenorForwardRate(TenorBasis6M,Y26,AllTriggers)</f>
        <v>-4.7108414066447234E-4</v>
      </c>
    </row>
    <row r="27" spans="1:27" ht="11.25" customHeight="1" x14ac:dyDescent="0.2">
      <c r="A27" s="259" t="b">
        <v>1</v>
      </c>
      <c r="B27" s="260"/>
      <c r="C27" s="101" t="str">
        <f>_xll.qlIMMNextCode(C26,A27)</f>
        <v>Z7</v>
      </c>
      <c r="D27" s="99" t="str">
        <f t="shared" si="9"/>
        <v>EURFUT3MZ7_Quote</v>
      </c>
      <c r="E27" s="99" t="str">
        <f>_xll.qlSimpleQuote(UPPER("B"&amp;$H$1&amp;"_FUT"&amp;C27),,,Permanent,Trigger,ObjectOverwrite)</f>
        <v>B3M_FUTZ7#0008</v>
      </c>
      <c r="F27" s="200" t="e">
        <f>_xll.qlSimpleQuoteSetValue(E27,K27,AllTriggers)</f>
        <v>#N/A</v>
      </c>
      <c r="G27" s="212">
        <f>_xll.qlIMMdate(C27,SettlementDate,Trigger)</f>
        <v>43089</v>
      </c>
      <c r="H27" s="212">
        <f>_xll.qlInterestRateIndexMaturity(ON_6M_index,G27)</f>
        <v>43271</v>
      </c>
      <c r="I27" s="47">
        <f>1-_xll.qlQuoteValue(D27,AllTriggers)/100-_xll.qlQuoteValue(Currency&amp;"FUT"&amp;"3M"&amp;C27&amp;"ConvAdj_Quote")</f>
        <v>1.0750000000000481E-3</v>
      </c>
      <c r="J27" s="47">
        <f>_xll.qlIndexFixing(ON_3M_index,_xll.qlInterestRateIndexFixingDate(ON_6M_index,G27),,AllTriggers)</f>
        <v>-5.0630594857681288E-4</v>
      </c>
      <c r="K27" s="128">
        <f t="shared" si="0"/>
        <v>1.581305948576861E-3</v>
      </c>
      <c r="L27" s="47">
        <f>_xll.qlTenorBasisValue($P$3,G27,Trigger)</f>
        <v>1.5333030444177138E-3</v>
      </c>
      <c r="M27" s="64">
        <f t="shared" si="3"/>
        <v>0.48002904159147192</v>
      </c>
      <c r="R27" s="212">
        <f>_xll.qlCalendarAdvance(Calendar,R26,"1D","f")</f>
        <v>42313</v>
      </c>
      <c r="S27" s="47">
        <f>_xll.qlTenorBasisValue($P$3,R27,AllTriggers)</f>
        <v>1.061816762472255E-3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9.8543219539446456E-4</v>
      </c>
      <c r="W27" s="48"/>
      <c r="X27" s="48" t="str">
        <f t="shared" si="10"/>
        <v>Z5</v>
      </c>
      <c r="Y27" s="177">
        <f>_xll.qlIMMdate(X27,SettlementDate,Trigger)</f>
        <v>42354</v>
      </c>
      <c r="Z27" s="177">
        <f>_xll.qlInterestRateIndexMaturity(ON_6M_index,Y27)</f>
        <v>42537</v>
      </c>
      <c r="AA27" s="47">
        <f>_xll.qlTenorBasisTenorForwardRate(TenorBasis6M,Y27,AllTriggers)</f>
        <v>-4.9077593480073328E-4</v>
      </c>
    </row>
    <row r="28" spans="1:27" ht="11.25" customHeight="1" x14ac:dyDescent="0.2">
      <c r="A28" s="261" t="b">
        <v>1</v>
      </c>
      <c r="B28" s="262"/>
      <c r="C28" s="103" t="str">
        <f>_xll.qlIMMNextCode(C27,A28)</f>
        <v>H8</v>
      </c>
      <c r="D28" s="100" t="str">
        <f t="shared" si="9"/>
        <v>EURFUT3MH8_Quote</v>
      </c>
      <c r="E28" s="100" t="str">
        <f>_xll.qlSimpleQuote(UPPER("B"&amp;$H$1&amp;"_FUT"&amp;C28),,,Permanent,Trigger,ObjectOverwrite)</f>
        <v>B3M_FUTH8#0008</v>
      </c>
      <c r="F28" s="201" t="e">
        <f>_xll.qlSimpleQuoteSetValue(E28,K28,AllTriggers)</f>
        <v>#N/A</v>
      </c>
      <c r="G28" s="213">
        <f>_xll.qlIMMdate(C28,SettlementDate,Trigger)</f>
        <v>43180</v>
      </c>
      <c r="H28" s="213">
        <f>_xll.qlInterestRateIndexMaturity(ON_6M_index,G28)</f>
        <v>43364</v>
      </c>
      <c r="I28" s="50">
        <f>1-_xll.qlQuoteValue(D28,AllTriggers)/100-_xll.qlQuoteValue(Currency&amp;"FUT"&amp;"3M"&amp;C28&amp;"ConvAdj_Quote")</f>
        <v>1.6750000000000931E-3</v>
      </c>
      <c r="J28" s="50">
        <f>_xll.qlIndexFixing(ON_3M_index,_xll.qlInterestRateIndexFixingDate(ON_6M_index,G28),,AllTriggers)</f>
        <v>5.4710776233771795E-5</v>
      </c>
      <c r="K28" s="115">
        <f t="shared" si="0"/>
        <v>1.6202892237663212E-3</v>
      </c>
      <c r="L28" s="50">
        <f>_xll.qlTenorBasisValue($P$3,G28,Trigger)</f>
        <v>1.6202149528662692E-3</v>
      </c>
      <c r="M28" s="65">
        <f t="shared" si="3"/>
        <v>7.4270900052037653E-4</v>
      </c>
      <c r="R28" s="212">
        <f>_xll.qlCalendarAdvance(Calendar,R27,"1D","f")</f>
        <v>42314</v>
      </c>
      <c r="S28" s="47">
        <f>_xll.qlTenorBasisValue($P$3,R28,AllTriggers)</f>
        <v>1.0633348795063514E-3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9.8720502562468695E-4</v>
      </c>
      <c r="W28" s="48"/>
      <c r="X28" s="48" t="str">
        <f t="shared" si="10"/>
        <v>H6</v>
      </c>
      <c r="Y28" s="177">
        <f>_xll.qlIMMdate(X28,SettlementDate,Trigger)</f>
        <v>42445</v>
      </c>
      <c r="Z28" s="177">
        <f>_xll.qlInterestRateIndexMaturity(ON_6M_index,Y28)</f>
        <v>42629</v>
      </c>
      <c r="AA28" s="47">
        <f>_xll.qlTenorBasisTenorForwardRate(TenorBasis6M,Y28,AllTriggers)</f>
        <v>-5.8602310702788522E-4</v>
      </c>
    </row>
    <row r="29" spans="1:27" ht="11.25" customHeight="1" x14ac:dyDescent="0.2">
      <c r="G29" s="60"/>
      <c r="H29" s="60"/>
      <c r="I29" s="35"/>
      <c r="J29" s="35"/>
      <c r="K29" s="35"/>
      <c r="L29" s="21"/>
      <c r="M29" s="21"/>
      <c r="R29" s="212">
        <f>_xll.qlCalendarAdvance(Calendar,R28,"1D","f")</f>
        <v>42317</v>
      </c>
      <c r="S29" s="47">
        <f>_xll.qlTenorBasisValue($P$3,R29,AllTriggers)</f>
        <v>1.0678582763248986E-3</v>
      </c>
      <c r="T29" s="41">
        <f>_xll.qlDayCounterYearFraction("actual/365 (fixed)",SettlementDate,R29,,,Trigger)</f>
        <v>0.10410958904109589</v>
      </c>
      <c r="U29" s="47">
        <f>_xll.qlPolynomialFunctionValue($P$18,T29,AllTriggers)</f>
        <v>9.9248944070127868E-4</v>
      </c>
      <c r="W29" s="48"/>
      <c r="X29" s="48" t="str">
        <f t="shared" si="10"/>
        <v>M6</v>
      </c>
      <c r="Y29" s="177">
        <f>_xll.qlIMMdate(X29,SettlementDate,Trigger)</f>
        <v>42536</v>
      </c>
      <c r="Z29" s="177">
        <f>_xll.qlInterestRateIndexMaturity(ON_6M_index,Y29)</f>
        <v>42719</v>
      </c>
      <c r="AA29" s="47">
        <f>_xll.qlTenorBasisTenorForwardRate(TenorBasis6M,Y29,AllTriggers)</f>
        <v>-6.5168013279821315E-4</v>
      </c>
    </row>
    <row r="30" spans="1:27" ht="11.25" customHeight="1" x14ac:dyDescent="0.2">
      <c r="G30" s="60"/>
      <c r="H30" s="60"/>
      <c r="I30" s="35"/>
      <c r="J30" s="35"/>
      <c r="K30" s="35"/>
      <c r="R30" s="212">
        <f>_xll.qlCalendarAdvance(Calendar,R29,"1D","f")</f>
        <v>42318</v>
      </c>
      <c r="S30" s="47">
        <f>_xll.qlTenorBasisValue($P$3,R30,AllTriggers)</f>
        <v>1.0693557935595778E-3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9.9423959024519545E-4</v>
      </c>
      <c r="W30" s="162"/>
      <c r="X30" s="162" t="str">
        <f t="shared" si="10"/>
        <v>U6</v>
      </c>
      <c r="Y30" s="185">
        <f>_xll.qlIMMdate(X30,SettlementDate,Trigger)</f>
        <v>42634</v>
      </c>
      <c r="Z30" s="185">
        <f>_xll.qlInterestRateIndexMaturity(ON_6M_index,Y30)</f>
        <v>42815</v>
      </c>
      <c r="AA30" s="159">
        <f>_xll.qlTenorBasisTenorForwardRate(TenorBasis6M,Y30,AllTriggers)</f>
        <v>-6.2605784367756072E-4</v>
      </c>
    </row>
    <row r="31" spans="1:27" ht="11.25" customHeight="1" x14ac:dyDescent="0.2">
      <c r="G31" s="60"/>
      <c r="H31" s="60"/>
      <c r="I31" s="35"/>
      <c r="J31" s="35"/>
      <c r="K31" s="35"/>
      <c r="R31" s="212">
        <f>_xll.qlCalendarAdvance(Calendar,R30,"1D","f")</f>
        <v>42319</v>
      </c>
      <c r="S31" s="47">
        <f>_xll.qlTenorBasisValue($P$3,R31,AllTriggers)</f>
        <v>1.0708481881367105E-3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9.9598409690984375E-4</v>
      </c>
    </row>
    <row r="32" spans="1:27" ht="11.25" customHeight="1" x14ac:dyDescent="0.2">
      <c r="R32" s="212">
        <f>_xll.qlCalendarAdvance(Calendar,R31,"1D","f")</f>
        <v>42320</v>
      </c>
      <c r="S32" s="47">
        <f>_xll.qlTenorBasisValue($P$3,R32,AllTriggers)</f>
        <v>1.0723354709732211E-3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9.9772297161214787E-4</v>
      </c>
    </row>
    <row r="33" spans="18:21" ht="11.25" customHeight="1" x14ac:dyDescent="0.2">
      <c r="R33" s="212">
        <f>_xll.qlCalendarAdvance(Calendar,R32,"1D","f")</f>
        <v>42321</v>
      </c>
      <c r="S33" s="47">
        <f>_xll.qlTenorBasisValue($P$3,R33,AllTriggers)</f>
        <v>1.0738176529860323E-3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9.9945622526903055E-4</v>
      </c>
    </row>
    <row r="34" spans="18:21" ht="11.25" customHeight="1" x14ac:dyDescent="0.2">
      <c r="R34" s="212">
        <f>_xll.qlCalendarAdvance(Calendar,R33,"1D","f")</f>
        <v>42324</v>
      </c>
      <c r="S34" s="47">
        <f>_xll.qlTenorBasisValue($P$3,R34,AllTriggers)</f>
        <v>1.0782337032515031E-3</v>
      </c>
      <c r="T34" s="41">
        <f>_xll.qlDayCounterYearFraction("actual/365 (fixed)",SettlementDate,R34,,,Trigger)</f>
        <v>0.12328767123287671</v>
      </c>
      <c r="U34" s="47">
        <f>_xll.qlPolynomialFunctionValue($P$18,T34,AllTriggers)</f>
        <v>1.0046223691363837E-3</v>
      </c>
    </row>
    <row r="35" spans="18:21" ht="11.25" customHeight="1" x14ac:dyDescent="0.2">
      <c r="R35" s="212">
        <f>_xll.qlCalendarAdvance(Calendar,R34,"1D","f")</f>
        <v>42325</v>
      </c>
      <c r="S35" s="47">
        <f>_xll.qlTenorBasisValue($P$3,R35,AllTriggers)</f>
        <v>1.0796955911387502E-3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1.0063332477808146E-3</v>
      </c>
    </row>
    <row r="36" spans="18:21" ht="11.25" customHeight="1" x14ac:dyDescent="0.2">
      <c r="R36" s="212">
        <f>_xll.qlCalendarAdvance(Calendar,R35,"1D","f")</f>
        <v>42326</v>
      </c>
      <c r="S36" s="47">
        <f>_xll.qlTenorBasisValue($P$3,R36,AllTriggers)</f>
        <v>1.0811524327869148E-3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1.0080385599644406E-3</v>
      </c>
    </row>
    <row r="37" spans="18:21" ht="11.25" customHeight="1" x14ac:dyDescent="0.2">
      <c r="R37" s="212">
        <f>_xll.qlCalendarAdvance(Calendar,R36,"1D","f")</f>
        <v>42327</v>
      </c>
      <c r="S37" s="47">
        <f>_xll.qlTenorBasisValue($P$3,R37,AllTriggers)</f>
        <v>1.0826042391129203E-3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1.0097383166041856E-3</v>
      </c>
    </row>
    <row r="38" spans="18:21" ht="11.25" customHeight="1" x14ac:dyDescent="0.2">
      <c r="R38" s="212">
        <f>_xll.qlCalendarAdvance(Calendar,R37,"1D","f")</f>
        <v>42328</v>
      </c>
      <c r="S38" s="47">
        <f>_xll.qlTenorBasisValue($P$3,R38,AllTriggers)</f>
        <v>1.0840510210336895E-3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1.0114325286169723E-3</v>
      </c>
    </row>
    <row r="39" spans="18:21" ht="11.25" customHeight="1" x14ac:dyDescent="0.2">
      <c r="R39" s="212">
        <f>_xll.qlCalendarAdvance(Calendar,R38,"1D","f")</f>
        <v>42331</v>
      </c>
      <c r="S39" s="47">
        <f>_xll.qlTenorBasisValue($P$3,R39,AllTriggers)</f>
        <v>1.0883613295338151E-3</v>
      </c>
      <c r="T39" s="41">
        <f>_xll.qlDayCounterYearFraction("actual/365 (fixed)",SettlementDate,R39,,,Trigger)</f>
        <v>0.14246575342465753</v>
      </c>
      <c r="U39" s="47">
        <f>_xll.qlPolynomialFunctionValue($P$18,T39,AllTriggers)</f>
        <v>1.0164820060628188E-3</v>
      </c>
    </row>
    <row r="40" spans="18:21" ht="11.25" customHeight="1" x14ac:dyDescent="0.2">
      <c r="R40" s="212">
        <f>_xll.qlCalendarAdvance(Calendar,R39,"1D","f")</f>
        <v>42332</v>
      </c>
      <c r="S40" s="47">
        <f>_xll.qlTenorBasisValue($P$3,R40,AllTriggers)</f>
        <v>1.0897881230028741E-3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1.0181541487370074E-3</v>
      </c>
    </row>
    <row r="41" spans="18:21" ht="11.25" customHeight="1" x14ac:dyDescent="0.2">
      <c r="R41" s="212">
        <f>_xll.qlCalendarAdvance(Calendar,R40,"1D","f")</f>
        <v>42333</v>
      </c>
      <c r="S41" s="47">
        <f>_xll.qlTenorBasisValue($P$3,R41,AllTriggers)</f>
        <v>1.0912099466513139E-3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1.0198208013688546E-3</v>
      </c>
    </row>
    <row r="42" spans="18:21" ht="11.25" customHeight="1" x14ac:dyDescent="0.2">
      <c r="R42" s="212">
        <f>_xll.qlCalendarAdvance(Calendar,R41,"1D","f")</f>
        <v>42334</v>
      </c>
      <c r="S42" s="47">
        <f>_xll.qlTenorBasisValue($P$3,R42,AllTriggers)</f>
        <v>1.0926268113960577E-3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1.0214819748752839E-3</v>
      </c>
    </row>
    <row r="43" spans="18:21" ht="11.25" customHeight="1" x14ac:dyDescent="0.2">
      <c r="R43" s="212">
        <f>_xll.qlCalendarAdvance(Calendar,R42,"1D","f")</f>
        <v>42335</v>
      </c>
      <c r="S43" s="47">
        <f>_xll.qlTenorBasisValue($P$3,R43,AllTriggers)</f>
        <v>1.0940387281540289E-3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1.0231376801732189E-3</v>
      </c>
    </row>
    <row r="44" spans="18:21" ht="11.25" customHeight="1" x14ac:dyDescent="0.2">
      <c r="R44" s="212">
        <f>_xll.qlCalendarAdvance(Calendar,R43,"1D","f")</f>
        <v>42338</v>
      </c>
      <c r="S44" s="47">
        <f>_xll.qlTenorBasisValue($P$3,R44,AllTriggers)</f>
        <v>1.0982448996765409E-3</v>
      </c>
      <c r="T44" s="41">
        <f>_xll.qlDayCounterYearFraction("actual/365 (fixed)",SettlementDate,R44,,,Trigger)</f>
        <v>0.16164383561643836</v>
      </c>
      <c r="U44" s="47">
        <f>_xll.qlPolynomialFunctionValue($P$18,T44,AllTriggers)</f>
        <v>1.0280720959852895E-3</v>
      </c>
    </row>
    <row r="45" spans="18:21" ht="11.25" customHeight="1" x14ac:dyDescent="0.2">
      <c r="R45" s="212">
        <f>_xll.qlCalendarAdvance(Calendar,R44,"1D","f")</f>
        <v>42339</v>
      </c>
      <c r="S45" s="47">
        <f>_xll.qlTenorBasisValue($P$3,R45,AllTriggers)</f>
        <v>1.0996371336566553E-3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1.0297060376184793E-3</v>
      </c>
    </row>
    <row r="46" spans="18:21" ht="11.25" customHeight="1" x14ac:dyDescent="0.2">
      <c r="R46" s="212">
        <f>_xll.qlCalendarAdvance(Calendar,R45,"1D","f")</f>
        <v>42340</v>
      </c>
      <c r="S46" s="47">
        <f>_xll.qlTenorBasisValue($P$3,R46,AllTriggers)</f>
        <v>1.101024474234614E-3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1.0313345656277916E-3</v>
      </c>
    </row>
    <row r="47" spans="18:21" ht="11.25" customHeight="1" x14ac:dyDescent="0.2">
      <c r="R47" s="212">
        <f>_xll.qlCalendarAdvance(Calendar,R46,"1D","f")</f>
        <v>42341</v>
      </c>
      <c r="S47" s="47">
        <f>_xll.qlTenorBasisValue($P$3,R47,AllTriggers)</f>
        <v>1.1024069323273399E-3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1.0329576909301494E-3</v>
      </c>
    </row>
    <row r="48" spans="18:21" ht="11.25" customHeight="1" x14ac:dyDescent="0.2">
      <c r="R48" s="212">
        <f>_xll.qlCalendarAdvance(Calendar,R47,"1D","f")</f>
        <v>42342</v>
      </c>
      <c r="S48" s="47">
        <f>_xll.qlTenorBasisValue($P$3,R48,AllTriggers)</f>
        <v>1.1037845188517567E-3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1.0345754244424758E-3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42345</v>
      </c>
      <c r="S49" s="47">
        <f>_xll.qlTenorBasisValue($P$3,R49,AllTriggers)</f>
        <v>1.1078881581843862E-3</v>
      </c>
      <c r="T49" s="41">
        <f>_xll.qlDayCounterYearFraction("actual/365 (fixed)",SettlementDate,R49,,,Trigger)</f>
        <v>0.18082191780821918</v>
      </c>
      <c r="U49" s="47">
        <f>_xll.qlPolynomialFunctionValue($P$18,T49,AllTriggers)</f>
        <v>1.0393963834085017E-3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42346</v>
      </c>
      <c r="S50" s="47">
        <f>_xll.qlTenorBasisValue($P$3,R50,AllTriggers)</f>
        <v>1.1092463676047994E-3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1.040992658929937E-3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42347</v>
      </c>
      <c r="S51" s="47">
        <f>_xll.qlTenorBasisValue($P$3,R51,AllTriggers)</f>
        <v>1.1105997600415207E-3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1.0425835972459579E-3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42348</v>
      </c>
      <c r="S52" s="47">
        <f>_xll.qlTenorBasisValue($P$3,R52,AllTriggers)</f>
        <v>1.1119483464114728E-3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1.0441692092734874E-3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42349</v>
      </c>
      <c r="S53" s="47">
        <f>_xll.qlTenorBasisValue($P$3,R53,AllTriggers)</f>
        <v>1.1132921376315792E-3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1.0457495059294493E-3</v>
      </c>
    </row>
    <row r="54" spans="7:21" x14ac:dyDescent="0.2">
      <c r="G54" s="60"/>
      <c r="H54" s="60"/>
      <c r="I54" s="35"/>
      <c r="J54" s="35"/>
      <c r="K54" s="35"/>
      <c r="R54" s="212">
        <f>_xll.qlCalendarAdvance(Calendar,R53,"1D","f")</f>
        <v>42352</v>
      </c>
      <c r="S54" s="47">
        <f>_xll.qlTenorBasisValue($P$3,R54,AllTriggers)</f>
        <v>1.1172948495620568E-3</v>
      </c>
      <c r="T54" s="41">
        <f>_xll.qlDayCounterYearFraction("actual/365 (fixed)",SettlementDate,R54,,,Trigger)</f>
        <v>0.2</v>
      </c>
      <c r="U54" s="47">
        <f>_xll.qlPolynomialFunctionValue($P$18,T54,AllTriggers)</f>
        <v>1.0504586128371619E-3</v>
      </c>
    </row>
    <row r="55" spans="7:21" x14ac:dyDescent="0.2">
      <c r="G55" s="60"/>
      <c r="H55" s="60"/>
      <c r="I55" s="35"/>
      <c r="J55" s="35"/>
      <c r="K55" s="35"/>
      <c r="R55" s="212">
        <f>_xll.qlCalendarAdvance(Calendar,R54,"1D","f")</f>
        <v>42353</v>
      </c>
      <c r="S55" s="47">
        <f>_xll.qlTenorBasisValue($P$3,R55,AllTriggers)</f>
        <v>1.1186195693520132E-3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1.0520177571760859E-3</v>
      </c>
    </row>
    <row r="56" spans="7:21" x14ac:dyDescent="0.2">
      <c r="G56" s="60"/>
      <c r="H56" s="60"/>
      <c r="I56" s="35"/>
      <c r="J56" s="35"/>
      <c r="K56" s="35"/>
      <c r="R56" s="212">
        <f>_xll.qlCalendarAdvance(Calendar,R55,"1D","f")</f>
        <v>42354</v>
      </c>
      <c r="S56" s="47">
        <f>_xll.qlTenorBasisValue($P$3,R56,AllTriggers)</f>
        <v>1.119939548576741E-3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1.053571640728059E-3</v>
      </c>
    </row>
    <row r="57" spans="7:21" x14ac:dyDescent="0.2">
      <c r="G57" s="60"/>
      <c r="H57" s="60"/>
      <c r="I57" s="35"/>
      <c r="J57" s="35"/>
      <c r="K57" s="35"/>
      <c r="R57" s="212">
        <f>_xll.qlCalendarAdvance(Calendar,R56,"1D","f")</f>
        <v>42355</v>
      </c>
      <c r="S57" s="47">
        <f>_xll.qlTenorBasisValue($P$3,R57,AllTriggers)</f>
        <v>1.1212547981531626E-3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1.0551202744100044E-3</v>
      </c>
    </row>
    <row r="58" spans="7:21" x14ac:dyDescent="0.2">
      <c r="G58" s="60"/>
      <c r="H58" s="60"/>
      <c r="I58" s="35"/>
      <c r="J58" s="35"/>
      <c r="K58" s="35"/>
      <c r="R58" s="212">
        <f>_xll.qlCalendarAdvance(Calendar,R57,"1D","f")</f>
        <v>42356</v>
      </c>
      <c r="S58" s="47">
        <f>_xll.qlTenorBasisValue($P$3,R58,AllTriggers)</f>
        <v>1.1225653289982022E-3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1.0566636691388455E-3</v>
      </c>
    </row>
    <row r="59" spans="7:21" x14ac:dyDescent="0.2">
      <c r="G59" s="60"/>
      <c r="H59" s="60"/>
      <c r="I59" s="35"/>
      <c r="J59" s="35"/>
      <c r="K59" s="35"/>
      <c r="R59" s="212">
        <f>_xll.qlCalendarAdvance(Calendar,R58,"1D","f")</f>
        <v>42359</v>
      </c>
      <c r="S59" s="47">
        <f>_xll.qlTenorBasisValue($P$3,R59,AllTriggers)</f>
        <v>1.1264687183142592E-3</v>
      </c>
      <c r="T59" s="41">
        <f>_xll.qlDayCounterYearFraction("actual/365 (fixed)",SettlementDate,R59,,,Trigger)</f>
        <v>0.21917808219178081</v>
      </c>
      <c r="U59" s="47">
        <f>_xll.qlPolynomialFunctionValue($P$18,T59,AllTriggers)</f>
        <v>1.0612625287759754E-3</v>
      </c>
    </row>
    <row r="60" spans="7:21" x14ac:dyDescent="0.2">
      <c r="R60" s="212">
        <f>_xll.qlCalendarAdvance(Calendar,R59,"1D","f")</f>
        <v>42360</v>
      </c>
      <c r="S60" s="47">
        <f>_xll.qlTenorBasisValue($P$3,R60,AllTriggers)</f>
        <v>1.1277604834030025E-3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1.0627850768616324E-3</v>
      </c>
    </row>
    <row r="61" spans="7:21" x14ac:dyDescent="0.2">
      <c r="R61" s="212">
        <f>_xll.qlCalendarAdvance(Calendar,R60,"1D","f")</f>
        <v>42361</v>
      </c>
      <c r="S61" s="47">
        <f>_xll.qlTenorBasisValue($P$3,R61,AllTriggers)</f>
        <v>1.1290475843449802E-3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1.0643024405788016E-3</v>
      </c>
    </row>
    <row r="62" spans="7:21" x14ac:dyDescent="0.2">
      <c r="R62" s="212">
        <f>_xll.qlCalendarAdvance(Calendar,R61,"1D","f")</f>
        <v>42362</v>
      </c>
      <c r="S62" s="47">
        <f>_xll.qlTenorBasisValue($P$3,R62,AllTriggers)</f>
        <v>1.1303300320571153E-3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1.0658146308444062E-3</v>
      </c>
    </row>
    <row r="63" spans="7:21" x14ac:dyDescent="0.2">
      <c r="R63" s="212">
        <f>_xll.qlCalendarAdvance(Calendar,R62,"1D","f")</f>
        <v>42366</v>
      </c>
      <c r="S63" s="47">
        <f>_xll.qlTenorBasisValue($P$3,R63,AllTriggers)</f>
        <v>1.1354135089456997E-3</v>
      </c>
      <c r="T63" s="41">
        <f>_xll.qlDayCounterYearFraction("actual/365 (fixed)",SettlementDate,R63,,,Trigger)</f>
        <v>0.23835616438356164</v>
      </c>
      <c r="U63" s="47">
        <f>_xll.qlPolynomialFunctionValue($P$18,T63,AllTriggers)</f>
        <v>1.0718118757296492E-3</v>
      </c>
    </row>
    <row r="64" spans="7:21" x14ac:dyDescent="0.2">
      <c r="R64" s="212">
        <f>_xll.qlCalendarAdvance(Calendar,R63,"1D","f")</f>
        <v>42367</v>
      </c>
      <c r="S64" s="47">
        <f>_xll.qlTenorBasisValue($P$3,R64,AllTriggers)</f>
        <v>1.1366728542624733E-3</v>
      </c>
      <c r="T64" s="41">
        <f>_xll.qlDayCounterYearFraction("actual/365 (fixed)",SettlementDate,R64,,,Trigger)</f>
        <v>0.24109589041095891</v>
      </c>
      <c r="U64" s="47">
        <f>_xll.qlPolynomialFunctionValue($P$18,T64,AllTriggers)</f>
        <v>1.0732983624912825E-3</v>
      </c>
    </row>
    <row r="65" spans="18:21" x14ac:dyDescent="0.2">
      <c r="R65" s="212">
        <f>_xll.qlCalendarAdvance(Calendar,R64,"1D","f")</f>
        <v>42368</v>
      </c>
      <c r="S65" s="47">
        <f>_xll.qlTenorBasisValue($P$3,R65,AllTriggers)</f>
        <v>1.1379276118509444E-3</v>
      </c>
      <c r="T65" s="41">
        <f>_xll.qlDayCounterYearFraction("actual/365 (fixed)",SettlementDate,R65,,,Trigger)</f>
        <v>0.24383561643835616</v>
      </c>
      <c r="U65" s="47">
        <f>_xll.qlPolynomialFunctionValue($P$18,T65,AllTriggers)</f>
        <v>1.0747797413028913E-3</v>
      </c>
    </row>
    <row r="66" spans="18:21" x14ac:dyDescent="0.2">
      <c r="R66" s="212">
        <f>_xll.qlCalendarAdvance(Calendar,R65,"1D","f")</f>
        <v>42369</v>
      </c>
      <c r="S66" s="47">
        <f>_xll.qlTenorBasisValue($P$3,R66,AllTriggers)</f>
        <v>1.1391777926280369E-3</v>
      </c>
      <c r="T66" s="41">
        <f>_xll.qlDayCounterYearFraction("actual/365 (fixed)",SettlementDate,R66,,,Trigger)</f>
        <v>0.24657534246575341</v>
      </c>
      <c r="U66" s="47">
        <f>_xll.qlPolynomialFunctionValue($P$18,T66,AllTriggers)</f>
        <v>1.0762560230813995E-3</v>
      </c>
    </row>
    <row r="67" spans="18:21" x14ac:dyDescent="0.2">
      <c r="R67" s="212">
        <f>_xll.qlCalendarAdvance(Calendar,R66,"1D","f")</f>
        <v>42373</v>
      </c>
      <c r="S67" s="47">
        <f>_xll.qlTenorBasisValue($P$3,R67,AllTriggers)</f>
        <v>1.1441329659610837E-3</v>
      </c>
      <c r="T67" s="41">
        <f>_xll.qlDayCounterYearFraction("actual/365 (fixed)",SettlementDate,R67,,,Trigger)</f>
        <v>0.25753424657534246</v>
      </c>
      <c r="U67" s="47">
        <f>_xll.qlPolynomialFunctionValue($P$18,T67,AllTriggers)</f>
        <v>1.0821103982028889E-3</v>
      </c>
    </row>
    <row r="68" spans="18:21" x14ac:dyDescent="0.2">
      <c r="R68" s="212">
        <f>_xll.qlCalendarAdvance(Calendar,R67,"1D","f")</f>
        <v>42374</v>
      </c>
      <c r="S68" s="47">
        <f>_xll.qlTenorBasisValue($P$3,R68,AllTriggers)</f>
        <v>1.1453604264351313E-3</v>
      </c>
      <c r="T68" s="41">
        <f>_xll.qlDayCounterYearFraction("actual/365 (fixed)",SettlementDate,R68,,,Trigger)</f>
        <v>0.26027397260273971</v>
      </c>
      <c r="U68" s="47">
        <f>_xll.qlPolynomialFunctionValue($P$18,T68,AllTriggers)</f>
        <v>1.0835613585697421E-3</v>
      </c>
    </row>
    <row r="69" spans="18:21" x14ac:dyDescent="0.2">
      <c r="R69" s="213">
        <f>_xll.qlCalendarAdvance(Calendar,R68,"1D","f")</f>
        <v>42375</v>
      </c>
      <c r="S69" s="50">
        <f>_xll.qlTenorBasisValue($P$3,R69,AllTriggers)</f>
        <v>1.1465833755993403E-3</v>
      </c>
      <c r="T69" s="44">
        <f>_xll.qlDayCounterYearFraction("actual/365 (fixed)",SettlementDate,R69,,,Trigger)</f>
        <v>0.26301369863013696</v>
      </c>
      <c r="U69" s="50">
        <f>_xll.qlPolynomialFunctionValue($P$18,T69,AllTriggers)</f>
        <v>1.0850072874050347E-3</v>
      </c>
    </row>
    <row r="70" spans="18:21" x14ac:dyDescent="0.2">
      <c r="R70" s="212">
        <f>_xll.qlCalendarAdvance(Calendar,R69,"1D","f")</f>
        <v>42376</v>
      </c>
      <c r="S70" s="47">
        <f>_xll.qlTenorBasisValue($P$3,R70,AllTriggers)</f>
        <v>1.1478018243706335E-3</v>
      </c>
      <c r="T70" s="41">
        <f>_xll.qlDayCounterYearFraction("actual/365 (fixed)",SettlementDate,R70,,,Trigger)</f>
        <v>0.26575342465753427</v>
      </c>
      <c r="U70" s="47">
        <f>_xll.qlPolynomialFunctionValue($P$18,T70,AllTriggers)</f>
        <v>1.0864481956256898E-3</v>
      </c>
    </row>
    <row r="71" spans="18:21" x14ac:dyDescent="0.2">
      <c r="R71" s="212">
        <f>_xll.qlCalendarAdvance(Calendar,R70,"1D","f")</f>
        <v>42377</v>
      </c>
      <c r="S71" s="47">
        <f>_xll.qlTenorBasisValue($P$3,R71,AllTriggers)</f>
        <v>1.1490157836659346E-3</v>
      </c>
      <c r="T71" s="41">
        <f>_xll.qlDayCounterYearFraction("actual/365 (fixed)",SettlementDate,R71,,,Trigger)</f>
        <v>0.26849315068493151</v>
      </c>
      <c r="U71" s="47">
        <f>_xll.qlPolynomialFunctionValue($P$18,T71,AllTriggers)</f>
        <v>1.0878840941486302E-3</v>
      </c>
    </row>
    <row r="72" spans="18:21" x14ac:dyDescent="0.2">
      <c r="R72" s="212">
        <f>_xll.qlCalendarAdvance(Calendar,R71,"1D","f")</f>
        <v>42380</v>
      </c>
      <c r="S72" s="47">
        <f>_xll.qlTenorBasisValue($P$3,R72,AllTriggers)</f>
        <v>1.1526308338651176E-3</v>
      </c>
      <c r="T72" s="41">
        <f>_xll.qlDayCounterYearFraction("actual/365 (fixed)",SettlementDate,R72,,,Trigger)</f>
        <v>0.27671232876712326</v>
      </c>
      <c r="U72" s="47">
        <f>_xll.qlPolynomialFunctionValue($P$18,T72,AllTriggers)</f>
        <v>1.0921618407004001E-3</v>
      </c>
    </row>
    <row r="73" spans="18:21" x14ac:dyDescent="0.2">
      <c r="R73" s="212">
        <f>_xll.qlCalendarAdvance(Calendar,R72,"1D","f")</f>
        <v>42381</v>
      </c>
      <c r="S73" s="47">
        <f>_xll.qlTenorBasisValue($P$3,R73,AllTriggers)</f>
        <v>1.1538269444256832E-3</v>
      </c>
      <c r="T73" s="41">
        <f>_xll.qlDayCounterYearFraction("actual/365 (fixed)",SettlementDate,R73,,,Trigger)</f>
        <v>0.27945205479452057</v>
      </c>
      <c r="U73" s="47">
        <f>_xll.qlPolynomialFunctionValue($P$18,T73,AllTriggers)</f>
        <v>1.0935778096017174E-3</v>
      </c>
    </row>
    <row r="74" spans="18:21" x14ac:dyDescent="0.2">
      <c r="R74" s="212">
        <f>_xll.qlCalendarAdvance(Calendar,R73,"1D","f")</f>
        <v>42382</v>
      </c>
      <c r="S74" s="47">
        <f>_xll.qlTenorBasisValue($P$3,R74,AllTriggers)</f>
        <v>1.1550186200948733E-3</v>
      </c>
      <c r="T74" s="41">
        <f>_xll.qlDayCounterYearFraction("actual/365 (fixed)",SettlementDate,R74,,,Trigger)</f>
        <v>0.28219178082191781</v>
      </c>
      <c r="U74" s="47">
        <f>_xll.qlPolynomialFunctionValue($P$18,T74,AllTriggers)</f>
        <v>1.0949888233899373E-3</v>
      </c>
    </row>
    <row r="75" spans="18:21" x14ac:dyDescent="0.2">
      <c r="R75" s="212">
        <f>_xll.qlCalendarAdvance(Calendar,R74,"1D","f")</f>
        <v>42383</v>
      </c>
      <c r="S75" s="47">
        <f>_xll.qlTenorBasisValue($P$3,R75,AllTriggers)</f>
        <v>1.1562058717896112E-3</v>
      </c>
      <c r="T75" s="41">
        <f>_xll.qlDayCounterYearFraction("actual/365 (fixed)",SettlementDate,R75,,,Trigger)</f>
        <v>0.28493150684931506</v>
      </c>
      <c r="U75" s="47">
        <f>_xll.qlPolynomialFunctionValue($P$18,T75,AllTriggers)</f>
        <v>1.0963948929819827E-3</v>
      </c>
    </row>
    <row r="76" spans="18:21" x14ac:dyDescent="0.2">
      <c r="R76" s="212">
        <f>_xll.qlCalendarAdvance(Calendar,R75,"1D","f")</f>
        <v>42384</v>
      </c>
      <c r="S76" s="47">
        <f>_xll.qlTenorBasisValue($P$3,R76,AllTriggers)</f>
        <v>1.1573887104268199E-3</v>
      </c>
      <c r="T76" s="41">
        <f>_xll.qlDayCounterYearFraction("actual/365 (fixed)",SettlementDate,R76,,,Trigger)</f>
        <v>0.28767123287671231</v>
      </c>
      <c r="U76" s="47">
        <f>_xll.qlPolynomialFunctionValue($P$18,T76,AllTriggers)</f>
        <v>1.0977960292947774E-3</v>
      </c>
    </row>
    <row r="77" spans="18:21" x14ac:dyDescent="0.2">
      <c r="R77" s="212">
        <f>_xll.qlCalendarAdvance(Calendar,R76,"1D","f")</f>
        <v>42387</v>
      </c>
      <c r="S77" s="47">
        <f>_xll.qlTenorBasisValue($P$3,R77,AllTriggers)</f>
        <v>1.1609108571625074E-3</v>
      </c>
      <c r="T77" s="41">
        <f>_xll.qlDayCounterYearFraction("actual/365 (fixed)",SettlementDate,R77,,,Trigger)</f>
        <v>0.29589041095890412</v>
      </c>
      <c r="U77" s="47">
        <f>_xll.qlPolynomialFunctionValue($P$18,T77,AllTriggers)</f>
        <v>1.1019699477268898E-3</v>
      </c>
    </row>
    <row r="78" spans="18:21" x14ac:dyDescent="0.2">
      <c r="R78" s="212">
        <f>_xll.qlCalendarAdvance(Calendar,R77,"1D","f")</f>
        <v>42388</v>
      </c>
      <c r="S78" s="47">
        <f>_xll.qlTenorBasisValue($P$3,R78,AllTriggers)</f>
        <v>1.1620761527388343E-3</v>
      </c>
      <c r="T78" s="41">
        <f>_xll.qlDayCounterYearFraction("actual/365 (fixed)",SettlementDate,R78,,,Trigger)</f>
        <v>0.29863013698630136</v>
      </c>
      <c r="U78" s="47">
        <f>_xll.qlPolynomialFunctionValue($P$18,T78,AllTriggers)</f>
        <v>1.1033514600919142E-3</v>
      </c>
    </row>
    <row r="79" spans="18:21" x14ac:dyDescent="0.2">
      <c r="R79" s="212">
        <f>_xll.qlCalendarAdvance(Calendar,R78,"1D","f")</f>
        <v>42389</v>
      </c>
      <c r="S79" s="47">
        <f>_xll.qlTenorBasisValue($P$3,R79,AllTriggers)</f>
        <v>1.1632370898422494E-3</v>
      </c>
      <c r="T79" s="41">
        <f>_xll.qlDayCounterYearFraction("actual/365 (fixed)",SettlementDate,R79,,,Trigger)</f>
        <v>0.30136986301369861</v>
      </c>
      <c r="U79" s="47">
        <f>_xll.qlPolynomialFunctionValue($P$18,T79,AllTriggers)</f>
        <v>1.1047280937623049E-3</v>
      </c>
    </row>
    <row r="80" spans="18:21" x14ac:dyDescent="0.2">
      <c r="R80" s="212">
        <f>_xll.qlCalendarAdvance(Calendar,R79,"1D","f")</f>
        <v>42390</v>
      </c>
      <c r="S80" s="47">
        <f>_xll.qlTenorBasisValue($P$3,R80,AllTriggers)</f>
        <v>1.1643936793896755E-3</v>
      </c>
      <c r="T80" s="41">
        <f>_xll.qlDayCounterYearFraction("actual/365 (fixed)",SettlementDate,R80,,,Trigger)</f>
        <v>0.30410958904109592</v>
      </c>
      <c r="U80" s="47">
        <f>_xll.qlPolynomialFunctionValue($P$18,T80,AllTriggers)</f>
        <v>1.1060998596549849E-3</v>
      </c>
    </row>
    <row r="81" spans="18:21" x14ac:dyDescent="0.2">
      <c r="R81" s="212">
        <f>_xll.qlCalendarAdvance(Calendar,R80,"1D","f")</f>
        <v>42391</v>
      </c>
      <c r="S81" s="47">
        <f>_xll.qlTenorBasisValue($P$3,R81,AllTriggers)</f>
        <v>1.1655459322980363E-3</v>
      </c>
      <c r="T81" s="41">
        <f>_xll.qlDayCounterYearFraction("actual/365 (fixed)",SettlementDate,R81,,,Trigger)</f>
        <v>0.30684931506849317</v>
      </c>
      <c r="U81" s="47">
        <f>_xll.qlPolynomialFunctionValue($P$18,T81,AllTriggers)</f>
        <v>1.1074667686868773E-3</v>
      </c>
    </row>
    <row r="82" spans="18:21" x14ac:dyDescent="0.2">
      <c r="R82" s="212">
        <f>_xll.qlCalendarAdvance(Calendar,R81,"1D","f")</f>
        <v>42394</v>
      </c>
      <c r="S82" s="47">
        <f>_xll.qlTenorBasisValue($P$3,R82,AllTriggers)</f>
        <v>1.1689767803579592E-3</v>
      </c>
      <c r="T82" s="41">
        <f>_xll.qlDayCounterYearFraction("actual/365 (fixed)",SettlementDate,R82,,,Trigger)</f>
        <v>0.31506849315068491</v>
      </c>
      <c r="U82" s="47">
        <f>_xll.qlPolynomialFunctionValue($P$18,T82,AllTriggers)</f>
        <v>1.111538463787063E-3</v>
      </c>
    </row>
    <row r="83" spans="18:21" x14ac:dyDescent="0.2">
      <c r="R83" s="212">
        <f>_xll.qlCalendarAdvance(Calendar,R82,"1D","f")</f>
        <v>42395</v>
      </c>
      <c r="S83" s="47">
        <f>_xll.qlTenorBasisValue($P$3,R83,AllTriggers)</f>
        <v>1.1701117958792914E-3</v>
      </c>
      <c r="T83" s="41">
        <f>_xll.qlDayCounterYearFraction("actual/365 (fixed)",SettlementDate,R83,,,Trigger)</f>
        <v>0.31780821917808222</v>
      </c>
      <c r="U83" s="47">
        <f>_xll.qlPolynomialFunctionValue($P$18,T83,AllTriggers)</f>
        <v>1.1128860545450393E-3</v>
      </c>
    </row>
    <row r="84" spans="18:21" x14ac:dyDescent="0.2">
      <c r="R84" s="212">
        <f>_xll.qlCalendarAdvance(Calendar,R83,"1D","f")</f>
        <v>42396</v>
      </c>
      <c r="S84" s="47">
        <f>_xll.qlTenorBasisValue($P$3,R84,AllTriggers)</f>
        <v>1.171242529346175E-3</v>
      </c>
      <c r="T84" s="41">
        <f>_xll.qlDayCounterYearFraction("actual/365 (fixed)",SettlementDate,R84,,,Trigger)</f>
        <v>0.32054794520547947</v>
      </c>
      <c r="U84" s="47">
        <f>_xll.qlPolynomialFunctionValue($P$18,T84,AllTriggers)</f>
        <v>1.1142288430268446E-3</v>
      </c>
    </row>
    <row r="85" spans="18:21" x14ac:dyDescent="0.2">
      <c r="R85" s="212">
        <f>_xll.qlCalendarAdvance(Calendar,R84,"1D","f")</f>
        <v>42397</v>
      </c>
      <c r="S85" s="47">
        <f>_xll.qlTenorBasisValue($P$3,R85,AllTriggers)</f>
        <v>1.1723689916755332E-3</v>
      </c>
      <c r="T85" s="41">
        <f>_xll.qlDayCounterYearFraction("actual/365 (fixed)",SettlementDate,R85,,,Trigger)</f>
        <v>0.32328767123287672</v>
      </c>
      <c r="U85" s="47">
        <f>_xll.qlPolynomialFunctionValue($P$18,T85,AllTriggers)</f>
        <v>1.1155668401494024E-3</v>
      </c>
    </row>
    <row r="86" spans="18:21" x14ac:dyDescent="0.2">
      <c r="R86" s="212">
        <f>_xll.qlCalendarAdvance(Calendar,R85,"1D","f")</f>
        <v>42398</v>
      </c>
      <c r="S86" s="47">
        <f>_xll.qlTenorBasisValue($P$3,R86,AllTriggers)</f>
        <v>1.1734911937842894E-3</v>
      </c>
      <c r="T86" s="41">
        <f>_xll.qlDayCounterYearFraction("actual/365 (fixed)",SettlementDate,R86,,,Trigger)</f>
        <v>0.32602739726027397</v>
      </c>
      <c r="U86" s="47">
        <f>_xll.qlPolynomialFunctionValue($P$18,T86,AllTriggers)</f>
        <v>1.1169000568296361E-3</v>
      </c>
    </row>
    <row r="87" spans="18:21" x14ac:dyDescent="0.2">
      <c r="R87" s="212">
        <f>_xll.qlCalendarAdvance(Calendar,R86,"1D","f")</f>
        <v>42401</v>
      </c>
      <c r="S87" s="47">
        <f>_xll.qlTenorBasisValue($P$3,R87,AllTriggers)</f>
        <v>1.1768323479561787E-3</v>
      </c>
      <c r="T87" s="41">
        <f>_xll.qlDayCounterYearFraction("actual/365 (fixed)",SettlementDate,R87,,,Trigger)</f>
        <v>0.33424657534246577</v>
      </c>
      <c r="U87" s="47">
        <f>_xll.qlPolynomialFunctionValue($P$18,T87,AllTriggers)</f>
        <v>1.1208711333856266E-3</v>
      </c>
    </row>
    <row r="88" spans="18:21" x14ac:dyDescent="0.2">
      <c r="R88" s="212">
        <f>_xll.qlCalendarAdvance(Calendar,R87,"1D","f")</f>
        <v>42402</v>
      </c>
      <c r="S88" s="47">
        <f>_xll.qlTenorBasisValue($P$3,R88,AllTriggers)</f>
        <v>1.1779376183517602E-3</v>
      </c>
      <c r="T88" s="41">
        <f>_xll.qlDayCounterYearFraction("actual/365 (fixed)",SettlementDate,R88,,,Trigger)</f>
        <v>0.33698630136986302</v>
      </c>
      <c r="U88" s="47">
        <f>_xll.qlPolynomialFunctionValue($P$18,T88,AllTriggers)</f>
        <v>1.1221853374657976E-3</v>
      </c>
    </row>
    <row r="89" spans="18:21" x14ac:dyDescent="0.2">
      <c r="R89" s="212">
        <f>_xll.qlCalendarAdvance(Calendar,R88,"1D","f")</f>
        <v>42403</v>
      </c>
      <c r="S89" s="47">
        <f>_xll.qlTenorBasisValue($P$3,R89,AllTriggers)</f>
        <v>1.1790386831113562E-3</v>
      </c>
      <c r="T89" s="41">
        <f>_xll.qlDayCounterYearFraction("actual/365 (fixed)",SettlementDate,R89,,,Trigger)</f>
        <v>0.33972602739726027</v>
      </c>
      <c r="U89" s="47">
        <f>_xll.qlPolynomialFunctionValue($P$18,T89,AllTriggers)</f>
        <v>1.1234948156882613E-3</v>
      </c>
    </row>
    <row r="90" spans="18:21" x14ac:dyDescent="0.2">
      <c r="R90" s="212">
        <f>_xll.qlCalendarAdvance(Calendar,R89,"1D","f")</f>
        <v>42404</v>
      </c>
      <c r="S90" s="47">
        <f>_xll.qlTenorBasisValue($P$3,R90,AllTriggers)</f>
        <v>1.1801355531518901E-3</v>
      </c>
      <c r="T90" s="41">
        <f>_xll.qlDayCounterYearFraction("actual/365 (fixed)",SettlementDate,R90,,,Trigger)</f>
        <v>0.34246575342465752</v>
      </c>
      <c r="U90" s="47">
        <f>_xll.qlPolynomialFunctionValue($P$18,T90,AllTriggers)</f>
        <v>1.1247995789699411E-3</v>
      </c>
    </row>
    <row r="91" spans="18:21" x14ac:dyDescent="0.2">
      <c r="R91" s="212">
        <f>_xll.qlCalendarAdvance(Calendar,R90,"1D","f")</f>
        <v>42405</v>
      </c>
      <c r="S91" s="47">
        <f>_xll.qlTenorBasisValue($P$3,R91,AllTriggers)</f>
        <v>1.1812282393902855E-3</v>
      </c>
      <c r="T91" s="41">
        <f>_xll.qlDayCounterYearFraction("actual/365 (fixed)",SettlementDate,R91,,,Trigger)</f>
        <v>0.34520547945205482</v>
      </c>
      <c r="U91" s="47">
        <f>_xll.qlPolynomialFunctionValue($P$18,T91,AllTriggers)</f>
        <v>1.1260996382277599E-3</v>
      </c>
    </row>
    <row r="92" spans="18:21" x14ac:dyDescent="0.2">
      <c r="R92" s="212">
        <f>_xll.qlCalendarAdvance(Calendar,R91,"1D","f")</f>
        <v>42408</v>
      </c>
      <c r="S92" s="47">
        <f>_xll.qlTenorBasisValue($P$3,R92,AllTriggers)</f>
        <v>1.1844813044618726E-3</v>
      </c>
      <c r="T92" s="41">
        <f>_xll.qlDayCounterYearFraction("actual/365 (fixed)",SettlementDate,R92,,,Trigger)</f>
        <v>0.35342465753424657</v>
      </c>
      <c r="U92" s="47">
        <f>_xll.qlPolynomialFunctionValue($P$18,T92,AllTriggers)</f>
        <v>1.1299717010272864E-3</v>
      </c>
    </row>
    <row r="93" spans="18:21" x14ac:dyDescent="0.2">
      <c r="R93" s="212">
        <f>_xll.qlCalendarAdvance(Calendar,R92,"1D","f")</f>
        <v>42409</v>
      </c>
      <c r="S93" s="47">
        <f>_xll.qlTenorBasisValue($P$3,R93,AllTriggers)</f>
        <v>1.1855573646609467E-3</v>
      </c>
      <c r="T93" s="41">
        <f>_xll.qlDayCounterYearFraction("actual/365 (fixed)",SettlementDate,R93,,,Trigger)</f>
        <v>0.35616438356164382</v>
      </c>
      <c r="U93" s="47">
        <f>_xll.qlPolynomialFunctionValue($P$18,T93,AllTriggers)</f>
        <v>1.1312530533588963E-3</v>
      </c>
    </row>
    <row r="94" spans="18:21" x14ac:dyDescent="0.2">
      <c r="R94" s="212">
        <f>_xll.qlCalendarAdvance(Calendar,R93,"1D","f")</f>
        <v>42410</v>
      </c>
      <c r="S94" s="47">
        <f>_xll.qlTenorBasisValue($P$3,R94,AllTriggers)</f>
        <v>1.1866292956424988E-3</v>
      </c>
      <c r="T94" s="41">
        <f>_xll.qlDayCounterYearFraction("actual/365 (fixed)",SettlementDate,R94,,,Trigger)</f>
        <v>0.35890410958904112</v>
      </c>
      <c r="U94" s="47">
        <f>_xll.qlPolynomialFunctionValue($P$18,T94,AllTriggers)</f>
        <v>1.1325297562512621E-3</v>
      </c>
    </row>
    <row r="95" spans="18:21" x14ac:dyDescent="0.2">
      <c r="R95" s="212">
        <f>_xll.qlCalendarAdvance(Calendar,R94,"1D","f")</f>
        <v>42411</v>
      </c>
      <c r="S95" s="47">
        <f>_xll.qlTenorBasisValue($P$3,R95,AllTriggers)</f>
        <v>1.1876971083234521E-3</v>
      </c>
      <c r="T95" s="41">
        <f>_xll.qlDayCounterYearFraction("actual/365 (fixed)",SettlementDate,R95,,,Trigger)</f>
        <v>0.36164383561643837</v>
      </c>
      <c r="U95" s="47">
        <f>_xll.qlPolynomialFunctionValue($P$18,T95,AllTriggers)</f>
        <v>1.1338018206213071E-3</v>
      </c>
    </row>
    <row r="96" spans="18:21" x14ac:dyDescent="0.2">
      <c r="R96" s="212">
        <f>_xll.qlCalendarAdvance(Calendar,R95,"1D","f")</f>
        <v>42412</v>
      </c>
      <c r="S96" s="47">
        <f>_xll.qlTenorBasisValue($P$3,R96,AllTriggers)</f>
        <v>1.1887608136207301E-3</v>
      </c>
      <c r="T96" s="41">
        <f>_xll.qlDayCounterYearFraction("actual/365 (fixed)",SettlementDate,R96,,,Trigger)</f>
        <v>0.36438356164383562</v>
      </c>
      <c r="U96" s="47">
        <f>_xll.qlPolynomialFunctionValue($P$18,T96,AllTriggers)</f>
        <v>1.135069257385955E-3</v>
      </c>
    </row>
    <row r="97" spans="18:21" x14ac:dyDescent="0.2">
      <c r="R97" s="212">
        <f>_xll.qlCalendarAdvance(Calendar,R96,"1D","f")</f>
        <v>42415</v>
      </c>
      <c r="S97" s="47">
        <f>_xll.qlTenorBasisValue($P$3,R97,AllTriggers)</f>
        <v>1.1919273943797465E-3</v>
      </c>
      <c r="T97" s="41">
        <f>_xll.qlDayCounterYearFraction("actual/365 (fixed)",SettlementDate,R97,,,Trigger)</f>
        <v>0.37260273972602742</v>
      </c>
      <c r="U97" s="47">
        <f>_xll.qlPolynomialFunctionValue($P$18,T97,AllTriggers)</f>
        <v>1.1388439112167484E-3</v>
      </c>
    </row>
    <row r="98" spans="18:21" x14ac:dyDescent="0.2">
      <c r="R98" s="212">
        <f>_xll.qlCalendarAdvance(Calendar,R97,"1D","f")</f>
        <v>42416</v>
      </c>
      <c r="S98" s="47">
        <f>_xll.qlTenorBasisValue($P$3,R98,AllTriggers)</f>
        <v>1.192974779311557E-3</v>
      </c>
      <c r="T98" s="41">
        <f>_xll.qlDayCounterYearFraction("actual/365 (fixed)",SettlementDate,R98,,,Trigger)</f>
        <v>0.37534246575342467</v>
      </c>
      <c r="U98" s="47">
        <f>_xll.qlPolynomialFunctionValue($P$18,T98,AllTriggers)</f>
        <v>1.1400929467290408E-3</v>
      </c>
    </row>
    <row r="99" spans="18:21" x14ac:dyDescent="0.2">
      <c r="R99" s="212">
        <f>_xll.qlCalendarAdvance(Calendar,R98,"1D","f")</f>
        <v>42417</v>
      </c>
      <c r="S99" s="47">
        <f>_xll.qlTenorBasisValue($P$3,R99,AllTriggers)</f>
        <v>1.1940181114443087E-3</v>
      </c>
      <c r="T99" s="41">
        <f>_xll.qlDayCounterYearFraction("actual/365 (fixed)",SettlementDate,R99,,,Trigger)</f>
        <v>0.37808219178082192</v>
      </c>
      <c r="U99" s="47">
        <f>_xll.qlPolynomialFunctionValue($P$18,T99,AllTriggers)</f>
        <v>1.1413374092205523E-3</v>
      </c>
    </row>
    <row r="100" spans="18:21" x14ac:dyDescent="0.2">
      <c r="R100" s="212">
        <f>_xll.qlCalendarAdvance(Calendar,R99,"1D","f")</f>
        <v>42418</v>
      </c>
      <c r="S100" s="47">
        <f>_xll.qlTenorBasisValue($P$3,R100,AllTriggers)</f>
        <v>1.1950574016949254E-3</v>
      </c>
      <c r="T100" s="41">
        <f>_xll.qlDayCounterYearFraction("actual/365 (fixed)",SettlementDate,R100,,,Trigger)</f>
        <v>0.38082191780821917</v>
      </c>
      <c r="U100" s="47">
        <f>_xll.qlPolynomialFunctionValue($P$18,T100,AllTriggers)</f>
        <v>1.1425773096082066E-3</v>
      </c>
    </row>
    <row r="101" spans="18:21" x14ac:dyDescent="0.2">
      <c r="R101" s="212">
        <f>_xll.qlCalendarAdvance(Calendar,R100,"1D","f")</f>
        <v>42419</v>
      </c>
      <c r="S101" s="47">
        <f>_xll.qlTenorBasisValue($P$3,R101,AllTriggers)</f>
        <v>1.1960926609803301E-3</v>
      </c>
      <c r="T101" s="41">
        <f>_xll.qlDayCounterYearFraction("actual/365 (fixed)",SettlementDate,R101,,,Trigger)</f>
        <v>0.38356164383561642</v>
      </c>
      <c r="U101" s="47">
        <f>_xll.qlPolynomialFunctionValue($P$18,T101,AllTriggers)</f>
        <v>1.143812658808927E-3</v>
      </c>
    </row>
    <row r="102" spans="18:21" x14ac:dyDescent="0.2">
      <c r="R102" s="212">
        <f>_xll.qlCalendarAdvance(Calendar,R101,"1D","f")</f>
        <v>42422</v>
      </c>
      <c r="S102" s="47">
        <f>_xll.qlTenorBasisValue($P$3,R102,AllTriggers)</f>
        <v>1.1991743622145063E-3</v>
      </c>
      <c r="T102" s="41">
        <f>_xll.qlDayCounterYearFraction("actual/365 (fixed)",SettlementDate,R102,,,Trigger)</f>
        <v>0.39178082191780822</v>
      </c>
      <c r="U102" s="47">
        <f>_xll.qlPolynomialFunctionValue($P$18,T102,AllTriggers)</f>
        <v>1.1474915084587188E-3</v>
      </c>
    </row>
    <row r="103" spans="18:21" x14ac:dyDescent="0.2">
      <c r="R103" s="212">
        <f>_xll.qlCalendarAdvance(Calendar,R102,"1D","f")</f>
        <v>42423</v>
      </c>
      <c r="S103" s="47">
        <f>_xll.qlTenorBasisValue($P$3,R103,AllTriggers)</f>
        <v>1.200193606808297E-3</v>
      </c>
      <c r="T103" s="41">
        <f>_xll.qlDayCounterYearFraction("actual/365 (fixed)",SettlementDate,R103,,,Trigger)</f>
        <v>0.39452054794520547</v>
      </c>
      <c r="U103" s="47">
        <f>_xll.qlPolynomialFunctionValue($P$18,T103,AllTriggers)</f>
        <v>1.1487087620809368E-3</v>
      </c>
    </row>
    <row r="104" spans="18:21" x14ac:dyDescent="0.2">
      <c r="R104" s="212">
        <f>_xll.qlCalendarAdvance(Calendar,R103,"1D","f")</f>
        <v>42424</v>
      </c>
      <c r="S104" s="47">
        <f>_xll.qlTenorBasisValue($P$3,R104,AllTriggers)</f>
        <v>1.2012088750214926E-3</v>
      </c>
      <c r="T104" s="41">
        <f>_xll.qlDayCounterYearFraction("actual/365 (fixed)",SettlementDate,R104,,,Trigger)</f>
        <v>0.39726027397260272</v>
      </c>
      <c r="U104" s="47">
        <f>_xll.qlPolynomialFunctionValue($P$18,T104,AllTriggers)</f>
        <v>1.1499215191008382E-3</v>
      </c>
    </row>
    <row r="105" spans="18:21" x14ac:dyDescent="0.2">
      <c r="R105" s="212">
        <f>_xll.qlCalendarAdvance(Calendar,R104,"1D","f")</f>
        <v>42425</v>
      </c>
      <c r="S105" s="47">
        <f>_xll.qlTenorBasisValue($P$3,R105,AllTriggers)</f>
        <v>1.2022201777710162E-3</v>
      </c>
      <c r="T105" s="41">
        <f>_xll.qlDayCounterYearFraction("actual/365 (fixed)",SettlementDate,R105,,,Trigger)</f>
        <v>0.4</v>
      </c>
      <c r="U105" s="47">
        <f>_xll.qlPolynomialFunctionValue($P$18,T105,AllTriggers)</f>
        <v>1.1511297904353455E-3</v>
      </c>
    </row>
    <row r="106" spans="18:21" x14ac:dyDescent="0.2">
      <c r="R106" s="212">
        <f>_xll.qlCalendarAdvance(Calendar,R105,"1D","f")</f>
        <v>42426</v>
      </c>
      <c r="S106" s="47">
        <f>_xll.qlTenorBasisValue($P$3,R106,AllTriggers)</f>
        <v>1.2032275259737913E-3</v>
      </c>
      <c r="T106" s="41">
        <f>_xll.qlDayCounterYearFraction("actual/365 (fixed)",SettlementDate,R106,,,Trigger)</f>
        <v>0.40273972602739727</v>
      </c>
      <c r="U106" s="47">
        <f>_xll.qlPolynomialFunctionValue($P$18,T106,AllTriggers)</f>
        <v>1.1523335870013821E-3</v>
      </c>
    </row>
    <row r="107" spans="18:21" x14ac:dyDescent="0.2">
      <c r="R107" s="212">
        <f>_xll.qlCalendarAdvance(Calendar,R106,"1D","f")</f>
        <v>42429</v>
      </c>
      <c r="S107" s="47">
        <f>_xll.qlTenorBasisValue($P$3,R107,AllTriggers)</f>
        <v>1.2062259524708587E-3</v>
      </c>
      <c r="T107" s="41">
        <f>_xll.qlDayCounterYearFraction("actual/365 (fixed)",SettlementDate,R107,,,Trigger)</f>
        <v>0.41095890410958902</v>
      </c>
      <c r="U107" s="47">
        <f>_xll.qlPolynomialFunctionValue($P$18,T107,AllTriggers)</f>
        <v>1.1559182372579029E-3</v>
      </c>
    </row>
    <row r="108" spans="18:21" x14ac:dyDescent="0.2">
      <c r="R108" s="212">
        <f>_xll.qlCalendarAdvance(Calendar,R107,"1D","f")</f>
        <v>42430</v>
      </c>
      <c r="S108" s="47">
        <f>_xll.qlTenorBasisValue($P$3,R108,AllTriggers)</f>
        <v>1.2072175916558732E-3</v>
      </c>
      <c r="T108" s="41">
        <f>_xll.qlDayCounterYearFraction("actual/365 (fixed)",SettlementDate,R108,,,Trigger)</f>
        <v>0.41369863013698632</v>
      </c>
      <c r="U108" s="47">
        <f>_xll.qlPolynomialFunctionValue($P$18,T108,AllTriggers)</f>
        <v>1.1571042439192914E-3</v>
      </c>
    </row>
    <row r="109" spans="18:21" x14ac:dyDescent="0.2">
      <c r="R109" s="212">
        <f>_xll.qlCalendarAdvance(Calendar,R108,"1D","f")</f>
        <v>42431</v>
      </c>
      <c r="S109" s="47">
        <f>_xll.qlTenorBasisValue($P$3,R109,AllTriggers)</f>
        <v>1.2082053308787558E-3</v>
      </c>
      <c r="T109" s="41">
        <f>_xll.qlDayCounterYearFraction("actual/365 (fixed)",SettlementDate,R109,,,Trigger)</f>
        <v>0.41643835616438357</v>
      </c>
      <c r="U109" s="47">
        <f>_xll.qlPolynomialFunctionValue($P$18,T109,AllTriggers)</f>
        <v>1.158285830396826E-3</v>
      </c>
    </row>
    <row r="110" spans="18:21" x14ac:dyDescent="0.2">
      <c r="R110" s="212">
        <f>_xll.qlCalendarAdvance(Calendar,R109,"1D","f")</f>
        <v>42432</v>
      </c>
      <c r="S110" s="47">
        <f>_xll.qlTenorBasisValue($P$3,R110,AllTriggers)</f>
        <v>1.2091891810564299E-3</v>
      </c>
      <c r="T110" s="41">
        <f>_xll.qlDayCounterYearFraction("actual/365 (fixed)",SettlementDate,R110,,,Trigger)</f>
        <v>0.41917808219178082</v>
      </c>
      <c r="U110" s="47">
        <f>_xll.qlPolynomialFunctionValue($P$18,T110,AllTriggers)</f>
        <v>1.1594630076074298E-3</v>
      </c>
    </row>
    <row r="111" spans="18:21" x14ac:dyDescent="0.2">
      <c r="R111" s="212">
        <f>_xll.qlCalendarAdvance(Calendar,R110,"1D","f")</f>
        <v>42433</v>
      </c>
      <c r="S111" s="47">
        <f>_xll.qlTenorBasisValue($P$3,R111,AllTriggers)</f>
        <v>1.2101691531058191E-3</v>
      </c>
      <c r="T111" s="41">
        <f>_xll.qlDayCounterYearFraction("actual/365 (fixed)",SettlementDate,R111,,,Trigger)</f>
        <v>0.42191780821917807</v>
      </c>
      <c r="U111" s="47">
        <f>_xll.qlPolynomialFunctionValue($P$18,T111,AllTriggers)</f>
        <v>1.1606357864680267E-3</v>
      </c>
    </row>
    <row r="112" spans="18:21" x14ac:dyDescent="0.2">
      <c r="R112" s="212">
        <f>_xll.qlCalendarAdvance(Calendar,R111,"1D","f")</f>
        <v>42436</v>
      </c>
      <c r="S112" s="47">
        <f>_xll.qlTenorBasisValue($P$3,R112,AllTriggers)</f>
        <v>1.213085909653509E-3</v>
      </c>
      <c r="T112" s="41">
        <f>_xll.qlDayCounterYearFraction("actual/365 (fixed)",SettlementDate,R112,,,Trigger)</f>
        <v>0.43013698630136987</v>
      </c>
      <c r="U112" s="47">
        <f>_xll.qlPolynomialFunctionValue($P$18,T112,AllTriggers)</f>
        <v>1.1641278421190078E-3</v>
      </c>
    </row>
    <row r="113" spans="18:21" x14ac:dyDescent="0.2">
      <c r="R113" s="212">
        <f>_xll.qlCalendarAdvance(Calendar,R112,"1D","f")</f>
        <v>42437</v>
      </c>
      <c r="S113" s="47">
        <f>_xll.qlTenorBasisValue($P$3,R113,AllTriggers)</f>
        <v>1.214050478358991E-3</v>
      </c>
      <c r="T113" s="41">
        <f>_xll.qlDayCounterYearFraction("actual/365 (fixed)",SettlementDate,R113,,,Trigger)</f>
        <v>0.43287671232876712</v>
      </c>
      <c r="U113" s="47">
        <f>_xll.qlPolynomialFunctionValue($P$18,T113,AllTriggers)</f>
        <v>1.1652831367488098E-3</v>
      </c>
    </row>
    <row r="114" spans="18:21" x14ac:dyDescent="0.2">
      <c r="R114" s="212">
        <f>_xll.qlCalendarAdvance(Calendar,R113,"1D","f")</f>
        <v>42438</v>
      </c>
      <c r="S114" s="47">
        <f>_xll.qlTenorBasisValue($P$3,R114,AllTriggers)</f>
        <v>1.2150112235208047E-3</v>
      </c>
      <c r="T114" s="41">
        <f>_xll.qlDayCounterYearFraction("actual/365 (fixed)",SettlementDate,R114,,,Trigger)</f>
        <v>0.43561643835616437</v>
      </c>
      <c r="U114" s="47">
        <f>_xll.qlPolynomialFunctionValue($P$18,T114,AllTriggers)</f>
        <v>1.166434087613221E-3</v>
      </c>
    </row>
    <row r="115" spans="18:21" x14ac:dyDescent="0.2">
      <c r="R115" s="212">
        <f>_xll.qlCalendarAdvance(Calendar,R114,"1D","f")</f>
        <v>42439</v>
      </c>
      <c r="S115" s="47">
        <f>_xll.qlTenorBasisValue($P$3,R115,AllTriggers)</f>
        <v>1.2159681560558733E-3</v>
      </c>
      <c r="T115" s="41">
        <f>_xll.qlDayCounterYearFraction("actual/365 (fixed)",SettlementDate,R115,,,Trigger)</f>
        <v>0.43835616438356162</v>
      </c>
      <c r="U115" s="47">
        <f>_xll.qlPolynomialFunctionValue($P$18,T115,AllTriggers)</f>
        <v>1.1675807056291654E-3</v>
      </c>
    </row>
    <row r="116" spans="18:21" x14ac:dyDescent="0.2">
      <c r="R116" s="212">
        <f>_xll.qlCalendarAdvance(Calendar,R115,"1D","f")</f>
        <v>42440</v>
      </c>
      <c r="S116" s="47">
        <f>_xll.qlTenorBasisValue($P$3,R116,AllTriggers)</f>
        <v>1.2169212868811201E-3</v>
      </c>
      <c r="T116" s="41">
        <f>_xll.qlDayCounterYearFraction("actual/365 (fixed)",SettlementDate,R116,,,Trigger)</f>
        <v>0.44109589041095892</v>
      </c>
      <c r="U116" s="47">
        <f>_xll.qlPolynomialFunctionValue($P$18,T116,AllTriggers)</f>
        <v>1.1687230017135663E-3</v>
      </c>
    </row>
    <row r="117" spans="18:21" x14ac:dyDescent="0.2">
      <c r="R117" s="212">
        <f>_xll.qlCalendarAdvance(Calendar,R116,"1D","f")</f>
        <v>42443</v>
      </c>
      <c r="S117" s="47">
        <f>_xll.qlTenorBasisValue($P$3,R117,AllTriggers)</f>
        <v>1.219757978267164E-3</v>
      </c>
      <c r="T117" s="41">
        <f>_xll.qlDayCounterYearFraction("actual/365 (fixed)",SettlementDate,R117,,,Trigger)</f>
        <v>0.44931506849315067</v>
      </c>
      <c r="U117" s="47">
        <f>_xll.qlPolynomialFunctionValue($P$18,T117,AllTriggers)</f>
        <v>1.1721240675467391E-3</v>
      </c>
    </row>
    <row r="118" spans="18:21" x14ac:dyDescent="0.2">
      <c r="R118" s="212">
        <f>_xll.qlCalendarAdvance(Calendar,R117,"1D","f")</f>
        <v>42444</v>
      </c>
      <c r="S118" s="47">
        <f>_xll.qlTenorBasisValue($P$3,R118,AllTriggers)</f>
        <v>1.2206960114223573E-3</v>
      </c>
      <c r="T118" s="41">
        <f>_xll.qlDayCounterYearFraction("actual/365 (fixed)",SettlementDate,R118,,,Trigger)</f>
        <v>0.45205479452054792</v>
      </c>
      <c r="U118" s="47">
        <f>_xll.qlPolynomialFunctionValue($P$18,T118,AllTriggers)</f>
        <v>1.1732491850741983E-3</v>
      </c>
    </row>
    <row r="119" spans="18:21" x14ac:dyDescent="0.2">
      <c r="R119" s="212">
        <f>_xll.qlCalendarAdvance(Calendar,R118,"1D","f")</f>
        <v>42445</v>
      </c>
      <c r="S119" s="47">
        <f>_xll.qlTenorBasisValue($P$3,R119,AllTriggers)</f>
        <v>1.2216302974523453E-3</v>
      </c>
      <c r="T119" s="41">
        <f>_xll.qlDayCounterYearFraction("actual/365 (fixed)",SettlementDate,R119,,,Trigger)</f>
        <v>0.45479452054794522</v>
      </c>
      <c r="U119" s="47">
        <f>_xll.qlPolynomialFunctionValue($P$18,T119,AllTriggers)</f>
        <v>1.1743700352547304E-3</v>
      </c>
    </row>
    <row r="120" spans="18:21" x14ac:dyDescent="0.2">
      <c r="R120" s="212">
        <f>_xll.qlCalendarAdvance(Calendar,R119,"1D","f")</f>
        <v>42446</v>
      </c>
      <c r="S120" s="47">
        <f>_xll.qlTenorBasisValue($P$3,R120,AllTriggers)</f>
        <v>1.2225608472740521E-3</v>
      </c>
      <c r="T120" s="41">
        <f>_xll.qlDayCounterYearFraction("actual/365 (fixed)",SettlementDate,R120,,,Trigger)</f>
        <v>0.45753424657534247</v>
      </c>
      <c r="U120" s="47">
        <f>_xll.qlPolynomialFunctionValue($P$18,T120,AllTriggers)</f>
        <v>1.175486629005259E-3</v>
      </c>
    </row>
    <row r="121" spans="18:21" x14ac:dyDescent="0.2">
      <c r="R121" s="212">
        <f>_xll.qlCalendarAdvance(Calendar,R120,"1D","f")</f>
        <v>42447</v>
      </c>
      <c r="S121" s="47">
        <f>_xll.qlTenorBasisValue($P$3,R121,AllTriggers)</f>
        <v>1.2234876718044006E-3</v>
      </c>
      <c r="T121" s="41">
        <f>_xll.qlDayCounterYearFraction("actual/365 (fixed)",SettlementDate,R121,,,Trigger)</f>
        <v>0.46027397260273972</v>
      </c>
      <c r="U121" s="47">
        <f>_xll.qlPolynomialFunctionValue($P$18,T121,AllTriggers)</f>
        <v>1.1765989772427072E-3</v>
      </c>
    </row>
    <row r="122" spans="18:21" x14ac:dyDescent="0.2">
      <c r="R122" s="212">
        <f>_xll.qlCalendarAdvance(Calendar,R121,"1D","f")</f>
        <v>42450</v>
      </c>
      <c r="S122" s="47">
        <f>_xll.qlTenorBasisValue($P$3,R122,AllTriggers)</f>
        <v>1.2262459028165289E-3</v>
      </c>
      <c r="T122" s="41">
        <f>_xll.qlDayCounterYearFraction("actual/365 (fixed)",SettlementDate,R122,,,Trigger)</f>
        <v>0.46849315068493153</v>
      </c>
      <c r="U122" s="47">
        <f>_xll.qlPolynomialFunctionValue($P$18,T122,AllTriggers)</f>
        <v>1.1799106580458029E-3</v>
      </c>
    </row>
    <row r="123" spans="18:21" x14ac:dyDescent="0.2">
      <c r="R123" s="212">
        <f>_xll.qlCalendarAdvance(Calendar,R122,"1D","f")</f>
        <v>42451</v>
      </c>
      <c r="S123" s="47">
        <f>_xll.qlTenorBasisValue($P$3,R123,AllTriggers)</f>
        <v>1.2271579353506773E-3</v>
      </c>
      <c r="T123" s="41">
        <f>_xll.qlDayCounterYearFraction("actual/365 (fixed)",SettlementDate,R123,,,Trigger)</f>
        <v>0.47123287671232877</v>
      </c>
      <c r="U123" s="47">
        <f>_xll.qlPolynomialFunctionValue($P$18,T123,AllTriggers)</f>
        <v>1.1810061334001632E-3</v>
      </c>
    </row>
    <row r="124" spans="18:21" x14ac:dyDescent="0.2">
      <c r="R124" s="212">
        <f>_xll.qlCalendarAdvance(Calendar,R123,"1D","f")</f>
        <v>42452</v>
      </c>
      <c r="S124" s="47">
        <f>_xll.qlTenorBasisValue($P$3,R124,AllTriggers)</f>
        <v>1.2280662971780841E-3</v>
      </c>
      <c r="T124" s="41">
        <f>_xll.qlDayCounterYearFraction("actual/365 (fixed)",SettlementDate,R124,,,Trigger)</f>
        <v>0.47397260273972602</v>
      </c>
      <c r="U124" s="47">
        <f>_xll.qlPolynomialFunctionValue($P$18,T124,AllTriggers)</f>
        <v>1.1820974178260594E-3</v>
      </c>
    </row>
    <row r="125" spans="18:21" x14ac:dyDescent="0.2">
      <c r="R125" s="212">
        <f>_xll.qlCalendarAdvance(Calendar,R124,"1D","f")</f>
        <v>42453</v>
      </c>
      <c r="S125" s="47">
        <f>_xll.qlTenorBasisValue($P$3,R125,AllTriggers)</f>
        <v>1.2289709992156727E-3</v>
      </c>
      <c r="T125" s="41">
        <f>_xll.qlDayCounterYearFraction("actual/365 (fixed)",SettlementDate,R125,,,Trigger)</f>
        <v>0.47671232876712327</v>
      </c>
      <c r="U125" s="47">
        <f>_xll.qlPolynomialFunctionValue($P$18,T125,AllTriggers)</f>
        <v>1.1831845222404159E-3</v>
      </c>
    </row>
    <row r="126" spans="18:21" x14ac:dyDescent="0.2">
      <c r="R126" s="212">
        <f>_xll.qlCalendarAdvance(Calendar,R125,"1D","f")</f>
        <v>42458</v>
      </c>
      <c r="S126" s="47">
        <f>_xll.qlTenorBasisValue($P$3,R126,AllTriggers)</f>
        <v>1.2334399946486577E-3</v>
      </c>
      <c r="T126" s="41">
        <f>_xll.qlDayCounterYearFraction("actual/365 (fixed)",SettlementDate,R126,,,Trigger)</f>
        <v>0.49041095890410957</v>
      </c>
      <c r="U126" s="47">
        <f>_xll.qlPolynomialFunctionValue($P$18,T126,AllTriggers)</f>
        <v>1.1885577262314099E-3</v>
      </c>
    </row>
    <row r="127" spans="18:21" x14ac:dyDescent="0.2">
      <c r="R127" s="212">
        <f>_xll.qlCalendarAdvance(Calendar,R126,"1D","f")</f>
        <v>42459</v>
      </c>
      <c r="S127" s="47">
        <f>_xll.qlTenorBasisValue($P$3,R127,AllTriggers)</f>
        <v>1.2343229672027265E-3</v>
      </c>
      <c r="T127" s="41">
        <f>_xll.qlDayCounterYearFraction("actual/365 (fixed)",SettlementDate,R127,,,Trigger)</f>
        <v>0.49315068493150682</v>
      </c>
      <c r="U127" s="47">
        <f>_xll.qlPolynomialFunctionValue($P$18,T127,AllTriggers)</f>
        <v>1.1896199798319147E-3</v>
      </c>
    </row>
    <row r="128" spans="18:21" x14ac:dyDescent="0.2">
      <c r="R128" s="212">
        <f>_xll.qlCalendarAdvance(Calendar,R127,"1D","f")</f>
        <v>42460</v>
      </c>
      <c r="S128" s="47">
        <f>_xll.qlTenorBasisValue($P$3,R128,AllTriggers)</f>
        <v>1.2352023563854404E-3</v>
      </c>
      <c r="T128" s="41">
        <f>_xll.qlDayCounterYearFraction("actual/365 (fixed)",SettlementDate,R128,,,Trigger)</f>
        <v>0.49589041095890413</v>
      </c>
      <c r="U128" s="47">
        <f>_xll.qlPolynomialFunctionValue($P$18,T128,AllTriggers)</f>
        <v>1.1906781298393423E-3</v>
      </c>
    </row>
    <row r="129" spans="18:21" x14ac:dyDescent="0.2">
      <c r="R129" s="212">
        <f>_xll.qlCalendarAdvance(Calendar,R128,"1D","f")</f>
        <v>42461</v>
      </c>
      <c r="S129" s="47">
        <f>_xll.qlTenorBasisValue($P$3,R129,AllTriggers)</f>
        <v>1.2360781731137228E-3</v>
      </c>
      <c r="T129" s="41">
        <f>_xll.qlDayCounterYearFraction("actual/365 (fixed)",SettlementDate,R129,,,Trigger)</f>
        <v>0.49863013698630138</v>
      </c>
      <c r="U129" s="47">
        <f>_xll.qlPolynomialFunctionValue($P$18,T129,AllTriggers)</f>
        <v>1.1917321871706167E-3</v>
      </c>
    </row>
    <row r="130" spans="18:21" x14ac:dyDescent="0.2">
      <c r="R130" s="212">
        <f>_xll.qlCalendarAdvance(Calendar,R129,"1D","f")</f>
        <v>42464</v>
      </c>
      <c r="S130" s="47">
        <f>_xll.qlTenorBasisValue($P$3,R130,AllTriggers)</f>
        <v>1.2386842977412144E-3</v>
      </c>
      <c r="T130" s="41">
        <f>_xll.qlDayCounterYearFraction("actual/365 (fixed)",SettlementDate,R130,,,Trigger)</f>
        <v>0.50684931506849318</v>
      </c>
      <c r="U130" s="47">
        <f>_xll.qlPolynomialFunctionValue($P$18,T130,AllTriggers)</f>
        <v>1.1948699122767516E-3</v>
      </c>
    </row>
    <row r="131" spans="18:21" x14ac:dyDescent="0.2">
      <c r="R131" s="212">
        <f>_xll.qlCalendarAdvance(Calendar,R130,"1D","f")</f>
        <v>42465</v>
      </c>
      <c r="S131" s="47">
        <f>_xll.qlTenorBasisValue($P$3,R131,AllTriggers)</f>
        <v>1.2395459338210041E-3</v>
      </c>
      <c r="T131" s="41">
        <f>_xll.qlDayCounterYearFraction("actual/365 (fixed)",SettlementDate,R131,,,Trigger)</f>
        <v>0.50958904109589043</v>
      </c>
      <c r="U131" s="47">
        <f>_xll.qlPolynomialFunctionValue($P$18,T131,AllTriggers)</f>
        <v>1.1959077080726452E-3</v>
      </c>
    </row>
    <row r="132" spans="18:21" x14ac:dyDescent="0.2">
      <c r="R132" s="212">
        <f>_xll.qlCalendarAdvance(Calendar,R131,"1D","f")</f>
        <v>42466</v>
      </c>
      <c r="S132" s="47">
        <f>_xll.qlTenorBasisValue($P$3,R132,AllTriggers)</f>
        <v>1.2404040520309788E-3</v>
      </c>
      <c r="T132" s="41">
        <f>_xll.qlDayCounterYearFraction("actual/365 (fixed)",SettlementDate,R132,,,Trigger)</f>
        <v>0.51232876712328768</v>
      </c>
      <c r="U132" s="47">
        <f>_xll.qlPolynomialFunctionValue($P$18,T132,AllTriggers)</f>
        <v>1.1969414657770016E-3</v>
      </c>
    </row>
    <row r="133" spans="18:21" x14ac:dyDescent="0.2">
      <c r="R133" s="212">
        <f>_xll.qlCalendarAdvance(Calendar,R132,"1D","f")</f>
        <v>42467</v>
      </c>
      <c r="S133" s="47">
        <f>_xll.qlTenorBasisValue($P$3,R133,AllTriggers)</f>
        <v>1.2412586632880621E-3</v>
      </c>
      <c r="T133" s="41">
        <f>_xll.qlDayCounterYearFraction("actual/365 (fixed)",SettlementDate,R133,,,Trigger)</f>
        <v>0.51506849315068493</v>
      </c>
      <c r="U133" s="47">
        <f>_xll.qlPolynomialFunctionValue($P$18,T133,AllTriggers)</f>
        <v>1.1979711963067449E-3</v>
      </c>
    </row>
    <row r="134" spans="18:21" x14ac:dyDescent="0.2">
      <c r="R134" s="212">
        <f>_xll.qlCalendarAdvance(Calendar,R133,"1D","f")</f>
        <v>42468</v>
      </c>
      <c r="S134" s="47">
        <f>_xll.qlTenorBasisValue($P$3,R134,AllTriggers)</f>
        <v>1.2421097785091772E-3</v>
      </c>
      <c r="T134" s="41">
        <f>_xll.qlDayCounterYearFraction("actual/365 (fixed)",SettlementDate,R134,,,Trigger)</f>
        <v>0.51780821917808217</v>
      </c>
      <c r="U134" s="47">
        <f>_xll.qlPolynomialFunctionValue($P$18,T134,AllTriggers)</f>
        <v>1.1989969105787978E-3</v>
      </c>
    </row>
    <row r="135" spans="18:21" x14ac:dyDescent="0.2">
      <c r="R135" s="212">
        <f>_xll.qlCalendarAdvance(Calendar,R134,"1D","f")</f>
        <v>42471</v>
      </c>
      <c r="S135" s="47">
        <f>_xll.qlTenorBasisValue($P$3,R135,AllTriggers)</f>
        <v>1.2446422571259469E-3</v>
      </c>
      <c r="T135" s="41">
        <f>_xll.qlDayCounterYearFraction("actual/365 (fixed)",SettlementDate,R135,,,Trigger)</f>
        <v>0.52602739726027392</v>
      </c>
      <c r="U135" s="47">
        <f>_xll.qlPolynomialFunctionValue($P$18,T135,AllTriggers)</f>
        <v>1.2020500650180492E-3</v>
      </c>
    </row>
    <row r="136" spans="18:21" x14ac:dyDescent="0.2">
      <c r="R136" s="212">
        <f>_xll.qlCalendarAdvance(Calendar,R135,"1D","f")</f>
        <v>42472</v>
      </c>
      <c r="S136" s="47">
        <f>_xll.qlTenorBasisValue($P$3,R136,AllTriggers)</f>
        <v>1.2454794973724226E-3</v>
      </c>
      <c r="T136" s="41">
        <f>_xll.qlDayCounterYearFraction("actual/365 (fixed)",SettlementDate,R136,,,Trigger)</f>
        <v>0.52876712328767128</v>
      </c>
      <c r="U136" s="47">
        <f>_xll.qlPolynomialFunctionValue($P$18,T136,AllTriggers)</f>
        <v>1.2030598234285747E-3</v>
      </c>
    </row>
    <row r="137" spans="18:21" x14ac:dyDescent="0.2">
      <c r="R137" s="212">
        <f>_xll.qlCalendarAdvance(Calendar,R136,"1D","f")</f>
        <v>42473</v>
      </c>
      <c r="S137" s="47">
        <f>_xll.qlTenorBasisValue($P$3,R137,AllTriggers)</f>
        <v>1.2463132961675471E-3</v>
      </c>
      <c r="T137" s="41">
        <f>_xll.qlDayCounterYearFraction("actual/365 (fixed)",SettlementDate,R137,,,Trigger)</f>
        <v>0.53150684931506853</v>
      </c>
      <c r="U137" s="47">
        <f>_xll.qlPolynomialFunctionValue($P$18,T137,AllTriggers)</f>
        <v>1.2040656201660269E-3</v>
      </c>
    </row>
    <row r="138" spans="18:21" x14ac:dyDescent="0.2">
      <c r="R138" s="212">
        <f>_xll.qlCalendarAdvance(Calendar,R137,"1D","f")</f>
        <v>42474</v>
      </c>
      <c r="S138" s="47">
        <f>_xll.qlTenorBasisValue($P$3,R138,AllTriggers)</f>
        <v>1.2471436644282434E-3</v>
      </c>
      <c r="T138" s="41">
        <f>_xll.qlDayCounterYearFraction("actual/365 (fixed)",SettlementDate,R138,,,Trigger)</f>
        <v>0.53424657534246578</v>
      </c>
      <c r="U138" s="47">
        <f>_xll.qlPolynomialFunctionValue($P$18,T138,AllTriggers)</f>
        <v>1.2050674661473291E-3</v>
      </c>
    </row>
    <row r="139" spans="18:21" x14ac:dyDescent="0.2">
      <c r="R139" s="212">
        <f>_xll.qlCalendarAdvance(Calendar,R138,"1D","f")</f>
        <v>42475</v>
      </c>
      <c r="S139" s="47">
        <f>_xll.qlTenorBasisValue($P$3,R139,AllTriggers)</f>
        <v>1.2479706130714349E-3</v>
      </c>
      <c r="T139" s="41">
        <f>_xll.qlDayCounterYearFraction("actual/365 (fixed)",SettlementDate,R139,,,Trigger)</f>
        <v>0.53698630136986303</v>
      </c>
      <c r="U139" s="47">
        <f>_xll.qlPolynomialFunctionValue($P$18,T139,AllTriggers)</f>
        <v>1.2060653722894043E-3</v>
      </c>
    </row>
    <row r="140" spans="18:21" x14ac:dyDescent="0.2">
      <c r="R140" s="212">
        <f>_xll.qlCalendarAdvance(Calendar,R139,"1D","f")</f>
        <v>42478</v>
      </c>
      <c r="S140" s="47">
        <f>_xll.qlTenorBasisValue($P$3,R140,AllTriggers)</f>
        <v>1.250431050465214E-3</v>
      </c>
      <c r="T140" s="41">
        <f>_xll.qlDayCounterYearFraction("actual/365 (fixed)",SettlementDate,R140,,,Trigger)</f>
        <v>0.54520547945205478</v>
      </c>
      <c r="U140" s="47">
        <f>_xll.qlPolynomialFunctionValue($P$18,T140,AllTriggers)</f>
        <v>1.2090355608495029E-3</v>
      </c>
    </row>
    <row r="141" spans="18:21" x14ac:dyDescent="0.2">
      <c r="R141" s="212">
        <f>_xll.qlCalendarAdvance(Calendar,R140,"1D","f")</f>
        <v>42479</v>
      </c>
      <c r="S141" s="47">
        <f>_xll.qlTenorBasisValue($P$3,R141,AllTriggers)</f>
        <v>1.2512444298076197E-3</v>
      </c>
      <c r="T141" s="41">
        <f>_xll.qlDayCounterYearFraction("actual/365 (fixed)",SettlementDate,R141,,,Trigger)</f>
        <v>0.54794520547945202</v>
      </c>
      <c r="U141" s="47">
        <f>_xll.qlPolynomialFunctionValue($P$18,T141,AllTriggers)</f>
        <v>1.2100178168039045E-3</v>
      </c>
    </row>
    <row r="142" spans="18:21" x14ac:dyDescent="0.2">
      <c r="R142" s="212">
        <f>_xll.qlCalendarAdvance(Calendar,R141,"1D","f")</f>
        <v>42480</v>
      </c>
      <c r="S142" s="47">
        <f>_xll.qlTenorBasisValue($P$3,R142,AllTriggers)</f>
        <v>1.2520544441171374E-3</v>
      </c>
      <c r="T142" s="41">
        <f>_xll.qlDayCounterYearFraction("actual/365 (fixed)",SettlementDate,R142,,,Trigger)</f>
        <v>0.55068493150684927</v>
      </c>
      <c r="U142" s="47">
        <f>_xll.qlPolynomialFunctionValue($P$18,T142,AllTriggers)</f>
        <v>1.2109961875036962E-3</v>
      </c>
    </row>
    <row r="143" spans="18:21" x14ac:dyDescent="0.2">
      <c r="R143" s="212">
        <f>_xll.qlCalendarAdvance(Calendar,R142,"1D","f")</f>
        <v>42481</v>
      </c>
      <c r="S143" s="47">
        <f>_xll.qlTenorBasisValue($P$3,R143,AllTriggers)</f>
        <v>1.2528611043106902E-3</v>
      </c>
      <c r="T143" s="41">
        <f>_xll.qlDayCounterYearFraction("actual/365 (fixed)",SettlementDate,R143,,,Trigger)</f>
        <v>0.55342465753424652</v>
      </c>
      <c r="U143" s="47">
        <f>_xll.qlPolynomialFunctionValue($P$18,T143,AllTriggers)</f>
        <v>1.2119706838658009E-3</v>
      </c>
    </row>
    <row r="144" spans="18:21" x14ac:dyDescent="0.2">
      <c r="R144" s="212">
        <f>_xll.qlCalendarAdvance(Calendar,R143,"1D","f")</f>
        <v>42482</v>
      </c>
      <c r="S144" s="47">
        <f>_xll.qlTenorBasisValue($P$3,R144,AllTriggers)</f>
        <v>1.2536644213052017E-3</v>
      </c>
      <c r="T144" s="41">
        <f>_xll.qlDayCounterYearFraction("actual/365 (fixed)",SettlementDate,R144,,,Trigger)</f>
        <v>0.55616438356164388</v>
      </c>
      <c r="U144" s="47">
        <f>_xll.qlPolynomialFunctionValue($P$18,T144,AllTriggers)</f>
        <v>1.2129413168071423E-3</v>
      </c>
    </row>
    <row r="145" spans="18:21" x14ac:dyDescent="0.2">
      <c r="R145" s="212">
        <f>_xll.qlCalendarAdvance(Calendar,R144,"1D","f")</f>
        <v>42485</v>
      </c>
      <c r="S145" s="47">
        <f>_xll.qlTenorBasisValue($P$3,R145,AllTriggers)</f>
        <v>1.2560544222637215E-3</v>
      </c>
      <c r="T145" s="41">
        <f>_xll.qlDayCounterYearFraction("actual/365 (fixed)",SettlementDate,R145,,,Trigger)</f>
        <v>0.56438356164383563</v>
      </c>
      <c r="U145" s="47">
        <f>_xll.qlPolynomialFunctionValue($P$18,T145,AllTriggers)</f>
        <v>1.2158301442758196E-3</v>
      </c>
    </row>
    <row r="146" spans="18:21" x14ac:dyDescent="0.2">
      <c r="R146" s="212">
        <f>_xll.qlCalendarAdvance(Calendar,R145,"1D","f")</f>
        <v>42486</v>
      </c>
      <c r="S146" s="47">
        <f>_xll.qlTenorBasisValue($P$3,R146,AllTriggers)</f>
        <v>1.2568444756313009E-3</v>
      </c>
      <c r="T146" s="41">
        <f>_xll.qlDayCounterYearFraction("actual/365 (fixed)",SettlementDate,R146,,,Trigger)</f>
        <v>0.56712328767123288</v>
      </c>
      <c r="U146" s="47">
        <f>_xll.qlPolynomialFunctionValue($P$18,T146,AllTriggers)</f>
        <v>1.216785432703341E-3</v>
      </c>
    </row>
    <row r="147" spans="18:21" x14ac:dyDescent="0.2">
      <c r="R147" s="212">
        <f>_xll.qlCalendarAdvance(Calendar,R146,"1D","f")</f>
        <v>42487</v>
      </c>
      <c r="S147" s="47">
        <f>_xll.qlTenorBasisValue($P$3,R147,AllTriggers)</f>
        <v>1.2576312403844558E-3</v>
      </c>
      <c r="T147" s="41">
        <f>_xll.qlDayCounterYearFraction("actual/365 (fixed)",SettlementDate,R147,,,Trigger)</f>
        <v>0.56986301369863013</v>
      </c>
      <c r="U147" s="47">
        <f>_xll.qlPolynomialFunctionValue($P$18,T147,AllTriggers)</f>
        <v>1.2177369122947155E-3</v>
      </c>
    </row>
    <row r="148" spans="18:21" x14ac:dyDescent="0.2">
      <c r="R148" s="212">
        <f>_xll.qlCalendarAdvance(Calendar,R147,"1D","f")</f>
        <v>42488</v>
      </c>
      <c r="S148" s="47">
        <f>_xll.qlTenorBasisValue($P$3,R148,AllTriggers)</f>
        <v>1.2584147274401088E-3</v>
      </c>
      <c r="T148" s="41">
        <f>_xll.qlDayCounterYearFraction("actual/365 (fixed)",SettlementDate,R148,,,Trigger)</f>
        <v>0.57260273972602738</v>
      </c>
      <c r="U148" s="47">
        <f>_xll.qlPolynomialFunctionValue($P$18,T148,AllTriggers)</f>
        <v>1.2186845939668668E-3</v>
      </c>
    </row>
    <row r="149" spans="18:21" x14ac:dyDescent="0.2">
      <c r="R149" s="212">
        <f>_xll.qlCalendarAdvance(Calendar,R148,"1D","f")</f>
        <v>42489</v>
      </c>
      <c r="S149" s="47">
        <f>_xll.qlTenorBasisValue($P$3,R149,AllTriggers)</f>
        <v>1.2591949477151843E-3</v>
      </c>
      <c r="T149" s="41">
        <f>_xll.qlDayCounterYearFraction("actual/365 (fixed)",SettlementDate,R149,,,Trigger)</f>
        <v>0.57534246575342463</v>
      </c>
      <c r="U149" s="47">
        <f>_xll.qlPolynomialFunctionValue($P$18,T149,AllTriggers)</f>
        <v>1.2196284886367181E-3</v>
      </c>
    </row>
    <row r="150" spans="18:21" x14ac:dyDescent="0.2">
      <c r="R150" s="212">
        <f>_xll.qlCalendarAdvance(Calendar,R149,"1D","f")</f>
        <v>42492</v>
      </c>
      <c r="S150" s="47">
        <f>_xll.qlTenorBasisValue($P$3,R150,AllTriggers)</f>
        <v>1.2615161170261759E-3</v>
      </c>
      <c r="T150" s="41">
        <f>_xll.qlDayCounterYearFraction("actual/365 (fixed)",SettlementDate,R150,,,Trigger)</f>
        <v>0.58356164383561648</v>
      </c>
      <c r="U150" s="47">
        <f>_xll.qlPolynomialFunctionValue($P$18,T150,AllTriggers)</f>
        <v>1.2224375598017053E-3</v>
      </c>
    </row>
    <row r="151" spans="18:21" x14ac:dyDescent="0.2">
      <c r="R151" s="212">
        <f>_xll.qlCalendarAdvance(Calendar,R150,"1D","f")</f>
        <v>42493</v>
      </c>
      <c r="S151" s="47">
        <f>_xll.qlTenorBasisValue($P$3,R151,AllTriggers)</f>
        <v>1.2622833793481726E-3</v>
      </c>
      <c r="T151" s="41">
        <f>_xll.qlDayCounterYearFraction("actual/365 (fixed)",SettlementDate,R151,,,Trigger)</f>
        <v>0.58630136986301373</v>
      </c>
      <c r="U151" s="47">
        <f>_xll.qlPolynomialFunctionValue($P$18,T151,AllTriggers)</f>
        <v>1.2233664156315897E-3</v>
      </c>
    </row>
    <row r="152" spans="18:21" x14ac:dyDescent="0.2">
      <c r="R152" s="212">
        <f>_xll.qlCalendarAdvance(Calendar,R151,"1D","f")</f>
        <v>42494</v>
      </c>
      <c r="S152" s="47">
        <f>_xll.qlTenorBasisValue($P$3,R152,AllTriggers)</f>
        <v>1.2630474294742079E-3</v>
      </c>
      <c r="T152" s="41">
        <f>_xll.qlDayCounterYearFraction("actual/365 (fixed)",SettlementDate,R152,,,Trigger)</f>
        <v>0.58904109589041098</v>
      </c>
      <c r="U152" s="47">
        <f>_xll.qlPolynomialFunctionValue($P$18,T152,AllTriggers)</f>
        <v>1.2242915390437911E-3</v>
      </c>
    </row>
    <row r="153" spans="18:21" x14ac:dyDescent="0.2">
      <c r="R153" s="212">
        <f>_xll.qlCalendarAdvance(Calendar,R152,"1D","f")</f>
        <v>42495</v>
      </c>
      <c r="S153" s="47">
        <f>_xll.qlTenorBasisValue($P$3,R153,AllTriggers)</f>
        <v>1.2638082783212057E-3</v>
      </c>
      <c r="T153" s="41">
        <f>_xll.qlDayCounterYearFraction("actual/365 (fixed)",SettlementDate,R153,,,Trigger)</f>
        <v>0.59178082191780823</v>
      </c>
      <c r="U153" s="47">
        <f>_xll.qlPolynomialFunctionValue($P$18,T153,AllTriggers)</f>
        <v>1.2252129409552326E-3</v>
      </c>
    </row>
    <row r="154" spans="18:21" x14ac:dyDescent="0.2">
      <c r="R154" s="212">
        <f>_xll.qlCalendarAdvance(Calendar,R153,"1D","f")</f>
        <v>42496</v>
      </c>
      <c r="S154" s="47">
        <f>_xll.qlTenorBasisValue($P$3,R154,AllTriggers)</f>
        <v>1.2645659368060883E-3</v>
      </c>
      <c r="T154" s="41">
        <f>_xll.qlDayCounterYearFraction("actual/365 (fixed)",SettlementDate,R154,,,Trigger)</f>
        <v>0.59452054794520548</v>
      </c>
      <c r="U154" s="47">
        <f>_xll.qlPolynomialFunctionValue($P$18,T154,AllTriggers)</f>
        <v>1.2261306322828374E-3</v>
      </c>
    </row>
    <row r="155" spans="18:21" x14ac:dyDescent="0.2">
      <c r="R155" s="212">
        <f>_xll.qlCalendarAdvance(Calendar,R154,"1D","f")</f>
        <v>42499</v>
      </c>
      <c r="S155" s="47">
        <f>_xll.qlTenorBasisValue($P$3,R155,AllTriggers)</f>
        <v>1.2668198792572828E-3</v>
      </c>
      <c r="T155" s="41">
        <f>_xll.qlDayCounterYearFraction("actual/365 (fixed)",SettlementDate,R155,,,Trigger)</f>
        <v>0.60273972602739723</v>
      </c>
      <c r="U155" s="47">
        <f>_xll.qlPolynomialFunctionValue($P$18,T155,AllTriggers)</f>
        <v>1.2288615519318656E-3</v>
      </c>
    </row>
    <row r="156" spans="18:21" x14ac:dyDescent="0.2">
      <c r="R156" s="212">
        <f>_xll.qlCalendarAdvance(Calendar,R155,"1D","f")</f>
        <v>42500</v>
      </c>
      <c r="S156" s="47">
        <f>_xll.qlTenorBasisValue($P$3,R156,AllTriggers)</f>
        <v>1.2675648854629407E-3</v>
      </c>
      <c r="T156" s="41">
        <f>_xll.qlDayCounterYearFraction("actual/365 (fixed)",SettlementDate,R156,,,Trigger)</f>
        <v>0.60547945205479448</v>
      </c>
      <c r="U156" s="47">
        <f>_xll.qlPolynomialFunctionValue($P$18,T156,AllTriggers)</f>
        <v>1.229764510093357E-3</v>
      </c>
    </row>
    <row r="157" spans="18:21" x14ac:dyDescent="0.2">
      <c r="R157" s="212">
        <f>_xll.qlCalendarAdvance(Calendar,R156,"1D","f")</f>
        <v>42501</v>
      </c>
      <c r="S157" s="47">
        <f>_xll.qlTenorBasisValue($P$3,R157,AllTriggers)</f>
        <v>1.2683067558911007E-3</v>
      </c>
      <c r="T157" s="41">
        <f>_xll.qlDayCounterYearFraction("actual/365 (fixed)",SettlementDate,R157,,,Trigger)</f>
        <v>0.60821917808219184</v>
      </c>
      <c r="U157" s="47">
        <f>_xll.qlPolynomialFunctionValue($P$18,T157,AllTriggers)</f>
        <v>1.2306638122556292E-3</v>
      </c>
    </row>
    <row r="158" spans="18:21" x14ac:dyDescent="0.2">
      <c r="R158" s="212">
        <f>_xll.qlCalendarAdvance(Calendar,R157,"1D","f")</f>
        <v>42502</v>
      </c>
      <c r="S158" s="47">
        <f>_xll.qlTenorBasisValue($P$3,R158,AllTriggers)</f>
        <v>1.2690455014586861E-3</v>
      </c>
      <c r="T158" s="41">
        <f>_xll.qlDayCounterYearFraction("actual/365 (fixed)",SettlementDate,R158,,,Trigger)</f>
        <v>0.61095890410958908</v>
      </c>
      <c r="U158" s="47">
        <f>_xll.qlPolynomialFunctionValue($P$18,T158,AllTriggers)</f>
        <v>1.2315594693356044E-3</v>
      </c>
    </row>
    <row r="159" spans="18:21" x14ac:dyDescent="0.2">
      <c r="R159" s="212">
        <f>_xll.qlCalendarAdvance(Calendar,R158,"1D","f")</f>
        <v>42503</v>
      </c>
      <c r="S159" s="47">
        <f>_xll.qlTenorBasisValue($P$3,R159,AllTriggers)</f>
        <v>1.26978113308262E-3</v>
      </c>
      <c r="T159" s="41">
        <f>_xll.qlDayCounterYearFraction("actual/365 (fixed)",SettlementDate,R159,,,Trigger)</f>
        <v>0.61369863013698633</v>
      </c>
      <c r="U159" s="47">
        <f>_xll.qlPolynomialFunctionValue($P$18,T159,AllTriggers)</f>
        <v>1.2324514922502064E-3</v>
      </c>
    </row>
    <row r="160" spans="18:21" x14ac:dyDescent="0.2">
      <c r="R160" s="212">
        <f>_xll.qlCalendarAdvance(Calendar,R159,"1D","f")</f>
        <v>42506</v>
      </c>
      <c r="S160" s="47">
        <f>_xll.qlTenorBasisValue($P$3,R160,AllTriggers)</f>
        <v>1.2719694534617488E-3</v>
      </c>
      <c r="T160" s="41">
        <f>_xll.qlDayCounterYearFraction("actual/365 (fixed)",SettlementDate,R160,,,Trigger)</f>
        <v>0.62191780821917808</v>
      </c>
      <c r="U160" s="47">
        <f>_xll.qlPolynomialFunctionValue($P$18,T160,AllTriggers)</f>
        <v>1.2351058651710067E-3</v>
      </c>
    </row>
    <row r="161" spans="18:21" x14ac:dyDescent="0.2">
      <c r="R161" s="212">
        <f>_xll.qlCalendarAdvance(Calendar,R160,"1D","f")</f>
        <v>42507</v>
      </c>
      <c r="S161" s="47">
        <f>_xll.qlTenorBasisValue($P$3,R161,AllTriggers)</f>
        <v>1.2726927384803114E-3</v>
      </c>
      <c r="T161" s="41">
        <f>_xll.qlDayCounterYearFraction("actual/365 (fixed)",SettlementDate,R161,,,Trigger)</f>
        <v>0.62465753424657533</v>
      </c>
      <c r="U161" s="47">
        <f>_xll.qlPolynomialFunctionValue($P$18,T161,AllTriggers)</f>
        <v>1.235983460593349E-3</v>
      </c>
    </row>
    <row r="162" spans="18:21" x14ac:dyDescent="0.2">
      <c r="R162" s="212">
        <f>_xll.qlCalendarAdvance(Calendar,R161,"1D","f")</f>
        <v>42508</v>
      </c>
      <c r="S162" s="47">
        <f>_xll.qlTenorBasisValue($P$3,R162,AllTriggers)</f>
        <v>1.2734129641398394E-3</v>
      </c>
      <c r="T162" s="41">
        <f>_xll.qlDayCounterYearFraction("actual/365 (fixed)",SettlementDate,R162,,,Trigger)</f>
        <v>0.62739726027397258</v>
      </c>
      <c r="U162" s="47">
        <f>_xll.qlPolynomialFunctionValue($P$18,T162,AllTriggers)</f>
        <v>1.2368574764349352E-3</v>
      </c>
    </row>
    <row r="163" spans="18:21" x14ac:dyDescent="0.2">
      <c r="R163" s="212">
        <f>_xll.qlCalendarAdvance(Calendar,R162,"1D","f")</f>
        <v>42509</v>
      </c>
      <c r="S163" s="47">
        <f>_xll.qlTenorBasisValue($P$3,R163,AllTriggers)</f>
        <v>1.2741301413572562E-3</v>
      </c>
      <c r="T163" s="41">
        <f>_xll.qlDayCounterYearFraction("actual/365 (fixed)",SettlementDate,R163,,,Trigger)</f>
        <v>0.63013698630136983</v>
      </c>
      <c r="U163" s="47">
        <f>_xll.qlPolynomialFunctionValue($P$18,T163,AllTriggers)</f>
        <v>1.2377279236126877E-3</v>
      </c>
    </row>
    <row r="164" spans="18:21" x14ac:dyDescent="0.2">
      <c r="R164" s="212">
        <f>_xll.qlCalendarAdvance(Calendar,R163,"1D","f")</f>
        <v>42510</v>
      </c>
      <c r="S164" s="47">
        <f>_xll.qlTenorBasisValue($P$3,R164,AllTriggers)</f>
        <v>1.2748442810494856E-3</v>
      </c>
      <c r="T164" s="41">
        <f>_xll.qlDayCounterYearFraction("actual/365 (fixed)",SettlementDate,R164,,,Trigger)</f>
        <v>0.63287671232876708</v>
      </c>
      <c r="U164" s="47">
        <f>_xll.qlPolynomialFunctionValue($P$18,T164,AllTriggers)</f>
        <v>1.2385948130435309E-3</v>
      </c>
    </row>
    <row r="165" spans="18:21" x14ac:dyDescent="0.2">
      <c r="R165" s="212">
        <f>_xll.qlCalendarAdvance(Calendar,R164,"1D","f")</f>
        <v>42513</v>
      </c>
      <c r="S165" s="47">
        <f>_xll.qlTenorBasisValue($P$3,R165,AllTriggers)</f>
        <v>1.276968584144279E-3</v>
      </c>
      <c r="T165" s="41">
        <f>_xll.qlDayCounterYearFraction("actual/365 (fixed)",SettlementDate,R165,,,Trigger)</f>
        <v>0.64109589041095894</v>
      </c>
      <c r="U165" s="47">
        <f>_xll.qlPolynomialFunctionValue($P$18,T165,AllTriggers)</f>
        <v>1.2411742440238346E-3</v>
      </c>
    </row>
    <row r="166" spans="18:21" x14ac:dyDescent="0.2">
      <c r="R166" s="212">
        <f>_xll.qlCalendarAdvance(Calendar,R165,"1D","f")</f>
        <v>42514</v>
      </c>
      <c r="S166" s="47">
        <f>_xll.qlTenorBasisValue($P$3,R166,AllTriggers)</f>
        <v>1.2776706829049904E-3</v>
      </c>
      <c r="T166" s="41">
        <f>_xll.qlDayCounterYearFraction("actual/365 (fixed)",SettlementDate,R166,,,Trigger)</f>
        <v>0.64383561643835618</v>
      </c>
      <c r="U166" s="47">
        <f>_xll.qlPolynomialFunctionValue($P$18,T166,AllTriggers)</f>
        <v>1.2420270116362717E-3</v>
      </c>
    </row>
    <row r="167" spans="18:21" x14ac:dyDescent="0.2">
      <c r="R167" s="212">
        <f>_xll.qlCalendarAdvance(Calendar,R166,"1D","f")</f>
        <v>42515</v>
      </c>
      <c r="S167" s="47">
        <f>_xll.qlTenorBasisValue($P$3,R167,AllTriggers)</f>
        <v>1.2783697987251304E-3</v>
      </c>
      <c r="T167" s="41">
        <f>_xll.qlDayCounterYearFraction("actual/365 (fixed)",SettlementDate,R167,,,Trigger)</f>
        <v>0.64657534246575343</v>
      </c>
      <c r="U167" s="47">
        <f>_xll.qlPolynomialFunctionValue($P$18,T167,AllTriggers)</f>
        <v>1.2428762760864156E-3</v>
      </c>
    </row>
    <row r="168" spans="18:21" x14ac:dyDescent="0.2">
      <c r="R168" s="212">
        <f>_xll.qlCalendarAdvance(Calendar,R167,"1D","f")</f>
        <v>42516</v>
      </c>
      <c r="S168" s="47">
        <f>_xll.qlTenorBasisValue($P$3,R168,AllTriggers)</f>
        <v>1.2790659425216226E-3</v>
      </c>
      <c r="T168" s="41">
        <f>_xll.qlDayCounterYearFraction("actual/365 (fixed)",SettlementDate,R168,,,Trigger)</f>
        <v>0.64931506849315068</v>
      </c>
      <c r="U168" s="47">
        <f>_xll.qlPolynomialFunctionValue($P$18,T168,AllTriggers)</f>
        <v>1.2437220482911899E-3</v>
      </c>
    </row>
    <row r="169" spans="18:21" x14ac:dyDescent="0.2">
      <c r="R169" s="212">
        <f>_xll.qlCalendarAdvance(Calendar,R168,"1D","f")</f>
        <v>42517</v>
      </c>
      <c r="S169" s="47">
        <f>_xll.qlTenorBasisValue($P$3,R169,AllTriggers)</f>
        <v>1.2797591252113906E-3</v>
      </c>
      <c r="T169" s="41">
        <f>_xll.qlDayCounterYearFraction("actual/365 (fixed)",SettlementDate,R169,,,Trigger)</f>
        <v>0.65205479452054793</v>
      </c>
      <c r="U169" s="47">
        <f>_xll.qlPolynomialFunctionValue($P$18,T169,AllTriggers)</f>
        <v>1.2445643391675177E-3</v>
      </c>
    </row>
    <row r="170" spans="18:21" x14ac:dyDescent="0.2">
      <c r="R170" s="212">
        <f>_xll.qlCalendarAdvance(Calendar,R169,"1D","f")</f>
        <v>42520</v>
      </c>
      <c r="S170" s="47">
        <f>_xll.qlTenorBasisValue($P$3,R170,AllTriggers)</f>
        <v>1.2818210158095807E-3</v>
      </c>
      <c r="T170" s="41">
        <f>_xll.qlDayCounterYearFraction("actual/365 (fixed)",SettlementDate,R170,,,Trigger)</f>
        <v>0.66027397260273968</v>
      </c>
      <c r="U170" s="47">
        <f>_xll.qlPolynomialFunctionValue($P$18,T170,AllTriggers)</f>
        <v>1.2470704329950557E-3</v>
      </c>
    </row>
    <row r="171" spans="18:21" x14ac:dyDescent="0.2">
      <c r="R171" s="212">
        <f>_xll.qlCalendarAdvance(Calendar,R170,"1D","f")</f>
        <v>42521</v>
      </c>
      <c r="S171" s="47">
        <f>_xll.qlTenorBasisValue($P$3,R171,AllTriggers)</f>
        <v>1.2825024632416842E-3</v>
      </c>
      <c r="T171" s="41">
        <f>_xll.qlDayCounterYearFraction("actual/365 (fixed)",SettlementDate,R171,,,Trigger)</f>
        <v>0.66301369863013704</v>
      </c>
      <c r="U171" s="47">
        <f>_xll.qlPolynomialFunctionValue($P$18,T171,AllTriggers)</f>
        <v>1.2478989077268311E-3</v>
      </c>
    </row>
    <row r="172" spans="18:21" x14ac:dyDescent="0.2">
      <c r="R172" s="212">
        <f>_xll.qlCalendarAdvance(Calendar,R171,"1D","f")</f>
        <v>42522</v>
      </c>
      <c r="S172" s="47">
        <f>_xll.qlTenorBasisValue($P$3,R172,AllTriggers)</f>
        <v>1.2831810041516799E-3</v>
      </c>
      <c r="T172" s="41">
        <f>_xll.qlDayCounterYearFraction("actual/365 (fixed)",SettlementDate,R172,,,Trigger)</f>
        <v>0.66575342465753429</v>
      </c>
      <c r="U172" s="47">
        <f>_xll.qlPolynomialFunctionValue($P$18,T172,AllTriggers)</f>
        <v>1.2487239557147766E-3</v>
      </c>
    </row>
    <row r="173" spans="18:21" x14ac:dyDescent="0.2">
      <c r="R173" s="212">
        <f>_xll.qlCalendarAdvance(Calendar,R172,"1D","f")</f>
        <v>42523</v>
      </c>
      <c r="S173" s="47">
        <f>_xll.qlTenorBasisValue($P$3,R173,AllTriggers)</f>
        <v>1.2838566494564911E-3</v>
      </c>
      <c r="T173" s="41">
        <f>_xll.qlDayCounterYearFraction("actual/365 (fixed)",SettlementDate,R173,,,Trigger)</f>
        <v>0.66849315068493154</v>
      </c>
      <c r="U173" s="47">
        <f>_xll.qlPolynomialFunctionValue($P$18,T173,AllTriggers)</f>
        <v>1.2495455878758159E-3</v>
      </c>
    </row>
    <row r="174" spans="18:21" x14ac:dyDescent="0.2">
      <c r="R174" s="212">
        <f>_xll.qlCalendarAdvance(Calendar,R173,"1D","f")</f>
        <v>42524</v>
      </c>
      <c r="S174" s="47">
        <f>_xll.qlTenorBasisValue($P$3,R174,AllTriggers)</f>
        <v>1.2845294100730415E-3</v>
      </c>
      <c r="T174" s="41">
        <f>_xll.qlDayCounterYearFraction("actual/365 (fixed)",SettlementDate,R174,,,Trigger)</f>
        <v>0.67123287671232879</v>
      </c>
      <c r="U174" s="47">
        <f>_xll.qlPolynomialFunctionValue($P$18,T174,AllTriggers)</f>
        <v>1.250363815126872E-3</v>
      </c>
    </row>
    <row r="175" spans="18:21" x14ac:dyDescent="0.2">
      <c r="R175" s="212">
        <f>_xll.qlCalendarAdvance(Calendar,R174,"1D","f")</f>
        <v>42527</v>
      </c>
      <c r="S175" s="47">
        <f>_xll.qlTenorBasisValue($P$3,R175,AllTriggers)</f>
        <v>1.286530492962359E-3</v>
      </c>
      <c r="T175" s="41">
        <f>_xll.qlDayCounterYearFraction("actual/365 (fixed)",SettlementDate,R175,,,Trigger)</f>
        <v>0.67945205479452053</v>
      </c>
      <c r="U175" s="47">
        <f>_xll.qlPolynomialFunctionValue($P$18,T175,AllTriggers)</f>
        <v>1.2527981765893756E-3</v>
      </c>
    </row>
    <row r="176" spans="18:21" x14ac:dyDescent="0.2">
      <c r="R176" s="212">
        <f>_xll.qlCalendarAdvance(Calendar,R175,"1D","f")</f>
        <v>42528</v>
      </c>
      <c r="S176" s="47">
        <f>_xll.qlTenorBasisValue($P$3,R176,AllTriggers)</f>
        <v>1.2871918239950981E-3</v>
      </c>
      <c r="T176" s="41">
        <f>_xll.qlDayCounterYearFraction("actual/365 (fixed)",SettlementDate,R176,,,Trigger)</f>
        <v>0.68219178082191778</v>
      </c>
      <c r="U176" s="47">
        <f>_xll.qlPolynomialFunctionValue($P$18,T176,AllTriggers)</f>
        <v>1.2536028933697329E-3</v>
      </c>
    </row>
    <row r="177" spans="18:21" x14ac:dyDescent="0.2">
      <c r="R177" s="212">
        <f>_xll.qlCalendarAdvance(Calendar,R176,"1D","f")</f>
        <v>42529</v>
      </c>
      <c r="S177" s="47">
        <f>_xll.qlTenorBasisValue($P$3,R177,AllTriggers)</f>
        <v>1.2878503249241933E-3</v>
      </c>
      <c r="T177" s="41">
        <f>_xll.qlDayCounterYearFraction("actual/365 (fixed)",SettlementDate,R177,,,Trigger)</f>
        <v>0.68493150684931503</v>
      </c>
      <c r="U177" s="47">
        <f>_xll.qlPolynomialFunctionValue($P$18,T177,AllTriggers)</f>
        <v>1.254404259824724E-3</v>
      </c>
    </row>
    <row r="178" spans="18:21" x14ac:dyDescent="0.2">
      <c r="R178" s="212">
        <f>_xll.qlCalendarAdvance(Calendar,R177,"1D","f")</f>
        <v>42530</v>
      </c>
      <c r="S178" s="47">
        <f>_xll.qlTenorBasisValue($P$3,R178,AllTriggers)</f>
        <v>1.2885060066665675E-3</v>
      </c>
      <c r="T178" s="41">
        <f>_xll.qlDayCounterYearFraction("actual/365 (fixed)",SettlementDate,R178,,,Trigger)</f>
        <v>0.68767123287671228</v>
      </c>
      <c r="U178" s="47">
        <f>_xll.qlPolynomialFunctionValue($P$18,T178,AllTriggers)</f>
        <v>1.2552022868712719E-3</v>
      </c>
    </row>
    <row r="179" spans="18:21" x14ac:dyDescent="0.2">
      <c r="R179" s="212">
        <f>_xll.qlCalendarAdvance(Calendar,R178,"1D","f")</f>
        <v>42531</v>
      </c>
      <c r="S179" s="47">
        <f>_xll.qlTenorBasisValue($P$3,R179,AllTriggers)</f>
        <v>1.2891588801391437E-3</v>
      </c>
      <c r="T179" s="41">
        <f>_xll.qlDayCounterYearFraction("actual/365 (fixed)",SettlementDate,R179,,,Trigger)</f>
        <v>0.69041095890410964</v>
      </c>
      <c r="U179" s="47">
        <f>_xll.qlPolynomialFunctionValue($P$18,T179,AllTriggers)</f>
        <v>1.2559969854263003E-3</v>
      </c>
    </row>
    <row r="180" spans="18:21" x14ac:dyDescent="0.2">
      <c r="R180" s="212">
        <f>_xll.qlCalendarAdvance(Calendar,R179,"1D","f")</f>
        <v>42534</v>
      </c>
      <c r="S180" s="47">
        <f>_xll.qlTenorBasisValue($P$3,R180,AllTriggers)</f>
        <v>1.2911007601073203E-3</v>
      </c>
      <c r="T180" s="41">
        <f>_xll.qlDayCounterYearFraction("actual/365 (fixed)",SettlementDate,R180,,,Trigger)</f>
        <v>0.69863013698630139</v>
      </c>
      <c r="U180" s="47">
        <f>_xll.qlPolynomialFunctionValue($P$18,T180,AllTriggers)</f>
        <v>1.2583612193115005E-3</v>
      </c>
    </row>
    <row r="181" spans="18:21" x14ac:dyDescent="0.2">
      <c r="R181" s="212">
        <f>_xll.qlCalendarAdvance(Calendar,R180,"1D","f")</f>
        <v>42535</v>
      </c>
      <c r="S181" s="47">
        <f>_xll.qlTenorBasisValue($P$3,R181,AllTriggers)</f>
        <v>1.2917425096699393E-3</v>
      </c>
      <c r="T181" s="41">
        <f>_xll.qlDayCounterYearFraction("actual/365 (fixed)",SettlementDate,R181,,,Trigger)</f>
        <v>0.70136986301369864</v>
      </c>
      <c r="U181" s="47">
        <f>_xll.qlPolynomialFunctionValue($P$18,T181,AllTriggers)</f>
        <v>1.2591427130696838E-3</v>
      </c>
    </row>
    <row r="182" spans="18:21" x14ac:dyDescent="0.2">
      <c r="R182" s="212">
        <f>_xll.qlCalendarAdvance(Calendar,R181,"1D","f")</f>
        <v>42536</v>
      </c>
      <c r="S182" s="47">
        <f>_xll.qlTenorBasisValue($P$3,R182,AllTriggers)</f>
        <v>1.2923815055473776E-3</v>
      </c>
      <c r="T182" s="41">
        <f>_xll.qlDayCounterYearFraction("actual/365 (fixed)",SettlementDate,R182,,,Trigger)</f>
        <v>0.70410958904109588</v>
      </c>
      <c r="U182" s="47">
        <f>_xll.qlPolynomialFunctionValue($P$18,T182,AllTriggers)</f>
        <v>1.2599209329209639E-3</v>
      </c>
    </row>
    <row r="183" spans="18:21" x14ac:dyDescent="0.2">
      <c r="R183" s="212">
        <f>_xll.qlCalendarAdvance(Calendar,R182,"1D","f")</f>
        <v>42537</v>
      </c>
      <c r="S183" s="47">
        <f>_xll.qlTenorBasisValue($P$3,R183,AllTriggers)</f>
        <v>1.293017758656558E-3</v>
      </c>
      <c r="T183" s="41">
        <f>_xll.qlDayCounterYearFraction("actual/365 (fixed)",SettlementDate,R183,,,Trigger)</f>
        <v>0.70684931506849313</v>
      </c>
      <c r="U183" s="47">
        <f>_xll.qlPolynomialFunctionValue($P$18,T183,AllTriggers)</f>
        <v>1.2606958897822644E-3</v>
      </c>
    </row>
    <row r="184" spans="18:21" x14ac:dyDescent="0.2">
      <c r="R184" s="212">
        <f>_xll.qlCalendarAdvance(Calendar,R183,"1D","f")</f>
        <v>42538</v>
      </c>
      <c r="S184" s="47">
        <f>_xll.qlTenorBasisValue($P$3,R184,AllTriggers)</f>
        <v>1.2936512799144044E-3</v>
      </c>
      <c r="T184" s="41">
        <f>_xll.qlDayCounterYearFraction("actual/365 (fixed)",SettlementDate,R184,,,Trigger)</f>
        <v>0.70958904109589038</v>
      </c>
      <c r="U184" s="47">
        <f>_xll.qlPolynomialFunctionValue($P$18,T184,AllTriggers)</f>
        <v>1.2614675945705088E-3</v>
      </c>
    </row>
    <row r="185" spans="18:21" x14ac:dyDescent="0.2">
      <c r="R185" s="212">
        <f>_xll.qlCalendarAdvance(Calendar,R184,"1D","f")</f>
        <v>42541</v>
      </c>
      <c r="S185" s="47">
        <f>_xll.qlTenorBasisValue($P$3,R185,AllTriggers)</f>
        <v>1.2955355617491706E-3</v>
      </c>
      <c r="T185" s="41">
        <f>_xll.qlDayCounterYearFraction("actual/365 (fixed)",SettlementDate,R185,,,Trigger)</f>
        <v>0.71780821917808224</v>
      </c>
      <c r="U185" s="47">
        <f>_xll.qlPolynomialFunctionValue($P$18,T185,AllTriggers)</f>
        <v>1.2637633056661371E-3</v>
      </c>
    </row>
    <row r="186" spans="18:21" x14ac:dyDescent="0.2">
      <c r="R186" s="212">
        <f>_xll.qlCalendarAdvance(Calendar,R185,"1D","f")</f>
        <v>42542</v>
      </c>
      <c r="S186" s="47">
        <f>_xll.qlTenorBasisValue($P$3,R186,AllTriggers)</f>
        <v>1.296158264770913E-3</v>
      </c>
      <c r="T186" s="41">
        <f>_xll.qlDayCounterYearFraction("actual/365 (fixed)",SettlementDate,R186,,,Trigger)</f>
        <v>0.72054794520547949</v>
      </c>
      <c r="U186" s="47">
        <f>_xll.qlPolynomialFunctionValue($P$18,T186,AllTriggers)</f>
        <v>1.2645221113313893E-3</v>
      </c>
    </row>
    <row r="187" spans="18:21" x14ac:dyDescent="0.2">
      <c r="R187" s="212">
        <f>_xll.qlCalendarAdvance(Calendar,R186,"1D","f")</f>
        <v>42543</v>
      </c>
      <c r="S187" s="47">
        <f>_xll.qlTenorBasisValue($P$3,R187,AllTriggers)</f>
        <v>1.2967782905259381E-3</v>
      </c>
      <c r="T187" s="41">
        <f>_xll.qlDayCounterYearFraction("actual/365 (fixed)",SettlementDate,R187,,,Trigger)</f>
        <v>0.72328767123287674</v>
      </c>
      <c r="U187" s="47">
        <f>_xll.qlPolynomialFunctionValue($P$18,T187,AllTriggers)</f>
        <v>1.2652777195082023E-3</v>
      </c>
    </row>
    <row r="188" spans="18:21" x14ac:dyDescent="0.2">
      <c r="R188" s="212">
        <f>_xll.qlCalendarAdvance(Calendar,R187,"1D","f")</f>
        <v>42544</v>
      </c>
      <c r="S188" s="47">
        <f>_xll.qlTenorBasisValue($P$3,R188,AllTriggers)</f>
        <v>1.2973956499311688E-3</v>
      </c>
      <c r="T188" s="41">
        <f>_xll.qlDayCounterYearFraction("actual/365 (fixed)",SettlementDate,R188,,,Trigger)</f>
        <v>0.72602739726027399</v>
      </c>
      <c r="U188" s="47">
        <f>_xll.qlPolynomialFunctionValue($P$18,T188,AllTriggers)</f>
        <v>1.2660301411134989E-3</v>
      </c>
    </row>
    <row r="189" spans="18:21" x14ac:dyDescent="0.2">
      <c r="R189" s="212">
        <f>_xll.qlCalendarAdvance(Calendar,R188,"1D","f")</f>
        <v>42545</v>
      </c>
      <c r="S189" s="47">
        <f>_xll.qlTenorBasisValue($P$3,R189,AllTriggers)</f>
        <v>1.2980103539035285E-3</v>
      </c>
      <c r="T189" s="41">
        <f>_xll.qlDayCounterYearFraction("actual/365 (fixed)",SettlementDate,R189,,,Trigger)</f>
        <v>0.72876712328767124</v>
      </c>
      <c r="U189" s="47">
        <f>_xll.qlPolynomialFunctionValue($P$18,T189,AllTriggers)</f>
        <v>1.2667793870642027E-3</v>
      </c>
    </row>
    <row r="190" spans="18:21" x14ac:dyDescent="0.2">
      <c r="R190" s="212">
        <f>_xll.qlCalendarAdvance(Calendar,R189,"1D","f")</f>
        <v>42548</v>
      </c>
      <c r="S190" s="47">
        <f>_xll.qlTenorBasisValue($P$3,R190,AllTriggers)</f>
        <v>1.2998386423926161E-3</v>
      </c>
      <c r="T190" s="41">
        <f>_xll.qlDayCounterYearFraction("actual/365 (fixed)",SettlementDate,R190,,,Trigger)</f>
        <v>0.73698630136986298</v>
      </c>
      <c r="U190" s="47">
        <f>_xll.qlPolynomialFunctionValue($P$18,T190,AllTriggers)</f>
        <v>1.2690081801579902E-3</v>
      </c>
    </row>
    <row r="191" spans="18:21" x14ac:dyDescent="0.2">
      <c r="R191" s="212">
        <f>_xll.qlCalendarAdvance(Calendar,R190,"1D","f")</f>
        <v>42549</v>
      </c>
      <c r="S191" s="47">
        <f>_xll.qlTenorBasisValue($P$3,R191,AllTriggers)</f>
        <v>1.3004428338027256E-3</v>
      </c>
      <c r="T191" s="41">
        <f>_xll.qlDayCounterYearFraction("actual/365 (fixed)",SettlementDate,R191,,,Trigger)</f>
        <v>0.73972602739726023</v>
      </c>
      <c r="U191" s="47">
        <f>_xll.qlPolynomialFunctionValue($P$18,T191,AllTriggers)</f>
        <v>1.2697448326595556E-3</v>
      </c>
    </row>
    <row r="192" spans="18:21" x14ac:dyDescent="0.2">
      <c r="R192" s="212">
        <f>_xll.qlCalendarAdvance(Calendar,R191,"1D","f")</f>
        <v>42550</v>
      </c>
      <c r="S192" s="47">
        <f>_xll.qlTenorBasisValue($P$3,R192,AllTriggers)</f>
        <v>1.3010444243645811E-3</v>
      </c>
      <c r="T192" s="41">
        <f>_xll.qlDayCounterYearFraction("actual/365 (fixed)",SettlementDate,R192,,,Trigger)</f>
        <v>0.74246575342465748</v>
      </c>
      <c r="U192" s="47">
        <f>_xll.qlPolynomialFunctionValue($P$18,T192,AllTriggers)</f>
        <v>1.2704783640911455E-3</v>
      </c>
    </row>
    <row r="193" spans="18:21" x14ac:dyDescent="0.2">
      <c r="R193" s="212">
        <f>_xll.qlCalendarAdvance(Calendar,R192,"1D","f")</f>
        <v>42551</v>
      </c>
      <c r="S193" s="47">
        <f>_xll.qlTenorBasisValue($P$3,R193,AllTriggers)</f>
        <v>1.3016434249951058E-3</v>
      </c>
      <c r="T193" s="41">
        <f>_xll.qlDayCounterYearFraction("actual/365 (fixed)",SettlementDate,R193,,,Trigger)</f>
        <v>0.74520547945205484</v>
      </c>
      <c r="U193" s="47">
        <f>_xll.qlPolynomialFunctionValue($P$18,T193,AllTriggers)</f>
        <v>1.2712087853696821E-3</v>
      </c>
    </row>
    <row r="194" spans="18:21" x14ac:dyDescent="0.2">
      <c r="R194" s="212">
        <f>_xll.qlCalendarAdvance(Calendar,R193,"1D","f")</f>
        <v>42552</v>
      </c>
      <c r="S194" s="47">
        <f>_xll.qlTenorBasisValue($P$3,R194,AllTriggers)</f>
        <v>1.3022398466112227E-3</v>
      </c>
      <c r="T194" s="41">
        <f>_xll.qlDayCounterYearFraction("actual/365 (fixed)",SettlementDate,R194,,,Trigger)</f>
        <v>0.74794520547945209</v>
      </c>
      <c r="U194" s="47">
        <f>_xll.qlPolynomialFunctionValue($P$18,T194,AllTriggers)</f>
        <v>1.271936107412089E-3</v>
      </c>
    </row>
    <row r="195" spans="18:21" x14ac:dyDescent="0.2">
      <c r="R195" s="212">
        <f>_xll.qlCalendarAdvance(Calendar,R194,"1D","f")</f>
        <v>42555</v>
      </c>
      <c r="S195" s="47">
        <f>_xll.qlTenorBasisValue($P$3,R195,AllTriggers)</f>
        <v>1.3040137465423624E-3</v>
      </c>
      <c r="T195" s="41">
        <f>_xll.qlDayCounterYearFraction("actual/365 (fixed)",SettlementDate,R195,,,Trigger)</f>
        <v>0.75616438356164384</v>
      </c>
      <c r="U195" s="47">
        <f>_xll.qlPolynomialFunctionValue($P$18,T195,AllTriggers)</f>
        <v>1.2740995872917665E-3</v>
      </c>
    </row>
    <row r="196" spans="18:21" x14ac:dyDescent="0.2">
      <c r="R196" s="212">
        <f>_xll.qlCalendarAdvance(Calendar,R195,"1D","f")</f>
        <v>42556</v>
      </c>
      <c r="S196" s="47">
        <f>_xll.qlTenorBasisValue($P$3,R196,AllTriggers)</f>
        <v>1.3045999612700829E-3</v>
      </c>
      <c r="T196" s="41">
        <f>_xll.qlDayCounterYearFraction("actual/365 (fixed)",SettlementDate,R196,,,Trigger)</f>
        <v>0.75890410958904109</v>
      </c>
      <c r="U196" s="47">
        <f>_xll.qlPolynomialFunctionValue($P$18,T196,AllTriggers)</f>
        <v>1.2748146215588894E-3</v>
      </c>
    </row>
    <row r="197" spans="18:21" x14ac:dyDescent="0.2">
      <c r="R197" s="212">
        <f>_xll.qlCalendarAdvance(Calendar,R196,"1D","f")</f>
        <v>42557</v>
      </c>
      <c r="S197" s="47">
        <f>_xll.qlTenorBasisValue($P$3,R197,AllTriggers)</f>
        <v>1.3051836515680128E-3</v>
      </c>
      <c r="T197" s="41">
        <f>_xll.qlDayCounterYearFraction("actual/365 (fixed)",SettlementDate,R197,,,Trigger)</f>
        <v>0.76164383561643834</v>
      </c>
      <c r="U197" s="47">
        <f>_xll.qlPolynomialFunctionValue($P$18,T197,AllTriggers)</f>
        <v>1.2755266111744989E-3</v>
      </c>
    </row>
    <row r="198" spans="18:21" x14ac:dyDescent="0.2">
      <c r="R198" s="212">
        <f>_xll.qlCalendarAdvance(Calendar,R197,"1D","f")</f>
        <v>42558</v>
      </c>
      <c r="S198" s="47">
        <f>_xll.qlTenorBasisValue($P$3,R198,AllTriggers)</f>
        <v>1.3057648283530752E-3</v>
      </c>
      <c r="T198" s="41">
        <f>_xll.qlDayCounterYearFraction("actual/365 (fixed)",SettlementDate,R198,,,Trigger)</f>
        <v>0.76438356164383559</v>
      </c>
      <c r="U198" s="47">
        <f>_xll.qlPolynomialFunctionValue($P$18,T198,AllTriggers)</f>
        <v>1.2762355670555192E-3</v>
      </c>
    </row>
    <row r="199" spans="18:21" x14ac:dyDescent="0.2">
      <c r="R199" s="212">
        <f>_xll.qlCalendarAdvance(Calendar,R198,"1D","f")</f>
        <v>42559</v>
      </c>
      <c r="S199" s="47">
        <f>_xll.qlTenorBasisValue($P$3,R199,AllTriggers)</f>
        <v>1.3063435025421931E-3</v>
      </c>
      <c r="T199" s="41">
        <f>_xll.qlDayCounterYearFraction("actual/365 (fixed)",SettlementDate,R199,,,Trigger)</f>
        <v>0.76712328767123283</v>
      </c>
      <c r="U199" s="47">
        <f>_xll.qlPolynomialFunctionValue($P$18,T199,AllTriggers)</f>
        <v>1.2769415001188734E-3</v>
      </c>
    </row>
    <row r="200" spans="18:21" x14ac:dyDescent="0.2">
      <c r="R200" s="212">
        <f>_xll.qlCalendarAdvance(Calendar,R199,"1D","f")</f>
        <v>42562</v>
      </c>
      <c r="S200" s="47">
        <f>_xll.qlTenorBasisValue($P$3,R200,AllTriggers)</f>
        <v>1.3080646187031161E-3</v>
      </c>
      <c r="T200" s="41">
        <f>_xll.qlDayCounterYearFraction("actual/365 (fixed)",SettlementDate,R200,,,Trigger)</f>
        <v>0.77534246575342469</v>
      </c>
      <c r="U200" s="47">
        <f>_xll.qlPolynomialFunctionValue($P$18,T200,AllTriggers)</f>
        <v>1.2790412715721728E-3</v>
      </c>
    </row>
    <row r="201" spans="18:21" x14ac:dyDescent="0.2">
      <c r="R201" s="212">
        <f>_xll.qlCalendarAdvance(Calendar,R200,"1D","f")</f>
        <v>42563</v>
      </c>
      <c r="S201" s="47">
        <f>_xll.qlTenorBasisValue($P$3,R201,AllTriggers)</f>
        <v>1.3086333916776912E-3</v>
      </c>
      <c r="T201" s="41">
        <f>_xll.qlDayCounterYearFraction("actual/365 (fixed)",SettlementDate,R201,,,Trigger)</f>
        <v>0.77808219178082194</v>
      </c>
      <c r="U201" s="47">
        <f>_xll.qlPolynomialFunctionValue($P$18,T201,AllTriggers)</f>
        <v>1.2797352225340957E-3</v>
      </c>
    </row>
    <row r="202" spans="18:21" x14ac:dyDescent="0.2">
      <c r="R202" s="212">
        <f>_xll.qlCalendarAdvance(Calendar,R201,"1D","f")</f>
        <v>42564</v>
      </c>
      <c r="S202" s="47">
        <f>_xll.qlTenorBasisValue($P$3,R202,AllTriggers)</f>
        <v>1.3091997166409391E-3</v>
      </c>
      <c r="T202" s="41">
        <f>_xll.qlDayCounterYearFraction("actual/365 (fixed)",SettlementDate,R202,,,Trigger)</f>
        <v>0.78082191780821919</v>
      </c>
      <c r="U202" s="47">
        <f>_xll.qlPolynomialFunctionValue($P$18,T202,AllTriggers)</f>
        <v>1.2804262052629695E-3</v>
      </c>
    </row>
    <row r="203" spans="18:21" x14ac:dyDescent="0.2">
      <c r="R203" s="212">
        <f>_xll.qlCalendarAdvance(Calendar,R202,"1D","f")</f>
        <v>42565</v>
      </c>
      <c r="S203" s="47">
        <f>_xll.qlTenorBasisValue($P$3,R203,AllTriggers)</f>
        <v>1.3097636045097828E-3</v>
      </c>
      <c r="T203" s="41">
        <f>_xll.qlDayCounterYearFraction("actual/365 (fixed)",SettlementDate,R203,,,Trigger)</f>
        <v>0.78356164383561644</v>
      </c>
      <c r="U203" s="47">
        <f>_xll.qlPolynomialFunctionValue($P$18,T203,AllTriggers)</f>
        <v>1.2811142306757173E-3</v>
      </c>
    </row>
    <row r="204" spans="18:21" x14ac:dyDescent="0.2">
      <c r="R204" s="212">
        <f>_xll.qlCalendarAdvance(Calendar,R203,"1D","f")</f>
        <v>42566</v>
      </c>
      <c r="S204" s="47">
        <f>_xll.qlTenorBasisValue($P$3,R204,AllTriggers)</f>
        <v>1.3103250662011457E-3</v>
      </c>
      <c r="T204" s="41">
        <f>_xll.qlDayCounterYearFraction("actual/365 (fixed)",SettlementDate,R204,,,Trigger)</f>
        <v>0.78630136986301369</v>
      </c>
      <c r="U204" s="47">
        <f>_xll.qlPolynomialFunctionValue($P$18,T204,AllTriggers)</f>
        <v>1.2817993096892622E-3</v>
      </c>
    </row>
    <row r="205" spans="18:21" x14ac:dyDescent="0.2">
      <c r="R205" s="212">
        <f>_xll.qlCalendarAdvance(Calendar,R204,"1D","f")</f>
        <v>42569</v>
      </c>
      <c r="S205" s="47">
        <f>_xll.qlTenorBasisValue($P$3,R205,AllTriggers)</f>
        <v>1.3119950033795833E-3</v>
      </c>
      <c r="T205" s="41">
        <f>_xll.qlDayCounterYearFraction("actual/365 (fixed)",SettlementDate,R205,,,Trigger)</f>
        <v>0.79452054794520544</v>
      </c>
      <c r="U205" s="47">
        <f>_xll.qlPolynomialFunctionValue($P$18,T205,AllTriggers)</f>
        <v>1.283836977503914E-3</v>
      </c>
    </row>
    <row r="206" spans="18:21" x14ac:dyDescent="0.2">
      <c r="R206" s="212">
        <f>_xll.qlCalendarAdvance(Calendar,R205,"1D","f")</f>
        <v>42570</v>
      </c>
      <c r="S206" s="47">
        <f>_xll.qlTenorBasisValue($P$3,R206,AllTriggers)</f>
        <v>1.3125468695302563E-3</v>
      </c>
      <c r="T206" s="41">
        <f>_xll.qlDayCounterYearFraction("actual/365 (fixed)",SettlementDate,R206,,,Trigger)</f>
        <v>0.79726027397260268</v>
      </c>
      <c r="U206" s="47">
        <f>_xll.qlPolynomialFunctionValue($P$18,T206,AllTriggers)</f>
        <v>1.2845103800898812E-3</v>
      </c>
    </row>
    <row r="207" spans="18:21" x14ac:dyDescent="0.2">
      <c r="R207" s="212">
        <f>_xll.qlCalendarAdvance(Calendar,R206,"1D","f")</f>
        <v>42571</v>
      </c>
      <c r="S207" s="47">
        <f>_xll.qlTenorBasisValue($P$3,R207,AllTriggers)</f>
        <v>1.3130963640880658E-3</v>
      </c>
      <c r="T207" s="41">
        <f>_xll.qlDayCounterYearFraction("actual/365 (fixed)",SettlementDate,R207,,,Trigger)</f>
        <v>0.8</v>
      </c>
      <c r="U207" s="47">
        <f>_xll.qlPolynomialFunctionValue($P$18,T207,AllTriggers)</f>
        <v>1.2851808908612627E-3</v>
      </c>
    </row>
    <row r="208" spans="18:21" x14ac:dyDescent="0.2">
      <c r="R208" s="212">
        <f>_xll.qlCalendarAdvance(Calendar,R207,"1D","f")</f>
        <v>42572</v>
      </c>
      <c r="S208" s="47">
        <f>_xll.qlTenorBasisValue($P$3,R208,AllTriggers)</f>
        <v>1.3136434979699346E-3</v>
      </c>
      <c r="T208" s="41">
        <f>_xll.qlDayCounterYearFraction("actual/365 (fixed)",SettlementDate,R208,,,Trigger)</f>
        <v>0.80273972602739729</v>
      </c>
      <c r="U208" s="47">
        <f>_xll.qlPolynomialFunctionValue($P$18,T208,AllTriggers)</f>
        <v>1.2858485207349814E-3</v>
      </c>
    </row>
    <row r="209" spans="18:21" x14ac:dyDescent="0.2">
      <c r="R209" s="212">
        <f>_xll.qlCalendarAdvance(Calendar,R208,"1D","f")</f>
        <v>42573</v>
      </c>
      <c r="S209" s="47">
        <f>_xll.qlTenorBasisValue($P$3,R209,AllTriggers)</f>
        <v>1.3141882820927862E-3</v>
      </c>
      <c r="T209" s="41">
        <f>_xll.qlDayCounterYearFraction("actual/365 (fixed)",SettlementDate,R209,,,Trigger)</f>
        <v>0.80547945205479454</v>
      </c>
      <c r="U209" s="47">
        <f>_xll.qlPolynomialFunctionValue($P$18,T209,AllTriggers)</f>
        <v>1.2865132806279607E-3</v>
      </c>
    </row>
    <row r="210" spans="18:21" x14ac:dyDescent="0.2">
      <c r="R210" s="212">
        <f>_xll.qlCalendarAdvance(Calendar,R209,"1D","f")</f>
        <v>42576</v>
      </c>
      <c r="S210" s="47">
        <f>_xll.qlTenorBasisValue($P$3,R210,AllTriggers)</f>
        <v>1.3158086450764694E-3</v>
      </c>
      <c r="T210" s="41">
        <f>_xll.qlDayCounterYearFraction("actual/365 (fixed)",SettlementDate,R210,,,Trigger)</f>
        <v>0.81369863013698629</v>
      </c>
      <c r="U210" s="47">
        <f>_xll.qlPolynomialFunctionValue($P$18,T210,AllTriggers)</f>
        <v>1.2884904495916963E-3</v>
      </c>
    </row>
    <row r="211" spans="18:21" x14ac:dyDescent="0.2">
      <c r="R211" s="212">
        <f>_xll.qlCalendarAdvance(Calendar,R210,"1D","f")</f>
        <v>42577</v>
      </c>
      <c r="S211" s="47">
        <f>_xll.qlTenorBasisValue($P$3,R211,AllTriggers)</f>
        <v>1.3163441393324847E-3</v>
      </c>
      <c r="T211" s="41">
        <f>_xll.qlDayCounterYearFraction("actual/365 (fixed)",SettlementDate,R211,,,Trigger)</f>
        <v>0.81643835616438354</v>
      </c>
      <c r="U211" s="47">
        <f>_xll.qlPolynomialFunctionValue($P$18,T211,AllTriggers)</f>
        <v>1.2891438387309521E-3</v>
      </c>
    </row>
    <row r="212" spans="18:21" x14ac:dyDescent="0.2">
      <c r="R212" s="212">
        <f>_xll.qlCalendarAdvance(Calendar,R211,"1D","f")</f>
        <v>42578</v>
      </c>
      <c r="S212" s="47">
        <f>_xll.qlTenorBasisValue($P$3,R212,AllTriggers)</f>
        <v>1.3168773384140996E-3</v>
      </c>
      <c r="T212" s="41">
        <f>_xll.qlDayCounterYearFraction("actual/365 (fixed)",SettlementDate,R212,,,Trigger)</f>
        <v>0.81917808219178079</v>
      </c>
      <c r="U212" s="47">
        <f>_xll.qlPolynomialFunctionValue($P$18,T212,AllTriggers)</f>
        <v>1.2897944124740848E-3</v>
      </c>
    </row>
    <row r="213" spans="18:21" x14ac:dyDescent="0.2">
      <c r="R213" s="212">
        <f>_xll.qlCalendarAdvance(Calendar,R212,"1D","f")</f>
        <v>42579</v>
      </c>
      <c r="S213" s="47">
        <f>_xll.qlTenorBasisValue($P$3,R213,AllTriggers)</f>
        <v>1.3174082532382372E-3</v>
      </c>
      <c r="T213" s="41">
        <f>_xll.qlDayCounterYearFraction("actual/365 (fixed)",SettlementDate,R213,,,Trigger)</f>
        <v>0.82191780821917804</v>
      </c>
      <c r="U213" s="47">
        <f>_xll.qlPolynomialFunctionValue($P$18,T213,AllTriggers)</f>
        <v>1.2904421817380184E-3</v>
      </c>
    </row>
    <row r="214" spans="18:21" x14ac:dyDescent="0.2">
      <c r="R214" s="212">
        <f>_xll.qlCalendarAdvance(Calendar,R213,"1D","f")</f>
        <v>42580</v>
      </c>
      <c r="S214" s="47">
        <f>_xll.qlTenorBasisValue($P$3,R214,AllTriggers)</f>
        <v>1.3179368947218205E-3</v>
      </c>
      <c r="T214" s="41">
        <f>_xll.qlDayCounterYearFraction("actual/365 (fixed)",SettlementDate,R214,,,Trigger)</f>
        <v>0.8246575342465754</v>
      </c>
      <c r="U214" s="47">
        <f>_xll.qlPolynomialFunctionValue($P$18,T214,AllTriggers)</f>
        <v>1.2910871574396761E-3</v>
      </c>
    </row>
    <row r="215" spans="18:21" x14ac:dyDescent="0.2">
      <c r="R215" s="212">
        <f>_xll.qlCalendarAdvance(Calendar,R214,"1D","f")</f>
        <v>42583</v>
      </c>
      <c r="S215" s="47">
        <f>_xll.qlTenorBasisValue($P$3,R215,AllTriggers)</f>
        <v>1.3195092882984812E-3</v>
      </c>
      <c r="T215" s="41">
        <f>_xll.qlDayCounterYearFraction("actual/365 (fixed)",SettlementDate,R215,,,Trigger)</f>
        <v>0.83287671232876714</v>
      </c>
      <c r="U215" s="47">
        <f>_xll.qlPolynomialFunctionValue($P$18,T215,AllTriggers)</f>
        <v>1.2930054323402264E-3</v>
      </c>
    </row>
    <row r="216" spans="18:21" x14ac:dyDescent="0.2">
      <c r="R216" s="212">
        <f>_xll.qlCalendarAdvance(Calendar,R215,"1D","f")</f>
        <v>42584</v>
      </c>
      <c r="S216" s="47">
        <f>_xll.qlTenorBasisValue($P$3,R216,AllTriggers)</f>
        <v>1.3200289455890819E-3</v>
      </c>
      <c r="T216" s="41">
        <f>_xll.qlDayCounterYearFraction("actual/365 (fixed)",SettlementDate,R216,,,Trigger)</f>
        <v>0.83561643835616439</v>
      </c>
      <c r="U216" s="47">
        <f>_xll.qlPolynomialFunctionValue($P$18,T216,AllTriggers)</f>
        <v>1.2936393429620139E-3</v>
      </c>
    </row>
    <row r="217" spans="18:21" x14ac:dyDescent="0.2">
      <c r="R217" s="212">
        <f>_xll.qlCalendarAdvance(Calendar,R216,"1D","f")</f>
        <v>42585</v>
      </c>
      <c r="S217" s="47">
        <f>_xll.qlTenorBasisValue($P$3,R217,AllTriggers)</f>
        <v>1.320546384123746E-3</v>
      </c>
      <c r="T217" s="41">
        <f>_xll.qlDayCounterYearFraction("actual/365 (fixed)",SettlementDate,R217,,,Trigger)</f>
        <v>0.83835616438356164</v>
      </c>
      <c r="U217" s="47">
        <f>_xll.qlPolynomialFunctionValue($P$18,T217,AllTriggers)</f>
        <v>1.2942705146061415E-3</v>
      </c>
    </row>
    <row r="218" spans="18:21" x14ac:dyDescent="0.2">
      <c r="R218" s="212">
        <f>_xll.qlCalendarAdvance(Calendar,R217,"1D","f")</f>
        <v>42586</v>
      </c>
      <c r="S218" s="47">
        <f>_xll.qlTenorBasisValue($P$3,R218,AllTriggers)</f>
        <v>1.321061614819396E-3</v>
      </c>
      <c r="T218" s="41">
        <f>_xll.qlDayCounterYearFraction("actual/365 (fixed)",SettlementDate,R218,,,Trigger)</f>
        <v>0.84109589041095889</v>
      </c>
      <c r="U218" s="47">
        <f>_xll.qlPolynomialFunctionValue($P$18,T218,AllTriggers)</f>
        <v>1.2948989581895336E-3</v>
      </c>
    </row>
    <row r="219" spans="18:21" x14ac:dyDescent="0.2">
      <c r="R219" s="212">
        <f>_xll.qlCalendarAdvance(Calendar,R218,"1D","f")</f>
        <v>42587</v>
      </c>
      <c r="S219" s="47">
        <f>_xll.qlTenorBasisValue($P$3,R219,AllTriggers)</f>
        <v>1.3215746485929552E-3</v>
      </c>
      <c r="T219" s="41">
        <f>_xll.qlDayCounterYearFraction("actual/365 (fixed)",SettlementDate,R219,,,Trigger)</f>
        <v>0.84383561643835614</v>
      </c>
      <c r="U219" s="47">
        <f>_xll.qlPolynomialFunctionValue($P$18,T219,AllTriggers)</f>
        <v>1.2955246846291133E-3</v>
      </c>
    </row>
    <row r="220" spans="18:21" x14ac:dyDescent="0.2">
      <c r="R220" s="212">
        <f>_xll.qlCalendarAdvance(Calendar,R219,"1D","f")</f>
        <v>42590</v>
      </c>
      <c r="S220" s="47">
        <f>_xll.qlTenorBasisValue($P$3,R220,AllTriggers)</f>
        <v>1.3231006775503238E-3</v>
      </c>
      <c r="T220" s="41">
        <f>_xll.qlDayCounterYearFraction("actual/365 (fixed)",SettlementDate,R220,,,Trigger)</f>
        <v>0.852054794520548</v>
      </c>
      <c r="U220" s="47">
        <f>_xll.qlPolynomialFunctionValue($P$18,T220,AllTriggers)</f>
        <v>1.2973856702542098E-3</v>
      </c>
    </row>
    <row r="221" spans="18:21" x14ac:dyDescent="0.2">
      <c r="R221" s="212">
        <f>_xll.qlCalendarAdvance(Calendar,R220,"1D","f")</f>
        <v>42591</v>
      </c>
      <c r="S221" s="47">
        <f>_xll.qlTenorBasisValue($P$3,R221,AllTriggers)</f>
        <v>1.3236050328047546E-3</v>
      </c>
      <c r="T221" s="41">
        <f>_xll.qlDayCounterYearFraction("actual/365 (fixed)",SettlementDate,R221,,,Trigger)</f>
        <v>0.85479452054794525</v>
      </c>
      <c r="U221" s="47">
        <f>_xll.qlPolynomialFunctionValue($P$18,T221,AllTriggers)</f>
        <v>1.2980006372877726E-3</v>
      </c>
    </row>
    <row r="222" spans="18:21" x14ac:dyDescent="0.2">
      <c r="R222" s="212">
        <f>_xll.qlCalendarAdvance(Calendar,R221,"1D","f")</f>
        <v>42592</v>
      </c>
      <c r="S222" s="47">
        <f>_xll.qlTenorBasisValue($P$3,R222,AllTriggers)</f>
        <v>1.3241072457217114E-3</v>
      </c>
      <c r="T222" s="41">
        <f>_xll.qlDayCounterYearFraction("actual/365 (fixed)",SettlementDate,R222,,,Trigger)</f>
        <v>0.8575342465753425</v>
      </c>
      <c r="U222" s="47">
        <f>_xll.qlPolynomialFunctionValue($P$18,T222,AllTriggers)</f>
        <v>1.2986129417621396E-3</v>
      </c>
    </row>
    <row r="223" spans="18:21" x14ac:dyDescent="0.2">
      <c r="R223" s="212">
        <f>_xll.qlCalendarAdvance(Calendar,R222,"1D","f")</f>
        <v>42593</v>
      </c>
      <c r="S223" s="47">
        <f>_xll.qlTenorBasisValue($P$3,R223,AllTriggers)</f>
        <v>1.3246073272181176E-3</v>
      </c>
      <c r="T223" s="41">
        <f>_xll.qlDayCounterYearFraction("actual/365 (fixed)",SettlementDate,R223,,,Trigger)</f>
        <v>0.86027397260273974</v>
      </c>
      <c r="U223" s="47">
        <f>_xll.qlPolynomialFunctionValue($P$18,T223,AllTriggers)</f>
        <v>1.2992225945942339E-3</v>
      </c>
    </row>
    <row r="224" spans="18:21" x14ac:dyDescent="0.2">
      <c r="R224" s="212">
        <f>_xll.qlCalendarAdvance(Calendar,R223,"1D","f")</f>
        <v>42594</v>
      </c>
      <c r="S224" s="47">
        <f>_xll.qlTenorBasisValue($P$3,R224,AllTriggers)</f>
        <v>1.3251052882108964E-3</v>
      </c>
      <c r="T224" s="41">
        <f>_xll.qlDayCounterYearFraction("actual/365 (fixed)",SettlementDate,R224,,,Trigger)</f>
        <v>0.86301369863013699</v>
      </c>
      <c r="U224" s="47">
        <f>_xll.qlPolynomialFunctionValue($P$18,T224,AllTriggers)</f>
        <v>1.2998296067009789E-3</v>
      </c>
    </row>
    <row r="225" spans="18:21" x14ac:dyDescent="0.2">
      <c r="R225" s="212">
        <f>_xll.qlCalendarAdvance(Calendar,R224,"1D","f")</f>
        <v>42597</v>
      </c>
      <c r="S225" s="47">
        <f>_xll.qlTenorBasisValue($P$3,R225,AllTriggers)</f>
        <v>1.3265865573367042E-3</v>
      </c>
      <c r="T225" s="41">
        <f>_xll.qlDayCounterYearFraction("actual/365 (fixed)",SettlementDate,R225,,,Trigger)</f>
        <v>0.87123287671232874</v>
      </c>
      <c r="U225" s="47">
        <f>_xll.qlPolynomialFunctionValue($P$18,T225,AllTriggers)</f>
        <v>1.301634907838353E-3</v>
      </c>
    </row>
    <row r="226" spans="18:21" x14ac:dyDescent="0.2">
      <c r="R226" s="212">
        <f>_xll.qlCalendarAdvance(Calendar,R225,"1D","f")</f>
        <v>42598</v>
      </c>
      <c r="S226" s="47">
        <f>_xll.qlTenorBasisValue($P$3,R226,AllTriggers)</f>
        <v>1.3270761454842082E-3</v>
      </c>
      <c r="T226" s="41">
        <f>_xll.qlDayCounterYearFraction("actual/365 (fixed)",SettlementDate,R226,,,Trigger)</f>
        <v>0.87397260273972599</v>
      </c>
      <c r="U226" s="47">
        <f>_xll.qlPolynomialFunctionValue($P$18,T226,AllTriggers)</f>
        <v>1.3022314662129348E-3</v>
      </c>
    </row>
    <row r="227" spans="18:21" x14ac:dyDescent="0.2">
      <c r="R227" s="212">
        <f>_xll.qlCalendarAdvance(Calendar,R226,"1D","f")</f>
        <v>42599</v>
      </c>
      <c r="S227" s="47">
        <f>_xll.qlTenorBasisValue($P$3,R227,AllTriggers)</f>
        <v>1.3275636677127012E-3</v>
      </c>
      <c r="T227" s="41">
        <f>_xll.qlDayCounterYearFraction("actual/365 (fixed)",SettlementDate,R227,,,Trigger)</f>
        <v>0.87671232876712324</v>
      </c>
      <c r="U227" s="47">
        <f>_xll.qlPolynomialFunctionValue($P$18,T227,AllTriggers)</f>
        <v>1.3028254384467844E-3</v>
      </c>
    </row>
    <row r="228" spans="18:21" x14ac:dyDescent="0.2">
      <c r="R228" s="212">
        <f>_xll.qlCalendarAdvance(Calendar,R227,"1D","f")</f>
        <v>42600</v>
      </c>
      <c r="S228" s="47">
        <f>_xll.qlTenorBasisValue($P$3,R228,AllTriggers)</f>
        <v>1.3280491349391078E-3</v>
      </c>
      <c r="T228" s="41">
        <f>_xll.qlDayCounterYearFraction("actual/365 (fixed)",SettlementDate,R228,,,Trigger)</f>
        <v>0.8794520547945206</v>
      </c>
      <c r="U228" s="47">
        <f>_xll.qlPolynomialFunctionValue($P$18,T228,AllTriggers)</f>
        <v>1.3034168354568245E-3</v>
      </c>
    </row>
    <row r="229" spans="18:21" x14ac:dyDescent="0.2">
      <c r="R229" s="212">
        <f>_xll.qlCalendarAdvance(Calendar,R228,"1D","f")</f>
        <v>42601</v>
      </c>
      <c r="S229" s="47">
        <f>_xll.qlTenorBasisValue($P$3,R229,AllTriggers)</f>
        <v>1.3285325580803498E-3</v>
      </c>
      <c r="T229" s="41">
        <f>_xll.qlDayCounterYearFraction("actual/365 (fixed)",SettlementDate,R229,,,Trigger)</f>
        <v>0.88219178082191785</v>
      </c>
      <c r="U229" s="47">
        <f>_xll.qlPolynomialFunctionValue($P$18,T229,AllTriggers)</f>
        <v>1.304005668159979E-3</v>
      </c>
    </row>
    <row r="230" spans="18:21" x14ac:dyDescent="0.2">
      <c r="R230" s="212">
        <f>_xll.qlCalendarAdvance(Calendar,R229,"1D","f")</f>
        <v>42604</v>
      </c>
      <c r="S230" s="47">
        <f>_xll.qlTenorBasisValue($P$3,R230,AllTriggers)</f>
        <v>1.3299706721623277E-3</v>
      </c>
      <c r="T230" s="41">
        <f>_xll.qlDayCounterYearFraction("actual/365 (fixed)",SettlementDate,R230,,,Trigger)</f>
        <v>0.8904109589041096</v>
      </c>
      <c r="U230" s="47">
        <f>_xll.qlPolynomialFunctionValue($P$18,T230,AllTriggers)</f>
        <v>1.3057568895973614E-3</v>
      </c>
    </row>
    <row r="231" spans="18:21" x14ac:dyDescent="0.2">
      <c r="R231" s="212">
        <f>_xll.qlCalendarAdvance(Calendar,R230,"1D","f")</f>
        <v>42605</v>
      </c>
      <c r="S231" s="47">
        <f>_xll.qlTenorBasisValue($P$3,R231,AllTriggers)</f>
        <v>1.3304460281321488E-3</v>
      </c>
      <c r="T231" s="41">
        <f>_xll.qlDayCounterYearFraction("actual/365 (fixed)",SettlementDate,R231,,,Trigger)</f>
        <v>0.89315068493150684</v>
      </c>
      <c r="U231" s="47">
        <f>_xll.qlPolynomialFunctionValue($P$18,T231,AllTriggers)</f>
        <v>1.3063355742422064E-3</v>
      </c>
    </row>
    <row r="232" spans="18:21" x14ac:dyDescent="0.2">
      <c r="R232" s="212">
        <f>_xll.qlCalendarAdvance(Calendar,R231,"1D","f")</f>
        <v>42606</v>
      </c>
      <c r="S232" s="47">
        <f>_xll.qlTenorBasisValue($P$3,R232,AllTriggers)</f>
        <v>1.3309193946014224E-3</v>
      </c>
      <c r="T232" s="41">
        <f>_xll.qlDayCounterYearFraction("actual/365 (fixed)",SettlementDate,R232,,,Trigger)</f>
        <v>0.89589041095890409</v>
      </c>
      <c r="U232" s="47">
        <f>_xll.qlPolynomialFunctionValue($P$18,T232,AllTriggers)</f>
        <v>1.3069117491647821E-3</v>
      </c>
    </row>
    <row r="233" spans="18:21" x14ac:dyDescent="0.2">
      <c r="R233" s="212">
        <f>_xll.qlCalendarAdvance(Calendar,R232,"1D","f")</f>
        <v>42607</v>
      </c>
      <c r="S233" s="47">
        <f>_xll.qlTenorBasisValue($P$3,R233,AllTriggers)</f>
        <v>1.3313907824870723E-3</v>
      </c>
      <c r="T233" s="41">
        <f>_xll.qlDayCounterYearFraction("actual/365 (fixed)",SettlementDate,R233,,,Trigger)</f>
        <v>0.89863013698630134</v>
      </c>
      <c r="U233" s="47">
        <f>_xll.qlPolynomialFunctionValue($P$18,T233,AllTriggers)</f>
        <v>1.3074854252820118E-3</v>
      </c>
    </row>
    <row r="234" spans="18:21" x14ac:dyDescent="0.2">
      <c r="R234" s="212">
        <f>_xll.qlCalendarAdvance(Calendar,R233,"1D","f")</f>
        <v>42608</v>
      </c>
      <c r="S234" s="47">
        <f>_xll.qlTenorBasisValue($P$3,R234,AllTriggers)</f>
        <v>1.3318602027060219E-3</v>
      </c>
      <c r="T234" s="41">
        <f>_xll.qlDayCounterYearFraction("actual/365 (fixed)",SettlementDate,R234,,,Trigger)</f>
        <v>0.90136986301369859</v>
      </c>
      <c r="U234" s="47">
        <f>_xll.qlPolynomialFunctionValue($P$18,T234,AllTriggers)</f>
        <v>1.30805661351082E-3</v>
      </c>
    </row>
    <row r="235" spans="18:21" x14ac:dyDescent="0.2">
      <c r="R235" s="212">
        <f>_xll.qlCalendarAdvance(Calendar,R234,"1D","f")</f>
        <v>42611</v>
      </c>
      <c r="S235" s="47">
        <f>_xll.qlTenorBasisValue($P$3,R235,AllTriggers)</f>
        <v>1.3332567665319014E-3</v>
      </c>
      <c r="T235" s="41">
        <f>_xll.qlDayCounterYearFraction("actual/365 (fixed)",SettlementDate,R235,,,Trigger)</f>
        <v>0.90958904109589045</v>
      </c>
      <c r="U235" s="47">
        <f>_xll.qlPolynomialFunctionValue($P$18,T235,AllTriggers)</f>
        <v>1.3097553600359419E-3</v>
      </c>
    </row>
    <row r="236" spans="18:21" x14ac:dyDescent="0.2">
      <c r="R236" s="212">
        <f>_xll.qlCalendarAdvance(Calendar,R235,"1D","f")</f>
        <v>42612</v>
      </c>
      <c r="S236" s="47">
        <f>_xll.qlTenorBasisValue($P$3,R236,AllTriggers)</f>
        <v>1.3337184252532827E-3</v>
      </c>
      <c r="T236" s="41">
        <f>_xll.qlDayCounterYearFraction("actual/365 (fixed)",SettlementDate,R236,,,Trigger)</f>
        <v>0.9123287671232877</v>
      </c>
      <c r="U236" s="47">
        <f>_xll.qlPolynomialFunctionValue($P$18,T236,AllTriggers)</f>
        <v>1.3103167058802932E-3</v>
      </c>
    </row>
    <row r="237" spans="18:21" x14ac:dyDescent="0.2">
      <c r="R237" s="212">
        <f>_xll.qlCalendarAdvance(Calendar,R236,"1D","f")</f>
        <v>42613</v>
      </c>
      <c r="S237" s="47">
        <f>_xll.qlTenorBasisValue($P$3,R237,AllTriggers)</f>
        <v>1.3341781708925806E-3</v>
      </c>
      <c r="T237" s="41">
        <f>_xll.qlDayCounterYearFraction("actual/365 (fixed)",SettlementDate,R237,,,Trigger)</f>
        <v>0.91506849315068495</v>
      </c>
      <c r="U237" s="47">
        <f>_xll.qlPolynomialFunctionValue($P$18,T237,AllTriggers)</f>
        <v>1.310875618420839E-3</v>
      </c>
    </row>
    <row r="238" spans="18:21" x14ac:dyDescent="0.2">
      <c r="R238" s="212">
        <f>_xll.qlCalendarAdvance(Calendar,R237,"1D","f")</f>
        <v>42614</v>
      </c>
      <c r="S238" s="47">
        <f>_xll.qlTenorBasisValue($P$3,R238,AllTriggers)</f>
        <v>1.3346360143667176E-3</v>
      </c>
      <c r="T238" s="41">
        <f>_xll.qlDayCounterYearFraction("actual/365 (fixed)",SettlementDate,R238,,,Trigger)</f>
        <v>0.9178082191780822</v>
      </c>
      <c r="U238" s="47">
        <f>_xll.qlPolynomialFunctionValue($P$18,T238,AllTriggers)</f>
        <v>1.3114321085745026E-3</v>
      </c>
    </row>
    <row r="239" spans="18:21" x14ac:dyDescent="0.2">
      <c r="R239" s="212">
        <f>_xll.qlCalendarAdvance(Calendar,R238,"1D","f")</f>
        <v>42615</v>
      </c>
      <c r="S239" s="47">
        <f>_xll.qlTenorBasisValue($P$3,R239,AllTriggers)</f>
        <v>1.3350919665926183E-3</v>
      </c>
      <c r="T239" s="41">
        <f>_xll.qlDayCounterYearFraction("actual/365 (fixed)",SettlementDate,R239,,,Trigger)</f>
        <v>0.92054794520547945</v>
      </c>
      <c r="U239" s="47">
        <f>_xll.qlPolynomialFunctionValue($P$18,T239,AllTriggers)</f>
        <v>1.3119861872582068E-3</v>
      </c>
    </row>
    <row r="240" spans="18:21" x14ac:dyDescent="0.2">
      <c r="R240" s="212">
        <f>_xll.qlCalendarAdvance(Calendar,R239,"1D","f")</f>
        <v>42618</v>
      </c>
      <c r="S240" s="47">
        <f>_xll.qlTenorBasisValue($P$3,R240,AllTriggers)</f>
        <v>1.3364485849501303E-3</v>
      </c>
      <c r="T240" s="41">
        <f>_xll.qlDayCounterYearFraction("actual/365 (fixed)",SettlementDate,R240,,,Trigger)</f>
        <v>0.92876712328767119</v>
      </c>
      <c r="U240" s="47">
        <f>_xll.qlPolynomialFunctionValue($P$18,T240,AllTriggers)</f>
        <v>1.3136340636587995E-3</v>
      </c>
    </row>
    <row r="241" spans="18:21" x14ac:dyDescent="0.2">
      <c r="R241" s="212">
        <f>_xll.qlCalendarAdvance(Calendar,R240,"1D","f")</f>
        <v>42619</v>
      </c>
      <c r="S241" s="47">
        <f>_xll.qlTenorBasisValue($P$3,R241,AllTriggers)</f>
        <v>1.3368970813523158E-3</v>
      </c>
      <c r="T241" s="41">
        <f>_xll.qlDayCounterYearFraction("actual/365 (fixed)",SettlementDate,R241,,,Trigger)</f>
        <v>0.93150684931506844</v>
      </c>
      <c r="U241" s="47">
        <f>_xll.qlPolynomialFunctionValue($P$18,T241,AllTriggers)</f>
        <v>1.3141786056319012E-3</v>
      </c>
    </row>
    <row r="242" spans="18:21" x14ac:dyDescent="0.2">
      <c r="R242" s="212">
        <f>_xll.qlCalendarAdvance(Calendar,R241,"1D","f")</f>
        <v>42620</v>
      </c>
      <c r="S242" s="47">
        <f>_xll.qlTenorBasisValue($P$3,R242,AllTriggers)</f>
        <v>1.3373437410908815E-3</v>
      </c>
      <c r="T242" s="41">
        <f>_xll.qlDayCounterYearFraction("actual/365 (fixed)",SettlementDate,R242,,,Trigger)</f>
        <v>0.9342465753424658</v>
      </c>
      <c r="U242" s="47">
        <f>_xll.qlPolynomialFunctionValue($P$18,T242,AllTriggers)</f>
        <v>1.3147207907196611E-3</v>
      </c>
    </row>
    <row r="243" spans="18:21" x14ac:dyDescent="0.2">
      <c r="R243" s="212">
        <f>_xll.qlCalendarAdvance(Calendar,R242,"1D","f")</f>
        <v>42621</v>
      </c>
      <c r="S243" s="47">
        <f>_xll.qlTenorBasisValue($P$3,R243,AllTriggers)</f>
        <v>1.3377885750827498E-3</v>
      </c>
      <c r="T243" s="41">
        <f>_xll.qlDayCounterYearFraction("actual/365 (fixed)",SettlementDate,R243,,,Trigger)</f>
        <v>0.93698630136986305</v>
      </c>
      <c r="U243" s="47">
        <f>_xll.qlPolynomialFunctionValue($P$18,T243,AllTriggers)</f>
        <v>1.3152606298390014E-3</v>
      </c>
    </row>
    <row r="244" spans="18:21" x14ac:dyDescent="0.2">
      <c r="R244" s="212">
        <f>_xll.qlCalendarAdvance(Calendar,R243,"1D","f")</f>
        <v>42622</v>
      </c>
      <c r="S244" s="47">
        <f>_xll.qlTenorBasisValue($P$3,R244,AllTriggers)</f>
        <v>1.3382315942448446E-3</v>
      </c>
      <c r="T244" s="41">
        <f>_xll.qlDayCounterYearFraction("actual/365 (fixed)",SettlementDate,R244,,,Trigger)</f>
        <v>0.9397260273972603</v>
      </c>
      <c r="U244" s="47">
        <f>_xll.qlPolynomialFunctionValue($P$18,T244,AllTriggers)</f>
        <v>1.3157981339068463E-3</v>
      </c>
    </row>
    <row r="245" spans="18:21" x14ac:dyDescent="0.2">
      <c r="R245" s="212">
        <f>_xll.qlCalendarAdvance(Calendar,R244,"1D","f")</f>
        <v>42625</v>
      </c>
      <c r="S245" s="47">
        <f>_xll.qlTenorBasisValue($P$3,R245,AllTriggers)</f>
        <v>1.3395498719217208E-3</v>
      </c>
      <c r="T245" s="41">
        <f>_xll.qlDayCounterYearFraction("actual/365 (fixed)",SettlementDate,R245,,,Trigger)</f>
        <v>0.94794520547945205</v>
      </c>
      <c r="U245" s="47">
        <f>_xll.qlPolynomialFunctionValue($P$18,T245,AllTriggers)</f>
        <v>1.3173967449706409E-3</v>
      </c>
    </row>
    <row r="246" spans="18:21" x14ac:dyDescent="0.2">
      <c r="R246" s="212">
        <f>_xll.qlCalendarAdvance(Calendar,R245,"1D","f")</f>
        <v>42626</v>
      </c>
      <c r="S246" s="47">
        <f>_xll.qlTenorBasisValue($P$3,R246,AllTriggers)</f>
        <v>1.3399857409339545E-3</v>
      </c>
      <c r="T246" s="41">
        <f>_xll.qlDayCounterYearFraction("actual/365 (fixed)",SettlementDate,R246,,,Trigger)</f>
        <v>0.9506849315068493</v>
      </c>
      <c r="U246" s="47">
        <f>_xll.qlPolynomialFunctionValue($P$18,T246,AllTriggers)</f>
        <v>1.317925018001737E-3</v>
      </c>
    </row>
    <row r="247" spans="18:21" x14ac:dyDescent="0.2">
      <c r="R247" s="212">
        <f>_xll.qlCalendarAdvance(Calendar,R246,"1D","f")</f>
        <v>42627</v>
      </c>
      <c r="S247" s="47">
        <f>_xll.qlTenorBasisValue($P$3,R247,AllTriggers)</f>
        <v>1.3404198497010314E-3</v>
      </c>
      <c r="T247" s="41">
        <f>_xll.qlDayCounterYearFraction("actual/365 (fixed)",SettlementDate,R247,,,Trigger)</f>
        <v>0.95342465753424654</v>
      </c>
      <c r="U247" s="47">
        <f>_xll.qlPolynomialFunctionValue($P$18,T247,AllTriggers)</f>
        <v>1.3184510105659541E-3</v>
      </c>
    </row>
    <row r="248" spans="18:21" x14ac:dyDescent="0.2">
      <c r="R248" s="212">
        <f>_xll.qlCalendarAdvance(Calendar,R247,"1D","f")</f>
        <v>42628</v>
      </c>
      <c r="S248" s="47">
        <f>_xll.qlTenorBasisValue($P$3,R248,AllTriggers)</f>
        <v>1.3408522091398747E-3</v>
      </c>
      <c r="T248" s="41">
        <f>_xll.qlDayCounterYearFraction("actual/365 (fixed)",SettlementDate,R248,,,Trigger)</f>
        <v>0.95616438356164379</v>
      </c>
      <c r="U248" s="47">
        <f>_xll.qlPolynomialFunctionValue($P$18,T248,AllTriggers)</f>
        <v>1.3189747335802156E-3</v>
      </c>
    </row>
    <row r="249" spans="18:21" x14ac:dyDescent="0.2">
      <c r="R249" s="212">
        <f>_xll.qlCalendarAdvance(Calendar,R248,"1D","f")</f>
        <v>42629</v>
      </c>
      <c r="S249" s="47">
        <f>_xll.qlTenorBasisValue($P$3,R249,AllTriggers)</f>
        <v>1.3412828301674075E-3</v>
      </c>
      <c r="T249" s="41">
        <f>_xll.qlDayCounterYearFraction("actual/365 (fixed)",SettlementDate,R249,,,Trigger)</f>
        <v>0.95890410958904104</v>
      </c>
      <c r="U249" s="47">
        <f>_xll.qlPolynomialFunctionValue($P$18,T249,AllTriggers)</f>
        <v>1.3194961979614446E-3</v>
      </c>
    </row>
    <row r="250" spans="18:21" x14ac:dyDescent="0.2">
      <c r="R250" s="212">
        <f>_xll.qlCalendarAdvance(Calendar,R249,"1D","f")</f>
        <v>42632</v>
      </c>
      <c r="S250" s="47">
        <f>_xll.qlTenorBasisValue($P$3,R250,AllTriggers)</f>
        <v>1.3425643719513793E-3</v>
      </c>
      <c r="T250" s="41">
        <f>_xll.qlDayCounterYearFraction("actual/365 (fixed)",SettlementDate,R250,,,Trigger)</f>
        <v>0.9671232876712329</v>
      </c>
      <c r="U250" s="47">
        <f>_xll.qlPolynomialFunctionValue($P$18,T250,AllTriggers)</f>
        <v>1.3210471484761724E-3</v>
      </c>
    </row>
    <row r="251" spans="18:21" x14ac:dyDescent="0.2">
      <c r="R251" s="212">
        <f>_xll.qlCalendarAdvance(Calendar,R250,"1D","f")</f>
        <v>42633</v>
      </c>
      <c r="S251" s="47">
        <f>_xll.qlTenorBasisValue($P$3,R251,AllTriggers)</f>
        <v>1.3429881485029045E-3</v>
      </c>
      <c r="T251" s="41">
        <f>_xll.qlDayCounterYearFraction("actual/365 (fixed)",SettlementDate,R251,,,Trigger)</f>
        <v>0.96986301369863015</v>
      </c>
      <c r="U251" s="47">
        <f>_xll.qlPolynomialFunctionValue($P$18,T251,AllTriggers)</f>
        <v>1.3215596874945063E-3</v>
      </c>
    </row>
    <row r="252" spans="18:21" x14ac:dyDescent="0.2">
      <c r="R252" s="212">
        <f>_xll.qlCalendarAdvance(Calendar,R251,"1D","f")</f>
        <v>42634</v>
      </c>
      <c r="S252" s="47">
        <f>_xll.qlTenorBasisValue($P$3,R252,AllTriggers)</f>
        <v>1.3434102412277367E-3</v>
      </c>
      <c r="T252" s="41">
        <f>_xll.qlDayCounterYearFraction("actual/365 (fixed)",SettlementDate,R252,,,Trigger)</f>
        <v>0.9726027397260274</v>
      </c>
      <c r="U252" s="47">
        <f>_xll.qlPolynomialFunctionValue($P$18,T252,AllTriggers)</f>
        <v>1.3220700224644243E-3</v>
      </c>
    </row>
    <row r="253" spans="18:21" x14ac:dyDescent="0.2">
      <c r="R253" s="212">
        <f>_xll.qlCalendarAdvance(Calendar,R252,"1D","f")</f>
        <v>42635</v>
      </c>
      <c r="S253" s="47">
        <f>_xll.qlTenorBasisValue($P$3,R253,AllTriggers)</f>
        <v>1.3438306610427987E-3</v>
      </c>
      <c r="T253" s="41">
        <f>_xll.qlDayCounterYearFraction("actual/365 (fixed)",SettlementDate,R253,,,Trigger)</f>
        <v>0.97534246575342465</v>
      </c>
      <c r="U253" s="47">
        <f>_xll.qlPolynomialFunctionValue($P$18,T253,AllTriggers)</f>
        <v>1.3225781643028507E-3</v>
      </c>
    </row>
    <row r="254" spans="18:21" x14ac:dyDescent="0.2">
      <c r="R254" s="212">
        <f>_xll.qlCalendarAdvance(Calendar,R253,"1D","f")</f>
        <v>42636</v>
      </c>
      <c r="S254" s="47">
        <f>_xll.qlTenorBasisValue($P$3,R254,AllTriggers)</f>
        <v>1.3442494188650135E-3</v>
      </c>
      <c r="T254" s="41">
        <f>_xll.qlDayCounterYearFraction("actual/365 (fixed)",SettlementDate,R254,,,Trigger)</f>
        <v>0.9780821917808219</v>
      </c>
      <c r="U254" s="47">
        <f>_xll.qlPolynomialFunctionValue($P$18,T254,AllTriggers)</f>
        <v>1.3230841239267076E-3</v>
      </c>
    </row>
    <row r="255" spans="18:21" x14ac:dyDescent="0.2">
      <c r="R255" s="212">
        <f>_xll.qlCalendarAdvance(Calendar,R254,"1D","f")</f>
        <v>42639</v>
      </c>
      <c r="S255" s="47">
        <f>_xll.qlTenorBasisValue($P$3,R255,AllTriggers)</f>
        <v>1.3454958295438112E-3</v>
      </c>
      <c r="T255" s="41">
        <f>_xll.qlDayCounterYearFraction("actual/365 (fixed)",SettlementDate,R255,,,Trigger)</f>
        <v>0.98630136986301364</v>
      </c>
      <c r="U255" s="47">
        <f>_xll.qlPolynomialFunctionValue($P$18,T255,AllTriggers)</f>
        <v>1.3245890186800999E-3</v>
      </c>
    </row>
    <row r="256" spans="18:21" x14ac:dyDescent="0.2">
      <c r="R256" s="212">
        <f>_xll.qlCalendarAdvance(Calendar,R255,"1D","f")</f>
        <v>42640</v>
      </c>
      <c r="S256" s="47">
        <f>_xll.qlTenorBasisValue($P$3,R256,AllTriggers)</f>
        <v>1.3459080485638722E-3</v>
      </c>
      <c r="T256" s="41">
        <f>_xll.qlDayCounterYearFraction("actual/365 (fixed)",SettlementDate,R256,,,Trigger)</f>
        <v>0.989041095890411</v>
      </c>
      <c r="U256" s="47">
        <f>_xll.qlPolynomialFunctionValue($P$18,T256,AllTriggers)</f>
        <v>1.3250863586149149E-3</v>
      </c>
    </row>
    <row r="257" spans="18:21" x14ac:dyDescent="0.2">
      <c r="R257" s="212">
        <f>_xll.qlCalendarAdvance(Calendar,R256,"1D","f")</f>
        <v>42641</v>
      </c>
      <c r="S257" s="47">
        <f>_xll.qlTenorBasisValue($P$3,R257,AllTriggers)</f>
        <v>1.3463186601757032E-3</v>
      </c>
      <c r="T257" s="41">
        <f>_xll.qlDayCounterYearFraction("actual/365 (fixed)",SettlementDate,R257,,,Trigger)</f>
        <v>0.99178082191780825</v>
      </c>
      <c r="U257" s="47">
        <f>_xll.qlPolynomialFunctionValue($P$18,T257,AllTriggers)</f>
        <v>1.3255815709197782E-3</v>
      </c>
    </row>
    <row r="258" spans="18:21" x14ac:dyDescent="0.2">
      <c r="R258" s="212">
        <f>_xll.qlCalendarAdvance(Calendar,R257,"1D","f")</f>
        <v>42642</v>
      </c>
      <c r="S258" s="47">
        <f>_xll.qlTenorBasisValue($P$3,R258,AllTriggers)</f>
        <v>1.3467276752962272E-3</v>
      </c>
      <c r="T258" s="41">
        <f>_xll.qlDayCounterYearFraction("actual/365 (fixed)",SettlementDate,R258,,,Trigger)</f>
        <v>0.9945205479452055</v>
      </c>
      <c r="U258" s="47">
        <f>_xll.qlPolynomialFunctionValue($P$18,T258,AllTriggers)</f>
        <v>1.3260746665116124E-3</v>
      </c>
    </row>
    <row r="259" spans="18:21" x14ac:dyDescent="0.2">
      <c r="R259" s="212">
        <f>_xll.qlCalendarAdvance(Calendar,R258,"1D","f")</f>
        <v>42643</v>
      </c>
      <c r="S259" s="47">
        <f>_xll.qlTenorBasisValue($P$3,R259,AllTriggers)</f>
        <v>1.347135104842368E-3</v>
      </c>
      <c r="T259" s="41">
        <f>_xll.qlDayCounterYearFraction("actual/365 (fixed)",SettlementDate,R259,,,Trigger)</f>
        <v>0.99726027397260275</v>
      </c>
      <c r="U259" s="47">
        <f>_xll.qlPolynomialFunctionValue($P$18,T259,AllTriggers)</f>
        <v>1.3265656563073414E-3</v>
      </c>
    </row>
    <row r="260" spans="18:21" x14ac:dyDescent="0.2">
      <c r="R260" s="212">
        <f>_xll.qlCalendarAdvance(Calendar,R259,"1D","f")</f>
        <v>42646</v>
      </c>
      <c r="S260" s="47">
        <f>_xll.qlTenorBasisValue($P$3,R260,AllTriggers)</f>
        <v>1.3483479892037228E-3</v>
      </c>
      <c r="T260" s="41">
        <f>_xll.qlDayCounterYearFraction("actual/365 (fixed)",SettlementDate,R260,,,Trigger)</f>
        <v>1.0054794520547945</v>
      </c>
      <c r="U260" s="47">
        <f>_xll.qlPolynomialFunctionValue($P$18,T260,AllTriggers)</f>
        <v>1.3280261000871289E-3</v>
      </c>
    </row>
    <row r="261" spans="18:21" x14ac:dyDescent="0.2">
      <c r="R261" s="212">
        <f>_xll.qlCalendarAdvance(Calendar,R260,"1D","f")</f>
        <v>42647</v>
      </c>
      <c r="S261" s="47">
        <f>_xll.qlTenorBasisValue($P$3,R261,AllTriggers)</f>
        <v>1.3487491856215633E-3</v>
      </c>
      <c r="T261" s="41">
        <f>_xll.qlDayCounterYearFraction("actual/365 (fixed)",SettlementDate,R261,,,Trigger)</f>
        <v>1.0082191780821919</v>
      </c>
      <c r="U261" s="47">
        <f>_xll.qlPolynomialFunctionValue($P$18,T261,AllTriggers)</f>
        <v>1.3285087758676693E-3</v>
      </c>
    </row>
    <row r="262" spans="18:21" x14ac:dyDescent="0.2">
      <c r="R262" s="213">
        <f>_xll.qlCalendarAdvance(Calendar,R261,"1D","f")</f>
        <v>42648</v>
      </c>
      <c r="S262" s="50">
        <f>_xll.qlTenorBasisValue($P$3,R262,AllTriggers)</f>
        <v>1.3491488510496367E-3</v>
      </c>
      <c r="T262" s="44">
        <f>_xll.qlDayCounterYearFraction("actual/365 (fixed)",SettlementDate,R262,,,Trigger)</f>
        <v>1.010958904109589</v>
      </c>
      <c r="U262" s="50">
        <f>_xll.qlPolynomialFunctionValue($P$18,T262,AllTriggers)</f>
        <v>1.3289894004367211E-3</v>
      </c>
    </row>
    <row r="263" spans="18:21" x14ac:dyDescent="0.2">
      <c r="R263" s="61"/>
    </row>
    <row r="264" spans="18:21" x14ac:dyDescent="0.2">
      <c r="R264" s="61"/>
    </row>
    <row r="265" spans="18:21" x14ac:dyDescent="0.2">
      <c r="R265" s="61"/>
    </row>
    <row r="266" spans="18:21" x14ac:dyDescent="0.2">
      <c r="R266" s="61"/>
    </row>
    <row r="267" spans="18:21" x14ac:dyDescent="0.2">
      <c r="R267" s="61"/>
    </row>
    <row r="268" spans="18:21" x14ac:dyDescent="0.2">
      <c r="R268" s="61"/>
    </row>
    <row r="269" spans="18:21" x14ac:dyDescent="0.2">
      <c r="R269" s="61"/>
    </row>
    <row r="270" spans="18:21" x14ac:dyDescent="0.2">
      <c r="R270" s="61"/>
    </row>
    <row r="271" spans="18:21" x14ac:dyDescent="0.2">
      <c r="R271" s="61"/>
    </row>
    <row r="272" spans="18:21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154"/>
  <sheetViews>
    <sheetView topLeftCell="A37" workbookViewId="0">
      <selection activeCell="D24" sqref="D24"/>
    </sheetView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0X"&amp;SUBSTITUTE($D$24,"M","")</f>
        <v>with 0X3</v>
      </c>
      <c r="T1" s="118"/>
      <c r="U1" s="117" t="str">
        <f>"without 0X"&amp;SUBSTITUTE($D$24,"M","")</f>
        <v>without 0X3</v>
      </c>
      <c r="V1" s="118"/>
      <c r="AG1" s="224"/>
      <c r="AH1" s="224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e">
        <f>_xll.qlPolynomialFunction(,_xll.qlTenorInstCoefficients(G$27),,_xll.ohTrigger(Trigger,G$28:G$31))</f>
        <v>#NUM!</v>
      </c>
      <c r="BF1" s="19" t="e">
        <f>_xll.qlPolynomialFunction(,_xll.qlTenorInstCoefficients(H$27),,_xll.ohTrigger(Trigger,H$28:H$31))</f>
        <v>#NUM!</v>
      </c>
      <c r="BG1" s="19" t="e">
        <f>_xll.qlPolynomialFunction(,_xll.qlTenorInstCoefficients(S$27),,_xll.ohTrigger(Trigger,S$28:S$31))</f>
        <v>#NUM!</v>
      </c>
      <c r="BH1" s="19" t="e">
        <f>_xll.qlPolynomialFunction(,_xll.qlTenorInstCoefficients(T$27),,_xll.ohTrigger(Trigger,T$28:T$31))</f>
        <v>#NUM!</v>
      </c>
      <c r="BI1" s="19" t="e">
        <f>_xll.qlPolynomialFunction(,U$28:U$31,,_xll.ohTrigger(Trigger,G$28:G$31))</f>
        <v>#NUM!</v>
      </c>
      <c r="BJ1" s="19" t="e">
        <f>_xll.qlPolynomialFunction(,V$28:V$31,,_xll.ohTrigger(Trigger,H$28:H$31))</f>
        <v>#NUM!</v>
      </c>
      <c r="BK1" s="19" t="e">
        <f>_xll.qlPolynomialFunction(,W$28:W$31,,_xll.ohTrigger(Trigger,S$28:S$31))</f>
        <v>#NUM!</v>
      </c>
      <c r="BL1" s="19" t="e">
        <f>_xll.qlPolynomialFunction(,X$28:X$31,,_xll.ohTrigger(Trigger,T$28:T$31))</f>
        <v>#NUM!</v>
      </c>
      <c r="BM1" s="19" t="e">
        <f>_xll.qlPolynomialFunction(,_xll.qlTenorInstCoefficients(Y$27),,_xll.ohTrigger(Trigger,G$28:G$31))</f>
        <v>#NUM!</v>
      </c>
      <c r="BN1" s="19" t="e">
        <f>_xll.qlPolynomialFunction(,_xll.qlTenorInstCoefficients(Z$27),,_xll.ohTrigger(Trigger,H$28:H$31))</f>
        <v>#NUM!</v>
      </c>
      <c r="BO1" s="19" t="e">
        <f>_xll.qlPolynomialFunction(,_xll.qlTenorInstCoefficients(AA$27),,_xll.ohTrigger(Trigger,S$28:S$31))</f>
        <v>#NUM!</v>
      </c>
      <c r="BP1" s="19" t="e">
        <f>_xll.qlPolynomialFunction(,_xll.qlTenorInstCoefficients(AB$27),,_xll.ohTrigger(Trigger,T$28:T$31))</f>
        <v>#NUM!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"&amp;$D$24</f>
        <v>F 3M</v>
      </c>
      <c r="H2" s="36" t="str">
        <f>"B "&amp;$D$24</f>
        <v>B 3M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>A3+SUBSTITUTE($D$24,"M","")</f>
        <v>3</v>
      </c>
      <c r="C3" s="171" t="str">
        <f>"B"&amp;$D$24&amp;"_"&amp;A3&amp;"X"&amp;B3&amp;$D$27</f>
        <v>B3M_0X3ESTIMATED</v>
      </c>
      <c r="D3" s="186">
        <f>SettlementDate</f>
        <v>42279</v>
      </c>
      <c r="E3" s="186">
        <f>_xll.qlInterestRateIndexMaturity($D$25,D3)</f>
        <v>42373</v>
      </c>
      <c r="F3" s="172">
        <f>_xll.qlIndexFixing(ON_3M_index,_xll.qlInterestRateIndexFixingDate(ON_3M_index,D3,Trigger),,AllTriggers)</f>
        <v>-1.4486444602656425E-3</v>
      </c>
      <c r="G3" s="172" t="e">
        <f>H3+F3</f>
        <v>#NUM!</v>
      </c>
      <c r="H3" s="226" t="e">
        <f>_xll.qlQuoteValue(C3,_xll.ohTrigger(InterestRatesTrigger,'3MSynthDepo_used'!E3))</f>
        <v>#NUM!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9" si="0">I3</f>
        <v>0</v>
      </c>
      <c r="L3" s="173">
        <f t="shared" ref="L3:L9" si="1">I3^2</f>
        <v>0</v>
      </c>
      <c r="M3" s="217" t="e">
        <f>LN((1+G3*_xll.qlDayCounterYearFraction(DayCounter,D3,E3,,,Trigger))/(1+F3*_xll.qlDayCounterYearFraction(DayCounter,D3,E3,,,Trigger)))</f>
        <v>#NUM!</v>
      </c>
      <c r="N3" s="173">
        <f>_xll.qlDayCounterYearFraction(DayCounter,SettlementDate,D3,,,Trigger)</f>
        <v>0</v>
      </c>
      <c r="O3" s="173">
        <f>_xll.qlDayCounterYearFraction(DayCounter,SettlementDate,E3,,,Trigger)</f>
        <v>0.26111111111111113</v>
      </c>
      <c r="P3" s="173">
        <f>O3-N3</f>
        <v>0.26111111111111113</v>
      </c>
      <c r="Q3" s="173">
        <f>(O3^2-N3^2)/2</f>
        <v>3.4089506172839512E-2</v>
      </c>
      <c r="R3" s="173">
        <f>(O3^3-N3^3)/3</f>
        <v>5.9340992226794712E-3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f>'6MSynthDepo_used'!A5</f>
        <v>1</v>
      </c>
      <c r="B4" s="55">
        <f>A4+SUBSTITUTE($D$24,"M","")</f>
        <v>4</v>
      </c>
      <c r="C4" s="167" t="str">
        <f>"B"&amp;$D$24&amp;"_"&amp;A4&amp;"X"&amp;B4</f>
        <v>B3M_1X4</v>
      </c>
      <c r="D4" s="179">
        <f>_xll.qlCalendarAdvance(Calendar,SettlementDate,A4&amp;"M","mf")</f>
        <v>42310</v>
      </c>
      <c r="E4" s="179">
        <f>_xll.qlInterestRateIndexMaturity($D$25,D4)</f>
        <v>42402</v>
      </c>
      <c r="F4" s="168">
        <f>_xll.qlIndexFixing(ON_3M_index,_xll.qlInterestRateIndexFixingDate(ON_3M_index,D4,Trigger),,AllTriggers)</f>
        <v>-1.5146603244055856E-3</v>
      </c>
      <c r="G4" s="168" t="e">
        <f t="shared" ref="G4:G9" si="2">H4+F4</f>
        <v>#NUM!</v>
      </c>
      <c r="H4" s="267" t="e">
        <f>_xll.qlQuoteValue(C4,_xll.ohTrigger(InterestRatesTrigger,'3MSynthDepo_used'!E4))</f>
        <v>#NUM!</v>
      </c>
      <c r="I4" s="130">
        <f>_xll.qlDayCounterYearFraction(DayCounter,SettlementDate,D4,,,Trigger)</f>
        <v>8.611111111111111E-2</v>
      </c>
      <c r="J4" s="130">
        <f>1</f>
        <v>1</v>
      </c>
      <c r="K4" s="130">
        <f t="shared" si="0"/>
        <v>8.611111111111111E-2</v>
      </c>
      <c r="L4" s="130">
        <f t="shared" si="1"/>
        <v>7.4151234567901231E-3</v>
      </c>
      <c r="M4" s="169" t="e">
        <f>LN((1+G4*_xll.qlDayCounterYearFraction(DayCounter,D4,E4,,,Trigger))/(1+F4*_xll.qlDayCounterYearFraction(DayCounter,D4,E4,,,Trigger)))</f>
        <v>#NUM!</v>
      </c>
      <c r="N4" s="130">
        <f>_xll.qlDayCounterYearFraction(DayCounter,SettlementDate,D4,,,Trigger)</f>
        <v>8.611111111111111E-2</v>
      </c>
      <c r="O4" s="130">
        <f>_xll.qlDayCounterYearFraction(DayCounter,SettlementDate,E4,,,Trigger)</f>
        <v>0.34166666666666667</v>
      </c>
      <c r="P4" s="130">
        <f t="shared" ref="P4:P9" si="3">O4-N4</f>
        <v>0.25555555555555554</v>
      </c>
      <c r="Q4" s="130">
        <f t="shared" ref="Q4:Q9" si="4">(O4^2-N4^2)/2</f>
        <v>5.466049382716049E-2</v>
      </c>
      <c r="R4" s="130">
        <f t="shared" ref="R4:R9" si="5">(O4^3-N4^3)/3</f>
        <v>1.3082104481024237E-2</v>
      </c>
      <c r="S4" s="170" t="b">
        <v>0</v>
      </c>
      <c r="T4" s="170" t="b">
        <v>0</v>
      </c>
      <c r="U4" s="170" t="b">
        <v>0</v>
      </c>
      <c r="V4" s="170" t="b">
        <v>0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G34</f>
        <v>with 0X3</v>
      </c>
      <c r="BF4" s="118"/>
      <c r="BG4" s="117" t="str">
        <f>S34</f>
        <v>without 0X3</v>
      </c>
      <c r="BH4" s="118"/>
      <c r="BI4" s="116" t="str">
        <f>U34</f>
        <v>with 0X3</v>
      </c>
      <c r="BJ4" s="118"/>
      <c r="BK4" s="117" t="str">
        <f>W34</f>
        <v>without 0X3</v>
      </c>
      <c r="BL4" s="118"/>
      <c r="BM4" s="116" t="str">
        <f>Y34</f>
        <v>with 0X3</v>
      </c>
      <c r="BN4" s="118"/>
      <c r="BO4" s="117" t="str">
        <f>AA34</f>
        <v>without 0X3</v>
      </c>
      <c r="BP4" s="118"/>
    </row>
    <row r="5" spans="1:69" ht="12" customHeight="1" x14ac:dyDescent="0.2">
      <c r="A5" s="21">
        <f>'6MSynthDepo_used'!A6</f>
        <v>2</v>
      </c>
      <c r="B5" s="55">
        <f>A5+SUBSTITUTE($D$24,"M","")</f>
        <v>5</v>
      </c>
      <c r="C5" s="39" t="str">
        <f>"B"&amp;$D$24&amp;"_"&amp;A5&amp;"X"&amp;B5</f>
        <v>B3M_2X5</v>
      </c>
      <c r="D5" s="177">
        <f>_xll.qlCalendarAdvance(Calendar,SettlementDate,A5&amp;"M","mf")</f>
        <v>42340</v>
      </c>
      <c r="E5" s="177">
        <f>_xll.qlInterestRateIndexMaturity($D$25,D5)</f>
        <v>42431</v>
      </c>
      <c r="F5" s="53">
        <f>_xll.qlIndexFixing(ON_3M_index,_xll.qlInterestRateIndexFixingDate(ON_3M_index,D5,Trigger),,AllTriggers)</f>
        <v>-1.5812473974574882E-3</v>
      </c>
      <c r="G5" s="53" t="e">
        <f t="shared" si="2"/>
        <v>#NUM!</v>
      </c>
      <c r="H5" s="202" t="e">
        <f>_xll.qlQuoteValue(C5,_xll.ohTrigger(InterestRatesTrigger,'3MSynthDepo_used'!E5))</f>
        <v>#NUM!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0"/>
        <v>0.16944444444444445</v>
      </c>
      <c r="L5" s="41">
        <f t="shared" si="1"/>
        <v>2.8711419753086422E-2</v>
      </c>
      <c r="M5" s="40" t="e">
        <f>LN((1+G5*_xll.qlDayCounterYearFraction(DayCounter,D5,E5,,,Trigger))/(1+F5*_xll.qlDayCounterYearFraction(DayCounter,D5,E5,,,Trigger)))</f>
        <v>#NUM!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0.42222222222222222</v>
      </c>
      <c r="P5" s="41">
        <f t="shared" si="3"/>
        <v>0.25277777777777777</v>
      </c>
      <c r="Q5" s="41">
        <f t="shared" si="4"/>
        <v>7.4780092592592592E-2</v>
      </c>
      <c r="R5" s="41">
        <f t="shared" si="5"/>
        <v>2.3468414208962049E-2</v>
      </c>
      <c r="S5" s="114" t="b">
        <v>0</v>
      </c>
      <c r="T5" s="114" t="b">
        <v>0</v>
      </c>
      <c r="U5" s="114" t="b">
        <v>0</v>
      </c>
      <c r="V5" s="114" t="b">
        <v>0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303" t="s">
        <v>20</v>
      </c>
      <c r="AI5" s="29" t="e">
        <f t="array" ref="AI5:AI6">MMULT(AL5:AM6,AK5:AK6)</f>
        <v>#NUM!</v>
      </c>
      <c r="AJ5" s="303" t="s">
        <v>21</v>
      </c>
      <c r="AK5" s="30" t="e">
        <f t="array" ref="AK5:AK6">_xll.ohFilter(H3:H9,S3:S9)</f>
        <v>#NUM!</v>
      </c>
      <c r="AL5" s="27">
        <f t="array" ref="AL5:AM6">MINVERSE(AF5:AG6)</f>
        <v>-18.94736842105263</v>
      </c>
      <c r="AM5" s="28">
        <v>18.94736842105263</v>
      </c>
      <c r="AN5" s="21"/>
      <c r="AO5" s="101"/>
      <c r="AP5" s="94"/>
      <c r="AQ5" s="124"/>
      <c r="AR5" s="27">
        <f t="array" ref="AR5:AR6">_xll.ohFilter(Q3:Q9,S3:S9)</f>
        <v>3.4089506172839512E-2</v>
      </c>
      <c r="AS5" s="28">
        <f t="array" ref="AS5:AS6">_xll.ohFilter(P3:P9,S3:S9)</f>
        <v>0.26111111111111113</v>
      </c>
      <c r="AT5" s="303" t="s">
        <v>20</v>
      </c>
      <c r="AU5" s="29" t="e">
        <f t="array" ref="AU5:AU6">MMULT(AX5:AY6,AW5:AW6)</f>
        <v>#NUM!</v>
      </c>
      <c r="AV5" s="303" t="s">
        <v>21</v>
      </c>
      <c r="AW5" s="56" t="e">
        <f t="array" ref="AW5:AW6">_xll.ohFilter(M3:M9,S3:S9)</f>
        <v>#NUM!</v>
      </c>
      <c r="AX5" s="27">
        <f t="array" ref="AX5:AY6">MINVERSE(AR5:AS6)</f>
        <v>-76.59574468085107</v>
      </c>
      <c r="AY5" s="28">
        <v>78.260869565217405</v>
      </c>
      <c r="AZ5" s="21"/>
      <c r="BA5" s="101"/>
      <c r="BC5" s="36" t="s">
        <v>38</v>
      </c>
      <c r="BD5" s="36" t="s">
        <v>55</v>
      </c>
      <c r="BE5" s="36" t="str">
        <f>G35</f>
        <v>Quadratic</v>
      </c>
      <c r="BF5" s="36" t="str">
        <f>H35</f>
        <v>Quadratic</v>
      </c>
      <c r="BG5" s="36" t="str">
        <f>S35</f>
        <v>Quadratic</v>
      </c>
      <c r="BH5" s="36" t="str">
        <f>T35</f>
        <v>Quadratic</v>
      </c>
      <c r="BI5" s="36" t="str">
        <f>U35</f>
        <v>Quadratic</v>
      </c>
      <c r="BJ5" s="36" t="str">
        <f>V35</f>
        <v>Quadratic</v>
      </c>
      <c r="BK5" s="36" t="str">
        <f>W35</f>
        <v>Quadratic</v>
      </c>
      <c r="BL5" s="36" t="str">
        <f>X35</f>
        <v>Quadratic</v>
      </c>
      <c r="BM5" s="36" t="str">
        <f>Y35</f>
        <v>Quadratic</v>
      </c>
      <c r="BN5" s="36" t="str">
        <f>Z35</f>
        <v>Quadratic</v>
      </c>
      <c r="BO5" s="36" t="str">
        <f>AA35</f>
        <v>Quadratic</v>
      </c>
      <c r="BP5" s="36" t="str">
        <f>AB35</f>
        <v>Quadratic</v>
      </c>
      <c r="BQ5" s="36" t="s">
        <v>105</v>
      </c>
    </row>
    <row r="6" spans="1:69" ht="12" customHeight="1" x14ac:dyDescent="0.2">
      <c r="A6" s="21">
        <f>'6MSynthDepo_used'!A7</f>
        <v>3</v>
      </c>
      <c r="B6" s="55">
        <f>A6+SUBSTITUTE($D$24,"M","")</f>
        <v>6</v>
      </c>
      <c r="C6" s="166" t="str">
        <f>"B"&amp;$D$24&amp;"_"&amp;A6&amp;"X"&amp;B6</f>
        <v>B3M_3X6</v>
      </c>
      <c r="D6" s="263">
        <f>_xll.qlCalendarAdvance(Calendar,SettlementDate,A6&amp;"M","mf")</f>
        <v>42373</v>
      </c>
      <c r="E6" s="263">
        <f>_xll.qlInterestRateIndexMaturity($D$25,D6)</f>
        <v>42464</v>
      </c>
      <c r="F6" s="264">
        <f>_xll.qlIndexFixing(ON_3M_index,_xll.qlInterestRateIndexFixingDate(ON_3M_index,D6,Trigger),,AllTriggers)</f>
        <v>-1.671860198074175E-3</v>
      </c>
      <c r="G6" s="264" t="e">
        <f t="shared" si="2"/>
        <v>#NUM!</v>
      </c>
      <c r="H6" s="268" t="e">
        <f>_xll.qlQuoteValue(C6,_xll.ohTrigger(InterestRatesTrigger,'3MSynthDepo_used'!E6))</f>
        <v>#NUM!</v>
      </c>
      <c r="I6" s="164">
        <f>_xll.qlDayCounterYearFraction(DayCounter,SettlementDate,D6,,,Trigger)</f>
        <v>0.26111111111111113</v>
      </c>
      <c r="J6" s="164">
        <f>1</f>
        <v>1</v>
      </c>
      <c r="K6" s="164">
        <f t="shared" si="0"/>
        <v>0.26111111111111113</v>
      </c>
      <c r="L6" s="164">
        <f t="shared" si="1"/>
        <v>6.8179012345679024E-2</v>
      </c>
      <c r="M6" s="265" t="e">
        <f>LN((1+G6*_xll.qlDayCounterYearFraction(DayCounter,D6,E6,,,Trigger))/(1+F6*_xll.qlDayCounterYearFraction(DayCounter,D6,E6,,,Trigger)))</f>
        <v>#NUM!</v>
      </c>
      <c r="N6" s="164">
        <f>_xll.qlDayCounterYearFraction(DayCounter,SettlementDate,D6,,,Trigger)</f>
        <v>0.26111111111111113</v>
      </c>
      <c r="O6" s="164">
        <f>_xll.qlDayCounterYearFraction(DayCounter,SettlementDate,E6,,,Trigger)</f>
        <v>0.51388888888888884</v>
      </c>
      <c r="P6" s="164">
        <f t="shared" si="3"/>
        <v>0.25277777777777771</v>
      </c>
      <c r="Q6" s="164">
        <f t="shared" si="4"/>
        <v>9.7951388888888852E-2</v>
      </c>
      <c r="R6" s="164">
        <f t="shared" si="5"/>
        <v>3.9302133344764498E-2</v>
      </c>
      <c r="S6" s="266" t="b">
        <v>0</v>
      </c>
      <c r="T6" s="266" t="b">
        <v>0</v>
      </c>
      <c r="U6" s="266" t="b">
        <v>0</v>
      </c>
      <c r="V6" s="266" t="b">
        <v>0</v>
      </c>
      <c r="AD6" s="94"/>
      <c r="AE6" s="21"/>
      <c r="AF6" s="27">
        <v>5.2777777777777778E-2</v>
      </c>
      <c r="AG6" s="28">
        <v>1</v>
      </c>
      <c r="AH6" s="303"/>
      <c r="AI6" s="29" t="e">
        <v>#NUM!</v>
      </c>
      <c r="AJ6" s="303"/>
      <c r="AK6" s="30" t="e">
        <v>#NUM!</v>
      </c>
      <c r="AL6" s="27">
        <v>1</v>
      </c>
      <c r="AM6" s="28">
        <v>0</v>
      </c>
      <c r="AN6" s="21"/>
      <c r="AO6" s="101"/>
      <c r="AP6" s="94"/>
      <c r="AQ6" s="21"/>
      <c r="AR6" s="27">
        <v>4.6141975308641982E-2</v>
      </c>
      <c r="AS6" s="28">
        <v>0.25555555555555559</v>
      </c>
      <c r="AT6" s="303"/>
      <c r="AU6" s="29" t="e">
        <v>#NUM!</v>
      </c>
      <c r="AV6" s="303"/>
      <c r="AW6" s="56" t="e">
        <v>#NUM!</v>
      </c>
      <c r="AX6" s="27">
        <v>13.829787234042556</v>
      </c>
      <c r="AY6" s="28">
        <v>-10.217391304347828</v>
      </c>
      <c r="AZ6" s="21"/>
      <c r="BA6" s="101"/>
      <c r="BC6" s="176">
        <f>SettlementDate</f>
        <v>42279</v>
      </c>
      <c r="BD6" s="41">
        <f>_xll.qlDayCounterYearFraction(DayCounter,SettlementDate,BC6,,,Trigger)</f>
        <v>0</v>
      </c>
      <c r="BE6" s="47" t="e">
        <f>_xll.qlPolynomialFunctionValue(BE$1,$BD6,AllTriggers)</f>
        <v>#VALUE!</v>
      </c>
      <c r="BF6" s="52" t="e">
        <f>_xll.qlPolynomialFunctionValue(BF$1,$BD6,AllTriggers)</f>
        <v>#VALUE!</v>
      </c>
      <c r="BG6" s="47" t="e">
        <f>_xll.qlPolynomialFunctionValue(BG$1,$BD6,AllTriggers)</f>
        <v>#VALUE!</v>
      </c>
      <c r="BH6" s="52" t="e">
        <f>_xll.qlPolynomialFunctionValue(BH$1,$BD6,AllTriggers)</f>
        <v>#VALUE!</v>
      </c>
      <c r="BI6" s="52" t="e">
        <f>_xll.qlPolynomialFunctionValue(BI$1,$BD6,AllTriggers)</f>
        <v>#VALUE!</v>
      </c>
      <c r="BJ6" s="52" t="e">
        <f>_xll.qlPolynomialFunctionValue(BJ$1,$BD6,AllTriggers)</f>
        <v>#VALUE!</v>
      </c>
      <c r="BK6" s="52" t="e">
        <f>_xll.qlPolynomialFunctionValue(BK$1,$BD6,AllTriggers)</f>
        <v>#VALUE!</v>
      </c>
      <c r="BL6" s="52" t="e">
        <f>_xll.qlPolynomialFunctionValue(BL$1,$BD6,AllTriggers)</f>
        <v>#VALUE!</v>
      </c>
      <c r="BM6" s="52" t="e">
        <f>_xll.qlPolynomialFunctionValue(BM$1,$BD6,AllTriggers)</f>
        <v>#VALUE!</v>
      </c>
      <c r="BN6" s="52" t="e">
        <f>_xll.qlPolynomialFunctionValue(BN$1,$BD6,AllTriggers)</f>
        <v>#VALUE!</v>
      </c>
      <c r="BO6" s="52" t="e">
        <f>_xll.qlPolynomialFunctionValue(BO$1,$BD6,AllTriggers)</f>
        <v>#VALUE!</v>
      </c>
      <c r="BP6" s="52" t="e">
        <f>_xll.qlPolynomialFunctionValue(BP$1,$BD6,AllTriggers)</f>
        <v>#VALUE!</v>
      </c>
      <c r="BQ6" s="52">
        <f>_xll.qlPolynomialFunctionValue('3MSynthDepo_used'!$P$18,BD6,AllTriggers)</f>
        <v>9.2169452529223357E-4</v>
      </c>
    </row>
    <row r="7" spans="1:69" ht="12" customHeight="1" x14ac:dyDescent="0.2">
      <c r="A7" s="21"/>
      <c r="B7" s="55" t="str">
        <f>'3MSynthDepo_used'!C17</f>
        <v>V5</v>
      </c>
      <c r="C7" s="39" t="str">
        <f>"B"&amp;$D$24&amp;"_FUT"&amp;B7</f>
        <v>B3M_FUTV5</v>
      </c>
      <c r="D7" s="177">
        <f>_xll.qlIMMdate(B7,SettlementDate,Trigger)</f>
        <v>42298</v>
      </c>
      <c r="E7" s="177">
        <f>_xll.qlInterestRateIndexMaturity($D$25,D7)</f>
        <v>42390</v>
      </c>
      <c r="F7" s="53">
        <f>_xll.qlIndexFixing(ON_3M_index,_xll.qlInterestRateIndexFixingDate(ON_3M_index,D7,Trigger),,AllTriggers)</f>
        <v>-1.4789197749503805E-3</v>
      </c>
      <c r="G7" s="53" t="e">
        <f t="shared" si="2"/>
        <v>#NUM!</v>
      </c>
      <c r="H7" s="202" t="e">
        <f>_xll.qlQuoteValue(C7,_xll.ohTrigger(InterestRatesTrigger,'3MSynthDepo_used'!E7))</f>
        <v>#NUM!</v>
      </c>
      <c r="I7" s="41">
        <f>_xll.qlDayCounterYearFraction(DayCounter,SettlementDate,D7,,,Trigger)</f>
        <v>5.2777777777777778E-2</v>
      </c>
      <c r="J7" s="41">
        <f>1</f>
        <v>1</v>
      </c>
      <c r="K7" s="41">
        <f t="shared" si="0"/>
        <v>5.2777777777777778E-2</v>
      </c>
      <c r="L7" s="41">
        <f t="shared" si="1"/>
        <v>2.7854938271604937E-3</v>
      </c>
      <c r="M7" s="40" t="e">
        <f>LN((1+G7*_xll.qlDayCounterYearFraction(DayCounter,D7,E7,,,Trigger))/(1+F7*_xll.qlDayCounterYearFraction(DayCounter,D7,E7,,,Trigger)))</f>
        <v>#NUM!</v>
      </c>
      <c r="N7" s="41">
        <f>_xll.qlDayCounterYearFraction(DayCounter,SettlementDate,D7,,,Trigger)</f>
        <v>5.2777777777777778E-2</v>
      </c>
      <c r="O7" s="41">
        <f>_xll.qlDayCounterYearFraction(DayCounter,SettlementDate,E7,,,Trigger)</f>
        <v>0.30833333333333335</v>
      </c>
      <c r="P7" s="41">
        <f t="shared" si="3"/>
        <v>0.25555555555555559</v>
      </c>
      <c r="Q7" s="41">
        <f t="shared" si="4"/>
        <v>4.6141975308641982E-2</v>
      </c>
      <c r="R7" s="41">
        <f t="shared" si="5"/>
        <v>9.7220221764974871E-3</v>
      </c>
      <c r="S7" s="114" t="b">
        <v>1</v>
      </c>
      <c r="T7" s="114" t="b">
        <v>1</v>
      </c>
      <c r="U7" s="114" t="b">
        <v>1</v>
      </c>
      <c r="V7" s="114" t="b">
        <v>1</v>
      </c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42282</v>
      </c>
      <c r="BD7" s="41">
        <f>_xll.qlDayCounterYearFraction(DayCounter,SettlementDate,BC7,,,Trigger)</f>
        <v>8.3333333333333332E-3</v>
      </c>
      <c r="BE7" s="47" t="e">
        <f>_xll.qlPolynomialFunctionValue(BE$1,$BD7,AllTriggers)</f>
        <v>#VALUE!</v>
      </c>
      <c r="BF7" s="47" t="e">
        <f>_xll.qlPolynomialFunctionValue(BF$1,$BD7,AllTriggers)</f>
        <v>#VALUE!</v>
      </c>
      <c r="BG7" s="47" t="e">
        <f>_xll.qlPolynomialFunctionValue(BG$1,$BD7,AllTriggers)</f>
        <v>#VALUE!</v>
      </c>
      <c r="BH7" s="47" t="e">
        <f>_xll.qlPolynomialFunctionValue(BH$1,$BD7,AllTriggers)</f>
        <v>#VALUE!</v>
      </c>
      <c r="BI7" s="47" t="e">
        <f>_xll.qlPolynomialFunctionValue(BI$1,$BD7,AllTriggers)</f>
        <v>#VALUE!</v>
      </c>
      <c r="BJ7" s="47" t="e">
        <f>_xll.qlPolynomialFunctionValue(BJ$1,$BD7,AllTriggers)</f>
        <v>#VALUE!</v>
      </c>
      <c r="BK7" s="47" t="e">
        <f>_xll.qlPolynomialFunctionValue(BK$1,$BD7,AllTriggers)</f>
        <v>#VALUE!</v>
      </c>
      <c r="BL7" s="47" t="e">
        <f>_xll.qlPolynomialFunctionValue(BL$1,$BD7,AllTriggers)</f>
        <v>#VALUE!</v>
      </c>
      <c r="BM7" s="47" t="e">
        <f>_xll.qlPolynomialFunctionValue(BM$1,$BD7,AllTriggers)</f>
        <v>#VALUE!</v>
      </c>
      <c r="BN7" s="47" t="e">
        <f>_xll.qlPolynomialFunctionValue(BN$1,$BD7,AllTriggers)</f>
        <v>#VALUE!</v>
      </c>
      <c r="BO7" s="47" t="e">
        <f>_xll.qlPolynomialFunctionValue(BO$1,$BD7,AllTriggers)</f>
        <v>#VALUE!</v>
      </c>
      <c r="BP7" s="47" t="e">
        <f>_xll.qlPolynomialFunctionValue(BP$1,$BD7,AllTriggers)</f>
        <v>#VALUE!</v>
      </c>
      <c r="BQ7" s="47">
        <f>_xll.qlPolynomialFunctionValue('3MSynthDepo_used'!$P$18,BD7,AllTriggers)</f>
        <v>9.2767592732932713E-4</v>
      </c>
    </row>
    <row r="8" spans="1:69" ht="12" customHeight="1" x14ac:dyDescent="0.2">
      <c r="A8" s="21"/>
      <c r="B8" s="55" t="str">
        <f>'3MSynthDepo_used'!C18</f>
        <v>X5</v>
      </c>
      <c r="C8" s="39" t="str">
        <f t="shared" ref="C8:C9" si="6">"B"&amp;$D$24&amp;"_FUT"&amp;B8</f>
        <v>B3M_FUTX5</v>
      </c>
      <c r="D8" s="177">
        <f>_xll.qlIMMdate(B8,SettlementDate,Trigger)</f>
        <v>42326</v>
      </c>
      <c r="E8" s="177">
        <f>_xll.qlInterestRateIndexMaturity($D$25,D8)</f>
        <v>42418</v>
      </c>
      <c r="F8" s="53">
        <f>_xll.qlIndexFixing(ON_3M_index,_xll.qlInterestRateIndexFixingDate(ON_3M_index,D8,Trigger),,AllTriggers)</f>
        <v>-1.5522365734513871E-3</v>
      </c>
      <c r="G8" s="53" t="e">
        <f t="shared" si="2"/>
        <v>#NUM!</v>
      </c>
      <c r="H8" s="202" t="e">
        <f>_xll.qlQuoteValue(C8,_xll.ohTrigger(InterestRatesTrigger,'3MSynthDepo_used'!E8))</f>
        <v>#NUM!</v>
      </c>
      <c r="I8" s="41">
        <f>_xll.qlDayCounterYearFraction(DayCounter,SettlementDate,D8,,,Trigger)</f>
        <v>0.13055555555555556</v>
      </c>
      <c r="J8" s="41">
        <f>1</f>
        <v>1</v>
      </c>
      <c r="K8" s="41">
        <f t="shared" si="0"/>
        <v>0.13055555555555556</v>
      </c>
      <c r="L8" s="41">
        <f t="shared" si="1"/>
        <v>1.7044753086419756E-2</v>
      </c>
      <c r="M8" s="40" t="e">
        <f>LN((1+G8*_xll.qlDayCounterYearFraction(DayCounter,D8,E8,,,Trigger))/(1+F8*_xll.qlDayCounterYearFraction(DayCounter,D8,E8,,,Trigger)))</f>
        <v>#NUM!</v>
      </c>
      <c r="N8" s="41">
        <f>_xll.qlDayCounterYearFraction(DayCounter,SettlementDate,D8,,,Trigger)</f>
        <v>0.13055555555555556</v>
      </c>
      <c r="O8" s="41">
        <f>_xll.qlDayCounterYearFraction(DayCounter,SettlementDate,E8,,,Trigger)</f>
        <v>0.38611111111111113</v>
      </c>
      <c r="P8" s="41">
        <f t="shared" si="3"/>
        <v>0.25555555555555554</v>
      </c>
      <c r="Q8" s="41">
        <f t="shared" si="4"/>
        <v>6.6018518518518518E-2</v>
      </c>
      <c r="R8" s="41">
        <f t="shared" si="5"/>
        <v>1.8445616140832191E-2</v>
      </c>
      <c r="S8" s="114" t="b">
        <v>1</v>
      </c>
      <c r="T8" s="114" t="b">
        <v>1</v>
      </c>
      <c r="U8" s="114" t="b">
        <v>1</v>
      </c>
      <c r="V8" s="114" t="b">
        <v>1</v>
      </c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42283</v>
      </c>
      <c r="BD8" s="41">
        <f>_xll.qlDayCounterYearFraction(DayCounter,SettlementDate,BC8,,,Trigger)</f>
        <v>1.1111111111111112E-2</v>
      </c>
      <c r="BE8" s="47" t="e">
        <f>_xll.qlPolynomialFunctionValue(BE$1,$BD8,AllTriggers)</f>
        <v>#VALUE!</v>
      </c>
      <c r="BF8" s="47" t="e">
        <f>_xll.qlPolynomialFunctionValue(BF$1,$BD8,AllTriggers)</f>
        <v>#VALUE!</v>
      </c>
      <c r="BG8" s="47" t="e">
        <f>_xll.qlPolynomialFunctionValue(BG$1,$BD8,AllTriggers)</f>
        <v>#VALUE!</v>
      </c>
      <c r="BH8" s="47" t="e">
        <f>_xll.qlPolynomialFunctionValue(BH$1,$BD8,AllTriggers)</f>
        <v>#VALUE!</v>
      </c>
      <c r="BI8" s="47" t="e">
        <f>_xll.qlPolynomialFunctionValue(BI$1,$BD8,AllTriggers)</f>
        <v>#VALUE!</v>
      </c>
      <c r="BJ8" s="47" t="e">
        <f>_xll.qlPolynomialFunctionValue(BJ$1,$BD8,AllTriggers)</f>
        <v>#VALUE!</v>
      </c>
      <c r="BK8" s="47" t="e">
        <f>_xll.qlPolynomialFunctionValue(BK$1,$BD8,AllTriggers)</f>
        <v>#VALUE!</v>
      </c>
      <c r="BL8" s="47" t="e">
        <f>_xll.qlPolynomialFunctionValue(BL$1,$BD8,AllTriggers)</f>
        <v>#VALUE!</v>
      </c>
      <c r="BM8" s="47" t="e">
        <f>_xll.qlPolynomialFunctionValue(BM$1,$BD8,AllTriggers)</f>
        <v>#VALUE!</v>
      </c>
      <c r="BN8" s="47" t="e">
        <f>_xll.qlPolynomialFunctionValue(BN$1,$BD8,AllTriggers)</f>
        <v>#VALUE!</v>
      </c>
      <c r="BO8" s="47" t="e">
        <f>_xll.qlPolynomialFunctionValue(BO$1,$BD8,AllTriggers)</f>
        <v>#VALUE!</v>
      </c>
      <c r="BP8" s="47" t="e">
        <f>_xll.qlPolynomialFunctionValue(BP$1,$BD8,AllTriggers)</f>
        <v>#VALUE!</v>
      </c>
      <c r="BQ8" s="47">
        <f>_xll.qlPolynomialFunctionValue('3MSynthDepo_used'!$P$18,BD8,AllTriggers)</f>
        <v>9.2965730433987542E-4</v>
      </c>
    </row>
    <row r="9" spans="1:69" ht="12" customHeight="1" x14ac:dyDescent="0.2">
      <c r="A9" s="21"/>
      <c r="B9" s="55" t="str">
        <f>'3MSynthDepo_used'!C19</f>
        <v>Z5</v>
      </c>
      <c r="C9" s="42" t="str">
        <f t="shared" si="6"/>
        <v>B3M_FUTZ5</v>
      </c>
      <c r="D9" s="181">
        <f>_xll.qlIMMdate(B9,SettlementDate,Trigger)</f>
        <v>42354</v>
      </c>
      <c r="E9" s="181">
        <f>_xll.qlInterestRateIndexMaturity($D$25,D9)</f>
        <v>42445</v>
      </c>
      <c r="F9" s="54">
        <f>_xll.qlIndexFixing(ON_3M_index,_xll.qlInterestRateIndexFixingDate(ON_3M_index,D9,Trigger),,AllTriggers)</f>
        <v>-1.6107154833774743E-3</v>
      </c>
      <c r="G9" s="54" t="e">
        <f t="shared" si="2"/>
        <v>#NUM!</v>
      </c>
      <c r="H9" s="203" t="e">
        <f>_xll.qlQuoteValue(C9,_xll.ohTrigger(InterestRatesTrigger,'3MSynthDepo_used'!E9))</f>
        <v>#NUM!</v>
      </c>
      <c r="I9" s="44">
        <f>_xll.qlDayCounterYearFraction(DayCounter,SettlementDate,D9,,,Trigger)</f>
        <v>0.20833333333333334</v>
      </c>
      <c r="J9" s="44">
        <f>1</f>
        <v>1</v>
      </c>
      <c r="K9" s="44">
        <f t="shared" si="0"/>
        <v>0.20833333333333334</v>
      </c>
      <c r="L9" s="44">
        <f t="shared" si="1"/>
        <v>4.3402777777777783E-2</v>
      </c>
      <c r="M9" s="43" t="e">
        <f>LN((1+G9*_xll.qlDayCounterYearFraction(DayCounter,D9,E9,,,Trigger))/(1+F9*_xll.qlDayCounterYearFraction(DayCounter,D9,E9,,,Trigger)))</f>
        <v>#NUM!</v>
      </c>
      <c r="N9" s="44">
        <f>_xll.qlDayCounterYearFraction(DayCounter,SettlementDate,D9,,,Trigger)</f>
        <v>0.20833333333333334</v>
      </c>
      <c r="O9" s="44">
        <f>_xll.qlDayCounterYearFraction(DayCounter,SettlementDate,E9,,,Trigger)</f>
        <v>0.46111111111111114</v>
      </c>
      <c r="P9" s="44">
        <f t="shared" si="3"/>
        <v>0.25277777777777777</v>
      </c>
      <c r="Q9" s="44">
        <f t="shared" si="4"/>
        <v>8.4610339506172846E-2</v>
      </c>
      <c r="R9" s="44">
        <f t="shared" si="5"/>
        <v>2.9666931012802929E-2</v>
      </c>
      <c r="S9" s="150" t="b">
        <v>1</v>
      </c>
      <c r="T9" s="150" t="b">
        <v>1</v>
      </c>
      <c r="U9" s="150" t="b">
        <v>1</v>
      </c>
      <c r="V9" s="150" t="b">
        <v>1</v>
      </c>
      <c r="AD9" s="94"/>
      <c r="AE9" s="32"/>
      <c r="AF9" s="27">
        <f t="array" ref="AF9:AF10">_xll.ohFilter(K3:K9,U3:U9)</f>
        <v>5.2777777777777778E-2</v>
      </c>
      <c r="AG9" s="28">
        <f t="array" ref="AG9:AG10">_xll.ohFilter(J3:J9,U3:U9)</f>
        <v>1</v>
      </c>
      <c r="AH9" s="303" t="s">
        <v>20</v>
      </c>
      <c r="AI9" s="29" t="e">
        <f t="array" ref="AI9:AI10">MMULT(AL9:AM10,AK9:AK10)</f>
        <v>#NUM!</v>
      </c>
      <c r="AJ9" s="303" t="s">
        <v>21</v>
      </c>
      <c r="AK9" s="30" t="e">
        <f t="array" ref="AK9:AK10">_xll.ohFilter(H3:H9,U3:U9)</f>
        <v>#NUM!</v>
      </c>
      <c r="AL9" s="27">
        <f t="array" ref="AL9:AM10">MINVERSE(AF9:AG10)</f>
        <v>-12.857142857142856</v>
      </c>
      <c r="AM9" s="28">
        <v>12.857142857142856</v>
      </c>
      <c r="AN9" s="21"/>
      <c r="AO9" s="101"/>
      <c r="AP9" s="94"/>
      <c r="AQ9" s="32"/>
      <c r="AR9" s="27">
        <f t="array" ref="AR9:AR10">_xll.ohFilter(Q3:Q9,U3:U9)</f>
        <v>4.6141975308641982E-2</v>
      </c>
      <c r="AS9" s="28">
        <f t="array" ref="AS9:AS10">_xll.ohFilter(P3:P9,U3:U9)</f>
        <v>0.25555555555555559</v>
      </c>
      <c r="AT9" s="303" t="s">
        <v>20</v>
      </c>
      <c r="AU9" s="29" t="e">
        <f t="array" ref="AU9:AU10">MMULT(AX9:AY10,AW9:AW10)</f>
        <v>#NUM!</v>
      </c>
      <c r="AV9" s="303" t="s">
        <v>21</v>
      </c>
      <c r="AW9" s="56" t="e">
        <f t="array" ref="AW9:AW10">_xll.ohFilter(M3:M9,U3:U9)</f>
        <v>#NUM!</v>
      </c>
      <c r="AX9" s="27">
        <f t="array" ref="AX9:AY10">MINVERSE(AR9:AS10)</f>
        <v>-50.310559006211179</v>
      </c>
      <c r="AY9" s="28">
        <v>50.310559006211186</v>
      </c>
      <c r="AZ9" s="21"/>
      <c r="BA9" s="101"/>
      <c r="BC9" s="178">
        <f>_xll.qlCalendarAdvance(Calendar,BC8,"1d","mf",,Trigger)</f>
        <v>42284</v>
      </c>
      <c r="BD9" s="41">
        <f>_xll.qlDayCounterYearFraction(DayCounter,SettlementDate,BC9,,,Trigger)</f>
        <v>1.3888888888888888E-2</v>
      </c>
      <c r="BE9" s="47" t="e">
        <f>_xll.qlPolynomialFunctionValue(BE$1,$BD9,AllTriggers)</f>
        <v>#VALUE!</v>
      </c>
      <c r="BF9" s="47" t="e">
        <f>_xll.qlPolynomialFunctionValue(BF$1,$BD9,AllTriggers)</f>
        <v>#VALUE!</v>
      </c>
      <c r="BG9" s="47" t="e">
        <f>_xll.qlPolynomialFunctionValue(BG$1,$BD9,AllTriggers)</f>
        <v>#VALUE!</v>
      </c>
      <c r="BH9" s="47" t="e">
        <f>_xll.qlPolynomialFunctionValue(BH$1,$BD9,AllTriggers)</f>
        <v>#VALUE!</v>
      </c>
      <c r="BI9" s="47" t="e">
        <f>_xll.qlPolynomialFunctionValue(BI$1,$BD9,AllTriggers)</f>
        <v>#VALUE!</v>
      </c>
      <c r="BJ9" s="47" t="e">
        <f>_xll.qlPolynomialFunctionValue(BJ$1,$BD9,AllTriggers)</f>
        <v>#VALUE!</v>
      </c>
      <c r="BK9" s="47" t="e">
        <f>_xll.qlPolynomialFunctionValue(BK$1,$BD9,AllTriggers)</f>
        <v>#VALUE!</v>
      </c>
      <c r="BL9" s="47" t="e">
        <f>_xll.qlPolynomialFunctionValue(BL$1,$BD9,AllTriggers)</f>
        <v>#VALUE!</v>
      </c>
      <c r="BM9" s="47" t="e">
        <f>_xll.qlPolynomialFunctionValue(BM$1,$BD9,AllTriggers)</f>
        <v>#VALUE!</v>
      </c>
      <c r="BN9" s="47" t="e">
        <f>_xll.qlPolynomialFunctionValue(BN$1,$BD9,AllTriggers)</f>
        <v>#VALUE!</v>
      </c>
      <c r="BO9" s="47" t="e">
        <f>_xll.qlPolynomialFunctionValue(BO$1,$BD9,AllTriggers)</f>
        <v>#VALUE!</v>
      </c>
      <c r="BP9" s="47" t="e">
        <f>_xll.qlPolynomialFunctionValue(BP$1,$BD9,AllTriggers)</f>
        <v>#VALUE!</v>
      </c>
      <c r="BQ9" s="47">
        <f>_xll.qlPolynomialFunctionValue('3MSynthDepo_used'!$P$18,BD9,AllTriggers)</f>
        <v>9.3163248847975215E-4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0.13055555555555556</v>
      </c>
      <c r="AG10" s="28">
        <v>1</v>
      </c>
      <c r="AH10" s="303"/>
      <c r="AI10" s="29" t="e">
        <v>#NUM!</v>
      </c>
      <c r="AJ10" s="303"/>
      <c r="AK10" s="30" t="e">
        <v>#NUM!</v>
      </c>
      <c r="AL10" s="27">
        <v>1.6785714285714286</v>
      </c>
      <c r="AM10" s="28">
        <v>-0.6785714285714286</v>
      </c>
      <c r="AN10" s="21"/>
      <c r="AO10" s="101"/>
      <c r="AP10" s="94"/>
      <c r="AQ10" s="32"/>
      <c r="AR10" s="27">
        <v>6.6018518518518518E-2</v>
      </c>
      <c r="AS10" s="28">
        <v>0.25555555555555554</v>
      </c>
      <c r="AT10" s="303"/>
      <c r="AU10" s="29" t="e">
        <v>#NUM!</v>
      </c>
      <c r="AV10" s="303"/>
      <c r="AW10" s="56" t="e">
        <v>#NUM!</v>
      </c>
      <c r="AX10" s="27">
        <v>12.996894409937887</v>
      </c>
      <c r="AY10" s="28">
        <v>-9.08385093167702</v>
      </c>
      <c r="AZ10" s="21"/>
      <c r="BA10" s="101"/>
      <c r="BC10" s="178">
        <f>_xll.qlCalendarAdvance(Calendar,BC9,"1d","mf",,Trigger)</f>
        <v>42285</v>
      </c>
      <c r="BD10" s="41">
        <f>_xll.qlDayCounterYearFraction(DayCounter,SettlementDate,BC10,,,Trigger)</f>
        <v>1.6666666666666666E-2</v>
      </c>
      <c r="BE10" s="47" t="e">
        <f>_xll.qlPolynomialFunctionValue(BE$1,$BD10,AllTriggers)</f>
        <v>#VALUE!</v>
      </c>
      <c r="BF10" s="47" t="e">
        <f>_xll.qlPolynomialFunctionValue(BF$1,$BD10,AllTriggers)</f>
        <v>#VALUE!</v>
      </c>
      <c r="BG10" s="47" t="e">
        <f>_xll.qlPolynomialFunctionValue(BG$1,$BD10,AllTriggers)</f>
        <v>#VALUE!</v>
      </c>
      <c r="BH10" s="47" t="e">
        <f>_xll.qlPolynomialFunctionValue(BH$1,$BD10,AllTriggers)</f>
        <v>#VALUE!</v>
      </c>
      <c r="BI10" s="47" t="e">
        <f>_xll.qlPolynomialFunctionValue(BI$1,$BD10,AllTriggers)</f>
        <v>#VALUE!</v>
      </c>
      <c r="BJ10" s="47" t="e">
        <f>_xll.qlPolynomialFunctionValue(BJ$1,$BD10,AllTriggers)</f>
        <v>#VALUE!</v>
      </c>
      <c r="BK10" s="47" t="e">
        <f>_xll.qlPolynomialFunctionValue(BK$1,$BD10,AllTriggers)</f>
        <v>#VALUE!</v>
      </c>
      <c r="BL10" s="47" t="e">
        <f>_xll.qlPolynomialFunctionValue(BL$1,$BD10,AllTriggers)</f>
        <v>#VALUE!</v>
      </c>
      <c r="BM10" s="47" t="e">
        <f>_xll.qlPolynomialFunctionValue(BM$1,$BD10,AllTriggers)</f>
        <v>#VALUE!</v>
      </c>
      <c r="BN10" s="47" t="e">
        <f>_xll.qlPolynomialFunctionValue(BN$1,$BD10,AllTriggers)</f>
        <v>#VALUE!</v>
      </c>
      <c r="BO10" s="47" t="e">
        <f>_xll.qlPolynomialFunctionValue(BO$1,$BD10,AllTriggers)</f>
        <v>#VALUE!</v>
      </c>
      <c r="BP10" s="47" t="e">
        <f>_xll.qlPolynomialFunctionValue(BP$1,$BD10,AllTriggers)</f>
        <v>#VALUE!</v>
      </c>
      <c r="BQ10" s="47">
        <f>_xll.qlPolynomialFunctionValue('3MSynthDepo_used'!$P$18,BD10,AllTriggers)</f>
        <v>9.3360149112709976E-4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42286</v>
      </c>
      <c r="BD11" s="41">
        <f>_xll.qlDayCounterYearFraction(DayCounter,SettlementDate,BC11,,,Trigger)</f>
        <v>1.9444444444444445E-2</v>
      </c>
      <c r="BE11" s="47" t="e">
        <f>_xll.qlPolynomialFunctionValue(BE$1,$BD11,AllTriggers)</f>
        <v>#VALUE!</v>
      </c>
      <c r="BF11" s="47" t="e">
        <f>_xll.qlPolynomialFunctionValue(BF$1,$BD11,AllTriggers)</f>
        <v>#VALUE!</v>
      </c>
      <c r="BG11" s="47" t="e">
        <f>_xll.qlPolynomialFunctionValue(BG$1,$BD11,AllTriggers)</f>
        <v>#VALUE!</v>
      </c>
      <c r="BH11" s="47" t="e">
        <f>_xll.qlPolynomialFunctionValue(BH$1,$BD11,AllTriggers)</f>
        <v>#VALUE!</v>
      </c>
      <c r="BI11" s="47" t="e">
        <f>_xll.qlPolynomialFunctionValue(BI$1,$BD11,AllTriggers)</f>
        <v>#VALUE!</v>
      </c>
      <c r="BJ11" s="47" t="e">
        <f>_xll.qlPolynomialFunctionValue(BJ$1,$BD11,AllTriggers)</f>
        <v>#VALUE!</v>
      </c>
      <c r="BK11" s="47" t="e">
        <f>_xll.qlPolynomialFunctionValue(BK$1,$BD11,AllTriggers)</f>
        <v>#VALUE!</v>
      </c>
      <c r="BL11" s="47" t="e">
        <f>_xll.qlPolynomialFunctionValue(BL$1,$BD11,AllTriggers)</f>
        <v>#VALUE!</v>
      </c>
      <c r="BM11" s="47" t="e">
        <f>_xll.qlPolynomialFunctionValue(BM$1,$BD11,AllTriggers)</f>
        <v>#VALUE!</v>
      </c>
      <c r="BN11" s="47" t="e">
        <f>_xll.qlPolynomialFunctionValue(BN$1,$BD11,AllTriggers)</f>
        <v>#VALUE!</v>
      </c>
      <c r="BO11" s="47" t="e">
        <f>_xll.qlPolynomialFunctionValue(BO$1,$BD11,AllTriggers)</f>
        <v>#VALUE!</v>
      </c>
      <c r="BP11" s="47" t="e">
        <f>_xll.qlPolynomialFunctionValue(BP$1,$BD11,AllTriggers)</f>
        <v>#VALUE!</v>
      </c>
      <c r="BQ11" s="47">
        <f>_xll.qlPolynomialFunctionValue('3MSynthDepo_used'!$P$18,BD11,AllTriggers)</f>
        <v>9.3556432366006007E-4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0X"&amp;SUBSTITUTE($D$24,"M","")</f>
        <v>with 0X3</v>
      </c>
      <c r="T12" s="118"/>
      <c r="U12" s="117" t="str">
        <f>"without 0X"&amp;SUBSTITUTE($D$24,"M","")</f>
        <v>without 0X3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42289</v>
      </c>
      <c r="BD12" s="41">
        <f>_xll.qlDayCounterYearFraction(DayCounter,SettlementDate,BC12,,,Trigger)</f>
        <v>2.7777777777777776E-2</v>
      </c>
      <c r="BE12" s="47" t="e">
        <f>_xll.qlPolynomialFunctionValue(BE$1,$BD12,AllTriggers)</f>
        <v>#VALUE!</v>
      </c>
      <c r="BF12" s="47" t="e">
        <f>_xll.qlPolynomialFunctionValue(BF$1,$BD12,AllTriggers)</f>
        <v>#VALUE!</v>
      </c>
      <c r="BG12" s="47" t="e">
        <f>_xll.qlPolynomialFunctionValue(BG$1,$BD12,AllTriggers)</f>
        <v>#VALUE!</v>
      </c>
      <c r="BH12" s="47" t="e">
        <f>_xll.qlPolynomialFunctionValue(BH$1,$BD12,AllTriggers)</f>
        <v>#VALUE!</v>
      </c>
      <c r="BI12" s="47" t="e">
        <f>_xll.qlPolynomialFunctionValue(BI$1,$BD12,AllTriggers)</f>
        <v>#VALUE!</v>
      </c>
      <c r="BJ12" s="47" t="e">
        <f>_xll.qlPolynomialFunctionValue(BJ$1,$BD12,AllTriggers)</f>
        <v>#VALUE!</v>
      </c>
      <c r="BK12" s="47" t="e">
        <f>_xll.qlPolynomialFunctionValue(BK$1,$BD12,AllTriggers)</f>
        <v>#VALUE!</v>
      </c>
      <c r="BL12" s="47" t="e">
        <f>_xll.qlPolynomialFunctionValue(BL$1,$BD12,AllTriggers)</f>
        <v>#VALUE!</v>
      </c>
      <c r="BM12" s="47" t="e">
        <f>_xll.qlPolynomialFunctionValue(BM$1,$BD12,AllTriggers)</f>
        <v>#VALUE!</v>
      </c>
      <c r="BN12" s="47" t="e">
        <f>_xll.qlPolynomialFunctionValue(BN$1,$BD12,AllTriggers)</f>
        <v>#VALUE!</v>
      </c>
      <c r="BO12" s="47" t="e">
        <f>_xll.qlPolynomialFunctionValue(BO$1,$BD12,AllTriggers)</f>
        <v>#VALUE!</v>
      </c>
      <c r="BP12" s="47" t="e">
        <f>_xll.qlPolynomialFunctionValue(BP$1,$BD12,AllTriggers)</f>
        <v>#VALUE!</v>
      </c>
      <c r="BQ12" s="47">
        <f>_xll.qlPolynomialFunctionValue('3MSynthDepo_used'!$P$18,BD12,AllTriggers)</f>
        <v>9.4141591435403782E-4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"&amp;$D$24</f>
        <v>F 3M</v>
      </c>
      <c r="H13" s="36" t="str">
        <f>"B "&amp;$D$24</f>
        <v>B 3M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42290</v>
      </c>
      <c r="BD13" s="41">
        <f>_xll.qlDayCounterYearFraction(DayCounter,SettlementDate,BC13,,,Trigger)</f>
        <v>3.0555555555555555E-2</v>
      </c>
      <c r="BE13" s="47" t="e">
        <f>_xll.qlPolynomialFunctionValue(BE$1,$BD13,AllTriggers)</f>
        <v>#VALUE!</v>
      </c>
      <c r="BF13" s="47" t="e">
        <f>_xll.qlPolynomialFunctionValue(BF$1,$BD13,AllTriggers)</f>
        <v>#VALUE!</v>
      </c>
      <c r="BG13" s="47" t="e">
        <f>_xll.qlPolynomialFunctionValue(BG$1,$BD13,AllTriggers)</f>
        <v>#VALUE!</v>
      </c>
      <c r="BH13" s="47" t="e">
        <f>_xll.qlPolynomialFunctionValue(BH$1,$BD13,AllTriggers)</f>
        <v>#VALUE!</v>
      </c>
      <c r="BI13" s="47" t="e">
        <f>_xll.qlPolynomialFunctionValue(BI$1,$BD13,AllTriggers)</f>
        <v>#VALUE!</v>
      </c>
      <c r="BJ13" s="47" t="e">
        <f>_xll.qlPolynomialFunctionValue(BJ$1,$BD13,AllTriggers)</f>
        <v>#VALUE!</v>
      </c>
      <c r="BK13" s="47" t="e">
        <f>_xll.qlPolynomialFunctionValue(BK$1,$BD13,AllTriggers)</f>
        <v>#VALUE!</v>
      </c>
      <c r="BL13" s="47" t="e">
        <f>_xll.qlPolynomialFunctionValue(BL$1,$BD13,AllTriggers)</f>
        <v>#VALUE!</v>
      </c>
      <c r="BM13" s="47" t="e">
        <f>_xll.qlPolynomialFunctionValue(BM$1,$BD13,AllTriggers)</f>
        <v>#VALUE!</v>
      </c>
      <c r="BN13" s="47" t="e">
        <f>_xll.qlPolynomialFunctionValue(BN$1,$BD13,AllTriggers)</f>
        <v>#VALUE!</v>
      </c>
      <c r="BO13" s="47" t="e">
        <f>_xll.qlPolynomialFunctionValue(BO$1,$BD13,AllTriggers)</f>
        <v>#VALUE!</v>
      </c>
      <c r="BP13" s="47" t="e">
        <f>_xll.qlPolynomialFunctionValue(BP$1,$BD13,AllTriggers)</f>
        <v>#VALUE!</v>
      </c>
      <c r="BQ13" s="47">
        <f>_xll.qlPolynomialFunctionValue('3MSynthDepo_used'!$P$18,BD13,AllTriggers)</f>
        <v>9.4335418021086965E-4</v>
      </c>
    </row>
    <row r="14" spans="1:69" ht="12" customHeight="1" x14ac:dyDescent="0.2">
      <c r="A14" s="19">
        <f>A3</f>
        <v>0</v>
      </c>
      <c r="B14" s="55">
        <f>A14+SUBSTITUTE($D$24,"M","")</f>
        <v>3</v>
      </c>
      <c r="C14" s="171" t="str">
        <f>"B"&amp;$D$24&amp;"_"&amp;A14&amp;"X"&amp;B14&amp;$D$28</f>
        <v>B3M_0X3ESTIMATED</v>
      </c>
      <c r="D14" s="186">
        <f>SettlementDate</f>
        <v>42279</v>
      </c>
      <c r="E14" s="186">
        <f>_xll.qlInterestRateIndexMaturity($D$25,D14)</f>
        <v>42373</v>
      </c>
      <c r="F14" s="172">
        <f>_xll.qlIndexFixing(ON_3M_index,_xll.qlInterestRateIndexFixingDate(ON_3M_index,D14,Trigger),,AllTriggers)</f>
        <v>-1.4486444602656425E-3</v>
      </c>
      <c r="G14" s="172" t="e">
        <f>H14+F14</f>
        <v>#NUM!</v>
      </c>
      <c r="H14" s="226" t="e">
        <f>_xll.qlQuoteValue(C14,_xll.ohTrigger(InterestRatesTrigger,'3MSynthDepo_used'!E3))</f>
        <v>#NUM!</v>
      </c>
      <c r="I14" s="173">
        <f>_xll.qlDayCounterYearFraction(DayCounter,SettlementDate,D14,,,Trigger)</f>
        <v>0</v>
      </c>
      <c r="J14" s="244">
        <f t="shared" ref="J14:J20" si="7">IF(($E$14-SettlementDate)-($D14-SettlementDate)&lt;0,0,($E$14-SettlementDate)-($D14-SettlementDate))</f>
        <v>94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303" t="s">
        <v>20</v>
      </c>
      <c r="AI14" s="29" t="e">
        <f t="array" ref="AI14:AI16">MMULT(AL14:AN16,AK14:AK16)</f>
        <v>#NUM!</v>
      </c>
      <c r="AJ14" s="303" t="s">
        <v>21</v>
      </c>
      <c r="AK14" s="56" t="e">
        <f t="array" ref="AK14:AK16">_xll.ohFilter(H3:H9,T3:T9)</f>
        <v>#NUM!</v>
      </c>
      <c r="AL14" s="27">
        <f t="array" ref="AL14:AN16">MINVERSE(AE14:AG16)</f>
        <v>145.12877939529673</v>
      </c>
      <c r="AM14" s="31">
        <v>-243.6090225563909</v>
      </c>
      <c r="AN14" s="28">
        <v>98.480243161094194</v>
      </c>
      <c r="AO14" s="101"/>
      <c r="AP14" s="94"/>
      <c r="AQ14" s="27">
        <f t="array" ref="AQ14:AQ16">_xll.ohFilter(R3:R9,T3:T9)</f>
        <v>5.9340992226794712E-3</v>
      </c>
      <c r="AR14" s="31">
        <f t="array" ref="AR14:AR16">_xll.ohFilter(Q3:Q9,T3:T9)</f>
        <v>3.4089506172839512E-2</v>
      </c>
      <c r="AS14" s="28">
        <f t="array" ref="AS14:AS16">_xll.ohFilter(P3:P9,T3:T9)</f>
        <v>0.26111111111111113</v>
      </c>
      <c r="AT14" s="303" t="s">
        <v>20</v>
      </c>
      <c r="AU14" s="29" t="e">
        <f t="array" ref="AU14:AU16">MMULT(AX14:AZ16,AW14:AW16)</f>
        <v>#NUM!</v>
      </c>
      <c r="AV14" s="303" t="s">
        <v>21</v>
      </c>
      <c r="AW14" s="56" t="e">
        <f t="array" ref="AW14:AW16">_xll.ohFilter(M3:M9,T3:T9)</f>
        <v>#NUM!</v>
      </c>
      <c r="AX14" s="27">
        <f t="array" ref="AX14:AZ16">MINVERSE(AQ14:AS16)</f>
        <v>577.81190399524553</v>
      </c>
      <c r="AY14" s="31">
        <v>-969.8985531348759</v>
      </c>
      <c r="AZ14" s="28">
        <v>379.52552079190798</v>
      </c>
      <c r="BA14" s="101"/>
      <c r="BC14" s="178">
        <f>_xll.qlCalendarAdvance(Calendar,BC13,"1d","mf",,Trigger)</f>
        <v>42291</v>
      </c>
      <c r="BD14" s="41">
        <f>_xll.qlDayCounterYearFraction(DayCounter,SettlementDate,BC14,,,Trigger)</f>
        <v>3.3333333333333333E-2</v>
      </c>
      <c r="BE14" s="47" t="e">
        <f>_xll.qlPolynomialFunctionValue(BE$1,$BD14,AllTriggers)</f>
        <v>#VALUE!</v>
      </c>
      <c r="BF14" s="47" t="e">
        <f>_xll.qlPolynomialFunctionValue(BF$1,$BD14,AllTriggers)</f>
        <v>#VALUE!</v>
      </c>
      <c r="BG14" s="47" t="e">
        <f>_xll.qlPolynomialFunctionValue(BG$1,$BD14,AllTriggers)</f>
        <v>#VALUE!</v>
      </c>
      <c r="BH14" s="47" t="e">
        <f>_xll.qlPolynomialFunctionValue(BH$1,$BD14,AllTriggers)</f>
        <v>#VALUE!</v>
      </c>
      <c r="BI14" s="47" t="e">
        <f>_xll.qlPolynomialFunctionValue(BI$1,$BD14,AllTriggers)</f>
        <v>#VALUE!</v>
      </c>
      <c r="BJ14" s="47" t="e">
        <f>_xll.qlPolynomialFunctionValue(BJ$1,$BD14,AllTriggers)</f>
        <v>#VALUE!</v>
      </c>
      <c r="BK14" s="47" t="e">
        <f>_xll.qlPolynomialFunctionValue(BK$1,$BD14,AllTriggers)</f>
        <v>#VALUE!</v>
      </c>
      <c r="BL14" s="47" t="e">
        <f>_xll.qlPolynomialFunctionValue(BL$1,$BD14,AllTriggers)</f>
        <v>#VALUE!</v>
      </c>
      <c r="BM14" s="47" t="e">
        <f>_xll.qlPolynomialFunctionValue(BM$1,$BD14,AllTriggers)</f>
        <v>#VALUE!</v>
      </c>
      <c r="BN14" s="47" t="e">
        <f>_xll.qlPolynomialFunctionValue(BN$1,$BD14,AllTriggers)</f>
        <v>#VALUE!</v>
      </c>
      <c r="BO14" s="47" t="e">
        <f>_xll.qlPolynomialFunctionValue(BO$1,$BD14,AllTriggers)</f>
        <v>#VALUE!</v>
      </c>
      <c r="BP14" s="47" t="e">
        <f>_xll.qlPolynomialFunctionValue(BP$1,$BD14,AllTriggers)</f>
        <v>#VALUE!</v>
      </c>
      <c r="BQ14" s="47">
        <f>_xll.qlPolynomialFunctionValue('3MSynthDepo_used'!$P$18,BD14,AllTriggers)</f>
        <v>9.4528633284402441E-4</v>
      </c>
    </row>
    <row r="15" spans="1:69" ht="12" customHeight="1" x14ac:dyDescent="0.2">
      <c r="A15" s="21">
        <f t="shared" ref="A15:A17" si="8">A4</f>
        <v>1</v>
      </c>
      <c r="B15" s="55">
        <f>A15+SUBSTITUTE($D$24,"M","")</f>
        <v>4</v>
      </c>
      <c r="C15" s="39" t="str">
        <f>"B"&amp;$D$24&amp;"_"&amp;A15&amp;"X"&amp;B15</f>
        <v>B3M_1X4</v>
      </c>
      <c r="D15" s="177">
        <f>_xll.qlCalendarAdvance(Calendar,SettlementDate,A15&amp;"M","mf")</f>
        <v>42310</v>
      </c>
      <c r="E15" s="177">
        <f>_xll.qlInterestRateIndexMaturity($D$25,D15)</f>
        <v>42402</v>
      </c>
      <c r="F15" s="53">
        <f>_xll.qlIndexFixing(ON_3M_index,_xll.qlInterestRateIndexFixingDate(ON_3M_index,D15,Trigger),,AllTriggers)</f>
        <v>-1.5146603244055856E-3</v>
      </c>
      <c r="G15" s="53" t="e">
        <f t="shared" ref="G15:G20" si="9">H15+F15</f>
        <v>#NUM!</v>
      </c>
      <c r="H15" s="202" t="e">
        <f>_xll.qlQuoteValue(C15,_xll.ohTrigger(InterestRatesTrigger,'3MSynthDepo_used'!E4))</f>
        <v>#NUM!</v>
      </c>
      <c r="I15" s="41">
        <f>_xll.qlDayCounterYearFraction(DayCounter,SettlementDate,D15,,,Trigger)</f>
        <v>8.611111111111111E-2</v>
      </c>
      <c r="J15" s="242">
        <f t="shared" si="7"/>
        <v>63</v>
      </c>
      <c r="K15" s="21"/>
      <c r="L15" s="21"/>
      <c r="M15" s="21"/>
      <c r="N15" s="21"/>
      <c r="O15" s="21"/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2.7854938271604937E-3</v>
      </c>
      <c r="AF15" s="31">
        <v>5.2777777777777778E-2</v>
      </c>
      <c r="AG15" s="28">
        <v>1</v>
      </c>
      <c r="AH15" s="303"/>
      <c r="AI15" s="29" t="e">
        <v>#NUM!</v>
      </c>
      <c r="AJ15" s="303"/>
      <c r="AK15" s="56" t="e">
        <v>#NUM!</v>
      </c>
      <c r="AL15" s="27">
        <v>-26.606942889137738</v>
      </c>
      <c r="AM15" s="31">
        <v>31.804511278195484</v>
      </c>
      <c r="AN15" s="28">
        <v>-5.1975683890577491</v>
      </c>
      <c r="AO15" s="101"/>
      <c r="AP15" s="94"/>
      <c r="AQ15" s="27">
        <v>9.7220221764974871E-3</v>
      </c>
      <c r="AR15" s="31">
        <v>4.6141975308641982E-2</v>
      </c>
      <c r="AS15" s="28">
        <v>0.25555555555555559</v>
      </c>
      <c r="AT15" s="303"/>
      <c r="AU15" s="29" t="e">
        <v>#NUM!</v>
      </c>
      <c r="AV15" s="303"/>
      <c r="AW15" s="56" t="e">
        <v>#NUM!</v>
      </c>
      <c r="AX15" s="27">
        <v>-253.59522453124654</v>
      </c>
      <c r="AY15" s="31">
        <v>375.36713931409543</v>
      </c>
      <c r="AZ15" s="28">
        <v>-116.25897511912619</v>
      </c>
      <c r="BA15" s="101"/>
      <c r="BC15" s="178">
        <f>_xll.qlCalendarAdvance(Calendar,BC14,"1d","mf",,Trigger)</f>
        <v>42292</v>
      </c>
      <c r="BD15" s="41">
        <f>_xll.qlDayCounterYearFraction(DayCounter,SettlementDate,BC15,,,Trigger)</f>
        <v>3.6111111111111108E-2</v>
      </c>
      <c r="BE15" s="47" t="e">
        <f>_xll.qlPolynomialFunctionValue(BE$1,$BD15,AllTriggers)</f>
        <v>#VALUE!</v>
      </c>
      <c r="BF15" s="47" t="e">
        <f>_xll.qlPolynomialFunctionValue(BF$1,$BD15,AllTriggers)</f>
        <v>#VALUE!</v>
      </c>
      <c r="BG15" s="47" t="e">
        <f>_xll.qlPolynomialFunctionValue(BG$1,$BD15,AllTriggers)</f>
        <v>#VALUE!</v>
      </c>
      <c r="BH15" s="47" t="e">
        <f>_xll.qlPolynomialFunctionValue(BH$1,$BD15,AllTriggers)</f>
        <v>#VALUE!</v>
      </c>
      <c r="BI15" s="47" t="e">
        <f>_xll.qlPolynomialFunctionValue(BI$1,$BD15,AllTriggers)</f>
        <v>#VALUE!</v>
      </c>
      <c r="BJ15" s="47" t="e">
        <f>_xll.qlPolynomialFunctionValue(BJ$1,$BD15,AllTriggers)</f>
        <v>#VALUE!</v>
      </c>
      <c r="BK15" s="47" t="e">
        <f>_xll.qlPolynomialFunctionValue(BK$1,$BD15,AllTriggers)</f>
        <v>#VALUE!</v>
      </c>
      <c r="BL15" s="47" t="e">
        <f>_xll.qlPolynomialFunctionValue(BL$1,$BD15,AllTriggers)</f>
        <v>#VALUE!</v>
      </c>
      <c r="BM15" s="47" t="e">
        <f>_xll.qlPolynomialFunctionValue(BM$1,$BD15,AllTriggers)</f>
        <v>#VALUE!</v>
      </c>
      <c r="BN15" s="47" t="e">
        <f>_xll.qlPolynomialFunctionValue(BN$1,$BD15,AllTriggers)</f>
        <v>#VALUE!</v>
      </c>
      <c r="BO15" s="47" t="e">
        <f>_xll.qlPolynomialFunctionValue(BO$1,$BD15,AllTriggers)</f>
        <v>#VALUE!</v>
      </c>
      <c r="BP15" s="47" t="e">
        <f>_xll.qlPolynomialFunctionValue(BP$1,$BD15,AllTriggers)</f>
        <v>#VALUE!</v>
      </c>
      <c r="BQ15" s="47">
        <f>_xll.qlPolynomialFunctionValue('3MSynthDepo_used'!$P$18,BD15,AllTriggers)</f>
        <v>9.4721238363164447E-4</v>
      </c>
    </row>
    <row r="16" spans="1:69" ht="12" customHeight="1" x14ac:dyDescent="0.2">
      <c r="A16" s="21">
        <f t="shared" si="8"/>
        <v>2</v>
      </c>
      <c r="B16" s="55">
        <f>A16+SUBSTITUTE($D$24,"M","")</f>
        <v>5</v>
      </c>
      <c r="C16" s="39" t="str">
        <f>"B"&amp;$D$24&amp;"_"&amp;A16&amp;"X"&amp;B16</f>
        <v>B3M_2X5</v>
      </c>
      <c r="D16" s="177">
        <f>_xll.qlCalendarAdvance(Calendar,SettlementDate,A16&amp;"M","mf")</f>
        <v>42340</v>
      </c>
      <c r="E16" s="177">
        <f>_xll.qlInterestRateIndexMaturity($D$25,D16)</f>
        <v>42431</v>
      </c>
      <c r="F16" s="53">
        <f>_xll.qlIndexFixing(ON_3M_index,_xll.qlInterestRateIndexFixingDate(ON_3M_index,D16,Trigger),,AllTriggers)</f>
        <v>-1.5812473974574882E-3</v>
      </c>
      <c r="G16" s="53" t="e">
        <f t="shared" si="9"/>
        <v>#NUM!</v>
      </c>
      <c r="H16" s="202" t="e">
        <f>_xll.qlQuoteValue(C16,_xll.ohTrigger(InterestRatesTrigger,'3MSynthDepo_used'!E5))</f>
        <v>#NUM!</v>
      </c>
      <c r="I16" s="41">
        <f>_xll.qlDayCounterYearFraction(DayCounter,SettlementDate,D16,,,Trigger)</f>
        <v>0.16944444444444445</v>
      </c>
      <c r="J16" s="242">
        <f t="shared" si="7"/>
        <v>33</v>
      </c>
      <c r="K16" s="21"/>
      <c r="L16" s="21"/>
      <c r="M16" s="21"/>
      <c r="N16" s="21"/>
      <c r="O16" s="21"/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1.7044753086419756E-2</v>
      </c>
      <c r="AF16" s="31">
        <v>0.13055555555555556</v>
      </c>
      <c r="AG16" s="28">
        <v>1</v>
      </c>
      <c r="AH16" s="303"/>
      <c r="AI16" s="29" t="e">
        <v>#NUM!</v>
      </c>
      <c r="AJ16" s="303"/>
      <c r="AK16" s="56" t="e">
        <v>#NUM!</v>
      </c>
      <c r="AL16" s="27">
        <v>1</v>
      </c>
      <c r="AM16" s="31">
        <v>0</v>
      </c>
      <c r="AN16" s="28">
        <v>0</v>
      </c>
      <c r="AO16" s="101"/>
      <c r="AP16" s="94"/>
      <c r="AQ16" s="27">
        <v>1.8445616140832191E-2</v>
      </c>
      <c r="AR16" s="31">
        <v>6.6018518518518518E-2</v>
      </c>
      <c r="AS16" s="28">
        <v>0.25555555555555554</v>
      </c>
      <c r="AT16" s="303"/>
      <c r="AU16" s="29" t="e">
        <v>#NUM!</v>
      </c>
      <c r="AV16" s="303"/>
      <c r="AW16" s="56" t="e">
        <v>#NUM!</v>
      </c>
      <c r="AX16" s="27">
        <v>23.806504346964584</v>
      </c>
      <c r="AY16" s="31">
        <v>-26.964023601038374</v>
      </c>
      <c r="AZ16" s="28">
        <v>6.5530300291397783</v>
      </c>
      <c r="BA16" s="101"/>
      <c r="BC16" s="178">
        <f>_xll.qlCalendarAdvance(Calendar,BC15,"1d","mf",,Trigger)</f>
        <v>42293</v>
      </c>
      <c r="BD16" s="41">
        <f>_xll.qlDayCounterYearFraction(DayCounter,SettlementDate,BC16,,,Trigger)</f>
        <v>3.888888888888889E-2</v>
      </c>
      <c r="BE16" s="47" t="e">
        <f>_xll.qlPolynomialFunctionValue(BE$1,$BD16,AllTriggers)</f>
        <v>#VALUE!</v>
      </c>
      <c r="BF16" s="47" t="e">
        <f>_xll.qlPolynomialFunctionValue(BF$1,$BD16,AllTriggers)</f>
        <v>#VALUE!</v>
      </c>
      <c r="BG16" s="47" t="e">
        <f>_xll.qlPolynomialFunctionValue(BG$1,$BD16,AllTriggers)</f>
        <v>#VALUE!</v>
      </c>
      <c r="BH16" s="47" t="e">
        <f>_xll.qlPolynomialFunctionValue(BH$1,$BD16,AllTriggers)</f>
        <v>#VALUE!</v>
      </c>
      <c r="BI16" s="47" t="e">
        <f>_xll.qlPolynomialFunctionValue(BI$1,$BD16,AllTriggers)</f>
        <v>#VALUE!</v>
      </c>
      <c r="BJ16" s="47" t="e">
        <f>_xll.qlPolynomialFunctionValue(BJ$1,$BD16,AllTriggers)</f>
        <v>#VALUE!</v>
      </c>
      <c r="BK16" s="47" t="e">
        <f>_xll.qlPolynomialFunctionValue(BK$1,$BD16,AllTriggers)</f>
        <v>#VALUE!</v>
      </c>
      <c r="BL16" s="47" t="e">
        <f>_xll.qlPolynomialFunctionValue(BL$1,$BD16,AllTriggers)</f>
        <v>#VALUE!</v>
      </c>
      <c r="BM16" s="47" t="e">
        <f>_xll.qlPolynomialFunctionValue(BM$1,$BD16,AllTriggers)</f>
        <v>#VALUE!</v>
      </c>
      <c r="BN16" s="47" t="e">
        <f>_xll.qlPolynomialFunctionValue(BN$1,$BD16,AllTriggers)</f>
        <v>#VALUE!</v>
      </c>
      <c r="BO16" s="47" t="e">
        <f>_xll.qlPolynomialFunctionValue(BO$1,$BD16,AllTriggers)</f>
        <v>#VALUE!</v>
      </c>
      <c r="BP16" s="47" t="e">
        <f>_xll.qlPolynomialFunctionValue(BP$1,$BD16,AllTriggers)</f>
        <v>#VALUE!</v>
      </c>
      <c r="BQ16" s="47">
        <f>_xll.qlPolynomialFunctionValue('3MSynthDepo_used'!$P$18,BD16,AllTriggers)</f>
        <v>9.4913234395187143E-4</v>
      </c>
    </row>
    <row r="17" spans="1:69" ht="12" customHeight="1" x14ac:dyDescent="0.2">
      <c r="A17" s="21">
        <f t="shared" si="8"/>
        <v>3</v>
      </c>
      <c r="B17" s="55">
        <f>A17+SUBSTITUTE($D$24,"M","")</f>
        <v>6</v>
      </c>
      <c r="C17" s="166" t="str">
        <f>"B"&amp;$D$24&amp;"_"&amp;A17&amp;"X"&amp;B17</f>
        <v>B3M_3X6</v>
      </c>
      <c r="D17" s="263">
        <f>_xll.qlCalendarAdvance(Calendar,SettlementDate,A17&amp;"M","mf")</f>
        <v>42373</v>
      </c>
      <c r="E17" s="263">
        <f>_xll.qlInterestRateIndexMaturity($D$25,D17)</f>
        <v>42464</v>
      </c>
      <c r="F17" s="264">
        <f>_xll.qlIndexFixing(ON_3M_index,_xll.qlInterestRateIndexFixingDate(ON_3M_index,D17,Trigger),,AllTriggers)</f>
        <v>-1.671860198074175E-3</v>
      </c>
      <c r="G17" s="264" t="e">
        <f t="shared" si="9"/>
        <v>#NUM!</v>
      </c>
      <c r="H17" s="268" t="e">
        <f>_xll.qlQuoteValue(C17,_xll.ohTrigger(InterestRatesTrigger,'3MSynthDepo_used'!E6))</f>
        <v>#NUM!</v>
      </c>
      <c r="I17" s="164">
        <f>_xll.qlDayCounterYearFraction(DayCounter,SettlementDate,D17,,,Trigger)</f>
        <v>0.26111111111111113</v>
      </c>
      <c r="J17" s="269">
        <f t="shared" si="7"/>
        <v>0</v>
      </c>
      <c r="K17" s="163"/>
      <c r="L17" s="163"/>
      <c r="M17" s="163"/>
      <c r="N17" s="163"/>
      <c r="O17" s="163"/>
      <c r="P17" s="165"/>
      <c r="Q17" s="165"/>
      <c r="R17" s="165"/>
      <c r="S17" s="266" t="b">
        <v>1</v>
      </c>
      <c r="T17" s="266" t="b">
        <v>1</v>
      </c>
      <c r="U17" s="266" t="b">
        <v>1</v>
      </c>
      <c r="V17" s="266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42296</v>
      </c>
      <c r="BD17" s="41">
        <f>_xll.qlDayCounterYearFraction(DayCounter,SettlementDate,BC17,,,Trigger)</f>
        <v>4.7222222222222221E-2</v>
      </c>
      <c r="BE17" s="47" t="e">
        <f>_xll.qlPolynomialFunctionValue(BE$1,$BD17,AllTriggers)</f>
        <v>#VALUE!</v>
      </c>
      <c r="BF17" s="47" t="e">
        <f>_xll.qlPolynomialFunctionValue(BF$1,$BD17,AllTriggers)</f>
        <v>#VALUE!</v>
      </c>
      <c r="BG17" s="47" t="e">
        <f>_xll.qlPolynomialFunctionValue(BG$1,$BD17,AllTriggers)</f>
        <v>#VALUE!</v>
      </c>
      <c r="BH17" s="47" t="e">
        <f>_xll.qlPolynomialFunctionValue(BH$1,$BD17,AllTriggers)</f>
        <v>#VALUE!</v>
      </c>
      <c r="BI17" s="47" t="e">
        <f>_xll.qlPolynomialFunctionValue(BI$1,$BD17,AllTriggers)</f>
        <v>#VALUE!</v>
      </c>
      <c r="BJ17" s="47" t="e">
        <f>_xll.qlPolynomialFunctionValue(BJ$1,$BD17,AllTriggers)</f>
        <v>#VALUE!</v>
      </c>
      <c r="BK17" s="47" t="e">
        <f>_xll.qlPolynomialFunctionValue(BK$1,$BD17,AllTriggers)</f>
        <v>#VALUE!</v>
      </c>
      <c r="BL17" s="47" t="e">
        <f>_xll.qlPolynomialFunctionValue(BL$1,$BD17,AllTriggers)</f>
        <v>#VALUE!</v>
      </c>
      <c r="BM17" s="47" t="e">
        <f>_xll.qlPolynomialFunctionValue(BM$1,$BD17,AllTriggers)</f>
        <v>#VALUE!</v>
      </c>
      <c r="BN17" s="47" t="e">
        <f>_xll.qlPolynomialFunctionValue(BN$1,$BD17,AllTriggers)</f>
        <v>#VALUE!</v>
      </c>
      <c r="BO17" s="47" t="e">
        <f>_xll.qlPolynomialFunctionValue(BO$1,$BD17,AllTriggers)</f>
        <v>#VALUE!</v>
      </c>
      <c r="BP17" s="47" t="e">
        <f>_xll.qlPolynomialFunctionValue(BP$1,$BD17,AllTriggers)</f>
        <v>#VALUE!</v>
      </c>
      <c r="BQ17" s="47">
        <f>_xll.qlPolynomialFunctionValue('3MSynthDepo_used'!$P$18,BD17,AllTriggers)</f>
        <v>9.5485579588961626E-4</v>
      </c>
    </row>
    <row r="18" spans="1:69" ht="12" customHeight="1" x14ac:dyDescent="0.2">
      <c r="A18" s="21"/>
      <c r="B18" s="55" t="str">
        <f>B7</f>
        <v>V5</v>
      </c>
      <c r="C18" s="39" t="str">
        <f>"B"&amp;$D$24&amp;"_FUT"&amp;B18</f>
        <v>B3M_FUTV5</v>
      </c>
      <c r="D18" s="177">
        <f>_xll.qlIMMdate(B18,SettlementDate,Trigger)</f>
        <v>42298</v>
      </c>
      <c r="E18" s="177">
        <f>_xll.qlInterestRateIndexMaturity($D$25,D18)</f>
        <v>42390</v>
      </c>
      <c r="F18" s="53">
        <f>_xll.qlIndexFixing(ON_3M_index,_xll.qlInterestRateIndexFixingDate(ON_3M_index,D18,Trigger),,AllTriggers)</f>
        <v>-1.4789197749503805E-3</v>
      </c>
      <c r="G18" s="53" t="e">
        <f t="shared" si="9"/>
        <v>#NUM!</v>
      </c>
      <c r="H18" s="202" t="e">
        <f>_xll.qlQuoteValue(C18,_xll.ohTrigger(InterestRatesTrigger,'3MSynthDepo_used'!E7))</f>
        <v>#NUM!</v>
      </c>
      <c r="I18" s="41">
        <f>_xll.qlDayCounterYearFraction(DayCounter,SettlementDate,D18,,,Trigger)</f>
        <v>5.2777777777777778E-2</v>
      </c>
      <c r="J18" s="242">
        <f t="shared" si="7"/>
        <v>75</v>
      </c>
      <c r="P18" s="55"/>
      <c r="Q18" s="55"/>
      <c r="R18" s="55"/>
      <c r="S18" s="114" t="b">
        <v>1</v>
      </c>
      <c r="T18" s="114" t="b">
        <v>1</v>
      </c>
      <c r="U18" s="114" t="b">
        <v>1</v>
      </c>
      <c r="V18" s="114" t="b">
        <v>1</v>
      </c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42297</v>
      </c>
      <c r="BD18" s="41">
        <f>_xll.qlDayCounterYearFraction(DayCounter,SettlementDate,BC18,,,Trigger)</f>
        <v>0.05</v>
      </c>
      <c r="BE18" s="47" t="e">
        <f>_xll.qlPolynomialFunctionValue(BE$1,$BD18,AllTriggers)</f>
        <v>#VALUE!</v>
      </c>
      <c r="BF18" s="47" t="e">
        <f>_xll.qlPolynomialFunctionValue(BF$1,$BD18,AllTriggers)</f>
        <v>#VALUE!</v>
      </c>
      <c r="BG18" s="47" t="e">
        <f>_xll.qlPolynomialFunctionValue(BG$1,$BD18,AllTriggers)</f>
        <v>#VALUE!</v>
      </c>
      <c r="BH18" s="47" t="e">
        <f>_xll.qlPolynomialFunctionValue(BH$1,$BD18,AllTriggers)</f>
        <v>#VALUE!</v>
      </c>
      <c r="BI18" s="47" t="e">
        <f>_xll.qlPolynomialFunctionValue(BI$1,$BD18,AllTriggers)</f>
        <v>#VALUE!</v>
      </c>
      <c r="BJ18" s="47" t="e">
        <f>_xll.qlPolynomialFunctionValue(BJ$1,$BD18,AllTriggers)</f>
        <v>#VALUE!</v>
      </c>
      <c r="BK18" s="47" t="e">
        <f>_xll.qlPolynomialFunctionValue(BK$1,$BD18,AllTriggers)</f>
        <v>#VALUE!</v>
      </c>
      <c r="BL18" s="47" t="e">
        <f>_xll.qlPolynomialFunctionValue(BL$1,$BD18,AllTriggers)</f>
        <v>#VALUE!</v>
      </c>
      <c r="BM18" s="47" t="e">
        <f>_xll.qlPolynomialFunctionValue(BM$1,$BD18,AllTriggers)</f>
        <v>#VALUE!</v>
      </c>
      <c r="BN18" s="47" t="e">
        <f>_xll.qlPolynomialFunctionValue(BN$1,$BD18,AllTriggers)</f>
        <v>#VALUE!</v>
      </c>
      <c r="BO18" s="47" t="e">
        <f>_xll.qlPolynomialFunctionValue(BO$1,$BD18,AllTriggers)</f>
        <v>#VALUE!</v>
      </c>
      <c r="BP18" s="47" t="e">
        <f>_xll.qlPolynomialFunctionValue(BP$1,$BD18,AllTriggers)</f>
        <v>#VALUE!</v>
      </c>
      <c r="BQ18" s="47">
        <f>_xll.qlPolynomialFunctionValue('3MSynthDepo_used'!$P$18,BD18,AllTriggers)</f>
        <v>9.5675150812169266E-4</v>
      </c>
    </row>
    <row r="19" spans="1:69" ht="12" customHeight="1" x14ac:dyDescent="0.2">
      <c r="A19" s="21"/>
      <c r="B19" s="55" t="str">
        <f t="shared" ref="B19:B20" si="10">B8</f>
        <v>X5</v>
      </c>
      <c r="C19" s="39" t="str">
        <f t="shared" ref="C19:C20" si="11">"B"&amp;$D$24&amp;"_FUT"&amp;B19</f>
        <v>B3M_FUTX5</v>
      </c>
      <c r="D19" s="177">
        <f>_xll.qlIMMdate(B19,SettlementDate,Trigger)</f>
        <v>42326</v>
      </c>
      <c r="E19" s="177">
        <f>_xll.qlInterestRateIndexMaturity($D$25,D19)</f>
        <v>42418</v>
      </c>
      <c r="F19" s="53">
        <f>_xll.qlIndexFixing(ON_3M_index,_xll.qlInterestRateIndexFixingDate(ON_3M_index,D19,Trigger),,AllTriggers)</f>
        <v>-1.5522365734513871E-3</v>
      </c>
      <c r="G19" s="53" t="e">
        <f t="shared" si="9"/>
        <v>#NUM!</v>
      </c>
      <c r="H19" s="202" t="e">
        <f>_xll.qlQuoteValue(C19,_xll.ohTrigger(InterestRatesTrigger,'3MSynthDepo_used'!E8))</f>
        <v>#NUM!</v>
      </c>
      <c r="I19" s="41">
        <f>_xll.qlDayCounterYearFraction(DayCounter,SettlementDate,D19,,,Trigger)</f>
        <v>0.13055555555555556</v>
      </c>
      <c r="J19" s="242">
        <f t="shared" si="7"/>
        <v>47</v>
      </c>
      <c r="P19" s="55"/>
      <c r="Q19" s="55"/>
      <c r="R19" s="55"/>
      <c r="S19" s="114" t="b">
        <v>1</v>
      </c>
      <c r="T19" s="114" t="b">
        <v>1</v>
      </c>
      <c r="U19" s="114" t="b">
        <v>1</v>
      </c>
      <c r="V19" s="114" t="b">
        <v>1</v>
      </c>
      <c r="AD19" s="94"/>
      <c r="AE19" s="27">
        <f t="array" ref="AE19:AE21">_xll.ohFilter(L3:L9,V3:V9)</f>
        <v>2.7854938271604937E-3</v>
      </c>
      <c r="AF19" s="31">
        <f t="array" ref="AF19:AF21">_xll.ohFilter(K3:K9,V3:V9)</f>
        <v>5.2777777777777778E-2</v>
      </c>
      <c r="AG19" s="28">
        <f t="array" ref="AG19:AG21">_xll.ohFilter(J3:J9,V3:V9)</f>
        <v>1</v>
      </c>
      <c r="AH19" s="303" t="s">
        <v>20</v>
      </c>
      <c r="AI19" s="29" t="e">
        <f t="array" ref="AI19:AI21">MMULT(AL19:AN21,AK19:AK21)</f>
        <v>#NUM!</v>
      </c>
      <c r="AJ19" s="303" t="s">
        <v>21</v>
      </c>
      <c r="AK19" s="56" t="e">
        <f t="array" ref="AK19:AK21">_xll.ohFilter(H3:H9,V3:V9)</f>
        <v>#NUM!</v>
      </c>
      <c r="AL19" s="27">
        <f t="array" ref="AL19:AN21">MINVERSE(AE19:AG21)</f>
        <v>82.653061224489818</v>
      </c>
      <c r="AM19" s="31">
        <v>-165.30612244897964</v>
      </c>
      <c r="AN19" s="28">
        <v>82.653061224489818</v>
      </c>
      <c r="AO19" s="101"/>
      <c r="AP19" s="94"/>
      <c r="AQ19" s="27">
        <f t="array" ref="AQ19:AQ21">_xll.ohFilter(R3:R9,V3:V9)</f>
        <v>9.7220221764974871E-3</v>
      </c>
      <c r="AR19" s="31">
        <f t="array" ref="AR19:AR21">_xll.ohFilter(Q3:Q9,V3:V9)</f>
        <v>4.6141975308641982E-2</v>
      </c>
      <c r="AS19" s="28">
        <f t="array" ref="AS19:AS21">_xll.ohFilter(P3:P9,V3:V9)</f>
        <v>0.25555555555555559</v>
      </c>
      <c r="AT19" s="303" t="s">
        <v>20</v>
      </c>
      <c r="AU19" s="29" t="e">
        <f t="array" ref="AU19:AU21">MMULT(AX19:AZ21,AW19:AW21)</f>
        <v>#NUM!</v>
      </c>
      <c r="AV19" s="303" t="s">
        <v>21</v>
      </c>
      <c r="AW19" s="56" t="e">
        <f t="array" ref="AW19:AW21">_xll.ohFilter(M3:M9,V3:V9)</f>
        <v>#NUM!</v>
      </c>
      <c r="AX19" s="27">
        <f t="array" ref="AX19:AZ21">MINVERSE(AQ19:AS21)</f>
        <v>329.63238528225691</v>
      </c>
      <c r="AY19" s="31">
        <v>-665.2580866605548</v>
      </c>
      <c r="AZ19" s="28">
        <v>339.31389589893865</v>
      </c>
      <c r="BA19" s="101"/>
      <c r="BC19" s="178">
        <f>_xll.qlCalendarAdvance(Calendar,BC18,"1d","mf",,Trigger)</f>
        <v>42298</v>
      </c>
      <c r="BD19" s="41">
        <f>_xll.qlDayCounterYearFraction(DayCounter,SettlementDate,BC19,,,Trigger)</f>
        <v>5.2777777777777778E-2</v>
      </c>
      <c r="BE19" s="47" t="e">
        <f>_xll.qlPolynomialFunctionValue(BE$1,$BD19,AllTriggers)</f>
        <v>#VALUE!</v>
      </c>
      <c r="BF19" s="47" t="e">
        <f>_xll.qlPolynomialFunctionValue(BF$1,$BD19,AllTriggers)</f>
        <v>#VALUE!</v>
      </c>
      <c r="BG19" s="47" t="e">
        <f>_xll.qlPolynomialFunctionValue(BG$1,$BD19,AllTriggers)</f>
        <v>#VALUE!</v>
      </c>
      <c r="BH19" s="47" t="e">
        <f>_xll.qlPolynomialFunctionValue(BH$1,$BD19,AllTriggers)</f>
        <v>#VALUE!</v>
      </c>
      <c r="BI19" s="47" t="e">
        <f>_xll.qlPolynomialFunctionValue(BI$1,$BD19,AllTriggers)</f>
        <v>#VALUE!</v>
      </c>
      <c r="BJ19" s="47" t="e">
        <f>_xll.qlPolynomialFunctionValue(BJ$1,$BD19,AllTriggers)</f>
        <v>#VALUE!</v>
      </c>
      <c r="BK19" s="47" t="e">
        <f>_xll.qlPolynomialFunctionValue(BK$1,$BD19,AllTriggers)</f>
        <v>#VALUE!</v>
      </c>
      <c r="BL19" s="47" t="e">
        <f>_xll.qlPolynomialFunctionValue(BL$1,$BD19,AllTriggers)</f>
        <v>#VALUE!</v>
      </c>
      <c r="BM19" s="47" t="e">
        <f>_xll.qlPolynomialFunctionValue(BM$1,$BD19,AllTriggers)</f>
        <v>#VALUE!</v>
      </c>
      <c r="BN19" s="47" t="e">
        <f>_xll.qlPolynomialFunctionValue(BN$1,$BD19,AllTriggers)</f>
        <v>#VALUE!</v>
      </c>
      <c r="BO19" s="47" t="e">
        <f>_xll.qlPolynomialFunctionValue(BO$1,$BD19,AllTriggers)</f>
        <v>#VALUE!</v>
      </c>
      <c r="BP19" s="47" t="e">
        <f>_xll.qlPolynomialFunctionValue(BP$1,$BD19,AllTriggers)</f>
        <v>#VALUE!</v>
      </c>
      <c r="BQ19" s="47">
        <f>_xll.qlPolynomialFunctionValue('3MSynthDepo_used'!$P$18,BD19,AllTriggers)</f>
        <v>9.586411867770864E-4</v>
      </c>
    </row>
    <row r="20" spans="1:69" ht="12" customHeight="1" x14ac:dyDescent="0.2">
      <c r="A20" s="21"/>
      <c r="B20" s="55" t="str">
        <f t="shared" si="10"/>
        <v>Z5</v>
      </c>
      <c r="C20" s="42" t="str">
        <f t="shared" si="11"/>
        <v>B3M_FUTZ5</v>
      </c>
      <c r="D20" s="181">
        <f>_xll.qlIMMdate(B20,SettlementDate,Trigger)</f>
        <v>42354</v>
      </c>
      <c r="E20" s="181">
        <f>_xll.qlInterestRateIndexMaturity($D$25,D20)</f>
        <v>42445</v>
      </c>
      <c r="F20" s="54">
        <f>_xll.qlIndexFixing(ON_3M_index,_xll.qlInterestRateIndexFixingDate(ON_3M_index,D20,Trigger),,AllTriggers)</f>
        <v>-1.6107154833774743E-3</v>
      </c>
      <c r="G20" s="54" t="e">
        <f t="shared" si="9"/>
        <v>#NUM!</v>
      </c>
      <c r="H20" s="203" t="e">
        <f>_xll.qlQuoteValue(C20,_xll.ohTrigger(InterestRatesTrigger,'3MSynthDepo_used'!E9))</f>
        <v>#NUM!</v>
      </c>
      <c r="I20" s="44">
        <f>_xll.qlDayCounterYearFraction(DayCounter,SettlementDate,D20,,,Trigger)</f>
        <v>0.20833333333333334</v>
      </c>
      <c r="J20" s="243">
        <f t="shared" si="7"/>
        <v>19</v>
      </c>
      <c r="P20" s="55"/>
      <c r="Q20" s="55"/>
      <c r="R20" s="55"/>
      <c r="S20" s="150" t="b">
        <v>1</v>
      </c>
      <c r="T20" s="150" t="b">
        <v>1</v>
      </c>
      <c r="U20" s="150" t="b">
        <v>1</v>
      </c>
      <c r="V20" s="150" t="b">
        <v>1</v>
      </c>
      <c r="AD20" s="94"/>
      <c r="AE20" s="27">
        <v>1.7044753086419756E-2</v>
      </c>
      <c r="AF20" s="31">
        <v>0.13055555555555556</v>
      </c>
      <c r="AG20" s="28">
        <v>1</v>
      </c>
      <c r="AH20" s="303"/>
      <c r="AI20" s="29" t="e">
        <v>#NUM!</v>
      </c>
      <c r="AJ20" s="303"/>
      <c r="AK20" s="56" t="e">
        <v>#NUM!</v>
      </c>
      <c r="AL20" s="27">
        <v>-28.010204081632661</v>
      </c>
      <c r="AM20" s="31">
        <v>43.163265306122462</v>
      </c>
      <c r="AN20" s="28">
        <v>-15.1530612244898</v>
      </c>
      <c r="AO20" s="101"/>
      <c r="AP20" s="94"/>
      <c r="AQ20" s="27">
        <v>1.8445616140832191E-2</v>
      </c>
      <c r="AR20" s="31">
        <v>6.6018518518518518E-2</v>
      </c>
      <c r="AS20" s="28">
        <v>0.25555555555555554</v>
      </c>
      <c r="AT20" s="303"/>
      <c r="AU20" s="29" t="e">
        <v>#NUM!</v>
      </c>
      <c r="AV20" s="303"/>
      <c r="AW20" s="56" t="e">
        <v>#NUM!</v>
      </c>
      <c r="AX20" s="27">
        <v>-194.982550324535</v>
      </c>
      <c r="AY20" s="31">
        <v>342.28494148501017</v>
      </c>
      <c r="AZ20" s="28">
        <v>-148.92109875564529</v>
      </c>
      <c r="BA20" s="101"/>
      <c r="BC20" s="178">
        <f>_xll.qlCalendarAdvance(Calendar,BC19,"1d","mf",,Trigger)</f>
        <v>42299</v>
      </c>
      <c r="BD20" s="41">
        <f>_xll.qlDayCounterYearFraction(DayCounter,SettlementDate,BC20,,,Trigger)</f>
        <v>5.5555555555555552E-2</v>
      </c>
      <c r="BE20" s="47" t="e">
        <f>_xll.qlPolynomialFunctionValue(BE$1,$BD20,AllTriggers)</f>
        <v>#VALUE!</v>
      </c>
      <c r="BF20" s="47" t="e">
        <f>_xll.qlPolynomialFunctionValue(BF$1,$BD20,AllTriggers)</f>
        <v>#VALUE!</v>
      </c>
      <c r="BG20" s="47" t="e">
        <f>_xll.qlPolynomialFunctionValue(BG$1,$BD20,AllTriggers)</f>
        <v>#VALUE!</v>
      </c>
      <c r="BH20" s="47" t="e">
        <f>_xll.qlPolynomialFunctionValue(BH$1,$BD20,AllTriggers)</f>
        <v>#VALUE!</v>
      </c>
      <c r="BI20" s="47" t="e">
        <f>_xll.qlPolynomialFunctionValue(BI$1,$BD20,AllTriggers)</f>
        <v>#VALUE!</v>
      </c>
      <c r="BJ20" s="47" t="e">
        <f>_xll.qlPolynomialFunctionValue(BJ$1,$BD20,AllTriggers)</f>
        <v>#VALUE!</v>
      </c>
      <c r="BK20" s="47" t="e">
        <f>_xll.qlPolynomialFunctionValue(BK$1,$BD20,AllTriggers)</f>
        <v>#VALUE!</v>
      </c>
      <c r="BL20" s="47" t="e">
        <f>_xll.qlPolynomialFunctionValue(BL$1,$BD20,AllTriggers)</f>
        <v>#VALUE!</v>
      </c>
      <c r="BM20" s="47" t="e">
        <f>_xll.qlPolynomialFunctionValue(BM$1,$BD20,AllTriggers)</f>
        <v>#VALUE!</v>
      </c>
      <c r="BN20" s="47" t="e">
        <f>_xll.qlPolynomialFunctionValue(BN$1,$BD20,AllTriggers)</f>
        <v>#VALUE!</v>
      </c>
      <c r="BO20" s="47" t="e">
        <f>_xll.qlPolynomialFunctionValue(BO$1,$BD20,AllTriggers)</f>
        <v>#VALUE!</v>
      </c>
      <c r="BP20" s="47" t="e">
        <f>_xll.qlPolynomialFunctionValue(BP$1,$BD20,AllTriggers)</f>
        <v>#VALUE!</v>
      </c>
      <c r="BQ20" s="47">
        <f>_xll.qlPolynomialFunctionValue('3MSynthDepo_used'!$P$18,BD20,AllTriggers)</f>
        <v>9.6052484323393963E-4</v>
      </c>
    </row>
    <row r="21" spans="1:69" ht="12" customHeight="1" x14ac:dyDescent="0.2">
      <c r="A21" s="21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W21" s="55"/>
      <c r="AD21" s="94"/>
      <c r="AE21" s="27">
        <v>4.3402777777777783E-2</v>
      </c>
      <c r="AF21" s="31">
        <v>0.20833333333333334</v>
      </c>
      <c r="AG21" s="28">
        <v>1</v>
      </c>
      <c r="AH21" s="303"/>
      <c r="AI21" s="29" t="e">
        <v>#NUM!</v>
      </c>
      <c r="AJ21" s="303"/>
      <c r="AK21" s="56" t="e">
        <v>#NUM!</v>
      </c>
      <c r="AL21" s="27">
        <v>2.248086734693878</v>
      </c>
      <c r="AM21" s="31">
        <v>-1.8176020408163274</v>
      </c>
      <c r="AN21" s="28">
        <v>0.56951530612244927</v>
      </c>
      <c r="AO21" s="101"/>
      <c r="AP21" s="94"/>
      <c r="AQ21" s="27">
        <v>2.9666931012802929E-2</v>
      </c>
      <c r="AR21" s="31">
        <v>8.4610339506172846E-2</v>
      </c>
      <c r="AS21" s="28">
        <v>0.25277777777777777</v>
      </c>
      <c r="AT21" s="303"/>
      <c r="AU21" s="29" t="e">
        <v>#NUM!</v>
      </c>
      <c r="AV21" s="303"/>
      <c r="AW21" s="56" t="e">
        <v>#NUM!</v>
      </c>
      <c r="AX21" s="27">
        <v>26.578121724332103</v>
      </c>
      <c r="AY21" s="31">
        <v>-36.493236966181712</v>
      </c>
      <c r="AZ21" s="28">
        <v>13.980116508243562</v>
      </c>
      <c r="BA21" s="101"/>
      <c r="BC21" s="178">
        <f>_xll.qlCalendarAdvance(Calendar,BC20,"1d","mf",,Trigger)</f>
        <v>42300</v>
      </c>
      <c r="BD21" s="41">
        <f>_xll.qlDayCounterYearFraction(DayCounter,SettlementDate,BC21,,,Trigger)</f>
        <v>5.8333333333333334E-2</v>
      </c>
      <c r="BE21" s="47" t="e">
        <f>_xll.qlPolynomialFunctionValue(BE$1,$BD21,AllTriggers)</f>
        <v>#VALUE!</v>
      </c>
      <c r="BF21" s="47" t="e">
        <f>_xll.qlPolynomialFunctionValue(BF$1,$BD21,AllTriggers)</f>
        <v>#VALUE!</v>
      </c>
      <c r="BG21" s="47" t="e">
        <f>_xll.qlPolynomialFunctionValue(BG$1,$BD21,AllTriggers)</f>
        <v>#VALUE!</v>
      </c>
      <c r="BH21" s="47" t="e">
        <f>_xll.qlPolynomialFunctionValue(BH$1,$BD21,AllTriggers)</f>
        <v>#VALUE!</v>
      </c>
      <c r="BI21" s="47" t="e">
        <f>_xll.qlPolynomialFunctionValue(BI$1,$BD21,AllTriggers)</f>
        <v>#VALUE!</v>
      </c>
      <c r="BJ21" s="47" t="e">
        <f>_xll.qlPolynomialFunctionValue(BJ$1,$BD21,AllTriggers)</f>
        <v>#VALUE!</v>
      </c>
      <c r="BK21" s="47" t="e">
        <f>_xll.qlPolynomialFunctionValue(BK$1,$BD21,AllTriggers)</f>
        <v>#VALUE!</v>
      </c>
      <c r="BL21" s="47" t="e">
        <f>_xll.qlPolynomialFunctionValue(BL$1,$BD21,AllTriggers)</f>
        <v>#VALUE!</v>
      </c>
      <c r="BM21" s="47" t="e">
        <f>_xll.qlPolynomialFunctionValue(BM$1,$BD21,AllTriggers)</f>
        <v>#VALUE!</v>
      </c>
      <c r="BN21" s="47" t="e">
        <f>_xll.qlPolynomialFunctionValue(BN$1,$BD21,AllTriggers)</f>
        <v>#VALUE!</v>
      </c>
      <c r="BO21" s="47" t="e">
        <f>_xll.qlPolynomialFunctionValue(BO$1,$BD21,AllTriggers)</f>
        <v>#VALUE!</v>
      </c>
      <c r="BP21" s="47" t="e">
        <f>_xll.qlPolynomialFunctionValue(BP$1,$BD21,AllTriggers)</f>
        <v>#VALUE!</v>
      </c>
      <c r="BQ21" s="47">
        <f>_xll.qlPolynomialFunctionValue('3MSynthDepo_used'!$P$18,BD21,AllTriggers)</f>
        <v>9.6240248887039448E-4</v>
      </c>
    </row>
    <row r="22" spans="1:69" ht="12" customHeight="1" x14ac:dyDescent="0.2">
      <c r="H22" s="21"/>
      <c r="I22" s="21"/>
      <c r="J22" s="21"/>
      <c r="L22" s="21"/>
      <c r="M22" s="21"/>
      <c r="N22" s="21"/>
      <c r="P22" s="21"/>
      <c r="Q22" s="21"/>
      <c r="R22" s="21"/>
      <c r="X22" s="21"/>
      <c r="Y22" s="21"/>
      <c r="Z22" s="21"/>
      <c r="AA22" s="21"/>
      <c r="AB22" s="21"/>
      <c r="AC22" s="21"/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42303</v>
      </c>
      <c r="BD22" s="41">
        <f>_xll.qlDayCounterYearFraction(DayCounter,SettlementDate,BC22,,,Trigger)</f>
        <v>6.6666666666666666E-2</v>
      </c>
      <c r="BE22" s="47" t="e">
        <f>_xll.qlPolynomialFunctionValue(BE$1,$BD22,AllTriggers)</f>
        <v>#VALUE!</v>
      </c>
      <c r="BF22" s="47" t="e">
        <f>_xll.qlPolynomialFunctionValue(BF$1,$BD22,AllTriggers)</f>
        <v>#VALUE!</v>
      </c>
      <c r="BG22" s="47" t="e">
        <f>_xll.qlPolynomialFunctionValue(BG$1,$BD22,AllTriggers)</f>
        <v>#VALUE!</v>
      </c>
      <c r="BH22" s="47" t="e">
        <f>_xll.qlPolynomialFunctionValue(BH$1,$BD22,AllTriggers)</f>
        <v>#VALUE!</v>
      </c>
      <c r="BI22" s="47" t="e">
        <f>_xll.qlPolynomialFunctionValue(BI$1,$BD22,AllTriggers)</f>
        <v>#VALUE!</v>
      </c>
      <c r="BJ22" s="47" t="e">
        <f>_xll.qlPolynomialFunctionValue(BJ$1,$BD22,AllTriggers)</f>
        <v>#VALUE!</v>
      </c>
      <c r="BK22" s="47" t="e">
        <f>_xll.qlPolynomialFunctionValue(BK$1,$BD22,AllTriggers)</f>
        <v>#VALUE!</v>
      </c>
      <c r="BL22" s="47" t="e">
        <f>_xll.qlPolynomialFunctionValue(BL$1,$BD22,AllTriggers)</f>
        <v>#VALUE!</v>
      </c>
      <c r="BM22" s="47" t="e">
        <f>_xll.qlPolynomialFunctionValue(BM$1,$BD22,AllTriggers)</f>
        <v>#VALUE!</v>
      </c>
      <c r="BN22" s="47" t="e">
        <f>_xll.qlPolynomialFunctionValue(BN$1,$BD22,AllTriggers)</f>
        <v>#VALUE!</v>
      </c>
      <c r="BO22" s="47" t="e">
        <f>_xll.qlPolynomialFunctionValue(BO$1,$BD22,AllTriggers)</f>
        <v>#VALUE!</v>
      </c>
      <c r="BP22" s="47" t="e">
        <f>_xll.qlPolynomialFunctionValue(BP$1,$BD22,AllTriggers)</f>
        <v>#VALUE!</v>
      </c>
      <c r="BQ22" s="47">
        <f>_xll.qlPolynomialFunctionValue('3MSynthDepo_used'!$P$18,BD22,AllTriggers)</f>
        <v>9.6799947463878898E-4</v>
      </c>
    </row>
    <row r="23" spans="1:69" ht="12" customHeight="1" x14ac:dyDescent="0.2">
      <c r="W23" s="21"/>
      <c r="X23" s="21"/>
      <c r="Y23" s="21"/>
      <c r="Z23" s="21"/>
      <c r="AA23" s="21"/>
      <c r="AB23" s="21"/>
      <c r="AC23" s="21"/>
      <c r="AD23" s="93"/>
      <c r="AE23" s="93"/>
      <c r="AF23" s="93"/>
      <c r="AG23" s="93"/>
      <c r="AH23" s="93"/>
      <c r="BC23" s="178">
        <f>_xll.qlCalendarAdvance(Calendar,BC22,"1d","mf",,Trigger)</f>
        <v>42304</v>
      </c>
      <c r="BD23" s="41">
        <f>_xll.qlDayCounterYearFraction(DayCounter,SettlementDate,BC23,,,Trigger)</f>
        <v>6.9444444444444448E-2</v>
      </c>
      <c r="BE23" s="47" t="e">
        <f>_xll.qlPolynomialFunctionValue(BE$1,$BD23,AllTriggers)</f>
        <v>#VALUE!</v>
      </c>
      <c r="BF23" s="47" t="e">
        <f>_xll.qlPolynomialFunctionValue(BF$1,$BD23,AllTriggers)</f>
        <v>#VALUE!</v>
      </c>
      <c r="BG23" s="47" t="e">
        <f>_xll.qlPolynomialFunctionValue(BG$1,$BD23,AllTriggers)</f>
        <v>#VALUE!</v>
      </c>
      <c r="BH23" s="47" t="e">
        <f>_xll.qlPolynomialFunctionValue(BH$1,$BD23,AllTriggers)</f>
        <v>#VALUE!</v>
      </c>
      <c r="BI23" s="47" t="e">
        <f>_xll.qlPolynomialFunctionValue(BI$1,$BD23,AllTriggers)</f>
        <v>#VALUE!</v>
      </c>
      <c r="BJ23" s="47" t="e">
        <f>_xll.qlPolynomialFunctionValue(BJ$1,$BD23,AllTriggers)</f>
        <v>#VALUE!</v>
      </c>
      <c r="BK23" s="47" t="e">
        <f>_xll.qlPolynomialFunctionValue(BK$1,$BD23,AllTriggers)</f>
        <v>#VALUE!</v>
      </c>
      <c r="BL23" s="47" t="e">
        <f>_xll.qlPolynomialFunctionValue(BL$1,$BD23,AllTriggers)</f>
        <v>#VALUE!</v>
      </c>
      <c r="BM23" s="47" t="e">
        <f>_xll.qlPolynomialFunctionValue(BM$1,$BD23,AllTriggers)</f>
        <v>#VALUE!</v>
      </c>
      <c r="BN23" s="47" t="e">
        <f>_xll.qlPolynomialFunctionValue(BN$1,$BD23,AllTriggers)</f>
        <v>#VALUE!</v>
      </c>
      <c r="BO23" s="47" t="e">
        <f>_xll.qlPolynomialFunctionValue(BO$1,$BD23,AllTriggers)</f>
        <v>#VALUE!</v>
      </c>
      <c r="BP23" s="47" t="e">
        <f>_xll.qlPolynomialFunctionValue(BP$1,$BD23,AllTriggers)</f>
        <v>#VALUE!</v>
      </c>
      <c r="BQ23" s="47">
        <f>_xll.qlPolynomialFunctionValue('3MSynthDepo_used'!$P$18,BD23,AllTriggers)</f>
        <v>9.6985319077507088E-4</v>
      </c>
    </row>
    <row r="24" spans="1:69" ht="12" customHeight="1" x14ac:dyDescent="0.2">
      <c r="A24" s="21"/>
      <c r="B24" s="55"/>
      <c r="C24" s="36" t="s">
        <v>62</v>
      </c>
      <c r="D24" s="51" t="s">
        <v>23</v>
      </c>
      <c r="F24" s="187" t="s">
        <v>90</v>
      </c>
      <c r="G24" s="188" t="b">
        <v>1</v>
      </c>
      <c r="H24" s="235"/>
      <c r="S24" s="236"/>
      <c r="T24" s="237"/>
      <c r="U24" s="188" t="b">
        <v>0</v>
      </c>
      <c r="V24" s="235"/>
      <c r="W24" s="236"/>
      <c r="X24" s="237"/>
      <c r="Y24" s="188" t="b">
        <v>1</v>
      </c>
      <c r="Z24" s="235"/>
      <c r="AA24" s="236"/>
      <c r="AB24" s="236"/>
      <c r="BC24" s="178">
        <f>_xll.qlCalendarAdvance(Calendar,BC23,"1d","mf",,Trigger)</f>
        <v>42305</v>
      </c>
      <c r="BD24" s="41">
        <f>_xll.qlDayCounterYearFraction(DayCounter,SettlementDate,BC24,,,Trigger)</f>
        <v>7.2222222222222215E-2</v>
      </c>
      <c r="BE24" s="47" t="e">
        <f>_xll.qlPolynomialFunctionValue(BE$1,$BD24,AllTriggers)</f>
        <v>#VALUE!</v>
      </c>
      <c r="BF24" s="47" t="e">
        <f>_xll.qlPolynomialFunctionValue(BF$1,$BD24,AllTriggers)</f>
        <v>#VALUE!</v>
      </c>
      <c r="BG24" s="47" t="e">
        <f>_xll.qlPolynomialFunctionValue(BG$1,$BD24,AllTriggers)</f>
        <v>#VALUE!</v>
      </c>
      <c r="BH24" s="47" t="e">
        <f>_xll.qlPolynomialFunctionValue(BH$1,$BD24,AllTriggers)</f>
        <v>#VALUE!</v>
      </c>
      <c r="BI24" s="47" t="e">
        <f>_xll.qlPolynomialFunctionValue(BI$1,$BD24,AllTriggers)</f>
        <v>#VALUE!</v>
      </c>
      <c r="BJ24" s="47" t="e">
        <f>_xll.qlPolynomialFunctionValue(BJ$1,$BD24,AllTriggers)</f>
        <v>#VALUE!</v>
      </c>
      <c r="BK24" s="47" t="e">
        <f>_xll.qlPolynomialFunctionValue(BK$1,$BD24,AllTriggers)</f>
        <v>#VALUE!</v>
      </c>
      <c r="BL24" s="47" t="e">
        <f>_xll.qlPolynomialFunctionValue(BL$1,$BD24,AllTriggers)</f>
        <v>#VALUE!</v>
      </c>
      <c r="BM24" s="47" t="e">
        <f>_xll.qlPolynomialFunctionValue(BM$1,$BD24,AllTriggers)</f>
        <v>#VALUE!</v>
      </c>
      <c r="BN24" s="47" t="e">
        <f>_xll.qlPolynomialFunctionValue(BN$1,$BD24,AllTriggers)</f>
        <v>#VALUE!</v>
      </c>
      <c r="BO24" s="47" t="e">
        <f>_xll.qlPolynomialFunctionValue(BO$1,$BD24,AllTriggers)</f>
        <v>#VALUE!</v>
      </c>
      <c r="BP24" s="47" t="e">
        <f>_xll.qlPolynomialFunctionValue(BP$1,$BD24,AllTriggers)</f>
        <v>#VALUE!</v>
      </c>
      <c r="BQ24" s="47">
        <f>_xll.qlPolynomialFunctionValue('3MSynthDepo_used'!$P$18,BD24,AllTriggers)</f>
        <v>9.7170095298166432E-4</v>
      </c>
    </row>
    <row r="25" spans="1:69" ht="12" customHeight="1" x14ac:dyDescent="0.2">
      <c r="A25" s="21"/>
      <c r="B25" s="55"/>
      <c r="C25" s="36" t="s">
        <v>53</v>
      </c>
      <c r="D25" s="51" t="str">
        <f>PROPER(Currency)&amp;IborType&amp;$D$24</f>
        <v>Euribor3M</v>
      </c>
      <c r="E25" s="23"/>
      <c r="F25" s="187" t="s">
        <v>91</v>
      </c>
      <c r="G25" s="89"/>
      <c r="H25" s="89"/>
      <c r="S25" s="89"/>
      <c r="T25" s="89"/>
      <c r="U25" s="89"/>
      <c r="V25" s="89"/>
      <c r="W25" s="89"/>
      <c r="X25" s="238"/>
      <c r="Y25" s="228" t="e">
        <f>_xll.qlPolynomialCalibration(,_xll.ohFilter($I$14:$I$20,$S$14:$S$20),_xll.ohFilter($H$14:$H$20,$S$14:$S$20),_xll.ohFilter($J$14:$J$20,$S$14:$S$20),G$28:G$29,,,,,Trigger)</f>
        <v>#NUM!</v>
      </c>
      <c r="Z25" s="188" t="e">
        <f>_xll.qlPolynomialCalibration(,_xll.ohFilter($I$14:$I$20,$T$14:$T$20),_xll.ohFilter($H$14:$H$20,$T$14:$T$20),_xll.ohFilter($J$14:$J$20,$T$14:$T$20),H$28:H$30,,,,,Trigger)</f>
        <v>#NUM!</v>
      </c>
      <c r="AA25" s="188" t="e">
        <f>_xll.qlPolynomialCalibration(,_xll.ohFilter($I$14:$I$20,$U$14:$U$20),_xll.ohFilter($H$14:$H$20,$U$14:$U$20),_xll.ohFilter($J$14:$J$20,$U$14:$U$20),S$28:S$29,,,,,Trigger)</f>
        <v>#NUM!</v>
      </c>
      <c r="AB25" s="188" t="e">
        <f>_xll.qlPolynomialCalibration(,_xll.ohFilter($I$14:$I$20,$V$14:$V$20),_xll.ohFilter($H$14:$H$20,$V$14:$V$20),_xll.ohFilter($J$14:$J$20,$V$14:$V$20),T$28:T$30,,,,,Trigger)</f>
        <v>#NUM!</v>
      </c>
      <c r="AC25" s="19" t="s">
        <v>70</v>
      </c>
      <c r="BC25" s="178">
        <f>_xll.qlCalendarAdvance(Calendar,BC24,"1d","mf",,Trigger)</f>
        <v>42306</v>
      </c>
      <c r="BD25" s="41">
        <f>_xll.qlDayCounterYearFraction(DayCounter,SettlementDate,BC25,,,Trigger)</f>
        <v>7.4999999999999997E-2</v>
      </c>
      <c r="BE25" s="47" t="e">
        <f>_xll.qlPolynomialFunctionValue(BE$1,$BD25,AllTriggers)</f>
        <v>#VALUE!</v>
      </c>
      <c r="BF25" s="47" t="e">
        <f>_xll.qlPolynomialFunctionValue(BF$1,$BD25,AllTriggers)</f>
        <v>#VALUE!</v>
      </c>
      <c r="BG25" s="47" t="e">
        <f>_xll.qlPolynomialFunctionValue(BG$1,$BD25,AllTriggers)</f>
        <v>#VALUE!</v>
      </c>
      <c r="BH25" s="47" t="e">
        <f>_xll.qlPolynomialFunctionValue(BH$1,$BD25,AllTriggers)</f>
        <v>#VALUE!</v>
      </c>
      <c r="BI25" s="47" t="e">
        <f>_xll.qlPolynomialFunctionValue(BI$1,$BD25,AllTriggers)</f>
        <v>#VALUE!</v>
      </c>
      <c r="BJ25" s="47" t="e">
        <f>_xll.qlPolynomialFunctionValue(BJ$1,$BD25,AllTriggers)</f>
        <v>#VALUE!</v>
      </c>
      <c r="BK25" s="47" t="e">
        <f>_xll.qlPolynomialFunctionValue(BK$1,$BD25,AllTriggers)</f>
        <v>#VALUE!</v>
      </c>
      <c r="BL25" s="47" t="e">
        <f>_xll.qlPolynomialFunctionValue(BL$1,$BD25,AllTriggers)</f>
        <v>#VALUE!</v>
      </c>
      <c r="BM25" s="47" t="e">
        <f>_xll.qlPolynomialFunctionValue(BM$1,$BD25,AllTriggers)</f>
        <v>#VALUE!</v>
      </c>
      <c r="BN25" s="47" t="e">
        <f>_xll.qlPolynomialFunctionValue(BN$1,$BD25,AllTriggers)</f>
        <v>#VALUE!</v>
      </c>
      <c r="BO25" s="47" t="e">
        <f>_xll.qlPolynomialFunctionValue(BO$1,$BD25,AllTriggers)</f>
        <v>#VALUE!</v>
      </c>
      <c r="BP25" s="47" t="e">
        <f>_xll.qlPolynomialFunctionValue(BP$1,$BD25,AllTriggers)</f>
        <v>#VALUE!</v>
      </c>
      <c r="BQ25" s="47">
        <f>_xll.qlPolynomialFunctionValue('3MSynthDepo_used'!$P$18,BD25,AllTriggers)</f>
        <v>9.7354277263671186E-4</v>
      </c>
    </row>
    <row r="26" spans="1:69" ht="12" customHeight="1" x14ac:dyDescent="0.2">
      <c r="A26" s="21"/>
      <c r="B26" s="55"/>
      <c r="C26" s="36" t="s">
        <v>110</v>
      </c>
      <c r="D26" s="51" t="str">
        <f>_xll.qlIborIndex(,,'3MSynthDepo_allScenario'!D24,2,Currency,Calendar,"mf",TRUE,DayCounter,Discounting,,Trigger)</f>
        <v>obj_005b8#0002</v>
      </c>
      <c r="E26" s="23"/>
      <c r="F26" s="187" t="s">
        <v>92</v>
      </c>
      <c r="G26" s="89"/>
      <c r="H26" s="89"/>
      <c r="S26" s="89"/>
      <c r="T26" s="89"/>
      <c r="U26" s="89"/>
      <c r="V26" s="89"/>
      <c r="W26" s="89"/>
      <c r="X26" s="238"/>
      <c r="Y26" s="239" t="e">
        <f>_xll.qlPolynomialCalibrationCompute(Y$25,AllTriggers)</f>
        <v>#VALUE!</v>
      </c>
      <c r="Z26" s="188" t="e">
        <f>_xll.qlPolynomialCalibrationCompute(Z$25,AllTriggers)</f>
        <v>#VALUE!</v>
      </c>
      <c r="AA26" s="188" t="e">
        <f>_xll.qlPolynomialCalibrationCompute(AA$25,AllTriggers)</f>
        <v>#VALUE!</v>
      </c>
      <c r="AB26" s="188" t="e">
        <f>_xll.qlPolynomialCalibrationCompute(AB$25,AllTriggers)</f>
        <v>#VALUE!</v>
      </c>
      <c r="AC26" s="19" t="s">
        <v>70</v>
      </c>
      <c r="BC26" s="178">
        <f>_xll.qlCalendarAdvance(Calendar,BC25,"1d","mf",,Trigger)</f>
        <v>42307</v>
      </c>
      <c r="BD26" s="41">
        <f>_xll.qlDayCounterYearFraction(DayCounter,SettlementDate,BC26,,,Trigger)</f>
        <v>7.7777777777777779E-2</v>
      </c>
      <c r="BE26" s="47" t="e">
        <f>_xll.qlPolynomialFunctionValue(BE$1,$BD26,AllTriggers)</f>
        <v>#VALUE!</v>
      </c>
      <c r="BF26" s="47" t="e">
        <f>_xll.qlPolynomialFunctionValue(BF$1,$BD26,AllTriggers)</f>
        <v>#VALUE!</v>
      </c>
      <c r="BG26" s="47" t="e">
        <f>_xll.qlPolynomialFunctionValue(BG$1,$BD26,AllTriggers)</f>
        <v>#VALUE!</v>
      </c>
      <c r="BH26" s="47" t="e">
        <f>_xll.qlPolynomialFunctionValue(BH$1,$BD26,AllTriggers)</f>
        <v>#VALUE!</v>
      </c>
      <c r="BI26" s="47" t="e">
        <f>_xll.qlPolynomialFunctionValue(BI$1,$BD26,AllTriggers)</f>
        <v>#VALUE!</v>
      </c>
      <c r="BJ26" s="47" t="e">
        <f>_xll.qlPolynomialFunctionValue(BJ$1,$BD26,AllTriggers)</f>
        <v>#VALUE!</v>
      </c>
      <c r="BK26" s="47" t="e">
        <f>_xll.qlPolynomialFunctionValue(BK$1,$BD26,AllTriggers)</f>
        <v>#VALUE!</v>
      </c>
      <c r="BL26" s="47" t="e">
        <f>_xll.qlPolynomialFunctionValue(BL$1,$BD26,AllTriggers)</f>
        <v>#VALUE!</v>
      </c>
      <c r="BM26" s="47" t="e">
        <f>_xll.qlPolynomialFunctionValue(BM$1,$BD26,AllTriggers)</f>
        <v>#VALUE!</v>
      </c>
      <c r="BN26" s="47" t="e">
        <f>_xll.qlPolynomialFunctionValue(BN$1,$BD26,AllTriggers)</f>
        <v>#VALUE!</v>
      </c>
      <c r="BO26" s="47" t="e">
        <f>_xll.qlPolynomialFunctionValue(BO$1,$BD26,AllTriggers)</f>
        <v>#VALUE!</v>
      </c>
      <c r="BP26" s="47" t="e">
        <f>_xll.qlPolynomialFunctionValue(BP$1,$BD26,AllTriggers)</f>
        <v>#VALUE!</v>
      </c>
      <c r="BQ26" s="47">
        <f>_xll.qlPolynomialFunctionValue('3MSynthDepo_used'!$P$18,BD26,AllTriggers)</f>
        <v>9.7537866111835532E-4</v>
      </c>
    </row>
    <row r="27" spans="1:69" ht="12" customHeight="1" x14ac:dyDescent="0.2">
      <c r="B27" s="22"/>
      <c r="C27" s="36" t="s">
        <v>111</v>
      </c>
      <c r="D27" s="51" t="s">
        <v>86</v>
      </c>
      <c r="E27" s="23"/>
      <c r="F27" s="187" t="s">
        <v>82</v>
      </c>
      <c r="G27" s="188" t="e">
        <f>_xll.qlPolynomialTenorBasis(,$D$25,Discounting,SettlementDate,IsSimple,G$28:G$31,,Trigger)</f>
        <v>#NUM!</v>
      </c>
      <c r="H27" s="188" t="e">
        <f>_xll.qlPolynomialTenorBasis(,$D$25,Discounting,SettlementDate,IsSimple,H$28:H$31,,Trigger)</f>
        <v>#NUM!</v>
      </c>
      <c r="S27" s="188" t="e">
        <f>_xll.qlPolynomialTenorBasis(,$D$25,Discounting,SettlementDate,IsSimple,S$28:S$31,,Trigger)</f>
        <v>#NUM!</v>
      </c>
      <c r="T27" s="188" t="e">
        <f>_xll.qlPolynomialTenorBasis(,$D$25,Discounting,SettlementDate,IsSimple,T$28:T$31,,Trigger)</f>
        <v>#NUM!</v>
      </c>
      <c r="U27" s="188" t="e">
        <f>_xll.qlPolynomialTenorBasis(,$D$25,Discounting,SettlementDate,$U$24,U$28:U$31,,Trigger)</f>
        <v>#NUM!</v>
      </c>
      <c r="V27" s="188" t="e">
        <f>_xll.qlPolynomialTenorBasis(,$D$25,Discounting,SettlementDate,$U$24,V$28:V$31,,Trigger)</f>
        <v>#NUM!</v>
      </c>
      <c r="W27" s="188" t="e">
        <f>_xll.qlPolynomialTenorBasis(,$D$25,Discounting,SettlementDate,$U$24,W$28:W$31,,Trigger)</f>
        <v>#NUM!</v>
      </c>
      <c r="X27" s="227" t="e">
        <f>_xll.qlPolynomialTenorBasis(,$D$25,Discounting,SettlementDate,$U$24,X$28:X$31,,Trigger)</f>
        <v>#NUM!</v>
      </c>
      <c r="Y27" s="228" t="e">
        <f>_xll.qlPolynomialTenorBasis(,$D$25,Discounting,SettlementDate,$Y$24,Y$28:Y$31,,Trigger)</f>
        <v>#NUM!</v>
      </c>
      <c r="Z27" s="188" t="e">
        <f>_xll.qlPolynomialTenorBasis(,$D$25,Discounting,SettlementDate,$Y$24,Z$28:Z$31,,Trigger)</f>
        <v>#NUM!</v>
      </c>
      <c r="AA27" s="188" t="e">
        <f>_xll.qlPolynomialTenorBasis(,$D$25,Discounting,SettlementDate,$Y$24,AA$28:AA$31,,Trigger)</f>
        <v>#NUM!</v>
      </c>
      <c r="AB27" s="188" t="e">
        <f>_xll.qlPolynomialTenorBasis(,$D$25,Discounting,SettlementDate,$Y$24,AB$28:AB$31,,Trigger)</f>
        <v>#NUM!</v>
      </c>
      <c r="AC27" s="19" t="s">
        <v>70</v>
      </c>
      <c r="BC27" s="178">
        <f>_xll.qlCalendarAdvance(Calendar,BC26,"1d","mf",,Trigger)</f>
        <v>42310</v>
      </c>
      <c r="BD27" s="41">
        <f>_xll.qlDayCounterYearFraction(DayCounter,SettlementDate,BC27,,,Trigger)</f>
        <v>8.611111111111111E-2</v>
      </c>
      <c r="BE27" s="47" t="e">
        <f>_xll.qlPolynomialFunctionValue(BE$1,$BD27,AllTriggers)</f>
        <v>#VALUE!</v>
      </c>
      <c r="BF27" s="47" t="e">
        <f>_xll.qlPolynomialFunctionValue(BF$1,$BD27,AllTriggers)</f>
        <v>#VALUE!</v>
      </c>
      <c r="BG27" s="47" t="e">
        <f>_xll.qlPolynomialFunctionValue(BG$1,$BD27,AllTriggers)</f>
        <v>#VALUE!</v>
      </c>
      <c r="BH27" s="47" t="e">
        <f>_xll.qlPolynomialFunctionValue(BH$1,$BD27,AllTriggers)</f>
        <v>#VALUE!</v>
      </c>
      <c r="BI27" s="47" t="e">
        <f>_xll.qlPolynomialFunctionValue(BI$1,$BD27,AllTriggers)</f>
        <v>#VALUE!</v>
      </c>
      <c r="BJ27" s="47" t="e">
        <f>_xll.qlPolynomialFunctionValue(BJ$1,$BD27,AllTriggers)</f>
        <v>#VALUE!</v>
      </c>
      <c r="BK27" s="47" t="e">
        <f>_xll.qlPolynomialFunctionValue(BK$1,$BD27,AllTriggers)</f>
        <v>#VALUE!</v>
      </c>
      <c r="BL27" s="47" t="e">
        <f>_xll.qlPolynomialFunctionValue(BL$1,$BD27,AllTriggers)</f>
        <v>#VALUE!</v>
      </c>
      <c r="BM27" s="47" t="e">
        <f>_xll.qlPolynomialFunctionValue(BM$1,$BD27,AllTriggers)</f>
        <v>#VALUE!</v>
      </c>
      <c r="BN27" s="47" t="e">
        <f>_xll.qlPolynomialFunctionValue(BN$1,$BD27,AllTriggers)</f>
        <v>#VALUE!</v>
      </c>
      <c r="BO27" s="47" t="e">
        <f>_xll.qlPolynomialFunctionValue(BO$1,$BD27,AllTriggers)</f>
        <v>#VALUE!</v>
      </c>
      <c r="BP27" s="47" t="e">
        <f>_xll.qlPolynomialFunctionValue(BP$1,$BD27,AllTriggers)</f>
        <v>#VALUE!</v>
      </c>
      <c r="BQ27" s="47">
        <f>_xll.qlPolynomialFunctionValue('3MSynthDepo_used'!$P$18,BD27,AllTriggers)</f>
        <v>9.8085085330428239E-4</v>
      </c>
    </row>
    <row r="28" spans="1:69" ht="12" customHeight="1" x14ac:dyDescent="0.2">
      <c r="C28" s="36" t="s">
        <v>112</v>
      </c>
      <c r="D28" s="51" t="s">
        <v>86</v>
      </c>
      <c r="E28" s="35"/>
      <c r="F28" s="133" t="s">
        <v>73</v>
      </c>
      <c r="G28" s="90" t="e">
        <f>AI6</f>
        <v>#NUM!</v>
      </c>
      <c r="H28" s="90" t="e">
        <f>AI16</f>
        <v>#NUM!</v>
      </c>
      <c r="S28" s="90" t="e">
        <f>AI10</f>
        <v>#NUM!</v>
      </c>
      <c r="T28" s="90" t="e">
        <f>AI21</f>
        <v>#NUM!</v>
      </c>
      <c r="U28" s="90" t="e">
        <f>AU6</f>
        <v>#NUM!</v>
      </c>
      <c r="V28" s="90" t="e">
        <f>AU16</f>
        <v>#NUM!</v>
      </c>
      <c r="W28" s="90" t="e">
        <f>AU10</f>
        <v>#NUM!</v>
      </c>
      <c r="X28" s="229" t="e">
        <f>AU21</f>
        <v>#NUM!</v>
      </c>
      <c r="Y28" s="230" t="e">
        <f t="array" ref="Y28:Y29">_xll.qlPolynomialCalibrationCoefficients($Y$25,$Y$26)</f>
        <v>#VALUE!</v>
      </c>
      <c r="Z28" s="90" t="e">
        <f t="array" ref="Z28:Z30">_xll.qlPolynomialCalibrationCoefficients($Z$25,$Z$26)</f>
        <v>#VALUE!</v>
      </c>
      <c r="AA28" s="90" t="e">
        <f t="array" ref="AA28:AA29">_xll.qlPolynomialCalibrationCoefficients($AA$25,$AA$26)</f>
        <v>#VALUE!</v>
      </c>
      <c r="AB28" s="90" t="e">
        <f t="array" ref="AB28:AB30">_xll.qlPolynomialCalibrationCoefficients($AB$25,$AB$26)</f>
        <v>#VALUE!</v>
      </c>
      <c r="AC28" s="19" t="s">
        <v>70</v>
      </c>
      <c r="BC28" s="178">
        <f>_xll.qlCalendarAdvance(Calendar,BC27,"1d","mf",,Trigger)</f>
        <v>42311</v>
      </c>
      <c r="BD28" s="41">
        <f>_xll.qlDayCounterYearFraction(DayCounter,SettlementDate,BC28,,,Trigger)</f>
        <v>8.8888888888888892E-2</v>
      </c>
      <c r="BE28" s="47" t="e">
        <f>_xll.qlPolynomialFunctionValue(BE$1,$BD28,AllTriggers)</f>
        <v>#VALUE!</v>
      </c>
      <c r="BF28" s="47" t="e">
        <f>_xll.qlPolynomialFunctionValue(BF$1,$BD28,AllTriggers)</f>
        <v>#VALUE!</v>
      </c>
      <c r="BG28" s="47" t="e">
        <f>_xll.qlPolynomialFunctionValue(BG$1,$BD28,AllTriggers)</f>
        <v>#VALUE!</v>
      </c>
      <c r="BH28" s="47" t="e">
        <f>_xll.qlPolynomialFunctionValue(BH$1,$BD28,AllTriggers)</f>
        <v>#VALUE!</v>
      </c>
      <c r="BI28" s="47" t="e">
        <f>_xll.qlPolynomialFunctionValue(BI$1,$BD28,AllTriggers)</f>
        <v>#VALUE!</v>
      </c>
      <c r="BJ28" s="47" t="e">
        <f>_xll.qlPolynomialFunctionValue(BJ$1,$BD28,AllTriggers)</f>
        <v>#VALUE!</v>
      </c>
      <c r="BK28" s="47" t="e">
        <f>_xll.qlPolynomialFunctionValue(BK$1,$BD28,AllTriggers)</f>
        <v>#VALUE!</v>
      </c>
      <c r="BL28" s="47" t="e">
        <f>_xll.qlPolynomialFunctionValue(BL$1,$BD28,AllTriggers)</f>
        <v>#VALUE!</v>
      </c>
      <c r="BM28" s="47" t="e">
        <f>_xll.qlPolynomialFunctionValue(BM$1,$BD28,AllTriggers)</f>
        <v>#VALUE!</v>
      </c>
      <c r="BN28" s="47" t="e">
        <f>_xll.qlPolynomialFunctionValue(BN$1,$BD28,AllTriggers)</f>
        <v>#VALUE!</v>
      </c>
      <c r="BO28" s="47" t="e">
        <f>_xll.qlPolynomialFunctionValue(BO$1,$BD28,AllTriggers)</f>
        <v>#VALUE!</v>
      </c>
      <c r="BP28" s="47" t="e">
        <f>_xll.qlPolynomialFunctionValue(BP$1,$BD28,AllTriggers)</f>
        <v>#VALUE!</v>
      </c>
      <c r="BQ28" s="47">
        <f>_xll.qlPolynomialFunctionValue('3MSynthDepo_used'!$P$18,BD28,AllTriggers)</f>
        <v>9.8266313087373041E-4</v>
      </c>
    </row>
    <row r="29" spans="1:69" ht="12" customHeight="1" x14ac:dyDescent="0.2">
      <c r="E29" s="35"/>
      <c r="F29" s="133" t="s">
        <v>74</v>
      </c>
      <c r="G29" s="90" t="e">
        <f>AI5</f>
        <v>#NUM!</v>
      </c>
      <c r="H29" s="90" t="e">
        <f>AI15</f>
        <v>#NUM!</v>
      </c>
      <c r="S29" s="90" t="e">
        <f>AI9</f>
        <v>#NUM!</v>
      </c>
      <c r="T29" s="90" t="e">
        <f>AI20</f>
        <v>#NUM!</v>
      </c>
      <c r="U29" s="90" t="e">
        <f>AU5</f>
        <v>#NUM!</v>
      </c>
      <c r="V29" s="90" t="e">
        <f>AU15</f>
        <v>#NUM!</v>
      </c>
      <c r="W29" s="90" t="e">
        <f>AU9</f>
        <v>#NUM!</v>
      </c>
      <c r="X29" s="229" t="e">
        <f>AU20</f>
        <v>#NUM!</v>
      </c>
      <c r="Y29" s="230" t="e">
        <v>#VALUE!</v>
      </c>
      <c r="Z29" s="90" t="e">
        <v>#VALUE!</v>
      </c>
      <c r="AA29" s="90" t="e">
        <v>#VALUE!</v>
      </c>
      <c r="AB29" s="90" t="e">
        <v>#VALUE!</v>
      </c>
      <c r="AC29" s="19" t="s">
        <v>70</v>
      </c>
      <c r="BC29" s="178">
        <f>_xll.qlCalendarAdvance(Calendar,BC28,"1d","mf",,Trigger)</f>
        <v>42312</v>
      </c>
      <c r="BD29" s="41">
        <f>_xll.qlDayCounterYearFraction(DayCounter,SettlementDate,BC29,,,Trigger)</f>
        <v>9.166666666666666E-2</v>
      </c>
      <c r="BE29" s="47" t="e">
        <f>_xll.qlPolynomialFunctionValue(BE$1,$BD29,AllTriggers)</f>
        <v>#VALUE!</v>
      </c>
      <c r="BF29" s="47" t="e">
        <f>_xll.qlPolynomialFunctionValue(BF$1,$BD29,AllTriggers)</f>
        <v>#VALUE!</v>
      </c>
      <c r="BG29" s="47" t="e">
        <f>_xll.qlPolynomialFunctionValue(BG$1,$BD29,AllTriggers)</f>
        <v>#VALUE!</v>
      </c>
      <c r="BH29" s="47" t="e">
        <f>_xll.qlPolynomialFunctionValue(BH$1,$BD29,AllTriggers)</f>
        <v>#VALUE!</v>
      </c>
      <c r="BI29" s="47" t="e">
        <f>_xll.qlPolynomialFunctionValue(BI$1,$BD29,AllTriggers)</f>
        <v>#VALUE!</v>
      </c>
      <c r="BJ29" s="47" t="e">
        <f>_xll.qlPolynomialFunctionValue(BJ$1,$BD29,AllTriggers)</f>
        <v>#VALUE!</v>
      </c>
      <c r="BK29" s="47" t="e">
        <f>_xll.qlPolynomialFunctionValue(BK$1,$BD29,AllTriggers)</f>
        <v>#VALUE!</v>
      </c>
      <c r="BL29" s="47" t="e">
        <f>_xll.qlPolynomialFunctionValue(BL$1,$BD29,AllTriggers)</f>
        <v>#VALUE!</v>
      </c>
      <c r="BM29" s="47" t="e">
        <f>_xll.qlPolynomialFunctionValue(BM$1,$BD29,AllTriggers)</f>
        <v>#VALUE!</v>
      </c>
      <c r="BN29" s="47" t="e">
        <f>_xll.qlPolynomialFunctionValue(BN$1,$BD29,AllTriggers)</f>
        <v>#VALUE!</v>
      </c>
      <c r="BO29" s="47" t="e">
        <f>_xll.qlPolynomialFunctionValue(BO$1,$BD29,AllTriggers)</f>
        <v>#VALUE!</v>
      </c>
      <c r="BP29" s="47" t="e">
        <f>_xll.qlPolynomialFunctionValue(BP$1,$BD29,AllTriggers)</f>
        <v>#VALUE!</v>
      </c>
      <c r="BQ29" s="47">
        <f>_xll.qlPolynomialFunctionValue('3MSynthDepo_used'!$P$18,BD29,AllTriggers)</f>
        <v>9.8446953416048469E-4</v>
      </c>
    </row>
    <row r="30" spans="1:69" ht="12" customHeight="1" x14ac:dyDescent="0.2">
      <c r="F30" s="133" t="s">
        <v>75</v>
      </c>
      <c r="G30" s="89"/>
      <c r="H30" s="90" t="e">
        <f>AI14</f>
        <v>#NUM!</v>
      </c>
      <c r="S30" s="89"/>
      <c r="T30" s="90" t="e">
        <f>AI19</f>
        <v>#NUM!</v>
      </c>
      <c r="U30" s="89"/>
      <c r="V30" s="90" t="e">
        <f>AU14</f>
        <v>#NUM!</v>
      </c>
      <c r="W30" s="89"/>
      <c r="X30" s="229" t="e">
        <f>AU19</f>
        <v>#NUM!</v>
      </c>
      <c r="Y30" s="231"/>
      <c r="Z30" s="90" t="e">
        <v>#VALUE!</v>
      </c>
      <c r="AA30" s="89"/>
      <c r="AB30" s="90" t="e">
        <v>#VALUE!</v>
      </c>
      <c r="AC30" s="19" t="s">
        <v>70</v>
      </c>
      <c r="BC30" s="178">
        <f>_xll.qlCalendarAdvance(Calendar,BC29,"1d","mf",,Trigger)</f>
        <v>42313</v>
      </c>
      <c r="BD30" s="41">
        <f>_xll.qlDayCounterYearFraction(DayCounter,SettlementDate,BC30,,,Trigger)</f>
        <v>9.4444444444444442E-2</v>
      </c>
      <c r="BE30" s="47" t="e">
        <f>_xll.qlPolynomialFunctionValue(BE$1,$BD30,AllTriggers)</f>
        <v>#VALUE!</v>
      </c>
      <c r="BF30" s="47" t="e">
        <f>_xll.qlPolynomialFunctionValue(BF$1,$BD30,AllTriggers)</f>
        <v>#VALUE!</v>
      </c>
      <c r="BG30" s="47" t="e">
        <f>_xll.qlPolynomialFunctionValue(BG$1,$BD30,AllTriggers)</f>
        <v>#VALUE!</v>
      </c>
      <c r="BH30" s="47" t="e">
        <f>_xll.qlPolynomialFunctionValue(BH$1,$BD30,AllTriggers)</f>
        <v>#VALUE!</v>
      </c>
      <c r="BI30" s="47" t="e">
        <f>_xll.qlPolynomialFunctionValue(BI$1,$BD30,AllTriggers)</f>
        <v>#VALUE!</v>
      </c>
      <c r="BJ30" s="47" t="e">
        <f>_xll.qlPolynomialFunctionValue(BJ$1,$BD30,AllTriggers)</f>
        <v>#VALUE!</v>
      </c>
      <c r="BK30" s="47" t="e">
        <f>_xll.qlPolynomialFunctionValue(BK$1,$BD30,AllTriggers)</f>
        <v>#VALUE!</v>
      </c>
      <c r="BL30" s="47" t="e">
        <f>_xll.qlPolynomialFunctionValue(BL$1,$BD30,AllTriggers)</f>
        <v>#VALUE!</v>
      </c>
      <c r="BM30" s="47" t="e">
        <f>_xll.qlPolynomialFunctionValue(BM$1,$BD30,AllTriggers)</f>
        <v>#VALUE!</v>
      </c>
      <c r="BN30" s="47" t="e">
        <f>_xll.qlPolynomialFunctionValue(BN$1,$BD30,AllTriggers)</f>
        <v>#VALUE!</v>
      </c>
      <c r="BO30" s="47" t="e">
        <f>_xll.qlPolynomialFunctionValue(BO$1,$BD30,AllTriggers)</f>
        <v>#VALUE!</v>
      </c>
      <c r="BP30" s="47" t="e">
        <f>_xll.qlPolynomialFunctionValue(BP$1,$BD30,AllTriggers)</f>
        <v>#VALUE!</v>
      </c>
      <c r="BQ30" s="47">
        <f>_xll.qlPolynomialFunctionValue('3MSynthDepo_used'!$P$18,BD30,AllTriggers)</f>
        <v>9.8627007454268737E-4</v>
      </c>
    </row>
    <row r="31" spans="1:69" ht="12" customHeight="1" thickBot="1" x14ac:dyDescent="0.25">
      <c r="F31" s="133" t="s">
        <v>76</v>
      </c>
      <c r="G31" s="89"/>
      <c r="H31" s="89"/>
      <c r="S31" s="89"/>
      <c r="T31" s="89"/>
      <c r="U31" s="89"/>
      <c r="V31" s="89"/>
      <c r="W31" s="89"/>
      <c r="X31" s="232"/>
      <c r="Y31" s="233"/>
      <c r="Z31" s="89"/>
      <c r="AA31" s="89"/>
      <c r="AB31" s="234"/>
      <c r="BC31" s="178">
        <f>_xll.qlCalendarAdvance(Calendar,BC30,"1d","mf",,Trigger)</f>
        <v>42314</v>
      </c>
      <c r="BD31" s="41">
        <f>_xll.qlDayCounterYearFraction(DayCounter,SettlementDate,BC31,,,Trigger)</f>
        <v>9.7222222222222224E-2</v>
      </c>
      <c r="BE31" s="47" t="e">
        <f>_xll.qlPolynomialFunctionValue(BE$1,$BD31,AllTriggers)</f>
        <v>#VALUE!</v>
      </c>
      <c r="BF31" s="47" t="e">
        <f>_xll.qlPolynomialFunctionValue(BF$1,$BD31,AllTriggers)</f>
        <v>#VALUE!</v>
      </c>
      <c r="BG31" s="47" t="e">
        <f>_xll.qlPolynomialFunctionValue(BG$1,$BD31,AllTriggers)</f>
        <v>#VALUE!</v>
      </c>
      <c r="BH31" s="47" t="e">
        <f>_xll.qlPolynomialFunctionValue(BH$1,$BD31,AllTriggers)</f>
        <v>#VALUE!</v>
      </c>
      <c r="BI31" s="47" t="e">
        <f>_xll.qlPolynomialFunctionValue(BI$1,$BD31,AllTriggers)</f>
        <v>#VALUE!</v>
      </c>
      <c r="BJ31" s="47" t="e">
        <f>_xll.qlPolynomialFunctionValue(BJ$1,$BD31,AllTriggers)</f>
        <v>#VALUE!</v>
      </c>
      <c r="BK31" s="47" t="e">
        <f>_xll.qlPolynomialFunctionValue(BK$1,$BD31,AllTriggers)</f>
        <v>#VALUE!</v>
      </c>
      <c r="BL31" s="47" t="e">
        <f>_xll.qlPolynomialFunctionValue(BL$1,$BD31,AllTriggers)</f>
        <v>#VALUE!</v>
      </c>
      <c r="BM31" s="47" t="e">
        <f>_xll.qlPolynomialFunctionValue(BM$1,$BD31,AllTriggers)</f>
        <v>#VALUE!</v>
      </c>
      <c r="BN31" s="47" t="e">
        <f>_xll.qlPolynomialFunctionValue(BN$1,$BD31,AllTriggers)</f>
        <v>#VALUE!</v>
      </c>
      <c r="BO31" s="47" t="e">
        <f>_xll.qlPolynomialFunctionValue(BO$1,$BD31,AllTriggers)</f>
        <v>#VALUE!</v>
      </c>
      <c r="BP31" s="47" t="e">
        <f>_xll.qlPolynomialFunctionValue(BP$1,$BD31,AllTriggers)</f>
        <v>#VALUE!</v>
      </c>
      <c r="BQ31" s="47">
        <f>_xll.qlPolynomialFunctionValue('3MSynthDepo_used'!$P$18,BD31,AllTriggers)</f>
        <v>9.8806476339848058E-4</v>
      </c>
    </row>
    <row r="32" spans="1:69" ht="12" customHeight="1" x14ac:dyDescent="0.2">
      <c r="G32" s="147" t="s">
        <v>66</v>
      </c>
      <c r="H32" s="148"/>
      <c r="S32" s="148"/>
      <c r="T32" s="148"/>
      <c r="U32" s="148"/>
      <c r="V32" s="148"/>
      <c r="W32" s="148"/>
      <c r="X32" s="149"/>
      <c r="Y32" s="147" t="s">
        <v>67</v>
      </c>
      <c r="Z32" s="148"/>
      <c r="AA32" s="148"/>
      <c r="AB32" s="149"/>
      <c r="BC32" s="178">
        <f>_xll.qlCalendarAdvance(Calendar,BC31,"1d","mf",,Trigger)</f>
        <v>42317</v>
      </c>
      <c r="BD32" s="41">
        <f>_xll.qlDayCounterYearFraction(DayCounter,SettlementDate,BC32,,,Trigger)</f>
        <v>0.10555555555555556</v>
      </c>
      <c r="BE32" s="47" t="e">
        <f>_xll.qlPolynomialFunctionValue(BE$1,$BD32,AllTriggers)</f>
        <v>#VALUE!</v>
      </c>
      <c r="BF32" s="47" t="e">
        <f>_xll.qlPolynomialFunctionValue(BF$1,$BD32,AllTriggers)</f>
        <v>#VALUE!</v>
      </c>
      <c r="BG32" s="47" t="e">
        <f>_xll.qlPolynomialFunctionValue(BG$1,$BD32,AllTriggers)</f>
        <v>#VALUE!</v>
      </c>
      <c r="BH32" s="47" t="e">
        <f>_xll.qlPolynomialFunctionValue(BH$1,$BD32,AllTriggers)</f>
        <v>#VALUE!</v>
      </c>
      <c r="BI32" s="47" t="e">
        <f>_xll.qlPolynomialFunctionValue(BI$1,$BD32,AllTriggers)</f>
        <v>#VALUE!</v>
      </c>
      <c r="BJ32" s="47" t="e">
        <f>_xll.qlPolynomialFunctionValue(BJ$1,$BD32,AllTriggers)</f>
        <v>#VALUE!</v>
      </c>
      <c r="BK32" s="47" t="e">
        <f>_xll.qlPolynomialFunctionValue(BK$1,$BD32,AllTriggers)</f>
        <v>#VALUE!</v>
      </c>
      <c r="BL32" s="47" t="e">
        <f>_xll.qlPolynomialFunctionValue(BL$1,$BD32,AllTriggers)</f>
        <v>#VALUE!</v>
      </c>
      <c r="BM32" s="47" t="e">
        <f>_xll.qlPolynomialFunctionValue(BM$1,$BD32,AllTriggers)</f>
        <v>#VALUE!</v>
      </c>
      <c r="BN32" s="47" t="e">
        <f>_xll.qlPolynomialFunctionValue(BN$1,$BD32,AllTriggers)</f>
        <v>#VALUE!</v>
      </c>
      <c r="BO32" s="47" t="e">
        <f>_xll.qlPolynomialFunctionValue(BO$1,$BD32,AllTriggers)</f>
        <v>#VALUE!</v>
      </c>
      <c r="BP32" s="47" t="e">
        <f>_xll.qlPolynomialFunctionValue(BP$1,$BD32,AllTriggers)</f>
        <v>#VALUE!</v>
      </c>
      <c r="BQ32" s="47">
        <f>_xll.qlPolynomialFunctionValue('3MSynthDepo_used'!$P$18,BD32,AllTriggers)</f>
        <v>9.9341383458882281E-4</v>
      </c>
    </row>
    <row r="33" spans="3:69" ht="12" customHeight="1" x14ac:dyDescent="0.2">
      <c r="G33" s="214" t="s">
        <v>106</v>
      </c>
      <c r="H33" s="215"/>
      <c r="S33" s="215"/>
      <c r="T33" s="216"/>
      <c r="U33" s="214" t="s">
        <v>107</v>
      </c>
      <c r="V33" s="215"/>
      <c r="W33" s="215"/>
      <c r="X33" s="216"/>
      <c r="Y33" s="214" t="s">
        <v>106</v>
      </c>
      <c r="Z33" s="215"/>
      <c r="AA33" s="215"/>
      <c r="AB33" s="216"/>
      <c r="BC33" s="178">
        <f>_xll.qlCalendarAdvance(Calendar,BC32,"1d","mf",,Trigger)</f>
        <v>42318</v>
      </c>
      <c r="BD33" s="41">
        <f>_xll.qlDayCounterYearFraction(DayCounter,SettlementDate,BC33,,,Trigger)</f>
        <v>0.10833333333333334</v>
      </c>
      <c r="BE33" s="47" t="e">
        <f>_xll.qlPolynomialFunctionValue(BE$1,$BD33,AllTriggers)</f>
        <v>#VALUE!</v>
      </c>
      <c r="BF33" s="47" t="e">
        <f>_xll.qlPolynomialFunctionValue(BF$1,$BD33,AllTriggers)</f>
        <v>#VALUE!</v>
      </c>
      <c r="BG33" s="47" t="e">
        <f>_xll.qlPolynomialFunctionValue(BG$1,$BD33,AllTriggers)</f>
        <v>#VALUE!</v>
      </c>
      <c r="BH33" s="47" t="e">
        <f>_xll.qlPolynomialFunctionValue(BH$1,$BD33,AllTriggers)</f>
        <v>#VALUE!</v>
      </c>
      <c r="BI33" s="47" t="e">
        <f>_xll.qlPolynomialFunctionValue(BI$1,$BD33,AllTriggers)</f>
        <v>#VALUE!</v>
      </c>
      <c r="BJ33" s="47" t="e">
        <f>_xll.qlPolynomialFunctionValue(BJ$1,$BD33,AllTriggers)</f>
        <v>#VALUE!</v>
      </c>
      <c r="BK33" s="47" t="e">
        <f>_xll.qlPolynomialFunctionValue(BK$1,$BD33,AllTriggers)</f>
        <v>#VALUE!</v>
      </c>
      <c r="BL33" s="47" t="e">
        <f>_xll.qlPolynomialFunctionValue(BL$1,$BD33,AllTriggers)</f>
        <v>#VALUE!</v>
      </c>
      <c r="BM33" s="47" t="e">
        <f>_xll.qlPolynomialFunctionValue(BM$1,$BD33,AllTriggers)</f>
        <v>#VALUE!</v>
      </c>
      <c r="BN33" s="47" t="e">
        <f>_xll.qlPolynomialFunctionValue(BN$1,$BD33,AllTriggers)</f>
        <v>#VALUE!</v>
      </c>
      <c r="BO33" s="47" t="e">
        <f>_xll.qlPolynomialFunctionValue(BO$1,$BD33,AllTriggers)</f>
        <v>#VALUE!</v>
      </c>
      <c r="BP33" s="47" t="e">
        <f>_xll.qlPolynomialFunctionValue(BP$1,$BD33,AllTriggers)</f>
        <v>#VALUE!</v>
      </c>
      <c r="BQ33" s="47">
        <f>_xll.qlPolynomialFunctionValue('3MSynthDepo_used'!$P$18,BD33,AllTriggers)</f>
        <v>9.9518523112039799E-4</v>
      </c>
    </row>
    <row r="34" spans="3:69" ht="12" customHeight="1" thickBot="1" x14ac:dyDescent="0.25">
      <c r="G34" s="134" t="str">
        <f>"with 0X"&amp;SUBSTITUTE($D$24,"M","")</f>
        <v>with 0X3</v>
      </c>
      <c r="H34" s="110"/>
      <c r="S34" s="109" t="str">
        <f>"without 0X"&amp;SUBSTITUTE($D$24,"M","")</f>
        <v>without 0X3</v>
      </c>
      <c r="T34" s="135"/>
      <c r="U34" s="134" t="str">
        <f>"with 0X"&amp;SUBSTITUTE($D$24,"M","")</f>
        <v>with 0X3</v>
      </c>
      <c r="V34" s="110"/>
      <c r="W34" s="109" t="str">
        <f>"without 0X"&amp;SUBSTITUTE($D$24,"M","")</f>
        <v>without 0X3</v>
      </c>
      <c r="X34" s="135"/>
      <c r="Y34" s="134" t="str">
        <f>"with 0X"&amp;SUBSTITUTE($D$24,"M","")</f>
        <v>with 0X3</v>
      </c>
      <c r="Z34" s="110"/>
      <c r="AA34" s="109" t="str">
        <f>"without 0X"&amp;SUBSTITUTE($D$24,"M","")</f>
        <v>without 0X3</v>
      </c>
      <c r="AB34" s="135"/>
      <c r="BC34" s="178">
        <f>_xll.qlCalendarAdvance(Calendar,BC33,"1d","mf",,Trigger)</f>
        <v>42319</v>
      </c>
      <c r="BD34" s="41">
        <f>_xll.qlDayCounterYearFraction(DayCounter,SettlementDate,BC34,,,Trigger)</f>
        <v>0.1111111111111111</v>
      </c>
      <c r="BE34" s="47" t="e">
        <f>_xll.qlPolynomialFunctionValue(BE$1,$BD34,AllTriggers)</f>
        <v>#VALUE!</v>
      </c>
      <c r="BF34" s="47" t="e">
        <f>_xll.qlPolynomialFunctionValue(BF$1,$BD34,AllTriggers)</f>
        <v>#VALUE!</v>
      </c>
      <c r="BG34" s="47" t="e">
        <f>_xll.qlPolynomialFunctionValue(BG$1,$BD34,AllTriggers)</f>
        <v>#VALUE!</v>
      </c>
      <c r="BH34" s="47" t="e">
        <f>_xll.qlPolynomialFunctionValue(BH$1,$BD34,AllTriggers)</f>
        <v>#VALUE!</v>
      </c>
      <c r="BI34" s="47" t="e">
        <f>_xll.qlPolynomialFunctionValue(BI$1,$BD34,AllTriggers)</f>
        <v>#VALUE!</v>
      </c>
      <c r="BJ34" s="47" t="e">
        <f>_xll.qlPolynomialFunctionValue(BJ$1,$BD34,AllTriggers)</f>
        <v>#VALUE!</v>
      </c>
      <c r="BK34" s="47" t="e">
        <f>_xll.qlPolynomialFunctionValue(BK$1,$BD34,AllTriggers)</f>
        <v>#VALUE!</v>
      </c>
      <c r="BL34" s="47" t="e">
        <f>_xll.qlPolynomialFunctionValue(BL$1,$BD34,AllTriggers)</f>
        <v>#VALUE!</v>
      </c>
      <c r="BM34" s="47" t="e">
        <f>_xll.qlPolynomialFunctionValue(BM$1,$BD34,AllTriggers)</f>
        <v>#VALUE!</v>
      </c>
      <c r="BN34" s="47" t="e">
        <f>_xll.qlPolynomialFunctionValue(BN$1,$BD34,AllTriggers)</f>
        <v>#VALUE!</v>
      </c>
      <c r="BO34" s="47" t="e">
        <f>_xll.qlPolynomialFunctionValue(BO$1,$BD34,AllTriggers)</f>
        <v>#VALUE!</v>
      </c>
      <c r="BP34" s="47" t="e">
        <f>_xll.qlPolynomialFunctionValue(BP$1,$BD34,AllTriggers)</f>
        <v>#VALUE!</v>
      </c>
      <c r="BQ34" s="47">
        <f>_xll.qlPolynomialFunctionValue('3MSynthDepo_used'!$P$18,BD34,AllTriggers)</f>
        <v>9.9695083301627415E-4</v>
      </c>
    </row>
    <row r="35" spans="3:69" ht="12" customHeight="1" x14ac:dyDescent="0.2">
      <c r="D35" s="36" t="s">
        <v>49</v>
      </c>
      <c r="E35" s="36" t="s">
        <v>38</v>
      </c>
      <c r="F35" s="36" t="s">
        <v>39</v>
      </c>
      <c r="G35" s="136" t="str">
        <f>IF(COUNT(G$28:G$31)=2,"Linear","Quadratic")</f>
        <v>Quadratic</v>
      </c>
      <c r="H35" s="38" t="str">
        <f>IF(COUNT(H$28:H$31)=2,"Linear","Quadratic")</f>
        <v>Quadratic</v>
      </c>
      <c r="S35" s="38" t="str">
        <f t="shared" ref="S35:AB35" si="12">IF(COUNT(S$28:S$31)=2,"Linear","Quadratic")</f>
        <v>Quadratic</v>
      </c>
      <c r="T35" s="137" t="str">
        <f t="shared" si="12"/>
        <v>Quadratic</v>
      </c>
      <c r="U35" s="136" t="str">
        <f t="shared" si="12"/>
        <v>Quadratic</v>
      </c>
      <c r="V35" s="38" t="str">
        <f t="shared" si="12"/>
        <v>Quadratic</v>
      </c>
      <c r="W35" s="38" t="str">
        <f t="shared" si="12"/>
        <v>Quadratic</v>
      </c>
      <c r="X35" s="137" t="str">
        <f t="shared" si="12"/>
        <v>Quadratic</v>
      </c>
      <c r="Y35" s="136" t="str">
        <f t="shared" si="12"/>
        <v>Quadratic</v>
      </c>
      <c r="Z35" s="38" t="str">
        <f t="shared" si="12"/>
        <v>Quadratic</v>
      </c>
      <c r="AA35" s="38" t="str">
        <f t="shared" si="12"/>
        <v>Quadratic</v>
      </c>
      <c r="AB35" s="137" t="str">
        <f t="shared" si="12"/>
        <v>Quadratic</v>
      </c>
      <c r="AC35" s="255" t="s">
        <v>105</v>
      </c>
      <c r="BC35" s="178">
        <f>_xll.qlCalendarAdvance(Calendar,BC34,"1d","mf",,Trigger)</f>
        <v>42320</v>
      </c>
      <c r="BD35" s="41">
        <f>_xll.qlDayCounterYearFraction(DayCounter,SettlementDate,BC35,,,Trigger)</f>
        <v>0.11388888888888889</v>
      </c>
      <c r="BE35" s="47" t="e">
        <f>_xll.qlPolynomialFunctionValue(BE$1,$BD35,AllTriggers)</f>
        <v>#VALUE!</v>
      </c>
      <c r="BF35" s="47" t="e">
        <f>_xll.qlPolynomialFunctionValue(BF$1,$BD35,AllTriggers)</f>
        <v>#VALUE!</v>
      </c>
      <c r="BG35" s="47" t="e">
        <f>_xll.qlPolynomialFunctionValue(BG$1,$BD35,AllTriggers)</f>
        <v>#VALUE!</v>
      </c>
      <c r="BH35" s="47" t="e">
        <f>_xll.qlPolynomialFunctionValue(BH$1,$BD35,AllTriggers)</f>
        <v>#VALUE!</v>
      </c>
      <c r="BI35" s="47" t="e">
        <f>_xll.qlPolynomialFunctionValue(BI$1,$BD35,AllTriggers)</f>
        <v>#VALUE!</v>
      </c>
      <c r="BJ35" s="47" t="e">
        <f>_xll.qlPolynomialFunctionValue(BJ$1,$BD35,AllTriggers)</f>
        <v>#VALUE!</v>
      </c>
      <c r="BK35" s="47" t="e">
        <f>_xll.qlPolynomialFunctionValue(BK$1,$BD35,AllTriggers)</f>
        <v>#VALUE!</v>
      </c>
      <c r="BL35" s="47" t="e">
        <f>_xll.qlPolynomialFunctionValue(BL$1,$BD35,AllTriggers)</f>
        <v>#VALUE!</v>
      </c>
      <c r="BM35" s="47" t="e">
        <f>_xll.qlPolynomialFunctionValue(BM$1,$BD35,AllTriggers)</f>
        <v>#VALUE!</v>
      </c>
      <c r="BN35" s="47" t="e">
        <f>_xll.qlPolynomialFunctionValue(BN$1,$BD35,AllTriggers)</f>
        <v>#VALUE!</v>
      </c>
      <c r="BO35" s="47" t="e">
        <f>_xll.qlPolynomialFunctionValue(BO$1,$BD35,AllTriggers)</f>
        <v>#VALUE!</v>
      </c>
      <c r="BP35" s="47" t="e">
        <f>_xll.qlPolynomialFunctionValue(BP$1,$BD35,AllTriggers)</f>
        <v>#VALUE!</v>
      </c>
      <c r="BQ35" s="47">
        <f>_xll.qlPolynomialFunctionValue('3MSynthDepo_used'!$P$18,BD35,AllTriggers)</f>
        <v>9.9871065165459279E-4</v>
      </c>
    </row>
    <row r="36" spans="3:69" ht="12" customHeight="1" x14ac:dyDescent="0.2">
      <c r="C36" s="19">
        <v>0</v>
      </c>
      <c r="D36" s="45" t="s">
        <v>25</v>
      </c>
      <c r="E36" s="175">
        <f>_xll.qlCalendarAdvance(Calendar,SettlementDate,C36&amp;"M","mf",TRUE,Trigger)</f>
        <v>42279</v>
      </c>
      <c r="F36" s="245">
        <f>_xll.qlCalendarAdvance(Calendar,SettlementDate,D36,"Following",,Trigger)</f>
        <v>42282</v>
      </c>
      <c r="G36" s="253" t="e">
        <f>_xll.qlTenorBasisForwardRate2(G$27,$E36,$F36,InterestRatesTrigger)</f>
        <v>#VALUE!</v>
      </c>
      <c r="H36" s="193" t="e">
        <f>_xll.qlTenorBasisForwardRate2(H$27,$E36,$F36,InterestRatesTrigger)</f>
        <v>#VALUE!</v>
      </c>
      <c r="S36" s="193" t="e">
        <f>_xll.qlTenorBasisForwardRate2(S$27,$E36,$F36,InterestRatesTrigger)</f>
        <v>#VALUE!</v>
      </c>
      <c r="T36" s="254" t="e">
        <f>_xll.qlTenorBasisForwardRate2(T$27,$E36,$F36,InterestRatesTrigger)</f>
        <v>#VALUE!</v>
      </c>
      <c r="U36" s="253" t="e">
        <f>_xll.qlTenorBasisForwardRate2(U$27,$E36,$F36,InterestRatesTrigger)</f>
        <v>#VALUE!</v>
      </c>
      <c r="V36" s="193" t="e">
        <f>_xll.qlTenorBasisForwardRate2(V$27,$E36,$F36,InterestRatesTrigger)</f>
        <v>#VALUE!</v>
      </c>
      <c r="W36" s="193" t="e">
        <f>_xll.qlTenorBasisForwardRate2(W$27,$E36,$F36,InterestRatesTrigger)</f>
        <v>#VALUE!</v>
      </c>
      <c r="X36" s="254" t="e">
        <f>_xll.qlTenorBasisForwardRate2(X$27,$E36,$F36,InterestRatesTrigger)</f>
        <v>#VALUE!</v>
      </c>
      <c r="Y36" s="253" t="e">
        <f>_xll.qlTenorBasisForwardRate2(Y$27,$E36,$F36,InterestRatesTrigger)</f>
        <v>#VALUE!</v>
      </c>
      <c r="Z36" s="193" t="e">
        <f>_xll.qlTenorBasisForwardRate2(Z$27,$E36,$F36,InterestRatesTrigger)</f>
        <v>#VALUE!</v>
      </c>
      <c r="AA36" s="193" t="e">
        <f>_xll.qlTenorBasisForwardRate2(AA$27,$E36,$F36,InterestRatesTrigger)</f>
        <v>#VALUE!</v>
      </c>
      <c r="AB36" s="254" t="e">
        <f>_xll.qlTenorBasisForwardRate2(AB$27,$E36,$F36,InterestRatesTrigger)</f>
        <v>#VALUE!</v>
      </c>
      <c r="AC36" s="254">
        <f>'3MSynthDepo_used'!AA15</f>
        <v>-4.4795322825752493E-4</v>
      </c>
      <c r="BC36" s="178">
        <f>_xll.qlCalendarAdvance(Calendar,BC35,"1d","mf",,Trigger)</f>
        <v>42321</v>
      </c>
      <c r="BD36" s="41">
        <f>_xll.qlDayCounterYearFraction(DayCounter,SettlementDate,BC36,,,Trigger)</f>
        <v>0.11666666666666667</v>
      </c>
      <c r="BE36" s="47" t="e">
        <f>_xll.qlPolynomialFunctionValue(BE$1,$BD36,AllTriggers)</f>
        <v>#VALUE!</v>
      </c>
      <c r="BF36" s="47" t="e">
        <f>_xll.qlPolynomialFunctionValue(BF$1,$BD36,AllTriggers)</f>
        <v>#VALUE!</v>
      </c>
      <c r="BG36" s="47" t="e">
        <f>_xll.qlPolynomialFunctionValue(BG$1,$BD36,AllTriggers)</f>
        <v>#VALUE!</v>
      </c>
      <c r="BH36" s="47" t="e">
        <f>_xll.qlPolynomialFunctionValue(BH$1,$BD36,AllTriggers)</f>
        <v>#VALUE!</v>
      </c>
      <c r="BI36" s="47" t="e">
        <f>_xll.qlPolynomialFunctionValue(BI$1,$BD36,AllTriggers)</f>
        <v>#VALUE!</v>
      </c>
      <c r="BJ36" s="47" t="e">
        <f>_xll.qlPolynomialFunctionValue(BJ$1,$BD36,AllTriggers)</f>
        <v>#VALUE!</v>
      </c>
      <c r="BK36" s="47" t="e">
        <f>_xll.qlPolynomialFunctionValue(BK$1,$BD36,AllTriggers)</f>
        <v>#VALUE!</v>
      </c>
      <c r="BL36" s="47" t="e">
        <f>_xll.qlPolynomialFunctionValue(BL$1,$BD36,AllTriggers)</f>
        <v>#VALUE!</v>
      </c>
      <c r="BM36" s="47" t="e">
        <f>_xll.qlPolynomialFunctionValue(BM$1,$BD36,AllTriggers)</f>
        <v>#VALUE!</v>
      </c>
      <c r="BN36" s="47" t="e">
        <f>_xll.qlPolynomialFunctionValue(BN$1,$BD36,AllTriggers)</f>
        <v>#VALUE!</v>
      </c>
      <c r="BO36" s="47" t="e">
        <f>_xll.qlPolynomialFunctionValue(BO$1,$BD36,AllTriggers)</f>
        <v>#VALUE!</v>
      </c>
      <c r="BP36" s="47" t="e">
        <f>_xll.qlPolynomialFunctionValue(BP$1,$BD36,AllTriggers)</f>
        <v>#VALUE!</v>
      </c>
      <c r="BQ36" s="47">
        <f>_xll.qlPolynomialFunctionValue('3MSynthDepo_used'!$P$18,BD36,AllTriggers)</f>
        <v>1.0004646984134967E-3</v>
      </c>
    </row>
    <row r="37" spans="3:69" ht="12" customHeight="1" x14ac:dyDescent="0.2">
      <c r="C37" s="19">
        <v>0</v>
      </c>
      <c r="D37" s="48" t="s">
        <v>26</v>
      </c>
      <c r="E37" s="177">
        <f>_xll.qlCalendarAdvance(Calendar,SettlementDate,C37&amp;"M","mf",TRUE,Trigger)</f>
        <v>42279</v>
      </c>
      <c r="F37" s="246">
        <f>_xll.qlCalendarAdvance(Calendar,SettlementDate,D37,"Following",,Trigger)</f>
        <v>42286</v>
      </c>
      <c r="G37" s="138" t="e">
        <f>_xll.qlTenorBasisForwardRate2(G$27,$E37,$F37,InterestRatesTrigger)</f>
        <v>#VALUE!</v>
      </c>
      <c r="H37" s="128" t="e">
        <f>_xll.qlTenorBasisForwardRate2(H$27,$E37,$F37,InterestRatesTrigger)</f>
        <v>#VALUE!</v>
      </c>
      <c r="S37" s="128" t="e">
        <f>_xll.qlTenorBasisForwardRate2(S$27,$E37,$F37,InterestRatesTrigger)</f>
        <v>#VALUE!</v>
      </c>
      <c r="T37" s="139" t="e">
        <f>_xll.qlTenorBasisForwardRate2(T$27,$E37,$F37,InterestRatesTrigger)</f>
        <v>#VALUE!</v>
      </c>
      <c r="U37" s="138" t="e">
        <f>_xll.qlTenorBasisForwardRate2(U$27,$E37,$F37,InterestRatesTrigger)</f>
        <v>#VALUE!</v>
      </c>
      <c r="V37" s="128" t="e">
        <f>_xll.qlTenorBasisForwardRate2(V$27,$E37,$F37,InterestRatesTrigger)</f>
        <v>#VALUE!</v>
      </c>
      <c r="W37" s="128" t="e">
        <f>_xll.qlTenorBasisForwardRate2(W$27,$E37,$F37,InterestRatesTrigger)</f>
        <v>#VALUE!</v>
      </c>
      <c r="X37" s="139" t="e">
        <f>_xll.qlTenorBasisForwardRate2(X$27,$E37,$F37,InterestRatesTrigger)</f>
        <v>#VALUE!</v>
      </c>
      <c r="Y37" s="138" t="e">
        <f>_xll.qlTenorBasisForwardRate2(Y$27,$E37,$F37,InterestRatesTrigger)</f>
        <v>#VALUE!</v>
      </c>
      <c r="Z37" s="128" t="e">
        <f>_xll.qlTenorBasisForwardRate2(Z$27,$E37,$F37,InterestRatesTrigger)</f>
        <v>#VALUE!</v>
      </c>
      <c r="AA37" s="128" t="e">
        <f>_xll.qlTenorBasisForwardRate2(AA$27,$E37,$F37,InterestRatesTrigger)</f>
        <v>#VALUE!</v>
      </c>
      <c r="AB37" s="139" t="e">
        <f>_xll.qlTenorBasisForwardRate2(AB$27,$E37,$F37,InterestRatesTrigger)</f>
        <v>#VALUE!</v>
      </c>
      <c r="AC37" s="139">
        <f>'3MSynthDepo_used'!AA16</f>
        <v>-5.1417723808963188E-4</v>
      </c>
      <c r="BC37" s="178">
        <f>_xll.qlCalendarAdvance(Calendar,BC36,"1d","mf",,Trigger)</f>
        <v>42324</v>
      </c>
      <c r="BD37" s="41">
        <f>_xll.qlDayCounterYearFraction(DayCounter,SettlementDate,BC37,,,Trigger)</f>
        <v>0.125</v>
      </c>
      <c r="BE37" s="47" t="e">
        <f>_xll.qlPolynomialFunctionValue(BE$1,$BD37,AllTriggers)</f>
        <v>#VALUE!</v>
      </c>
      <c r="BF37" s="47" t="e">
        <f>_xll.qlPolynomialFunctionValue(BF$1,$BD37,AllTriggers)</f>
        <v>#VALUE!</v>
      </c>
      <c r="BG37" s="47" t="e">
        <f>_xll.qlPolynomialFunctionValue(BG$1,$BD37,AllTriggers)</f>
        <v>#VALUE!</v>
      </c>
      <c r="BH37" s="47" t="e">
        <f>_xll.qlPolynomialFunctionValue(BH$1,$BD37,AllTriggers)</f>
        <v>#VALUE!</v>
      </c>
      <c r="BI37" s="47" t="e">
        <f>_xll.qlPolynomialFunctionValue(BI$1,$BD37,AllTriggers)</f>
        <v>#VALUE!</v>
      </c>
      <c r="BJ37" s="47" t="e">
        <f>_xll.qlPolynomialFunctionValue(BJ$1,$BD37,AllTriggers)</f>
        <v>#VALUE!</v>
      </c>
      <c r="BK37" s="47" t="e">
        <f>_xll.qlPolynomialFunctionValue(BK$1,$BD37,AllTriggers)</f>
        <v>#VALUE!</v>
      </c>
      <c r="BL37" s="47" t="e">
        <f>_xll.qlPolynomialFunctionValue(BL$1,$BD37,AllTriggers)</f>
        <v>#VALUE!</v>
      </c>
      <c r="BM37" s="47" t="e">
        <f>_xll.qlPolynomialFunctionValue(BM$1,$BD37,AllTriggers)</f>
        <v>#VALUE!</v>
      </c>
      <c r="BN37" s="47" t="e">
        <f>_xll.qlPolynomialFunctionValue(BN$1,$BD37,AllTriggers)</f>
        <v>#VALUE!</v>
      </c>
      <c r="BO37" s="47" t="e">
        <f>_xll.qlPolynomialFunctionValue(BO$1,$BD37,AllTriggers)</f>
        <v>#VALUE!</v>
      </c>
      <c r="BP37" s="47" t="e">
        <f>_xll.qlPolynomialFunctionValue(BP$1,$BD37,AllTriggers)</f>
        <v>#VALUE!</v>
      </c>
      <c r="BQ37" s="47">
        <f>_xll.qlPolynomialFunctionValue('3MSynthDepo_used'!$P$18,BD37,AllTriggers)</f>
        <v>1.0056923211951365E-3</v>
      </c>
    </row>
    <row r="38" spans="3:69" ht="12" customHeight="1" x14ac:dyDescent="0.2">
      <c r="C38" s="19">
        <v>0</v>
      </c>
      <c r="D38" s="48" t="s">
        <v>27</v>
      </c>
      <c r="E38" s="177">
        <f>_xll.qlCalendarAdvance(Calendar,SettlementDate,C38&amp;"M","mf",TRUE,Trigger)</f>
        <v>42279</v>
      </c>
      <c r="F38" s="246">
        <f>_xll.qlCalendarAdvance(Calendar,SettlementDate,D38,"Following",,Trigger)</f>
        <v>42293</v>
      </c>
      <c r="G38" s="138" t="e">
        <f>_xll.qlTenorBasisForwardRate2(G$27,$E38,$F38,InterestRatesTrigger)</f>
        <v>#VALUE!</v>
      </c>
      <c r="H38" s="128" t="e">
        <f>_xll.qlTenorBasisForwardRate2(H$27,$E38,$F38,InterestRatesTrigger)</f>
        <v>#VALUE!</v>
      </c>
      <c r="S38" s="128" t="e">
        <f>_xll.qlTenorBasisForwardRate2(S$27,$E38,$F38,InterestRatesTrigger)</f>
        <v>#VALUE!</v>
      </c>
      <c r="T38" s="139" t="e">
        <f>_xll.qlTenorBasisForwardRate2(T$27,$E38,$F38,InterestRatesTrigger)</f>
        <v>#VALUE!</v>
      </c>
      <c r="U38" s="138" t="e">
        <f>_xll.qlTenorBasisForwardRate2(U$27,$E38,$F38,InterestRatesTrigger)</f>
        <v>#VALUE!</v>
      </c>
      <c r="V38" s="128" t="e">
        <f>_xll.qlTenorBasisForwardRate2(V$27,$E38,$F38,InterestRatesTrigger)</f>
        <v>#VALUE!</v>
      </c>
      <c r="W38" s="128" t="e">
        <f>_xll.qlTenorBasisForwardRate2(W$27,$E38,$F38,InterestRatesTrigger)</f>
        <v>#VALUE!</v>
      </c>
      <c r="X38" s="139" t="e">
        <f>_xll.qlTenorBasisForwardRate2(X$27,$E38,$F38,InterestRatesTrigger)</f>
        <v>#VALUE!</v>
      </c>
      <c r="Y38" s="138" t="e">
        <f>_xll.qlTenorBasisForwardRate2(Y$27,$E38,$F38,InterestRatesTrigger)</f>
        <v>#VALUE!</v>
      </c>
      <c r="Z38" s="128" t="e">
        <f>_xll.qlTenorBasisForwardRate2(Z$27,$E38,$F38,InterestRatesTrigger)</f>
        <v>#VALUE!</v>
      </c>
      <c r="AA38" s="128" t="e">
        <f>_xll.qlTenorBasisForwardRate2(AA$27,$E38,$F38,InterestRatesTrigger)</f>
        <v>#VALUE!</v>
      </c>
      <c r="AB38" s="139" t="e">
        <f>_xll.qlTenorBasisForwardRate2(AB$27,$E38,$F38,InterestRatesTrigger)</f>
        <v>#VALUE!</v>
      </c>
      <c r="AC38" s="139">
        <f>'3MSynthDepo_used'!AA17</f>
        <v>-5.0752002275349691E-4</v>
      </c>
      <c r="BC38" s="178">
        <f>_xll.qlCalendarAdvance(Calendar,BC37,"1d","mf",,Trigger)</f>
        <v>42325</v>
      </c>
      <c r="BD38" s="41">
        <f>_xll.qlDayCounterYearFraction(DayCounter,SettlementDate,BC38,,,Trigger)</f>
        <v>0.12777777777777777</v>
      </c>
      <c r="BE38" s="47" t="e">
        <f>_xll.qlPolynomialFunctionValue(BE$1,$BD38,AllTriggers)</f>
        <v>#VALUE!</v>
      </c>
      <c r="BF38" s="47" t="e">
        <f>_xll.qlPolynomialFunctionValue(BF$1,$BD38,AllTriggers)</f>
        <v>#VALUE!</v>
      </c>
      <c r="BG38" s="47" t="e">
        <f>_xll.qlPolynomialFunctionValue(BG$1,$BD38,AllTriggers)</f>
        <v>#VALUE!</v>
      </c>
      <c r="BH38" s="47" t="e">
        <f>_xll.qlPolynomialFunctionValue(BH$1,$BD38,AllTriggers)</f>
        <v>#VALUE!</v>
      </c>
      <c r="BI38" s="47" t="e">
        <f>_xll.qlPolynomialFunctionValue(BI$1,$BD38,AllTriggers)</f>
        <v>#VALUE!</v>
      </c>
      <c r="BJ38" s="47" t="e">
        <f>_xll.qlPolynomialFunctionValue(BJ$1,$BD38,AllTriggers)</f>
        <v>#VALUE!</v>
      </c>
      <c r="BK38" s="47" t="e">
        <f>_xll.qlPolynomialFunctionValue(BK$1,$BD38,AllTriggers)</f>
        <v>#VALUE!</v>
      </c>
      <c r="BL38" s="47" t="e">
        <f>_xll.qlPolynomialFunctionValue(BL$1,$BD38,AllTriggers)</f>
        <v>#VALUE!</v>
      </c>
      <c r="BM38" s="47" t="e">
        <f>_xll.qlPolynomialFunctionValue(BM$1,$BD38,AllTriggers)</f>
        <v>#VALUE!</v>
      </c>
      <c r="BN38" s="47" t="e">
        <f>_xll.qlPolynomialFunctionValue(BN$1,$BD38,AllTriggers)</f>
        <v>#VALUE!</v>
      </c>
      <c r="BO38" s="47" t="e">
        <f>_xll.qlPolynomialFunctionValue(BO$1,$BD38,AllTriggers)</f>
        <v>#VALUE!</v>
      </c>
      <c r="BP38" s="47" t="e">
        <f>_xll.qlPolynomialFunctionValue(BP$1,$BD38,AllTriggers)</f>
        <v>#VALUE!</v>
      </c>
      <c r="BQ38" s="47">
        <f>_xll.qlPolynomialFunctionValue('3MSynthDepo_used'!$P$18,BD38,AllTriggers)</f>
        <v>1.0074233942178002E-3</v>
      </c>
    </row>
    <row r="39" spans="3:69" x14ac:dyDescent="0.2">
      <c r="C39" s="19">
        <v>0</v>
      </c>
      <c r="D39" s="48" t="s">
        <v>28</v>
      </c>
      <c r="E39" s="177">
        <f>_xll.qlCalendarAdvance(Calendar,SettlementDate,C39&amp;"M","mf",TRUE,Trigger)</f>
        <v>42279</v>
      </c>
      <c r="F39" s="246">
        <f>_xll.qlCalendarAdvance(Calendar,SettlementDate,D39,"Following",,Trigger)</f>
        <v>42300</v>
      </c>
      <c r="G39" s="138" t="e">
        <f>_xll.qlTenorBasisForwardRate2(G$27,$E39,$F39,InterestRatesTrigger)</f>
        <v>#VALUE!</v>
      </c>
      <c r="H39" s="128" t="e">
        <f>_xll.qlTenorBasisForwardRate2(H$27,$E39,$F39,InterestRatesTrigger)</f>
        <v>#VALUE!</v>
      </c>
      <c r="S39" s="128" t="e">
        <f>_xll.qlTenorBasisForwardRate2(S$27,$E39,$F39,InterestRatesTrigger)</f>
        <v>#VALUE!</v>
      </c>
      <c r="T39" s="139" t="e">
        <f>_xll.qlTenorBasisForwardRate2(T$27,$E39,$F39,InterestRatesTrigger)</f>
        <v>#VALUE!</v>
      </c>
      <c r="U39" s="138" t="e">
        <f>_xll.qlTenorBasisForwardRate2(U$27,$E39,$F39,InterestRatesTrigger)</f>
        <v>#VALUE!</v>
      </c>
      <c r="V39" s="128" t="e">
        <f>_xll.qlTenorBasisForwardRate2(V$27,$E39,$F39,InterestRatesTrigger)</f>
        <v>#VALUE!</v>
      </c>
      <c r="W39" s="128" t="e">
        <f>_xll.qlTenorBasisForwardRate2(W$27,$E39,$F39,InterestRatesTrigger)</f>
        <v>#VALUE!</v>
      </c>
      <c r="X39" s="139" t="e">
        <f>_xll.qlTenorBasisForwardRate2(X$27,$E39,$F39,InterestRatesTrigger)</f>
        <v>#VALUE!</v>
      </c>
      <c r="Y39" s="138" t="e">
        <f>_xll.qlTenorBasisForwardRate2(Y$27,$E39,$F39,InterestRatesTrigger)</f>
        <v>#VALUE!</v>
      </c>
      <c r="Z39" s="128" t="e">
        <f>_xll.qlTenorBasisForwardRate2(Z$27,$E39,$F39,InterestRatesTrigger)</f>
        <v>#VALUE!</v>
      </c>
      <c r="AA39" s="128" t="e">
        <f>_xll.qlTenorBasisForwardRate2(AA$27,$E39,$F39,InterestRatesTrigger)</f>
        <v>#VALUE!</v>
      </c>
      <c r="AB39" s="139" t="e">
        <f>_xll.qlTenorBasisForwardRate2(AB$27,$E39,$F39,InterestRatesTrigger)</f>
        <v>#VALUE!</v>
      </c>
      <c r="AC39" s="139">
        <f>'3MSynthDepo_used'!AA18</f>
        <v>-5.0095885035477447E-4</v>
      </c>
      <c r="BC39" s="178">
        <f>_xll.qlCalendarAdvance(Calendar,BC38,"1d","mf",,Trigger)</f>
        <v>42326</v>
      </c>
      <c r="BD39" s="41">
        <f>_xll.qlDayCounterYearFraction(DayCounter,SettlementDate,BC39,,,Trigger)</f>
        <v>0.13055555555555556</v>
      </c>
      <c r="BE39" s="47" t="e">
        <f>_xll.qlPolynomialFunctionValue(BE$1,$BD39,AllTriggers)</f>
        <v>#VALUE!</v>
      </c>
      <c r="BF39" s="47" t="e">
        <f>_xll.qlPolynomialFunctionValue(BF$1,$BD39,AllTriggers)</f>
        <v>#VALUE!</v>
      </c>
      <c r="BG39" s="47" t="e">
        <f>_xll.qlPolynomialFunctionValue(BG$1,$BD39,AllTriggers)</f>
        <v>#VALUE!</v>
      </c>
      <c r="BH39" s="47" t="e">
        <f>_xll.qlPolynomialFunctionValue(BH$1,$BD39,AllTriggers)</f>
        <v>#VALUE!</v>
      </c>
      <c r="BI39" s="47" t="e">
        <f>_xll.qlPolynomialFunctionValue(BI$1,$BD39,AllTriggers)</f>
        <v>#VALUE!</v>
      </c>
      <c r="BJ39" s="47" t="e">
        <f>_xll.qlPolynomialFunctionValue(BJ$1,$BD39,AllTriggers)</f>
        <v>#VALUE!</v>
      </c>
      <c r="BK39" s="47" t="e">
        <f>_xll.qlPolynomialFunctionValue(BK$1,$BD39,AllTriggers)</f>
        <v>#VALUE!</v>
      </c>
      <c r="BL39" s="47" t="e">
        <f>_xll.qlPolynomialFunctionValue(BL$1,$BD39,AllTriggers)</f>
        <v>#VALUE!</v>
      </c>
      <c r="BM39" s="47" t="e">
        <f>_xll.qlPolynomialFunctionValue(BM$1,$BD39,AllTriggers)</f>
        <v>#VALUE!</v>
      </c>
      <c r="BN39" s="47" t="e">
        <f>_xll.qlPolynomialFunctionValue(BN$1,$BD39,AllTriggers)</f>
        <v>#VALUE!</v>
      </c>
      <c r="BO39" s="47" t="e">
        <f>_xll.qlPolynomialFunctionValue(BO$1,$BD39,AllTriggers)</f>
        <v>#VALUE!</v>
      </c>
      <c r="BP39" s="47" t="e">
        <f>_xll.qlPolynomialFunctionValue(BP$1,$BD39,AllTriggers)</f>
        <v>#VALUE!</v>
      </c>
      <c r="BQ39" s="47">
        <f>_xll.qlPolynomialFunctionValue('3MSynthDepo_used'!$P$18,BD39,AllTriggers)</f>
        <v>1.009148752251759E-3</v>
      </c>
    </row>
    <row r="40" spans="3:69" x14ac:dyDescent="0.2">
      <c r="C40" s="19">
        <v>0</v>
      </c>
      <c r="D40" s="129" t="s">
        <v>22</v>
      </c>
      <c r="E40" s="179">
        <f>_xll.qlCalendarAdvance(Calendar,SettlementDate,C40&amp;"M","mf",TRUE,Trigger)</f>
        <v>42279</v>
      </c>
      <c r="F40" s="247">
        <f>_xll.qlCalendarAdvance(Calendar,SettlementDate,D40,"mf",TRUE,Trigger)</f>
        <v>42310</v>
      </c>
      <c r="G40" s="140" t="e">
        <f>_xll.qlTenorBasisForwardRate2(G$27,$E40,$F40,InterestRatesTrigger)</f>
        <v>#VALUE!</v>
      </c>
      <c r="H40" s="131" t="e">
        <f>_xll.qlTenorBasisForwardRate2(H$27,$E40,$F40,InterestRatesTrigger)</f>
        <v>#VALUE!</v>
      </c>
      <c r="S40" s="131" t="e">
        <f>_xll.qlTenorBasisForwardRate2(S$27,$E40,$F40,InterestRatesTrigger)</f>
        <v>#VALUE!</v>
      </c>
      <c r="T40" s="141" t="e">
        <f>_xll.qlTenorBasisForwardRate2(T$27,$E40,$F40,InterestRatesTrigger)</f>
        <v>#VALUE!</v>
      </c>
      <c r="U40" s="140" t="e">
        <f>_xll.qlTenorBasisForwardRate2(U$27,$E40,$F40,InterestRatesTrigger)</f>
        <v>#VALUE!</v>
      </c>
      <c r="V40" s="131" t="e">
        <f>_xll.qlTenorBasisForwardRate2(V$27,$E40,$F40,InterestRatesTrigger)</f>
        <v>#VALUE!</v>
      </c>
      <c r="W40" s="131" t="e">
        <f>_xll.qlTenorBasisForwardRate2(W$27,$E40,$F40,InterestRatesTrigger)</f>
        <v>#VALUE!</v>
      </c>
      <c r="X40" s="141" t="e">
        <f>_xll.qlTenorBasisForwardRate2(X$27,$E40,$F40,InterestRatesTrigger)</f>
        <v>#VALUE!</v>
      </c>
      <c r="Y40" s="140" t="e">
        <f>_xll.qlTenorBasisForwardRate2(Y$27,$E40,$F40,InterestRatesTrigger)</f>
        <v>#VALUE!</v>
      </c>
      <c r="Z40" s="131" t="e">
        <f>_xll.qlTenorBasisForwardRate2(Z$27,$E40,$F40,InterestRatesTrigger)</f>
        <v>#VALUE!</v>
      </c>
      <c r="AA40" s="131" t="e">
        <f>_xll.qlTenorBasisForwardRate2(AA$27,$E40,$F40,InterestRatesTrigger)</f>
        <v>#VALUE!</v>
      </c>
      <c r="AB40" s="141" t="e">
        <f>_xll.qlTenorBasisForwardRate2(AB$27,$E40,$F40,InterestRatesTrigger)</f>
        <v>#VALUE!</v>
      </c>
      <c r="AC40" s="141">
        <f>'3MSynthDepo_used'!AA19</f>
        <v>-4.6174809013914186E-4</v>
      </c>
      <c r="BC40" s="178">
        <f>_xll.qlCalendarAdvance(Calendar,BC39,"1d","mf",,Trigger)</f>
        <v>42327</v>
      </c>
      <c r="BD40" s="41">
        <f>_xll.qlDayCounterYearFraction(DayCounter,SettlementDate,BC40,,,Trigger)</f>
        <v>0.13333333333333333</v>
      </c>
      <c r="BE40" s="47" t="e">
        <f>_xll.qlPolynomialFunctionValue(BE$1,$BD40,AllTriggers)</f>
        <v>#VALUE!</v>
      </c>
      <c r="BF40" s="47" t="e">
        <f>_xll.qlPolynomialFunctionValue(BF$1,$BD40,AllTriggers)</f>
        <v>#VALUE!</v>
      </c>
      <c r="BG40" s="47" t="e">
        <f>_xll.qlPolynomialFunctionValue(BG$1,$BD40,AllTriggers)</f>
        <v>#VALUE!</v>
      </c>
      <c r="BH40" s="47" t="e">
        <f>_xll.qlPolynomialFunctionValue(BH$1,$BD40,AllTriggers)</f>
        <v>#VALUE!</v>
      </c>
      <c r="BI40" s="47" t="e">
        <f>_xll.qlPolynomialFunctionValue(BI$1,$BD40,AllTriggers)</f>
        <v>#VALUE!</v>
      </c>
      <c r="BJ40" s="47" t="e">
        <f>_xll.qlPolynomialFunctionValue(BJ$1,$BD40,AllTriggers)</f>
        <v>#VALUE!</v>
      </c>
      <c r="BK40" s="47" t="e">
        <f>_xll.qlPolynomialFunctionValue(BK$1,$BD40,AllTriggers)</f>
        <v>#VALUE!</v>
      </c>
      <c r="BL40" s="47" t="e">
        <f>_xll.qlPolynomialFunctionValue(BL$1,$BD40,AllTriggers)</f>
        <v>#VALUE!</v>
      </c>
      <c r="BM40" s="47" t="e">
        <f>_xll.qlPolynomialFunctionValue(BM$1,$BD40,AllTriggers)</f>
        <v>#VALUE!</v>
      </c>
      <c r="BN40" s="47" t="e">
        <f>_xll.qlPolynomialFunctionValue(BN$1,$BD40,AllTriggers)</f>
        <v>#VALUE!</v>
      </c>
      <c r="BO40" s="47" t="e">
        <f>_xll.qlPolynomialFunctionValue(BO$1,$BD40,AllTriggers)</f>
        <v>#VALUE!</v>
      </c>
      <c r="BP40" s="47" t="e">
        <f>_xll.qlPolynomialFunctionValue(BP$1,$BD40,AllTriggers)</f>
        <v>#VALUE!</v>
      </c>
      <c r="BQ40" s="47">
        <f>_xll.qlPolynomialFunctionValue('3MSynthDepo_used'!$P$18,BD40,AllTriggers)</f>
        <v>1.0108684066751548E-3</v>
      </c>
    </row>
    <row r="41" spans="3:69" x14ac:dyDescent="0.2">
      <c r="C41" s="19">
        <v>0</v>
      </c>
      <c r="D41" s="48" t="s">
        <v>29</v>
      </c>
      <c r="E41" s="177">
        <f>_xll.qlCalendarAdvance(Calendar,SettlementDate,C41&amp;"M","mf",TRUE,Trigger)</f>
        <v>42279</v>
      </c>
      <c r="F41" s="246">
        <f>_xll.qlCalendarAdvance(Calendar,SettlementDate,D41,"mf",TRUE,Trigger)</f>
        <v>42340</v>
      </c>
      <c r="G41" s="138" t="e">
        <f>_xll.qlTenorBasisForwardRate2(G$27,$E41,$F41,InterestRatesTrigger)</f>
        <v>#VALUE!</v>
      </c>
      <c r="H41" s="128" t="e">
        <f>_xll.qlTenorBasisForwardRate2(H$27,$E41,$F41,InterestRatesTrigger)</f>
        <v>#VALUE!</v>
      </c>
      <c r="S41" s="128" t="e">
        <f>_xll.qlTenorBasisForwardRate2(S$27,$E41,$F41,InterestRatesTrigger)</f>
        <v>#VALUE!</v>
      </c>
      <c r="T41" s="139" t="e">
        <f>_xll.qlTenorBasisForwardRate2(T$27,$E41,$F41,InterestRatesTrigger)</f>
        <v>#VALUE!</v>
      </c>
      <c r="U41" s="138" t="e">
        <f>_xll.qlTenorBasisForwardRate2(U$27,$E41,$F41,InterestRatesTrigger)</f>
        <v>#VALUE!</v>
      </c>
      <c r="V41" s="128" t="e">
        <f>_xll.qlTenorBasisForwardRate2(V$27,$E41,$F41,InterestRatesTrigger)</f>
        <v>#VALUE!</v>
      </c>
      <c r="W41" s="128" t="e">
        <f>_xll.qlTenorBasisForwardRate2(W$27,$E41,$F41,InterestRatesTrigger)</f>
        <v>#VALUE!</v>
      </c>
      <c r="X41" s="139" t="e">
        <f>_xll.qlTenorBasisForwardRate2(X$27,$E41,$F41,InterestRatesTrigger)</f>
        <v>#VALUE!</v>
      </c>
      <c r="Y41" s="138" t="e">
        <f>_xll.qlTenorBasisForwardRate2(Y$27,$E41,$F41,InterestRatesTrigger)</f>
        <v>#VALUE!</v>
      </c>
      <c r="Z41" s="128" t="e">
        <f>_xll.qlTenorBasisForwardRate2(Z$27,$E41,$F41,InterestRatesTrigger)</f>
        <v>#VALUE!</v>
      </c>
      <c r="AA41" s="128" t="e">
        <f>_xll.qlTenorBasisForwardRate2(AA$27,$E41,$F41,InterestRatesTrigger)</f>
        <v>#VALUE!</v>
      </c>
      <c r="AB41" s="139" t="e">
        <f>_xll.qlTenorBasisForwardRate2(AB$27,$E41,$F41,InterestRatesTrigger)</f>
        <v>#VALUE!</v>
      </c>
      <c r="AC41" s="139">
        <f>'3MSynthDepo_used'!AA20</f>
        <v>-4.6758850162235803E-4</v>
      </c>
      <c r="AD41" s="132" t="str">
        <f>"Fixing "&amp;DAY(_xll.qlInterestRateIndexFixingDate($D$25,'6MSynthDepo_used'!G4))&amp;"/"&amp;MONTH(_xll.qlInterestRateIndexFixingDate($D$25,'6MSynthDepo_used'!G4))</f>
        <v>Fixing 30/9</v>
      </c>
      <c r="BC41" s="178">
        <f>_xll.qlCalendarAdvance(Calendar,BC40,"1d","mf",,Trigger)</f>
        <v>42328</v>
      </c>
      <c r="BD41" s="41">
        <f>_xll.qlDayCounterYearFraction(DayCounter,SettlementDate,BC41,,,Trigger)</f>
        <v>0.1361111111111111</v>
      </c>
      <c r="BE41" s="47" t="e">
        <f>_xll.qlPolynomialFunctionValue(BE$1,$BD41,AllTriggers)</f>
        <v>#VALUE!</v>
      </c>
      <c r="BF41" s="47" t="e">
        <f>_xll.qlPolynomialFunctionValue(BF$1,$BD41,AllTriggers)</f>
        <v>#VALUE!</v>
      </c>
      <c r="BG41" s="47" t="e">
        <f>_xll.qlPolynomialFunctionValue(BG$1,$BD41,AllTriggers)</f>
        <v>#VALUE!</v>
      </c>
      <c r="BH41" s="47" t="e">
        <f>_xll.qlPolynomialFunctionValue(BH$1,$BD41,AllTriggers)</f>
        <v>#VALUE!</v>
      </c>
      <c r="BI41" s="47" t="e">
        <f>_xll.qlPolynomialFunctionValue(BI$1,$BD41,AllTriggers)</f>
        <v>#VALUE!</v>
      </c>
      <c r="BJ41" s="47" t="e">
        <f>_xll.qlPolynomialFunctionValue(BJ$1,$BD41,AllTriggers)</f>
        <v>#VALUE!</v>
      </c>
      <c r="BK41" s="47" t="e">
        <f>_xll.qlPolynomialFunctionValue(BK$1,$BD41,AllTriggers)</f>
        <v>#VALUE!</v>
      </c>
      <c r="BL41" s="47" t="e">
        <f>_xll.qlPolynomialFunctionValue(BL$1,$BD41,AllTriggers)</f>
        <v>#VALUE!</v>
      </c>
      <c r="BM41" s="47" t="e">
        <f>_xll.qlPolynomialFunctionValue(BM$1,$BD41,AllTriggers)</f>
        <v>#VALUE!</v>
      </c>
      <c r="BN41" s="47" t="e">
        <f>_xll.qlPolynomialFunctionValue(BN$1,$BD41,AllTriggers)</f>
        <v>#VALUE!</v>
      </c>
      <c r="BO41" s="47" t="e">
        <f>_xll.qlPolynomialFunctionValue(BO$1,$BD41,AllTriggers)</f>
        <v>#VALUE!</v>
      </c>
      <c r="BP41" s="47" t="e">
        <f>_xll.qlPolynomialFunctionValue(BP$1,$BD41,AllTriggers)</f>
        <v>#VALUE!</v>
      </c>
      <c r="BQ41" s="47">
        <f>_xll.qlPolynomialFunctionValue('3MSynthDepo_used'!$P$18,BD41,AllTriggers)</f>
        <v>1.0125823688661299E-3</v>
      </c>
    </row>
    <row r="42" spans="3:69" ht="12" thickBot="1" x14ac:dyDescent="0.25">
      <c r="C42" s="19">
        <v>0</v>
      </c>
      <c r="D42" s="127" t="s">
        <v>23</v>
      </c>
      <c r="E42" s="183">
        <f>_xll.qlCalendarAdvance(Calendar,SettlementDate,C42&amp;"M","mf",TRUE,Trigger)</f>
        <v>42279</v>
      </c>
      <c r="F42" s="249">
        <f>_xll.qlCalendarAdvance(Calendar,SettlementDate,D42,"mf",TRUE,Trigger)</f>
        <v>42373</v>
      </c>
      <c r="G42" s="144" t="e">
        <f>_xll.qlTenorBasisForwardRate2(G$27,$E42,$F42,InterestRatesTrigger)</f>
        <v>#VALUE!</v>
      </c>
      <c r="H42" s="145" t="e">
        <f>_xll.qlTenorBasisForwardRate2(H$27,$E42,$F42,InterestRatesTrigger)</f>
        <v>#VALUE!</v>
      </c>
      <c r="S42" s="145" t="e">
        <f>_xll.qlTenorBasisForwardRate2(S$27,$E42,$F42,InterestRatesTrigger)</f>
        <v>#VALUE!</v>
      </c>
      <c r="T42" s="146" t="e">
        <f>_xll.qlTenorBasisForwardRate2(T$27,$E42,$F42,InterestRatesTrigger)</f>
        <v>#VALUE!</v>
      </c>
      <c r="U42" s="145" t="e">
        <f>_xll.qlTenorBasisForwardRate2(U$27,$E42,$F42,InterestRatesTrigger)</f>
        <v>#VALUE!</v>
      </c>
      <c r="V42" s="145" t="e">
        <f>_xll.qlTenorBasisForwardRate2(V$27,$E42,$F42,InterestRatesTrigger)</f>
        <v>#VALUE!</v>
      </c>
      <c r="W42" s="145" t="e">
        <f>_xll.qlTenorBasisForwardRate2(W$27,$E42,$F42,InterestRatesTrigger)</f>
        <v>#VALUE!</v>
      </c>
      <c r="X42" s="146" t="e">
        <f>_xll.qlTenorBasisForwardRate2(X$27,$E42,$F42,InterestRatesTrigger)</f>
        <v>#VALUE!</v>
      </c>
      <c r="Y42" s="144" t="e">
        <f>_xll.qlTenorBasisForwardRate2(Y$27,$E42,$F42,InterestRatesTrigger)</f>
        <v>#VALUE!</v>
      </c>
      <c r="Z42" s="145" t="e">
        <f>_xll.qlTenorBasisForwardRate2(Z$27,$E42,$F42,InterestRatesTrigger)</f>
        <v>#VALUE!</v>
      </c>
      <c r="AA42" s="145" t="e">
        <f>_xll.qlTenorBasisForwardRate2(AA$27,$E42,$F42,InterestRatesTrigger)</f>
        <v>#VALUE!</v>
      </c>
      <c r="AB42" s="146" t="e">
        <f>_xll.qlTenorBasisForwardRate2(AB$27,$E42,$F42,InterestRatesTrigger)</f>
        <v>#VALUE!</v>
      </c>
      <c r="AC42" s="146">
        <f>'3MSynthDepo_used'!AA21</f>
        <v>-4.5667881399033962E-4</v>
      </c>
      <c r="AD42" s="144">
        <f>'3MSynthDepo_used'!$I$4</f>
        <v>-4.0000000000000002E-4</v>
      </c>
      <c r="BC42" s="178">
        <f>_xll.qlCalendarAdvance(Calendar,BC41,"1d","mf",,Trigger)</f>
        <v>42331</v>
      </c>
      <c r="BD42" s="41">
        <f>_xll.qlDayCounterYearFraction(DayCounter,SettlementDate,BC42,,,Trigger)</f>
        <v>0.14444444444444443</v>
      </c>
      <c r="BE42" s="47" t="e">
        <f>_xll.qlPolynomialFunctionValue(BE$1,$BD42,AllTriggers)</f>
        <v>#VALUE!</v>
      </c>
      <c r="BF42" s="47" t="e">
        <f>_xll.qlPolynomialFunctionValue(BF$1,$BD42,AllTriggers)</f>
        <v>#VALUE!</v>
      </c>
      <c r="BG42" s="47" t="e">
        <f>_xll.qlPolynomialFunctionValue(BG$1,$BD42,AllTriggers)</f>
        <v>#VALUE!</v>
      </c>
      <c r="BH42" s="47" t="e">
        <f>_xll.qlPolynomialFunctionValue(BH$1,$BD42,AllTriggers)</f>
        <v>#VALUE!</v>
      </c>
      <c r="BI42" s="47" t="e">
        <f>_xll.qlPolynomialFunctionValue(BI$1,$BD42,AllTriggers)</f>
        <v>#VALUE!</v>
      </c>
      <c r="BJ42" s="47" t="e">
        <f>_xll.qlPolynomialFunctionValue(BJ$1,$BD42,AllTriggers)</f>
        <v>#VALUE!</v>
      </c>
      <c r="BK42" s="47" t="e">
        <f>_xll.qlPolynomialFunctionValue(BK$1,$BD42,AllTriggers)</f>
        <v>#VALUE!</v>
      </c>
      <c r="BL42" s="47" t="e">
        <f>_xll.qlPolynomialFunctionValue(BL$1,$BD42,AllTriggers)</f>
        <v>#VALUE!</v>
      </c>
      <c r="BM42" s="47" t="e">
        <f>_xll.qlPolynomialFunctionValue(BM$1,$BD42,AllTriggers)</f>
        <v>#VALUE!</v>
      </c>
      <c r="BN42" s="47" t="e">
        <f>_xll.qlPolynomialFunctionValue(BN$1,$BD42,AllTriggers)</f>
        <v>#VALUE!</v>
      </c>
      <c r="BO42" s="47" t="e">
        <f>_xll.qlPolynomialFunctionValue(BO$1,$BD42,AllTriggers)</f>
        <v>#VALUE!</v>
      </c>
      <c r="BP42" s="47" t="e">
        <f>_xll.qlPolynomialFunctionValue(BP$1,$BD42,AllTriggers)</f>
        <v>#VALUE!</v>
      </c>
      <c r="BQ42" s="47">
        <f>_xll.qlPolynomialFunctionValue('3MSynthDepo_used'!$P$18,BD42,AllTriggers)</f>
        <v>1.0176902158259506E-3</v>
      </c>
    </row>
    <row r="43" spans="3:69" ht="11.25" customHeight="1" x14ac:dyDescent="0.2">
      <c r="C43" s="19">
        <v>1</v>
      </c>
      <c r="D43" s="45" t="str">
        <f>C43+SUBSTITUTE($D$24,"M","")&amp;"M"</f>
        <v>4M</v>
      </c>
      <c r="E43" s="175">
        <f>_xll.qlCalendarAdvance(Calendar,SettlementDate,C43&amp;"M","mf",TRUE,Trigger)</f>
        <v>42310</v>
      </c>
      <c r="F43" s="270">
        <f>_xll.qlInterestRateIndexMaturity($D$25,E43,Trigger)</f>
        <v>42402</v>
      </c>
      <c r="G43" s="155" t="e">
        <f>_xll.qlTenorBasisForwardRate2(G$27,$E43,$F43,InterestRatesTrigger)</f>
        <v>#VALUE!</v>
      </c>
      <c r="H43" s="47" t="e">
        <f>_xll.qlTenorBasisForwardRate2(H$27,$E43,$F43,InterestRatesTrigger)</f>
        <v>#VALUE!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47" t="e">
        <f>_xll.qlTenorBasisForwardRate2(S$27,$E43,$F43,InterestRatesTrigger)</f>
        <v>#VALUE!</v>
      </c>
      <c r="T43" s="154" t="e">
        <f>_xll.qlTenorBasisForwardRate2(T$27,$E43,$F43,InterestRatesTrigger)</f>
        <v>#VALUE!</v>
      </c>
      <c r="U43" s="47" t="e">
        <f>_xll.qlTenorBasisForwardRate2(U$27,$E43,$F43,InterestRatesTrigger)</f>
        <v>#VALUE!</v>
      </c>
      <c r="V43" s="47" t="e">
        <f>_xll.qlTenorBasisForwardRate2(V$27,$E43,$F43,InterestRatesTrigger)</f>
        <v>#VALUE!</v>
      </c>
      <c r="W43" s="47" t="e">
        <f>_xll.qlTenorBasisForwardRate2(W$27,$E43,$F43,InterestRatesTrigger)</f>
        <v>#VALUE!</v>
      </c>
      <c r="X43" s="154" t="e">
        <f>_xll.qlTenorBasisForwardRate2(X$27,$E43,$F43,InterestRatesTrigger)</f>
        <v>#VALUE!</v>
      </c>
      <c r="Y43" s="155" t="e">
        <f>_xll.qlTenorBasisForwardRate2(Y$27,$E43,$F43,InterestRatesTrigger)</f>
        <v>#VALUE!</v>
      </c>
      <c r="Z43" s="47" t="e">
        <f>_xll.qlTenorBasisForwardRate2(Z$27,$E43,$F43,InterestRatesTrigger)</f>
        <v>#VALUE!</v>
      </c>
      <c r="AA43" s="47" t="e">
        <f>_xll.qlTenorBasisForwardRate2(AA$27,$E43,$F43,InterestRatesTrigger)</f>
        <v>#VALUE!</v>
      </c>
      <c r="AB43" s="47" t="e">
        <f>_xll.qlTenorBasisForwardRate2(AB$27,$E43,$F43,InterestRatesTrigger)</f>
        <v>#VALUE!</v>
      </c>
      <c r="AC43" s="154">
        <f>'3MSynthDepo_used'!AA22</f>
        <v>-4.7455444203259317E-4</v>
      </c>
      <c r="AD43" s="199">
        <f>'3MSynthDepo_used'!$I5</f>
        <v>-4.6000000000000001E-4</v>
      </c>
      <c r="BC43" s="178">
        <f>_xll.qlCalendarAdvance(Calendar,BC42,"1d","mf",,Trigger)</f>
        <v>42332</v>
      </c>
      <c r="BD43" s="41">
        <f>_xll.qlDayCounterYearFraction(DayCounter,SettlementDate,BC43,,,Trigger)</f>
        <v>0.14722222222222223</v>
      </c>
      <c r="BE43" s="47" t="e">
        <f>_xll.qlPolynomialFunctionValue(BE$1,$BD43,AllTriggers)</f>
        <v>#VALUE!</v>
      </c>
      <c r="BF43" s="47" t="e">
        <f>_xll.qlPolynomialFunctionValue(BF$1,$BD43,AllTriggers)</f>
        <v>#VALUE!</v>
      </c>
      <c r="BG43" s="47" t="e">
        <f>_xll.qlPolynomialFunctionValue(BG$1,$BD43,AllTriggers)</f>
        <v>#VALUE!</v>
      </c>
      <c r="BH43" s="47" t="e">
        <f>_xll.qlPolynomialFunctionValue(BH$1,$BD43,AllTriggers)</f>
        <v>#VALUE!</v>
      </c>
      <c r="BI43" s="47" t="e">
        <f>_xll.qlPolynomialFunctionValue(BI$1,$BD43,AllTriggers)</f>
        <v>#VALUE!</v>
      </c>
      <c r="BJ43" s="47" t="e">
        <f>_xll.qlPolynomialFunctionValue(BJ$1,$BD43,AllTriggers)</f>
        <v>#VALUE!</v>
      </c>
      <c r="BK43" s="47" t="e">
        <f>_xll.qlPolynomialFunctionValue(BK$1,$BD43,AllTriggers)</f>
        <v>#VALUE!</v>
      </c>
      <c r="BL43" s="47" t="e">
        <f>_xll.qlPolynomialFunctionValue(BL$1,$BD43,AllTriggers)</f>
        <v>#VALUE!</v>
      </c>
      <c r="BM43" s="47" t="e">
        <f>_xll.qlPolynomialFunctionValue(BM$1,$BD43,AllTriggers)</f>
        <v>#VALUE!</v>
      </c>
      <c r="BN43" s="47" t="e">
        <f>_xll.qlPolynomialFunctionValue(BN$1,$BD43,AllTriggers)</f>
        <v>#VALUE!</v>
      </c>
      <c r="BO43" s="47" t="e">
        <f>_xll.qlPolynomialFunctionValue(BO$1,$BD43,AllTriggers)</f>
        <v>#VALUE!</v>
      </c>
      <c r="BP43" s="47" t="e">
        <f>_xll.qlPolynomialFunctionValue(BP$1,$BD43,AllTriggers)</f>
        <v>#VALUE!</v>
      </c>
      <c r="BQ43" s="47">
        <f>_xll.qlPolynomialFunctionValue('3MSynthDepo_used'!$P$18,BD43,AllTriggers)</f>
        <v>1.0193815228686633E-3</v>
      </c>
    </row>
    <row r="44" spans="3:69" x14ac:dyDescent="0.2">
      <c r="C44" s="19">
        <v>2</v>
      </c>
      <c r="D44" s="48" t="str">
        <f t="shared" ref="D44:D45" si="13">C44+SUBSTITUTE($D$24,"M","")&amp;"M"</f>
        <v>5M</v>
      </c>
      <c r="E44" s="177">
        <f>_xll.qlCalendarAdvance(Calendar,SettlementDate,C44&amp;"M","mf",TRUE,Trigger)</f>
        <v>42340</v>
      </c>
      <c r="F44" s="271">
        <f>_xll.qlInterestRateIndexMaturity($D$25,E44,Trigger)</f>
        <v>42431</v>
      </c>
      <c r="G44" s="155" t="e">
        <f>_xll.qlTenorBasisForwardRate2(G$27,$E44,$F44,InterestRatesTrigger)</f>
        <v>#VALUE!</v>
      </c>
      <c r="H44" s="47" t="e">
        <f>_xll.qlTenorBasisForwardRate2(H$27,$E44,$F44,InterestRatesTrigger)</f>
        <v>#VALUE!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47" t="e">
        <f>_xll.qlTenorBasisForwardRate2(S$27,$E44,$F44,InterestRatesTrigger)</f>
        <v>#VALUE!</v>
      </c>
      <c r="T44" s="154" t="e">
        <f>_xll.qlTenorBasisForwardRate2(T$27,$E44,$F44,InterestRatesTrigger)</f>
        <v>#VALUE!</v>
      </c>
      <c r="U44" s="47" t="e">
        <f>_xll.qlTenorBasisForwardRate2(U$27,$E44,$F44,InterestRatesTrigger)</f>
        <v>#VALUE!</v>
      </c>
      <c r="V44" s="47" t="e">
        <f>_xll.qlTenorBasisForwardRate2(V$27,$E44,$F44,InterestRatesTrigger)</f>
        <v>#VALUE!</v>
      </c>
      <c r="W44" s="47" t="e">
        <f>_xll.qlTenorBasisForwardRate2(W$27,$E44,$F44,InterestRatesTrigger)</f>
        <v>#VALUE!</v>
      </c>
      <c r="X44" s="154" t="e">
        <f>_xll.qlTenorBasisForwardRate2(X$27,$E44,$F44,InterestRatesTrigger)</f>
        <v>#VALUE!</v>
      </c>
      <c r="Y44" s="155" t="e">
        <f>_xll.qlTenorBasisForwardRate2(Y$27,$E44,$F44,InterestRatesTrigger)</f>
        <v>#VALUE!</v>
      </c>
      <c r="Z44" s="47" t="e">
        <f>_xll.qlTenorBasisForwardRate2(Z$27,$E44,$F44,InterestRatesTrigger)</f>
        <v>#VALUE!</v>
      </c>
      <c r="AA44" s="47" t="e">
        <f>_xll.qlTenorBasisForwardRate2(AA$27,$E44,$F44,InterestRatesTrigger)</f>
        <v>#VALUE!</v>
      </c>
      <c r="AB44" s="47" t="e">
        <f>_xll.qlTenorBasisForwardRate2(AB$27,$E44,$F44,InterestRatesTrigger)</f>
        <v>#VALUE!</v>
      </c>
      <c r="AC44" s="154">
        <f>'3MSynthDepo_used'!AA23</f>
        <v>-4.9838014124362095E-4</v>
      </c>
      <c r="AD44" s="200">
        <f>'3MSynthDepo_used'!$I6</f>
        <v>-4.8999999999999998E-4</v>
      </c>
      <c r="BC44" s="178">
        <f>_xll.qlCalendarAdvance(Calendar,BC43,"1d","mf",,Trigger)</f>
        <v>42333</v>
      </c>
      <c r="BD44" s="41">
        <f>_xll.qlDayCounterYearFraction(DayCounter,SettlementDate,BC44,,,Trigger)</f>
        <v>0.15</v>
      </c>
      <c r="BE44" s="47" t="e">
        <f>_xll.qlPolynomialFunctionValue(BE$1,$BD44,AllTriggers)</f>
        <v>#VALUE!</v>
      </c>
      <c r="BF44" s="47" t="e">
        <f>_xll.qlPolynomialFunctionValue(BF$1,$BD44,AllTriggers)</f>
        <v>#VALUE!</v>
      </c>
      <c r="BG44" s="47" t="e">
        <f>_xll.qlPolynomialFunctionValue(BG$1,$BD44,AllTriggers)</f>
        <v>#VALUE!</v>
      </c>
      <c r="BH44" s="47" t="e">
        <f>_xll.qlPolynomialFunctionValue(BH$1,$BD44,AllTriggers)</f>
        <v>#VALUE!</v>
      </c>
      <c r="BI44" s="47" t="e">
        <f>_xll.qlPolynomialFunctionValue(BI$1,$BD44,AllTriggers)</f>
        <v>#VALUE!</v>
      </c>
      <c r="BJ44" s="47" t="e">
        <f>_xll.qlPolynomialFunctionValue(BJ$1,$BD44,AllTriggers)</f>
        <v>#VALUE!</v>
      </c>
      <c r="BK44" s="47" t="e">
        <f>_xll.qlPolynomialFunctionValue(BK$1,$BD44,AllTriggers)</f>
        <v>#VALUE!</v>
      </c>
      <c r="BL44" s="47" t="e">
        <f>_xll.qlPolynomialFunctionValue(BL$1,$BD44,AllTriggers)</f>
        <v>#VALUE!</v>
      </c>
      <c r="BM44" s="47" t="e">
        <f>_xll.qlPolynomialFunctionValue(BM$1,$BD44,AllTriggers)</f>
        <v>#VALUE!</v>
      </c>
      <c r="BN44" s="47" t="e">
        <f>_xll.qlPolynomialFunctionValue(BN$1,$BD44,AllTriggers)</f>
        <v>#VALUE!</v>
      </c>
      <c r="BO44" s="47" t="e">
        <f>_xll.qlPolynomialFunctionValue(BO$1,$BD44,AllTriggers)</f>
        <v>#VALUE!</v>
      </c>
      <c r="BP44" s="47" t="e">
        <f>_xll.qlPolynomialFunctionValue(BP$1,$BD44,AllTriggers)</f>
        <v>#VALUE!</v>
      </c>
      <c r="BQ44" s="47">
        <f>_xll.qlPolynomialFunctionValue('3MSynthDepo_used'!$P$18,BD44,AllTriggers)</f>
        <v>1.0210671945696654E-3</v>
      </c>
    </row>
    <row r="45" spans="3:69" x14ac:dyDescent="0.2">
      <c r="C45" s="19">
        <v>3</v>
      </c>
      <c r="D45" s="48" t="str">
        <f t="shared" si="13"/>
        <v>6M</v>
      </c>
      <c r="E45" s="177">
        <f>_xll.qlCalendarAdvance(Calendar,SettlementDate,C45&amp;"M","mf",TRUE,Trigger)</f>
        <v>42373</v>
      </c>
      <c r="F45" s="271">
        <f>_xll.qlInterestRateIndexMaturity($D$25,E45,Trigger)</f>
        <v>42464</v>
      </c>
      <c r="G45" s="155" t="e">
        <f>_xll.qlTenorBasisForwardRate2(G$27,$E45,$F45,InterestRatesTrigger)</f>
        <v>#VALUE!</v>
      </c>
      <c r="H45" s="47" t="e">
        <f>_xll.qlTenorBasisForwardRate(H$27,$E45,InterestRatesTrigger)</f>
        <v>#VALUE!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47" t="e">
        <f>_xll.qlTenorBasisForwardRate(S$27,$E45,InterestRatesTrigger)</f>
        <v>#VALUE!</v>
      </c>
      <c r="T45" s="154" t="e">
        <f>_xll.qlTenorBasisForwardRate(T$27,$E45,InterestRatesTrigger)</f>
        <v>#VALUE!</v>
      </c>
      <c r="U45" s="47" t="e">
        <f>_xll.qlTenorBasisForwardRate(U$27,$E45,InterestRatesTrigger)</f>
        <v>#VALUE!</v>
      </c>
      <c r="V45" s="47" t="e">
        <f>_xll.qlTenorBasisForwardRate(V$27,$E45,InterestRatesTrigger)</f>
        <v>#VALUE!</v>
      </c>
      <c r="W45" s="47" t="e">
        <f>_xll.qlTenorBasisForwardRate(W$27,$E45,InterestRatesTrigger)</f>
        <v>#VALUE!</v>
      </c>
      <c r="X45" s="154" t="e">
        <f>_xll.qlTenorBasisForwardRate(X$27,$E45,InterestRatesTrigger)</f>
        <v>#VALUE!</v>
      </c>
      <c r="Y45" s="155" t="e">
        <f>_xll.qlTenorBasisTenorForwardRate(Y$27,$E45,InterestRatesTrigger)</f>
        <v>#VALUE!</v>
      </c>
      <c r="Z45" s="47" t="e">
        <f>_xll.qlTenorBasisTenorForwardRate(Z$27,$E45,InterestRatesTrigger)</f>
        <v>#VALUE!</v>
      </c>
      <c r="AA45" s="47" t="e">
        <f>_xll.qlTenorBasisTenorForwardRate(AA$27,$E45,InterestRatesTrigger)</f>
        <v>#VALUE!</v>
      </c>
      <c r="AB45" s="47" t="e">
        <f>_xll.qlTenorBasisTenorForwardRate(AB$27,$E45,InterestRatesTrigger)</f>
        <v>#VALUE!</v>
      </c>
      <c r="AC45" s="154">
        <f>'3MSynthDepo_used'!AA24</f>
        <v>-5.4618750192307109E-4</v>
      </c>
      <c r="AD45" s="201">
        <f>'3MSynthDepo_used'!$I7</f>
        <v>-5.2999999999999998E-4</v>
      </c>
      <c r="BC45" s="178">
        <f>_xll.qlCalendarAdvance(Calendar,BC44,"1d","mf",,Trigger)</f>
        <v>42334</v>
      </c>
      <c r="BD45" s="41">
        <f>_xll.qlDayCounterYearFraction(DayCounter,SettlementDate,BC45,,,Trigger)</f>
        <v>0.15277777777777779</v>
      </c>
      <c r="BE45" s="47" t="e">
        <f>_xll.qlPolynomialFunctionValue(BE$1,$BD45,AllTriggers)</f>
        <v>#VALUE!</v>
      </c>
      <c r="BF45" s="47" t="e">
        <f>_xll.qlPolynomialFunctionValue(BF$1,$BD45,AllTriggers)</f>
        <v>#VALUE!</v>
      </c>
      <c r="BG45" s="47" t="e">
        <f>_xll.qlPolynomialFunctionValue(BG$1,$BD45,AllTriggers)</f>
        <v>#VALUE!</v>
      </c>
      <c r="BH45" s="47" t="e">
        <f>_xll.qlPolynomialFunctionValue(BH$1,$BD45,AllTriggers)</f>
        <v>#VALUE!</v>
      </c>
      <c r="BI45" s="47" t="e">
        <f>_xll.qlPolynomialFunctionValue(BI$1,$BD45,AllTriggers)</f>
        <v>#VALUE!</v>
      </c>
      <c r="BJ45" s="47" t="e">
        <f>_xll.qlPolynomialFunctionValue(BJ$1,$BD45,AllTriggers)</f>
        <v>#VALUE!</v>
      </c>
      <c r="BK45" s="47" t="e">
        <f>_xll.qlPolynomialFunctionValue(BK$1,$BD45,AllTriggers)</f>
        <v>#VALUE!</v>
      </c>
      <c r="BL45" s="47" t="e">
        <f>_xll.qlPolynomialFunctionValue(BL$1,$BD45,AllTriggers)</f>
        <v>#VALUE!</v>
      </c>
      <c r="BM45" s="47" t="e">
        <f>_xll.qlPolynomialFunctionValue(BM$1,$BD45,AllTriggers)</f>
        <v>#VALUE!</v>
      </c>
      <c r="BN45" s="47" t="e">
        <f>_xll.qlPolynomialFunctionValue(BN$1,$BD45,AllTriggers)</f>
        <v>#VALUE!</v>
      </c>
      <c r="BO45" s="47" t="e">
        <f>_xll.qlPolynomialFunctionValue(BO$1,$BD45,AllTriggers)</f>
        <v>#VALUE!</v>
      </c>
      <c r="BP45" s="47" t="e">
        <f>_xll.qlPolynomialFunctionValue(BP$1,$BD45,AllTriggers)</f>
        <v>#VALUE!</v>
      </c>
      <c r="BQ45" s="47">
        <f>_xll.qlPolynomialFunctionValue('3MSynthDepo_used'!$P$18,BD45,AllTriggers)</f>
        <v>1.0227472423070991E-3</v>
      </c>
    </row>
    <row r="46" spans="3:69" x14ac:dyDescent="0.2">
      <c r="C46" s="67"/>
      <c r="D46" s="45" t="str">
        <f>_xll.qlIMMNextCode(SettlementDate,FALSE,Trigger)</f>
        <v>V5</v>
      </c>
      <c r="E46" s="175">
        <f>_xll.qlIMMdate(D46,SettlementDate,Trigger)</f>
        <v>42298</v>
      </c>
      <c r="F46" s="175">
        <f>_xll.qlInterestRateIndexMaturity($D$25,E46,Trigger)</f>
        <v>42390</v>
      </c>
      <c r="G46" s="272" t="e">
        <f>_xll.qlTenorBasisForwardRate2(G$27,$E46,$F46,InterestRatesTrigger)</f>
        <v>#VALUE!</v>
      </c>
      <c r="H46" s="52" t="e">
        <f>_xll.qlTenorBasisTenorForwardRate(H$27,$E46,InterestRatesTrigger)</f>
        <v>#VALUE!</v>
      </c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52" t="e">
        <f>_xll.qlTenorBasisTenorForwardRate(S$27,$E46,InterestRatesTrigger)</f>
        <v>#VALUE!</v>
      </c>
      <c r="T46" s="273" t="e">
        <f>_xll.qlTenorBasisTenorForwardRate(T$27,$E46,InterestRatesTrigger)</f>
        <v>#VALUE!</v>
      </c>
      <c r="U46" s="52" t="e">
        <f>_xll.qlTenorBasisTenorForwardRate(U$27,$E46,InterestRatesTrigger)</f>
        <v>#VALUE!</v>
      </c>
      <c r="V46" s="52" t="e">
        <f>_xll.qlTenorBasisTenorForwardRate(V$27,$E46,InterestRatesTrigger)</f>
        <v>#VALUE!</v>
      </c>
      <c r="W46" s="52" t="e">
        <f>_xll.qlTenorBasisTenorForwardRate(W$27,$E46,InterestRatesTrigger)</f>
        <v>#VALUE!</v>
      </c>
      <c r="X46" s="273" t="e">
        <f>_xll.qlTenorBasisTenorForwardRate(X$27,$E46,InterestRatesTrigger)</f>
        <v>#VALUE!</v>
      </c>
      <c r="Y46" s="272" t="e">
        <f>_xll.qlTenorBasisTenorForwardRate(Y$27,$E46,InterestRatesTrigger)</f>
        <v>#VALUE!</v>
      </c>
      <c r="Z46" s="52" t="e">
        <f>_xll.qlTenorBasisTenorForwardRate(Z$27,$E46,InterestRatesTrigger)</f>
        <v>#VALUE!</v>
      </c>
      <c r="AA46" s="52" t="e">
        <f>_xll.qlTenorBasisTenorForwardRate(AA$27,$E46,InterestRatesTrigger)</f>
        <v>#VALUE!</v>
      </c>
      <c r="AB46" s="52" t="e">
        <f>_xll.qlTenorBasisTenorForwardRate(AB$27,$E46,InterestRatesTrigger)</f>
        <v>#VALUE!</v>
      </c>
      <c r="AC46" s="273">
        <f>'3MSynthDepo_used'!AA25</f>
        <v>-4.4050215052617329E-4</v>
      </c>
      <c r="AD46" s="199">
        <f>'3MSynthDepo_used'!I17</f>
        <v>-4.2500000000011973E-4</v>
      </c>
      <c r="BC46" s="178">
        <f>_xll.qlCalendarAdvance(Calendar,BC45,"1d","mf",,Trigger)</f>
        <v>42335</v>
      </c>
      <c r="BD46" s="41">
        <f>_xll.qlDayCounterYearFraction(DayCounter,SettlementDate,BC46,,,Trigger)</f>
        <v>0.15555555555555556</v>
      </c>
      <c r="BE46" s="47" t="e">
        <f>_xll.qlPolynomialFunctionValue(BE$1,$BD46,AllTriggers)</f>
        <v>#VALUE!</v>
      </c>
      <c r="BF46" s="47" t="e">
        <f>_xll.qlPolynomialFunctionValue(BF$1,$BD46,AllTriggers)</f>
        <v>#VALUE!</v>
      </c>
      <c r="BG46" s="47" t="e">
        <f>_xll.qlPolynomialFunctionValue(BG$1,$BD46,AllTriggers)</f>
        <v>#VALUE!</v>
      </c>
      <c r="BH46" s="47" t="e">
        <f>_xll.qlPolynomialFunctionValue(BH$1,$BD46,AllTriggers)</f>
        <v>#VALUE!</v>
      </c>
      <c r="BI46" s="47" t="e">
        <f>_xll.qlPolynomialFunctionValue(BI$1,$BD46,AllTriggers)</f>
        <v>#VALUE!</v>
      </c>
      <c r="BJ46" s="47" t="e">
        <f>_xll.qlPolynomialFunctionValue(BJ$1,$BD46,AllTriggers)</f>
        <v>#VALUE!</v>
      </c>
      <c r="BK46" s="47" t="e">
        <f>_xll.qlPolynomialFunctionValue(BK$1,$BD46,AllTriggers)</f>
        <v>#VALUE!</v>
      </c>
      <c r="BL46" s="47" t="e">
        <f>_xll.qlPolynomialFunctionValue(BL$1,$BD46,AllTriggers)</f>
        <v>#VALUE!</v>
      </c>
      <c r="BM46" s="47" t="e">
        <f>_xll.qlPolynomialFunctionValue(BM$1,$BD46,AllTriggers)</f>
        <v>#VALUE!</v>
      </c>
      <c r="BN46" s="47" t="e">
        <f>_xll.qlPolynomialFunctionValue(BN$1,$BD46,AllTriggers)</f>
        <v>#VALUE!</v>
      </c>
      <c r="BO46" s="47" t="e">
        <f>_xll.qlPolynomialFunctionValue(BO$1,$BD46,AllTriggers)</f>
        <v>#VALUE!</v>
      </c>
      <c r="BP46" s="47" t="e">
        <f>_xll.qlPolynomialFunctionValue(BP$1,$BD46,AllTriggers)</f>
        <v>#VALUE!</v>
      </c>
      <c r="BQ46" s="47">
        <f>_xll.qlPolynomialFunctionValue('3MSynthDepo_used'!$P$18,BD46,AllTriggers)</f>
        <v>1.0244216774591064E-3</v>
      </c>
    </row>
    <row r="47" spans="3:69" x14ac:dyDescent="0.2">
      <c r="C47" s="67"/>
      <c r="D47" s="48" t="str">
        <f>_xll.qlIMMNextCode(D46,FALSE,Trigger)</f>
        <v>X5</v>
      </c>
      <c r="E47" s="177">
        <f>_xll.qlIMMdate(D47,SettlementDate,Trigger)</f>
        <v>42326</v>
      </c>
      <c r="F47" s="251">
        <f>_xll.qlInterestRateIndexMaturity($D$25,E47,Trigger)</f>
        <v>42418</v>
      </c>
      <c r="G47" s="155" t="e">
        <f>_xll.qlTenorBasisForwardRate2(G$27,$E47,$F47,InterestRatesTrigger)</f>
        <v>#VALUE!</v>
      </c>
      <c r="H47" s="47" t="e">
        <f>_xll.qlTenorBasisTenorForwardRate(H$27,$E47,InterestRatesTrigger)</f>
        <v>#VALUE!</v>
      </c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47" t="e">
        <f>_xll.qlTenorBasisTenorForwardRate(S$27,$E47,InterestRatesTrigger)</f>
        <v>#VALUE!</v>
      </c>
      <c r="T47" s="154" t="e">
        <f>_xll.qlTenorBasisTenorForwardRate(T$27,$E47,InterestRatesTrigger)</f>
        <v>#VALUE!</v>
      </c>
      <c r="U47" s="47" t="e">
        <f>_xll.qlTenorBasisTenorForwardRate(U$27,$E47,InterestRatesTrigger)</f>
        <v>#VALUE!</v>
      </c>
      <c r="V47" s="47" t="e">
        <f>_xll.qlTenorBasisTenorForwardRate(V$27,$E47,InterestRatesTrigger)</f>
        <v>#VALUE!</v>
      </c>
      <c r="W47" s="47" t="e">
        <f>_xll.qlTenorBasisTenorForwardRate(W$27,$E47,InterestRatesTrigger)</f>
        <v>#VALUE!</v>
      </c>
      <c r="X47" s="154" t="e">
        <f>_xll.qlTenorBasisTenorForwardRate(X$27,$E47,InterestRatesTrigger)</f>
        <v>#VALUE!</v>
      </c>
      <c r="Y47" s="155" t="e">
        <f>_xll.qlTenorBasisTenorForwardRate(Y$27,$E47,InterestRatesTrigger)</f>
        <v>#VALUE!</v>
      </c>
      <c r="Z47" s="47" t="e">
        <f>_xll.qlTenorBasisTenorForwardRate(Z$27,$E47,InterestRatesTrigger)</f>
        <v>#VALUE!</v>
      </c>
      <c r="AA47" s="47" t="e">
        <f>_xll.qlTenorBasisTenorForwardRate(AA$27,$E47,InterestRatesTrigger)</f>
        <v>#VALUE!</v>
      </c>
      <c r="AB47" s="47" t="e">
        <f>_xll.qlTenorBasisTenorForwardRate(AB$27,$E47,InterestRatesTrigger)</f>
        <v>#VALUE!</v>
      </c>
      <c r="AC47" s="154">
        <f>'3MSynthDepo_used'!AA26</f>
        <v>-4.7108414066447234E-4</v>
      </c>
      <c r="AD47" s="200">
        <f>'3MSynthDepo_used'!I18</f>
        <v>-4.750000000000032E-4</v>
      </c>
      <c r="BC47" s="178">
        <f>_xll.qlCalendarAdvance(Calendar,BC46,"1d","mf",,Trigger)</f>
        <v>42338</v>
      </c>
      <c r="BD47" s="41">
        <f>_xll.qlDayCounterYearFraction(DayCounter,SettlementDate,BC47,,,Trigger)</f>
        <v>0.16388888888888889</v>
      </c>
      <c r="BE47" s="47" t="e">
        <f>_xll.qlPolynomialFunctionValue(BE$1,$BD47,AllTriggers)</f>
        <v>#VALUE!</v>
      </c>
      <c r="BF47" s="47" t="e">
        <f>_xll.qlPolynomialFunctionValue(BF$1,$BD47,AllTriggers)</f>
        <v>#VALUE!</v>
      </c>
      <c r="BG47" s="47" t="e">
        <f>_xll.qlPolynomialFunctionValue(BG$1,$BD47,AllTriggers)</f>
        <v>#VALUE!</v>
      </c>
      <c r="BH47" s="47" t="e">
        <f>_xll.qlPolynomialFunctionValue(BH$1,$BD47,AllTriggers)</f>
        <v>#VALUE!</v>
      </c>
      <c r="BI47" s="47" t="e">
        <f>_xll.qlPolynomialFunctionValue(BI$1,$BD47,AllTriggers)</f>
        <v>#VALUE!</v>
      </c>
      <c r="BJ47" s="47" t="e">
        <f>_xll.qlPolynomialFunctionValue(BJ$1,$BD47,AllTriggers)</f>
        <v>#VALUE!</v>
      </c>
      <c r="BK47" s="47" t="e">
        <f>_xll.qlPolynomialFunctionValue(BK$1,$BD47,AllTriggers)</f>
        <v>#VALUE!</v>
      </c>
      <c r="BL47" s="47" t="e">
        <f>_xll.qlPolynomialFunctionValue(BL$1,$BD47,AllTriggers)</f>
        <v>#VALUE!</v>
      </c>
      <c r="BM47" s="47" t="e">
        <f>_xll.qlPolynomialFunctionValue(BM$1,$BD47,AllTriggers)</f>
        <v>#VALUE!</v>
      </c>
      <c r="BN47" s="47" t="e">
        <f>_xll.qlPolynomialFunctionValue(BN$1,$BD47,AllTriggers)</f>
        <v>#VALUE!</v>
      </c>
      <c r="BO47" s="47" t="e">
        <f>_xll.qlPolynomialFunctionValue(BO$1,$BD47,AllTriggers)</f>
        <v>#VALUE!</v>
      </c>
      <c r="BP47" s="47" t="e">
        <f>_xll.qlPolynomialFunctionValue(BP$1,$BD47,AllTriggers)</f>
        <v>#VALUE!</v>
      </c>
      <c r="BQ47" s="47">
        <f>_xll.qlPolynomialFunctionValue('3MSynthDepo_used'!$P$18,BD47,AllTriggers)</f>
        <v>1.0294114211839909E-3</v>
      </c>
    </row>
    <row r="48" spans="3:69" x14ac:dyDescent="0.2">
      <c r="C48" s="67"/>
      <c r="D48" s="49" t="str">
        <f>_xll.qlIMMNextCode(D47,TRUE,Trigger)</f>
        <v>Z5</v>
      </c>
      <c r="E48" s="181">
        <f>_xll.qlIMMdate(D48,SettlementDate,Trigger)</f>
        <v>42354</v>
      </c>
      <c r="F48" s="274">
        <f>_xll.qlInterestRateIndexMaturity($D$25,E48,Trigger)</f>
        <v>42445</v>
      </c>
      <c r="G48" s="275" t="e">
        <f>_xll.qlTenorBasisForwardRate2(G$27,$E48,$F48,InterestRatesTrigger)</f>
        <v>#VALUE!</v>
      </c>
      <c r="H48" s="50" t="e">
        <f>_xll.qlTenorBasisTenorForwardRate(H$27,$E48,InterestRatesTrigger)</f>
        <v>#VALUE!</v>
      </c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50" t="e">
        <f>_xll.qlTenorBasisTenorForwardRate(S$27,$E48,InterestRatesTrigger)</f>
        <v>#VALUE!</v>
      </c>
      <c r="T48" s="276" t="e">
        <f>_xll.qlTenorBasisTenorForwardRate(T$27,$E48,InterestRatesTrigger)</f>
        <v>#VALUE!</v>
      </c>
      <c r="U48" s="50" t="e">
        <f>_xll.qlTenorBasisTenorForwardRate(U$27,$E48,InterestRatesTrigger)</f>
        <v>#VALUE!</v>
      </c>
      <c r="V48" s="50" t="e">
        <f>_xll.qlTenorBasisTenorForwardRate(V$27,$E48,InterestRatesTrigger)</f>
        <v>#VALUE!</v>
      </c>
      <c r="W48" s="50" t="e">
        <f>_xll.qlTenorBasisTenorForwardRate(W$27,$E48,InterestRatesTrigger)</f>
        <v>#VALUE!</v>
      </c>
      <c r="X48" s="276" t="e">
        <f>_xll.qlTenorBasisTenorForwardRate(X$27,$E48,InterestRatesTrigger)</f>
        <v>#VALUE!</v>
      </c>
      <c r="Y48" s="275" t="e">
        <f>_xll.qlTenorBasisTenorForwardRate(Y$27,$E48,InterestRatesTrigger)</f>
        <v>#VALUE!</v>
      </c>
      <c r="Z48" s="50" t="e">
        <f>_xll.qlTenorBasisTenorForwardRate(Z$27,$E48,InterestRatesTrigger)</f>
        <v>#VALUE!</v>
      </c>
      <c r="AA48" s="50" t="e">
        <f>_xll.qlTenorBasisTenorForwardRate(AA$27,$E48,InterestRatesTrigger)</f>
        <v>#VALUE!</v>
      </c>
      <c r="AB48" s="50" t="e">
        <f>_xll.qlTenorBasisTenorForwardRate(AB$27,$E48,InterestRatesTrigger)</f>
        <v>#VALUE!</v>
      </c>
      <c r="AC48" s="276">
        <f>'3MSynthDepo_used'!AA27</f>
        <v>-4.9077593480073328E-4</v>
      </c>
      <c r="AD48" s="201">
        <f>'3MSynthDepo_used'!I19</f>
        <v>-5.0000000000016698E-4</v>
      </c>
      <c r="BC48" s="178">
        <f>_xll.qlCalendarAdvance(Calendar,BC47,"1d","mf",,Trigger)</f>
        <v>42339</v>
      </c>
      <c r="BD48" s="41">
        <f>_xll.qlDayCounterYearFraction(DayCounter,SettlementDate,BC48,,,Trigger)</f>
        <v>0.16666666666666666</v>
      </c>
      <c r="BE48" s="47" t="e">
        <f>_xll.qlPolynomialFunctionValue(BE$1,$BD48,AllTriggers)</f>
        <v>#VALUE!</v>
      </c>
      <c r="BF48" s="47" t="e">
        <f>_xll.qlPolynomialFunctionValue(BF$1,$BD48,AllTriggers)</f>
        <v>#VALUE!</v>
      </c>
      <c r="BG48" s="47" t="e">
        <f>_xll.qlPolynomialFunctionValue(BG$1,$BD48,AllTriggers)</f>
        <v>#VALUE!</v>
      </c>
      <c r="BH48" s="47" t="e">
        <f>_xll.qlPolynomialFunctionValue(BH$1,$BD48,AllTriggers)</f>
        <v>#VALUE!</v>
      </c>
      <c r="BI48" s="47" t="e">
        <f>_xll.qlPolynomialFunctionValue(BI$1,$BD48,AllTriggers)</f>
        <v>#VALUE!</v>
      </c>
      <c r="BJ48" s="47" t="e">
        <f>_xll.qlPolynomialFunctionValue(BJ$1,$BD48,AllTriggers)</f>
        <v>#VALUE!</v>
      </c>
      <c r="BK48" s="47" t="e">
        <f>_xll.qlPolynomialFunctionValue(BK$1,$BD48,AllTriggers)</f>
        <v>#VALUE!</v>
      </c>
      <c r="BL48" s="47" t="e">
        <f>_xll.qlPolynomialFunctionValue(BL$1,$BD48,AllTriggers)</f>
        <v>#VALUE!</v>
      </c>
      <c r="BM48" s="47" t="e">
        <f>_xll.qlPolynomialFunctionValue(BM$1,$BD48,AllTriggers)</f>
        <v>#VALUE!</v>
      </c>
      <c r="BN48" s="47" t="e">
        <f>_xll.qlPolynomialFunctionValue(BN$1,$BD48,AllTriggers)</f>
        <v>#VALUE!</v>
      </c>
      <c r="BO48" s="47" t="e">
        <f>_xll.qlPolynomialFunctionValue(BO$1,$BD48,AllTriggers)</f>
        <v>#VALUE!</v>
      </c>
      <c r="BP48" s="47" t="e">
        <f>_xll.qlPolynomialFunctionValue(BP$1,$BD48,AllTriggers)</f>
        <v>#VALUE!</v>
      </c>
      <c r="BQ48" s="47">
        <f>_xll.qlPolynomialFunctionValue('3MSynthDepo_used'!$P$18,BD48,AllTriggers)</f>
        <v>1.0310635197757136E-3</v>
      </c>
    </row>
    <row r="49" spans="3:69" x14ac:dyDescent="0.2">
      <c r="D49" s="45" t="str">
        <f>_xll.qlIMMNextCode(D48,TRUE,Trigger)</f>
        <v>H6</v>
      </c>
      <c r="E49" s="175">
        <f>_xll.qlIMMdate(D49,SettlementDate,Trigger)</f>
        <v>42445</v>
      </c>
      <c r="F49" s="175">
        <f>_xll.qlInterestRateIndexMaturity($D$25,E49,Trigger)</f>
        <v>42537</v>
      </c>
      <c r="G49" s="272" t="e">
        <f>_xll.qlTenorBasisForwardRate2(G$27,$E49,$F49,InterestRatesTrigger)</f>
        <v>#VALUE!</v>
      </c>
      <c r="H49" s="52" t="e">
        <f>_xll.qlTenorBasisTenorForwardRate(H$27,$E49,InterestRatesTrigger)</f>
        <v>#VALUE!</v>
      </c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52" t="e">
        <f>_xll.qlTenorBasisTenorForwardRate(S$27,$E49,InterestRatesTrigger)</f>
        <v>#VALUE!</v>
      </c>
      <c r="T49" s="273" t="e">
        <f>_xll.qlTenorBasisTenorForwardRate(T$27,$E49,InterestRatesTrigger)</f>
        <v>#VALUE!</v>
      </c>
      <c r="U49" s="52" t="e">
        <f>_xll.qlTenorBasisTenorForwardRate(U$27,$E49,InterestRatesTrigger)</f>
        <v>#VALUE!</v>
      </c>
      <c r="V49" s="52" t="e">
        <f>_xll.qlTenorBasisTenorForwardRate(V$27,$E49,InterestRatesTrigger)</f>
        <v>#VALUE!</v>
      </c>
      <c r="W49" s="52" t="e">
        <f>_xll.qlTenorBasisTenorForwardRate(W$27,$E49,InterestRatesTrigger)</f>
        <v>#VALUE!</v>
      </c>
      <c r="X49" s="273" t="e">
        <f>_xll.qlTenorBasisTenorForwardRate(X$27,$E49,InterestRatesTrigger)</f>
        <v>#VALUE!</v>
      </c>
      <c r="Y49" s="272" t="e">
        <f>_xll.qlTenorBasisTenorForwardRate(Y$27,$E49,InterestRatesTrigger)</f>
        <v>#VALUE!</v>
      </c>
      <c r="Z49" s="52" t="e">
        <f>_xll.qlTenorBasisTenorForwardRate(Z$27,$E49,InterestRatesTrigger)</f>
        <v>#VALUE!</v>
      </c>
      <c r="AA49" s="52" t="e">
        <f>_xll.qlTenorBasisTenorForwardRate(AA$27,$E49,InterestRatesTrigger)</f>
        <v>#VALUE!</v>
      </c>
      <c r="AB49" s="52" t="e">
        <f>_xll.qlTenorBasisTenorForwardRate(AB$27,$E49,InterestRatesTrigger)</f>
        <v>#VALUE!</v>
      </c>
      <c r="AC49" s="273">
        <f>'3MSynthDepo_used'!AA28</f>
        <v>-5.8602310702788522E-4</v>
      </c>
      <c r="AD49" s="199">
        <f>'3MSynthDepo_used'!I20</f>
        <v>-5.7499999999999218E-4</v>
      </c>
      <c r="BC49" s="178">
        <f>_xll.qlCalendarAdvance(Calendar,BC48,"1d","mf",,Trigger)</f>
        <v>42340</v>
      </c>
      <c r="BD49" s="41">
        <f>_xll.qlDayCounterYearFraction(DayCounter,SettlementDate,BC49,,,Trigger)</f>
        <v>0.16944444444444445</v>
      </c>
      <c r="BE49" s="47" t="e">
        <f>_xll.qlPolynomialFunctionValue(BE$1,$BD49,AllTriggers)</f>
        <v>#VALUE!</v>
      </c>
      <c r="BF49" s="47" t="e">
        <f>_xll.qlPolynomialFunctionValue(BF$1,$BD49,AllTriggers)</f>
        <v>#VALUE!</v>
      </c>
      <c r="BG49" s="47" t="e">
        <f>_xll.qlPolynomialFunctionValue(BG$1,$BD49,AllTriggers)</f>
        <v>#VALUE!</v>
      </c>
      <c r="BH49" s="47" t="e">
        <f>_xll.qlPolynomialFunctionValue(BH$1,$BD49,AllTriggers)</f>
        <v>#VALUE!</v>
      </c>
      <c r="BI49" s="47" t="e">
        <f>_xll.qlPolynomialFunctionValue(BI$1,$BD49,AllTriggers)</f>
        <v>#VALUE!</v>
      </c>
      <c r="BJ49" s="47" t="e">
        <f>_xll.qlPolynomialFunctionValue(BJ$1,$BD49,AllTriggers)</f>
        <v>#VALUE!</v>
      </c>
      <c r="BK49" s="47" t="e">
        <f>_xll.qlPolynomialFunctionValue(BK$1,$BD49,AllTriggers)</f>
        <v>#VALUE!</v>
      </c>
      <c r="BL49" s="47" t="e">
        <f>_xll.qlPolynomialFunctionValue(BL$1,$BD49,AllTriggers)</f>
        <v>#VALUE!</v>
      </c>
      <c r="BM49" s="47" t="e">
        <f>_xll.qlPolynomialFunctionValue(BM$1,$BD49,AllTriggers)</f>
        <v>#VALUE!</v>
      </c>
      <c r="BN49" s="47" t="e">
        <f>_xll.qlPolynomialFunctionValue(BN$1,$BD49,AllTriggers)</f>
        <v>#VALUE!</v>
      </c>
      <c r="BO49" s="47" t="e">
        <f>_xll.qlPolynomialFunctionValue(BO$1,$BD49,AllTriggers)</f>
        <v>#VALUE!</v>
      </c>
      <c r="BP49" s="47" t="e">
        <f>_xll.qlPolynomialFunctionValue(BP$1,$BD49,AllTriggers)</f>
        <v>#VALUE!</v>
      </c>
      <c r="BQ49" s="47">
        <f>_xll.qlPolynomialFunctionValue('3MSynthDepo_used'!$P$18,BD49,AllTriggers)</f>
        <v>1.0327100626727201E-3</v>
      </c>
    </row>
    <row r="50" spans="3:69" x14ac:dyDescent="0.2">
      <c r="D50" s="48" t="str">
        <f>_xll.qlIMMNextCode(D49,TRUE,Trigger)</f>
        <v>M6</v>
      </c>
      <c r="E50" s="177">
        <f>_xll.qlIMMdate(D50,SettlementDate,Trigger)</f>
        <v>42536</v>
      </c>
      <c r="F50" s="251">
        <f>_xll.qlInterestRateIndexMaturity($D$25,E50,Trigger)</f>
        <v>42628</v>
      </c>
      <c r="G50" s="155" t="e">
        <f>_xll.qlTenorBasisForwardRate2(G$27,$E50,$F50,InterestRatesTrigger)</f>
        <v>#VALUE!</v>
      </c>
      <c r="H50" s="47" t="e">
        <f>_xll.qlTenorBasisTenorForwardRate(H$27,$E50,InterestRatesTrigger)</f>
        <v>#VALUE!</v>
      </c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47" t="e">
        <f>_xll.qlTenorBasisTenorForwardRate(S$27,$E50,InterestRatesTrigger)</f>
        <v>#VALUE!</v>
      </c>
      <c r="T50" s="154" t="e">
        <f>_xll.qlTenorBasisTenorForwardRate(T$27,$E50,InterestRatesTrigger)</f>
        <v>#VALUE!</v>
      </c>
      <c r="U50" s="47" t="e">
        <f>_xll.qlTenorBasisTenorForwardRate(U$27,$E50,InterestRatesTrigger)</f>
        <v>#VALUE!</v>
      </c>
      <c r="V50" s="47" t="e">
        <f>_xll.qlTenorBasisTenorForwardRate(V$27,$E50,InterestRatesTrigger)</f>
        <v>#VALUE!</v>
      </c>
      <c r="W50" s="47" t="e">
        <f>_xll.qlTenorBasisTenorForwardRate(W$27,$E50,InterestRatesTrigger)</f>
        <v>#VALUE!</v>
      </c>
      <c r="X50" s="154" t="e">
        <f>_xll.qlTenorBasisTenorForwardRate(X$27,$E50,InterestRatesTrigger)</f>
        <v>#VALUE!</v>
      </c>
      <c r="Y50" s="155" t="e">
        <f>_xll.qlTenorBasisTenorForwardRate(Y$27,$E50,InterestRatesTrigger)</f>
        <v>#VALUE!</v>
      </c>
      <c r="Z50" s="47" t="e">
        <f>_xll.qlTenorBasisTenorForwardRate(Z$27,$E50,InterestRatesTrigger)</f>
        <v>#VALUE!</v>
      </c>
      <c r="AA50" s="47" t="e">
        <f>_xll.qlTenorBasisTenorForwardRate(AA$27,$E50,InterestRatesTrigger)</f>
        <v>#VALUE!</v>
      </c>
      <c r="AB50" s="47" t="e">
        <f>_xll.qlTenorBasisTenorForwardRate(AB$27,$E50,InterestRatesTrigger)</f>
        <v>#VALUE!</v>
      </c>
      <c r="AC50" s="154">
        <f>'3MSynthDepo_used'!AA29</f>
        <v>-6.5168013279821315E-4</v>
      </c>
      <c r="AD50" s="200">
        <f>'3MSynthDepo_used'!I21</f>
        <v>-6.7499999999998117E-4</v>
      </c>
      <c r="BC50" s="178">
        <f>_xll.qlCalendarAdvance(Calendar,BC49,"1d","mf",,Trigger)</f>
        <v>42341</v>
      </c>
      <c r="BD50" s="41">
        <f>_xll.qlDayCounterYearFraction(DayCounter,SettlementDate,BC50,,,Trigger)</f>
        <v>0.17222222222222222</v>
      </c>
      <c r="BE50" s="47" t="e">
        <f>_xll.qlPolynomialFunctionValue(BE$1,$BD50,AllTriggers)</f>
        <v>#VALUE!</v>
      </c>
      <c r="BF50" s="47" t="e">
        <f>_xll.qlPolynomialFunctionValue(BF$1,$BD50,AllTriggers)</f>
        <v>#VALUE!</v>
      </c>
      <c r="BG50" s="47" t="e">
        <f>_xll.qlPolynomialFunctionValue(BG$1,$BD50,AllTriggers)</f>
        <v>#VALUE!</v>
      </c>
      <c r="BH50" s="47" t="e">
        <f>_xll.qlPolynomialFunctionValue(BH$1,$BD50,AllTriggers)</f>
        <v>#VALUE!</v>
      </c>
      <c r="BI50" s="47" t="e">
        <f>_xll.qlPolynomialFunctionValue(BI$1,$BD50,AllTriggers)</f>
        <v>#VALUE!</v>
      </c>
      <c r="BJ50" s="47" t="e">
        <f>_xll.qlPolynomialFunctionValue(BJ$1,$BD50,AllTriggers)</f>
        <v>#VALUE!</v>
      </c>
      <c r="BK50" s="47" t="e">
        <f>_xll.qlPolynomialFunctionValue(BK$1,$BD50,AllTriggers)</f>
        <v>#VALUE!</v>
      </c>
      <c r="BL50" s="47" t="e">
        <f>_xll.qlPolynomialFunctionValue(BL$1,$BD50,AllTriggers)</f>
        <v>#VALUE!</v>
      </c>
      <c r="BM50" s="47" t="e">
        <f>_xll.qlPolynomialFunctionValue(BM$1,$BD50,AllTriggers)</f>
        <v>#VALUE!</v>
      </c>
      <c r="BN50" s="47" t="e">
        <f>_xll.qlPolynomialFunctionValue(BN$1,$BD50,AllTriggers)</f>
        <v>#VALUE!</v>
      </c>
      <c r="BO50" s="47" t="e">
        <f>_xll.qlPolynomialFunctionValue(BO$1,$BD50,AllTriggers)</f>
        <v>#VALUE!</v>
      </c>
      <c r="BP50" s="47" t="e">
        <f>_xll.qlPolynomialFunctionValue(BP$1,$BD50,AllTriggers)</f>
        <v>#VALUE!</v>
      </c>
      <c r="BQ50" s="47">
        <f>_xll.qlPolynomialFunctionValue('3MSynthDepo_used'!$P$18,BD50,AllTriggers)</f>
        <v>1.0343510612531527E-3</v>
      </c>
    </row>
    <row r="51" spans="3:69" x14ac:dyDescent="0.2">
      <c r="D51" s="49" t="str">
        <f>_xll.qlIMMNextCode(D50,TRUE,Trigger)</f>
        <v>U6</v>
      </c>
      <c r="E51" s="181">
        <f>_xll.qlIMMdate(D51,SettlementDate,Trigger)</f>
        <v>42634</v>
      </c>
      <c r="F51" s="274">
        <f>_xll.qlInterestRateIndexMaturity($D$25,E51,Trigger)</f>
        <v>42725</v>
      </c>
      <c r="G51" s="275" t="e">
        <f>_xll.qlTenorBasisForwardRate2(G$27,$E51,$F51,InterestRatesTrigger)</f>
        <v>#VALUE!</v>
      </c>
      <c r="H51" s="50" t="e">
        <f>_xll.qlTenorBasisTenorForwardRate(H$27,$E51,InterestRatesTrigger)</f>
        <v>#VALUE!</v>
      </c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50" t="e">
        <f>_xll.qlTenorBasisTenorForwardRate(S$27,$E51,InterestRatesTrigger)</f>
        <v>#VALUE!</v>
      </c>
      <c r="T51" s="276" t="e">
        <f>_xll.qlTenorBasisTenorForwardRate(T$27,$E51,InterestRatesTrigger)</f>
        <v>#VALUE!</v>
      </c>
      <c r="U51" s="50" t="e">
        <f>_xll.qlTenorBasisTenorForwardRate(U$27,$E51,InterestRatesTrigger)</f>
        <v>#VALUE!</v>
      </c>
      <c r="V51" s="50" t="e">
        <f>_xll.qlTenorBasisTenorForwardRate(V$27,$E51,InterestRatesTrigger)</f>
        <v>#VALUE!</v>
      </c>
      <c r="W51" s="50" t="e">
        <f>_xll.qlTenorBasisTenorForwardRate(W$27,$E51,InterestRatesTrigger)</f>
        <v>#VALUE!</v>
      </c>
      <c r="X51" s="276" t="e">
        <f>_xll.qlTenorBasisTenorForwardRate(X$27,$E51,InterestRatesTrigger)</f>
        <v>#VALUE!</v>
      </c>
      <c r="Y51" s="275" t="e">
        <f>_xll.qlTenorBasisTenorForwardRate(Y$27,$E51,InterestRatesTrigger)</f>
        <v>#VALUE!</v>
      </c>
      <c r="Z51" s="50" t="e">
        <f>_xll.qlTenorBasisTenorForwardRate(Z$27,$E51,InterestRatesTrigger)</f>
        <v>#VALUE!</v>
      </c>
      <c r="AA51" s="50" t="e">
        <f>_xll.qlTenorBasisTenorForwardRate(AA$27,$E51,InterestRatesTrigger)</f>
        <v>#VALUE!</v>
      </c>
      <c r="AB51" s="50" t="e">
        <f>_xll.qlTenorBasisTenorForwardRate(AB$27,$E51,InterestRatesTrigger)</f>
        <v>#VALUE!</v>
      </c>
      <c r="AC51" s="276">
        <f>'3MSynthDepo_used'!AA30</f>
        <v>-6.2605784367756072E-4</v>
      </c>
      <c r="AD51" s="201">
        <f>'3MSynthDepo_used'!I22</f>
        <v>-6.250000000000977E-4</v>
      </c>
      <c r="BC51" s="178">
        <f>_xll.qlCalendarAdvance(Calendar,BC50,"1d","mf",,Trigger)</f>
        <v>42342</v>
      </c>
      <c r="BD51" s="41">
        <f>_xll.qlDayCounterYearFraction(DayCounter,SettlementDate,BC51,,,Trigger)</f>
        <v>0.17499999999999999</v>
      </c>
      <c r="BE51" s="47" t="e">
        <f>_xll.qlPolynomialFunctionValue(BE$1,$BD51,AllTriggers)</f>
        <v>#VALUE!</v>
      </c>
      <c r="BF51" s="47" t="e">
        <f>_xll.qlPolynomialFunctionValue(BF$1,$BD51,AllTriggers)</f>
        <v>#VALUE!</v>
      </c>
      <c r="BG51" s="47" t="e">
        <f>_xll.qlPolynomialFunctionValue(BG$1,$BD51,AllTriggers)</f>
        <v>#VALUE!</v>
      </c>
      <c r="BH51" s="47" t="e">
        <f>_xll.qlPolynomialFunctionValue(BH$1,$BD51,AllTriggers)</f>
        <v>#VALUE!</v>
      </c>
      <c r="BI51" s="47" t="e">
        <f>_xll.qlPolynomialFunctionValue(BI$1,$BD51,AllTriggers)</f>
        <v>#VALUE!</v>
      </c>
      <c r="BJ51" s="47" t="e">
        <f>_xll.qlPolynomialFunctionValue(BJ$1,$BD51,AllTriggers)</f>
        <v>#VALUE!</v>
      </c>
      <c r="BK51" s="47" t="e">
        <f>_xll.qlPolynomialFunctionValue(BK$1,$BD51,AllTriggers)</f>
        <v>#VALUE!</v>
      </c>
      <c r="BL51" s="47" t="e">
        <f>_xll.qlPolynomialFunctionValue(BL$1,$BD51,AllTriggers)</f>
        <v>#VALUE!</v>
      </c>
      <c r="BM51" s="47" t="e">
        <f>_xll.qlPolynomialFunctionValue(BM$1,$BD51,AllTriggers)</f>
        <v>#VALUE!</v>
      </c>
      <c r="BN51" s="47" t="e">
        <f>_xll.qlPolynomialFunctionValue(BN$1,$BD51,AllTriggers)</f>
        <v>#VALUE!</v>
      </c>
      <c r="BO51" s="47" t="e">
        <f>_xll.qlPolynomialFunctionValue(BO$1,$BD51,AllTriggers)</f>
        <v>#VALUE!</v>
      </c>
      <c r="BP51" s="47" t="e">
        <f>_xll.qlPolynomialFunctionValue(BP$1,$BD51,AllTriggers)</f>
        <v>#VALUE!</v>
      </c>
      <c r="BQ51" s="47">
        <f>_xll.qlPolynomialFunctionValue('3MSynthDepo_used'!$P$18,BD51,AllTriggers)</f>
        <v>1.0359865268951532E-3</v>
      </c>
    </row>
    <row r="52" spans="3:69" x14ac:dyDescent="0.2">
      <c r="BC52" s="178">
        <f>_xll.qlCalendarAdvance(Calendar,BC51,"1d","mf",,Trigger)</f>
        <v>42345</v>
      </c>
      <c r="BD52" s="41">
        <f>_xll.qlDayCounterYearFraction(DayCounter,SettlementDate,BC52,,,Trigger)</f>
        <v>0.18333333333333332</v>
      </c>
      <c r="BE52" s="47" t="e">
        <f>_xll.qlPolynomialFunctionValue(BE$1,$BD52,AllTriggers)</f>
        <v>#VALUE!</v>
      </c>
      <c r="BF52" s="47" t="e">
        <f>_xll.qlPolynomialFunctionValue(BF$1,$BD52,AllTriggers)</f>
        <v>#VALUE!</v>
      </c>
      <c r="BG52" s="47" t="e">
        <f>_xll.qlPolynomialFunctionValue(BG$1,$BD52,AllTriggers)</f>
        <v>#VALUE!</v>
      </c>
      <c r="BH52" s="47" t="e">
        <f>_xll.qlPolynomialFunctionValue(BH$1,$BD52,AllTriggers)</f>
        <v>#VALUE!</v>
      </c>
      <c r="BI52" s="47" t="e">
        <f>_xll.qlPolynomialFunctionValue(BI$1,$BD52,AllTriggers)</f>
        <v>#VALUE!</v>
      </c>
      <c r="BJ52" s="47" t="e">
        <f>_xll.qlPolynomialFunctionValue(BJ$1,$BD52,AllTriggers)</f>
        <v>#VALUE!</v>
      </c>
      <c r="BK52" s="47" t="e">
        <f>_xll.qlPolynomialFunctionValue(BK$1,$BD52,AllTriggers)</f>
        <v>#VALUE!</v>
      </c>
      <c r="BL52" s="47" t="e">
        <f>_xll.qlPolynomialFunctionValue(BL$1,$BD52,AllTriggers)</f>
        <v>#VALUE!</v>
      </c>
      <c r="BM52" s="47" t="e">
        <f>_xll.qlPolynomialFunctionValue(BM$1,$BD52,AllTriggers)</f>
        <v>#VALUE!</v>
      </c>
      <c r="BN52" s="47" t="e">
        <f>_xll.qlPolynomialFunctionValue(BN$1,$BD52,AllTriggers)</f>
        <v>#VALUE!</v>
      </c>
      <c r="BO52" s="47" t="e">
        <f>_xll.qlPolynomialFunctionValue(BO$1,$BD52,AllTriggers)</f>
        <v>#VALUE!</v>
      </c>
      <c r="BP52" s="47" t="e">
        <f>_xll.qlPolynomialFunctionValue(BP$1,$BD52,AllTriggers)</f>
        <v>#VALUE!</v>
      </c>
      <c r="BQ52" s="47">
        <f>_xll.qlPolynomialFunctionValue('3MSynthDepo_used'!$P$18,BD52,AllTriggers)</f>
        <v>1.0408598399719842E-3</v>
      </c>
    </row>
    <row r="53" spans="3:69" x14ac:dyDescent="0.2">
      <c r="F53" s="125" t="s">
        <v>69</v>
      </c>
      <c r="G53" s="125" t="s">
        <v>68</v>
      </c>
      <c r="H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0"/>
      <c r="AC53" s="256"/>
      <c r="BC53" s="178">
        <f>_xll.qlCalendarAdvance(Calendar,BC52,"1d","mf",,Trigger)</f>
        <v>42346</v>
      </c>
      <c r="BD53" s="41">
        <f>_xll.qlDayCounterYearFraction(DayCounter,SettlementDate,BC53,,,Trigger)</f>
        <v>0.18611111111111112</v>
      </c>
      <c r="BE53" s="47" t="e">
        <f>_xll.qlPolynomialFunctionValue(BE$1,$BD53,AllTriggers)</f>
        <v>#VALUE!</v>
      </c>
      <c r="BF53" s="47" t="e">
        <f>_xll.qlPolynomialFunctionValue(BF$1,$BD53,AllTriggers)</f>
        <v>#VALUE!</v>
      </c>
      <c r="BG53" s="47" t="e">
        <f>_xll.qlPolynomialFunctionValue(BG$1,$BD53,AllTriggers)</f>
        <v>#VALUE!</v>
      </c>
      <c r="BH53" s="47" t="e">
        <f>_xll.qlPolynomialFunctionValue(BH$1,$BD53,AllTriggers)</f>
        <v>#VALUE!</v>
      </c>
      <c r="BI53" s="47" t="e">
        <f>_xll.qlPolynomialFunctionValue(BI$1,$BD53,AllTriggers)</f>
        <v>#VALUE!</v>
      </c>
      <c r="BJ53" s="47" t="e">
        <f>_xll.qlPolynomialFunctionValue(BJ$1,$BD53,AllTriggers)</f>
        <v>#VALUE!</v>
      </c>
      <c r="BK53" s="47" t="e">
        <f>_xll.qlPolynomialFunctionValue(BK$1,$BD53,AllTriggers)</f>
        <v>#VALUE!</v>
      </c>
      <c r="BL53" s="47" t="e">
        <f>_xll.qlPolynomialFunctionValue(BL$1,$BD53,AllTriggers)</f>
        <v>#VALUE!</v>
      </c>
      <c r="BM53" s="47" t="e">
        <f>_xll.qlPolynomialFunctionValue(BM$1,$BD53,AllTriggers)</f>
        <v>#VALUE!</v>
      </c>
      <c r="BN53" s="47" t="e">
        <f>_xll.qlPolynomialFunctionValue(BN$1,$BD53,AllTriggers)</f>
        <v>#VALUE!</v>
      </c>
      <c r="BO53" s="47" t="e">
        <f>_xll.qlPolynomialFunctionValue(BO$1,$BD53,AllTriggers)</f>
        <v>#VALUE!</v>
      </c>
      <c r="BP53" s="47" t="e">
        <f>_xll.qlPolynomialFunctionValue(BP$1,$BD53,AllTriggers)</f>
        <v>#VALUE!</v>
      </c>
      <c r="BQ53" s="47">
        <f>_xll.qlPolynomialFunctionValue('3MSynthDepo_used'!$P$18,BD53,AllTriggers)</f>
        <v>1.0424732876416775E-3</v>
      </c>
    </row>
    <row r="54" spans="3:69" x14ac:dyDescent="0.2">
      <c r="F54" s="189" t="str">
        <f>C42&amp;"x"&amp;C42+SUBSTITUTE($D$24,"M","")&amp;"F"</f>
        <v>0x3F</v>
      </c>
      <c r="G54" s="156" t="e">
        <f>$AD42-G42</f>
        <v>#VALUE!</v>
      </c>
      <c r="H54" s="156" t="e">
        <f t="shared" ref="H54:AC54" si="14">$AD42-H42</f>
        <v>#VALUE!</v>
      </c>
      <c r="I54" s="19">
        <f t="shared" si="14"/>
        <v>-4.0000000000000002E-4</v>
      </c>
      <c r="J54" s="19">
        <f t="shared" si="14"/>
        <v>-4.0000000000000002E-4</v>
      </c>
      <c r="K54" s="19">
        <f t="shared" si="14"/>
        <v>-4.0000000000000002E-4</v>
      </c>
      <c r="L54" s="19">
        <f t="shared" si="14"/>
        <v>-4.0000000000000002E-4</v>
      </c>
      <c r="M54" s="19">
        <f t="shared" si="14"/>
        <v>-4.0000000000000002E-4</v>
      </c>
      <c r="N54" s="19">
        <f t="shared" si="14"/>
        <v>-4.0000000000000002E-4</v>
      </c>
      <c r="O54" s="19">
        <f t="shared" si="14"/>
        <v>-4.0000000000000002E-4</v>
      </c>
      <c r="P54" s="19">
        <f t="shared" si="14"/>
        <v>-4.0000000000000002E-4</v>
      </c>
      <c r="Q54" s="19">
        <f t="shared" si="14"/>
        <v>-4.0000000000000002E-4</v>
      </c>
      <c r="R54" s="19">
        <f t="shared" si="14"/>
        <v>-4.0000000000000002E-4</v>
      </c>
      <c r="S54" s="156" t="e">
        <f t="shared" si="14"/>
        <v>#VALUE!</v>
      </c>
      <c r="T54" s="157" t="e">
        <f t="shared" si="14"/>
        <v>#VALUE!</v>
      </c>
      <c r="U54" s="158" t="e">
        <f t="shared" si="14"/>
        <v>#VALUE!</v>
      </c>
      <c r="V54" s="156" t="e">
        <f t="shared" si="14"/>
        <v>#VALUE!</v>
      </c>
      <c r="W54" s="156" t="e">
        <f t="shared" si="14"/>
        <v>#VALUE!</v>
      </c>
      <c r="X54" s="157" t="e">
        <f t="shared" si="14"/>
        <v>#VALUE!</v>
      </c>
      <c r="Y54" s="158" t="e">
        <f t="shared" si="14"/>
        <v>#VALUE!</v>
      </c>
      <c r="Z54" s="240" t="e">
        <f t="shared" si="14"/>
        <v>#VALUE!</v>
      </c>
      <c r="AA54" s="156" t="e">
        <f t="shared" si="14"/>
        <v>#VALUE!</v>
      </c>
      <c r="AB54" s="156" t="e">
        <f t="shared" si="14"/>
        <v>#VALUE!</v>
      </c>
      <c r="AC54" s="156">
        <f t="shared" si="14"/>
        <v>5.6678813990339598E-5</v>
      </c>
      <c r="BC54" s="178">
        <f>_xll.qlCalendarAdvance(Calendar,BC53,"1d","mf",,Trigger)</f>
        <v>42347</v>
      </c>
      <c r="BD54" s="41">
        <f>_xll.qlDayCounterYearFraction(DayCounter,SettlementDate,BC54,,,Trigger)</f>
        <v>0.18888888888888888</v>
      </c>
      <c r="BE54" s="47" t="e">
        <f>_xll.qlPolynomialFunctionValue(BE$1,$BD54,AllTriggers)</f>
        <v>#VALUE!</v>
      </c>
      <c r="BF54" s="47" t="e">
        <f>_xll.qlPolynomialFunctionValue(BF$1,$BD54,AllTriggers)</f>
        <v>#VALUE!</v>
      </c>
      <c r="BG54" s="47" t="e">
        <f>_xll.qlPolynomialFunctionValue(BG$1,$BD54,AllTriggers)</f>
        <v>#VALUE!</v>
      </c>
      <c r="BH54" s="47" t="e">
        <f>_xll.qlPolynomialFunctionValue(BH$1,$BD54,AllTriggers)</f>
        <v>#VALUE!</v>
      </c>
      <c r="BI54" s="47" t="e">
        <f>_xll.qlPolynomialFunctionValue(BI$1,$BD54,AllTriggers)</f>
        <v>#VALUE!</v>
      </c>
      <c r="BJ54" s="47" t="e">
        <f>_xll.qlPolynomialFunctionValue(BJ$1,$BD54,AllTriggers)</f>
        <v>#VALUE!</v>
      </c>
      <c r="BK54" s="47" t="e">
        <f>_xll.qlPolynomialFunctionValue(BK$1,$BD54,AllTriggers)</f>
        <v>#VALUE!</v>
      </c>
      <c r="BL54" s="47" t="e">
        <f>_xll.qlPolynomialFunctionValue(BL$1,$BD54,AllTriggers)</f>
        <v>#VALUE!</v>
      </c>
      <c r="BM54" s="47" t="e">
        <f>_xll.qlPolynomialFunctionValue(BM$1,$BD54,AllTriggers)</f>
        <v>#VALUE!</v>
      </c>
      <c r="BN54" s="47" t="e">
        <f>_xll.qlPolynomialFunctionValue(BN$1,$BD54,AllTriggers)</f>
        <v>#VALUE!</v>
      </c>
      <c r="BO54" s="47" t="e">
        <f>_xll.qlPolynomialFunctionValue(BO$1,$BD54,AllTriggers)</f>
        <v>#VALUE!</v>
      </c>
      <c r="BP54" s="47" t="e">
        <f>_xll.qlPolynomialFunctionValue(BP$1,$BD54,AllTriggers)</f>
        <v>#VALUE!</v>
      </c>
      <c r="BQ54" s="47">
        <f>_xll.qlPolynomialFunctionValue('3MSynthDepo_used'!$P$18,BD54,AllTriggers)</f>
        <v>1.0440812592636493E-3</v>
      </c>
    </row>
    <row r="55" spans="3:69" x14ac:dyDescent="0.2">
      <c r="F55" s="190" t="str">
        <f>C43&amp;"x"&amp;C43+SUBSTITUTE($D$24,"M","")&amp;"F"</f>
        <v>1x4F</v>
      </c>
      <c r="G55" s="47" t="e">
        <f t="shared" ref="G55:AC55" si="15">$AD43-G43</f>
        <v>#VALUE!</v>
      </c>
      <c r="H55" s="47" t="e">
        <f t="shared" si="15"/>
        <v>#VALUE!</v>
      </c>
      <c r="I55" s="19">
        <f t="shared" si="15"/>
        <v>-4.6000000000000001E-4</v>
      </c>
      <c r="J55" s="19">
        <f t="shared" si="15"/>
        <v>-4.6000000000000001E-4</v>
      </c>
      <c r="K55" s="19">
        <f t="shared" si="15"/>
        <v>-4.6000000000000001E-4</v>
      </c>
      <c r="L55" s="19">
        <f t="shared" si="15"/>
        <v>-4.6000000000000001E-4</v>
      </c>
      <c r="M55" s="19">
        <f t="shared" si="15"/>
        <v>-4.6000000000000001E-4</v>
      </c>
      <c r="N55" s="19">
        <f t="shared" si="15"/>
        <v>-4.6000000000000001E-4</v>
      </c>
      <c r="O55" s="19">
        <f t="shared" si="15"/>
        <v>-4.6000000000000001E-4</v>
      </c>
      <c r="P55" s="19">
        <f t="shared" si="15"/>
        <v>-4.6000000000000001E-4</v>
      </c>
      <c r="Q55" s="19">
        <f t="shared" si="15"/>
        <v>-4.6000000000000001E-4</v>
      </c>
      <c r="R55" s="19">
        <f t="shared" si="15"/>
        <v>-4.6000000000000001E-4</v>
      </c>
      <c r="S55" s="47" t="e">
        <f t="shared" si="15"/>
        <v>#VALUE!</v>
      </c>
      <c r="T55" s="154" t="e">
        <f t="shared" si="15"/>
        <v>#VALUE!</v>
      </c>
      <c r="U55" s="155" t="e">
        <f t="shared" si="15"/>
        <v>#VALUE!</v>
      </c>
      <c r="V55" s="47" t="e">
        <f t="shared" si="15"/>
        <v>#VALUE!</v>
      </c>
      <c r="W55" s="47" t="e">
        <f t="shared" si="15"/>
        <v>#VALUE!</v>
      </c>
      <c r="X55" s="154" t="e">
        <f t="shared" si="15"/>
        <v>#VALUE!</v>
      </c>
      <c r="Y55" s="155" t="e">
        <f t="shared" si="15"/>
        <v>#VALUE!</v>
      </c>
      <c r="Z55" s="200" t="e">
        <f t="shared" si="15"/>
        <v>#VALUE!</v>
      </c>
      <c r="AA55" s="47" t="e">
        <f t="shared" si="15"/>
        <v>#VALUE!</v>
      </c>
      <c r="AB55" s="47" t="e">
        <f t="shared" si="15"/>
        <v>#VALUE!</v>
      </c>
      <c r="AC55" s="47">
        <f t="shared" si="15"/>
        <v>1.4554442032593156E-5</v>
      </c>
      <c r="BC55" s="178">
        <f>_xll.qlCalendarAdvance(Calendar,BC54,"1d","mf",,Trigger)</f>
        <v>42348</v>
      </c>
      <c r="BD55" s="41">
        <f>_xll.qlDayCounterYearFraction(DayCounter,SettlementDate,BC55,,,Trigger)</f>
        <v>0.19166666666666668</v>
      </c>
      <c r="BE55" s="47" t="e">
        <f>_xll.qlPolynomialFunctionValue(BE$1,$BD55,AllTriggers)</f>
        <v>#VALUE!</v>
      </c>
      <c r="BF55" s="47" t="e">
        <f>_xll.qlPolynomialFunctionValue(BF$1,$BD55,AllTriggers)</f>
        <v>#VALUE!</v>
      </c>
      <c r="BG55" s="47" t="e">
        <f>_xll.qlPolynomialFunctionValue(BG$1,$BD55,AllTriggers)</f>
        <v>#VALUE!</v>
      </c>
      <c r="BH55" s="47" t="e">
        <f>_xll.qlPolynomialFunctionValue(BH$1,$BD55,AllTriggers)</f>
        <v>#VALUE!</v>
      </c>
      <c r="BI55" s="47" t="e">
        <f>_xll.qlPolynomialFunctionValue(BI$1,$BD55,AllTriggers)</f>
        <v>#VALUE!</v>
      </c>
      <c r="BJ55" s="47" t="e">
        <f>_xll.qlPolynomialFunctionValue(BJ$1,$BD55,AllTriggers)</f>
        <v>#VALUE!</v>
      </c>
      <c r="BK55" s="47" t="e">
        <f>_xll.qlPolynomialFunctionValue(BK$1,$BD55,AllTriggers)</f>
        <v>#VALUE!</v>
      </c>
      <c r="BL55" s="47" t="e">
        <f>_xll.qlPolynomialFunctionValue(BL$1,$BD55,AllTriggers)</f>
        <v>#VALUE!</v>
      </c>
      <c r="BM55" s="47" t="e">
        <f>_xll.qlPolynomialFunctionValue(BM$1,$BD55,AllTriggers)</f>
        <v>#VALUE!</v>
      </c>
      <c r="BN55" s="47" t="e">
        <f>_xll.qlPolynomialFunctionValue(BN$1,$BD55,AllTriggers)</f>
        <v>#VALUE!</v>
      </c>
      <c r="BO55" s="47" t="e">
        <f>_xll.qlPolynomialFunctionValue(BO$1,$BD55,AllTriggers)</f>
        <v>#VALUE!</v>
      </c>
      <c r="BP55" s="47" t="e">
        <f>_xll.qlPolynomialFunctionValue(BP$1,$BD55,AllTriggers)</f>
        <v>#VALUE!</v>
      </c>
      <c r="BQ55" s="47">
        <f>_xll.qlPolynomialFunctionValue('3MSynthDepo_used'!$P$18,BD55,AllTriggers)</f>
        <v>1.0456837662160417E-3</v>
      </c>
    </row>
    <row r="56" spans="3:69" x14ac:dyDescent="0.2">
      <c r="F56" s="190" t="str">
        <f t="shared" ref="F56:F57" si="16">C44&amp;"x"&amp;C44+SUBSTITUTE($D$24,"M","")&amp;"F"</f>
        <v>2x5F</v>
      </c>
      <c r="G56" s="47" t="e">
        <f t="shared" ref="G56:AC56" si="17">$AD44-G44</f>
        <v>#VALUE!</v>
      </c>
      <c r="H56" s="47" t="e">
        <f t="shared" si="17"/>
        <v>#VALUE!</v>
      </c>
      <c r="I56" s="19">
        <f t="shared" si="17"/>
        <v>-4.8999999999999998E-4</v>
      </c>
      <c r="J56" s="19">
        <f t="shared" si="17"/>
        <v>-4.8999999999999998E-4</v>
      </c>
      <c r="K56" s="19">
        <f t="shared" si="17"/>
        <v>-4.8999999999999998E-4</v>
      </c>
      <c r="L56" s="19">
        <f t="shared" si="17"/>
        <v>-4.8999999999999998E-4</v>
      </c>
      <c r="M56" s="19">
        <f t="shared" si="17"/>
        <v>-4.8999999999999998E-4</v>
      </c>
      <c r="N56" s="19">
        <f t="shared" si="17"/>
        <v>-4.8999999999999998E-4</v>
      </c>
      <c r="O56" s="19">
        <f t="shared" si="17"/>
        <v>-4.8999999999999998E-4</v>
      </c>
      <c r="P56" s="19">
        <f t="shared" si="17"/>
        <v>-4.8999999999999998E-4</v>
      </c>
      <c r="Q56" s="19">
        <f t="shared" si="17"/>
        <v>-4.8999999999999998E-4</v>
      </c>
      <c r="R56" s="19">
        <f t="shared" si="17"/>
        <v>-4.8999999999999998E-4</v>
      </c>
      <c r="S56" s="47" t="e">
        <f t="shared" si="17"/>
        <v>#VALUE!</v>
      </c>
      <c r="T56" s="154" t="e">
        <f t="shared" si="17"/>
        <v>#VALUE!</v>
      </c>
      <c r="U56" s="155" t="e">
        <f t="shared" si="17"/>
        <v>#VALUE!</v>
      </c>
      <c r="V56" s="47" t="e">
        <f t="shared" si="17"/>
        <v>#VALUE!</v>
      </c>
      <c r="W56" s="47" t="e">
        <f t="shared" si="17"/>
        <v>#VALUE!</v>
      </c>
      <c r="X56" s="154" t="e">
        <f t="shared" si="17"/>
        <v>#VALUE!</v>
      </c>
      <c r="Y56" s="155" t="e">
        <f t="shared" si="17"/>
        <v>#VALUE!</v>
      </c>
      <c r="Z56" s="200" t="e">
        <f t="shared" si="17"/>
        <v>#VALUE!</v>
      </c>
      <c r="AA56" s="47" t="e">
        <f t="shared" si="17"/>
        <v>#VALUE!</v>
      </c>
      <c r="AB56" s="47" t="e">
        <f t="shared" si="17"/>
        <v>#VALUE!</v>
      </c>
      <c r="AC56" s="47">
        <f t="shared" si="17"/>
        <v>8.3801412436209635E-6</v>
      </c>
      <c r="BC56" s="178">
        <f>_xll.qlCalendarAdvance(Calendar,BC55,"1d","mf",,Trigger)</f>
        <v>42349</v>
      </c>
      <c r="BD56" s="41">
        <f>_xll.qlDayCounterYearFraction(DayCounter,SettlementDate,BC56,,,Trigger)</f>
        <v>0.19444444444444445</v>
      </c>
      <c r="BE56" s="47" t="e">
        <f>_xll.qlPolynomialFunctionValue(BE$1,$BD56,AllTriggers)</f>
        <v>#VALUE!</v>
      </c>
      <c r="BF56" s="47" t="e">
        <f>_xll.qlPolynomialFunctionValue(BF$1,$BD56,AllTriggers)</f>
        <v>#VALUE!</v>
      </c>
      <c r="BG56" s="47" t="e">
        <f>_xll.qlPolynomialFunctionValue(BG$1,$BD56,AllTriggers)</f>
        <v>#VALUE!</v>
      </c>
      <c r="BH56" s="47" t="e">
        <f>_xll.qlPolynomialFunctionValue(BH$1,$BD56,AllTriggers)</f>
        <v>#VALUE!</v>
      </c>
      <c r="BI56" s="47" t="e">
        <f>_xll.qlPolynomialFunctionValue(BI$1,$BD56,AllTriggers)</f>
        <v>#VALUE!</v>
      </c>
      <c r="BJ56" s="47" t="e">
        <f>_xll.qlPolynomialFunctionValue(BJ$1,$BD56,AllTriggers)</f>
        <v>#VALUE!</v>
      </c>
      <c r="BK56" s="47" t="e">
        <f>_xll.qlPolynomialFunctionValue(BK$1,$BD56,AllTriggers)</f>
        <v>#VALUE!</v>
      </c>
      <c r="BL56" s="47" t="e">
        <f>_xll.qlPolynomialFunctionValue(BL$1,$BD56,AllTriggers)</f>
        <v>#VALUE!</v>
      </c>
      <c r="BM56" s="47" t="e">
        <f>_xll.qlPolynomialFunctionValue(BM$1,$BD56,AllTriggers)</f>
        <v>#VALUE!</v>
      </c>
      <c r="BN56" s="47" t="e">
        <f>_xll.qlPolynomialFunctionValue(BN$1,$BD56,AllTriggers)</f>
        <v>#VALUE!</v>
      </c>
      <c r="BO56" s="47" t="e">
        <f>_xll.qlPolynomialFunctionValue(BO$1,$BD56,AllTriggers)</f>
        <v>#VALUE!</v>
      </c>
      <c r="BP56" s="47" t="e">
        <f>_xll.qlPolynomialFunctionValue(BP$1,$BD56,AllTriggers)</f>
        <v>#VALUE!</v>
      </c>
      <c r="BQ56" s="47">
        <f>_xll.qlPolynomialFunctionValue('3MSynthDepo_used'!$P$18,BD56,AllTriggers)</f>
        <v>1.0472808198769964E-3</v>
      </c>
    </row>
    <row r="57" spans="3:69" x14ac:dyDescent="0.2">
      <c r="F57" s="190" t="str">
        <f t="shared" si="16"/>
        <v>3x6F</v>
      </c>
      <c r="G57" s="47" t="e">
        <f t="shared" ref="G57:AC57" si="18">$AD45-G45</f>
        <v>#VALUE!</v>
      </c>
      <c r="H57" s="47" t="e">
        <f t="shared" si="18"/>
        <v>#VALUE!</v>
      </c>
      <c r="I57" s="19">
        <f t="shared" si="18"/>
        <v>-5.2999999999999998E-4</v>
      </c>
      <c r="J57" s="19">
        <f t="shared" si="18"/>
        <v>-5.2999999999999998E-4</v>
      </c>
      <c r="K57" s="19">
        <f t="shared" si="18"/>
        <v>-5.2999999999999998E-4</v>
      </c>
      <c r="L57" s="19">
        <f t="shared" si="18"/>
        <v>-5.2999999999999998E-4</v>
      </c>
      <c r="M57" s="19">
        <f t="shared" si="18"/>
        <v>-5.2999999999999998E-4</v>
      </c>
      <c r="N57" s="19">
        <f t="shared" si="18"/>
        <v>-5.2999999999999998E-4</v>
      </c>
      <c r="O57" s="19">
        <f t="shared" si="18"/>
        <v>-5.2999999999999998E-4</v>
      </c>
      <c r="P57" s="19">
        <f t="shared" si="18"/>
        <v>-5.2999999999999998E-4</v>
      </c>
      <c r="Q57" s="19">
        <f t="shared" si="18"/>
        <v>-5.2999999999999998E-4</v>
      </c>
      <c r="R57" s="19">
        <f t="shared" si="18"/>
        <v>-5.2999999999999998E-4</v>
      </c>
      <c r="S57" s="47" t="e">
        <f t="shared" si="18"/>
        <v>#VALUE!</v>
      </c>
      <c r="T57" s="154" t="e">
        <f t="shared" si="18"/>
        <v>#VALUE!</v>
      </c>
      <c r="U57" s="155" t="e">
        <f t="shared" si="18"/>
        <v>#VALUE!</v>
      </c>
      <c r="V57" s="47" t="e">
        <f t="shared" si="18"/>
        <v>#VALUE!</v>
      </c>
      <c r="W57" s="47" t="e">
        <f t="shared" si="18"/>
        <v>#VALUE!</v>
      </c>
      <c r="X57" s="154" t="e">
        <f t="shared" si="18"/>
        <v>#VALUE!</v>
      </c>
      <c r="Y57" s="155" t="e">
        <f t="shared" si="18"/>
        <v>#VALUE!</v>
      </c>
      <c r="Z57" s="200" t="e">
        <f t="shared" si="18"/>
        <v>#VALUE!</v>
      </c>
      <c r="AA57" s="47" t="e">
        <f t="shared" si="18"/>
        <v>#VALUE!</v>
      </c>
      <c r="AB57" s="47" t="e">
        <f t="shared" si="18"/>
        <v>#VALUE!</v>
      </c>
      <c r="AC57" s="47">
        <f t="shared" si="18"/>
        <v>1.6187501923071112E-5</v>
      </c>
      <c r="BC57" s="178">
        <f>_xll.qlCalendarAdvance(Calendar,BC56,"1d","mf",,Trigger)</f>
        <v>42352</v>
      </c>
      <c r="BD57" s="41">
        <f>_xll.qlDayCounterYearFraction(DayCounter,SettlementDate,BC57,,,Trigger)</f>
        <v>0.20277777777777778</v>
      </c>
      <c r="BE57" s="47" t="e">
        <f>_xll.qlPolynomialFunctionValue(BE$1,$BD57,AllTriggers)</f>
        <v>#VALUE!</v>
      </c>
      <c r="BF57" s="47" t="e">
        <f>_xll.qlPolynomialFunctionValue(BF$1,$BD57,AllTriggers)</f>
        <v>#VALUE!</v>
      </c>
      <c r="BG57" s="47" t="e">
        <f>_xll.qlPolynomialFunctionValue(BG$1,$BD57,AllTriggers)</f>
        <v>#VALUE!</v>
      </c>
      <c r="BH57" s="47" t="e">
        <f>_xll.qlPolynomialFunctionValue(BH$1,$BD57,AllTriggers)</f>
        <v>#VALUE!</v>
      </c>
      <c r="BI57" s="47" t="e">
        <f>_xll.qlPolynomialFunctionValue(BI$1,$BD57,AllTriggers)</f>
        <v>#VALUE!</v>
      </c>
      <c r="BJ57" s="47" t="e">
        <f>_xll.qlPolynomialFunctionValue(BJ$1,$BD57,AllTriggers)</f>
        <v>#VALUE!</v>
      </c>
      <c r="BK57" s="47" t="e">
        <f>_xll.qlPolynomialFunctionValue(BK$1,$BD57,AllTriggers)</f>
        <v>#VALUE!</v>
      </c>
      <c r="BL57" s="47" t="e">
        <f>_xll.qlPolynomialFunctionValue(BL$1,$BD57,AllTriggers)</f>
        <v>#VALUE!</v>
      </c>
      <c r="BM57" s="47" t="e">
        <f>_xll.qlPolynomialFunctionValue(BM$1,$BD57,AllTriggers)</f>
        <v>#VALUE!</v>
      </c>
      <c r="BN57" s="47" t="e">
        <f>_xll.qlPolynomialFunctionValue(BN$1,$BD57,AllTriggers)</f>
        <v>#VALUE!</v>
      </c>
      <c r="BO57" s="47" t="e">
        <f>_xll.qlPolynomialFunctionValue(BO$1,$BD57,AllTriggers)</f>
        <v>#VALUE!</v>
      </c>
      <c r="BP57" s="47" t="e">
        <f>_xll.qlPolynomialFunctionValue(BP$1,$BD57,AllTriggers)</f>
        <v>#VALUE!</v>
      </c>
      <c r="BQ57" s="47">
        <f>_xll.qlPolynomialFunctionValue('3MSynthDepo_used'!$P$18,BD57,AllTriggers)</f>
        <v>1.0520393748926565E-3</v>
      </c>
    </row>
    <row r="58" spans="3:69" x14ac:dyDescent="0.2">
      <c r="F58" s="278" t="str">
        <f>D46</f>
        <v>V5</v>
      </c>
      <c r="G58" s="52" t="e">
        <f t="shared" ref="G58:AC58" si="19">$AD46-G46</f>
        <v>#VALUE!</v>
      </c>
      <c r="H58" s="52" t="e">
        <f t="shared" si="19"/>
        <v>#VALUE!</v>
      </c>
      <c r="I58" s="93">
        <f t="shared" si="19"/>
        <v>-4.2500000000011973E-4</v>
      </c>
      <c r="J58" s="93">
        <f t="shared" si="19"/>
        <v>-4.2500000000011973E-4</v>
      </c>
      <c r="K58" s="93">
        <f t="shared" si="19"/>
        <v>-4.2500000000011973E-4</v>
      </c>
      <c r="L58" s="93">
        <f t="shared" si="19"/>
        <v>-4.2500000000011973E-4</v>
      </c>
      <c r="M58" s="93">
        <f t="shared" si="19"/>
        <v>-4.2500000000011973E-4</v>
      </c>
      <c r="N58" s="93">
        <f t="shared" si="19"/>
        <v>-4.2500000000011973E-4</v>
      </c>
      <c r="O58" s="93">
        <f t="shared" si="19"/>
        <v>-4.2500000000011973E-4</v>
      </c>
      <c r="P58" s="93">
        <f t="shared" si="19"/>
        <v>-4.2500000000011973E-4</v>
      </c>
      <c r="Q58" s="93">
        <f t="shared" si="19"/>
        <v>-4.2500000000011973E-4</v>
      </c>
      <c r="R58" s="93">
        <f t="shared" si="19"/>
        <v>-4.2500000000011973E-4</v>
      </c>
      <c r="S58" s="52" t="e">
        <f t="shared" si="19"/>
        <v>#VALUE!</v>
      </c>
      <c r="T58" s="273" t="e">
        <f t="shared" si="19"/>
        <v>#VALUE!</v>
      </c>
      <c r="U58" s="272" t="e">
        <f t="shared" si="19"/>
        <v>#VALUE!</v>
      </c>
      <c r="V58" s="52" t="e">
        <f t="shared" si="19"/>
        <v>#VALUE!</v>
      </c>
      <c r="W58" s="52" t="e">
        <f t="shared" si="19"/>
        <v>#VALUE!</v>
      </c>
      <c r="X58" s="273" t="e">
        <f t="shared" si="19"/>
        <v>#VALUE!</v>
      </c>
      <c r="Y58" s="272" t="e">
        <f t="shared" si="19"/>
        <v>#VALUE!</v>
      </c>
      <c r="Z58" s="199" t="e">
        <f t="shared" si="19"/>
        <v>#VALUE!</v>
      </c>
      <c r="AA58" s="52" t="e">
        <f t="shared" si="19"/>
        <v>#VALUE!</v>
      </c>
      <c r="AB58" s="52" t="e">
        <f t="shared" si="19"/>
        <v>#VALUE!</v>
      </c>
      <c r="AC58" s="52">
        <f t="shared" si="19"/>
        <v>1.5502150526053565E-5</v>
      </c>
      <c r="BC58" s="178">
        <f>_xll.qlCalendarAdvance(Calendar,BC57,"1d","mf",,Trigger)</f>
        <v>42353</v>
      </c>
      <c r="BD58" s="41">
        <f>_xll.qlDayCounterYearFraction(DayCounter,SettlementDate,BC58,,,Trigger)</f>
        <v>0.20555555555555555</v>
      </c>
      <c r="BE58" s="47" t="e">
        <f>_xll.qlPolynomialFunctionValue(BE$1,$BD58,AllTriggers)</f>
        <v>#VALUE!</v>
      </c>
      <c r="BF58" s="47" t="e">
        <f>_xll.qlPolynomialFunctionValue(BF$1,$BD58,AllTriggers)</f>
        <v>#VALUE!</v>
      </c>
      <c r="BG58" s="47" t="e">
        <f>_xll.qlPolynomialFunctionValue(BG$1,$BD58,AllTriggers)</f>
        <v>#VALUE!</v>
      </c>
      <c r="BH58" s="47" t="e">
        <f>_xll.qlPolynomialFunctionValue(BH$1,$BD58,AllTriggers)</f>
        <v>#VALUE!</v>
      </c>
      <c r="BI58" s="47" t="e">
        <f>_xll.qlPolynomialFunctionValue(BI$1,$BD58,AllTriggers)</f>
        <v>#VALUE!</v>
      </c>
      <c r="BJ58" s="47" t="e">
        <f>_xll.qlPolynomialFunctionValue(BJ$1,$BD58,AllTriggers)</f>
        <v>#VALUE!</v>
      </c>
      <c r="BK58" s="47" t="e">
        <f>_xll.qlPolynomialFunctionValue(BK$1,$BD58,AllTriggers)</f>
        <v>#VALUE!</v>
      </c>
      <c r="BL58" s="47" t="e">
        <f>_xll.qlPolynomialFunctionValue(BL$1,$BD58,AllTriggers)</f>
        <v>#VALUE!</v>
      </c>
      <c r="BM58" s="47" t="e">
        <f>_xll.qlPolynomialFunctionValue(BM$1,$BD58,AllTriggers)</f>
        <v>#VALUE!</v>
      </c>
      <c r="BN58" s="47" t="e">
        <f>_xll.qlPolynomialFunctionValue(BN$1,$BD58,AllTriggers)</f>
        <v>#VALUE!</v>
      </c>
      <c r="BO58" s="47" t="e">
        <f>_xll.qlPolynomialFunctionValue(BO$1,$BD58,AllTriggers)</f>
        <v>#VALUE!</v>
      </c>
      <c r="BP58" s="47" t="e">
        <f>_xll.qlPolynomialFunctionValue(BP$1,$BD58,AllTriggers)</f>
        <v>#VALUE!</v>
      </c>
      <c r="BQ58" s="47">
        <f>_xll.qlPolynomialFunctionValue('3MSynthDepo_used'!$P$18,BD58,AllTriggers)</f>
        <v>1.0536147291692816E-3</v>
      </c>
    </row>
    <row r="59" spans="3:69" x14ac:dyDescent="0.2">
      <c r="F59" s="190" t="str">
        <f t="shared" ref="F59:F60" si="20">D47</f>
        <v>X5</v>
      </c>
      <c r="G59" s="47" t="e">
        <f t="shared" ref="G59:AC59" si="21">$AD47-G47</f>
        <v>#VALUE!</v>
      </c>
      <c r="H59" s="47" t="e">
        <f t="shared" si="21"/>
        <v>#VALUE!</v>
      </c>
      <c r="I59" s="21">
        <f t="shared" si="21"/>
        <v>-4.750000000000032E-4</v>
      </c>
      <c r="J59" s="21">
        <f t="shared" si="21"/>
        <v>-4.750000000000032E-4</v>
      </c>
      <c r="K59" s="21">
        <f t="shared" si="21"/>
        <v>-4.750000000000032E-4</v>
      </c>
      <c r="L59" s="21">
        <f t="shared" si="21"/>
        <v>-4.750000000000032E-4</v>
      </c>
      <c r="M59" s="21">
        <f t="shared" si="21"/>
        <v>-4.750000000000032E-4</v>
      </c>
      <c r="N59" s="21">
        <f t="shared" si="21"/>
        <v>-4.750000000000032E-4</v>
      </c>
      <c r="O59" s="21">
        <f t="shared" si="21"/>
        <v>-4.750000000000032E-4</v>
      </c>
      <c r="P59" s="21">
        <f t="shared" si="21"/>
        <v>-4.750000000000032E-4</v>
      </c>
      <c r="Q59" s="21">
        <f t="shared" si="21"/>
        <v>-4.750000000000032E-4</v>
      </c>
      <c r="R59" s="21">
        <f t="shared" si="21"/>
        <v>-4.750000000000032E-4</v>
      </c>
      <c r="S59" s="47" t="e">
        <f t="shared" si="21"/>
        <v>#VALUE!</v>
      </c>
      <c r="T59" s="154" t="e">
        <f t="shared" si="21"/>
        <v>#VALUE!</v>
      </c>
      <c r="U59" s="155" t="e">
        <f t="shared" si="21"/>
        <v>#VALUE!</v>
      </c>
      <c r="V59" s="47" t="e">
        <f t="shared" si="21"/>
        <v>#VALUE!</v>
      </c>
      <c r="W59" s="47" t="e">
        <f t="shared" si="21"/>
        <v>#VALUE!</v>
      </c>
      <c r="X59" s="154" t="e">
        <f t="shared" si="21"/>
        <v>#VALUE!</v>
      </c>
      <c r="Y59" s="155" t="e">
        <f t="shared" si="21"/>
        <v>#VALUE!</v>
      </c>
      <c r="Z59" s="200" t="e">
        <f t="shared" si="21"/>
        <v>#VALUE!</v>
      </c>
      <c r="AA59" s="47" t="e">
        <f t="shared" si="21"/>
        <v>#VALUE!</v>
      </c>
      <c r="AB59" s="47" t="e">
        <f t="shared" si="21"/>
        <v>#VALUE!</v>
      </c>
      <c r="AC59" s="47">
        <f t="shared" si="21"/>
        <v>-3.9158593355308538E-6</v>
      </c>
      <c r="BC59" s="178">
        <f>_xll.qlCalendarAdvance(Calendar,BC58,"1d","mf",,Trigger)</f>
        <v>42354</v>
      </c>
      <c r="BD59" s="41">
        <f>_xll.qlDayCounterYearFraction(DayCounter,SettlementDate,BC59,,,Trigger)</f>
        <v>0.20833333333333334</v>
      </c>
      <c r="BE59" s="47" t="e">
        <f>_xll.qlPolynomialFunctionValue(BE$1,$BD59,AllTriggers)</f>
        <v>#VALUE!</v>
      </c>
      <c r="BF59" s="47" t="e">
        <f>_xll.qlPolynomialFunctionValue(BF$1,$BD59,AllTriggers)</f>
        <v>#VALUE!</v>
      </c>
      <c r="BG59" s="47" t="e">
        <f>_xll.qlPolynomialFunctionValue(BG$1,$BD59,AllTriggers)</f>
        <v>#VALUE!</v>
      </c>
      <c r="BH59" s="47" t="e">
        <f>_xll.qlPolynomialFunctionValue(BH$1,$BD59,AllTriggers)</f>
        <v>#VALUE!</v>
      </c>
      <c r="BI59" s="47" t="e">
        <f>_xll.qlPolynomialFunctionValue(BI$1,$BD59,AllTriggers)</f>
        <v>#VALUE!</v>
      </c>
      <c r="BJ59" s="47" t="e">
        <f>_xll.qlPolynomialFunctionValue(BJ$1,$BD59,AllTriggers)</f>
        <v>#VALUE!</v>
      </c>
      <c r="BK59" s="47" t="e">
        <f>_xll.qlPolynomialFunctionValue(BK$1,$BD59,AllTriggers)</f>
        <v>#VALUE!</v>
      </c>
      <c r="BL59" s="47" t="e">
        <f>_xll.qlPolynomialFunctionValue(BL$1,$BD59,AllTriggers)</f>
        <v>#VALUE!</v>
      </c>
      <c r="BM59" s="47" t="e">
        <f>_xll.qlPolynomialFunctionValue(BM$1,$BD59,AllTriggers)</f>
        <v>#VALUE!</v>
      </c>
      <c r="BN59" s="47" t="e">
        <f>_xll.qlPolynomialFunctionValue(BN$1,$BD59,AllTriggers)</f>
        <v>#VALUE!</v>
      </c>
      <c r="BO59" s="47" t="e">
        <f>_xll.qlPolynomialFunctionValue(BO$1,$BD59,AllTriggers)</f>
        <v>#VALUE!</v>
      </c>
      <c r="BP59" s="47" t="e">
        <f>_xll.qlPolynomialFunctionValue(BP$1,$BD59,AllTriggers)</f>
        <v>#VALUE!</v>
      </c>
      <c r="BQ59" s="47">
        <f>_xll.qlPolynomialFunctionValue('3MSynthDepo_used'!$P$18,BD59,AllTriggers)</f>
        <v>1.0551846870451799E-3</v>
      </c>
    </row>
    <row r="60" spans="3:69" x14ac:dyDescent="0.2">
      <c r="F60" s="190" t="str">
        <f t="shared" si="20"/>
        <v>Z5</v>
      </c>
      <c r="G60" s="47" t="e">
        <f t="shared" ref="G60:AC60" si="22">$AD48-G48</f>
        <v>#VALUE!</v>
      </c>
      <c r="H60" s="47" t="e">
        <f t="shared" si="22"/>
        <v>#VALUE!</v>
      </c>
      <c r="I60" s="21">
        <f t="shared" si="22"/>
        <v>-5.0000000000016698E-4</v>
      </c>
      <c r="J60" s="21">
        <f t="shared" si="22"/>
        <v>-5.0000000000016698E-4</v>
      </c>
      <c r="K60" s="21">
        <f t="shared" si="22"/>
        <v>-5.0000000000016698E-4</v>
      </c>
      <c r="L60" s="21">
        <f t="shared" si="22"/>
        <v>-5.0000000000016698E-4</v>
      </c>
      <c r="M60" s="21">
        <f t="shared" si="22"/>
        <v>-5.0000000000016698E-4</v>
      </c>
      <c r="N60" s="21">
        <f t="shared" si="22"/>
        <v>-5.0000000000016698E-4</v>
      </c>
      <c r="O60" s="21">
        <f t="shared" si="22"/>
        <v>-5.0000000000016698E-4</v>
      </c>
      <c r="P60" s="21">
        <f t="shared" si="22"/>
        <v>-5.0000000000016698E-4</v>
      </c>
      <c r="Q60" s="21">
        <f t="shared" si="22"/>
        <v>-5.0000000000016698E-4</v>
      </c>
      <c r="R60" s="21">
        <f t="shared" si="22"/>
        <v>-5.0000000000016698E-4</v>
      </c>
      <c r="S60" s="47" t="e">
        <f t="shared" si="22"/>
        <v>#VALUE!</v>
      </c>
      <c r="T60" s="154" t="e">
        <f t="shared" si="22"/>
        <v>#VALUE!</v>
      </c>
      <c r="U60" s="155" t="e">
        <f t="shared" si="22"/>
        <v>#VALUE!</v>
      </c>
      <c r="V60" s="47" t="e">
        <f t="shared" si="22"/>
        <v>#VALUE!</v>
      </c>
      <c r="W60" s="47" t="e">
        <f t="shared" si="22"/>
        <v>#VALUE!</v>
      </c>
      <c r="X60" s="154" t="e">
        <f t="shared" si="22"/>
        <v>#VALUE!</v>
      </c>
      <c r="Y60" s="155" t="e">
        <f t="shared" si="22"/>
        <v>#VALUE!</v>
      </c>
      <c r="Z60" s="200" t="e">
        <f t="shared" si="22"/>
        <v>#VALUE!</v>
      </c>
      <c r="AA60" s="47" t="e">
        <f t="shared" si="22"/>
        <v>#VALUE!</v>
      </c>
      <c r="AB60" s="47" t="e">
        <f t="shared" si="22"/>
        <v>#VALUE!</v>
      </c>
      <c r="AC60" s="47">
        <f t="shared" si="22"/>
        <v>-9.2240651994336936E-6</v>
      </c>
      <c r="BC60" s="178">
        <f>_xll.qlCalendarAdvance(Calendar,BC59,"1d","mf",,Trigger)</f>
        <v>42355</v>
      </c>
      <c r="BD60" s="41">
        <f>_xll.qlDayCounterYearFraction(DayCounter,SettlementDate,BC60,,,Trigger)</f>
        <v>0.21111111111111111</v>
      </c>
      <c r="BE60" s="47" t="e">
        <f>_xll.qlPolynomialFunctionValue(BE$1,$BD60,AllTriggers)</f>
        <v>#VALUE!</v>
      </c>
      <c r="BF60" s="47" t="e">
        <f>_xll.qlPolynomialFunctionValue(BF$1,$BD60,AllTriggers)</f>
        <v>#VALUE!</v>
      </c>
      <c r="BG60" s="47" t="e">
        <f>_xll.qlPolynomialFunctionValue(BG$1,$BD60,AllTriggers)</f>
        <v>#VALUE!</v>
      </c>
      <c r="BH60" s="47" t="e">
        <f>_xll.qlPolynomialFunctionValue(BH$1,$BD60,AllTriggers)</f>
        <v>#VALUE!</v>
      </c>
      <c r="BI60" s="47" t="e">
        <f>_xll.qlPolynomialFunctionValue(BI$1,$BD60,AllTriggers)</f>
        <v>#VALUE!</v>
      </c>
      <c r="BJ60" s="47" t="e">
        <f>_xll.qlPolynomialFunctionValue(BJ$1,$BD60,AllTriggers)</f>
        <v>#VALUE!</v>
      </c>
      <c r="BK60" s="47" t="e">
        <f>_xll.qlPolynomialFunctionValue(BK$1,$BD60,AllTriggers)</f>
        <v>#VALUE!</v>
      </c>
      <c r="BL60" s="47" t="e">
        <f>_xll.qlPolynomialFunctionValue(BL$1,$BD60,AllTriggers)</f>
        <v>#VALUE!</v>
      </c>
      <c r="BM60" s="47" t="e">
        <f>_xll.qlPolynomialFunctionValue(BM$1,$BD60,AllTriggers)</f>
        <v>#VALUE!</v>
      </c>
      <c r="BN60" s="47" t="e">
        <f>_xll.qlPolynomialFunctionValue(BN$1,$BD60,AllTriggers)</f>
        <v>#VALUE!</v>
      </c>
      <c r="BO60" s="47" t="e">
        <f>_xll.qlPolynomialFunctionValue(BO$1,$BD60,AllTriggers)</f>
        <v>#VALUE!</v>
      </c>
      <c r="BP60" s="47" t="e">
        <f>_xll.qlPolynomialFunctionValue(BP$1,$BD60,AllTriggers)</f>
        <v>#VALUE!</v>
      </c>
      <c r="BQ60" s="47">
        <f>_xll.qlPolynomialFunctionValue('3MSynthDepo_used'!$P$18,BD60,AllTriggers)</f>
        <v>1.0567492598984928E-3</v>
      </c>
    </row>
    <row r="61" spans="3:69" x14ac:dyDescent="0.2">
      <c r="F61" s="190" t="str">
        <f t="shared" ref="F61:F63" si="23">D49</f>
        <v>H6</v>
      </c>
      <c r="G61" s="47" t="e">
        <f t="shared" ref="G61:AC61" si="24">$AD49-G49</f>
        <v>#VALUE!</v>
      </c>
      <c r="H61" s="47" t="e">
        <f t="shared" si="24"/>
        <v>#VALUE!</v>
      </c>
      <c r="I61" s="21">
        <f t="shared" si="24"/>
        <v>-5.7499999999999218E-4</v>
      </c>
      <c r="J61" s="21">
        <f t="shared" si="24"/>
        <v>-5.7499999999999218E-4</v>
      </c>
      <c r="K61" s="21">
        <f t="shared" si="24"/>
        <v>-5.7499999999999218E-4</v>
      </c>
      <c r="L61" s="21">
        <f t="shared" si="24"/>
        <v>-5.7499999999999218E-4</v>
      </c>
      <c r="M61" s="21">
        <f t="shared" si="24"/>
        <v>-5.7499999999999218E-4</v>
      </c>
      <c r="N61" s="21">
        <f t="shared" si="24"/>
        <v>-5.7499999999999218E-4</v>
      </c>
      <c r="O61" s="21">
        <f t="shared" si="24"/>
        <v>-5.7499999999999218E-4</v>
      </c>
      <c r="P61" s="21">
        <f t="shared" si="24"/>
        <v>-5.7499999999999218E-4</v>
      </c>
      <c r="Q61" s="21">
        <f t="shared" si="24"/>
        <v>-5.7499999999999218E-4</v>
      </c>
      <c r="R61" s="21">
        <f t="shared" si="24"/>
        <v>-5.7499999999999218E-4</v>
      </c>
      <c r="S61" s="47" t="e">
        <f t="shared" si="24"/>
        <v>#VALUE!</v>
      </c>
      <c r="T61" s="154" t="e">
        <f t="shared" si="24"/>
        <v>#VALUE!</v>
      </c>
      <c r="U61" s="155" t="e">
        <f t="shared" si="24"/>
        <v>#VALUE!</v>
      </c>
      <c r="V61" s="47" t="e">
        <f t="shared" si="24"/>
        <v>#VALUE!</v>
      </c>
      <c r="W61" s="47" t="e">
        <f t="shared" si="24"/>
        <v>#VALUE!</v>
      </c>
      <c r="X61" s="154" t="e">
        <f t="shared" si="24"/>
        <v>#VALUE!</v>
      </c>
      <c r="Y61" s="155" t="e">
        <f t="shared" si="24"/>
        <v>#VALUE!</v>
      </c>
      <c r="Z61" s="200" t="e">
        <f t="shared" si="24"/>
        <v>#VALUE!</v>
      </c>
      <c r="AA61" s="47" t="e">
        <f t="shared" si="24"/>
        <v>#VALUE!</v>
      </c>
      <c r="AB61" s="47" t="e">
        <f t="shared" si="24"/>
        <v>#VALUE!</v>
      </c>
      <c r="AC61" s="47">
        <f t="shared" si="24"/>
        <v>1.1023107027893038E-5</v>
      </c>
      <c r="BC61" s="178">
        <f>_xll.qlCalendarAdvance(Calendar,BC60,"1d","mf",,Trigger)</f>
        <v>42356</v>
      </c>
      <c r="BD61" s="41">
        <f>_xll.qlDayCounterYearFraction(DayCounter,SettlementDate,BC61,,,Trigger)</f>
        <v>0.21388888888888888</v>
      </c>
      <c r="BE61" s="47" t="e">
        <f>_xll.qlPolynomialFunctionValue(BE$1,$BD61,AllTriggers)</f>
        <v>#VALUE!</v>
      </c>
      <c r="BF61" s="47" t="e">
        <f>_xll.qlPolynomialFunctionValue(BF$1,$BD61,AllTriggers)</f>
        <v>#VALUE!</v>
      </c>
      <c r="BG61" s="47" t="e">
        <f>_xll.qlPolynomialFunctionValue(BG$1,$BD61,AllTriggers)</f>
        <v>#VALUE!</v>
      </c>
      <c r="BH61" s="47" t="e">
        <f>_xll.qlPolynomialFunctionValue(BH$1,$BD61,AllTriggers)</f>
        <v>#VALUE!</v>
      </c>
      <c r="BI61" s="47" t="e">
        <f>_xll.qlPolynomialFunctionValue(BI$1,$BD61,AllTriggers)</f>
        <v>#VALUE!</v>
      </c>
      <c r="BJ61" s="47" t="e">
        <f>_xll.qlPolynomialFunctionValue(BJ$1,$BD61,AllTriggers)</f>
        <v>#VALUE!</v>
      </c>
      <c r="BK61" s="47" t="e">
        <f>_xll.qlPolynomialFunctionValue(BK$1,$BD61,AllTriggers)</f>
        <v>#VALUE!</v>
      </c>
      <c r="BL61" s="47" t="e">
        <f>_xll.qlPolynomialFunctionValue(BL$1,$BD61,AllTriggers)</f>
        <v>#VALUE!</v>
      </c>
      <c r="BM61" s="47" t="e">
        <f>_xll.qlPolynomialFunctionValue(BM$1,$BD61,AllTriggers)</f>
        <v>#VALUE!</v>
      </c>
      <c r="BN61" s="47" t="e">
        <f>_xll.qlPolynomialFunctionValue(BN$1,$BD61,AllTriggers)</f>
        <v>#VALUE!</v>
      </c>
      <c r="BO61" s="47" t="e">
        <f>_xll.qlPolynomialFunctionValue(BO$1,$BD61,AllTriggers)</f>
        <v>#VALUE!</v>
      </c>
      <c r="BP61" s="47" t="e">
        <f>_xll.qlPolynomialFunctionValue(BP$1,$BD61,AllTriggers)</f>
        <v>#VALUE!</v>
      </c>
      <c r="BQ61" s="47">
        <f>_xll.qlPolynomialFunctionValue('3MSynthDepo_used'!$P$18,BD61,AllTriggers)</f>
        <v>1.0583084591073626E-3</v>
      </c>
    </row>
    <row r="62" spans="3:69" x14ac:dyDescent="0.2">
      <c r="F62" s="190" t="str">
        <f t="shared" si="23"/>
        <v>M6</v>
      </c>
      <c r="G62" s="47" t="e">
        <f t="shared" ref="G62:AC62" si="25">$AD50-G50</f>
        <v>#VALUE!</v>
      </c>
      <c r="H62" s="47" t="e">
        <f t="shared" si="25"/>
        <v>#VALUE!</v>
      </c>
      <c r="I62" s="21">
        <f t="shared" si="25"/>
        <v>-6.7499999999998117E-4</v>
      </c>
      <c r="J62" s="21">
        <f t="shared" si="25"/>
        <v>-6.7499999999998117E-4</v>
      </c>
      <c r="K62" s="21">
        <f t="shared" si="25"/>
        <v>-6.7499999999998117E-4</v>
      </c>
      <c r="L62" s="21">
        <f t="shared" si="25"/>
        <v>-6.7499999999998117E-4</v>
      </c>
      <c r="M62" s="21">
        <f t="shared" si="25"/>
        <v>-6.7499999999998117E-4</v>
      </c>
      <c r="N62" s="21">
        <f t="shared" si="25"/>
        <v>-6.7499999999998117E-4</v>
      </c>
      <c r="O62" s="21">
        <f t="shared" si="25"/>
        <v>-6.7499999999998117E-4</v>
      </c>
      <c r="P62" s="21">
        <f t="shared" si="25"/>
        <v>-6.7499999999998117E-4</v>
      </c>
      <c r="Q62" s="21">
        <f t="shared" si="25"/>
        <v>-6.7499999999998117E-4</v>
      </c>
      <c r="R62" s="21">
        <f t="shared" si="25"/>
        <v>-6.7499999999998117E-4</v>
      </c>
      <c r="S62" s="47" t="e">
        <f t="shared" si="25"/>
        <v>#VALUE!</v>
      </c>
      <c r="T62" s="154" t="e">
        <f t="shared" si="25"/>
        <v>#VALUE!</v>
      </c>
      <c r="U62" s="155" t="e">
        <f t="shared" si="25"/>
        <v>#VALUE!</v>
      </c>
      <c r="V62" s="47" t="e">
        <f t="shared" si="25"/>
        <v>#VALUE!</v>
      </c>
      <c r="W62" s="47" t="e">
        <f t="shared" si="25"/>
        <v>#VALUE!</v>
      </c>
      <c r="X62" s="154" t="e">
        <f t="shared" si="25"/>
        <v>#VALUE!</v>
      </c>
      <c r="Y62" s="155" t="e">
        <f t="shared" si="25"/>
        <v>#VALUE!</v>
      </c>
      <c r="Z62" s="200" t="e">
        <f t="shared" si="25"/>
        <v>#VALUE!</v>
      </c>
      <c r="AA62" s="47" t="e">
        <f t="shared" si="25"/>
        <v>#VALUE!</v>
      </c>
      <c r="AB62" s="47" t="e">
        <f t="shared" si="25"/>
        <v>#VALUE!</v>
      </c>
      <c r="AC62" s="47">
        <f t="shared" si="25"/>
        <v>-2.3319867201768022E-5</v>
      </c>
      <c r="BC62" s="178">
        <f>_xll.qlCalendarAdvance(Calendar,BC61,"1d","mf",,Trigger)</f>
        <v>42359</v>
      </c>
      <c r="BD62" s="41">
        <f>_xll.qlDayCounterYearFraction(DayCounter,SettlementDate,BC62,,,Trigger)</f>
        <v>0.22222222222222221</v>
      </c>
      <c r="BE62" s="47" t="e">
        <f>_xll.qlPolynomialFunctionValue(BE$1,$BD62,AllTriggers)</f>
        <v>#VALUE!</v>
      </c>
      <c r="BF62" s="47" t="e">
        <f>_xll.qlPolynomialFunctionValue(BF$1,$BD62,AllTriggers)</f>
        <v>#VALUE!</v>
      </c>
      <c r="BG62" s="47" t="e">
        <f>_xll.qlPolynomialFunctionValue(BG$1,$BD62,AllTriggers)</f>
        <v>#VALUE!</v>
      </c>
      <c r="BH62" s="47" t="e">
        <f>_xll.qlPolynomialFunctionValue(BH$1,$BD62,AllTriggers)</f>
        <v>#VALUE!</v>
      </c>
      <c r="BI62" s="47" t="e">
        <f>_xll.qlPolynomialFunctionValue(BI$1,$BD62,AllTriggers)</f>
        <v>#VALUE!</v>
      </c>
      <c r="BJ62" s="47" t="e">
        <f>_xll.qlPolynomialFunctionValue(BJ$1,$BD62,AllTriggers)</f>
        <v>#VALUE!</v>
      </c>
      <c r="BK62" s="47" t="e">
        <f>_xll.qlPolynomialFunctionValue(BK$1,$BD62,AllTriggers)</f>
        <v>#VALUE!</v>
      </c>
      <c r="BL62" s="47" t="e">
        <f>_xll.qlPolynomialFunctionValue(BL$1,$BD62,AllTriggers)</f>
        <v>#VALUE!</v>
      </c>
      <c r="BM62" s="47" t="e">
        <f>_xll.qlPolynomialFunctionValue(BM$1,$BD62,AllTriggers)</f>
        <v>#VALUE!</v>
      </c>
      <c r="BN62" s="47" t="e">
        <f>_xll.qlPolynomialFunctionValue(BN$1,$BD62,AllTriggers)</f>
        <v>#VALUE!</v>
      </c>
      <c r="BO62" s="47" t="e">
        <f>_xll.qlPolynomialFunctionValue(BO$1,$BD62,AllTriggers)</f>
        <v>#VALUE!</v>
      </c>
      <c r="BP62" s="47" t="e">
        <f>_xll.qlPolynomialFunctionValue(BP$1,$BD62,AllTriggers)</f>
        <v>#VALUE!</v>
      </c>
      <c r="BQ62" s="47">
        <f>_xll.qlPolynomialFunctionValue('3MSynthDepo_used'!$P$18,BD62,AllTriggers)</f>
        <v>1.0629539286487342E-3</v>
      </c>
    </row>
    <row r="63" spans="3:69" x14ac:dyDescent="0.2">
      <c r="C63" s="194"/>
      <c r="D63" s="194"/>
      <c r="E63" s="195"/>
      <c r="F63" s="277" t="str">
        <f t="shared" si="23"/>
        <v>U6</v>
      </c>
      <c r="G63" s="50" t="e">
        <f t="shared" ref="G63:AC63" si="26">$AD51-G51</f>
        <v>#VALUE!</v>
      </c>
      <c r="H63" s="50" t="e">
        <f t="shared" si="26"/>
        <v>#VALUE!</v>
      </c>
      <c r="I63" s="96">
        <f t="shared" si="26"/>
        <v>-6.250000000000977E-4</v>
      </c>
      <c r="J63" s="96">
        <f t="shared" si="26"/>
        <v>-6.250000000000977E-4</v>
      </c>
      <c r="K63" s="96">
        <f t="shared" si="26"/>
        <v>-6.250000000000977E-4</v>
      </c>
      <c r="L63" s="96">
        <f t="shared" si="26"/>
        <v>-6.250000000000977E-4</v>
      </c>
      <c r="M63" s="96">
        <f t="shared" si="26"/>
        <v>-6.250000000000977E-4</v>
      </c>
      <c r="N63" s="96">
        <f t="shared" si="26"/>
        <v>-6.250000000000977E-4</v>
      </c>
      <c r="O63" s="96">
        <f t="shared" si="26"/>
        <v>-6.250000000000977E-4</v>
      </c>
      <c r="P63" s="96">
        <f t="shared" si="26"/>
        <v>-6.250000000000977E-4</v>
      </c>
      <c r="Q63" s="96">
        <f t="shared" si="26"/>
        <v>-6.250000000000977E-4</v>
      </c>
      <c r="R63" s="96">
        <f t="shared" si="26"/>
        <v>-6.250000000000977E-4</v>
      </c>
      <c r="S63" s="50" t="e">
        <f t="shared" si="26"/>
        <v>#VALUE!</v>
      </c>
      <c r="T63" s="276" t="e">
        <f t="shared" si="26"/>
        <v>#VALUE!</v>
      </c>
      <c r="U63" s="275" t="e">
        <f t="shared" si="26"/>
        <v>#VALUE!</v>
      </c>
      <c r="V63" s="50" t="e">
        <f t="shared" si="26"/>
        <v>#VALUE!</v>
      </c>
      <c r="W63" s="50" t="e">
        <f t="shared" si="26"/>
        <v>#VALUE!</v>
      </c>
      <c r="X63" s="276" t="e">
        <f t="shared" si="26"/>
        <v>#VALUE!</v>
      </c>
      <c r="Y63" s="275" t="e">
        <f t="shared" si="26"/>
        <v>#VALUE!</v>
      </c>
      <c r="Z63" s="201" t="e">
        <f t="shared" si="26"/>
        <v>#VALUE!</v>
      </c>
      <c r="AA63" s="50" t="e">
        <f t="shared" si="26"/>
        <v>#VALUE!</v>
      </c>
      <c r="AB63" s="50" t="e">
        <f t="shared" si="26"/>
        <v>#VALUE!</v>
      </c>
      <c r="AC63" s="50">
        <f t="shared" si="26"/>
        <v>1.0578436774630155E-6</v>
      </c>
      <c r="BC63" s="178">
        <f>_xll.qlCalendarAdvance(Calendar,BC62,"1d","mf",,Trigger)</f>
        <v>42360</v>
      </c>
      <c r="BD63" s="41">
        <f>_xll.qlDayCounterYearFraction(DayCounter,SettlementDate,BC63,,,Trigger)</f>
        <v>0.22500000000000001</v>
      </c>
      <c r="BE63" s="47" t="e">
        <f>_xll.qlPolynomialFunctionValue(BE$1,$BD63,AllTriggers)</f>
        <v>#VALUE!</v>
      </c>
      <c r="BF63" s="47" t="e">
        <f>_xll.qlPolynomialFunctionValue(BF$1,$BD63,AllTriggers)</f>
        <v>#VALUE!</v>
      </c>
      <c r="BG63" s="47" t="e">
        <f>_xll.qlPolynomialFunctionValue(BG$1,$BD63,AllTriggers)</f>
        <v>#VALUE!</v>
      </c>
      <c r="BH63" s="47" t="e">
        <f>_xll.qlPolynomialFunctionValue(BH$1,$BD63,AllTriggers)</f>
        <v>#VALUE!</v>
      </c>
      <c r="BI63" s="47" t="e">
        <f>_xll.qlPolynomialFunctionValue(BI$1,$BD63,AllTriggers)</f>
        <v>#VALUE!</v>
      </c>
      <c r="BJ63" s="47" t="e">
        <f>_xll.qlPolynomialFunctionValue(BJ$1,$BD63,AllTriggers)</f>
        <v>#VALUE!</v>
      </c>
      <c r="BK63" s="47" t="e">
        <f>_xll.qlPolynomialFunctionValue(BK$1,$BD63,AllTriggers)</f>
        <v>#VALUE!</v>
      </c>
      <c r="BL63" s="47" t="e">
        <f>_xll.qlPolynomialFunctionValue(BL$1,$BD63,AllTriggers)</f>
        <v>#VALUE!</v>
      </c>
      <c r="BM63" s="47" t="e">
        <f>_xll.qlPolynomialFunctionValue(BM$1,$BD63,AllTriggers)</f>
        <v>#VALUE!</v>
      </c>
      <c r="BN63" s="47" t="e">
        <f>_xll.qlPolynomialFunctionValue(BN$1,$BD63,AllTriggers)</f>
        <v>#VALUE!</v>
      </c>
      <c r="BO63" s="47" t="e">
        <f>_xll.qlPolynomialFunctionValue(BO$1,$BD63,AllTriggers)</f>
        <v>#VALUE!</v>
      </c>
      <c r="BP63" s="47" t="e">
        <f>_xll.qlPolynomialFunctionValue(BP$1,$BD63,AllTriggers)</f>
        <v>#VALUE!</v>
      </c>
      <c r="BQ63" s="47">
        <f>_xll.qlPolynomialFunctionValue('3MSynthDepo_used'!$P$18,BD63,AllTriggers)</f>
        <v>1.0644917470612524E-3</v>
      </c>
    </row>
    <row r="64" spans="3:69" x14ac:dyDescent="0.2">
      <c r="C64" s="194"/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42361</v>
      </c>
      <c r="BD64" s="41">
        <f>_xll.qlDayCounterYearFraction(DayCounter,SettlementDate,BC64,,,Trigger)</f>
        <v>0.22777777777777777</v>
      </c>
      <c r="BE64" s="47" t="e">
        <f>_xll.qlPolynomialFunctionValue(BE$1,$BD64,AllTriggers)</f>
        <v>#VALUE!</v>
      </c>
      <c r="BF64" s="47" t="e">
        <f>_xll.qlPolynomialFunctionValue(BF$1,$BD64,AllTriggers)</f>
        <v>#VALUE!</v>
      </c>
      <c r="BG64" s="47" t="e">
        <f>_xll.qlPolynomialFunctionValue(BG$1,$BD64,AllTriggers)</f>
        <v>#VALUE!</v>
      </c>
      <c r="BH64" s="47" t="e">
        <f>_xll.qlPolynomialFunctionValue(BH$1,$BD64,AllTriggers)</f>
        <v>#VALUE!</v>
      </c>
      <c r="BI64" s="47" t="e">
        <f>_xll.qlPolynomialFunctionValue(BI$1,$BD64,AllTriggers)</f>
        <v>#VALUE!</v>
      </c>
      <c r="BJ64" s="47" t="e">
        <f>_xll.qlPolynomialFunctionValue(BJ$1,$BD64,AllTriggers)</f>
        <v>#VALUE!</v>
      </c>
      <c r="BK64" s="47" t="e">
        <f>_xll.qlPolynomialFunctionValue(BK$1,$BD64,AllTriggers)</f>
        <v>#VALUE!</v>
      </c>
      <c r="BL64" s="47" t="e">
        <f>_xll.qlPolynomialFunctionValue(BL$1,$BD64,AllTriggers)</f>
        <v>#VALUE!</v>
      </c>
      <c r="BM64" s="47" t="e">
        <f>_xll.qlPolynomialFunctionValue(BM$1,$BD64,AllTriggers)</f>
        <v>#VALUE!</v>
      </c>
      <c r="BN64" s="47" t="e">
        <f>_xll.qlPolynomialFunctionValue(BN$1,$BD64,AllTriggers)</f>
        <v>#VALUE!</v>
      </c>
      <c r="BO64" s="47" t="e">
        <f>_xll.qlPolynomialFunctionValue(BO$1,$BD64,AllTriggers)</f>
        <v>#VALUE!</v>
      </c>
      <c r="BP64" s="47" t="e">
        <f>_xll.qlPolynomialFunctionValue(BP$1,$BD64,AllTriggers)</f>
        <v>#VALUE!</v>
      </c>
      <c r="BQ64" s="47">
        <f>_xll.qlPolynomialFunctionValue('3MSynthDepo_used'!$P$18,BD64,AllTriggers)</f>
        <v>1.0660242487200377E-3</v>
      </c>
    </row>
    <row r="65" spans="3:69" x14ac:dyDescent="0.2">
      <c r="C65" s="194"/>
      <c r="D65" s="194"/>
      <c r="E65" s="195"/>
      <c r="H65" s="35"/>
      <c r="K65" s="55"/>
      <c r="L65" s="55"/>
      <c r="M65" s="55"/>
      <c r="N65" s="55"/>
      <c r="P65" s="35"/>
      <c r="Q65" s="35"/>
      <c r="R65" s="35"/>
      <c r="S65" s="35"/>
      <c r="BC65" s="178">
        <f>_xll.qlCalendarAdvance(Calendar,BC64,"1d","mf",,Trigger)</f>
        <v>42362</v>
      </c>
      <c r="BD65" s="41">
        <f>_xll.qlDayCounterYearFraction(DayCounter,SettlementDate,BC65,,,Trigger)</f>
        <v>0.23055555555555557</v>
      </c>
      <c r="BE65" s="47" t="e">
        <f>_xll.qlPolynomialFunctionValue(BE$1,$BD65,AllTriggers)</f>
        <v>#VALUE!</v>
      </c>
      <c r="BF65" s="47" t="e">
        <f>_xll.qlPolynomialFunctionValue(BF$1,$BD65,AllTriggers)</f>
        <v>#VALUE!</v>
      </c>
      <c r="BG65" s="47" t="e">
        <f>_xll.qlPolynomialFunctionValue(BG$1,$BD65,AllTriggers)</f>
        <v>#VALUE!</v>
      </c>
      <c r="BH65" s="47" t="e">
        <f>_xll.qlPolynomialFunctionValue(BH$1,$BD65,AllTriggers)</f>
        <v>#VALUE!</v>
      </c>
      <c r="BI65" s="47" t="e">
        <f>_xll.qlPolynomialFunctionValue(BI$1,$BD65,AllTriggers)</f>
        <v>#VALUE!</v>
      </c>
      <c r="BJ65" s="47" t="e">
        <f>_xll.qlPolynomialFunctionValue(BJ$1,$BD65,AllTriggers)</f>
        <v>#VALUE!</v>
      </c>
      <c r="BK65" s="47" t="e">
        <f>_xll.qlPolynomialFunctionValue(BK$1,$BD65,AllTriggers)</f>
        <v>#VALUE!</v>
      </c>
      <c r="BL65" s="47" t="e">
        <f>_xll.qlPolynomialFunctionValue(BL$1,$BD65,AllTriggers)</f>
        <v>#VALUE!</v>
      </c>
      <c r="BM65" s="47" t="e">
        <f>_xll.qlPolynomialFunctionValue(BM$1,$BD65,AllTriggers)</f>
        <v>#VALUE!</v>
      </c>
      <c r="BN65" s="47" t="e">
        <f>_xll.qlPolynomialFunctionValue(BN$1,$BD65,AllTriggers)</f>
        <v>#VALUE!</v>
      </c>
      <c r="BO65" s="47" t="e">
        <f>_xll.qlPolynomialFunctionValue(BO$1,$BD65,AllTriggers)</f>
        <v>#VALUE!</v>
      </c>
      <c r="BP65" s="47" t="e">
        <f>_xll.qlPolynomialFunctionValue(BP$1,$BD65,AllTriggers)</f>
        <v>#VALUE!</v>
      </c>
      <c r="BQ65" s="47">
        <f>_xll.qlPolynomialFunctionValue('3MSynthDepo_used'!$P$18,BD65,AllTriggers)</f>
        <v>1.0675514450032323E-3</v>
      </c>
    </row>
    <row r="66" spans="3:69" x14ac:dyDescent="0.2">
      <c r="C66" s="194"/>
      <c r="D66" s="194"/>
      <c r="E66" s="195"/>
      <c r="H66" s="35"/>
      <c r="K66" s="55"/>
      <c r="L66" s="55"/>
      <c r="M66" s="55"/>
      <c r="N66" s="55"/>
      <c r="P66" s="35"/>
      <c r="Q66" s="35"/>
      <c r="R66" s="35"/>
      <c r="S66" s="35"/>
      <c r="BC66" s="178">
        <f>_xll.qlCalendarAdvance(Calendar,BC65,"1d","mf",,Trigger)</f>
        <v>42366</v>
      </c>
      <c r="BD66" s="41">
        <f>_xll.qlDayCounterYearFraction(DayCounter,SettlementDate,BC66,,,Trigger)</f>
        <v>0.24166666666666667</v>
      </c>
      <c r="BE66" s="47" t="e">
        <f>_xll.qlPolynomialFunctionValue(BE$1,$BD66,AllTriggers)</f>
        <v>#VALUE!</v>
      </c>
      <c r="BF66" s="47" t="e">
        <f>_xll.qlPolynomialFunctionValue(BF$1,$BD66,AllTriggers)</f>
        <v>#VALUE!</v>
      </c>
      <c r="BG66" s="47" t="e">
        <f>_xll.qlPolynomialFunctionValue(BG$1,$BD66,AllTriggers)</f>
        <v>#VALUE!</v>
      </c>
      <c r="BH66" s="47" t="e">
        <f>_xll.qlPolynomialFunctionValue(BH$1,$BD66,AllTriggers)</f>
        <v>#VALUE!</v>
      </c>
      <c r="BI66" s="47" t="e">
        <f>_xll.qlPolynomialFunctionValue(BI$1,$BD66,AllTriggers)</f>
        <v>#VALUE!</v>
      </c>
      <c r="BJ66" s="47" t="e">
        <f>_xll.qlPolynomialFunctionValue(BJ$1,$BD66,AllTriggers)</f>
        <v>#VALUE!</v>
      </c>
      <c r="BK66" s="47" t="e">
        <f>_xll.qlPolynomialFunctionValue(BK$1,$BD66,AllTriggers)</f>
        <v>#VALUE!</v>
      </c>
      <c r="BL66" s="47" t="e">
        <f>_xll.qlPolynomialFunctionValue(BL$1,$BD66,AllTriggers)</f>
        <v>#VALUE!</v>
      </c>
      <c r="BM66" s="47" t="e">
        <f>_xll.qlPolynomialFunctionValue(BM$1,$BD66,AllTriggers)</f>
        <v>#VALUE!</v>
      </c>
      <c r="BN66" s="47" t="e">
        <f>_xll.qlPolynomialFunctionValue(BN$1,$BD66,AllTriggers)</f>
        <v>#VALUE!</v>
      </c>
      <c r="BO66" s="47" t="e">
        <f>_xll.qlPolynomialFunctionValue(BO$1,$BD66,AllTriggers)</f>
        <v>#VALUE!</v>
      </c>
      <c r="BP66" s="47" t="e">
        <f>_xll.qlPolynomialFunctionValue(BP$1,$BD66,AllTriggers)</f>
        <v>#VALUE!</v>
      </c>
      <c r="BQ66" s="47">
        <f>_xll.qlPolynomialFunctionValue('3MSynthDepo_used'!$P$18,BD66,AllTriggers)</f>
        <v>1.0736074039429443E-3</v>
      </c>
    </row>
    <row r="67" spans="3:69" x14ac:dyDescent="0.2">
      <c r="C67" s="194"/>
      <c r="D67" s="194"/>
      <c r="E67" s="195"/>
      <c r="H67" s="35"/>
      <c r="K67" s="55"/>
      <c r="L67" s="55"/>
      <c r="M67" s="55"/>
      <c r="N67" s="55"/>
      <c r="P67" s="35"/>
      <c r="Q67" s="35"/>
      <c r="R67" s="35"/>
      <c r="S67" s="35"/>
      <c r="BC67" s="178">
        <f>_xll.qlCalendarAdvance(Calendar,BC66,"1d","mf",,Trigger)</f>
        <v>42367</v>
      </c>
      <c r="BD67" s="41">
        <f>_xll.qlDayCounterYearFraction(DayCounter,SettlementDate,BC67,,,Trigger)</f>
        <v>0.24444444444444444</v>
      </c>
      <c r="BE67" s="47" t="e">
        <f>_xll.qlPolynomialFunctionValue(BE$1,$BD67,AllTriggers)</f>
        <v>#VALUE!</v>
      </c>
      <c r="BF67" s="47" t="e">
        <f>_xll.qlPolynomialFunctionValue(BF$1,$BD67,AllTriggers)</f>
        <v>#VALUE!</v>
      </c>
      <c r="BG67" s="47" t="e">
        <f>_xll.qlPolynomialFunctionValue(BG$1,$BD67,AllTriggers)</f>
        <v>#VALUE!</v>
      </c>
      <c r="BH67" s="47" t="e">
        <f>_xll.qlPolynomialFunctionValue(BH$1,$BD67,AllTriggers)</f>
        <v>#VALUE!</v>
      </c>
      <c r="BI67" s="47" t="e">
        <f>_xll.qlPolynomialFunctionValue(BI$1,$BD67,AllTriggers)</f>
        <v>#VALUE!</v>
      </c>
      <c r="BJ67" s="47" t="e">
        <f>_xll.qlPolynomialFunctionValue(BJ$1,$BD67,AllTriggers)</f>
        <v>#VALUE!</v>
      </c>
      <c r="BK67" s="47" t="e">
        <f>_xll.qlPolynomialFunctionValue(BK$1,$BD67,AllTriggers)</f>
        <v>#VALUE!</v>
      </c>
      <c r="BL67" s="47" t="e">
        <f>_xll.qlPolynomialFunctionValue(BL$1,$BD67,AllTriggers)</f>
        <v>#VALUE!</v>
      </c>
      <c r="BM67" s="47" t="e">
        <f>_xll.qlPolynomialFunctionValue(BM$1,$BD67,AllTriggers)</f>
        <v>#VALUE!</v>
      </c>
      <c r="BN67" s="47" t="e">
        <f>_xll.qlPolynomialFunctionValue(BN$1,$BD67,AllTriggers)</f>
        <v>#VALUE!</v>
      </c>
      <c r="BO67" s="47" t="e">
        <f>_xll.qlPolynomialFunctionValue(BO$1,$BD67,AllTriggers)</f>
        <v>#VALUE!</v>
      </c>
      <c r="BP67" s="47" t="e">
        <f>_xll.qlPolynomialFunctionValue(BP$1,$BD67,AllTriggers)</f>
        <v>#VALUE!</v>
      </c>
      <c r="BQ67" s="47">
        <f>_xll.qlPolynomialFunctionValue('3MSynthDepo_used'!$P$18,BD67,AllTriggers)</f>
        <v>1.0751082440203161E-3</v>
      </c>
    </row>
    <row r="68" spans="3:69" x14ac:dyDescent="0.2">
      <c r="C68" s="194"/>
      <c r="D68" s="194"/>
      <c r="E68" s="195"/>
      <c r="H68" s="35"/>
      <c r="K68" s="55"/>
      <c r="L68" s="55"/>
      <c r="M68" s="55"/>
      <c r="N68" s="55"/>
      <c r="P68" s="35"/>
      <c r="Q68" s="35"/>
      <c r="R68" s="35"/>
      <c r="S68" s="35"/>
      <c r="BC68" s="178">
        <f>_xll.qlCalendarAdvance(Calendar,BC67,"1d","mf",,Trigger)</f>
        <v>42368</v>
      </c>
      <c r="BD68" s="41">
        <f>_xll.qlDayCounterYearFraction(DayCounter,SettlementDate,BC68,,,Trigger)</f>
        <v>0.24722222222222223</v>
      </c>
      <c r="BE68" s="47" t="e">
        <f>_xll.qlPolynomialFunctionValue(BE$1,$BD68,AllTriggers)</f>
        <v>#VALUE!</v>
      </c>
      <c r="BF68" s="47" t="e">
        <f>_xll.qlPolynomialFunctionValue(BF$1,$BD68,AllTriggers)</f>
        <v>#VALUE!</v>
      </c>
      <c r="BG68" s="47" t="e">
        <f>_xll.qlPolynomialFunctionValue(BG$1,$BD68,AllTriggers)</f>
        <v>#VALUE!</v>
      </c>
      <c r="BH68" s="47" t="e">
        <f>_xll.qlPolynomialFunctionValue(BH$1,$BD68,AllTriggers)</f>
        <v>#VALUE!</v>
      </c>
      <c r="BI68" s="47" t="e">
        <f>_xll.qlPolynomialFunctionValue(BI$1,$BD68,AllTriggers)</f>
        <v>#VALUE!</v>
      </c>
      <c r="BJ68" s="47" t="e">
        <f>_xll.qlPolynomialFunctionValue(BJ$1,$BD68,AllTriggers)</f>
        <v>#VALUE!</v>
      </c>
      <c r="BK68" s="47" t="e">
        <f>_xll.qlPolynomialFunctionValue(BK$1,$BD68,AllTriggers)</f>
        <v>#VALUE!</v>
      </c>
      <c r="BL68" s="47" t="e">
        <f>_xll.qlPolynomialFunctionValue(BL$1,$BD68,AllTriggers)</f>
        <v>#VALUE!</v>
      </c>
      <c r="BM68" s="47" t="e">
        <f>_xll.qlPolynomialFunctionValue(BM$1,$BD68,AllTriggers)</f>
        <v>#VALUE!</v>
      </c>
      <c r="BN68" s="47" t="e">
        <f>_xll.qlPolynomialFunctionValue(BN$1,$BD68,AllTriggers)</f>
        <v>#VALUE!</v>
      </c>
      <c r="BO68" s="47" t="e">
        <f>_xll.qlPolynomialFunctionValue(BO$1,$BD68,AllTriggers)</f>
        <v>#VALUE!</v>
      </c>
      <c r="BP68" s="47" t="e">
        <f>_xll.qlPolynomialFunctionValue(BP$1,$BD68,AllTriggers)</f>
        <v>#VALUE!</v>
      </c>
      <c r="BQ68" s="47">
        <f>_xll.qlPolynomialFunctionValue('3MSynthDepo_used'!$P$18,BD68,AllTriggers)</f>
        <v>1.0766038469909496E-3</v>
      </c>
    </row>
    <row r="69" spans="3:69" x14ac:dyDescent="0.2">
      <c r="C69" s="194"/>
      <c r="D69" s="194"/>
      <c r="E69" s="195"/>
      <c r="G69" s="196"/>
      <c r="H69" s="35"/>
      <c r="J69" s="196"/>
      <c r="K69" s="55"/>
      <c r="L69" s="55"/>
      <c r="M69" s="55"/>
      <c r="N69" s="55"/>
      <c r="P69" s="35"/>
      <c r="Q69" s="35"/>
      <c r="R69" s="35"/>
      <c r="S69" s="35"/>
      <c r="BC69" s="178">
        <f>_xll.qlCalendarAdvance(Calendar,BC68,"1d","mf",,Trigger)</f>
        <v>42369</v>
      </c>
      <c r="BD69" s="41">
        <f>_xll.qlDayCounterYearFraction(DayCounter,SettlementDate,BC69,,,Trigger)</f>
        <v>0.25</v>
      </c>
      <c r="BE69" s="47" t="e">
        <f>_xll.qlPolynomialFunctionValue(BE$1,$BD69,AllTriggers)</f>
        <v>#VALUE!</v>
      </c>
      <c r="BF69" s="47" t="e">
        <f>_xll.qlPolynomialFunctionValue(BF$1,$BD69,AllTriggers)</f>
        <v>#VALUE!</v>
      </c>
      <c r="BG69" s="47" t="e">
        <f>_xll.qlPolynomialFunctionValue(BG$1,$BD69,AllTriggers)</f>
        <v>#VALUE!</v>
      </c>
      <c r="BH69" s="47" t="e">
        <f>_xll.qlPolynomialFunctionValue(BH$1,$BD69,AllTriggers)</f>
        <v>#VALUE!</v>
      </c>
      <c r="BI69" s="47" t="e">
        <f>_xll.qlPolynomialFunctionValue(BI$1,$BD69,AllTriggers)</f>
        <v>#VALUE!</v>
      </c>
      <c r="BJ69" s="47" t="e">
        <f>_xll.qlPolynomialFunctionValue(BJ$1,$BD69,AllTriggers)</f>
        <v>#VALUE!</v>
      </c>
      <c r="BK69" s="47" t="e">
        <f>_xll.qlPolynomialFunctionValue(BK$1,$BD69,AllTriggers)</f>
        <v>#VALUE!</v>
      </c>
      <c r="BL69" s="47" t="e">
        <f>_xll.qlPolynomialFunctionValue(BL$1,$BD69,AllTriggers)</f>
        <v>#VALUE!</v>
      </c>
      <c r="BM69" s="47" t="e">
        <f>_xll.qlPolynomialFunctionValue(BM$1,$BD69,AllTriggers)</f>
        <v>#VALUE!</v>
      </c>
      <c r="BN69" s="47" t="e">
        <f>_xll.qlPolynomialFunctionValue(BN$1,$BD69,AllTriggers)</f>
        <v>#VALUE!</v>
      </c>
      <c r="BO69" s="47" t="e">
        <f>_xll.qlPolynomialFunctionValue(BO$1,$BD69,AllTriggers)</f>
        <v>#VALUE!</v>
      </c>
      <c r="BP69" s="47" t="e">
        <f>_xll.qlPolynomialFunctionValue(BP$1,$BD69,AllTriggers)</f>
        <v>#VALUE!</v>
      </c>
      <c r="BQ69" s="47">
        <f>_xll.qlPolynomialFunctionValue('3MSynthDepo_used'!$P$18,BD69,AllTriggers)</f>
        <v>1.0780942242329867E-3</v>
      </c>
    </row>
    <row r="70" spans="3:69" x14ac:dyDescent="0.2">
      <c r="C70" s="194"/>
      <c r="D70" s="194"/>
      <c r="E70" s="195"/>
      <c r="H70" s="35"/>
      <c r="K70" s="55"/>
      <c r="L70" s="55"/>
      <c r="M70" s="55"/>
      <c r="N70" s="55"/>
      <c r="P70" s="35"/>
      <c r="Q70" s="35"/>
      <c r="R70" s="35"/>
      <c r="S70" s="35"/>
      <c r="T70" s="35"/>
      <c r="BC70" s="178">
        <f>_xll.qlCalendarAdvance(Calendar,BC69,"1d","mf",,Trigger)</f>
        <v>42373</v>
      </c>
      <c r="BD70" s="41">
        <f>_xll.qlDayCounterYearFraction(DayCounter,SettlementDate,BC70,,,Trigger)</f>
        <v>0.26111111111111113</v>
      </c>
      <c r="BE70" s="47" t="e">
        <f>_xll.qlPolynomialFunctionValue(BE$1,$BD70,AllTriggers)</f>
        <v>#VALUE!</v>
      </c>
      <c r="BF70" s="47" t="e">
        <f>_xll.qlPolynomialFunctionValue(BF$1,$BD70,AllTriggers)</f>
        <v>#VALUE!</v>
      </c>
      <c r="BG70" s="47" t="e">
        <f>_xll.qlPolynomialFunctionValue(BG$1,$BD70,AllTriggers)</f>
        <v>#VALUE!</v>
      </c>
      <c r="BH70" s="47" t="e">
        <f>_xll.qlPolynomialFunctionValue(BH$1,$BD70,AllTriggers)</f>
        <v>#VALUE!</v>
      </c>
      <c r="BI70" s="47" t="e">
        <f>_xll.qlPolynomialFunctionValue(BI$1,$BD70,AllTriggers)</f>
        <v>#VALUE!</v>
      </c>
      <c r="BJ70" s="47" t="e">
        <f>_xll.qlPolynomialFunctionValue(BJ$1,$BD70,AllTriggers)</f>
        <v>#VALUE!</v>
      </c>
      <c r="BK70" s="47" t="e">
        <f>_xll.qlPolynomialFunctionValue(BK$1,$BD70,AllTriggers)</f>
        <v>#VALUE!</v>
      </c>
      <c r="BL70" s="47" t="e">
        <f>_xll.qlPolynomialFunctionValue(BL$1,$BD70,AllTriggers)</f>
        <v>#VALUE!</v>
      </c>
      <c r="BM70" s="47" t="e">
        <f>_xll.qlPolynomialFunctionValue(BM$1,$BD70,AllTriggers)</f>
        <v>#VALUE!</v>
      </c>
      <c r="BN70" s="47" t="e">
        <f>_xll.qlPolynomialFunctionValue(BN$1,$BD70,AllTriggers)</f>
        <v>#VALUE!</v>
      </c>
      <c r="BO70" s="47" t="e">
        <f>_xll.qlPolynomialFunctionValue(BO$1,$BD70,AllTriggers)</f>
        <v>#VALUE!</v>
      </c>
      <c r="BP70" s="47" t="e">
        <f>_xll.qlPolynomialFunctionValue(BP$1,$BD70,AllTriggers)</f>
        <v>#VALUE!</v>
      </c>
      <c r="BQ70" s="47">
        <f>_xll.qlPolynomialFunctionValue('3MSynthDepo_used'!$P$18,BD70,AllTriggers)</f>
        <v>1.0840037034780129E-3</v>
      </c>
    </row>
    <row r="71" spans="3:69" x14ac:dyDescent="0.2">
      <c r="C71" s="194"/>
      <c r="D71" s="194"/>
      <c r="K71" s="55"/>
      <c r="L71" s="55"/>
      <c r="M71" s="55"/>
      <c r="N71" s="55"/>
      <c r="S71" s="35"/>
      <c r="T71" s="35"/>
      <c r="BC71" s="178">
        <f>_xll.qlCalendarAdvance(Calendar,BC70,"1d","mf",,Trigger)</f>
        <v>42374</v>
      </c>
      <c r="BD71" s="41">
        <f>_xll.qlDayCounterYearFraction(DayCounter,SettlementDate,BC71,,,Trigger)</f>
        <v>0.2638888888888889</v>
      </c>
      <c r="BE71" s="47" t="e">
        <f>_xll.qlPolynomialFunctionValue(BE$1,$BD71,AllTriggers)</f>
        <v>#VALUE!</v>
      </c>
      <c r="BF71" s="47" t="e">
        <f>_xll.qlPolynomialFunctionValue(BF$1,$BD71,AllTriggers)</f>
        <v>#VALUE!</v>
      </c>
      <c r="BG71" s="47" t="e">
        <f>_xll.qlPolynomialFunctionValue(BG$1,$BD71,AllTriggers)</f>
        <v>#VALUE!</v>
      </c>
      <c r="BH71" s="47" t="e">
        <f>_xll.qlPolynomialFunctionValue(BH$1,$BD71,AllTriggers)</f>
        <v>#VALUE!</v>
      </c>
      <c r="BI71" s="47" t="e">
        <f>_xll.qlPolynomialFunctionValue(BI$1,$BD71,AllTriggers)</f>
        <v>#VALUE!</v>
      </c>
      <c r="BJ71" s="47" t="e">
        <f>_xll.qlPolynomialFunctionValue(BJ$1,$BD71,AllTriggers)</f>
        <v>#VALUE!</v>
      </c>
      <c r="BK71" s="47" t="e">
        <f>_xll.qlPolynomialFunctionValue(BK$1,$BD71,AllTriggers)</f>
        <v>#VALUE!</v>
      </c>
      <c r="BL71" s="47" t="e">
        <f>_xll.qlPolynomialFunctionValue(BL$1,$BD71,AllTriggers)</f>
        <v>#VALUE!</v>
      </c>
      <c r="BM71" s="47" t="e">
        <f>_xll.qlPolynomialFunctionValue(BM$1,$BD71,AllTriggers)</f>
        <v>#VALUE!</v>
      </c>
      <c r="BN71" s="47" t="e">
        <f>_xll.qlPolynomialFunctionValue(BN$1,$BD71,AllTriggers)</f>
        <v>#VALUE!</v>
      </c>
      <c r="BO71" s="47" t="e">
        <f>_xll.qlPolynomialFunctionValue(BO$1,$BD71,AllTriggers)</f>
        <v>#VALUE!</v>
      </c>
      <c r="BP71" s="47" t="e">
        <f>_xll.qlPolynomialFunctionValue(BP$1,$BD71,AllTriggers)</f>
        <v>#VALUE!</v>
      </c>
      <c r="BQ71" s="47">
        <f>_xll.qlPolynomialFunctionValue('3MSynthDepo_used'!$P$18,BD71,AllTriggers)</f>
        <v>1.0854681227491995E-3</v>
      </c>
    </row>
    <row r="72" spans="3:69" x14ac:dyDescent="0.2">
      <c r="C72" s="194"/>
      <c r="D72" s="194"/>
      <c r="K72" s="55"/>
      <c r="L72" s="55"/>
      <c r="M72" s="55"/>
      <c r="N72" s="55"/>
      <c r="S72" s="35"/>
      <c r="T72" s="35"/>
      <c r="BC72" s="182">
        <f>_xll.qlCalendarAdvance(Calendar,BC71,"1d","mf",,Trigger)</f>
        <v>42375</v>
      </c>
      <c r="BD72" s="44">
        <f>_xll.qlDayCounterYearFraction(DayCounter,SettlementDate,BC72,,,Trigger)</f>
        <v>0.26666666666666666</v>
      </c>
      <c r="BE72" s="50" t="e">
        <f>_xll.qlPolynomialFunctionValue(BE$1,$BD72,AllTriggers)</f>
        <v>#VALUE!</v>
      </c>
      <c r="BF72" s="50" t="e">
        <f>_xll.qlPolynomialFunctionValue(BF$1,$BD72,AllTriggers)</f>
        <v>#VALUE!</v>
      </c>
      <c r="BG72" s="50" t="e">
        <f>_xll.qlPolynomialFunctionValue(BG$1,$BD72,AllTriggers)</f>
        <v>#VALUE!</v>
      </c>
      <c r="BH72" s="50" t="e">
        <f>_xll.qlPolynomialFunctionValue(BH$1,$BD72,AllTriggers)</f>
        <v>#VALUE!</v>
      </c>
      <c r="BI72" s="50" t="e">
        <f>_xll.qlPolynomialFunctionValue(BI$1,$BD72,AllTriggers)</f>
        <v>#VALUE!</v>
      </c>
      <c r="BJ72" s="50" t="e">
        <f>_xll.qlPolynomialFunctionValue(BJ$1,$BD72,AllTriggers)</f>
        <v>#VALUE!</v>
      </c>
      <c r="BK72" s="50" t="e">
        <f>_xll.qlPolynomialFunctionValue(BK$1,$BD72,AllTriggers)</f>
        <v>#VALUE!</v>
      </c>
      <c r="BL72" s="50" t="e">
        <f>_xll.qlPolynomialFunctionValue(BL$1,$BD72,AllTriggers)</f>
        <v>#VALUE!</v>
      </c>
      <c r="BM72" s="50" t="e">
        <f>_xll.qlPolynomialFunctionValue(BM$1,$BD72,AllTriggers)</f>
        <v>#VALUE!</v>
      </c>
      <c r="BN72" s="50" t="e">
        <f>_xll.qlPolynomialFunctionValue(BN$1,$BD72,AllTriggers)</f>
        <v>#VALUE!</v>
      </c>
      <c r="BO72" s="50" t="e">
        <f>_xll.qlPolynomialFunctionValue(BO$1,$BD72,AllTriggers)</f>
        <v>#VALUE!</v>
      </c>
      <c r="BP72" s="50" t="e">
        <f>_xll.qlPolynomialFunctionValue(BP$1,$BD72,AllTriggers)</f>
        <v>#VALUE!</v>
      </c>
      <c r="BQ72" s="50">
        <f>_xll.qlPolynomialFunctionValue('3MSynthDepo_used'!$P$18,BD72,AllTriggers)</f>
        <v>1.0869273845606419E-3</v>
      </c>
    </row>
    <row r="73" spans="3:69" ht="11.25" customHeight="1" x14ac:dyDescent="0.2">
      <c r="C73" s="194"/>
      <c r="D73" s="194"/>
      <c r="K73" s="55"/>
      <c r="L73" s="55"/>
      <c r="M73" s="55"/>
      <c r="N73" s="55"/>
      <c r="S73" s="35"/>
      <c r="T73" s="35"/>
    </row>
    <row r="74" spans="3:69" x14ac:dyDescent="0.2">
      <c r="C74" s="194"/>
      <c r="D74" s="194"/>
      <c r="K74" s="55"/>
      <c r="L74" s="55"/>
      <c r="M74" s="55"/>
      <c r="N74" s="55"/>
      <c r="S74" s="35"/>
      <c r="T74" s="35"/>
    </row>
    <row r="75" spans="3:69" x14ac:dyDescent="0.2">
      <c r="C75" s="194"/>
      <c r="D75" s="194"/>
      <c r="K75" s="55"/>
      <c r="L75" s="55"/>
      <c r="M75" s="55"/>
      <c r="N75" s="55"/>
      <c r="S75" s="35"/>
      <c r="T75" s="35"/>
    </row>
    <row r="76" spans="3:69" x14ac:dyDescent="0.2">
      <c r="C76" s="194"/>
      <c r="D76" s="194"/>
      <c r="K76" s="55"/>
      <c r="L76" s="55"/>
      <c r="M76" s="55"/>
      <c r="N76" s="55"/>
      <c r="S76" s="35"/>
    </row>
    <row r="77" spans="3:69" x14ac:dyDescent="0.2">
      <c r="K77" s="55"/>
      <c r="L77" s="55"/>
      <c r="M77" s="55"/>
      <c r="N77" s="55"/>
      <c r="S77" s="35"/>
    </row>
    <row r="78" spans="3:69" x14ac:dyDescent="0.2">
      <c r="K78" s="55"/>
      <c r="L78" s="55"/>
      <c r="M78" s="55"/>
      <c r="N78" s="55"/>
    </row>
    <row r="79" spans="3:69" x14ac:dyDescent="0.2">
      <c r="K79" s="55"/>
      <c r="L79" s="55"/>
      <c r="M79" s="55"/>
      <c r="N79" s="55"/>
    </row>
    <row r="80" spans="3:69" x14ac:dyDescent="0.2">
      <c r="K80" s="55"/>
      <c r="L80" s="55"/>
      <c r="M80" s="55"/>
      <c r="N80" s="55"/>
      <c r="R80" s="34"/>
    </row>
    <row r="81" spans="8:19" x14ac:dyDescent="0.2">
      <c r="K81" s="55"/>
      <c r="L81" s="55"/>
      <c r="M81" s="55"/>
      <c r="N81" s="55"/>
      <c r="R81" s="34"/>
    </row>
    <row r="82" spans="8:19" x14ac:dyDescent="0.2">
      <c r="K82" s="55"/>
      <c r="L82" s="55"/>
      <c r="M82" s="55"/>
      <c r="N82" s="55"/>
      <c r="R82" s="34"/>
    </row>
    <row r="83" spans="8:19" x14ac:dyDescent="0.2">
      <c r="K83" s="55"/>
      <c r="L83" s="55"/>
      <c r="M83" s="55"/>
      <c r="N83" s="55"/>
      <c r="R83" s="34"/>
    </row>
    <row r="84" spans="8:19" x14ac:dyDescent="0.2">
      <c r="H84" s="35"/>
      <c r="K84" s="55"/>
      <c r="L84" s="55"/>
      <c r="M84" s="55"/>
      <c r="N84" s="55"/>
      <c r="R84" s="34"/>
    </row>
    <row r="85" spans="8:19" x14ac:dyDescent="0.2">
      <c r="K85" s="55"/>
      <c r="L85" s="55"/>
      <c r="M85" s="55"/>
      <c r="N85" s="55"/>
      <c r="R85" s="34"/>
    </row>
    <row r="86" spans="8:19" x14ac:dyDescent="0.2">
      <c r="K86" s="55"/>
      <c r="L86" s="55"/>
      <c r="M86" s="55"/>
      <c r="N86" s="55"/>
      <c r="R86" s="34"/>
      <c r="S86" s="34"/>
    </row>
    <row r="87" spans="8:19" x14ac:dyDescent="0.2">
      <c r="K87" s="55"/>
      <c r="L87" s="55"/>
      <c r="M87" s="55"/>
      <c r="N87" s="55"/>
      <c r="R87" s="34"/>
      <c r="S87" s="34"/>
    </row>
    <row r="88" spans="8:19" x14ac:dyDescent="0.2">
      <c r="K88" s="55"/>
      <c r="L88" s="55"/>
      <c r="M88" s="55"/>
      <c r="N88" s="55"/>
      <c r="R88" s="34"/>
      <c r="S88" s="34"/>
    </row>
    <row r="89" spans="8:19" x14ac:dyDescent="0.2">
      <c r="K89" s="55"/>
      <c r="L89" s="55"/>
      <c r="M89" s="55"/>
      <c r="N89" s="55"/>
      <c r="R89" s="34"/>
      <c r="S89" s="34"/>
    </row>
    <row r="90" spans="8:19" x14ac:dyDescent="0.2">
      <c r="K90" s="55"/>
      <c r="L90" s="55"/>
      <c r="M90" s="55"/>
      <c r="N90" s="55"/>
      <c r="R90" s="34"/>
      <c r="S90" s="34"/>
    </row>
    <row r="91" spans="8:19" x14ac:dyDescent="0.2">
      <c r="K91" s="55"/>
      <c r="L91" s="55"/>
      <c r="M91" s="55"/>
      <c r="N91" s="55"/>
      <c r="R91" s="34"/>
      <c r="S91" s="34"/>
    </row>
    <row r="92" spans="8:19" x14ac:dyDescent="0.2">
      <c r="K92" s="55"/>
      <c r="L92" s="55"/>
      <c r="M92" s="55"/>
      <c r="N92" s="55"/>
      <c r="R92" s="34"/>
      <c r="S92" s="34"/>
    </row>
    <row r="93" spans="8:19" x14ac:dyDescent="0.2">
      <c r="K93" s="55"/>
      <c r="L93" s="55"/>
      <c r="M93" s="55"/>
      <c r="N93" s="55"/>
      <c r="R93" s="34"/>
      <c r="S93" s="34"/>
    </row>
    <row r="94" spans="8:19" x14ac:dyDescent="0.2">
      <c r="K94" s="55"/>
      <c r="L94" s="55"/>
      <c r="M94" s="55"/>
      <c r="N94" s="55"/>
      <c r="R94" s="34"/>
      <c r="S94" s="34"/>
    </row>
    <row r="95" spans="8:19" x14ac:dyDescent="0.2">
      <c r="K95" s="55"/>
      <c r="L95" s="55"/>
      <c r="M95" s="55"/>
      <c r="N95" s="55"/>
      <c r="R95" s="34"/>
      <c r="S95" s="34"/>
    </row>
    <row r="96" spans="8:19" x14ac:dyDescent="0.2">
      <c r="K96" s="55"/>
      <c r="L96" s="55"/>
      <c r="M96" s="55"/>
      <c r="N96" s="55"/>
      <c r="R96" s="34"/>
      <c r="S96" s="34"/>
    </row>
    <row r="97" spans="11:19" x14ac:dyDescent="0.2">
      <c r="K97" s="55"/>
      <c r="L97" s="55"/>
      <c r="M97" s="55"/>
      <c r="N97" s="55"/>
      <c r="R97" s="34"/>
      <c r="S97" s="34"/>
    </row>
    <row r="98" spans="11:19" x14ac:dyDescent="0.2">
      <c r="K98" s="55"/>
      <c r="L98" s="55"/>
      <c r="M98" s="55"/>
      <c r="N98" s="55"/>
      <c r="R98" s="34"/>
      <c r="S98" s="34"/>
    </row>
    <row r="99" spans="11:19" x14ac:dyDescent="0.2">
      <c r="K99" s="55"/>
      <c r="L99" s="55"/>
      <c r="M99" s="55"/>
      <c r="N99" s="55"/>
      <c r="R99" s="34"/>
      <c r="S99" s="34"/>
    </row>
    <row r="100" spans="11:19" x14ac:dyDescent="0.2">
      <c r="K100" s="55"/>
      <c r="L100" s="55"/>
      <c r="M100" s="55"/>
      <c r="N100" s="55"/>
      <c r="R100" s="34"/>
      <c r="S100" s="34"/>
    </row>
    <row r="101" spans="11:19" x14ac:dyDescent="0.2">
      <c r="K101" s="55"/>
      <c r="L101" s="55"/>
      <c r="M101" s="55"/>
      <c r="N101" s="55"/>
      <c r="R101" s="34"/>
      <c r="S101" s="34"/>
    </row>
    <row r="102" spans="11:19" x14ac:dyDescent="0.2">
      <c r="K102" s="55"/>
      <c r="L102" s="55"/>
      <c r="M102" s="55"/>
      <c r="N102" s="55"/>
      <c r="R102" s="34"/>
      <c r="S102" s="34"/>
    </row>
    <row r="103" spans="11:19" x14ac:dyDescent="0.2">
      <c r="K103" s="55"/>
      <c r="L103" s="55"/>
      <c r="M103" s="55"/>
      <c r="N103" s="55"/>
      <c r="R103" s="34"/>
      <c r="S103" s="34"/>
    </row>
    <row r="104" spans="11:19" x14ac:dyDescent="0.2">
      <c r="K104" s="55"/>
      <c r="L104" s="55"/>
      <c r="M104" s="55"/>
      <c r="N104" s="55"/>
      <c r="R104" s="34"/>
      <c r="S104" s="34"/>
    </row>
    <row r="105" spans="11:19" x14ac:dyDescent="0.2">
      <c r="R105" s="34"/>
      <c r="S105" s="34"/>
    </row>
    <row r="106" spans="11:19" x14ac:dyDescent="0.2">
      <c r="R106" s="34"/>
      <c r="S106" s="34"/>
    </row>
    <row r="107" spans="11:19" x14ac:dyDescent="0.2">
      <c r="R107" s="34"/>
      <c r="S107" s="34"/>
    </row>
    <row r="108" spans="11:19" x14ac:dyDescent="0.2">
      <c r="R108" s="34"/>
      <c r="S108" s="34"/>
    </row>
    <row r="109" spans="11:19" x14ac:dyDescent="0.2">
      <c r="R109" s="34"/>
      <c r="S109" s="34"/>
    </row>
    <row r="110" spans="11:19" x14ac:dyDescent="0.2">
      <c r="R110" s="34"/>
      <c r="S110" s="34"/>
    </row>
    <row r="111" spans="11:19" x14ac:dyDescent="0.2">
      <c r="R111" s="34"/>
      <c r="S111" s="34"/>
    </row>
    <row r="112" spans="11:19" x14ac:dyDescent="0.2">
      <c r="R112" s="34"/>
      <c r="S112" s="34"/>
    </row>
    <row r="113" spans="18:19" x14ac:dyDescent="0.2">
      <c r="R113" s="34"/>
      <c r="S113" s="34"/>
    </row>
    <row r="114" spans="18:19" x14ac:dyDescent="0.2">
      <c r="R114" s="34"/>
      <c r="S114" s="34"/>
    </row>
    <row r="115" spans="18:19" x14ac:dyDescent="0.2">
      <c r="R115" s="34"/>
      <c r="S115" s="34"/>
    </row>
    <row r="116" spans="18:19" x14ac:dyDescent="0.2">
      <c r="R116" s="34"/>
      <c r="S116" s="34"/>
    </row>
    <row r="117" spans="18:19" x14ac:dyDescent="0.2">
      <c r="R117" s="34"/>
      <c r="S117" s="34"/>
    </row>
    <row r="118" spans="18:19" x14ac:dyDescent="0.2">
      <c r="R118" s="34"/>
      <c r="S118" s="34"/>
    </row>
    <row r="119" spans="18:19" x14ac:dyDescent="0.2">
      <c r="R119" s="34"/>
      <c r="S119" s="34"/>
    </row>
    <row r="120" spans="18:19" x14ac:dyDescent="0.2">
      <c r="R120" s="34"/>
      <c r="S120" s="34"/>
    </row>
    <row r="121" spans="18:19" x14ac:dyDescent="0.2">
      <c r="R121" s="34"/>
      <c r="S121" s="34"/>
    </row>
    <row r="122" spans="18:19" x14ac:dyDescent="0.2">
      <c r="R122" s="34"/>
      <c r="S122" s="34"/>
    </row>
    <row r="123" spans="18:19" x14ac:dyDescent="0.2">
      <c r="R123" s="34"/>
      <c r="S123" s="34"/>
    </row>
    <row r="124" spans="18:19" x14ac:dyDescent="0.2">
      <c r="R124" s="34"/>
      <c r="S124" s="34"/>
    </row>
    <row r="125" spans="18:19" x14ac:dyDescent="0.2">
      <c r="R125" s="34"/>
      <c r="S125" s="34"/>
    </row>
    <row r="126" spans="18:19" x14ac:dyDescent="0.2">
      <c r="R126" s="34"/>
      <c r="S126" s="34"/>
    </row>
    <row r="127" spans="18:19" x14ac:dyDescent="0.2">
      <c r="R127" s="34"/>
      <c r="S127" s="34"/>
    </row>
    <row r="128" spans="18:19" x14ac:dyDescent="0.2">
      <c r="R128" s="34"/>
      <c r="S128" s="34"/>
    </row>
    <row r="129" spans="18:19" x14ac:dyDescent="0.2">
      <c r="R129" s="34"/>
      <c r="S129" s="34"/>
    </row>
    <row r="130" spans="18:19" x14ac:dyDescent="0.2">
      <c r="R130" s="34"/>
      <c r="S130" s="34"/>
    </row>
    <row r="131" spans="18:19" x14ac:dyDescent="0.2">
      <c r="R131" s="34"/>
      <c r="S131" s="34"/>
    </row>
    <row r="132" spans="18:19" x14ac:dyDescent="0.2">
      <c r="R132" s="34"/>
      <c r="S132" s="34"/>
    </row>
    <row r="133" spans="18:19" x14ac:dyDescent="0.2">
      <c r="R133" s="35"/>
      <c r="S133" s="34"/>
    </row>
    <row r="134" spans="18:19" x14ac:dyDescent="0.2">
      <c r="R134" s="35"/>
      <c r="S134" s="34"/>
    </row>
    <row r="135" spans="18:19" x14ac:dyDescent="0.2">
      <c r="R135" s="35"/>
      <c r="S135" s="34"/>
    </row>
    <row r="136" spans="18:19" x14ac:dyDescent="0.2">
      <c r="R136" s="35"/>
      <c r="S136" s="34"/>
    </row>
    <row r="137" spans="18:19" x14ac:dyDescent="0.2">
      <c r="R137" s="35"/>
      <c r="S137" s="34"/>
    </row>
    <row r="138" spans="18:19" x14ac:dyDescent="0.2">
      <c r="R138" s="35"/>
      <c r="S138" s="34"/>
    </row>
    <row r="139" spans="18:19" x14ac:dyDescent="0.2">
      <c r="R139" s="35"/>
      <c r="S139" s="35"/>
    </row>
    <row r="140" spans="18:19" x14ac:dyDescent="0.2">
      <c r="R140" s="35"/>
      <c r="S140" s="35"/>
    </row>
    <row r="141" spans="18:19" x14ac:dyDescent="0.2">
      <c r="R141" s="35"/>
      <c r="S141" s="35"/>
    </row>
    <row r="142" spans="18:19" x14ac:dyDescent="0.2">
      <c r="R142" s="35"/>
      <c r="S142" s="35"/>
    </row>
    <row r="143" spans="18:19" x14ac:dyDescent="0.2">
      <c r="R143" s="35"/>
      <c r="S143" s="35"/>
    </row>
    <row r="144" spans="18:19" x14ac:dyDescent="0.2">
      <c r="R144" s="35"/>
      <c r="S144" s="35"/>
    </row>
    <row r="145" spans="18:19" x14ac:dyDescent="0.2">
      <c r="R145" s="35"/>
      <c r="S145" s="35"/>
    </row>
    <row r="146" spans="18:19" x14ac:dyDescent="0.2">
      <c r="R146" s="35"/>
      <c r="S146" s="35"/>
    </row>
    <row r="147" spans="18:19" x14ac:dyDescent="0.2">
      <c r="R147" s="35"/>
      <c r="S147" s="35"/>
    </row>
    <row r="148" spans="18:19" x14ac:dyDescent="0.2">
      <c r="R148" s="35"/>
      <c r="S148" s="35"/>
    </row>
    <row r="149" spans="18:19" x14ac:dyDescent="0.2">
      <c r="S149" s="35"/>
    </row>
    <row r="150" spans="18:19" x14ac:dyDescent="0.2">
      <c r="S150" s="35"/>
    </row>
    <row r="151" spans="18:19" x14ac:dyDescent="0.2">
      <c r="S151" s="35"/>
    </row>
    <row r="152" spans="18:19" x14ac:dyDescent="0.2">
      <c r="S152" s="35"/>
    </row>
    <row r="153" spans="18:19" x14ac:dyDescent="0.2">
      <c r="S153" s="35"/>
    </row>
    <row r="154" spans="18:19" x14ac:dyDescent="0.2">
      <c r="S154" s="35"/>
    </row>
  </sheetData>
  <mergeCells count="16">
    <mergeCell ref="AH14:AH16"/>
    <mergeCell ref="AJ14:AJ16"/>
    <mergeCell ref="AT14:AT16"/>
    <mergeCell ref="AV14:AV16"/>
    <mergeCell ref="AH19:AH21"/>
    <mergeCell ref="AJ19:AJ21"/>
    <mergeCell ref="AT19:AT21"/>
    <mergeCell ref="AV19:AV21"/>
    <mergeCell ref="AH5:AH6"/>
    <mergeCell ref="AJ5:AJ6"/>
    <mergeCell ref="AT5:AT6"/>
    <mergeCell ref="AV5:AV6"/>
    <mergeCell ref="AH9:AH10"/>
    <mergeCell ref="AJ9:AJ10"/>
    <mergeCell ref="AT9:AT10"/>
    <mergeCell ref="AV9:AV10"/>
  </mergeCells>
  <dataValidations count="4">
    <dataValidation type="list" allowBlank="1" showInputMessage="1" showErrorMessage="1" sqref="D27:D28">
      <formula1>"FIXING,ESTIMATED"</formula1>
    </dataValidation>
    <dataValidation type="list" allowBlank="1" showInputMessage="1" showErrorMessage="1" sqref="S15:V20 S4:V9 T10:W10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9.33203125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16384" width="9.33203125" style="19"/>
  </cols>
  <sheetData>
    <row r="1" spans="1:27" x14ac:dyDescent="0.2">
      <c r="G1" s="126" t="s">
        <v>49</v>
      </c>
      <c r="H1" s="127" t="s">
        <v>37</v>
      </c>
    </row>
    <row r="2" spans="1:27" ht="26.25" customHeight="1" x14ac:dyDescent="0.2">
      <c r="D2" s="36" t="str">
        <f>H1&amp;" Instruments"</f>
        <v>12M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12M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12</v>
      </c>
      <c r="D3" s="108" t="str">
        <f>Currency&amp;A3&amp;B3&amp;C3&amp;"F"&amp;"_Estimated"</f>
        <v>EUR0x12F_Estimated</v>
      </c>
      <c r="E3" s="108" t="str">
        <f>_xll.qlSimpleQuote(UPPER("B"&amp;$H$1&amp;"_"&amp;A3&amp;B3&amp;C3&amp;"Estimated"),,,Permanent,Trigger,ObjectOverwrite)</f>
        <v>B12M_0X12ESTIMATED#0002</v>
      </c>
      <c r="F3" s="197" t="e">
        <f>_xll.qlSimpleQuoteSetValue(E3,L3,AllTriggers)</f>
        <v>#N/A</v>
      </c>
      <c r="G3" s="210">
        <f>SettlementDate</f>
        <v>42279</v>
      </c>
      <c r="H3" s="210">
        <f>_xll.qlInterestRateIndexMaturity(PROPER(Currency)&amp;"ibor1Y",G3)</f>
        <v>42646</v>
      </c>
      <c r="I3" s="107">
        <f>L3+$J$4</f>
        <v>1.4034028750813108E-3</v>
      </c>
      <c r="J3" s="89"/>
      <c r="K3" s="89"/>
      <c r="L3" s="66">
        <f>_xll.qlTenorBasisValue($P$3,G3,Trigger)</f>
        <v>3.1306454608112906E-3</v>
      </c>
      <c r="M3" s="89"/>
      <c r="N3" s="21"/>
      <c r="O3" s="192" t="s">
        <v>82</v>
      </c>
      <c r="P3" s="66" t="str">
        <f>'[2]1YSynthDepo'!TenorBasis12M</f>
        <v>obj_005a3#0001</v>
      </c>
      <c r="R3" s="211">
        <f>SettlementDate</f>
        <v>42279</v>
      </c>
      <c r="S3" s="52">
        <f>_xll.qlTenorBasisValue($P$3,R3,AllTriggers)</f>
        <v>3.1306454608112906E-3</v>
      </c>
      <c r="T3" s="46">
        <f>_xll.qlDayCounterYearFraction("actual/365 (fixed)",SettlementDate,R3,,,Trigger)</f>
        <v>0</v>
      </c>
      <c r="U3" s="52">
        <f>_xll.qlPolynomialFunctionValue($P$18,T3,AllTriggers)</f>
        <v>2.837722947142234E-3</v>
      </c>
    </row>
    <row r="4" spans="1:27" ht="11.25" customHeight="1" x14ac:dyDescent="0.2">
      <c r="A4" s="104">
        <v>0</v>
      </c>
      <c r="B4" s="105" t="s">
        <v>20</v>
      </c>
      <c r="C4" s="106" t="s">
        <v>18</v>
      </c>
      <c r="D4" s="97" t="str">
        <f>PROPER(Currency&amp;IborType)&amp;C4&amp;"LastFixing"&amp;QuoteSuffix</f>
        <v>Euribor1YLastFixing_Quote</v>
      </c>
      <c r="E4" s="97" t="str">
        <f>_xll.qlSimpleQuote(UPPER("B"&amp;$H$1&amp;"_"&amp;A4&amp;B4&amp;C4&amp;"FIXING"),,,Permanent,Trigger,ObjectOverwrite)</f>
        <v>B12M_0X1YFIXING#0002</v>
      </c>
      <c r="F4" s="198" t="e">
        <f>_xll.qlSimpleQuoteSetValue(E4,K4,AllTriggers)</f>
        <v>#N/A</v>
      </c>
      <c r="G4" s="210">
        <f>SettlementDate</f>
        <v>42279</v>
      </c>
      <c r="H4" s="210">
        <f>_xll.qlInterestRateIndexMaturity(ON_12M_index,G4)</f>
        <v>42646</v>
      </c>
      <c r="I4" s="66">
        <f>_xll.qlQuoteValue(D4,LastFixingsTrigger)</f>
        <v>1.4199999999999998E-3</v>
      </c>
      <c r="J4" s="66">
        <f>_xll.qlIndexFixing(ON_12M_index,_xll.qlInterestRateIndexFixingDate(ON_6M_index,G4),,AllTriggers)</f>
        <v>-1.7272425857299799E-3</v>
      </c>
      <c r="K4" s="107">
        <f t="shared" ref="K4:K17" si="0">I4-J4</f>
        <v>3.1472425857299799E-3</v>
      </c>
      <c r="L4" s="62">
        <f>_xll.qlTenorBasisValue($P$3,G4,Trigger)</f>
        <v>3.1306454608112906E-3</v>
      </c>
      <c r="M4" s="63">
        <f>(K4-L4)*10000</f>
        <v>0.16597124918689249</v>
      </c>
      <c r="N4" s="21"/>
      <c r="R4" s="212">
        <f>_xll.qlCalendarAdvance(Calendar,R3,"1D","f")</f>
        <v>42282</v>
      </c>
      <c r="S4" s="47">
        <f>_xll.qlTenorBasisValue($P$3,R4,AllTriggers)</f>
        <v>3.1354999951303171E-3</v>
      </c>
      <c r="T4" s="41">
        <f>_xll.qlDayCounterYearFraction("actual/365 (fixed)",SettlementDate,R4,,,Trigger)</f>
        <v>8.21917808219178E-3</v>
      </c>
      <c r="U4" s="47">
        <f>_xll.qlPolynomialFunctionValue($P$18,T4,AllTriggers)</f>
        <v>2.8420229324118045E-3</v>
      </c>
    </row>
    <row r="5" spans="1:27" ht="11.25" customHeight="1" x14ac:dyDescent="0.2">
      <c r="A5" s="92">
        <v>1</v>
      </c>
      <c r="B5" s="93" t="s">
        <v>20</v>
      </c>
      <c r="C5" s="102">
        <f t="shared" ref="C5:C17" si="1">A5+SUBSTITUTE($H$1,"M","")</f>
        <v>13</v>
      </c>
      <c r="D5" s="98" t="str">
        <f t="shared" ref="D5:D17" si="2">Currency&amp;A5&amp;B5&amp;C5&amp;"F"&amp;QuoteSuffix</f>
        <v>EUR1x13F_Quote</v>
      </c>
      <c r="E5" s="98" t="str">
        <f>_xll.qlSimpleQuote(UPPER("B"&amp;$H$1&amp;"_"&amp;A5&amp;B5&amp;C5),,,Permanent,Trigger,ObjectOverwrite)</f>
        <v>B12M_1X13#0002</v>
      </c>
      <c r="F5" s="199" t="e">
        <f>_xll.qlSimpleQuoteSetValue(E5,K5,AllTriggers)</f>
        <v>#N/A</v>
      </c>
      <c r="G5" s="211">
        <f>_xll.qlCalendarAdvance("target",SettlementDate,A5&amp;"M","mf",,Trigger)</f>
        <v>42310</v>
      </c>
      <c r="H5" s="211">
        <f>_xll.qlInterestRateIndexMaturity(ON_12M_index,G5)</f>
        <v>42676</v>
      </c>
      <c r="I5" s="52">
        <f>_xll.qlQuoteValue(D5,AllTriggers)</f>
        <v>1.3999999999999998E-3</v>
      </c>
      <c r="J5" s="52">
        <f>_xll.qlIndexFixing(ON_12M_index,_xll.qlInterestRateIndexFixingDate(ON_6M_index,G5),,AllTriggers)</f>
        <v>-1.7763168734115172E-3</v>
      </c>
      <c r="K5" s="193">
        <f t="shared" si="0"/>
        <v>3.1763168734115169E-3</v>
      </c>
      <c r="L5" s="52">
        <f>_xll.qlTenorBasisValue($P$3,G5,Trigger)</f>
        <v>3.1810831102992471E-3</v>
      </c>
      <c r="M5" s="91">
        <f t="shared" ref="M5:M17" si="3">(K5-L5)*10000</f>
        <v>-4.7662368877301499E-2</v>
      </c>
      <c r="N5" s="21"/>
      <c r="O5" s="119" t="s">
        <v>94</v>
      </c>
      <c r="P5" s="120"/>
      <c r="Q5" s="20"/>
      <c r="R5" s="212">
        <f>_xll.qlCalendarAdvance(Calendar,R4,"1D","f")</f>
        <v>42283</v>
      </c>
      <c r="S5" s="47">
        <f>_xll.qlTenorBasisValue($P$3,R5,AllTriggers)</f>
        <v>3.137119527170708E-3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2.8434594891156581E-3</v>
      </c>
    </row>
    <row r="6" spans="1:27" ht="11.25" customHeight="1" x14ac:dyDescent="0.2">
      <c r="A6" s="94">
        <v>2</v>
      </c>
      <c r="B6" s="21" t="s">
        <v>20</v>
      </c>
      <c r="C6" s="101">
        <f t="shared" si="1"/>
        <v>14</v>
      </c>
      <c r="D6" s="99" t="str">
        <f t="shared" si="2"/>
        <v>EUR2x14F_Quote</v>
      </c>
      <c r="E6" s="99" t="str">
        <f>_xll.qlSimpleQuote(UPPER("B"&amp;$H$1&amp;"_"&amp;A6&amp;B6&amp;C6),,,Permanent,Trigger,ObjectOverwrite)</f>
        <v>B12M_2X14#0002</v>
      </c>
      <c r="F6" s="200" t="e">
        <f>_xll.qlSimpleQuoteSetValue(E6,K6,AllTriggers)</f>
        <v>#N/A</v>
      </c>
      <c r="G6" s="212">
        <f>_xll.qlCalendarAdvance("target",SettlementDate,A6&amp;"M","mf",,Trigger)</f>
        <v>42340</v>
      </c>
      <c r="H6" s="212">
        <f>_xll.qlInterestRateIndexMaturity(ON_12M_index,G6)</f>
        <v>42706</v>
      </c>
      <c r="I6" s="47">
        <f>_xll.qlQuoteValue(D6,AllTriggers)</f>
        <v>1.3999999999999998E-3</v>
      </c>
      <c r="J6" s="47">
        <f>_xll.qlIndexFixing(ON_12M_index,_xll.qlInterestRateIndexFixingDate(ON_6M_index,G6),,AllTriggers)</f>
        <v>-1.8169737826632334E-3</v>
      </c>
      <c r="K6" s="128">
        <f t="shared" si="0"/>
        <v>3.2169737826632334E-3</v>
      </c>
      <c r="L6" s="47">
        <f>_xll.qlTenorBasisValue($P$3,G6,Trigger)</f>
        <v>3.230382572965331E-3</v>
      </c>
      <c r="M6" s="64">
        <f t="shared" si="3"/>
        <v>-0.13408790302097545</v>
      </c>
      <c r="N6" s="21"/>
      <c r="O6" s="192" t="s">
        <v>77</v>
      </c>
      <c r="P6" s="66">
        <f t="array" ref="P6:P10">_xll.qlTenorBasisCoefficients(P3)</f>
        <v>3.1306454608112906E-3</v>
      </c>
      <c r="Q6" s="20"/>
      <c r="R6" s="212">
        <f>_xll.qlCalendarAdvance(Calendar,R5,"1D","f")</f>
        <v>42284</v>
      </c>
      <c r="S6" s="47">
        <f>_xll.qlTenorBasisValue($P$3,R6,AllTriggers)</f>
        <v>3.1387397277827071E-3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2.8448976515644273E-3</v>
      </c>
    </row>
    <row r="7" spans="1:27" ht="11.25" customHeight="1" x14ac:dyDescent="0.2">
      <c r="A7" s="94">
        <f>A6+1</f>
        <v>3</v>
      </c>
      <c r="B7" s="21" t="s">
        <v>20</v>
      </c>
      <c r="C7" s="101">
        <f t="shared" si="1"/>
        <v>15</v>
      </c>
      <c r="D7" s="99" t="str">
        <f t="shared" si="2"/>
        <v>EUR3x15F_Quote</v>
      </c>
      <c r="E7" s="99" t="str">
        <f>_xll.qlSimpleQuote(UPPER("B"&amp;$H$1&amp;"_"&amp;A7&amp;B7&amp;C7),,,Permanent,Trigger,ObjectOverwrite)</f>
        <v>B12M_3X15#0002</v>
      </c>
      <c r="F7" s="200" t="e">
        <f>_xll.qlSimpleQuoteSetValue(E7,K7,AllTriggers)</f>
        <v>#N/A</v>
      </c>
      <c r="G7" s="212">
        <f>_xll.qlCalendarAdvance("target",SettlementDate,A7&amp;"M","mf",,Trigger)</f>
        <v>42373</v>
      </c>
      <c r="H7" s="212">
        <f>_xll.qlInterestRateIndexMaturity(ON_12M_index,G7)</f>
        <v>42739</v>
      </c>
      <c r="I7" s="47">
        <f>_xll.qlQuoteValue(D7,AllTriggers)</f>
        <v>1.4199999999999998E-3</v>
      </c>
      <c r="J7" s="47">
        <f>_xll.qlIndexFixing(ON_12M_index,_xll.qlInterestRateIndexFixingDate(ON_6M_index,G7),,AllTriggers)</f>
        <v>-1.8509412400042964E-3</v>
      </c>
      <c r="K7" s="128">
        <f t="shared" si="0"/>
        <v>3.2709412400042963E-3</v>
      </c>
      <c r="L7" s="47">
        <f>_xll.qlTenorBasisValue($P$3,G7,Trigger)</f>
        <v>3.2850032612642519E-3</v>
      </c>
      <c r="M7" s="64">
        <f t="shared" si="3"/>
        <v>-0.14062021259955618</v>
      </c>
      <c r="N7" s="21"/>
      <c r="O7" s="192" t="s">
        <v>78</v>
      </c>
      <c r="P7" s="66">
        <v>5.902606921767107E-4</v>
      </c>
      <c r="Q7" s="20"/>
      <c r="R7" s="212">
        <f>_xll.qlCalendarAdvance(Calendar,R6,"1D","f")</f>
        <v>42285</v>
      </c>
      <c r="S7" s="47">
        <f>_xll.qlTenorBasisValue($P$3,R7,AllTriggers)</f>
        <v>3.1403605919290653E-3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2.8463374147208623E-3</v>
      </c>
    </row>
    <row r="8" spans="1:27" ht="11.25" customHeight="1" x14ac:dyDescent="0.2">
      <c r="A8" s="94">
        <f t="shared" ref="A8:A16" si="4">A7+1</f>
        <v>4</v>
      </c>
      <c r="B8" s="21" t="s">
        <v>20</v>
      </c>
      <c r="C8" s="101">
        <f t="shared" si="1"/>
        <v>16</v>
      </c>
      <c r="D8" s="99" t="str">
        <f t="shared" si="2"/>
        <v>EUR4x16F_Quote</v>
      </c>
      <c r="E8" s="99" t="str">
        <f>_xll.qlSimpleQuote(UPPER("B"&amp;$H$1&amp;"_"&amp;A8&amp;B8&amp;C8),,,Permanent,Trigger,ObjectOverwrite)</f>
        <v>B12M_4X16#0002</v>
      </c>
      <c r="F8" s="200" t="e">
        <f>_xll.qlSimpleQuoteSetValue(E8,K8,AllTriggers)</f>
        <v>#N/A</v>
      </c>
      <c r="G8" s="212">
        <f>_xll.qlCalendarAdvance("target",SettlementDate,A8&amp;"M","mf",,Trigger)</f>
        <v>42402</v>
      </c>
      <c r="H8" s="212">
        <f>_xll.qlInterestRateIndexMaturity(ON_12M_index,G8)</f>
        <v>42768</v>
      </c>
      <c r="I8" s="47">
        <f>_xll.qlQuoteValue(D8,AllTriggers)</f>
        <v>1.4599999999999999E-3</v>
      </c>
      <c r="J8" s="47">
        <f>_xll.qlIndexFixing(ON_12M_index,_xll.qlInterestRateIndexFixingDate(ON_6M_index,G8),,AllTriggers)</f>
        <v>-1.8733962313760839E-3</v>
      </c>
      <c r="K8" s="128">
        <f t="shared" si="0"/>
        <v>3.3333962313760838E-3</v>
      </c>
      <c r="L8" s="47">
        <f>_xll.qlTenorBasisValue($P$3,G8,Trigger)</f>
        <v>3.3332027800597372E-3</v>
      </c>
      <c r="M8" s="64">
        <f t="shared" si="3"/>
        <v>1.9345131634660243E-3</v>
      </c>
      <c r="N8" s="21"/>
      <c r="O8" s="192" t="s">
        <v>79</v>
      </c>
      <c r="P8" s="66">
        <v>4.5877401436660004E-5</v>
      </c>
      <c r="Q8" s="20"/>
      <c r="R8" s="212">
        <f>_xll.qlCalendarAdvance(Calendar,R7,"1D","f")</f>
        <v>42286</v>
      </c>
      <c r="S8" s="47">
        <f>_xll.qlTenorBasisValue($P$3,R8,AllTriggers)</f>
        <v>3.1419821145725322E-3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2.8477787735477142E-3</v>
      </c>
    </row>
    <row r="9" spans="1:27" ht="11.25" customHeight="1" x14ac:dyDescent="0.2">
      <c r="A9" s="94">
        <f t="shared" si="4"/>
        <v>5</v>
      </c>
      <c r="B9" s="21" t="s">
        <v>20</v>
      </c>
      <c r="C9" s="101">
        <f t="shared" si="1"/>
        <v>17</v>
      </c>
      <c r="D9" s="99" t="str">
        <f t="shared" si="2"/>
        <v>EUR5x17F_Quote</v>
      </c>
      <c r="E9" s="99" t="str">
        <f>_xll.qlSimpleQuote(UPPER("B"&amp;$H$1&amp;"_"&amp;A9&amp;B9&amp;C9),,,Permanent,Trigger,ObjectOverwrite)</f>
        <v>B12M_5X17#0002</v>
      </c>
      <c r="F9" s="200" t="e">
        <f>_xll.qlSimpleQuoteSetValue(E9,K9,AllTriggers)</f>
        <v>#N/A</v>
      </c>
      <c r="G9" s="212">
        <f>_xll.qlCalendarAdvance("target",SettlementDate,A9&amp;"M","mf",,Trigger)</f>
        <v>42431</v>
      </c>
      <c r="H9" s="212">
        <f>_xll.qlInterestRateIndexMaturity(ON_12M_index,G9)</f>
        <v>42796</v>
      </c>
      <c r="I9" s="47">
        <f>_xll.qlQuoteValue(D9,AllTriggers)</f>
        <v>1.49E-3</v>
      </c>
      <c r="J9" s="47">
        <f>_xll.qlIndexFixing(ON_12M_index,_xll.qlInterestRateIndexFixingDate(ON_6M_index,G9),,AllTriggers)</f>
        <v>-1.8870579215961489E-3</v>
      </c>
      <c r="K9" s="128">
        <f t="shared" si="0"/>
        <v>3.3770579215961489E-3</v>
      </c>
      <c r="L9" s="47">
        <f>_xll.qlTenorBasisValue($P$3,G9,Trigger)</f>
        <v>3.3814604446668322E-3</v>
      </c>
      <c r="M9" s="64">
        <f t="shared" si="3"/>
        <v>-4.4025230706832598E-2</v>
      </c>
      <c r="N9" s="21"/>
      <c r="O9" s="192" t="s">
        <v>80</v>
      </c>
      <c r="P9" s="66">
        <v>-4.0824494995085435E-5</v>
      </c>
      <c r="Q9" s="20"/>
      <c r="R9" s="212">
        <f>_xll.qlCalendarAdvance(Calendar,R8,"1D","f")</f>
        <v>42289</v>
      </c>
      <c r="S9" s="47">
        <f>_xll.qlTenorBasisValue($P$3,R9,AllTriggers)</f>
        <v>3.14685058311309E-3</v>
      </c>
      <c r="T9" s="41">
        <f>_xll.qlDayCounterYearFraction("actual/365 (fixed)",SettlementDate,R9,,,Trigger)</f>
        <v>2.7397260273972601E-2</v>
      </c>
      <c r="U9" s="47">
        <f>_xll.qlPolynomialFunctionValue($P$18,T9,AllTriggers)</f>
        <v>2.852112373678268E-3</v>
      </c>
    </row>
    <row r="10" spans="1:27" ht="11.25" customHeight="1" x14ac:dyDescent="0.2">
      <c r="A10" s="94">
        <f t="shared" si="4"/>
        <v>6</v>
      </c>
      <c r="B10" s="21" t="s">
        <v>20</v>
      </c>
      <c r="C10" s="101">
        <f t="shared" si="1"/>
        <v>18</v>
      </c>
      <c r="D10" s="99" t="str">
        <f t="shared" si="2"/>
        <v>EUR6x18F_Quote</v>
      </c>
      <c r="E10" s="99" t="str">
        <f>_xll.qlSimpleQuote(UPPER("B"&amp;$H$1&amp;"_"&amp;A10&amp;B10&amp;C10),,,Permanent,Trigger,ObjectOverwrite)</f>
        <v>B12M_6X18#0002</v>
      </c>
      <c r="F10" s="200" t="e">
        <f>_xll.qlSimpleQuoteSetValue(E10,K10,AllTriggers)</f>
        <v>#N/A</v>
      </c>
      <c r="G10" s="212">
        <f>_xll.qlCalendarAdvance("target",SettlementDate,A10&amp;"M","mf",,Trigger)</f>
        <v>42464</v>
      </c>
      <c r="H10" s="212">
        <f>_xll.qlInterestRateIndexMaturity(ON_12M_index,G10)</f>
        <v>42829</v>
      </c>
      <c r="I10" s="47">
        <f>_xll.qlQuoteValue(D10,AllTriggers)</f>
        <v>1.5499999999999999E-3</v>
      </c>
      <c r="J10" s="47">
        <f>_xll.qlIndexFixing(ON_12M_index,_xll.qlInterestRateIndexFixingDate(ON_6M_index,G10),,AllTriggers)</f>
        <v>-1.8921511343135894E-3</v>
      </c>
      <c r="K10" s="128">
        <f t="shared" si="0"/>
        <v>3.4421511343135894E-3</v>
      </c>
      <c r="L10" s="47">
        <f>_xll.qlTenorBasisValue($P$3,G10,Trigger)</f>
        <v>3.4362887570707035E-3</v>
      </c>
      <c r="M10" s="64">
        <f t="shared" si="3"/>
        <v>5.8623772428859425E-2</v>
      </c>
      <c r="N10" s="21"/>
      <c r="O10" s="192" t="s">
        <v>81</v>
      </c>
      <c r="P10" s="66" t="e">
        <v>#N/A</v>
      </c>
      <c r="Q10" s="20"/>
      <c r="R10" s="212">
        <f>_xll.qlCalendarAdvance(Calendar,R9,"1D","f")</f>
        <v>42290</v>
      </c>
      <c r="S10" s="47">
        <f>_xll.qlTenorBasisValue($P$3,R10,AllTriggers)</f>
        <v>3.1484746893724958E-3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2.8535600648142874E-3</v>
      </c>
    </row>
    <row r="11" spans="1:27" ht="11.25" customHeight="1" x14ac:dyDescent="0.2">
      <c r="A11" s="94">
        <f t="shared" si="4"/>
        <v>7</v>
      </c>
      <c r="B11" s="21" t="s">
        <v>20</v>
      </c>
      <c r="C11" s="101">
        <f t="shared" si="1"/>
        <v>19</v>
      </c>
      <c r="D11" s="99" t="str">
        <f t="shared" si="2"/>
        <v>EUR7x19F_Quote</v>
      </c>
      <c r="E11" s="99" t="str">
        <f>_xll.qlSimpleQuote(UPPER("B"&amp;$H$1&amp;"_"&amp;A11&amp;B11&amp;C11),,,Permanent,Trigger,ObjectOverwrite)</f>
        <v>B12M_7X19#0002</v>
      </c>
      <c r="F11" s="200" t="e">
        <f>_xll.qlSimpleQuoteSetValue(E11,K11,AllTriggers)</f>
        <v>#N/A</v>
      </c>
      <c r="G11" s="212">
        <f>_xll.qlCalendarAdvance("target",SettlementDate,A11&amp;"M","mf",,Trigger)</f>
        <v>42492</v>
      </c>
      <c r="H11" s="212">
        <f>_xll.qlInterestRateIndexMaturity(ON_12M_index,G11)</f>
        <v>42857</v>
      </c>
      <c r="I11" s="47">
        <f>_xll.qlQuoteValue(D11,AllTriggers)</f>
        <v>1.6099999999999997E-3</v>
      </c>
      <c r="J11" s="47">
        <f>_xll.qlIndexFixing(ON_12M_index,_xll.qlInterestRateIndexFixingDate(ON_6M_index,G11),,AllTriggers)</f>
        <v>-1.8872827749870692E-3</v>
      </c>
      <c r="K11" s="128">
        <f t="shared" si="0"/>
        <v>3.4972827749870689E-3</v>
      </c>
      <c r="L11" s="47">
        <f>_xll.qlTenorBasisValue($P$3,G11,Trigger)</f>
        <v>3.4826092514198288E-3</v>
      </c>
      <c r="M11" s="64">
        <f t="shared" si="3"/>
        <v>0.14673523567240113</v>
      </c>
      <c r="N11" s="21"/>
      <c r="Q11" s="20"/>
      <c r="R11" s="212">
        <f>_xll.qlCalendarAdvance(Calendar,R10,"1D","f")</f>
        <v>42291</v>
      </c>
      <c r="S11" s="47">
        <f>_xll.qlTenorBasisValue($P$3,R11,AllTriggers)</f>
        <v>3.1500994289427619E-3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2.8550093264344749E-3</v>
      </c>
    </row>
    <row r="12" spans="1:27" ht="11.25" customHeight="1" x14ac:dyDescent="0.2">
      <c r="A12" s="94">
        <f t="shared" si="4"/>
        <v>8</v>
      </c>
      <c r="B12" s="21" t="s">
        <v>20</v>
      </c>
      <c r="C12" s="101">
        <f t="shared" si="1"/>
        <v>20</v>
      </c>
      <c r="D12" s="99" t="str">
        <f t="shared" si="2"/>
        <v>EUR8x20F_Quote</v>
      </c>
      <c r="E12" s="99" t="str">
        <f>_xll.qlSimpleQuote(UPPER("B"&amp;$H$1&amp;"_"&amp;A12&amp;B12&amp;C12),,,Permanent,Trigger,ObjectOverwrite)</f>
        <v>B12M_8X20#0002</v>
      </c>
      <c r="F12" s="200" t="e">
        <f>_xll.qlSimpleQuoteSetValue(E12,K12,AllTriggers)</f>
        <v>#N/A</v>
      </c>
      <c r="G12" s="212">
        <f>_xll.qlCalendarAdvance("target",SettlementDate,A12&amp;"M","mf",,Trigger)</f>
        <v>42523</v>
      </c>
      <c r="H12" s="212">
        <f>_xll.qlInterestRateIndexMaturity(ON_12M_index,G12)</f>
        <v>42888</v>
      </c>
      <c r="I12" s="47">
        <f>_xll.qlQuoteValue(D12,AllTriggers)</f>
        <v>1.6699999999999998E-3</v>
      </c>
      <c r="J12" s="47">
        <f>_xll.qlIndexFixing(ON_12M_index,_xll.qlInterestRateIndexFixingDate(ON_6M_index,G12),,AllTriggers)</f>
        <v>-1.8708774204147221E-3</v>
      </c>
      <c r="K12" s="128">
        <f t="shared" si="0"/>
        <v>3.5408774204147217E-3</v>
      </c>
      <c r="L12" s="47">
        <f>_xll.qlTenorBasisValue($P$3,G12,Trigger)</f>
        <v>3.5335366859983023E-3</v>
      </c>
      <c r="M12" s="64">
        <f t="shared" si="3"/>
        <v>7.3407344164193838E-2</v>
      </c>
      <c r="N12" s="21"/>
      <c r="O12" s="119" t="s">
        <v>95</v>
      </c>
      <c r="P12" s="120"/>
      <c r="Q12" s="20"/>
      <c r="R12" s="212">
        <f>_xll.qlCalendarAdvance(Calendar,R11,"1D","f")</f>
        <v>42292</v>
      </c>
      <c r="S12" s="47">
        <f>_xll.qlTenorBasisValue($P$3,R12,AllTriggers)</f>
        <v>3.1517247967866391E-3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2.8564601535015794E-3</v>
      </c>
    </row>
    <row r="13" spans="1:27" ht="11.25" customHeight="1" x14ac:dyDescent="0.2">
      <c r="A13" s="94">
        <f t="shared" si="4"/>
        <v>9</v>
      </c>
      <c r="B13" s="21" t="s">
        <v>20</v>
      </c>
      <c r="C13" s="101">
        <f t="shared" si="1"/>
        <v>21</v>
      </c>
      <c r="D13" s="99" t="str">
        <f t="shared" si="2"/>
        <v>EUR9x21F_Quote</v>
      </c>
      <c r="E13" s="99" t="str">
        <f>_xll.qlSimpleQuote(UPPER("B"&amp;$H$1&amp;"_"&amp;A13&amp;B13&amp;C13),,,Permanent,Trigger,ObjectOverwrite)</f>
        <v>B12M_9X21#0002</v>
      </c>
      <c r="F13" s="200" t="e">
        <f>_xll.qlSimpleQuoteSetValue(E13,K13,AllTriggers)</f>
        <v>#N/A</v>
      </c>
      <c r="G13" s="212">
        <f>_xll.qlCalendarAdvance("target",SettlementDate,A13&amp;"M","mf",,Trigger)</f>
        <v>42555</v>
      </c>
      <c r="H13" s="212">
        <f>_xll.qlInterestRateIndexMaturity(ON_12M_index,G13)</f>
        <v>42920</v>
      </c>
      <c r="I13" s="47">
        <f>_xll.qlQuoteValue(D13,AllTriggers)</f>
        <v>1.7499999999999998E-3</v>
      </c>
      <c r="J13" s="47">
        <f>_xll.qlIndexFixing(ON_12M_index,_xll.qlInterestRateIndexFixingDate(ON_6M_index,G13),,AllTriggers)</f>
        <v>-1.8412961242530849E-3</v>
      </c>
      <c r="K13" s="128">
        <f t="shared" si="0"/>
        <v>3.5912961242530847E-3</v>
      </c>
      <c r="L13" s="47">
        <f>_xll.qlTenorBasisValue($P$3,G13,Trigger)</f>
        <v>3.5855605572691278E-3</v>
      </c>
      <c r="M13" s="64">
        <f t="shared" si="3"/>
        <v>5.7355669839569481E-2</v>
      </c>
      <c r="N13" s="21"/>
      <c r="O13" s="192" t="s">
        <v>77</v>
      </c>
      <c r="P13" s="66">
        <f t="array" ref="P13:P17">_xll.qlTenorInstCoefficients(P3)</f>
        <v>2.837722947142234E-3</v>
      </c>
      <c r="Q13" s="20"/>
      <c r="R13" s="212">
        <f>_xll.qlCalendarAdvance(Calendar,R12,"1D","f")</f>
        <v>42293</v>
      </c>
      <c r="S13" s="47">
        <f>_xll.qlTenorBasisValue($P$3,R13,AllTriggers)</f>
        <v>3.1533507878668773E-3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2.857912540978353E-3</v>
      </c>
    </row>
    <row r="14" spans="1:27" ht="11.25" customHeight="1" thickBot="1" x14ac:dyDescent="0.25">
      <c r="A14" s="94">
        <f t="shared" si="4"/>
        <v>10</v>
      </c>
      <c r="B14" s="21" t="s">
        <v>20</v>
      </c>
      <c r="C14" s="101">
        <f t="shared" si="1"/>
        <v>22</v>
      </c>
      <c r="D14" s="99" t="str">
        <f t="shared" si="2"/>
        <v>EUR10x22F_Quote</v>
      </c>
      <c r="E14" s="99" t="str">
        <f>_xll.qlSimpleQuote(UPPER("B"&amp;$H$1&amp;"_"&amp;A14&amp;B14&amp;C14),,,Permanent,Trigger,ObjectOverwrite)</f>
        <v>B12M_10X22#0002</v>
      </c>
      <c r="F14" s="200" t="e">
        <f>_xll.qlSimpleQuoteSetValue(E14,K14,AllTriggers)</f>
        <v>#N/A</v>
      </c>
      <c r="G14" s="212">
        <f>_xll.qlCalendarAdvance("target",SettlementDate,A14&amp;"M","mf",,Trigger)</f>
        <v>42584</v>
      </c>
      <c r="H14" s="212">
        <f>_xll.qlInterestRateIndexMaturity(ON_12M_index,G14)</f>
        <v>42949</v>
      </c>
      <c r="I14" s="47">
        <f>_xll.qlQuoteValue(D14,AllTriggers)</f>
        <v>1.83E-3</v>
      </c>
      <c r="J14" s="47">
        <f>_xll.qlIndexFixing(ON_12M_index,_xll.qlInterestRateIndexFixingDate(ON_6M_index,G14),,AllTriggers)</f>
        <v>-1.8044502704281898E-3</v>
      </c>
      <c r="K14" s="128">
        <f t="shared" si="0"/>
        <v>3.6344502704281898E-3</v>
      </c>
      <c r="L14" s="47">
        <f>_xll.qlTenorBasisValue($P$3,G14,Trigger)</f>
        <v>3.6320911159655796E-3</v>
      </c>
      <c r="M14" s="64">
        <f t="shared" si="3"/>
        <v>2.3591544626101919E-2</v>
      </c>
      <c r="N14" s="21"/>
      <c r="O14" s="192" t="s">
        <v>78</v>
      </c>
      <c r="P14" s="66">
        <v>5.2227745544053752E-4</v>
      </c>
      <c r="Q14" s="20"/>
      <c r="R14" s="212">
        <f>_xll.qlCalendarAdvance(Calendar,R13,"1D","f")</f>
        <v>42296</v>
      </c>
      <c r="S14" s="47">
        <f>_xll.qlTenorBasisValue($P$3,R14,AllTriggers)</f>
        <v>3.1582324501532632E-3</v>
      </c>
      <c r="T14" s="41">
        <f>_xll.qlDayCounterYearFraction("actual/365 (fixed)",SettlementDate,R14,,,Trigger)</f>
        <v>4.6575342465753428E-2</v>
      </c>
      <c r="U14" s="47">
        <f>_xll.qlPolynomialFunctionValue($P$18,T14,AllTriggers)</f>
        <v>2.8622790154941881E-3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A15" s="94">
        <f t="shared" si="4"/>
        <v>11</v>
      </c>
      <c r="B15" s="21" t="s">
        <v>20</v>
      </c>
      <c r="C15" s="101">
        <f t="shared" si="1"/>
        <v>23</v>
      </c>
      <c r="D15" s="99" t="str">
        <f t="shared" si="2"/>
        <v>EUR11x23F_Quote</v>
      </c>
      <c r="E15" s="99" t="str">
        <f>_xll.qlSimpleQuote(UPPER("B"&amp;$H$1&amp;"_"&amp;A15&amp;B15&amp;C15),,,Permanent,Trigger,ObjectOverwrite)</f>
        <v>B12M_11X23#0002</v>
      </c>
      <c r="F15" s="200" t="e">
        <f>_xll.qlSimpleQuoteSetValue(E15,K15,AllTriggers)</f>
        <v>#N/A</v>
      </c>
      <c r="G15" s="212">
        <f>_xll.qlCalendarAdvance("target",SettlementDate,A15&amp;"M","mf",,Trigger)</f>
        <v>42615</v>
      </c>
      <c r="H15" s="212">
        <f>_xll.qlInterestRateIndexMaturity(ON_12M_index,G15)</f>
        <v>42982</v>
      </c>
      <c r="I15" s="47">
        <f>_xll.qlQuoteValue(D15,AllTriggers)</f>
        <v>1.92E-3</v>
      </c>
      <c r="J15" s="47">
        <f>_xll.qlIndexFixing(ON_12M_index,_xll.qlInterestRateIndexFixingDate(ON_6M_index,G15),,AllTriggers)</f>
        <v>-1.7520079493725251E-3</v>
      </c>
      <c r="K15" s="128">
        <f t="shared" si="0"/>
        <v>3.6720079493725252E-3</v>
      </c>
      <c r="L15" s="47">
        <f>_xll.qlTenorBasisValue($P$3,G15,Trigger)</f>
        <v>3.6810392499073484E-3</v>
      </c>
      <c r="M15" s="64">
        <f t="shared" si="3"/>
        <v>-9.0313005348232125E-2</v>
      </c>
      <c r="N15" s="21"/>
      <c r="O15" s="192" t="s">
        <v>79</v>
      </c>
      <c r="P15" s="66">
        <v>1.0830485836664481E-4</v>
      </c>
      <c r="Q15" s="20"/>
      <c r="R15" s="212">
        <f>_xll.qlCalendarAdvance(Calendar,R14,"1D","f")</f>
        <v>42297</v>
      </c>
      <c r="S15" s="47">
        <f>_xll.qlTenorBasisValue($P$3,R15,AllTriggers)</f>
        <v>3.159860883806449E-3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2.8637375942371385E-3</v>
      </c>
      <c r="W15" s="45">
        <v>0</v>
      </c>
      <c r="X15" s="45" t="s">
        <v>25</v>
      </c>
      <c r="Y15" s="175">
        <f>_xll.qlCalendarAdvance(Calendar,SettlementDate,W15&amp;"M","mf",TRUE,Trigger)</f>
        <v>42279</v>
      </c>
      <c r="Z15" s="245">
        <f>_xll.qlCalendarAdvance(Calendar,SettlementDate,X15,"Following",,Trigger)</f>
        <v>42282</v>
      </c>
      <c r="AA15" s="205">
        <f>_xll.qlTenorBasisForwardRate2(TenorBasis6M,Y15,Z15,AllTriggers)</f>
        <v>1.44104140020751E-3</v>
      </c>
    </row>
    <row r="16" spans="1:27" ht="11.25" customHeight="1" x14ac:dyDescent="0.2">
      <c r="A16" s="95">
        <f t="shared" si="4"/>
        <v>12</v>
      </c>
      <c r="B16" s="96" t="s">
        <v>20</v>
      </c>
      <c r="C16" s="103">
        <f t="shared" si="1"/>
        <v>24</v>
      </c>
      <c r="D16" s="100" t="str">
        <f t="shared" si="2"/>
        <v>EUR12x24F_Quote</v>
      </c>
      <c r="E16" s="100" t="str">
        <f>_xll.qlSimpleQuote(UPPER("B"&amp;$H$1&amp;"_"&amp;A16&amp;B16&amp;C16),,,Permanent,Trigger,ObjectOverwrite)</f>
        <v>B12M_12X24#0002</v>
      </c>
      <c r="F16" s="201" t="e">
        <f>_xll.qlSimpleQuoteSetValue(E16,K16,AllTriggers)</f>
        <v>#N/A</v>
      </c>
      <c r="G16" s="213">
        <f>_xll.qlCalendarAdvance("target",SettlementDate,A16&amp;"M","mf",,Trigger)</f>
        <v>42646</v>
      </c>
      <c r="H16" s="213">
        <f>_xll.qlInterestRateIndexMaturity(ON_12M_index,G16)</f>
        <v>43011</v>
      </c>
      <c r="I16" s="50">
        <f>_xll.qlQuoteValue(D16,AllTriggers)</f>
        <v>2.0299999999999997E-3</v>
      </c>
      <c r="J16" s="50">
        <f>_xll.qlIndexFixing(ON_12M_index,_xll.qlInterestRateIndexFixingDate(ON_6M_index,G16),,AllTriggers)</f>
        <v>-1.6912001724411672E-3</v>
      </c>
      <c r="K16" s="115">
        <f t="shared" si="0"/>
        <v>3.7212001724411668E-3</v>
      </c>
      <c r="L16" s="50">
        <f>_xll.qlTenorBasisValue($P$3,G16,Trigger)</f>
        <v>3.7290227365789821E-3</v>
      </c>
      <c r="M16" s="65">
        <f t="shared" si="3"/>
        <v>-7.8225641378152327E-2</v>
      </c>
      <c r="N16" s="21"/>
      <c r="O16" s="192" t="s">
        <v>80</v>
      </c>
      <c r="P16" s="66">
        <v>-4.0824494995085435E-5</v>
      </c>
      <c r="Q16" s="20"/>
      <c r="R16" s="212">
        <f>_xll.qlCalendarAdvance(Calendar,R15,"1D","f")</f>
        <v>42298</v>
      </c>
      <c r="S16" s="47">
        <f>_xll.qlTenorBasisValue($P$3,R16,AllTriggers)</f>
        <v>3.1614899155097483E-3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2.8651977082035087E-3</v>
      </c>
      <c r="W16" s="48">
        <v>0</v>
      </c>
      <c r="X16" s="48" t="s">
        <v>26</v>
      </c>
      <c r="Y16" s="177">
        <f>_xll.qlCalendarAdvance(Calendar,SettlementDate,W16&amp;"M","mf",TRUE,Trigger)</f>
        <v>42279</v>
      </c>
      <c r="Z16" s="246">
        <f>_xll.qlCalendarAdvance(Calendar,SettlementDate,X16,"Following",,Trigger)</f>
        <v>42286</v>
      </c>
      <c r="AA16" s="206">
        <f>_xll.qlTenorBasisForwardRate2(TenorBasis6M,Y16,Z16,AllTriggers)</f>
        <v>1.3738010579990498E-3</v>
      </c>
    </row>
    <row r="17" spans="1:27" ht="11.25" customHeight="1" x14ac:dyDescent="0.2">
      <c r="A17" s="94">
        <v>24</v>
      </c>
      <c r="B17" s="21" t="s">
        <v>20</v>
      </c>
      <c r="C17" s="101">
        <f t="shared" si="1"/>
        <v>36</v>
      </c>
      <c r="D17" s="280" t="str">
        <f t="shared" si="2"/>
        <v>EUR24x36F_Quote</v>
      </c>
      <c r="E17" s="100" t="str">
        <f>_xll.qlSimpleQuote(UPPER("B"&amp;$H$1&amp;"_"&amp;A17&amp;B17&amp;C17),,,Permanent,Trigger,ObjectOverwrite)</f>
        <v>B12M_24X36#0002</v>
      </c>
      <c r="F17" s="201" t="e">
        <f>_xll.qlSimpleQuoteSetValue(E17,K17,AllTriggers)</f>
        <v>#N/A</v>
      </c>
      <c r="G17" s="213">
        <f>_xll.qlCalendarAdvance("target",SettlementDate,A17&amp;"M","mf",,Trigger)</f>
        <v>43010</v>
      </c>
      <c r="H17" s="213">
        <f>_xll.qlInterestRateIndexMaturity(ON_12M_index,G17)</f>
        <v>43375</v>
      </c>
      <c r="I17" s="50">
        <f>_xll.qlQuoteValue(D17,AllTriggers)</f>
        <v>4.0500000000000006E-3</v>
      </c>
      <c r="J17" s="50">
        <f>_xll.qlIndexFixing(ON_12M_index,_xll.qlInterestRateIndexFixingDate(ON_6M_index,G17),,AllTriggers)</f>
        <v>-1.1958857511364088E-4</v>
      </c>
      <c r="K17" s="115">
        <f t="shared" si="0"/>
        <v>4.1695885751136417E-3</v>
      </c>
      <c r="L17" s="50">
        <f>_xll.qlTenorBasisValue($P$3,G17,Trigger)</f>
        <v>4.1688567393218237E-3</v>
      </c>
      <c r="M17" s="65">
        <f t="shared" si="3"/>
        <v>7.3183579181804181E-3</v>
      </c>
      <c r="N17" s="21"/>
      <c r="O17" s="192" t="s">
        <v>81</v>
      </c>
      <c r="P17" s="66" t="e">
        <v>#N/A</v>
      </c>
      <c r="Q17" s="20"/>
      <c r="R17" s="212">
        <f>_xll.qlCalendarAdvance(Calendar,R16,"1D","f")</f>
        <v>42299</v>
      </c>
      <c r="S17" s="47">
        <f>_xll.qlTenorBasisValue($P$3,R17,AllTriggers)</f>
        <v>3.1631195402259103E-3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2.8666593523560503E-3</v>
      </c>
      <c r="W17" s="48">
        <v>0</v>
      </c>
      <c r="X17" s="48" t="s">
        <v>27</v>
      </c>
      <c r="Y17" s="177">
        <f>_xll.qlCalendarAdvance(Calendar,SettlementDate,W17&amp;"M","mf",TRUE,Trigger)</f>
        <v>42279</v>
      </c>
      <c r="Z17" s="246">
        <f>_xll.qlCalendarAdvance(Calendar,SettlementDate,X17,"Following",,Trigger)</f>
        <v>42293</v>
      </c>
      <c r="AA17" s="206">
        <f>_xll.qlTenorBasisForwardRate2(TenorBasis6M,Y17,Z17,AllTriggers)</f>
        <v>1.3787781166271376E-3</v>
      </c>
    </row>
    <row r="18" spans="1:27" ht="11.25" customHeight="1" x14ac:dyDescent="0.2">
      <c r="G18" s="60"/>
      <c r="H18" s="60"/>
      <c r="I18" s="35"/>
      <c r="J18" s="35"/>
      <c r="K18" s="35"/>
      <c r="L18" s="21"/>
      <c r="M18" s="21"/>
      <c r="N18" s="21"/>
      <c r="O18" s="192" t="s">
        <v>99</v>
      </c>
      <c r="P18" s="66" t="str">
        <f>_xll.qlPolynomialFunction(,_xll.ohPack(P13:P17),,Trigger)</f>
        <v>obj_005a7#0004</v>
      </c>
      <c r="Q18" s="20"/>
      <c r="R18" s="212">
        <f>_xll.qlCalendarAdvance(Calendar,R17,"1D","f")</f>
        <v>42300</v>
      </c>
      <c r="S18" s="47">
        <f>_xll.qlTenorBasisValue($P$3,R18,AllTriggers)</f>
        <v>3.1647497529176858E-3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2.8681225216575118E-3</v>
      </c>
      <c r="W18" s="48">
        <v>0</v>
      </c>
      <c r="X18" s="48" t="s">
        <v>28</v>
      </c>
      <c r="Y18" s="177">
        <f>_xll.qlCalendarAdvance(Calendar,SettlementDate,W18&amp;"M","mf",TRUE,Trigger)</f>
        <v>42279</v>
      </c>
      <c r="Z18" s="281">
        <f>_xll.qlCalendarAdvance(Calendar,SettlementDate,X18,"Following",,Trigger)</f>
        <v>42300</v>
      </c>
      <c r="AA18" s="282">
        <f>_xll.qlTenorBasisForwardRate2(TenorBasis6M,Y18,Z18,AllTriggers)</f>
        <v>1.3837807854663201E-3</v>
      </c>
    </row>
    <row r="19" spans="1:27" ht="11.25" customHeight="1" x14ac:dyDescent="0.2">
      <c r="G19" s="60"/>
      <c r="H19" s="60"/>
      <c r="I19" s="35"/>
      <c r="J19" s="35"/>
      <c r="K19" s="35"/>
      <c r="L19" s="21"/>
      <c r="M19" s="21"/>
      <c r="N19" s="21"/>
      <c r="Q19" s="20"/>
      <c r="R19" s="212">
        <f>_xll.qlCalendarAdvance(Calendar,R18,"1D","f")</f>
        <v>42303</v>
      </c>
      <c r="S19" s="47">
        <f>_xll.qlTenorBasisValue($P$3,R19,AllTriggers)</f>
        <v>3.169643868474196E-3</v>
      </c>
      <c r="T19" s="41">
        <f>_xll.qlDayCounterYearFraction("actual/365 (fixed)",SettlementDate,R19,,,Trigger)</f>
        <v>6.575342465753424E-2</v>
      </c>
      <c r="U19" s="47">
        <f>_xll.qlPolynomialFunctionValue($P$18,T19,AllTriggers)</f>
        <v>2.8725211300829234E-3</v>
      </c>
      <c r="W19" s="129">
        <v>0</v>
      </c>
      <c r="X19" s="129" t="s">
        <v>22</v>
      </c>
      <c r="Y19" s="179">
        <f>_xll.qlCalendarAdvance(Calendar,SettlementDate,W19&amp;"M","mf",TRUE,Trigger)</f>
        <v>42279</v>
      </c>
      <c r="Z19" s="283">
        <f>_xll.qlCalendarAdvance(Calendar,SettlementDate,X19,"mf",TRUE,Trigger)</f>
        <v>42310</v>
      </c>
      <c r="AA19" s="207">
        <f>_xll.qlTenorBasisForwardRate2(TenorBasis6M,Y19,Z19,AllTriggers)</f>
        <v>1.4209783288509834E-3</v>
      </c>
    </row>
    <row r="20" spans="1:27" ht="11.25" customHeight="1" x14ac:dyDescent="0.2">
      <c r="G20" s="60"/>
      <c r="H20" s="60"/>
      <c r="I20" s="35"/>
      <c r="J20" s="35"/>
      <c r="K20" s="35"/>
      <c r="L20" s="21"/>
      <c r="M20" s="21"/>
      <c r="N20" s="21"/>
      <c r="Q20" s="20"/>
      <c r="R20" s="212">
        <f>_xll.qlCalendarAdvance(Calendar,R19,"1D","f")</f>
        <v>42304</v>
      </c>
      <c r="S20" s="47">
        <f>_xll.qlTenorBasisValue($P$3,R20,AllTriggers)</f>
        <v>3.1712763826959281E-3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2.8739903496075706E-3</v>
      </c>
      <c r="W20" s="48">
        <v>0</v>
      </c>
      <c r="X20" s="48" t="s">
        <v>29</v>
      </c>
      <c r="Y20" s="177">
        <f>_xll.qlCalendarAdvance(Calendar,SettlementDate,W20&amp;"M","mf",TRUE,Trigger)</f>
        <v>42279</v>
      </c>
      <c r="Z20" s="246">
        <f>_xll.qlCalendarAdvance(Calendar,SettlementDate,X20,"mf",TRUE,Trigger)</f>
        <v>42340</v>
      </c>
      <c r="AA20" s="206">
        <f>_xll.qlTenorBasisForwardRate2(TenorBasis6M,Y20,Z20,AllTriggers)</f>
        <v>1.4105117758327272E-3</v>
      </c>
    </row>
    <row r="21" spans="1:27" ht="11.25" customHeight="1" x14ac:dyDescent="0.2">
      <c r="G21" s="60"/>
      <c r="H21" s="60"/>
      <c r="I21" s="35"/>
      <c r="J21" s="35"/>
      <c r="K21" s="35"/>
      <c r="L21" s="21"/>
      <c r="M21" s="21"/>
      <c r="N21" s="21"/>
      <c r="Q21" s="20"/>
      <c r="R21" s="212">
        <f>_xll.qlCalendarAdvance(Calendar,R20,"1D","f")</f>
        <v>42305</v>
      </c>
      <c r="S21" s="47">
        <f>_xll.qlTenorBasisValue($P$3,R21,AllTriggers)</f>
        <v>3.1729094597070257E-3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2.8754610690948906E-3</v>
      </c>
      <c r="W21" s="48">
        <v>0</v>
      </c>
      <c r="X21" s="48" t="s">
        <v>23</v>
      </c>
      <c r="Y21" s="177">
        <f>_xll.qlCalendarAdvance(Calendar,SettlementDate,W21&amp;"M","mf",TRUE,Trigger)</f>
        <v>42279</v>
      </c>
      <c r="Z21" s="246">
        <f>_xll.qlCalendarAdvance(Calendar,SettlementDate,X21,"mf",TRUE,Trigger)</f>
        <v>42373</v>
      </c>
      <c r="AA21" s="206">
        <f>_xll.qlTenorBasisForwardRate2(TenorBasis6M,Y21,Z21,AllTriggers)</f>
        <v>1.4187147949629164E-3</v>
      </c>
    </row>
    <row r="22" spans="1:27" ht="11.25" customHeight="1" x14ac:dyDescent="0.2">
      <c r="G22" s="60"/>
      <c r="H22" s="60"/>
      <c r="I22" s="35"/>
      <c r="J22" s="35"/>
      <c r="K22" s="35"/>
      <c r="L22" s="21"/>
      <c r="M22" s="21"/>
      <c r="N22" s="21"/>
      <c r="Q22" s="20"/>
      <c r="R22" s="212">
        <f>_xll.qlCalendarAdvance(Calendar,R21,"1D","f")</f>
        <v>42306</v>
      </c>
      <c r="S22" s="47">
        <f>_xll.qlTenorBasisValue($P$3,R22,AllTriggers)</f>
        <v>3.1745430944702373E-3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2.8769332835076322E-3</v>
      </c>
      <c r="W22" s="48">
        <v>0</v>
      </c>
      <c r="X22" s="48" t="s">
        <v>30</v>
      </c>
      <c r="Y22" s="177">
        <f>_xll.qlCalendarAdvance(Calendar,SettlementDate,W22&amp;"M","mf",TRUE,Trigger)</f>
        <v>42279</v>
      </c>
      <c r="Z22" s="246">
        <f>_xll.qlCalendarAdvance(Calendar,SettlementDate,X22,"mf",TRUE,Trigger)</f>
        <v>42402</v>
      </c>
      <c r="AA22" s="206">
        <f>_xll.qlTenorBasisForwardRate2(TenorBasis6M,Y22,Z22,AllTriggers)</f>
        <v>1.403636717060902E-3</v>
      </c>
    </row>
    <row r="23" spans="1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42307</v>
      </c>
      <c r="S23" s="47">
        <f>_xll.qlTenorBasisValue($P$3,R23,AllTriggers)</f>
        <v>3.1761772819483159E-3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2.8784069878085472E-3</v>
      </c>
      <c r="W23" s="48">
        <v>0</v>
      </c>
      <c r="X23" s="48" t="s">
        <v>31</v>
      </c>
      <c r="Y23" s="177">
        <f>_xll.qlCalendarAdvance(Calendar,SettlementDate,W23&amp;"M","mf",TRUE,Trigger)</f>
        <v>42279</v>
      </c>
      <c r="Z23" s="246">
        <f>_xll.qlCalendarAdvance(Calendar,SettlementDate,X23,"mf",TRUE,Trigger)</f>
        <v>42431</v>
      </c>
      <c r="AA23" s="206">
        <f>_xll.qlTenorBasisForwardRate2(TenorBasis6M,Y23,Z23,AllTriggers)</f>
        <v>1.3902229076634409E-3</v>
      </c>
    </row>
    <row r="24" spans="1:27" ht="11.25" customHeight="1" x14ac:dyDescent="0.2">
      <c r="G24" s="60"/>
      <c r="H24" s="60"/>
      <c r="I24" s="35"/>
      <c r="J24" s="35"/>
      <c r="K24" s="35"/>
      <c r="Q24" s="20"/>
      <c r="R24" s="212">
        <f>_xll.qlCalendarAdvance(Calendar,R23,"1D","f")</f>
        <v>42310</v>
      </c>
      <c r="S24" s="47">
        <f>_xll.qlTenorBasisValue($P$3,R24,AllTriggers)</f>
        <v>3.1810831102992471E-3</v>
      </c>
      <c r="T24" s="41">
        <f>_xll.qlDayCounterYearFraction("actual/365 (fixed)",SettlementDate,R24,,,Trigger)</f>
        <v>8.4931506849315067E-2</v>
      </c>
      <c r="U24" s="47">
        <f>_xll.qlPolynomialFunctionValue($P$18,T24,AllTriggers)</f>
        <v>2.8828369896678331E-3</v>
      </c>
      <c r="W24" s="48">
        <v>0</v>
      </c>
      <c r="X24" s="48" t="s">
        <v>24</v>
      </c>
      <c r="Y24" s="177">
        <f>_xll.qlCalendarAdvance(Calendar,SettlementDate,W24&amp;"M","mf",TRUE,Trigger)</f>
        <v>42279</v>
      </c>
      <c r="Z24" s="246">
        <f>_xll.qlCalendarAdvance(Calendar,SettlementDate,X24,"mf",TRUE,Trigger)</f>
        <v>42464</v>
      </c>
      <c r="AA24" s="206">
        <f>_xll.qlTenorBasisForwardRate2(TenorBasis6M,Y24,Z24,AllTriggers)</f>
        <v>1.3789643258366722E-3</v>
      </c>
    </row>
    <row r="25" spans="1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42311</v>
      </c>
      <c r="S25" s="47">
        <f>_xll.qlTenorBasisValue($P$3,R25,AllTriggers)</f>
        <v>3.1827194582642908E-3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2.8843166031489423E-3</v>
      </c>
      <c r="W25" s="48">
        <v>0</v>
      </c>
      <c r="X25" s="48" t="s">
        <v>32</v>
      </c>
      <c r="Y25" s="177">
        <f>_xll.qlCalendarAdvance(Calendar,SettlementDate,W25&amp;"M","mf",TRUE,Trigger)</f>
        <v>42279</v>
      </c>
      <c r="Z25" s="251">
        <f>_xll.qlCalendarAdvance(Calendar,SettlementDate,X25,"mf",TRUE,Trigger)</f>
        <v>42492</v>
      </c>
      <c r="AA25" s="206">
        <f>_xll.qlTenorBasisTenorForwardRate(TenorBasis6M,Y25,AllTriggers)</f>
        <v>1.4034028750813108E-3</v>
      </c>
    </row>
    <row r="26" spans="1:27" ht="11.25" customHeight="1" x14ac:dyDescent="0.2">
      <c r="R26" s="212">
        <f>_xll.qlCalendarAdvance(Calendar,R25,"1D","f")</f>
        <v>42312</v>
      </c>
      <c r="S26" s="47">
        <f>_xll.qlTenorBasisValue($P$3,R26,AllTriggers)</f>
        <v>3.184356333757952E-3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2.8857976813319768E-3</v>
      </c>
      <c r="W26" s="48">
        <v>0</v>
      </c>
      <c r="X26" s="48" t="s">
        <v>33</v>
      </c>
      <c r="Y26" s="177">
        <f>_xll.qlCalendarAdvance(Calendar,SettlementDate,W26&amp;"M","mf",TRUE,Trigger)</f>
        <v>42279</v>
      </c>
      <c r="Z26" s="251">
        <f>_xll.qlCalendarAdvance(Calendar,SettlementDate,X26,"mf",TRUE,Trigger)</f>
        <v>42523</v>
      </c>
      <c r="AA26" s="206">
        <f>_xll.qlTenorBasisTenorForwardRate(TenorBasis6M,Y26,AllTriggers)</f>
        <v>1.4034028750813108E-3</v>
      </c>
    </row>
    <row r="27" spans="1:27" ht="11.25" customHeight="1" x14ac:dyDescent="0.2">
      <c r="R27" s="212">
        <f>_xll.qlCalendarAdvance(Calendar,R26,"1D","f")</f>
        <v>42313</v>
      </c>
      <c r="S27" s="47">
        <f>_xll.qlTenorBasisValue($P$3,R27,AllTriggers)</f>
        <v>3.1859937317429803E-3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2.887280219179686E-3</v>
      </c>
      <c r="W27" s="48">
        <v>0</v>
      </c>
      <c r="X27" s="48" t="s">
        <v>34</v>
      </c>
      <c r="Y27" s="177">
        <f>_xll.qlCalendarAdvance(Calendar,SettlementDate,W27&amp;"M","mf",TRUE,Trigger)</f>
        <v>42279</v>
      </c>
      <c r="Z27" s="251">
        <f>_xll.qlCalendarAdvance(Calendar,SettlementDate,X27,"mf",TRUE,Trigger)</f>
        <v>42555</v>
      </c>
      <c r="AA27" s="206">
        <f>_xll.qlTenorBasisTenorForwardRate(TenorBasis6M,Y27,AllTriggers)</f>
        <v>1.4034028750813108E-3</v>
      </c>
    </row>
    <row r="28" spans="1:27" ht="11.25" customHeight="1" x14ac:dyDescent="0.2">
      <c r="R28" s="212">
        <f>_xll.qlCalendarAdvance(Calendar,R27,"1D","f")</f>
        <v>42314</v>
      </c>
      <c r="S28" s="47">
        <f>_xll.qlTenorBasisValue($P$3,R28,AllTriggers)</f>
        <v>3.1876316471821267E-3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2.8887642116548198E-3</v>
      </c>
      <c r="W28" s="48">
        <v>0</v>
      </c>
      <c r="X28" s="48" t="s">
        <v>35</v>
      </c>
      <c r="Y28" s="177">
        <f>_xll.qlCalendarAdvance(Calendar,SettlementDate,W28&amp;"M","mf",TRUE,Trigger)</f>
        <v>42279</v>
      </c>
      <c r="Z28" s="251">
        <f>_xll.qlCalendarAdvance(Calendar,SettlementDate,X28,"mf",TRUE,Trigger)</f>
        <v>42584</v>
      </c>
      <c r="AA28" s="206">
        <f>_xll.qlTenorBasisTenorForwardRate(TenorBasis6M,Y28,AllTriggers)</f>
        <v>1.4034028750813108E-3</v>
      </c>
    </row>
    <row r="29" spans="1:27" ht="11.25" customHeight="1" x14ac:dyDescent="0.2">
      <c r="R29" s="212">
        <f>_xll.qlCalendarAdvance(Calendar,R28,"1D","f")</f>
        <v>42317</v>
      </c>
      <c r="S29" s="47">
        <f>_xll.qlTenorBasisValue($P$3,R29,AllTriggers)</f>
        <v>3.1925484478517755E-3</v>
      </c>
      <c r="T29" s="41">
        <f>_xll.qlDayCounterYearFraction("actual/365 (fixed)",SettlementDate,R29,,,Trigger)</f>
        <v>0.10410958904109589</v>
      </c>
      <c r="U29" s="47">
        <f>_xll.qlPolynomialFunctionValue($P$18,T29,AllTriggers)</f>
        <v>2.8932248664722757E-3</v>
      </c>
      <c r="W29" s="48">
        <v>0</v>
      </c>
      <c r="X29" s="48" t="s">
        <v>36</v>
      </c>
      <c r="Y29" s="177">
        <f>_xll.qlCalendarAdvance(Calendar,SettlementDate,W29&amp;"M","mf",TRUE,Trigger)</f>
        <v>42279</v>
      </c>
      <c r="Z29" s="251">
        <f>_xll.qlCalendarAdvance(Calendar,SettlementDate,X29,"mf",TRUE,Trigger)</f>
        <v>42615</v>
      </c>
      <c r="AA29" s="206">
        <f>_xll.qlTenorBasisTenorForwardRate(TenorBasis6M,Y29,AllTriggers)</f>
        <v>1.4034028750813108E-3</v>
      </c>
    </row>
    <row r="30" spans="1:27" ht="11.25" customHeight="1" thickBot="1" x14ac:dyDescent="0.25">
      <c r="R30" s="212">
        <f>_xll.qlCalendarAdvance(Calendar,R29,"1D","f")</f>
        <v>42318</v>
      </c>
      <c r="S30" s="47">
        <f>_xll.qlTenorBasisValue($P$3,R30,AllTriggers)</f>
        <v>3.1941883827348969E-3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2.8947146270846135E-3</v>
      </c>
      <c r="W30" s="129">
        <v>0</v>
      </c>
      <c r="X30" s="129" t="s">
        <v>37</v>
      </c>
      <c r="Y30" s="179">
        <f>_xll.qlCalendarAdvance(Calendar,SettlementDate,W30&amp;"M","mf",TRUE,Trigger)</f>
        <v>42279</v>
      </c>
      <c r="Z30" s="289">
        <f>_xll.qlCalendarAdvance(Calendar,SettlementDate,X30,"mf",TRUE,Trigger)</f>
        <v>42646</v>
      </c>
      <c r="AA30" s="290">
        <f>_xll.qlTenorBasisTenorForwardRate(TenorBasis6M,Y30,AllTriggers)</f>
        <v>1.4034028750813108E-3</v>
      </c>
    </row>
    <row r="31" spans="1:27" ht="11.25" customHeight="1" x14ac:dyDescent="0.2">
      <c r="R31" s="212">
        <f>_xll.qlCalendarAdvance(Calendar,R30,"1D","f")</f>
        <v>42319</v>
      </c>
      <c r="S31" s="47">
        <f>_xll.qlTenorBasisValue($P$3,R31,AllTriggers)</f>
        <v>3.1958288098858866E-3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2.8962058171381278E-3</v>
      </c>
      <c r="W31" s="45">
        <v>1</v>
      </c>
      <c r="X31" s="45" t="str">
        <f>W31+SUBSTITUTE($H$1,"M","")&amp;"M"</f>
        <v>13M</v>
      </c>
      <c r="Y31" s="179">
        <f>_xll.qlCalendarAdvance(Calendar,SettlementDate,W31&amp;"M","mf",TRUE,Trigger)</f>
        <v>42310</v>
      </c>
      <c r="Z31" s="175">
        <f>_xll.qlInterestRateIndexMaturity(PROPER(Currency)&amp;"ibor1Y",Y31,Trigger)</f>
        <v>42676</v>
      </c>
      <c r="AA31" s="291">
        <f>_xll.qlTenorBasisTenorForwardRate(TenorBasis6M,Y31,AllTriggers)</f>
        <v>1.4047662368877299E-3</v>
      </c>
    </row>
    <row r="32" spans="1:27" ht="11.25" customHeight="1" x14ac:dyDescent="0.2">
      <c r="R32" s="212">
        <f>_xll.qlCalendarAdvance(Calendar,R31,"1D","f")</f>
        <v>42320</v>
      </c>
      <c r="S32" s="47">
        <f>_xll.qlTenorBasisValue($P$3,R32,AllTriggers)</f>
        <v>3.1974697242674963E-3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2.8976984315955689E-3</v>
      </c>
      <c r="W32" s="48">
        <v>2</v>
      </c>
      <c r="X32" s="48" t="str">
        <f t="shared" ref="X32:X42" si="5">W32+SUBSTITUTE($H$1,"M","")&amp;"M"</f>
        <v>14M</v>
      </c>
      <c r="Y32" s="177">
        <f>_xll.qlCalendarAdvance(Calendar,SettlementDate,W32&amp;"M","mf",TRUE,Trigger)</f>
        <v>42340</v>
      </c>
      <c r="Z32" s="177">
        <f>_xll.qlInterestRateIndexMaturity(PROPER(Currency)&amp;"ibor1Y",Y32,Trigger)</f>
        <v>42706</v>
      </c>
      <c r="AA32" s="292">
        <f>_xll.qlTenorBasisTenorForwardRate(TenorBasis6M,Y32,AllTriggers)</f>
        <v>1.4134087903020975E-3</v>
      </c>
    </row>
    <row r="33" spans="7:27" ht="11.25" customHeight="1" x14ac:dyDescent="0.2">
      <c r="R33" s="212">
        <f>_xll.qlCalendarAdvance(Calendar,R32,"1D","f")</f>
        <v>42321</v>
      </c>
      <c r="S33" s="47">
        <f>_xll.qlTenorBasisValue($P$3,R33,AllTriggers)</f>
        <v>3.1991111208424768E-3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2.8991924654196873E-3</v>
      </c>
      <c r="W33" s="48">
        <v>3</v>
      </c>
      <c r="X33" s="48" t="str">
        <f t="shared" si="5"/>
        <v>15M</v>
      </c>
      <c r="Y33" s="177">
        <f>_xll.qlCalendarAdvance(Calendar,SettlementDate,W33&amp;"M","mf",TRUE,Trigger)</f>
        <v>42373</v>
      </c>
      <c r="Z33" s="177">
        <f>_xll.qlInterestRateIndexMaturity(PROPER(Currency)&amp;"ibor1Y",Y33,Trigger)</f>
        <v>42739</v>
      </c>
      <c r="AA33" s="292">
        <f>_xll.qlTenorBasisTenorForwardRate(TenorBasis6M,Y33,AllTriggers)</f>
        <v>1.4340620212599554E-3</v>
      </c>
    </row>
    <row r="34" spans="7:27" ht="11.25" customHeight="1" x14ac:dyDescent="0.2">
      <c r="R34" s="212">
        <f>_xll.qlCalendarAdvance(Calendar,R33,"1D","f")</f>
        <v>42324</v>
      </c>
      <c r="S34" s="47">
        <f>_xll.qlTenorBasisValue($P$3,R34,AllTriggers)</f>
        <v>3.2040381533551404E-3</v>
      </c>
      <c r="T34" s="41">
        <f>_xll.qlDayCounterYearFraction("actual/365 (fixed)",SettlementDate,R34,,,Trigger)</f>
        <v>0.12328767123287671</v>
      </c>
      <c r="U34" s="47">
        <f>_xll.qlPolynomialFunctionValue($P$18,T34,AllTriggers)</f>
        <v>2.9036830327196107E-3</v>
      </c>
      <c r="W34" s="48">
        <v>4</v>
      </c>
      <c r="X34" s="48" t="str">
        <f t="shared" si="5"/>
        <v>16M</v>
      </c>
      <c r="Y34" s="177">
        <f>_xll.qlCalendarAdvance(Calendar,SettlementDate,W34&amp;"M","mf",TRUE,Trigger)</f>
        <v>42402</v>
      </c>
      <c r="Z34" s="177">
        <f>_xll.qlInterestRateIndexMaturity(PROPER(Currency)&amp;"ibor1Y",Y34,Trigger)</f>
        <v>42768</v>
      </c>
      <c r="AA34" s="292">
        <f>_xll.qlTenorBasisTenorForwardRate(TenorBasis6M,Y34,AllTriggers)</f>
        <v>1.4598065486836533E-3</v>
      </c>
    </row>
    <row r="35" spans="7:27" ht="11.25" customHeight="1" x14ac:dyDescent="0.2">
      <c r="R35" s="212">
        <f>_xll.qlCalendarAdvance(Calendar,R34,"1D","f")</f>
        <v>42325</v>
      </c>
      <c r="S35" s="47">
        <f>_xll.qlTenorBasisValue($P$3,R35,AllTriggers)</f>
        <v>3.2056814283311038E-3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2.9051826936379414E-3</v>
      </c>
      <c r="W35" s="48">
        <v>5</v>
      </c>
      <c r="X35" s="48" t="str">
        <f t="shared" si="5"/>
        <v>17M</v>
      </c>
      <c r="Y35" s="177">
        <f>_xll.qlCalendarAdvance(Calendar,SettlementDate,W35&amp;"M","mf",TRUE,Trigger)</f>
        <v>42431</v>
      </c>
      <c r="Z35" s="177">
        <f>_xll.qlInterestRateIndexMaturity(PROPER(Currency)&amp;"ibor1Y",Y35,Trigger)</f>
        <v>42796</v>
      </c>
      <c r="AA35" s="292">
        <f>_xll.qlTenorBasisTenorForwardRate(TenorBasis6M,Y35,AllTriggers)</f>
        <v>1.4944025230706833E-3</v>
      </c>
    </row>
    <row r="36" spans="7:27" ht="11.25" customHeight="1" x14ac:dyDescent="0.2">
      <c r="R36" s="212">
        <f>_xll.qlCalendarAdvance(Calendar,R35,"1D","f")</f>
        <v>42326</v>
      </c>
      <c r="S36" s="47">
        <f>_xll.qlTenorBasisValue($P$3,R36,AllTriggers)</f>
        <v>3.207325160314189E-3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2.9066837487367013E-3</v>
      </c>
      <c r="W36" s="48">
        <v>6</v>
      </c>
      <c r="X36" s="48" t="str">
        <f t="shared" si="5"/>
        <v>18M</v>
      </c>
      <c r="Y36" s="177">
        <f>_xll.qlCalendarAdvance(Calendar,SettlementDate,W36&amp;"M","mf",TRUE,Trigger)</f>
        <v>42464</v>
      </c>
      <c r="Z36" s="177">
        <f>_xll.qlInterestRateIndexMaturity(PROPER(Currency)&amp;"ibor1Y",Y36,Trigger)</f>
        <v>42829</v>
      </c>
      <c r="AA36" s="292">
        <f>_xll.qlTenorBasisTenorForwardRate(TenorBasis6M,Y36,AllTriggers)</f>
        <v>1.544137622757114E-3</v>
      </c>
    </row>
    <row r="37" spans="7:27" ht="11.25" customHeight="1" x14ac:dyDescent="0.2">
      <c r="R37" s="212">
        <f>_xll.qlCalendarAdvance(Calendar,R36,"1D","f")</f>
        <v>42327</v>
      </c>
      <c r="S37" s="47">
        <f>_xll.qlTenorBasisValue($P$3,R37,AllTriggers)</f>
        <v>3.2089693442671464E-3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2.9081861929786406E-3</v>
      </c>
      <c r="W37" s="48">
        <v>7</v>
      </c>
      <c r="X37" s="48" t="str">
        <f t="shared" si="5"/>
        <v>19M</v>
      </c>
      <c r="Y37" s="177">
        <f>_xll.qlCalendarAdvance(Calendar,SettlementDate,W37&amp;"M","mf",TRUE,Trigger)</f>
        <v>42492</v>
      </c>
      <c r="Z37" s="177">
        <f>_xll.qlInterestRateIndexMaturity(PROPER(Currency)&amp;"ibor1Y",Y37,Trigger)</f>
        <v>42857</v>
      </c>
      <c r="AA37" s="292">
        <f>_xll.qlTenorBasisTenorForwardRate(TenorBasis6M,Y37,AllTriggers)</f>
        <v>1.5953264764327596E-3</v>
      </c>
    </row>
    <row r="38" spans="7:27" ht="11.25" customHeight="1" x14ac:dyDescent="0.2">
      <c r="R38" s="212">
        <f>_xll.qlCalendarAdvance(Calendar,R37,"1D","f")</f>
        <v>42328</v>
      </c>
      <c r="S38" s="47">
        <f>_xll.qlTenorBasisValue($P$3,R38,AllTriggers)</f>
        <v>3.2106139751527252E-3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2.9096900213265091E-3</v>
      </c>
      <c r="W38" s="48">
        <v>8</v>
      </c>
      <c r="X38" s="48" t="str">
        <f t="shared" si="5"/>
        <v>20M</v>
      </c>
      <c r="Y38" s="177">
        <f>_xll.qlCalendarAdvance(Calendar,SettlementDate,W38&amp;"M","mf",TRUE,Trigger)</f>
        <v>42523</v>
      </c>
      <c r="Z38" s="177">
        <f>_xll.qlInterestRateIndexMaturity(PROPER(Currency)&amp;"ibor1Y",Y38,Trigger)</f>
        <v>42888</v>
      </c>
      <c r="AA38" s="292">
        <f>_xll.qlTenorBasisTenorForwardRate(TenorBasis6M,Y38,AllTriggers)</f>
        <v>1.6626592655835802E-3</v>
      </c>
    </row>
    <row r="39" spans="7:27" ht="11.25" customHeight="1" x14ac:dyDescent="0.2">
      <c r="R39" s="212">
        <f>_xll.qlCalendarAdvance(Calendar,R38,"1D","f")</f>
        <v>42331</v>
      </c>
      <c r="S39" s="47">
        <f>_xll.qlTenorBasisValue($P$3,R39,AllTriggers)</f>
        <v>3.2155504990326999E-3</v>
      </c>
      <c r="T39" s="41">
        <f>_xll.qlDayCounterYearFraction("actual/365 (fixed)",SettlementDate,R39,,,Trigger)</f>
        <v>0.14246575342465753</v>
      </c>
      <c r="U39" s="47">
        <f>_xll.qlPolynomialFunctionValue($P$18,T39,AllTriggers)</f>
        <v>2.9142097606331958E-3</v>
      </c>
      <c r="W39" s="48">
        <v>9</v>
      </c>
      <c r="X39" s="48" t="str">
        <f t="shared" si="5"/>
        <v>21M</v>
      </c>
      <c r="Y39" s="177">
        <f>_xll.qlCalendarAdvance(Calendar,SettlementDate,W39&amp;"M","mf",TRUE,Trigger)</f>
        <v>42555</v>
      </c>
      <c r="Z39" s="177">
        <f>_xll.qlInterestRateIndexMaturity(PROPER(Currency)&amp;"ibor1Y",Y39,Trigger)</f>
        <v>42920</v>
      </c>
      <c r="AA39" s="292">
        <f>_xll.qlTenorBasisTenorForwardRate(TenorBasis6M,Y39,AllTriggers)</f>
        <v>1.7442644330160429E-3</v>
      </c>
    </row>
    <row r="40" spans="7:27" ht="11.25" customHeight="1" x14ac:dyDescent="0.2">
      <c r="R40" s="212">
        <f>_xll.qlCalendarAdvance(Calendar,R39,"1D","f")</f>
        <v>42332</v>
      </c>
      <c r="S40" s="47">
        <f>_xll.qlTenorBasisValue($P$3,R40,AllTriggers)</f>
        <v>3.2171968672762715E-3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2.9157190750322857E-3</v>
      </c>
      <c r="W40" s="48">
        <v>10</v>
      </c>
      <c r="X40" s="48" t="str">
        <f t="shared" si="5"/>
        <v>22M</v>
      </c>
      <c r="Y40" s="177">
        <f>_xll.qlCalendarAdvance(Calendar,SettlementDate,W40&amp;"M","mf",TRUE,Trigger)</f>
        <v>42584</v>
      </c>
      <c r="Z40" s="177">
        <f>_xll.qlInterestRateIndexMaturity(PROPER(Currency)&amp;"ibor1Y",Y40,Trigger)</f>
        <v>42949</v>
      </c>
      <c r="AA40" s="292">
        <f>_xll.qlTenorBasisTenorForwardRate(TenorBasis6M,Y40,AllTriggers)</f>
        <v>1.8276408455373898E-3</v>
      </c>
    </row>
    <row r="41" spans="7:27" ht="11.25" customHeight="1" x14ac:dyDescent="0.2">
      <c r="R41" s="212">
        <f>_xll.qlCalendarAdvance(Calendar,R40,"1D","f")</f>
        <v>42333</v>
      </c>
      <c r="S41" s="47">
        <f>_xll.qlTenorBasisValue($P$3,R41,AllTriggers)</f>
        <v>3.2188436572662175E-3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2.9172297483510573E-3</v>
      </c>
      <c r="W41" s="48">
        <v>11</v>
      </c>
      <c r="X41" s="48" t="str">
        <f t="shared" si="5"/>
        <v>23M</v>
      </c>
      <c r="Y41" s="177">
        <f>_xll.qlCalendarAdvance(Calendar,SettlementDate,W41&amp;"M","mf",TRUE,Trigger)</f>
        <v>42615</v>
      </c>
      <c r="Z41" s="177">
        <f>_xll.qlInterestRateIndexMaturity(PROPER(Currency)&amp;"ibor1Y",Y41,Trigger)</f>
        <v>42982</v>
      </c>
      <c r="AA41" s="292">
        <f>_xll.qlTenorBasisTenorForwardRate(TenorBasis6M,Y41,AllTriggers)</f>
        <v>1.9290313005348233E-3</v>
      </c>
    </row>
    <row r="42" spans="7:27" ht="11.25" customHeight="1" x14ac:dyDescent="0.2">
      <c r="R42" s="212">
        <f>_xll.qlCalendarAdvance(Calendar,R41,"1D","f")</f>
        <v>42334</v>
      </c>
      <c r="S42" s="47">
        <f>_xll.qlTenorBasisValue($P$3,R42,AllTriggers)</f>
        <v>3.2204908639652872E-3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2.9187417755522599E-3</v>
      </c>
      <c r="W42" s="49">
        <v>12</v>
      </c>
      <c r="X42" s="49" t="str">
        <f t="shared" si="5"/>
        <v>24M</v>
      </c>
      <c r="Y42" s="181">
        <f>_xll.qlCalendarAdvance(Calendar,SettlementDate,W42&amp;"M","mf",TRUE,Trigger)</f>
        <v>42646</v>
      </c>
      <c r="Z42" s="181">
        <f>_xll.qlInterestRateIndexMaturity(PROPER(Currency)&amp;"ibor1Y",Y42,Trigger)</f>
        <v>43011</v>
      </c>
      <c r="AA42" s="293">
        <f>_xll.qlTenorBasisTenorForwardRate(TenorBasis6M,Y42,AllTriggers)</f>
        <v>2.0378225641378149E-3</v>
      </c>
    </row>
    <row r="43" spans="7:27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42335</v>
      </c>
      <c r="S43" s="47">
        <f>_xll.qlTenorBasisValue($P$3,R43,AllTriggers)</f>
        <v>3.2221384823362307E-3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2.9202551515986443E-3</v>
      </c>
    </row>
    <row r="44" spans="7:27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42338</v>
      </c>
      <c r="S44" s="47">
        <f>_xll.qlTenorBasisValue($P$3,R44,AllTriggers)</f>
        <v>3.2270837571078143E-3</v>
      </c>
      <c r="T44" s="41">
        <f>_xll.qlDayCounterYearFraction("actual/365 (fixed)",SettlementDate,R44,,,Trigger)</f>
        <v>0.16164383561643836</v>
      </c>
      <c r="U44" s="47">
        <f>_xll.qlPolynomialFunctionValue($P$18,T44,AllTriggers)</f>
        <v>2.9248033224363915E-3</v>
      </c>
    </row>
    <row r="45" spans="7:27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42339</v>
      </c>
      <c r="S45" s="47">
        <f>_xll.qlTenorBasisValue($P$3,R45,AllTriggers)</f>
        <v>3.228732971793759E-3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2.9263220434910058E-3</v>
      </c>
    </row>
    <row r="46" spans="7:27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42340</v>
      </c>
      <c r="S46" s="47">
        <f>_xll.qlTenorBasisValue($P$3,R46,AllTriggers)</f>
        <v>3.230382572965331E-3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2.9278420882045534E-3</v>
      </c>
    </row>
    <row r="47" spans="7:27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42341</v>
      </c>
      <c r="S47" s="47">
        <f>_xll.qlTenorBasisValue($P$3,R47,AllTriggers)</f>
        <v>3.2320325555852789E-3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2.9293634515397855E-3</v>
      </c>
    </row>
    <row r="48" spans="7:27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42342</v>
      </c>
      <c r="S48" s="47">
        <f>_xll.qlTenorBasisValue($P$3,R48,AllTriggers)</f>
        <v>3.2336829146163526E-3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2.9308861284594507E-3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42345</v>
      </c>
      <c r="S49" s="47">
        <f>_xll.qlTenorBasisValue($P$3,R49,AllTriggers)</f>
        <v>3.2386361998038406E-3</v>
      </c>
      <c r="T49" s="41">
        <f>_xll.qlDayCounterYearFraction("actual/365 (fixed)",SettlementDate,R49,,,Trigger)</f>
        <v>0.18082191780821918</v>
      </c>
      <c r="U49" s="47">
        <f>_xll.qlPolynomialFunctionValue($P$18,T49,AllTriggers)</f>
        <v>2.9354619903525551E-3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42346</v>
      </c>
      <c r="S50" s="47">
        <f>_xll.qlTenorBasisValue($P$3,R50,AllTriggers)</f>
        <v>3.2402880141069249E-3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2.9369898712374594E-3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42347</v>
      </c>
      <c r="S51" s="47">
        <f>_xll.qlTenorBasisValue($P$3,R51,AllTriggers)</f>
        <v>3.2419401796348881E-3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2.9385190405205501E-3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42348</v>
      </c>
      <c r="S52" s="47">
        <f>_xll.qlTenorBasisValue($P$3,R52,AllTriggers)</f>
        <v>3.2435926913504795E-3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2.9400494931645766E-3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42349</v>
      </c>
      <c r="S53" s="47">
        <f>_xll.qlTenorBasisValue($P$3,R53,AllTriggers)</f>
        <v>3.2452455442164505E-3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2.9415812241322891E-3</v>
      </c>
    </row>
    <row r="54" spans="7:21" x14ac:dyDescent="0.2">
      <c r="R54" s="212">
        <f>_xll.qlCalendarAdvance(Calendar,R53,"1D","f")</f>
        <v>42352</v>
      </c>
      <c r="S54" s="47">
        <f>_xll.qlTenorBasisValue($P$3,R54,AllTriggers)</f>
        <v>3.2502060993441387E-3</v>
      </c>
      <c r="T54" s="41">
        <f>_xll.qlDayCounterYearFraction("actual/365 (fixed)",SettlementDate,R54,,,Trigger)</f>
        <v>0.2</v>
      </c>
      <c r="U54" s="47">
        <f>_xll.qlPolynomialFunctionValue($P$18,T54,AllTriggers)</f>
        <v>2.9461840366050464E-3</v>
      </c>
    </row>
    <row r="55" spans="7:21" x14ac:dyDescent="0.2">
      <c r="R55" s="212">
        <f>_xll.qlCalendarAdvance(Calendar,R54,"1D","f")</f>
        <v>42353</v>
      </c>
      <c r="S55" s="47">
        <f>_xll.qlTenorBasisValue($P$3,R55,AllTriggers)</f>
        <v>3.2518602664391278E-3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2.947720830495007E-3</v>
      </c>
    </row>
    <row r="56" spans="7:21" x14ac:dyDescent="0.2">
      <c r="R56" s="212">
        <f>_xll.qlCalendarAdvance(Calendar,R55,"1D","f")</f>
        <v>42354</v>
      </c>
      <c r="S56" s="47">
        <f>_xll.qlTenorBasisValue($P$3,R56,AllTriggers)</f>
        <v>3.2535147494982481E-3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2.9492588775224056E-3</v>
      </c>
    </row>
    <row r="57" spans="7:21" x14ac:dyDescent="0.2">
      <c r="R57" s="212">
        <f>_xll.qlCalendarAdvance(Calendar,R56,"1D","f")</f>
        <v>42355</v>
      </c>
      <c r="S57" s="47">
        <f>_xll.qlTenorBasisValue($P$3,R57,AllTriggers)</f>
        <v>3.255169543484249E-3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2.9507981726499917E-3</v>
      </c>
    </row>
    <row r="58" spans="7:21" x14ac:dyDescent="0.2">
      <c r="R58" s="212">
        <f>_xll.qlCalendarAdvance(Calendar,R57,"1D","f")</f>
        <v>42356</v>
      </c>
      <c r="S58" s="47">
        <f>_xll.qlTenorBasisValue($P$3,R58,AllTriggers)</f>
        <v>3.2568246433598812E-3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2.9523387108405163E-3</v>
      </c>
    </row>
    <row r="59" spans="7:21" x14ac:dyDescent="0.2">
      <c r="R59" s="212">
        <f>_xll.qlCalendarAdvance(Calendar,R58,"1D","f")</f>
        <v>42359</v>
      </c>
      <c r="S59" s="47">
        <f>_xll.qlTenorBasisValue($P$3,R59,AllTriggers)</f>
        <v>3.2617917279520675E-3</v>
      </c>
      <c r="T59" s="41">
        <f>_xll.qlDayCounterYearFraction("actual/365 (fixed)",SettlementDate,R59,,,Trigger)</f>
        <v>0.21917808219178081</v>
      </c>
      <c r="U59" s="47">
        <f>_xll.qlPolynomialFunctionValue($P$18,T59,AllTriggers)</f>
        <v>2.956967733417225E-3</v>
      </c>
    </row>
    <row r="60" spans="7:21" x14ac:dyDescent="0.2">
      <c r="R60" s="212">
        <f>_xll.qlCalendarAdvance(Calendar,R59,"1D","f")</f>
        <v>42360</v>
      </c>
      <c r="S60" s="47">
        <f>_xll.qlTenorBasisValue($P$3,R60,AllTriggers)</f>
        <v>3.2634480010137268E-3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2.9585131934870062E-3</v>
      </c>
    </row>
    <row r="61" spans="7:21" x14ac:dyDescent="0.2">
      <c r="R61" s="212">
        <f>_xll.qlCalendarAdvance(Calendar,R60,"1D","f")</f>
        <v>42361</v>
      </c>
      <c r="S61" s="47">
        <f>_xll.qlTenorBasisValue($P$3,R61,AllTriggers)</f>
        <v>3.2651045547787698E-3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2.960059871433478E-3</v>
      </c>
    </row>
    <row r="62" spans="7:21" x14ac:dyDescent="0.2">
      <c r="R62" s="212">
        <f>_xll.qlCalendarAdvance(Calendar,R61,"1D","f")</f>
        <v>42362</v>
      </c>
      <c r="S62" s="47">
        <f>_xll.qlTenorBasisValue($P$3,R62,AllTriggers)</f>
        <v>3.2667613842099455E-3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2.9616077622193903E-3</v>
      </c>
    </row>
    <row r="63" spans="7:21" x14ac:dyDescent="0.2">
      <c r="R63" s="212">
        <f>_xll.qlCalendarAdvance(Calendar,R62,"1D","f")</f>
        <v>42366</v>
      </c>
      <c r="S63" s="47">
        <f>_xll.qlTenorBasisValue($P$3,R63,AllTriggers)</f>
        <v>3.2733913578509855E-3</v>
      </c>
      <c r="T63" s="41">
        <f>_xll.qlDayCounterYearFraction("actual/365 (fixed)",SettlementDate,R63,,,Trigger)</f>
        <v>0.23835616438356164</v>
      </c>
      <c r="U63" s="47">
        <f>_xll.qlPolynomialFunctionValue($P$18,T63,AllTriggers)</f>
        <v>2.9678113530124473E-3</v>
      </c>
    </row>
    <row r="64" spans="7:21" x14ac:dyDescent="0.2">
      <c r="R64" s="212">
        <f>_xll.qlCalendarAdvance(Calendar,R63,"1D","f")</f>
        <v>42367</v>
      </c>
      <c r="S64" s="47">
        <f>_xll.qlTenorBasisValue($P$3,R64,AllTriggers)</f>
        <v>3.2750494900540814E-3</v>
      </c>
      <c r="T64" s="41">
        <f>_xll.qlDayCounterYearFraction("actual/365 (fixed)",SettlementDate,R64,,,Trigger)</f>
        <v>0.24109589041095891</v>
      </c>
      <c r="U64" s="47">
        <f>_xll.qlPolynomialFunctionValue($P$18,T64,AllTriggers)</f>
        <v>2.9693652324368162E-3</v>
      </c>
    </row>
    <row r="65" spans="18:21" x14ac:dyDescent="0.2">
      <c r="R65" s="212">
        <f>_xll.qlCalendarAdvance(Calendar,R64,"1D","f")</f>
        <v>42368</v>
      </c>
      <c r="S65" s="47">
        <f>_xll.qlTenorBasisValue($P$3,R65,AllTriggers)</f>
        <v>3.2767078676998124E-3</v>
      </c>
      <c r="T65" s="41">
        <f>_xll.qlDayCounterYearFraction("actual/365 (fixed)",SettlementDate,R65,,,Trigger)</f>
        <v>0.24383561643835616</v>
      </c>
      <c r="U65" s="47">
        <f>_xll.qlPolynomialFunctionValue($P$18,T65,AllTriggers)</f>
        <v>2.9709202944771273E-3</v>
      </c>
    </row>
    <row r="66" spans="18:21" x14ac:dyDescent="0.2">
      <c r="R66" s="212">
        <f>_xll.qlCalendarAdvance(Calendar,R65,"1D","f")</f>
        <v>42369</v>
      </c>
      <c r="S66" s="47">
        <f>_xll.qlTenorBasisValue($P$3,R66,AllTriggers)</f>
        <v>3.2783664857509286E-3</v>
      </c>
      <c r="T66" s="41">
        <f>_xll.qlDayCounterYearFraction("actual/365 (fixed)",SettlementDate,R66,,,Trigger)</f>
        <v>0.24657534246575341</v>
      </c>
      <c r="U66" s="47">
        <f>_xll.qlPolynomialFunctionValue($P$18,T66,AllTriggers)</f>
        <v>2.9724765340961301E-3</v>
      </c>
    </row>
    <row r="67" spans="18:21" x14ac:dyDescent="0.2">
      <c r="R67" s="212">
        <f>_xll.qlCalendarAdvance(Calendar,R66,"1D","f")</f>
        <v>42373</v>
      </c>
      <c r="S67" s="47">
        <f>_xll.qlTenorBasisValue($P$3,R67,AllTriggers)</f>
        <v>3.2850032612642519E-3</v>
      </c>
      <c r="T67" s="41">
        <f>_xll.qlDayCounterYearFraction("actual/365 (fixed)",SettlementDate,R67,,,Trigger)</f>
        <v>0.25753424657534246</v>
      </c>
      <c r="U67" s="47">
        <f>_xll.qlPolynomialFunctionValue($P$18,T67,AllTriggers)</f>
        <v>2.978713167614075E-3</v>
      </c>
    </row>
    <row r="68" spans="18:21" x14ac:dyDescent="0.2">
      <c r="R68" s="212">
        <f>_xll.qlCalendarAdvance(Calendar,R67,"1D","f")</f>
        <v>42374</v>
      </c>
      <c r="S68" s="47">
        <f>_xll.qlTenorBasisValue($P$3,R68,AllTriggers)</f>
        <v>3.2866630057835494E-3</v>
      </c>
      <c r="T68" s="41">
        <f>_xll.qlDayCounterYearFraction("actual/365 (fixed)",SettlementDate,R68,,,Trigger)</f>
        <v>0.26027397260273971</v>
      </c>
      <c r="U68" s="47">
        <f>_xll.qlPolynomialFunctionValue($P$18,T68,AllTriggers)</f>
        <v>2.9802752195677955E-3</v>
      </c>
    </row>
    <row r="69" spans="18:21" x14ac:dyDescent="0.2">
      <c r="R69" s="212">
        <f>_xll.qlCalendarAdvance(Calendar,R68,"1D","f")</f>
        <v>42375</v>
      </c>
      <c r="S69" s="47">
        <f>_xll.qlTenorBasisValue($P$3,R69,AllTriggers)</f>
        <v>3.2883229604847341E-3</v>
      </c>
      <c r="T69" s="41">
        <f>_xll.qlDayCounterYearFraction("actual/365 (fixed)",SettlementDate,R69,,,Trigger)</f>
        <v>0.26301369863013696</v>
      </c>
      <c r="U69" s="47">
        <f>_xll.qlPolynomialFunctionValue($P$18,T69,AllTriggers)</f>
        <v>2.9818384188767112E-3</v>
      </c>
    </row>
    <row r="70" spans="18:21" x14ac:dyDescent="0.2">
      <c r="R70" s="212">
        <f>_xll.qlCalendarAdvance(Calendar,R69,"1D","f")</f>
        <v>42376</v>
      </c>
      <c r="S70" s="47">
        <f>_xll.qlTenorBasisValue($P$3,R70,AllTriggers)</f>
        <v>3.2899831203305561E-3</v>
      </c>
      <c r="T70" s="41">
        <f>_xll.qlDayCounterYearFraction("actual/365 (fixed)",SettlementDate,R70,,,Trigger)</f>
        <v>0.26575342465753427</v>
      </c>
      <c r="U70" s="47">
        <f>_xll.qlPolynomialFunctionValue($P$18,T70,AllTriggers)</f>
        <v>2.9834027605035712E-3</v>
      </c>
    </row>
    <row r="71" spans="18:21" x14ac:dyDescent="0.2">
      <c r="R71" s="212">
        <f>_xll.qlCalendarAdvance(Calendar,R70,"1D","f")</f>
        <v>42377</v>
      </c>
      <c r="S71" s="47">
        <f>_xll.qlTenorBasisValue($P$3,R71,AllTriggers)</f>
        <v>3.2916434802837658E-3</v>
      </c>
      <c r="T71" s="41">
        <f>_xll.qlDayCounterYearFraction("actual/365 (fixed)",SettlementDate,R71,,,Trigger)</f>
        <v>0.26849315068493151</v>
      </c>
      <c r="U71" s="47">
        <f>_xll.qlPolynomialFunctionValue($P$18,T71,AllTriggers)</f>
        <v>2.9849682394111261E-3</v>
      </c>
    </row>
    <row r="72" spans="18:21" x14ac:dyDescent="0.2">
      <c r="R72" s="212">
        <f>_xll.qlCalendarAdvance(Calendar,R71,"1D","f")</f>
        <v>42380</v>
      </c>
      <c r="S72" s="47">
        <f>_xll.qlTenorBasisValue($P$3,R72,AllTriggers)</f>
        <v>3.2966257104152259E-3</v>
      </c>
      <c r="T72" s="41">
        <f>_xll.qlDayCounterYearFraction("actual/365 (fixed)",SettlementDate,R72,,,Trigger)</f>
        <v>0.27671232876712326</v>
      </c>
      <c r="U72" s="47">
        <f>_xll.qlPolynomialFunctionValue($P$18,T72,AllTriggers)</f>
        <v>2.989671449445465E-3</v>
      </c>
    </row>
    <row r="73" spans="18:21" x14ac:dyDescent="0.2">
      <c r="R73" s="212">
        <f>_xll.qlCalendarAdvance(Calendar,R72,"1D","f")</f>
        <v>42381</v>
      </c>
      <c r="S73" s="47">
        <f>_xll.qlTenorBasisValue($P$3,R73,AllTriggers)</f>
        <v>3.2982868204254898E-3</v>
      </c>
      <c r="T73" s="41">
        <f>_xll.qlDayCounterYearFraction("actual/365 (fixed)",SettlementDate,R73,,,Trigger)</f>
        <v>0.27945205479452057</v>
      </c>
      <c r="U73" s="47">
        <f>_xll.qlPolynomialFunctionValue($P$18,T73,AllTriggers)</f>
        <v>2.9912414271033041E-3</v>
      </c>
    </row>
    <row r="74" spans="18:21" x14ac:dyDescent="0.2">
      <c r="R74" s="212">
        <f>_xll.qlCalendarAdvance(Calendar,R73,"1D","f")</f>
        <v>42382</v>
      </c>
      <c r="S74" s="47">
        <f>_xll.qlTenorBasisValue($P$3,R74,AllTriggers)</f>
        <v>3.2999481053568938E-3</v>
      </c>
      <c r="T74" s="41">
        <f>_xll.qlDayCounterYearFraction("actual/365 (fixed)",SettlementDate,R74,,,Trigger)</f>
        <v>0.28219178082191781</v>
      </c>
      <c r="U74" s="47">
        <f>_xll.qlPolynomialFunctionValue($P$18,T74,AllTriggers)</f>
        <v>2.9928125168555897E-3</v>
      </c>
    </row>
    <row r="75" spans="18:21" x14ac:dyDescent="0.2">
      <c r="R75" s="212">
        <f>_xll.qlCalendarAdvance(Calendar,R74,"1D","f")</f>
        <v>42383</v>
      </c>
      <c r="S75" s="47">
        <f>_xll.qlTenorBasisValue($P$3,R75,AllTriggers)</f>
        <v>3.3016095601721873E-3</v>
      </c>
      <c r="T75" s="41">
        <f>_xll.qlDayCounterYearFraction("actual/365 (fixed)",SettlementDate,R75,,,Trigger)</f>
        <v>0.28493150684931506</v>
      </c>
      <c r="U75" s="47">
        <f>_xll.qlPolynomialFunctionValue($P$18,T75,AllTriggers)</f>
        <v>2.9943847136650716E-3</v>
      </c>
    </row>
    <row r="76" spans="18:21" x14ac:dyDescent="0.2">
      <c r="R76" s="212">
        <f>_xll.qlCalendarAdvance(Calendar,R75,"1D","f")</f>
        <v>42384</v>
      </c>
      <c r="S76" s="47">
        <f>_xll.qlTenorBasisValue($P$3,R76,AllTriggers)</f>
        <v>3.3032711798341211E-3</v>
      </c>
      <c r="T76" s="41">
        <f>_xll.qlDayCounterYearFraction("actual/365 (fixed)",SettlementDate,R76,,,Trigger)</f>
        <v>0.28767123287671231</v>
      </c>
      <c r="U76" s="47">
        <f>_xll.qlPolynomialFunctionValue($P$18,T76,AllTriggers)</f>
        <v>2.9959580124945015E-3</v>
      </c>
    </row>
    <row r="77" spans="18:21" x14ac:dyDescent="0.2">
      <c r="R77" s="212">
        <f>_xll.qlCalendarAdvance(Calendar,R76,"1D","f")</f>
        <v>42387</v>
      </c>
      <c r="S77" s="47">
        <f>_xll.qlTenorBasisValue($P$3,R77,AllTriggers)</f>
        <v>3.3082569775272656E-3</v>
      </c>
      <c r="T77" s="41">
        <f>_xll.qlDayCounterYearFraction("actual/365 (fixed)",SettlementDate,R77,,,Trigger)</f>
        <v>0.29589041095890412</v>
      </c>
      <c r="U77" s="47">
        <f>_xll.qlPolynomialFunctionValue($P$18,T77,AllTriggers)</f>
        <v>3.0006844707299776E-3</v>
      </c>
    </row>
    <row r="78" spans="18:21" x14ac:dyDescent="0.2">
      <c r="R78" s="212">
        <f>_xll.qlCalendarAdvance(Calendar,R77,"1D","f")</f>
        <v>42388</v>
      </c>
      <c r="S78" s="47">
        <f>_xll.qlTenorBasisValue($P$3,R78,AllTriggers)</f>
        <v>3.3099192062032625E-3</v>
      </c>
      <c r="T78" s="41">
        <f>_xll.qlDayCounterYearFraction("actual/365 (fixed)",SettlementDate,R78,,,Trigger)</f>
        <v>0.29863013698630136</v>
      </c>
      <c r="U78" s="47">
        <f>_xll.qlPolynomialFunctionValue($P$18,T78,AllTriggers)</f>
        <v>3.0022621272667001E-3</v>
      </c>
    </row>
    <row r="79" spans="18:21" x14ac:dyDescent="0.2">
      <c r="R79" s="212">
        <f>_xll.qlCalendarAdvance(Calendar,R78,"1D","f")</f>
        <v>42389</v>
      </c>
      <c r="S79" s="47">
        <f>_xll.qlTenorBasisValue($P$3,R79,AllTriggers)</f>
        <v>3.3115815745396512E-3</v>
      </c>
      <c r="T79" s="41">
        <f>_xll.qlDayCounterYearFraction("actual/365 (fixed)",SettlementDate,R79,,,Trigger)</f>
        <v>0.30136986301369861</v>
      </c>
      <c r="U79" s="47">
        <f>_xll.qlPolynomialFunctionValue($P$18,T79,AllTriggers)</f>
        <v>3.0038408606371204E-3</v>
      </c>
    </row>
    <row r="80" spans="18:21" x14ac:dyDescent="0.2">
      <c r="R80" s="212">
        <f>_xll.qlCalendarAdvance(Calendar,R79,"1D","f")</f>
        <v>42390</v>
      </c>
      <c r="S80" s="47">
        <f>_xll.qlTenorBasisValue($P$3,R80,AllTriggers)</f>
        <v>3.3132440774991819E-3</v>
      </c>
      <c r="T80" s="41">
        <f>_xll.qlDayCounterYearFraction("actual/365 (fixed)",SettlementDate,R80,,,Trigger)</f>
        <v>0.30410958904109592</v>
      </c>
      <c r="U80" s="47">
        <f>_xll.qlPolynomialFunctionValue($P$18,T80,AllTriggers)</f>
        <v>3.0054206658039909E-3</v>
      </c>
    </row>
    <row r="81" spans="18:21" x14ac:dyDescent="0.2">
      <c r="R81" s="212">
        <f>_xll.qlCalendarAdvance(Calendar,R80,"1D","f")</f>
        <v>42391</v>
      </c>
      <c r="S81" s="47">
        <f>_xll.qlTenorBasisValue($P$3,R81,AllTriggers)</f>
        <v>3.3149067100446046E-3</v>
      </c>
      <c r="T81" s="41">
        <f>_xll.qlDayCounterYearFraction("actual/365 (fixed)",SettlementDate,R81,,,Trigger)</f>
        <v>0.30684931506849317</v>
      </c>
      <c r="U81" s="47">
        <f>_xll.qlPolynomialFunctionValue($P$18,T81,AllTriggers)</f>
        <v>3.007001537730061E-3</v>
      </c>
    </row>
    <row r="82" spans="18:21" x14ac:dyDescent="0.2">
      <c r="R82" s="212">
        <f>_xll.qlCalendarAdvance(Calendar,R81,"1D","f")</f>
        <v>42394</v>
      </c>
      <c r="S82" s="47">
        <f>_xll.qlTenorBasisValue($P$3,R82,AllTriggers)</f>
        <v>3.3198953348237302E-3</v>
      </c>
      <c r="T82" s="41">
        <f>_xll.qlDayCounterYearFraction("actual/365 (fixed)",SettlementDate,R82,,,Trigger)</f>
        <v>0.31506849315068491</v>
      </c>
      <c r="U82" s="47">
        <f>_xll.qlPolynomialFunctionValue($P$18,T82,AllTriggers)</f>
        <v>3.0117505036909705E-3</v>
      </c>
    </row>
    <row r="83" spans="18:21" x14ac:dyDescent="0.2">
      <c r="R83" s="212">
        <f>_xll.qlCalendarAdvance(Calendar,R82,"1D","f")</f>
        <v>42395</v>
      </c>
      <c r="S83" s="47">
        <f>_xll.qlTenorBasisValue($P$3,R83,AllTriggers)</f>
        <v>3.3215584353402249E-3</v>
      </c>
      <c r="T83" s="41">
        <f>_xll.qlDayCounterYearFraction("actual/365 (fixed)",SettlementDate,R83,,,Trigger)</f>
        <v>0.31780821917808222</v>
      </c>
      <c r="U83" s="47">
        <f>_xll.qlPolynomialFunctionValue($P$18,T83,AllTriggers)</f>
        <v>3.0133355922813414E-3</v>
      </c>
    </row>
    <row r="84" spans="18:21" x14ac:dyDescent="0.2">
      <c r="R84" s="212">
        <f>_xll.qlCalendarAdvance(Calendar,R83,"1D","f")</f>
        <v>42396</v>
      </c>
      <c r="S84" s="47">
        <f>_xll.qlTenorBasisValue($P$3,R84,AllTriggers)</f>
        <v>3.3232216402563648E-3</v>
      </c>
      <c r="T84" s="41">
        <f>_xll.qlDayCounterYearFraction("actual/365 (fixed)",SettlementDate,R84,,,Trigger)</f>
        <v>0.32054794520547947</v>
      </c>
      <c r="U84" s="47">
        <f>_xll.qlPolynomialFunctionValue($P$18,T84,AllTriggers)</f>
        <v>3.0149217224446643E-3</v>
      </c>
    </row>
    <row r="85" spans="18:21" x14ac:dyDescent="0.2">
      <c r="R85" s="212">
        <f>_xll.qlCalendarAdvance(Calendar,R84,"1D","f")</f>
        <v>42397</v>
      </c>
      <c r="S85" s="47">
        <f>_xll.qlTenorBasisValue($P$3,R85,AllTriggers)</f>
        <v>3.324884944534898E-3</v>
      </c>
      <c r="T85" s="41">
        <f>_xll.qlDayCounterYearFraction("actual/365 (fixed)",SettlementDate,R85,,,Trigger)</f>
        <v>0.32328767123287672</v>
      </c>
      <c r="U85" s="47">
        <f>_xll.qlPolynomialFunctionValue($P$18,T85,AllTriggers)</f>
        <v>3.0165088891436881E-3</v>
      </c>
    </row>
    <row r="86" spans="18:21" x14ac:dyDescent="0.2">
      <c r="R86" s="212">
        <f>_xll.qlCalendarAdvance(Calendar,R85,"1D","f")</f>
        <v>42398</v>
      </c>
      <c r="S86" s="47">
        <f>_xll.qlTenorBasisValue($P$3,R86,AllTriggers)</f>
        <v>3.3265483431385756E-3</v>
      </c>
      <c r="T86" s="41">
        <f>_xll.qlDayCounterYearFraction("actual/365 (fixed)",SettlementDate,R86,,,Trigger)</f>
        <v>0.32602739726027397</v>
      </c>
      <c r="U86" s="47">
        <f>_xll.qlPolynomialFunctionValue($P$18,T86,AllTriggers)</f>
        <v>3.0180970873411638E-3</v>
      </c>
    </row>
    <row r="87" spans="18:21" x14ac:dyDescent="0.2">
      <c r="R87" s="212">
        <f>_xll.qlCalendarAdvance(Calendar,R86,"1D","f")</f>
        <v>42401</v>
      </c>
      <c r="S87" s="47">
        <f>_xll.qlTenorBasisValue($P$3,R87,AllTriggers)</f>
        <v>3.3315390545279786E-3</v>
      </c>
      <c r="T87" s="41">
        <f>_xll.qlDayCounterYearFraction("actual/365 (fixed)",SettlementDate,R87,,,Trigger)</f>
        <v>0.33424657534246577</v>
      </c>
      <c r="U87" s="47">
        <f>_xll.qlPolynomialFunctionValue($P$18,T87,AllTriggers)</f>
        <v>3.0228678205518034E-3</v>
      </c>
    </row>
    <row r="88" spans="18:21" x14ac:dyDescent="0.2">
      <c r="R88" s="212">
        <f>_xll.qlCalendarAdvance(Calendar,R87,"1D","f")</f>
        <v>42402</v>
      </c>
      <c r="S88" s="47">
        <f>_xll.qlTenorBasisValue($P$3,R88,AllTriggers)</f>
        <v>3.3332027800597372E-3</v>
      </c>
      <c r="T88" s="41">
        <f>_xll.qlDayCounterYearFraction("actual/365 (fixed)",SettlementDate,R88,,,Trigger)</f>
        <v>0.33698630136986302</v>
      </c>
      <c r="U88" s="47">
        <f>_xll.qlPolynomialFunctionValue($P$18,T88,AllTriggers)</f>
        <v>3.0244600943705891E-3</v>
      </c>
    </row>
    <row r="89" spans="18:21" x14ac:dyDescent="0.2">
      <c r="R89" s="212">
        <f>_xll.qlCalendarAdvance(Calendar,R88,"1D","f")</f>
        <v>42403</v>
      </c>
      <c r="S89" s="47">
        <f>_xll.qlTenorBasisValue($P$3,R89,AllTriggers)</f>
        <v>3.3348665747303927E-3</v>
      </c>
      <c r="T89" s="41">
        <f>_xll.qlDayCounterYearFraction("actual/365 (fixed)",SettlementDate,R89,,,Trigger)</f>
        <v>0.33972602739726027</v>
      </c>
      <c r="U89" s="47">
        <f>_xll.qlPolynomialFunctionValue($P$18,T89,AllTriggers)</f>
        <v>3.0260533745015785E-3</v>
      </c>
    </row>
    <row r="90" spans="18:21" x14ac:dyDescent="0.2">
      <c r="R90" s="212">
        <f>_xll.qlCalendarAdvance(Calendar,R89,"1D","f")</f>
        <v>42404</v>
      </c>
      <c r="S90" s="47">
        <f>_xll.qlTenorBasisValue($P$3,R90,AllTriggers)</f>
        <v>3.3365304335026937E-3</v>
      </c>
      <c r="T90" s="41">
        <f>_xll.qlDayCounterYearFraction("actual/365 (fixed)",SettlementDate,R90,,,Trigger)</f>
        <v>0.34246575342465752</v>
      </c>
      <c r="U90" s="47">
        <f>_xll.qlPolynomialFunctionValue($P$18,T90,AllTriggers)</f>
        <v>3.0276476559075206E-3</v>
      </c>
    </row>
    <row r="91" spans="18:21" x14ac:dyDescent="0.2">
      <c r="R91" s="212">
        <f>_xll.qlCalendarAdvance(Calendar,R90,"1D","f")</f>
        <v>42405</v>
      </c>
      <c r="S91" s="47">
        <f>_xll.qlTenorBasisValue($P$3,R91,AllTriggers)</f>
        <v>3.3381943513393921E-3</v>
      </c>
      <c r="T91" s="41">
        <f>_xll.qlDayCounterYearFraction("actual/365 (fixed)",SettlementDate,R91,,,Trigger)</f>
        <v>0.34520547945205482</v>
      </c>
      <c r="U91" s="47">
        <f>_xll.qlPolynomialFunctionValue($P$18,T91,AllTriggers)</f>
        <v>3.0292429335511675E-3</v>
      </c>
    </row>
    <row r="92" spans="18:21" x14ac:dyDescent="0.2">
      <c r="R92" s="212">
        <f>_xll.qlCalendarAdvance(Calendar,R91,"1D","f")</f>
        <v>42408</v>
      </c>
      <c r="S92" s="47">
        <f>_xll.qlTenorBasisValue($P$3,R92,AllTriggers)</f>
        <v>3.34318640886337E-3</v>
      </c>
      <c r="T92" s="41">
        <f>_xll.qlDayCounterYearFraction("actual/365 (fixed)",SettlementDate,R92,,,Trigger)</f>
        <v>0.35342465753424657</v>
      </c>
      <c r="U92" s="47">
        <f>_xll.qlPolynomialFunctionValue($P$18,T92,AllTriggers)</f>
        <v>3.0340346935358352E-3</v>
      </c>
    </row>
    <row r="93" spans="18:21" x14ac:dyDescent="0.2">
      <c r="R93" s="212">
        <f>_xll.qlCalendarAdvance(Calendar,R92,"1D","f")</f>
        <v>42409</v>
      </c>
      <c r="S93" s="47">
        <f>_xll.qlTenorBasisValue($P$3,R93,AllTriggers)</f>
        <v>3.3448505125851587E-3</v>
      </c>
      <c r="T93" s="41">
        <f>_xll.qlDayCounterYearFraction("actual/365 (fixed)",SettlementDate,R93,,,Trigger)</f>
        <v>0.35616438356164382</v>
      </c>
      <c r="U93" s="47">
        <f>_xll.qlPolynomialFunctionValue($P$18,T93,AllTriggers)</f>
        <v>3.0356339057578006E-3</v>
      </c>
    </row>
    <row r="94" spans="18:21" x14ac:dyDescent="0.2">
      <c r="R94" s="212">
        <f>_xll.qlCalendarAdvance(Calendar,R93,"1D","f")</f>
        <v>42410</v>
      </c>
      <c r="S94" s="47">
        <f>_xll.qlTenorBasisValue($P$3,R94,AllTriggers)</f>
        <v>3.3465146501850947E-3</v>
      </c>
      <c r="T94" s="41">
        <f>_xll.qlDayCounterYearFraction("actual/365 (fixed)",SettlementDate,R94,,,Trigger)</f>
        <v>0.35890410958904112</v>
      </c>
      <c r="U94" s="47">
        <f>_xll.qlPolynomialFunctionValue($P$18,T94,AllTriggers)</f>
        <v>3.0372340890312218E-3</v>
      </c>
    </row>
    <row r="95" spans="18:21" x14ac:dyDescent="0.2">
      <c r="R95" s="212">
        <f>_xll.qlCalendarAdvance(Calendar,R94,"1D","f")</f>
        <v>42411</v>
      </c>
      <c r="S95" s="47">
        <f>_xll.qlTenorBasisValue($P$3,R95,AllTriggers)</f>
        <v>3.3481788166259299E-3</v>
      </c>
      <c r="T95" s="41">
        <f>_xll.qlDayCounterYearFraction("actual/365 (fixed)",SettlementDate,R95,,,Trigger)</f>
        <v>0.36164383561643837</v>
      </c>
      <c r="U95" s="47">
        <f>_xll.qlPolynomialFunctionValue($P$18,T95,AllTriggers)</f>
        <v>3.0388352383188492E-3</v>
      </c>
    </row>
    <row r="96" spans="18:21" x14ac:dyDescent="0.2">
      <c r="R96" s="212">
        <f>_xll.qlCalendarAdvance(Calendar,R95,"1D","f")</f>
        <v>42412</v>
      </c>
      <c r="S96" s="47">
        <f>_xll.qlTenorBasisValue($P$3,R96,AllTriggers)</f>
        <v>3.3498430068704143E-3</v>
      </c>
      <c r="T96" s="41">
        <f>_xll.qlDayCounterYearFraction("actual/365 (fixed)",SettlementDate,R96,,,Trigger)</f>
        <v>0.36438356164383562</v>
      </c>
      <c r="U96" s="47">
        <f>_xll.qlPolynomialFunctionValue($P$18,T96,AllTriggers)</f>
        <v>3.040437348583433E-3</v>
      </c>
    </row>
    <row r="97" spans="18:21" x14ac:dyDescent="0.2">
      <c r="R97" s="212">
        <f>_xll.qlCalendarAdvance(Calendar,R96,"1D","f")</f>
        <v>42415</v>
      </c>
      <c r="S97" s="47">
        <f>_xll.qlTenorBasisValue($P$3,R97,AllTriggers)</f>
        <v>3.3548356700532629E-3</v>
      </c>
      <c r="T97" s="41">
        <f>_xll.qlDayCounterYearFraction("actual/365 (fixed)",SettlementDate,R97,,,Trigger)</f>
        <v>0.37260273972602742</v>
      </c>
      <c r="U97" s="47">
        <f>_xll.qlPolynomialFunctionValue($P$18,T97,AllTriggers)</f>
        <v>3.0452493948664233E-3</v>
      </c>
    </row>
    <row r="98" spans="18:21" x14ac:dyDescent="0.2">
      <c r="R98" s="212">
        <f>_xll.qlCalendarAdvance(Calendar,R97,"1D","f")</f>
        <v>42416</v>
      </c>
      <c r="S98" s="47">
        <f>_xll.qlTenorBasisValue($P$3,R98,AllTriggers)</f>
        <v>3.3564999051398461E-3</v>
      </c>
      <c r="T98" s="41">
        <f>_xll.qlDayCounterYearFraction("actual/365 (fixed)",SettlementDate,R98,,,Trigger)</f>
        <v>0.37534246575342467</v>
      </c>
      <c r="U98" s="47">
        <f>_xll.qlPolynomialFunctionValue($P$18,T98,AllTriggers)</f>
        <v>3.0468552986663345E-3</v>
      </c>
    </row>
    <row r="99" spans="18:21" x14ac:dyDescent="0.2">
      <c r="R99" s="212">
        <f>_xll.qlCalendarAdvance(Calendar,R98,"1D","f")</f>
        <v>42417</v>
      </c>
      <c r="S99" s="47">
        <f>_xll.qlTenorBasisValue($P$3,R99,AllTriggers)</f>
        <v>3.3581641388438295E-3</v>
      </c>
      <c r="T99" s="41">
        <f>_xll.qlDayCounterYearFraction("actual/365 (fixed)",SettlementDate,R99,,,Trigger)</f>
        <v>0.37808219178082192</v>
      </c>
      <c r="U99" s="47">
        <f>_xll.qlPolynomialFunctionValue($P$18,T99,AllTriggers)</f>
        <v>3.0484621382569545E-3</v>
      </c>
    </row>
    <row r="100" spans="18:21" x14ac:dyDescent="0.2">
      <c r="R100" s="212">
        <f>_xll.qlCalendarAdvance(Calendar,R99,"1D","f")</f>
        <v>42418</v>
      </c>
      <c r="S100" s="47">
        <f>_xll.qlTenorBasisValue($P$3,R100,AllTriggers)</f>
        <v>3.3598283661279639E-3</v>
      </c>
      <c r="T100" s="41">
        <f>_xll.qlDayCounterYearFraction("actual/365 (fixed)",SettlementDate,R100,,,Trigger)</f>
        <v>0.38082191780821917</v>
      </c>
      <c r="U100" s="47">
        <f>_xll.qlPolynomialFunctionValue($P$18,T100,AllTriggers)</f>
        <v>3.0500699086010311E-3</v>
      </c>
    </row>
    <row r="101" spans="18:21" x14ac:dyDescent="0.2">
      <c r="R101" s="212">
        <f>_xll.qlCalendarAdvance(Calendar,R100,"1D","f")</f>
        <v>42419</v>
      </c>
      <c r="S101" s="47">
        <f>_xll.qlTenorBasisValue($P$3,R101,AllTriggers)</f>
        <v>3.3614925819549996E-3</v>
      </c>
      <c r="T101" s="41">
        <f>_xll.qlDayCounterYearFraction("actual/365 (fixed)",SettlementDate,R101,,,Trigger)</f>
        <v>0.38356164383561642</v>
      </c>
      <c r="U101" s="47">
        <f>_xll.qlPolynomialFunctionValue($P$18,T101,AllTriggers)</f>
        <v>3.0516786046613171E-3</v>
      </c>
    </row>
    <row r="102" spans="18:21" x14ac:dyDescent="0.2">
      <c r="R102" s="212">
        <f>_xll.qlCalendarAdvance(Calendar,R101,"1D","f")</f>
        <v>42422</v>
      </c>
      <c r="S102" s="47">
        <f>_xll.qlTenorBasisValue($P$3,R102,AllTriggers)</f>
        <v>3.366485110321016E-3</v>
      </c>
      <c r="T102" s="41">
        <f>_xll.qlDayCounterYearFraction("actual/365 (fixed)",SettlementDate,R102,,,Trigger)</f>
        <v>0.39178082191780822</v>
      </c>
      <c r="U102" s="47">
        <f>_xll.qlPolynomialFunctionValue($P$18,T102,AllTriggers)</f>
        <v>3.0565101967669284E-3</v>
      </c>
    </row>
    <row r="103" spans="18:21" x14ac:dyDescent="0.2">
      <c r="R103" s="212">
        <f>_xll.qlCalendarAdvance(Calendar,R102,"1D","f")</f>
        <v>42423</v>
      </c>
      <c r="S103" s="47">
        <f>_xll.qlTenorBasisValue($P$3,R103,AllTriggers)</f>
        <v>3.3681492299471598E-3</v>
      </c>
      <c r="T103" s="41">
        <f>_xll.qlDayCounterYearFraction("actual/365 (fixed)",SettlementDate,R103,,,Trigger)</f>
        <v>0.39452054794520547</v>
      </c>
      <c r="U103" s="47">
        <f>_xll.qlPolynomialFunctionValue($P$18,T103,AllTriggers)</f>
        <v>3.0581225453195507E-3</v>
      </c>
    </row>
    <row r="104" spans="18:21" x14ac:dyDescent="0.2">
      <c r="R104" s="212">
        <f>_xll.qlCalendarAdvance(Calendar,R103,"1D","f")</f>
        <v>42424</v>
      </c>
      <c r="S104" s="47">
        <f>_xll.qlTenorBasisValue($P$3,R104,AllTriggers)</f>
        <v>3.3698133129299555E-3</v>
      </c>
      <c r="T104" s="41">
        <f>_xll.qlDayCounterYearFraction("actual/365 (fixed)",SettlementDate,R104,,,Trigger)</f>
        <v>0.39726027397260272</v>
      </c>
      <c r="U104" s="47">
        <f>_xll.qlPolynomialFunctionValue($P$18,T104,AllTriggers)</f>
        <v>3.0597357944021335E-3</v>
      </c>
    </row>
    <row r="105" spans="18:21" x14ac:dyDescent="0.2">
      <c r="R105" s="212">
        <f>_xll.qlCalendarAdvance(Calendar,R104,"1D","f")</f>
        <v>42425</v>
      </c>
      <c r="S105" s="47">
        <f>_xll.qlTenorBasisValue($P$3,R105,AllTriggers)</f>
        <v>3.3714773542321552E-3</v>
      </c>
      <c r="T105" s="41">
        <f>_xll.qlDayCounterYearFraction("actual/365 (fixed)",SettlementDate,R105,,,Trigger)</f>
        <v>0.4</v>
      </c>
      <c r="U105" s="47">
        <f>_xll.qlPolynomialFunctionValue($P$18,T105,AllTriggers)</f>
        <v>3.0613499389774267E-3</v>
      </c>
    </row>
    <row r="106" spans="18:21" x14ac:dyDescent="0.2">
      <c r="R106" s="212">
        <f>_xll.qlCalendarAdvance(Calendar,R105,"1D","f")</f>
        <v>42426</v>
      </c>
      <c r="S106" s="47">
        <f>_xll.qlTenorBasisValue($P$3,R106,AllTriggers)</f>
        <v>3.3731413488165074E-3</v>
      </c>
      <c r="T106" s="41">
        <f>_xll.qlDayCounterYearFraction("actual/365 (fixed)",SettlementDate,R106,,,Trigger)</f>
        <v>0.40273972602739727</v>
      </c>
      <c r="U106" s="47">
        <f>_xll.qlPolynomialFunctionValue($P$18,T106,AllTriggers)</f>
        <v>3.0629649740081806E-3</v>
      </c>
    </row>
    <row r="107" spans="18:21" x14ac:dyDescent="0.2">
      <c r="R107" s="212">
        <f>_xll.qlCalendarAdvance(Calendar,R106,"1D","f")</f>
        <v>42429</v>
      </c>
      <c r="S107" s="47">
        <f>_xll.qlTenorBasisValue($P$3,R107,AllTriggers)</f>
        <v>3.3781330018899892E-3</v>
      </c>
      <c r="T107" s="41">
        <f>_xll.qlDayCounterYearFraction("actual/365 (fixed)",SettlementDate,R107,,,Trigger)</f>
        <v>0.41095890410958902</v>
      </c>
      <c r="U107" s="47">
        <f>_xll.qlPolynomialFunctionValue($P$18,T107,AllTriggers)</f>
        <v>3.0678153714607083E-3</v>
      </c>
    </row>
    <row r="108" spans="18:21" x14ac:dyDescent="0.2">
      <c r="R108" s="212">
        <f>_xll.qlCalendarAdvance(Calendar,R107,"1D","f")</f>
        <v>42430</v>
      </c>
      <c r="S108" s="47">
        <f>_xll.qlTenorBasisValue($P$3,R108,AllTriggers)</f>
        <v>3.3797967592304585E-3</v>
      </c>
      <c r="T108" s="41">
        <f>_xll.qlDayCounterYearFraction("actual/365 (fixed)",SettlementDate,R108,,,Trigger)</f>
        <v>0.41369863013698632</v>
      </c>
      <c r="U108" s="47">
        <f>_xll.qlPolynomialFunctionValue($P$18,T108,AllTriggers)</f>
        <v>3.0694339179408083E-3</v>
      </c>
    </row>
    <row r="109" spans="18:21" x14ac:dyDescent="0.2">
      <c r="R109" s="212">
        <f>_xll.qlCalendarAdvance(Calendar,R108,"1D","f")</f>
        <v>42431</v>
      </c>
      <c r="S109" s="47">
        <f>_xll.qlTenorBasisValue($P$3,R109,AllTriggers)</f>
        <v>3.3814604446668322E-3</v>
      </c>
      <c r="T109" s="41">
        <f>_xll.qlDayCounterYearFraction("actual/365 (fixed)",SettlementDate,R109,,,Trigger)</f>
        <v>0.41643835616438357</v>
      </c>
      <c r="U109" s="47">
        <f>_xll.qlPolynomialFunctionValue($P$18,T109,AllTriggers)</f>
        <v>3.0710533296901196E-3</v>
      </c>
    </row>
    <row r="110" spans="18:21" x14ac:dyDescent="0.2">
      <c r="R110" s="212">
        <f>_xll.qlCalendarAdvance(Calendar,R109,"1D","f")</f>
        <v>42432</v>
      </c>
      <c r="S110" s="47">
        <f>_xll.qlTenorBasisValue($P$3,R110,AllTriggers)</f>
        <v>3.3831240531618624E-3</v>
      </c>
      <c r="T110" s="41">
        <f>_xll.qlDayCounterYearFraction("actual/365 (fixed)",SettlementDate,R110,,,Trigger)</f>
        <v>0.41917808219178082</v>
      </c>
      <c r="U110" s="47">
        <f>_xll.qlPolynomialFunctionValue($P$18,T110,AllTriggers)</f>
        <v>3.0726736016713943E-3</v>
      </c>
    </row>
    <row r="111" spans="18:21" x14ac:dyDescent="0.2">
      <c r="R111" s="212">
        <f>_xll.qlCalendarAdvance(Calendar,R110,"1D","f")</f>
        <v>42433</v>
      </c>
      <c r="S111" s="47">
        <f>_xll.qlTenorBasisValue($P$3,R111,AllTriggers)</f>
        <v>3.3847875796782973E-3</v>
      </c>
      <c r="T111" s="41">
        <f>_xll.qlDayCounterYearFraction("actual/365 (fixed)",SettlementDate,R111,,,Trigger)</f>
        <v>0.42191780821917807</v>
      </c>
      <c r="U111" s="47">
        <f>_xll.qlPolynomialFunctionValue($P$18,T111,AllTriggers)</f>
        <v>3.0742947288473809E-3</v>
      </c>
    </row>
    <row r="112" spans="18:21" x14ac:dyDescent="0.2">
      <c r="R112" s="212">
        <f>_xll.qlCalendarAdvance(Calendar,R111,"1D","f")</f>
        <v>42436</v>
      </c>
      <c r="S112" s="47">
        <f>_xll.qlTenorBasisValue($P$3,R112,AllTriggers)</f>
        <v>3.3897776169835403E-3</v>
      </c>
      <c r="T112" s="41">
        <f>_xll.qlDayCounterYearFraction("actual/365 (fixed)",SettlementDate,R112,,,Trigger)</f>
        <v>0.43013698630136987</v>
      </c>
      <c r="U112" s="47">
        <f>_xll.qlPolynomialFunctionValue($P$18,T112,AllTriggers)</f>
        <v>3.079163191171123E-3</v>
      </c>
    </row>
    <row r="113" spans="18:21" x14ac:dyDescent="0.2">
      <c r="R113" s="212">
        <f>_xll.qlCalendarAdvance(Calendar,R112,"1D","f")</f>
        <v>42437</v>
      </c>
      <c r="S113" s="47">
        <f>_xll.qlTenorBasisValue($P$3,R113,AllTriggers)</f>
        <v>3.3914407652131007E-3</v>
      </c>
      <c r="T113" s="41">
        <f>_xll.qlDayCounterYearFraction("actual/365 (fixed)",SettlementDate,R113,,,Trigger)</f>
        <v>0.43287671232876712</v>
      </c>
      <c r="U113" s="47">
        <f>_xll.qlPolynomialFunctionValue($P$18,T113,AllTriggers)</f>
        <v>3.0807876887534646E-3</v>
      </c>
    </row>
    <row r="114" spans="18:21" x14ac:dyDescent="0.2">
      <c r="R114" s="212">
        <f>_xll.qlCalendarAdvance(Calendar,R113,"1D","f")</f>
        <v>42438</v>
      </c>
      <c r="S114" s="47">
        <f>_xll.qlTenorBasisValue($P$3,R114,AllTriggers)</f>
        <v>3.393103806277819E-3</v>
      </c>
      <c r="T114" s="41">
        <f>_xll.qlDayCounterYearFraction("actual/365 (fixed)",SettlementDate,R114,,,Trigger)</f>
        <v>0.43561643835616437</v>
      </c>
      <c r="U114" s="47">
        <f>_xll.qlPolynomialFunctionValue($P$18,T114,AllTriggers)</f>
        <v>3.0824130163442705E-3</v>
      </c>
    </row>
    <row r="115" spans="18:21" x14ac:dyDescent="0.2">
      <c r="R115" s="212">
        <f>_xll.qlCalendarAdvance(Calendar,R114,"1D","f")</f>
        <v>42439</v>
      </c>
      <c r="S115" s="47">
        <f>_xll.qlTenorBasisValue($P$3,R115,AllTriggers)</f>
        <v>3.3947667351404442E-3</v>
      </c>
      <c r="T115" s="41">
        <f>_xll.qlDayCounterYearFraction("actual/365 (fixed)",SettlementDate,R115,,,Trigger)</f>
        <v>0.43835616438356162</v>
      </c>
      <c r="U115" s="47">
        <f>_xll.qlPolynomialFunctionValue($P$18,T115,AllTriggers)</f>
        <v>3.0840391689062915E-3</v>
      </c>
    </row>
    <row r="116" spans="18:21" x14ac:dyDescent="0.2">
      <c r="R116" s="212">
        <f>_xll.qlCalendarAdvance(Calendar,R115,"1D","f")</f>
        <v>42440</v>
      </c>
      <c r="S116" s="47">
        <f>_xll.qlTenorBasisValue($P$3,R116,AllTriggers)</f>
        <v>3.3964295467637279E-3</v>
      </c>
      <c r="T116" s="41">
        <f>_xll.qlDayCounterYearFraction("actual/365 (fixed)",SettlementDate,R116,,,Trigger)</f>
        <v>0.44109589041095892</v>
      </c>
      <c r="U116" s="47">
        <f>_xll.qlPolynomialFunctionValue($P$18,T116,AllTriggers)</f>
        <v>3.0856661414022778E-3</v>
      </c>
    </row>
    <row r="117" spans="18:21" x14ac:dyDescent="0.2">
      <c r="R117" s="212">
        <f>_xll.qlCalendarAdvance(Calendar,R116,"1D","f")</f>
        <v>42443</v>
      </c>
      <c r="S117" s="47">
        <f>_xll.qlTenorBasisValue($P$3,R117,AllTriggers)</f>
        <v>3.4014172278250283E-3</v>
      </c>
      <c r="T117" s="41">
        <f>_xll.qlDayCounterYearFraction("actual/365 (fixed)",SettlementDate,R117,,,Trigger)</f>
        <v>0.44931506849315067</v>
      </c>
      <c r="U117" s="47">
        <f>_xll.qlPolynomialFunctionValue($P$18,T117,AllTriggers)</f>
        <v>3.0905519281215297E-3</v>
      </c>
    </row>
    <row r="118" spans="18:21" x14ac:dyDescent="0.2">
      <c r="R118" s="212">
        <f>_xll.qlCalendarAdvance(Calendar,R117,"1D","f")</f>
        <v>42444</v>
      </c>
      <c r="S118" s="47">
        <f>_xll.qlTenorBasisValue($P$3,R118,AllTriggers)</f>
        <v>3.403079520118446E-3</v>
      </c>
      <c r="T118" s="41">
        <f>_xll.qlDayCounterYearFraction("actual/365 (fixed)",SettlementDate,R118,,,Trigger)</f>
        <v>0.45205479452054792</v>
      </c>
      <c r="U118" s="47">
        <f>_xll.qlPolynomialFunctionValue($P$18,T118,AllTriggers)</f>
        <v>3.0921821299808795E-3</v>
      </c>
    </row>
    <row r="119" spans="18:21" x14ac:dyDescent="0.2">
      <c r="R119" s="212">
        <f>_xll.qlCalendarAdvance(Calendar,R118,"1D","f")</f>
        <v>42445</v>
      </c>
      <c r="S119" s="47">
        <f>_xll.qlTenorBasisValue($P$3,R119,AllTriggers)</f>
        <v>3.4047416699862732E-3</v>
      </c>
      <c r="T119" s="41">
        <f>_xll.qlDayCounterYearFraction("actual/365 (fixed)",SettlementDate,R119,,,Trigger)</f>
        <v>0.45479452054794522</v>
      </c>
      <c r="U119" s="47">
        <f>_xll.qlPolynomialFunctionValue($P$18,T119,AllTriggers)</f>
        <v>3.0938131265879458E-3</v>
      </c>
    </row>
    <row r="120" spans="18:21" x14ac:dyDescent="0.2">
      <c r="R120" s="212">
        <f>_xll.qlCalendarAdvance(Calendar,R119,"1D","f")</f>
        <v>42446</v>
      </c>
      <c r="S120" s="47">
        <f>_xll.qlTenorBasisValue($P$3,R120,AllTriggers)</f>
        <v>3.40640367239126E-3</v>
      </c>
      <c r="T120" s="41">
        <f>_xll.qlDayCounterYearFraction("actual/365 (fixed)",SettlementDate,R120,,,Trigger)</f>
        <v>0.45753424657534247</v>
      </c>
      <c r="U120" s="47">
        <f>_xll.qlPolynomialFunctionValue($P$18,T120,AllTriggers)</f>
        <v>3.0954449129054792E-3</v>
      </c>
    </row>
    <row r="121" spans="18:21" x14ac:dyDescent="0.2">
      <c r="R121" s="212">
        <f>_xll.qlCalendarAdvance(Calendar,R120,"1D","f")</f>
        <v>42447</v>
      </c>
      <c r="S121" s="47">
        <f>_xll.qlTenorBasisValue($P$3,R121,AllTriggers)</f>
        <v>3.4080655222961573E-3</v>
      </c>
      <c r="T121" s="41">
        <f>_xll.qlDayCounterYearFraction("actual/365 (fixed)",SettlementDate,R121,,,Trigger)</f>
        <v>0.46027397260273972</v>
      </c>
      <c r="U121" s="47">
        <f>_xll.qlPolynomialFunctionValue($P$18,T121,AllTriggers)</f>
        <v>3.0970774838962297E-3</v>
      </c>
    </row>
    <row r="122" spans="18:21" x14ac:dyDescent="0.2">
      <c r="R122" s="212">
        <f>_xll.qlCalendarAdvance(Calendar,R121,"1D","f")</f>
        <v>42450</v>
      </c>
      <c r="S122" s="47">
        <f>_xll.qlTenorBasisValue($P$3,R122,AllTriggers)</f>
        <v>3.4130501066378122E-3</v>
      </c>
      <c r="T122" s="41">
        <f>_xll.qlDayCounterYearFraction("actual/365 (fixed)",SettlementDate,R122,,,Trigger)</f>
        <v>0.46849315068493153</v>
      </c>
      <c r="U122" s="47">
        <f>_xll.qlPolynomialFunctionValue($P$18,T122,AllTriggers)</f>
        <v>3.1019798545352893E-3</v>
      </c>
    </row>
    <row r="123" spans="18:21" x14ac:dyDescent="0.2">
      <c r="R123" s="212">
        <f>_xll.qlCalendarAdvance(Calendar,R122,"1D","f")</f>
        <v>42451</v>
      </c>
      <c r="S123" s="47">
        <f>_xll.qlTenorBasisValue($P$3,R123,AllTriggers)</f>
        <v>3.4147112961698525E-3</v>
      </c>
      <c r="T123" s="41">
        <f>_xll.qlDayCounterYearFraction("actual/365 (fixed)",SettlementDate,R123,,,Trigger)</f>
        <v>0.47123287671232877</v>
      </c>
      <c r="U123" s="47">
        <f>_xll.qlPolynomialFunctionValue($P$18,T123,AllTriggers)</f>
        <v>3.1036155138464121E-3</v>
      </c>
    </row>
    <row r="124" spans="18:21" x14ac:dyDescent="0.2">
      <c r="R124" s="212">
        <f>_xll.qlCalendarAdvance(Calendar,R123,"1D","f")</f>
        <v>42452</v>
      </c>
      <c r="S124" s="47">
        <f>_xll.qlTenorBasisValue($P$3,R124,AllTriggers)</f>
        <v>3.4163723080155549E-3</v>
      </c>
      <c r="T124" s="41">
        <f>_xll.qlDayCounterYearFraction("actual/365 (fixed)",SettlementDate,R124,,,Trigger)</f>
        <v>0.47397260273972602</v>
      </c>
      <c r="U124" s="47">
        <f>_xll.qlPolynomialFunctionValue($P$18,T124,AllTriggers)</f>
        <v>3.105251932644504E-3</v>
      </c>
    </row>
    <row r="125" spans="18:21" x14ac:dyDescent="0.2">
      <c r="R125" s="212">
        <f>_xll.qlCalendarAdvance(Calendar,R124,"1D","f")</f>
        <v>42453</v>
      </c>
      <c r="S125" s="47">
        <f>_xll.qlTenorBasisValue($P$3,R125,AllTriggers)</f>
        <v>3.4180331371376684E-3</v>
      </c>
      <c r="T125" s="41">
        <f>_xll.qlDayCounterYearFraction("actual/365 (fixed)",SettlementDate,R125,,,Trigger)</f>
        <v>0.47671232876712327</v>
      </c>
      <c r="U125" s="47">
        <f>_xll.qlPolynomialFunctionValue($P$18,T125,AllTriggers)</f>
        <v>3.1068891058923151E-3</v>
      </c>
    </row>
    <row r="126" spans="18:21" x14ac:dyDescent="0.2">
      <c r="R126" s="212">
        <f>_xll.qlCalendarAdvance(Calendar,R125,"1D","f")</f>
        <v>42458</v>
      </c>
      <c r="S126" s="47">
        <f>_xll.qlTenorBasisValue($P$3,R126,AllTriggers)</f>
        <v>3.4263343655906793E-3</v>
      </c>
      <c r="T126" s="41">
        <f>_xll.qlDayCounterYearFraction("actual/365 (fixed)",SettlementDate,R126,,,Trigger)</f>
        <v>0.49041095890410957</v>
      </c>
      <c r="U126" s="47">
        <f>_xll.qlPolynomialFunctionValue($P$18,T126,AllTriggers)</f>
        <v>3.1150861125734206E-3</v>
      </c>
    </row>
    <row r="127" spans="18:21" x14ac:dyDescent="0.2">
      <c r="R127" s="212">
        <f>_xll.qlCalendarAdvance(Calendar,R126,"1D","f")</f>
        <v>42459</v>
      </c>
      <c r="S127" s="47">
        <f>_xll.qlTenorBasisValue($P$3,R127,AllTriggers)</f>
        <v>3.4279939925890221E-3</v>
      </c>
      <c r="T127" s="41">
        <f>_xll.qlDayCounterYearFraction("actual/365 (fixed)",SettlementDate,R127,,,Trigger)</f>
        <v>0.49315068493150682</v>
      </c>
      <c r="U127" s="47">
        <f>_xll.qlPolynomialFunctionValue($P$18,T127,AllTriggers)</f>
        <v>3.1167277067373042E-3</v>
      </c>
    </row>
    <row r="128" spans="18:21" x14ac:dyDescent="0.2">
      <c r="R128" s="212">
        <f>_xll.qlCalendarAdvance(Calendar,R127,"1D","f")</f>
        <v>42460</v>
      </c>
      <c r="S128" s="47">
        <f>_xll.qlTenorBasisValue($P$3,R128,AllTriggers)</f>
        <v>3.429653401603029E-3</v>
      </c>
      <c r="T128" s="41">
        <f>_xll.qlDayCounterYearFraction("actual/365 (fixed)",SettlementDate,R128,,,Trigger)</f>
        <v>0.49589041095890413</v>
      </c>
      <c r="U128" s="47">
        <f>_xll.qlPolynomialFunctionValue($P$18,T128,AllTriggers)</f>
        <v>3.1183700200901588E-3</v>
      </c>
    </row>
    <row r="129" spans="18:21" x14ac:dyDescent="0.2">
      <c r="R129" s="212">
        <f>_xll.qlCalendarAdvance(Calendar,R128,"1D","f")</f>
        <v>42461</v>
      </c>
      <c r="S129" s="47">
        <f>_xll.qlTenorBasisValue($P$3,R129,AllTriggers)</f>
        <v>3.4313125875954499E-3</v>
      </c>
      <c r="T129" s="41">
        <f>_xll.qlDayCounterYearFraction("actual/365 (fixed)",SettlementDate,R129,,,Trigger)</f>
        <v>0.49863013698630138</v>
      </c>
      <c r="U129" s="47">
        <f>_xll.qlPolynomialFunctionValue($P$18,T129,AllTriggers)</f>
        <v>3.1200130475947351E-3</v>
      </c>
    </row>
    <row r="130" spans="18:21" x14ac:dyDescent="0.2">
      <c r="R130" s="212">
        <f>_xll.qlCalendarAdvance(Calendar,R129,"1D","f")</f>
        <v>42464</v>
      </c>
      <c r="S130" s="47">
        <f>_xll.qlTenorBasisValue($P$3,R130,AllTriggers)</f>
        <v>3.4362887570707035E-3</v>
      </c>
      <c r="T130" s="41">
        <f>_xll.qlDayCounterYearFraction("actual/365 (fixed)",SettlementDate,R130,,,Trigger)</f>
        <v>0.50684931506849318</v>
      </c>
      <c r="U130" s="47">
        <f>_xll.qlPolynomialFunctionValue($P$18,T130,AllTriggers)</f>
        <v>3.1249463646462979E-3</v>
      </c>
    </row>
    <row r="131" spans="18:21" x14ac:dyDescent="0.2">
      <c r="R131" s="212">
        <f>_xll.qlCalendarAdvance(Calendar,R130,"1D","f")</f>
        <v>42465</v>
      </c>
      <c r="S131" s="47">
        <f>_xll.qlTenorBasisValue($P$3,R131,AllTriggers)</f>
        <v>3.4379470006042859E-3</v>
      </c>
      <c r="T131" s="41">
        <f>_xll.qlDayCounterYearFraction("actual/365 (fixed)",SettlementDate,R131,,,Trigger)</f>
        <v>0.50958904109589043</v>
      </c>
      <c r="U131" s="47">
        <f>_xll.qlPolynomialFunctionValue($P$18,T131,AllTriggers)</f>
        <v>3.1265921983852645E-3</v>
      </c>
    </row>
    <row r="132" spans="18:21" x14ac:dyDescent="0.2">
      <c r="R132" s="212">
        <f>_xll.qlCalendarAdvance(Calendar,R131,"1D","f")</f>
        <v>42466</v>
      </c>
      <c r="S132" s="47">
        <f>_xll.qlTenorBasisValue($P$3,R132,AllTriggers)</f>
        <v>3.4396049959300339E-3</v>
      </c>
      <c r="T132" s="41">
        <f>_xll.qlDayCounterYearFraction("actual/365 (fixed)",SettlementDate,R132,,,Trigger)</f>
        <v>0.51232876712328768</v>
      </c>
      <c r="U132" s="47">
        <f>_xll.qlPolynomialFunctionValue($P$18,T132,AllTriggers)</f>
        <v>3.1282387210897046E-3</v>
      </c>
    </row>
    <row r="133" spans="18:21" x14ac:dyDescent="0.2">
      <c r="R133" s="212">
        <f>_xll.qlCalendarAdvance(Calendar,R132,"1D","f")</f>
        <v>42467</v>
      </c>
      <c r="S133" s="47">
        <f>_xll.qlTenorBasisValue($P$3,R133,AllTriggers)</f>
        <v>3.441262738010699E-3</v>
      </c>
      <c r="T133" s="41">
        <f>_xll.qlDayCounterYearFraction("actual/365 (fixed)",SettlementDate,R133,,,Trigger)</f>
        <v>0.51506849315068493</v>
      </c>
      <c r="U133" s="47">
        <f>_xll.qlPolynomialFunctionValue($P$18,T133,AllTriggers)</f>
        <v>3.1298859277223679E-3</v>
      </c>
    </row>
    <row r="134" spans="18:21" x14ac:dyDescent="0.2">
      <c r="R134" s="212">
        <f>_xll.qlCalendarAdvance(Calendar,R133,"1D","f")</f>
        <v>42468</v>
      </c>
      <c r="S134" s="47">
        <f>_xll.qlTenorBasisValue($P$3,R134,AllTriggers)</f>
        <v>3.4429202218090307E-3</v>
      </c>
      <c r="T134" s="41">
        <f>_xll.qlDayCounterYearFraction("actual/365 (fixed)",SettlementDate,R134,,,Trigger)</f>
        <v>0.51780821917808217</v>
      </c>
      <c r="U134" s="47">
        <f>_xll.qlPolynomialFunctionValue($P$18,T134,AllTriggers)</f>
        <v>3.1315338132460058E-3</v>
      </c>
    </row>
    <row r="135" spans="18:21" x14ac:dyDescent="0.2">
      <c r="R135" s="212">
        <f>_xll.qlCalendarAdvance(Calendar,R134,"1D","f")</f>
        <v>42471</v>
      </c>
      <c r="S135" s="47">
        <f>_xll.qlTenorBasisValue($P$3,R135,AllTriggers)</f>
        <v>3.4478910731375288E-3</v>
      </c>
      <c r="T135" s="41">
        <f>_xll.qlDayCounterYearFraction("actual/365 (fixed)",SettlementDate,R135,,,Trigger)</f>
        <v>0.52602739726027392</v>
      </c>
      <c r="U135" s="47">
        <f>_xll.qlPolynomialFunctionValue($P$18,T135,AllTriggers)</f>
        <v>3.136481492790266E-3</v>
      </c>
    </row>
    <row r="136" spans="18:21" x14ac:dyDescent="0.2">
      <c r="R136" s="212">
        <f>_xll.qlCalendarAdvance(Calendar,R135,"1D","f")</f>
        <v>42472</v>
      </c>
      <c r="S136" s="47">
        <f>_xll.qlTenorBasisValue($P$3,R136,AllTriggers)</f>
        <v>3.4495474734340301E-3</v>
      </c>
      <c r="T136" s="41">
        <f>_xll.qlDayCounterYearFraction("actual/365 (fixed)",SettlementDate,R136,,,Trigger)</f>
        <v>0.52876712328767128</v>
      </c>
      <c r="U136" s="47">
        <f>_xll.qlPolynomialFunctionValue($P$18,T136,AllTriggers)</f>
        <v>3.1381320435053019E-3</v>
      </c>
    </row>
    <row r="137" spans="18:21" x14ac:dyDescent="0.2">
      <c r="R137" s="212">
        <f>_xll.qlCalendarAdvance(Calendar,R136,"1D","f")</f>
        <v>42473</v>
      </c>
      <c r="S137" s="47">
        <f>_xll.qlTenorBasisValue($P$3,R137,AllTriggers)</f>
        <v>3.4512035902619508E-3</v>
      </c>
      <c r="T137" s="41">
        <f>_xll.qlDayCounterYearFraction("actual/365 (fixed)",SettlementDate,R137,,,Trigger)</f>
        <v>0.53150684931506853</v>
      </c>
      <c r="U137" s="47">
        <f>_xll.qlPolynomialFunctionValue($P$18,T137,AllTriggers)</f>
        <v>3.1397832479250647E-3</v>
      </c>
    </row>
    <row r="138" spans="18:21" x14ac:dyDescent="0.2">
      <c r="R138" s="212">
        <f>_xll.qlCalendarAdvance(Calendar,R137,"1D","f")</f>
        <v>42474</v>
      </c>
      <c r="S138" s="47">
        <f>_xll.qlTenorBasisValue($P$3,R138,AllTriggers)</f>
        <v>3.4528594185840389E-3</v>
      </c>
      <c r="T138" s="41">
        <f>_xll.qlDayCounterYearFraction("actual/365 (fixed)",SettlementDate,R138,,,Trigger)</f>
        <v>0.53424657534246578</v>
      </c>
      <c r="U138" s="47">
        <f>_xll.qlPolynomialFunctionValue($P$18,T138,AllTriggers)</f>
        <v>3.1414351010123028E-3</v>
      </c>
    </row>
    <row r="139" spans="18:21" x14ac:dyDescent="0.2">
      <c r="R139" s="212">
        <f>_xll.qlCalendarAdvance(Calendar,R138,"1D","f")</f>
        <v>42475</v>
      </c>
      <c r="S139" s="47">
        <f>_xll.qlTenorBasisValue($P$3,R139,AllTriggers)</f>
        <v>3.4545149533630462E-3</v>
      </c>
      <c r="T139" s="41">
        <f>_xll.qlDayCounterYearFraction("actual/365 (fixed)",SettlementDate,R139,,,Trigger)</f>
        <v>0.53698630136986303</v>
      </c>
      <c r="U139" s="47">
        <f>_xll.qlPolynomialFunctionValue($P$18,T139,AllTriggers)</f>
        <v>3.1430875977297673E-3</v>
      </c>
    </row>
    <row r="140" spans="18:21" x14ac:dyDescent="0.2">
      <c r="R140" s="212">
        <f>_xll.qlCalendarAdvance(Calendar,R139,"1D","f")</f>
        <v>42478</v>
      </c>
      <c r="S140" s="47">
        <f>_xll.qlTenorBasisValue($P$3,R140,AllTriggers)</f>
        <v>3.4594797460690855E-3</v>
      </c>
      <c r="T140" s="41">
        <f>_xll.qlDayCounterYearFraction("actual/365 (fixed)",SettlementDate,R140,,,Trigger)</f>
        <v>0.54520547945205478</v>
      </c>
      <c r="U140" s="47">
        <f>_xll.qlPolynomialFunctionValue($P$18,T140,AllTriggers)</f>
        <v>3.1480488992910206E-3</v>
      </c>
    </row>
    <row r="141" spans="18:21" x14ac:dyDescent="0.2">
      <c r="R141" s="212">
        <f>_xll.qlCalendarAdvance(Calendar,R140,"1D","f")</f>
        <v>42479</v>
      </c>
      <c r="S141" s="47">
        <f>_xll.qlTenorBasisValue($P$3,R141,AllTriggers)</f>
        <v>3.4611340563032718E-3</v>
      </c>
      <c r="T141" s="41">
        <f>_xll.qlDayCounterYearFraction("actual/365 (fixed)",SettlementDate,R141,,,Trigger)</f>
        <v>0.54794520547945202</v>
      </c>
      <c r="U141" s="47">
        <f>_xll.qlPolynomialFunctionValue($P$18,T141,AllTriggers)</f>
        <v>3.1497039201568932E-3</v>
      </c>
    </row>
    <row r="142" spans="18:21" x14ac:dyDescent="0.2">
      <c r="R142" s="212">
        <f>_xll.qlCalendarAdvance(Calendar,R141,"1D","f")</f>
        <v>42480</v>
      </c>
      <c r="S142" s="47">
        <f>_xll.qlTenorBasisValue($P$3,R142,AllTriggers)</f>
        <v>3.4627880478081286E-3</v>
      </c>
      <c r="T142" s="41">
        <f>_xll.qlDayCounterYearFraction("actual/365 (fixed)",SettlementDate,R142,,,Trigger)</f>
        <v>0.55068493150684927</v>
      </c>
      <c r="U142" s="47">
        <f>_xll.qlPolynomialFunctionValue($P$18,T142,AllTriggers)</f>
        <v>3.1513595594667432E-3</v>
      </c>
    </row>
    <row r="143" spans="18:21" x14ac:dyDescent="0.2">
      <c r="R143" s="212">
        <f>_xll.qlCalendarAdvance(Calendar,R142,"1D","f")</f>
        <v>42481</v>
      </c>
      <c r="S143" s="47">
        <f>_xll.qlTenorBasisValue($P$3,R143,AllTriggers)</f>
        <v>3.4644417155464068E-3</v>
      </c>
      <c r="T143" s="41">
        <f>_xll.qlDayCounterYearFraction("actual/365 (fixed)",SettlementDate,R143,,,Trigger)</f>
        <v>0.55342465753424652</v>
      </c>
      <c r="U143" s="47">
        <f>_xll.qlPolynomialFunctionValue($P$18,T143,AllTriggers)</f>
        <v>3.1530158121833214E-3</v>
      </c>
    </row>
    <row r="144" spans="18:21" x14ac:dyDescent="0.2">
      <c r="R144" s="212">
        <f>_xll.qlCalendarAdvance(Calendar,R143,"1D","f")</f>
        <v>42482</v>
      </c>
      <c r="S144" s="47">
        <f>_xll.qlTenorBasisValue($P$3,R144,AllTriggers)</f>
        <v>3.4660950544808558E-3</v>
      </c>
      <c r="T144" s="41">
        <f>_xll.qlDayCounterYearFraction("actual/365 (fixed)",SettlementDate,R144,,,Trigger)</f>
        <v>0.55616438356164388</v>
      </c>
      <c r="U144" s="47">
        <f>_xll.qlPolynomialFunctionValue($P$18,T144,AllTriggers)</f>
        <v>3.154672673269378E-3</v>
      </c>
    </row>
    <row r="145" spans="18:21" x14ac:dyDescent="0.2">
      <c r="R145" s="212">
        <f>_xll.qlCalendarAdvance(Calendar,R144,"1D","f")</f>
        <v>42485</v>
      </c>
      <c r="S145" s="47">
        <f>_xll.qlTenorBasisValue($P$3,R145,AllTriggers)</f>
        <v>3.4710530480887326E-3</v>
      </c>
      <c r="T145" s="41">
        <f>_xll.qlDayCounterYearFraction("actual/365 (fixed)",SettlementDate,R145,,,Trigger)</f>
        <v>0.56438356164383563</v>
      </c>
      <c r="U145" s="47">
        <f>_xll.qlPolynomialFunctionValue($P$18,T145,AllTriggers)</f>
        <v>3.1596468563719221E-3</v>
      </c>
    </row>
    <row r="146" spans="18:21" x14ac:dyDescent="0.2">
      <c r="R146" s="212">
        <f>_xll.qlCalendarAdvance(Calendar,R145,"1D","f")</f>
        <v>42486</v>
      </c>
      <c r="S146" s="47">
        <f>_xll.qlTenorBasisValue($P$3,R146,AllTriggers)</f>
        <v>3.4727050214353691E-3</v>
      </c>
      <c r="T146" s="41">
        <f>_xll.qlDayCounterYearFraction("actual/365 (fixed)",SettlementDate,R146,,,Trigger)</f>
        <v>0.56712328767123288</v>
      </c>
      <c r="U146" s="47">
        <f>_xll.qlPolynomialFunctionValue($P$18,T146,AllTriggers)</f>
        <v>3.1613061005633957E-3</v>
      </c>
    </row>
    <row r="147" spans="18:21" x14ac:dyDescent="0.2">
      <c r="R147" s="212">
        <f>_xll.qlCalendarAdvance(Calendar,R146,"1D","f")</f>
        <v>42487</v>
      </c>
      <c r="S147" s="47">
        <f>_xll.qlTenorBasisValue($P$3,R147,AllTriggers)</f>
        <v>3.4743566407919287E-3</v>
      </c>
      <c r="T147" s="41">
        <f>_xll.qlDayCounterYearFraction("actual/365 (fixed)",SettlementDate,R147,,,Trigger)</f>
        <v>0.56986301369863013</v>
      </c>
      <c r="U147" s="47">
        <f>_xll.qlPolynomialFunctionValue($P$18,T147,AllTriggers)</f>
        <v>3.162965927938099E-3</v>
      </c>
    </row>
    <row r="148" spans="18:21" x14ac:dyDescent="0.2">
      <c r="R148" s="212">
        <f>_xll.qlCalendarAdvance(Calendar,R147,"1D","f")</f>
        <v>42488</v>
      </c>
      <c r="S148" s="47">
        <f>_xll.qlTenorBasisValue($P$3,R148,AllTriggers)</f>
        <v>3.4760079011211618E-3</v>
      </c>
      <c r="T148" s="41">
        <f>_xll.qlDayCounterYearFraction("actual/365 (fixed)",SettlementDate,R148,,,Trigger)</f>
        <v>0.57260273972602738</v>
      </c>
      <c r="U148" s="47">
        <f>_xll.qlPolynomialFunctionValue($P$18,T148,AllTriggers)</f>
        <v>3.1646263334587834E-3</v>
      </c>
    </row>
    <row r="149" spans="18:21" x14ac:dyDescent="0.2">
      <c r="R149" s="212">
        <f>_xll.qlCalendarAdvance(Calendar,R148,"1D","f")</f>
        <v>42489</v>
      </c>
      <c r="S149" s="47">
        <f>_xll.qlTenorBasisValue($P$3,R149,AllTriggers)</f>
        <v>3.4776587973858178E-3</v>
      </c>
      <c r="T149" s="41">
        <f>_xll.qlDayCounterYearFraction("actual/365 (fixed)",SettlementDate,R149,,,Trigger)</f>
        <v>0.57534246575342463</v>
      </c>
      <c r="U149" s="47">
        <f>_xll.qlPolynomialFunctionValue($P$18,T149,AllTriggers)</f>
        <v>3.1662873120881976E-3</v>
      </c>
    </row>
    <row r="150" spans="18:21" x14ac:dyDescent="0.2">
      <c r="R150" s="212">
        <f>_xll.qlCalendarAdvance(Calendar,R149,"1D","f")</f>
        <v>42492</v>
      </c>
      <c r="S150" s="47">
        <f>_xll.qlTenorBasisValue($P$3,R150,AllTriggers)</f>
        <v>3.4826092514198288E-3</v>
      </c>
      <c r="T150" s="41">
        <f>_xll.qlDayCounterYearFraction("actual/365 (fixed)",SettlementDate,R150,,,Trigger)</f>
        <v>0.58356164383561648</v>
      </c>
      <c r="U150" s="47">
        <f>_xll.qlPolynomialFunctionValue($P$18,T150,AllTriggers)</f>
        <v>3.1712736362563281E-3</v>
      </c>
    </row>
    <row r="151" spans="18:21" x14ac:dyDescent="0.2">
      <c r="R151" s="212">
        <f>_xll.qlCalendarAdvance(Calendar,R150,"1D","f")</f>
        <v>42493</v>
      </c>
      <c r="S151" s="47">
        <f>_xll.qlTenorBasisValue($P$3,R151,AllTriggers)</f>
        <v>3.4842586410536816E-3</v>
      </c>
      <c r="T151" s="41">
        <f>_xll.qlDayCounterYearFraction("actual/365 (fixed)",SettlementDate,R151,,,Trigger)</f>
        <v>0.58630136986301373</v>
      </c>
      <c r="U151" s="47">
        <f>_xll.qlPolynomialFunctionValue($P$18,T151,AllTriggers)</f>
        <v>3.1729368569481686E-3</v>
      </c>
    </row>
    <row r="152" spans="18:21" x14ac:dyDescent="0.2">
      <c r="R152" s="212">
        <f>_xll.qlCalendarAdvance(Calendar,R151,"1D","f")</f>
        <v>42494</v>
      </c>
      <c r="S152" s="47">
        <f>_xll.qlTenorBasisValue($P$3,R152,AllTriggers)</f>
        <v>3.4859076414367096E-3</v>
      </c>
      <c r="T152" s="41">
        <f>_xll.qlDayCounterYearFraction("actual/365 (fixed)",SettlementDate,R152,,,Trigger)</f>
        <v>0.58904109589041098</v>
      </c>
      <c r="U152" s="47">
        <f>_xll.qlPolynomialFunctionValue($P$18,T152,AllTriggers)</f>
        <v>3.1746006255624912E-3</v>
      </c>
    </row>
    <row r="153" spans="18:21" x14ac:dyDescent="0.2">
      <c r="R153" s="212">
        <f>_xll.qlCalendarAdvance(Calendar,R152,"1D","f")</f>
        <v>42495</v>
      </c>
      <c r="S153" s="47">
        <f>_xll.qlTenorBasisValue($P$3,R153,AllTriggers)</f>
        <v>3.487556247531662E-3</v>
      </c>
      <c r="T153" s="41">
        <f>_xll.qlDayCounterYearFraction("actual/365 (fixed)",SettlementDate,R153,,,Trigger)</f>
        <v>0.59178082191780823</v>
      </c>
      <c r="U153" s="47">
        <f>_xll.qlPolynomialFunctionValue($P$18,T153,AllTriggers)</f>
        <v>3.1762649370620463E-3</v>
      </c>
    </row>
    <row r="154" spans="18:21" x14ac:dyDescent="0.2">
      <c r="R154" s="212">
        <f>_xll.qlCalendarAdvance(Calendar,R153,"1D","f")</f>
        <v>42496</v>
      </c>
      <c r="S154" s="47">
        <f>_xll.qlTenorBasisValue($P$3,R154,AllTriggers)</f>
        <v>3.4892044543012911E-3</v>
      </c>
      <c r="T154" s="41">
        <f>_xll.qlDayCounterYearFraction("actual/365 (fixed)",SettlementDate,R154,,,Trigger)</f>
        <v>0.59452054794520548</v>
      </c>
      <c r="U154" s="47">
        <f>_xll.qlPolynomialFunctionValue($P$18,T154,AllTriggers)</f>
        <v>3.1779297864095841E-3</v>
      </c>
    </row>
    <row r="155" spans="18:21" x14ac:dyDescent="0.2">
      <c r="R155" s="212">
        <f>_xll.qlCalendarAdvance(Calendar,R154,"1D","f")</f>
        <v>42499</v>
      </c>
      <c r="S155" s="47">
        <f>_xll.qlTenorBasisValue($P$3,R155,AllTriggers)</f>
        <v>3.4941466282857334E-3</v>
      </c>
      <c r="T155" s="41">
        <f>_xll.qlDayCounterYearFraction("actual/365 (fixed)",SettlementDate,R155,,,Trigger)</f>
        <v>0.60273972602739723</v>
      </c>
      <c r="U155" s="47">
        <f>_xll.qlPolynomialFunctionValue($P$18,T155,AllTriggers)</f>
        <v>3.182927511167599E-3</v>
      </c>
    </row>
    <row r="156" spans="18:21" x14ac:dyDescent="0.2">
      <c r="R156" s="212">
        <f>_xll.qlCalendarAdvance(Calendar,R155,"1D","f")</f>
        <v>42500</v>
      </c>
      <c r="S156" s="47">
        <f>_xll.qlTenorBasisValue($P$3,R156,AllTriggers)</f>
        <v>3.4957931873815678E-3</v>
      </c>
      <c r="T156" s="41">
        <f>_xll.qlDayCounterYearFraction("actual/365 (fixed)",SettlementDate,R156,,,Trigger)</f>
        <v>0.60547945205479448</v>
      </c>
      <c r="U156" s="47">
        <f>_xll.qlPolynomialFunctionValue($P$18,T156,AllTriggers)</f>
        <v>3.1845944615345712E-3</v>
      </c>
    </row>
    <row r="157" spans="18:21" x14ac:dyDescent="0.2">
      <c r="R157" s="212">
        <f>_xll.qlCalendarAdvance(Calendar,R156,"1D","f")</f>
        <v>42501</v>
      </c>
      <c r="S157" s="47">
        <f>_xll.qlTenorBasisValue($P$3,R157,AllTriggers)</f>
        <v>3.4974393219658288E-3</v>
      </c>
      <c r="T157" s="41">
        <f>_xll.qlDayCounterYearFraction("actual/365 (fixed)",SettlementDate,R157,,,Trigger)</f>
        <v>0.60821917808219184</v>
      </c>
      <c r="U157" s="47">
        <f>_xll.qlPolynomialFunctionValue($P$18,T157,AllTriggers)</f>
        <v>3.1862619245632785E-3</v>
      </c>
    </row>
    <row r="158" spans="18:21" x14ac:dyDescent="0.2">
      <c r="R158" s="212">
        <f>_xll.qlCalendarAdvance(Calendar,R157,"1D","f")</f>
        <v>42502</v>
      </c>
      <c r="S158" s="47">
        <f>_xll.qlTenorBasisValue($P$3,R158,AllTriggers)</f>
        <v>3.4990850270012674E-3</v>
      </c>
      <c r="T158" s="41">
        <f>_xll.qlDayCounterYearFraction("actual/365 (fixed)",SettlementDate,R158,,,Trigger)</f>
        <v>0.61095890410958908</v>
      </c>
      <c r="U158" s="47">
        <f>_xll.qlPolynomialFunctionValue($P$18,T158,AllTriggers)</f>
        <v>3.1879298952164699E-3</v>
      </c>
    </row>
    <row r="159" spans="18:21" x14ac:dyDescent="0.2">
      <c r="R159" s="212">
        <f>_xll.qlCalendarAdvance(Calendar,R158,"1D","f")</f>
        <v>42503</v>
      </c>
      <c r="S159" s="47">
        <f>_xll.qlTenorBasisValue($P$3,R159,AllTriggers)</f>
        <v>3.5007302974506345E-3</v>
      </c>
      <c r="T159" s="41">
        <f>_xll.qlDayCounterYearFraction("actual/365 (fixed)",SettlementDate,R159,,,Trigger)</f>
        <v>0.61369863013698633</v>
      </c>
      <c r="U159" s="47">
        <f>_xll.qlPolynomialFunctionValue($P$18,T159,AllTriggers)</f>
        <v>3.189598368456897E-3</v>
      </c>
    </row>
    <row r="160" spans="18:21" x14ac:dyDescent="0.2">
      <c r="R160" s="212">
        <f>_xll.qlCalendarAdvance(Calendar,R159,"1D","f")</f>
        <v>42506</v>
      </c>
      <c r="S160" s="47">
        <f>_xll.qlTenorBasisValue($P$3,R160,AllTriggers)</f>
        <v>3.5056634509098047E-3</v>
      </c>
      <c r="T160" s="41">
        <f>_xll.qlDayCounterYearFraction("actual/365 (fixed)",SettlementDate,R160,,,Trigger)</f>
        <v>0.62191780821917808</v>
      </c>
      <c r="U160" s="47">
        <f>_xll.qlPolynomialFunctionValue($P$18,T160,AllTriggers)</f>
        <v>3.1946067533290914E-3</v>
      </c>
    </row>
    <row r="161" spans="18:21" x14ac:dyDescent="0.2">
      <c r="R161" s="212">
        <f>_xll.qlCalendarAdvance(Calendar,R160,"1D","f")</f>
        <v>42507</v>
      </c>
      <c r="S161" s="47">
        <f>_xll.qlTenorBasisValue($P$3,R161,AllTriggers)</f>
        <v>3.5073069326423865E-3</v>
      </c>
      <c r="T161" s="41">
        <f>_xll.qlDayCounterYearFraction("actual/365 (fixed)",SettlementDate,R161,,,Trigger)</f>
        <v>0.62465753424657533</v>
      </c>
      <c r="U161" s="47">
        <f>_xll.qlPolynomialFunctionValue($P$18,T161,AllTriggers)</f>
        <v>3.1962771865459627E-3</v>
      </c>
    </row>
    <row r="162" spans="18:21" x14ac:dyDescent="0.2">
      <c r="R162" s="212">
        <f>_xll.qlCalendarAdvance(Calendar,R161,"1D","f")</f>
        <v>42508</v>
      </c>
      <c r="S162" s="47">
        <f>_xll.qlTenorBasisValue($P$3,R162,AllTriggers)</f>
        <v>3.5089499546026469E-3</v>
      </c>
      <c r="T162" s="41">
        <f>_xll.qlDayCounterYearFraction("actual/365 (fixed)",SettlementDate,R162,,,Trigger)</f>
        <v>0.62739726027397258</v>
      </c>
      <c r="U162" s="47">
        <f>_xll.qlPolynomialFunctionValue($P$18,T162,AllTriggers)</f>
        <v>3.1979480971638195E-3</v>
      </c>
    </row>
    <row r="163" spans="18:21" x14ac:dyDescent="0.2">
      <c r="R163" s="212">
        <f>_xll.qlCalendarAdvance(Calendar,R162,"1D","f")</f>
        <v>42509</v>
      </c>
      <c r="S163" s="47">
        <f>_xll.qlTenorBasisValue($P$3,R163,AllTriggers)</f>
        <v>3.5105925117533375E-3</v>
      </c>
      <c r="T163" s="41">
        <f>_xll.qlDayCounterYearFraction("actual/365 (fixed)",SettlementDate,R163,,,Trigger)</f>
        <v>0.63013698630136983</v>
      </c>
      <c r="U163" s="47">
        <f>_xll.qlPolynomialFunctionValue($P$18,T163,AllTriggers)</f>
        <v>3.1996194801454138E-3</v>
      </c>
    </row>
    <row r="164" spans="18:21" x14ac:dyDescent="0.2">
      <c r="R164" s="212">
        <f>_xll.qlCalendarAdvance(Calendar,R163,"1D","f")</f>
        <v>42510</v>
      </c>
      <c r="S164" s="47">
        <f>_xll.qlTenorBasisValue($P$3,R164,AllTriggers)</f>
        <v>3.5122345990572074E-3</v>
      </c>
      <c r="T164" s="41">
        <f>_xll.qlDayCounterYearFraction("actual/365 (fixed)",SettlementDate,R164,,,Trigger)</f>
        <v>0.63287671232876708</v>
      </c>
      <c r="U164" s="47">
        <f>_xll.qlPolynomialFunctionValue($P$18,T164,AllTriggers)</f>
        <v>3.2012913304534951E-3</v>
      </c>
    </row>
    <row r="165" spans="18:21" x14ac:dyDescent="0.2">
      <c r="R165" s="212">
        <f>_xll.qlCalendarAdvance(Calendar,R164,"1D","f")</f>
        <v>42513</v>
      </c>
      <c r="S165" s="47">
        <f>_xll.qlTenorBasisValue($P$3,R165,AllTriggers)</f>
        <v>3.5171579915154027E-3</v>
      </c>
      <c r="T165" s="41">
        <f>_xll.qlDayCounterYearFraction("actual/365 (fixed)",SettlementDate,R165,,,Trigger)</f>
        <v>0.64109589041095894</v>
      </c>
      <c r="U165" s="47">
        <f>_xll.qlPolynomialFunctionValue($P$18,T165,AllTriggers)</f>
        <v>3.2063096349641668E-3</v>
      </c>
    </row>
    <row r="166" spans="18:21" x14ac:dyDescent="0.2">
      <c r="R166" s="212">
        <f>_xll.qlCalendarAdvance(Calendar,R165,"1D","f")</f>
        <v>42514</v>
      </c>
      <c r="S166" s="47">
        <f>_xll.qlTenorBasisValue($P$3,R166,AllTriggers)</f>
        <v>3.5187981490594966E-3</v>
      </c>
      <c r="T166" s="41">
        <f>_xll.qlDayCounterYearFraction("actual/365 (fixed)",SettlementDate,R166,,,Trigger)</f>
        <v>0.64383561643835618</v>
      </c>
      <c r="U166" s="47">
        <f>_xll.qlPolynomialFunctionValue($P$18,T166,AllTriggers)</f>
        <v>3.2079833042057012E-3</v>
      </c>
    </row>
    <row r="167" spans="18:21" x14ac:dyDescent="0.2">
      <c r="R167" s="212">
        <f>_xll.qlCalendarAdvance(Calendar,R166,"1D","f")</f>
        <v>42515</v>
      </c>
      <c r="S167" s="47">
        <f>_xll.qlTenorBasisValue($P$3,R167,AllTriggers)</f>
        <v>3.5204378115705212E-3</v>
      </c>
      <c r="T167" s="41">
        <f>_xll.qlDayCounterYearFraction("actual/365 (fixed)",SettlementDate,R167,,,Trigger)</f>
        <v>0.64657534246575343</v>
      </c>
      <c r="U167" s="47">
        <f>_xll.qlPolynomialFunctionValue($P$18,T167,AllTriggers)</f>
        <v>3.2096574155874732E-3</v>
      </c>
    </row>
    <row r="168" spans="18:21" x14ac:dyDescent="0.2">
      <c r="R168" s="212">
        <f>_xll.qlCalendarAdvance(Calendar,R167,"1D","f")</f>
        <v>42516</v>
      </c>
      <c r="S168" s="47">
        <f>_xll.qlTenorBasisValue($P$3,R168,AllTriggers)</f>
        <v>3.5220769740112292E-3</v>
      </c>
      <c r="T168" s="41">
        <f>_xll.qlDayCounterYearFraction("actual/365 (fixed)",SettlementDate,R168,,,Trigger)</f>
        <v>0.64931506849315068</v>
      </c>
      <c r="U168" s="47">
        <f>_xll.qlPolynomialFunctionValue($P$18,T168,AllTriggers)</f>
        <v>3.2113319640722357E-3</v>
      </c>
    </row>
    <row r="169" spans="18:21" x14ac:dyDescent="0.2">
      <c r="R169" s="212">
        <f>_xll.qlCalendarAdvance(Calendar,R168,"1D","f")</f>
        <v>42517</v>
      </c>
      <c r="S169" s="47">
        <f>_xll.qlTenorBasisValue($P$3,R169,AllTriggers)</f>
        <v>3.5237156313443689E-3</v>
      </c>
      <c r="T169" s="41">
        <f>_xll.qlDayCounterYearFraction("actual/365 (fixed)",SettlementDate,R169,,,Trigger)</f>
        <v>0.65205479452054793</v>
      </c>
      <c r="U169" s="47">
        <f>_xll.qlPolynomialFunctionValue($P$18,T169,AllTriggers)</f>
        <v>3.2130069446227373E-3</v>
      </c>
    </row>
    <row r="170" spans="18:21" x14ac:dyDescent="0.2">
      <c r="R170" s="212">
        <f>_xll.qlCalendarAdvance(Calendar,R169,"1D","f")</f>
        <v>42520</v>
      </c>
      <c r="S170" s="47">
        <f>_xll.qlTenorBasisValue($P$3,R170,AllTriggers)</f>
        <v>3.5286285223258846E-3</v>
      </c>
      <c r="T170" s="41">
        <f>_xll.qlDayCounterYearFraction("actual/365 (fixed)",SettlementDate,R170,,,Trigger)</f>
        <v>0.66027397260273968</v>
      </c>
      <c r="U170" s="47">
        <f>_xll.qlPolynomialFunctionValue($P$18,T170,AllTriggers)</f>
        <v>3.2180344282961822E-3</v>
      </c>
    </row>
    <row r="171" spans="18:21" x14ac:dyDescent="0.2">
      <c r="R171" s="212">
        <f>_xll.qlCalendarAdvance(Calendar,R170,"1D","f")</f>
        <v>42521</v>
      </c>
      <c r="S171" s="47">
        <f>_xll.qlTenorBasisValue($P$3,R171,AllTriggers)</f>
        <v>3.5302651088562568E-3</v>
      </c>
      <c r="T171" s="41">
        <f>_xll.qlDayCounterYearFraction("actual/365 (fixed)",SettlementDate,R171,,,Trigger)</f>
        <v>0.66301369863013704</v>
      </c>
      <c r="U171" s="47">
        <f>_xll.qlPolynomialFunctionValue($P$18,T171,AllTriggers)</f>
        <v>3.2197110867371453E-3</v>
      </c>
    </row>
    <row r="172" spans="18:21" x14ac:dyDescent="0.2">
      <c r="R172" s="212">
        <f>_xll.qlCalendarAdvance(Calendar,R171,"1D","f")</f>
        <v>42522</v>
      </c>
      <c r="S172" s="47">
        <f>_xll.qlTenorBasisValue($P$3,R172,AllTriggers)</f>
        <v>3.5319011650928127E-3</v>
      </c>
      <c r="T172" s="41">
        <f>_xll.qlDayCounterYearFraction("actual/365 (fixed)",SettlementDate,R172,,,Trigger)</f>
        <v>0.66575342465753429</v>
      </c>
      <c r="U172" s="47">
        <f>_xll.qlPolynomialFunctionValue($P$18,T172,AllTriggers)</f>
        <v>3.2213881520575991E-3</v>
      </c>
    </row>
    <row r="173" spans="18:21" x14ac:dyDescent="0.2">
      <c r="R173" s="212">
        <f>_xll.qlCalendarAdvance(Calendar,R172,"1D","f")</f>
        <v>42523</v>
      </c>
      <c r="S173" s="47">
        <f>_xll.qlTenorBasisValue($P$3,R173,AllTriggers)</f>
        <v>3.5335366859983023E-3</v>
      </c>
      <c r="T173" s="41">
        <f>_xll.qlDayCounterYearFraction("actual/365 (fixed)",SettlementDate,R173,,,Trigger)</f>
        <v>0.66849315068493154</v>
      </c>
      <c r="U173" s="47">
        <f>_xll.qlPolynomialFunctionValue($P$18,T173,AllTriggers)</f>
        <v>3.2230656192202946E-3</v>
      </c>
    </row>
    <row r="174" spans="18:21" x14ac:dyDescent="0.2">
      <c r="R174" s="212">
        <f>_xll.qlCalendarAdvance(Calendar,R173,"1D","f")</f>
        <v>42524</v>
      </c>
      <c r="S174" s="47">
        <f>_xll.qlTenorBasisValue($P$3,R174,AllTriggers)</f>
        <v>3.5351716665354767E-3</v>
      </c>
      <c r="T174" s="41">
        <f>_xll.qlDayCounterYearFraction("actual/365 (fixed)",SettlementDate,R174,,,Trigger)</f>
        <v>0.67123287671232879</v>
      </c>
      <c r="U174" s="47">
        <f>_xll.qlPolynomialFunctionValue($P$18,T174,AllTriggers)</f>
        <v>3.2247434831879822E-3</v>
      </c>
    </row>
    <row r="175" spans="18:21" x14ac:dyDescent="0.2">
      <c r="R175" s="212">
        <f>_xll.qlCalendarAdvance(Calendar,R174,"1D","f")</f>
        <v>42527</v>
      </c>
      <c r="S175" s="47">
        <f>_xll.qlTenorBasisValue($P$3,R175,AllTriggers)</f>
        <v>3.5400733155646108E-3</v>
      </c>
      <c r="T175" s="41">
        <f>_xll.qlDayCounterYearFraction("actual/365 (fixed)",SettlementDate,R175,,,Trigger)</f>
        <v>0.67945205479452053</v>
      </c>
      <c r="U175" s="47">
        <f>_xll.qlPolynomialFunctionValue($P$18,T175,AllTriggers)</f>
        <v>3.2297794055484975E-3</v>
      </c>
    </row>
    <row r="176" spans="18:21" x14ac:dyDescent="0.2">
      <c r="R176" s="212">
        <f>_xll.qlCalendarAdvance(Calendar,R175,"1D","f")</f>
        <v>42528</v>
      </c>
      <c r="S176" s="47">
        <f>_xll.qlTenorBasisValue($P$3,R176,AllTriggers)</f>
        <v>3.5417060842560261E-3</v>
      </c>
      <c r="T176" s="41">
        <f>_xll.qlDayCounterYearFraction("actual/365 (fixed)",SettlementDate,R176,,,Trigger)</f>
        <v>0.68219178082191778</v>
      </c>
      <c r="U176" s="47">
        <f>_xll.qlPolynomialFunctionValue($P$18,T176,AllTriggers)</f>
        <v>3.2314588063636551E-3</v>
      </c>
    </row>
    <row r="177" spans="18:21" x14ac:dyDescent="0.2">
      <c r="R177" s="212">
        <f>_xll.qlCalendarAdvance(Calendar,R176,"1D","f")</f>
        <v>42529</v>
      </c>
      <c r="S177" s="47">
        <f>_xll.qlTenorBasisValue($P$3,R177,AllTriggers)</f>
        <v>3.5433382873928782E-3</v>
      </c>
      <c r="T177" s="41">
        <f>_xll.qlDayCounterYearFraction("actual/365 (fixed)",SettlementDate,R177,,,Trigger)</f>
        <v>0.68493150684931503</v>
      </c>
      <c r="U177" s="47">
        <f>_xll.qlPolynomialFunctionValue($P$18,T177,AllTriggers)</f>
        <v>3.2331385787975559E-3</v>
      </c>
    </row>
    <row r="178" spans="18:21" x14ac:dyDescent="0.2">
      <c r="R178" s="212">
        <f>_xll.qlCalendarAdvance(Calendar,R177,"1D","f")</f>
        <v>42530</v>
      </c>
      <c r="S178" s="47">
        <f>_xll.qlTenorBasisValue($P$3,R178,AllTriggers)</f>
        <v>3.544969919937916E-3</v>
      </c>
      <c r="T178" s="41">
        <f>_xll.qlDayCounterYearFraction("actual/365 (fixed)",SettlementDate,R178,,,Trigger)</f>
        <v>0.68767123287671228</v>
      </c>
      <c r="U178" s="47">
        <f>_xll.qlPolynomialFunctionValue($P$18,T178,AllTriggers)</f>
        <v>3.2348187178129497E-3</v>
      </c>
    </row>
    <row r="179" spans="18:21" x14ac:dyDescent="0.2">
      <c r="R179" s="212">
        <f>_xll.qlCalendarAdvance(Calendar,R178,"1D","f")</f>
        <v>42531</v>
      </c>
      <c r="S179" s="47">
        <f>_xll.qlTenorBasisValue($P$3,R179,AllTriggers)</f>
        <v>3.5466009768538912E-3</v>
      </c>
      <c r="T179" s="41">
        <f>_xll.qlDayCounterYearFraction("actual/365 (fixed)",SettlementDate,R179,,,Trigger)</f>
        <v>0.69041095890410964</v>
      </c>
      <c r="U179" s="47">
        <f>_xll.qlPolynomialFunctionValue($P$18,T179,AllTriggers)</f>
        <v>3.2364992183725881E-3</v>
      </c>
    </row>
    <row r="180" spans="18:21" x14ac:dyDescent="0.2">
      <c r="R180" s="212">
        <f>_xll.qlCalendarAdvance(Calendar,R179,"1D","f")</f>
        <v>42534</v>
      </c>
      <c r="S180" s="47">
        <f>_xll.qlTenorBasisValue($P$3,R180,AllTriggers)</f>
        <v>3.5514906434549391E-3</v>
      </c>
      <c r="T180" s="41">
        <f>_xll.qlDayCounterYearFraction("actual/365 (fixed)",SettlementDate,R180,,,Trigger)</f>
        <v>0.69863013698630139</v>
      </c>
      <c r="U180" s="47">
        <f>_xll.qlPolynomialFunctionValue($P$18,T180,AllTriggers)</f>
        <v>3.2415428389444708E-3</v>
      </c>
    </row>
    <row r="181" spans="18:21" x14ac:dyDescent="0.2">
      <c r="R181" s="212">
        <f>_xll.qlCalendarAdvance(Calendar,R180,"1D","f")</f>
        <v>42535</v>
      </c>
      <c r="S181" s="47">
        <f>_xll.qlTenorBasisValue($P$3,R181,AllTriggers)</f>
        <v>3.5531193474821637E-3</v>
      </c>
      <c r="T181" s="41">
        <f>_xll.qlDayCounterYearFraction("actual/365 (fixed)",SettlementDate,R181,,,Trigger)</f>
        <v>0.70136986301369864</v>
      </c>
      <c r="U181" s="47">
        <f>_xll.qlPolynomialFunctionValue($P$18,T181,AllTriggers)</f>
        <v>3.2432247353085882E-3</v>
      </c>
    </row>
    <row r="182" spans="18:21" x14ac:dyDescent="0.2">
      <c r="R182" s="212">
        <f>_xll.qlCalendarAdvance(Calendar,R181,"1D","f")</f>
        <v>42536</v>
      </c>
      <c r="S182" s="47">
        <f>_xll.qlTenorBasisValue($P$3,R182,AllTriggers)</f>
        <v>3.5547474506940771E-3</v>
      </c>
      <c r="T182" s="41">
        <f>_xll.qlDayCounterYearFraction("actual/365 (fixed)",SettlementDate,R182,,,Trigger)</f>
        <v>0.70410958904109588</v>
      </c>
      <c r="U182" s="47">
        <f>_xll.qlPolynomialFunctionValue($P$18,T182,AllTriggers)</f>
        <v>3.2449069680307013E-3</v>
      </c>
    </row>
    <row r="183" spans="18:21" x14ac:dyDescent="0.2">
      <c r="R183" s="212">
        <f>_xll.qlCalendarAdvance(Calendar,R182,"1D","f")</f>
        <v>42537</v>
      </c>
      <c r="S183" s="47">
        <f>_xll.qlTenorBasisValue($P$3,R183,AllTriggers)</f>
        <v>3.5563749480534289E-3</v>
      </c>
      <c r="T183" s="41">
        <f>_xll.qlDayCounterYearFraction("actual/365 (fixed)",SettlementDate,R183,,,Trigger)</f>
        <v>0.70684931506849313</v>
      </c>
      <c r="U183" s="47">
        <f>_xll.qlPolynomialFunctionValue($P$18,T183,AllTriggers)</f>
        <v>3.2465895320735604E-3</v>
      </c>
    </row>
    <row r="184" spans="18:21" x14ac:dyDescent="0.2">
      <c r="R184" s="212">
        <f>_xll.qlCalendarAdvance(Calendar,R183,"1D","f")</f>
        <v>42538</v>
      </c>
      <c r="S184" s="47">
        <f>_xll.qlTenorBasisValue($P$3,R184,AllTriggers)</f>
        <v>3.5580018345229697E-3</v>
      </c>
      <c r="T184" s="41">
        <f>_xll.qlDayCounterYearFraction("actual/365 (fixed)",SettlementDate,R184,,,Trigger)</f>
        <v>0.70958904109589038</v>
      </c>
      <c r="U184" s="47">
        <f>_xll.qlPolynomialFunctionValue($P$18,T184,AllTriggers)</f>
        <v>3.2482724223999154E-3</v>
      </c>
    </row>
    <row r="185" spans="18:21" x14ac:dyDescent="0.2">
      <c r="R185" s="212">
        <f>_xll.qlCalendarAdvance(Calendar,R184,"1D","f")</f>
        <v>42541</v>
      </c>
      <c r="S185" s="47">
        <f>_xll.qlTenorBasisValue($P$3,R185,AllTriggers)</f>
        <v>3.5628787782202289E-3</v>
      </c>
      <c r="T185" s="41">
        <f>_xll.qlDayCounterYearFraction("actual/365 (fixed)",SettlementDate,R185,,,Trigger)</f>
        <v>0.71780821917808224</v>
      </c>
      <c r="U185" s="47">
        <f>_xll.qlPolynomialFunctionValue($P$18,T185,AllTriggers)</f>
        <v>3.2533230007074612E-3</v>
      </c>
    </row>
    <row r="186" spans="18:21" x14ac:dyDescent="0.2">
      <c r="R186" s="212">
        <f>_xll.qlCalendarAdvance(Calendar,R185,"1D","f")</f>
        <v>42542</v>
      </c>
      <c r="S186" s="47">
        <f>_xll.qlTenorBasisValue($P$3,R186,AllTriggers)</f>
        <v>3.5645031707580285E-3</v>
      </c>
      <c r="T186" s="41">
        <f>_xll.qlDayCounterYearFraction("actual/365 (fixed)",SettlementDate,R186,,,Trigger)</f>
        <v>0.72054794520547949</v>
      </c>
      <c r="U186" s="47">
        <f>_xll.qlPolynomialFunctionValue($P$18,T186,AllTriggers)</f>
        <v>3.2550071457953041E-3</v>
      </c>
    </row>
    <row r="187" spans="18:21" x14ac:dyDescent="0.2">
      <c r="R187" s="212">
        <f>_xll.qlCalendarAdvance(Calendar,R186,"1D","f")</f>
        <v>42543</v>
      </c>
      <c r="S187" s="47">
        <f>_xll.qlTenorBasisValue($P$3,R187,AllTriggers)</f>
        <v>3.5661269272197686E-3</v>
      </c>
      <c r="T187" s="41">
        <f>_xll.qlDayCounterYearFraction("actual/365 (fixed)",SettlementDate,R187,,,Trigger)</f>
        <v>0.72328767123287674</v>
      </c>
      <c r="U187" s="47">
        <f>_xll.qlPolynomialFunctionValue($P$18,T187,AllTriggers)</f>
        <v>3.2566915919803956E-3</v>
      </c>
    </row>
    <row r="188" spans="18:21" x14ac:dyDescent="0.2">
      <c r="R188" s="212">
        <f>_xll.qlCalendarAdvance(Calendar,R187,"1D","f")</f>
        <v>42544</v>
      </c>
      <c r="S188" s="47">
        <f>_xll.qlTenorBasisValue($P$3,R188,AllTriggers)</f>
        <v>3.5677500425682E-3</v>
      </c>
      <c r="T188" s="41">
        <f>_xll.qlDayCounterYearFraction("actual/365 (fixed)",SettlementDate,R188,,,Trigger)</f>
        <v>0.72602739726027399</v>
      </c>
      <c r="U188" s="47">
        <f>_xll.qlPolynomialFunctionValue($P$18,T188,AllTriggers)</f>
        <v>3.2583763342254849E-3</v>
      </c>
    </row>
    <row r="189" spans="18:21" x14ac:dyDescent="0.2">
      <c r="R189" s="212">
        <f>_xll.qlCalendarAdvance(Calendar,R188,"1D","f")</f>
        <v>42545</v>
      </c>
      <c r="S189" s="47">
        <f>_xll.qlTenorBasisValue($P$3,R189,AllTriggers)</f>
        <v>3.5693725117660717E-3</v>
      </c>
      <c r="T189" s="41">
        <f>_xll.qlDayCounterYearFraction("actual/365 (fixed)",SettlementDate,R189,,,Trigger)</f>
        <v>0.72876712328767124</v>
      </c>
      <c r="U189" s="47">
        <f>_xll.qlPolynomialFunctionValue($P$18,T189,AllTriggers)</f>
        <v>3.2600613674933217E-3</v>
      </c>
    </row>
    <row r="190" spans="18:21" x14ac:dyDescent="0.2">
      <c r="R190" s="212">
        <f>_xll.qlCalendarAdvance(Calendar,R189,"1D","f")</f>
        <v>42548</v>
      </c>
      <c r="S190" s="47">
        <f>_xll.qlTenorBasisValue($P$3,R190,AllTriggers)</f>
        <v>3.574235992083839E-3</v>
      </c>
      <c r="T190" s="41">
        <f>_xll.qlDayCounterYearFraction("actual/365 (fixed)",SettlementDate,R190,,,Trigger)</f>
        <v>0.73698630136986298</v>
      </c>
      <c r="U190" s="47">
        <f>_xll.qlPolynomialFunctionValue($P$18,T190,AllTriggers)</f>
        <v>3.2651181630608283E-3</v>
      </c>
    </row>
    <row r="191" spans="18:21" x14ac:dyDescent="0.2">
      <c r="R191" s="212">
        <f>_xll.qlCalendarAdvance(Calendar,R190,"1D","f")</f>
        <v>42549</v>
      </c>
      <c r="S191" s="47">
        <f>_xll.qlTenorBasisValue($P$3,R191,AllTriggers)</f>
        <v>3.5758558263069792E-3</v>
      </c>
      <c r="T191" s="41">
        <f>_xll.qlDayCounterYearFraction("actual/365 (fixed)",SettlementDate,R191,,,Trigger)</f>
        <v>0.73972602739726023</v>
      </c>
      <c r="U191" s="47">
        <f>_xll.qlPolynomialFunctionValue($P$18,T191,AllTriggers)</f>
        <v>3.2668043100471627E-3</v>
      </c>
    </row>
    <row r="192" spans="18:21" x14ac:dyDescent="0.2">
      <c r="R192" s="212">
        <f>_xll.qlCalendarAdvance(Calendar,R191,"1D","f")</f>
        <v>42550</v>
      </c>
      <c r="S192" s="47">
        <f>_xll.qlTenorBasisValue($P$3,R192,AllTriggers)</f>
        <v>3.5774749891933112E-3</v>
      </c>
      <c r="T192" s="41">
        <f>_xll.qlDayCounterYearFraction("actual/365 (fixed)",SettlementDate,R192,,,Trigger)</f>
        <v>0.74246575342465748</v>
      </c>
      <c r="U192" s="47">
        <f>_xll.qlPolynomialFunctionValue($P$18,T192,AllTriggers)</f>
        <v>3.2684907228699963E-3</v>
      </c>
    </row>
    <row r="193" spans="18:21" x14ac:dyDescent="0.2">
      <c r="R193" s="212">
        <f>_xll.qlCalendarAdvance(Calendar,R192,"1D","f")</f>
        <v>42551</v>
      </c>
      <c r="S193" s="47">
        <f>_xll.qlTenorBasisValue($P$3,R193,AllTriggers)</f>
        <v>3.5790934757055875E-3</v>
      </c>
      <c r="T193" s="41">
        <f>_xll.qlDayCounterYearFraction("actual/365 (fixed)",SettlementDate,R193,,,Trigger)</f>
        <v>0.74520547945205484</v>
      </c>
      <c r="U193" s="47">
        <f>_xll.qlPolynomialFunctionValue($P$18,T193,AllTriggers)</f>
        <v>3.2701773964920813E-3</v>
      </c>
    </row>
    <row r="194" spans="18:21" x14ac:dyDescent="0.2">
      <c r="R194" s="212">
        <f>_xll.qlCalendarAdvance(Calendar,R193,"1D","f")</f>
        <v>42552</v>
      </c>
      <c r="S194" s="47">
        <f>_xll.qlTenorBasisValue($P$3,R194,AllTriggers)</f>
        <v>3.5807112808065571E-3</v>
      </c>
      <c r="T194" s="41">
        <f>_xll.qlDayCounterYearFraction("actual/365 (fixed)",SettlementDate,R194,,,Trigger)</f>
        <v>0.74794520547945209</v>
      </c>
      <c r="U194" s="47">
        <f>_xll.qlPolynomialFunctionValue($P$18,T194,AllTriggers)</f>
        <v>3.271864325876167E-3</v>
      </c>
    </row>
    <row r="195" spans="18:21" x14ac:dyDescent="0.2">
      <c r="R195" s="212">
        <f>_xll.qlCalendarAdvance(Calendar,R194,"1D","f")</f>
        <v>42555</v>
      </c>
      <c r="S195" s="47">
        <f>_xll.qlTenorBasisValue($P$3,R195,AllTriggers)</f>
        <v>3.5855605572691278E-3</v>
      </c>
      <c r="T195" s="41">
        <f>_xll.qlDayCounterYearFraction("actual/365 (fixed)",SettlementDate,R195,,,Trigger)</f>
        <v>0.75616438356164384</v>
      </c>
      <c r="U195" s="47">
        <f>_xll.qlPolynomialFunctionValue($P$18,T195,AllTriggers)</f>
        <v>3.2769265982279293E-3</v>
      </c>
    </row>
    <row r="196" spans="18:21" x14ac:dyDescent="0.2">
      <c r="R196" s="212">
        <f>_xll.qlCalendarAdvance(Calendar,R195,"1D","f")</f>
        <v>42556</v>
      </c>
      <c r="S196" s="47">
        <f>_xll.qlTenorBasisValue($P$3,R196,AllTriggers)</f>
        <v>3.5871755863523744E-3</v>
      </c>
      <c r="T196" s="41">
        <f>_xll.qlDayCounterYearFraction("actual/365 (fixed)",SettlementDate,R196,,,Trigger)</f>
        <v>0.75890410958904109</v>
      </c>
      <c r="U196" s="47">
        <f>_xll.qlPolynomialFunctionValue($P$18,T196,AllTriggers)</f>
        <v>3.2786145002875211E-3</v>
      </c>
    </row>
    <row r="197" spans="18:21" x14ac:dyDescent="0.2">
      <c r="R197" s="212">
        <f>_xll.qlCalendarAdvance(Calendar,R196,"1D","f")</f>
        <v>42557</v>
      </c>
      <c r="S197" s="47">
        <f>_xll.qlTenorBasisValue($P$3,R197,AllTriggers)</f>
        <v>3.5887899088380645E-3</v>
      </c>
      <c r="T197" s="41">
        <f>_xll.qlDayCounterYearFraction("actual/365 (fixed)",SettlementDate,R197,,,Trigger)</f>
        <v>0.76164383561643834</v>
      </c>
      <c r="U197" s="47">
        <f>_xll.qlPolynomialFunctionValue($P$18,T197,AllTriggers)</f>
        <v>3.280302632922864E-3</v>
      </c>
    </row>
    <row r="198" spans="18:21" x14ac:dyDescent="0.2">
      <c r="R198" s="212">
        <f>_xll.qlCalendarAdvance(Calendar,R197,"1D","f")</f>
        <v>42558</v>
      </c>
      <c r="S198" s="47">
        <f>_xll.qlTenorBasisValue($P$3,R198,AllTriggers)</f>
        <v>3.590403519688951E-3</v>
      </c>
      <c r="T198" s="41">
        <f>_xll.qlDayCounterYearFraction("actual/365 (fixed)",SettlementDate,R198,,,Trigger)</f>
        <v>0.76438356164383559</v>
      </c>
      <c r="U198" s="47">
        <f>_xll.qlPolynomialFunctionValue($P$18,T198,AllTriggers)</f>
        <v>3.2819909910967102E-3</v>
      </c>
    </row>
    <row r="199" spans="18:21" x14ac:dyDescent="0.2">
      <c r="R199" s="212">
        <f>_xll.qlCalendarAdvance(Calendar,R198,"1D","f")</f>
        <v>42559</v>
      </c>
      <c r="S199" s="47">
        <f>_xll.qlTenorBasisValue($P$3,R199,AllTriggers)</f>
        <v>3.5920164138677829E-3</v>
      </c>
      <c r="T199" s="41">
        <f>_xll.qlDayCounterYearFraction("actual/365 (fixed)",SettlementDate,R199,,,Trigger)</f>
        <v>0.76712328767123283</v>
      </c>
      <c r="U199" s="47">
        <f>_xll.qlPolynomialFunctionValue($P$18,T199,AllTriggers)</f>
        <v>3.2836795697718086E-3</v>
      </c>
    </row>
    <row r="200" spans="18:21" x14ac:dyDescent="0.2">
      <c r="R200" s="212">
        <f>_xll.qlCalendarAdvance(Calendar,R199,"1D","f")</f>
        <v>42562</v>
      </c>
      <c r="S200" s="47">
        <f>_xll.qlTenorBasisValue($P$3,R200,AllTriggers)</f>
        <v>3.5968507459994557E-3</v>
      </c>
      <c r="T200" s="41">
        <f>_xll.qlDayCounterYearFraction("actual/365 (fixed)",SettlementDate,R200,,,Trigger)</f>
        <v>0.77534246575342469</v>
      </c>
      <c r="U200" s="47">
        <f>_xll.qlPolynomialFunctionValue($P$18,T200,AllTriggers)</f>
        <v>3.2887465784321255E-3</v>
      </c>
    </row>
    <row r="201" spans="18:21" x14ac:dyDescent="0.2">
      <c r="R201" s="212">
        <f>_xll.qlCalendarAdvance(Calendar,R200,"1D","f")</f>
        <v>42563</v>
      </c>
      <c r="S201" s="47">
        <f>_xll.qlTenorBasisValue($P$3,R201,AllTriggers)</f>
        <v>3.5984607231175727E-3</v>
      </c>
      <c r="T201" s="41">
        <f>_xll.qlDayCounterYearFraction("actual/365 (fixed)",SettlementDate,R201,,,Trigger)</f>
        <v>0.77808219178082194</v>
      </c>
      <c r="U201" s="47">
        <f>_xll.qlPolynomialFunctionValue($P$18,T201,AllTriggers)</f>
        <v>3.2904359887397389E-3</v>
      </c>
    </row>
    <row r="202" spans="18:21" x14ac:dyDescent="0.2">
      <c r="R202" s="212">
        <f>_xll.qlCalendarAdvance(Calendar,R201,"1D","f")</f>
        <v>42564</v>
      </c>
      <c r="S202" s="47">
        <f>_xll.qlTenorBasisValue($P$3,R202,AllTriggers)</f>
        <v>3.600069958377387E-3</v>
      </c>
      <c r="T202" s="41">
        <f>_xll.qlDayCounterYearFraction("actual/365 (fixed)",SettlementDate,R202,,,Trigger)</f>
        <v>0.78082191780821919</v>
      </c>
      <c r="U202" s="47">
        <f>_xll.qlPolynomialFunctionValue($P$18,T202,AllTriggers)</f>
        <v>3.2921255943623566E-3</v>
      </c>
    </row>
    <row r="203" spans="18:21" x14ac:dyDescent="0.2">
      <c r="R203" s="212">
        <f>_xll.qlCalendarAdvance(Calendar,R202,"1D","f")</f>
        <v>42565</v>
      </c>
      <c r="S203" s="47">
        <f>_xll.qlTenorBasisValue($P$3,R203,AllTriggers)</f>
        <v>3.6016784467416494E-3</v>
      </c>
      <c r="T203" s="41">
        <f>_xll.qlDayCounterYearFraction("actual/365 (fixed)",SettlementDate,R203,,,Trigger)</f>
        <v>0.78356164383561644</v>
      </c>
      <c r="U203" s="47">
        <f>_xll.qlPolynomialFunctionValue($P$18,T203,AllTriggers)</f>
        <v>3.2938153902627291E-3</v>
      </c>
    </row>
    <row r="204" spans="18:21" x14ac:dyDescent="0.2">
      <c r="R204" s="212">
        <f>_xll.qlCalendarAdvance(Calendar,R203,"1D","f")</f>
        <v>42566</v>
      </c>
      <c r="S204" s="47">
        <f>_xll.qlTenorBasisValue($P$3,R204,AllTriggers)</f>
        <v>3.6032861831731093E-3</v>
      </c>
      <c r="T204" s="41">
        <f>_xll.qlDayCounterYearFraction("actual/365 (fixed)",SettlementDate,R204,,,Trigger)</f>
        <v>0.78630136986301369</v>
      </c>
      <c r="U204" s="47">
        <f>_xll.qlPolynomialFunctionValue($P$18,T204,AllTriggers)</f>
        <v>3.2955053714036069E-3</v>
      </c>
    </row>
    <row r="205" spans="18:21" x14ac:dyDescent="0.2">
      <c r="R205" s="212">
        <f>_xll.qlCalendarAdvance(Calendar,R204,"1D","f")</f>
        <v>42569</v>
      </c>
      <c r="S205" s="47">
        <f>_xll.qlTenorBasisValue($P$3,R205,AllTriggers)</f>
        <v>3.6081048304981798E-3</v>
      </c>
      <c r="T205" s="41">
        <f>_xll.qlDayCounterYearFraction("actual/365 (fixed)",SettlementDate,R205,,,Trigger)</f>
        <v>0.79452054794520544</v>
      </c>
      <c r="U205" s="47">
        <f>_xll.qlPolynomialFunctionValue($P$18,T205,AllTriggers)</f>
        <v>3.3005763758967737E-3</v>
      </c>
    </row>
    <row r="206" spans="18:21" x14ac:dyDescent="0.2">
      <c r="R206" s="212">
        <f>_xll.qlCalendarAdvance(Calendar,R205,"1D","f")</f>
        <v>42570</v>
      </c>
      <c r="S206" s="47">
        <f>_xll.qlTenorBasisValue($P$3,R206,AllTriggers)</f>
        <v>3.6097095088259341E-3</v>
      </c>
      <c r="T206" s="41">
        <f>_xll.qlDayCounterYearFraction("actual/365 (fixed)",SettlementDate,R206,,,Trigger)</f>
        <v>0.79726027397260268</v>
      </c>
      <c r="U206" s="47">
        <f>_xll.qlPolynomialFunctionValue($P$18,T206,AllTriggers)</f>
        <v>3.302267047627175E-3</v>
      </c>
    </row>
    <row r="207" spans="18:21" x14ac:dyDescent="0.2">
      <c r="R207" s="212">
        <f>_xll.qlCalendarAdvance(Calendar,R206,"1D","f")</f>
        <v>42571</v>
      </c>
      <c r="S207" s="47">
        <f>_xll.qlTenorBasisValue($P$3,R207,AllTriggers)</f>
        <v>3.6113134100346379E-3</v>
      </c>
      <c r="T207" s="41">
        <f>_xll.qlDayCounterYearFraction("actual/365 (fixed)",SettlementDate,R207,,,Trigger)</f>
        <v>0.8</v>
      </c>
      <c r="U207" s="47">
        <f>_xll.qlPolynomialFunctionValue($P$18,T207,AllTriggers)</f>
        <v>3.303957879411833E-3</v>
      </c>
    </row>
    <row r="208" spans="18:21" x14ac:dyDescent="0.2">
      <c r="R208" s="212">
        <f>_xll.qlCalendarAdvance(Calendar,R207,"1D","f")</f>
        <v>42572</v>
      </c>
      <c r="S208" s="47">
        <f>_xll.qlTenorBasisValue($P$3,R208,AllTriggers)</f>
        <v>3.6129165290870414E-3</v>
      </c>
      <c r="T208" s="41">
        <f>_xll.qlDayCounterYearFraction("actual/365 (fixed)",SettlementDate,R208,,,Trigger)</f>
        <v>0.80273972602739729</v>
      </c>
      <c r="U208" s="47">
        <f>_xll.qlPolynomialFunctionValue($P$18,T208,AllTriggers)</f>
        <v>3.3056488662134976E-3</v>
      </c>
    </row>
    <row r="209" spans="18:21" x14ac:dyDescent="0.2">
      <c r="R209" s="212">
        <f>_xll.qlCalendarAdvance(Calendar,R208,"1D","f")</f>
        <v>42573</v>
      </c>
      <c r="S209" s="47">
        <f>_xll.qlTenorBasisValue($P$3,R209,AllTriggers)</f>
        <v>3.614518860945895E-3</v>
      </c>
      <c r="T209" s="41">
        <f>_xll.qlDayCounterYearFraction("actual/365 (fixed)",SettlementDate,R209,,,Trigger)</f>
        <v>0.80547945205479454</v>
      </c>
      <c r="U209" s="47">
        <f>_xll.qlPolynomialFunctionValue($P$18,T209,AllTriggers)</f>
        <v>3.30734000299492E-3</v>
      </c>
    </row>
    <row r="210" spans="18:21" x14ac:dyDescent="0.2">
      <c r="R210" s="212">
        <f>_xll.qlCalendarAdvance(Calendar,R209,"1D","f")</f>
        <v>42576</v>
      </c>
      <c r="S210" s="47">
        <f>_xll.qlTenorBasisValue($P$3,R210,AllTriggers)</f>
        <v>3.6193210829886598E-3</v>
      </c>
      <c r="T210" s="41">
        <f>_xll.qlDayCounterYearFraction("actual/365 (fixed)",SettlementDate,R210,,,Trigger)</f>
        <v>0.81369863013698629</v>
      </c>
      <c r="U210" s="47">
        <f>_xll.qlPolynomialFunctionValue($P$18,T210,AllTriggers)</f>
        <v>3.3124142628452339E-3</v>
      </c>
    </row>
    <row r="211" spans="18:21" x14ac:dyDescent="0.2">
      <c r="R211" s="212">
        <f>_xll.qlCalendarAdvance(Calendar,R210,"1D","f")</f>
        <v>42577</v>
      </c>
      <c r="S211" s="47">
        <f>_xll.qlTenorBasisValue($P$3,R211,AllTriggers)</f>
        <v>3.6209202157008167E-3</v>
      </c>
      <c r="T211" s="41">
        <f>_xll.qlDayCounterYearFraction("actual/365 (fixed)",SettlementDate,R211,,,Trigger)</f>
        <v>0.81643835616438354</v>
      </c>
      <c r="U211" s="47">
        <f>_xll.qlPolynomialFunctionValue($P$18,T211,AllTriggers)</f>
        <v>3.3141059491731887E-3</v>
      </c>
    </row>
    <row r="212" spans="18:21" x14ac:dyDescent="0.2">
      <c r="R212" s="212">
        <f>_xll.qlCalendarAdvance(Calendar,R211,"1D","f")</f>
        <v>42578</v>
      </c>
      <c r="S212" s="47">
        <f>_xll.qlTenorBasisValue($P$3,R212,AllTriggers)</f>
        <v>3.6225185360331752E-3</v>
      </c>
      <c r="T212" s="41">
        <f>_xll.qlDayCounterYearFraction("actual/365 (fixed)",SettlementDate,R212,,,Trigger)</f>
        <v>0.81917808219178079</v>
      </c>
      <c r="U212" s="47">
        <f>_xll.qlPolynomialFunctionValue($P$18,T212,AllTriggers)</f>
        <v>3.3157977602946516E-3</v>
      </c>
    </row>
    <row r="213" spans="18:21" x14ac:dyDescent="0.2">
      <c r="R213" s="212">
        <f>_xll.qlCalendarAdvance(Calendar,R212,"1D","f")</f>
        <v>42579</v>
      </c>
      <c r="S213" s="47">
        <f>_xll.qlTenorBasisValue($P$3,R213,AllTriggers)</f>
        <v>3.6241160389484861E-3</v>
      </c>
      <c r="T213" s="41">
        <f>_xll.qlDayCounterYearFraction("actual/365 (fixed)",SettlementDate,R213,,,Trigger)</f>
        <v>0.82191780821917804</v>
      </c>
      <c r="U213" s="47">
        <f>_xll.qlPolynomialFunctionValue($P$18,T213,AllTriggers)</f>
        <v>3.3174896911723748E-3</v>
      </c>
    </row>
    <row r="214" spans="18:21" x14ac:dyDescent="0.2">
      <c r="R214" s="212">
        <f>_xll.qlCalendarAdvance(Calendar,R213,"1D","f")</f>
        <v>42580</v>
      </c>
      <c r="S214" s="47">
        <f>_xll.qlTenorBasisValue($P$3,R214,AllTriggers)</f>
        <v>3.6257127194094991E-3</v>
      </c>
      <c r="T214" s="41">
        <f>_xll.qlDayCounterYearFraction("actual/365 (fixed)",SettlementDate,R214,,,Trigger)</f>
        <v>0.8246575342465754</v>
      </c>
      <c r="U214" s="47">
        <f>_xll.qlPolynomialFunctionValue($P$18,T214,AllTriggers)</f>
        <v>3.3191817367691071E-3</v>
      </c>
    </row>
    <row r="215" spans="18:21" x14ac:dyDescent="0.2">
      <c r="R215" s="212">
        <f>_xll.qlCalendarAdvance(Calendar,R214,"1D","f")</f>
        <v>42583</v>
      </c>
      <c r="S215" s="47">
        <f>_xll.qlTenorBasisValue($P$3,R215,AllTriggers)</f>
        <v>3.6304977756942539E-3</v>
      </c>
      <c r="T215" s="41">
        <f>_xll.qlDayCounterYearFraction("actual/365 (fixed)",SettlementDate,R215,,,Trigger)</f>
        <v>0.83287671232876714</v>
      </c>
      <c r="U215" s="47">
        <f>_xll.qlPolynomialFunctionValue($P$18,T215,AllTriggers)</f>
        <v>3.3242585115008639E-3</v>
      </c>
    </row>
    <row r="216" spans="18:21" x14ac:dyDescent="0.2">
      <c r="R216" s="212">
        <f>_xll.qlCalendarAdvance(Calendar,R215,"1D","f")</f>
        <v>42584</v>
      </c>
      <c r="S216" s="47">
        <f>_xll.qlTenorBasisValue($P$3,R216,AllTriggers)</f>
        <v>3.6320911159655796E-3</v>
      </c>
      <c r="T216" s="41">
        <f>_xll.qlDayCounterYearFraction("actual/365 (fixed)",SettlementDate,R216,,,Trigger)</f>
        <v>0.83561643835616439</v>
      </c>
      <c r="U216" s="47">
        <f>_xll.qlPolynomialFunctionValue($P$18,T216,AllTriggers)</f>
        <v>3.3259509656011375E-3</v>
      </c>
    </row>
    <row r="217" spans="18:21" x14ac:dyDescent="0.2">
      <c r="R217" s="212">
        <f>_xll.qlCalendarAdvance(Calendar,R216,"1D","f")</f>
        <v>42585</v>
      </c>
      <c r="S217" s="47">
        <f>_xll.qlTenorBasisValue($P$3,R217,AllTriggers)</f>
        <v>3.6336836085963586E-3</v>
      </c>
      <c r="T217" s="41">
        <f>_xll.qlDayCounterYearFraction("actual/365 (fixed)",SettlementDate,R217,,,Trigger)</f>
        <v>0.83835616438356164</v>
      </c>
      <c r="U217" s="47">
        <f>_xll.qlPolynomialFunctionValue($P$18,T217,AllTriggers)</f>
        <v>3.3276435092341725E-3</v>
      </c>
    </row>
    <row r="218" spans="18:21" x14ac:dyDescent="0.2">
      <c r="R218" s="212">
        <f>_xll.qlCalendarAdvance(Calendar,R217,"1D","f")</f>
        <v>42586</v>
      </c>
      <c r="S218" s="47">
        <f>_xll.qlTenorBasisValue($P$3,R218,AllTriggers)</f>
        <v>3.6352752485493411E-3</v>
      </c>
      <c r="T218" s="41">
        <f>_xll.qlDayCounterYearFraction("actual/365 (fixed)",SettlementDate,R218,,,Trigger)</f>
        <v>0.84109589041095889</v>
      </c>
      <c r="U218" s="47">
        <f>_xll.qlPolynomialFunctionValue($P$18,T218,AllTriggers)</f>
        <v>3.3293361373627189E-3</v>
      </c>
    </row>
    <row r="219" spans="18:21" x14ac:dyDescent="0.2">
      <c r="R219" s="212">
        <f>_xll.qlCalendarAdvance(Calendar,R218,"1D","f")</f>
        <v>42587</v>
      </c>
      <c r="S219" s="47">
        <f>_xll.qlTenorBasisValue($P$3,R219,AllTriggers)</f>
        <v>3.6368660307872793E-3</v>
      </c>
      <c r="T219" s="41">
        <f>_xll.qlDayCounterYearFraction("actual/365 (fixed)",SettlementDate,R219,,,Trigger)</f>
        <v>0.84383561643835614</v>
      </c>
      <c r="U219" s="47">
        <f>_xll.qlPolynomialFunctionValue($P$18,T219,AllTriggers)</f>
        <v>3.3310288449495268E-3</v>
      </c>
    </row>
    <row r="220" spans="18:21" x14ac:dyDescent="0.2">
      <c r="R220" s="212">
        <f>_xll.qlCalendarAdvance(Calendar,R219,"1D","f")</f>
        <v>42590</v>
      </c>
      <c r="S220" s="47">
        <f>_xll.qlTenorBasisValue($P$3,R220,AllTriggers)</f>
        <v>3.6416331808383222E-3</v>
      </c>
      <c r="T220" s="41">
        <f>_xll.qlDayCounterYearFraction("actual/365 (fixed)",SettlementDate,R220,,,Trigger)</f>
        <v>0.852054794520548</v>
      </c>
      <c r="U220" s="47">
        <f>_xll.qlPolynomialFunctionValue($P$18,T220,AllTriggers)</f>
        <v>3.3361073940870243E-3</v>
      </c>
    </row>
    <row r="221" spans="18:21" x14ac:dyDescent="0.2">
      <c r="R221" s="212">
        <f>_xll.qlCalendarAdvance(Calendar,R220,"1D","f")</f>
        <v>42591</v>
      </c>
      <c r="S221" s="47">
        <f>_xll.qlTenorBasisValue($P$3,R221,AllTriggers)</f>
        <v>3.6432204818435815E-3</v>
      </c>
      <c r="T221" s="41">
        <f>_xll.qlDayCounterYearFraction("actual/365 (fixed)",SettlementDate,R221,,,Trigger)</f>
        <v>0.85479452054794525</v>
      </c>
      <c r="U221" s="47">
        <f>_xll.qlPolynomialFunctionValue($P$18,T221,AllTriggers)</f>
        <v>3.3378003691343825E-3</v>
      </c>
    </row>
    <row r="222" spans="18:21" x14ac:dyDescent="0.2">
      <c r="R222" s="212">
        <f>_xll.qlCalendarAdvance(Calendar,R221,"1D","f")</f>
        <v>42592</v>
      </c>
      <c r="S222" s="47">
        <f>_xll.qlTenorBasisValue($P$3,R222,AllTriggers)</f>
        <v>3.6448068999475462E-3</v>
      </c>
      <c r="T222" s="41">
        <f>_xll.qlDayCounterYearFraction("actual/365 (fixed)",SettlementDate,R222,,,Trigger)</f>
        <v>0.8575342465753425</v>
      </c>
      <c r="U222" s="47">
        <f>_xll.qlPolynomialFunctionValue($P$18,T222,AllTriggers)</f>
        <v>3.3394933984537537E-3</v>
      </c>
    </row>
    <row r="223" spans="18:21" x14ac:dyDescent="0.2">
      <c r="R223" s="212">
        <f>_xll.qlCalendarAdvance(Calendar,R222,"1D","f")</f>
        <v>42593</v>
      </c>
      <c r="S223" s="47">
        <f>_xll.qlTenorBasisValue($P$3,R223,AllTriggers)</f>
        <v>3.6463924301129674E-3</v>
      </c>
      <c r="T223" s="41">
        <f>_xll.qlDayCounterYearFraction("actual/365 (fixed)",SettlementDate,R223,,,Trigger)</f>
        <v>0.86027397260273974</v>
      </c>
      <c r="U223" s="47">
        <f>_xll.qlPolynomialFunctionValue($P$18,T223,AllTriggers)</f>
        <v>3.3411864770078884E-3</v>
      </c>
    </row>
    <row r="224" spans="18:21" x14ac:dyDescent="0.2">
      <c r="R224" s="212">
        <f>_xll.qlCalendarAdvance(Calendar,R223,"1D","f")</f>
        <v>42594</v>
      </c>
      <c r="S224" s="47">
        <f>_xll.qlTenorBasisValue($P$3,R224,AllTriggers)</f>
        <v>3.6479770673025955E-3</v>
      </c>
      <c r="T224" s="41">
        <f>_xll.qlDayCounterYearFraction("actual/365 (fixed)",SettlementDate,R224,,,Trigger)</f>
        <v>0.86301369863013699</v>
      </c>
      <c r="U224" s="47">
        <f>_xll.qlPolynomialFunctionValue($P$18,T224,AllTriggers)</f>
        <v>3.342879599759538E-3</v>
      </c>
    </row>
    <row r="225" spans="18:21" x14ac:dyDescent="0.2">
      <c r="R225" s="212">
        <f>_xll.qlCalendarAdvance(Calendar,R224,"1D","f")</f>
        <v>42597</v>
      </c>
      <c r="S225" s="47">
        <f>_xll.qlTenorBasisValue($P$3,R225,AllTriggers)</f>
        <v>3.6527255706442232E-3</v>
      </c>
      <c r="T225" s="41">
        <f>_xll.qlDayCounterYearFraction("actual/365 (fixed)",SettlementDate,R225,,,Trigger)</f>
        <v>0.87123287671232874</v>
      </c>
      <c r="U225" s="47">
        <f>_xll.qlPolynomialFunctionValue($P$18,T225,AllTriggers)</f>
        <v>3.3479591828270727E-3</v>
      </c>
    </row>
    <row r="226" spans="18:21" x14ac:dyDescent="0.2">
      <c r="R226" s="212">
        <f>_xll.qlCalendarAdvance(Calendar,R225,"1D","f")</f>
        <v>42598</v>
      </c>
      <c r="S226" s="47">
        <f>_xll.qlTenorBasisValue($P$3,R226,AllTriggers)</f>
        <v>3.6543065855581813E-3</v>
      </c>
      <c r="T226" s="41">
        <f>_xll.qlDayCounterYearFraction("actual/365 (fixed)",SettlementDate,R226,,,Trigger)</f>
        <v>0.87397260273972599</v>
      </c>
      <c r="U226" s="47">
        <f>_xll.qlPolynomialFunctionValue($P$18,T226,AllTriggers)</f>
        <v>3.3496524319962802E-3</v>
      </c>
    </row>
    <row r="227" spans="18:21" x14ac:dyDescent="0.2">
      <c r="R227" s="212">
        <f>_xll.qlCalendarAdvance(Calendar,R226,"1D","f")</f>
        <v>42599</v>
      </c>
      <c r="S227" s="47">
        <f>_xll.qlTenorBasisValue($P$3,R227,AllTriggers)</f>
        <v>3.6558866823100974E-3</v>
      </c>
      <c r="T227" s="41">
        <f>_xll.qlDayCounterYearFraction("actual/365 (fixed)",SettlementDate,R227,,,Trigger)</f>
        <v>0.87671232876712324</v>
      </c>
      <c r="U227" s="47">
        <f>_xll.qlPolynomialFunctionValue($P$18,T227,AllTriggers)</f>
        <v>3.3513457001767542E-3</v>
      </c>
    </row>
    <row r="228" spans="18:21" x14ac:dyDescent="0.2">
      <c r="R228" s="212">
        <f>_xll.qlCalendarAdvance(Calendar,R227,"1D","f")</f>
        <v>42600</v>
      </c>
      <c r="S228" s="47">
        <f>_xll.qlTenorBasisValue($P$3,R228,AllTriggers)</f>
        <v>3.6574658558627226E-3</v>
      </c>
      <c r="T228" s="41">
        <f>_xll.qlDayCounterYearFraction("actual/365 (fixed)",SettlementDate,R228,,,Trigger)</f>
        <v>0.8794520547945206</v>
      </c>
      <c r="U228" s="47">
        <f>_xll.qlPolynomialFunctionValue($P$18,T228,AllTriggers)</f>
        <v>3.3530389823312437E-3</v>
      </c>
    </row>
    <row r="229" spans="18:21" x14ac:dyDescent="0.2">
      <c r="R229" s="212">
        <f>_xll.qlCalendarAdvance(Calendar,R228,"1D","f")</f>
        <v>42601</v>
      </c>
      <c r="S229" s="47">
        <f>_xll.qlTenorBasisValue($P$3,R229,AllTriggers)</f>
        <v>3.6590441011788064E-3</v>
      </c>
      <c r="T229" s="41">
        <f>_xll.qlDayCounterYearFraction("actual/365 (fixed)",SettlementDate,R229,,,Trigger)</f>
        <v>0.88219178082191785</v>
      </c>
      <c r="U229" s="47">
        <f>_xll.qlPolynomialFunctionValue($P$18,T229,AllTriggers)</f>
        <v>3.3547322734224999E-3</v>
      </c>
    </row>
    <row r="230" spans="18:21" x14ac:dyDescent="0.2">
      <c r="R230" s="212">
        <f>_xll.qlCalendarAdvance(Calendar,R229,"1D","f")</f>
        <v>42604</v>
      </c>
      <c r="S230" s="47">
        <f>_xll.qlTenorBasisValue($P$3,R230,AllTriggers)</f>
        <v>3.6637732173353151E-3</v>
      </c>
      <c r="T230" s="41">
        <f>_xll.qlDayCounterYearFraction("actual/365 (fixed)",SettlementDate,R230,,,Trigger)</f>
        <v>0.8904109589041096</v>
      </c>
      <c r="U230" s="47">
        <f>_xll.qlPolynomialFunctionValue($P$18,T230,AllTriggers)</f>
        <v>3.3598121499443679E-3</v>
      </c>
    </row>
    <row r="231" spans="18:21" x14ac:dyDescent="0.2">
      <c r="R231" s="212">
        <f>_xll.qlCalendarAdvance(Calendar,R230,"1D","f")</f>
        <v>42605</v>
      </c>
      <c r="S231" s="47">
        <f>_xll.qlTenorBasisValue($P$3,R231,AllTriggers)</f>
        <v>3.6653476993327378E-3</v>
      </c>
      <c r="T231" s="41">
        <f>_xll.qlDayCounterYearFraction("actual/365 (fixed)",SettlementDate,R231,,,Trigger)</f>
        <v>0.89315068493150684</v>
      </c>
      <c r="U231" s="47">
        <f>_xll.qlPolynomialFunctionValue($P$18,T231,AllTriggers)</f>
        <v>3.3615054264101913E-3</v>
      </c>
    </row>
    <row r="232" spans="18:21" x14ac:dyDescent="0.2">
      <c r="R232" s="212">
        <f>_xll.qlCalendarAdvance(Calendar,R231,"1D","f")</f>
        <v>42606</v>
      </c>
      <c r="S232" s="47">
        <f>_xll.qlTenorBasisValue($P$3,R232,AllTriggers)</f>
        <v>3.6669212279073714E-3</v>
      </c>
      <c r="T232" s="41">
        <f>_xll.qlDayCounterYearFraction("actual/365 (fixed)",SettlementDate,R232,,,Trigger)</f>
        <v>0.89589041095890409</v>
      </c>
      <c r="U232" s="47">
        <f>_xll.qlPolynomialFunctionValue($P$18,T232,AllTriggers)</f>
        <v>3.3631986866265334E-3</v>
      </c>
    </row>
    <row r="233" spans="18:21" x14ac:dyDescent="0.2">
      <c r="R233" s="212">
        <f>_xll.qlCalendarAdvance(Calendar,R232,"1D","f")</f>
        <v>42607</v>
      </c>
      <c r="S233" s="47">
        <f>_xll.qlTenorBasisValue($P$3,R233,AllTriggers)</f>
        <v>3.6684937980219659E-3</v>
      </c>
      <c r="T233" s="41">
        <f>_xll.qlDayCounterYearFraction("actual/365 (fixed)",SettlementDate,R233,,,Trigger)</f>
        <v>0.89863013698630134</v>
      </c>
      <c r="U233" s="47">
        <f>_xll.qlPolynomialFunctionValue($P$18,T233,AllTriggers)</f>
        <v>3.3648919255561435E-3</v>
      </c>
    </row>
    <row r="234" spans="18:21" x14ac:dyDescent="0.2">
      <c r="R234" s="212">
        <f>_xll.qlCalendarAdvance(Calendar,R233,"1D","f")</f>
        <v>42608</v>
      </c>
      <c r="S234" s="47">
        <f>_xll.qlTenorBasisValue($P$3,R234,AllTriggers)</f>
        <v>3.670065404639271E-3</v>
      </c>
      <c r="T234" s="41">
        <f>_xll.qlDayCounterYearFraction("actual/365 (fixed)",SettlementDate,R234,,,Trigger)</f>
        <v>0.90136986301369859</v>
      </c>
      <c r="U234" s="47">
        <f>_xll.qlPolynomialFunctionValue($P$18,T234,AllTriggers)</f>
        <v>3.3665851381617707E-3</v>
      </c>
    </row>
    <row r="235" spans="18:21" x14ac:dyDescent="0.2">
      <c r="R235" s="212">
        <f>_xll.qlCalendarAdvance(Calendar,R234,"1D","f")</f>
        <v>42611</v>
      </c>
      <c r="S235" s="47">
        <f>_xll.qlTenorBasisValue($P$3,R235,AllTriggers)</f>
        <v>3.6747743931349578E-3</v>
      </c>
      <c r="T235" s="41">
        <f>_xll.qlDayCounterYearFraction("actual/365 (fixed)",SettlementDate,R235,,,Trigger)</f>
        <v>0.90958904109589045</v>
      </c>
      <c r="U235" s="47">
        <f>_xll.qlPolynomialFunctionValue($P$18,T235,AllTriggers)</f>
        <v>3.3716645676622691E-3</v>
      </c>
    </row>
    <row r="236" spans="18:21" x14ac:dyDescent="0.2">
      <c r="R236" s="212">
        <f>_xll.qlCalendarAdvance(Calendar,R235,"1D","f")</f>
        <v>42612</v>
      </c>
      <c r="S236" s="47">
        <f>_xll.qlTenorBasisValue($P$3,R236,AllTriggers)</f>
        <v>3.6763420953906103E-3</v>
      </c>
      <c r="T236" s="41">
        <f>_xll.qlDayCounterYearFraction("actual/365 (fixed)",SettlementDate,R236,,,Trigger)</f>
        <v>0.9123287671232877</v>
      </c>
      <c r="U236" s="47">
        <f>_xll.qlPolynomialFunctionValue($P$18,T236,AllTriggers)</f>
        <v>3.3733576245994741E-3</v>
      </c>
    </row>
    <row r="237" spans="18:21" x14ac:dyDescent="0.2">
      <c r="R237" s="212">
        <f>_xll.qlCalendarAdvance(Calendar,R236,"1D","f")</f>
        <v>42613</v>
      </c>
      <c r="S237" s="47">
        <f>_xll.qlTenorBasisValue($P$3,R237,AllTriggers)</f>
        <v>3.6779088089627264E-3</v>
      </c>
      <c r="T237" s="41">
        <f>_xll.qlDayCounterYearFraction("actual/365 (fixed)",SettlementDate,R237,,,Trigger)</f>
        <v>0.91506849315068495</v>
      </c>
      <c r="U237" s="47">
        <f>_xll.qlPolynomialFunctionValue($P$18,T237,AllTriggers)</f>
        <v>3.3750506300264491E-3</v>
      </c>
    </row>
    <row r="238" spans="18:21" x14ac:dyDescent="0.2">
      <c r="R238" s="212">
        <f>_xll.qlCalendarAdvance(Calendar,R237,"1D","f")</f>
        <v>42614</v>
      </c>
      <c r="S238" s="47">
        <f>_xll.qlTenorBasisValue($P$3,R238,AllTriggers)</f>
        <v>3.6794745288140558E-3</v>
      </c>
      <c r="T238" s="41">
        <f>_xll.qlDayCounterYearFraction("actual/365 (fixed)",SettlementDate,R238,,,Trigger)</f>
        <v>0.9178082191780822</v>
      </c>
      <c r="U238" s="47">
        <f>_xll.qlPolynomialFunctionValue($P$18,T238,AllTriggers)</f>
        <v>3.3767435789059446E-3</v>
      </c>
    </row>
    <row r="239" spans="18:21" x14ac:dyDescent="0.2">
      <c r="R239" s="212">
        <f>_xll.qlCalendarAdvance(Calendar,R238,"1D","f")</f>
        <v>42615</v>
      </c>
      <c r="S239" s="47">
        <f>_xll.qlTenorBasisValue($P$3,R239,AllTriggers)</f>
        <v>3.6810392499073484E-3</v>
      </c>
      <c r="T239" s="41">
        <f>_xll.qlDayCounterYearFraction("actual/365 (fixed)",SettlementDate,R239,,,Trigger)</f>
        <v>0.92054794520547945</v>
      </c>
      <c r="U239" s="47">
        <f>_xll.qlPolynomialFunctionValue($P$18,T239,AllTriggers)</f>
        <v>3.3784364662007107E-3</v>
      </c>
    </row>
    <row r="240" spans="18:21" x14ac:dyDescent="0.2">
      <c r="R240" s="212">
        <f>_xll.qlCalendarAdvance(Calendar,R239,"1D","f")</f>
        <v>42618</v>
      </c>
      <c r="S240" s="47">
        <f>_xll.qlTenorBasisValue($P$3,R240,AllTriggers)</f>
        <v>3.685727370266509E-3</v>
      </c>
      <c r="T240" s="41">
        <f>_xll.qlDayCounterYearFraction("actual/365 (fixed)",SettlementDate,R240,,,Trigger)</f>
        <v>0.92876712328767119</v>
      </c>
      <c r="U240" s="47">
        <f>_xll.qlPolynomialFunctionValue($P$18,T240,AllTriggers)</f>
        <v>3.3835147082041353E-3</v>
      </c>
    </row>
    <row r="241" spans="18:21" x14ac:dyDescent="0.2">
      <c r="R241" s="212">
        <f>_xll.qlCalendarAdvance(Calendar,R240,"1D","f")</f>
        <v>42619</v>
      </c>
      <c r="S241" s="47">
        <f>_xll.qlTenorBasisValue($P$3,R241,AllTriggers)</f>
        <v>3.6872880459551576E-3</v>
      </c>
      <c r="T241" s="41">
        <f>_xll.qlDayCounterYearFraction("actual/365 (fixed)",SettlementDate,R241,,,Trigger)</f>
        <v>0.93150684931506844</v>
      </c>
      <c r="U241" s="47">
        <f>_xll.qlPolynomialFunctionValue($P$18,T241,AllTriggers)</f>
        <v>3.3852072987874868E-3</v>
      </c>
    </row>
    <row r="242" spans="18:21" x14ac:dyDescent="0.2">
      <c r="R242" s="212">
        <f>_xll.qlCalendarAdvance(Calendar,R241,"1D","f")</f>
        <v>42620</v>
      </c>
      <c r="S242" s="47">
        <f>_xll.qlTenorBasisValue($P$3,R242,AllTriggers)</f>
        <v>3.6888476976995222E-3</v>
      </c>
      <c r="T242" s="41">
        <f>_xll.qlDayCounterYearFraction("actual/365 (fixed)",SettlementDate,R242,,,Trigger)</f>
        <v>0.9342465753424658</v>
      </c>
      <c r="U242" s="47">
        <f>_xll.qlPolynomialFunctionValue($P$18,T242,AllTriggers)</f>
        <v>3.3868998025998612E-3</v>
      </c>
    </row>
    <row r="243" spans="18:21" x14ac:dyDescent="0.2">
      <c r="R243" s="212">
        <f>_xll.qlCalendarAdvance(Calendar,R242,"1D","f")</f>
        <v>42621</v>
      </c>
      <c r="S243" s="47">
        <f>_xll.qlTenorBasisValue($P$3,R243,AllTriggers)</f>
        <v>3.6904063204623509E-3</v>
      </c>
      <c r="T243" s="41">
        <f>_xll.qlDayCounterYearFraction("actual/365 (fixed)",SettlementDate,R243,,,Trigger)</f>
        <v>0.93698630136986305</v>
      </c>
      <c r="U243" s="47">
        <f>_xll.qlPolynomialFunctionValue($P$18,T243,AllTriggers)</f>
        <v>3.3885922146040075E-3</v>
      </c>
    </row>
    <row r="244" spans="18:21" x14ac:dyDescent="0.2">
      <c r="R244" s="212">
        <f>_xll.qlCalendarAdvance(Calendar,R243,"1D","f")</f>
        <v>42622</v>
      </c>
      <c r="S244" s="47">
        <f>_xll.qlTenorBasisValue($P$3,R244,AllTriggers)</f>
        <v>3.6919639092063959E-3</v>
      </c>
      <c r="T244" s="41">
        <f>_xll.qlDayCounterYearFraction("actual/365 (fixed)",SettlementDate,R244,,,Trigger)</f>
        <v>0.9397260273972603</v>
      </c>
      <c r="U244" s="47">
        <f>_xll.qlPolynomialFunctionValue($P$18,T244,AllTriggers)</f>
        <v>3.3902845297626772E-3</v>
      </c>
    </row>
    <row r="245" spans="18:21" x14ac:dyDescent="0.2">
      <c r="R245" s="212">
        <f>_xll.qlCalendarAdvance(Calendar,R244,"1D","f")</f>
        <v>42625</v>
      </c>
      <c r="S245" s="47">
        <f>_xll.qlTenorBasisValue($P$3,R245,AllTriggers)</f>
        <v>3.696630420953328E-3</v>
      </c>
      <c r="T245" s="41">
        <f>_xll.qlDayCounterYearFraction("actual/365 (fixed)",SettlementDate,R245,,,Trigger)</f>
        <v>0.94794520547945205</v>
      </c>
      <c r="U245" s="47">
        <f>_xll.qlPolynomialFunctionValue($P$18,T245,AllTriggers)</f>
        <v>3.3953608437933256E-3</v>
      </c>
    </row>
    <row r="246" spans="18:21" x14ac:dyDescent="0.2">
      <c r="R246" s="212">
        <f>_xll.qlCalendarAdvance(Calendar,R245,"1D","f")</f>
        <v>42626</v>
      </c>
      <c r="S246" s="47">
        <f>_xll.qlTenorBasisValue($P$3,R246,AllTriggers)</f>
        <v>3.6981838232497382E-3</v>
      </c>
      <c r="T246" s="41">
        <f>_xll.qlDayCounterYearFraction("actual/365 (fixed)",SettlementDate,R246,,,Trigger)</f>
        <v>0.9506849315068493</v>
      </c>
      <c r="U246" s="47">
        <f>_xll.qlPolynomialFunctionValue($P$18,T246,AllTriggers)</f>
        <v>3.3970527211975893E-3</v>
      </c>
    </row>
    <row r="247" spans="18:21" x14ac:dyDescent="0.2">
      <c r="R247" s="212">
        <f>_xll.qlCalendarAdvance(Calendar,R246,"1D","f")</f>
        <v>42627</v>
      </c>
      <c r="S247" s="47">
        <f>_xll.qlTenorBasisValue($P$3,R247,AllTriggers)</f>
        <v>3.6997361663411161E-3</v>
      </c>
      <c r="T247" s="41">
        <f>_xll.qlDayCounterYearFraction("actual/365 (fixed)",SettlementDate,R247,,,Trigger)</f>
        <v>0.95342465753424654</v>
      </c>
      <c r="U247" s="47">
        <f>_xll.qlPolynomialFunctionValue($P$18,T247,AllTriggers)</f>
        <v>3.3987444765701284E-3</v>
      </c>
    </row>
    <row r="248" spans="18:21" x14ac:dyDescent="0.2">
      <c r="R248" s="212">
        <f>_xll.qlCalendarAdvance(Calendar,R247,"1D","f")</f>
        <v>42628</v>
      </c>
      <c r="S248" s="47">
        <f>_xll.qlTenorBasisValue($P$3,R248,AllTriggers)</f>
        <v>3.7012874451902112E-3</v>
      </c>
      <c r="T248" s="41">
        <f>_xll.qlDayCounterYearFraction("actual/365 (fixed)",SettlementDate,R248,,,Trigger)</f>
        <v>0.95616438356164379</v>
      </c>
      <c r="U248" s="47">
        <f>_xll.qlPolynomialFunctionValue($P$18,T248,AllTriggers)</f>
        <v>3.4004361048736911E-3</v>
      </c>
    </row>
    <row r="249" spans="18:21" x14ac:dyDescent="0.2">
      <c r="R249" s="212">
        <f>_xll.qlCalendarAdvance(Calendar,R248,"1D","f")</f>
        <v>42629</v>
      </c>
      <c r="S249" s="47">
        <f>_xll.qlTenorBasisValue($P$3,R249,AllTriggers)</f>
        <v>3.7028376547597747E-3</v>
      </c>
      <c r="T249" s="41">
        <f>_xll.qlDayCounterYearFraction("actual/365 (fixed)",SettlementDate,R249,,,Trigger)</f>
        <v>0.95890410958904104</v>
      </c>
      <c r="U249" s="47">
        <f>_xll.qlPolynomialFunctionValue($P$18,T249,AllTriggers)</f>
        <v>3.4021276010710298E-3</v>
      </c>
    </row>
    <row r="250" spans="18:21" x14ac:dyDescent="0.2">
      <c r="R250" s="212">
        <f>_xll.qlCalendarAdvance(Calendar,R249,"1D","f")</f>
        <v>42632</v>
      </c>
      <c r="S250" s="47">
        <f>_xll.qlTenorBasisValue($P$3,R250,AllTriggers)</f>
        <v>3.707481817418774E-3</v>
      </c>
      <c r="T250" s="41">
        <f>_xll.qlDayCounterYearFraction("actual/365 (fixed)",SettlementDate,R250,,,Trigger)</f>
        <v>0.9671232876712329</v>
      </c>
      <c r="U250" s="47">
        <f>_xll.qlPolynomialFunctionValue($P$18,T250,AllTriggers)</f>
        <v>3.4072012466531982E-3</v>
      </c>
    </row>
    <row r="251" spans="18:21" x14ac:dyDescent="0.2">
      <c r="R251" s="212">
        <f>_xll.qlCalendarAdvance(Calendar,R250,"1D","f")</f>
        <v>42633</v>
      </c>
      <c r="S251" s="47">
        <f>_xll.qlTenorBasisValue($P$3,R251,AllTriggers)</f>
        <v>3.7090276994977116E-3</v>
      </c>
      <c r="T251" s="41">
        <f>_xll.qlDayCounterYearFraction("actual/365 (fixed)",SettlementDate,R251,,,Trigger)</f>
        <v>0.96986301369863015</v>
      </c>
      <c r="U251" s="47">
        <f>_xll.qlPolynomialFunctionValue($P$18,T251,AllTriggers)</f>
        <v>3.4088921640531402E-3</v>
      </c>
    </row>
    <row r="252" spans="18:21" x14ac:dyDescent="0.2">
      <c r="R252" s="212">
        <f>_xll.qlCalendarAdvance(Calendar,R251,"1D","f")</f>
        <v>42634</v>
      </c>
      <c r="S252" s="47">
        <f>_xll.qlTenorBasisValue($P$3,R252,AllTriggers)</f>
        <v>3.7105724871108682E-3</v>
      </c>
      <c r="T252" s="41">
        <f>_xll.qlDayCounterYearFraction("actual/365 (fixed)",SettlementDate,R252,,,Trigger)</f>
        <v>0.9726027397260274</v>
      </c>
      <c r="U252" s="47">
        <f>_xll.qlPolynomialFunctionValue($P$18,T252,AllTriggers)</f>
        <v>3.4105829241606084E-3</v>
      </c>
    </row>
    <row r="253" spans="18:21" x14ac:dyDescent="0.2">
      <c r="R253" s="212">
        <f>_xll.qlCalendarAdvance(Calendar,R252,"1D","f")</f>
        <v>42635</v>
      </c>
      <c r="S253" s="47">
        <f>_xll.qlTenorBasisValue($P$3,R253,AllTriggers)</f>
        <v>3.7121161752209949E-3</v>
      </c>
      <c r="T253" s="41">
        <f>_xll.qlDayCounterYearFraction("actual/365 (fixed)",SettlementDate,R253,,,Trigger)</f>
        <v>0.97534246575342465</v>
      </c>
      <c r="U253" s="47">
        <f>_xll.qlPolynomialFunctionValue($P$18,T253,AllTriggers)</f>
        <v>3.412273521938354E-3</v>
      </c>
    </row>
    <row r="254" spans="18:21" x14ac:dyDescent="0.2">
      <c r="R254" s="212">
        <f>_xll.qlCalendarAdvance(Calendar,R253,"1D","f")</f>
        <v>42636</v>
      </c>
      <c r="S254" s="47">
        <f>_xll.qlTenorBasisValue($P$3,R254,AllTriggers)</f>
        <v>3.7136587587908421E-3</v>
      </c>
      <c r="T254" s="41">
        <f>_xll.qlDayCounterYearFraction("actual/365 (fixed)",SettlementDate,R254,,,Trigger)</f>
        <v>0.9780821917808219</v>
      </c>
      <c r="U254" s="47">
        <f>_xll.qlPolynomialFunctionValue($P$18,T254,AllTriggers)</f>
        <v>3.413963952349127E-3</v>
      </c>
    </row>
    <row r="255" spans="18:21" x14ac:dyDescent="0.2">
      <c r="R255" s="212">
        <f>_xll.qlCalendarAdvance(Calendar,R254,"1D","f")</f>
        <v>42639</v>
      </c>
      <c r="S255" s="47">
        <f>_xll.qlTenorBasisValue($P$3,R255,AllTriggers)</f>
        <v>3.7182798318862054E-3</v>
      </c>
      <c r="T255" s="41">
        <f>_xll.qlDayCounterYearFraction("actual/365 (fixed)",SettlementDate,R255,,,Trigger)</f>
        <v>0.98630136986301364</v>
      </c>
      <c r="U255" s="47">
        <f>_xll.qlPolynomialFunctionValue($P$18,T255,AllTriggers)</f>
        <v>3.4190341890071125E-3</v>
      </c>
    </row>
    <row r="256" spans="18:21" x14ac:dyDescent="0.2">
      <c r="R256" s="212">
        <f>_xll.qlCalendarAdvance(Calendar,R255,"1D","f")</f>
        <v>42640</v>
      </c>
      <c r="S256" s="47">
        <f>_xll.qlTenorBasisValue($P$3,R256,AllTriggers)</f>
        <v>3.7198179469224361E-3</v>
      </c>
      <c r="T256" s="41">
        <f>_xll.qlDayCounterYearFraction("actual/365 (fixed)",SettlementDate,R256,,,Trigger)</f>
        <v>0.989041095890411</v>
      </c>
      <c r="U256" s="47">
        <f>_xll.qlPolynomialFunctionValue($P$18,T256,AllTriggers)</f>
        <v>3.4207238995774976E-3</v>
      </c>
    </row>
    <row r="257" spans="18:21" x14ac:dyDescent="0.2">
      <c r="R257" s="212">
        <f>_xll.qlCalendarAdvance(Calendar,R256,"1D","f")</f>
        <v>42641</v>
      </c>
      <c r="S257" s="47">
        <f>_xll.qlTenorBasisValue($P$3,R257,AllTriggers)</f>
        <v>3.7213549322321375E-3</v>
      </c>
      <c r="T257" s="41">
        <f>_xll.qlDayCounterYearFraction("actual/365 (fixed)",SettlementDate,R257,,,Trigger)</f>
        <v>0.99178082191780825</v>
      </c>
      <c r="U257" s="47">
        <f>_xll.qlPolynomialFunctionValue($P$18,T257,AllTriggers)</f>
        <v>3.422413417594662E-3</v>
      </c>
    </row>
    <row r="258" spans="18:21" x14ac:dyDescent="0.2">
      <c r="R258" s="212">
        <f>_xll.qlCalendarAdvance(Calendar,R257,"1D","f")</f>
        <v>42642</v>
      </c>
      <c r="S258" s="47">
        <f>_xll.qlTenorBasisValue($P$3,R258,AllTriggers)</f>
        <v>3.7228907827780615E-3</v>
      </c>
      <c r="T258" s="41">
        <f>_xll.qlDayCounterYearFraction("actual/365 (fixed)",SettlementDate,R258,,,Trigger)</f>
        <v>0.9945205479452055</v>
      </c>
      <c r="U258" s="47">
        <f>_xll.qlPolynomialFunctionValue($P$18,T258,AllTriggers)</f>
        <v>3.4241027380213554E-3</v>
      </c>
    </row>
    <row r="259" spans="18:21" x14ac:dyDescent="0.2">
      <c r="R259" s="212">
        <f>_xll.qlCalendarAdvance(Calendar,R258,"1D","f")</f>
        <v>42643</v>
      </c>
      <c r="S259" s="47">
        <f>_xll.qlTenorBasisValue($P$3,R259,AllTriggers)</f>
        <v>3.7244254935229573E-3</v>
      </c>
      <c r="T259" s="41">
        <f>_xll.qlDayCounterYearFraction("actual/365 (fixed)",SettlementDate,R259,,,Trigger)</f>
        <v>0.99726027397260275</v>
      </c>
      <c r="U259" s="47">
        <f>_xll.qlPolynomialFunctionValue($P$18,T259,AllTriggers)</f>
        <v>3.4257918558203283E-3</v>
      </c>
    </row>
    <row r="260" spans="18:21" x14ac:dyDescent="0.2">
      <c r="R260" s="212">
        <f>_xll.qlCalendarAdvance(Calendar,R259,"1D","f")</f>
        <v>42646</v>
      </c>
      <c r="S260" s="47">
        <f>_xll.qlTenorBasisValue($P$3,R260,AllTriggers)</f>
        <v>3.7290227365789821E-3</v>
      </c>
      <c r="T260" s="41">
        <f>_xll.qlDayCounterYearFraction("actual/365 (fixed)",SettlementDate,R260,,,Trigger)</f>
        <v>1.0054794520547945</v>
      </c>
      <c r="U260" s="47">
        <f>_xll.qlPolynomialFunctionValue($P$18,T260,AllTriggers)</f>
        <v>3.4308579430784268E-3</v>
      </c>
    </row>
    <row r="261" spans="18:21" x14ac:dyDescent="0.2">
      <c r="R261" s="212">
        <f>_xll.qlCalendarAdvance(Calendar,R260,"1D","f")</f>
        <v>42647</v>
      </c>
      <c r="S261" s="47">
        <f>_xll.qlTenorBasisValue($P$3,R261,AllTriggers)</f>
        <v>3.7305528377472703E-3</v>
      </c>
      <c r="T261" s="41">
        <f>_xll.qlDayCounterYearFraction("actual/365 (fixed)",SettlementDate,R261,,,Trigger)</f>
        <v>1.0082191780821919</v>
      </c>
      <c r="U261" s="47">
        <f>_xll.qlPolynomialFunctionValue($P$18,T261,AllTriggers)</f>
        <v>3.4325461999940216E-3</v>
      </c>
    </row>
    <row r="262" spans="18:21" x14ac:dyDescent="0.2">
      <c r="R262" s="213">
        <f>_xll.qlCalendarAdvance(Calendar,R261,"1D","f")</f>
        <v>42648</v>
      </c>
      <c r="S262" s="50">
        <f>_xll.qlTenorBasisValue($P$3,R262,AllTriggers)</f>
        <v>3.7320817739282825E-3</v>
      </c>
      <c r="T262" s="44">
        <f>_xll.qlDayCounterYearFraction("actual/365 (fixed)",SettlementDate,R262,,,Trigger)</f>
        <v>1.010958904109589</v>
      </c>
      <c r="U262" s="50">
        <f>_xll.qlPolynomialFunctionValue($P$18,T262,AllTriggers)</f>
        <v>3.434234229095647E-3</v>
      </c>
    </row>
    <row r="263" spans="18:21" x14ac:dyDescent="0.2">
      <c r="R263" s="61"/>
    </row>
    <row r="264" spans="18:21" x14ac:dyDescent="0.2">
      <c r="R264" s="61"/>
    </row>
    <row r="265" spans="18:21" x14ac:dyDescent="0.2">
      <c r="R265" s="61"/>
    </row>
    <row r="266" spans="18:21" x14ac:dyDescent="0.2">
      <c r="R266" s="61"/>
    </row>
    <row r="267" spans="18:21" x14ac:dyDescent="0.2">
      <c r="R267" s="61"/>
    </row>
    <row r="268" spans="18:21" x14ac:dyDescent="0.2">
      <c r="R268" s="61"/>
    </row>
    <row r="269" spans="18:21" x14ac:dyDescent="0.2">
      <c r="R269" s="61"/>
    </row>
    <row r="270" spans="18:21" x14ac:dyDescent="0.2">
      <c r="R270" s="61"/>
    </row>
    <row r="271" spans="18:21" x14ac:dyDescent="0.2">
      <c r="R271" s="61"/>
    </row>
    <row r="272" spans="18:21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Q264"/>
  <sheetViews>
    <sheetView topLeftCell="A52" workbookViewId="0">
      <selection activeCell="D24" sqref="D24"/>
    </sheetView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0X"&amp;SUBSTITUTE($D$24,"M","")</f>
        <v>with 0X12</v>
      </c>
      <c r="T1" s="118"/>
      <c r="U1" s="117" t="str">
        <f>"without 0X"&amp;SUBSTITUTE($D$24,"M","")</f>
        <v>without 0X12</v>
      </c>
      <c r="V1" s="118"/>
      <c r="AG1" s="225"/>
      <c r="AH1" s="225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e">
        <f>_xll.qlPolynomialFunction(,_xll.qlTenorInstCoefficients(G$27),,_xll.ohTrigger(Trigger,G$28:G$31))</f>
        <v>#NUM!</v>
      </c>
      <c r="BF1" s="19" t="e">
        <f>_xll.qlPolynomialFunction(,_xll.qlTenorInstCoefficients(H$27),,_xll.ohTrigger(Trigger,H$28:H$31))</f>
        <v>#NUM!</v>
      </c>
      <c r="BG1" s="19" t="e">
        <f>_xll.qlPolynomialFunction(,_xll.qlTenorInstCoefficients(S$27),,_xll.ohTrigger(Trigger,S$28:S$31))</f>
        <v>#NUM!</v>
      </c>
      <c r="BH1" s="19" t="e">
        <f>_xll.qlPolynomialFunction(,_xll.qlTenorInstCoefficients(T$27),,_xll.ohTrigger(Trigger,T$28:T$31))</f>
        <v>#NUM!</v>
      </c>
      <c r="BI1" s="19" t="e">
        <f>_xll.qlPolynomialFunction(,U$28:U$31,,_xll.ohTrigger(Trigger,G$28:G$31))</f>
        <v>#NUM!</v>
      </c>
      <c r="BJ1" s="19" t="e">
        <f>_xll.qlPolynomialFunction(,V$28:V$31,,_xll.ohTrigger(Trigger,H$28:H$31))</f>
        <v>#NUM!</v>
      </c>
      <c r="BK1" s="19" t="e">
        <f>_xll.qlPolynomialFunction(,W$28:W$31,,_xll.ohTrigger(Trigger,S$28:S$31))</f>
        <v>#NUM!</v>
      </c>
      <c r="BL1" s="19" t="e">
        <f>_xll.qlPolynomialFunction(,X$28:X$31,,_xll.ohTrigger(Trigger,T$28:T$31))</f>
        <v>#NUM!</v>
      </c>
      <c r="BM1" s="19" t="e">
        <f>_xll.qlPolynomialFunction(,_xll.qlTenorInstCoefficients(Y$27),,_xll.ohTrigger(Trigger,G$28:G$31))</f>
        <v>#NUM!</v>
      </c>
      <c r="BN1" s="19" t="e">
        <f>_xll.qlPolynomialFunction(,_xll.qlTenorInstCoefficients(Z$27),,_xll.ohTrigger(Trigger,H$28:H$31))</f>
        <v>#NUM!</v>
      </c>
      <c r="BO1" s="19" t="e">
        <f>_xll.qlPolynomialFunction(,_xll.qlTenorInstCoefficients(AA$27),,_xll.ohTrigger(Trigger,S$28:S$31))</f>
        <v>#NUM!</v>
      </c>
      <c r="BP1" s="19" t="e">
        <f>_xll.qlPolynomialFunction(,_xll.qlTenorInstCoefficients(AB$27),,_xll.ohTrigger(Trigger,T$28:T$31))</f>
        <v>#NUM!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"&amp;$D$24</f>
        <v>F 12M</v>
      </c>
      <c r="H2" s="36" t="str">
        <f>"B "&amp;$D$24</f>
        <v>B 12M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 t="shared" ref="B3:B9" si="0">A3+SUBSTITUTE($D$24,"M","")</f>
        <v>12</v>
      </c>
      <c r="C3" s="171" t="str">
        <f>"B"&amp;$D$24&amp;"_"&amp;A3&amp;"X"&amp;B3&amp;$D$27</f>
        <v>B12M_0X12ESTIMATED</v>
      </c>
      <c r="D3" s="186">
        <f>SettlementDate</f>
        <v>42279</v>
      </c>
      <c r="E3" s="186">
        <f>_xll.qlInterestRateIndexMaturity($D$25,D3)</f>
        <v>42646</v>
      </c>
      <c r="F3" s="172">
        <f>_xll.qlIndexFixing(ON_12M_index,_xll.qlInterestRateIndexFixingDate(ON_12M_index,D3,Trigger),,AllTriggers)</f>
        <v>-1.7272425857299799E-3</v>
      </c>
      <c r="G3" s="172" t="e">
        <f>H3+F3</f>
        <v>#NUM!</v>
      </c>
      <c r="H3" s="226" t="e">
        <f>_xll.qlQuoteValue(C3,_xll.ohTrigger(InterestRatesTrigger,'12MSynthDepo_used'!E3))</f>
        <v>#NUM!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8" si="1">I3</f>
        <v>0</v>
      </c>
      <c r="L3" s="173">
        <f t="shared" ref="L3:L8" si="2">I3^2</f>
        <v>0</v>
      </c>
      <c r="M3" s="217" t="e">
        <f>LN((1+G3*_xll.qlDayCounterYearFraction(DayCounter,D3,E3,,,Trigger))/(1+F3*_xll.qlDayCounterYearFraction(DayCounter,D3,E3,,,Trigger)))</f>
        <v>#NUM!</v>
      </c>
      <c r="N3" s="173">
        <f>_xll.qlDayCounterYearFraction(DayCounter,SettlementDate,D3,,,Trigger)</f>
        <v>0</v>
      </c>
      <c r="O3" s="173">
        <f>_xll.qlDayCounterYearFraction(DayCounter,SettlementDate,E3,,,Trigger)</f>
        <v>1.0194444444444444</v>
      </c>
      <c r="P3" s="173">
        <f>O3-N3</f>
        <v>1.0194444444444444</v>
      </c>
      <c r="Q3" s="173">
        <f>(O3^2-N3^2)/2</f>
        <v>0.51963348765432094</v>
      </c>
      <c r="R3" s="173">
        <f>(O3^3-N3^3)/3</f>
        <v>0.35315831475765885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v>1</v>
      </c>
      <c r="B4" s="55">
        <f t="shared" si="0"/>
        <v>13</v>
      </c>
      <c r="C4" s="39" t="str">
        <f t="shared" ref="C4:C9" si="3">"B"&amp;$D$24&amp;"_"&amp;A4&amp;"X"&amp;B4</f>
        <v>B12M_1X13</v>
      </c>
      <c r="D4" s="177">
        <f>_xll.qlCalendarAdvance(Calendar,SettlementDate,A4&amp;"M","mf")</f>
        <v>42310</v>
      </c>
      <c r="E4" s="177">
        <f>_xll.qlInterestRateIndexMaturity($D$25,D4)</f>
        <v>42676</v>
      </c>
      <c r="F4" s="53">
        <f>_xll.qlIndexFixing(ON_12M_index,_xll.qlInterestRateIndexFixingDate(ON_12M_index,D4,Trigger),,AllTriggers)</f>
        <v>-1.7763168734115172E-3</v>
      </c>
      <c r="G4" s="53" t="e">
        <f t="shared" ref="G4:G8" si="4">H4+F4</f>
        <v>#NUM!</v>
      </c>
      <c r="H4" s="202" t="e">
        <f>_xll.qlQuoteValue(C4,_xll.ohTrigger(InterestRatesTrigger,'12MSynthDepo_used'!E4))</f>
        <v>#NUM!</v>
      </c>
      <c r="I4" s="41">
        <f>_xll.qlDayCounterYearFraction(DayCounter,SettlementDate,D4,,,Trigger)</f>
        <v>8.611111111111111E-2</v>
      </c>
      <c r="J4" s="41">
        <f>1</f>
        <v>1</v>
      </c>
      <c r="K4" s="41">
        <f t="shared" si="1"/>
        <v>8.611111111111111E-2</v>
      </c>
      <c r="L4" s="41">
        <f t="shared" si="2"/>
        <v>7.4151234567901231E-3</v>
      </c>
      <c r="M4" s="40" t="e">
        <f>LN((1+G4*_xll.qlDayCounterYearFraction(DayCounter,D4,E4,,,Trigger))/(1+F4*_xll.qlDayCounterYearFraction(DayCounter,D4,E4,,,Trigger)))</f>
        <v>#NUM!</v>
      </c>
      <c r="N4" s="41">
        <f>_xll.qlDayCounterYearFraction(DayCounter,SettlementDate,D4,,,Trigger)</f>
        <v>8.611111111111111E-2</v>
      </c>
      <c r="O4" s="41">
        <f>_xll.qlDayCounterYearFraction(DayCounter,SettlementDate,E4,,,Trigger)</f>
        <v>1.1027777777777779</v>
      </c>
      <c r="P4" s="41">
        <f t="shared" ref="P4:P8" si="5">O4-N4</f>
        <v>1.0166666666666668</v>
      </c>
      <c r="Q4" s="41">
        <f t="shared" ref="Q4:Q8" si="6">(O4^2-N4^2)/2</f>
        <v>0.60435185185185192</v>
      </c>
      <c r="R4" s="41">
        <f t="shared" ref="R4:R8" si="7">(O4^3-N4^3)/3</f>
        <v>0.44682343106995887</v>
      </c>
      <c r="S4" s="114" t="b">
        <v>1</v>
      </c>
      <c r="T4" s="114" t="b">
        <v>1</v>
      </c>
      <c r="U4" s="114" t="b">
        <v>1</v>
      </c>
      <c r="V4" s="114" t="b">
        <v>1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G34</f>
        <v>with 0X12</v>
      </c>
      <c r="BF4" s="118"/>
      <c r="BG4" s="117" t="str">
        <f>S34</f>
        <v>without 0X12</v>
      </c>
      <c r="BH4" s="118"/>
      <c r="BI4" s="116" t="str">
        <f>U34</f>
        <v>with 0X12</v>
      </c>
      <c r="BJ4" s="118"/>
      <c r="BK4" s="117" t="str">
        <f>W34</f>
        <v>without 0X12</v>
      </c>
      <c r="BL4" s="118"/>
      <c r="BM4" s="116" t="str">
        <f>Y34</f>
        <v>with 0X12</v>
      </c>
      <c r="BN4" s="118"/>
      <c r="BO4" s="117" t="str">
        <f>AA34</f>
        <v>without 0X12</v>
      </c>
      <c r="BP4" s="118"/>
    </row>
    <row r="5" spans="1:69" ht="12" customHeight="1" x14ac:dyDescent="0.2">
      <c r="A5" s="21">
        <v>2</v>
      </c>
      <c r="B5" s="55">
        <f t="shared" si="0"/>
        <v>14</v>
      </c>
      <c r="C5" s="39" t="str">
        <f t="shared" si="3"/>
        <v>B12M_2X14</v>
      </c>
      <c r="D5" s="177">
        <f>_xll.qlCalendarAdvance(Calendar,SettlementDate,A5&amp;"M","mf")</f>
        <v>42340</v>
      </c>
      <c r="E5" s="177">
        <f>_xll.qlInterestRateIndexMaturity($D$25,D5)</f>
        <v>42706</v>
      </c>
      <c r="F5" s="53">
        <f>_xll.qlIndexFixing(ON_12M_index,_xll.qlInterestRateIndexFixingDate(ON_12M_index,D5,Trigger),,AllTriggers)</f>
        <v>-1.8169737826632334E-3</v>
      </c>
      <c r="G5" s="53" t="e">
        <f t="shared" si="4"/>
        <v>#NUM!</v>
      </c>
      <c r="H5" s="202" t="e">
        <f>_xll.qlQuoteValue(C5,_xll.ohTrigger(InterestRatesTrigger,'12MSynthDepo_used'!E5))</f>
        <v>#NUM!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1"/>
        <v>0.16944444444444445</v>
      </c>
      <c r="L5" s="41">
        <f t="shared" si="2"/>
        <v>2.8711419753086422E-2</v>
      </c>
      <c r="M5" s="40" t="e">
        <f>LN((1+G5*_xll.qlDayCounterYearFraction(DayCounter,D5,E5,,,Trigger))/(1+F5*_xll.qlDayCounterYearFraction(DayCounter,D5,E5,,,Trigger)))</f>
        <v>#NUM!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1.1861111111111111</v>
      </c>
      <c r="P5" s="41">
        <f t="shared" si="5"/>
        <v>1.0166666666666666</v>
      </c>
      <c r="Q5" s="41">
        <f t="shared" si="6"/>
        <v>0.68907407407407406</v>
      </c>
      <c r="R5" s="41">
        <f t="shared" si="7"/>
        <v>0.55460892489711933</v>
      </c>
      <c r="S5" s="114" t="b">
        <v>0</v>
      </c>
      <c r="T5" s="114" t="b">
        <v>0</v>
      </c>
      <c r="U5" s="114" t="b">
        <v>0</v>
      </c>
      <c r="V5" s="114" t="b">
        <v>0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303" t="s">
        <v>20</v>
      </c>
      <c r="AI5" s="29" t="e">
        <f t="array" ref="AI5:AI6">MMULT(AL5:AM6,AK5:AK6)</f>
        <v>#NUM!</v>
      </c>
      <c r="AJ5" s="303" t="s">
        <v>21</v>
      </c>
      <c r="AK5" s="30" t="e">
        <f t="array" ref="AK5:AK6">_xll.ohFilter(H3:H9,S3:S9)</f>
        <v>#NUM!</v>
      </c>
      <c r="AL5" s="27">
        <f t="array" ref="AL5:AM6">MINVERSE(AF5:AG6)</f>
        <v>-11.612903225806452</v>
      </c>
      <c r="AM5" s="28">
        <v>11.612903225806452</v>
      </c>
      <c r="AN5" s="21"/>
      <c r="AO5" s="101"/>
      <c r="AP5" s="94"/>
      <c r="AQ5" s="124"/>
      <c r="AR5" s="27">
        <f t="array" ref="AR5:AR6">_xll.ohFilter(Q3:Q9,S3:S9)</f>
        <v>0.51963348765432094</v>
      </c>
      <c r="AS5" s="28">
        <f t="array" ref="AS5:AS6">_xll.ohFilter(P3:P9,S3:S9)</f>
        <v>1.0194444444444444</v>
      </c>
      <c r="AT5" s="303" t="s">
        <v>20</v>
      </c>
      <c r="AU5" s="29" t="e">
        <f t="array" ref="AU5:AU6">MMULT(AX5:AY6,AW5:AW6)</f>
        <v>#NUM!</v>
      </c>
      <c r="AV5" s="303" t="s">
        <v>21</v>
      </c>
      <c r="AW5" s="56" t="e">
        <f t="array" ref="AW5:AW6">_xll.ohFilter(M3:M9,S3:S9)</f>
        <v>#NUM!</v>
      </c>
      <c r="AX5" s="27">
        <f t="array" ref="AX5:AY6">MINVERSE(AR5:AS6)</f>
        <v>-11.5781480323402</v>
      </c>
      <c r="AY5" s="28">
        <v>11.609782316581565</v>
      </c>
      <c r="AZ5" s="21"/>
      <c r="BA5" s="101"/>
      <c r="BC5" s="36" t="s">
        <v>38</v>
      </c>
      <c r="BD5" s="36" t="s">
        <v>55</v>
      </c>
      <c r="BE5" s="36" t="str">
        <f>G35</f>
        <v>Quadratic</v>
      </c>
      <c r="BF5" s="36" t="str">
        <f>H35</f>
        <v>Quadratic</v>
      </c>
      <c r="BG5" s="36" t="str">
        <f>S35</f>
        <v>Quadratic</v>
      </c>
      <c r="BH5" s="36" t="str">
        <f>T35</f>
        <v>Quadratic</v>
      </c>
      <c r="BI5" s="36" t="str">
        <f>U35</f>
        <v>Quadratic</v>
      </c>
      <c r="BJ5" s="36" t="str">
        <f>V35</f>
        <v>Quadratic</v>
      </c>
      <c r="BK5" s="36" t="str">
        <f>W35</f>
        <v>Quadratic</v>
      </c>
      <c r="BL5" s="36" t="str">
        <f>X35</f>
        <v>Quadratic</v>
      </c>
      <c r="BM5" s="36" t="str">
        <f>Y35</f>
        <v>Quadratic</v>
      </c>
      <c r="BN5" s="36" t="str">
        <f>Z35</f>
        <v>Quadratic</v>
      </c>
      <c r="BO5" s="36" t="str">
        <f>AA35</f>
        <v>Quadratic</v>
      </c>
      <c r="BP5" s="36" t="str">
        <f>AB35</f>
        <v>Quadratic</v>
      </c>
      <c r="BQ5" s="36" t="s">
        <v>105</v>
      </c>
    </row>
    <row r="6" spans="1:69" ht="12" customHeight="1" x14ac:dyDescent="0.2">
      <c r="A6" s="21">
        <v>3</v>
      </c>
      <c r="B6" s="55">
        <f t="shared" si="0"/>
        <v>15</v>
      </c>
      <c r="C6" s="39" t="str">
        <f t="shared" si="3"/>
        <v>B12M_3X15</v>
      </c>
      <c r="D6" s="177">
        <f>_xll.qlCalendarAdvance(Calendar,SettlementDate,A6&amp;"M","mf")</f>
        <v>42373</v>
      </c>
      <c r="E6" s="177">
        <f>_xll.qlInterestRateIndexMaturity($D$25,D6)</f>
        <v>42739</v>
      </c>
      <c r="F6" s="53">
        <f>_xll.qlIndexFixing(ON_12M_index,_xll.qlInterestRateIndexFixingDate(ON_12M_index,D6,Trigger),,AllTriggers)</f>
        <v>-1.8509412400042964E-3</v>
      </c>
      <c r="G6" s="53" t="e">
        <f t="shared" si="4"/>
        <v>#NUM!</v>
      </c>
      <c r="H6" s="202" t="e">
        <f>_xll.qlQuoteValue(C6,_xll.ohTrigger(InterestRatesTrigger,'12MSynthDepo_used'!E6))</f>
        <v>#NUM!</v>
      </c>
      <c r="I6" s="41">
        <f>_xll.qlDayCounterYearFraction(DayCounter,SettlementDate,D6,,,Trigger)</f>
        <v>0.26111111111111113</v>
      </c>
      <c r="J6" s="41">
        <f>1</f>
        <v>1</v>
      </c>
      <c r="K6" s="41">
        <f t="shared" si="1"/>
        <v>0.26111111111111113</v>
      </c>
      <c r="L6" s="41">
        <f t="shared" si="2"/>
        <v>6.8179012345679024E-2</v>
      </c>
      <c r="M6" s="40" t="e">
        <f>LN((1+G6*_xll.qlDayCounterYearFraction(DayCounter,D6,E6,,,Trigger))/(1+F6*_xll.qlDayCounterYearFraction(DayCounter,D6,E6,,,Trigger)))</f>
        <v>#NUM!</v>
      </c>
      <c r="N6" s="41">
        <f>_xll.qlDayCounterYearFraction(DayCounter,SettlementDate,D6,,,Trigger)</f>
        <v>0.26111111111111113</v>
      </c>
      <c r="O6" s="41">
        <f>_xll.qlDayCounterYearFraction(DayCounter,SettlementDate,E6,,,Trigger)</f>
        <v>1.2777777777777777</v>
      </c>
      <c r="P6" s="41">
        <f t="shared" si="5"/>
        <v>1.0166666666666666</v>
      </c>
      <c r="Q6" s="41">
        <f t="shared" si="6"/>
        <v>0.78226851851851831</v>
      </c>
      <c r="R6" s="41">
        <f t="shared" si="7"/>
        <v>0.68948199588477355</v>
      </c>
      <c r="S6" s="114" t="b">
        <v>0</v>
      </c>
      <c r="T6" s="114" t="b">
        <v>1</v>
      </c>
      <c r="U6" s="114" t="b">
        <v>1</v>
      </c>
      <c r="V6" s="114" t="b">
        <v>1</v>
      </c>
      <c r="AD6" s="94"/>
      <c r="AE6" s="21"/>
      <c r="AF6" s="27">
        <v>8.611111111111111E-2</v>
      </c>
      <c r="AG6" s="28">
        <v>1</v>
      </c>
      <c r="AH6" s="303"/>
      <c r="AI6" s="29" t="e">
        <v>#NUM!</v>
      </c>
      <c r="AJ6" s="303"/>
      <c r="AK6" s="30" t="e">
        <v>#NUM!</v>
      </c>
      <c r="AL6" s="27">
        <v>1</v>
      </c>
      <c r="AM6" s="28">
        <v>0</v>
      </c>
      <c r="AN6" s="21"/>
      <c r="AO6" s="101"/>
      <c r="AP6" s="94"/>
      <c r="AQ6" s="21"/>
      <c r="AR6" s="27">
        <v>0.60435185185185192</v>
      </c>
      <c r="AS6" s="28">
        <v>1.0166666666666668</v>
      </c>
      <c r="AT6" s="303"/>
      <c r="AU6" s="29" t="e">
        <v>#NUM!</v>
      </c>
      <c r="AV6" s="303"/>
      <c r="AW6" s="56" t="e">
        <v>#NUM!</v>
      </c>
      <c r="AX6" s="27">
        <v>6.8825657747800078</v>
      </c>
      <c r="AY6" s="28">
        <v>-5.9177640419242143</v>
      </c>
      <c r="AZ6" s="21"/>
      <c r="BA6" s="101"/>
      <c r="BC6" s="176">
        <f>SettlementDate</f>
        <v>42279</v>
      </c>
      <c r="BD6" s="41">
        <f>_xll.qlDayCounterYearFraction(DayCounter,SettlementDate,BC6,,,Trigger)</f>
        <v>0</v>
      </c>
      <c r="BE6" s="47" t="e">
        <f>_xll.qlPolynomialFunctionValue(BE$1,$BD6,AllTriggers)</f>
        <v>#VALUE!</v>
      </c>
      <c r="BF6" s="52" t="e">
        <f>_xll.qlPolynomialFunctionValue(BF$1,$BD6,AllTriggers)</f>
        <v>#VALUE!</v>
      </c>
      <c r="BG6" s="47" t="e">
        <f>_xll.qlPolynomialFunctionValue(BG$1,$BD6,AllTriggers)</f>
        <v>#VALUE!</v>
      </c>
      <c r="BH6" s="52" t="e">
        <f>_xll.qlPolynomialFunctionValue(BH$1,$BD6,AllTriggers)</f>
        <v>#VALUE!</v>
      </c>
      <c r="BI6" s="52" t="e">
        <f>_xll.qlPolynomialFunctionValue(BI$1,$BD6,AllTriggers)</f>
        <v>#VALUE!</v>
      </c>
      <c r="BJ6" s="52" t="e">
        <f>_xll.qlPolynomialFunctionValue(BJ$1,$BD6,AllTriggers)</f>
        <v>#VALUE!</v>
      </c>
      <c r="BK6" s="52" t="e">
        <f>_xll.qlPolynomialFunctionValue(BK$1,$BD6,AllTriggers)</f>
        <v>#VALUE!</v>
      </c>
      <c r="BL6" s="52" t="e">
        <f>_xll.qlPolynomialFunctionValue(BL$1,$BD6,AllTriggers)</f>
        <v>#VALUE!</v>
      </c>
      <c r="BM6" s="52" t="e">
        <f>_xll.qlPolynomialFunctionValue(BM$1,$BD6,AllTriggers)</f>
        <v>#VALUE!</v>
      </c>
      <c r="BN6" s="52" t="e">
        <f>_xll.qlPolynomialFunctionValue(BN$1,$BD6,AllTriggers)</f>
        <v>#VALUE!</v>
      </c>
      <c r="BO6" s="52" t="e">
        <f>_xll.qlPolynomialFunctionValue(BO$1,$BD6,AllTriggers)</f>
        <v>#VALUE!</v>
      </c>
      <c r="BP6" s="52" t="e">
        <f>_xll.qlPolynomialFunctionValue(BP$1,$BD6,AllTriggers)</f>
        <v>#VALUE!</v>
      </c>
      <c r="BQ6" s="52">
        <f>_xll.qlPolynomialFunctionValue('12MSynthDepo_used'!$P$18,BD6,AllTriggers)</f>
        <v>2.837722947142234E-3</v>
      </c>
    </row>
    <row r="7" spans="1:69" ht="12" customHeight="1" x14ac:dyDescent="0.2">
      <c r="A7" s="21">
        <v>6</v>
      </c>
      <c r="B7" s="55">
        <f t="shared" si="0"/>
        <v>18</v>
      </c>
      <c r="C7" s="39" t="str">
        <f t="shared" si="3"/>
        <v>B12M_6X18</v>
      </c>
      <c r="D7" s="177">
        <f>_xll.qlCalendarAdvance(Calendar,SettlementDate,A7&amp;"M","mf")</f>
        <v>42464</v>
      </c>
      <c r="E7" s="177">
        <f>_xll.qlInterestRateIndexMaturity($D$25,D7)</f>
        <v>42829</v>
      </c>
      <c r="F7" s="53">
        <f>_xll.qlIndexFixing(ON_12M_index,_xll.qlInterestRateIndexFixingDate(ON_12M_index,D7,Trigger),,AllTriggers)</f>
        <v>-1.8921511343135894E-3</v>
      </c>
      <c r="G7" s="53" t="e">
        <f t="shared" si="4"/>
        <v>#NUM!</v>
      </c>
      <c r="H7" s="202" t="e">
        <f>_xll.qlQuoteValue(C7,_xll.ohTrigger(InterestRatesTrigger,'12MSynthDepo_used'!E7))</f>
        <v>#NUM!</v>
      </c>
      <c r="I7" s="41">
        <f>_xll.qlDayCounterYearFraction(DayCounter,SettlementDate,D7,,,Trigger)</f>
        <v>0.51388888888888884</v>
      </c>
      <c r="J7" s="41">
        <f>1</f>
        <v>1</v>
      </c>
      <c r="K7" s="41">
        <f t="shared" si="1"/>
        <v>0.51388888888888884</v>
      </c>
      <c r="L7" s="41">
        <f t="shared" si="2"/>
        <v>0.26408179012345673</v>
      </c>
      <c r="M7" s="40" t="e">
        <f>LN((1+G7*_xll.qlDayCounterYearFraction(DayCounter,D7,E7,,,Trigger))/(1+F7*_xll.qlDayCounterYearFraction(DayCounter,D7,E7,,,Trigger)))</f>
        <v>#NUM!</v>
      </c>
      <c r="N7" s="41">
        <f>_xll.qlDayCounterYearFraction(DayCounter,SettlementDate,D7,,,Trigger)</f>
        <v>0.51388888888888884</v>
      </c>
      <c r="O7" s="41">
        <f>_xll.qlDayCounterYearFraction(DayCounter,SettlementDate,E7,,,Trigger)</f>
        <v>1.5277777777777777</v>
      </c>
      <c r="P7" s="41">
        <f t="shared" si="5"/>
        <v>1.0138888888888888</v>
      </c>
      <c r="Q7" s="41">
        <f t="shared" si="6"/>
        <v>1.035011574074074</v>
      </c>
      <c r="R7" s="41">
        <f t="shared" si="7"/>
        <v>1.1434283193301324</v>
      </c>
      <c r="S7" s="114" t="b">
        <v>0</v>
      </c>
      <c r="T7" s="114" t="b">
        <v>1</v>
      </c>
      <c r="U7" s="114" t="b">
        <v>0</v>
      </c>
      <c r="V7" s="114" t="b">
        <v>1</v>
      </c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42282</v>
      </c>
      <c r="BD7" s="41">
        <f>_xll.qlDayCounterYearFraction(DayCounter,SettlementDate,BC7,,,Trigger)</f>
        <v>8.3333333333333332E-3</v>
      </c>
      <c r="BE7" s="47" t="e">
        <f>_xll.qlPolynomialFunctionValue(BE$1,$BD7,AllTriggers)</f>
        <v>#VALUE!</v>
      </c>
      <c r="BF7" s="47" t="e">
        <f>_xll.qlPolynomialFunctionValue(BF$1,$BD7,AllTriggers)</f>
        <v>#VALUE!</v>
      </c>
      <c r="BG7" s="47" t="e">
        <f>_xll.qlPolynomialFunctionValue(BG$1,$BD7,AllTriggers)</f>
        <v>#VALUE!</v>
      </c>
      <c r="BH7" s="47" t="e">
        <f>_xll.qlPolynomialFunctionValue(BH$1,$BD7,AllTriggers)</f>
        <v>#VALUE!</v>
      </c>
      <c r="BI7" s="47" t="e">
        <f>_xll.qlPolynomialFunctionValue(BI$1,$BD7,AllTriggers)</f>
        <v>#VALUE!</v>
      </c>
      <c r="BJ7" s="47" t="e">
        <f>_xll.qlPolynomialFunctionValue(BJ$1,$BD7,AllTriggers)</f>
        <v>#VALUE!</v>
      </c>
      <c r="BK7" s="47" t="e">
        <f>_xll.qlPolynomialFunctionValue(BK$1,$BD7,AllTriggers)</f>
        <v>#VALUE!</v>
      </c>
      <c r="BL7" s="47" t="e">
        <f>_xll.qlPolynomialFunctionValue(BL$1,$BD7,AllTriggers)</f>
        <v>#VALUE!</v>
      </c>
      <c r="BM7" s="47" t="e">
        <f>_xll.qlPolynomialFunctionValue(BM$1,$BD7,AllTriggers)</f>
        <v>#VALUE!</v>
      </c>
      <c r="BN7" s="47" t="e">
        <f>_xll.qlPolynomialFunctionValue(BN$1,$BD7,AllTriggers)</f>
        <v>#VALUE!</v>
      </c>
      <c r="BO7" s="47" t="e">
        <f>_xll.qlPolynomialFunctionValue(BO$1,$BD7,AllTriggers)</f>
        <v>#VALUE!</v>
      </c>
      <c r="BP7" s="47" t="e">
        <f>_xll.qlPolynomialFunctionValue(BP$1,$BD7,AllTriggers)</f>
        <v>#VALUE!</v>
      </c>
      <c r="BQ7" s="47">
        <f>_xll.qlPolynomialFunctionValue('12MSynthDepo_used'!$P$18,BD7,AllTriggers)</f>
        <v>2.8420827568163384E-3</v>
      </c>
    </row>
    <row r="8" spans="1:69" ht="12" customHeight="1" x14ac:dyDescent="0.2">
      <c r="A8" s="21">
        <v>9</v>
      </c>
      <c r="B8" s="55">
        <f t="shared" si="0"/>
        <v>21</v>
      </c>
      <c r="C8" s="39" t="str">
        <f t="shared" si="3"/>
        <v>B12M_9X21</v>
      </c>
      <c r="D8" s="177">
        <f>_xll.qlCalendarAdvance(Calendar,SettlementDate,A8&amp;"M","mf")</f>
        <v>42555</v>
      </c>
      <c r="E8" s="177">
        <f>_xll.qlInterestRateIndexMaturity($D$25,D8)</f>
        <v>42920</v>
      </c>
      <c r="F8" s="53">
        <f>_xll.qlIndexFixing(ON_12M_index,_xll.qlInterestRateIndexFixingDate(ON_12M_index,D8,Trigger),,AllTriggers)</f>
        <v>-1.8412961242530849E-3</v>
      </c>
      <c r="G8" s="53" t="e">
        <f t="shared" si="4"/>
        <v>#NUM!</v>
      </c>
      <c r="H8" s="202" t="e">
        <f>_xll.qlQuoteValue(C8,_xll.ohTrigger(InterestRatesTrigger,'12MSynthDepo_used'!E8))</f>
        <v>#NUM!</v>
      </c>
      <c r="I8" s="41">
        <f>_xll.qlDayCounterYearFraction(DayCounter,SettlementDate,D8,,,Trigger)</f>
        <v>0.76666666666666672</v>
      </c>
      <c r="J8" s="41">
        <f>1</f>
        <v>1</v>
      </c>
      <c r="K8" s="41">
        <f t="shared" si="1"/>
        <v>0.76666666666666672</v>
      </c>
      <c r="L8" s="41">
        <f t="shared" si="2"/>
        <v>0.58777777777777784</v>
      </c>
      <c r="M8" s="40" t="e">
        <f>LN((1+G8*_xll.qlDayCounterYearFraction(DayCounter,D8,E8,,,Trigger))/(1+F8*_xll.qlDayCounterYearFraction(DayCounter,D8,E8,,,Trigger)))</f>
        <v>#NUM!</v>
      </c>
      <c r="N8" s="41">
        <f>_xll.qlDayCounterYearFraction(DayCounter,SettlementDate,D8,,,Trigger)</f>
        <v>0.76666666666666672</v>
      </c>
      <c r="O8" s="41">
        <f>_xll.qlDayCounterYearFraction(DayCounter,SettlementDate,E8,,,Trigger)</f>
        <v>1.7805555555555554</v>
      </c>
      <c r="P8" s="41">
        <f t="shared" si="5"/>
        <v>1.0138888888888888</v>
      </c>
      <c r="Q8" s="41">
        <f t="shared" si="6"/>
        <v>1.2913001543209874</v>
      </c>
      <c r="R8" s="41">
        <f t="shared" si="7"/>
        <v>1.7314682284522174</v>
      </c>
      <c r="S8" s="114" t="b">
        <v>0</v>
      </c>
      <c r="T8" s="114" t="b">
        <v>0</v>
      </c>
      <c r="U8" s="114" t="b">
        <v>0</v>
      </c>
      <c r="V8" s="114" t="b">
        <v>0</v>
      </c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42283</v>
      </c>
      <c r="BD8" s="41">
        <f>_xll.qlDayCounterYearFraction(DayCounter,SettlementDate,BC8,,,Trigger)</f>
        <v>1.1111111111111112E-2</v>
      </c>
      <c r="BE8" s="47" t="e">
        <f>_xll.qlPolynomialFunctionValue(BE$1,$BD8,AllTriggers)</f>
        <v>#VALUE!</v>
      </c>
      <c r="BF8" s="47" t="e">
        <f>_xll.qlPolynomialFunctionValue(BF$1,$BD8,AllTriggers)</f>
        <v>#VALUE!</v>
      </c>
      <c r="BG8" s="47" t="e">
        <f>_xll.qlPolynomialFunctionValue(BG$1,$BD8,AllTriggers)</f>
        <v>#VALUE!</v>
      </c>
      <c r="BH8" s="47" t="e">
        <f>_xll.qlPolynomialFunctionValue(BH$1,$BD8,AllTriggers)</f>
        <v>#VALUE!</v>
      </c>
      <c r="BI8" s="47" t="e">
        <f>_xll.qlPolynomialFunctionValue(BI$1,$BD8,AllTriggers)</f>
        <v>#VALUE!</v>
      </c>
      <c r="BJ8" s="47" t="e">
        <f>_xll.qlPolynomialFunctionValue(BJ$1,$BD8,AllTriggers)</f>
        <v>#VALUE!</v>
      </c>
      <c r="BK8" s="47" t="e">
        <f>_xll.qlPolynomialFunctionValue(BK$1,$BD8,AllTriggers)</f>
        <v>#VALUE!</v>
      </c>
      <c r="BL8" s="47" t="e">
        <f>_xll.qlPolynomialFunctionValue(BL$1,$BD8,AllTriggers)</f>
        <v>#VALUE!</v>
      </c>
      <c r="BM8" s="47" t="e">
        <f>_xll.qlPolynomialFunctionValue(BM$1,$BD8,AllTriggers)</f>
        <v>#VALUE!</v>
      </c>
      <c r="BN8" s="47" t="e">
        <f>_xll.qlPolynomialFunctionValue(BN$1,$BD8,AllTriggers)</f>
        <v>#VALUE!</v>
      </c>
      <c r="BO8" s="47" t="e">
        <f>_xll.qlPolynomialFunctionValue(BO$1,$BD8,AllTriggers)</f>
        <v>#VALUE!</v>
      </c>
      <c r="BP8" s="47" t="e">
        <f>_xll.qlPolynomialFunctionValue(BP$1,$BD8,AllTriggers)</f>
        <v>#VALUE!</v>
      </c>
      <c r="BQ8" s="47">
        <f>_xll.qlPolynomialFunctionValue('12MSynthDepo_used'!$P$18,BD8,AllTriggers)</f>
        <v>2.8435393449499518E-3</v>
      </c>
    </row>
    <row r="9" spans="1:69" ht="12" customHeight="1" x14ac:dyDescent="0.2">
      <c r="A9" s="21">
        <v>12</v>
      </c>
      <c r="B9" s="55">
        <f t="shared" si="0"/>
        <v>24</v>
      </c>
      <c r="C9" s="42" t="str">
        <f t="shared" si="3"/>
        <v>B12M_12X24</v>
      </c>
      <c r="D9" s="181">
        <f>_xll.qlCalendarAdvance(Calendar,SettlementDate,A9&amp;"M","mf")</f>
        <v>42646</v>
      </c>
      <c r="E9" s="181">
        <f>_xll.qlInterestRateIndexMaturity($D$25,D9)</f>
        <v>43011</v>
      </c>
      <c r="F9" s="54">
        <f>_xll.qlIndexFixing(ON_12M_index,_xll.qlInterestRateIndexFixingDate(ON_12M_index,D9,Trigger),,AllTriggers)</f>
        <v>-1.6912001724411672E-3</v>
      </c>
      <c r="G9" s="54" t="e">
        <f t="shared" ref="G9" si="8">H9+F9</f>
        <v>#NUM!</v>
      </c>
      <c r="H9" s="203" t="e">
        <f>_xll.qlQuoteValue(C9,_xll.ohTrigger(InterestRatesTrigger,'12MSynthDepo_used'!E9))</f>
        <v>#NUM!</v>
      </c>
      <c r="I9" s="44">
        <f>_xll.qlDayCounterYearFraction(DayCounter,SettlementDate,D9,,,Trigger)</f>
        <v>1.0194444444444444</v>
      </c>
      <c r="J9" s="44">
        <f>1</f>
        <v>1</v>
      </c>
      <c r="K9" s="44">
        <f t="shared" ref="K9" si="9">I9</f>
        <v>1.0194444444444444</v>
      </c>
      <c r="L9" s="44">
        <f t="shared" ref="L9" si="10">I9^2</f>
        <v>1.0392669753086419</v>
      </c>
      <c r="M9" s="43" t="e">
        <f>LN((1+G9*_xll.qlDayCounterYearFraction(DayCounter,D9,E9,,,Trigger))/(1+F9*_xll.qlDayCounterYearFraction(DayCounter,D9,E9,,,Trigger)))</f>
        <v>#NUM!</v>
      </c>
      <c r="N9" s="44">
        <f>_xll.qlDayCounterYearFraction(DayCounter,SettlementDate,D9,,,Trigger)</f>
        <v>1.0194444444444444</v>
      </c>
      <c r="O9" s="44">
        <f>_xll.qlDayCounterYearFraction(DayCounter,SettlementDate,E9,,,Trigger)</f>
        <v>2.0333333333333332</v>
      </c>
      <c r="P9" s="44">
        <f t="shared" ref="P9" si="11">O9-N9</f>
        <v>1.0138888888888888</v>
      </c>
      <c r="Q9" s="44">
        <f t="shared" ref="Q9" si="12">(O9^2-N9^2)/2</f>
        <v>1.5475887345679011</v>
      </c>
      <c r="R9" s="44">
        <f t="shared" ref="R9" si="13">(O9^3-N9^3)/3</f>
        <v>2.4490762531435752</v>
      </c>
      <c r="S9" s="150" t="b">
        <v>0</v>
      </c>
      <c r="T9" s="150" t="b">
        <v>0</v>
      </c>
      <c r="U9" s="150" t="b">
        <v>0</v>
      </c>
      <c r="V9" s="150" t="b">
        <v>0</v>
      </c>
      <c r="AD9" s="94"/>
      <c r="AE9" s="32"/>
      <c r="AF9" s="27">
        <f t="array" ref="AF9:AF10">_xll.ohFilter(K3:K9,U3:U9)</f>
        <v>8.611111111111111E-2</v>
      </c>
      <c r="AG9" s="28">
        <f t="array" ref="AG9:AG10">_xll.ohFilter(J3:J9,U3:U9)</f>
        <v>1</v>
      </c>
      <c r="AH9" s="303" t="s">
        <v>20</v>
      </c>
      <c r="AI9" s="29" t="e">
        <f t="array" ref="AI9:AI10">MMULT(AL9:AM10,AK9:AK10)</f>
        <v>#NUM!</v>
      </c>
      <c r="AJ9" s="303" t="s">
        <v>21</v>
      </c>
      <c r="AK9" s="30" t="e">
        <f t="array" ref="AK9:AK10">_xll.ohFilter(H3:H9,U3:U9)</f>
        <v>#NUM!</v>
      </c>
      <c r="AL9" s="27">
        <f t="array" ref="AL9:AM10">MINVERSE(AF9:AG10)</f>
        <v>-5.7142857142857144</v>
      </c>
      <c r="AM9" s="28">
        <v>5.7142857142857144</v>
      </c>
      <c r="AN9" s="21"/>
      <c r="AO9" s="101"/>
      <c r="AP9" s="94"/>
      <c r="AQ9" s="32"/>
      <c r="AR9" s="27">
        <f t="array" ref="AR9:AR10">_xll.ohFilter(Q3:Q9,U3:U9)</f>
        <v>0.60435185185185192</v>
      </c>
      <c r="AS9" s="28">
        <f t="array" ref="AS9:AS10">_xll.ohFilter(P3:P9,U3:U9)</f>
        <v>1.0166666666666668</v>
      </c>
      <c r="AT9" s="303" t="s">
        <v>20</v>
      </c>
      <c r="AU9" s="29" t="e">
        <f t="array" ref="AU9:AU10">MMULT(AX9:AY10,AW9:AW10)</f>
        <v>#NUM!</v>
      </c>
      <c r="AV9" s="303" t="s">
        <v>21</v>
      </c>
      <c r="AW9" s="56" t="e">
        <f t="array" ref="AW9:AW10">_xll.ohFilter(M3:M9,U3:U9)</f>
        <v>#NUM!</v>
      </c>
      <c r="AX9" s="27">
        <f t="array" ref="AX9:AY10">MINVERSE(AR9:AS10)</f>
        <v>-5.6206088992974292</v>
      </c>
      <c r="AY9" s="28">
        <v>5.6206088992974301</v>
      </c>
      <c r="AZ9" s="21"/>
      <c r="BA9" s="101"/>
      <c r="BC9" s="178">
        <f>_xll.qlCalendarAdvance(Calendar,BC8,"1d","mf",,Trigger)</f>
        <v>42284</v>
      </c>
      <c r="BD9" s="41">
        <f>_xll.qlDayCounterYearFraction(DayCounter,SettlementDate,BC9,,,Trigger)</f>
        <v>1.3888888888888888E-2</v>
      </c>
      <c r="BE9" s="47" t="e">
        <f>_xll.qlPolynomialFunctionValue(BE$1,$BD9,AllTriggers)</f>
        <v>#VALUE!</v>
      </c>
      <c r="BF9" s="47" t="e">
        <f>_xll.qlPolynomialFunctionValue(BF$1,$BD9,AllTriggers)</f>
        <v>#VALUE!</v>
      </c>
      <c r="BG9" s="47" t="e">
        <f>_xll.qlPolynomialFunctionValue(BG$1,$BD9,AllTriggers)</f>
        <v>#VALUE!</v>
      </c>
      <c r="BH9" s="47" t="e">
        <f>_xll.qlPolynomialFunctionValue(BH$1,$BD9,AllTriggers)</f>
        <v>#VALUE!</v>
      </c>
      <c r="BI9" s="47" t="e">
        <f>_xll.qlPolynomialFunctionValue(BI$1,$BD9,AllTriggers)</f>
        <v>#VALUE!</v>
      </c>
      <c r="BJ9" s="47" t="e">
        <f>_xll.qlPolynomialFunctionValue(BJ$1,$BD9,AllTriggers)</f>
        <v>#VALUE!</v>
      </c>
      <c r="BK9" s="47" t="e">
        <f>_xll.qlPolynomialFunctionValue(BK$1,$BD9,AllTriggers)</f>
        <v>#VALUE!</v>
      </c>
      <c r="BL9" s="47" t="e">
        <f>_xll.qlPolynomialFunctionValue(BL$1,$BD9,AllTriggers)</f>
        <v>#VALUE!</v>
      </c>
      <c r="BM9" s="47" t="e">
        <f>_xll.qlPolynomialFunctionValue(BM$1,$BD9,AllTriggers)</f>
        <v>#VALUE!</v>
      </c>
      <c r="BN9" s="47" t="e">
        <f>_xll.qlPolynomialFunctionValue(BN$1,$BD9,AllTriggers)</f>
        <v>#VALUE!</v>
      </c>
      <c r="BO9" s="47" t="e">
        <f>_xll.qlPolynomialFunctionValue(BO$1,$BD9,AllTriggers)</f>
        <v>#VALUE!</v>
      </c>
      <c r="BP9" s="47" t="e">
        <f>_xll.qlPolynomialFunctionValue(BP$1,$BD9,AllTriggers)</f>
        <v>#VALUE!</v>
      </c>
      <c r="BQ9" s="47">
        <f>_xll.qlPolynomialFunctionValue('12MSynthDepo_used'!$P$18,BD9,AllTriggers)</f>
        <v>2.8449975834545821E-3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0.26111111111111113</v>
      </c>
      <c r="AG10" s="28">
        <v>1</v>
      </c>
      <c r="AH10" s="303"/>
      <c r="AI10" s="29" t="e">
        <v>#NUM!</v>
      </c>
      <c r="AJ10" s="303"/>
      <c r="AK10" s="30" t="e">
        <v>#NUM!</v>
      </c>
      <c r="AL10" s="27">
        <v>1.4920634920634921</v>
      </c>
      <c r="AM10" s="28">
        <v>-0.49206349206349204</v>
      </c>
      <c r="AN10" s="21"/>
      <c r="AO10" s="101"/>
      <c r="AP10" s="94"/>
      <c r="AQ10" s="32"/>
      <c r="AR10" s="27">
        <v>0.78226851851851831</v>
      </c>
      <c r="AS10" s="28">
        <v>1.0166666666666666</v>
      </c>
      <c r="AT10" s="303"/>
      <c r="AU10" s="29" t="e">
        <v>#NUM!</v>
      </c>
      <c r="AV10" s="303"/>
      <c r="AW10" s="56" t="e">
        <v>#NUM!</v>
      </c>
      <c r="AX10" s="27">
        <v>4.3247462919594097</v>
      </c>
      <c r="AY10" s="28">
        <v>-3.3411397345823612</v>
      </c>
      <c r="AZ10" s="21"/>
      <c r="BA10" s="101"/>
      <c r="BC10" s="178">
        <f>_xll.qlCalendarAdvance(Calendar,BC9,"1d","mf",,Trigger)</f>
        <v>42285</v>
      </c>
      <c r="BD10" s="41">
        <f>_xll.qlDayCounterYearFraction(DayCounter,SettlementDate,BC10,,,Trigger)</f>
        <v>1.6666666666666666E-2</v>
      </c>
      <c r="BE10" s="47" t="e">
        <f>_xll.qlPolynomialFunctionValue(BE$1,$BD10,AllTriggers)</f>
        <v>#VALUE!</v>
      </c>
      <c r="BF10" s="47" t="e">
        <f>_xll.qlPolynomialFunctionValue(BF$1,$BD10,AllTriggers)</f>
        <v>#VALUE!</v>
      </c>
      <c r="BG10" s="47" t="e">
        <f>_xll.qlPolynomialFunctionValue(BG$1,$BD10,AllTriggers)</f>
        <v>#VALUE!</v>
      </c>
      <c r="BH10" s="47" t="e">
        <f>_xll.qlPolynomialFunctionValue(BH$1,$BD10,AllTriggers)</f>
        <v>#VALUE!</v>
      </c>
      <c r="BI10" s="47" t="e">
        <f>_xll.qlPolynomialFunctionValue(BI$1,$BD10,AllTriggers)</f>
        <v>#VALUE!</v>
      </c>
      <c r="BJ10" s="47" t="e">
        <f>_xll.qlPolynomialFunctionValue(BJ$1,$BD10,AllTriggers)</f>
        <v>#VALUE!</v>
      </c>
      <c r="BK10" s="47" t="e">
        <f>_xll.qlPolynomialFunctionValue(BK$1,$BD10,AllTriggers)</f>
        <v>#VALUE!</v>
      </c>
      <c r="BL10" s="47" t="e">
        <f>_xll.qlPolynomialFunctionValue(BL$1,$BD10,AllTriggers)</f>
        <v>#VALUE!</v>
      </c>
      <c r="BM10" s="47" t="e">
        <f>_xll.qlPolynomialFunctionValue(BM$1,$BD10,AllTriggers)</f>
        <v>#VALUE!</v>
      </c>
      <c r="BN10" s="47" t="e">
        <f>_xll.qlPolynomialFunctionValue(BN$1,$BD10,AllTriggers)</f>
        <v>#VALUE!</v>
      </c>
      <c r="BO10" s="47" t="e">
        <f>_xll.qlPolynomialFunctionValue(BO$1,$BD10,AllTriggers)</f>
        <v>#VALUE!</v>
      </c>
      <c r="BP10" s="47" t="e">
        <f>_xll.qlPolynomialFunctionValue(BP$1,$BD10,AllTriggers)</f>
        <v>#VALUE!</v>
      </c>
      <c r="BQ10" s="47">
        <f>_xll.qlPolynomialFunctionValue('12MSynthDepo_used'!$P$18,BD10,AllTriggers)</f>
        <v>2.8464574670801642E-3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42286</v>
      </c>
      <c r="BD11" s="41">
        <f>_xll.qlDayCounterYearFraction(DayCounter,SettlementDate,BC11,,,Trigger)</f>
        <v>1.9444444444444445E-2</v>
      </c>
      <c r="BE11" s="47" t="e">
        <f>_xll.qlPolynomialFunctionValue(BE$1,$BD11,AllTriggers)</f>
        <v>#VALUE!</v>
      </c>
      <c r="BF11" s="47" t="e">
        <f>_xll.qlPolynomialFunctionValue(BF$1,$BD11,AllTriggers)</f>
        <v>#VALUE!</v>
      </c>
      <c r="BG11" s="47" t="e">
        <f>_xll.qlPolynomialFunctionValue(BG$1,$BD11,AllTriggers)</f>
        <v>#VALUE!</v>
      </c>
      <c r="BH11" s="47" t="e">
        <f>_xll.qlPolynomialFunctionValue(BH$1,$BD11,AllTriggers)</f>
        <v>#VALUE!</v>
      </c>
      <c r="BI11" s="47" t="e">
        <f>_xll.qlPolynomialFunctionValue(BI$1,$BD11,AllTriggers)</f>
        <v>#VALUE!</v>
      </c>
      <c r="BJ11" s="47" t="e">
        <f>_xll.qlPolynomialFunctionValue(BJ$1,$BD11,AllTriggers)</f>
        <v>#VALUE!</v>
      </c>
      <c r="BK11" s="47" t="e">
        <f>_xll.qlPolynomialFunctionValue(BK$1,$BD11,AllTriggers)</f>
        <v>#VALUE!</v>
      </c>
      <c r="BL11" s="47" t="e">
        <f>_xll.qlPolynomialFunctionValue(BL$1,$BD11,AllTriggers)</f>
        <v>#VALUE!</v>
      </c>
      <c r="BM11" s="47" t="e">
        <f>_xll.qlPolynomialFunctionValue(BM$1,$BD11,AllTriggers)</f>
        <v>#VALUE!</v>
      </c>
      <c r="BN11" s="47" t="e">
        <f>_xll.qlPolynomialFunctionValue(BN$1,$BD11,AllTriggers)</f>
        <v>#VALUE!</v>
      </c>
      <c r="BO11" s="47" t="e">
        <f>_xll.qlPolynomialFunctionValue(BO$1,$BD11,AllTriggers)</f>
        <v>#VALUE!</v>
      </c>
      <c r="BP11" s="47" t="e">
        <f>_xll.qlPolynomialFunctionValue(BP$1,$BD11,AllTriggers)</f>
        <v>#VALUE!</v>
      </c>
      <c r="BQ11" s="47">
        <f>_xll.qlPolynomialFunctionValue('12MSynthDepo_used'!$P$18,BD11,AllTriggers)</f>
        <v>2.847918990576636E-3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0X"&amp;SUBSTITUTE($D$24,"M","")</f>
        <v>with 0X12</v>
      </c>
      <c r="T12" s="118"/>
      <c r="U12" s="117" t="str">
        <f>"without 0X"&amp;SUBSTITUTE($D$24,"M","")</f>
        <v>without 0X12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42289</v>
      </c>
      <c r="BD12" s="41">
        <f>_xll.qlDayCounterYearFraction(DayCounter,SettlementDate,BC12,,,Trigger)</f>
        <v>2.7777777777777776E-2</v>
      </c>
      <c r="BE12" s="47" t="e">
        <f>_xll.qlPolynomialFunctionValue(BE$1,$BD12,AllTriggers)</f>
        <v>#VALUE!</v>
      </c>
      <c r="BF12" s="47" t="e">
        <f>_xll.qlPolynomialFunctionValue(BF$1,$BD12,AllTriggers)</f>
        <v>#VALUE!</v>
      </c>
      <c r="BG12" s="47" t="e">
        <f>_xll.qlPolynomialFunctionValue(BG$1,$BD12,AllTriggers)</f>
        <v>#VALUE!</v>
      </c>
      <c r="BH12" s="47" t="e">
        <f>_xll.qlPolynomialFunctionValue(BH$1,$BD12,AllTriggers)</f>
        <v>#VALUE!</v>
      </c>
      <c r="BI12" s="47" t="e">
        <f>_xll.qlPolynomialFunctionValue(BI$1,$BD12,AllTriggers)</f>
        <v>#VALUE!</v>
      </c>
      <c r="BJ12" s="47" t="e">
        <f>_xll.qlPolynomialFunctionValue(BJ$1,$BD12,AllTriggers)</f>
        <v>#VALUE!</v>
      </c>
      <c r="BK12" s="47" t="e">
        <f>_xll.qlPolynomialFunctionValue(BK$1,$BD12,AllTriggers)</f>
        <v>#VALUE!</v>
      </c>
      <c r="BL12" s="47" t="e">
        <f>_xll.qlPolynomialFunctionValue(BL$1,$BD12,AllTriggers)</f>
        <v>#VALUE!</v>
      </c>
      <c r="BM12" s="47" t="e">
        <f>_xll.qlPolynomialFunctionValue(BM$1,$BD12,AllTriggers)</f>
        <v>#VALUE!</v>
      </c>
      <c r="BN12" s="47" t="e">
        <f>_xll.qlPolynomialFunctionValue(BN$1,$BD12,AllTriggers)</f>
        <v>#VALUE!</v>
      </c>
      <c r="BO12" s="47" t="e">
        <f>_xll.qlPolynomialFunctionValue(BO$1,$BD12,AllTriggers)</f>
        <v>#VALUE!</v>
      </c>
      <c r="BP12" s="47" t="e">
        <f>_xll.qlPolynomialFunctionValue(BP$1,$BD12,AllTriggers)</f>
        <v>#VALUE!</v>
      </c>
      <c r="BQ12" s="47">
        <f>_xll.qlPolynomialFunctionValue('12MSynthDepo_used'!$P$18,BD12,AllTriggers)</f>
        <v>2.8523133477907493E-3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"&amp;$D$24</f>
        <v>F 12M</v>
      </c>
      <c r="H13" s="36" t="str">
        <f>"B "&amp;$D$24</f>
        <v>B 12M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42290</v>
      </c>
      <c r="BD13" s="41">
        <f>_xll.qlDayCounterYearFraction(DayCounter,SettlementDate,BC13,,,Trigger)</f>
        <v>3.0555555555555555E-2</v>
      </c>
      <c r="BE13" s="47" t="e">
        <f>_xll.qlPolynomialFunctionValue(BE$1,$BD13,AllTriggers)</f>
        <v>#VALUE!</v>
      </c>
      <c r="BF13" s="47" t="e">
        <f>_xll.qlPolynomialFunctionValue(BF$1,$BD13,AllTriggers)</f>
        <v>#VALUE!</v>
      </c>
      <c r="BG13" s="47" t="e">
        <f>_xll.qlPolynomialFunctionValue(BG$1,$BD13,AllTriggers)</f>
        <v>#VALUE!</v>
      </c>
      <c r="BH13" s="47" t="e">
        <f>_xll.qlPolynomialFunctionValue(BH$1,$BD13,AllTriggers)</f>
        <v>#VALUE!</v>
      </c>
      <c r="BI13" s="47" t="e">
        <f>_xll.qlPolynomialFunctionValue(BI$1,$BD13,AllTriggers)</f>
        <v>#VALUE!</v>
      </c>
      <c r="BJ13" s="47" t="e">
        <f>_xll.qlPolynomialFunctionValue(BJ$1,$BD13,AllTriggers)</f>
        <v>#VALUE!</v>
      </c>
      <c r="BK13" s="47" t="e">
        <f>_xll.qlPolynomialFunctionValue(BK$1,$BD13,AllTriggers)</f>
        <v>#VALUE!</v>
      </c>
      <c r="BL13" s="47" t="e">
        <f>_xll.qlPolynomialFunctionValue(BL$1,$BD13,AllTriggers)</f>
        <v>#VALUE!</v>
      </c>
      <c r="BM13" s="47" t="e">
        <f>_xll.qlPolynomialFunctionValue(BM$1,$BD13,AllTriggers)</f>
        <v>#VALUE!</v>
      </c>
      <c r="BN13" s="47" t="e">
        <f>_xll.qlPolynomialFunctionValue(BN$1,$BD13,AllTriggers)</f>
        <v>#VALUE!</v>
      </c>
      <c r="BO13" s="47" t="e">
        <f>_xll.qlPolynomialFunctionValue(BO$1,$BD13,AllTriggers)</f>
        <v>#VALUE!</v>
      </c>
      <c r="BP13" s="47" t="e">
        <f>_xll.qlPolynomialFunctionValue(BP$1,$BD13,AllTriggers)</f>
        <v>#VALUE!</v>
      </c>
      <c r="BQ13" s="47">
        <f>_xll.qlPolynomialFunctionValue('12MSynthDepo_used'!$P$18,BD13,AllTriggers)</f>
        <v>2.853781378270141E-3</v>
      </c>
    </row>
    <row r="14" spans="1:69" ht="12" customHeight="1" x14ac:dyDescent="0.2">
      <c r="A14" s="19">
        <f>A3</f>
        <v>0</v>
      </c>
      <c r="B14" s="55">
        <f t="shared" ref="B14:B20" si="14">A14+SUBSTITUTE($D$24,"M","")</f>
        <v>12</v>
      </c>
      <c r="C14" s="171" t="str">
        <f>"B"&amp;$D$24&amp;"_"&amp;A14&amp;"X"&amp;B14&amp;$D$28</f>
        <v>B12M_0X12ESTIMATED</v>
      </c>
      <c r="D14" s="186">
        <f>SettlementDate</f>
        <v>42279</v>
      </c>
      <c r="E14" s="186">
        <f>_xll.qlInterestRateIndexMaturity($D$25,D14)</f>
        <v>42646</v>
      </c>
      <c r="F14" s="172">
        <f>_xll.qlIndexFixing(ON_12M_index,_xll.qlInterestRateIndexFixingDate(ON_12M_index,D14,Trigger),,AllTriggers)</f>
        <v>-1.7272425857299799E-3</v>
      </c>
      <c r="G14" s="172" t="e">
        <f>H14+F14</f>
        <v>#NUM!</v>
      </c>
      <c r="H14" s="226" t="e">
        <f>_xll.qlQuoteValue(C14,_xll.ohTrigger(InterestRatesTrigger,'12MSynthDepo_used'!E3))</f>
        <v>#NUM!</v>
      </c>
      <c r="I14" s="173">
        <f>_xll.qlDayCounterYearFraction(DayCounter,SettlementDate,D14,,,Trigger)</f>
        <v>0</v>
      </c>
      <c r="J14" s="244">
        <f t="shared" ref="J14:J20" si="15">IF(($E$14-SettlementDate)-($D14-SettlementDate)&lt;0,0,($E$14-SettlementDate)-($D14-SettlementDate))</f>
        <v>367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303" t="s">
        <v>20</v>
      </c>
      <c r="AI14" s="29" t="e">
        <f t="array" ref="AI14:AI16">MMULT(AL14:AN16,AK14:AK16)</f>
        <v>#NUM!</v>
      </c>
      <c r="AJ14" s="303" t="s">
        <v>21</v>
      </c>
      <c r="AK14" s="56" t="e">
        <f t="array" ref="AK14:AK16">_xll.ohFilter(H3:H9,T3:T9)</f>
        <v>#NUM!</v>
      </c>
      <c r="AL14" s="27">
        <f t="array" ref="AL14:AN16">MINVERSE(AE14:AG16)</f>
        <v>44.474948524365125</v>
      </c>
      <c r="AM14" s="31">
        <v>-66.359447004608285</v>
      </c>
      <c r="AN14" s="28">
        <v>21.884498480243156</v>
      </c>
      <c r="AO14" s="101"/>
      <c r="AP14" s="94"/>
      <c r="AQ14" s="27">
        <f t="array" ref="AQ14:AQ16">_xll.ohFilter(R3:R9,T3:T9)</f>
        <v>0.35315831475765885</v>
      </c>
      <c r="AR14" s="31">
        <f t="array" ref="AR14:AR16">_xll.ohFilter(Q3:Q9,T3:T9)</f>
        <v>0.51963348765432094</v>
      </c>
      <c r="AS14" s="28">
        <f t="array" ref="AS14:AS16">_xll.ohFilter(P3:P9,T3:T9)</f>
        <v>1.0194444444444444</v>
      </c>
      <c r="AT14" s="303" t="s">
        <v>20</v>
      </c>
      <c r="AU14" s="29" t="e">
        <f t="array" ref="AU14:AU16">MMULT(AX14:AZ16,AW14:AW16)</f>
        <v>#NUM!</v>
      </c>
      <c r="AV14" s="303" t="s">
        <v>21</v>
      </c>
      <c r="AW14" s="56" t="e">
        <f t="array" ref="AW14:AW16">_xll.ohFilter(M3:M9,T3:T9)</f>
        <v>#NUM!</v>
      </c>
      <c r="AX14" s="27">
        <f t="array" ref="AX14:AZ16">MINVERSE(AQ14:AS16)</f>
        <v>43.64412612980319</v>
      </c>
      <c r="AY14" s="31">
        <v>-64.950401859707299</v>
      </c>
      <c r="AZ14" s="28">
        <v>21.187029483647855</v>
      </c>
      <c r="BA14" s="101"/>
      <c r="BC14" s="178">
        <f>_xll.qlCalendarAdvance(Calendar,BC13,"1d","mf",,Trigger)</f>
        <v>42291</v>
      </c>
      <c r="BD14" s="41">
        <f>_xll.qlDayCounterYearFraction(DayCounter,SettlementDate,BC14,,,Trigger)</f>
        <v>3.3333333333333333E-2</v>
      </c>
      <c r="BE14" s="47" t="e">
        <f>_xll.qlPolynomialFunctionValue(BE$1,$BD14,AllTriggers)</f>
        <v>#VALUE!</v>
      </c>
      <c r="BF14" s="47" t="e">
        <f>_xll.qlPolynomialFunctionValue(BF$1,$BD14,AllTriggers)</f>
        <v>#VALUE!</v>
      </c>
      <c r="BG14" s="47" t="e">
        <f>_xll.qlPolynomialFunctionValue(BG$1,$BD14,AllTriggers)</f>
        <v>#VALUE!</v>
      </c>
      <c r="BH14" s="47" t="e">
        <f>_xll.qlPolynomialFunctionValue(BH$1,$BD14,AllTriggers)</f>
        <v>#VALUE!</v>
      </c>
      <c r="BI14" s="47" t="e">
        <f>_xll.qlPolynomialFunctionValue(BI$1,$BD14,AllTriggers)</f>
        <v>#VALUE!</v>
      </c>
      <c r="BJ14" s="47" t="e">
        <f>_xll.qlPolynomialFunctionValue(BJ$1,$BD14,AllTriggers)</f>
        <v>#VALUE!</v>
      </c>
      <c r="BK14" s="47" t="e">
        <f>_xll.qlPolynomialFunctionValue(BK$1,$BD14,AllTriggers)</f>
        <v>#VALUE!</v>
      </c>
      <c r="BL14" s="47" t="e">
        <f>_xll.qlPolynomialFunctionValue(BL$1,$BD14,AllTriggers)</f>
        <v>#VALUE!</v>
      </c>
      <c r="BM14" s="47" t="e">
        <f>_xll.qlPolynomialFunctionValue(BM$1,$BD14,AllTriggers)</f>
        <v>#VALUE!</v>
      </c>
      <c r="BN14" s="47" t="e">
        <f>_xll.qlPolynomialFunctionValue(BN$1,$BD14,AllTriggers)</f>
        <v>#VALUE!</v>
      </c>
      <c r="BO14" s="47" t="e">
        <f>_xll.qlPolynomialFunctionValue(BO$1,$BD14,AllTriggers)</f>
        <v>#VALUE!</v>
      </c>
      <c r="BP14" s="47" t="e">
        <f>_xll.qlPolynomialFunctionValue(BP$1,$BD14,AllTriggers)</f>
        <v>#VALUE!</v>
      </c>
      <c r="BQ14" s="47">
        <f>_xll.qlPolynomialFunctionValue('12MSynthDepo_used'!$P$18,BD14,AllTriggers)</f>
        <v>2.8552510223701041E-3</v>
      </c>
    </row>
    <row r="15" spans="1:69" ht="12" customHeight="1" x14ac:dyDescent="0.2">
      <c r="A15" s="21">
        <f t="shared" ref="A15:A20" si="16">A4</f>
        <v>1</v>
      </c>
      <c r="B15" s="55">
        <f t="shared" si="14"/>
        <v>13</v>
      </c>
      <c r="C15" s="39" t="str">
        <f t="shared" ref="C15:C20" si="17">"B"&amp;$D$24&amp;"_"&amp;A15&amp;"X"&amp;B15</f>
        <v>B12M_1X13</v>
      </c>
      <c r="D15" s="177">
        <f>_xll.qlCalendarAdvance(Calendar,SettlementDate,A15&amp;"M","mf")</f>
        <v>42310</v>
      </c>
      <c r="E15" s="177">
        <f>_xll.qlInterestRateIndexMaturity($D$25,D15)</f>
        <v>42676</v>
      </c>
      <c r="F15" s="53">
        <f>_xll.qlIndexFixing(ON_12M_index,_xll.qlInterestRateIndexFixingDate(ON_12M_index,D15,Trigger),,AllTriggers)</f>
        <v>-1.7763168734115172E-3</v>
      </c>
      <c r="G15" s="53" t="e">
        <f t="shared" ref="G15:G20" si="18">H15+F15</f>
        <v>#NUM!</v>
      </c>
      <c r="H15" s="202" t="e">
        <f>_xll.qlQuoteValue(C15,_xll.ohTrigger(InterestRatesTrigger,'12MSynthDepo_used'!E4))</f>
        <v>#NUM!</v>
      </c>
      <c r="I15" s="41">
        <f>_xll.qlDayCounterYearFraction(DayCounter,SettlementDate,D15,,,Trigger)</f>
        <v>8.611111111111111E-2</v>
      </c>
      <c r="J15" s="242">
        <f t="shared" si="15"/>
        <v>336</v>
      </c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7.4151234567901231E-3</v>
      </c>
      <c r="AF15" s="31">
        <v>8.611111111111111E-2</v>
      </c>
      <c r="AG15" s="28">
        <v>1</v>
      </c>
      <c r="AH15" s="303"/>
      <c r="AI15" s="29" t="e">
        <v>#NUM!</v>
      </c>
      <c r="AJ15" s="303"/>
      <c r="AK15" s="56" t="e">
        <v>#NUM!</v>
      </c>
      <c r="AL15" s="27">
        <v>-15.442690459849002</v>
      </c>
      <c r="AM15" s="31">
        <v>17.327188940092164</v>
      </c>
      <c r="AN15" s="28">
        <v>-1.8844984802431604</v>
      </c>
      <c r="AO15" s="101"/>
      <c r="AP15" s="94"/>
      <c r="AQ15" s="27">
        <v>0.44682343106995887</v>
      </c>
      <c r="AR15" s="31">
        <v>0.60435185185185192</v>
      </c>
      <c r="AS15" s="28">
        <v>1.0166666666666668</v>
      </c>
      <c r="AT15" s="303"/>
      <c r="AU15" s="29" t="e">
        <v>#NUM!</v>
      </c>
      <c r="AV15" s="303"/>
      <c r="AW15" s="56" t="e">
        <v>#NUM!</v>
      </c>
      <c r="AX15" s="27">
        <v>-59.525738693703829</v>
      </c>
      <c r="AY15" s="31">
        <v>82.964522526025647</v>
      </c>
      <c r="AZ15" s="28">
        <v>-23.276145202011186</v>
      </c>
      <c r="BA15" s="101"/>
      <c r="BC15" s="178">
        <f>_xll.qlCalendarAdvance(Calendar,BC14,"1d","mf",,Trigger)</f>
        <v>42292</v>
      </c>
      <c r="BD15" s="41">
        <f>_xll.qlDayCounterYearFraction(DayCounter,SettlementDate,BC15,,,Trigger)</f>
        <v>3.6111111111111108E-2</v>
      </c>
      <c r="BE15" s="47" t="e">
        <f>_xll.qlPolynomialFunctionValue(BE$1,$BD15,AllTriggers)</f>
        <v>#VALUE!</v>
      </c>
      <c r="BF15" s="47" t="e">
        <f>_xll.qlPolynomialFunctionValue(BF$1,$BD15,AllTriggers)</f>
        <v>#VALUE!</v>
      </c>
      <c r="BG15" s="47" t="e">
        <f>_xll.qlPolynomialFunctionValue(BG$1,$BD15,AllTriggers)</f>
        <v>#VALUE!</v>
      </c>
      <c r="BH15" s="47" t="e">
        <f>_xll.qlPolynomialFunctionValue(BH$1,$BD15,AllTriggers)</f>
        <v>#VALUE!</v>
      </c>
      <c r="BI15" s="47" t="e">
        <f>_xll.qlPolynomialFunctionValue(BI$1,$BD15,AllTriggers)</f>
        <v>#VALUE!</v>
      </c>
      <c r="BJ15" s="47" t="e">
        <f>_xll.qlPolynomialFunctionValue(BJ$1,$BD15,AllTriggers)</f>
        <v>#VALUE!</v>
      </c>
      <c r="BK15" s="47" t="e">
        <f>_xll.qlPolynomialFunctionValue(BK$1,$BD15,AllTriggers)</f>
        <v>#VALUE!</v>
      </c>
      <c r="BL15" s="47" t="e">
        <f>_xll.qlPolynomialFunctionValue(BL$1,$BD15,AllTriggers)</f>
        <v>#VALUE!</v>
      </c>
      <c r="BM15" s="47" t="e">
        <f>_xll.qlPolynomialFunctionValue(BM$1,$BD15,AllTriggers)</f>
        <v>#VALUE!</v>
      </c>
      <c r="BN15" s="47" t="e">
        <f>_xll.qlPolynomialFunctionValue(BN$1,$BD15,AllTriggers)</f>
        <v>#VALUE!</v>
      </c>
      <c r="BO15" s="47" t="e">
        <f>_xll.qlPolynomialFunctionValue(BO$1,$BD15,AllTriggers)</f>
        <v>#VALUE!</v>
      </c>
      <c r="BP15" s="47" t="e">
        <f>_xll.qlPolynomialFunctionValue(BP$1,$BD15,AllTriggers)</f>
        <v>#VALUE!</v>
      </c>
      <c r="BQ15" s="47">
        <f>_xll.qlPolynomialFunctionValue('12MSynthDepo_used'!$P$18,BD15,AllTriggers)</f>
        <v>2.8567222748405734E-3</v>
      </c>
    </row>
    <row r="16" spans="1:69" ht="12" customHeight="1" x14ac:dyDescent="0.2">
      <c r="A16" s="21">
        <f t="shared" si="16"/>
        <v>2</v>
      </c>
      <c r="B16" s="55">
        <f t="shared" si="14"/>
        <v>14</v>
      </c>
      <c r="C16" s="39" t="str">
        <f t="shared" si="17"/>
        <v>B12M_2X14</v>
      </c>
      <c r="D16" s="177">
        <f>_xll.qlCalendarAdvance(Calendar,SettlementDate,A16&amp;"M","mf")</f>
        <v>42340</v>
      </c>
      <c r="E16" s="177">
        <f>_xll.qlInterestRateIndexMaturity($D$25,D16)</f>
        <v>42706</v>
      </c>
      <c r="F16" s="53">
        <f>_xll.qlIndexFixing(ON_12M_index,_xll.qlInterestRateIndexFixingDate(ON_12M_index,D16,Trigger),,AllTriggers)</f>
        <v>-1.8169737826632334E-3</v>
      </c>
      <c r="G16" s="53" t="e">
        <f t="shared" si="18"/>
        <v>#NUM!</v>
      </c>
      <c r="H16" s="202" t="e">
        <f>_xll.qlQuoteValue(C16,_xll.ohTrigger(InterestRatesTrigger,'12MSynthDepo_used'!E5))</f>
        <v>#NUM!</v>
      </c>
      <c r="I16" s="41">
        <f>_xll.qlDayCounterYearFraction(DayCounter,SettlementDate,D16,,,Trigger)</f>
        <v>0.16944444444444445</v>
      </c>
      <c r="J16" s="242">
        <f t="shared" si="15"/>
        <v>306</v>
      </c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6.8179012345679024E-2</v>
      </c>
      <c r="AF16" s="31">
        <v>0.26111111111111113</v>
      </c>
      <c r="AG16" s="28">
        <v>1</v>
      </c>
      <c r="AH16" s="303"/>
      <c r="AI16" s="29" t="e">
        <v>#NUM!</v>
      </c>
      <c r="AJ16" s="303"/>
      <c r="AK16" s="56" t="e">
        <v>#NUM!</v>
      </c>
      <c r="AL16" s="27">
        <v>1</v>
      </c>
      <c r="AM16" s="31">
        <v>0</v>
      </c>
      <c r="AN16" s="28">
        <v>0</v>
      </c>
      <c r="AO16" s="101"/>
      <c r="AP16" s="94"/>
      <c r="AQ16" s="27">
        <v>0.68948199588477355</v>
      </c>
      <c r="AR16" s="31">
        <v>0.78226851851851831</v>
      </c>
      <c r="AS16" s="28">
        <v>1.0166666666666666</v>
      </c>
      <c r="AT16" s="303"/>
      <c r="AU16" s="29" t="e">
        <v>#NUM!</v>
      </c>
      <c r="AV16" s="303"/>
      <c r="AW16" s="56" t="e">
        <v>#NUM!</v>
      </c>
      <c r="AX16" s="27">
        <v>16.203218585921935</v>
      </c>
      <c r="AY16" s="31">
        <v>-19.788591558965138</v>
      </c>
      <c r="AZ16" s="28">
        <v>4.5247084413876832</v>
      </c>
      <c r="BA16" s="101"/>
      <c r="BC16" s="178">
        <f>_xll.qlCalendarAdvance(Calendar,BC15,"1d","mf",,Trigger)</f>
        <v>42293</v>
      </c>
      <c r="BD16" s="41">
        <f>_xll.qlDayCounterYearFraction(DayCounter,SettlementDate,BC16,,,Trigger)</f>
        <v>3.888888888888889E-2</v>
      </c>
      <c r="BE16" s="47" t="e">
        <f>_xll.qlPolynomialFunctionValue(BE$1,$BD16,AllTriggers)</f>
        <v>#VALUE!</v>
      </c>
      <c r="BF16" s="47" t="e">
        <f>_xll.qlPolynomialFunctionValue(BF$1,$BD16,AllTriggers)</f>
        <v>#VALUE!</v>
      </c>
      <c r="BG16" s="47" t="e">
        <f>_xll.qlPolynomialFunctionValue(BG$1,$BD16,AllTriggers)</f>
        <v>#VALUE!</v>
      </c>
      <c r="BH16" s="47" t="e">
        <f>_xll.qlPolynomialFunctionValue(BH$1,$BD16,AllTriggers)</f>
        <v>#VALUE!</v>
      </c>
      <c r="BI16" s="47" t="e">
        <f>_xll.qlPolynomialFunctionValue(BI$1,$BD16,AllTriggers)</f>
        <v>#VALUE!</v>
      </c>
      <c r="BJ16" s="47" t="e">
        <f>_xll.qlPolynomialFunctionValue(BJ$1,$BD16,AllTriggers)</f>
        <v>#VALUE!</v>
      </c>
      <c r="BK16" s="47" t="e">
        <f>_xll.qlPolynomialFunctionValue(BK$1,$BD16,AllTriggers)</f>
        <v>#VALUE!</v>
      </c>
      <c r="BL16" s="47" t="e">
        <f>_xll.qlPolynomialFunctionValue(BL$1,$BD16,AllTriggers)</f>
        <v>#VALUE!</v>
      </c>
      <c r="BM16" s="47" t="e">
        <f>_xll.qlPolynomialFunctionValue(BM$1,$BD16,AllTriggers)</f>
        <v>#VALUE!</v>
      </c>
      <c r="BN16" s="47" t="e">
        <f>_xll.qlPolynomialFunctionValue(BN$1,$BD16,AllTriggers)</f>
        <v>#VALUE!</v>
      </c>
      <c r="BO16" s="47" t="e">
        <f>_xll.qlPolynomialFunctionValue(BO$1,$BD16,AllTriggers)</f>
        <v>#VALUE!</v>
      </c>
      <c r="BP16" s="47" t="e">
        <f>_xll.qlPolynomialFunctionValue(BP$1,$BD16,AllTriggers)</f>
        <v>#VALUE!</v>
      </c>
      <c r="BQ16" s="47">
        <f>_xll.qlPolynomialFunctionValue('12MSynthDepo_used'!$P$18,BD16,AllTriggers)</f>
        <v>2.8581951304314872E-3</v>
      </c>
    </row>
    <row r="17" spans="1:69" ht="12" customHeight="1" x14ac:dyDescent="0.2">
      <c r="A17" s="21">
        <f t="shared" si="16"/>
        <v>3</v>
      </c>
      <c r="B17" s="55">
        <f t="shared" si="14"/>
        <v>15</v>
      </c>
      <c r="C17" s="39" t="str">
        <f t="shared" si="17"/>
        <v>B12M_3X15</v>
      </c>
      <c r="D17" s="177">
        <f>_xll.qlCalendarAdvance(Calendar,SettlementDate,A17&amp;"M","mf")</f>
        <v>42373</v>
      </c>
      <c r="E17" s="177">
        <f>_xll.qlInterestRateIndexMaturity($D$25,D17)</f>
        <v>42739</v>
      </c>
      <c r="F17" s="53">
        <f>_xll.qlIndexFixing(ON_12M_index,_xll.qlInterestRateIndexFixingDate(ON_12M_index,D17,Trigger),,AllTriggers)</f>
        <v>-1.8509412400042964E-3</v>
      </c>
      <c r="G17" s="53" t="e">
        <f t="shared" si="18"/>
        <v>#NUM!</v>
      </c>
      <c r="H17" s="202" t="e">
        <f>_xll.qlQuoteValue(C17,_xll.ohTrigger(InterestRatesTrigger,'12MSynthDepo_used'!E6))</f>
        <v>#NUM!</v>
      </c>
      <c r="I17" s="41">
        <f>_xll.qlDayCounterYearFraction(DayCounter,SettlementDate,D17,,,Trigger)</f>
        <v>0.26111111111111113</v>
      </c>
      <c r="J17" s="242">
        <f t="shared" si="15"/>
        <v>273</v>
      </c>
      <c r="P17" s="55"/>
      <c r="Q17" s="55"/>
      <c r="R17" s="55"/>
      <c r="S17" s="114" t="b">
        <v>1</v>
      </c>
      <c r="T17" s="114" t="b">
        <v>1</v>
      </c>
      <c r="U17" s="114" t="b">
        <v>1</v>
      </c>
      <c r="V17" s="114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42296</v>
      </c>
      <c r="BD17" s="41">
        <f>_xll.qlDayCounterYearFraction(DayCounter,SettlementDate,BC17,,,Trigger)</f>
        <v>4.7222222222222221E-2</v>
      </c>
      <c r="BE17" s="47" t="e">
        <f>_xll.qlPolynomialFunctionValue(BE$1,$BD17,AllTriggers)</f>
        <v>#VALUE!</v>
      </c>
      <c r="BF17" s="47" t="e">
        <f>_xll.qlPolynomialFunctionValue(BF$1,$BD17,AllTriggers)</f>
        <v>#VALUE!</v>
      </c>
      <c r="BG17" s="47" t="e">
        <f>_xll.qlPolynomialFunctionValue(BG$1,$BD17,AllTriggers)</f>
        <v>#VALUE!</v>
      </c>
      <c r="BH17" s="47" t="e">
        <f>_xll.qlPolynomialFunctionValue(BH$1,$BD17,AllTriggers)</f>
        <v>#VALUE!</v>
      </c>
      <c r="BI17" s="47" t="e">
        <f>_xll.qlPolynomialFunctionValue(BI$1,$BD17,AllTriggers)</f>
        <v>#VALUE!</v>
      </c>
      <c r="BJ17" s="47" t="e">
        <f>_xll.qlPolynomialFunctionValue(BJ$1,$BD17,AllTriggers)</f>
        <v>#VALUE!</v>
      </c>
      <c r="BK17" s="47" t="e">
        <f>_xll.qlPolynomialFunctionValue(BK$1,$BD17,AllTriggers)</f>
        <v>#VALUE!</v>
      </c>
      <c r="BL17" s="47" t="e">
        <f>_xll.qlPolynomialFunctionValue(BL$1,$BD17,AllTriggers)</f>
        <v>#VALUE!</v>
      </c>
      <c r="BM17" s="47" t="e">
        <f>_xll.qlPolynomialFunctionValue(BM$1,$BD17,AllTriggers)</f>
        <v>#VALUE!</v>
      </c>
      <c r="BN17" s="47" t="e">
        <f>_xll.qlPolynomialFunctionValue(BN$1,$BD17,AllTriggers)</f>
        <v>#VALUE!</v>
      </c>
      <c r="BO17" s="47" t="e">
        <f>_xll.qlPolynomialFunctionValue(BO$1,$BD17,AllTriggers)</f>
        <v>#VALUE!</v>
      </c>
      <c r="BP17" s="47" t="e">
        <f>_xll.qlPolynomialFunctionValue(BP$1,$BD17,AllTriggers)</f>
        <v>#VALUE!</v>
      </c>
      <c r="BQ17" s="47">
        <f>_xll.qlPolynomialFunctionValue('12MSynthDepo_used'!$P$18,BD17,AllTriggers)</f>
        <v>2.8626232634262521E-3</v>
      </c>
    </row>
    <row r="18" spans="1:69" ht="12" customHeight="1" x14ac:dyDescent="0.2">
      <c r="A18" s="21">
        <f t="shared" si="16"/>
        <v>6</v>
      </c>
      <c r="B18" s="55">
        <f t="shared" si="14"/>
        <v>18</v>
      </c>
      <c r="C18" s="39" t="str">
        <f t="shared" si="17"/>
        <v>B12M_6X18</v>
      </c>
      <c r="D18" s="177">
        <f>_xll.qlCalendarAdvance(Calendar,SettlementDate,A18&amp;"M","mf")</f>
        <v>42464</v>
      </c>
      <c r="E18" s="177">
        <f>_xll.qlInterestRateIndexMaturity($D$25,D18)</f>
        <v>42829</v>
      </c>
      <c r="F18" s="53">
        <f>_xll.qlIndexFixing(ON_12M_index,_xll.qlInterestRateIndexFixingDate(ON_12M_index,D18,Trigger),,AllTriggers)</f>
        <v>-1.8921511343135894E-3</v>
      </c>
      <c r="G18" s="53" t="e">
        <f t="shared" si="18"/>
        <v>#NUM!</v>
      </c>
      <c r="H18" s="202" t="e">
        <f>_xll.qlQuoteValue(C18,_xll.ohTrigger(InterestRatesTrigger,'12MSynthDepo_used'!E7))</f>
        <v>#NUM!</v>
      </c>
      <c r="I18" s="41">
        <f>_xll.qlDayCounterYearFraction(DayCounter,SettlementDate,D18,,,Trigger)</f>
        <v>0.51388888888888884</v>
      </c>
      <c r="J18" s="242">
        <f t="shared" si="15"/>
        <v>182</v>
      </c>
      <c r="P18" s="55"/>
      <c r="Q18" s="55"/>
      <c r="R18" s="55"/>
      <c r="S18" s="114" t="b">
        <v>1</v>
      </c>
      <c r="T18" s="114" t="b">
        <v>1</v>
      </c>
      <c r="U18" s="114" t="b">
        <v>1</v>
      </c>
      <c r="V18" s="114" t="b">
        <v>1</v>
      </c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42297</v>
      </c>
      <c r="BD18" s="41">
        <f>_xll.qlDayCounterYearFraction(DayCounter,SettlementDate,BC18,,,Trigger)</f>
        <v>0.05</v>
      </c>
      <c r="BE18" s="47" t="e">
        <f>_xll.qlPolynomialFunctionValue(BE$1,$BD18,AllTriggers)</f>
        <v>#VALUE!</v>
      </c>
      <c r="BF18" s="47" t="e">
        <f>_xll.qlPolynomialFunctionValue(BF$1,$BD18,AllTriggers)</f>
        <v>#VALUE!</v>
      </c>
      <c r="BG18" s="47" t="e">
        <f>_xll.qlPolynomialFunctionValue(BG$1,$BD18,AllTriggers)</f>
        <v>#VALUE!</v>
      </c>
      <c r="BH18" s="47" t="e">
        <f>_xll.qlPolynomialFunctionValue(BH$1,$BD18,AllTriggers)</f>
        <v>#VALUE!</v>
      </c>
      <c r="BI18" s="47" t="e">
        <f>_xll.qlPolynomialFunctionValue(BI$1,$BD18,AllTriggers)</f>
        <v>#VALUE!</v>
      </c>
      <c r="BJ18" s="47" t="e">
        <f>_xll.qlPolynomialFunctionValue(BJ$1,$BD18,AllTriggers)</f>
        <v>#VALUE!</v>
      </c>
      <c r="BK18" s="47" t="e">
        <f>_xll.qlPolynomialFunctionValue(BK$1,$BD18,AllTriggers)</f>
        <v>#VALUE!</v>
      </c>
      <c r="BL18" s="47" t="e">
        <f>_xll.qlPolynomialFunctionValue(BL$1,$BD18,AllTriggers)</f>
        <v>#VALUE!</v>
      </c>
      <c r="BM18" s="47" t="e">
        <f>_xll.qlPolynomialFunctionValue(BM$1,$BD18,AllTriggers)</f>
        <v>#VALUE!</v>
      </c>
      <c r="BN18" s="47" t="e">
        <f>_xll.qlPolynomialFunctionValue(BN$1,$BD18,AllTriggers)</f>
        <v>#VALUE!</v>
      </c>
      <c r="BO18" s="47" t="e">
        <f>_xll.qlPolynomialFunctionValue(BO$1,$BD18,AllTriggers)</f>
        <v>#VALUE!</v>
      </c>
      <c r="BP18" s="47" t="e">
        <f>_xll.qlPolynomialFunctionValue(BP$1,$BD18,AllTriggers)</f>
        <v>#VALUE!</v>
      </c>
      <c r="BQ18" s="47">
        <f>_xll.qlPolynomialFunctionValue('12MSynthDepo_used'!$P$18,BD18,AllTriggers)</f>
        <v>2.8641024789983031E-3</v>
      </c>
    </row>
    <row r="19" spans="1:69" ht="12" customHeight="1" x14ac:dyDescent="0.2">
      <c r="A19" s="21">
        <f t="shared" si="16"/>
        <v>9</v>
      </c>
      <c r="B19" s="55">
        <f t="shared" si="14"/>
        <v>21</v>
      </c>
      <c r="C19" s="39" t="str">
        <f t="shared" si="17"/>
        <v>B12M_9X21</v>
      </c>
      <c r="D19" s="177">
        <f>_xll.qlCalendarAdvance(Calendar,SettlementDate,A19&amp;"M","mf")</f>
        <v>42555</v>
      </c>
      <c r="E19" s="177">
        <f>_xll.qlInterestRateIndexMaturity($D$25,D19)</f>
        <v>42920</v>
      </c>
      <c r="F19" s="53">
        <f>_xll.qlIndexFixing(ON_12M_index,_xll.qlInterestRateIndexFixingDate(ON_12M_index,D19,Trigger),,AllTriggers)</f>
        <v>-1.8412961242530849E-3</v>
      </c>
      <c r="G19" s="53" t="e">
        <f t="shared" si="18"/>
        <v>#NUM!</v>
      </c>
      <c r="H19" s="202" t="e">
        <f>_xll.qlQuoteValue(C19,_xll.ohTrigger(InterestRatesTrigger,'12MSynthDepo_used'!E8))</f>
        <v>#NUM!</v>
      </c>
      <c r="I19" s="41">
        <f>_xll.qlDayCounterYearFraction(DayCounter,SettlementDate,D19,,,Trigger)</f>
        <v>0.76666666666666672</v>
      </c>
      <c r="J19" s="242">
        <f t="shared" si="15"/>
        <v>91</v>
      </c>
      <c r="P19" s="55"/>
      <c r="Q19" s="55"/>
      <c r="R19" s="55"/>
      <c r="S19" s="114" t="b">
        <v>1</v>
      </c>
      <c r="T19" s="114" t="b">
        <v>1</v>
      </c>
      <c r="U19" s="114" t="b">
        <v>1</v>
      </c>
      <c r="V19" s="114" t="b">
        <v>1</v>
      </c>
      <c r="AD19" s="94"/>
      <c r="AE19" s="27">
        <f t="array" ref="AE19:AE21">_xll.ohFilter(L3:L9,V3:V9)</f>
        <v>7.4151234567901231E-3</v>
      </c>
      <c r="AF19" s="31">
        <f t="array" ref="AF19:AF21">_xll.ohFilter(K3:K9,V3:V9)</f>
        <v>8.611111111111111E-2</v>
      </c>
      <c r="AG19" s="28">
        <f t="array" ref="AG19:AG21">_xll.ohFilter(J3:J9,V3:V9)</f>
        <v>1</v>
      </c>
      <c r="AH19" s="303" t="s">
        <v>20</v>
      </c>
      <c r="AI19" s="29" t="e">
        <f t="array" ref="AI19:AI21">MMULT(AL19:AN21,AK19:AK21)</f>
        <v>#NUM!</v>
      </c>
      <c r="AJ19" s="303" t="s">
        <v>21</v>
      </c>
      <c r="AK19" s="56" t="e">
        <f t="array" ref="AK19:AK21">_xll.ohFilter(H3:H9,V3:V9)</f>
        <v>#NUM!</v>
      </c>
      <c r="AL19" s="27">
        <f t="array" ref="AL19:AN21">MINVERSE(AE19:AG21)</f>
        <v>13.35807050092764</v>
      </c>
      <c r="AM19" s="31">
        <v>-22.605965463108326</v>
      </c>
      <c r="AN19" s="28">
        <v>9.2478949621806823</v>
      </c>
      <c r="AO19" s="101"/>
      <c r="AP19" s="94"/>
      <c r="AQ19" s="27">
        <f t="array" ref="AQ19:AQ21">_xll.ohFilter(R3:R9,V3:V9)</f>
        <v>0.44682343106995887</v>
      </c>
      <c r="AR19" s="31">
        <f t="array" ref="AR19:AR21">_xll.ohFilter(Q3:Q9,V3:V9)</f>
        <v>0.60435185185185192</v>
      </c>
      <c r="AS19" s="28">
        <f t="array" ref="AS19:AS21">_xll.ohFilter(P3:P9,V3:V9)</f>
        <v>1.0166666666666668</v>
      </c>
      <c r="AT19" s="303" t="s">
        <v>20</v>
      </c>
      <c r="AU19" s="29" t="e">
        <f t="array" ref="AU19:AU21">MMULT(AX19:AZ21,AW19:AW21)</f>
        <v>#NUM!</v>
      </c>
      <c r="AV19" s="303" t="s">
        <v>21</v>
      </c>
      <c r="AW19" s="56" t="e">
        <f t="array" ref="AW19:AW21">_xll.ohFilter(M3:M9,V3:V9)</f>
        <v>#NUM!</v>
      </c>
      <c r="AX19" s="27">
        <f t="array" ref="AX19:AZ21">MINVERSE(AQ19:AS21)</f>
        <v>13.239942491229325</v>
      </c>
      <c r="AY19" s="31">
        <v>-22.456698037609957</v>
      </c>
      <c r="AZ19" s="28">
        <v>9.242006931439203</v>
      </c>
      <c r="BA19" s="101"/>
      <c r="BC19" s="178">
        <f>_xll.qlCalendarAdvance(Calendar,BC18,"1d","mf",,Trigger)</f>
        <v>42298</v>
      </c>
      <c r="BD19" s="41">
        <f>_xll.qlDayCounterYearFraction(DayCounter,SettlementDate,BC19,,,Trigger)</f>
        <v>5.2777777777777778E-2</v>
      </c>
      <c r="BE19" s="47" t="e">
        <f>_xll.qlPolynomialFunctionValue(BE$1,$BD19,AllTriggers)</f>
        <v>#VALUE!</v>
      </c>
      <c r="BF19" s="47" t="e">
        <f>_xll.qlPolynomialFunctionValue(BF$1,$BD19,AllTriggers)</f>
        <v>#VALUE!</v>
      </c>
      <c r="BG19" s="47" t="e">
        <f>_xll.qlPolynomialFunctionValue(BG$1,$BD19,AllTriggers)</f>
        <v>#VALUE!</v>
      </c>
      <c r="BH19" s="47" t="e">
        <f>_xll.qlPolynomialFunctionValue(BH$1,$BD19,AllTriggers)</f>
        <v>#VALUE!</v>
      </c>
      <c r="BI19" s="47" t="e">
        <f>_xll.qlPolynomialFunctionValue(BI$1,$BD19,AllTriggers)</f>
        <v>#VALUE!</v>
      </c>
      <c r="BJ19" s="47" t="e">
        <f>_xll.qlPolynomialFunctionValue(BJ$1,$BD19,AllTriggers)</f>
        <v>#VALUE!</v>
      </c>
      <c r="BK19" s="47" t="e">
        <f>_xll.qlPolynomialFunctionValue(BK$1,$BD19,AllTriggers)</f>
        <v>#VALUE!</v>
      </c>
      <c r="BL19" s="47" t="e">
        <f>_xll.qlPolynomialFunctionValue(BL$1,$BD19,AllTriggers)</f>
        <v>#VALUE!</v>
      </c>
      <c r="BM19" s="47" t="e">
        <f>_xll.qlPolynomialFunctionValue(BM$1,$BD19,AllTriggers)</f>
        <v>#VALUE!</v>
      </c>
      <c r="BN19" s="47" t="e">
        <f>_xll.qlPolynomialFunctionValue(BN$1,$BD19,AllTriggers)</f>
        <v>#VALUE!</v>
      </c>
      <c r="BO19" s="47" t="e">
        <f>_xll.qlPolynomialFunctionValue(BO$1,$BD19,AllTriggers)</f>
        <v>#VALUE!</v>
      </c>
      <c r="BP19" s="47" t="e">
        <f>_xll.qlPolynomialFunctionValue(BP$1,$BD19,AllTriggers)</f>
        <v>#VALUE!</v>
      </c>
      <c r="BQ19" s="47">
        <f>_xll.qlPolynomialFunctionValue('12MSynthDepo_used'!$P$18,BD19,AllTriggers)</f>
        <v>2.8655832714404796E-3</v>
      </c>
    </row>
    <row r="20" spans="1:69" ht="12" customHeight="1" x14ac:dyDescent="0.2">
      <c r="A20" s="21">
        <f t="shared" si="16"/>
        <v>12</v>
      </c>
      <c r="B20" s="55">
        <f t="shared" si="14"/>
        <v>24</v>
      </c>
      <c r="C20" s="42" t="str">
        <f t="shared" si="17"/>
        <v>B12M_12X24</v>
      </c>
      <c r="D20" s="181">
        <f>_xll.qlCalendarAdvance(Calendar,SettlementDate,A20&amp;"M","mf")</f>
        <v>42646</v>
      </c>
      <c r="E20" s="181">
        <f>_xll.qlInterestRateIndexMaturity($D$25,D20)</f>
        <v>43011</v>
      </c>
      <c r="F20" s="54">
        <f>_xll.qlIndexFixing(ON_12M_index,_xll.qlInterestRateIndexFixingDate(ON_12M_index,D20,Trigger),,AllTriggers)</f>
        <v>-1.6912001724411672E-3</v>
      </c>
      <c r="G20" s="54" t="e">
        <f t="shared" si="18"/>
        <v>#NUM!</v>
      </c>
      <c r="H20" s="203" t="e">
        <f>_xll.qlQuoteValue(C20,_xll.ohTrigger(InterestRatesTrigger,'12MSynthDepo_used'!E9))</f>
        <v>#NUM!</v>
      </c>
      <c r="I20" s="44">
        <f>_xll.qlDayCounterYearFraction(DayCounter,SettlementDate,D20,,,Trigger)</f>
        <v>1.0194444444444444</v>
      </c>
      <c r="J20" s="243">
        <f t="shared" si="15"/>
        <v>0</v>
      </c>
      <c r="P20" s="55"/>
      <c r="Q20" s="55"/>
      <c r="R20" s="55"/>
      <c r="S20" s="150" t="b">
        <v>1</v>
      </c>
      <c r="T20" s="150" t="b">
        <v>1</v>
      </c>
      <c r="U20" s="150" t="b">
        <v>1</v>
      </c>
      <c r="V20" s="150" t="b">
        <v>1</v>
      </c>
      <c r="AD20" s="94"/>
      <c r="AE20" s="27">
        <v>6.8179012345679024E-2</v>
      </c>
      <c r="AF20" s="31">
        <v>0.26111111111111113</v>
      </c>
      <c r="AG20" s="28">
        <v>1</v>
      </c>
      <c r="AH20" s="303"/>
      <c r="AI20" s="29" t="e">
        <v>#NUM!</v>
      </c>
      <c r="AJ20" s="303"/>
      <c r="AK20" s="56" t="e">
        <v>#NUM!</v>
      </c>
      <c r="AL20" s="27">
        <v>-10.352504638218923</v>
      </c>
      <c r="AM20" s="31">
        <v>13.563579277864994</v>
      </c>
      <c r="AN20" s="28">
        <v>-3.2110746396460708</v>
      </c>
      <c r="AO20" s="101"/>
      <c r="AP20" s="94"/>
      <c r="AQ20" s="27">
        <v>0.68948199588477355</v>
      </c>
      <c r="AR20" s="31">
        <v>0.78226851851851831</v>
      </c>
      <c r="AS20" s="28">
        <v>1.0166666666666666</v>
      </c>
      <c r="AT20" s="303"/>
      <c r="AU20" s="29" t="e">
        <v>#NUM!</v>
      </c>
      <c r="AV20" s="303"/>
      <c r="AW20" s="56" t="e">
        <v>#NUM!</v>
      </c>
      <c r="AX20" s="27">
        <v>-23.678419352612995</v>
      </c>
      <c r="AY20" s="31">
        <v>36.249049833926591</v>
      </c>
      <c r="AZ20" s="28">
        <v>-12.605070564824032</v>
      </c>
      <c r="BA20" s="101"/>
      <c r="BC20" s="178">
        <f>_xll.qlCalendarAdvance(Calendar,BC19,"1d","mf",,Trigger)</f>
        <v>42299</v>
      </c>
      <c r="BD20" s="41">
        <f>_xll.qlDayCounterYearFraction(DayCounter,SettlementDate,BC20,,,Trigger)</f>
        <v>5.5555555555555552E-2</v>
      </c>
      <c r="BE20" s="47" t="e">
        <f>_xll.qlPolynomialFunctionValue(BE$1,$BD20,AllTriggers)</f>
        <v>#VALUE!</v>
      </c>
      <c r="BF20" s="47" t="e">
        <f>_xll.qlPolynomialFunctionValue(BF$1,$BD20,AllTriggers)</f>
        <v>#VALUE!</v>
      </c>
      <c r="BG20" s="47" t="e">
        <f>_xll.qlPolynomialFunctionValue(BG$1,$BD20,AllTriggers)</f>
        <v>#VALUE!</v>
      </c>
      <c r="BH20" s="47" t="e">
        <f>_xll.qlPolynomialFunctionValue(BH$1,$BD20,AllTriggers)</f>
        <v>#VALUE!</v>
      </c>
      <c r="BI20" s="47" t="e">
        <f>_xll.qlPolynomialFunctionValue(BI$1,$BD20,AllTriggers)</f>
        <v>#VALUE!</v>
      </c>
      <c r="BJ20" s="47" t="e">
        <f>_xll.qlPolynomialFunctionValue(BJ$1,$BD20,AllTriggers)</f>
        <v>#VALUE!</v>
      </c>
      <c r="BK20" s="47" t="e">
        <f>_xll.qlPolynomialFunctionValue(BK$1,$BD20,AllTriggers)</f>
        <v>#VALUE!</v>
      </c>
      <c r="BL20" s="47" t="e">
        <f>_xll.qlPolynomialFunctionValue(BL$1,$BD20,AllTriggers)</f>
        <v>#VALUE!</v>
      </c>
      <c r="BM20" s="47" t="e">
        <f>_xll.qlPolynomialFunctionValue(BM$1,$BD20,AllTriggers)</f>
        <v>#VALUE!</v>
      </c>
      <c r="BN20" s="47" t="e">
        <f>_xll.qlPolynomialFunctionValue(BN$1,$BD20,AllTriggers)</f>
        <v>#VALUE!</v>
      </c>
      <c r="BO20" s="47" t="e">
        <f>_xll.qlPolynomialFunctionValue(BO$1,$BD20,AllTriggers)</f>
        <v>#VALUE!</v>
      </c>
      <c r="BP20" s="47" t="e">
        <f>_xll.qlPolynomialFunctionValue(BP$1,$BD20,AllTriggers)</f>
        <v>#VALUE!</v>
      </c>
      <c r="BQ20" s="47">
        <f>_xll.qlPolynomialFunctionValue('12MSynthDepo_used'!$P$18,BD20,AllTriggers)</f>
        <v>2.8670656355027171E-3</v>
      </c>
    </row>
    <row r="21" spans="1:69" ht="12" customHeight="1" x14ac:dyDescent="0.2">
      <c r="A21" s="21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W21" s="55"/>
      <c r="AD21" s="94"/>
      <c r="AE21" s="27">
        <v>0.26408179012345673</v>
      </c>
      <c r="AF21" s="31">
        <v>0.51388888888888884</v>
      </c>
      <c r="AG21" s="28">
        <v>1</v>
      </c>
      <c r="AH21" s="303"/>
      <c r="AI21" s="29" t="e">
        <v>#NUM!</v>
      </c>
      <c r="AJ21" s="303"/>
      <c r="AK21" s="56" t="e">
        <v>#NUM!</v>
      </c>
      <c r="AL21" s="27">
        <v>1.792413935271078</v>
      </c>
      <c r="AM21" s="31">
        <v>-1.0003488574917148</v>
      </c>
      <c r="AN21" s="28">
        <v>0.20793492222063667</v>
      </c>
      <c r="AO21" s="101"/>
      <c r="AP21" s="94"/>
      <c r="AQ21" s="27">
        <v>1.1434283193301324</v>
      </c>
      <c r="AR21" s="31">
        <v>1.035011574074074</v>
      </c>
      <c r="AS21" s="28">
        <v>1.0138888888888888</v>
      </c>
      <c r="AT21" s="303"/>
      <c r="AU21" s="29" t="e">
        <v>#NUM!</v>
      </c>
      <c r="AV21" s="303"/>
      <c r="AW21" s="56" t="e">
        <v>#NUM!</v>
      </c>
      <c r="AX21" s="27">
        <v>9.2401771018783929</v>
      </c>
      <c r="AY21" s="31">
        <v>-11.678362158036103</v>
      </c>
      <c r="AZ21" s="28">
        <v>3.4311663850786878</v>
      </c>
      <c r="BA21" s="101"/>
      <c r="BC21" s="178">
        <f>_xll.qlCalendarAdvance(Calendar,BC20,"1d","mf",,Trigger)</f>
        <v>42300</v>
      </c>
      <c r="BD21" s="41">
        <f>_xll.qlDayCounterYearFraction(DayCounter,SettlementDate,BC21,,,Trigger)</f>
        <v>5.8333333333333334E-2</v>
      </c>
      <c r="BE21" s="47" t="e">
        <f>_xll.qlPolynomialFunctionValue(BE$1,$BD21,AllTriggers)</f>
        <v>#VALUE!</v>
      </c>
      <c r="BF21" s="47" t="e">
        <f>_xll.qlPolynomialFunctionValue(BF$1,$BD21,AllTriggers)</f>
        <v>#VALUE!</v>
      </c>
      <c r="BG21" s="47" t="e">
        <f>_xll.qlPolynomialFunctionValue(BG$1,$BD21,AllTriggers)</f>
        <v>#VALUE!</v>
      </c>
      <c r="BH21" s="47" t="e">
        <f>_xll.qlPolynomialFunctionValue(BH$1,$BD21,AllTriggers)</f>
        <v>#VALUE!</v>
      </c>
      <c r="BI21" s="47" t="e">
        <f>_xll.qlPolynomialFunctionValue(BI$1,$BD21,AllTriggers)</f>
        <v>#VALUE!</v>
      </c>
      <c r="BJ21" s="47" t="e">
        <f>_xll.qlPolynomialFunctionValue(BJ$1,$BD21,AllTriggers)</f>
        <v>#VALUE!</v>
      </c>
      <c r="BK21" s="47" t="e">
        <f>_xll.qlPolynomialFunctionValue(BK$1,$BD21,AllTriggers)</f>
        <v>#VALUE!</v>
      </c>
      <c r="BL21" s="47" t="e">
        <f>_xll.qlPolynomialFunctionValue(BL$1,$BD21,AllTriggers)</f>
        <v>#VALUE!</v>
      </c>
      <c r="BM21" s="47" t="e">
        <f>_xll.qlPolynomialFunctionValue(BM$1,$BD21,AllTriggers)</f>
        <v>#VALUE!</v>
      </c>
      <c r="BN21" s="47" t="e">
        <f>_xll.qlPolynomialFunctionValue(BN$1,$BD21,AllTriggers)</f>
        <v>#VALUE!</v>
      </c>
      <c r="BO21" s="47" t="e">
        <f>_xll.qlPolynomialFunctionValue(BO$1,$BD21,AllTriggers)</f>
        <v>#VALUE!</v>
      </c>
      <c r="BP21" s="47" t="e">
        <f>_xll.qlPolynomialFunctionValue(BP$1,$BD21,AllTriggers)</f>
        <v>#VALUE!</v>
      </c>
      <c r="BQ21" s="47">
        <f>_xll.qlPolynomialFunctionValue('12MSynthDepo_used'!$P$18,BD21,AllTriggers)</f>
        <v>2.8685495659349527E-3</v>
      </c>
    </row>
    <row r="22" spans="1:69" ht="12" customHeight="1" x14ac:dyDescent="0.2">
      <c r="H22" s="21"/>
      <c r="I22" s="21"/>
      <c r="J22" s="21"/>
      <c r="L22" s="21"/>
      <c r="M22" s="21"/>
      <c r="N22" s="21"/>
      <c r="P22" s="21"/>
      <c r="Q22" s="21"/>
      <c r="R22" s="21"/>
      <c r="X22" s="21"/>
      <c r="Y22" s="21"/>
      <c r="Z22" s="21"/>
      <c r="AA22" s="21"/>
      <c r="AB22" s="21"/>
      <c r="AC22" s="21"/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42303</v>
      </c>
      <c r="BD22" s="41">
        <f>_xll.qlDayCounterYearFraction(DayCounter,SettlementDate,BC22,,,Trigger)</f>
        <v>6.6666666666666666E-2</v>
      </c>
      <c r="BE22" s="47" t="e">
        <f>_xll.qlPolynomialFunctionValue(BE$1,$BD22,AllTriggers)</f>
        <v>#VALUE!</v>
      </c>
      <c r="BF22" s="47" t="e">
        <f>_xll.qlPolynomialFunctionValue(BF$1,$BD22,AllTriggers)</f>
        <v>#VALUE!</v>
      </c>
      <c r="BG22" s="47" t="e">
        <f>_xll.qlPolynomialFunctionValue(BG$1,$BD22,AllTriggers)</f>
        <v>#VALUE!</v>
      </c>
      <c r="BH22" s="47" t="e">
        <f>_xll.qlPolynomialFunctionValue(BH$1,$BD22,AllTriggers)</f>
        <v>#VALUE!</v>
      </c>
      <c r="BI22" s="47" t="e">
        <f>_xll.qlPolynomialFunctionValue(BI$1,$BD22,AllTriggers)</f>
        <v>#VALUE!</v>
      </c>
      <c r="BJ22" s="47" t="e">
        <f>_xll.qlPolynomialFunctionValue(BJ$1,$BD22,AllTriggers)</f>
        <v>#VALUE!</v>
      </c>
      <c r="BK22" s="47" t="e">
        <f>_xll.qlPolynomialFunctionValue(BK$1,$BD22,AllTriggers)</f>
        <v>#VALUE!</v>
      </c>
      <c r="BL22" s="47" t="e">
        <f>_xll.qlPolynomialFunctionValue(BL$1,$BD22,AllTriggers)</f>
        <v>#VALUE!</v>
      </c>
      <c r="BM22" s="47" t="e">
        <f>_xll.qlPolynomialFunctionValue(BM$1,$BD22,AllTriggers)</f>
        <v>#VALUE!</v>
      </c>
      <c r="BN22" s="47" t="e">
        <f>_xll.qlPolynomialFunctionValue(BN$1,$BD22,AllTriggers)</f>
        <v>#VALUE!</v>
      </c>
      <c r="BO22" s="47" t="e">
        <f>_xll.qlPolynomialFunctionValue(BO$1,$BD22,AllTriggers)</f>
        <v>#VALUE!</v>
      </c>
      <c r="BP22" s="47" t="e">
        <f>_xll.qlPolynomialFunctionValue(BP$1,$BD22,AllTriggers)</f>
        <v>#VALUE!</v>
      </c>
      <c r="BQ22" s="47">
        <f>_xll.qlPolynomialFunctionValue('12MSynthDepo_used'!$P$18,BD22,AllTriggers)</f>
        <v>2.8730107029510121E-3</v>
      </c>
    </row>
    <row r="23" spans="1:69" ht="12" customHeight="1" x14ac:dyDescent="0.2">
      <c r="W23" s="21"/>
      <c r="X23" s="21"/>
      <c r="Y23" s="21"/>
      <c r="Z23" s="21"/>
      <c r="AA23" s="21"/>
      <c r="AB23" s="21"/>
      <c r="AC23" s="21"/>
      <c r="AD23" s="93"/>
      <c r="AE23" s="93"/>
      <c r="AF23" s="93"/>
      <c r="AG23" s="93"/>
      <c r="AH23" s="93"/>
      <c r="BC23" s="178">
        <f>_xll.qlCalendarAdvance(Calendar,BC22,"1d","mf",,Trigger)</f>
        <v>42304</v>
      </c>
      <c r="BD23" s="41">
        <f>_xll.qlDayCounterYearFraction(DayCounter,SettlementDate,BC23,,,Trigger)</f>
        <v>6.9444444444444448E-2</v>
      </c>
      <c r="BE23" s="47" t="e">
        <f>_xll.qlPolynomialFunctionValue(BE$1,$BD23,AllTriggers)</f>
        <v>#VALUE!</v>
      </c>
      <c r="BF23" s="47" t="e">
        <f>_xll.qlPolynomialFunctionValue(BF$1,$BD23,AllTriggers)</f>
        <v>#VALUE!</v>
      </c>
      <c r="BG23" s="47" t="e">
        <f>_xll.qlPolynomialFunctionValue(BG$1,$BD23,AllTriggers)</f>
        <v>#VALUE!</v>
      </c>
      <c r="BH23" s="47" t="e">
        <f>_xll.qlPolynomialFunctionValue(BH$1,$BD23,AllTriggers)</f>
        <v>#VALUE!</v>
      </c>
      <c r="BI23" s="47" t="e">
        <f>_xll.qlPolynomialFunctionValue(BI$1,$BD23,AllTriggers)</f>
        <v>#VALUE!</v>
      </c>
      <c r="BJ23" s="47" t="e">
        <f>_xll.qlPolynomialFunctionValue(BJ$1,$BD23,AllTriggers)</f>
        <v>#VALUE!</v>
      </c>
      <c r="BK23" s="47" t="e">
        <f>_xll.qlPolynomialFunctionValue(BK$1,$BD23,AllTriggers)</f>
        <v>#VALUE!</v>
      </c>
      <c r="BL23" s="47" t="e">
        <f>_xll.qlPolynomialFunctionValue(BL$1,$BD23,AllTriggers)</f>
        <v>#VALUE!</v>
      </c>
      <c r="BM23" s="47" t="e">
        <f>_xll.qlPolynomialFunctionValue(BM$1,$BD23,AllTriggers)</f>
        <v>#VALUE!</v>
      </c>
      <c r="BN23" s="47" t="e">
        <f>_xll.qlPolynomialFunctionValue(BN$1,$BD23,AllTriggers)</f>
        <v>#VALUE!</v>
      </c>
      <c r="BO23" s="47" t="e">
        <f>_xll.qlPolynomialFunctionValue(BO$1,$BD23,AllTriggers)</f>
        <v>#VALUE!</v>
      </c>
      <c r="BP23" s="47" t="e">
        <f>_xll.qlPolynomialFunctionValue(BP$1,$BD23,AllTriggers)</f>
        <v>#VALUE!</v>
      </c>
      <c r="BQ23" s="47">
        <f>_xll.qlPolynomialFunctionValue('12MSynthDepo_used'!$P$18,BD23,AllTriggers)</f>
        <v>2.8745008463626032E-3</v>
      </c>
    </row>
    <row r="24" spans="1:69" ht="12" customHeight="1" x14ac:dyDescent="0.2">
      <c r="A24" s="21"/>
      <c r="B24" s="55"/>
      <c r="C24" s="36" t="s">
        <v>62</v>
      </c>
      <c r="D24" s="51" t="s">
        <v>37</v>
      </c>
      <c r="F24" s="187" t="s">
        <v>90</v>
      </c>
      <c r="G24" s="188" t="b">
        <v>1</v>
      </c>
      <c r="H24" s="235"/>
      <c r="S24" s="236"/>
      <c r="T24" s="237"/>
      <c r="U24" s="188" t="b">
        <v>0</v>
      </c>
      <c r="V24" s="235"/>
      <c r="W24" s="236"/>
      <c r="X24" s="237"/>
      <c r="Y24" s="188" t="b">
        <v>1</v>
      </c>
      <c r="Z24" s="235"/>
      <c r="AA24" s="236"/>
      <c r="AB24" s="236"/>
      <c r="BC24" s="178">
        <f>_xll.qlCalendarAdvance(Calendar,BC23,"1d","mf",,Trigger)</f>
        <v>42305</v>
      </c>
      <c r="BD24" s="41">
        <f>_xll.qlDayCounterYearFraction(DayCounter,SettlementDate,BC24,,,Trigger)</f>
        <v>7.2222222222222215E-2</v>
      </c>
      <c r="BE24" s="47" t="e">
        <f>_xll.qlPolynomialFunctionValue(BE$1,$BD24,AllTriggers)</f>
        <v>#VALUE!</v>
      </c>
      <c r="BF24" s="47" t="e">
        <f>_xll.qlPolynomialFunctionValue(BF$1,$BD24,AllTriggers)</f>
        <v>#VALUE!</v>
      </c>
      <c r="BG24" s="47" t="e">
        <f>_xll.qlPolynomialFunctionValue(BG$1,$BD24,AllTriggers)</f>
        <v>#VALUE!</v>
      </c>
      <c r="BH24" s="47" t="e">
        <f>_xll.qlPolynomialFunctionValue(BH$1,$BD24,AllTriggers)</f>
        <v>#VALUE!</v>
      </c>
      <c r="BI24" s="47" t="e">
        <f>_xll.qlPolynomialFunctionValue(BI$1,$BD24,AllTriggers)</f>
        <v>#VALUE!</v>
      </c>
      <c r="BJ24" s="47" t="e">
        <f>_xll.qlPolynomialFunctionValue(BJ$1,$BD24,AllTriggers)</f>
        <v>#VALUE!</v>
      </c>
      <c r="BK24" s="47" t="e">
        <f>_xll.qlPolynomialFunctionValue(BK$1,$BD24,AllTriggers)</f>
        <v>#VALUE!</v>
      </c>
      <c r="BL24" s="47" t="e">
        <f>_xll.qlPolynomialFunctionValue(BL$1,$BD24,AllTriggers)</f>
        <v>#VALUE!</v>
      </c>
      <c r="BM24" s="47" t="e">
        <f>_xll.qlPolynomialFunctionValue(BM$1,$BD24,AllTriggers)</f>
        <v>#VALUE!</v>
      </c>
      <c r="BN24" s="47" t="e">
        <f>_xll.qlPolynomialFunctionValue(BN$1,$BD24,AllTriggers)</f>
        <v>#VALUE!</v>
      </c>
      <c r="BO24" s="47" t="e">
        <f>_xll.qlPolynomialFunctionValue(BO$1,$BD24,AllTriggers)</f>
        <v>#VALUE!</v>
      </c>
      <c r="BP24" s="47" t="e">
        <f>_xll.qlPolynomialFunctionValue(BP$1,$BD24,AllTriggers)</f>
        <v>#VALUE!</v>
      </c>
      <c r="BQ24" s="47">
        <f>_xll.qlPolynomialFunctionValue('12MSynthDepo_used'!$P$18,BD24,AllTriggers)</f>
        <v>2.8759925298938735E-3</v>
      </c>
    </row>
    <row r="25" spans="1:69" ht="12" customHeight="1" x14ac:dyDescent="0.2">
      <c r="A25" s="21"/>
      <c r="B25" s="55"/>
      <c r="C25" s="36" t="s">
        <v>53</v>
      </c>
      <c r="D25" s="51" t="str">
        <f>PROPER(Currency)&amp;IborType&amp;"1Y"</f>
        <v>Euribor1Y</v>
      </c>
      <c r="E25" s="23"/>
      <c r="F25" s="187" t="s">
        <v>91</v>
      </c>
      <c r="G25" s="89"/>
      <c r="H25" s="89"/>
      <c r="S25" s="89"/>
      <c r="T25" s="89"/>
      <c r="U25" s="89"/>
      <c r="V25" s="89"/>
      <c r="W25" s="89"/>
      <c r="X25" s="238"/>
      <c r="Y25" s="228" t="e">
        <f>_xll.qlPolynomialCalibration(,_xll.ohFilter($I$14:$I$20,$S$14:$S$20),_xll.ohFilter($H$14:$H$20,$S$14:$S$20),_xll.ohFilter($J$14:$J$20,$S$14:$S$20),G$28:G$29,,,,,Trigger)</f>
        <v>#NUM!</v>
      </c>
      <c r="Z25" s="188" t="e">
        <f>_xll.qlPolynomialCalibration(,_xll.ohFilter($I$14:$I$20,$T$14:$T$20),_xll.ohFilter($H$14:$H$20,$T$14:$T$20),_xll.ohFilter($J$14:$J$20,$T$14:$T$20),H$28:H$30,,,,,Trigger)</f>
        <v>#NUM!</v>
      </c>
      <c r="AA25" s="188" t="e">
        <f>_xll.qlPolynomialCalibration(,_xll.ohFilter($I$14:$I$20,$U$14:$U$20),_xll.ohFilter($H$14:$H$20,$U$14:$U$20),_xll.ohFilter($J$14:$J$20,$U$14:$U$20),S$28:S$29,,,,,Trigger)</f>
        <v>#NUM!</v>
      </c>
      <c r="AB25" s="188" t="e">
        <f>_xll.qlPolynomialCalibration(,_xll.ohFilter($I$14:$I$20,$V$14:$V$20),_xll.ohFilter($H$14:$H$20,$V$14:$V$20),_xll.ohFilter($J$14:$J$20,$V$14:$V$20),T$28:T$30,,,,,Trigger)</f>
        <v>#NUM!</v>
      </c>
      <c r="AC25" s="19" t="s">
        <v>70</v>
      </c>
      <c r="BC25" s="178">
        <f>_xll.qlCalendarAdvance(Calendar,BC24,"1d","mf",,Trigger)</f>
        <v>42306</v>
      </c>
      <c r="BD25" s="41">
        <f>_xll.qlDayCounterYearFraction(DayCounter,SettlementDate,BC25,,,Trigger)</f>
        <v>7.4999999999999997E-2</v>
      </c>
      <c r="BE25" s="47" t="e">
        <f>_xll.qlPolynomialFunctionValue(BE$1,$BD25,AllTriggers)</f>
        <v>#VALUE!</v>
      </c>
      <c r="BF25" s="47" t="e">
        <f>_xll.qlPolynomialFunctionValue(BF$1,$BD25,AllTriggers)</f>
        <v>#VALUE!</v>
      </c>
      <c r="BG25" s="47" t="e">
        <f>_xll.qlPolynomialFunctionValue(BG$1,$BD25,AllTriggers)</f>
        <v>#VALUE!</v>
      </c>
      <c r="BH25" s="47" t="e">
        <f>_xll.qlPolynomialFunctionValue(BH$1,$BD25,AllTriggers)</f>
        <v>#VALUE!</v>
      </c>
      <c r="BI25" s="47" t="e">
        <f>_xll.qlPolynomialFunctionValue(BI$1,$BD25,AllTriggers)</f>
        <v>#VALUE!</v>
      </c>
      <c r="BJ25" s="47" t="e">
        <f>_xll.qlPolynomialFunctionValue(BJ$1,$BD25,AllTriggers)</f>
        <v>#VALUE!</v>
      </c>
      <c r="BK25" s="47" t="e">
        <f>_xll.qlPolynomialFunctionValue(BK$1,$BD25,AllTriggers)</f>
        <v>#VALUE!</v>
      </c>
      <c r="BL25" s="47" t="e">
        <f>_xll.qlPolynomialFunctionValue(BL$1,$BD25,AllTriggers)</f>
        <v>#VALUE!</v>
      </c>
      <c r="BM25" s="47" t="e">
        <f>_xll.qlPolynomialFunctionValue(BM$1,$BD25,AllTriggers)</f>
        <v>#VALUE!</v>
      </c>
      <c r="BN25" s="47" t="e">
        <f>_xll.qlPolynomialFunctionValue(BN$1,$BD25,AllTriggers)</f>
        <v>#VALUE!</v>
      </c>
      <c r="BO25" s="47" t="e">
        <f>_xll.qlPolynomialFunctionValue(BO$1,$BD25,AllTriggers)</f>
        <v>#VALUE!</v>
      </c>
      <c r="BP25" s="47" t="e">
        <f>_xll.qlPolynomialFunctionValue(BP$1,$BD25,AllTriggers)</f>
        <v>#VALUE!</v>
      </c>
      <c r="BQ25" s="47">
        <f>_xll.qlPolynomialFunctionValue('12MSynthDepo_used'!$P$18,BD25,AllTriggers)</f>
        <v>2.8774857482947603E-3</v>
      </c>
    </row>
    <row r="26" spans="1:69" ht="12" customHeight="1" x14ac:dyDescent="0.2">
      <c r="A26" s="21"/>
      <c r="B26" s="55"/>
      <c r="C26" s="36" t="s">
        <v>113</v>
      </c>
      <c r="D26" s="51" t="str">
        <f>_xll.qlIborIndex(,,'12MSynthDepo_allScenario'!D24,2,Currency,Calendar,"mf",TRUE,DayCounter,Discounting,,Trigger)</f>
        <v>obj_005b1#0002</v>
      </c>
      <c r="E26" s="23"/>
      <c r="F26" s="187" t="s">
        <v>92</v>
      </c>
      <c r="G26" s="89"/>
      <c r="H26" s="89"/>
      <c r="S26" s="89"/>
      <c r="T26" s="89"/>
      <c r="U26" s="89"/>
      <c r="V26" s="89"/>
      <c r="W26" s="89"/>
      <c r="X26" s="238"/>
      <c r="Y26" s="239" t="e">
        <f>_xll.qlPolynomialCalibrationCompute(Y$25,AllTriggers)</f>
        <v>#VALUE!</v>
      </c>
      <c r="Z26" s="188" t="e">
        <f>_xll.qlPolynomialCalibrationCompute(Z$25,AllTriggers)</f>
        <v>#VALUE!</v>
      </c>
      <c r="AA26" s="188" t="e">
        <f>_xll.qlPolynomialCalibrationCompute(AA$25,AllTriggers)</f>
        <v>#VALUE!</v>
      </c>
      <c r="AB26" s="188" t="e">
        <f>_xll.qlPolynomialCalibrationCompute(AB$25,AllTriggers)</f>
        <v>#VALUE!</v>
      </c>
      <c r="AC26" s="19" t="s">
        <v>70</v>
      </c>
      <c r="BC26" s="178">
        <f>_xll.qlCalendarAdvance(Calendar,BC25,"1d","mf",,Trigger)</f>
        <v>42307</v>
      </c>
      <c r="BD26" s="41">
        <f>_xll.qlDayCounterYearFraction(DayCounter,SettlementDate,BC26,,,Trigger)</f>
        <v>7.7777777777777779E-2</v>
      </c>
      <c r="BE26" s="47" t="e">
        <f>_xll.qlPolynomialFunctionValue(BE$1,$BD26,AllTriggers)</f>
        <v>#VALUE!</v>
      </c>
      <c r="BF26" s="47" t="e">
        <f>_xll.qlPolynomialFunctionValue(BF$1,$BD26,AllTriggers)</f>
        <v>#VALUE!</v>
      </c>
      <c r="BG26" s="47" t="e">
        <f>_xll.qlPolynomialFunctionValue(BG$1,$BD26,AllTriggers)</f>
        <v>#VALUE!</v>
      </c>
      <c r="BH26" s="47" t="e">
        <f>_xll.qlPolynomialFunctionValue(BH$1,$BD26,AllTriggers)</f>
        <v>#VALUE!</v>
      </c>
      <c r="BI26" s="47" t="e">
        <f>_xll.qlPolynomialFunctionValue(BI$1,$BD26,AllTriggers)</f>
        <v>#VALUE!</v>
      </c>
      <c r="BJ26" s="47" t="e">
        <f>_xll.qlPolynomialFunctionValue(BJ$1,$BD26,AllTriggers)</f>
        <v>#VALUE!</v>
      </c>
      <c r="BK26" s="47" t="e">
        <f>_xll.qlPolynomialFunctionValue(BK$1,$BD26,AllTriggers)</f>
        <v>#VALUE!</v>
      </c>
      <c r="BL26" s="47" t="e">
        <f>_xll.qlPolynomialFunctionValue(BL$1,$BD26,AllTriggers)</f>
        <v>#VALUE!</v>
      </c>
      <c r="BM26" s="47" t="e">
        <f>_xll.qlPolynomialFunctionValue(BM$1,$BD26,AllTriggers)</f>
        <v>#VALUE!</v>
      </c>
      <c r="BN26" s="47" t="e">
        <f>_xll.qlPolynomialFunctionValue(BN$1,$BD26,AllTriggers)</f>
        <v>#VALUE!</v>
      </c>
      <c r="BO26" s="47" t="e">
        <f>_xll.qlPolynomialFunctionValue(BO$1,$BD26,AllTriggers)</f>
        <v>#VALUE!</v>
      </c>
      <c r="BP26" s="47" t="e">
        <f>_xll.qlPolynomialFunctionValue(BP$1,$BD26,AllTriggers)</f>
        <v>#VALUE!</v>
      </c>
      <c r="BQ26" s="47">
        <f>_xll.qlPolynomialFunctionValue('12MSynthDepo_used'!$P$18,BD26,AllTriggers)</f>
        <v>2.8789804963152E-3</v>
      </c>
    </row>
    <row r="27" spans="1:69" ht="12" customHeight="1" x14ac:dyDescent="0.2">
      <c r="B27" s="22"/>
      <c r="C27" s="36" t="s">
        <v>114</v>
      </c>
      <c r="D27" s="51" t="s">
        <v>86</v>
      </c>
      <c r="E27" s="23"/>
      <c r="F27" s="187" t="s">
        <v>82</v>
      </c>
      <c r="G27" s="188" t="e">
        <f>_xll.qlPolynomialTenorBasis(,$D$25,Discounting,SettlementDate,IsSimple,G$28:G$31,,Trigger)</f>
        <v>#NUM!</v>
      </c>
      <c r="H27" s="188" t="e">
        <f>_xll.qlPolynomialTenorBasis(,$D$25,Discounting,SettlementDate,IsSimple,H$28:H$31,,Trigger)</f>
        <v>#NUM!</v>
      </c>
      <c r="S27" s="188" t="e">
        <f>_xll.qlPolynomialTenorBasis(,$D$25,Discounting,SettlementDate,IsSimple,S$28:S$31,,Trigger)</f>
        <v>#NUM!</v>
      </c>
      <c r="T27" s="188" t="e">
        <f>_xll.qlPolynomialTenorBasis(,$D$25,Discounting,SettlementDate,IsSimple,T$28:T$31,,Trigger)</f>
        <v>#NUM!</v>
      </c>
      <c r="U27" s="188" t="e">
        <f>_xll.qlPolynomialTenorBasis(,$D$25,Discounting,SettlementDate,$U$24,U$28:U$31,,Trigger)</f>
        <v>#NUM!</v>
      </c>
      <c r="V27" s="188" t="e">
        <f>_xll.qlPolynomialTenorBasis(,$D$25,Discounting,SettlementDate,$U$24,V$28:V$31,,Trigger)</f>
        <v>#NUM!</v>
      </c>
      <c r="W27" s="188" t="e">
        <f>_xll.qlPolynomialTenorBasis(,$D$25,Discounting,SettlementDate,$U$24,W$28:W$31,,Trigger)</f>
        <v>#NUM!</v>
      </c>
      <c r="X27" s="227" t="e">
        <f>_xll.qlPolynomialTenorBasis(,$D$25,Discounting,SettlementDate,$U$24,X$28:X$31,,Trigger)</f>
        <v>#NUM!</v>
      </c>
      <c r="Y27" s="228" t="e">
        <f>_xll.qlPolynomialTenorBasis(,$D$25,Discounting,SettlementDate,$Y$24,Y$28:Y$31,,Trigger)</f>
        <v>#NUM!</v>
      </c>
      <c r="Z27" s="188" t="e">
        <f>_xll.qlPolynomialTenorBasis(,$D$25,Discounting,SettlementDate,$Y$24,Z$28:Z$31,,Trigger)</f>
        <v>#NUM!</v>
      </c>
      <c r="AA27" s="188" t="e">
        <f>_xll.qlPolynomialTenorBasis(,$D$25,Discounting,SettlementDate,$Y$24,AA$28:AA$31,,Trigger)</f>
        <v>#NUM!</v>
      </c>
      <c r="AB27" s="188" t="e">
        <f>_xll.qlPolynomialTenorBasis(,$D$25,Discounting,SettlementDate,$Y$24,AB$28:AB$31,,Trigger)</f>
        <v>#NUM!</v>
      </c>
      <c r="AC27" s="19" t="s">
        <v>70</v>
      </c>
      <c r="BC27" s="178">
        <f>_xll.qlCalendarAdvance(Calendar,BC26,"1d","mf",,Trigger)</f>
        <v>42310</v>
      </c>
      <c r="BD27" s="41">
        <f>_xll.qlDayCounterYearFraction(DayCounter,SettlementDate,BC27,,,Trigger)</f>
        <v>8.611111111111111E-2</v>
      </c>
      <c r="BE27" s="47" t="e">
        <f>_xll.qlPolynomialFunctionValue(BE$1,$BD27,AllTriggers)</f>
        <v>#VALUE!</v>
      </c>
      <c r="BF27" s="47" t="e">
        <f>_xll.qlPolynomialFunctionValue(BF$1,$BD27,AllTriggers)</f>
        <v>#VALUE!</v>
      </c>
      <c r="BG27" s="47" t="e">
        <f>_xll.qlPolynomialFunctionValue(BG$1,$BD27,AllTriggers)</f>
        <v>#VALUE!</v>
      </c>
      <c r="BH27" s="47" t="e">
        <f>_xll.qlPolynomialFunctionValue(BH$1,$BD27,AllTriggers)</f>
        <v>#VALUE!</v>
      </c>
      <c r="BI27" s="47" t="e">
        <f>_xll.qlPolynomialFunctionValue(BI$1,$BD27,AllTriggers)</f>
        <v>#VALUE!</v>
      </c>
      <c r="BJ27" s="47" t="e">
        <f>_xll.qlPolynomialFunctionValue(BJ$1,$BD27,AllTriggers)</f>
        <v>#VALUE!</v>
      </c>
      <c r="BK27" s="47" t="e">
        <f>_xll.qlPolynomialFunctionValue(BK$1,$BD27,AllTriggers)</f>
        <v>#VALUE!</v>
      </c>
      <c r="BL27" s="47" t="e">
        <f>_xll.qlPolynomialFunctionValue(BL$1,$BD27,AllTriggers)</f>
        <v>#VALUE!</v>
      </c>
      <c r="BM27" s="47" t="e">
        <f>_xll.qlPolynomialFunctionValue(BM$1,$BD27,AllTriggers)</f>
        <v>#VALUE!</v>
      </c>
      <c r="BN27" s="47" t="e">
        <f>_xll.qlPolynomialFunctionValue(BN$1,$BD27,AllTriggers)</f>
        <v>#VALUE!</v>
      </c>
      <c r="BO27" s="47" t="e">
        <f>_xll.qlPolynomialFunctionValue(BO$1,$BD27,AllTriggers)</f>
        <v>#VALUE!</v>
      </c>
      <c r="BP27" s="47" t="e">
        <f>_xll.qlPolynomialFunctionValue(BP$1,$BD27,AllTriggers)</f>
        <v>#VALUE!</v>
      </c>
      <c r="BQ27" s="47">
        <f>_xll.qlPolynomialFunctionValue('12MSynthDepo_used'!$P$18,BD27,AllTriggers)</f>
        <v>2.8834738655931949E-3</v>
      </c>
    </row>
    <row r="28" spans="1:69" ht="12" customHeight="1" x14ac:dyDescent="0.2">
      <c r="C28" s="36" t="s">
        <v>115</v>
      </c>
      <c r="D28" s="51" t="s">
        <v>86</v>
      </c>
      <c r="E28" s="35"/>
      <c r="F28" s="133" t="s">
        <v>73</v>
      </c>
      <c r="G28" s="90" t="e">
        <f>AI6</f>
        <v>#NUM!</v>
      </c>
      <c r="H28" s="90" t="e">
        <f>AI16</f>
        <v>#NUM!</v>
      </c>
      <c r="S28" s="90" t="e">
        <f>AI10</f>
        <v>#NUM!</v>
      </c>
      <c r="T28" s="90" t="e">
        <f>AI21</f>
        <v>#NUM!</v>
      </c>
      <c r="U28" s="90" t="e">
        <f>AU6</f>
        <v>#NUM!</v>
      </c>
      <c r="V28" s="90" t="e">
        <f>AU16</f>
        <v>#NUM!</v>
      </c>
      <c r="W28" s="90" t="e">
        <f>AU10</f>
        <v>#NUM!</v>
      </c>
      <c r="X28" s="229" t="e">
        <f>AU21</f>
        <v>#NUM!</v>
      </c>
      <c r="Y28" s="230" t="e">
        <f t="array" ref="Y28:Y29">_xll.qlPolynomialCalibrationCoefficients($Y$25,$Y$26)</f>
        <v>#VALUE!</v>
      </c>
      <c r="Z28" s="90" t="e">
        <f t="array" ref="Z28:Z30">_xll.qlPolynomialCalibrationCoefficients($Z$25,$Z$26)</f>
        <v>#VALUE!</v>
      </c>
      <c r="AA28" s="90" t="e">
        <f t="array" ref="AA28:AA29">_xll.qlPolynomialCalibrationCoefficients($AA$25,$AA$26)</f>
        <v>#VALUE!</v>
      </c>
      <c r="AB28" s="90" t="e">
        <f t="array" ref="AB28:AB30">_xll.qlPolynomialCalibrationCoefficients($AB$25,$AB$26)</f>
        <v>#VALUE!</v>
      </c>
      <c r="AC28" s="19" t="s">
        <v>70</v>
      </c>
      <c r="BC28" s="178">
        <f>_xll.qlCalendarAdvance(Calendar,BC27,"1d","mf",,Trigger)</f>
        <v>42311</v>
      </c>
      <c r="BD28" s="41">
        <f>_xll.qlDayCounterYearFraction(DayCounter,SettlementDate,BC28,,,Trigger)</f>
        <v>8.8888888888888892E-2</v>
      </c>
      <c r="BE28" s="47" t="e">
        <f>_xll.qlPolynomialFunctionValue(BE$1,$BD28,AllTriggers)</f>
        <v>#VALUE!</v>
      </c>
      <c r="BF28" s="47" t="e">
        <f>_xll.qlPolynomialFunctionValue(BF$1,$BD28,AllTriggers)</f>
        <v>#VALUE!</v>
      </c>
      <c r="BG28" s="47" t="e">
        <f>_xll.qlPolynomialFunctionValue(BG$1,$BD28,AllTriggers)</f>
        <v>#VALUE!</v>
      </c>
      <c r="BH28" s="47" t="e">
        <f>_xll.qlPolynomialFunctionValue(BH$1,$BD28,AllTriggers)</f>
        <v>#VALUE!</v>
      </c>
      <c r="BI28" s="47" t="e">
        <f>_xll.qlPolynomialFunctionValue(BI$1,$BD28,AllTriggers)</f>
        <v>#VALUE!</v>
      </c>
      <c r="BJ28" s="47" t="e">
        <f>_xll.qlPolynomialFunctionValue(BJ$1,$BD28,AllTriggers)</f>
        <v>#VALUE!</v>
      </c>
      <c r="BK28" s="47" t="e">
        <f>_xll.qlPolynomialFunctionValue(BK$1,$BD28,AllTriggers)</f>
        <v>#VALUE!</v>
      </c>
      <c r="BL28" s="47" t="e">
        <f>_xll.qlPolynomialFunctionValue(BL$1,$BD28,AllTriggers)</f>
        <v>#VALUE!</v>
      </c>
      <c r="BM28" s="47" t="e">
        <f>_xll.qlPolynomialFunctionValue(BM$1,$BD28,AllTriggers)</f>
        <v>#VALUE!</v>
      </c>
      <c r="BN28" s="47" t="e">
        <f>_xll.qlPolynomialFunctionValue(BN$1,$BD28,AllTriggers)</f>
        <v>#VALUE!</v>
      </c>
      <c r="BO28" s="47" t="e">
        <f>_xll.qlPolynomialFunctionValue(BO$1,$BD28,AllTriggers)</f>
        <v>#VALUE!</v>
      </c>
      <c r="BP28" s="47" t="e">
        <f>_xll.qlPolynomialFunctionValue(BP$1,$BD28,AllTriggers)</f>
        <v>#VALUE!</v>
      </c>
      <c r="BQ28" s="47">
        <f>_xll.qlPolynomialFunctionValue('12MSynthDepo_used'!$P$18,BD28,AllTriggers)</f>
        <v>2.8849746795912069E-3</v>
      </c>
    </row>
    <row r="29" spans="1:69" ht="12" customHeight="1" x14ac:dyDescent="0.2">
      <c r="E29" s="35"/>
      <c r="F29" s="133" t="s">
        <v>74</v>
      </c>
      <c r="G29" s="90" t="e">
        <f>AI5</f>
        <v>#NUM!</v>
      </c>
      <c r="H29" s="90" t="e">
        <f>AI15</f>
        <v>#NUM!</v>
      </c>
      <c r="S29" s="90" t="e">
        <f>AI9</f>
        <v>#NUM!</v>
      </c>
      <c r="T29" s="90" t="e">
        <f>AI20</f>
        <v>#NUM!</v>
      </c>
      <c r="U29" s="90" t="e">
        <f>AU5</f>
        <v>#NUM!</v>
      </c>
      <c r="V29" s="90" t="e">
        <f>AU15</f>
        <v>#NUM!</v>
      </c>
      <c r="W29" s="90" t="e">
        <f>AU9</f>
        <v>#NUM!</v>
      </c>
      <c r="X29" s="229" t="e">
        <f>AU20</f>
        <v>#NUM!</v>
      </c>
      <c r="Y29" s="230" t="e">
        <v>#VALUE!</v>
      </c>
      <c r="Z29" s="90" t="e">
        <v>#VALUE!</v>
      </c>
      <c r="AA29" s="90" t="e">
        <v>#VALUE!</v>
      </c>
      <c r="AB29" s="90" t="e">
        <v>#VALUE!</v>
      </c>
      <c r="AC29" s="19" t="s">
        <v>70</v>
      </c>
      <c r="BC29" s="178">
        <f>_xll.qlCalendarAdvance(Calendar,BC28,"1d","mf",,Trigger)</f>
        <v>42312</v>
      </c>
      <c r="BD29" s="41">
        <f>_xll.qlDayCounterYearFraction(DayCounter,SettlementDate,BC29,,,Trigger)</f>
        <v>9.166666666666666E-2</v>
      </c>
      <c r="BE29" s="47" t="e">
        <f>_xll.qlPolynomialFunctionValue(BE$1,$BD29,AllTriggers)</f>
        <v>#VALUE!</v>
      </c>
      <c r="BF29" s="47" t="e">
        <f>_xll.qlPolynomialFunctionValue(BF$1,$BD29,AllTriggers)</f>
        <v>#VALUE!</v>
      </c>
      <c r="BG29" s="47" t="e">
        <f>_xll.qlPolynomialFunctionValue(BG$1,$BD29,AllTriggers)</f>
        <v>#VALUE!</v>
      </c>
      <c r="BH29" s="47" t="e">
        <f>_xll.qlPolynomialFunctionValue(BH$1,$BD29,AllTriggers)</f>
        <v>#VALUE!</v>
      </c>
      <c r="BI29" s="47" t="e">
        <f>_xll.qlPolynomialFunctionValue(BI$1,$BD29,AllTriggers)</f>
        <v>#VALUE!</v>
      </c>
      <c r="BJ29" s="47" t="e">
        <f>_xll.qlPolynomialFunctionValue(BJ$1,$BD29,AllTriggers)</f>
        <v>#VALUE!</v>
      </c>
      <c r="BK29" s="47" t="e">
        <f>_xll.qlPolynomialFunctionValue(BK$1,$BD29,AllTriggers)</f>
        <v>#VALUE!</v>
      </c>
      <c r="BL29" s="47" t="e">
        <f>_xll.qlPolynomialFunctionValue(BL$1,$BD29,AllTriggers)</f>
        <v>#VALUE!</v>
      </c>
      <c r="BM29" s="47" t="e">
        <f>_xll.qlPolynomialFunctionValue(BM$1,$BD29,AllTriggers)</f>
        <v>#VALUE!</v>
      </c>
      <c r="BN29" s="47" t="e">
        <f>_xll.qlPolynomialFunctionValue(BN$1,$BD29,AllTriggers)</f>
        <v>#VALUE!</v>
      </c>
      <c r="BO29" s="47" t="e">
        <f>_xll.qlPolynomialFunctionValue(BO$1,$BD29,AllTriggers)</f>
        <v>#VALUE!</v>
      </c>
      <c r="BP29" s="47" t="e">
        <f>_xll.qlPolynomialFunctionValue(BP$1,$BD29,AllTriggers)</f>
        <v>#VALUE!</v>
      </c>
      <c r="BQ29" s="47">
        <f>_xll.qlPolynomialFunctionValue('12MSynthDepo_used'!$P$18,BD29,AllTriggers)</f>
        <v>2.8864769969584531E-3</v>
      </c>
    </row>
    <row r="30" spans="1:69" ht="12" customHeight="1" x14ac:dyDescent="0.2">
      <c r="F30" s="133" t="s">
        <v>75</v>
      </c>
      <c r="G30" s="89"/>
      <c r="H30" s="90" t="e">
        <f>AI14</f>
        <v>#NUM!</v>
      </c>
      <c r="S30" s="89"/>
      <c r="T30" s="90" t="e">
        <f>AI19</f>
        <v>#NUM!</v>
      </c>
      <c r="U30" s="89"/>
      <c r="V30" s="90" t="e">
        <f>AU14</f>
        <v>#NUM!</v>
      </c>
      <c r="W30" s="89"/>
      <c r="X30" s="229" t="e">
        <f>AU19</f>
        <v>#NUM!</v>
      </c>
      <c r="Y30" s="231"/>
      <c r="Z30" s="90" t="e">
        <v>#VALUE!</v>
      </c>
      <c r="AA30" s="89"/>
      <c r="AB30" s="90" t="e">
        <v>#VALUE!</v>
      </c>
      <c r="AC30" s="19" t="s">
        <v>70</v>
      </c>
      <c r="BC30" s="178">
        <f>_xll.qlCalendarAdvance(Calendar,BC29,"1d","mf",,Trigger)</f>
        <v>42313</v>
      </c>
      <c r="BD30" s="41">
        <f>_xll.qlDayCounterYearFraction(DayCounter,SettlementDate,BC30,,,Trigger)</f>
        <v>9.4444444444444442E-2</v>
      </c>
      <c r="BE30" s="47" t="e">
        <f>_xll.qlPolynomialFunctionValue(BE$1,$BD30,AllTriggers)</f>
        <v>#VALUE!</v>
      </c>
      <c r="BF30" s="47" t="e">
        <f>_xll.qlPolynomialFunctionValue(BF$1,$BD30,AllTriggers)</f>
        <v>#VALUE!</v>
      </c>
      <c r="BG30" s="47" t="e">
        <f>_xll.qlPolynomialFunctionValue(BG$1,$BD30,AllTriggers)</f>
        <v>#VALUE!</v>
      </c>
      <c r="BH30" s="47" t="e">
        <f>_xll.qlPolynomialFunctionValue(BH$1,$BD30,AllTriggers)</f>
        <v>#VALUE!</v>
      </c>
      <c r="BI30" s="47" t="e">
        <f>_xll.qlPolynomialFunctionValue(BI$1,$BD30,AllTriggers)</f>
        <v>#VALUE!</v>
      </c>
      <c r="BJ30" s="47" t="e">
        <f>_xll.qlPolynomialFunctionValue(BJ$1,$BD30,AllTriggers)</f>
        <v>#VALUE!</v>
      </c>
      <c r="BK30" s="47" t="e">
        <f>_xll.qlPolynomialFunctionValue(BK$1,$BD30,AllTriggers)</f>
        <v>#VALUE!</v>
      </c>
      <c r="BL30" s="47" t="e">
        <f>_xll.qlPolynomialFunctionValue(BL$1,$BD30,AllTriggers)</f>
        <v>#VALUE!</v>
      </c>
      <c r="BM30" s="47" t="e">
        <f>_xll.qlPolynomialFunctionValue(BM$1,$BD30,AllTriggers)</f>
        <v>#VALUE!</v>
      </c>
      <c r="BN30" s="47" t="e">
        <f>_xll.qlPolynomialFunctionValue(BN$1,$BD30,AllTriggers)</f>
        <v>#VALUE!</v>
      </c>
      <c r="BO30" s="47" t="e">
        <f>_xll.qlPolynomialFunctionValue(BO$1,$BD30,AllTriggers)</f>
        <v>#VALUE!</v>
      </c>
      <c r="BP30" s="47" t="e">
        <f>_xll.qlPolynomialFunctionValue(BP$1,$BD30,AllTriggers)</f>
        <v>#VALUE!</v>
      </c>
      <c r="BQ30" s="47">
        <f>_xll.qlPolynomialFunctionValue('12MSynthDepo_used'!$P$18,BD30,AllTriggers)</f>
        <v>2.8879808124448697E-3</v>
      </c>
    </row>
    <row r="31" spans="1:69" ht="12" customHeight="1" thickBot="1" x14ac:dyDescent="0.25">
      <c r="F31" s="133" t="s">
        <v>76</v>
      </c>
      <c r="G31" s="89"/>
      <c r="H31" s="89"/>
      <c r="S31" s="89"/>
      <c r="T31" s="89"/>
      <c r="U31" s="89"/>
      <c r="V31" s="89"/>
      <c r="W31" s="89"/>
      <c r="X31" s="232"/>
      <c r="Y31" s="233"/>
      <c r="Z31" s="89"/>
      <c r="AA31" s="89"/>
      <c r="AB31" s="234"/>
      <c r="BC31" s="178">
        <f>_xll.qlCalendarAdvance(Calendar,BC30,"1d","mf",,Trigger)</f>
        <v>42314</v>
      </c>
      <c r="BD31" s="41">
        <f>_xll.qlDayCounterYearFraction(DayCounter,SettlementDate,BC31,,,Trigger)</f>
        <v>9.7222222222222224E-2</v>
      </c>
      <c r="BE31" s="47" t="e">
        <f>_xll.qlPolynomialFunctionValue(BE$1,$BD31,AllTriggers)</f>
        <v>#VALUE!</v>
      </c>
      <c r="BF31" s="47" t="e">
        <f>_xll.qlPolynomialFunctionValue(BF$1,$BD31,AllTriggers)</f>
        <v>#VALUE!</v>
      </c>
      <c r="BG31" s="47" t="e">
        <f>_xll.qlPolynomialFunctionValue(BG$1,$BD31,AllTriggers)</f>
        <v>#VALUE!</v>
      </c>
      <c r="BH31" s="47" t="e">
        <f>_xll.qlPolynomialFunctionValue(BH$1,$BD31,AllTriggers)</f>
        <v>#VALUE!</v>
      </c>
      <c r="BI31" s="47" t="e">
        <f>_xll.qlPolynomialFunctionValue(BI$1,$BD31,AllTriggers)</f>
        <v>#VALUE!</v>
      </c>
      <c r="BJ31" s="47" t="e">
        <f>_xll.qlPolynomialFunctionValue(BJ$1,$BD31,AllTriggers)</f>
        <v>#VALUE!</v>
      </c>
      <c r="BK31" s="47" t="e">
        <f>_xll.qlPolynomialFunctionValue(BK$1,$BD31,AllTriggers)</f>
        <v>#VALUE!</v>
      </c>
      <c r="BL31" s="47" t="e">
        <f>_xll.qlPolynomialFunctionValue(BL$1,$BD31,AllTriggers)</f>
        <v>#VALUE!</v>
      </c>
      <c r="BM31" s="47" t="e">
        <f>_xll.qlPolynomialFunctionValue(BM$1,$BD31,AllTriggers)</f>
        <v>#VALUE!</v>
      </c>
      <c r="BN31" s="47" t="e">
        <f>_xll.qlPolynomialFunctionValue(BN$1,$BD31,AllTriggers)</f>
        <v>#VALUE!</v>
      </c>
      <c r="BO31" s="47" t="e">
        <f>_xll.qlPolynomialFunctionValue(BO$1,$BD31,AllTriggers)</f>
        <v>#VALUE!</v>
      </c>
      <c r="BP31" s="47" t="e">
        <f>_xll.qlPolynomialFunctionValue(BP$1,$BD31,AllTriggers)</f>
        <v>#VALUE!</v>
      </c>
      <c r="BQ31" s="47">
        <f>_xll.qlPolynomialFunctionValue('12MSynthDepo_used'!$P$18,BD31,AllTriggers)</f>
        <v>2.8894861208003928E-3</v>
      </c>
    </row>
    <row r="32" spans="1:69" ht="12" customHeight="1" x14ac:dyDescent="0.2">
      <c r="G32" s="147" t="s">
        <v>66</v>
      </c>
      <c r="H32" s="148"/>
      <c r="S32" s="148"/>
      <c r="T32" s="148"/>
      <c r="U32" s="148"/>
      <c r="V32" s="148"/>
      <c r="W32" s="148"/>
      <c r="X32" s="149"/>
      <c r="Y32" s="147" t="s">
        <v>67</v>
      </c>
      <c r="Z32" s="148"/>
      <c r="AA32" s="148"/>
      <c r="AB32" s="149"/>
      <c r="BC32" s="178">
        <f>_xll.qlCalendarAdvance(Calendar,BC31,"1d","mf",,Trigger)</f>
        <v>42317</v>
      </c>
      <c r="BD32" s="41">
        <f>_xll.qlDayCounterYearFraction(DayCounter,SettlementDate,BC32,,,Trigger)</f>
        <v>0.10555555555555556</v>
      </c>
      <c r="BE32" s="47" t="e">
        <f>_xll.qlPolynomialFunctionValue(BE$1,$BD32,AllTriggers)</f>
        <v>#VALUE!</v>
      </c>
      <c r="BF32" s="47" t="e">
        <f>_xll.qlPolynomialFunctionValue(BF$1,$BD32,AllTriggers)</f>
        <v>#VALUE!</v>
      </c>
      <c r="BG32" s="47" t="e">
        <f>_xll.qlPolynomialFunctionValue(BG$1,$BD32,AllTriggers)</f>
        <v>#VALUE!</v>
      </c>
      <c r="BH32" s="47" t="e">
        <f>_xll.qlPolynomialFunctionValue(BH$1,$BD32,AllTriggers)</f>
        <v>#VALUE!</v>
      </c>
      <c r="BI32" s="47" t="e">
        <f>_xll.qlPolynomialFunctionValue(BI$1,$BD32,AllTriggers)</f>
        <v>#VALUE!</v>
      </c>
      <c r="BJ32" s="47" t="e">
        <f>_xll.qlPolynomialFunctionValue(BJ$1,$BD32,AllTriggers)</f>
        <v>#VALUE!</v>
      </c>
      <c r="BK32" s="47" t="e">
        <f>_xll.qlPolynomialFunctionValue(BK$1,$BD32,AllTriggers)</f>
        <v>#VALUE!</v>
      </c>
      <c r="BL32" s="47" t="e">
        <f>_xll.qlPolynomialFunctionValue(BL$1,$BD32,AllTriggers)</f>
        <v>#VALUE!</v>
      </c>
      <c r="BM32" s="47" t="e">
        <f>_xll.qlPolynomialFunctionValue(BM$1,$BD32,AllTriggers)</f>
        <v>#VALUE!</v>
      </c>
      <c r="BN32" s="47" t="e">
        <f>_xll.qlPolynomialFunctionValue(BN$1,$BD32,AllTriggers)</f>
        <v>#VALUE!</v>
      </c>
      <c r="BO32" s="47" t="e">
        <f>_xll.qlPolynomialFunctionValue(BO$1,$BD32,AllTriggers)</f>
        <v>#VALUE!</v>
      </c>
      <c r="BP32" s="47" t="e">
        <f>_xll.qlPolynomialFunctionValue(BP$1,$BD32,AllTriggers)</f>
        <v>#VALUE!</v>
      </c>
      <c r="BQ32" s="47">
        <f>_xll.qlPolynomialFunctionValue('12MSynthDepo_used'!$P$18,BD32,AllTriggers)</f>
        <v>2.8940109505809662E-3</v>
      </c>
    </row>
    <row r="33" spans="3:69" ht="12" customHeight="1" x14ac:dyDescent="0.2">
      <c r="G33" s="214" t="s">
        <v>106</v>
      </c>
      <c r="H33" s="215"/>
      <c r="S33" s="215"/>
      <c r="T33" s="216"/>
      <c r="U33" s="214" t="s">
        <v>107</v>
      </c>
      <c r="V33" s="215"/>
      <c r="W33" s="215"/>
      <c r="X33" s="216"/>
      <c r="Y33" s="214" t="s">
        <v>106</v>
      </c>
      <c r="Z33" s="215"/>
      <c r="AA33" s="215"/>
      <c r="AB33" s="216"/>
      <c r="BC33" s="178">
        <f>_xll.qlCalendarAdvance(Calendar,BC32,"1d","mf",,Trigger)</f>
        <v>42318</v>
      </c>
      <c r="BD33" s="41">
        <f>_xll.qlDayCounterYearFraction(DayCounter,SettlementDate,BC33,,,Trigger)</f>
        <v>0.10833333333333334</v>
      </c>
      <c r="BE33" s="47" t="e">
        <f>_xll.qlPolynomialFunctionValue(BE$1,$BD33,AllTriggers)</f>
        <v>#VALUE!</v>
      </c>
      <c r="BF33" s="47" t="e">
        <f>_xll.qlPolynomialFunctionValue(BF$1,$BD33,AllTriggers)</f>
        <v>#VALUE!</v>
      </c>
      <c r="BG33" s="47" t="e">
        <f>_xll.qlPolynomialFunctionValue(BG$1,$BD33,AllTriggers)</f>
        <v>#VALUE!</v>
      </c>
      <c r="BH33" s="47" t="e">
        <f>_xll.qlPolynomialFunctionValue(BH$1,$BD33,AllTriggers)</f>
        <v>#VALUE!</v>
      </c>
      <c r="BI33" s="47" t="e">
        <f>_xll.qlPolynomialFunctionValue(BI$1,$BD33,AllTriggers)</f>
        <v>#VALUE!</v>
      </c>
      <c r="BJ33" s="47" t="e">
        <f>_xll.qlPolynomialFunctionValue(BJ$1,$BD33,AllTriggers)</f>
        <v>#VALUE!</v>
      </c>
      <c r="BK33" s="47" t="e">
        <f>_xll.qlPolynomialFunctionValue(BK$1,$BD33,AllTriggers)</f>
        <v>#VALUE!</v>
      </c>
      <c r="BL33" s="47" t="e">
        <f>_xll.qlPolynomialFunctionValue(BL$1,$BD33,AllTriggers)</f>
        <v>#VALUE!</v>
      </c>
      <c r="BM33" s="47" t="e">
        <f>_xll.qlPolynomialFunctionValue(BM$1,$BD33,AllTriggers)</f>
        <v>#VALUE!</v>
      </c>
      <c r="BN33" s="47" t="e">
        <f>_xll.qlPolynomialFunctionValue(BN$1,$BD33,AllTriggers)</f>
        <v>#VALUE!</v>
      </c>
      <c r="BO33" s="47" t="e">
        <f>_xll.qlPolynomialFunctionValue(BO$1,$BD33,AllTriggers)</f>
        <v>#VALUE!</v>
      </c>
      <c r="BP33" s="47" t="e">
        <f>_xll.qlPolynomialFunctionValue(BP$1,$BD33,AllTriggers)</f>
        <v>#VALUE!</v>
      </c>
      <c r="BQ33" s="47">
        <f>_xll.qlPolynomialFunctionValue('12MSynthDepo_used'!$P$18,BD33,AllTriggers)</f>
        <v>2.8955221779122802E-3</v>
      </c>
    </row>
    <row r="34" spans="3:69" ht="12" customHeight="1" thickBot="1" x14ac:dyDescent="0.25">
      <c r="G34" s="134" t="str">
        <f>"with 0X"&amp;SUBSTITUTE($D$24,"M","")</f>
        <v>with 0X12</v>
      </c>
      <c r="H34" s="110"/>
      <c r="S34" s="109" t="str">
        <f>"without 0X"&amp;SUBSTITUTE($D$24,"M","")</f>
        <v>without 0X12</v>
      </c>
      <c r="T34" s="135"/>
      <c r="U34" s="134" t="str">
        <f>"with 0X"&amp;SUBSTITUTE($D$24,"M","")</f>
        <v>with 0X12</v>
      </c>
      <c r="V34" s="110"/>
      <c r="W34" s="109" t="str">
        <f>"without 0X"&amp;SUBSTITUTE($D$24,"M","")</f>
        <v>without 0X12</v>
      </c>
      <c r="X34" s="135"/>
      <c r="Y34" s="134" t="str">
        <f>"with 0X"&amp;SUBSTITUTE($D$24,"M","")</f>
        <v>with 0X12</v>
      </c>
      <c r="Z34" s="110"/>
      <c r="AA34" s="109" t="str">
        <f>"without 0X"&amp;SUBSTITUTE($D$24,"M","")</f>
        <v>without 0X12</v>
      </c>
      <c r="AB34" s="135"/>
      <c r="BC34" s="178">
        <f>_xll.qlCalendarAdvance(Calendar,BC33,"1d","mf",,Trigger)</f>
        <v>42319</v>
      </c>
      <c r="BD34" s="41">
        <f>_xll.qlDayCounterYearFraction(DayCounter,SettlementDate,BC34,,,Trigger)</f>
        <v>0.1111111111111111</v>
      </c>
      <c r="BE34" s="47" t="e">
        <f>_xll.qlPolynomialFunctionValue(BE$1,$BD34,AllTriggers)</f>
        <v>#VALUE!</v>
      </c>
      <c r="BF34" s="47" t="e">
        <f>_xll.qlPolynomialFunctionValue(BF$1,$BD34,AllTriggers)</f>
        <v>#VALUE!</v>
      </c>
      <c r="BG34" s="47" t="e">
        <f>_xll.qlPolynomialFunctionValue(BG$1,$BD34,AllTriggers)</f>
        <v>#VALUE!</v>
      </c>
      <c r="BH34" s="47" t="e">
        <f>_xll.qlPolynomialFunctionValue(BH$1,$BD34,AllTriggers)</f>
        <v>#VALUE!</v>
      </c>
      <c r="BI34" s="47" t="e">
        <f>_xll.qlPolynomialFunctionValue(BI$1,$BD34,AllTriggers)</f>
        <v>#VALUE!</v>
      </c>
      <c r="BJ34" s="47" t="e">
        <f>_xll.qlPolynomialFunctionValue(BJ$1,$BD34,AllTriggers)</f>
        <v>#VALUE!</v>
      </c>
      <c r="BK34" s="47" t="e">
        <f>_xll.qlPolynomialFunctionValue(BK$1,$BD34,AllTriggers)</f>
        <v>#VALUE!</v>
      </c>
      <c r="BL34" s="47" t="e">
        <f>_xll.qlPolynomialFunctionValue(BL$1,$BD34,AllTriggers)</f>
        <v>#VALUE!</v>
      </c>
      <c r="BM34" s="47" t="e">
        <f>_xll.qlPolynomialFunctionValue(BM$1,$BD34,AllTriggers)</f>
        <v>#VALUE!</v>
      </c>
      <c r="BN34" s="47" t="e">
        <f>_xll.qlPolynomialFunctionValue(BN$1,$BD34,AllTriggers)</f>
        <v>#VALUE!</v>
      </c>
      <c r="BO34" s="47" t="e">
        <f>_xll.qlPolynomialFunctionValue(BO$1,$BD34,AllTriggers)</f>
        <v>#VALUE!</v>
      </c>
      <c r="BP34" s="47" t="e">
        <f>_xll.qlPolynomialFunctionValue(BP$1,$BD34,AllTriggers)</f>
        <v>#VALUE!</v>
      </c>
      <c r="BQ34" s="47">
        <f>_xll.qlPolynomialFunctionValue('12MSynthDepo_used'!$P$18,BD34,AllTriggers)</f>
        <v>2.8970348718623824E-3</v>
      </c>
    </row>
    <row r="35" spans="3:69" ht="12" customHeight="1" x14ac:dyDescent="0.2">
      <c r="D35" s="36" t="s">
        <v>49</v>
      </c>
      <c r="E35" s="36" t="s">
        <v>38</v>
      </c>
      <c r="F35" s="36" t="s">
        <v>39</v>
      </c>
      <c r="G35" s="136" t="str">
        <f>IF(COUNT(G$28:G$31)=2,"Linear","Quadratic")</f>
        <v>Quadratic</v>
      </c>
      <c r="H35" s="38" t="str">
        <f>IF(COUNT(H$28:H$31)=2,"Linear","Quadratic")</f>
        <v>Quadratic</v>
      </c>
      <c r="S35" s="38" t="str">
        <f t="shared" ref="S35:AB35" si="19">IF(COUNT(S$28:S$31)=2,"Linear","Quadratic")</f>
        <v>Quadratic</v>
      </c>
      <c r="T35" s="137" t="str">
        <f t="shared" si="19"/>
        <v>Quadratic</v>
      </c>
      <c r="U35" s="136" t="str">
        <f t="shared" si="19"/>
        <v>Quadratic</v>
      </c>
      <c r="V35" s="38" t="str">
        <f t="shared" si="19"/>
        <v>Quadratic</v>
      </c>
      <c r="W35" s="38" t="str">
        <f t="shared" si="19"/>
        <v>Quadratic</v>
      </c>
      <c r="X35" s="137" t="str">
        <f t="shared" si="19"/>
        <v>Quadratic</v>
      </c>
      <c r="Y35" s="136" t="str">
        <f t="shared" si="19"/>
        <v>Quadratic</v>
      </c>
      <c r="Z35" s="38" t="str">
        <f t="shared" si="19"/>
        <v>Quadratic</v>
      </c>
      <c r="AA35" s="38" t="str">
        <f t="shared" si="19"/>
        <v>Quadratic</v>
      </c>
      <c r="AB35" s="137" t="str">
        <f t="shared" si="19"/>
        <v>Quadratic</v>
      </c>
      <c r="AC35" s="255" t="s">
        <v>105</v>
      </c>
      <c r="BC35" s="178">
        <f>_xll.qlCalendarAdvance(Calendar,BC34,"1d","mf",,Trigger)</f>
        <v>42320</v>
      </c>
      <c r="BD35" s="41">
        <f>_xll.qlDayCounterYearFraction(DayCounter,SettlementDate,BC35,,,Trigger)</f>
        <v>0.11388888888888889</v>
      </c>
      <c r="BE35" s="47" t="e">
        <f>_xll.qlPolynomialFunctionValue(BE$1,$BD35,AllTriggers)</f>
        <v>#VALUE!</v>
      </c>
      <c r="BF35" s="47" t="e">
        <f>_xll.qlPolynomialFunctionValue(BF$1,$BD35,AllTriggers)</f>
        <v>#VALUE!</v>
      </c>
      <c r="BG35" s="47" t="e">
        <f>_xll.qlPolynomialFunctionValue(BG$1,$BD35,AllTriggers)</f>
        <v>#VALUE!</v>
      </c>
      <c r="BH35" s="47" t="e">
        <f>_xll.qlPolynomialFunctionValue(BH$1,$BD35,AllTriggers)</f>
        <v>#VALUE!</v>
      </c>
      <c r="BI35" s="47" t="e">
        <f>_xll.qlPolynomialFunctionValue(BI$1,$BD35,AllTriggers)</f>
        <v>#VALUE!</v>
      </c>
      <c r="BJ35" s="47" t="e">
        <f>_xll.qlPolynomialFunctionValue(BJ$1,$BD35,AllTriggers)</f>
        <v>#VALUE!</v>
      </c>
      <c r="BK35" s="47" t="e">
        <f>_xll.qlPolynomialFunctionValue(BK$1,$BD35,AllTriggers)</f>
        <v>#VALUE!</v>
      </c>
      <c r="BL35" s="47" t="e">
        <f>_xll.qlPolynomialFunctionValue(BL$1,$BD35,AllTriggers)</f>
        <v>#VALUE!</v>
      </c>
      <c r="BM35" s="47" t="e">
        <f>_xll.qlPolynomialFunctionValue(BM$1,$BD35,AllTriggers)</f>
        <v>#VALUE!</v>
      </c>
      <c r="BN35" s="47" t="e">
        <f>_xll.qlPolynomialFunctionValue(BN$1,$BD35,AllTriggers)</f>
        <v>#VALUE!</v>
      </c>
      <c r="BO35" s="47" t="e">
        <f>_xll.qlPolynomialFunctionValue(BO$1,$BD35,AllTriggers)</f>
        <v>#VALUE!</v>
      </c>
      <c r="BP35" s="47" t="e">
        <f>_xll.qlPolynomialFunctionValue(BP$1,$BD35,AllTriggers)</f>
        <v>#VALUE!</v>
      </c>
      <c r="BQ35" s="47">
        <f>_xll.qlPolynomialFunctionValue('12MSynthDepo_used'!$P$18,BD35,AllTriggers)</f>
        <v>2.8985490271812098E-3</v>
      </c>
    </row>
    <row r="36" spans="3:69" ht="12" customHeight="1" x14ac:dyDescent="0.2">
      <c r="C36" s="19">
        <v>0</v>
      </c>
      <c r="D36" s="45" t="s">
        <v>25</v>
      </c>
      <c r="E36" s="175">
        <f>_xll.qlCalendarAdvance(Calendar,SettlementDate,C36&amp;"M","mf",TRUE,Trigger)</f>
        <v>42279</v>
      </c>
      <c r="F36" s="245">
        <f>_xll.qlCalendarAdvance(Calendar,SettlementDate,D36,"Following",,Trigger)</f>
        <v>42282</v>
      </c>
      <c r="G36" s="253" t="e">
        <f>_xll.qlTenorBasisForwardRate2(G$27,$E36,$F36,InterestRatesTrigger)</f>
        <v>#VALUE!</v>
      </c>
      <c r="H36" s="193" t="e">
        <f>_xll.qlTenorBasisForwardRate2(H$27,$E36,$F36,InterestRatesTrigger)</f>
        <v>#VALUE!</v>
      </c>
      <c r="S36" s="193" t="e">
        <f>_xll.qlTenorBasisForwardRate2(S$27,$E36,$F36,InterestRatesTrigger)</f>
        <v>#VALUE!</v>
      </c>
      <c r="T36" s="254" t="e">
        <f>_xll.qlTenorBasisForwardRate2(T$27,$E36,$F36,InterestRatesTrigger)</f>
        <v>#VALUE!</v>
      </c>
      <c r="U36" s="253" t="e">
        <f>_xll.qlTenorBasisForwardRate2(U$27,$E36,$F36,InterestRatesTrigger)</f>
        <v>#VALUE!</v>
      </c>
      <c r="V36" s="193" t="e">
        <f>_xll.qlTenorBasisForwardRate2(V$27,$E36,$F36,InterestRatesTrigger)</f>
        <v>#VALUE!</v>
      </c>
      <c r="W36" s="193" t="e">
        <f>_xll.qlTenorBasisForwardRate2(W$27,$E36,$F36,InterestRatesTrigger)</f>
        <v>#VALUE!</v>
      </c>
      <c r="X36" s="254" t="e">
        <f>_xll.qlTenorBasisForwardRate2(X$27,$E36,$F36,InterestRatesTrigger)</f>
        <v>#VALUE!</v>
      </c>
      <c r="Y36" s="253" t="e">
        <f>_xll.qlTenorBasisForwardRate2(Y$27,$E36,$F36,InterestRatesTrigger)</f>
        <v>#VALUE!</v>
      </c>
      <c r="Z36" s="193" t="e">
        <f>_xll.qlTenorBasisForwardRate2(Z$27,$E36,$F36,InterestRatesTrigger)</f>
        <v>#VALUE!</v>
      </c>
      <c r="AA36" s="193" t="e">
        <f>_xll.qlTenorBasisForwardRate2(AA$27,$E36,$F36,InterestRatesTrigger)</f>
        <v>#VALUE!</v>
      </c>
      <c r="AB36" s="254" t="e">
        <f>_xll.qlTenorBasisForwardRate2(AB$27,$E36,$F36,InterestRatesTrigger)</f>
        <v>#VALUE!</v>
      </c>
      <c r="AC36" s="254">
        <f>'12MSynthDepo_used'!AA15</f>
        <v>1.44104140020751E-3</v>
      </c>
      <c r="BC36" s="178">
        <f>_xll.qlCalendarAdvance(Calendar,BC35,"1d","mf",,Trigger)</f>
        <v>42321</v>
      </c>
      <c r="BD36" s="41">
        <f>_xll.qlDayCounterYearFraction(DayCounter,SettlementDate,BC36,,,Trigger)</f>
        <v>0.11666666666666667</v>
      </c>
      <c r="BE36" s="47" t="e">
        <f>_xll.qlPolynomialFunctionValue(BE$1,$BD36,AllTriggers)</f>
        <v>#VALUE!</v>
      </c>
      <c r="BF36" s="47" t="e">
        <f>_xll.qlPolynomialFunctionValue(BF$1,$BD36,AllTriggers)</f>
        <v>#VALUE!</v>
      </c>
      <c r="BG36" s="47" t="e">
        <f>_xll.qlPolynomialFunctionValue(BG$1,$BD36,AllTriggers)</f>
        <v>#VALUE!</v>
      </c>
      <c r="BH36" s="47" t="e">
        <f>_xll.qlPolynomialFunctionValue(BH$1,$BD36,AllTriggers)</f>
        <v>#VALUE!</v>
      </c>
      <c r="BI36" s="47" t="e">
        <f>_xll.qlPolynomialFunctionValue(BI$1,$BD36,AllTriggers)</f>
        <v>#VALUE!</v>
      </c>
      <c r="BJ36" s="47" t="e">
        <f>_xll.qlPolynomialFunctionValue(BJ$1,$BD36,AllTriggers)</f>
        <v>#VALUE!</v>
      </c>
      <c r="BK36" s="47" t="e">
        <f>_xll.qlPolynomialFunctionValue(BK$1,$BD36,AllTriggers)</f>
        <v>#VALUE!</v>
      </c>
      <c r="BL36" s="47" t="e">
        <f>_xll.qlPolynomialFunctionValue(BL$1,$BD36,AllTriggers)</f>
        <v>#VALUE!</v>
      </c>
      <c r="BM36" s="47" t="e">
        <f>_xll.qlPolynomialFunctionValue(BM$1,$BD36,AllTriggers)</f>
        <v>#VALUE!</v>
      </c>
      <c r="BN36" s="47" t="e">
        <f>_xll.qlPolynomialFunctionValue(BN$1,$BD36,AllTriggers)</f>
        <v>#VALUE!</v>
      </c>
      <c r="BO36" s="47" t="e">
        <f>_xll.qlPolynomialFunctionValue(BO$1,$BD36,AllTriggers)</f>
        <v>#VALUE!</v>
      </c>
      <c r="BP36" s="47" t="e">
        <f>_xll.qlPolynomialFunctionValue(BP$1,$BD36,AllTriggers)</f>
        <v>#VALUE!</v>
      </c>
      <c r="BQ36" s="47">
        <f>_xll.qlPolynomialFunctionValue('12MSynthDepo_used'!$P$18,BD36,AllTriggers)</f>
        <v>2.9000646386186978E-3</v>
      </c>
    </row>
    <row r="37" spans="3:69" ht="12" customHeight="1" x14ac:dyDescent="0.2">
      <c r="C37" s="19">
        <v>0</v>
      </c>
      <c r="D37" s="48" t="s">
        <v>26</v>
      </c>
      <c r="E37" s="177">
        <f>_xll.qlCalendarAdvance(Calendar,SettlementDate,C37&amp;"M","mf",TRUE,Trigger)</f>
        <v>42279</v>
      </c>
      <c r="F37" s="246">
        <f>_xll.qlCalendarAdvance(Calendar,SettlementDate,D37,"Following",,Trigger)</f>
        <v>42286</v>
      </c>
      <c r="G37" s="138" t="e">
        <f>_xll.qlTenorBasisForwardRate2(G$27,$E37,$F37,InterestRatesTrigger)</f>
        <v>#VALUE!</v>
      </c>
      <c r="H37" s="128" t="e">
        <f>_xll.qlTenorBasisForwardRate2(H$27,$E37,$F37,InterestRatesTrigger)</f>
        <v>#VALUE!</v>
      </c>
      <c r="S37" s="128" t="e">
        <f>_xll.qlTenorBasisForwardRate2(S$27,$E37,$F37,InterestRatesTrigger)</f>
        <v>#VALUE!</v>
      </c>
      <c r="T37" s="139" t="e">
        <f>_xll.qlTenorBasisForwardRate2(T$27,$E37,$F37,InterestRatesTrigger)</f>
        <v>#VALUE!</v>
      </c>
      <c r="U37" s="138" t="e">
        <f>_xll.qlTenorBasisForwardRate2(U$27,$E37,$F37,InterestRatesTrigger)</f>
        <v>#VALUE!</v>
      </c>
      <c r="V37" s="128" t="e">
        <f>_xll.qlTenorBasisForwardRate2(V$27,$E37,$F37,InterestRatesTrigger)</f>
        <v>#VALUE!</v>
      </c>
      <c r="W37" s="128" t="e">
        <f>_xll.qlTenorBasisForwardRate2(W$27,$E37,$F37,InterestRatesTrigger)</f>
        <v>#VALUE!</v>
      </c>
      <c r="X37" s="139" t="e">
        <f>_xll.qlTenorBasisForwardRate2(X$27,$E37,$F37,InterestRatesTrigger)</f>
        <v>#VALUE!</v>
      </c>
      <c r="Y37" s="138" t="e">
        <f>_xll.qlTenorBasisForwardRate2(Y$27,$E37,$F37,InterestRatesTrigger)</f>
        <v>#VALUE!</v>
      </c>
      <c r="Z37" s="128" t="e">
        <f>_xll.qlTenorBasisForwardRate2(Z$27,$E37,$F37,InterestRatesTrigger)</f>
        <v>#VALUE!</v>
      </c>
      <c r="AA37" s="128" t="e">
        <f>_xll.qlTenorBasisForwardRate2(AA$27,$E37,$F37,InterestRatesTrigger)</f>
        <v>#VALUE!</v>
      </c>
      <c r="AB37" s="139" t="e">
        <f>_xll.qlTenorBasisForwardRate2(AB$27,$E37,$F37,InterestRatesTrigger)</f>
        <v>#VALUE!</v>
      </c>
      <c r="AC37" s="139">
        <f>'12MSynthDepo_used'!AA16</f>
        <v>1.3738010579990498E-3</v>
      </c>
      <c r="BC37" s="178">
        <f>_xll.qlCalendarAdvance(Calendar,BC36,"1d","mf",,Trigger)</f>
        <v>42324</v>
      </c>
      <c r="BD37" s="41">
        <f>_xll.qlDayCounterYearFraction(DayCounter,SettlementDate,BC37,,,Trigger)</f>
        <v>0.125</v>
      </c>
      <c r="BE37" s="47" t="e">
        <f>_xll.qlPolynomialFunctionValue(BE$1,$BD37,AllTriggers)</f>
        <v>#VALUE!</v>
      </c>
      <c r="BF37" s="47" t="e">
        <f>_xll.qlPolynomialFunctionValue(BF$1,$BD37,AllTriggers)</f>
        <v>#VALUE!</v>
      </c>
      <c r="BG37" s="47" t="e">
        <f>_xll.qlPolynomialFunctionValue(BG$1,$BD37,AllTriggers)</f>
        <v>#VALUE!</v>
      </c>
      <c r="BH37" s="47" t="e">
        <f>_xll.qlPolynomialFunctionValue(BH$1,$BD37,AllTriggers)</f>
        <v>#VALUE!</v>
      </c>
      <c r="BI37" s="47" t="e">
        <f>_xll.qlPolynomialFunctionValue(BI$1,$BD37,AllTriggers)</f>
        <v>#VALUE!</v>
      </c>
      <c r="BJ37" s="47" t="e">
        <f>_xll.qlPolynomialFunctionValue(BJ$1,$BD37,AllTriggers)</f>
        <v>#VALUE!</v>
      </c>
      <c r="BK37" s="47" t="e">
        <f>_xll.qlPolynomialFunctionValue(BK$1,$BD37,AllTriggers)</f>
        <v>#VALUE!</v>
      </c>
      <c r="BL37" s="47" t="e">
        <f>_xll.qlPolynomialFunctionValue(BL$1,$BD37,AllTriggers)</f>
        <v>#VALUE!</v>
      </c>
      <c r="BM37" s="47" t="e">
        <f>_xll.qlPolynomialFunctionValue(BM$1,$BD37,AllTriggers)</f>
        <v>#VALUE!</v>
      </c>
      <c r="BN37" s="47" t="e">
        <f>_xll.qlPolynomialFunctionValue(BN$1,$BD37,AllTriggers)</f>
        <v>#VALUE!</v>
      </c>
      <c r="BO37" s="47" t="e">
        <f>_xll.qlPolynomialFunctionValue(BO$1,$BD37,AllTriggers)</f>
        <v>#VALUE!</v>
      </c>
      <c r="BP37" s="47" t="e">
        <f>_xll.qlPolynomialFunctionValue(BP$1,$BD37,AllTriggers)</f>
        <v>#VALUE!</v>
      </c>
      <c r="BQ37" s="47">
        <f>_xll.qlPolynomialFunctionValue('12MSynthDepo_used'!$P$18,BD37,AllTriggers)</f>
        <v>2.9046201571424927E-3</v>
      </c>
    </row>
    <row r="38" spans="3:69" ht="12" customHeight="1" x14ac:dyDescent="0.2">
      <c r="C38" s="19">
        <v>0</v>
      </c>
      <c r="D38" s="48" t="s">
        <v>27</v>
      </c>
      <c r="E38" s="177">
        <f>_xll.qlCalendarAdvance(Calendar,SettlementDate,C38&amp;"M","mf",TRUE,Trigger)</f>
        <v>42279</v>
      </c>
      <c r="F38" s="246">
        <f>_xll.qlCalendarAdvance(Calendar,SettlementDate,D38,"Following",,Trigger)</f>
        <v>42293</v>
      </c>
      <c r="G38" s="138" t="e">
        <f>_xll.qlTenorBasisForwardRate2(G$27,$E38,$F38,InterestRatesTrigger)</f>
        <v>#VALUE!</v>
      </c>
      <c r="H38" s="128" t="e">
        <f>_xll.qlTenorBasisForwardRate2(H$27,$E38,$F38,InterestRatesTrigger)</f>
        <v>#VALUE!</v>
      </c>
      <c r="S38" s="128" t="e">
        <f>_xll.qlTenorBasisForwardRate2(S$27,$E38,$F38,InterestRatesTrigger)</f>
        <v>#VALUE!</v>
      </c>
      <c r="T38" s="139" t="e">
        <f>_xll.qlTenorBasisForwardRate2(T$27,$E38,$F38,InterestRatesTrigger)</f>
        <v>#VALUE!</v>
      </c>
      <c r="U38" s="138" t="e">
        <f>_xll.qlTenorBasisForwardRate2(U$27,$E38,$F38,InterestRatesTrigger)</f>
        <v>#VALUE!</v>
      </c>
      <c r="V38" s="128" t="e">
        <f>_xll.qlTenorBasisForwardRate2(V$27,$E38,$F38,InterestRatesTrigger)</f>
        <v>#VALUE!</v>
      </c>
      <c r="W38" s="128" t="e">
        <f>_xll.qlTenorBasisForwardRate2(W$27,$E38,$F38,InterestRatesTrigger)</f>
        <v>#VALUE!</v>
      </c>
      <c r="X38" s="139" t="e">
        <f>_xll.qlTenorBasisForwardRate2(X$27,$E38,$F38,InterestRatesTrigger)</f>
        <v>#VALUE!</v>
      </c>
      <c r="Y38" s="138" t="e">
        <f>_xll.qlTenorBasisForwardRate2(Y$27,$E38,$F38,InterestRatesTrigger)</f>
        <v>#VALUE!</v>
      </c>
      <c r="Z38" s="128" t="e">
        <f>_xll.qlTenorBasisForwardRate2(Z$27,$E38,$F38,InterestRatesTrigger)</f>
        <v>#VALUE!</v>
      </c>
      <c r="AA38" s="128" t="e">
        <f>_xll.qlTenorBasisForwardRate2(AA$27,$E38,$F38,InterestRatesTrigger)</f>
        <v>#VALUE!</v>
      </c>
      <c r="AB38" s="139" t="e">
        <f>_xll.qlTenorBasisForwardRate2(AB$27,$E38,$F38,InterestRatesTrigger)</f>
        <v>#VALUE!</v>
      </c>
      <c r="AC38" s="139">
        <f>'12MSynthDepo_used'!AA17</f>
        <v>1.3787781166271376E-3</v>
      </c>
      <c r="BC38" s="178">
        <f>_xll.qlCalendarAdvance(Calendar,BC37,"1d","mf",,Trigger)</f>
        <v>42325</v>
      </c>
      <c r="BD38" s="41">
        <f>_xll.qlDayCounterYearFraction(DayCounter,SettlementDate,BC38,,,Trigger)</f>
        <v>0.12777777777777777</v>
      </c>
      <c r="BE38" s="47" t="e">
        <f>_xll.qlPolynomialFunctionValue(BE$1,$BD38,AllTriggers)</f>
        <v>#VALUE!</v>
      </c>
      <c r="BF38" s="47" t="e">
        <f>_xll.qlPolynomialFunctionValue(BF$1,$BD38,AllTriggers)</f>
        <v>#VALUE!</v>
      </c>
      <c r="BG38" s="47" t="e">
        <f>_xll.qlPolynomialFunctionValue(BG$1,$BD38,AllTriggers)</f>
        <v>#VALUE!</v>
      </c>
      <c r="BH38" s="47" t="e">
        <f>_xll.qlPolynomialFunctionValue(BH$1,$BD38,AllTriggers)</f>
        <v>#VALUE!</v>
      </c>
      <c r="BI38" s="47" t="e">
        <f>_xll.qlPolynomialFunctionValue(BI$1,$BD38,AllTriggers)</f>
        <v>#VALUE!</v>
      </c>
      <c r="BJ38" s="47" t="e">
        <f>_xll.qlPolynomialFunctionValue(BJ$1,$BD38,AllTriggers)</f>
        <v>#VALUE!</v>
      </c>
      <c r="BK38" s="47" t="e">
        <f>_xll.qlPolynomialFunctionValue(BK$1,$BD38,AllTriggers)</f>
        <v>#VALUE!</v>
      </c>
      <c r="BL38" s="47" t="e">
        <f>_xll.qlPolynomialFunctionValue(BL$1,$BD38,AllTriggers)</f>
        <v>#VALUE!</v>
      </c>
      <c r="BM38" s="47" t="e">
        <f>_xll.qlPolynomialFunctionValue(BM$1,$BD38,AllTriggers)</f>
        <v>#VALUE!</v>
      </c>
      <c r="BN38" s="47" t="e">
        <f>_xll.qlPolynomialFunctionValue(BN$1,$BD38,AllTriggers)</f>
        <v>#VALUE!</v>
      </c>
      <c r="BO38" s="47" t="e">
        <f>_xll.qlPolynomialFunctionValue(BO$1,$BD38,AllTriggers)</f>
        <v>#VALUE!</v>
      </c>
      <c r="BP38" s="47" t="e">
        <f>_xll.qlPolynomialFunctionValue(BP$1,$BD38,AllTriggers)</f>
        <v>#VALUE!</v>
      </c>
      <c r="BQ38" s="47">
        <f>_xll.qlPolynomialFunctionValue('12MSynthDepo_used'!$P$18,BD38,AllTriggers)</f>
        <v>2.9061415405539888E-3</v>
      </c>
    </row>
    <row r="39" spans="3:69" x14ac:dyDescent="0.2">
      <c r="C39" s="19">
        <v>0</v>
      </c>
      <c r="D39" s="48" t="s">
        <v>28</v>
      </c>
      <c r="E39" s="177">
        <f>_xll.qlCalendarAdvance(Calendar,SettlementDate,C39&amp;"M","mf",TRUE,Trigger)</f>
        <v>42279</v>
      </c>
      <c r="F39" s="246">
        <f>_xll.qlCalendarAdvance(Calendar,SettlementDate,D39,"Following",,Trigger)</f>
        <v>42300</v>
      </c>
      <c r="G39" s="138" t="e">
        <f>_xll.qlTenorBasisForwardRate2(G$27,$E39,$F39,InterestRatesTrigger)</f>
        <v>#VALUE!</v>
      </c>
      <c r="H39" s="128" t="e">
        <f>_xll.qlTenorBasisForwardRate2(H$27,$E39,$F39,InterestRatesTrigger)</f>
        <v>#VALUE!</v>
      </c>
      <c r="S39" s="128" t="e">
        <f>_xll.qlTenorBasisForwardRate2(S$27,$E39,$F39,InterestRatesTrigger)</f>
        <v>#VALUE!</v>
      </c>
      <c r="T39" s="139" t="e">
        <f>_xll.qlTenorBasisForwardRate2(T$27,$E39,$F39,InterestRatesTrigger)</f>
        <v>#VALUE!</v>
      </c>
      <c r="U39" s="138" t="e">
        <f>_xll.qlTenorBasisForwardRate2(U$27,$E39,$F39,InterestRatesTrigger)</f>
        <v>#VALUE!</v>
      </c>
      <c r="V39" s="128" t="e">
        <f>_xll.qlTenorBasisForwardRate2(V$27,$E39,$F39,InterestRatesTrigger)</f>
        <v>#VALUE!</v>
      </c>
      <c r="W39" s="128" t="e">
        <f>_xll.qlTenorBasisForwardRate2(W$27,$E39,$F39,InterestRatesTrigger)</f>
        <v>#VALUE!</v>
      </c>
      <c r="X39" s="139" t="e">
        <f>_xll.qlTenorBasisForwardRate2(X$27,$E39,$F39,InterestRatesTrigger)</f>
        <v>#VALUE!</v>
      </c>
      <c r="Y39" s="138" t="e">
        <f>_xll.qlTenorBasisForwardRate2(Y$27,$E39,$F39,InterestRatesTrigger)</f>
        <v>#VALUE!</v>
      </c>
      <c r="Z39" s="128" t="e">
        <f>_xll.qlTenorBasisForwardRate2(Z$27,$E39,$F39,InterestRatesTrigger)</f>
        <v>#VALUE!</v>
      </c>
      <c r="AA39" s="128" t="e">
        <f>_xll.qlTenorBasisForwardRate2(AA$27,$E39,$F39,InterestRatesTrigger)</f>
        <v>#VALUE!</v>
      </c>
      <c r="AB39" s="139" t="e">
        <f>_xll.qlTenorBasisForwardRate2(AB$27,$E39,$F39,InterestRatesTrigger)</f>
        <v>#VALUE!</v>
      </c>
      <c r="AC39" s="139">
        <f>'12MSynthDepo_used'!AA18</f>
        <v>1.3837807854663201E-3</v>
      </c>
      <c r="BC39" s="178">
        <f>_xll.qlCalendarAdvance(Calendar,BC38,"1d","mf",,Trigger)</f>
        <v>42326</v>
      </c>
      <c r="BD39" s="41">
        <f>_xll.qlDayCounterYearFraction(DayCounter,SettlementDate,BC39,,,Trigger)</f>
        <v>0.13055555555555556</v>
      </c>
      <c r="BE39" s="47" t="e">
        <f>_xll.qlPolynomialFunctionValue(BE$1,$BD39,AllTriggers)</f>
        <v>#VALUE!</v>
      </c>
      <c r="BF39" s="47" t="e">
        <f>_xll.qlPolynomialFunctionValue(BF$1,$BD39,AllTriggers)</f>
        <v>#VALUE!</v>
      </c>
      <c r="BG39" s="47" t="e">
        <f>_xll.qlPolynomialFunctionValue(BG$1,$BD39,AllTriggers)</f>
        <v>#VALUE!</v>
      </c>
      <c r="BH39" s="47" t="e">
        <f>_xll.qlPolynomialFunctionValue(BH$1,$BD39,AllTriggers)</f>
        <v>#VALUE!</v>
      </c>
      <c r="BI39" s="47" t="e">
        <f>_xll.qlPolynomialFunctionValue(BI$1,$BD39,AllTriggers)</f>
        <v>#VALUE!</v>
      </c>
      <c r="BJ39" s="47" t="e">
        <f>_xll.qlPolynomialFunctionValue(BJ$1,$BD39,AllTriggers)</f>
        <v>#VALUE!</v>
      </c>
      <c r="BK39" s="47" t="e">
        <f>_xll.qlPolynomialFunctionValue(BK$1,$BD39,AllTriggers)</f>
        <v>#VALUE!</v>
      </c>
      <c r="BL39" s="47" t="e">
        <f>_xll.qlPolynomialFunctionValue(BL$1,$BD39,AllTriggers)</f>
        <v>#VALUE!</v>
      </c>
      <c r="BM39" s="47" t="e">
        <f>_xll.qlPolynomialFunctionValue(BM$1,$BD39,AllTriggers)</f>
        <v>#VALUE!</v>
      </c>
      <c r="BN39" s="47" t="e">
        <f>_xll.qlPolynomialFunctionValue(BN$1,$BD39,AllTriggers)</f>
        <v>#VALUE!</v>
      </c>
      <c r="BO39" s="47" t="e">
        <f>_xll.qlPolynomialFunctionValue(BO$1,$BD39,AllTriggers)</f>
        <v>#VALUE!</v>
      </c>
      <c r="BP39" s="47" t="e">
        <f>_xll.qlPolynomialFunctionValue(BP$1,$BD39,AllTriggers)</f>
        <v>#VALUE!</v>
      </c>
      <c r="BQ39" s="47">
        <f>_xll.qlPolynomialFunctionValue('12MSynthDepo_used'!$P$18,BD39,AllTriggers)</f>
        <v>2.907664353833828E-3</v>
      </c>
    </row>
    <row r="40" spans="3:69" x14ac:dyDescent="0.2">
      <c r="C40" s="19">
        <v>0</v>
      </c>
      <c r="D40" s="129" t="s">
        <v>22</v>
      </c>
      <c r="E40" s="179">
        <f>_xll.qlCalendarAdvance(Calendar,SettlementDate,C40&amp;"M","mf",TRUE,Trigger)</f>
        <v>42279</v>
      </c>
      <c r="F40" s="247">
        <f>_xll.qlCalendarAdvance(Calendar,SettlementDate,D40,"mf",TRUE,Trigger)</f>
        <v>42310</v>
      </c>
      <c r="G40" s="140" t="e">
        <f>_xll.qlTenorBasisForwardRate2(G$27,$E40,$F40,InterestRatesTrigger)</f>
        <v>#VALUE!</v>
      </c>
      <c r="H40" s="131" t="e">
        <f>_xll.qlTenorBasisForwardRate2(H$27,$E40,$F40,InterestRatesTrigger)</f>
        <v>#VALUE!</v>
      </c>
      <c r="S40" s="131" t="e">
        <f>_xll.qlTenorBasisForwardRate2(S$27,$E40,$F40,InterestRatesTrigger)</f>
        <v>#VALUE!</v>
      </c>
      <c r="T40" s="141" t="e">
        <f>_xll.qlTenorBasisForwardRate2(T$27,$E40,$F40,InterestRatesTrigger)</f>
        <v>#VALUE!</v>
      </c>
      <c r="U40" s="140" t="e">
        <f>_xll.qlTenorBasisForwardRate2(U$27,$E40,$F40,InterestRatesTrigger)</f>
        <v>#VALUE!</v>
      </c>
      <c r="V40" s="131" t="e">
        <f>_xll.qlTenorBasisForwardRate2(V$27,$E40,$F40,InterestRatesTrigger)</f>
        <v>#VALUE!</v>
      </c>
      <c r="W40" s="131" t="e">
        <f>_xll.qlTenorBasisForwardRate2(W$27,$E40,$F40,InterestRatesTrigger)</f>
        <v>#VALUE!</v>
      </c>
      <c r="X40" s="141" t="e">
        <f>_xll.qlTenorBasisForwardRate2(X$27,$E40,$F40,InterestRatesTrigger)</f>
        <v>#VALUE!</v>
      </c>
      <c r="Y40" s="140" t="e">
        <f>_xll.qlTenorBasisForwardRate2(Y$27,$E40,$F40,InterestRatesTrigger)</f>
        <v>#VALUE!</v>
      </c>
      <c r="Z40" s="131" t="e">
        <f>_xll.qlTenorBasisForwardRate2(Z$27,$E40,$F40,InterestRatesTrigger)</f>
        <v>#VALUE!</v>
      </c>
      <c r="AA40" s="131" t="e">
        <f>_xll.qlTenorBasisForwardRate2(AA$27,$E40,$F40,InterestRatesTrigger)</f>
        <v>#VALUE!</v>
      </c>
      <c r="AB40" s="141" t="e">
        <f>_xll.qlTenorBasisForwardRate2(AB$27,$E40,$F40,InterestRatesTrigger)</f>
        <v>#VALUE!</v>
      </c>
      <c r="AC40" s="141">
        <f>'12MSynthDepo_used'!AA19</f>
        <v>1.4209783288509834E-3</v>
      </c>
      <c r="BC40" s="178">
        <f>_xll.qlCalendarAdvance(Calendar,BC39,"1d","mf",,Trigger)</f>
        <v>42327</v>
      </c>
      <c r="BD40" s="41">
        <f>_xll.qlDayCounterYearFraction(DayCounter,SettlementDate,BC40,,,Trigger)</f>
        <v>0.13333333333333333</v>
      </c>
      <c r="BE40" s="47" t="e">
        <f>_xll.qlPolynomialFunctionValue(BE$1,$BD40,AllTriggers)</f>
        <v>#VALUE!</v>
      </c>
      <c r="BF40" s="47" t="e">
        <f>_xll.qlPolynomialFunctionValue(BF$1,$BD40,AllTriggers)</f>
        <v>#VALUE!</v>
      </c>
      <c r="BG40" s="47" t="e">
        <f>_xll.qlPolynomialFunctionValue(BG$1,$BD40,AllTriggers)</f>
        <v>#VALUE!</v>
      </c>
      <c r="BH40" s="47" t="e">
        <f>_xll.qlPolynomialFunctionValue(BH$1,$BD40,AllTriggers)</f>
        <v>#VALUE!</v>
      </c>
      <c r="BI40" s="47" t="e">
        <f>_xll.qlPolynomialFunctionValue(BI$1,$BD40,AllTriggers)</f>
        <v>#VALUE!</v>
      </c>
      <c r="BJ40" s="47" t="e">
        <f>_xll.qlPolynomialFunctionValue(BJ$1,$BD40,AllTriggers)</f>
        <v>#VALUE!</v>
      </c>
      <c r="BK40" s="47" t="e">
        <f>_xll.qlPolynomialFunctionValue(BK$1,$BD40,AllTriggers)</f>
        <v>#VALUE!</v>
      </c>
      <c r="BL40" s="47" t="e">
        <f>_xll.qlPolynomialFunctionValue(BL$1,$BD40,AllTriggers)</f>
        <v>#VALUE!</v>
      </c>
      <c r="BM40" s="47" t="e">
        <f>_xll.qlPolynomialFunctionValue(BM$1,$BD40,AllTriggers)</f>
        <v>#VALUE!</v>
      </c>
      <c r="BN40" s="47" t="e">
        <f>_xll.qlPolynomialFunctionValue(BN$1,$BD40,AllTriggers)</f>
        <v>#VALUE!</v>
      </c>
      <c r="BO40" s="47" t="e">
        <f>_xll.qlPolynomialFunctionValue(BO$1,$BD40,AllTriggers)</f>
        <v>#VALUE!</v>
      </c>
      <c r="BP40" s="47" t="e">
        <f>_xll.qlPolynomialFunctionValue(BP$1,$BD40,AllTriggers)</f>
        <v>#VALUE!</v>
      </c>
      <c r="BQ40" s="47">
        <f>_xll.qlPolynomialFunctionValue('12MSynthDepo_used'!$P$18,BD40,AllTriggers)</f>
        <v>2.9091885917319465E-3</v>
      </c>
    </row>
    <row r="41" spans="3:69" x14ac:dyDescent="0.2">
      <c r="C41" s="19">
        <v>0</v>
      </c>
      <c r="D41" s="48" t="s">
        <v>29</v>
      </c>
      <c r="E41" s="177">
        <f>_xll.qlCalendarAdvance(Calendar,SettlementDate,C41&amp;"M","mf",TRUE,Trigger)</f>
        <v>42279</v>
      </c>
      <c r="F41" s="246">
        <f>_xll.qlCalendarAdvance(Calendar,SettlementDate,D41,"mf",TRUE,Trigger)</f>
        <v>42340</v>
      </c>
      <c r="G41" s="138" t="e">
        <f>_xll.qlTenorBasisForwardRate2(G$27,$E41,$F41,InterestRatesTrigger)</f>
        <v>#VALUE!</v>
      </c>
      <c r="H41" s="128" t="e">
        <f>_xll.qlTenorBasisForwardRate2(H$27,$E41,$F41,InterestRatesTrigger)</f>
        <v>#VALUE!</v>
      </c>
      <c r="S41" s="128" t="e">
        <f>_xll.qlTenorBasisForwardRate2(S$27,$E41,$F41,InterestRatesTrigger)</f>
        <v>#VALUE!</v>
      </c>
      <c r="T41" s="139" t="e">
        <f>_xll.qlTenorBasisForwardRate2(T$27,$E41,$F41,InterestRatesTrigger)</f>
        <v>#VALUE!</v>
      </c>
      <c r="U41" s="138" t="e">
        <f>_xll.qlTenorBasisForwardRate2(U$27,$E41,$F41,InterestRatesTrigger)</f>
        <v>#VALUE!</v>
      </c>
      <c r="V41" s="128" t="e">
        <f>_xll.qlTenorBasisForwardRate2(V$27,$E41,$F41,InterestRatesTrigger)</f>
        <v>#VALUE!</v>
      </c>
      <c r="W41" s="128" t="e">
        <f>_xll.qlTenorBasisForwardRate2(W$27,$E41,$F41,InterestRatesTrigger)</f>
        <v>#VALUE!</v>
      </c>
      <c r="X41" s="139" t="e">
        <f>_xll.qlTenorBasisForwardRate2(X$27,$E41,$F41,InterestRatesTrigger)</f>
        <v>#VALUE!</v>
      </c>
      <c r="Y41" s="138" t="e">
        <f>_xll.qlTenorBasisForwardRate2(Y$27,$E41,$F41,InterestRatesTrigger)</f>
        <v>#VALUE!</v>
      </c>
      <c r="Z41" s="128" t="e">
        <f>_xll.qlTenorBasisForwardRate2(Z$27,$E41,$F41,InterestRatesTrigger)</f>
        <v>#VALUE!</v>
      </c>
      <c r="AA41" s="128" t="e">
        <f>_xll.qlTenorBasisForwardRate2(AA$27,$E41,$F41,InterestRatesTrigger)</f>
        <v>#VALUE!</v>
      </c>
      <c r="AB41" s="139" t="e">
        <f>_xll.qlTenorBasisForwardRate2(AB$27,$E41,$F41,InterestRatesTrigger)</f>
        <v>#VALUE!</v>
      </c>
      <c r="AC41" s="139">
        <f>'12MSynthDepo_used'!AA20</f>
        <v>1.4105117758327272E-3</v>
      </c>
      <c r="BC41" s="178">
        <f>_xll.qlCalendarAdvance(Calendar,BC40,"1d","mf",,Trigger)</f>
        <v>42328</v>
      </c>
      <c r="BD41" s="41">
        <f>_xll.qlDayCounterYearFraction(DayCounter,SettlementDate,BC41,,,Trigger)</f>
        <v>0.1361111111111111</v>
      </c>
      <c r="BE41" s="47" t="e">
        <f>_xll.qlPolynomialFunctionValue(BE$1,$BD41,AllTriggers)</f>
        <v>#VALUE!</v>
      </c>
      <c r="BF41" s="47" t="e">
        <f>_xll.qlPolynomialFunctionValue(BF$1,$BD41,AllTriggers)</f>
        <v>#VALUE!</v>
      </c>
      <c r="BG41" s="47" t="e">
        <f>_xll.qlPolynomialFunctionValue(BG$1,$BD41,AllTriggers)</f>
        <v>#VALUE!</v>
      </c>
      <c r="BH41" s="47" t="e">
        <f>_xll.qlPolynomialFunctionValue(BH$1,$BD41,AllTriggers)</f>
        <v>#VALUE!</v>
      </c>
      <c r="BI41" s="47" t="e">
        <f>_xll.qlPolynomialFunctionValue(BI$1,$BD41,AllTriggers)</f>
        <v>#VALUE!</v>
      </c>
      <c r="BJ41" s="47" t="e">
        <f>_xll.qlPolynomialFunctionValue(BJ$1,$BD41,AllTriggers)</f>
        <v>#VALUE!</v>
      </c>
      <c r="BK41" s="47" t="e">
        <f>_xll.qlPolynomialFunctionValue(BK$1,$BD41,AllTriggers)</f>
        <v>#VALUE!</v>
      </c>
      <c r="BL41" s="47" t="e">
        <f>_xll.qlPolynomialFunctionValue(BL$1,$BD41,AllTriggers)</f>
        <v>#VALUE!</v>
      </c>
      <c r="BM41" s="47" t="e">
        <f>_xll.qlPolynomialFunctionValue(BM$1,$BD41,AllTriggers)</f>
        <v>#VALUE!</v>
      </c>
      <c r="BN41" s="47" t="e">
        <f>_xll.qlPolynomialFunctionValue(BN$1,$BD41,AllTriggers)</f>
        <v>#VALUE!</v>
      </c>
      <c r="BO41" s="47" t="e">
        <f>_xll.qlPolynomialFunctionValue(BO$1,$BD41,AllTriggers)</f>
        <v>#VALUE!</v>
      </c>
      <c r="BP41" s="47" t="e">
        <f>_xll.qlPolynomialFunctionValue(BP$1,$BD41,AllTriggers)</f>
        <v>#VALUE!</v>
      </c>
      <c r="BQ41" s="47">
        <f>_xll.qlPolynomialFunctionValue('12MSynthDepo_used'!$P$18,BD41,AllTriggers)</f>
        <v>2.9107142489982803E-3</v>
      </c>
    </row>
    <row r="42" spans="3:69" x14ac:dyDescent="0.2">
      <c r="C42" s="19">
        <v>0</v>
      </c>
      <c r="D42" s="48" t="s">
        <v>23</v>
      </c>
      <c r="E42" s="177">
        <f>_xll.qlCalendarAdvance(Calendar,SettlementDate,C42&amp;"M","mf",TRUE,Trigger)</f>
        <v>42279</v>
      </c>
      <c r="F42" s="246">
        <f>_xll.qlCalendarAdvance(Calendar,SettlementDate,D42,"mf",TRUE,Trigger)</f>
        <v>42373</v>
      </c>
      <c r="G42" s="138" t="e">
        <f>_xll.qlTenorBasisForwardRate2(G$27,$E42,$F42,InterestRatesTrigger)</f>
        <v>#VALUE!</v>
      </c>
      <c r="H42" s="128" t="e">
        <f>_xll.qlTenorBasisForwardRate2(H$27,$E42,$F42,InterestRatesTrigger)</f>
        <v>#VALUE!</v>
      </c>
      <c r="S42" s="128" t="e">
        <f>_xll.qlTenorBasisForwardRate2(S$27,$E42,$F42,InterestRatesTrigger)</f>
        <v>#VALUE!</v>
      </c>
      <c r="T42" s="139" t="e">
        <f>_xll.qlTenorBasisForwardRate2(T$27,$E42,$F42,InterestRatesTrigger)</f>
        <v>#VALUE!</v>
      </c>
      <c r="U42" s="138" t="e">
        <f>_xll.qlTenorBasisForwardRate2(U$27,$E42,$F42,InterestRatesTrigger)</f>
        <v>#VALUE!</v>
      </c>
      <c r="V42" s="128" t="e">
        <f>_xll.qlTenorBasisForwardRate2(V$27,$E42,$F42,InterestRatesTrigger)</f>
        <v>#VALUE!</v>
      </c>
      <c r="W42" s="128" t="e">
        <f>_xll.qlTenorBasisForwardRate2(W$27,$E42,$F42,InterestRatesTrigger)</f>
        <v>#VALUE!</v>
      </c>
      <c r="X42" s="139" t="e">
        <f>_xll.qlTenorBasisForwardRate2(X$27,$E42,$F42,InterestRatesTrigger)</f>
        <v>#VALUE!</v>
      </c>
      <c r="Y42" s="138" t="e">
        <f>_xll.qlTenorBasisForwardRate2(Y$27,$E42,$F42,InterestRatesTrigger)</f>
        <v>#VALUE!</v>
      </c>
      <c r="Z42" s="128" t="e">
        <f>_xll.qlTenorBasisForwardRate2(Z$27,$E42,$F42,InterestRatesTrigger)</f>
        <v>#VALUE!</v>
      </c>
      <c r="AA42" s="128" t="e">
        <f>_xll.qlTenorBasisForwardRate2(AA$27,$E42,$F42,InterestRatesTrigger)</f>
        <v>#VALUE!</v>
      </c>
      <c r="AB42" s="139" t="e">
        <f>_xll.qlTenorBasisForwardRate2(AB$27,$E42,$F42,InterestRatesTrigger)</f>
        <v>#VALUE!</v>
      </c>
      <c r="AC42" s="139">
        <f>'12MSynthDepo_used'!AA21</f>
        <v>1.4187147949629164E-3</v>
      </c>
      <c r="BC42" s="178">
        <f>_xll.qlCalendarAdvance(Calendar,BC41,"1d","mf",,Trigger)</f>
        <v>42331</v>
      </c>
      <c r="BD42" s="41">
        <f>_xll.qlDayCounterYearFraction(DayCounter,SettlementDate,BC42,,,Trigger)</f>
        <v>0.14444444444444443</v>
      </c>
      <c r="BE42" s="47" t="e">
        <f>_xll.qlPolynomialFunctionValue(BE$1,$BD42,AllTriggers)</f>
        <v>#VALUE!</v>
      </c>
      <c r="BF42" s="47" t="e">
        <f>_xll.qlPolynomialFunctionValue(BF$1,$BD42,AllTriggers)</f>
        <v>#VALUE!</v>
      </c>
      <c r="BG42" s="47" t="e">
        <f>_xll.qlPolynomialFunctionValue(BG$1,$BD42,AllTriggers)</f>
        <v>#VALUE!</v>
      </c>
      <c r="BH42" s="47" t="e">
        <f>_xll.qlPolynomialFunctionValue(BH$1,$BD42,AllTriggers)</f>
        <v>#VALUE!</v>
      </c>
      <c r="BI42" s="47" t="e">
        <f>_xll.qlPolynomialFunctionValue(BI$1,$BD42,AllTriggers)</f>
        <v>#VALUE!</v>
      </c>
      <c r="BJ42" s="47" t="e">
        <f>_xll.qlPolynomialFunctionValue(BJ$1,$BD42,AllTriggers)</f>
        <v>#VALUE!</v>
      </c>
      <c r="BK42" s="47" t="e">
        <f>_xll.qlPolynomialFunctionValue(BK$1,$BD42,AllTriggers)</f>
        <v>#VALUE!</v>
      </c>
      <c r="BL42" s="47" t="e">
        <f>_xll.qlPolynomialFunctionValue(BL$1,$BD42,AllTriggers)</f>
        <v>#VALUE!</v>
      </c>
      <c r="BM42" s="47" t="e">
        <f>_xll.qlPolynomialFunctionValue(BM$1,$BD42,AllTriggers)</f>
        <v>#VALUE!</v>
      </c>
      <c r="BN42" s="47" t="e">
        <f>_xll.qlPolynomialFunctionValue(BN$1,$BD42,AllTriggers)</f>
        <v>#VALUE!</v>
      </c>
      <c r="BO42" s="47" t="e">
        <f>_xll.qlPolynomialFunctionValue(BO$1,$BD42,AllTriggers)</f>
        <v>#VALUE!</v>
      </c>
      <c r="BP42" s="47" t="e">
        <f>_xll.qlPolynomialFunctionValue(BP$1,$BD42,AllTriggers)</f>
        <v>#VALUE!</v>
      </c>
      <c r="BQ42" s="47">
        <f>_xll.qlPolynomialFunctionValue('12MSynthDepo_used'!$P$18,BD42,AllTriggers)</f>
        <v>2.9152996845059394E-3</v>
      </c>
    </row>
    <row r="43" spans="3:69" ht="11.25" customHeight="1" x14ac:dyDescent="0.2">
      <c r="C43" s="19">
        <v>0</v>
      </c>
      <c r="D43" s="48" t="s">
        <v>30</v>
      </c>
      <c r="E43" s="177">
        <f>_xll.qlCalendarAdvance(Calendar,SettlementDate,C43&amp;"M","mf",TRUE,Trigger)</f>
        <v>42279</v>
      </c>
      <c r="F43" s="271">
        <f>_xll.qlCalendarAdvance(Calendar,SettlementDate,D43,"mf",TRUE,Trigger)</f>
        <v>42402</v>
      </c>
      <c r="G43" s="138" t="e">
        <f>_xll.qlTenorBasisForwardRate2(G$27,$E43,$F43,InterestRatesTrigger)</f>
        <v>#VALUE!</v>
      </c>
      <c r="H43" s="128" t="e">
        <f>_xll.qlTenorBasisForwardRate2(H$27,$E43,$F43,InterestRatesTrigger)</f>
        <v>#VALUE!</v>
      </c>
      <c r="S43" s="128" t="e">
        <f>_xll.qlTenorBasisForwardRate2(S$27,$E43,$F43,InterestRatesTrigger)</f>
        <v>#VALUE!</v>
      </c>
      <c r="T43" s="139" t="e">
        <f>_xll.qlTenorBasisForwardRate2(T$27,$E43,$F43,InterestRatesTrigger)</f>
        <v>#VALUE!</v>
      </c>
      <c r="U43" s="138" t="e">
        <f>_xll.qlTenorBasisForwardRate2(U$27,$E43,$F43,InterestRatesTrigger)</f>
        <v>#VALUE!</v>
      </c>
      <c r="V43" s="128" t="e">
        <f>_xll.qlTenorBasisForwardRate2(V$27,$E43,$F43,InterestRatesTrigger)</f>
        <v>#VALUE!</v>
      </c>
      <c r="W43" s="128" t="e">
        <f>_xll.qlTenorBasisForwardRate2(W$27,$E43,$F43,InterestRatesTrigger)</f>
        <v>#VALUE!</v>
      </c>
      <c r="X43" s="139" t="e">
        <f>_xll.qlTenorBasisForwardRate2(X$27,$E43,$F43,InterestRatesTrigger)</f>
        <v>#VALUE!</v>
      </c>
      <c r="Y43" s="138" t="e">
        <f>_xll.qlTenorBasisForwardRate2(Y$27,$E43,$F43,InterestRatesTrigger)</f>
        <v>#VALUE!</v>
      </c>
      <c r="Z43" s="128" t="e">
        <f>_xll.qlTenorBasisForwardRate2(Z$27,$E43,$F43,InterestRatesTrigger)</f>
        <v>#VALUE!</v>
      </c>
      <c r="AA43" s="128" t="e">
        <f>_xll.qlTenorBasisForwardRate2(AA$27,$E43,$F43,InterestRatesTrigger)</f>
        <v>#VALUE!</v>
      </c>
      <c r="AB43" s="139" t="e">
        <f>_xll.qlTenorBasisForwardRate2(AB$27,$E43,$F43,InterestRatesTrigger)</f>
        <v>#VALUE!</v>
      </c>
      <c r="AC43" s="139">
        <f>'12MSynthDepo_used'!AA22</f>
        <v>1.403636717060902E-3</v>
      </c>
      <c r="BC43" s="178">
        <f>_xll.qlCalendarAdvance(Calendar,BC42,"1d","mf",,Trigger)</f>
        <v>42332</v>
      </c>
      <c r="BD43" s="41">
        <f>_xll.qlDayCounterYearFraction(DayCounter,SettlementDate,BC43,,,Trigger)</f>
        <v>0.14722222222222223</v>
      </c>
      <c r="BE43" s="47" t="e">
        <f>_xll.qlPolynomialFunctionValue(BE$1,$BD43,AllTriggers)</f>
        <v>#VALUE!</v>
      </c>
      <c r="BF43" s="47" t="e">
        <f>_xll.qlPolynomialFunctionValue(BF$1,$BD43,AllTriggers)</f>
        <v>#VALUE!</v>
      </c>
      <c r="BG43" s="47" t="e">
        <f>_xll.qlPolynomialFunctionValue(BG$1,$BD43,AllTriggers)</f>
        <v>#VALUE!</v>
      </c>
      <c r="BH43" s="47" t="e">
        <f>_xll.qlPolynomialFunctionValue(BH$1,$BD43,AllTriggers)</f>
        <v>#VALUE!</v>
      </c>
      <c r="BI43" s="47" t="e">
        <f>_xll.qlPolynomialFunctionValue(BI$1,$BD43,AllTriggers)</f>
        <v>#VALUE!</v>
      </c>
      <c r="BJ43" s="47" t="e">
        <f>_xll.qlPolynomialFunctionValue(BJ$1,$BD43,AllTriggers)</f>
        <v>#VALUE!</v>
      </c>
      <c r="BK43" s="47" t="e">
        <f>_xll.qlPolynomialFunctionValue(BK$1,$BD43,AllTriggers)</f>
        <v>#VALUE!</v>
      </c>
      <c r="BL43" s="47" t="e">
        <f>_xll.qlPolynomialFunctionValue(BL$1,$BD43,AllTriggers)</f>
        <v>#VALUE!</v>
      </c>
      <c r="BM43" s="47" t="e">
        <f>_xll.qlPolynomialFunctionValue(BM$1,$BD43,AllTriggers)</f>
        <v>#VALUE!</v>
      </c>
      <c r="BN43" s="47" t="e">
        <f>_xll.qlPolynomialFunctionValue(BN$1,$BD43,AllTriggers)</f>
        <v>#VALUE!</v>
      </c>
      <c r="BO43" s="47" t="e">
        <f>_xll.qlPolynomialFunctionValue(BO$1,$BD43,AllTriggers)</f>
        <v>#VALUE!</v>
      </c>
      <c r="BP43" s="47" t="e">
        <f>_xll.qlPolynomialFunctionValue(BP$1,$BD43,AllTriggers)</f>
        <v>#VALUE!</v>
      </c>
      <c r="BQ43" s="47">
        <f>_xll.qlPolynomialFunctionValue('12MSynthDepo_used'!$P$18,BD43,AllTriggers)</f>
        <v>2.9168309667444987E-3</v>
      </c>
    </row>
    <row r="44" spans="3:69" x14ac:dyDescent="0.2">
      <c r="C44" s="19">
        <v>0</v>
      </c>
      <c r="D44" s="48" t="s">
        <v>31</v>
      </c>
      <c r="E44" s="177">
        <f>_xll.qlCalendarAdvance(Calendar,SettlementDate,C44&amp;"M","mf",TRUE,Trigger)</f>
        <v>42279</v>
      </c>
      <c r="F44" s="271">
        <f>_xll.qlCalendarAdvance(Calendar,SettlementDate,D44,"mf",TRUE,Trigger)</f>
        <v>42431</v>
      </c>
      <c r="G44" s="138" t="e">
        <f>_xll.qlTenorBasisForwardRate2(G$27,$E44,$F44,InterestRatesTrigger)</f>
        <v>#VALUE!</v>
      </c>
      <c r="H44" s="128" t="e">
        <f>_xll.qlTenorBasisForwardRate2(H$27,$E44,$F44,InterestRatesTrigger)</f>
        <v>#VALUE!</v>
      </c>
      <c r="S44" s="128" t="e">
        <f>_xll.qlTenorBasisForwardRate2(S$27,$E44,$F44,InterestRatesTrigger)</f>
        <v>#VALUE!</v>
      </c>
      <c r="T44" s="139" t="e">
        <f>_xll.qlTenorBasisForwardRate2(T$27,$E44,$F44,InterestRatesTrigger)</f>
        <v>#VALUE!</v>
      </c>
      <c r="U44" s="138" t="e">
        <f>_xll.qlTenorBasisForwardRate2(U$27,$E44,$F44,InterestRatesTrigger)</f>
        <v>#VALUE!</v>
      </c>
      <c r="V44" s="128" t="e">
        <f>_xll.qlTenorBasisForwardRate2(V$27,$E44,$F44,InterestRatesTrigger)</f>
        <v>#VALUE!</v>
      </c>
      <c r="W44" s="128" t="e">
        <f>_xll.qlTenorBasisForwardRate2(W$27,$E44,$F44,InterestRatesTrigger)</f>
        <v>#VALUE!</v>
      </c>
      <c r="X44" s="139" t="e">
        <f>_xll.qlTenorBasisForwardRate2(X$27,$E44,$F44,InterestRatesTrigger)</f>
        <v>#VALUE!</v>
      </c>
      <c r="Y44" s="138" t="e">
        <f>_xll.qlTenorBasisForwardRate2(Y$27,$E44,$F44,InterestRatesTrigger)</f>
        <v>#VALUE!</v>
      </c>
      <c r="Z44" s="128" t="e">
        <f>_xll.qlTenorBasisForwardRate2(Z$27,$E44,$F44,InterestRatesTrigger)</f>
        <v>#VALUE!</v>
      </c>
      <c r="AA44" s="128" t="e">
        <f>_xll.qlTenorBasisForwardRate2(AA$27,$E44,$F44,InterestRatesTrigger)</f>
        <v>#VALUE!</v>
      </c>
      <c r="AB44" s="139" t="e">
        <f>_xll.qlTenorBasisForwardRate2(AB$27,$E44,$F44,InterestRatesTrigger)</f>
        <v>#VALUE!</v>
      </c>
      <c r="AC44" s="139">
        <f>'12MSynthDepo_used'!AA23</f>
        <v>1.3902229076634409E-3</v>
      </c>
      <c r="BC44" s="178">
        <f>_xll.qlCalendarAdvance(Calendar,BC43,"1d","mf",,Trigger)</f>
        <v>42333</v>
      </c>
      <c r="BD44" s="41">
        <f>_xll.qlDayCounterYearFraction(DayCounter,SettlementDate,BC44,,,Trigger)</f>
        <v>0.15</v>
      </c>
      <c r="BE44" s="47" t="e">
        <f>_xll.qlPolynomialFunctionValue(BE$1,$BD44,AllTriggers)</f>
        <v>#VALUE!</v>
      </c>
      <c r="BF44" s="47" t="e">
        <f>_xll.qlPolynomialFunctionValue(BF$1,$BD44,AllTriggers)</f>
        <v>#VALUE!</v>
      </c>
      <c r="BG44" s="47" t="e">
        <f>_xll.qlPolynomialFunctionValue(BG$1,$BD44,AllTriggers)</f>
        <v>#VALUE!</v>
      </c>
      <c r="BH44" s="47" t="e">
        <f>_xll.qlPolynomialFunctionValue(BH$1,$BD44,AllTriggers)</f>
        <v>#VALUE!</v>
      </c>
      <c r="BI44" s="47" t="e">
        <f>_xll.qlPolynomialFunctionValue(BI$1,$BD44,AllTriggers)</f>
        <v>#VALUE!</v>
      </c>
      <c r="BJ44" s="47" t="e">
        <f>_xll.qlPolynomialFunctionValue(BJ$1,$BD44,AllTriggers)</f>
        <v>#VALUE!</v>
      </c>
      <c r="BK44" s="47" t="e">
        <f>_xll.qlPolynomialFunctionValue(BK$1,$BD44,AllTriggers)</f>
        <v>#VALUE!</v>
      </c>
      <c r="BL44" s="47" t="e">
        <f>_xll.qlPolynomialFunctionValue(BL$1,$BD44,AllTriggers)</f>
        <v>#VALUE!</v>
      </c>
      <c r="BM44" s="47" t="e">
        <f>_xll.qlPolynomialFunctionValue(BM$1,$BD44,AllTriggers)</f>
        <v>#VALUE!</v>
      </c>
      <c r="BN44" s="47" t="e">
        <f>_xll.qlPolynomialFunctionValue(BN$1,$BD44,AllTriggers)</f>
        <v>#VALUE!</v>
      </c>
      <c r="BO44" s="47" t="e">
        <f>_xll.qlPolynomialFunctionValue(BO$1,$BD44,AllTriggers)</f>
        <v>#VALUE!</v>
      </c>
      <c r="BP44" s="47" t="e">
        <f>_xll.qlPolynomialFunctionValue(BP$1,$BD44,AllTriggers)</f>
        <v>#VALUE!</v>
      </c>
      <c r="BQ44" s="47">
        <f>_xll.qlPolynomialFunctionValue('12MSynthDepo_used'!$P$18,BD44,AllTriggers)</f>
        <v>2.9183636421009559E-3</v>
      </c>
    </row>
    <row r="45" spans="3:69" x14ac:dyDescent="0.2">
      <c r="C45" s="19">
        <v>0</v>
      </c>
      <c r="D45" s="48" t="s">
        <v>24</v>
      </c>
      <c r="E45" s="177">
        <f>_xll.qlCalendarAdvance(Calendar,SettlementDate,C45&amp;"M","mf",TRUE,Trigger)</f>
        <v>42279</v>
      </c>
      <c r="F45" s="271">
        <f>_xll.qlCalendarAdvance(Calendar,SettlementDate,D45,"mf",TRUE,Trigger)</f>
        <v>42464</v>
      </c>
      <c r="G45" s="138" t="e">
        <f>_xll.qlTenorBasisForwardRate2(G$27,$E45,$F45,InterestRatesTrigger)</f>
        <v>#VALUE!</v>
      </c>
      <c r="H45" s="128" t="e">
        <f>_xll.qlTenorBasisForwardRate(H$27,$E45,InterestRatesTrigger)</f>
        <v>#VALUE!</v>
      </c>
      <c r="S45" s="128" t="e">
        <f>_xll.qlTenorBasisForwardRate(S$27,$E45,InterestRatesTrigger)</f>
        <v>#VALUE!</v>
      </c>
      <c r="T45" s="139" t="e">
        <f>_xll.qlTenorBasisForwardRate(T$27,$E45,InterestRatesTrigger)</f>
        <v>#VALUE!</v>
      </c>
      <c r="U45" s="138" t="e">
        <f>_xll.qlTenorBasisForwardRate(U$27,$E45,InterestRatesTrigger)</f>
        <v>#VALUE!</v>
      </c>
      <c r="V45" s="128" t="e">
        <f>_xll.qlTenorBasisForwardRate(V$27,$E45,InterestRatesTrigger)</f>
        <v>#VALUE!</v>
      </c>
      <c r="W45" s="128" t="e">
        <f>_xll.qlTenorBasisForwardRate(W$27,$E45,InterestRatesTrigger)</f>
        <v>#VALUE!</v>
      </c>
      <c r="X45" s="139" t="e">
        <f>_xll.qlTenorBasisForwardRate(X$27,$E45,InterestRatesTrigger)</f>
        <v>#VALUE!</v>
      </c>
      <c r="Y45" s="138" t="e">
        <f>_xll.qlTenorBasisTenorForwardRate(Y$27,$E45,InterestRatesTrigger)</f>
        <v>#VALUE!</v>
      </c>
      <c r="Z45" s="128" t="e">
        <f>_xll.qlTenorBasisTenorForwardRate(Z$27,$E45,InterestRatesTrigger)</f>
        <v>#VALUE!</v>
      </c>
      <c r="AA45" s="128" t="e">
        <f>_xll.qlTenorBasisTenorForwardRate(AA$27,$E45,InterestRatesTrigger)</f>
        <v>#VALUE!</v>
      </c>
      <c r="AB45" s="139" t="e">
        <f>_xll.qlTenorBasisTenorForwardRate(AB$27,$E45,InterestRatesTrigger)</f>
        <v>#VALUE!</v>
      </c>
      <c r="AC45" s="139">
        <f>'12MSynthDepo_used'!AA24</f>
        <v>1.3789643258366722E-3</v>
      </c>
      <c r="BC45" s="178">
        <f>_xll.qlCalendarAdvance(Calendar,BC44,"1d","mf",,Trigger)</f>
        <v>42334</v>
      </c>
      <c r="BD45" s="41">
        <f>_xll.qlDayCounterYearFraction(DayCounter,SettlementDate,BC45,,,Trigger)</f>
        <v>0.15277777777777779</v>
      </c>
      <c r="BE45" s="47" t="e">
        <f>_xll.qlPolynomialFunctionValue(BE$1,$BD45,AllTriggers)</f>
        <v>#VALUE!</v>
      </c>
      <c r="BF45" s="47" t="e">
        <f>_xll.qlPolynomialFunctionValue(BF$1,$BD45,AllTriggers)</f>
        <v>#VALUE!</v>
      </c>
      <c r="BG45" s="47" t="e">
        <f>_xll.qlPolynomialFunctionValue(BG$1,$BD45,AllTriggers)</f>
        <v>#VALUE!</v>
      </c>
      <c r="BH45" s="47" t="e">
        <f>_xll.qlPolynomialFunctionValue(BH$1,$BD45,AllTriggers)</f>
        <v>#VALUE!</v>
      </c>
      <c r="BI45" s="47" t="e">
        <f>_xll.qlPolynomialFunctionValue(BI$1,$BD45,AllTriggers)</f>
        <v>#VALUE!</v>
      </c>
      <c r="BJ45" s="47" t="e">
        <f>_xll.qlPolynomialFunctionValue(BJ$1,$BD45,AllTriggers)</f>
        <v>#VALUE!</v>
      </c>
      <c r="BK45" s="47" t="e">
        <f>_xll.qlPolynomialFunctionValue(BK$1,$BD45,AllTriggers)</f>
        <v>#VALUE!</v>
      </c>
      <c r="BL45" s="47" t="e">
        <f>_xll.qlPolynomialFunctionValue(BL$1,$BD45,AllTriggers)</f>
        <v>#VALUE!</v>
      </c>
      <c r="BM45" s="47" t="e">
        <f>_xll.qlPolynomialFunctionValue(BM$1,$BD45,AllTriggers)</f>
        <v>#VALUE!</v>
      </c>
      <c r="BN45" s="47" t="e">
        <f>_xll.qlPolynomialFunctionValue(BN$1,$BD45,AllTriggers)</f>
        <v>#VALUE!</v>
      </c>
      <c r="BO45" s="47" t="e">
        <f>_xll.qlPolynomialFunctionValue(BO$1,$BD45,AllTriggers)</f>
        <v>#VALUE!</v>
      </c>
      <c r="BP45" s="47" t="e">
        <f>_xll.qlPolynomialFunctionValue(BP$1,$BD45,AllTriggers)</f>
        <v>#VALUE!</v>
      </c>
      <c r="BQ45" s="47">
        <f>_xll.qlPolynomialFunctionValue('12MSynthDepo_used'!$P$18,BD45,AllTriggers)</f>
        <v>2.919897705325246E-3</v>
      </c>
    </row>
    <row r="46" spans="3:69" x14ac:dyDescent="0.2">
      <c r="C46" s="19">
        <v>0</v>
      </c>
      <c r="D46" s="48" t="s">
        <v>32</v>
      </c>
      <c r="E46" s="177">
        <f>_xll.qlCalendarAdvance(Calendar,SettlementDate,C46&amp;"M","mf",TRUE,Trigger)</f>
        <v>42279</v>
      </c>
      <c r="F46" s="288">
        <f>_xll.qlCalendarAdvance(Calendar,SettlementDate,D46,"mf",TRUE,Trigger)</f>
        <v>42492</v>
      </c>
      <c r="G46" s="138" t="e">
        <f>_xll.qlTenorBasisForwardRate2(G$27,$E46,$F46,InterestRatesTrigger)</f>
        <v>#VALUE!</v>
      </c>
      <c r="H46" s="128" t="e">
        <f>_xll.qlTenorBasisTenorForwardRate(H$27,$E46,InterestRatesTrigger)</f>
        <v>#VALUE!</v>
      </c>
      <c r="S46" s="128" t="e">
        <f>_xll.qlTenorBasisTenorForwardRate(S$27,$E46,InterestRatesTrigger)</f>
        <v>#VALUE!</v>
      </c>
      <c r="T46" s="139" t="e">
        <f>_xll.qlTenorBasisTenorForwardRate(T$27,$E46,InterestRatesTrigger)</f>
        <v>#VALUE!</v>
      </c>
      <c r="U46" s="138" t="e">
        <f>_xll.qlTenorBasisTenorForwardRate(U$27,$E46,InterestRatesTrigger)</f>
        <v>#VALUE!</v>
      </c>
      <c r="V46" s="128" t="e">
        <f>_xll.qlTenorBasisTenorForwardRate(V$27,$E46,InterestRatesTrigger)</f>
        <v>#VALUE!</v>
      </c>
      <c r="W46" s="128" t="e">
        <f>_xll.qlTenorBasisTenorForwardRate(W$27,$E46,InterestRatesTrigger)</f>
        <v>#VALUE!</v>
      </c>
      <c r="X46" s="139" t="e">
        <f>_xll.qlTenorBasisTenorForwardRate(X$27,$E46,InterestRatesTrigger)</f>
        <v>#VALUE!</v>
      </c>
      <c r="Y46" s="138" t="e">
        <f>_xll.qlTenorBasisTenorForwardRate(Y$27,$E46,InterestRatesTrigger)</f>
        <v>#VALUE!</v>
      </c>
      <c r="Z46" s="128" t="e">
        <f>_xll.qlTenorBasisTenorForwardRate(Z$27,$E46,InterestRatesTrigger)</f>
        <v>#VALUE!</v>
      </c>
      <c r="AA46" s="128" t="e">
        <f>_xll.qlTenorBasisTenorForwardRate(AA$27,$E46,InterestRatesTrigger)</f>
        <v>#VALUE!</v>
      </c>
      <c r="AB46" s="139" t="e">
        <f>_xll.qlTenorBasisTenorForwardRate(AB$27,$E46,InterestRatesTrigger)</f>
        <v>#VALUE!</v>
      </c>
      <c r="AC46" s="139">
        <f>'12MSynthDepo_used'!AA25</f>
        <v>1.4034028750813108E-3</v>
      </c>
      <c r="BC46" s="178">
        <f>_xll.qlCalendarAdvance(Calendar,BC45,"1d","mf",,Trigger)</f>
        <v>42335</v>
      </c>
      <c r="BD46" s="41">
        <f>_xll.qlDayCounterYearFraction(DayCounter,SettlementDate,BC46,,,Trigger)</f>
        <v>0.15555555555555556</v>
      </c>
      <c r="BE46" s="47" t="e">
        <f>_xll.qlPolynomialFunctionValue(BE$1,$BD46,AllTriggers)</f>
        <v>#VALUE!</v>
      </c>
      <c r="BF46" s="47" t="e">
        <f>_xll.qlPolynomialFunctionValue(BF$1,$BD46,AllTriggers)</f>
        <v>#VALUE!</v>
      </c>
      <c r="BG46" s="47" t="e">
        <f>_xll.qlPolynomialFunctionValue(BG$1,$BD46,AllTriggers)</f>
        <v>#VALUE!</v>
      </c>
      <c r="BH46" s="47" t="e">
        <f>_xll.qlPolynomialFunctionValue(BH$1,$BD46,AllTriggers)</f>
        <v>#VALUE!</v>
      </c>
      <c r="BI46" s="47" t="e">
        <f>_xll.qlPolynomialFunctionValue(BI$1,$BD46,AllTriggers)</f>
        <v>#VALUE!</v>
      </c>
      <c r="BJ46" s="47" t="e">
        <f>_xll.qlPolynomialFunctionValue(BJ$1,$BD46,AllTriggers)</f>
        <v>#VALUE!</v>
      </c>
      <c r="BK46" s="47" t="e">
        <f>_xll.qlPolynomialFunctionValue(BK$1,$BD46,AllTriggers)</f>
        <v>#VALUE!</v>
      </c>
      <c r="BL46" s="47" t="e">
        <f>_xll.qlPolynomialFunctionValue(BL$1,$BD46,AllTriggers)</f>
        <v>#VALUE!</v>
      </c>
      <c r="BM46" s="47" t="e">
        <f>_xll.qlPolynomialFunctionValue(BM$1,$BD46,AllTriggers)</f>
        <v>#VALUE!</v>
      </c>
      <c r="BN46" s="47" t="e">
        <f>_xll.qlPolynomialFunctionValue(BN$1,$BD46,AllTriggers)</f>
        <v>#VALUE!</v>
      </c>
      <c r="BO46" s="47" t="e">
        <f>_xll.qlPolynomialFunctionValue(BO$1,$BD46,AllTriggers)</f>
        <v>#VALUE!</v>
      </c>
      <c r="BP46" s="47" t="e">
        <f>_xll.qlPolynomialFunctionValue(BP$1,$BD46,AllTriggers)</f>
        <v>#VALUE!</v>
      </c>
      <c r="BQ46" s="47">
        <f>_xll.qlPolynomialFunctionValue('12MSynthDepo_used'!$P$18,BD46,AllTriggers)</f>
        <v>2.9214331511673063E-3</v>
      </c>
    </row>
    <row r="47" spans="3:69" x14ac:dyDescent="0.2">
      <c r="C47" s="19">
        <v>0</v>
      </c>
      <c r="D47" s="48" t="s">
        <v>33</v>
      </c>
      <c r="E47" s="177">
        <f>_xll.qlCalendarAdvance(Calendar,SettlementDate,C47&amp;"M","mf",TRUE,Trigger)</f>
        <v>42279</v>
      </c>
      <c r="F47" s="251">
        <f>_xll.qlCalendarAdvance(Calendar,SettlementDate,D47,"mf",TRUE,Trigger)</f>
        <v>42523</v>
      </c>
      <c r="G47" s="138" t="e">
        <f>_xll.qlTenorBasisForwardRate2(G$27,$E47,$F47,InterestRatesTrigger)</f>
        <v>#VALUE!</v>
      </c>
      <c r="H47" s="128" t="e">
        <f>_xll.qlTenorBasisTenorForwardRate(H$27,$E47,InterestRatesTrigger)</f>
        <v>#VALUE!</v>
      </c>
      <c r="S47" s="128" t="e">
        <f>_xll.qlTenorBasisTenorForwardRate(S$27,$E47,InterestRatesTrigger)</f>
        <v>#VALUE!</v>
      </c>
      <c r="T47" s="139" t="e">
        <f>_xll.qlTenorBasisTenorForwardRate(T$27,$E47,InterestRatesTrigger)</f>
        <v>#VALUE!</v>
      </c>
      <c r="U47" s="138" t="e">
        <f>_xll.qlTenorBasisTenorForwardRate(U$27,$E47,InterestRatesTrigger)</f>
        <v>#VALUE!</v>
      </c>
      <c r="V47" s="128" t="e">
        <f>_xll.qlTenorBasisTenorForwardRate(V$27,$E47,InterestRatesTrigger)</f>
        <v>#VALUE!</v>
      </c>
      <c r="W47" s="128" t="e">
        <f>_xll.qlTenorBasisTenorForwardRate(W$27,$E47,InterestRatesTrigger)</f>
        <v>#VALUE!</v>
      </c>
      <c r="X47" s="139" t="e">
        <f>_xll.qlTenorBasisTenorForwardRate(X$27,$E47,InterestRatesTrigger)</f>
        <v>#VALUE!</v>
      </c>
      <c r="Y47" s="138" t="e">
        <f>_xll.qlTenorBasisTenorForwardRate(Y$27,$E47,InterestRatesTrigger)</f>
        <v>#VALUE!</v>
      </c>
      <c r="Z47" s="128" t="e">
        <f>_xll.qlTenorBasisTenorForwardRate(Z$27,$E47,InterestRatesTrigger)</f>
        <v>#VALUE!</v>
      </c>
      <c r="AA47" s="128" t="e">
        <f>_xll.qlTenorBasisTenorForwardRate(AA$27,$E47,InterestRatesTrigger)</f>
        <v>#VALUE!</v>
      </c>
      <c r="AB47" s="139" t="e">
        <f>_xll.qlTenorBasisTenorForwardRate(AB$27,$E47,InterestRatesTrigger)</f>
        <v>#VALUE!</v>
      </c>
      <c r="AC47" s="139">
        <f>'12MSynthDepo_used'!AA26</f>
        <v>1.4034028750813108E-3</v>
      </c>
      <c r="BC47" s="178">
        <f>_xll.qlCalendarAdvance(Calendar,BC46,"1d","mf",,Trigger)</f>
        <v>42338</v>
      </c>
      <c r="BD47" s="41">
        <f>_xll.qlDayCounterYearFraction(DayCounter,SettlementDate,BC47,,,Trigger)</f>
        <v>0.16388888888888889</v>
      </c>
      <c r="BE47" s="47" t="e">
        <f>_xll.qlPolynomialFunctionValue(BE$1,$BD47,AllTriggers)</f>
        <v>#VALUE!</v>
      </c>
      <c r="BF47" s="47" t="e">
        <f>_xll.qlPolynomialFunctionValue(BF$1,$BD47,AllTriggers)</f>
        <v>#VALUE!</v>
      </c>
      <c r="BG47" s="47" t="e">
        <f>_xll.qlPolynomialFunctionValue(BG$1,$BD47,AllTriggers)</f>
        <v>#VALUE!</v>
      </c>
      <c r="BH47" s="47" t="e">
        <f>_xll.qlPolynomialFunctionValue(BH$1,$BD47,AllTriggers)</f>
        <v>#VALUE!</v>
      </c>
      <c r="BI47" s="47" t="e">
        <f>_xll.qlPolynomialFunctionValue(BI$1,$BD47,AllTriggers)</f>
        <v>#VALUE!</v>
      </c>
      <c r="BJ47" s="47" t="e">
        <f>_xll.qlPolynomialFunctionValue(BJ$1,$BD47,AllTriggers)</f>
        <v>#VALUE!</v>
      </c>
      <c r="BK47" s="47" t="e">
        <f>_xll.qlPolynomialFunctionValue(BK$1,$BD47,AllTriggers)</f>
        <v>#VALUE!</v>
      </c>
      <c r="BL47" s="47" t="e">
        <f>_xll.qlPolynomialFunctionValue(BL$1,$BD47,AllTriggers)</f>
        <v>#VALUE!</v>
      </c>
      <c r="BM47" s="47" t="e">
        <f>_xll.qlPolynomialFunctionValue(BM$1,$BD47,AllTriggers)</f>
        <v>#VALUE!</v>
      </c>
      <c r="BN47" s="47" t="e">
        <f>_xll.qlPolynomialFunctionValue(BN$1,$BD47,AllTriggers)</f>
        <v>#VALUE!</v>
      </c>
      <c r="BO47" s="47" t="e">
        <f>_xll.qlPolynomialFunctionValue(BO$1,$BD47,AllTriggers)</f>
        <v>#VALUE!</v>
      </c>
      <c r="BP47" s="47" t="e">
        <f>_xll.qlPolynomialFunctionValue(BP$1,$BD47,AllTriggers)</f>
        <v>#VALUE!</v>
      </c>
      <c r="BQ47" s="47">
        <f>_xll.qlPolynomialFunctionValue('12MSynthDepo_used'!$P$18,BD47,AllTriggers)</f>
        <v>2.9260477318994718E-3</v>
      </c>
    </row>
    <row r="48" spans="3:69" x14ac:dyDescent="0.2">
      <c r="C48" s="19">
        <v>0</v>
      </c>
      <c r="D48" s="48" t="s">
        <v>34</v>
      </c>
      <c r="E48" s="177">
        <f>_xll.qlCalendarAdvance(Calendar,SettlementDate,C48&amp;"M","mf",TRUE,Trigger)</f>
        <v>42279</v>
      </c>
      <c r="F48" s="251">
        <f>_xll.qlCalendarAdvance(Calendar,SettlementDate,D48,"mf",TRUE,Trigger)</f>
        <v>42555</v>
      </c>
      <c r="G48" s="138" t="e">
        <f>_xll.qlTenorBasisForwardRate2(G$27,$E48,$F48,InterestRatesTrigger)</f>
        <v>#VALUE!</v>
      </c>
      <c r="H48" s="128" t="e">
        <f>_xll.qlTenorBasisTenorForwardRate(H$27,$E48,InterestRatesTrigger)</f>
        <v>#VALUE!</v>
      </c>
      <c r="S48" s="128" t="e">
        <f>_xll.qlTenorBasisTenorForwardRate(S$27,$E48,InterestRatesTrigger)</f>
        <v>#VALUE!</v>
      </c>
      <c r="T48" s="139" t="e">
        <f>_xll.qlTenorBasisTenorForwardRate(T$27,$E48,InterestRatesTrigger)</f>
        <v>#VALUE!</v>
      </c>
      <c r="U48" s="138" t="e">
        <f>_xll.qlTenorBasisTenorForwardRate(U$27,$E48,InterestRatesTrigger)</f>
        <v>#VALUE!</v>
      </c>
      <c r="V48" s="128" t="e">
        <f>_xll.qlTenorBasisTenorForwardRate(V$27,$E48,InterestRatesTrigger)</f>
        <v>#VALUE!</v>
      </c>
      <c r="W48" s="128" t="e">
        <f>_xll.qlTenorBasisTenorForwardRate(W$27,$E48,InterestRatesTrigger)</f>
        <v>#VALUE!</v>
      </c>
      <c r="X48" s="139" t="e">
        <f>_xll.qlTenorBasisTenorForwardRate(X$27,$E48,InterestRatesTrigger)</f>
        <v>#VALUE!</v>
      </c>
      <c r="Y48" s="138" t="e">
        <f>_xll.qlTenorBasisTenorForwardRate(Y$27,$E48,InterestRatesTrigger)</f>
        <v>#VALUE!</v>
      </c>
      <c r="Z48" s="128" t="e">
        <f>_xll.qlTenorBasisTenorForwardRate(Z$27,$E48,InterestRatesTrigger)</f>
        <v>#VALUE!</v>
      </c>
      <c r="AA48" s="128" t="e">
        <f>_xll.qlTenorBasisTenorForwardRate(AA$27,$E48,InterestRatesTrigger)</f>
        <v>#VALUE!</v>
      </c>
      <c r="AB48" s="139" t="e">
        <f>_xll.qlTenorBasisTenorForwardRate(AB$27,$E48,InterestRatesTrigger)</f>
        <v>#VALUE!</v>
      </c>
      <c r="AC48" s="139">
        <f>'12MSynthDepo_used'!AA27</f>
        <v>1.4034028750813108E-3</v>
      </c>
      <c r="BC48" s="178">
        <f>_xll.qlCalendarAdvance(Calendar,BC47,"1d","mf",,Trigger)</f>
        <v>42339</v>
      </c>
      <c r="BD48" s="41">
        <f>_xll.qlDayCounterYearFraction(DayCounter,SettlementDate,BC48,,,Trigger)</f>
        <v>0.16666666666666666</v>
      </c>
      <c r="BE48" s="47" t="e">
        <f>_xll.qlPolynomialFunctionValue(BE$1,$BD48,AllTriggers)</f>
        <v>#VALUE!</v>
      </c>
      <c r="BF48" s="47" t="e">
        <f>_xll.qlPolynomialFunctionValue(BF$1,$BD48,AllTriggers)</f>
        <v>#VALUE!</v>
      </c>
      <c r="BG48" s="47" t="e">
        <f>_xll.qlPolynomialFunctionValue(BG$1,$BD48,AllTriggers)</f>
        <v>#VALUE!</v>
      </c>
      <c r="BH48" s="47" t="e">
        <f>_xll.qlPolynomialFunctionValue(BH$1,$BD48,AllTriggers)</f>
        <v>#VALUE!</v>
      </c>
      <c r="BI48" s="47" t="e">
        <f>_xll.qlPolynomialFunctionValue(BI$1,$BD48,AllTriggers)</f>
        <v>#VALUE!</v>
      </c>
      <c r="BJ48" s="47" t="e">
        <f>_xll.qlPolynomialFunctionValue(BJ$1,$BD48,AllTriggers)</f>
        <v>#VALUE!</v>
      </c>
      <c r="BK48" s="47" t="e">
        <f>_xll.qlPolynomialFunctionValue(BK$1,$BD48,AllTriggers)</f>
        <v>#VALUE!</v>
      </c>
      <c r="BL48" s="47" t="e">
        <f>_xll.qlPolynomialFunctionValue(BL$1,$BD48,AllTriggers)</f>
        <v>#VALUE!</v>
      </c>
      <c r="BM48" s="47" t="e">
        <f>_xll.qlPolynomialFunctionValue(BM$1,$BD48,AllTriggers)</f>
        <v>#VALUE!</v>
      </c>
      <c r="BN48" s="47" t="e">
        <f>_xll.qlPolynomialFunctionValue(BN$1,$BD48,AllTriggers)</f>
        <v>#VALUE!</v>
      </c>
      <c r="BO48" s="47" t="e">
        <f>_xll.qlPolynomialFunctionValue(BO$1,$BD48,AllTriggers)</f>
        <v>#VALUE!</v>
      </c>
      <c r="BP48" s="47" t="e">
        <f>_xll.qlPolynomialFunctionValue(BP$1,$BD48,AllTriggers)</f>
        <v>#VALUE!</v>
      </c>
      <c r="BQ48" s="47">
        <f>_xll.qlPolynomialFunctionValue('12MSynthDepo_used'!$P$18,BD48,AllTriggers)</f>
        <v>2.9275886557119757E-3</v>
      </c>
    </row>
    <row r="49" spans="3:69" x14ac:dyDescent="0.2">
      <c r="C49" s="19">
        <v>0</v>
      </c>
      <c r="D49" s="48" t="s">
        <v>35</v>
      </c>
      <c r="E49" s="177">
        <f>_xll.qlCalendarAdvance(Calendar,SettlementDate,C49&amp;"M","mf",TRUE,Trigger)</f>
        <v>42279</v>
      </c>
      <c r="F49" s="251">
        <f>_xll.qlCalendarAdvance(Calendar,SettlementDate,D49,"mf",TRUE,Trigger)</f>
        <v>42584</v>
      </c>
      <c r="G49" s="138" t="e">
        <f>_xll.qlTenorBasisForwardRate2(G$27,$E49,$F49,InterestRatesTrigger)</f>
        <v>#VALUE!</v>
      </c>
      <c r="H49" s="128" t="e">
        <f>_xll.qlTenorBasisTenorForwardRate(H$27,$E49,InterestRatesTrigger)</f>
        <v>#VALUE!</v>
      </c>
      <c r="S49" s="128" t="e">
        <f>_xll.qlTenorBasisTenorForwardRate(S$27,$E49,InterestRatesTrigger)</f>
        <v>#VALUE!</v>
      </c>
      <c r="T49" s="139" t="e">
        <f>_xll.qlTenorBasisTenorForwardRate(T$27,$E49,InterestRatesTrigger)</f>
        <v>#VALUE!</v>
      </c>
      <c r="U49" s="138" t="e">
        <f>_xll.qlTenorBasisTenorForwardRate(U$27,$E49,InterestRatesTrigger)</f>
        <v>#VALUE!</v>
      </c>
      <c r="V49" s="128" t="e">
        <f>_xll.qlTenorBasisTenorForwardRate(V$27,$E49,InterestRatesTrigger)</f>
        <v>#VALUE!</v>
      </c>
      <c r="W49" s="128" t="e">
        <f>_xll.qlTenorBasisTenorForwardRate(W$27,$E49,InterestRatesTrigger)</f>
        <v>#VALUE!</v>
      </c>
      <c r="X49" s="139" t="e">
        <f>_xll.qlTenorBasisTenorForwardRate(X$27,$E49,InterestRatesTrigger)</f>
        <v>#VALUE!</v>
      </c>
      <c r="Y49" s="138" t="e">
        <f>_xll.qlTenorBasisTenorForwardRate(Y$27,$E49,InterestRatesTrigger)</f>
        <v>#VALUE!</v>
      </c>
      <c r="Z49" s="128" t="e">
        <f>_xll.qlTenorBasisTenorForwardRate(Z$27,$E49,InterestRatesTrigger)</f>
        <v>#VALUE!</v>
      </c>
      <c r="AA49" s="128" t="e">
        <f>_xll.qlTenorBasisTenorForwardRate(AA$27,$E49,InterestRatesTrigger)</f>
        <v>#VALUE!</v>
      </c>
      <c r="AB49" s="139" t="e">
        <f>_xll.qlTenorBasisTenorForwardRate(AB$27,$E49,InterestRatesTrigger)</f>
        <v>#VALUE!</v>
      </c>
      <c r="AC49" s="139">
        <f>'12MSynthDepo_used'!AA28</f>
        <v>1.4034028750813108E-3</v>
      </c>
      <c r="BC49" s="178">
        <f>_xll.qlCalendarAdvance(Calendar,BC48,"1d","mf",,Trigger)</f>
        <v>42340</v>
      </c>
      <c r="BD49" s="41">
        <f>_xll.qlDayCounterYearFraction(DayCounter,SettlementDate,BC49,,,Trigger)</f>
        <v>0.16944444444444445</v>
      </c>
      <c r="BE49" s="47" t="e">
        <f>_xll.qlPolynomialFunctionValue(BE$1,$BD49,AllTriggers)</f>
        <v>#VALUE!</v>
      </c>
      <c r="BF49" s="47" t="e">
        <f>_xll.qlPolynomialFunctionValue(BF$1,$BD49,AllTriggers)</f>
        <v>#VALUE!</v>
      </c>
      <c r="BG49" s="47" t="e">
        <f>_xll.qlPolynomialFunctionValue(BG$1,$BD49,AllTriggers)</f>
        <v>#VALUE!</v>
      </c>
      <c r="BH49" s="47" t="e">
        <f>_xll.qlPolynomialFunctionValue(BH$1,$BD49,AllTriggers)</f>
        <v>#VALUE!</v>
      </c>
      <c r="BI49" s="47" t="e">
        <f>_xll.qlPolynomialFunctionValue(BI$1,$BD49,AllTriggers)</f>
        <v>#VALUE!</v>
      </c>
      <c r="BJ49" s="47" t="e">
        <f>_xll.qlPolynomialFunctionValue(BJ$1,$BD49,AllTriggers)</f>
        <v>#VALUE!</v>
      </c>
      <c r="BK49" s="47" t="e">
        <f>_xll.qlPolynomialFunctionValue(BK$1,$BD49,AllTriggers)</f>
        <v>#VALUE!</v>
      </c>
      <c r="BL49" s="47" t="e">
        <f>_xll.qlPolynomialFunctionValue(BL$1,$BD49,AllTriggers)</f>
        <v>#VALUE!</v>
      </c>
      <c r="BM49" s="47" t="e">
        <f>_xll.qlPolynomialFunctionValue(BM$1,$BD49,AllTriggers)</f>
        <v>#VALUE!</v>
      </c>
      <c r="BN49" s="47" t="e">
        <f>_xll.qlPolynomialFunctionValue(BN$1,$BD49,AllTriggers)</f>
        <v>#VALUE!</v>
      </c>
      <c r="BO49" s="47" t="e">
        <f>_xll.qlPolynomialFunctionValue(BO$1,$BD49,AllTriggers)</f>
        <v>#VALUE!</v>
      </c>
      <c r="BP49" s="47" t="e">
        <f>_xll.qlPolynomialFunctionValue(BP$1,$BD49,AllTriggers)</f>
        <v>#VALUE!</v>
      </c>
      <c r="BQ49" s="47">
        <f>_xll.qlPolynomialFunctionValue('12MSynthDepo_used'!$P$18,BD49,AllTriggers)</f>
        <v>2.9291309358919306E-3</v>
      </c>
    </row>
    <row r="50" spans="3:69" x14ac:dyDescent="0.2">
      <c r="C50" s="19">
        <v>0</v>
      </c>
      <c r="D50" s="48" t="s">
        <v>36</v>
      </c>
      <c r="E50" s="177">
        <f>_xll.qlCalendarAdvance(Calendar,SettlementDate,C50&amp;"M","mf",TRUE,Trigger)</f>
        <v>42279</v>
      </c>
      <c r="F50" s="251">
        <f>_xll.qlCalendarAdvance(Calendar,SettlementDate,D50,"mf",TRUE,Trigger)</f>
        <v>42615</v>
      </c>
      <c r="G50" s="138" t="e">
        <f>_xll.qlTenorBasisForwardRate2(G$27,$E50,$F50,InterestRatesTrigger)</f>
        <v>#VALUE!</v>
      </c>
      <c r="H50" s="128" t="e">
        <f>_xll.qlTenorBasisTenorForwardRate(H$27,$E50,InterestRatesTrigger)</f>
        <v>#VALUE!</v>
      </c>
      <c r="S50" s="128" t="e">
        <f>_xll.qlTenorBasisTenorForwardRate(S$27,$E50,InterestRatesTrigger)</f>
        <v>#VALUE!</v>
      </c>
      <c r="T50" s="139" t="e">
        <f>_xll.qlTenorBasisTenorForwardRate(T$27,$E50,InterestRatesTrigger)</f>
        <v>#VALUE!</v>
      </c>
      <c r="U50" s="138" t="e">
        <f>_xll.qlTenorBasisTenorForwardRate(U$27,$E50,InterestRatesTrigger)</f>
        <v>#VALUE!</v>
      </c>
      <c r="V50" s="128" t="e">
        <f>_xll.qlTenorBasisTenorForwardRate(V$27,$E50,InterestRatesTrigger)</f>
        <v>#VALUE!</v>
      </c>
      <c r="W50" s="128" t="e">
        <f>_xll.qlTenorBasisTenorForwardRate(W$27,$E50,InterestRatesTrigger)</f>
        <v>#VALUE!</v>
      </c>
      <c r="X50" s="139" t="e">
        <f>_xll.qlTenorBasisTenorForwardRate(X$27,$E50,InterestRatesTrigger)</f>
        <v>#VALUE!</v>
      </c>
      <c r="Y50" s="138" t="e">
        <f>_xll.qlTenorBasisTenorForwardRate(Y$27,$E50,InterestRatesTrigger)</f>
        <v>#VALUE!</v>
      </c>
      <c r="Z50" s="128" t="e">
        <f>_xll.qlTenorBasisTenorForwardRate(Z$27,$E50,InterestRatesTrigger)</f>
        <v>#VALUE!</v>
      </c>
      <c r="AA50" s="128" t="e">
        <f>_xll.qlTenorBasisTenorForwardRate(AA$27,$E50,InterestRatesTrigger)</f>
        <v>#VALUE!</v>
      </c>
      <c r="AB50" s="139" t="e">
        <f>_xll.qlTenorBasisTenorForwardRate(AB$27,$E50,InterestRatesTrigger)</f>
        <v>#VALUE!</v>
      </c>
      <c r="AC50" s="139">
        <f>'12MSynthDepo_used'!AA29</f>
        <v>1.4034028750813108E-3</v>
      </c>
      <c r="AD50" s="132" t="str">
        <f>"Fixing "&amp;DAY(_xll.qlInterestRateIndexFixingDate($D$25,'6MSynthDepo_used'!G4))&amp;"/"&amp;MONTH(_xll.qlInterestRateIndexFixingDate($D$25,'6MSynthDepo_used'!G4))</f>
        <v>Fixing 30/9</v>
      </c>
      <c r="BC50" s="178">
        <f>_xll.qlCalendarAdvance(Calendar,BC49,"1d","mf",,Trigger)</f>
        <v>42341</v>
      </c>
      <c r="BD50" s="41">
        <f>_xll.qlDayCounterYearFraction(DayCounter,SettlementDate,BC50,,,Trigger)</f>
        <v>0.17222222222222222</v>
      </c>
      <c r="BE50" s="47" t="e">
        <f>_xll.qlPolynomialFunctionValue(BE$1,$BD50,AllTriggers)</f>
        <v>#VALUE!</v>
      </c>
      <c r="BF50" s="47" t="e">
        <f>_xll.qlPolynomialFunctionValue(BF$1,$BD50,AllTriggers)</f>
        <v>#VALUE!</v>
      </c>
      <c r="BG50" s="47" t="e">
        <f>_xll.qlPolynomialFunctionValue(BG$1,$BD50,AllTriggers)</f>
        <v>#VALUE!</v>
      </c>
      <c r="BH50" s="47" t="e">
        <f>_xll.qlPolynomialFunctionValue(BH$1,$BD50,AllTriggers)</f>
        <v>#VALUE!</v>
      </c>
      <c r="BI50" s="47" t="e">
        <f>_xll.qlPolynomialFunctionValue(BI$1,$BD50,AllTriggers)</f>
        <v>#VALUE!</v>
      </c>
      <c r="BJ50" s="47" t="e">
        <f>_xll.qlPolynomialFunctionValue(BJ$1,$BD50,AllTriggers)</f>
        <v>#VALUE!</v>
      </c>
      <c r="BK50" s="47" t="e">
        <f>_xll.qlPolynomialFunctionValue(BK$1,$BD50,AllTriggers)</f>
        <v>#VALUE!</v>
      </c>
      <c r="BL50" s="47" t="e">
        <f>_xll.qlPolynomialFunctionValue(BL$1,$BD50,AllTriggers)</f>
        <v>#VALUE!</v>
      </c>
      <c r="BM50" s="47" t="e">
        <f>_xll.qlPolynomialFunctionValue(BM$1,$BD50,AllTriggers)</f>
        <v>#VALUE!</v>
      </c>
      <c r="BN50" s="47" t="e">
        <f>_xll.qlPolynomialFunctionValue(BN$1,$BD50,AllTriggers)</f>
        <v>#VALUE!</v>
      </c>
      <c r="BO50" s="47" t="e">
        <f>_xll.qlPolynomialFunctionValue(BO$1,$BD50,AllTriggers)</f>
        <v>#VALUE!</v>
      </c>
      <c r="BP50" s="47" t="e">
        <f>_xll.qlPolynomialFunctionValue(BP$1,$BD50,AllTriggers)</f>
        <v>#VALUE!</v>
      </c>
      <c r="BQ50" s="47">
        <f>_xll.qlPolynomialFunctionValue('12MSynthDepo_used'!$P$18,BD50,AllTriggers)</f>
        <v>2.9306745671892746E-3</v>
      </c>
    </row>
    <row r="51" spans="3:69" ht="12" thickBot="1" x14ac:dyDescent="0.25">
      <c r="C51" s="19">
        <v>0</v>
      </c>
      <c r="D51" s="162" t="s">
        <v>37</v>
      </c>
      <c r="E51" s="185">
        <f>_xll.qlCalendarAdvance(Calendar,SettlementDate,C51&amp;"M","mf",TRUE,Trigger)</f>
        <v>42279</v>
      </c>
      <c r="F51" s="252">
        <f>_xll.qlCalendarAdvance(Calendar,SettlementDate,D51,"mf",TRUE,Trigger)</f>
        <v>42646</v>
      </c>
      <c r="G51" s="284" t="e">
        <f>_xll.qlTenorBasisForwardRate2(G$27,$E51,$F51,InterestRatesTrigger)</f>
        <v>#VALUE!</v>
      </c>
      <c r="H51" s="285" t="e">
        <f>_xll.qlTenorBasisTenorForwardRate(H$27,$E51,InterestRatesTrigger)</f>
        <v>#VALUE!</v>
      </c>
      <c r="I51" s="286"/>
      <c r="J51" s="286"/>
      <c r="K51" s="286"/>
      <c r="L51" s="286"/>
      <c r="M51" s="286"/>
      <c r="N51" s="286"/>
      <c r="O51" s="286"/>
      <c r="P51" s="286"/>
      <c r="Q51" s="286"/>
      <c r="R51" s="286"/>
      <c r="S51" s="285" t="e">
        <f>_xll.qlTenorBasisTenorForwardRate(S$27,$E51,InterestRatesTrigger)</f>
        <v>#VALUE!</v>
      </c>
      <c r="T51" s="287" t="e">
        <f>_xll.qlTenorBasisTenorForwardRate(T$27,$E51,InterestRatesTrigger)</f>
        <v>#VALUE!</v>
      </c>
      <c r="U51" s="284" t="e">
        <f>_xll.qlTenorBasisTenorForwardRate(U$27,$E51,InterestRatesTrigger)</f>
        <v>#VALUE!</v>
      </c>
      <c r="V51" s="285" t="e">
        <f>_xll.qlTenorBasisTenorForwardRate(V$27,$E51,InterestRatesTrigger)</f>
        <v>#VALUE!</v>
      </c>
      <c r="W51" s="285" t="e">
        <f>_xll.qlTenorBasisTenorForwardRate(W$27,$E51,InterestRatesTrigger)</f>
        <v>#VALUE!</v>
      </c>
      <c r="X51" s="287" t="e">
        <f>_xll.qlTenorBasisTenorForwardRate(X$27,$E51,InterestRatesTrigger)</f>
        <v>#VALUE!</v>
      </c>
      <c r="Y51" s="284" t="e">
        <f>_xll.qlTenorBasisTenorForwardRate(Y$27,$E51,InterestRatesTrigger)</f>
        <v>#VALUE!</v>
      </c>
      <c r="Z51" s="285" t="e">
        <f>_xll.qlTenorBasisTenorForwardRate(Z$27,$E51,InterestRatesTrigger)</f>
        <v>#VALUE!</v>
      </c>
      <c r="AA51" s="285" t="e">
        <f>_xll.qlTenorBasisTenorForwardRate(AA$27,$E51,InterestRatesTrigger)</f>
        <v>#VALUE!</v>
      </c>
      <c r="AB51" s="287" t="e">
        <f>_xll.qlTenorBasisTenorForwardRate(AB$27,$E51,InterestRatesTrigger)</f>
        <v>#VALUE!</v>
      </c>
      <c r="AC51" s="287">
        <f>'12MSynthDepo_used'!AA30</f>
        <v>1.4034028750813108E-3</v>
      </c>
      <c r="AD51" s="144">
        <f>'12MSynthDepo_used'!I4</f>
        <v>1.4199999999999998E-3</v>
      </c>
      <c r="BC51" s="178">
        <f>_xll.qlCalendarAdvance(Calendar,BC50,"1d","mf",,Trigger)</f>
        <v>42342</v>
      </c>
      <c r="BD51" s="41">
        <f>_xll.qlDayCounterYearFraction(DayCounter,SettlementDate,BC51,,,Trigger)</f>
        <v>0.17499999999999999</v>
      </c>
      <c r="BE51" s="47" t="e">
        <f>_xll.qlPolynomialFunctionValue(BE$1,$BD51,AllTriggers)</f>
        <v>#VALUE!</v>
      </c>
      <c r="BF51" s="47" t="e">
        <f>_xll.qlPolynomialFunctionValue(BF$1,$BD51,AllTriggers)</f>
        <v>#VALUE!</v>
      </c>
      <c r="BG51" s="47" t="e">
        <f>_xll.qlPolynomialFunctionValue(BG$1,$BD51,AllTriggers)</f>
        <v>#VALUE!</v>
      </c>
      <c r="BH51" s="47" t="e">
        <f>_xll.qlPolynomialFunctionValue(BH$1,$BD51,AllTriggers)</f>
        <v>#VALUE!</v>
      </c>
      <c r="BI51" s="47" t="e">
        <f>_xll.qlPolynomialFunctionValue(BI$1,$BD51,AllTriggers)</f>
        <v>#VALUE!</v>
      </c>
      <c r="BJ51" s="47" t="e">
        <f>_xll.qlPolynomialFunctionValue(BJ$1,$BD51,AllTriggers)</f>
        <v>#VALUE!</v>
      </c>
      <c r="BK51" s="47" t="e">
        <f>_xll.qlPolynomialFunctionValue(BK$1,$BD51,AllTriggers)</f>
        <v>#VALUE!</v>
      </c>
      <c r="BL51" s="47" t="e">
        <f>_xll.qlPolynomialFunctionValue(BL$1,$BD51,AllTriggers)</f>
        <v>#VALUE!</v>
      </c>
      <c r="BM51" s="47" t="e">
        <f>_xll.qlPolynomialFunctionValue(BM$1,$BD51,AllTriggers)</f>
        <v>#VALUE!</v>
      </c>
      <c r="BN51" s="47" t="e">
        <f>_xll.qlPolynomialFunctionValue(BN$1,$BD51,AllTriggers)</f>
        <v>#VALUE!</v>
      </c>
      <c r="BO51" s="47" t="e">
        <f>_xll.qlPolynomialFunctionValue(BO$1,$BD51,AllTriggers)</f>
        <v>#VALUE!</v>
      </c>
      <c r="BP51" s="47" t="e">
        <f>_xll.qlPolynomialFunctionValue(BP$1,$BD51,AllTriggers)</f>
        <v>#VALUE!</v>
      </c>
      <c r="BQ51" s="47">
        <f>_xll.qlPolynomialFunctionValue('12MSynthDepo_used'!$P$18,BD51,AllTriggers)</f>
        <v>2.9322195443539424E-3</v>
      </c>
    </row>
    <row r="52" spans="3:69" x14ac:dyDescent="0.2">
      <c r="C52" s="19">
        <v>1</v>
      </c>
      <c r="D52" s="48" t="str">
        <f t="shared" ref="D52:D63" si="20">C52+SUBSTITUTE($D$24,"M","")&amp;"M"</f>
        <v>13M</v>
      </c>
      <c r="E52" s="177">
        <f>_xll.qlCalendarAdvance(Calendar,SettlementDate,C52&amp;"M","mf",TRUE,Trigger)</f>
        <v>42310</v>
      </c>
      <c r="F52" s="251">
        <f>_xll.qlInterestRateIndexMaturity($D$25,E52,Trigger)</f>
        <v>42676</v>
      </c>
      <c r="G52" s="155" t="e">
        <f>_xll.qlTenorBasisForwardRate2(G$27,$E52,$F52,InterestRatesTrigger)</f>
        <v>#VALUE!</v>
      </c>
      <c r="H52" s="47" t="e">
        <f>_xll.qlTenorBasisTenorForwardRate(H$27,$E52,InterestRatesTrigger)</f>
        <v>#VALUE!</v>
      </c>
      <c r="S52" s="47" t="e">
        <f>_xll.qlTenorBasisTenorForwardRate(S$27,$E52,InterestRatesTrigger)</f>
        <v>#VALUE!</v>
      </c>
      <c r="T52" s="154" t="e">
        <f>_xll.qlTenorBasisTenorForwardRate(T$27,$E52,InterestRatesTrigger)</f>
        <v>#VALUE!</v>
      </c>
      <c r="U52" s="47" t="e">
        <f>_xll.qlTenorBasisTenorForwardRate(U$27,$E52,InterestRatesTrigger)</f>
        <v>#VALUE!</v>
      </c>
      <c r="V52" s="47" t="e">
        <f>_xll.qlTenorBasisTenorForwardRate(V$27,$E52,InterestRatesTrigger)</f>
        <v>#VALUE!</v>
      </c>
      <c r="W52" s="47" t="e">
        <f>_xll.qlTenorBasisTenorForwardRate(W$27,$E52,InterestRatesTrigger)</f>
        <v>#VALUE!</v>
      </c>
      <c r="X52" s="154" t="e">
        <f>_xll.qlTenorBasisTenorForwardRate(X$27,$E52,InterestRatesTrigger)</f>
        <v>#VALUE!</v>
      </c>
      <c r="Y52" s="155" t="e">
        <f>_xll.qlTenorBasisTenorForwardRate(Y$27,$E52,InterestRatesTrigger)</f>
        <v>#VALUE!</v>
      </c>
      <c r="Z52" s="47" t="e">
        <f>_xll.qlTenorBasisTenorForwardRate(Z$27,$E52,InterestRatesTrigger)</f>
        <v>#VALUE!</v>
      </c>
      <c r="AA52" s="47" t="e">
        <f>_xll.qlTenorBasisTenorForwardRate(AA$27,$E52,InterestRatesTrigger)</f>
        <v>#VALUE!</v>
      </c>
      <c r="AB52" s="47" t="e">
        <f>_xll.qlTenorBasisTenorForwardRate(AB$27,$E52,InterestRatesTrigger)</f>
        <v>#VALUE!</v>
      </c>
      <c r="AC52" s="154">
        <f>'12MSynthDepo_used'!AA31</f>
        <v>1.4047662368877299E-3</v>
      </c>
      <c r="AD52" s="200">
        <f>'12MSynthDepo_used'!I5</f>
        <v>1.3999999999999998E-3</v>
      </c>
      <c r="BC52" s="178">
        <f>_xll.qlCalendarAdvance(Calendar,BC51,"1d","mf",,Trigger)</f>
        <v>42345</v>
      </c>
      <c r="BD52" s="41">
        <f>_xll.qlDayCounterYearFraction(DayCounter,SettlementDate,BC52,,,Trigger)</f>
        <v>0.18333333333333332</v>
      </c>
      <c r="BE52" s="47" t="e">
        <f>_xll.qlPolynomialFunctionValue(BE$1,$BD52,AllTriggers)</f>
        <v>#VALUE!</v>
      </c>
      <c r="BF52" s="47" t="e">
        <f>_xll.qlPolynomialFunctionValue(BF$1,$BD52,AllTriggers)</f>
        <v>#VALUE!</v>
      </c>
      <c r="BG52" s="47" t="e">
        <f>_xll.qlPolynomialFunctionValue(BG$1,$BD52,AllTriggers)</f>
        <v>#VALUE!</v>
      </c>
      <c r="BH52" s="47" t="e">
        <f>_xll.qlPolynomialFunctionValue(BH$1,$BD52,AllTriggers)</f>
        <v>#VALUE!</v>
      </c>
      <c r="BI52" s="47" t="e">
        <f>_xll.qlPolynomialFunctionValue(BI$1,$BD52,AllTriggers)</f>
        <v>#VALUE!</v>
      </c>
      <c r="BJ52" s="47" t="e">
        <f>_xll.qlPolynomialFunctionValue(BJ$1,$BD52,AllTriggers)</f>
        <v>#VALUE!</v>
      </c>
      <c r="BK52" s="47" t="e">
        <f>_xll.qlPolynomialFunctionValue(BK$1,$BD52,AllTriggers)</f>
        <v>#VALUE!</v>
      </c>
      <c r="BL52" s="47" t="e">
        <f>_xll.qlPolynomialFunctionValue(BL$1,$BD52,AllTriggers)</f>
        <v>#VALUE!</v>
      </c>
      <c r="BM52" s="47" t="e">
        <f>_xll.qlPolynomialFunctionValue(BM$1,$BD52,AllTriggers)</f>
        <v>#VALUE!</v>
      </c>
      <c r="BN52" s="47" t="e">
        <f>_xll.qlPolynomialFunctionValue(BN$1,$BD52,AllTriggers)</f>
        <v>#VALUE!</v>
      </c>
      <c r="BO52" s="47" t="e">
        <f>_xll.qlPolynomialFunctionValue(BO$1,$BD52,AllTriggers)</f>
        <v>#VALUE!</v>
      </c>
      <c r="BP52" s="47" t="e">
        <f>_xll.qlPolynomialFunctionValue(BP$1,$BD52,AllTriggers)</f>
        <v>#VALUE!</v>
      </c>
      <c r="BQ52" s="47">
        <f>_xll.qlPolynomialFunctionValue('12MSynthDepo_used'!$P$18,BD52,AllTriggers)</f>
        <v>2.9368624985512551E-3</v>
      </c>
    </row>
    <row r="53" spans="3:69" x14ac:dyDescent="0.2">
      <c r="C53" s="19">
        <v>2</v>
      </c>
      <c r="D53" s="48" t="str">
        <f t="shared" si="20"/>
        <v>14M</v>
      </c>
      <c r="E53" s="177">
        <f>_xll.qlCalendarAdvance(Calendar,SettlementDate,C53&amp;"M","mf",TRUE,Trigger)</f>
        <v>42340</v>
      </c>
      <c r="F53" s="251">
        <f>_xll.qlInterestRateIndexMaturity($D$25,E53,Trigger)</f>
        <v>42706</v>
      </c>
      <c r="G53" s="155" t="e">
        <f>_xll.qlTenorBasisForwardRate2(G$27,$E53,$F53,InterestRatesTrigger)</f>
        <v>#VALUE!</v>
      </c>
      <c r="H53" s="47" t="e">
        <f>_xll.qlTenorBasisTenorForwardRate(H$27,$E53,InterestRatesTrigger)</f>
        <v>#VALUE!</v>
      </c>
      <c r="S53" s="47" t="e">
        <f>_xll.qlTenorBasisTenorForwardRate(S$27,$E53,InterestRatesTrigger)</f>
        <v>#VALUE!</v>
      </c>
      <c r="T53" s="154" t="e">
        <f>_xll.qlTenorBasisTenorForwardRate(T$27,$E53,InterestRatesTrigger)</f>
        <v>#VALUE!</v>
      </c>
      <c r="U53" s="47" t="e">
        <f>_xll.qlTenorBasisTenorForwardRate(U$27,$E53,InterestRatesTrigger)</f>
        <v>#VALUE!</v>
      </c>
      <c r="V53" s="47" t="e">
        <f>_xll.qlTenorBasisTenorForwardRate(V$27,$E53,InterestRatesTrigger)</f>
        <v>#VALUE!</v>
      </c>
      <c r="W53" s="47" t="e">
        <f>_xll.qlTenorBasisTenorForwardRate(W$27,$E53,InterestRatesTrigger)</f>
        <v>#VALUE!</v>
      </c>
      <c r="X53" s="154" t="e">
        <f>_xll.qlTenorBasisTenorForwardRate(X$27,$E53,InterestRatesTrigger)</f>
        <v>#VALUE!</v>
      </c>
      <c r="Y53" s="155" t="e">
        <f>_xll.qlTenorBasisTenorForwardRate(Y$27,$E53,InterestRatesTrigger)</f>
        <v>#VALUE!</v>
      </c>
      <c r="Z53" s="47" t="e">
        <f>_xll.qlTenorBasisTenorForwardRate(Z$27,$E53,InterestRatesTrigger)</f>
        <v>#VALUE!</v>
      </c>
      <c r="AA53" s="47" t="e">
        <f>_xll.qlTenorBasisTenorForwardRate(AA$27,$E53,InterestRatesTrigger)</f>
        <v>#VALUE!</v>
      </c>
      <c r="AB53" s="47" t="e">
        <f>_xll.qlTenorBasisTenorForwardRate(AB$27,$E53,InterestRatesTrigger)</f>
        <v>#VALUE!</v>
      </c>
      <c r="AC53" s="154">
        <f>'12MSynthDepo_used'!AA32</f>
        <v>1.4134087903020975E-3</v>
      </c>
      <c r="AD53" s="200">
        <f>'12MSynthDepo_used'!I6</f>
        <v>1.3999999999999998E-3</v>
      </c>
      <c r="BC53" s="178">
        <f>_xll.qlCalendarAdvance(Calendar,BC52,"1d","mf",,Trigger)</f>
        <v>42346</v>
      </c>
      <c r="BD53" s="41">
        <f>_xll.qlDayCounterYearFraction(DayCounter,SettlementDate,BC53,,,Trigger)</f>
        <v>0.18611111111111112</v>
      </c>
      <c r="BE53" s="47" t="e">
        <f>_xll.qlPolynomialFunctionValue(BE$1,$BD53,AllTriggers)</f>
        <v>#VALUE!</v>
      </c>
      <c r="BF53" s="47" t="e">
        <f>_xll.qlPolynomialFunctionValue(BF$1,$BD53,AllTriggers)</f>
        <v>#VALUE!</v>
      </c>
      <c r="BG53" s="47" t="e">
        <f>_xll.qlPolynomialFunctionValue(BG$1,$BD53,AllTriggers)</f>
        <v>#VALUE!</v>
      </c>
      <c r="BH53" s="47" t="e">
        <f>_xll.qlPolynomialFunctionValue(BH$1,$BD53,AllTriggers)</f>
        <v>#VALUE!</v>
      </c>
      <c r="BI53" s="47" t="e">
        <f>_xll.qlPolynomialFunctionValue(BI$1,$BD53,AllTriggers)</f>
        <v>#VALUE!</v>
      </c>
      <c r="BJ53" s="47" t="e">
        <f>_xll.qlPolynomialFunctionValue(BJ$1,$BD53,AllTriggers)</f>
        <v>#VALUE!</v>
      </c>
      <c r="BK53" s="47" t="e">
        <f>_xll.qlPolynomialFunctionValue(BK$1,$BD53,AllTriggers)</f>
        <v>#VALUE!</v>
      </c>
      <c r="BL53" s="47" t="e">
        <f>_xll.qlPolynomialFunctionValue(BL$1,$BD53,AllTriggers)</f>
        <v>#VALUE!</v>
      </c>
      <c r="BM53" s="47" t="e">
        <f>_xll.qlPolynomialFunctionValue(BM$1,$BD53,AllTriggers)</f>
        <v>#VALUE!</v>
      </c>
      <c r="BN53" s="47" t="e">
        <f>_xll.qlPolynomialFunctionValue(BN$1,$BD53,AllTriggers)</f>
        <v>#VALUE!</v>
      </c>
      <c r="BO53" s="47" t="e">
        <f>_xll.qlPolynomialFunctionValue(BO$1,$BD53,AllTriggers)</f>
        <v>#VALUE!</v>
      </c>
      <c r="BP53" s="47" t="e">
        <f>_xll.qlPolynomialFunctionValue(BP$1,$BD53,AllTriggers)</f>
        <v>#VALUE!</v>
      </c>
      <c r="BQ53" s="47">
        <f>_xll.qlPolynomialFunctionValue('12MSynthDepo_used'!$P$18,BD53,AllTriggers)</f>
        <v>2.9384128066845842E-3</v>
      </c>
    </row>
    <row r="54" spans="3:69" x14ac:dyDescent="0.2">
      <c r="C54" s="19">
        <v>3</v>
      </c>
      <c r="D54" s="48" t="str">
        <f t="shared" si="20"/>
        <v>15M</v>
      </c>
      <c r="E54" s="177">
        <f>_xll.qlCalendarAdvance(Calendar,SettlementDate,C54&amp;"M","mf",TRUE,Trigger)</f>
        <v>42373</v>
      </c>
      <c r="F54" s="251">
        <f>_xll.qlInterestRateIndexMaturity($D$25,E54,Trigger)</f>
        <v>42739</v>
      </c>
      <c r="G54" s="155" t="e">
        <f>_xll.qlTenorBasisForwardRate2(G$27,$E54,$F54,InterestRatesTrigger)</f>
        <v>#VALUE!</v>
      </c>
      <c r="H54" s="47" t="e">
        <f>_xll.qlTenorBasisTenorForwardRate(H$27,$E54,InterestRatesTrigger)</f>
        <v>#VALUE!</v>
      </c>
      <c r="S54" s="47" t="e">
        <f>_xll.qlTenorBasisTenorForwardRate(S$27,$E54,InterestRatesTrigger)</f>
        <v>#VALUE!</v>
      </c>
      <c r="T54" s="154" t="e">
        <f>_xll.qlTenorBasisTenorForwardRate(T$27,$E54,InterestRatesTrigger)</f>
        <v>#VALUE!</v>
      </c>
      <c r="U54" s="47" t="e">
        <f>_xll.qlTenorBasisTenorForwardRate(U$27,$E54,InterestRatesTrigger)</f>
        <v>#VALUE!</v>
      </c>
      <c r="V54" s="47" t="e">
        <f>_xll.qlTenorBasisTenorForwardRate(V$27,$E54,InterestRatesTrigger)</f>
        <v>#VALUE!</v>
      </c>
      <c r="W54" s="47" t="e">
        <f>_xll.qlTenorBasisTenorForwardRate(W$27,$E54,InterestRatesTrigger)</f>
        <v>#VALUE!</v>
      </c>
      <c r="X54" s="154" t="e">
        <f>_xll.qlTenorBasisTenorForwardRate(X$27,$E54,InterestRatesTrigger)</f>
        <v>#VALUE!</v>
      </c>
      <c r="Y54" s="155" t="e">
        <f>_xll.qlTenorBasisTenorForwardRate(Y$27,$E54,InterestRatesTrigger)</f>
        <v>#VALUE!</v>
      </c>
      <c r="Z54" s="47" t="e">
        <f>_xll.qlTenorBasisTenorForwardRate(Z$27,$E54,InterestRatesTrigger)</f>
        <v>#VALUE!</v>
      </c>
      <c r="AA54" s="47" t="e">
        <f>_xll.qlTenorBasisTenorForwardRate(AA$27,$E54,InterestRatesTrigger)</f>
        <v>#VALUE!</v>
      </c>
      <c r="AB54" s="47" t="e">
        <f>_xll.qlTenorBasisTenorForwardRate(AB$27,$E54,InterestRatesTrigger)</f>
        <v>#VALUE!</v>
      </c>
      <c r="AC54" s="154">
        <f>'12MSynthDepo_used'!AA33</f>
        <v>1.4340620212599554E-3</v>
      </c>
      <c r="AD54" s="200">
        <f>'12MSynthDepo_used'!I7</f>
        <v>1.4199999999999998E-3</v>
      </c>
      <c r="BC54" s="178">
        <f>_xll.qlCalendarAdvance(Calendar,BC53,"1d","mf",,Trigger)</f>
        <v>42347</v>
      </c>
      <c r="BD54" s="41">
        <f>_xll.qlDayCounterYearFraction(DayCounter,SettlementDate,BC54,,,Trigger)</f>
        <v>0.18888888888888888</v>
      </c>
      <c r="BE54" s="47" t="e">
        <f>_xll.qlPolynomialFunctionValue(BE$1,$BD54,AllTriggers)</f>
        <v>#VALUE!</v>
      </c>
      <c r="BF54" s="47" t="e">
        <f>_xll.qlPolynomialFunctionValue(BF$1,$BD54,AllTriggers)</f>
        <v>#VALUE!</v>
      </c>
      <c r="BG54" s="47" t="e">
        <f>_xll.qlPolynomialFunctionValue(BG$1,$BD54,AllTriggers)</f>
        <v>#VALUE!</v>
      </c>
      <c r="BH54" s="47" t="e">
        <f>_xll.qlPolynomialFunctionValue(BH$1,$BD54,AllTriggers)</f>
        <v>#VALUE!</v>
      </c>
      <c r="BI54" s="47" t="e">
        <f>_xll.qlPolynomialFunctionValue(BI$1,$BD54,AllTriggers)</f>
        <v>#VALUE!</v>
      </c>
      <c r="BJ54" s="47" t="e">
        <f>_xll.qlPolynomialFunctionValue(BJ$1,$BD54,AllTriggers)</f>
        <v>#VALUE!</v>
      </c>
      <c r="BK54" s="47" t="e">
        <f>_xll.qlPolynomialFunctionValue(BK$1,$BD54,AllTriggers)</f>
        <v>#VALUE!</v>
      </c>
      <c r="BL54" s="47" t="e">
        <f>_xll.qlPolynomialFunctionValue(BL$1,$BD54,AllTriggers)</f>
        <v>#VALUE!</v>
      </c>
      <c r="BM54" s="47" t="e">
        <f>_xll.qlPolynomialFunctionValue(BM$1,$BD54,AllTriggers)</f>
        <v>#VALUE!</v>
      </c>
      <c r="BN54" s="47" t="e">
        <f>_xll.qlPolynomialFunctionValue(BN$1,$BD54,AllTriggers)</f>
        <v>#VALUE!</v>
      </c>
      <c r="BO54" s="47" t="e">
        <f>_xll.qlPolynomialFunctionValue(BO$1,$BD54,AllTriggers)</f>
        <v>#VALUE!</v>
      </c>
      <c r="BP54" s="47" t="e">
        <f>_xll.qlPolynomialFunctionValue(BP$1,$BD54,AllTriggers)</f>
        <v>#VALUE!</v>
      </c>
      <c r="BQ54" s="47">
        <f>_xll.qlPolynomialFunctionValue('12MSynthDepo_used'!$P$18,BD54,AllTriggers)</f>
        <v>2.9399644344349197E-3</v>
      </c>
    </row>
    <row r="55" spans="3:69" x14ac:dyDescent="0.2">
      <c r="C55" s="19">
        <v>4</v>
      </c>
      <c r="D55" s="48" t="str">
        <f t="shared" si="20"/>
        <v>16M</v>
      </c>
      <c r="E55" s="177">
        <f>_xll.qlCalendarAdvance(Calendar,SettlementDate,C55&amp;"M","mf",TRUE,Trigger)</f>
        <v>42402</v>
      </c>
      <c r="F55" s="251">
        <f>_xll.qlInterestRateIndexMaturity($D$25,E55,Trigger)</f>
        <v>42768</v>
      </c>
      <c r="G55" s="155" t="e">
        <f>_xll.qlTenorBasisForwardRate2(G$27,$E55,$F55,InterestRatesTrigger)</f>
        <v>#VALUE!</v>
      </c>
      <c r="H55" s="47" t="e">
        <f>_xll.qlTenorBasisTenorForwardRate(H$27,$E55,InterestRatesTrigger)</f>
        <v>#VALUE!</v>
      </c>
      <c r="S55" s="47" t="e">
        <f>_xll.qlTenorBasisTenorForwardRate(S$27,$E55,InterestRatesTrigger)</f>
        <v>#VALUE!</v>
      </c>
      <c r="T55" s="154" t="e">
        <f>_xll.qlTenorBasisTenorForwardRate(T$27,$E55,InterestRatesTrigger)</f>
        <v>#VALUE!</v>
      </c>
      <c r="U55" s="47" t="e">
        <f>_xll.qlTenorBasisTenorForwardRate(U$27,$E55,InterestRatesTrigger)</f>
        <v>#VALUE!</v>
      </c>
      <c r="V55" s="47" t="e">
        <f>_xll.qlTenorBasisTenorForwardRate(V$27,$E55,InterestRatesTrigger)</f>
        <v>#VALUE!</v>
      </c>
      <c r="W55" s="47" t="e">
        <f>_xll.qlTenorBasisTenorForwardRate(W$27,$E55,InterestRatesTrigger)</f>
        <v>#VALUE!</v>
      </c>
      <c r="X55" s="154" t="e">
        <f>_xll.qlTenorBasisTenorForwardRate(X$27,$E55,InterestRatesTrigger)</f>
        <v>#VALUE!</v>
      </c>
      <c r="Y55" s="155" t="e">
        <f>_xll.qlTenorBasisTenorForwardRate(Y$27,$E55,InterestRatesTrigger)</f>
        <v>#VALUE!</v>
      </c>
      <c r="Z55" s="47" t="e">
        <f>_xll.qlTenorBasisTenorForwardRate(Z$27,$E55,InterestRatesTrigger)</f>
        <v>#VALUE!</v>
      </c>
      <c r="AA55" s="47" t="e">
        <f>_xll.qlTenorBasisTenorForwardRate(AA$27,$E55,InterestRatesTrigger)</f>
        <v>#VALUE!</v>
      </c>
      <c r="AB55" s="47" t="e">
        <f>_xll.qlTenorBasisTenorForwardRate(AB$27,$E55,InterestRatesTrigger)</f>
        <v>#VALUE!</v>
      </c>
      <c r="AC55" s="154">
        <f>'12MSynthDepo_used'!AA34</f>
        <v>1.4598065486836533E-3</v>
      </c>
      <c r="AD55" s="200">
        <f>'12MSynthDepo_used'!I8</f>
        <v>1.4599999999999999E-3</v>
      </c>
      <c r="BC55" s="178">
        <f>_xll.qlCalendarAdvance(Calendar,BC54,"1d","mf",,Trigger)</f>
        <v>42348</v>
      </c>
      <c r="BD55" s="41">
        <f>_xll.qlDayCounterYearFraction(DayCounter,SettlementDate,BC55,,,Trigger)</f>
        <v>0.19166666666666668</v>
      </c>
      <c r="BE55" s="47" t="e">
        <f>_xll.qlPolynomialFunctionValue(BE$1,$BD55,AllTriggers)</f>
        <v>#VALUE!</v>
      </c>
      <c r="BF55" s="47" t="e">
        <f>_xll.qlPolynomialFunctionValue(BF$1,$BD55,AllTriggers)</f>
        <v>#VALUE!</v>
      </c>
      <c r="BG55" s="47" t="e">
        <f>_xll.qlPolynomialFunctionValue(BG$1,$BD55,AllTriggers)</f>
        <v>#VALUE!</v>
      </c>
      <c r="BH55" s="47" t="e">
        <f>_xll.qlPolynomialFunctionValue(BH$1,$BD55,AllTriggers)</f>
        <v>#VALUE!</v>
      </c>
      <c r="BI55" s="47" t="e">
        <f>_xll.qlPolynomialFunctionValue(BI$1,$BD55,AllTriggers)</f>
        <v>#VALUE!</v>
      </c>
      <c r="BJ55" s="47" t="e">
        <f>_xll.qlPolynomialFunctionValue(BJ$1,$BD55,AllTriggers)</f>
        <v>#VALUE!</v>
      </c>
      <c r="BK55" s="47" t="e">
        <f>_xll.qlPolynomialFunctionValue(BK$1,$BD55,AllTriggers)</f>
        <v>#VALUE!</v>
      </c>
      <c r="BL55" s="47" t="e">
        <f>_xll.qlPolynomialFunctionValue(BL$1,$BD55,AllTriggers)</f>
        <v>#VALUE!</v>
      </c>
      <c r="BM55" s="47" t="e">
        <f>_xll.qlPolynomialFunctionValue(BM$1,$BD55,AllTriggers)</f>
        <v>#VALUE!</v>
      </c>
      <c r="BN55" s="47" t="e">
        <f>_xll.qlPolynomialFunctionValue(BN$1,$BD55,AllTriggers)</f>
        <v>#VALUE!</v>
      </c>
      <c r="BO55" s="47" t="e">
        <f>_xll.qlPolynomialFunctionValue(BO$1,$BD55,AllTriggers)</f>
        <v>#VALUE!</v>
      </c>
      <c r="BP55" s="47" t="e">
        <f>_xll.qlPolynomialFunctionValue(BP$1,$BD55,AllTriggers)</f>
        <v>#VALUE!</v>
      </c>
      <c r="BQ55" s="47">
        <f>_xll.qlPolynomialFunctionValue('12MSynthDepo_used'!$P$18,BD55,AllTriggers)</f>
        <v>2.9415173765521968E-3</v>
      </c>
    </row>
    <row r="56" spans="3:69" x14ac:dyDescent="0.2">
      <c r="C56" s="19">
        <v>5</v>
      </c>
      <c r="D56" s="48" t="str">
        <f t="shared" si="20"/>
        <v>17M</v>
      </c>
      <c r="E56" s="177">
        <f>_xll.qlCalendarAdvance(Calendar,SettlementDate,C56&amp;"M","mf",TRUE,Trigger)</f>
        <v>42431</v>
      </c>
      <c r="F56" s="251">
        <f>_xll.qlInterestRateIndexMaturity($D$25,E56,Trigger)</f>
        <v>42796</v>
      </c>
      <c r="G56" s="155" t="e">
        <f>_xll.qlTenorBasisForwardRate2(G$27,$E56,$F56,InterestRatesTrigger)</f>
        <v>#VALUE!</v>
      </c>
      <c r="H56" s="47" t="e">
        <f>_xll.qlTenorBasisTenorForwardRate(H$27,$E56,InterestRatesTrigger)</f>
        <v>#VALUE!</v>
      </c>
      <c r="S56" s="47" t="e">
        <f>_xll.qlTenorBasisTenorForwardRate(S$27,$E56,InterestRatesTrigger)</f>
        <v>#VALUE!</v>
      </c>
      <c r="T56" s="154" t="e">
        <f>_xll.qlTenorBasisTenorForwardRate(T$27,$E56,InterestRatesTrigger)</f>
        <v>#VALUE!</v>
      </c>
      <c r="U56" s="47" t="e">
        <f>_xll.qlTenorBasisTenorForwardRate(U$27,$E56,InterestRatesTrigger)</f>
        <v>#VALUE!</v>
      </c>
      <c r="V56" s="47" t="e">
        <f>_xll.qlTenorBasisTenorForwardRate(V$27,$E56,InterestRatesTrigger)</f>
        <v>#VALUE!</v>
      </c>
      <c r="W56" s="47" t="e">
        <f>_xll.qlTenorBasisTenorForwardRate(W$27,$E56,InterestRatesTrigger)</f>
        <v>#VALUE!</v>
      </c>
      <c r="X56" s="154" t="e">
        <f>_xll.qlTenorBasisTenorForwardRate(X$27,$E56,InterestRatesTrigger)</f>
        <v>#VALUE!</v>
      </c>
      <c r="Y56" s="155" t="e">
        <f>_xll.qlTenorBasisTenorForwardRate(Y$27,$E56,InterestRatesTrigger)</f>
        <v>#VALUE!</v>
      </c>
      <c r="Z56" s="47" t="e">
        <f>_xll.qlTenorBasisTenorForwardRate(Z$27,$E56,InterestRatesTrigger)</f>
        <v>#VALUE!</v>
      </c>
      <c r="AA56" s="47" t="e">
        <f>_xll.qlTenorBasisTenorForwardRate(AA$27,$E56,InterestRatesTrigger)</f>
        <v>#VALUE!</v>
      </c>
      <c r="AB56" s="47" t="e">
        <f>_xll.qlTenorBasisTenorForwardRate(AB$27,$E56,InterestRatesTrigger)</f>
        <v>#VALUE!</v>
      </c>
      <c r="AC56" s="154">
        <f>'12MSynthDepo_used'!AA35</f>
        <v>1.4944025230706833E-3</v>
      </c>
      <c r="AD56" s="200">
        <f>'12MSynthDepo_used'!I9</f>
        <v>1.49E-3</v>
      </c>
      <c r="BC56" s="178">
        <f>_xll.qlCalendarAdvance(Calendar,BC55,"1d","mf",,Trigger)</f>
        <v>42349</v>
      </c>
      <c r="BD56" s="41">
        <f>_xll.qlDayCounterYearFraction(DayCounter,SettlementDate,BC56,,,Trigger)</f>
        <v>0.19444444444444445</v>
      </c>
      <c r="BE56" s="47" t="e">
        <f>_xll.qlPolynomialFunctionValue(BE$1,$BD56,AllTriggers)</f>
        <v>#VALUE!</v>
      </c>
      <c r="BF56" s="47" t="e">
        <f>_xll.qlPolynomialFunctionValue(BF$1,$BD56,AllTriggers)</f>
        <v>#VALUE!</v>
      </c>
      <c r="BG56" s="47" t="e">
        <f>_xll.qlPolynomialFunctionValue(BG$1,$BD56,AllTriggers)</f>
        <v>#VALUE!</v>
      </c>
      <c r="BH56" s="47" t="e">
        <f>_xll.qlPolynomialFunctionValue(BH$1,$BD56,AllTriggers)</f>
        <v>#VALUE!</v>
      </c>
      <c r="BI56" s="47" t="e">
        <f>_xll.qlPolynomialFunctionValue(BI$1,$BD56,AllTriggers)</f>
        <v>#VALUE!</v>
      </c>
      <c r="BJ56" s="47" t="e">
        <f>_xll.qlPolynomialFunctionValue(BJ$1,$BD56,AllTriggers)</f>
        <v>#VALUE!</v>
      </c>
      <c r="BK56" s="47" t="e">
        <f>_xll.qlPolynomialFunctionValue(BK$1,$BD56,AllTriggers)</f>
        <v>#VALUE!</v>
      </c>
      <c r="BL56" s="47" t="e">
        <f>_xll.qlPolynomialFunctionValue(BL$1,$BD56,AllTriggers)</f>
        <v>#VALUE!</v>
      </c>
      <c r="BM56" s="47" t="e">
        <f>_xll.qlPolynomialFunctionValue(BM$1,$BD56,AllTriggers)</f>
        <v>#VALUE!</v>
      </c>
      <c r="BN56" s="47" t="e">
        <f>_xll.qlPolynomialFunctionValue(BN$1,$BD56,AllTriggers)</f>
        <v>#VALUE!</v>
      </c>
      <c r="BO56" s="47" t="e">
        <f>_xll.qlPolynomialFunctionValue(BO$1,$BD56,AllTriggers)</f>
        <v>#VALUE!</v>
      </c>
      <c r="BP56" s="47" t="e">
        <f>_xll.qlPolynomialFunctionValue(BP$1,$BD56,AllTriggers)</f>
        <v>#VALUE!</v>
      </c>
      <c r="BQ56" s="47">
        <f>_xll.qlPolynomialFunctionValue('12MSynthDepo_used'!$P$18,BD56,AllTriggers)</f>
        <v>2.9430716277863531E-3</v>
      </c>
    </row>
    <row r="57" spans="3:69" x14ac:dyDescent="0.2">
      <c r="C57" s="19">
        <v>6</v>
      </c>
      <c r="D57" s="48" t="str">
        <f t="shared" si="20"/>
        <v>18M</v>
      </c>
      <c r="E57" s="177">
        <f>_xll.qlCalendarAdvance(Calendar,SettlementDate,C57&amp;"M","mf",TRUE,Trigger)</f>
        <v>42464</v>
      </c>
      <c r="F57" s="251">
        <f>_xll.qlInterestRateIndexMaturity($D$25,E57,Trigger)</f>
        <v>42829</v>
      </c>
      <c r="G57" s="155" t="e">
        <f>_xll.qlTenorBasisForwardRate2(G$27,$E57,$F57,InterestRatesTrigger)</f>
        <v>#VALUE!</v>
      </c>
      <c r="H57" s="47" t="e">
        <f>_xll.qlTenorBasisTenorForwardRate(H$27,$E57,InterestRatesTrigger)</f>
        <v>#VALUE!</v>
      </c>
      <c r="S57" s="47" t="e">
        <f>_xll.qlTenorBasisTenorForwardRate(S$27,$E57,InterestRatesTrigger)</f>
        <v>#VALUE!</v>
      </c>
      <c r="T57" s="154" t="e">
        <f>_xll.qlTenorBasisTenorForwardRate(T$27,$E57,InterestRatesTrigger)</f>
        <v>#VALUE!</v>
      </c>
      <c r="U57" s="47" t="e">
        <f>_xll.qlTenorBasisTenorForwardRate(U$27,$E57,InterestRatesTrigger)</f>
        <v>#VALUE!</v>
      </c>
      <c r="V57" s="47" t="e">
        <f>_xll.qlTenorBasisTenorForwardRate(V$27,$E57,InterestRatesTrigger)</f>
        <v>#VALUE!</v>
      </c>
      <c r="W57" s="47" t="e">
        <f>_xll.qlTenorBasisTenorForwardRate(W$27,$E57,InterestRatesTrigger)</f>
        <v>#VALUE!</v>
      </c>
      <c r="X57" s="154" t="e">
        <f>_xll.qlTenorBasisTenorForwardRate(X$27,$E57,InterestRatesTrigger)</f>
        <v>#VALUE!</v>
      </c>
      <c r="Y57" s="155" t="e">
        <f>_xll.qlTenorBasisTenorForwardRate(Y$27,$E57,InterestRatesTrigger)</f>
        <v>#VALUE!</v>
      </c>
      <c r="Z57" s="47" t="e">
        <f>_xll.qlTenorBasisTenorForwardRate(Z$27,$E57,InterestRatesTrigger)</f>
        <v>#VALUE!</v>
      </c>
      <c r="AA57" s="47" t="e">
        <f>_xll.qlTenorBasisTenorForwardRate(AA$27,$E57,InterestRatesTrigger)</f>
        <v>#VALUE!</v>
      </c>
      <c r="AB57" s="47" t="e">
        <f>_xll.qlTenorBasisTenorForwardRate(AB$27,$E57,InterestRatesTrigger)</f>
        <v>#VALUE!</v>
      </c>
      <c r="AC57" s="154">
        <f>'12MSynthDepo_used'!AA36</f>
        <v>1.544137622757114E-3</v>
      </c>
      <c r="AD57" s="200">
        <f>'12MSynthDepo_used'!I10</f>
        <v>1.5499999999999999E-3</v>
      </c>
      <c r="BC57" s="178">
        <f>_xll.qlCalendarAdvance(Calendar,BC56,"1d","mf",,Trigger)</f>
        <v>42352</v>
      </c>
      <c r="BD57" s="41">
        <f>_xll.qlDayCounterYearFraction(DayCounter,SettlementDate,BC57,,,Trigger)</f>
        <v>0.20277777777777778</v>
      </c>
      <c r="BE57" s="47" t="e">
        <f>_xll.qlPolynomialFunctionValue(BE$1,$BD57,AllTriggers)</f>
        <v>#VALUE!</v>
      </c>
      <c r="BF57" s="47" t="e">
        <f>_xll.qlPolynomialFunctionValue(BF$1,$BD57,AllTriggers)</f>
        <v>#VALUE!</v>
      </c>
      <c r="BG57" s="47" t="e">
        <f>_xll.qlPolynomialFunctionValue(BG$1,$BD57,AllTriggers)</f>
        <v>#VALUE!</v>
      </c>
      <c r="BH57" s="47" t="e">
        <f>_xll.qlPolynomialFunctionValue(BH$1,$BD57,AllTriggers)</f>
        <v>#VALUE!</v>
      </c>
      <c r="BI57" s="47" t="e">
        <f>_xll.qlPolynomialFunctionValue(BI$1,$BD57,AllTriggers)</f>
        <v>#VALUE!</v>
      </c>
      <c r="BJ57" s="47" t="e">
        <f>_xll.qlPolynomialFunctionValue(BJ$1,$BD57,AllTriggers)</f>
        <v>#VALUE!</v>
      </c>
      <c r="BK57" s="47" t="e">
        <f>_xll.qlPolynomialFunctionValue(BK$1,$BD57,AllTriggers)</f>
        <v>#VALUE!</v>
      </c>
      <c r="BL57" s="47" t="e">
        <f>_xll.qlPolynomialFunctionValue(BL$1,$BD57,AllTriggers)</f>
        <v>#VALUE!</v>
      </c>
      <c r="BM57" s="47" t="e">
        <f>_xll.qlPolynomialFunctionValue(BM$1,$BD57,AllTriggers)</f>
        <v>#VALUE!</v>
      </c>
      <c r="BN57" s="47" t="e">
        <f>_xll.qlPolynomialFunctionValue(BN$1,$BD57,AllTriggers)</f>
        <v>#VALUE!</v>
      </c>
      <c r="BO57" s="47" t="e">
        <f>_xll.qlPolynomialFunctionValue(BO$1,$BD57,AllTriggers)</f>
        <v>#VALUE!</v>
      </c>
      <c r="BP57" s="47" t="e">
        <f>_xll.qlPolynomialFunctionValue(BP$1,$BD57,AllTriggers)</f>
        <v>#VALUE!</v>
      </c>
      <c r="BQ57" s="47">
        <f>_xll.qlPolynomialFunctionValue('12MSynthDepo_used'!$P$18,BD57,AllTriggers)</f>
        <v>2.947742183689457E-3</v>
      </c>
    </row>
    <row r="58" spans="3:69" x14ac:dyDescent="0.2">
      <c r="C58" s="19">
        <v>7</v>
      </c>
      <c r="D58" s="48" t="str">
        <f t="shared" si="20"/>
        <v>19M</v>
      </c>
      <c r="E58" s="177">
        <f>_xll.qlCalendarAdvance(Calendar,SettlementDate,C58&amp;"M","mf",TRUE,Trigger)</f>
        <v>42492</v>
      </c>
      <c r="F58" s="251">
        <f>_xll.qlInterestRateIndexMaturity($D$25,E58,Trigger)</f>
        <v>42857</v>
      </c>
      <c r="G58" s="155" t="e">
        <f>_xll.qlTenorBasisForwardRate2(G$27,$E58,$F58,InterestRatesTrigger)</f>
        <v>#VALUE!</v>
      </c>
      <c r="H58" s="47" t="e">
        <f>_xll.qlTenorBasisTenorForwardRate(H$27,$E58,InterestRatesTrigger)</f>
        <v>#VALUE!</v>
      </c>
      <c r="S58" s="47" t="e">
        <f>_xll.qlTenorBasisTenorForwardRate(S$27,$E58,InterestRatesTrigger)</f>
        <v>#VALUE!</v>
      </c>
      <c r="T58" s="154" t="e">
        <f>_xll.qlTenorBasisTenorForwardRate(T$27,$E58,InterestRatesTrigger)</f>
        <v>#VALUE!</v>
      </c>
      <c r="U58" s="47" t="e">
        <f>_xll.qlTenorBasisTenorForwardRate(U$27,$E58,InterestRatesTrigger)</f>
        <v>#VALUE!</v>
      </c>
      <c r="V58" s="47" t="e">
        <f>_xll.qlTenorBasisTenorForwardRate(V$27,$E58,InterestRatesTrigger)</f>
        <v>#VALUE!</v>
      </c>
      <c r="W58" s="47" t="e">
        <f>_xll.qlTenorBasisTenorForwardRate(W$27,$E58,InterestRatesTrigger)</f>
        <v>#VALUE!</v>
      </c>
      <c r="X58" s="154" t="e">
        <f>_xll.qlTenorBasisTenorForwardRate(X$27,$E58,InterestRatesTrigger)</f>
        <v>#VALUE!</v>
      </c>
      <c r="Y58" s="155" t="e">
        <f>_xll.qlTenorBasisTenorForwardRate(Y$27,$E58,InterestRatesTrigger)</f>
        <v>#VALUE!</v>
      </c>
      <c r="Z58" s="47" t="e">
        <f>_xll.qlTenorBasisTenorForwardRate(Z$27,$E58,InterestRatesTrigger)</f>
        <v>#VALUE!</v>
      </c>
      <c r="AA58" s="47" t="e">
        <f>_xll.qlTenorBasisTenorForwardRate(AA$27,$E58,InterestRatesTrigger)</f>
        <v>#VALUE!</v>
      </c>
      <c r="AB58" s="47" t="e">
        <f>_xll.qlTenorBasisTenorForwardRate(AB$27,$E58,InterestRatesTrigger)</f>
        <v>#VALUE!</v>
      </c>
      <c r="AC58" s="154">
        <f>'12MSynthDepo_used'!AA37</f>
        <v>1.5953264764327596E-3</v>
      </c>
      <c r="AD58" s="200">
        <f>'12MSynthDepo_used'!I11</f>
        <v>1.6099999999999997E-3</v>
      </c>
      <c r="BC58" s="178">
        <f>_xll.qlCalendarAdvance(Calendar,BC57,"1d","mf",,Trigger)</f>
        <v>42353</v>
      </c>
      <c r="BD58" s="41">
        <f>_xll.qlDayCounterYearFraction(DayCounter,SettlementDate,BC58,,,Trigger)</f>
        <v>0.20555555555555555</v>
      </c>
      <c r="BE58" s="47" t="e">
        <f>_xll.qlPolynomialFunctionValue(BE$1,$BD58,AllTriggers)</f>
        <v>#VALUE!</v>
      </c>
      <c r="BF58" s="47" t="e">
        <f>_xll.qlPolynomialFunctionValue(BF$1,$BD58,AllTriggers)</f>
        <v>#VALUE!</v>
      </c>
      <c r="BG58" s="47" t="e">
        <f>_xll.qlPolynomialFunctionValue(BG$1,$BD58,AllTriggers)</f>
        <v>#VALUE!</v>
      </c>
      <c r="BH58" s="47" t="e">
        <f>_xll.qlPolynomialFunctionValue(BH$1,$BD58,AllTriggers)</f>
        <v>#VALUE!</v>
      </c>
      <c r="BI58" s="47" t="e">
        <f>_xll.qlPolynomialFunctionValue(BI$1,$BD58,AllTriggers)</f>
        <v>#VALUE!</v>
      </c>
      <c r="BJ58" s="47" t="e">
        <f>_xll.qlPolynomialFunctionValue(BJ$1,$BD58,AllTriggers)</f>
        <v>#VALUE!</v>
      </c>
      <c r="BK58" s="47" t="e">
        <f>_xll.qlPolynomialFunctionValue(BK$1,$BD58,AllTriggers)</f>
        <v>#VALUE!</v>
      </c>
      <c r="BL58" s="47" t="e">
        <f>_xll.qlPolynomialFunctionValue(BL$1,$BD58,AllTriggers)</f>
        <v>#VALUE!</v>
      </c>
      <c r="BM58" s="47" t="e">
        <f>_xll.qlPolynomialFunctionValue(BM$1,$BD58,AllTriggers)</f>
        <v>#VALUE!</v>
      </c>
      <c r="BN58" s="47" t="e">
        <f>_xll.qlPolynomialFunctionValue(BN$1,$BD58,AllTriggers)</f>
        <v>#VALUE!</v>
      </c>
      <c r="BO58" s="47" t="e">
        <f>_xll.qlPolynomialFunctionValue(BO$1,$BD58,AllTriggers)</f>
        <v>#VALUE!</v>
      </c>
      <c r="BP58" s="47" t="e">
        <f>_xll.qlPolynomialFunctionValue(BP$1,$BD58,AllTriggers)</f>
        <v>#VALUE!</v>
      </c>
      <c r="BQ58" s="47">
        <f>_xll.qlPolynomialFunctionValue('12MSynthDepo_used'!$P$18,BD58,AllTriggers)</f>
        <v>2.9493016188904915E-3</v>
      </c>
    </row>
    <row r="59" spans="3:69" x14ac:dyDescent="0.2">
      <c r="C59" s="19">
        <v>8</v>
      </c>
      <c r="D59" s="48" t="str">
        <f t="shared" si="20"/>
        <v>20M</v>
      </c>
      <c r="E59" s="177">
        <f>_xll.qlCalendarAdvance(Calendar,SettlementDate,C59&amp;"M","mf",TRUE,Trigger)</f>
        <v>42523</v>
      </c>
      <c r="F59" s="251">
        <f>_xll.qlInterestRateIndexMaturity($D$25,E59,Trigger)</f>
        <v>42888</v>
      </c>
      <c r="G59" s="155" t="e">
        <f>_xll.qlTenorBasisForwardRate2(G$27,$E59,$F59,InterestRatesTrigger)</f>
        <v>#VALUE!</v>
      </c>
      <c r="H59" s="47" t="e">
        <f>_xll.qlTenorBasisTenorForwardRate(H$27,$E59,InterestRatesTrigger)</f>
        <v>#VALUE!</v>
      </c>
      <c r="S59" s="47" t="e">
        <f>_xll.qlTenorBasisTenorForwardRate(S$27,$E59,InterestRatesTrigger)</f>
        <v>#VALUE!</v>
      </c>
      <c r="T59" s="154" t="e">
        <f>_xll.qlTenorBasisTenorForwardRate(T$27,$E59,InterestRatesTrigger)</f>
        <v>#VALUE!</v>
      </c>
      <c r="U59" s="47" t="e">
        <f>_xll.qlTenorBasisTenorForwardRate(U$27,$E59,InterestRatesTrigger)</f>
        <v>#VALUE!</v>
      </c>
      <c r="V59" s="47" t="e">
        <f>_xll.qlTenorBasisTenorForwardRate(V$27,$E59,InterestRatesTrigger)</f>
        <v>#VALUE!</v>
      </c>
      <c r="W59" s="47" t="e">
        <f>_xll.qlTenorBasisTenorForwardRate(W$27,$E59,InterestRatesTrigger)</f>
        <v>#VALUE!</v>
      </c>
      <c r="X59" s="154" t="e">
        <f>_xll.qlTenorBasisTenorForwardRate(X$27,$E59,InterestRatesTrigger)</f>
        <v>#VALUE!</v>
      </c>
      <c r="Y59" s="155" t="e">
        <f>_xll.qlTenorBasisTenorForwardRate(Y$27,$E59,InterestRatesTrigger)</f>
        <v>#VALUE!</v>
      </c>
      <c r="Z59" s="47" t="e">
        <f>_xll.qlTenorBasisTenorForwardRate(Z$27,$E59,InterestRatesTrigger)</f>
        <v>#VALUE!</v>
      </c>
      <c r="AA59" s="47" t="e">
        <f>_xll.qlTenorBasisTenorForwardRate(AA$27,$E59,InterestRatesTrigger)</f>
        <v>#VALUE!</v>
      </c>
      <c r="AB59" s="47" t="e">
        <f>_xll.qlTenorBasisTenorForwardRate(AB$27,$E59,InterestRatesTrigger)</f>
        <v>#VALUE!</v>
      </c>
      <c r="AC59" s="154">
        <f>'12MSynthDepo_used'!AA38</f>
        <v>1.6626592655835802E-3</v>
      </c>
      <c r="AD59" s="200">
        <f>'12MSynthDepo_used'!I12</f>
        <v>1.6699999999999998E-3</v>
      </c>
      <c r="BC59" s="178">
        <f>_xll.qlCalendarAdvance(Calendar,BC58,"1d","mf",,Trigger)</f>
        <v>42354</v>
      </c>
      <c r="BD59" s="41">
        <f>_xll.qlDayCounterYearFraction(DayCounter,SettlementDate,BC59,,,Trigger)</f>
        <v>0.20833333333333334</v>
      </c>
      <c r="BE59" s="47" t="e">
        <f>_xll.qlPolynomialFunctionValue(BE$1,$BD59,AllTriggers)</f>
        <v>#VALUE!</v>
      </c>
      <c r="BF59" s="47" t="e">
        <f>_xll.qlPolynomialFunctionValue(BF$1,$BD59,AllTriggers)</f>
        <v>#VALUE!</v>
      </c>
      <c r="BG59" s="47" t="e">
        <f>_xll.qlPolynomialFunctionValue(BG$1,$BD59,AllTriggers)</f>
        <v>#VALUE!</v>
      </c>
      <c r="BH59" s="47" t="e">
        <f>_xll.qlPolynomialFunctionValue(BH$1,$BD59,AllTriggers)</f>
        <v>#VALUE!</v>
      </c>
      <c r="BI59" s="47" t="e">
        <f>_xll.qlPolynomialFunctionValue(BI$1,$BD59,AllTriggers)</f>
        <v>#VALUE!</v>
      </c>
      <c r="BJ59" s="47" t="e">
        <f>_xll.qlPolynomialFunctionValue(BJ$1,$BD59,AllTriggers)</f>
        <v>#VALUE!</v>
      </c>
      <c r="BK59" s="47" t="e">
        <f>_xll.qlPolynomialFunctionValue(BK$1,$BD59,AllTriggers)</f>
        <v>#VALUE!</v>
      </c>
      <c r="BL59" s="47" t="e">
        <f>_xll.qlPolynomialFunctionValue(BL$1,$BD59,AllTriggers)</f>
        <v>#VALUE!</v>
      </c>
      <c r="BM59" s="47" t="e">
        <f>_xll.qlPolynomialFunctionValue(BM$1,$BD59,AllTriggers)</f>
        <v>#VALUE!</v>
      </c>
      <c r="BN59" s="47" t="e">
        <f>_xll.qlPolynomialFunctionValue(BN$1,$BD59,AllTriggers)</f>
        <v>#VALUE!</v>
      </c>
      <c r="BO59" s="47" t="e">
        <f>_xll.qlPolynomialFunctionValue(BO$1,$BD59,AllTriggers)</f>
        <v>#VALUE!</v>
      </c>
      <c r="BP59" s="47" t="e">
        <f>_xll.qlPolynomialFunctionValue(BP$1,$BD59,AllTriggers)</f>
        <v>#VALUE!</v>
      </c>
      <c r="BQ59" s="47">
        <f>_xll.qlPolynomialFunctionValue('12MSynthDepo_used'!$P$18,BD59,AllTriggers)</f>
        <v>2.9508623369580867E-3</v>
      </c>
    </row>
    <row r="60" spans="3:69" x14ac:dyDescent="0.2">
      <c r="C60" s="19">
        <v>9</v>
      </c>
      <c r="D60" s="48" t="str">
        <f t="shared" si="20"/>
        <v>21M</v>
      </c>
      <c r="E60" s="177">
        <f>_xll.qlCalendarAdvance(Calendar,SettlementDate,C60&amp;"M","mf",TRUE,Trigger)</f>
        <v>42555</v>
      </c>
      <c r="F60" s="251">
        <f>_xll.qlInterestRateIndexMaturity($D$25,E60,Trigger)</f>
        <v>42920</v>
      </c>
      <c r="G60" s="155" t="e">
        <f>_xll.qlTenorBasisForwardRate2(G$27,$E60,$F60,InterestRatesTrigger)</f>
        <v>#VALUE!</v>
      </c>
      <c r="H60" s="47" t="e">
        <f>_xll.qlTenorBasisTenorForwardRate(H$27,$E60,InterestRatesTrigger)</f>
        <v>#VALUE!</v>
      </c>
      <c r="S60" s="47" t="e">
        <f>_xll.qlTenorBasisTenorForwardRate(S$27,$E60,InterestRatesTrigger)</f>
        <v>#VALUE!</v>
      </c>
      <c r="T60" s="154" t="e">
        <f>_xll.qlTenorBasisTenorForwardRate(T$27,$E60,InterestRatesTrigger)</f>
        <v>#VALUE!</v>
      </c>
      <c r="U60" s="47" t="e">
        <f>_xll.qlTenorBasisTenorForwardRate(U$27,$E60,InterestRatesTrigger)</f>
        <v>#VALUE!</v>
      </c>
      <c r="V60" s="47" t="e">
        <f>_xll.qlTenorBasisTenorForwardRate(V$27,$E60,InterestRatesTrigger)</f>
        <v>#VALUE!</v>
      </c>
      <c r="W60" s="47" t="e">
        <f>_xll.qlTenorBasisTenorForwardRate(W$27,$E60,InterestRatesTrigger)</f>
        <v>#VALUE!</v>
      </c>
      <c r="X60" s="154" t="e">
        <f>_xll.qlTenorBasisTenorForwardRate(X$27,$E60,InterestRatesTrigger)</f>
        <v>#VALUE!</v>
      </c>
      <c r="Y60" s="155" t="e">
        <f>_xll.qlTenorBasisTenorForwardRate(Y$27,$E60,InterestRatesTrigger)</f>
        <v>#VALUE!</v>
      </c>
      <c r="Z60" s="47" t="e">
        <f>_xll.qlTenorBasisTenorForwardRate(Z$27,$E60,InterestRatesTrigger)</f>
        <v>#VALUE!</v>
      </c>
      <c r="AA60" s="47" t="e">
        <f>_xll.qlTenorBasisTenorForwardRate(AA$27,$E60,InterestRatesTrigger)</f>
        <v>#VALUE!</v>
      </c>
      <c r="AB60" s="47" t="e">
        <f>_xll.qlTenorBasisTenorForwardRate(AB$27,$E60,InterestRatesTrigger)</f>
        <v>#VALUE!</v>
      </c>
      <c r="AC60" s="154">
        <f>'12MSynthDepo_used'!AA39</f>
        <v>1.7442644330160429E-3</v>
      </c>
      <c r="AD60" s="200">
        <f>'12MSynthDepo_used'!I13</f>
        <v>1.7499999999999998E-3</v>
      </c>
      <c r="BC60" s="178">
        <f>_xll.qlCalendarAdvance(Calendar,BC59,"1d","mf",,Trigger)</f>
        <v>42355</v>
      </c>
      <c r="BD60" s="41">
        <f>_xll.qlDayCounterYearFraction(DayCounter,SettlementDate,BC60,,,Trigger)</f>
        <v>0.21111111111111111</v>
      </c>
      <c r="BE60" s="47" t="e">
        <f>_xll.qlPolynomialFunctionValue(BE$1,$BD60,AllTriggers)</f>
        <v>#VALUE!</v>
      </c>
      <c r="BF60" s="47" t="e">
        <f>_xll.qlPolynomialFunctionValue(BF$1,$BD60,AllTriggers)</f>
        <v>#VALUE!</v>
      </c>
      <c r="BG60" s="47" t="e">
        <f>_xll.qlPolynomialFunctionValue(BG$1,$BD60,AllTriggers)</f>
        <v>#VALUE!</v>
      </c>
      <c r="BH60" s="47" t="e">
        <f>_xll.qlPolynomialFunctionValue(BH$1,$BD60,AllTriggers)</f>
        <v>#VALUE!</v>
      </c>
      <c r="BI60" s="47" t="e">
        <f>_xll.qlPolynomialFunctionValue(BI$1,$BD60,AllTriggers)</f>
        <v>#VALUE!</v>
      </c>
      <c r="BJ60" s="47" t="e">
        <f>_xll.qlPolynomialFunctionValue(BJ$1,$BD60,AllTriggers)</f>
        <v>#VALUE!</v>
      </c>
      <c r="BK60" s="47" t="e">
        <f>_xll.qlPolynomialFunctionValue(BK$1,$BD60,AllTriggers)</f>
        <v>#VALUE!</v>
      </c>
      <c r="BL60" s="47" t="e">
        <f>_xll.qlPolynomialFunctionValue(BL$1,$BD60,AllTriggers)</f>
        <v>#VALUE!</v>
      </c>
      <c r="BM60" s="47" t="e">
        <f>_xll.qlPolynomialFunctionValue(BM$1,$BD60,AllTriggers)</f>
        <v>#VALUE!</v>
      </c>
      <c r="BN60" s="47" t="e">
        <f>_xll.qlPolynomialFunctionValue(BN$1,$BD60,AllTriggers)</f>
        <v>#VALUE!</v>
      </c>
      <c r="BO60" s="47" t="e">
        <f>_xll.qlPolynomialFunctionValue(BO$1,$BD60,AllTriggers)</f>
        <v>#VALUE!</v>
      </c>
      <c r="BP60" s="47" t="e">
        <f>_xll.qlPolynomialFunctionValue(BP$1,$BD60,AllTriggers)</f>
        <v>#VALUE!</v>
      </c>
      <c r="BQ60" s="47">
        <f>_xll.qlPolynomialFunctionValue('12MSynthDepo_used'!$P$18,BD60,AllTriggers)</f>
        <v>2.9524243326421785E-3</v>
      </c>
    </row>
    <row r="61" spans="3:69" x14ac:dyDescent="0.2">
      <c r="C61" s="19">
        <v>10</v>
      </c>
      <c r="D61" s="48" t="str">
        <f t="shared" si="20"/>
        <v>22M</v>
      </c>
      <c r="E61" s="177">
        <f>_xll.qlCalendarAdvance(Calendar,SettlementDate,C61&amp;"M","mf",TRUE,Trigger)</f>
        <v>42584</v>
      </c>
      <c r="F61" s="251">
        <f>_xll.qlInterestRateIndexMaturity($D$25,E61,Trigger)</f>
        <v>42949</v>
      </c>
      <c r="G61" s="155" t="e">
        <f>_xll.qlTenorBasisForwardRate2(G$27,$E61,$F61,InterestRatesTrigger)</f>
        <v>#VALUE!</v>
      </c>
      <c r="H61" s="47" t="e">
        <f>_xll.qlTenorBasisTenorForwardRate(H$27,$E61,InterestRatesTrigger)</f>
        <v>#VALUE!</v>
      </c>
      <c r="S61" s="47" t="e">
        <f>_xll.qlTenorBasisTenorForwardRate(S$27,$E61,InterestRatesTrigger)</f>
        <v>#VALUE!</v>
      </c>
      <c r="T61" s="154" t="e">
        <f>_xll.qlTenorBasisTenorForwardRate(T$27,$E61,InterestRatesTrigger)</f>
        <v>#VALUE!</v>
      </c>
      <c r="U61" s="47" t="e">
        <f>_xll.qlTenorBasisTenorForwardRate(U$27,$E61,InterestRatesTrigger)</f>
        <v>#VALUE!</v>
      </c>
      <c r="V61" s="47" t="e">
        <f>_xll.qlTenorBasisTenorForwardRate(V$27,$E61,InterestRatesTrigger)</f>
        <v>#VALUE!</v>
      </c>
      <c r="W61" s="47" t="e">
        <f>_xll.qlTenorBasisTenorForwardRate(W$27,$E61,InterestRatesTrigger)</f>
        <v>#VALUE!</v>
      </c>
      <c r="X61" s="154" t="e">
        <f>_xll.qlTenorBasisTenorForwardRate(X$27,$E61,InterestRatesTrigger)</f>
        <v>#VALUE!</v>
      </c>
      <c r="Y61" s="155" t="e">
        <f>_xll.qlTenorBasisTenorForwardRate(Y$27,$E61,InterestRatesTrigger)</f>
        <v>#VALUE!</v>
      </c>
      <c r="Z61" s="47" t="e">
        <f>_xll.qlTenorBasisTenorForwardRate(Z$27,$E61,InterestRatesTrigger)</f>
        <v>#VALUE!</v>
      </c>
      <c r="AA61" s="47" t="e">
        <f>_xll.qlTenorBasisTenorForwardRate(AA$27,$E61,InterestRatesTrigger)</f>
        <v>#VALUE!</v>
      </c>
      <c r="AB61" s="47" t="e">
        <f>_xll.qlTenorBasisTenorForwardRate(AB$27,$E61,InterestRatesTrigger)</f>
        <v>#VALUE!</v>
      </c>
      <c r="AC61" s="154">
        <f>'12MSynthDepo_used'!AA40</f>
        <v>1.8276408455373898E-3</v>
      </c>
      <c r="AD61" s="200">
        <f>'12MSynthDepo_used'!I14</f>
        <v>1.83E-3</v>
      </c>
      <c r="BC61" s="178">
        <f>_xll.qlCalendarAdvance(Calendar,BC60,"1d","mf",,Trigger)</f>
        <v>42356</v>
      </c>
      <c r="BD61" s="41">
        <f>_xll.qlDayCounterYearFraction(DayCounter,SettlementDate,BC61,,,Trigger)</f>
        <v>0.21388888888888888</v>
      </c>
      <c r="BE61" s="47" t="e">
        <f>_xll.qlPolynomialFunctionValue(BE$1,$BD61,AllTriggers)</f>
        <v>#VALUE!</v>
      </c>
      <c r="BF61" s="47" t="e">
        <f>_xll.qlPolynomialFunctionValue(BF$1,$BD61,AllTriggers)</f>
        <v>#VALUE!</v>
      </c>
      <c r="BG61" s="47" t="e">
        <f>_xll.qlPolynomialFunctionValue(BG$1,$BD61,AllTriggers)</f>
        <v>#VALUE!</v>
      </c>
      <c r="BH61" s="47" t="e">
        <f>_xll.qlPolynomialFunctionValue(BH$1,$BD61,AllTriggers)</f>
        <v>#VALUE!</v>
      </c>
      <c r="BI61" s="47" t="e">
        <f>_xll.qlPolynomialFunctionValue(BI$1,$BD61,AllTriggers)</f>
        <v>#VALUE!</v>
      </c>
      <c r="BJ61" s="47" t="e">
        <f>_xll.qlPolynomialFunctionValue(BJ$1,$BD61,AllTriggers)</f>
        <v>#VALUE!</v>
      </c>
      <c r="BK61" s="47" t="e">
        <f>_xll.qlPolynomialFunctionValue(BK$1,$BD61,AllTriggers)</f>
        <v>#VALUE!</v>
      </c>
      <c r="BL61" s="47" t="e">
        <f>_xll.qlPolynomialFunctionValue(BL$1,$BD61,AllTriggers)</f>
        <v>#VALUE!</v>
      </c>
      <c r="BM61" s="47" t="e">
        <f>_xll.qlPolynomialFunctionValue(BM$1,$BD61,AllTriggers)</f>
        <v>#VALUE!</v>
      </c>
      <c r="BN61" s="47" t="e">
        <f>_xll.qlPolynomialFunctionValue(BN$1,$BD61,AllTriggers)</f>
        <v>#VALUE!</v>
      </c>
      <c r="BO61" s="47" t="e">
        <f>_xll.qlPolynomialFunctionValue(BO$1,$BD61,AllTriggers)</f>
        <v>#VALUE!</v>
      </c>
      <c r="BP61" s="47" t="e">
        <f>_xll.qlPolynomialFunctionValue(BP$1,$BD61,AllTriggers)</f>
        <v>#VALUE!</v>
      </c>
      <c r="BQ61" s="47">
        <f>_xll.qlPolynomialFunctionValue('12MSynthDepo_used'!$P$18,BD61,AllTriggers)</f>
        <v>2.9539876006927043E-3</v>
      </c>
    </row>
    <row r="62" spans="3:69" x14ac:dyDescent="0.2">
      <c r="C62" s="19">
        <v>11</v>
      </c>
      <c r="D62" s="48" t="str">
        <f t="shared" si="20"/>
        <v>23M</v>
      </c>
      <c r="E62" s="177">
        <f>_xll.qlCalendarAdvance(Calendar,SettlementDate,C62&amp;"M","mf",TRUE,Trigger)</f>
        <v>42615</v>
      </c>
      <c r="F62" s="251">
        <f>_xll.qlInterestRateIndexMaturity($D$25,E62,Trigger)</f>
        <v>42982</v>
      </c>
      <c r="G62" s="155" t="e">
        <f>_xll.qlTenorBasisForwardRate2(G$27,$E62,$F62,InterestRatesTrigger)</f>
        <v>#VALUE!</v>
      </c>
      <c r="H62" s="47" t="e">
        <f>_xll.qlTenorBasisTenorForwardRate(H$27,$E62,InterestRatesTrigger)</f>
        <v>#VALUE!</v>
      </c>
      <c r="S62" s="47" t="e">
        <f>_xll.qlTenorBasisTenorForwardRate(S$27,$E62,InterestRatesTrigger)</f>
        <v>#VALUE!</v>
      </c>
      <c r="T62" s="154" t="e">
        <f>_xll.qlTenorBasisTenorForwardRate(T$27,$E62,InterestRatesTrigger)</f>
        <v>#VALUE!</v>
      </c>
      <c r="U62" s="47" t="e">
        <f>_xll.qlTenorBasisTenorForwardRate(U$27,$E62,InterestRatesTrigger)</f>
        <v>#VALUE!</v>
      </c>
      <c r="V62" s="47" t="e">
        <f>_xll.qlTenorBasisTenorForwardRate(V$27,$E62,InterestRatesTrigger)</f>
        <v>#VALUE!</v>
      </c>
      <c r="W62" s="47" t="e">
        <f>_xll.qlTenorBasisTenorForwardRate(W$27,$E62,InterestRatesTrigger)</f>
        <v>#VALUE!</v>
      </c>
      <c r="X62" s="154" t="e">
        <f>_xll.qlTenorBasisTenorForwardRate(X$27,$E62,InterestRatesTrigger)</f>
        <v>#VALUE!</v>
      </c>
      <c r="Y62" s="155" t="e">
        <f>_xll.qlTenorBasisTenorForwardRate(Y$27,$E62,InterestRatesTrigger)</f>
        <v>#VALUE!</v>
      </c>
      <c r="Z62" s="47" t="e">
        <f>_xll.qlTenorBasisTenorForwardRate(Z$27,$E62,InterestRatesTrigger)</f>
        <v>#VALUE!</v>
      </c>
      <c r="AA62" s="47" t="e">
        <f>_xll.qlTenorBasisTenorForwardRate(AA$27,$E62,InterestRatesTrigger)</f>
        <v>#VALUE!</v>
      </c>
      <c r="AB62" s="47" t="e">
        <f>_xll.qlTenorBasisTenorForwardRate(AB$27,$E62,InterestRatesTrigger)</f>
        <v>#VALUE!</v>
      </c>
      <c r="AC62" s="154">
        <f>'12MSynthDepo_used'!AA41</f>
        <v>1.9290313005348233E-3</v>
      </c>
      <c r="AD62" s="200">
        <f>'12MSynthDepo_used'!I15</f>
        <v>1.92E-3</v>
      </c>
      <c r="BC62" s="178">
        <f>_xll.qlCalendarAdvance(Calendar,BC61,"1d","mf",,Trigger)</f>
        <v>42359</v>
      </c>
      <c r="BD62" s="41">
        <f>_xll.qlDayCounterYearFraction(DayCounter,SettlementDate,BC62,,,Trigger)</f>
        <v>0.22222222222222221</v>
      </c>
      <c r="BE62" s="47" t="e">
        <f>_xll.qlPolynomialFunctionValue(BE$1,$BD62,AllTriggers)</f>
        <v>#VALUE!</v>
      </c>
      <c r="BF62" s="47" t="e">
        <f>_xll.qlPolynomialFunctionValue(BF$1,$BD62,AllTriggers)</f>
        <v>#VALUE!</v>
      </c>
      <c r="BG62" s="47" t="e">
        <f>_xll.qlPolynomialFunctionValue(BG$1,$BD62,AllTriggers)</f>
        <v>#VALUE!</v>
      </c>
      <c r="BH62" s="47" t="e">
        <f>_xll.qlPolynomialFunctionValue(BH$1,$BD62,AllTriggers)</f>
        <v>#VALUE!</v>
      </c>
      <c r="BI62" s="47" t="e">
        <f>_xll.qlPolynomialFunctionValue(BI$1,$BD62,AllTriggers)</f>
        <v>#VALUE!</v>
      </c>
      <c r="BJ62" s="47" t="e">
        <f>_xll.qlPolynomialFunctionValue(BJ$1,$BD62,AllTriggers)</f>
        <v>#VALUE!</v>
      </c>
      <c r="BK62" s="47" t="e">
        <f>_xll.qlPolynomialFunctionValue(BK$1,$BD62,AllTriggers)</f>
        <v>#VALUE!</v>
      </c>
      <c r="BL62" s="47" t="e">
        <f>_xll.qlPolynomialFunctionValue(BL$1,$BD62,AllTriggers)</f>
        <v>#VALUE!</v>
      </c>
      <c r="BM62" s="47" t="e">
        <f>_xll.qlPolynomialFunctionValue(BM$1,$BD62,AllTriggers)</f>
        <v>#VALUE!</v>
      </c>
      <c r="BN62" s="47" t="e">
        <f>_xll.qlPolynomialFunctionValue(BN$1,$BD62,AllTriggers)</f>
        <v>#VALUE!</v>
      </c>
      <c r="BO62" s="47" t="e">
        <f>_xll.qlPolynomialFunctionValue(BO$1,$BD62,AllTriggers)</f>
        <v>#VALUE!</v>
      </c>
      <c r="BP62" s="47" t="e">
        <f>_xll.qlPolynomialFunctionValue(BP$1,$BD62,AllTriggers)</f>
        <v>#VALUE!</v>
      </c>
      <c r="BQ62" s="47">
        <f>_xll.qlPolynomialFunctionValue('12MSynthDepo_used'!$P$18,BD62,AllTriggers)</f>
        <v>2.958684986542242E-3</v>
      </c>
    </row>
    <row r="63" spans="3:69" x14ac:dyDescent="0.2">
      <c r="C63" s="19">
        <v>12</v>
      </c>
      <c r="D63" s="49" t="str">
        <f t="shared" si="20"/>
        <v>24M</v>
      </c>
      <c r="E63" s="181">
        <f>_xll.qlCalendarAdvance(Calendar,SettlementDate,C63&amp;"M","mf",TRUE,Trigger)</f>
        <v>42646</v>
      </c>
      <c r="F63" s="274">
        <f>_xll.qlInterestRateIndexMaturity($D$25,E63,Trigger)</f>
        <v>43011</v>
      </c>
      <c r="G63" s="275" t="e">
        <f>_xll.qlTenorBasisForwardRate2(G$27,$E63,$F63,InterestRatesTrigger)</f>
        <v>#VALUE!</v>
      </c>
      <c r="H63" s="50" t="e">
        <f>_xll.qlTenorBasisTenorForwardRate(H$27,$E63,InterestRatesTrigger)</f>
        <v>#VALUE!</v>
      </c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50" t="e">
        <f>_xll.qlTenorBasisTenorForwardRate(S$27,$E63,InterestRatesTrigger)</f>
        <v>#VALUE!</v>
      </c>
      <c r="T63" s="276" t="e">
        <f>_xll.qlTenorBasisTenorForwardRate(T$27,$E63,InterestRatesTrigger)</f>
        <v>#VALUE!</v>
      </c>
      <c r="U63" s="50" t="e">
        <f>_xll.qlTenorBasisTenorForwardRate(U$27,$E63,InterestRatesTrigger)</f>
        <v>#VALUE!</v>
      </c>
      <c r="V63" s="50" t="e">
        <f>_xll.qlTenorBasisTenorForwardRate(V$27,$E63,InterestRatesTrigger)</f>
        <v>#VALUE!</v>
      </c>
      <c r="W63" s="50" t="e">
        <f>_xll.qlTenorBasisTenorForwardRate(W$27,$E63,InterestRatesTrigger)</f>
        <v>#VALUE!</v>
      </c>
      <c r="X63" s="276" t="e">
        <f>_xll.qlTenorBasisTenorForwardRate(X$27,$E63,InterestRatesTrigger)</f>
        <v>#VALUE!</v>
      </c>
      <c r="Y63" s="275" t="e">
        <f>_xll.qlTenorBasisTenorForwardRate(Y$27,$E63,InterestRatesTrigger)</f>
        <v>#VALUE!</v>
      </c>
      <c r="Z63" s="50" t="e">
        <f>_xll.qlTenorBasisTenorForwardRate(Z$27,$E63,InterestRatesTrigger)</f>
        <v>#VALUE!</v>
      </c>
      <c r="AA63" s="50" t="e">
        <f>_xll.qlTenorBasisTenorForwardRate(AA$27,$E63,InterestRatesTrigger)</f>
        <v>#VALUE!</v>
      </c>
      <c r="AB63" s="50" t="e">
        <f>_xll.qlTenorBasisTenorForwardRate(AB$27,$E63,InterestRatesTrigger)</f>
        <v>#VALUE!</v>
      </c>
      <c r="AC63" s="276">
        <f>'12MSynthDepo_used'!AA42</f>
        <v>2.0378225641378149E-3</v>
      </c>
      <c r="AD63" s="201">
        <f>'12MSynthDepo_used'!I16</f>
        <v>2.0299999999999997E-3</v>
      </c>
      <c r="BC63" s="178">
        <f>_xll.qlCalendarAdvance(Calendar,BC62,"1d","mf",,Trigger)</f>
        <v>42360</v>
      </c>
      <c r="BD63" s="41">
        <f>_xll.qlDayCounterYearFraction(DayCounter,SettlementDate,BC63,,,Trigger)</f>
        <v>0.22500000000000001</v>
      </c>
      <c r="BE63" s="47" t="e">
        <f>_xll.qlPolynomialFunctionValue(BE$1,$BD63,AllTriggers)</f>
        <v>#VALUE!</v>
      </c>
      <c r="BF63" s="47" t="e">
        <f>_xll.qlPolynomialFunctionValue(BF$1,$BD63,AllTriggers)</f>
        <v>#VALUE!</v>
      </c>
      <c r="BG63" s="47" t="e">
        <f>_xll.qlPolynomialFunctionValue(BG$1,$BD63,AllTriggers)</f>
        <v>#VALUE!</v>
      </c>
      <c r="BH63" s="47" t="e">
        <f>_xll.qlPolynomialFunctionValue(BH$1,$BD63,AllTriggers)</f>
        <v>#VALUE!</v>
      </c>
      <c r="BI63" s="47" t="e">
        <f>_xll.qlPolynomialFunctionValue(BI$1,$BD63,AllTriggers)</f>
        <v>#VALUE!</v>
      </c>
      <c r="BJ63" s="47" t="e">
        <f>_xll.qlPolynomialFunctionValue(BJ$1,$BD63,AllTriggers)</f>
        <v>#VALUE!</v>
      </c>
      <c r="BK63" s="47" t="e">
        <f>_xll.qlPolynomialFunctionValue(BK$1,$BD63,AllTriggers)</f>
        <v>#VALUE!</v>
      </c>
      <c r="BL63" s="47" t="e">
        <f>_xll.qlPolynomialFunctionValue(BL$1,$BD63,AllTriggers)</f>
        <v>#VALUE!</v>
      </c>
      <c r="BM63" s="47" t="e">
        <f>_xll.qlPolynomialFunctionValue(BM$1,$BD63,AllTriggers)</f>
        <v>#VALUE!</v>
      </c>
      <c r="BN63" s="47" t="e">
        <f>_xll.qlPolynomialFunctionValue(BN$1,$BD63,AllTriggers)</f>
        <v>#VALUE!</v>
      </c>
      <c r="BO63" s="47" t="e">
        <f>_xll.qlPolynomialFunctionValue(BO$1,$BD63,AllTriggers)</f>
        <v>#VALUE!</v>
      </c>
      <c r="BP63" s="47" t="e">
        <f>_xll.qlPolynomialFunctionValue(BP$1,$BD63,AllTriggers)</f>
        <v>#VALUE!</v>
      </c>
      <c r="BQ63" s="47">
        <f>_xll.qlPolynomialFunctionValue('12MSynthDepo_used'!$P$18,BD63,AllTriggers)</f>
        <v>2.9602532915578629E-3</v>
      </c>
    </row>
    <row r="64" spans="3:69" x14ac:dyDescent="0.2"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42361</v>
      </c>
      <c r="BD64" s="41">
        <f>_xll.qlDayCounterYearFraction(DayCounter,SettlementDate,BC64,,,Trigger)</f>
        <v>0.22777777777777777</v>
      </c>
      <c r="BE64" s="47" t="e">
        <f>_xll.qlPolynomialFunctionValue(BE$1,$BD64,AllTriggers)</f>
        <v>#VALUE!</v>
      </c>
      <c r="BF64" s="47" t="e">
        <f>_xll.qlPolynomialFunctionValue(BF$1,$BD64,AllTriggers)</f>
        <v>#VALUE!</v>
      </c>
      <c r="BG64" s="47" t="e">
        <f>_xll.qlPolynomialFunctionValue(BG$1,$BD64,AllTriggers)</f>
        <v>#VALUE!</v>
      </c>
      <c r="BH64" s="47" t="e">
        <f>_xll.qlPolynomialFunctionValue(BH$1,$BD64,AllTriggers)</f>
        <v>#VALUE!</v>
      </c>
      <c r="BI64" s="47" t="e">
        <f>_xll.qlPolynomialFunctionValue(BI$1,$BD64,AllTriggers)</f>
        <v>#VALUE!</v>
      </c>
      <c r="BJ64" s="47" t="e">
        <f>_xll.qlPolynomialFunctionValue(BJ$1,$BD64,AllTriggers)</f>
        <v>#VALUE!</v>
      </c>
      <c r="BK64" s="47" t="e">
        <f>_xll.qlPolynomialFunctionValue(BK$1,$BD64,AllTriggers)</f>
        <v>#VALUE!</v>
      </c>
      <c r="BL64" s="47" t="e">
        <f>_xll.qlPolynomialFunctionValue(BL$1,$BD64,AllTriggers)</f>
        <v>#VALUE!</v>
      </c>
      <c r="BM64" s="47" t="e">
        <f>_xll.qlPolynomialFunctionValue(BM$1,$BD64,AllTriggers)</f>
        <v>#VALUE!</v>
      </c>
      <c r="BN64" s="47" t="e">
        <f>_xll.qlPolynomialFunctionValue(BN$1,$BD64,AllTriggers)</f>
        <v>#VALUE!</v>
      </c>
      <c r="BO64" s="47" t="e">
        <f>_xll.qlPolynomialFunctionValue(BO$1,$BD64,AllTriggers)</f>
        <v>#VALUE!</v>
      </c>
      <c r="BP64" s="47" t="e">
        <f>_xll.qlPolynomialFunctionValue(BP$1,$BD64,AllTriggers)</f>
        <v>#VALUE!</v>
      </c>
      <c r="BQ64" s="47">
        <f>_xll.qlPolynomialFunctionValue('12MSynthDepo_used'!$P$18,BD64,AllTriggers)</f>
        <v>2.9618228426895989E-3</v>
      </c>
    </row>
    <row r="65" spans="3:69" x14ac:dyDescent="0.2">
      <c r="C65" s="194"/>
      <c r="D65" s="194"/>
      <c r="E65" s="195"/>
      <c r="F65" s="125" t="s">
        <v>69</v>
      </c>
      <c r="G65" s="125" t="s">
        <v>68</v>
      </c>
      <c r="H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0"/>
      <c r="AC65" s="256"/>
      <c r="BC65" s="178">
        <f>_xll.qlCalendarAdvance(Calendar,BC64,"1d","mf",,Trigger)</f>
        <v>42362</v>
      </c>
      <c r="BD65" s="41">
        <f>_xll.qlDayCounterYearFraction(DayCounter,SettlementDate,BC65,,,Trigger)</f>
        <v>0.23055555555555557</v>
      </c>
      <c r="BE65" s="47" t="e">
        <f>_xll.qlPolynomialFunctionValue(BE$1,$BD65,AllTriggers)</f>
        <v>#VALUE!</v>
      </c>
      <c r="BF65" s="47" t="e">
        <f>_xll.qlPolynomialFunctionValue(BF$1,$BD65,AllTriggers)</f>
        <v>#VALUE!</v>
      </c>
      <c r="BG65" s="47" t="e">
        <f>_xll.qlPolynomialFunctionValue(BG$1,$BD65,AllTriggers)</f>
        <v>#VALUE!</v>
      </c>
      <c r="BH65" s="47" t="e">
        <f>_xll.qlPolynomialFunctionValue(BH$1,$BD65,AllTriggers)</f>
        <v>#VALUE!</v>
      </c>
      <c r="BI65" s="47" t="e">
        <f>_xll.qlPolynomialFunctionValue(BI$1,$BD65,AllTriggers)</f>
        <v>#VALUE!</v>
      </c>
      <c r="BJ65" s="47" t="e">
        <f>_xll.qlPolynomialFunctionValue(BJ$1,$BD65,AllTriggers)</f>
        <v>#VALUE!</v>
      </c>
      <c r="BK65" s="47" t="e">
        <f>_xll.qlPolynomialFunctionValue(BK$1,$BD65,AllTriggers)</f>
        <v>#VALUE!</v>
      </c>
      <c r="BL65" s="47" t="e">
        <f>_xll.qlPolynomialFunctionValue(BL$1,$BD65,AllTriggers)</f>
        <v>#VALUE!</v>
      </c>
      <c r="BM65" s="47" t="e">
        <f>_xll.qlPolynomialFunctionValue(BM$1,$BD65,AllTriggers)</f>
        <v>#VALUE!</v>
      </c>
      <c r="BN65" s="47" t="e">
        <f>_xll.qlPolynomialFunctionValue(BN$1,$BD65,AllTriggers)</f>
        <v>#VALUE!</v>
      </c>
      <c r="BO65" s="47" t="e">
        <f>_xll.qlPolynomialFunctionValue(BO$1,$BD65,AllTriggers)</f>
        <v>#VALUE!</v>
      </c>
      <c r="BP65" s="47" t="e">
        <f>_xll.qlPolynomialFunctionValue(BP$1,$BD65,AllTriggers)</f>
        <v>#VALUE!</v>
      </c>
      <c r="BQ65" s="47">
        <f>_xll.qlPolynomialFunctionValue('12MSynthDepo_used'!$P$18,BD65,AllTriggers)</f>
        <v>2.9633936346873863E-3</v>
      </c>
    </row>
    <row r="66" spans="3:69" x14ac:dyDescent="0.2">
      <c r="C66" s="194"/>
      <c r="D66" s="194"/>
      <c r="E66" s="195"/>
      <c r="F66" s="189" t="str">
        <f t="shared" ref="F66:F78" si="21">C51&amp;"x"&amp;C51+SUBSTITUTE($D$24,"M","")&amp;"F"</f>
        <v>0x12F</v>
      </c>
      <c r="G66" s="156" t="e">
        <f t="shared" ref="G66:AC66" si="22">$AD51-G51</f>
        <v>#VALUE!</v>
      </c>
      <c r="H66" s="156" t="e">
        <f t="shared" si="22"/>
        <v>#VALUE!</v>
      </c>
      <c r="I66" s="19">
        <f t="shared" si="22"/>
        <v>1.4199999999999998E-3</v>
      </c>
      <c r="J66" s="19">
        <f t="shared" si="22"/>
        <v>1.4199999999999998E-3</v>
      </c>
      <c r="K66" s="19">
        <f t="shared" si="22"/>
        <v>1.4199999999999998E-3</v>
      </c>
      <c r="L66" s="19">
        <f t="shared" si="22"/>
        <v>1.4199999999999998E-3</v>
      </c>
      <c r="M66" s="19">
        <f t="shared" si="22"/>
        <v>1.4199999999999998E-3</v>
      </c>
      <c r="N66" s="19">
        <f t="shared" si="22"/>
        <v>1.4199999999999998E-3</v>
      </c>
      <c r="O66" s="19">
        <f t="shared" si="22"/>
        <v>1.4199999999999998E-3</v>
      </c>
      <c r="P66" s="19">
        <f t="shared" si="22"/>
        <v>1.4199999999999998E-3</v>
      </c>
      <c r="Q66" s="19">
        <f t="shared" si="22"/>
        <v>1.4199999999999998E-3</v>
      </c>
      <c r="R66" s="19">
        <f t="shared" si="22"/>
        <v>1.4199999999999998E-3</v>
      </c>
      <c r="S66" s="156" t="e">
        <f t="shared" si="22"/>
        <v>#VALUE!</v>
      </c>
      <c r="T66" s="157" t="e">
        <f t="shared" si="22"/>
        <v>#VALUE!</v>
      </c>
      <c r="U66" s="158" t="e">
        <f t="shared" si="22"/>
        <v>#VALUE!</v>
      </c>
      <c r="V66" s="156" t="e">
        <f t="shared" si="22"/>
        <v>#VALUE!</v>
      </c>
      <c r="W66" s="156" t="e">
        <f t="shared" si="22"/>
        <v>#VALUE!</v>
      </c>
      <c r="X66" s="157" t="e">
        <f t="shared" si="22"/>
        <v>#VALUE!</v>
      </c>
      <c r="Y66" s="158" t="e">
        <f t="shared" si="22"/>
        <v>#VALUE!</v>
      </c>
      <c r="Z66" s="240" t="e">
        <f t="shared" si="22"/>
        <v>#VALUE!</v>
      </c>
      <c r="AA66" s="156" t="e">
        <f t="shared" si="22"/>
        <v>#VALUE!</v>
      </c>
      <c r="AB66" s="156" t="e">
        <f t="shared" si="22"/>
        <v>#VALUE!</v>
      </c>
      <c r="AC66" s="156">
        <f t="shared" si="22"/>
        <v>1.6597124918689031E-5</v>
      </c>
      <c r="BC66" s="178">
        <f>_xll.qlCalendarAdvance(Calendar,BC65,"1d","mf",,Trigger)</f>
        <v>42366</v>
      </c>
      <c r="BD66" s="41">
        <f>_xll.qlDayCounterYearFraction(DayCounter,SettlementDate,BC66,,,Trigger)</f>
        <v>0.24166666666666667</v>
      </c>
      <c r="BE66" s="47" t="e">
        <f>_xll.qlPolynomialFunctionValue(BE$1,$BD66,AllTriggers)</f>
        <v>#VALUE!</v>
      </c>
      <c r="BF66" s="47" t="e">
        <f>_xll.qlPolynomialFunctionValue(BF$1,$BD66,AllTriggers)</f>
        <v>#VALUE!</v>
      </c>
      <c r="BG66" s="47" t="e">
        <f>_xll.qlPolynomialFunctionValue(BG$1,$BD66,AllTriggers)</f>
        <v>#VALUE!</v>
      </c>
      <c r="BH66" s="47" t="e">
        <f>_xll.qlPolynomialFunctionValue(BH$1,$BD66,AllTriggers)</f>
        <v>#VALUE!</v>
      </c>
      <c r="BI66" s="47" t="e">
        <f>_xll.qlPolynomialFunctionValue(BI$1,$BD66,AllTriggers)</f>
        <v>#VALUE!</v>
      </c>
      <c r="BJ66" s="47" t="e">
        <f>_xll.qlPolynomialFunctionValue(BJ$1,$BD66,AllTriggers)</f>
        <v>#VALUE!</v>
      </c>
      <c r="BK66" s="47" t="e">
        <f>_xll.qlPolynomialFunctionValue(BK$1,$BD66,AllTriggers)</f>
        <v>#VALUE!</v>
      </c>
      <c r="BL66" s="47" t="e">
        <f>_xll.qlPolynomialFunctionValue(BL$1,$BD66,AllTriggers)</f>
        <v>#VALUE!</v>
      </c>
      <c r="BM66" s="47" t="e">
        <f>_xll.qlPolynomialFunctionValue(BM$1,$BD66,AllTriggers)</f>
        <v>#VALUE!</v>
      </c>
      <c r="BN66" s="47" t="e">
        <f>_xll.qlPolynomialFunctionValue(BN$1,$BD66,AllTriggers)</f>
        <v>#VALUE!</v>
      </c>
      <c r="BO66" s="47" t="e">
        <f>_xll.qlPolynomialFunctionValue(BO$1,$BD66,AllTriggers)</f>
        <v>#VALUE!</v>
      </c>
      <c r="BP66" s="47" t="e">
        <f>_xll.qlPolynomialFunctionValue(BP$1,$BD66,AllTriggers)</f>
        <v>#VALUE!</v>
      </c>
      <c r="BQ66" s="47">
        <f>_xll.qlPolynomialFunctionValue('12MSynthDepo_used'!$P$18,BD66,AllTriggers)</f>
        <v>2.9696891063377756E-3</v>
      </c>
    </row>
    <row r="67" spans="3:69" x14ac:dyDescent="0.2">
      <c r="C67" s="194"/>
      <c r="D67" s="194"/>
      <c r="E67" s="195"/>
      <c r="F67" s="190" t="str">
        <f t="shared" si="21"/>
        <v>1x13F</v>
      </c>
      <c r="G67" s="47" t="e">
        <f t="shared" ref="G67:AC67" si="23">$AD52-G52</f>
        <v>#VALUE!</v>
      </c>
      <c r="H67" s="47" t="e">
        <f t="shared" si="23"/>
        <v>#VALUE!</v>
      </c>
      <c r="I67" s="19">
        <f t="shared" si="23"/>
        <v>1.3999999999999998E-3</v>
      </c>
      <c r="J67" s="19">
        <f t="shared" si="23"/>
        <v>1.3999999999999998E-3</v>
      </c>
      <c r="K67" s="19">
        <f t="shared" si="23"/>
        <v>1.3999999999999998E-3</v>
      </c>
      <c r="L67" s="19">
        <f t="shared" si="23"/>
        <v>1.3999999999999998E-3</v>
      </c>
      <c r="M67" s="19">
        <f t="shared" si="23"/>
        <v>1.3999999999999998E-3</v>
      </c>
      <c r="N67" s="19">
        <f t="shared" si="23"/>
        <v>1.3999999999999998E-3</v>
      </c>
      <c r="O67" s="19">
        <f t="shared" si="23"/>
        <v>1.3999999999999998E-3</v>
      </c>
      <c r="P67" s="19">
        <f t="shared" si="23"/>
        <v>1.3999999999999998E-3</v>
      </c>
      <c r="Q67" s="19">
        <f t="shared" si="23"/>
        <v>1.3999999999999998E-3</v>
      </c>
      <c r="R67" s="19">
        <f t="shared" si="23"/>
        <v>1.3999999999999998E-3</v>
      </c>
      <c r="S67" s="47" t="e">
        <f t="shared" si="23"/>
        <v>#VALUE!</v>
      </c>
      <c r="T67" s="154" t="e">
        <f t="shared" si="23"/>
        <v>#VALUE!</v>
      </c>
      <c r="U67" s="155" t="e">
        <f t="shared" si="23"/>
        <v>#VALUE!</v>
      </c>
      <c r="V67" s="47" t="e">
        <f t="shared" si="23"/>
        <v>#VALUE!</v>
      </c>
      <c r="W67" s="47" t="e">
        <f t="shared" si="23"/>
        <v>#VALUE!</v>
      </c>
      <c r="X67" s="154" t="e">
        <f t="shared" si="23"/>
        <v>#VALUE!</v>
      </c>
      <c r="Y67" s="155" t="e">
        <f t="shared" si="23"/>
        <v>#VALUE!</v>
      </c>
      <c r="Z67" s="200" t="e">
        <f t="shared" si="23"/>
        <v>#VALUE!</v>
      </c>
      <c r="AA67" s="47" t="e">
        <f t="shared" si="23"/>
        <v>#VALUE!</v>
      </c>
      <c r="AB67" s="47" t="e">
        <f t="shared" si="23"/>
        <v>#VALUE!</v>
      </c>
      <c r="AC67" s="47">
        <f t="shared" si="23"/>
        <v>-4.7662368877301499E-6</v>
      </c>
      <c r="BC67" s="178">
        <f>_xll.qlCalendarAdvance(Calendar,BC66,"1d","mf",,Trigger)</f>
        <v>42367</v>
      </c>
      <c r="BD67" s="41">
        <f>_xll.qlDayCounterYearFraction(DayCounter,SettlementDate,BC67,,,Trigger)</f>
        <v>0.24444444444444444</v>
      </c>
      <c r="BE67" s="47" t="e">
        <f>_xll.qlPolynomialFunctionValue(BE$1,$BD67,AllTriggers)</f>
        <v>#VALUE!</v>
      </c>
      <c r="BF67" s="47" t="e">
        <f>_xll.qlPolynomialFunctionValue(BF$1,$BD67,AllTriggers)</f>
        <v>#VALUE!</v>
      </c>
      <c r="BG67" s="47" t="e">
        <f>_xll.qlPolynomialFunctionValue(BG$1,$BD67,AllTriggers)</f>
        <v>#VALUE!</v>
      </c>
      <c r="BH67" s="47" t="e">
        <f>_xll.qlPolynomialFunctionValue(BH$1,$BD67,AllTriggers)</f>
        <v>#VALUE!</v>
      </c>
      <c r="BI67" s="47" t="e">
        <f>_xll.qlPolynomialFunctionValue(BI$1,$BD67,AllTriggers)</f>
        <v>#VALUE!</v>
      </c>
      <c r="BJ67" s="47" t="e">
        <f>_xll.qlPolynomialFunctionValue(BJ$1,$BD67,AllTriggers)</f>
        <v>#VALUE!</v>
      </c>
      <c r="BK67" s="47" t="e">
        <f>_xll.qlPolynomialFunctionValue(BK$1,$BD67,AllTriggers)</f>
        <v>#VALUE!</v>
      </c>
      <c r="BL67" s="47" t="e">
        <f>_xll.qlPolynomialFunctionValue(BL$1,$BD67,AllTriggers)</f>
        <v>#VALUE!</v>
      </c>
      <c r="BM67" s="47" t="e">
        <f>_xll.qlPolynomialFunctionValue(BM$1,$BD67,AllTriggers)</f>
        <v>#VALUE!</v>
      </c>
      <c r="BN67" s="47" t="e">
        <f>_xll.qlPolynomialFunctionValue(BN$1,$BD67,AllTriggers)</f>
        <v>#VALUE!</v>
      </c>
      <c r="BO67" s="47" t="e">
        <f>_xll.qlPolynomialFunctionValue(BO$1,$BD67,AllTriggers)</f>
        <v>#VALUE!</v>
      </c>
      <c r="BP67" s="47" t="e">
        <f>_xll.qlPolynomialFunctionValue(BP$1,$BD67,AllTriggers)</f>
        <v>#VALUE!</v>
      </c>
      <c r="BQ67" s="47">
        <f>_xll.qlPolynomialFunctionValue('12MSynthDepo_used'!$P$18,BD67,AllTriggers)</f>
        <v>2.9712660239148642E-3</v>
      </c>
    </row>
    <row r="68" spans="3:69" x14ac:dyDescent="0.2">
      <c r="C68" s="194"/>
      <c r="D68" s="194"/>
      <c r="E68" s="195"/>
      <c r="F68" s="190" t="str">
        <f t="shared" si="21"/>
        <v>2x14F</v>
      </c>
      <c r="G68" s="47" t="e">
        <f t="shared" ref="G68:AC68" si="24">$AD53-G53</f>
        <v>#VALUE!</v>
      </c>
      <c r="H68" s="47" t="e">
        <f t="shared" si="24"/>
        <v>#VALUE!</v>
      </c>
      <c r="I68" s="19">
        <f t="shared" si="24"/>
        <v>1.3999999999999998E-3</v>
      </c>
      <c r="J68" s="19">
        <f t="shared" si="24"/>
        <v>1.3999999999999998E-3</v>
      </c>
      <c r="K68" s="19">
        <f t="shared" si="24"/>
        <v>1.3999999999999998E-3</v>
      </c>
      <c r="L68" s="19">
        <f t="shared" si="24"/>
        <v>1.3999999999999998E-3</v>
      </c>
      <c r="M68" s="19">
        <f t="shared" si="24"/>
        <v>1.3999999999999998E-3</v>
      </c>
      <c r="N68" s="19">
        <f t="shared" si="24"/>
        <v>1.3999999999999998E-3</v>
      </c>
      <c r="O68" s="19">
        <f t="shared" si="24"/>
        <v>1.3999999999999998E-3</v>
      </c>
      <c r="P68" s="19">
        <f t="shared" si="24"/>
        <v>1.3999999999999998E-3</v>
      </c>
      <c r="Q68" s="19">
        <f t="shared" si="24"/>
        <v>1.3999999999999998E-3</v>
      </c>
      <c r="R68" s="19">
        <f t="shared" si="24"/>
        <v>1.3999999999999998E-3</v>
      </c>
      <c r="S68" s="47" t="e">
        <f t="shared" si="24"/>
        <v>#VALUE!</v>
      </c>
      <c r="T68" s="154" t="e">
        <f t="shared" si="24"/>
        <v>#VALUE!</v>
      </c>
      <c r="U68" s="155" t="e">
        <f t="shared" si="24"/>
        <v>#VALUE!</v>
      </c>
      <c r="V68" s="47" t="e">
        <f t="shared" si="24"/>
        <v>#VALUE!</v>
      </c>
      <c r="W68" s="47" t="e">
        <f t="shared" si="24"/>
        <v>#VALUE!</v>
      </c>
      <c r="X68" s="154" t="e">
        <f t="shared" si="24"/>
        <v>#VALUE!</v>
      </c>
      <c r="Y68" s="155" t="e">
        <f t="shared" si="24"/>
        <v>#VALUE!</v>
      </c>
      <c r="Z68" s="200" t="e">
        <f t="shared" si="24"/>
        <v>#VALUE!</v>
      </c>
      <c r="AA68" s="47" t="e">
        <f t="shared" si="24"/>
        <v>#VALUE!</v>
      </c>
      <c r="AB68" s="47" t="e">
        <f t="shared" si="24"/>
        <v>#VALUE!</v>
      </c>
      <c r="AC68" s="47">
        <f t="shared" si="24"/>
        <v>-1.3408790302097762E-5</v>
      </c>
      <c r="BC68" s="178">
        <f>_xll.qlCalendarAdvance(Calendar,BC67,"1d","mf",,Trigger)</f>
        <v>42368</v>
      </c>
      <c r="BD68" s="41">
        <f>_xll.qlDayCounterYearFraction(DayCounter,SettlementDate,BC68,,,Trigger)</f>
        <v>0.24722222222222223</v>
      </c>
      <c r="BE68" s="47" t="e">
        <f>_xll.qlPolynomialFunctionValue(BE$1,$BD68,AllTriggers)</f>
        <v>#VALUE!</v>
      </c>
      <c r="BF68" s="47" t="e">
        <f>_xll.qlPolynomialFunctionValue(BF$1,$BD68,AllTriggers)</f>
        <v>#VALUE!</v>
      </c>
      <c r="BG68" s="47" t="e">
        <f>_xll.qlPolynomialFunctionValue(BG$1,$BD68,AllTriggers)</f>
        <v>#VALUE!</v>
      </c>
      <c r="BH68" s="47" t="e">
        <f>_xll.qlPolynomialFunctionValue(BH$1,$BD68,AllTriggers)</f>
        <v>#VALUE!</v>
      </c>
      <c r="BI68" s="47" t="e">
        <f>_xll.qlPolynomialFunctionValue(BI$1,$BD68,AllTriggers)</f>
        <v>#VALUE!</v>
      </c>
      <c r="BJ68" s="47" t="e">
        <f>_xll.qlPolynomialFunctionValue(BJ$1,$BD68,AllTriggers)</f>
        <v>#VALUE!</v>
      </c>
      <c r="BK68" s="47" t="e">
        <f>_xll.qlPolynomialFunctionValue(BK$1,$BD68,AllTriggers)</f>
        <v>#VALUE!</v>
      </c>
      <c r="BL68" s="47" t="e">
        <f>_xll.qlPolynomialFunctionValue(BL$1,$BD68,AllTriggers)</f>
        <v>#VALUE!</v>
      </c>
      <c r="BM68" s="47" t="e">
        <f>_xll.qlPolynomialFunctionValue(BM$1,$BD68,AllTriggers)</f>
        <v>#VALUE!</v>
      </c>
      <c r="BN68" s="47" t="e">
        <f>_xll.qlPolynomialFunctionValue(BN$1,$BD68,AllTriggers)</f>
        <v>#VALUE!</v>
      </c>
      <c r="BO68" s="47" t="e">
        <f>_xll.qlPolynomialFunctionValue(BO$1,$BD68,AllTriggers)</f>
        <v>#VALUE!</v>
      </c>
      <c r="BP68" s="47" t="e">
        <f>_xll.qlPolynomialFunctionValue(BP$1,$BD68,AllTriggers)</f>
        <v>#VALUE!</v>
      </c>
      <c r="BQ68" s="47">
        <f>_xll.qlPolynomialFunctionValue('12MSynthDepo_used'!$P$18,BD68,AllTriggers)</f>
        <v>2.9728441508576221E-3</v>
      </c>
    </row>
    <row r="69" spans="3:69" x14ac:dyDescent="0.2">
      <c r="C69" s="194"/>
      <c r="D69" s="194"/>
      <c r="E69" s="195"/>
      <c r="F69" s="190" t="str">
        <f t="shared" si="21"/>
        <v>3x15F</v>
      </c>
      <c r="G69" s="47" t="e">
        <f t="shared" ref="G69:AC69" si="25">$AD54-G54</f>
        <v>#VALUE!</v>
      </c>
      <c r="H69" s="47" t="e">
        <f t="shared" si="25"/>
        <v>#VALUE!</v>
      </c>
      <c r="I69" s="19">
        <f t="shared" si="25"/>
        <v>1.4199999999999998E-3</v>
      </c>
      <c r="J69" s="19">
        <f t="shared" si="25"/>
        <v>1.4199999999999998E-3</v>
      </c>
      <c r="K69" s="19">
        <f t="shared" si="25"/>
        <v>1.4199999999999998E-3</v>
      </c>
      <c r="L69" s="19">
        <f t="shared" si="25"/>
        <v>1.4199999999999998E-3</v>
      </c>
      <c r="M69" s="19">
        <f t="shared" si="25"/>
        <v>1.4199999999999998E-3</v>
      </c>
      <c r="N69" s="19">
        <f t="shared" si="25"/>
        <v>1.4199999999999998E-3</v>
      </c>
      <c r="O69" s="19">
        <f t="shared" si="25"/>
        <v>1.4199999999999998E-3</v>
      </c>
      <c r="P69" s="19">
        <f t="shared" si="25"/>
        <v>1.4199999999999998E-3</v>
      </c>
      <c r="Q69" s="19">
        <f t="shared" si="25"/>
        <v>1.4199999999999998E-3</v>
      </c>
      <c r="R69" s="19">
        <f t="shared" si="25"/>
        <v>1.4199999999999998E-3</v>
      </c>
      <c r="S69" s="47" t="e">
        <f t="shared" si="25"/>
        <v>#VALUE!</v>
      </c>
      <c r="T69" s="154" t="e">
        <f t="shared" si="25"/>
        <v>#VALUE!</v>
      </c>
      <c r="U69" s="155" t="e">
        <f t="shared" si="25"/>
        <v>#VALUE!</v>
      </c>
      <c r="V69" s="47" t="e">
        <f t="shared" si="25"/>
        <v>#VALUE!</v>
      </c>
      <c r="W69" s="47" t="e">
        <f t="shared" si="25"/>
        <v>#VALUE!</v>
      </c>
      <c r="X69" s="154" t="e">
        <f t="shared" si="25"/>
        <v>#VALUE!</v>
      </c>
      <c r="Y69" s="155" t="e">
        <f t="shared" si="25"/>
        <v>#VALUE!</v>
      </c>
      <c r="Z69" s="200" t="e">
        <f t="shared" si="25"/>
        <v>#VALUE!</v>
      </c>
      <c r="AA69" s="47" t="e">
        <f t="shared" si="25"/>
        <v>#VALUE!</v>
      </c>
      <c r="AB69" s="47" t="e">
        <f t="shared" si="25"/>
        <v>#VALUE!</v>
      </c>
      <c r="AC69" s="47">
        <f t="shared" si="25"/>
        <v>-1.4062021259955617E-5</v>
      </c>
      <c r="BC69" s="178">
        <f>_xll.qlCalendarAdvance(Calendar,BC68,"1d","mf",,Trigger)</f>
        <v>42369</v>
      </c>
      <c r="BD69" s="41">
        <f>_xll.qlDayCounterYearFraction(DayCounter,SettlementDate,BC69,,,Trigger)</f>
        <v>0.25</v>
      </c>
      <c r="BE69" s="47" t="e">
        <f>_xll.qlPolynomialFunctionValue(BE$1,$BD69,AllTriggers)</f>
        <v>#VALUE!</v>
      </c>
      <c r="BF69" s="47" t="e">
        <f>_xll.qlPolynomialFunctionValue(BF$1,$BD69,AllTriggers)</f>
        <v>#VALUE!</v>
      </c>
      <c r="BG69" s="47" t="e">
        <f>_xll.qlPolynomialFunctionValue(BG$1,$BD69,AllTriggers)</f>
        <v>#VALUE!</v>
      </c>
      <c r="BH69" s="47" t="e">
        <f>_xll.qlPolynomialFunctionValue(BH$1,$BD69,AllTriggers)</f>
        <v>#VALUE!</v>
      </c>
      <c r="BI69" s="47" t="e">
        <f>_xll.qlPolynomialFunctionValue(BI$1,$BD69,AllTriggers)</f>
        <v>#VALUE!</v>
      </c>
      <c r="BJ69" s="47" t="e">
        <f>_xll.qlPolynomialFunctionValue(BJ$1,$BD69,AllTriggers)</f>
        <v>#VALUE!</v>
      </c>
      <c r="BK69" s="47" t="e">
        <f>_xll.qlPolynomialFunctionValue(BK$1,$BD69,AllTriggers)</f>
        <v>#VALUE!</v>
      </c>
      <c r="BL69" s="47" t="e">
        <f>_xll.qlPolynomialFunctionValue(BL$1,$BD69,AllTriggers)</f>
        <v>#VALUE!</v>
      </c>
      <c r="BM69" s="47" t="e">
        <f>_xll.qlPolynomialFunctionValue(BM$1,$BD69,AllTriggers)</f>
        <v>#VALUE!</v>
      </c>
      <c r="BN69" s="47" t="e">
        <f>_xll.qlPolynomialFunctionValue(BN$1,$BD69,AllTriggers)</f>
        <v>#VALUE!</v>
      </c>
      <c r="BO69" s="47" t="e">
        <f>_xll.qlPolynomialFunctionValue(BO$1,$BD69,AllTriggers)</f>
        <v>#VALUE!</v>
      </c>
      <c r="BP69" s="47" t="e">
        <f>_xll.qlPolynomialFunctionValue(BP$1,$BD69,AllTriggers)</f>
        <v>#VALUE!</v>
      </c>
      <c r="BQ69" s="47">
        <f>_xll.qlPolynomialFunctionValue('12MSynthDepo_used'!$P$18,BD69,AllTriggers)</f>
        <v>2.9744234819159853E-3</v>
      </c>
    </row>
    <row r="70" spans="3:69" x14ac:dyDescent="0.2">
      <c r="C70" s="194"/>
      <c r="D70" s="194"/>
      <c r="E70" s="195"/>
      <c r="F70" s="190" t="str">
        <f t="shared" si="21"/>
        <v>4x16F</v>
      </c>
      <c r="G70" s="47" t="e">
        <f t="shared" ref="G70:AC70" si="26">$AD55-G55</f>
        <v>#VALUE!</v>
      </c>
      <c r="H70" s="47" t="e">
        <f t="shared" si="26"/>
        <v>#VALUE!</v>
      </c>
      <c r="I70" s="19">
        <f t="shared" si="26"/>
        <v>1.4599999999999999E-3</v>
      </c>
      <c r="J70" s="19">
        <f t="shared" si="26"/>
        <v>1.4599999999999999E-3</v>
      </c>
      <c r="K70" s="19">
        <f t="shared" si="26"/>
        <v>1.4599999999999999E-3</v>
      </c>
      <c r="L70" s="19">
        <f t="shared" si="26"/>
        <v>1.4599999999999999E-3</v>
      </c>
      <c r="M70" s="19">
        <f t="shared" si="26"/>
        <v>1.4599999999999999E-3</v>
      </c>
      <c r="N70" s="19">
        <f t="shared" si="26"/>
        <v>1.4599999999999999E-3</v>
      </c>
      <c r="O70" s="19">
        <f t="shared" si="26"/>
        <v>1.4599999999999999E-3</v>
      </c>
      <c r="P70" s="19">
        <f t="shared" si="26"/>
        <v>1.4599999999999999E-3</v>
      </c>
      <c r="Q70" s="19">
        <f t="shared" si="26"/>
        <v>1.4599999999999999E-3</v>
      </c>
      <c r="R70" s="19">
        <f t="shared" si="26"/>
        <v>1.4599999999999999E-3</v>
      </c>
      <c r="S70" s="47" t="e">
        <f t="shared" si="26"/>
        <v>#VALUE!</v>
      </c>
      <c r="T70" s="154" t="e">
        <f t="shared" si="26"/>
        <v>#VALUE!</v>
      </c>
      <c r="U70" s="155" t="e">
        <f t="shared" si="26"/>
        <v>#VALUE!</v>
      </c>
      <c r="V70" s="47" t="e">
        <f t="shared" si="26"/>
        <v>#VALUE!</v>
      </c>
      <c r="W70" s="47" t="e">
        <f t="shared" si="26"/>
        <v>#VALUE!</v>
      </c>
      <c r="X70" s="154" t="e">
        <f t="shared" si="26"/>
        <v>#VALUE!</v>
      </c>
      <c r="Y70" s="155" t="e">
        <f t="shared" si="26"/>
        <v>#VALUE!</v>
      </c>
      <c r="Z70" s="200" t="e">
        <f t="shared" si="26"/>
        <v>#VALUE!</v>
      </c>
      <c r="AA70" s="47" t="e">
        <f t="shared" si="26"/>
        <v>#VALUE!</v>
      </c>
      <c r="AB70" s="47" t="e">
        <f t="shared" si="26"/>
        <v>#VALUE!</v>
      </c>
      <c r="AC70" s="47">
        <f t="shared" si="26"/>
        <v>1.9345131634660243E-7</v>
      </c>
      <c r="BC70" s="178">
        <f>_xll.qlCalendarAdvance(Calendar,BC69,"1d","mf",,Trigger)</f>
        <v>42373</v>
      </c>
      <c r="BD70" s="41">
        <f>_xll.qlDayCounterYearFraction(DayCounter,SettlementDate,BC70,,,Trigger)</f>
        <v>0.26111111111111113</v>
      </c>
      <c r="BE70" s="47" t="e">
        <f>_xll.qlPolynomialFunctionValue(BE$1,$BD70,AllTriggers)</f>
        <v>#VALUE!</v>
      </c>
      <c r="BF70" s="47" t="e">
        <f>_xll.qlPolynomialFunctionValue(BF$1,$BD70,AllTriggers)</f>
        <v>#VALUE!</v>
      </c>
      <c r="BG70" s="47" t="e">
        <f>_xll.qlPolynomialFunctionValue(BG$1,$BD70,AllTriggers)</f>
        <v>#VALUE!</v>
      </c>
      <c r="BH70" s="47" t="e">
        <f>_xll.qlPolynomialFunctionValue(BH$1,$BD70,AllTriggers)</f>
        <v>#VALUE!</v>
      </c>
      <c r="BI70" s="47" t="e">
        <f>_xll.qlPolynomialFunctionValue(BI$1,$BD70,AllTriggers)</f>
        <v>#VALUE!</v>
      </c>
      <c r="BJ70" s="47" t="e">
        <f>_xll.qlPolynomialFunctionValue(BJ$1,$BD70,AllTriggers)</f>
        <v>#VALUE!</v>
      </c>
      <c r="BK70" s="47" t="e">
        <f>_xll.qlPolynomialFunctionValue(BK$1,$BD70,AllTriggers)</f>
        <v>#VALUE!</v>
      </c>
      <c r="BL70" s="47" t="e">
        <f>_xll.qlPolynomialFunctionValue(BL$1,$BD70,AllTriggers)</f>
        <v>#VALUE!</v>
      </c>
      <c r="BM70" s="47" t="e">
        <f>_xll.qlPolynomialFunctionValue(BM$1,$BD70,AllTriggers)</f>
        <v>#VALUE!</v>
      </c>
      <c r="BN70" s="47" t="e">
        <f>_xll.qlPolynomialFunctionValue(BN$1,$BD70,AllTriggers)</f>
        <v>#VALUE!</v>
      </c>
      <c r="BO70" s="47" t="e">
        <f>_xll.qlPolynomialFunctionValue(BO$1,$BD70,AllTriggers)</f>
        <v>#VALUE!</v>
      </c>
      <c r="BP70" s="47" t="e">
        <f>_xll.qlPolynomialFunctionValue(BP$1,$BD70,AllTriggers)</f>
        <v>#VALUE!</v>
      </c>
      <c r="BQ70" s="47">
        <f>_xll.qlPolynomialFunctionValue('12MSynthDepo_used'!$P$18,BD70,AllTriggers)</f>
        <v>2.980752742304223E-3</v>
      </c>
    </row>
    <row r="71" spans="3:69" x14ac:dyDescent="0.2">
      <c r="C71" s="194"/>
      <c r="D71" s="194"/>
      <c r="F71" s="190" t="str">
        <f t="shared" si="21"/>
        <v>5x17F</v>
      </c>
      <c r="G71" s="47" t="e">
        <f t="shared" ref="G71:AC71" si="27">$AD56-G56</f>
        <v>#VALUE!</v>
      </c>
      <c r="H71" s="47" t="e">
        <f t="shared" si="27"/>
        <v>#VALUE!</v>
      </c>
      <c r="I71" s="19">
        <f t="shared" si="27"/>
        <v>1.49E-3</v>
      </c>
      <c r="J71" s="19">
        <f t="shared" si="27"/>
        <v>1.49E-3</v>
      </c>
      <c r="K71" s="19">
        <f t="shared" si="27"/>
        <v>1.49E-3</v>
      </c>
      <c r="L71" s="19">
        <f t="shared" si="27"/>
        <v>1.49E-3</v>
      </c>
      <c r="M71" s="19">
        <f t="shared" si="27"/>
        <v>1.49E-3</v>
      </c>
      <c r="N71" s="19">
        <f t="shared" si="27"/>
        <v>1.49E-3</v>
      </c>
      <c r="O71" s="19">
        <f t="shared" si="27"/>
        <v>1.49E-3</v>
      </c>
      <c r="P71" s="19">
        <f t="shared" si="27"/>
        <v>1.49E-3</v>
      </c>
      <c r="Q71" s="19">
        <f t="shared" si="27"/>
        <v>1.49E-3</v>
      </c>
      <c r="R71" s="19">
        <f t="shared" si="27"/>
        <v>1.49E-3</v>
      </c>
      <c r="S71" s="47" t="e">
        <f t="shared" si="27"/>
        <v>#VALUE!</v>
      </c>
      <c r="T71" s="154" t="e">
        <f t="shared" si="27"/>
        <v>#VALUE!</v>
      </c>
      <c r="U71" s="155" t="e">
        <f t="shared" si="27"/>
        <v>#VALUE!</v>
      </c>
      <c r="V71" s="47" t="e">
        <f t="shared" si="27"/>
        <v>#VALUE!</v>
      </c>
      <c r="W71" s="47" t="e">
        <f t="shared" si="27"/>
        <v>#VALUE!</v>
      </c>
      <c r="X71" s="154" t="e">
        <f t="shared" si="27"/>
        <v>#VALUE!</v>
      </c>
      <c r="Y71" s="155" t="e">
        <f t="shared" si="27"/>
        <v>#VALUE!</v>
      </c>
      <c r="Z71" s="200" t="e">
        <f t="shared" si="27"/>
        <v>#VALUE!</v>
      </c>
      <c r="AA71" s="47" t="e">
        <f t="shared" si="27"/>
        <v>#VALUE!</v>
      </c>
      <c r="AB71" s="47" t="e">
        <f t="shared" si="27"/>
        <v>#VALUE!</v>
      </c>
      <c r="AC71" s="47">
        <f t="shared" si="27"/>
        <v>-4.4025230706832598E-6</v>
      </c>
      <c r="BC71" s="178">
        <f>_xll.qlCalendarAdvance(Calendar,BC70,"1d","mf",,Trigger)</f>
        <v>42374</v>
      </c>
      <c r="BD71" s="41">
        <f>_xll.qlDayCounterYearFraction(DayCounter,SettlementDate,BC71,,,Trigger)</f>
        <v>0.2638888888888889</v>
      </c>
      <c r="BE71" s="47" t="e">
        <f>_xll.qlPolynomialFunctionValue(BE$1,$BD71,AllTriggers)</f>
        <v>#VALUE!</v>
      </c>
      <c r="BF71" s="47" t="e">
        <f>_xll.qlPolynomialFunctionValue(BF$1,$BD71,AllTriggers)</f>
        <v>#VALUE!</v>
      </c>
      <c r="BG71" s="47" t="e">
        <f>_xll.qlPolynomialFunctionValue(BG$1,$BD71,AllTriggers)</f>
        <v>#VALUE!</v>
      </c>
      <c r="BH71" s="47" t="e">
        <f>_xll.qlPolynomialFunctionValue(BH$1,$BD71,AllTriggers)</f>
        <v>#VALUE!</v>
      </c>
      <c r="BI71" s="47" t="e">
        <f>_xll.qlPolynomialFunctionValue(BI$1,$BD71,AllTriggers)</f>
        <v>#VALUE!</v>
      </c>
      <c r="BJ71" s="47" t="e">
        <f>_xll.qlPolynomialFunctionValue(BJ$1,$BD71,AllTriggers)</f>
        <v>#VALUE!</v>
      </c>
      <c r="BK71" s="47" t="e">
        <f>_xll.qlPolynomialFunctionValue(BK$1,$BD71,AllTriggers)</f>
        <v>#VALUE!</v>
      </c>
      <c r="BL71" s="47" t="e">
        <f>_xll.qlPolynomialFunctionValue(BL$1,$BD71,AllTriggers)</f>
        <v>#VALUE!</v>
      </c>
      <c r="BM71" s="47" t="e">
        <f>_xll.qlPolynomialFunctionValue(BM$1,$BD71,AllTriggers)</f>
        <v>#VALUE!</v>
      </c>
      <c r="BN71" s="47" t="e">
        <f>_xll.qlPolynomialFunctionValue(BN$1,$BD71,AllTriggers)</f>
        <v>#VALUE!</v>
      </c>
      <c r="BO71" s="47" t="e">
        <f>_xll.qlPolynomialFunctionValue(BO$1,$BD71,AllTriggers)</f>
        <v>#VALUE!</v>
      </c>
      <c r="BP71" s="47" t="e">
        <f>_xll.qlPolynomialFunctionValue(BP$1,$BD71,AllTriggers)</f>
        <v>#VALUE!</v>
      </c>
      <c r="BQ71" s="47">
        <f>_xll.qlPolynomialFunctionValue('12MSynthDepo_used'!$P$18,BD71,AllTriggers)</f>
        <v>2.98233801518966E-3</v>
      </c>
    </row>
    <row r="72" spans="3:69" x14ac:dyDescent="0.2">
      <c r="C72" s="194"/>
      <c r="D72" s="194"/>
      <c r="F72" s="190" t="str">
        <f t="shared" si="21"/>
        <v>6x18F</v>
      </c>
      <c r="G72" s="47" t="e">
        <f t="shared" ref="G72:AC72" si="28">$AD57-G57</f>
        <v>#VALUE!</v>
      </c>
      <c r="H72" s="47" t="e">
        <f t="shared" si="28"/>
        <v>#VALUE!</v>
      </c>
      <c r="I72" s="19">
        <f t="shared" si="28"/>
        <v>1.5499999999999999E-3</v>
      </c>
      <c r="J72" s="19">
        <f t="shared" si="28"/>
        <v>1.5499999999999999E-3</v>
      </c>
      <c r="K72" s="19">
        <f t="shared" si="28"/>
        <v>1.5499999999999999E-3</v>
      </c>
      <c r="L72" s="19">
        <f t="shared" si="28"/>
        <v>1.5499999999999999E-3</v>
      </c>
      <c r="M72" s="19">
        <f t="shared" si="28"/>
        <v>1.5499999999999999E-3</v>
      </c>
      <c r="N72" s="19">
        <f t="shared" si="28"/>
        <v>1.5499999999999999E-3</v>
      </c>
      <c r="O72" s="19">
        <f t="shared" si="28"/>
        <v>1.5499999999999999E-3</v>
      </c>
      <c r="P72" s="19">
        <f t="shared" si="28"/>
        <v>1.5499999999999999E-3</v>
      </c>
      <c r="Q72" s="19">
        <f t="shared" si="28"/>
        <v>1.5499999999999999E-3</v>
      </c>
      <c r="R72" s="19">
        <f t="shared" si="28"/>
        <v>1.5499999999999999E-3</v>
      </c>
      <c r="S72" s="47" t="e">
        <f t="shared" si="28"/>
        <v>#VALUE!</v>
      </c>
      <c r="T72" s="154" t="e">
        <f t="shared" si="28"/>
        <v>#VALUE!</v>
      </c>
      <c r="U72" s="155" t="e">
        <f t="shared" si="28"/>
        <v>#VALUE!</v>
      </c>
      <c r="V72" s="47" t="e">
        <f t="shared" si="28"/>
        <v>#VALUE!</v>
      </c>
      <c r="W72" s="47" t="e">
        <f t="shared" si="28"/>
        <v>#VALUE!</v>
      </c>
      <c r="X72" s="154" t="e">
        <f t="shared" si="28"/>
        <v>#VALUE!</v>
      </c>
      <c r="Y72" s="155" t="e">
        <f t="shared" si="28"/>
        <v>#VALUE!</v>
      </c>
      <c r="Z72" s="200" t="e">
        <f t="shared" si="28"/>
        <v>#VALUE!</v>
      </c>
      <c r="AA72" s="47" t="e">
        <f t="shared" si="28"/>
        <v>#VALUE!</v>
      </c>
      <c r="AB72" s="47" t="e">
        <f t="shared" si="28"/>
        <v>#VALUE!</v>
      </c>
      <c r="AC72" s="47">
        <f t="shared" si="28"/>
        <v>5.8623772428859425E-6</v>
      </c>
      <c r="BC72" s="178">
        <f>_xll.qlCalendarAdvance(Calendar,BC71,"1d","mf",,Trigger)</f>
        <v>42375</v>
      </c>
      <c r="BD72" s="41">
        <f>_xll.qlDayCounterYearFraction(DayCounter,SettlementDate,BC72,,,Trigger)</f>
        <v>0.26666666666666666</v>
      </c>
      <c r="BE72" s="47" t="e">
        <f>_xll.qlPolynomialFunctionValue(BE$1,$BD72,AllTriggers)</f>
        <v>#VALUE!</v>
      </c>
      <c r="BF72" s="47" t="e">
        <f>_xll.qlPolynomialFunctionValue(BF$1,$BD72,AllTriggers)</f>
        <v>#VALUE!</v>
      </c>
      <c r="BG72" s="47" t="e">
        <f>_xll.qlPolynomialFunctionValue(BG$1,$BD72,AllTriggers)</f>
        <v>#VALUE!</v>
      </c>
      <c r="BH72" s="47" t="e">
        <f>_xll.qlPolynomialFunctionValue(BH$1,$BD72,AllTriggers)</f>
        <v>#VALUE!</v>
      </c>
      <c r="BI72" s="47" t="e">
        <f>_xll.qlPolynomialFunctionValue(BI$1,$BD72,AllTriggers)</f>
        <v>#VALUE!</v>
      </c>
      <c r="BJ72" s="47" t="e">
        <f>_xll.qlPolynomialFunctionValue(BJ$1,$BD72,AllTriggers)</f>
        <v>#VALUE!</v>
      </c>
      <c r="BK72" s="47" t="e">
        <f>_xll.qlPolynomialFunctionValue(BK$1,$BD72,AllTriggers)</f>
        <v>#VALUE!</v>
      </c>
      <c r="BL72" s="47" t="e">
        <f>_xll.qlPolynomialFunctionValue(BL$1,$BD72,AllTriggers)</f>
        <v>#VALUE!</v>
      </c>
      <c r="BM72" s="47" t="e">
        <f>_xll.qlPolynomialFunctionValue(BM$1,$BD72,AllTriggers)</f>
        <v>#VALUE!</v>
      </c>
      <c r="BN72" s="47" t="e">
        <f>_xll.qlPolynomialFunctionValue(BN$1,$BD72,AllTriggers)</f>
        <v>#VALUE!</v>
      </c>
      <c r="BO72" s="47" t="e">
        <f>_xll.qlPolynomialFunctionValue(BO$1,$BD72,AllTriggers)</f>
        <v>#VALUE!</v>
      </c>
      <c r="BP72" s="47" t="e">
        <f>_xll.qlPolynomialFunctionValue(BP$1,$BD72,AllTriggers)</f>
        <v>#VALUE!</v>
      </c>
      <c r="BQ72" s="47">
        <f>_xll.qlPolynomialFunctionValue('12MSynthDepo_used'!$P$18,BD72,AllTriggers)</f>
        <v>2.9839244606903207E-3</v>
      </c>
    </row>
    <row r="73" spans="3:69" ht="11.25" customHeight="1" x14ac:dyDescent="0.2">
      <c r="C73" s="194"/>
      <c r="D73" s="194"/>
      <c r="F73" s="190" t="str">
        <f t="shared" si="21"/>
        <v>7x19F</v>
      </c>
      <c r="G73" s="47" t="e">
        <f t="shared" ref="G73:AC73" si="29">$AD58-G58</f>
        <v>#VALUE!</v>
      </c>
      <c r="H73" s="47" t="e">
        <f t="shared" si="29"/>
        <v>#VALUE!</v>
      </c>
      <c r="I73" s="19">
        <f t="shared" si="29"/>
        <v>1.6099999999999997E-3</v>
      </c>
      <c r="J73" s="19">
        <f t="shared" si="29"/>
        <v>1.6099999999999997E-3</v>
      </c>
      <c r="K73" s="19">
        <f t="shared" si="29"/>
        <v>1.6099999999999997E-3</v>
      </c>
      <c r="L73" s="19">
        <f t="shared" si="29"/>
        <v>1.6099999999999997E-3</v>
      </c>
      <c r="M73" s="19">
        <f t="shared" si="29"/>
        <v>1.6099999999999997E-3</v>
      </c>
      <c r="N73" s="19">
        <f t="shared" si="29"/>
        <v>1.6099999999999997E-3</v>
      </c>
      <c r="O73" s="19">
        <f t="shared" si="29"/>
        <v>1.6099999999999997E-3</v>
      </c>
      <c r="P73" s="19">
        <f t="shared" si="29"/>
        <v>1.6099999999999997E-3</v>
      </c>
      <c r="Q73" s="19">
        <f t="shared" si="29"/>
        <v>1.6099999999999997E-3</v>
      </c>
      <c r="R73" s="19">
        <f t="shared" si="29"/>
        <v>1.6099999999999997E-3</v>
      </c>
      <c r="S73" s="47" t="e">
        <f t="shared" si="29"/>
        <v>#VALUE!</v>
      </c>
      <c r="T73" s="154" t="e">
        <f t="shared" si="29"/>
        <v>#VALUE!</v>
      </c>
      <c r="U73" s="155" t="e">
        <f t="shared" si="29"/>
        <v>#VALUE!</v>
      </c>
      <c r="V73" s="47" t="e">
        <f t="shared" si="29"/>
        <v>#VALUE!</v>
      </c>
      <c r="W73" s="47" t="e">
        <f t="shared" si="29"/>
        <v>#VALUE!</v>
      </c>
      <c r="X73" s="154" t="e">
        <f t="shared" si="29"/>
        <v>#VALUE!</v>
      </c>
      <c r="Y73" s="155" t="e">
        <f t="shared" si="29"/>
        <v>#VALUE!</v>
      </c>
      <c r="Z73" s="200" t="e">
        <f t="shared" si="29"/>
        <v>#VALUE!</v>
      </c>
      <c r="AA73" s="47" t="e">
        <f t="shared" si="29"/>
        <v>#VALUE!</v>
      </c>
      <c r="AB73" s="47" t="e">
        <f t="shared" si="29"/>
        <v>#VALUE!</v>
      </c>
      <c r="AC73" s="47">
        <f t="shared" si="29"/>
        <v>1.4673523567240113E-5</v>
      </c>
      <c r="BC73" s="178">
        <f>_xll.qlCalendarAdvance(Calendar,BC72,"1d","mf",,Trigger)</f>
        <v>42376</v>
      </c>
      <c r="BD73" s="41">
        <f>_xll.qlDayCounterYearFraction(DayCounter,SettlementDate,BC73,,,Trigger)</f>
        <v>0.26944444444444443</v>
      </c>
      <c r="BE73" s="47" t="e">
        <f>_xll.qlPolynomialFunctionValue(BE$1,$BD73,AllTriggers)</f>
        <v>#VALUE!</v>
      </c>
      <c r="BF73" s="47" t="e">
        <f>_xll.qlPolynomialFunctionValue(BF$1,$BD73,AllTriggers)</f>
        <v>#VALUE!</v>
      </c>
      <c r="BG73" s="47" t="e">
        <f>_xll.qlPolynomialFunctionValue(BG$1,$BD73,AllTriggers)</f>
        <v>#VALUE!</v>
      </c>
      <c r="BH73" s="47" t="e">
        <f>_xll.qlPolynomialFunctionValue(BH$1,$BD73,AllTriggers)</f>
        <v>#VALUE!</v>
      </c>
      <c r="BI73" s="47" t="e">
        <f>_xll.qlPolynomialFunctionValue(BI$1,$BD73,AllTriggers)</f>
        <v>#VALUE!</v>
      </c>
      <c r="BJ73" s="47" t="e">
        <f>_xll.qlPolynomialFunctionValue(BJ$1,$BD73,AllTriggers)</f>
        <v>#VALUE!</v>
      </c>
      <c r="BK73" s="47" t="e">
        <f>_xll.qlPolynomialFunctionValue(BK$1,$BD73,AllTriggers)</f>
        <v>#VALUE!</v>
      </c>
      <c r="BL73" s="47" t="e">
        <f>_xll.qlPolynomialFunctionValue(BL$1,$BD73,AllTriggers)</f>
        <v>#VALUE!</v>
      </c>
      <c r="BM73" s="47" t="e">
        <f>_xll.qlPolynomialFunctionValue(BM$1,$BD73,AllTriggers)</f>
        <v>#VALUE!</v>
      </c>
      <c r="BN73" s="47" t="e">
        <f>_xll.qlPolynomialFunctionValue(BN$1,$BD73,AllTriggers)</f>
        <v>#VALUE!</v>
      </c>
      <c r="BO73" s="47" t="e">
        <f>_xll.qlPolynomialFunctionValue(BO$1,$BD73,AllTriggers)</f>
        <v>#VALUE!</v>
      </c>
      <c r="BP73" s="47" t="e">
        <f>_xll.qlPolynomialFunctionValue(BP$1,$BD73,AllTriggers)</f>
        <v>#VALUE!</v>
      </c>
      <c r="BQ73" s="47">
        <f>_xll.qlPolynomialFunctionValue('12MSynthDepo_used'!$P$18,BD73,AllTriggers)</f>
        <v>2.9855120735561417E-3</v>
      </c>
    </row>
    <row r="74" spans="3:69" x14ac:dyDescent="0.2">
      <c r="C74" s="194"/>
      <c r="D74" s="194"/>
      <c r="F74" s="190" t="str">
        <f t="shared" si="21"/>
        <v>8x20F</v>
      </c>
      <c r="G74" s="47" t="e">
        <f t="shared" ref="G74:AC74" si="30">$AD59-G59</f>
        <v>#VALUE!</v>
      </c>
      <c r="H74" s="47" t="e">
        <f t="shared" si="30"/>
        <v>#VALUE!</v>
      </c>
      <c r="I74" s="19">
        <f t="shared" si="30"/>
        <v>1.6699999999999998E-3</v>
      </c>
      <c r="J74" s="19">
        <f t="shared" si="30"/>
        <v>1.6699999999999998E-3</v>
      </c>
      <c r="K74" s="19">
        <f t="shared" si="30"/>
        <v>1.6699999999999998E-3</v>
      </c>
      <c r="L74" s="19">
        <f t="shared" si="30"/>
        <v>1.6699999999999998E-3</v>
      </c>
      <c r="M74" s="19">
        <f t="shared" si="30"/>
        <v>1.6699999999999998E-3</v>
      </c>
      <c r="N74" s="19">
        <f t="shared" si="30"/>
        <v>1.6699999999999998E-3</v>
      </c>
      <c r="O74" s="19">
        <f t="shared" si="30"/>
        <v>1.6699999999999998E-3</v>
      </c>
      <c r="P74" s="19">
        <f t="shared" si="30"/>
        <v>1.6699999999999998E-3</v>
      </c>
      <c r="Q74" s="19">
        <f t="shared" si="30"/>
        <v>1.6699999999999998E-3</v>
      </c>
      <c r="R74" s="19">
        <f t="shared" si="30"/>
        <v>1.6699999999999998E-3</v>
      </c>
      <c r="S74" s="47" t="e">
        <f t="shared" si="30"/>
        <v>#VALUE!</v>
      </c>
      <c r="T74" s="154" t="e">
        <f t="shared" si="30"/>
        <v>#VALUE!</v>
      </c>
      <c r="U74" s="155" t="e">
        <f t="shared" si="30"/>
        <v>#VALUE!</v>
      </c>
      <c r="V74" s="47" t="e">
        <f t="shared" si="30"/>
        <v>#VALUE!</v>
      </c>
      <c r="W74" s="47" t="e">
        <f t="shared" si="30"/>
        <v>#VALUE!</v>
      </c>
      <c r="X74" s="154" t="e">
        <f t="shared" si="30"/>
        <v>#VALUE!</v>
      </c>
      <c r="Y74" s="155" t="e">
        <f t="shared" si="30"/>
        <v>#VALUE!</v>
      </c>
      <c r="Z74" s="200" t="e">
        <f t="shared" si="30"/>
        <v>#VALUE!</v>
      </c>
      <c r="AA74" s="47" t="e">
        <f t="shared" si="30"/>
        <v>#VALUE!</v>
      </c>
      <c r="AB74" s="47" t="e">
        <f t="shared" si="30"/>
        <v>#VALUE!</v>
      </c>
      <c r="AC74" s="47">
        <f t="shared" si="30"/>
        <v>7.3407344164196E-6</v>
      </c>
      <c r="BC74" s="178">
        <f>_xll.qlCalendarAdvance(Calendar,BC73,"1d","mf",,Trigger)</f>
        <v>42377</v>
      </c>
      <c r="BD74" s="41">
        <f>_xll.qlDayCounterYearFraction(DayCounter,SettlementDate,BC74,,,Trigger)</f>
        <v>0.2722222222222222</v>
      </c>
      <c r="BE74" s="47" t="e">
        <f>_xll.qlPolynomialFunctionValue(BE$1,$BD74,AllTriggers)</f>
        <v>#VALUE!</v>
      </c>
      <c r="BF74" s="47" t="e">
        <f>_xll.qlPolynomialFunctionValue(BF$1,$BD74,AllTriggers)</f>
        <v>#VALUE!</v>
      </c>
      <c r="BG74" s="47" t="e">
        <f>_xll.qlPolynomialFunctionValue(BG$1,$BD74,AllTriggers)</f>
        <v>#VALUE!</v>
      </c>
      <c r="BH74" s="47" t="e">
        <f>_xll.qlPolynomialFunctionValue(BH$1,$BD74,AllTriggers)</f>
        <v>#VALUE!</v>
      </c>
      <c r="BI74" s="47" t="e">
        <f>_xll.qlPolynomialFunctionValue(BI$1,$BD74,AllTriggers)</f>
        <v>#VALUE!</v>
      </c>
      <c r="BJ74" s="47" t="e">
        <f>_xll.qlPolynomialFunctionValue(BJ$1,$BD74,AllTriggers)</f>
        <v>#VALUE!</v>
      </c>
      <c r="BK74" s="47" t="e">
        <f>_xll.qlPolynomialFunctionValue(BK$1,$BD74,AllTriggers)</f>
        <v>#VALUE!</v>
      </c>
      <c r="BL74" s="47" t="e">
        <f>_xll.qlPolynomialFunctionValue(BL$1,$BD74,AllTriggers)</f>
        <v>#VALUE!</v>
      </c>
      <c r="BM74" s="47" t="e">
        <f>_xll.qlPolynomialFunctionValue(BM$1,$BD74,AllTriggers)</f>
        <v>#VALUE!</v>
      </c>
      <c r="BN74" s="47" t="e">
        <f>_xll.qlPolynomialFunctionValue(BN$1,$BD74,AllTriggers)</f>
        <v>#VALUE!</v>
      </c>
      <c r="BO74" s="47" t="e">
        <f>_xll.qlPolynomialFunctionValue(BO$1,$BD74,AllTriggers)</f>
        <v>#VALUE!</v>
      </c>
      <c r="BP74" s="47" t="e">
        <f>_xll.qlPolynomialFunctionValue(BP$1,$BD74,AllTriggers)</f>
        <v>#VALUE!</v>
      </c>
      <c r="BQ74" s="47">
        <f>_xll.qlPolynomialFunctionValue('12MSynthDepo_used'!$P$18,BD74,AllTriggers)</f>
        <v>2.9871008485370587E-3</v>
      </c>
    </row>
    <row r="75" spans="3:69" x14ac:dyDescent="0.2">
      <c r="C75" s="194"/>
      <c r="D75" s="194"/>
      <c r="F75" s="190" t="str">
        <f t="shared" si="21"/>
        <v>9x21F</v>
      </c>
      <c r="G75" s="47" t="e">
        <f t="shared" ref="G75:AC75" si="31">$AD60-G60</f>
        <v>#VALUE!</v>
      </c>
      <c r="H75" s="47" t="e">
        <f t="shared" si="31"/>
        <v>#VALUE!</v>
      </c>
      <c r="I75" s="19">
        <f t="shared" si="31"/>
        <v>1.7499999999999998E-3</v>
      </c>
      <c r="J75" s="19">
        <f t="shared" si="31"/>
        <v>1.7499999999999998E-3</v>
      </c>
      <c r="K75" s="19">
        <f t="shared" si="31"/>
        <v>1.7499999999999998E-3</v>
      </c>
      <c r="L75" s="19">
        <f t="shared" si="31"/>
        <v>1.7499999999999998E-3</v>
      </c>
      <c r="M75" s="19">
        <f t="shared" si="31"/>
        <v>1.7499999999999998E-3</v>
      </c>
      <c r="N75" s="19">
        <f t="shared" si="31"/>
        <v>1.7499999999999998E-3</v>
      </c>
      <c r="O75" s="19">
        <f t="shared" si="31"/>
        <v>1.7499999999999998E-3</v>
      </c>
      <c r="P75" s="19">
        <f t="shared" si="31"/>
        <v>1.7499999999999998E-3</v>
      </c>
      <c r="Q75" s="19">
        <f t="shared" si="31"/>
        <v>1.7499999999999998E-3</v>
      </c>
      <c r="R75" s="19">
        <f t="shared" si="31"/>
        <v>1.7499999999999998E-3</v>
      </c>
      <c r="S75" s="47" t="e">
        <f t="shared" si="31"/>
        <v>#VALUE!</v>
      </c>
      <c r="T75" s="154" t="e">
        <f t="shared" si="31"/>
        <v>#VALUE!</v>
      </c>
      <c r="U75" s="155" t="e">
        <f t="shared" si="31"/>
        <v>#VALUE!</v>
      </c>
      <c r="V75" s="47" t="e">
        <f t="shared" si="31"/>
        <v>#VALUE!</v>
      </c>
      <c r="W75" s="47" t="e">
        <f t="shared" si="31"/>
        <v>#VALUE!</v>
      </c>
      <c r="X75" s="154" t="e">
        <f t="shared" si="31"/>
        <v>#VALUE!</v>
      </c>
      <c r="Y75" s="155" t="e">
        <f t="shared" si="31"/>
        <v>#VALUE!</v>
      </c>
      <c r="Z75" s="200" t="e">
        <f t="shared" si="31"/>
        <v>#VALUE!</v>
      </c>
      <c r="AA75" s="47" t="e">
        <f t="shared" si="31"/>
        <v>#VALUE!</v>
      </c>
      <c r="AB75" s="47" t="e">
        <f t="shared" si="31"/>
        <v>#VALUE!</v>
      </c>
      <c r="AC75" s="47">
        <f t="shared" si="31"/>
        <v>5.7355669839569481E-6</v>
      </c>
      <c r="BC75" s="178">
        <f>_xll.qlCalendarAdvance(Calendar,BC74,"1d","mf",,Trigger)</f>
        <v>42380</v>
      </c>
      <c r="BD75" s="41">
        <f>_xll.qlDayCounterYearFraction(DayCounter,SettlementDate,BC75,,,Trigger)</f>
        <v>0.28055555555555556</v>
      </c>
      <c r="BE75" s="47" t="e">
        <f>_xll.qlPolynomialFunctionValue(BE$1,$BD75,AllTriggers)</f>
        <v>#VALUE!</v>
      </c>
      <c r="BF75" s="47" t="e">
        <f>_xll.qlPolynomialFunctionValue(BF$1,$BD75,AllTriggers)</f>
        <v>#VALUE!</v>
      </c>
      <c r="BG75" s="47" t="e">
        <f>_xll.qlPolynomialFunctionValue(BG$1,$BD75,AllTriggers)</f>
        <v>#VALUE!</v>
      </c>
      <c r="BH75" s="47" t="e">
        <f>_xll.qlPolynomialFunctionValue(BH$1,$BD75,AllTriggers)</f>
        <v>#VALUE!</v>
      </c>
      <c r="BI75" s="47" t="e">
        <f>_xll.qlPolynomialFunctionValue(BI$1,$BD75,AllTriggers)</f>
        <v>#VALUE!</v>
      </c>
      <c r="BJ75" s="47" t="e">
        <f>_xll.qlPolynomialFunctionValue(BJ$1,$BD75,AllTriggers)</f>
        <v>#VALUE!</v>
      </c>
      <c r="BK75" s="47" t="e">
        <f>_xll.qlPolynomialFunctionValue(BK$1,$BD75,AllTriggers)</f>
        <v>#VALUE!</v>
      </c>
      <c r="BL75" s="47" t="e">
        <f>_xll.qlPolynomialFunctionValue(BL$1,$BD75,AllTriggers)</f>
        <v>#VALUE!</v>
      </c>
      <c r="BM75" s="47" t="e">
        <f>_xll.qlPolynomialFunctionValue(BM$1,$BD75,AllTriggers)</f>
        <v>#VALUE!</v>
      </c>
      <c r="BN75" s="47" t="e">
        <f>_xll.qlPolynomialFunctionValue(BN$1,$BD75,AllTriggers)</f>
        <v>#VALUE!</v>
      </c>
      <c r="BO75" s="47" t="e">
        <f>_xll.qlPolynomialFunctionValue(BO$1,$BD75,AllTriggers)</f>
        <v>#VALUE!</v>
      </c>
      <c r="BP75" s="47" t="e">
        <f>_xll.qlPolynomialFunctionValue(BP$1,$BD75,AllTriggers)</f>
        <v>#VALUE!</v>
      </c>
      <c r="BQ75" s="47">
        <f>_xll.qlPolynomialFunctionValue('12MSynthDepo_used'!$P$18,BD75,AllTriggers)</f>
        <v>2.9918740936697515E-3</v>
      </c>
    </row>
    <row r="76" spans="3:69" x14ac:dyDescent="0.2">
      <c r="C76" s="194"/>
      <c r="D76" s="194"/>
      <c r="F76" s="190" t="str">
        <f t="shared" si="21"/>
        <v>10x22F</v>
      </c>
      <c r="G76" s="47" t="e">
        <f t="shared" ref="G76:AC76" si="32">$AD61-G61</f>
        <v>#VALUE!</v>
      </c>
      <c r="H76" s="47" t="e">
        <f t="shared" si="32"/>
        <v>#VALUE!</v>
      </c>
      <c r="I76" s="19">
        <f t="shared" si="32"/>
        <v>1.83E-3</v>
      </c>
      <c r="J76" s="19">
        <f t="shared" si="32"/>
        <v>1.83E-3</v>
      </c>
      <c r="K76" s="19">
        <f t="shared" si="32"/>
        <v>1.83E-3</v>
      </c>
      <c r="L76" s="19">
        <f t="shared" si="32"/>
        <v>1.83E-3</v>
      </c>
      <c r="M76" s="19">
        <f t="shared" si="32"/>
        <v>1.83E-3</v>
      </c>
      <c r="N76" s="19">
        <f t="shared" si="32"/>
        <v>1.83E-3</v>
      </c>
      <c r="O76" s="19">
        <f t="shared" si="32"/>
        <v>1.83E-3</v>
      </c>
      <c r="P76" s="19">
        <f t="shared" si="32"/>
        <v>1.83E-3</v>
      </c>
      <c r="Q76" s="19">
        <f t="shared" si="32"/>
        <v>1.83E-3</v>
      </c>
      <c r="R76" s="19">
        <f t="shared" si="32"/>
        <v>1.83E-3</v>
      </c>
      <c r="S76" s="47" t="e">
        <f t="shared" si="32"/>
        <v>#VALUE!</v>
      </c>
      <c r="T76" s="154" t="e">
        <f t="shared" si="32"/>
        <v>#VALUE!</v>
      </c>
      <c r="U76" s="155" t="e">
        <f t="shared" si="32"/>
        <v>#VALUE!</v>
      </c>
      <c r="V76" s="47" t="e">
        <f t="shared" si="32"/>
        <v>#VALUE!</v>
      </c>
      <c r="W76" s="47" t="e">
        <f t="shared" si="32"/>
        <v>#VALUE!</v>
      </c>
      <c r="X76" s="154" t="e">
        <f t="shared" si="32"/>
        <v>#VALUE!</v>
      </c>
      <c r="Y76" s="155" t="e">
        <f t="shared" si="32"/>
        <v>#VALUE!</v>
      </c>
      <c r="Z76" s="200" t="e">
        <f t="shared" si="32"/>
        <v>#VALUE!</v>
      </c>
      <c r="AA76" s="47" t="e">
        <f t="shared" si="32"/>
        <v>#VALUE!</v>
      </c>
      <c r="AB76" s="47" t="e">
        <f t="shared" si="32"/>
        <v>#VALUE!</v>
      </c>
      <c r="AC76" s="47">
        <f t="shared" si="32"/>
        <v>2.3591544626101919E-6</v>
      </c>
      <c r="BC76" s="178">
        <f>_xll.qlCalendarAdvance(Calendar,BC75,"1d","mf",,Trigger)</f>
        <v>42381</v>
      </c>
      <c r="BD76" s="41">
        <f>_xll.qlDayCounterYearFraction(DayCounter,SettlementDate,BC76,,,Trigger)</f>
        <v>0.28333333333333333</v>
      </c>
      <c r="BE76" s="47" t="e">
        <f>_xll.qlPolynomialFunctionValue(BE$1,$BD76,AllTriggers)</f>
        <v>#VALUE!</v>
      </c>
      <c r="BF76" s="47" t="e">
        <f>_xll.qlPolynomialFunctionValue(BF$1,$BD76,AllTriggers)</f>
        <v>#VALUE!</v>
      </c>
      <c r="BG76" s="47" t="e">
        <f>_xll.qlPolynomialFunctionValue(BG$1,$BD76,AllTriggers)</f>
        <v>#VALUE!</v>
      </c>
      <c r="BH76" s="47" t="e">
        <f>_xll.qlPolynomialFunctionValue(BH$1,$BD76,AllTriggers)</f>
        <v>#VALUE!</v>
      </c>
      <c r="BI76" s="47" t="e">
        <f>_xll.qlPolynomialFunctionValue(BI$1,$BD76,AllTriggers)</f>
        <v>#VALUE!</v>
      </c>
      <c r="BJ76" s="47" t="e">
        <f>_xll.qlPolynomialFunctionValue(BJ$1,$BD76,AllTriggers)</f>
        <v>#VALUE!</v>
      </c>
      <c r="BK76" s="47" t="e">
        <f>_xll.qlPolynomialFunctionValue(BK$1,$BD76,AllTriggers)</f>
        <v>#VALUE!</v>
      </c>
      <c r="BL76" s="47" t="e">
        <f>_xll.qlPolynomialFunctionValue(BL$1,$BD76,AllTriggers)</f>
        <v>#VALUE!</v>
      </c>
      <c r="BM76" s="47" t="e">
        <f>_xll.qlPolynomialFunctionValue(BM$1,$BD76,AllTriggers)</f>
        <v>#VALUE!</v>
      </c>
      <c r="BN76" s="47" t="e">
        <f>_xll.qlPolynomialFunctionValue(BN$1,$BD76,AllTriggers)</f>
        <v>#VALUE!</v>
      </c>
      <c r="BO76" s="47" t="e">
        <f>_xll.qlPolynomialFunctionValue(BO$1,$BD76,AllTriggers)</f>
        <v>#VALUE!</v>
      </c>
      <c r="BP76" s="47" t="e">
        <f>_xll.qlPolynomialFunctionValue(BP$1,$BD76,AllTriggers)</f>
        <v>#VALUE!</v>
      </c>
      <c r="BQ76" s="47">
        <f>_xll.qlPolynomialFunctionValue('12MSynthDepo_used'!$P$18,BD76,AllTriggers)</f>
        <v>2.9934674646104175E-3</v>
      </c>
    </row>
    <row r="77" spans="3:69" x14ac:dyDescent="0.2">
      <c r="F77" s="190" t="str">
        <f t="shared" si="21"/>
        <v>11x23F</v>
      </c>
      <c r="G77" s="47" t="e">
        <f t="shared" ref="G77:AC77" si="33">$AD62-G62</f>
        <v>#VALUE!</v>
      </c>
      <c r="H77" s="47" t="e">
        <f t="shared" si="33"/>
        <v>#VALUE!</v>
      </c>
      <c r="I77" s="19">
        <f t="shared" si="33"/>
        <v>1.92E-3</v>
      </c>
      <c r="J77" s="19">
        <f t="shared" si="33"/>
        <v>1.92E-3</v>
      </c>
      <c r="K77" s="19">
        <f t="shared" si="33"/>
        <v>1.92E-3</v>
      </c>
      <c r="L77" s="19">
        <f t="shared" si="33"/>
        <v>1.92E-3</v>
      </c>
      <c r="M77" s="19">
        <f t="shared" si="33"/>
        <v>1.92E-3</v>
      </c>
      <c r="N77" s="19">
        <f t="shared" si="33"/>
        <v>1.92E-3</v>
      </c>
      <c r="O77" s="19">
        <f t="shared" si="33"/>
        <v>1.92E-3</v>
      </c>
      <c r="P77" s="19">
        <f t="shared" si="33"/>
        <v>1.92E-3</v>
      </c>
      <c r="Q77" s="19">
        <f t="shared" si="33"/>
        <v>1.92E-3</v>
      </c>
      <c r="R77" s="19">
        <f t="shared" si="33"/>
        <v>1.92E-3</v>
      </c>
      <c r="S77" s="47" t="e">
        <f t="shared" si="33"/>
        <v>#VALUE!</v>
      </c>
      <c r="T77" s="154" t="e">
        <f t="shared" si="33"/>
        <v>#VALUE!</v>
      </c>
      <c r="U77" s="155" t="e">
        <f t="shared" si="33"/>
        <v>#VALUE!</v>
      </c>
      <c r="V77" s="47" t="e">
        <f t="shared" si="33"/>
        <v>#VALUE!</v>
      </c>
      <c r="W77" s="47" t="e">
        <f t="shared" si="33"/>
        <v>#VALUE!</v>
      </c>
      <c r="X77" s="154" t="e">
        <f t="shared" si="33"/>
        <v>#VALUE!</v>
      </c>
      <c r="Y77" s="155" t="e">
        <f t="shared" si="33"/>
        <v>#VALUE!</v>
      </c>
      <c r="Z77" s="200" t="e">
        <f t="shared" si="33"/>
        <v>#VALUE!</v>
      </c>
      <c r="AA77" s="47" t="e">
        <f t="shared" si="33"/>
        <v>#VALUE!</v>
      </c>
      <c r="AB77" s="47" t="e">
        <f t="shared" si="33"/>
        <v>#VALUE!</v>
      </c>
      <c r="AC77" s="47">
        <f t="shared" si="33"/>
        <v>-9.0313005348232125E-6</v>
      </c>
      <c r="BC77" s="178">
        <f>_xll.qlCalendarAdvance(Calendar,BC76,"1d","mf",,Trigger)</f>
        <v>42382</v>
      </c>
      <c r="BD77" s="41">
        <f>_xll.qlDayCounterYearFraction(DayCounter,SettlementDate,BC77,,,Trigger)</f>
        <v>0.28611111111111109</v>
      </c>
      <c r="BE77" s="47" t="e">
        <f>_xll.qlPolynomialFunctionValue(BE$1,$BD77,AllTriggers)</f>
        <v>#VALUE!</v>
      </c>
      <c r="BF77" s="47" t="e">
        <f>_xll.qlPolynomialFunctionValue(BF$1,$BD77,AllTriggers)</f>
        <v>#VALUE!</v>
      </c>
      <c r="BG77" s="47" t="e">
        <f>_xll.qlPolynomialFunctionValue(BG$1,$BD77,AllTriggers)</f>
        <v>#VALUE!</v>
      </c>
      <c r="BH77" s="47" t="e">
        <f>_xll.qlPolynomialFunctionValue(BH$1,$BD77,AllTriggers)</f>
        <v>#VALUE!</v>
      </c>
      <c r="BI77" s="47" t="e">
        <f>_xll.qlPolynomialFunctionValue(BI$1,$BD77,AllTriggers)</f>
        <v>#VALUE!</v>
      </c>
      <c r="BJ77" s="47" t="e">
        <f>_xll.qlPolynomialFunctionValue(BJ$1,$BD77,AllTriggers)</f>
        <v>#VALUE!</v>
      </c>
      <c r="BK77" s="47" t="e">
        <f>_xll.qlPolynomialFunctionValue(BK$1,$BD77,AllTriggers)</f>
        <v>#VALUE!</v>
      </c>
      <c r="BL77" s="47" t="e">
        <f>_xll.qlPolynomialFunctionValue(BL$1,$BD77,AllTriggers)</f>
        <v>#VALUE!</v>
      </c>
      <c r="BM77" s="47" t="e">
        <f>_xll.qlPolynomialFunctionValue(BM$1,$BD77,AllTriggers)</f>
        <v>#VALUE!</v>
      </c>
      <c r="BN77" s="47" t="e">
        <f>_xll.qlPolynomialFunctionValue(BN$1,$BD77,AllTriggers)</f>
        <v>#VALUE!</v>
      </c>
      <c r="BO77" s="47" t="e">
        <f>_xll.qlPolynomialFunctionValue(BO$1,$BD77,AllTriggers)</f>
        <v>#VALUE!</v>
      </c>
      <c r="BP77" s="47" t="e">
        <f>_xll.qlPolynomialFunctionValue(BP$1,$BD77,AllTriggers)</f>
        <v>#VALUE!</v>
      </c>
      <c r="BQ77" s="47">
        <f>_xll.qlPolynomialFunctionValue('12MSynthDepo_used'!$P$18,BD77,AllTriggers)</f>
        <v>2.9950619714158612E-3</v>
      </c>
    </row>
    <row r="78" spans="3:69" x14ac:dyDescent="0.2">
      <c r="F78" s="277" t="str">
        <f t="shared" si="21"/>
        <v>12x24F</v>
      </c>
      <c r="G78" s="50" t="e">
        <f t="shared" ref="G78:AC78" si="34">$AD63-G63</f>
        <v>#VALUE!</v>
      </c>
      <c r="H78" s="50" t="e">
        <f t="shared" si="34"/>
        <v>#VALUE!</v>
      </c>
      <c r="I78" s="96">
        <f t="shared" si="34"/>
        <v>2.0299999999999997E-3</v>
      </c>
      <c r="J78" s="96">
        <f t="shared" si="34"/>
        <v>2.0299999999999997E-3</v>
      </c>
      <c r="K78" s="96">
        <f t="shared" si="34"/>
        <v>2.0299999999999997E-3</v>
      </c>
      <c r="L78" s="96">
        <f t="shared" si="34"/>
        <v>2.0299999999999997E-3</v>
      </c>
      <c r="M78" s="96">
        <f t="shared" si="34"/>
        <v>2.0299999999999997E-3</v>
      </c>
      <c r="N78" s="96">
        <f t="shared" si="34"/>
        <v>2.0299999999999997E-3</v>
      </c>
      <c r="O78" s="96">
        <f t="shared" si="34"/>
        <v>2.0299999999999997E-3</v>
      </c>
      <c r="P78" s="96">
        <f t="shared" si="34"/>
        <v>2.0299999999999997E-3</v>
      </c>
      <c r="Q78" s="96">
        <f t="shared" si="34"/>
        <v>2.0299999999999997E-3</v>
      </c>
      <c r="R78" s="96">
        <f t="shared" si="34"/>
        <v>2.0299999999999997E-3</v>
      </c>
      <c r="S78" s="50" t="e">
        <f t="shared" si="34"/>
        <v>#VALUE!</v>
      </c>
      <c r="T78" s="276" t="e">
        <f t="shared" si="34"/>
        <v>#VALUE!</v>
      </c>
      <c r="U78" s="275" t="e">
        <f t="shared" si="34"/>
        <v>#VALUE!</v>
      </c>
      <c r="V78" s="50" t="e">
        <f t="shared" si="34"/>
        <v>#VALUE!</v>
      </c>
      <c r="W78" s="50" t="e">
        <f t="shared" si="34"/>
        <v>#VALUE!</v>
      </c>
      <c r="X78" s="276" t="e">
        <f t="shared" si="34"/>
        <v>#VALUE!</v>
      </c>
      <c r="Y78" s="275" t="e">
        <f t="shared" si="34"/>
        <v>#VALUE!</v>
      </c>
      <c r="Z78" s="201" t="e">
        <f t="shared" si="34"/>
        <v>#VALUE!</v>
      </c>
      <c r="AA78" s="50" t="e">
        <f t="shared" si="34"/>
        <v>#VALUE!</v>
      </c>
      <c r="AB78" s="50" t="e">
        <f t="shared" si="34"/>
        <v>#VALUE!</v>
      </c>
      <c r="AC78" s="50">
        <f t="shared" si="34"/>
        <v>-7.822564137815232E-6</v>
      </c>
      <c r="BC78" s="178">
        <f>_xll.qlCalendarAdvance(Calendar,BC77,"1d","mf",,Trigger)</f>
        <v>42383</v>
      </c>
      <c r="BD78" s="41">
        <f>_xll.qlDayCounterYearFraction(DayCounter,SettlementDate,BC78,,,Trigger)</f>
        <v>0.28888888888888886</v>
      </c>
      <c r="BE78" s="47" t="e">
        <f>_xll.qlPolynomialFunctionValue(BE$1,$BD78,AllTriggers)</f>
        <v>#VALUE!</v>
      </c>
      <c r="BF78" s="47" t="e">
        <f>_xll.qlPolynomialFunctionValue(BF$1,$BD78,AllTriggers)</f>
        <v>#VALUE!</v>
      </c>
      <c r="BG78" s="47" t="e">
        <f>_xll.qlPolynomialFunctionValue(BG$1,$BD78,AllTriggers)</f>
        <v>#VALUE!</v>
      </c>
      <c r="BH78" s="47" t="e">
        <f>_xll.qlPolynomialFunctionValue(BH$1,$BD78,AllTriggers)</f>
        <v>#VALUE!</v>
      </c>
      <c r="BI78" s="47" t="e">
        <f>_xll.qlPolynomialFunctionValue(BI$1,$BD78,AllTriggers)</f>
        <v>#VALUE!</v>
      </c>
      <c r="BJ78" s="47" t="e">
        <f>_xll.qlPolynomialFunctionValue(BJ$1,$BD78,AllTriggers)</f>
        <v>#VALUE!</v>
      </c>
      <c r="BK78" s="47" t="e">
        <f>_xll.qlPolynomialFunctionValue(BK$1,$BD78,AllTriggers)</f>
        <v>#VALUE!</v>
      </c>
      <c r="BL78" s="47" t="e">
        <f>_xll.qlPolynomialFunctionValue(BL$1,$BD78,AllTriggers)</f>
        <v>#VALUE!</v>
      </c>
      <c r="BM78" s="47" t="e">
        <f>_xll.qlPolynomialFunctionValue(BM$1,$BD78,AllTriggers)</f>
        <v>#VALUE!</v>
      </c>
      <c r="BN78" s="47" t="e">
        <f>_xll.qlPolynomialFunctionValue(BN$1,$BD78,AllTriggers)</f>
        <v>#VALUE!</v>
      </c>
      <c r="BO78" s="47" t="e">
        <f>_xll.qlPolynomialFunctionValue(BO$1,$BD78,AllTriggers)</f>
        <v>#VALUE!</v>
      </c>
      <c r="BP78" s="47" t="e">
        <f>_xll.qlPolynomialFunctionValue(BP$1,$BD78,AllTriggers)</f>
        <v>#VALUE!</v>
      </c>
      <c r="BQ78" s="47">
        <f>_xll.qlPolynomialFunctionValue('12MSynthDepo_used'!$P$18,BD78,AllTriggers)</f>
        <v>2.99665760883602E-3</v>
      </c>
    </row>
    <row r="79" spans="3:69" x14ac:dyDescent="0.2">
      <c r="K79" s="55"/>
      <c r="L79" s="55"/>
      <c r="M79" s="55"/>
      <c r="N79" s="55"/>
      <c r="BC79" s="178">
        <f>_xll.qlCalendarAdvance(Calendar,BC78,"1d","mf",,Trigger)</f>
        <v>42384</v>
      </c>
      <c r="BD79" s="41">
        <f>_xll.qlDayCounterYearFraction(DayCounter,SettlementDate,BC79,,,Trigger)</f>
        <v>0.29166666666666669</v>
      </c>
      <c r="BE79" s="47" t="e">
        <f>_xll.qlPolynomialFunctionValue(BE$1,$BD79,AllTriggers)</f>
        <v>#VALUE!</v>
      </c>
      <c r="BF79" s="47" t="e">
        <f>_xll.qlPolynomialFunctionValue(BF$1,$BD79,AllTriggers)</f>
        <v>#VALUE!</v>
      </c>
      <c r="BG79" s="47" t="e">
        <f>_xll.qlPolynomialFunctionValue(BG$1,$BD79,AllTriggers)</f>
        <v>#VALUE!</v>
      </c>
      <c r="BH79" s="47" t="e">
        <f>_xll.qlPolynomialFunctionValue(BH$1,$BD79,AllTriggers)</f>
        <v>#VALUE!</v>
      </c>
      <c r="BI79" s="47" t="e">
        <f>_xll.qlPolynomialFunctionValue(BI$1,$BD79,AllTriggers)</f>
        <v>#VALUE!</v>
      </c>
      <c r="BJ79" s="47" t="e">
        <f>_xll.qlPolynomialFunctionValue(BJ$1,$BD79,AllTriggers)</f>
        <v>#VALUE!</v>
      </c>
      <c r="BK79" s="47" t="e">
        <f>_xll.qlPolynomialFunctionValue(BK$1,$BD79,AllTriggers)</f>
        <v>#VALUE!</v>
      </c>
      <c r="BL79" s="47" t="e">
        <f>_xll.qlPolynomialFunctionValue(BL$1,$BD79,AllTriggers)</f>
        <v>#VALUE!</v>
      </c>
      <c r="BM79" s="47" t="e">
        <f>_xll.qlPolynomialFunctionValue(BM$1,$BD79,AllTriggers)</f>
        <v>#VALUE!</v>
      </c>
      <c r="BN79" s="47" t="e">
        <f>_xll.qlPolynomialFunctionValue(BN$1,$BD79,AllTriggers)</f>
        <v>#VALUE!</v>
      </c>
      <c r="BO79" s="47" t="e">
        <f>_xll.qlPolynomialFunctionValue(BO$1,$BD79,AllTriggers)</f>
        <v>#VALUE!</v>
      </c>
      <c r="BP79" s="47" t="e">
        <f>_xll.qlPolynomialFunctionValue(BP$1,$BD79,AllTriggers)</f>
        <v>#VALUE!</v>
      </c>
      <c r="BQ79" s="47">
        <f>_xll.qlPolynomialFunctionValue('12MSynthDepo_used'!$P$18,BD79,AllTriggers)</f>
        <v>2.9982543716208297E-3</v>
      </c>
    </row>
    <row r="80" spans="3:69" x14ac:dyDescent="0.2">
      <c r="K80" s="55"/>
      <c r="L80" s="55"/>
      <c r="M80" s="55"/>
      <c r="N80" s="55"/>
      <c r="R80" s="34"/>
      <c r="BC80" s="178">
        <f>_xll.qlCalendarAdvance(Calendar,BC79,"1d","mf",,Trigger)</f>
        <v>42387</v>
      </c>
      <c r="BD80" s="41">
        <f>_xll.qlDayCounterYearFraction(DayCounter,SettlementDate,BC80,,,Trigger)</f>
        <v>0.3</v>
      </c>
      <c r="BE80" s="47" t="e">
        <f>_xll.qlPolynomialFunctionValue(BE$1,$BD80,AllTriggers)</f>
        <v>#VALUE!</v>
      </c>
      <c r="BF80" s="47" t="e">
        <f>_xll.qlPolynomialFunctionValue(BF$1,$BD80,AllTriggers)</f>
        <v>#VALUE!</v>
      </c>
      <c r="BG80" s="47" t="e">
        <f>_xll.qlPolynomialFunctionValue(BG$1,$BD80,AllTriggers)</f>
        <v>#VALUE!</v>
      </c>
      <c r="BH80" s="47" t="e">
        <f>_xll.qlPolynomialFunctionValue(BH$1,$BD80,AllTriggers)</f>
        <v>#VALUE!</v>
      </c>
      <c r="BI80" s="47" t="e">
        <f>_xll.qlPolynomialFunctionValue(BI$1,$BD80,AllTriggers)</f>
        <v>#VALUE!</v>
      </c>
      <c r="BJ80" s="47" t="e">
        <f>_xll.qlPolynomialFunctionValue(BJ$1,$BD80,AllTriggers)</f>
        <v>#VALUE!</v>
      </c>
      <c r="BK80" s="47" t="e">
        <f>_xll.qlPolynomialFunctionValue(BK$1,$BD80,AllTriggers)</f>
        <v>#VALUE!</v>
      </c>
      <c r="BL80" s="47" t="e">
        <f>_xll.qlPolynomialFunctionValue(BL$1,$BD80,AllTriggers)</f>
        <v>#VALUE!</v>
      </c>
      <c r="BM80" s="47" t="e">
        <f>_xll.qlPolynomialFunctionValue(BM$1,$BD80,AllTriggers)</f>
        <v>#VALUE!</v>
      </c>
      <c r="BN80" s="47" t="e">
        <f>_xll.qlPolynomialFunctionValue(BN$1,$BD80,AllTriggers)</f>
        <v>#VALUE!</v>
      </c>
      <c r="BO80" s="47" t="e">
        <f>_xll.qlPolynomialFunctionValue(BO$1,$BD80,AllTriggers)</f>
        <v>#VALUE!</v>
      </c>
      <c r="BP80" s="47" t="e">
        <f>_xll.qlPolynomialFunctionValue(BP$1,$BD80,AllTriggers)</f>
        <v>#VALUE!</v>
      </c>
      <c r="BQ80" s="47">
        <f>_xll.qlPolynomialFunctionValue('12MSynthDepo_used'!$P$18,BD80,AllTriggers)</f>
        <v>3.003051359662526E-3</v>
      </c>
    </row>
    <row r="81" spans="8:69" x14ac:dyDescent="0.2">
      <c r="K81" s="55"/>
      <c r="L81" s="55"/>
      <c r="M81" s="55"/>
      <c r="N81" s="55"/>
      <c r="R81" s="34"/>
      <c r="BC81" s="178">
        <f>_xll.qlCalendarAdvance(Calendar,BC80,"1d","mf",,Trigger)</f>
        <v>42388</v>
      </c>
      <c r="BD81" s="41">
        <f>_xll.qlDayCounterYearFraction(DayCounter,SettlementDate,BC81,,,Trigger)</f>
        <v>0.30277777777777776</v>
      </c>
      <c r="BE81" s="47" t="e">
        <f>_xll.qlPolynomialFunctionValue(BE$1,$BD81,AllTriggers)</f>
        <v>#VALUE!</v>
      </c>
      <c r="BF81" s="47" t="e">
        <f>_xll.qlPolynomialFunctionValue(BF$1,$BD81,AllTriggers)</f>
        <v>#VALUE!</v>
      </c>
      <c r="BG81" s="47" t="e">
        <f>_xll.qlPolynomialFunctionValue(BG$1,$BD81,AllTriggers)</f>
        <v>#VALUE!</v>
      </c>
      <c r="BH81" s="47" t="e">
        <f>_xll.qlPolynomialFunctionValue(BH$1,$BD81,AllTriggers)</f>
        <v>#VALUE!</v>
      </c>
      <c r="BI81" s="47" t="e">
        <f>_xll.qlPolynomialFunctionValue(BI$1,$BD81,AllTriggers)</f>
        <v>#VALUE!</v>
      </c>
      <c r="BJ81" s="47" t="e">
        <f>_xll.qlPolynomialFunctionValue(BJ$1,$BD81,AllTriggers)</f>
        <v>#VALUE!</v>
      </c>
      <c r="BK81" s="47" t="e">
        <f>_xll.qlPolynomialFunctionValue(BK$1,$BD81,AllTriggers)</f>
        <v>#VALUE!</v>
      </c>
      <c r="BL81" s="47" t="e">
        <f>_xll.qlPolynomialFunctionValue(BL$1,$BD81,AllTriggers)</f>
        <v>#VALUE!</v>
      </c>
      <c r="BM81" s="47" t="e">
        <f>_xll.qlPolynomialFunctionValue(BM$1,$BD81,AllTriggers)</f>
        <v>#VALUE!</v>
      </c>
      <c r="BN81" s="47" t="e">
        <f>_xll.qlPolynomialFunctionValue(BN$1,$BD81,AllTriggers)</f>
        <v>#VALUE!</v>
      </c>
      <c r="BO81" s="47" t="e">
        <f>_xll.qlPolynomialFunctionValue(BO$1,$BD81,AllTriggers)</f>
        <v>#VALUE!</v>
      </c>
      <c r="BP81" s="47" t="e">
        <f>_xll.qlPolynomialFunctionValue(BP$1,$BD81,AllTriggers)</f>
        <v>#VALUE!</v>
      </c>
      <c r="BQ81" s="47">
        <f>_xll.qlPolynomialFunctionValue('12MSynthDepo_used'!$P$18,BD81,AllTriggers)</f>
        <v>3.004652571405302E-3</v>
      </c>
    </row>
    <row r="82" spans="8:69" x14ac:dyDescent="0.2">
      <c r="K82" s="55"/>
      <c r="L82" s="55"/>
      <c r="M82" s="55"/>
      <c r="N82" s="55"/>
      <c r="R82" s="34"/>
      <c r="BC82" s="178">
        <f>_xll.qlCalendarAdvance(Calendar,BC81,"1d","mf",,Trigger)</f>
        <v>42389</v>
      </c>
      <c r="BD82" s="41">
        <f>_xll.qlDayCounterYearFraction(DayCounter,SettlementDate,BC82,,,Trigger)</f>
        <v>0.30555555555555558</v>
      </c>
      <c r="BE82" s="47" t="e">
        <f>_xll.qlPolynomialFunctionValue(BE$1,$BD82,AllTriggers)</f>
        <v>#VALUE!</v>
      </c>
      <c r="BF82" s="47" t="e">
        <f>_xll.qlPolynomialFunctionValue(BF$1,$BD82,AllTriggers)</f>
        <v>#VALUE!</v>
      </c>
      <c r="BG82" s="47" t="e">
        <f>_xll.qlPolynomialFunctionValue(BG$1,$BD82,AllTriggers)</f>
        <v>#VALUE!</v>
      </c>
      <c r="BH82" s="47" t="e">
        <f>_xll.qlPolynomialFunctionValue(BH$1,$BD82,AllTriggers)</f>
        <v>#VALUE!</v>
      </c>
      <c r="BI82" s="47" t="e">
        <f>_xll.qlPolynomialFunctionValue(BI$1,$BD82,AllTriggers)</f>
        <v>#VALUE!</v>
      </c>
      <c r="BJ82" s="47" t="e">
        <f>_xll.qlPolynomialFunctionValue(BJ$1,$BD82,AllTriggers)</f>
        <v>#VALUE!</v>
      </c>
      <c r="BK82" s="47" t="e">
        <f>_xll.qlPolynomialFunctionValue(BK$1,$BD82,AllTriggers)</f>
        <v>#VALUE!</v>
      </c>
      <c r="BL82" s="47" t="e">
        <f>_xll.qlPolynomialFunctionValue(BL$1,$BD82,AllTriggers)</f>
        <v>#VALUE!</v>
      </c>
      <c r="BM82" s="47" t="e">
        <f>_xll.qlPolynomialFunctionValue(BM$1,$BD82,AllTriggers)</f>
        <v>#VALUE!</v>
      </c>
      <c r="BN82" s="47" t="e">
        <f>_xll.qlPolynomialFunctionValue(BN$1,$BD82,AllTriggers)</f>
        <v>#VALUE!</v>
      </c>
      <c r="BO82" s="47" t="e">
        <f>_xll.qlPolynomialFunctionValue(BO$1,$BD82,AllTriggers)</f>
        <v>#VALUE!</v>
      </c>
      <c r="BP82" s="47" t="e">
        <f>_xll.qlPolynomialFunctionValue(BP$1,$BD82,AllTriggers)</f>
        <v>#VALUE!</v>
      </c>
      <c r="BQ82" s="47">
        <f>_xll.qlPolynomialFunctionValue('12MSynthDepo_used'!$P$18,BD82,AllTriggers)</f>
        <v>3.0062548822624101E-3</v>
      </c>
    </row>
    <row r="83" spans="8:69" x14ac:dyDescent="0.2">
      <c r="K83" s="55"/>
      <c r="L83" s="55"/>
      <c r="M83" s="55"/>
      <c r="N83" s="55"/>
      <c r="R83" s="34"/>
      <c r="BC83" s="178">
        <f>_xll.qlCalendarAdvance(Calendar,BC82,"1d","mf",,Trigger)</f>
        <v>42390</v>
      </c>
      <c r="BD83" s="41">
        <f>_xll.qlDayCounterYearFraction(DayCounter,SettlementDate,BC83,,,Trigger)</f>
        <v>0.30833333333333335</v>
      </c>
      <c r="BE83" s="47" t="e">
        <f>_xll.qlPolynomialFunctionValue(BE$1,$BD83,AllTriggers)</f>
        <v>#VALUE!</v>
      </c>
      <c r="BF83" s="47" t="e">
        <f>_xll.qlPolynomialFunctionValue(BF$1,$BD83,AllTriggers)</f>
        <v>#VALUE!</v>
      </c>
      <c r="BG83" s="47" t="e">
        <f>_xll.qlPolynomialFunctionValue(BG$1,$BD83,AllTriggers)</f>
        <v>#VALUE!</v>
      </c>
      <c r="BH83" s="47" t="e">
        <f>_xll.qlPolynomialFunctionValue(BH$1,$BD83,AllTriggers)</f>
        <v>#VALUE!</v>
      </c>
      <c r="BI83" s="47" t="e">
        <f>_xll.qlPolynomialFunctionValue(BI$1,$BD83,AllTriggers)</f>
        <v>#VALUE!</v>
      </c>
      <c r="BJ83" s="47" t="e">
        <f>_xll.qlPolynomialFunctionValue(BJ$1,$BD83,AllTriggers)</f>
        <v>#VALUE!</v>
      </c>
      <c r="BK83" s="47" t="e">
        <f>_xll.qlPolynomialFunctionValue(BK$1,$BD83,AllTriggers)</f>
        <v>#VALUE!</v>
      </c>
      <c r="BL83" s="47" t="e">
        <f>_xll.qlPolynomialFunctionValue(BL$1,$BD83,AllTriggers)</f>
        <v>#VALUE!</v>
      </c>
      <c r="BM83" s="47" t="e">
        <f>_xll.qlPolynomialFunctionValue(BM$1,$BD83,AllTriggers)</f>
        <v>#VALUE!</v>
      </c>
      <c r="BN83" s="47" t="e">
        <f>_xll.qlPolynomialFunctionValue(BN$1,$BD83,AllTriggers)</f>
        <v>#VALUE!</v>
      </c>
      <c r="BO83" s="47" t="e">
        <f>_xll.qlPolynomialFunctionValue(BO$1,$BD83,AllTriggers)</f>
        <v>#VALUE!</v>
      </c>
      <c r="BP83" s="47" t="e">
        <f>_xll.qlPolynomialFunctionValue(BP$1,$BD83,AllTriggers)</f>
        <v>#VALUE!</v>
      </c>
      <c r="BQ83" s="47">
        <f>_xll.qlPolynomialFunctionValue('12MSynthDepo_used'!$P$18,BD83,AllTriggers)</f>
        <v>3.0078582869837874E-3</v>
      </c>
    </row>
    <row r="84" spans="8:69" x14ac:dyDescent="0.2">
      <c r="H84" s="35"/>
      <c r="K84" s="55"/>
      <c r="L84" s="55"/>
      <c r="M84" s="55"/>
      <c r="N84" s="55"/>
      <c r="R84" s="34"/>
      <c r="BC84" s="178">
        <f>_xll.qlCalendarAdvance(Calendar,BC83,"1d","mf",,Trigger)</f>
        <v>42391</v>
      </c>
      <c r="BD84" s="41">
        <f>_xll.qlDayCounterYearFraction(DayCounter,SettlementDate,BC84,,,Trigger)</f>
        <v>0.31111111111111112</v>
      </c>
      <c r="BE84" s="47" t="e">
        <f>_xll.qlPolynomialFunctionValue(BE$1,$BD84,AllTriggers)</f>
        <v>#VALUE!</v>
      </c>
      <c r="BF84" s="47" t="e">
        <f>_xll.qlPolynomialFunctionValue(BF$1,$BD84,AllTriggers)</f>
        <v>#VALUE!</v>
      </c>
      <c r="BG84" s="47" t="e">
        <f>_xll.qlPolynomialFunctionValue(BG$1,$BD84,AllTriggers)</f>
        <v>#VALUE!</v>
      </c>
      <c r="BH84" s="47" t="e">
        <f>_xll.qlPolynomialFunctionValue(BH$1,$BD84,AllTriggers)</f>
        <v>#VALUE!</v>
      </c>
      <c r="BI84" s="47" t="e">
        <f>_xll.qlPolynomialFunctionValue(BI$1,$BD84,AllTriggers)</f>
        <v>#VALUE!</v>
      </c>
      <c r="BJ84" s="47" t="e">
        <f>_xll.qlPolynomialFunctionValue(BJ$1,$BD84,AllTriggers)</f>
        <v>#VALUE!</v>
      </c>
      <c r="BK84" s="47" t="e">
        <f>_xll.qlPolynomialFunctionValue(BK$1,$BD84,AllTriggers)</f>
        <v>#VALUE!</v>
      </c>
      <c r="BL84" s="47" t="e">
        <f>_xll.qlPolynomialFunctionValue(BL$1,$BD84,AllTriggers)</f>
        <v>#VALUE!</v>
      </c>
      <c r="BM84" s="47" t="e">
        <f>_xll.qlPolynomialFunctionValue(BM$1,$BD84,AllTriggers)</f>
        <v>#VALUE!</v>
      </c>
      <c r="BN84" s="47" t="e">
        <f>_xll.qlPolynomialFunctionValue(BN$1,$BD84,AllTriggers)</f>
        <v>#VALUE!</v>
      </c>
      <c r="BO84" s="47" t="e">
        <f>_xll.qlPolynomialFunctionValue(BO$1,$BD84,AllTriggers)</f>
        <v>#VALUE!</v>
      </c>
      <c r="BP84" s="47" t="e">
        <f>_xll.qlPolynomialFunctionValue(BP$1,$BD84,AllTriggers)</f>
        <v>#VALUE!</v>
      </c>
      <c r="BQ84" s="47">
        <f>_xll.qlPolynomialFunctionValue('12MSynthDepo_used'!$P$18,BD84,AllTriggers)</f>
        <v>3.00946278031937E-3</v>
      </c>
    </row>
    <row r="85" spans="8:69" x14ac:dyDescent="0.2">
      <c r="K85" s="55"/>
      <c r="L85" s="55"/>
      <c r="M85" s="55"/>
      <c r="N85" s="55"/>
      <c r="R85" s="34"/>
      <c r="BC85" s="178">
        <f>_xll.qlCalendarAdvance(Calendar,BC84,"1d","mf",,Trigger)</f>
        <v>42394</v>
      </c>
      <c r="BD85" s="41">
        <f>_xll.qlDayCounterYearFraction(DayCounter,SettlementDate,BC85,,,Trigger)</f>
        <v>0.31944444444444442</v>
      </c>
      <c r="BE85" s="47" t="e">
        <f>_xll.qlPolynomialFunctionValue(BE$1,$BD85,AllTriggers)</f>
        <v>#VALUE!</v>
      </c>
      <c r="BF85" s="47" t="e">
        <f>_xll.qlPolynomialFunctionValue(BF$1,$BD85,AllTriggers)</f>
        <v>#VALUE!</v>
      </c>
      <c r="BG85" s="47" t="e">
        <f>_xll.qlPolynomialFunctionValue(BG$1,$BD85,AllTriggers)</f>
        <v>#VALUE!</v>
      </c>
      <c r="BH85" s="47" t="e">
        <f>_xll.qlPolynomialFunctionValue(BH$1,$BD85,AllTriggers)</f>
        <v>#VALUE!</v>
      </c>
      <c r="BI85" s="47" t="e">
        <f>_xll.qlPolynomialFunctionValue(BI$1,$BD85,AllTriggers)</f>
        <v>#VALUE!</v>
      </c>
      <c r="BJ85" s="47" t="e">
        <f>_xll.qlPolynomialFunctionValue(BJ$1,$BD85,AllTriggers)</f>
        <v>#VALUE!</v>
      </c>
      <c r="BK85" s="47" t="e">
        <f>_xll.qlPolynomialFunctionValue(BK$1,$BD85,AllTriggers)</f>
        <v>#VALUE!</v>
      </c>
      <c r="BL85" s="47" t="e">
        <f>_xll.qlPolynomialFunctionValue(BL$1,$BD85,AllTriggers)</f>
        <v>#VALUE!</v>
      </c>
      <c r="BM85" s="47" t="e">
        <f>_xll.qlPolynomialFunctionValue(BM$1,$BD85,AllTriggers)</f>
        <v>#VALUE!</v>
      </c>
      <c r="BN85" s="47" t="e">
        <f>_xll.qlPolynomialFunctionValue(BN$1,$BD85,AllTriggers)</f>
        <v>#VALUE!</v>
      </c>
      <c r="BO85" s="47" t="e">
        <f>_xll.qlPolynomialFunctionValue(BO$1,$BD85,AllTriggers)</f>
        <v>#VALUE!</v>
      </c>
      <c r="BP85" s="47" t="e">
        <f>_xll.qlPolynomialFunctionValue(BP$1,$BD85,AllTriggers)</f>
        <v>#VALUE!</v>
      </c>
      <c r="BQ85" s="47">
        <f>_xll.qlPolynomialFunctionValue('12MSynthDepo_used'!$P$18,BD85,AllTriggers)</f>
        <v>3.0142827395107123E-3</v>
      </c>
    </row>
    <row r="86" spans="8:69" x14ac:dyDescent="0.2">
      <c r="K86" s="55"/>
      <c r="L86" s="55"/>
      <c r="M86" s="55"/>
      <c r="N86" s="55"/>
      <c r="R86" s="34"/>
      <c r="S86" s="34"/>
      <c r="BC86" s="178">
        <f>_xll.qlCalendarAdvance(Calendar,BC85,"1d","mf",,Trigger)</f>
        <v>42395</v>
      </c>
      <c r="BD86" s="41">
        <f>_xll.qlDayCounterYearFraction(DayCounter,SettlementDate,BC86,,,Trigger)</f>
        <v>0.32222222222222224</v>
      </c>
      <c r="BE86" s="47" t="e">
        <f>_xll.qlPolynomialFunctionValue(BE$1,$BD86,AllTriggers)</f>
        <v>#VALUE!</v>
      </c>
      <c r="BF86" s="47" t="e">
        <f>_xll.qlPolynomialFunctionValue(BF$1,$BD86,AllTriggers)</f>
        <v>#VALUE!</v>
      </c>
      <c r="BG86" s="47" t="e">
        <f>_xll.qlPolynomialFunctionValue(BG$1,$BD86,AllTriggers)</f>
        <v>#VALUE!</v>
      </c>
      <c r="BH86" s="47" t="e">
        <f>_xll.qlPolynomialFunctionValue(BH$1,$BD86,AllTriggers)</f>
        <v>#VALUE!</v>
      </c>
      <c r="BI86" s="47" t="e">
        <f>_xll.qlPolynomialFunctionValue(BI$1,$BD86,AllTriggers)</f>
        <v>#VALUE!</v>
      </c>
      <c r="BJ86" s="47" t="e">
        <f>_xll.qlPolynomialFunctionValue(BJ$1,$BD86,AllTriggers)</f>
        <v>#VALUE!</v>
      </c>
      <c r="BK86" s="47" t="e">
        <f>_xll.qlPolynomialFunctionValue(BK$1,$BD86,AllTriggers)</f>
        <v>#VALUE!</v>
      </c>
      <c r="BL86" s="47" t="e">
        <f>_xll.qlPolynomialFunctionValue(BL$1,$BD86,AllTriggers)</f>
        <v>#VALUE!</v>
      </c>
      <c r="BM86" s="47" t="e">
        <f>_xll.qlPolynomialFunctionValue(BM$1,$BD86,AllTriggers)</f>
        <v>#VALUE!</v>
      </c>
      <c r="BN86" s="47" t="e">
        <f>_xll.qlPolynomialFunctionValue(BN$1,$BD86,AllTriggers)</f>
        <v>#VALUE!</v>
      </c>
      <c r="BO86" s="47" t="e">
        <f>_xll.qlPolynomialFunctionValue(BO$1,$BD86,AllTriggers)</f>
        <v>#VALUE!</v>
      </c>
      <c r="BP86" s="47" t="e">
        <f>_xll.qlPolynomialFunctionValue(BP$1,$BD86,AllTriggers)</f>
        <v>#VALUE!</v>
      </c>
      <c r="BQ86" s="47">
        <f>_xll.qlPolynomialFunctionValue('12MSynthDepo_used'!$P$18,BD86,AllTriggers)</f>
        <v>3.0158915348024789E-3</v>
      </c>
    </row>
    <row r="87" spans="8:69" x14ac:dyDescent="0.2">
      <c r="K87" s="55"/>
      <c r="L87" s="55"/>
      <c r="M87" s="55"/>
      <c r="N87" s="55"/>
      <c r="R87" s="34"/>
      <c r="S87" s="34"/>
      <c r="BC87" s="178">
        <f>_xll.qlCalendarAdvance(Calendar,BC86,"1d","mf",,Trigger)</f>
        <v>42396</v>
      </c>
      <c r="BD87" s="41">
        <f>_xll.qlDayCounterYearFraction(DayCounter,SettlementDate,BC87,,,Trigger)</f>
        <v>0.32500000000000001</v>
      </c>
      <c r="BE87" s="47" t="e">
        <f>_xll.qlPolynomialFunctionValue(BE$1,$BD87,AllTriggers)</f>
        <v>#VALUE!</v>
      </c>
      <c r="BF87" s="47" t="e">
        <f>_xll.qlPolynomialFunctionValue(BF$1,$BD87,AllTriggers)</f>
        <v>#VALUE!</v>
      </c>
      <c r="BG87" s="47" t="e">
        <f>_xll.qlPolynomialFunctionValue(BG$1,$BD87,AllTriggers)</f>
        <v>#VALUE!</v>
      </c>
      <c r="BH87" s="47" t="e">
        <f>_xll.qlPolynomialFunctionValue(BH$1,$BD87,AllTriggers)</f>
        <v>#VALUE!</v>
      </c>
      <c r="BI87" s="47" t="e">
        <f>_xll.qlPolynomialFunctionValue(BI$1,$BD87,AllTriggers)</f>
        <v>#VALUE!</v>
      </c>
      <c r="BJ87" s="47" t="e">
        <f>_xll.qlPolynomialFunctionValue(BJ$1,$BD87,AllTriggers)</f>
        <v>#VALUE!</v>
      </c>
      <c r="BK87" s="47" t="e">
        <f>_xll.qlPolynomialFunctionValue(BK$1,$BD87,AllTriggers)</f>
        <v>#VALUE!</v>
      </c>
      <c r="BL87" s="47" t="e">
        <f>_xll.qlPolynomialFunctionValue(BL$1,$BD87,AllTriggers)</f>
        <v>#VALUE!</v>
      </c>
      <c r="BM87" s="47" t="e">
        <f>_xll.qlPolynomialFunctionValue(BM$1,$BD87,AllTriggers)</f>
        <v>#VALUE!</v>
      </c>
      <c r="BN87" s="47" t="e">
        <f>_xll.qlPolynomialFunctionValue(BN$1,$BD87,AllTriggers)</f>
        <v>#VALUE!</v>
      </c>
      <c r="BO87" s="47" t="e">
        <f>_xll.qlPolynomialFunctionValue(BO$1,$BD87,AllTriggers)</f>
        <v>#VALUE!</v>
      </c>
      <c r="BP87" s="47" t="e">
        <f>_xll.qlPolynomialFunctionValue(BP$1,$BD87,AllTriggers)</f>
        <v>#VALUE!</v>
      </c>
      <c r="BQ87" s="47">
        <f>_xll.qlPolynomialFunctionValue('12MSynthDepo_used'!$P$18,BD87,AllTriggers)</f>
        <v>3.0175013924581325E-3</v>
      </c>
    </row>
    <row r="88" spans="8:69" x14ac:dyDescent="0.2">
      <c r="K88" s="55"/>
      <c r="L88" s="55"/>
      <c r="M88" s="55"/>
      <c r="N88" s="55"/>
      <c r="R88" s="34"/>
      <c r="S88" s="34"/>
      <c r="BC88" s="178">
        <f>_xll.qlCalendarAdvance(Calendar,BC87,"1d","mf",,Trigger)</f>
        <v>42397</v>
      </c>
      <c r="BD88" s="41">
        <f>_xll.qlDayCounterYearFraction(DayCounter,SettlementDate,BC88,,,Trigger)</f>
        <v>0.32777777777777778</v>
      </c>
      <c r="BE88" s="47" t="e">
        <f>_xll.qlPolynomialFunctionValue(BE$1,$BD88,AllTriggers)</f>
        <v>#VALUE!</v>
      </c>
      <c r="BF88" s="47" t="e">
        <f>_xll.qlPolynomialFunctionValue(BF$1,$BD88,AllTriggers)</f>
        <v>#VALUE!</v>
      </c>
      <c r="BG88" s="47" t="e">
        <f>_xll.qlPolynomialFunctionValue(BG$1,$BD88,AllTriggers)</f>
        <v>#VALUE!</v>
      </c>
      <c r="BH88" s="47" t="e">
        <f>_xll.qlPolynomialFunctionValue(BH$1,$BD88,AllTriggers)</f>
        <v>#VALUE!</v>
      </c>
      <c r="BI88" s="47" t="e">
        <f>_xll.qlPolynomialFunctionValue(BI$1,$BD88,AllTriggers)</f>
        <v>#VALUE!</v>
      </c>
      <c r="BJ88" s="47" t="e">
        <f>_xll.qlPolynomialFunctionValue(BJ$1,$BD88,AllTriggers)</f>
        <v>#VALUE!</v>
      </c>
      <c r="BK88" s="47" t="e">
        <f>_xll.qlPolynomialFunctionValue(BK$1,$BD88,AllTriggers)</f>
        <v>#VALUE!</v>
      </c>
      <c r="BL88" s="47" t="e">
        <f>_xll.qlPolynomialFunctionValue(BL$1,$BD88,AllTriggers)</f>
        <v>#VALUE!</v>
      </c>
      <c r="BM88" s="47" t="e">
        <f>_xll.qlPolynomialFunctionValue(BM$1,$BD88,AllTriggers)</f>
        <v>#VALUE!</v>
      </c>
      <c r="BN88" s="47" t="e">
        <f>_xll.qlPolynomialFunctionValue(BN$1,$BD88,AllTriggers)</f>
        <v>#VALUE!</v>
      </c>
      <c r="BO88" s="47" t="e">
        <f>_xll.qlPolynomialFunctionValue(BO$1,$BD88,AllTriggers)</f>
        <v>#VALUE!</v>
      </c>
      <c r="BP88" s="47" t="e">
        <f>_xll.qlPolynomialFunctionValue(BP$1,$BD88,AllTriggers)</f>
        <v>#VALUE!</v>
      </c>
      <c r="BQ88" s="47">
        <f>_xll.qlPolynomialFunctionValue('12MSynthDepo_used'!$P$18,BD88,AllTriggers)</f>
        <v>3.0191123072276088E-3</v>
      </c>
    </row>
    <row r="89" spans="8:69" x14ac:dyDescent="0.2">
      <c r="K89" s="55"/>
      <c r="L89" s="55"/>
      <c r="M89" s="55"/>
      <c r="N89" s="55"/>
      <c r="R89" s="34"/>
      <c r="S89" s="34"/>
      <c r="BC89" s="178">
        <f>_xll.qlCalendarAdvance(Calendar,BC88,"1d","mf",,Trigger)</f>
        <v>42398</v>
      </c>
      <c r="BD89" s="41">
        <f>_xll.qlDayCounterYearFraction(DayCounter,SettlementDate,BC89,,,Trigger)</f>
        <v>0.33055555555555555</v>
      </c>
      <c r="BE89" s="47" t="e">
        <f>_xll.qlPolynomialFunctionValue(BE$1,$BD89,AllTriggers)</f>
        <v>#VALUE!</v>
      </c>
      <c r="BF89" s="47" t="e">
        <f>_xll.qlPolynomialFunctionValue(BF$1,$BD89,AllTriggers)</f>
        <v>#VALUE!</v>
      </c>
      <c r="BG89" s="47" t="e">
        <f>_xll.qlPolynomialFunctionValue(BG$1,$BD89,AllTriggers)</f>
        <v>#VALUE!</v>
      </c>
      <c r="BH89" s="47" t="e">
        <f>_xll.qlPolynomialFunctionValue(BH$1,$BD89,AllTriggers)</f>
        <v>#VALUE!</v>
      </c>
      <c r="BI89" s="47" t="e">
        <f>_xll.qlPolynomialFunctionValue(BI$1,$BD89,AllTriggers)</f>
        <v>#VALUE!</v>
      </c>
      <c r="BJ89" s="47" t="e">
        <f>_xll.qlPolynomialFunctionValue(BJ$1,$BD89,AllTriggers)</f>
        <v>#VALUE!</v>
      </c>
      <c r="BK89" s="47" t="e">
        <f>_xll.qlPolynomialFunctionValue(BK$1,$BD89,AllTriggers)</f>
        <v>#VALUE!</v>
      </c>
      <c r="BL89" s="47" t="e">
        <f>_xll.qlPolynomialFunctionValue(BL$1,$BD89,AllTriggers)</f>
        <v>#VALUE!</v>
      </c>
      <c r="BM89" s="47" t="e">
        <f>_xll.qlPolynomialFunctionValue(BM$1,$BD89,AllTriggers)</f>
        <v>#VALUE!</v>
      </c>
      <c r="BN89" s="47" t="e">
        <f>_xll.qlPolynomialFunctionValue(BN$1,$BD89,AllTriggers)</f>
        <v>#VALUE!</v>
      </c>
      <c r="BO89" s="47" t="e">
        <f>_xll.qlPolynomialFunctionValue(BO$1,$BD89,AllTriggers)</f>
        <v>#VALUE!</v>
      </c>
      <c r="BP89" s="47" t="e">
        <f>_xll.qlPolynomialFunctionValue(BP$1,$BD89,AllTriggers)</f>
        <v>#VALUE!</v>
      </c>
      <c r="BQ89" s="47">
        <f>_xll.qlPolynomialFunctionValue('12MSynthDepo_used'!$P$18,BD89,AllTriggers)</f>
        <v>3.0207242738608457E-3</v>
      </c>
    </row>
    <row r="90" spans="8:69" x14ac:dyDescent="0.2">
      <c r="K90" s="55"/>
      <c r="L90" s="55"/>
      <c r="M90" s="55"/>
      <c r="N90" s="55"/>
      <c r="R90" s="34"/>
      <c r="S90" s="34"/>
      <c r="BC90" s="178">
        <f>_xll.qlCalendarAdvance(Calendar,BC89,"1d","mf",,Trigger)</f>
        <v>42401</v>
      </c>
      <c r="BD90" s="41">
        <f>_xll.qlDayCounterYearFraction(DayCounter,SettlementDate,BC90,,,Trigger)</f>
        <v>0.33888888888888891</v>
      </c>
      <c r="BE90" s="47" t="e">
        <f>_xll.qlPolynomialFunctionValue(BE$1,$BD90,AllTriggers)</f>
        <v>#VALUE!</v>
      </c>
      <c r="BF90" s="47" t="e">
        <f>_xll.qlPolynomialFunctionValue(BF$1,$BD90,AllTriggers)</f>
        <v>#VALUE!</v>
      </c>
      <c r="BG90" s="47" t="e">
        <f>_xll.qlPolynomialFunctionValue(BG$1,$BD90,AllTriggers)</f>
        <v>#VALUE!</v>
      </c>
      <c r="BH90" s="47" t="e">
        <f>_xll.qlPolynomialFunctionValue(BH$1,$BD90,AllTriggers)</f>
        <v>#VALUE!</v>
      </c>
      <c r="BI90" s="47" t="e">
        <f>_xll.qlPolynomialFunctionValue(BI$1,$BD90,AllTriggers)</f>
        <v>#VALUE!</v>
      </c>
      <c r="BJ90" s="47" t="e">
        <f>_xll.qlPolynomialFunctionValue(BJ$1,$BD90,AllTriggers)</f>
        <v>#VALUE!</v>
      </c>
      <c r="BK90" s="47" t="e">
        <f>_xll.qlPolynomialFunctionValue(BK$1,$BD90,AllTriggers)</f>
        <v>#VALUE!</v>
      </c>
      <c r="BL90" s="47" t="e">
        <f>_xll.qlPolynomialFunctionValue(BL$1,$BD90,AllTriggers)</f>
        <v>#VALUE!</v>
      </c>
      <c r="BM90" s="47" t="e">
        <f>_xll.qlPolynomialFunctionValue(BM$1,$BD90,AllTriggers)</f>
        <v>#VALUE!</v>
      </c>
      <c r="BN90" s="47" t="e">
        <f>_xll.qlPolynomialFunctionValue(BN$1,$BD90,AllTriggers)</f>
        <v>#VALUE!</v>
      </c>
      <c r="BO90" s="47" t="e">
        <f>_xll.qlPolynomialFunctionValue(BO$1,$BD90,AllTriggers)</f>
        <v>#VALUE!</v>
      </c>
      <c r="BP90" s="47" t="e">
        <f>_xll.qlPolynomialFunctionValue(BP$1,$BD90,AllTriggers)</f>
        <v>#VALUE!</v>
      </c>
      <c r="BQ90" s="47">
        <f>_xll.qlPolynomialFunctionValue('12MSynthDepo_used'!$P$18,BD90,AllTriggers)</f>
        <v>3.0255664324424759E-3</v>
      </c>
    </row>
    <row r="91" spans="8:69" x14ac:dyDescent="0.2">
      <c r="K91" s="55"/>
      <c r="L91" s="55"/>
      <c r="M91" s="55"/>
      <c r="N91" s="55"/>
      <c r="R91" s="34"/>
      <c r="S91" s="34"/>
      <c r="BC91" s="178">
        <f>_xll.qlCalendarAdvance(Calendar,BC90,"1d","mf",,Trigger)</f>
        <v>42402</v>
      </c>
      <c r="BD91" s="41">
        <f>_xll.qlDayCounterYearFraction(DayCounter,SettlementDate,BC91,,,Trigger)</f>
        <v>0.34166666666666667</v>
      </c>
      <c r="BE91" s="47" t="e">
        <f>_xll.qlPolynomialFunctionValue(BE$1,$BD91,AllTriggers)</f>
        <v>#VALUE!</v>
      </c>
      <c r="BF91" s="47" t="e">
        <f>_xll.qlPolynomialFunctionValue(BF$1,$BD91,AllTriggers)</f>
        <v>#VALUE!</v>
      </c>
      <c r="BG91" s="47" t="e">
        <f>_xll.qlPolynomialFunctionValue(BG$1,$BD91,AllTriggers)</f>
        <v>#VALUE!</v>
      </c>
      <c r="BH91" s="47" t="e">
        <f>_xll.qlPolynomialFunctionValue(BH$1,$BD91,AllTriggers)</f>
        <v>#VALUE!</v>
      </c>
      <c r="BI91" s="47" t="e">
        <f>_xll.qlPolynomialFunctionValue(BI$1,$BD91,AllTriggers)</f>
        <v>#VALUE!</v>
      </c>
      <c r="BJ91" s="47" t="e">
        <f>_xll.qlPolynomialFunctionValue(BJ$1,$BD91,AllTriggers)</f>
        <v>#VALUE!</v>
      </c>
      <c r="BK91" s="47" t="e">
        <f>_xll.qlPolynomialFunctionValue(BK$1,$BD91,AllTriggers)</f>
        <v>#VALUE!</v>
      </c>
      <c r="BL91" s="47" t="e">
        <f>_xll.qlPolynomialFunctionValue(BL$1,$BD91,AllTriggers)</f>
        <v>#VALUE!</v>
      </c>
      <c r="BM91" s="47" t="e">
        <f>_xll.qlPolynomialFunctionValue(BM$1,$BD91,AllTriggers)</f>
        <v>#VALUE!</v>
      </c>
      <c r="BN91" s="47" t="e">
        <f>_xll.qlPolynomialFunctionValue(BN$1,$BD91,AllTriggers)</f>
        <v>#VALUE!</v>
      </c>
      <c r="BO91" s="47" t="e">
        <f>_xll.qlPolynomialFunctionValue(BO$1,$BD91,AllTriggers)</f>
        <v>#VALUE!</v>
      </c>
      <c r="BP91" s="47" t="e">
        <f>_xll.qlPolynomialFunctionValue(BP$1,$BD91,AllTriggers)</f>
        <v>#VALUE!</v>
      </c>
      <c r="BQ91" s="47">
        <f>_xll.qlPolynomialFunctionValue('12MSynthDepo_used'!$P$18,BD91,AllTriggers)</f>
        <v>3.0271825540301141E-3</v>
      </c>
    </row>
    <row r="92" spans="8:69" x14ac:dyDescent="0.2">
      <c r="K92" s="55"/>
      <c r="L92" s="55"/>
      <c r="M92" s="55"/>
      <c r="N92" s="55"/>
      <c r="R92" s="34"/>
      <c r="S92" s="34"/>
      <c r="BC92" s="178">
        <f>_xll.qlCalendarAdvance(Calendar,BC91,"1d","mf",,Trigger)</f>
        <v>42403</v>
      </c>
      <c r="BD92" s="41">
        <f>_xll.qlDayCounterYearFraction(DayCounter,SettlementDate,BC92,,,Trigger)</f>
        <v>0.34444444444444444</v>
      </c>
      <c r="BE92" s="47" t="e">
        <f>_xll.qlPolynomialFunctionValue(BE$1,$BD92,AllTriggers)</f>
        <v>#VALUE!</v>
      </c>
      <c r="BF92" s="47" t="e">
        <f>_xll.qlPolynomialFunctionValue(BF$1,$BD92,AllTriggers)</f>
        <v>#VALUE!</v>
      </c>
      <c r="BG92" s="47" t="e">
        <f>_xll.qlPolynomialFunctionValue(BG$1,$BD92,AllTriggers)</f>
        <v>#VALUE!</v>
      </c>
      <c r="BH92" s="47" t="e">
        <f>_xll.qlPolynomialFunctionValue(BH$1,$BD92,AllTriggers)</f>
        <v>#VALUE!</v>
      </c>
      <c r="BI92" s="47" t="e">
        <f>_xll.qlPolynomialFunctionValue(BI$1,$BD92,AllTriggers)</f>
        <v>#VALUE!</v>
      </c>
      <c r="BJ92" s="47" t="e">
        <f>_xll.qlPolynomialFunctionValue(BJ$1,$BD92,AllTriggers)</f>
        <v>#VALUE!</v>
      </c>
      <c r="BK92" s="47" t="e">
        <f>_xll.qlPolynomialFunctionValue(BK$1,$BD92,AllTriggers)</f>
        <v>#VALUE!</v>
      </c>
      <c r="BL92" s="47" t="e">
        <f>_xll.qlPolynomialFunctionValue(BL$1,$BD92,AllTriggers)</f>
        <v>#VALUE!</v>
      </c>
      <c r="BM92" s="47" t="e">
        <f>_xll.qlPolynomialFunctionValue(BM$1,$BD92,AllTriggers)</f>
        <v>#VALUE!</v>
      </c>
      <c r="BN92" s="47" t="e">
        <f>_xll.qlPolynomialFunctionValue(BN$1,$BD92,AllTriggers)</f>
        <v>#VALUE!</v>
      </c>
      <c r="BO92" s="47" t="e">
        <f>_xll.qlPolynomialFunctionValue(BO$1,$BD92,AllTriggers)</f>
        <v>#VALUE!</v>
      </c>
      <c r="BP92" s="47" t="e">
        <f>_xll.qlPolynomialFunctionValue(BP$1,$BD92,AllTriggers)</f>
        <v>#VALUE!</v>
      </c>
      <c r="BQ92" s="47">
        <f>_xll.qlPolynomialFunctionValue('12MSynthDepo_used'!$P$18,BD92,AllTriggers)</f>
        <v>3.0287997012311933E-3</v>
      </c>
    </row>
    <row r="93" spans="8:69" x14ac:dyDescent="0.2">
      <c r="K93" s="55"/>
      <c r="L93" s="55"/>
      <c r="M93" s="55"/>
      <c r="N93" s="55"/>
      <c r="R93" s="34"/>
      <c r="S93" s="34"/>
      <c r="BC93" s="178">
        <f>_xll.qlCalendarAdvance(Calendar,BC92,"1d","mf",,Trigger)</f>
        <v>42404</v>
      </c>
      <c r="BD93" s="41">
        <f>_xll.qlDayCounterYearFraction(DayCounter,SettlementDate,BC93,,,Trigger)</f>
        <v>0.34722222222222221</v>
      </c>
      <c r="BE93" s="47" t="e">
        <f>_xll.qlPolynomialFunctionValue(BE$1,$BD93,AllTriggers)</f>
        <v>#VALUE!</v>
      </c>
      <c r="BF93" s="47" t="e">
        <f>_xll.qlPolynomialFunctionValue(BF$1,$BD93,AllTriggers)</f>
        <v>#VALUE!</v>
      </c>
      <c r="BG93" s="47" t="e">
        <f>_xll.qlPolynomialFunctionValue(BG$1,$BD93,AllTriggers)</f>
        <v>#VALUE!</v>
      </c>
      <c r="BH93" s="47" t="e">
        <f>_xll.qlPolynomialFunctionValue(BH$1,$BD93,AllTriggers)</f>
        <v>#VALUE!</v>
      </c>
      <c r="BI93" s="47" t="e">
        <f>_xll.qlPolynomialFunctionValue(BI$1,$BD93,AllTriggers)</f>
        <v>#VALUE!</v>
      </c>
      <c r="BJ93" s="47" t="e">
        <f>_xll.qlPolynomialFunctionValue(BJ$1,$BD93,AllTriggers)</f>
        <v>#VALUE!</v>
      </c>
      <c r="BK93" s="47" t="e">
        <f>_xll.qlPolynomialFunctionValue(BK$1,$BD93,AllTriggers)</f>
        <v>#VALUE!</v>
      </c>
      <c r="BL93" s="47" t="e">
        <f>_xll.qlPolynomialFunctionValue(BL$1,$BD93,AllTriggers)</f>
        <v>#VALUE!</v>
      </c>
      <c r="BM93" s="47" t="e">
        <f>_xll.qlPolynomialFunctionValue(BM$1,$BD93,AllTriggers)</f>
        <v>#VALUE!</v>
      </c>
      <c r="BN93" s="47" t="e">
        <f>_xll.qlPolynomialFunctionValue(BN$1,$BD93,AllTriggers)</f>
        <v>#VALUE!</v>
      </c>
      <c r="BO93" s="47" t="e">
        <f>_xll.qlPolynomialFunctionValue(BO$1,$BD93,AllTriggers)</f>
        <v>#VALUE!</v>
      </c>
      <c r="BP93" s="47" t="e">
        <f>_xll.qlPolynomialFunctionValue(BP$1,$BD93,AllTriggers)</f>
        <v>#VALUE!</v>
      </c>
      <c r="BQ93" s="47">
        <f>_xll.qlPolynomialFunctionValue('12MSynthDepo_used'!$P$18,BD93,AllTriggers)</f>
        <v>3.0304178687956505E-3</v>
      </c>
    </row>
    <row r="94" spans="8:69" x14ac:dyDescent="0.2">
      <c r="K94" s="55"/>
      <c r="L94" s="55"/>
      <c r="M94" s="55"/>
      <c r="N94" s="55"/>
      <c r="R94" s="34"/>
      <c r="S94" s="34"/>
      <c r="BC94" s="178">
        <f>_xll.qlCalendarAdvance(Calendar,BC93,"1d","mf",,Trigger)</f>
        <v>42405</v>
      </c>
      <c r="BD94" s="41">
        <f>_xll.qlDayCounterYearFraction(DayCounter,SettlementDate,BC94,,,Trigger)</f>
        <v>0.35</v>
      </c>
      <c r="BE94" s="47" t="e">
        <f>_xll.qlPolynomialFunctionValue(BE$1,$BD94,AllTriggers)</f>
        <v>#VALUE!</v>
      </c>
      <c r="BF94" s="47" t="e">
        <f>_xll.qlPolynomialFunctionValue(BF$1,$BD94,AllTriggers)</f>
        <v>#VALUE!</v>
      </c>
      <c r="BG94" s="47" t="e">
        <f>_xll.qlPolynomialFunctionValue(BG$1,$BD94,AllTriggers)</f>
        <v>#VALUE!</v>
      </c>
      <c r="BH94" s="47" t="e">
        <f>_xll.qlPolynomialFunctionValue(BH$1,$BD94,AllTriggers)</f>
        <v>#VALUE!</v>
      </c>
      <c r="BI94" s="47" t="e">
        <f>_xll.qlPolynomialFunctionValue(BI$1,$BD94,AllTriggers)</f>
        <v>#VALUE!</v>
      </c>
      <c r="BJ94" s="47" t="e">
        <f>_xll.qlPolynomialFunctionValue(BJ$1,$BD94,AllTriggers)</f>
        <v>#VALUE!</v>
      </c>
      <c r="BK94" s="47" t="e">
        <f>_xll.qlPolynomialFunctionValue(BK$1,$BD94,AllTriggers)</f>
        <v>#VALUE!</v>
      </c>
      <c r="BL94" s="47" t="e">
        <f>_xll.qlPolynomialFunctionValue(BL$1,$BD94,AllTriggers)</f>
        <v>#VALUE!</v>
      </c>
      <c r="BM94" s="47" t="e">
        <f>_xll.qlPolynomialFunctionValue(BM$1,$BD94,AllTriggers)</f>
        <v>#VALUE!</v>
      </c>
      <c r="BN94" s="47" t="e">
        <f>_xll.qlPolynomialFunctionValue(BN$1,$BD94,AllTriggers)</f>
        <v>#VALUE!</v>
      </c>
      <c r="BO94" s="47" t="e">
        <f>_xll.qlPolynomialFunctionValue(BO$1,$BD94,AllTriggers)</f>
        <v>#VALUE!</v>
      </c>
      <c r="BP94" s="47" t="e">
        <f>_xll.qlPolynomialFunctionValue(BP$1,$BD94,AllTriggers)</f>
        <v>#VALUE!</v>
      </c>
      <c r="BQ94" s="47">
        <f>_xll.qlPolynomialFunctionValue('12MSynthDepo_used'!$P$18,BD94,AllTriggers)</f>
        <v>3.0320370514734215E-3</v>
      </c>
    </row>
    <row r="95" spans="8:69" x14ac:dyDescent="0.2">
      <c r="K95" s="55"/>
      <c r="L95" s="55"/>
      <c r="M95" s="55"/>
      <c r="N95" s="55"/>
      <c r="R95" s="34"/>
      <c r="S95" s="34"/>
      <c r="BC95" s="178">
        <f>_xll.qlCalendarAdvance(Calendar,BC94,"1d","mf",,Trigger)</f>
        <v>42408</v>
      </c>
      <c r="BD95" s="41">
        <f>_xll.qlDayCounterYearFraction(DayCounter,SettlementDate,BC95,,,Trigger)</f>
        <v>0.35833333333333334</v>
      </c>
      <c r="BE95" s="47" t="e">
        <f>_xll.qlPolynomialFunctionValue(BE$1,$BD95,AllTriggers)</f>
        <v>#VALUE!</v>
      </c>
      <c r="BF95" s="47" t="e">
        <f>_xll.qlPolynomialFunctionValue(BF$1,$BD95,AllTriggers)</f>
        <v>#VALUE!</v>
      </c>
      <c r="BG95" s="47" t="e">
        <f>_xll.qlPolynomialFunctionValue(BG$1,$BD95,AllTriggers)</f>
        <v>#VALUE!</v>
      </c>
      <c r="BH95" s="47" t="e">
        <f>_xll.qlPolynomialFunctionValue(BH$1,$BD95,AllTriggers)</f>
        <v>#VALUE!</v>
      </c>
      <c r="BI95" s="47" t="e">
        <f>_xll.qlPolynomialFunctionValue(BI$1,$BD95,AllTriggers)</f>
        <v>#VALUE!</v>
      </c>
      <c r="BJ95" s="47" t="e">
        <f>_xll.qlPolynomialFunctionValue(BJ$1,$BD95,AllTriggers)</f>
        <v>#VALUE!</v>
      </c>
      <c r="BK95" s="47" t="e">
        <f>_xll.qlPolynomialFunctionValue(BK$1,$BD95,AllTriggers)</f>
        <v>#VALUE!</v>
      </c>
      <c r="BL95" s="47" t="e">
        <f>_xll.qlPolynomialFunctionValue(BL$1,$BD95,AllTriggers)</f>
        <v>#VALUE!</v>
      </c>
      <c r="BM95" s="47" t="e">
        <f>_xll.qlPolynomialFunctionValue(BM$1,$BD95,AllTriggers)</f>
        <v>#VALUE!</v>
      </c>
      <c r="BN95" s="47" t="e">
        <f>_xll.qlPolynomialFunctionValue(BN$1,$BD95,AllTriggers)</f>
        <v>#VALUE!</v>
      </c>
      <c r="BO95" s="47" t="e">
        <f>_xll.qlPolynomialFunctionValue(BO$1,$BD95,AllTriggers)</f>
        <v>#VALUE!</v>
      </c>
      <c r="BP95" s="47" t="e">
        <f>_xll.qlPolynomialFunctionValue(BP$1,$BD95,AllTriggers)</f>
        <v>#VALUE!</v>
      </c>
      <c r="BQ95" s="47">
        <f>_xll.qlPolynomialFunctionValue('12MSynthDepo_used'!$P$18,BD95,AllTriggers)</f>
        <v>3.0369006376859825E-3</v>
      </c>
    </row>
    <row r="96" spans="8:69" x14ac:dyDescent="0.2">
      <c r="K96" s="55"/>
      <c r="L96" s="55"/>
      <c r="M96" s="55"/>
      <c r="N96" s="55"/>
      <c r="R96" s="34"/>
      <c r="S96" s="34"/>
      <c r="BC96" s="178">
        <f>_xll.qlCalendarAdvance(Calendar,BC95,"1d","mf",,Trigger)</f>
        <v>42409</v>
      </c>
      <c r="BD96" s="41">
        <f>_xll.qlDayCounterYearFraction(DayCounter,SettlementDate,BC96,,,Trigger)</f>
        <v>0.3611111111111111</v>
      </c>
      <c r="BE96" s="47" t="e">
        <f>_xll.qlPolynomialFunctionValue(BE$1,$BD96,AllTriggers)</f>
        <v>#VALUE!</v>
      </c>
      <c r="BF96" s="47" t="e">
        <f>_xll.qlPolynomialFunctionValue(BF$1,$BD96,AllTriggers)</f>
        <v>#VALUE!</v>
      </c>
      <c r="BG96" s="47" t="e">
        <f>_xll.qlPolynomialFunctionValue(BG$1,$BD96,AllTriggers)</f>
        <v>#VALUE!</v>
      </c>
      <c r="BH96" s="47" t="e">
        <f>_xll.qlPolynomialFunctionValue(BH$1,$BD96,AllTriggers)</f>
        <v>#VALUE!</v>
      </c>
      <c r="BI96" s="47" t="e">
        <f>_xll.qlPolynomialFunctionValue(BI$1,$BD96,AllTriggers)</f>
        <v>#VALUE!</v>
      </c>
      <c r="BJ96" s="47" t="e">
        <f>_xll.qlPolynomialFunctionValue(BJ$1,$BD96,AllTriggers)</f>
        <v>#VALUE!</v>
      </c>
      <c r="BK96" s="47" t="e">
        <f>_xll.qlPolynomialFunctionValue(BK$1,$BD96,AllTriggers)</f>
        <v>#VALUE!</v>
      </c>
      <c r="BL96" s="47" t="e">
        <f>_xll.qlPolynomialFunctionValue(BL$1,$BD96,AllTriggers)</f>
        <v>#VALUE!</v>
      </c>
      <c r="BM96" s="47" t="e">
        <f>_xll.qlPolynomialFunctionValue(BM$1,$BD96,AllTriggers)</f>
        <v>#VALUE!</v>
      </c>
      <c r="BN96" s="47" t="e">
        <f>_xll.qlPolynomialFunctionValue(BN$1,$BD96,AllTriggers)</f>
        <v>#VALUE!</v>
      </c>
      <c r="BO96" s="47" t="e">
        <f>_xll.qlPolynomialFunctionValue(BO$1,$BD96,AllTriggers)</f>
        <v>#VALUE!</v>
      </c>
      <c r="BP96" s="47" t="e">
        <f>_xll.qlPolynomialFunctionValue(BP$1,$BD96,AllTriggers)</f>
        <v>#VALUE!</v>
      </c>
      <c r="BQ96" s="47">
        <f>_xll.qlPolynomialFunctionValue('12MSynthDepo_used'!$P$18,BD96,AllTriggers)</f>
        <v>3.038523828316373E-3</v>
      </c>
    </row>
    <row r="97" spans="11:69" x14ac:dyDescent="0.2">
      <c r="K97" s="55"/>
      <c r="L97" s="55"/>
      <c r="M97" s="55"/>
      <c r="N97" s="55"/>
      <c r="R97" s="34"/>
      <c r="S97" s="34"/>
      <c r="BC97" s="178">
        <f>_xll.qlCalendarAdvance(Calendar,BC96,"1d","mf",,Trigger)</f>
        <v>42410</v>
      </c>
      <c r="BD97" s="41">
        <f>_xll.qlDayCounterYearFraction(DayCounter,SettlementDate,BC97,,,Trigger)</f>
        <v>0.36388888888888887</v>
      </c>
      <c r="BE97" s="47" t="e">
        <f>_xll.qlPolynomialFunctionValue(BE$1,$BD97,AllTriggers)</f>
        <v>#VALUE!</v>
      </c>
      <c r="BF97" s="47" t="e">
        <f>_xll.qlPolynomialFunctionValue(BF$1,$BD97,AllTriggers)</f>
        <v>#VALUE!</v>
      </c>
      <c r="BG97" s="47" t="e">
        <f>_xll.qlPolynomialFunctionValue(BG$1,$BD97,AllTriggers)</f>
        <v>#VALUE!</v>
      </c>
      <c r="BH97" s="47" t="e">
        <f>_xll.qlPolynomialFunctionValue(BH$1,$BD97,AllTriggers)</f>
        <v>#VALUE!</v>
      </c>
      <c r="BI97" s="47" t="e">
        <f>_xll.qlPolynomialFunctionValue(BI$1,$BD97,AllTriggers)</f>
        <v>#VALUE!</v>
      </c>
      <c r="BJ97" s="47" t="e">
        <f>_xll.qlPolynomialFunctionValue(BJ$1,$BD97,AllTriggers)</f>
        <v>#VALUE!</v>
      </c>
      <c r="BK97" s="47" t="e">
        <f>_xll.qlPolynomialFunctionValue(BK$1,$BD97,AllTriggers)</f>
        <v>#VALUE!</v>
      </c>
      <c r="BL97" s="47" t="e">
        <f>_xll.qlPolynomialFunctionValue(BL$1,$BD97,AllTriggers)</f>
        <v>#VALUE!</v>
      </c>
      <c r="BM97" s="47" t="e">
        <f>_xll.qlPolynomialFunctionValue(BM$1,$BD97,AllTriggers)</f>
        <v>#VALUE!</v>
      </c>
      <c r="BN97" s="47" t="e">
        <f>_xll.qlPolynomialFunctionValue(BN$1,$BD97,AllTriggers)</f>
        <v>#VALUE!</v>
      </c>
      <c r="BO97" s="47" t="e">
        <f>_xll.qlPolynomialFunctionValue(BO$1,$BD97,AllTriggers)</f>
        <v>#VALUE!</v>
      </c>
      <c r="BP97" s="47" t="e">
        <f>_xll.qlPolynomialFunctionValue(BP$1,$BD97,AllTriggers)</f>
        <v>#VALUE!</v>
      </c>
      <c r="BQ97" s="47">
        <f>_xll.qlPolynomialFunctionValue('12MSynthDepo_used'!$P$18,BD97,AllTriggers)</f>
        <v>3.0401480078097597E-3</v>
      </c>
    </row>
    <row r="98" spans="11:69" x14ac:dyDescent="0.2">
      <c r="K98" s="55"/>
      <c r="L98" s="55"/>
      <c r="M98" s="55"/>
      <c r="N98" s="55"/>
      <c r="R98" s="34"/>
      <c r="S98" s="34"/>
      <c r="BC98" s="178">
        <f>_xll.qlCalendarAdvance(Calendar,BC97,"1d","mf",,Trigger)</f>
        <v>42411</v>
      </c>
      <c r="BD98" s="41">
        <f>_xll.qlDayCounterYearFraction(DayCounter,SettlementDate,BC98,,,Trigger)</f>
        <v>0.36666666666666664</v>
      </c>
      <c r="BE98" s="47" t="e">
        <f>_xll.qlPolynomialFunctionValue(BE$1,$BD98,AllTriggers)</f>
        <v>#VALUE!</v>
      </c>
      <c r="BF98" s="47" t="e">
        <f>_xll.qlPolynomialFunctionValue(BF$1,$BD98,AllTriggers)</f>
        <v>#VALUE!</v>
      </c>
      <c r="BG98" s="47" t="e">
        <f>_xll.qlPolynomialFunctionValue(BG$1,$BD98,AllTriggers)</f>
        <v>#VALUE!</v>
      </c>
      <c r="BH98" s="47" t="e">
        <f>_xll.qlPolynomialFunctionValue(BH$1,$BD98,AllTriggers)</f>
        <v>#VALUE!</v>
      </c>
      <c r="BI98" s="47" t="e">
        <f>_xll.qlPolynomialFunctionValue(BI$1,$BD98,AllTriggers)</f>
        <v>#VALUE!</v>
      </c>
      <c r="BJ98" s="47" t="e">
        <f>_xll.qlPolynomialFunctionValue(BJ$1,$BD98,AllTriggers)</f>
        <v>#VALUE!</v>
      </c>
      <c r="BK98" s="47" t="e">
        <f>_xll.qlPolynomialFunctionValue(BK$1,$BD98,AllTriggers)</f>
        <v>#VALUE!</v>
      </c>
      <c r="BL98" s="47" t="e">
        <f>_xll.qlPolynomialFunctionValue(BL$1,$BD98,AllTriggers)</f>
        <v>#VALUE!</v>
      </c>
      <c r="BM98" s="47" t="e">
        <f>_xll.qlPolynomialFunctionValue(BM$1,$BD98,AllTriggers)</f>
        <v>#VALUE!</v>
      </c>
      <c r="BN98" s="47" t="e">
        <f>_xll.qlPolynomialFunctionValue(BN$1,$BD98,AllTriggers)</f>
        <v>#VALUE!</v>
      </c>
      <c r="BO98" s="47" t="e">
        <f>_xll.qlPolynomialFunctionValue(BO$1,$BD98,AllTriggers)</f>
        <v>#VALUE!</v>
      </c>
      <c r="BP98" s="47" t="e">
        <f>_xll.qlPolynomialFunctionValue(BP$1,$BD98,AllTriggers)</f>
        <v>#VALUE!</v>
      </c>
      <c r="BQ98" s="47">
        <f>_xll.qlPolynomialFunctionValue('12MSynthDepo_used'!$P$18,BD98,AllTriggers)</f>
        <v>3.041773170916078E-3</v>
      </c>
    </row>
    <row r="99" spans="11:69" x14ac:dyDescent="0.2">
      <c r="K99" s="55"/>
      <c r="L99" s="55"/>
      <c r="M99" s="55"/>
      <c r="N99" s="55"/>
      <c r="R99" s="34"/>
      <c r="S99" s="34"/>
      <c r="BC99" s="178">
        <f>_xll.qlCalendarAdvance(Calendar,BC98,"1d","mf",,Trigger)</f>
        <v>42412</v>
      </c>
      <c r="BD99" s="41">
        <f>_xll.qlDayCounterYearFraction(DayCounter,SettlementDate,BC99,,,Trigger)</f>
        <v>0.36944444444444446</v>
      </c>
      <c r="BE99" s="47" t="e">
        <f>_xll.qlPolynomialFunctionValue(BE$1,$BD99,AllTriggers)</f>
        <v>#VALUE!</v>
      </c>
      <c r="BF99" s="47" t="e">
        <f>_xll.qlPolynomialFunctionValue(BF$1,$BD99,AllTriggers)</f>
        <v>#VALUE!</v>
      </c>
      <c r="BG99" s="47" t="e">
        <f>_xll.qlPolynomialFunctionValue(BG$1,$BD99,AllTriggers)</f>
        <v>#VALUE!</v>
      </c>
      <c r="BH99" s="47" t="e">
        <f>_xll.qlPolynomialFunctionValue(BH$1,$BD99,AllTriggers)</f>
        <v>#VALUE!</v>
      </c>
      <c r="BI99" s="47" t="e">
        <f>_xll.qlPolynomialFunctionValue(BI$1,$BD99,AllTriggers)</f>
        <v>#VALUE!</v>
      </c>
      <c r="BJ99" s="47" t="e">
        <f>_xll.qlPolynomialFunctionValue(BJ$1,$BD99,AllTriggers)</f>
        <v>#VALUE!</v>
      </c>
      <c r="BK99" s="47" t="e">
        <f>_xll.qlPolynomialFunctionValue(BK$1,$BD99,AllTriggers)</f>
        <v>#VALUE!</v>
      </c>
      <c r="BL99" s="47" t="e">
        <f>_xll.qlPolynomialFunctionValue(BL$1,$BD99,AllTriggers)</f>
        <v>#VALUE!</v>
      </c>
      <c r="BM99" s="47" t="e">
        <f>_xll.qlPolynomialFunctionValue(BM$1,$BD99,AllTriggers)</f>
        <v>#VALUE!</v>
      </c>
      <c r="BN99" s="47" t="e">
        <f>_xll.qlPolynomialFunctionValue(BN$1,$BD99,AllTriggers)</f>
        <v>#VALUE!</v>
      </c>
      <c r="BO99" s="47" t="e">
        <f>_xll.qlPolynomialFunctionValue(BO$1,$BD99,AllTriggers)</f>
        <v>#VALUE!</v>
      </c>
      <c r="BP99" s="47" t="e">
        <f>_xll.qlPolynomialFunctionValue(BP$1,$BD99,AllTriggers)</f>
        <v>#VALUE!</v>
      </c>
      <c r="BQ99" s="47">
        <f>_xll.qlPolynomialFunctionValue('12MSynthDepo_used'!$P$18,BD99,AllTriggers)</f>
        <v>3.0433993123852648E-3</v>
      </c>
    </row>
    <row r="100" spans="11:69" x14ac:dyDescent="0.2">
      <c r="K100" s="55"/>
      <c r="L100" s="55"/>
      <c r="M100" s="55"/>
      <c r="N100" s="55"/>
      <c r="R100" s="34"/>
      <c r="S100" s="34"/>
      <c r="BC100" s="178">
        <f>_xll.qlCalendarAdvance(Calendar,BC99,"1d","mf",,Trigger)</f>
        <v>42415</v>
      </c>
      <c r="BD100" s="41">
        <f>_xll.qlDayCounterYearFraction(DayCounter,SettlementDate,BC100,,,Trigger)</f>
        <v>0.37777777777777777</v>
      </c>
      <c r="BE100" s="47" t="e">
        <f>_xll.qlPolynomialFunctionValue(BE$1,$BD100,AllTriggers)</f>
        <v>#VALUE!</v>
      </c>
      <c r="BF100" s="47" t="e">
        <f>_xll.qlPolynomialFunctionValue(BF$1,$BD100,AllTriggers)</f>
        <v>#VALUE!</v>
      </c>
      <c r="BG100" s="47" t="e">
        <f>_xll.qlPolynomialFunctionValue(BG$1,$BD100,AllTriggers)</f>
        <v>#VALUE!</v>
      </c>
      <c r="BH100" s="47" t="e">
        <f>_xll.qlPolynomialFunctionValue(BH$1,$BD100,AllTriggers)</f>
        <v>#VALUE!</v>
      </c>
      <c r="BI100" s="47" t="e">
        <f>_xll.qlPolynomialFunctionValue(BI$1,$BD100,AllTriggers)</f>
        <v>#VALUE!</v>
      </c>
      <c r="BJ100" s="47" t="e">
        <f>_xll.qlPolynomialFunctionValue(BJ$1,$BD100,AllTriggers)</f>
        <v>#VALUE!</v>
      </c>
      <c r="BK100" s="47" t="e">
        <f>_xll.qlPolynomialFunctionValue(BK$1,$BD100,AllTriggers)</f>
        <v>#VALUE!</v>
      </c>
      <c r="BL100" s="47" t="e">
        <f>_xll.qlPolynomialFunctionValue(BL$1,$BD100,AllTriggers)</f>
        <v>#VALUE!</v>
      </c>
      <c r="BM100" s="47" t="e">
        <f>_xll.qlPolynomialFunctionValue(BM$1,$BD100,AllTriggers)</f>
        <v>#VALUE!</v>
      </c>
      <c r="BN100" s="47" t="e">
        <f>_xll.qlPolynomialFunctionValue(BN$1,$BD100,AllTriggers)</f>
        <v>#VALUE!</v>
      </c>
      <c r="BO100" s="47" t="e">
        <f>_xll.qlPolynomialFunctionValue(BO$1,$BD100,AllTriggers)</f>
        <v>#VALUE!</v>
      </c>
      <c r="BP100" s="47" t="e">
        <f>_xll.qlPolynomialFunctionValue(BP$1,$BD100,AllTriggers)</f>
        <v>#VALUE!</v>
      </c>
      <c r="BQ100" s="47">
        <f>_xll.qlPolynomialFunctionValue('12MSynthDepo_used'!$P$18,BD100,AllTriggers)</f>
        <v>3.0482835544693985E-3</v>
      </c>
    </row>
    <row r="101" spans="11:69" x14ac:dyDescent="0.2">
      <c r="K101" s="55"/>
      <c r="L101" s="55"/>
      <c r="M101" s="55"/>
      <c r="N101" s="55"/>
      <c r="R101" s="34"/>
      <c r="S101" s="34"/>
      <c r="BC101" s="178">
        <f>_xll.qlCalendarAdvance(Calendar,BC100,"1d","mf",,Trigger)</f>
        <v>42416</v>
      </c>
      <c r="BD101" s="41">
        <f>_xll.qlDayCounterYearFraction(DayCounter,SettlementDate,BC101,,,Trigger)</f>
        <v>0.38055555555555554</v>
      </c>
      <c r="BE101" s="47" t="e">
        <f>_xll.qlPolynomialFunctionValue(BE$1,$BD101,AllTriggers)</f>
        <v>#VALUE!</v>
      </c>
      <c r="BF101" s="47" t="e">
        <f>_xll.qlPolynomialFunctionValue(BF$1,$BD101,AllTriggers)</f>
        <v>#VALUE!</v>
      </c>
      <c r="BG101" s="47" t="e">
        <f>_xll.qlPolynomialFunctionValue(BG$1,$BD101,AllTriggers)</f>
        <v>#VALUE!</v>
      </c>
      <c r="BH101" s="47" t="e">
        <f>_xll.qlPolynomialFunctionValue(BH$1,$BD101,AllTriggers)</f>
        <v>#VALUE!</v>
      </c>
      <c r="BI101" s="47" t="e">
        <f>_xll.qlPolynomialFunctionValue(BI$1,$BD101,AllTriggers)</f>
        <v>#VALUE!</v>
      </c>
      <c r="BJ101" s="47" t="e">
        <f>_xll.qlPolynomialFunctionValue(BJ$1,$BD101,AllTriggers)</f>
        <v>#VALUE!</v>
      </c>
      <c r="BK101" s="47" t="e">
        <f>_xll.qlPolynomialFunctionValue(BK$1,$BD101,AllTriggers)</f>
        <v>#VALUE!</v>
      </c>
      <c r="BL101" s="47" t="e">
        <f>_xll.qlPolynomialFunctionValue(BL$1,$BD101,AllTriggers)</f>
        <v>#VALUE!</v>
      </c>
      <c r="BM101" s="47" t="e">
        <f>_xll.qlPolynomialFunctionValue(BM$1,$BD101,AllTriggers)</f>
        <v>#VALUE!</v>
      </c>
      <c r="BN101" s="47" t="e">
        <f>_xll.qlPolynomialFunctionValue(BN$1,$BD101,AllTriggers)</f>
        <v>#VALUE!</v>
      </c>
      <c r="BO101" s="47" t="e">
        <f>_xll.qlPolynomialFunctionValue(BO$1,$BD101,AllTriggers)</f>
        <v>#VALUE!</v>
      </c>
      <c r="BP101" s="47" t="e">
        <f>_xll.qlPolynomialFunctionValue(BP$1,$BD101,AllTriggers)</f>
        <v>#VALUE!</v>
      </c>
      <c r="BQ101" s="47">
        <f>_xll.qlPolynomialFunctionValue('12MSynthDepo_used'!$P$18,BD101,AllTriggers)</f>
        <v>3.0499135568894222E-3</v>
      </c>
    </row>
    <row r="102" spans="11:69" x14ac:dyDescent="0.2">
      <c r="K102" s="55"/>
      <c r="L102" s="55"/>
      <c r="M102" s="55"/>
      <c r="N102" s="55"/>
      <c r="R102" s="34"/>
      <c r="S102" s="34"/>
      <c r="BC102" s="178">
        <f>_xll.qlCalendarAdvance(Calendar,BC101,"1d","mf",,Trigger)</f>
        <v>42417</v>
      </c>
      <c r="BD102" s="41">
        <f>_xll.qlDayCounterYearFraction(DayCounter,SettlementDate,BC102,,,Trigger)</f>
        <v>0.38333333333333336</v>
      </c>
      <c r="BE102" s="47" t="e">
        <f>_xll.qlPolynomialFunctionValue(BE$1,$BD102,AllTriggers)</f>
        <v>#VALUE!</v>
      </c>
      <c r="BF102" s="47" t="e">
        <f>_xll.qlPolynomialFunctionValue(BF$1,$BD102,AllTriggers)</f>
        <v>#VALUE!</v>
      </c>
      <c r="BG102" s="47" t="e">
        <f>_xll.qlPolynomialFunctionValue(BG$1,$BD102,AllTriggers)</f>
        <v>#VALUE!</v>
      </c>
      <c r="BH102" s="47" t="e">
        <f>_xll.qlPolynomialFunctionValue(BH$1,$BD102,AllTriggers)</f>
        <v>#VALUE!</v>
      </c>
      <c r="BI102" s="47" t="e">
        <f>_xll.qlPolynomialFunctionValue(BI$1,$BD102,AllTriggers)</f>
        <v>#VALUE!</v>
      </c>
      <c r="BJ102" s="47" t="e">
        <f>_xll.qlPolynomialFunctionValue(BJ$1,$BD102,AllTriggers)</f>
        <v>#VALUE!</v>
      </c>
      <c r="BK102" s="47" t="e">
        <f>_xll.qlPolynomialFunctionValue(BK$1,$BD102,AllTriggers)</f>
        <v>#VALUE!</v>
      </c>
      <c r="BL102" s="47" t="e">
        <f>_xll.qlPolynomialFunctionValue(BL$1,$BD102,AllTriggers)</f>
        <v>#VALUE!</v>
      </c>
      <c r="BM102" s="47" t="e">
        <f>_xll.qlPolynomialFunctionValue(BM$1,$BD102,AllTriggers)</f>
        <v>#VALUE!</v>
      </c>
      <c r="BN102" s="47" t="e">
        <f>_xll.qlPolynomialFunctionValue(BN$1,$BD102,AllTriggers)</f>
        <v>#VALUE!</v>
      </c>
      <c r="BO102" s="47" t="e">
        <f>_xll.qlPolynomialFunctionValue(BO$1,$BD102,AllTriggers)</f>
        <v>#VALUE!</v>
      </c>
      <c r="BP102" s="47" t="e">
        <f>_xll.qlPolynomialFunctionValue(BP$1,$BD102,AllTriggers)</f>
        <v>#VALUE!</v>
      </c>
      <c r="BQ102" s="47">
        <f>_xll.qlPolynomialFunctionValue('12MSynthDepo_used'!$P$18,BD102,AllTriggers)</f>
        <v>3.0515445114219961E-3</v>
      </c>
    </row>
    <row r="103" spans="11:69" x14ac:dyDescent="0.2">
      <c r="K103" s="55"/>
      <c r="L103" s="55"/>
      <c r="M103" s="55"/>
      <c r="N103" s="55"/>
      <c r="R103" s="34"/>
      <c r="S103" s="34"/>
      <c r="BC103" s="178">
        <f>_xll.qlCalendarAdvance(Calendar,BC102,"1d","mf",,Trigger)</f>
        <v>42418</v>
      </c>
      <c r="BD103" s="41">
        <f>_xll.qlDayCounterYearFraction(DayCounter,SettlementDate,BC103,,,Trigger)</f>
        <v>0.38611111111111113</v>
      </c>
      <c r="BE103" s="47" t="e">
        <f>_xll.qlPolynomialFunctionValue(BE$1,$BD103,AllTriggers)</f>
        <v>#VALUE!</v>
      </c>
      <c r="BF103" s="47" t="e">
        <f>_xll.qlPolynomialFunctionValue(BF$1,$BD103,AllTriggers)</f>
        <v>#VALUE!</v>
      </c>
      <c r="BG103" s="47" t="e">
        <f>_xll.qlPolynomialFunctionValue(BG$1,$BD103,AllTriggers)</f>
        <v>#VALUE!</v>
      </c>
      <c r="BH103" s="47" t="e">
        <f>_xll.qlPolynomialFunctionValue(BH$1,$BD103,AllTriggers)</f>
        <v>#VALUE!</v>
      </c>
      <c r="BI103" s="47" t="e">
        <f>_xll.qlPolynomialFunctionValue(BI$1,$BD103,AllTriggers)</f>
        <v>#VALUE!</v>
      </c>
      <c r="BJ103" s="47" t="e">
        <f>_xll.qlPolynomialFunctionValue(BJ$1,$BD103,AllTriggers)</f>
        <v>#VALUE!</v>
      </c>
      <c r="BK103" s="47" t="e">
        <f>_xll.qlPolynomialFunctionValue(BK$1,$BD103,AllTriggers)</f>
        <v>#VALUE!</v>
      </c>
      <c r="BL103" s="47" t="e">
        <f>_xll.qlPolynomialFunctionValue(BL$1,$BD103,AllTriggers)</f>
        <v>#VALUE!</v>
      </c>
      <c r="BM103" s="47" t="e">
        <f>_xll.qlPolynomialFunctionValue(BM$1,$BD103,AllTriggers)</f>
        <v>#VALUE!</v>
      </c>
      <c r="BN103" s="47" t="e">
        <f>_xll.qlPolynomialFunctionValue(BN$1,$BD103,AllTriggers)</f>
        <v>#VALUE!</v>
      </c>
      <c r="BO103" s="47" t="e">
        <f>_xll.qlPolynomialFunctionValue(BO$1,$BD103,AllTriggers)</f>
        <v>#VALUE!</v>
      </c>
      <c r="BP103" s="47" t="e">
        <f>_xll.qlPolynomialFunctionValue(BP$1,$BD103,AllTriggers)</f>
        <v>#VALUE!</v>
      </c>
      <c r="BQ103" s="47">
        <f>_xll.qlPolynomialFunctionValue('12MSynthDepo_used'!$P$18,BD103,AllTriggers)</f>
        <v>3.053176412817056E-3</v>
      </c>
    </row>
    <row r="104" spans="11:69" x14ac:dyDescent="0.2">
      <c r="K104" s="55"/>
      <c r="L104" s="55"/>
      <c r="M104" s="55"/>
      <c r="N104" s="55"/>
      <c r="R104" s="34"/>
      <c r="S104" s="34"/>
      <c r="BC104" s="178">
        <f>_xll.qlCalendarAdvance(Calendar,BC103,"1d","mf",,Trigger)</f>
        <v>42419</v>
      </c>
      <c r="BD104" s="41">
        <f>_xll.qlDayCounterYearFraction(DayCounter,SettlementDate,BC104,,,Trigger)</f>
        <v>0.3888888888888889</v>
      </c>
      <c r="BE104" s="47" t="e">
        <f>_xll.qlPolynomialFunctionValue(BE$1,$BD104,AllTriggers)</f>
        <v>#VALUE!</v>
      </c>
      <c r="BF104" s="47" t="e">
        <f>_xll.qlPolynomialFunctionValue(BF$1,$BD104,AllTriggers)</f>
        <v>#VALUE!</v>
      </c>
      <c r="BG104" s="47" t="e">
        <f>_xll.qlPolynomialFunctionValue(BG$1,$BD104,AllTriggers)</f>
        <v>#VALUE!</v>
      </c>
      <c r="BH104" s="47" t="e">
        <f>_xll.qlPolynomialFunctionValue(BH$1,$BD104,AllTriggers)</f>
        <v>#VALUE!</v>
      </c>
      <c r="BI104" s="47" t="e">
        <f>_xll.qlPolynomialFunctionValue(BI$1,$BD104,AllTriggers)</f>
        <v>#VALUE!</v>
      </c>
      <c r="BJ104" s="47" t="e">
        <f>_xll.qlPolynomialFunctionValue(BJ$1,$BD104,AllTriggers)</f>
        <v>#VALUE!</v>
      </c>
      <c r="BK104" s="47" t="e">
        <f>_xll.qlPolynomialFunctionValue(BK$1,$BD104,AllTriggers)</f>
        <v>#VALUE!</v>
      </c>
      <c r="BL104" s="47" t="e">
        <f>_xll.qlPolynomialFunctionValue(BL$1,$BD104,AllTriggers)</f>
        <v>#VALUE!</v>
      </c>
      <c r="BM104" s="47" t="e">
        <f>_xll.qlPolynomialFunctionValue(BM$1,$BD104,AllTriggers)</f>
        <v>#VALUE!</v>
      </c>
      <c r="BN104" s="47" t="e">
        <f>_xll.qlPolynomialFunctionValue(BN$1,$BD104,AllTriggers)</f>
        <v>#VALUE!</v>
      </c>
      <c r="BO104" s="47" t="e">
        <f>_xll.qlPolynomialFunctionValue(BO$1,$BD104,AllTriggers)</f>
        <v>#VALUE!</v>
      </c>
      <c r="BP104" s="47" t="e">
        <f>_xll.qlPolynomialFunctionValue(BP$1,$BD104,AllTriggers)</f>
        <v>#VALUE!</v>
      </c>
      <c r="BQ104" s="47">
        <f>_xll.qlPolynomialFunctionValue('12MSynthDepo_used'!$P$18,BD104,AllTriggers)</f>
        <v>3.0548092558245398E-3</v>
      </c>
    </row>
    <row r="105" spans="11:69" x14ac:dyDescent="0.2">
      <c r="R105" s="34"/>
      <c r="S105" s="34"/>
      <c r="BC105" s="178">
        <f>_xll.qlCalendarAdvance(Calendar,BC104,"1d","mf",,Trigger)</f>
        <v>42422</v>
      </c>
      <c r="BD105" s="41">
        <f>_xll.qlDayCounterYearFraction(DayCounter,SettlementDate,BC105,,,Trigger)</f>
        <v>0.3972222222222222</v>
      </c>
      <c r="BE105" s="47" t="e">
        <f>_xll.qlPolynomialFunctionValue(BE$1,$BD105,AllTriggers)</f>
        <v>#VALUE!</v>
      </c>
      <c r="BF105" s="47" t="e">
        <f>_xll.qlPolynomialFunctionValue(BF$1,$BD105,AllTriggers)</f>
        <v>#VALUE!</v>
      </c>
      <c r="BG105" s="47" t="e">
        <f>_xll.qlPolynomialFunctionValue(BG$1,$BD105,AllTriggers)</f>
        <v>#VALUE!</v>
      </c>
      <c r="BH105" s="47" t="e">
        <f>_xll.qlPolynomialFunctionValue(BH$1,$BD105,AllTriggers)</f>
        <v>#VALUE!</v>
      </c>
      <c r="BI105" s="47" t="e">
        <f>_xll.qlPolynomialFunctionValue(BI$1,$BD105,AllTriggers)</f>
        <v>#VALUE!</v>
      </c>
      <c r="BJ105" s="47" t="e">
        <f>_xll.qlPolynomialFunctionValue(BJ$1,$BD105,AllTriggers)</f>
        <v>#VALUE!</v>
      </c>
      <c r="BK105" s="47" t="e">
        <f>_xll.qlPolynomialFunctionValue(BK$1,$BD105,AllTriggers)</f>
        <v>#VALUE!</v>
      </c>
      <c r="BL105" s="47" t="e">
        <f>_xll.qlPolynomialFunctionValue(BL$1,$BD105,AllTriggers)</f>
        <v>#VALUE!</v>
      </c>
      <c r="BM105" s="47" t="e">
        <f>_xll.qlPolynomialFunctionValue(BM$1,$BD105,AllTriggers)</f>
        <v>#VALUE!</v>
      </c>
      <c r="BN105" s="47" t="e">
        <f>_xll.qlPolynomialFunctionValue(BN$1,$BD105,AllTriggers)</f>
        <v>#VALUE!</v>
      </c>
      <c r="BO105" s="47" t="e">
        <f>_xll.qlPolynomialFunctionValue(BO$1,$BD105,AllTriggers)</f>
        <v>#VALUE!</v>
      </c>
      <c r="BP105" s="47" t="e">
        <f>_xll.qlPolynomialFunctionValue(BP$1,$BD105,AllTriggers)</f>
        <v>#VALUE!</v>
      </c>
      <c r="BQ105" s="47">
        <f>_xll.qlPolynomialFunctionValue('12MSynthDepo_used'!$P$18,BD105,AllTriggers)</f>
        <v>3.0597133820208892E-3</v>
      </c>
    </row>
    <row r="106" spans="11:69" x14ac:dyDescent="0.2">
      <c r="R106" s="34"/>
      <c r="S106" s="34"/>
      <c r="BC106" s="178">
        <f>_xll.qlCalendarAdvance(Calendar,BC105,"1d","mf",,Trigger)</f>
        <v>42423</v>
      </c>
      <c r="BD106" s="41">
        <f>_xll.qlDayCounterYearFraction(DayCounter,SettlementDate,BC106,,,Trigger)</f>
        <v>0.4</v>
      </c>
      <c r="BE106" s="47" t="e">
        <f>_xll.qlPolynomialFunctionValue(BE$1,$BD106,AllTriggers)</f>
        <v>#VALUE!</v>
      </c>
      <c r="BF106" s="47" t="e">
        <f>_xll.qlPolynomialFunctionValue(BF$1,$BD106,AllTriggers)</f>
        <v>#VALUE!</v>
      </c>
      <c r="BG106" s="47" t="e">
        <f>_xll.qlPolynomialFunctionValue(BG$1,$BD106,AllTriggers)</f>
        <v>#VALUE!</v>
      </c>
      <c r="BH106" s="47" t="e">
        <f>_xll.qlPolynomialFunctionValue(BH$1,$BD106,AllTriggers)</f>
        <v>#VALUE!</v>
      </c>
      <c r="BI106" s="47" t="e">
        <f>_xll.qlPolynomialFunctionValue(BI$1,$BD106,AllTriggers)</f>
        <v>#VALUE!</v>
      </c>
      <c r="BJ106" s="47" t="e">
        <f>_xll.qlPolynomialFunctionValue(BJ$1,$BD106,AllTriggers)</f>
        <v>#VALUE!</v>
      </c>
      <c r="BK106" s="47" t="e">
        <f>_xll.qlPolynomialFunctionValue(BK$1,$BD106,AllTriggers)</f>
        <v>#VALUE!</v>
      </c>
      <c r="BL106" s="47" t="e">
        <f>_xll.qlPolynomialFunctionValue(BL$1,$BD106,AllTriggers)</f>
        <v>#VALUE!</v>
      </c>
      <c r="BM106" s="47" t="e">
        <f>_xll.qlPolynomialFunctionValue(BM$1,$BD106,AllTriggers)</f>
        <v>#VALUE!</v>
      </c>
      <c r="BN106" s="47" t="e">
        <f>_xll.qlPolynomialFunctionValue(BN$1,$BD106,AllTriggers)</f>
        <v>#VALUE!</v>
      </c>
      <c r="BO106" s="47" t="e">
        <f>_xll.qlPolynomialFunctionValue(BO$1,$BD106,AllTriggers)</f>
        <v>#VALUE!</v>
      </c>
      <c r="BP106" s="47" t="e">
        <f>_xll.qlPolynomialFunctionValue(BP$1,$BD106,AllTriggers)</f>
        <v>#VALUE!</v>
      </c>
      <c r="BQ106" s="47">
        <f>_xll.qlPolynomialFunctionValue('12MSynthDepo_used'!$P$18,BD106,AllTriggers)</f>
        <v>3.0613499389774267E-3</v>
      </c>
    </row>
    <row r="107" spans="11:69" x14ac:dyDescent="0.2">
      <c r="R107" s="34"/>
      <c r="S107" s="34"/>
      <c r="BC107" s="178">
        <f>_xll.qlCalendarAdvance(Calendar,BC106,"1d","mf",,Trigger)</f>
        <v>42424</v>
      </c>
      <c r="BD107" s="41">
        <f>_xll.qlDayCounterYearFraction(DayCounter,SettlementDate,BC107,,,Trigger)</f>
        <v>0.40277777777777779</v>
      </c>
      <c r="BE107" s="47" t="e">
        <f>_xll.qlPolynomialFunctionValue(BE$1,$BD107,AllTriggers)</f>
        <v>#VALUE!</v>
      </c>
      <c r="BF107" s="47" t="e">
        <f>_xll.qlPolynomialFunctionValue(BF$1,$BD107,AllTriggers)</f>
        <v>#VALUE!</v>
      </c>
      <c r="BG107" s="47" t="e">
        <f>_xll.qlPolynomialFunctionValue(BG$1,$BD107,AllTriggers)</f>
        <v>#VALUE!</v>
      </c>
      <c r="BH107" s="47" t="e">
        <f>_xll.qlPolynomialFunctionValue(BH$1,$BD107,AllTriggers)</f>
        <v>#VALUE!</v>
      </c>
      <c r="BI107" s="47" t="e">
        <f>_xll.qlPolynomialFunctionValue(BI$1,$BD107,AllTriggers)</f>
        <v>#VALUE!</v>
      </c>
      <c r="BJ107" s="47" t="e">
        <f>_xll.qlPolynomialFunctionValue(BJ$1,$BD107,AllTriggers)</f>
        <v>#VALUE!</v>
      </c>
      <c r="BK107" s="47" t="e">
        <f>_xll.qlPolynomialFunctionValue(BK$1,$BD107,AllTriggers)</f>
        <v>#VALUE!</v>
      </c>
      <c r="BL107" s="47" t="e">
        <f>_xll.qlPolynomialFunctionValue(BL$1,$BD107,AllTriggers)</f>
        <v>#VALUE!</v>
      </c>
      <c r="BM107" s="47" t="e">
        <f>_xll.qlPolynomialFunctionValue(BM$1,$BD107,AllTriggers)</f>
        <v>#VALUE!</v>
      </c>
      <c r="BN107" s="47" t="e">
        <f>_xll.qlPolynomialFunctionValue(BN$1,$BD107,AllTriggers)</f>
        <v>#VALUE!</v>
      </c>
      <c r="BO107" s="47" t="e">
        <f>_xll.qlPolynomialFunctionValue(BO$1,$BD107,AllTriggers)</f>
        <v>#VALUE!</v>
      </c>
      <c r="BP107" s="47" t="e">
        <f>_xll.qlPolynomialFunctionValue(BP$1,$BD107,AllTriggers)</f>
        <v>#VALUE!</v>
      </c>
      <c r="BQ107" s="47">
        <f>_xll.qlPolynomialFunctionValue('12MSynthDepo_used'!$P$18,BD107,AllTriggers)</f>
        <v>3.0629874112960689E-3</v>
      </c>
    </row>
    <row r="108" spans="11:69" x14ac:dyDescent="0.2">
      <c r="R108" s="34"/>
      <c r="S108" s="34"/>
      <c r="BC108" s="178">
        <f>_xll.qlCalendarAdvance(Calendar,BC107,"1d","mf",,Trigger)</f>
        <v>42425</v>
      </c>
      <c r="BD108" s="41">
        <f>_xll.qlDayCounterYearFraction(DayCounter,SettlementDate,BC108,,,Trigger)</f>
        <v>0.40555555555555556</v>
      </c>
      <c r="BE108" s="47" t="e">
        <f>_xll.qlPolynomialFunctionValue(BE$1,$BD108,AllTriggers)</f>
        <v>#VALUE!</v>
      </c>
      <c r="BF108" s="47" t="e">
        <f>_xll.qlPolynomialFunctionValue(BF$1,$BD108,AllTriggers)</f>
        <v>#VALUE!</v>
      </c>
      <c r="BG108" s="47" t="e">
        <f>_xll.qlPolynomialFunctionValue(BG$1,$BD108,AllTriggers)</f>
        <v>#VALUE!</v>
      </c>
      <c r="BH108" s="47" t="e">
        <f>_xll.qlPolynomialFunctionValue(BH$1,$BD108,AllTriggers)</f>
        <v>#VALUE!</v>
      </c>
      <c r="BI108" s="47" t="e">
        <f>_xll.qlPolynomialFunctionValue(BI$1,$BD108,AllTriggers)</f>
        <v>#VALUE!</v>
      </c>
      <c r="BJ108" s="47" t="e">
        <f>_xll.qlPolynomialFunctionValue(BJ$1,$BD108,AllTriggers)</f>
        <v>#VALUE!</v>
      </c>
      <c r="BK108" s="47" t="e">
        <f>_xll.qlPolynomialFunctionValue(BK$1,$BD108,AllTriggers)</f>
        <v>#VALUE!</v>
      </c>
      <c r="BL108" s="47" t="e">
        <f>_xll.qlPolynomialFunctionValue(BL$1,$BD108,AllTriggers)</f>
        <v>#VALUE!</v>
      </c>
      <c r="BM108" s="47" t="e">
        <f>_xll.qlPolynomialFunctionValue(BM$1,$BD108,AllTriggers)</f>
        <v>#VALUE!</v>
      </c>
      <c r="BN108" s="47" t="e">
        <f>_xll.qlPolynomialFunctionValue(BN$1,$BD108,AllTriggers)</f>
        <v>#VALUE!</v>
      </c>
      <c r="BO108" s="47" t="e">
        <f>_xll.qlPolynomialFunctionValue(BO$1,$BD108,AllTriggers)</f>
        <v>#VALUE!</v>
      </c>
      <c r="BP108" s="47" t="e">
        <f>_xll.qlPolynomialFunctionValue(BP$1,$BD108,AllTriggers)</f>
        <v>#VALUE!</v>
      </c>
      <c r="BQ108" s="47">
        <f>_xll.qlPolynomialFunctionValue('12MSynthDepo_used'!$P$18,BD108,AllTriggers)</f>
        <v>3.0646257937267519E-3</v>
      </c>
    </row>
    <row r="109" spans="11:69" x14ac:dyDescent="0.2">
      <c r="R109" s="34"/>
      <c r="S109" s="34"/>
      <c r="BC109" s="178">
        <f>_xll.qlCalendarAdvance(Calendar,BC108,"1d","mf",,Trigger)</f>
        <v>42426</v>
      </c>
      <c r="BD109" s="41">
        <f>_xll.qlDayCounterYearFraction(DayCounter,SettlementDate,BC109,,,Trigger)</f>
        <v>0.40833333333333333</v>
      </c>
      <c r="BE109" s="47" t="e">
        <f>_xll.qlPolynomialFunctionValue(BE$1,$BD109,AllTriggers)</f>
        <v>#VALUE!</v>
      </c>
      <c r="BF109" s="47" t="e">
        <f>_xll.qlPolynomialFunctionValue(BF$1,$BD109,AllTriggers)</f>
        <v>#VALUE!</v>
      </c>
      <c r="BG109" s="47" t="e">
        <f>_xll.qlPolynomialFunctionValue(BG$1,$BD109,AllTriggers)</f>
        <v>#VALUE!</v>
      </c>
      <c r="BH109" s="47" t="e">
        <f>_xll.qlPolynomialFunctionValue(BH$1,$BD109,AllTriggers)</f>
        <v>#VALUE!</v>
      </c>
      <c r="BI109" s="47" t="e">
        <f>_xll.qlPolynomialFunctionValue(BI$1,$BD109,AllTriggers)</f>
        <v>#VALUE!</v>
      </c>
      <c r="BJ109" s="47" t="e">
        <f>_xll.qlPolynomialFunctionValue(BJ$1,$BD109,AllTriggers)</f>
        <v>#VALUE!</v>
      </c>
      <c r="BK109" s="47" t="e">
        <f>_xll.qlPolynomialFunctionValue(BK$1,$BD109,AllTriggers)</f>
        <v>#VALUE!</v>
      </c>
      <c r="BL109" s="47" t="e">
        <f>_xll.qlPolynomialFunctionValue(BL$1,$BD109,AllTriggers)</f>
        <v>#VALUE!</v>
      </c>
      <c r="BM109" s="47" t="e">
        <f>_xll.qlPolynomialFunctionValue(BM$1,$BD109,AllTriggers)</f>
        <v>#VALUE!</v>
      </c>
      <c r="BN109" s="47" t="e">
        <f>_xll.qlPolynomialFunctionValue(BN$1,$BD109,AllTriggers)</f>
        <v>#VALUE!</v>
      </c>
      <c r="BO109" s="47" t="e">
        <f>_xll.qlPolynomialFunctionValue(BO$1,$BD109,AllTriggers)</f>
        <v>#VALUE!</v>
      </c>
      <c r="BP109" s="47" t="e">
        <f>_xll.qlPolynomialFunctionValue(BP$1,$BD109,AllTriggers)</f>
        <v>#VALUE!</v>
      </c>
      <c r="BQ109" s="47">
        <f>_xll.qlPolynomialFunctionValue('12MSynthDepo_used'!$P$18,BD109,AllTriggers)</f>
        <v>3.066265081019412E-3</v>
      </c>
    </row>
    <row r="110" spans="11:69" x14ac:dyDescent="0.2">
      <c r="R110" s="34"/>
      <c r="S110" s="34"/>
      <c r="BC110" s="178">
        <f>_xll.qlCalendarAdvance(Calendar,BC109,"1d","mf",,Trigger)</f>
        <v>42429</v>
      </c>
      <c r="BD110" s="41">
        <f>_xll.qlDayCounterYearFraction(DayCounter,SettlementDate,BC110,,,Trigger)</f>
        <v>0.41666666666666669</v>
      </c>
      <c r="BE110" s="47" t="e">
        <f>_xll.qlPolynomialFunctionValue(BE$1,$BD110,AllTriggers)</f>
        <v>#VALUE!</v>
      </c>
      <c r="BF110" s="47" t="e">
        <f>_xll.qlPolynomialFunctionValue(BF$1,$BD110,AllTriggers)</f>
        <v>#VALUE!</v>
      </c>
      <c r="BG110" s="47" t="e">
        <f>_xll.qlPolynomialFunctionValue(BG$1,$BD110,AllTriggers)</f>
        <v>#VALUE!</v>
      </c>
      <c r="BH110" s="47" t="e">
        <f>_xll.qlPolynomialFunctionValue(BH$1,$BD110,AllTriggers)</f>
        <v>#VALUE!</v>
      </c>
      <c r="BI110" s="47" t="e">
        <f>_xll.qlPolynomialFunctionValue(BI$1,$BD110,AllTriggers)</f>
        <v>#VALUE!</v>
      </c>
      <c r="BJ110" s="47" t="e">
        <f>_xll.qlPolynomialFunctionValue(BJ$1,$BD110,AllTriggers)</f>
        <v>#VALUE!</v>
      </c>
      <c r="BK110" s="47" t="e">
        <f>_xll.qlPolynomialFunctionValue(BK$1,$BD110,AllTriggers)</f>
        <v>#VALUE!</v>
      </c>
      <c r="BL110" s="47" t="e">
        <f>_xll.qlPolynomialFunctionValue(BL$1,$BD110,AllTriggers)</f>
        <v>#VALUE!</v>
      </c>
      <c r="BM110" s="47" t="e">
        <f>_xll.qlPolynomialFunctionValue(BM$1,$BD110,AllTriggers)</f>
        <v>#VALUE!</v>
      </c>
      <c r="BN110" s="47" t="e">
        <f>_xll.qlPolynomialFunctionValue(BN$1,$BD110,AllTriggers)</f>
        <v>#VALUE!</v>
      </c>
      <c r="BO110" s="47" t="e">
        <f>_xll.qlPolynomialFunctionValue(BO$1,$BD110,AllTriggers)</f>
        <v>#VALUE!</v>
      </c>
      <c r="BP110" s="47" t="e">
        <f>_xll.qlPolynomialFunctionValue(BP$1,$BD110,AllTriggers)</f>
        <v>#VALUE!</v>
      </c>
      <c r="BQ110" s="47">
        <f>_xll.qlPolynomialFunctionValue('12MSynthDepo_used'!$P$18,BD110,AllTriggers)</f>
        <v>3.0711883195686197E-3</v>
      </c>
    </row>
    <row r="111" spans="11:69" x14ac:dyDescent="0.2">
      <c r="R111" s="34"/>
      <c r="S111" s="34"/>
      <c r="BC111" s="178">
        <f>_xll.qlCalendarAdvance(Calendar,BC110,"1d","mf",,Trigger)</f>
        <v>42430</v>
      </c>
      <c r="BD111" s="41">
        <f>_xll.qlDayCounterYearFraction(DayCounter,SettlementDate,BC111,,,Trigger)</f>
        <v>0.41944444444444445</v>
      </c>
      <c r="BE111" s="47" t="e">
        <f>_xll.qlPolynomialFunctionValue(BE$1,$BD111,AllTriggers)</f>
        <v>#VALUE!</v>
      </c>
      <c r="BF111" s="47" t="e">
        <f>_xll.qlPolynomialFunctionValue(BF$1,$BD111,AllTriggers)</f>
        <v>#VALUE!</v>
      </c>
      <c r="BG111" s="47" t="e">
        <f>_xll.qlPolynomialFunctionValue(BG$1,$BD111,AllTriggers)</f>
        <v>#VALUE!</v>
      </c>
      <c r="BH111" s="47" t="e">
        <f>_xll.qlPolynomialFunctionValue(BH$1,$BD111,AllTriggers)</f>
        <v>#VALUE!</v>
      </c>
      <c r="BI111" s="47" t="e">
        <f>_xll.qlPolynomialFunctionValue(BI$1,$BD111,AllTriggers)</f>
        <v>#VALUE!</v>
      </c>
      <c r="BJ111" s="47" t="e">
        <f>_xll.qlPolynomialFunctionValue(BJ$1,$BD111,AllTriggers)</f>
        <v>#VALUE!</v>
      </c>
      <c r="BK111" s="47" t="e">
        <f>_xll.qlPolynomialFunctionValue(BK$1,$BD111,AllTriggers)</f>
        <v>#VALUE!</v>
      </c>
      <c r="BL111" s="47" t="e">
        <f>_xll.qlPolynomialFunctionValue(BL$1,$BD111,AllTriggers)</f>
        <v>#VALUE!</v>
      </c>
      <c r="BM111" s="47" t="e">
        <f>_xll.qlPolynomialFunctionValue(BM$1,$BD111,AllTriggers)</f>
        <v>#VALUE!</v>
      </c>
      <c r="BN111" s="47" t="e">
        <f>_xll.qlPolynomialFunctionValue(BN$1,$BD111,AllTriggers)</f>
        <v>#VALUE!</v>
      </c>
      <c r="BO111" s="47" t="e">
        <f>_xll.qlPolynomialFunctionValue(BO$1,$BD111,AllTriggers)</f>
        <v>#VALUE!</v>
      </c>
      <c r="BP111" s="47" t="e">
        <f>_xll.qlPolynomialFunctionValue(BP$1,$BD111,AllTriggers)</f>
        <v>#VALUE!</v>
      </c>
      <c r="BQ111" s="47">
        <f>_xll.qlPolynomialFunctionValue('12MSynthDepo_used'!$P$18,BD111,AllTriggers)</f>
        <v>3.0728311738085529E-3</v>
      </c>
    </row>
    <row r="112" spans="11:69" x14ac:dyDescent="0.2">
      <c r="R112" s="34"/>
      <c r="S112" s="34"/>
      <c r="BC112" s="178">
        <f>_xll.qlCalendarAdvance(Calendar,BC111,"1d","mf",,Trigger)</f>
        <v>42431</v>
      </c>
      <c r="BD112" s="41">
        <f>_xll.qlDayCounterYearFraction(DayCounter,SettlementDate,BC112,,,Trigger)</f>
        <v>0.42222222222222222</v>
      </c>
      <c r="BE112" s="47" t="e">
        <f>_xll.qlPolynomialFunctionValue(BE$1,$BD112,AllTriggers)</f>
        <v>#VALUE!</v>
      </c>
      <c r="BF112" s="47" t="e">
        <f>_xll.qlPolynomialFunctionValue(BF$1,$BD112,AllTriggers)</f>
        <v>#VALUE!</v>
      </c>
      <c r="BG112" s="47" t="e">
        <f>_xll.qlPolynomialFunctionValue(BG$1,$BD112,AllTriggers)</f>
        <v>#VALUE!</v>
      </c>
      <c r="BH112" s="47" t="e">
        <f>_xll.qlPolynomialFunctionValue(BH$1,$BD112,AllTriggers)</f>
        <v>#VALUE!</v>
      </c>
      <c r="BI112" s="47" t="e">
        <f>_xll.qlPolynomialFunctionValue(BI$1,$BD112,AllTriggers)</f>
        <v>#VALUE!</v>
      </c>
      <c r="BJ112" s="47" t="e">
        <f>_xll.qlPolynomialFunctionValue(BJ$1,$BD112,AllTriggers)</f>
        <v>#VALUE!</v>
      </c>
      <c r="BK112" s="47" t="e">
        <f>_xll.qlPolynomialFunctionValue(BK$1,$BD112,AllTriggers)</f>
        <v>#VALUE!</v>
      </c>
      <c r="BL112" s="47" t="e">
        <f>_xll.qlPolynomialFunctionValue(BL$1,$BD112,AllTriggers)</f>
        <v>#VALUE!</v>
      </c>
      <c r="BM112" s="47" t="e">
        <f>_xll.qlPolynomialFunctionValue(BM$1,$BD112,AllTriggers)</f>
        <v>#VALUE!</v>
      </c>
      <c r="BN112" s="47" t="e">
        <f>_xll.qlPolynomialFunctionValue(BN$1,$BD112,AllTriggers)</f>
        <v>#VALUE!</v>
      </c>
      <c r="BO112" s="47" t="e">
        <f>_xll.qlPolynomialFunctionValue(BO$1,$BD112,AllTriggers)</f>
        <v>#VALUE!</v>
      </c>
      <c r="BP112" s="47" t="e">
        <f>_xll.qlPolynomialFunctionValue(BP$1,$BD112,AllTriggers)</f>
        <v>#VALUE!</v>
      </c>
      <c r="BQ112" s="47">
        <f>_xll.qlPolynomialFunctionValue('12MSynthDepo_used'!$P$18,BD112,AllTriggers)</f>
        <v>3.0744749066601439E-3</v>
      </c>
    </row>
    <row r="113" spans="18:69" x14ac:dyDescent="0.2">
      <c r="R113" s="34"/>
      <c r="S113" s="34"/>
      <c r="AB113" s="19" t="s">
        <v>70</v>
      </c>
      <c r="BC113" s="178">
        <f>_xll.qlCalendarAdvance(Calendar,BC112,"1d","mf",,Trigger)</f>
        <v>42432</v>
      </c>
      <c r="BD113" s="41">
        <f>_xll.qlDayCounterYearFraction(DayCounter,SettlementDate,BC113,,,Trigger)</f>
        <v>0.42499999999999999</v>
      </c>
      <c r="BE113" s="47" t="e">
        <f>_xll.qlPolynomialFunctionValue(BE$1,$BD113,AllTriggers)</f>
        <v>#VALUE!</v>
      </c>
      <c r="BF113" s="47" t="e">
        <f>_xll.qlPolynomialFunctionValue(BF$1,$BD113,AllTriggers)</f>
        <v>#VALUE!</v>
      </c>
      <c r="BG113" s="47" t="e">
        <f>_xll.qlPolynomialFunctionValue(BG$1,$BD113,AllTriggers)</f>
        <v>#VALUE!</v>
      </c>
      <c r="BH113" s="47" t="e">
        <f>_xll.qlPolynomialFunctionValue(BH$1,$BD113,AllTriggers)</f>
        <v>#VALUE!</v>
      </c>
      <c r="BI113" s="47" t="e">
        <f>_xll.qlPolynomialFunctionValue(BI$1,$BD113,AllTriggers)</f>
        <v>#VALUE!</v>
      </c>
      <c r="BJ113" s="47" t="e">
        <f>_xll.qlPolynomialFunctionValue(BJ$1,$BD113,AllTriggers)</f>
        <v>#VALUE!</v>
      </c>
      <c r="BK113" s="47" t="e">
        <f>_xll.qlPolynomialFunctionValue(BK$1,$BD113,AllTriggers)</f>
        <v>#VALUE!</v>
      </c>
      <c r="BL113" s="47" t="e">
        <f>_xll.qlPolynomialFunctionValue(BL$1,$BD113,AllTriggers)</f>
        <v>#VALUE!</v>
      </c>
      <c r="BM113" s="47" t="e">
        <f>_xll.qlPolynomialFunctionValue(BM$1,$BD113,AllTriggers)</f>
        <v>#VALUE!</v>
      </c>
      <c r="BN113" s="47" t="e">
        <f>_xll.qlPolynomialFunctionValue(BN$1,$BD113,AllTriggers)</f>
        <v>#VALUE!</v>
      </c>
      <c r="BO113" s="47" t="e">
        <f>_xll.qlPolynomialFunctionValue(BO$1,$BD113,AllTriggers)</f>
        <v>#VALUE!</v>
      </c>
      <c r="BP113" s="47" t="e">
        <f>_xll.qlPolynomialFunctionValue(BP$1,$BD113,AllTriggers)</f>
        <v>#VALUE!</v>
      </c>
      <c r="BQ113" s="47">
        <f>_xll.qlPolynomialFunctionValue('12MSynthDepo_used'!$P$18,BD113,AllTriggers)</f>
        <v>3.0761195128733306E-3</v>
      </c>
    </row>
    <row r="114" spans="18:69" x14ac:dyDescent="0.2">
      <c r="R114" s="34"/>
      <c r="S114" s="34"/>
      <c r="BC114" s="178">
        <f>_xll.qlCalendarAdvance(Calendar,BC113,"1d","mf",,Trigger)</f>
        <v>42433</v>
      </c>
      <c r="BD114" s="41">
        <f>_xll.qlDayCounterYearFraction(DayCounter,SettlementDate,BC114,,,Trigger)</f>
        <v>0.42777777777777776</v>
      </c>
      <c r="BE114" s="47" t="e">
        <f>_xll.qlPolynomialFunctionValue(BE$1,$BD114,AllTriggers)</f>
        <v>#VALUE!</v>
      </c>
      <c r="BF114" s="47" t="e">
        <f>_xll.qlPolynomialFunctionValue(BF$1,$BD114,AllTriggers)</f>
        <v>#VALUE!</v>
      </c>
      <c r="BG114" s="47" t="e">
        <f>_xll.qlPolynomialFunctionValue(BG$1,$BD114,AllTriggers)</f>
        <v>#VALUE!</v>
      </c>
      <c r="BH114" s="47" t="e">
        <f>_xll.qlPolynomialFunctionValue(BH$1,$BD114,AllTriggers)</f>
        <v>#VALUE!</v>
      </c>
      <c r="BI114" s="47" t="e">
        <f>_xll.qlPolynomialFunctionValue(BI$1,$BD114,AllTriggers)</f>
        <v>#VALUE!</v>
      </c>
      <c r="BJ114" s="47" t="e">
        <f>_xll.qlPolynomialFunctionValue(BJ$1,$BD114,AllTriggers)</f>
        <v>#VALUE!</v>
      </c>
      <c r="BK114" s="47" t="e">
        <f>_xll.qlPolynomialFunctionValue(BK$1,$BD114,AllTriggers)</f>
        <v>#VALUE!</v>
      </c>
      <c r="BL114" s="47" t="e">
        <f>_xll.qlPolynomialFunctionValue(BL$1,$BD114,AllTriggers)</f>
        <v>#VALUE!</v>
      </c>
      <c r="BM114" s="47" t="e">
        <f>_xll.qlPolynomialFunctionValue(BM$1,$BD114,AllTriggers)</f>
        <v>#VALUE!</v>
      </c>
      <c r="BN114" s="47" t="e">
        <f>_xll.qlPolynomialFunctionValue(BN$1,$BD114,AllTriggers)</f>
        <v>#VALUE!</v>
      </c>
      <c r="BO114" s="47" t="e">
        <f>_xll.qlPolynomialFunctionValue(BO$1,$BD114,AllTriggers)</f>
        <v>#VALUE!</v>
      </c>
      <c r="BP114" s="47" t="e">
        <f>_xll.qlPolynomialFunctionValue(BP$1,$BD114,AllTriggers)</f>
        <v>#VALUE!</v>
      </c>
      <c r="BQ114" s="47">
        <f>_xll.qlPolynomialFunctionValue('12MSynthDepo_used'!$P$18,BD114,AllTriggers)</f>
        <v>3.0777649871980492E-3</v>
      </c>
    </row>
    <row r="115" spans="18:69" x14ac:dyDescent="0.2">
      <c r="R115" s="34"/>
      <c r="S115" s="34"/>
      <c r="BC115" s="178">
        <f>_xll.qlCalendarAdvance(Calendar,BC114,"1d","mf",,Trigger)</f>
        <v>42436</v>
      </c>
      <c r="BD115" s="41">
        <f>_xll.qlDayCounterYearFraction(DayCounter,SettlementDate,BC115,,,Trigger)</f>
        <v>0.43611111111111112</v>
      </c>
      <c r="BE115" s="47" t="e">
        <f>_xll.qlPolynomialFunctionValue(BE$1,$BD115,AllTriggers)</f>
        <v>#VALUE!</v>
      </c>
      <c r="BF115" s="47" t="e">
        <f>_xll.qlPolynomialFunctionValue(BF$1,$BD115,AllTriggers)</f>
        <v>#VALUE!</v>
      </c>
      <c r="BG115" s="47" t="e">
        <f>_xll.qlPolynomialFunctionValue(BG$1,$BD115,AllTriggers)</f>
        <v>#VALUE!</v>
      </c>
      <c r="BH115" s="47" t="e">
        <f>_xll.qlPolynomialFunctionValue(BH$1,$BD115,AllTriggers)</f>
        <v>#VALUE!</v>
      </c>
      <c r="BI115" s="47" t="e">
        <f>_xll.qlPolynomialFunctionValue(BI$1,$BD115,AllTriggers)</f>
        <v>#VALUE!</v>
      </c>
      <c r="BJ115" s="47" t="e">
        <f>_xll.qlPolynomialFunctionValue(BJ$1,$BD115,AllTriggers)</f>
        <v>#VALUE!</v>
      </c>
      <c r="BK115" s="47" t="e">
        <f>_xll.qlPolynomialFunctionValue(BK$1,$BD115,AllTriggers)</f>
        <v>#VALUE!</v>
      </c>
      <c r="BL115" s="47" t="e">
        <f>_xll.qlPolynomialFunctionValue(BL$1,$BD115,AllTriggers)</f>
        <v>#VALUE!</v>
      </c>
      <c r="BM115" s="47" t="e">
        <f>_xll.qlPolynomialFunctionValue(BM$1,$BD115,AllTriggers)</f>
        <v>#VALUE!</v>
      </c>
      <c r="BN115" s="47" t="e">
        <f>_xll.qlPolynomialFunctionValue(BN$1,$BD115,AllTriggers)</f>
        <v>#VALUE!</v>
      </c>
      <c r="BO115" s="47" t="e">
        <f>_xll.qlPolynomialFunctionValue(BO$1,$BD115,AllTriggers)</f>
        <v>#VALUE!</v>
      </c>
      <c r="BP115" s="47" t="e">
        <f>_xll.qlPolynomialFunctionValue(BP$1,$BD115,AllTriggers)</f>
        <v>#VALUE!</v>
      </c>
      <c r="BQ115" s="47">
        <f>_xll.qlPolynomialFunctionValue('12MSynthDepo_used'!$P$18,BD115,AllTriggers)</f>
        <v>3.0827065663407566E-3</v>
      </c>
    </row>
    <row r="116" spans="18:69" x14ac:dyDescent="0.2">
      <c r="R116" s="34"/>
      <c r="S116" s="34"/>
      <c r="BC116" s="178">
        <f>_xll.qlCalendarAdvance(Calendar,BC115,"1d","mf",,Trigger)</f>
        <v>42437</v>
      </c>
      <c r="BD116" s="41">
        <f>_xll.qlDayCounterYearFraction(DayCounter,SettlementDate,BC116,,,Trigger)</f>
        <v>0.43888888888888888</v>
      </c>
      <c r="BE116" s="47" t="e">
        <f>_xll.qlPolynomialFunctionValue(BE$1,$BD116,AllTriggers)</f>
        <v>#VALUE!</v>
      </c>
      <c r="BF116" s="47" t="e">
        <f>_xll.qlPolynomialFunctionValue(BF$1,$BD116,AllTriggers)</f>
        <v>#VALUE!</v>
      </c>
      <c r="BG116" s="47" t="e">
        <f>_xll.qlPolynomialFunctionValue(BG$1,$BD116,AllTriggers)</f>
        <v>#VALUE!</v>
      </c>
      <c r="BH116" s="47" t="e">
        <f>_xll.qlPolynomialFunctionValue(BH$1,$BD116,AllTriggers)</f>
        <v>#VALUE!</v>
      </c>
      <c r="BI116" s="47" t="e">
        <f>_xll.qlPolynomialFunctionValue(BI$1,$BD116,AllTriggers)</f>
        <v>#VALUE!</v>
      </c>
      <c r="BJ116" s="47" t="e">
        <f>_xll.qlPolynomialFunctionValue(BJ$1,$BD116,AllTriggers)</f>
        <v>#VALUE!</v>
      </c>
      <c r="BK116" s="47" t="e">
        <f>_xll.qlPolynomialFunctionValue(BK$1,$BD116,AllTriggers)</f>
        <v>#VALUE!</v>
      </c>
      <c r="BL116" s="47" t="e">
        <f>_xll.qlPolynomialFunctionValue(BL$1,$BD116,AllTriggers)</f>
        <v>#VALUE!</v>
      </c>
      <c r="BM116" s="47" t="e">
        <f>_xll.qlPolynomialFunctionValue(BM$1,$BD116,AllTriggers)</f>
        <v>#VALUE!</v>
      </c>
      <c r="BN116" s="47" t="e">
        <f>_xll.qlPolynomialFunctionValue(BN$1,$BD116,AllTriggers)</f>
        <v>#VALUE!</v>
      </c>
      <c r="BO116" s="47" t="e">
        <f>_xll.qlPolynomialFunctionValue(BO$1,$BD116,AllTriggers)</f>
        <v>#VALUE!</v>
      </c>
      <c r="BP116" s="47" t="e">
        <f>_xll.qlPolynomialFunctionValue(BP$1,$BD116,AllTriggers)</f>
        <v>#VALUE!</v>
      </c>
      <c r="BQ116" s="47">
        <f>_xll.qlPolynomialFunctionValue('12MSynthDepo_used'!$P$18,BD116,AllTriggers)</f>
        <v>3.0843554606109652E-3</v>
      </c>
    </row>
    <row r="117" spans="18:69" x14ac:dyDescent="0.2">
      <c r="R117" s="34"/>
      <c r="S117" s="34"/>
      <c r="BC117" s="178">
        <f>_xll.qlCalendarAdvance(Calendar,BC116,"1d","mf",,Trigger)</f>
        <v>42438</v>
      </c>
      <c r="BD117" s="41">
        <f>_xll.qlDayCounterYearFraction(DayCounter,SettlementDate,BC117,,,Trigger)</f>
        <v>0.44166666666666665</v>
      </c>
      <c r="BE117" s="47" t="e">
        <f>_xll.qlPolynomialFunctionValue(BE$1,$BD117,AllTriggers)</f>
        <v>#VALUE!</v>
      </c>
      <c r="BF117" s="47" t="e">
        <f>_xll.qlPolynomialFunctionValue(BF$1,$BD117,AllTriggers)</f>
        <v>#VALUE!</v>
      </c>
      <c r="BG117" s="47" t="e">
        <f>_xll.qlPolynomialFunctionValue(BG$1,$BD117,AllTriggers)</f>
        <v>#VALUE!</v>
      </c>
      <c r="BH117" s="47" t="e">
        <f>_xll.qlPolynomialFunctionValue(BH$1,$BD117,AllTriggers)</f>
        <v>#VALUE!</v>
      </c>
      <c r="BI117" s="47" t="e">
        <f>_xll.qlPolynomialFunctionValue(BI$1,$BD117,AllTriggers)</f>
        <v>#VALUE!</v>
      </c>
      <c r="BJ117" s="47" t="e">
        <f>_xll.qlPolynomialFunctionValue(BJ$1,$BD117,AllTriggers)</f>
        <v>#VALUE!</v>
      </c>
      <c r="BK117" s="47" t="e">
        <f>_xll.qlPolynomialFunctionValue(BK$1,$BD117,AllTriggers)</f>
        <v>#VALUE!</v>
      </c>
      <c r="BL117" s="47" t="e">
        <f>_xll.qlPolynomialFunctionValue(BL$1,$BD117,AllTriggers)</f>
        <v>#VALUE!</v>
      </c>
      <c r="BM117" s="47" t="e">
        <f>_xll.qlPolynomialFunctionValue(BM$1,$BD117,AllTriggers)</f>
        <v>#VALUE!</v>
      </c>
      <c r="BN117" s="47" t="e">
        <f>_xll.qlPolynomialFunctionValue(BN$1,$BD117,AllTriggers)</f>
        <v>#VALUE!</v>
      </c>
      <c r="BO117" s="47" t="e">
        <f>_xll.qlPolynomialFunctionValue(BO$1,$BD117,AllTriggers)</f>
        <v>#VALUE!</v>
      </c>
      <c r="BP117" s="47" t="e">
        <f>_xll.qlPolynomialFunctionValue(BP$1,$BD117,AllTriggers)</f>
        <v>#VALUE!</v>
      </c>
      <c r="BQ117" s="47">
        <f>_xll.qlPolynomialFunctionValue('12MSynthDepo_used'!$P$18,BD117,AllTriggers)</f>
        <v>3.0860051967423864E-3</v>
      </c>
    </row>
    <row r="118" spans="18:69" x14ac:dyDescent="0.2">
      <c r="R118" s="34"/>
      <c r="S118" s="34"/>
      <c r="BC118" s="178">
        <f>_xll.qlCalendarAdvance(Calendar,BC117,"1d","mf",,Trigger)</f>
        <v>42439</v>
      </c>
      <c r="BD118" s="41">
        <f>_xll.qlDayCounterYearFraction(DayCounter,SettlementDate,BC118,,,Trigger)</f>
        <v>0.44444444444444442</v>
      </c>
      <c r="BE118" s="47" t="e">
        <f>_xll.qlPolynomialFunctionValue(BE$1,$BD118,AllTriggers)</f>
        <v>#VALUE!</v>
      </c>
      <c r="BF118" s="47" t="e">
        <f>_xll.qlPolynomialFunctionValue(BF$1,$BD118,AllTriggers)</f>
        <v>#VALUE!</v>
      </c>
      <c r="BG118" s="47" t="e">
        <f>_xll.qlPolynomialFunctionValue(BG$1,$BD118,AllTriggers)</f>
        <v>#VALUE!</v>
      </c>
      <c r="BH118" s="47" t="e">
        <f>_xll.qlPolynomialFunctionValue(BH$1,$BD118,AllTriggers)</f>
        <v>#VALUE!</v>
      </c>
      <c r="BI118" s="47" t="e">
        <f>_xll.qlPolynomialFunctionValue(BI$1,$BD118,AllTriggers)</f>
        <v>#VALUE!</v>
      </c>
      <c r="BJ118" s="47" t="e">
        <f>_xll.qlPolynomialFunctionValue(BJ$1,$BD118,AllTriggers)</f>
        <v>#VALUE!</v>
      </c>
      <c r="BK118" s="47" t="e">
        <f>_xll.qlPolynomialFunctionValue(BK$1,$BD118,AllTriggers)</f>
        <v>#VALUE!</v>
      </c>
      <c r="BL118" s="47" t="e">
        <f>_xll.qlPolynomialFunctionValue(BL$1,$BD118,AllTriggers)</f>
        <v>#VALUE!</v>
      </c>
      <c r="BM118" s="47" t="e">
        <f>_xll.qlPolynomialFunctionValue(BM$1,$BD118,AllTriggers)</f>
        <v>#VALUE!</v>
      </c>
      <c r="BN118" s="47" t="e">
        <f>_xll.qlPolynomialFunctionValue(BN$1,$BD118,AllTriggers)</f>
        <v>#VALUE!</v>
      </c>
      <c r="BO118" s="47" t="e">
        <f>_xll.qlPolynomialFunctionValue(BO$1,$BD118,AllTriggers)</f>
        <v>#VALUE!</v>
      </c>
      <c r="BP118" s="47" t="e">
        <f>_xll.qlPolynomialFunctionValue(BP$1,$BD118,AllTriggers)</f>
        <v>#VALUE!</v>
      </c>
      <c r="BQ118" s="47">
        <f>_xll.qlPolynomialFunctionValue('12MSynthDepo_used'!$P$18,BD118,AllTriggers)</f>
        <v>3.0876557694849574E-3</v>
      </c>
    </row>
    <row r="119" spans="18:69" x14ac:dyDescent="0.2">
      <c r="R119" s="34"/>
      <c r="S119" s="34"/>
      <c r="BC119" s="178">
        <f>_xll.qlCalendarAdvance(Calendar,BC118,"1d","mf",,Trigger)</f>
        <v>42440</v>
      </c>
      <c r="BD119" s="41">
        <f>_xll.qlDayCounterYearFraction(DayCounter,SettlementDate,BC119,,,Trigger)</f>
        <v>0.44722222222222224</v>
      </c>
      <c r="BE119" s="47" t="e">
        <f>_xll.qlPolynomialFunctionValue(BE$1,$BD119,AllTriggers)</f>
        <v>#VALUE!</v>
      </c>
      <c r="BF119" s="47" t="e">
        <f>_xll.qlPolynomialFunctionValue(BF$1,$BD119,AllTriggers)</f>
        <v>#VALUE!</v>
      </c>
      <c r="BG119" s="47" t="e">
        <f>_xll.qlPolynomialFunctionValue(BG$1,$BD119,AllTriggers)</f>
        <v>#VALUE!</v>
      </c>
      <c r="BH119" s="47" t="e">
        <f>_xll.qlPolynomialFunctionValue(BH$1,$BD119,AllTriggers)</f>
        <v>#VALUE!</v>
      </c>
      <c r="BI119" s="47" t="e">
        <f>_xll.qlPolynomialFunctionValue(BI$1,$BD119,AllTriggers)</f>
        <v>#VALUE!</v>
      </c>
      <c r="BJ119" s="47" t="e">
        <f>_xll.qlPolynomialFunctionValue(BJ$1,$BD119,AllTriggers)</f>
        <v>#VALUE!</v>
      </c>
      <c r="BK119" s="47" t="e">
        <f>_xll.qlPolynomialFunctionValue(BK$1,$BD119,AllTriggers)</f>
        <v>#VALUE!</v>
      </c>
      <c r="BL119" s="47" t="e">
        <f>_xll.qlPolynomialFunctionValue(BL$1,$BD119,AllTriggers)</f>
        <v>#VALUE!</v>
      </c>
      <c r="BM119" s="47" t="e">
        <f>_xll.qlPolynomialFunctionValue(BM$1,$BD119,AllTriggers)</f>
        <v>#VALUE!</v>
      </c>
      <c r="BN119" s="47" t="e">
        <f>_xll.qlPolynomialFunctionValue(BN$1,$BD119,AllTriggers)</f>
        <v>#VALUE!</v>
      </c>
      <c r="BO119" s="47" t="e">
        <f>_xll.qlPolynomialFunctionValue(BO$1,$BD119,AllTriggers)</f>
        <v>#VALUE!</v>
      </c>
      <c r="BP119" s="47" t="e">
        <f>_xll.qlPolynomialFunctionValue(BP$1,$BD119,AllTriggers)</f>
        <v>#VALUE!</v>
      </c>
      <c r="BQ119" s="47">
        <f>_xll.qlPolynomialFunctionValue('12MSynthDepo_used'!$P$18,BD119,AllTriggers)</f>
        <v>3.0893071735886147E-3</v>
      </c>
    </row>
    <row r="120" spans="18:69" x14ac:dyDescent="0.2">
      <c r="R120" s="34"/>
      <c r="S120" s="34"/>
      <c r="BC120" s="178">
        <f>_xll.qlCalendarAdvance(Calendar,BC119,"1d","mf",,Trigger)</f>
        <v>42443</v>
      </c>
      <c r="BD120" s="41">
        <f>_xll.qlDayCounterYearFraction(DayCounter,SettlementDate,BC120,,,Trigger)</f>
        <v>0.45555555555555555</v>
      </c>
      <c r="BE120" s="47" t="e">
        <f>_xll.qlPolynomialFunctionValue(BE$1,$BD120,AllTriggers)</f>
        <v>#VALUE!</v>
      </c>
      <c r="BF120" s="47" t="e">
        <f>_xll.qlPolynomialFunctionValue(BF$1,$BD120,AllTriggers)</f>
        <v>#VALUE!</v>
      </c>
      <c r="BG120" s="47" t="e">
        <f>_xll.qlPolynomialFunctionValue(BG$1,$BD120,AllTriggers)</f>
        <v>#VALUE!</v>
      </c>
      <c r="BH120" s="47" t="e">
        <f>_xll.qlPolynomialFunctionValue(BH$1,$BD120,AllTriggers)</f>
        <v>#VALUE!</v>
      </c>
      <c r="BI120" s="47" t="e">
        <f>_xll.qlPolynomialFunctionValue(BI$1,$BD120,AllTriggers)</f>
        <v>#VALUE!</v>
      </c>
      <c r="BJ120" s="47" t="e">
        <f>_xll.qlPolynomialFunctionValue(BJ$1,$BD120,AllTriggers)</f>
        <v>#VALUE!</v>
      </c>
      <c r="BK120" s="47" t="e">
        <f>_xll.qlPolynomialFunctionValue(BK$1,$BD120,AllTriggers)</f>
        <v>#VALUE!</v>
      </c>
      <c r="BL120" s="47" t="e">
        <f>_xll.qlPolynomialFunctionValue(BL$1,$BD120,AllTriggers)</f>
        <v>#VALUE!</v>
      </c>
      <c r="BM120" s="47" t="e">
        <f>_xll.qlPolynomialFunctionValue(BM$1,$BD120,AllTriggers)</f>
        <v>#VALUE!</v>
      </c>
      <c r="BN120" s="47" t="e">
        <f>_xll.qlPolynomialFunctionValue(BN$1,$BD120,AllTriggers)</f>
        <v>#VALUE!</v>
      </c>
      <c r="BO120" s="47" t="e">
        <f>_xll.qlPolynomialFunctionValue(BO$1,$BD120,AllTriggers)</f>
        <v>#VALUE!</v>
      </c>
      <c r="BP120" s="47" t="e">
        <f>_xll.qlPolynomialFunctionValue(BP$1,$BD120,AllTriggers)</f>
        <v>#VALUE!</v>
      </c>
      <c r="BQ120" s="47">
        <f>_xll.qlPolynomialFunctionValue('12MSynthDepo_used'!$P$18,BD120,AllTriggers)</f>
        <v>3.0942663215654653E-3</v>
      </c>
    </row>
    <row r="121" spans="18:69" x14ac:dyDescent="0.2">
      <c r="R121" s="34"/>
      <c r="S121" s="34"/>
      <c r="BC121" s="178">
        <f>_xll.qlCalendarAdvance(Calendar,BC120,"1d","mf",,Trigger)</f>
        <v>42444</v>
      </c>
      <c r="BD121" s="41">
        <f>_xll.qlDayCounterYearFraction(DayCounter,SettlementDate,BC121,,,Trigger)</f>
        <v>0.45833333333333331</v>
      </c>
      <c r="BE121" s="47" t="e">
        <f>_xll.qlPolynomialFunctionValue(BE$1,$BD121,AllTriggers)</f>
        <v>#VALUE!</v>
      </c>
      <c r="BF121" s="47" t="e">
        <f>_xll.qlPolynomialFunctionValue(BF$1,$BD121,AllTriggers)</f>
        <v>#VALUE!</v>
      </c>
      <c r="BG121" s="47" t="e">
        <f>_xll.qlPolynomialFunctionValue(BG$1,$BD121,AllTriggers)</f>
        <v>#VALUE!</v>
      </c>
      <c r="BH121" s="47" t="e">
        <f>_xll.qlPolynomialFunctionValue(BH$1,$BD121,AllTriggers)</f>
        <v>#VALUE!</v>
      </c>
      <c r="BI121" s="47" t="e">
        <f>_xll.qlPolynomialFunctionValue(BI$1,$BD121,AllTriggers)</f>
        <v>#VALUE!</v>
      </c>
      <c r="BJ121" s="47" t="e">
        <f>_xll.qlPolynomialFunctionValue(BJ$1,$BD121,AllTriggers)</f>
        <v>#VALUE!</v>
      </c>
      <c r="BK121" s="47" t="e">
        <f>_xll.qlPolynomialFunctionValue(BK$1,$BD121,AllTriggers)</f>
        <v>#VALUE!</v>
      </c>
      <c r="BL121" s="47" t="e">
        <f>_xll.qlPolynomialFunctionValue(BL$1,$BD121,AllTriggers)</f>
        <v>#VALUE!</v>
      </c>
      <c r="BM121" s="47" t="e">
        <f>_xll.qlPolynomialFunctionValue(BM$1,$BD121,AllTriggers)</f>
        <v>#VALUE!</v>
      </c>
      <c r="BN121" s="47" t="e">
        <f>_xll.qlPolynomialFunctionValue(BN$1,$BD121,AllTriggers)</f>
        <v>#VALUE!</v>
      </c>
      <c r="BO121" s="47" t="e">
        <f>_xll.qlPolynomialFunctionValue(BO$1,$BD121,AllTriggers)</f>
        <v>#VALUE!</v>
      </c>
      <c r="BP121" s="47" t="e">
        <f>_xll.qlPolynomialFunctionValue(BP$1,$BD121,AllTriggers)</f>
        <v>#VALUE!</v>
      </c>
      <c r="BQ121" s="47">
        <f>_xll.qlPolynomialFunctionValue('12MSynthDepo_used'!$P$18,BD121,AllTriggers)</f>
        <v>3.0959209986128303E-3</v>
      </c>
    </row>
    <row r="122" spans="18:69" x14ac:dyDescent="0.2">
      <c r="R122" s="34"/>
      <c r="S122" s="34"/>
      <c r="BC122" s="178">
        <f>_xll.qlCalendarAdvance(Calendar,BC121,"1d","mf",,Trigger)</f>
        <v>42445</v>
      </c>
      <c r="BD122" s="41">
        <f>_xll.qlDayCounterYearFraction(DayCounter,SettlementDate,BC122,,,Trigger)</f>
        <v>0.46111111111111114</v>
      </c>
      <c r="BE122" s="47" t="e">
        <f>_xll.qlPolynomialFunctionValue(BE$1,$BD122,AllTriggers)</f>
        <v>#VALUE!</v>
      </c>
      <c r="BF122" s="47" t="e">
        <f>_xll.qlPolynomialFunctionValue(BF$1,$BD122,AllTriggers)</f>
        <v>#VALUE!</v>
      </c>
      <c r="BG122" s="47" t="e">
        <f>_xll.qlPolynomialFunctionValue(BG$1,$BD122,AllTriggers)</f>
        <v>#VALUE!</v>
      </c>
      <c r="BH122" s="47" t="e">
        <f>_xll.qlPolynomialFunctionValue(BH$1,$BD122,AllTriggers)</f>
        <v>#VALUE!</v>
      </c>
      <c r="BI122" s="47" t="e">
        <f>_xll.qlPolynomialFunctionValue(BI$1,$BD122,AllTriggers)</f>
        <v>#VALUE!</v>
      </c>
      <c r="BJ122" s="47" t="e">
        <f>_xll.qlPolynomialFunctionValue(BJ$1,$BD122,AllTriggers)</f>
        <v>#VALUE!</v>
      </c>
      <c r="BK122" s="47" t="e">
        <f>_xll.qlPolynomialFunctionValue(BK$1,$BD122,AllTriggers)</f>
        <v>#VALUE!</v>
      </c>
      <c r="BL122" s="47" t="e">
        <f>_xll.qlPolynomialFunctionValue(BL$1,$BD122,AllTriggers)</f>
        <v>#VALUE!</v>
      </c>
      <c r="BM122" s="47" t="e">
        <f>_xll.qlPolynomialFunctionValue(BM$1,$BD122,AllTriggers)</f>
        <v>#VALUE!</v>
      </c>
      <c r="BN122" s="47" t="e">
        <f>_xll.qlPolynomialFunctionValue(BN$1,$BD122,AllTriggers)</f>
        <v>#VALUE!</v>
      </c>
      <c r="BO122" s="47" t="e">
        <f>_xll.qlPolynomialFunctionValue(BO$1,$BD122,AllTriggers)</f>
        <v>#VALUE!</v>
      </c>
      <c r="BP122" s="47" t="e">
        <f>_xll.qlPolynomialFunctionValue(BP$1,$BD122,AllTriggers)</f>
        <v>#VALUE!</v>
      </c>
      <c r="BQ122" s="47">
        <f>_xll.qlPolynomialFunctionValue('12MSynthDepo_used'!$P$18,BD122,AllTriggers)</f>
        <v>3.0975764807709629E-3</v>
      </c>
    </row>
    <row r="123" spans="18:69" x14ac:dyDescent="0.2">
      <c r="R123" s="34"/>
      <c r="S123" s="34"/>
      <c r="BC123" s="178">
        <f>_xll.qlCalendarAdvance(Calendar,BC122,"1d","mf",,Trigger)</f>
        <v>42446</v>
      </c>
      <c r="BD123" s="41">
        <f>_xll.qlDayCounterYearFraction(DayCounter,SettlementDate,BC123,,,Trigger)</f>
        <v>0.46388888888888891</v>
      </c>
      <c r="BE123" s="47" t="e">
        <f>_xll.qlPolynomialFunctionValue(BE$1,$BD123,AllTriggers)</f>
        <v>#VALUE!</v>
      </c>
      <c r="BF123" s="47" t="e">
        <f>_xll.qlPolynomialFunctionValue(BF$1,$BD123,AllTriggers)</f>
        <v>#VALUE!</v>
      </c>
      <c r="BG123" s="47" t="e">
        <f>_xll.qlPolynomialFunctionValue(BG$1,$BD123,AllTriggers)</f>
        <v>#VALUE!</v>
      </c>
      <c r="BH123" s="47" t="e">
        <f>_xll.qlPolynomialFunctionValue(BH$1,$BD123,AllTriggers)</f>
        <v>#VALUE!</v>
      </c>
      <c r="BI123" s="47" t="e">
        <f>_xll.qlPolynomialFunctionValue(BI$1,$BD123,AllTriggers)</f>
        <v>#VALUE!</v>
      </c>
      <c r="BJ123" s="47" t="e">
        <f>_xll.qlPolynomialFunctionValue(BJ$1,$BD123,AllTriggers)</f>
        <v>#VALUE!</v>
      </c>
      <c r="BK123" s="47" t="e">
        <f>_xll.qlPolynomialFunctionValue(BK$1,$BD123,AllTriggers)</f>
        <v>#VALUE!</v>
      </c>
      <c r="BL123" s="47" t="e">
        <f>_xll.qlPolynomialFunctionValue(BL$1,$BD123,AllTriggers)</f>
        <v>#VALUE!</v>
      </c>
      <c r="BM123" s="47" t="e">
        <f>_xll.qlPolynomialFunctionValue(BM$1,$BD123,AllTriggers)</f>
        <v>#VALUE!</v>
      </c>
      <c r="BN123" s="47" t="e">
        <f>_xll.qlPolynomialFunctionValue(BN$1,$BD123,AllTriggers)</f>
        <v>#VALUE!</v>
      </c>
      <c r="BO123" s="47" t="e">
        <f>_xll.qlPolynomialFunctionValue(BO$1,$BD123,AllTriggers)</f>
        <v>#VALUE!</v>
      </c>
      <c r="BP123" s="47" t="e">
        <f>_xll.qlPolynomialFunctionValue(BP$1,$BD123,AllTriggers)</f>
        <v>#VALUE!</v>
      </c>
      <c r="BQ123" s="47">
        <f>_xll.qlPolynomialFunctionValue('12MSynthDepo_used'!$P$18,BD123,AllTriggers)</f>
        <v>3.0992327627897991E-3</v>
      </c>
    </row>
    <row r="124" spans="18:69" x14ac:dyDescent="0.2">
      <c r="R124" s="34"/>
      <c r="S124" s="34"/>
      <c r="BC124" s="178">
        <f>_xll.qlCalendarAdvance(Calendar,BC123,"1d","mf",,Trigger)</f>
        <v>42447</v>
      </c>
      <c r="BD124" s="41">
        <f>_xll.qlDayCounterYearFraction(DayCounter,SettlementDate,BC124,,,Trigger)</f>
        <v>0.46666666666666667</v>
      </c>
      <c r="BE124" s="47" t="e">
        <f>_xll.qlPolynomialFunctionValue(BE$1,$BD124,AllTriggers)</f>
        <v>#VALUE!</v>
      </c>
      <c r="BF124" s="47" t="e">
        <f>_xll.qlPolynomialFunctionValue(BF$1,$BD124,AllTriggers)</f>
        <v>#VALUE!</v>
      </c>
      <c r="BG124" s="47" t="e">
        <f>_xll.qlPolynomialFunctionValue(BG$1,$BD124,AllTriggers)</f>
        <v>#VALUE!</v>
      </c>
      <c r="BH124" s="47" t="e">
        <f>_xll.qlPolynomialFunctionValue(BH$1,$BD124,AllTriggers)</f>
        <v>#VALUE!</v>
      </c>
      <c r="BI124" s="47" t="e">
        <f>_xll.qlPolynomialFunctionValue(BI$1,$BD124,AllTriggers)</f>
        <v>#VALUE!</v>
      </c>
      <c r="BJ124" s="47" t="e">
        <f>_xll.qlPolynomialFunctionValue(BJ$1,$BD124,AllTriggers)</f>
        <v>#VALUE!</v>
      </c>
      <c r="BK124" s="47" t="e">
        <f>_xll.qlPolynomialFunctionValue(BK$1,$BD124,AllTriggers)</f>
        <v>#VALUE!</v>
      </c>
      <c r="BL124" s="47" t="e">
        <f>_xll.qlPolynomialFunctionValue(BL$1,$BD124,AllTriggers)</f>
        <v>#VALUE!</v>
      </c>
      <c r="BM124" s="47" t="e">
        <f>_xll.qlPolynomialFunctionValue(BM$1,$BD124,AllTriggers)</f>
        <v>#VALUE!</v>
      </c>
      <c r="BN124" s="47" t="e">
        <f>_xll.qlPolynomialFunctionValue(BN$1,$BD124,AllTriggers)</f>
        <v>#VALUE!</v>
      </c>
      <c r="BO124" s="47" t="e">
        <f>_xll.qlPolynomialFunctionValue(BO$1,$BD124,AllTriggers)</f>
        <v>#VALUE!</v>
      </c>
      <c r="BP124" s="47" t="e">
        <f>_xll.qlPolynomialFunctionValue(BP$1,$BD124,AllTriggers)</f>
        <v>#VALUE!</v>
      </c>
      <c r="BQ124" s="47">
        <f>_xll.qlPolynomialFunctionValue('12MSynthDepo_used'!$P$18,BD124,AllTriggers)</f>
        <v>3.1008898394192757E-3</v>
      </c>
    </row>
    <row r="125" spans="18:69" x14ac:dyDescent="0.2">
      <c r="R125" s="34"/>
      <c r="S125" s="34"/>
      <c r="BC125" s="178">
        <f>_xll.qlCalendarAdvance(Calendar,BC124,"1d","mf",,Trigger)</f>
        <v>42450</v>
      </c>
      <c r="BD125" s="41">
        <f>_xll.qlDayCounterYearFraction(DayCounter,SettlementDate,BC125,,,Trigger)</f>
        <v>0.47499999999999998</v>
      </c>
      <c r="BE125" s="47" t="e">
        <f>_xll.qlPolynomialFunctionValue(BE$1,$BD125,AllTriggers)</f>
        <v>#VALUE!</v>
      </c>
      <c r="BF125" s="47" t="e">
        <f>_xll.qlPolynomialFunctionValue(BF$1,$BD125,AllTriggers)</f>
        <v>#VALUE!</v>
      </c>
      <c r="BG125" s="47" t="e">
        <f>_xll.qlPolynomialFunctionValue(BG$1,$BD125,AllTriggers)</f>
        <v>#VALUE!</v>
      </c>
      <c r="BH125" s="47" t="e">
        <f>_xll.qlPolynomialFunctionValue(BH$1,$BD125,AllTriggers)</f>
        <v>#VALUE!</v>
      </c>
      <c r="BI125" s="47" t="e">
        <f>_xll.qlPolynomialFunctionValue(BI$1,$BD125,AllTriggers)</f>
        <v>#VALUE!</v>
      </c>
      <c r="BJ125" s="47" t="e">
        <f>_xll.qlPolynomialFunctionValue(BJ$1,$BD125,AllTriggers)</f>
        <v>#VALUE!</v>
      </c>
      <c r="BK125" s="47" t="e">
        <f>_xll.qlPolynomialFunctionValue(BK$1,$BD125,AllTriggers)</f>
        <v>#VALUE!</v>
      </c>
      <c r="BL125" s="47" t="e">
        <f>_xll.qlPolynomialFunctionValue(BL$1,$BD125,AllTriggers)</f>
        <v>#VALUE!</v>
      </c>
      <c r="BM125" s="47" t="e">
        <f>_xll.qlPolynomialFunctionValue(BM$1,$BD125,AllTriggers)</f>
        <v>#VALUE!</v>
      </c>
      <c r="BN125" s="47" t="e">
        <f>_xll.qlPolynomialFunctionValue(BN$1,$BD125,AllTriggers)</f>
        <v>#VALUE!</v>
      </c>
      <c r="BO125" s="47" t="e">
        <f>_xll.qlPolynomialFunctionValue(BO$1,$BD125,AllTriggers)</f>
        <v>#VALUE!</v>
      </c>
      <c r="BP125" s="47" t="e">
        <f>_xll.qlPolynomialFunctionValue(BP$1,$BD125,AllTriggers)</f>
        <v>#VALUE!</v>
      </c>
      <c r="BQ125" s="47">
        <f>_xll.qlPolynomialFunctionValue('12MSynthDepo_used'!$P$18,BD125,AllTriggers)</f>
        <v>3.105865784470912E-3</v>
      </c>
    </row>
    <row r="126" spans="18:69" x14ac:dyDescent="0.2">
      <c r="R126" s="34"/>
      <c r="S126" s="34"/>
      <c r="BC126" s="178">
        <f>_xll.qlCalendarAdvance(Calendar,BC125,"1d","mf",,Trigger)</f>
        <v>42451</v>
      </c>
      <c r="BD126" s="41">
        <f>_xll.qlDayCounterYearFraction(DayCounter,SettlementDate,BC126,,,Trigger)</f>
        <v>0.4777777777777778</v>
      </c>
      <c r="BE126" s="47" t="e">
        <f>_xll.qlPolynomialFunctionValue(BE$1,$BD126,AllTriggers)</f>
        <v>#VALUE!</v>
      </c>
      <c r="BF126" s="47" t="e">
        <f>_xll.qlPolynomialFunctionValue(BF$1,$BD126,AllTriggers)</f>
        <v>#VALUE!</v>
      </c>
      <c r="BG126" s="47" t="e">
        <f>_xll.qlPolynomialFunctionValue(BG$1,$BD126,AllTriggers)</f>
        <v>#VALUE!</v>
      </c>
      <c r="BH126" s="47" t="e">
        <f>_xll.qlPolynomialFunctionValue(BH$1,$BD126,AllTriggers)</f>
        <v>#VALUE!</v>
      </c>
      <c r="BI126" s="47" t="e">
        <f>_xll.qlPolynomialFunctionValue(BI$1,$BD126,AllTriggers)</f>
        <v>#VALUE!</v>
      </c>
      <c r="BJ126" s="47" t="e">
        <f>_xll.qlPolynomialFunctionValue(BJ$1,$BD126,AllTriggers)</f>
        <v>#VALUE!</v>
      </c>
      <c r="BK126" s="47" t="e">
        <f>_xll.qlPolynomialFunctionValue(BK$1,$BD126,AllTriggers)</f>
        <v>#VALUE!</v>
      </c>
      <c r="BL126" s="47" t="e">
        <f>_xll.qlPolynomialFunctionValue(BL$1,$BD126,AllTriggers)</f>
        <v>#VALUE!</v>
      </c>
      <c r="BM126" s="47" t="e">
        <f>_xll.qlPolynomialFunctionValue(BM$1,$BD126,AllTriggers)</f>
        <v>#VALUE!</v>
      </c>
      <c r="BN126" s="47" t="e">
        <f>_xll.qlPolynomialFunctionValue(BN$1,$BD126,AllTriggers)</f>
        <v>#VALUE!</v>
      </c>
      <c r="BO126" s="47" t="e">
        <f>_xll.qlPolynomialFunctionValue(BO$1,$BD126,AllTriggers)</f>
        <v>#VALUE!</v>
      </c>
      <c r="BP126" s="47" t="e">
        <f>_xll.qlPolynomialFunctionValue(BP$1,$BD126,AllTriggers)</f>
        <v>#VALUE!</v>
      </c>
      <c r="BQ126" s="47">
        <f>_xll.qlPolynomialFunctionValue('12MSynthDepo_used'!$P$18,BD126,AllTriggers)</f>
        <v>3.1075259870423136E-3</v>
      </c>
    </row>
    <row r="127" spans="18:69" x14ac:dyDescent="0.2">
      <c r="R127" s="34"/>
      <c r="S127" s="34"/>
      <c r="BC127" s="178">
        <f>_xll.qlCalendarAdvance(Calendar,BC126,"1d","mf",,Trigger)</f>
        <v>42452</v>
      </c>
      <c r="BD127" s="41">
        <f>_xll.qlDayCounterYearFraction(DayCounter,SettlementDate,BC127,,,Trigger)</f>
        <v>0.48055555555555557</v>
      </c>
      <c r="BE127" s="47" t="e">
        <f>_xll.qlPolynomialFunctionValue(BE$1,$BD127,AllTriggers)</f>
        <v>#VALUE!</v>
      </c>
      <c r="BF127" s="47" t="e">
        <f>_xll.qlPolynomialFunctionValue(BF$1,$BD127,AllTriggers)</f>
        <v>#VALUE!</v>
      </c>
      <c r="BG127" s="47" t="e">
        <f>_xll.qlPolynomialFunctionValue(BG$1,$BD127,AllTriggers)</f>
        <v>#VALUE!</v>
      </c>
      <c r="BH127" s="47" t="e">
        <f>_xll.qlPolynomialFunctionValue(BH$1,$BD127,AllTriggers)</f>
        <v>#VALUE!</v>
      </c>
      <c r="BI127" s="47" t="e">
        <f>_xll.qlPolynomialFunctionValue(BI$1,$BD127,AllTriggers)</f>
        <v>#VALUE!</v>
      </c>
      <c r="BJ127" s="47" t="e">
        <f>_xll.qlPolynomialFunctionValue(BJ$1,$BD127,AllTriggers)</f>
        <v>#VALUE!</v>
      </c>
      <c r="BK127" s="47" t="e">
        <f>_xll.qlPolynomialFunctionValue(BK$1,$BD127,AllTriggers)</f>
        <v>#VALUE!</v>
      </c>
      <c r="BL127" s="47" t="e">
        <f>_xll.qlPolynomialFunctionValue(BL$1,$BD127,AllTriggers)</f>
        <v>#VALUE!</v>
      </c>
      <c r="BM127" s="47" t="e">
        <f>_xll.qlPolynomialFunctionValue(BM$1,$BD127,AllTriggers)</f>
        <v>#VALUE!</v>
      </c>
      <c r="BN127" s="47" t="e">
        <f>_xll.qlPolynomialFunctionValue(BN$1,$BD127,AllTriggers)</f>
        <v>#VALUE!</v>
      </c>
      <c r="BO127" s="47" t="e">
        <f>_xll.qlPolynomialFunctionValue(BO$1,$BD127,AllTriggers)</f>
        <v>#VALUE!</v>
      </c>
      <c r="BP127" s="47" t="e">
        <f>_xll.qlPolynomialFunctionValue(BP$1,$BD127,AllTriggers)</f>
        <v>#VALUE!</v>
      </c>
      <c r="BQ127" s="47">
        <f>_xll.qlPolynomialFunctionValue('12MSynthDepo_used'!$P$18,BD127,AllTriggers)</f>
        <v>3.1091869579740381E-3</v>
      </c>
    </row>
    <row r="128" spans="18:69" x14ac:dyDescent="0.2">
      <c r="R128" s="34"/>
      <c r="S128" s="34"/>
      <c r="BC128" s="178">
        <f>_xll.qlCalendarAdvance(Calendar,BC127,"1d","mf",,Trigger)</f>
        <v>42453</v>
      </c>
      <c r="BD128" s="41">
        <f>_xll.qlDayCounterYearFraction(DayCounter,SettlementDate,BC128,,,Trigger)</f>
        <v>0.48333333333333334</v>
      </c>
      <c r="BE128" s="47" t="e">
        <f>_xll.qlPolynomialFunctionValue(BE$1,$BD128,AllTriggers)</f>
        <v>#VALUE!</v>
      </c>
      <c r="BF128" s="47" t="e">
        <f>_xll.qlPolynomialFunctionValue(BF$1,$BD128,AllTriggers)</f>
        <v>#VALUE!</v>
      </c>
      <c r="BG128" s="47" t="e">
        <f>_xll.qlPolynomialFunctionValue(BG$1,$BD128,AllTriggers)</f>
        <v>#VALUE!</v>
      </c>
      <c r="BH128" s="47" t="e">
        <f>_xll.qlPolynomialFunctionValue(BH$1,$BD128,AllTriggers)</f>
        <v>#VALUE!</v>
      </c>
      <c r="BI128" s="47" t="e">
        <f>_xll.qlPolynomialFunctionValue(BI$1,$BD128,AllTriggers)</f>
        <v>#VALUE!</v>
      </c>
      <c r="BJ128" s="47" t="e">
        <f>_xll.qlPolynomialFunctionValue(BJ$1,$BD128,AllTriggers)</f>
        <v>#VALUE!</v>
      </c>
      <c r="BK128" s="47" t="e">
        <f>_xll.qlPolynomialFunctionValue(BK$1,$BD128,AllTriggers)</f>
        <v>#VALUE!</v>
      </c>
      <c r="BL128" s="47" t="e">
        <f>_xll.qlPolynomialFunctionValue(BL$1,$BD128,AllTriggers)</f>
        <v>#VALUE!</v>
      </c>
      <c r="BM128" s="47" t="e">
        <f>_xll.qlPolynomialFunctionValue(BM$1,$BD128,AllTriggers)</f>
        <v>#VALUE!</v>
      </c>
      <c r="BN128" s="47" t="e">
        <f>_xll.qlPolynomialFunctionValue(BN$1,$BD128,AllTriggers)</f>
        <v>#VALUE!</v>
      </c>
      <c r="BO128" s="47" t="e">
        <f>_xll.qlPolynomialFunctionValue(BO$1,$BD128,AllTriggers)</f>
        <v>#VALUE!</v>
      </c>
      <c r="BP128" s="47" t="e">
        <f>_xll.qlPolynomialFunctionValue(BP$1,$BD128,AllTriggers)</f>
        <v>#VALUE!</v>
      </c>
      <c r="BQ128" s="47">
        <f>_xll.qlPolynomialFunctionValue('12MSynthDepo_used'!$P$18,BD128,AllTriggers)</f>
        <v>3.1108486920160203E-3</v>
      </c>
    </row>
    <row r="129" spans="18:69" x14ac:dyDescent="0.2">
      <c r="R129" s="34"/>
      <c r="S129" s="34"/>
      <c r="BC129" s="178">
        <f>_xll.qlCalendarAdvance(Calendar,BC128,"1d","mf",,Trigger)</f>
        <v>42458</v>
      </c>
      <c r="BD129" s="41">
        <f>_xll.qlDayCounterYearFraction(DayCounter,SettlementDate,BC129,,,Trigger)</f>
        <v>0.49722222222222223</v>
      </c>
      <c r="BE129" s="47" t="e">
        <f>_xll.qlPolynomialFunctionValue(BE$1,$BD129,AllTriggers)</f>
        <v>#VALUE!</v>
      </c>
      <c r="BF129" s="47" t="e">
        <f>_xll.qlPolynomialFunctionValue(BF$1,$BD129,AllTriggers)</f>
        <v>#VALUE!</v>
      </c>
      <c r="BG129" s="47" t="e">
        <f>_xll.qlPolynomialFunctionValue(BG$1,$BD129,AllTriggers)</f>
        <v>#VALUE!</v>
      </c>
      <c r="BH129" s="47" t="e">
        <f>_xll.qlPolynomialFunctionValue(BH$1,$BD129,AllTriggers)</f>
        <v>#VALUE!</v>
      </c>
      <c r="BI129" s="47" t="e">
        <f>_xll.qlPolynomialFunctionValue(BI$1,$BD129,AllTriggers)</f>
        <v>#VALUE!</v>
      </c>
      <c r="BJ129" s="47" t="e">
        <f>_xll.qlPolynomialFunctionValue(BJ$1,$BD129,AllTriggers)</f>
        <v>#VALUE!</v>
      </c>
      <c r="BK129" s="47" t="e">
        <f>_xll.qlPolynomialFunctionValue(BK$1,$BD129,AllTriggers)</f>
        <v>#VALUE!</v>
      </c>
      <c r="BL129" s="47" t="e">
        <f>_xll.qlPolynomialFunctionValue(BL$1,$BD129,AllTriggers)</f>
        <v>#VALUE!</v>
      </c>
      <c r="BM129" s="47" t="e">
        <f>_xll.qlPolynomialFunctionValue(BM$1,$BD129,AllTriggers)</f>
        <v>#VALUE!</v>
      </c>
      <c r="BN129" s="47" t="e">
        <f>_xll.qlPolynomialFunctionValue(BN$1,$BD129,AllTriggers)</f>
        <v>#VALUE!</v>
      </c>
      <c r="BO129" s="47" t="e">
        <f>_xll.qlPolynomialFunctionValue(BO$1,$BD129,AllTriggers)</f>
        <v>#VALUE!</v>
      </c>
      <c r="BP129" s="47" t="e">
        <f>_xll.qlPolynomialFunctionValue(BP$1,$BD129,AllTriggers)</f>
        <v>#VALUE!</v>
      </c>
      <c r="BQ129" s="47">
        <f>_xll.qlPolynomialFunctionValue('12MSynthDepo_used'!$P$18,BD129,AllTriggers)</f>
        <v>3.1191686251275819E-3</v>
      </c>
    </row>
    <row r="130" spans="18:69" x14ac:dyDescent="0.2">
      <c r="R130" s="34"/>
      <c r="S130" s="34"/>
      <c r="BC130" s="178">
        <f>_xll.qlCalendarAdvance(Calendar,BC129,"1d","mf",,Trigger)</f>
        <v>42459</v>
      </c>
      <c r="BD130" s="41">
        <f>_xll.qlDayCounterYearFraction(DayCounter,SettlementDate,BC130,,,Trigger)</f>
        <v>0.5</v>
      </c>
      <c r="BE130" s="47" t="e">
        <f>_xll.qlPolynomialFunctionValue(BE$1,$BD130,AllTriggers)</f>
        <v>#VALUE!</v>
      </c>
      <c r="BF130" s="47" t="e">
        <f>_xll.qlPolynomialFunctionValue(BF$1,$BD130,AllTriggers)</f>
        <v>#VALUE!</v>
      </c>
      <c r="BG130" s="47" t="e">
        <f>_xll.qlPolynomialFunctionValue(BG$1,$BD130,AllTriggers)</f>
        <v>#VALUE!</v>
      </c>
      <c r="BH130" s="47" t="e">
        <f>_xll.qlPolynomialFunctionValue(BH$1,$BD130,AllTriggers)</f>
        <v>#VALUE!</v>
      </c>
      <c r="BI130" s="47" t="e">
        <f>_xll.qlPolynomialFunctionValue(BI$1,$BD130,AllTriggers)</f>
        <v>#VALUE!</v>
      </c>
      <c r="BJ130" s="47" t="e">
        <f>_xll.qlPolynomialFunctionValue(BJ$1,$BD130,AllTriggers)</f>
        <v>#VALUE!</v>
      </c>
      <c r="BK130" s="47" t="e">
        <f>_xll.qlPolynomialFunctionValue(BK$1,$BD130,AllTriggers)</f>
        <v>#VALUE!</v>
      </c>
      <c r="BL130" s="47" t="e">
        <f>_xll.qlPolynomialFunctionValue(BL$1,$BD130,AllTriggers)</f>
        <v>#VALUE!</v>
      </c>
      <c r="BM130" s="47" t="e">
        <f>_xll.qlPolynomialFunctionValue(BM$1,$BD130,AllTriggers)</f>
        <v>#VALUE!</v>
      </c>
      <c r="BN130" s="47" t="e">
        <f>_xll.qlPolynomialFunctionValue(BN$1,$BD130,AllTriggers)</f>
        <v>#VALUE!</v>
      </c>
      <c r="BO130" s="47" t="e">
        <f>_xll.qlPolynomialFunctionValue(BO$1,$BD130,AllTriggers)</f>
        <v>#VALUE!</v>
      </c>
      <c r="BP130" s="47" t="e">
        <f>_xll.qlPolynomialFunctionValue(BP$1,$BD130,AllTriggers)</f>
        <v>#VALUE!</v>
      </c>
      <c r="BQ130" s="47">
        <f>_xll.qlPolynomialFunctionValue('12MSynthDepo_used'!$P$18,BD130,AllTriggers)</f>
        <v>3.1208348275797784E-3</v>
      </c>
    </row>
    <row r="131" spans="18:69" x14ac:dyDescent="0.2">
      <c r="R131" s="34"/>
      <c r="S131" s="34"/>
      <c r="BC131" s="178">
        <f>_xll.qlCalendarAdvance(Calendar,BC130,"1d","mf",,Trigger)</f>
        <v>42460</v>
      </c>
      <c r="BD131" s="41">
        <f>_xll.qlDayCounterYearFraction(DayCounter,SettlementDate,BC131,,,Trigger)</f>
        <v>0.50277777777777777</v>
      </c>
      <c r="BE131" s="47" t="e">
        <f>_xll.qlPolynomialFunctionValue(BE$1,$BD131,AllTriggers)</f>
        <v>#VALUE!</v>
      </c>
      <c r="BF131" s="47" t="e">
        <f>_xll.qlPolynomialFunctionValue(BF$1,$BD131,AllTriggers)</f>
        <v>#VALUE!</v>
      </c>
      <c r="BG131" s="47" t="e">
        <f>_xll.qlPolynomialFunctionValue(BG$1,$BD131,AllTriggers)</f>
        <v>#VALUE!</v>
      </c>
      <c r="BH131" s="47" t="e">
        <f>_xll.qlPolynomialFunctionValue(BH$1,$BD131,AllTriggers)</f>
        <v>#VALUE!</v>
      </c>
      <c r="BI131" s="47" t="e">
        <f>_xll.qlPolynomialFunctionValue(BI$1,$BD131,AllTriggers)</f>
        <v>#VALUE!</v>
      </c>
      <c r="BJ131" s="47" t="e">
        <f>_xll.qlPolynomialFunctionValue(BJ$1,$BD131,AllTriggers)</f>
        <v>#VALUE!</v>
      </c>
      <c r="BK131" s="47" t="e">
        <f>_xll.qlPolynomialFunctionValue(BK$1,$BD131,AllTriggers)</f>
        <v>#VALUE!</v>
      </c>
      <c r="BL131" s="47" t="e">
        <f>_xll.qlPolynomialFunctionValue(BL$1,$BD131,AllTriggers)</f>
        <v>#VALUE!</v>
      </c>
      <c r="BM131" s="47" t="e">
        <f>_xll.qlPolynomialFunctionValue(BM$1,$BD131,AllTriggers)</f>
        <v>#VALUE!</v>
      </c>
      <c r="BN131" s="47" t="e">
        <f>_xll.qlPolynomialFunctionValue(BN$1,$BD131,AllTriggers)</f>
        <v>#VALUE!</v>
      </c>
      <c r="BO131" s="47" t="e">
        <f>_xll.qlPolynomialFunctionValue(BO$1,$BD131,AllTriggers)</f>
        <v>#VALUE!</v>
      </c>
      <c r="BP131" s="47" t="e">
        <f>_xll.qlPolynomialFunctionValue(BP$1,$BD131,AllTriggers)</f>
        <v>#VALUE!</v>
      </c>
      <c r="BQ131" s="47">
        <f>_xll.qlPolynomialFunctionValue('12MSynthDepo_used'!$P$18,BD131,AllTriggers)</f>
        <v>3.1225017563917875E-3</v>
      </c>
    </row>
    <row r="132" spans="18:69" x14ac:dyDescent="0.2">
      <c r="R132" s="34"/>
      <c r="S132" s="34"/>
      <c r="BC132" s="178">
        <f>_xll.qlCalendarAdvance(Calendar,BC131,"1d","mf",,Trigger)</f>
        <v>42461</v>
      </c>
      <c r="BD132" s="41">
        <f>_xll.qlDayCounterYearFraction(DayCounter,SettlementDate,BC132,,,Trigger)</f>
        <v>0.50555555555555554</v>
      </c>
      <c r="BE132" s="47" t="e">
        <f>_xll.qlPolynomialFunctionValue(BE$1,$BD132,AllTriggers)</f>
        <v>#VALUE!</v>
      </c>
      <c r="BF132" s="47" t="e">
        <f>_xll.qlPolynomialFunctionValue(BF$1,$BD132,AllTriggers)</f>
        <v>#VALUE!</v>
      </c>
      <c r="BG132" s="47" t="e">
        <f>_xll.qlPolynomialFunctionValue(BG$1,$BD132,AllTriggers)</f>
        <v>#VALUE!</v>
      </c>
      <c r="BH132" s="47" t="e">
        <f>_xll.qlPolynomialFunctionValue(BH$1,$BD132,AllTriggers)</f>
        <v>#VALUE!</v>
      </c>
      <c r="BI132" s="47" t="e">
        <f>_xll.qlPolynomialFunctionValue(BI$1,$BD132,AllTriggers)</f>
        <v>#VALUE!</v>
      </c>
      <c r="BJ132" s="47" t="e">
        <f>_xll.qlPolynomialFunctionValue(BJ$1,$BD132,AllTriggers)</f>
        <v>#VALUE!</v>
      </c>
      <c r="BK132" s="47" t="e">
        <f>_xll.qlPolynomialFunctionValue(BK$1,$BD132,AllTriggers)</f>
        <v>#VALUE!</v>
      </c>
      <c r="BL132" s="47" t="e">
        <f>_xll.qlPolynomialFunctionValue(BL$1,$BD132,AllTriggers)</f>
        <v>#VALUE!</v>
      </c>
      <c r="BM132" s="47" t="e">
        <f>_xll.qlPolynomialFunctionValue(BM$1,$BD132,AllTriggers)</f>
        <v>#VALUE!</v>
      </c>
      <c r="BN132" s="47" t="e">
        <f>_xll.qlPolynomialFunctionValue(BN$1,$BD132,AllTriggers)</f>
        <v>#VALUE!</v>
      </c>
      <c r="BO132" s="47" t="e">
        <f>_xll.qlPolynomialFunctionValue(BO$1,$BD132,AllTriggers)</f>
        <v>#VALUE!</v>
      </c>
      <c r="BP132" s="47" t="e">
        <f>_xll.qlPolynomialFunctionValue(BP$1,$BD132,AllTriggers)</f>
        <v>#VALUE!</v>
      </c>
      <c r="BQ132" s="47">
        <f>_xll.qlPolynomialFunctionValue('12MSynthDepo_used'!$P$18,BD132,AllTriggers)</f>
        <v>3.1241694063135462E-3</v>
      </c>
    </row>
    <row r="133" spans="18:69" x14ac:dyDescent="0.2">
      <c r="R133" s="35"/>
      <c r="S133" s="34"/>
      <c r="BC133" s="178">
        <f>_xll.qlCalendarAdvance(Calendar,BC132,"1d","mf",,Trigger)</f>
        <v>42464</v>
      </c>
      <c r="BD133" s="41">
        <f>_xll.qlDayCounterYearFraction(DayCounter,SettlementDate,BC133,,,Trigger)</f>
        <v>0.51388888888888884</v>
      </c>
      <c r="BE133" s="47" t="e">
        <f>_xll.qlPolynomialFunctionValue(BE$1,$BD133,AllTriggers)</f>
        <v>#VALUE!</v>
      </c>
      <c r="BF133" s="47" t="e">
        <f>_xll.qlPolynomialFunctionValue(BF$1,$BD133,AllTriggers)</f>
        <v>#VALUE!</v>
      </c>
      <c r="BG133" s="47" t="e">
        <f>_xll.qlPolynomialFunctionValue(BG$1,$BD133,AllTriggers)</f>
        <v>#VALUE!</v>
      </c>
      <c r="BH133" s="47" t="e">
        <f>_xll.qlPolynomialFunctionValue(BH$1,$BD133,AllTriggers)</f>
        <v>#VALUE!</v>
      </c>
      <c r="BI133" s="47" t="e">
        <f>_xll.qlPolynomialFunctionValue(BI$1,$BD133,AllTriggers)</f>
        <v>#VALUE!</v>
      </c>
      <c r="BJ133" s="47" t="e">
        <f>_xll.qlPolynomialFunctionValue(BJ$1,$BD133,AllTriggers)</f>
        <v>#VALUE!</v>
      </c>
      <c r="BK133" s="47" t="e">
        <f>_xll.qlPolynomialFunctionValue(BK$1,$BD133,AllTriggers)</f>
        <v>#VALUE!</v>
      </c>
      <c r="BL133" s="47" t="e">
        <f>_xll.qlPolynomialFunctionValue(BL$1,$BD133,AllTriggers)</f>
        <v>#VALUE!</v>
      </c>
      <c r="BM133" s="47" t="e">
        <f>_xll.qlPolynomialFunctionValue(BM$1,$BD133,AllTriggers)</f>
        <v>#VALUE!</v>
      </c>
      <c r="BN133" s="47" t="e">
        <f>_xll.qlPolynomialFunctionValue(BN$1,$BD133,AllTriggers)</f>
        <v>#VALUE!</v>
      </c>
      <c r="BO133" s="47" t="e">
        <f>_xll.qlPolynomialFunctionValue(BO$1,$BD133,AllTriggers)</f>
        <v>#VALUE!</v>
      </c>
      <c r="BP133" s="47" t="e">
        <f>_xll.qlPolynomialFunctionValue(BP$1,$BD133,AllTriggers)</f>
        <v>#VALUE!</v>
      </c>
      <c r="BQ133" s="47">
        <f>_xll.qlPolynomialFunctionValue('12MSynthDepo_used'!$P$18,BD133,AllTriggers)</f>
        <v>3.129176630236681E-3</v>
      </c>
    </row>
    <row r="134" spans="18:69" x14ac:dyDescent="0.2">
      <c r="R134" s="35"/>
      <c r="S134" s="34"/>
      <c r="BC134" s="178">
        <f>_xll.qlCalendarAdvance(Calendar,BC133,"1d","mf",,Trigger)</f>
        <v>42465</v>
      </c>
      <c r="BD134" s="41">
        <f>_xll.qlDayCounterYearFraction(DayCounter,SettlementDate,BC134,,,Trigger)</f>
        <v>0.51666666666666672</v>
      </c>
      <c r="BE134" s="47" t="e">
        <f>_xll.qlPolynomialFunctionValue(BE$1,$BD134,AllTriggers)</f>
        <v>#VALUE!</v>
      </c>
      <c r="BF134" s="47" t="e">
        <f>_xll.qlPolynomialFunctionValue(BF$1,$BD134,AllTriggers)</f>
        <v>#VALUE!</v>
      </c>
      <c r="BG134" s="47" t="e">
        <f>_xll.qlPolynomialFunctionValue(BG$1,$BD134,AllTriggers)</f>
        <v>#VALUE!</v>
      </c>
      <c r="BH134" s="47" t="e">
        <f>_xll.qlPolynomialFunctionValue(BH$1,$BD134,AllTriggers)</f>
        <v>#VALUE!</v>
      </c>
      <c r="BI134" s="47" t="e">
        <f>_xll.qlPolynomialFunctionValue(BI$1,$BD134,AllTriggers)</f>
        <v>#VALUE!</v>
      </c>
      <c r="BJ134" s="47" t="e">
        <f>_xll.qlPolynomialFunctionValue(BJ$1,$BD134,AllTriggers)</f>
        <v>#VALUE!</v>
      </c>
      <c r="BK134" s="47" t="e">
        <f>_xll.qlPolynomialFunctionValue(BK$1,$BD134,AllTriggers)</f>
        <v>#VALUE!</v>
      </c>
      <c r="BL134" s="47" t="e">
        <f>_xll.qlPolynomialFunctionValue(BL$1,$BD134,AllTriggers)</f>
        <v>#VALUE!</v>
      </c>
      <c r="BM134" s="47" t="e">
        <f>_xll.qlPolynomialFunctionValue(BM$1,$BD134,AllTriggers)</f>
        <v>#VALUE!</v>
      </c>
      <c r="BN134" s="47" t="e">
        <f>_xll.qlPolynomialFunctionValue(BN$1,$BD134,AllTriggers)</f>
        <v>#VALUE!</v>
      </c>
      <c r="BO134" s="47" t="e">
        <f>_xll.qlPolynomialFunctionValue(BO$1,$BD134,AllTriggers)</f>
        <v>#VALUE!</v>
      </c>
      <c r="BP134" s="47" t="e">
        <f>_xll.qlPolynomialFunctionValue(BP$1,$BD134,AllTriggers)</f>
        <v>#VALUE!</v>
      </c>
      <c r="BQ134" s="47">
        <f>_xll.qlPolynomialFunctionValue('12MSynthDepo_used'!$P$18,BD134,AllTriggers)</f>
        <v>3.1308471120967997E-3</v>
      </c>
    </row>
    <row r="135" spans="18:69" x14ac:dyDescent="0.2">
      <c r="R135" s="35"/>
      <c r="S135" s="34"/>
      <c r="BC135" s="178">
        <f>_xll.qlCalendarAdvance(Calendar,BC134,"1d","mf",,Trigger)</f>
        <v>42466</v>
      </c>
      <c r="BD135" s="41">
        <f>_xll.qlDayCounterYearFraction(DayCounter,SettlementDate,BC135,,,Trigger)</f>
        <v>0.51944444444444449</v>
      </c>
      <c r="BE135" s="47" t="e">
        <f>_xll.qlPolynomialFunctionValue(BE$1,$BD135,AllTriggers)</f>
        <v>#VALUE!</v>
      </c>
      <c r="BF135" s="47" t="e">
        <f>_xll.qlPolynomialFunctionValue(BF$1,$BD135,AllTriggers)</f>
        <v>#VALUE!</v>
      </c>
      <c r="BG135" s="47" t="e">
        <f>_xll.qlPolynomialFunctionValue(BG$1,$BD135,AllTriggers)</f>
        <v>#VALUE!</v>
      </c>
      <c r="BH135" s="47" t="e">
        <f>_xll.qlPolynomialFunctionValue(BH$1,$BD135,AllTriggers)</f>
        <v>#VALUE!</v>
      </c>
      <c r="BI135" s="47" t="e">
        <f>_xll.qlPolynomialFunctionValue(BI$1,$BD135,AllTriggers)</f>
        <v>#VALUE!</v>
      </c>
      <c r="BJ135" s="47" t="e">
        <f>_xll.qlPolynomialFunctionValue(BJ$1,$BD135,AllTriggers)</f>
        <v>#VALUE!</v>
      </c>
      <c r="BK135" s="47" t="e">
        <f>_xll.qlPolynomialFunctionValue(BK$1,$BD135,AllTriggers)</f>
        <v>#VALUE!</v>
      </c>
      <c r="BL135" s="47" t="e">
        <f>_xll.qlPolynomialFunctionValue(BL$1,$BD135,AllTriggers)</f>
        <v>#VALUE!</v>
      </c>
      <c r="BM135" s="47" t="e">
        <f>_xll.qlPolynomialFunctionValue(BM$1,$BD135,AllTriggers)</f>
        <v>#VALUE!</v>
      </c>
      <c r="BN135" s="47" t="e">
        <f>_xll.qlPolynomialFunctionValue(BN$1,$BD135,AllTriggers)</f>
        <v>#VALUE!</v>
      </c>
      <c r="BO135" s="47" t="e">
        <f>_xll.qlPolynomialFunctionValue(BO$1,$BD135,AllTriggers)</f>
        <v>#VALUE!</v>
      </c>
      <c r="BP135" s="47" t="e">
        <f>_xll.qlPolynomialFunctionValue(BP$1,$BD135,AllTriggers)</f>
        <v>#VALUE!</v>
      </c>
      <c r="BQ135" s="47">
        <f>_xll.qlPolynomialFunctionValue('12MSynthDepo_used'!$P$18,BD135,AllTriggers)</f>
        <v>3.1325182888163497E-3</v>
      </c>
    </row>
    <row r="136" spans="18:69" x14ac:dyDescent="0.2">
      <c r="R136" s="35"/>
      <c r="S136" s="34"/>
      <c r="BC136" s="178">
        <f>_xll.qlCalendarAdvance(Calendar,BC135,"1d","mf",,Trigger)</f>
        <v>42467</v>
      </c>
      <c r="BD136" s="41">
        <f>_xll.qlDayCounterYearFraction(DayCounter,SettlementDate,BC136,,,Trigger)</f>
        <v>0.52222222222222225</v>
      </c>
      <c r="BE136" s="47" t="e">
        <f>_xll.qlPolynomialFunctionValue(BE$1,$BD136,AllTriggers)</f>
        <v>#VALUE!</v>
      </c>
      <c r="BF136" s="47" t="e">
        <f>_xll.qlPolynomialFunctionValue(BF$1,$BD136,AllTriggers)</f>
        <v>#VALUE!</v>
      </c>
      <c r="BG136" s="47" t="e">
        <f>_xll.qlPolynomialFunctionValue(BG$1,$BD136,AllTriggers)</f>
        <v>#VALUE!</v>
      </c>
      <c r="BH136" s="47" t="e">
        <f>_xll.qlPolynomialFunctionValue(BH$1,$BD136,AllTriggers)</f>
        <v>#VALUE!</v>
      </c>
      <c r="BI136" s="47" t="e">
        <f>_xll.qlPolynomialFunctionValue(BI$1,$BD136,AllTriggers)</f>
        <v>#VALUE!</v>
      </c>
      <c r="BJ136" s="47" t="e">
        <f>_xll.qlPolynomialFunctionValue(BJ$1,$BD136,AllTriggers)</f>
        <v>#VALUE!</v>
      </c>
      <c r="BK136" s="47" t="e">
        <f>_xll.qlPolynomialFunctionValue(BK$1,$BD136,AllTriggers)</f>
        <v>#VALUE!</v>
      </c>
      <c r="BL136" s="47" t="e">
        <f>_xll.qlPolynomialFunctionValue(BL$1,$BD136,AllTriggers)</f>
        <v>#VALUE!</v>
      </c>
      <c r="BM136" s="47" t="e">
        <f>_xll.qlPolynomialFunctionValue(BM$1,$BD136,AllTriggers)</f>
        <v>#VALUE!</v>
      </c>
      <c r="BN136" s="47" t="e">
        <f>_xll.qlPolynomialFunctionValue(BN$1,$BD136,AllTriggers)</f>
        <v>#VALUE!</v>
      </c>
      <c r="BO136" s="47" t="e">
        <f>_xll.qlPolynomialFunctionValue(BO$1,$BD136,AllTriggers)</f>
        <v>#VALUE!</v>
      </c>
      <c r="BP136" s="47" t="e">
        <f>_xll.qlPolynomialFunctionValue(BP$1,$BD136,AllTriggers)</f>
        <v>#VALUE!</v>
      </c>
      <c r="BQ136" s="47">
        <f>_xll.qlPolynomialFunctionValue('12MSynthDepo_used'!$P$18,BD136,AllTriggers)</f>
        <v>3.1341901551452662E-3</v>
      </c>
    </row>
    <row r="137" spans="18:69" x14ac:dyDescent="0.2">
      <c r="R137" s="35"/>
      <c r="S137" s="34"/>
      <c r="BC137" s="178">
        <f>_xll.qlCalendarAdvance(Calendar,BC136,"1d","mf",,Trigger)</f>
        <v>42468</v>
      </c>
      <c r="BD137" s="41">
        <f>_xll.qlDayCounterYearFraction(DayCounter,SettlementDate,BC137,,,Trigger)</f>
        <v>0.52500000000000002</v>
      </c>
      <c r="BE137" s="47" t="e">
        <f>_xll.qlPolynomialFunctionValue(BE$1,$BD137,AllTriggers)</f>
        <v>#VALUE!</v>
      </c>
      <c r="BF137" s="47" t="e">
        <f>_xll.qlPolynomialFunctionValue(BF$1,$BD137,AllTriggers)</f>
        <v>#VALUE!</v>
      </c>
      <c r="BG137" s="47" t="e">
        <f>_xll.qlPolynomialFunctionValue(BG$1,$BD137,AllTriggers)</f>
        <v>#VALUE!</v>
      </c>
      <c r="BH137" s="47" t="e">
        <f>_xll.qlPolynomialFunctionValue(BH$1,$BD137,AllTriggers)</f>
        <v>#VALUE!</v>
      </c>
      <c r="BI137" s="47" t="e">
        <f>_xll.qlPolynomialFunctionValue(BI$1,$BD137,AllTriggers)</f>
        <v>#VALUE!</v>
      </c>
      <c r="BJ137" s="47" t="e">
        <f>_xll.qlPolynomialFunctionValue(BJ$1,$BD137,AllTriggers)</f>
        <v>#VALUE!</v>
      </c>
      <c r="BK137" s="47" t="e">
        <f>_xll.qlPolynomialFunctionValue(BK$1,$BD137,AllTriggers)</f>
        <v>#VALUE!</v>
      </c>
      <c r="BL137" s="47" t="e">
        <f>_xll.qlPolynomialFunctionValue(BL$1,$BD137,AllTriggers)</f>
        <v>#VALUE!</v>
      </c>
      <c r="BM137" s="47" t="e">
        <f>_xll.qlPolynomialFunctionValue(BM$1,$BD137,AllTriggers)</f>
        <v>#VALUE!</v>
      </c>
      <c r="BN137" s="47" t="e">
        <f>_xll.qlPolynomialFunctionValue(BN$1,$BD137,AllTriggers)</f>
        <v>#VALUE!</v>
      </c>
      <c r="BO137" s="47" t="e">
        <f>_xll.qlPolynomialFunctionValue(BO$1,$BD137,AllTriggers)</f>
        <v>#VALUE!</v>
      </c>
      <c r="BP137" s="47" t="e">
        <f>_xll.qlPolynomialFunctionValue(BP$1,$BD137,AllTriggers)</f>
        <v>#VALUE!</v>
      </c>
      <c r="BQ137" s="47">
        <f>_xll.qlPolynomialFunctionValue('12MSynthDepo_used'!$P$18,BD137,AllTriggers)</f>
        <v>3.1358627058334868E-3</v>
      </c>
    </row>
    <row r="138" spans="18:69" x14ac:dyDescent="0.2">
      <c r="R138" s="35"/>
      <c r="S138" s="34"/>
      <c r="BC138" s="178">
        <f>_xll.qlCalendarAdvance(Calendar,BC137,"1d","mf",,Trigger)</f>
        <v>42471</v>
      </c>
      <c r="BD138" s="41">
        <f>_xll.qlDayCounterYearFraction(DayCounter,SettlementDate,BC138,,,Trigger)</f>
        <v>0.53333333333333333</v>
      </c>
      <c r="BE138" s="47" t="e">
        <f>_xll.qlPolynomialFunctionValue(BE$1,$BD138,AllTriggers)</f>
        <v>#VALUE!</v>
      </c>
      <c r="BF138" s="47" t="e">
        <f>_xll.qlPolynomialFunctionValue(BF$1,$BD138,AllTriggers)</f>
        <v>#VALUE!</v>
      </c>
      <c r="BG138" s="47" t="e">
        <f>_xll.qlPolynomialFunctionValue(BG$1,$BD138,AllTriggers)</f>
        <v>#VALUE!</v>
      </c>
      <c r="BH138" s="47" t="e">
        <f>_xll.qlPolynomialFunctionValue(BH$1,$BD138,AllTriggers)</f>
        <v>#VALUE!</v>
      </c>
      <c r="BI138" s="47" t="e">
        <f>_xll.qlPolynomialFunctionValue(BI$1,$BD138,AllTriggers)</f>
        <v>#VALUE!</v>
      </c>
      <c r="BJ138" s="47" t="e">
        <f>_xll.qlPolynomialFunctionValue(BJ$1,$BD138,AllTriggers)</f>
        <v>#VALUE!</v>
      </c>
      <c r="BK138" s="47" t="e">
        <f>_xll.qlPolynomialFunctionValue(BK$1,$BD138,AllTriggers)</f>
        <v>#VALUE!</v>
      </c>
      <c r="BL138" s="47" t="e">
        <f>_xll.qlPolynomialFunctionValue(BL$1,$BD138,AllTriggers)</f>
        <v>#VALUE!</v>
      </c>
      <c r="BM138" s="47" t="e">
        <f>_xll.qlPolynomialFunctionValue(BM$1,$BD138,AllTriggers)</f>
        <v>#VALUE!</v>
      </c>
      <c r="BN138" s="47" t="e">
        <f>_xll.qlPolynomialFunctionValue(BN$1,$BD138,AllTriggers)</f>
        <v>#VALUE!</v>
      </c>
      <c r="BO138" s="47" t="e">
        <f>_xll.qlPolynomialFunctionValue(BO$1,$BD138,AllTriggers)</f>
        <v>#VALUE!</v>
      </c>
      <c r="BP138" s="47" t="e">
        <f>_xll.qlPolynomialFunctionValue(BP$1,$BD138,AllTriggers)</f>
        <v>#VALUE!</v>
      </c>
      <c r="BQ138" s="47">
        <f>_xll.qlPolynomialFunctionValue('12MSynthDepo_used'!$P$18,BD138,AllTriggers)</f>
        <v>3.140884411553334E-3</v>
      </c>
    </row>
    <row r="139" spans="18:69" x14ac:dyDescent="0.2">
      <c r="R139" s="35"/>
      <c r="S139" s="35"/>
      <c r="BC139" s="178">
        <f>_xll.qlCalendarAdvance(Calendar,BC138,"1d","mf",,Trigger)</f>
        <v>42472</v>
      </c>
      <c r="BD139" s="41">
        <f>_xll.qlDayCounterYearFraction(DayCounter,SettlementDate,BC139,,,Trigger)</f>
        <v>0.53611111111111109</v>
      </c>
      <c r="BE139" s="47" t="e">
        <f>_xll.qlPolynomialFunctionValue(BE$1,$BD139,AllTriggers)</f>
        <v>#VALUE!</v>
      </c>
      <c r="BF139" s="47" t="e">
        <f>_xll.qlPolynomialFunctionValue(BF$1,$BD139,AllTriggers)</f>
        <v>#VALUE!</v>
      </c>
      <c r="BG139" s="47" t="e">
        <f>_xll.qlPolynomialFunctionValue(BG$1,$BD139,AllTriggers)</f>
        <v>#VALUE!</v>
      </c>
      <c r="BH139" s="47" t="e">
        <f>_xll.qlPolynomialFunctionValue(BH$1,$BD139,AllTriggers)</f>
        <v>#VALUE!</v>
      </c>
      <c r="BI139" s="47" t="e">
        <f>_xll.qlPolynomialFunctionValue(BI$1,$BD139,AllTriggers)</f>
        <v>#VALUE!</v>
      </c>
      <c r="BJ139" s="47" t="e">
        <f>_xll.qlPolynomialFunctionValue(BJ$1,$BD139,AllTriggers)</f>
        <v>#VALUE!</v>
      </c>
      <c r="BK139" s="47" t="e">
        <f>_xll.qlPolynomialFunctionValue(BK$1,$BD139,AllTriggers)</f>
        <v>#VALUE!</v>
      </c>
      <c r="BL139" s="47" t="e">
        <f>_xll.qlPolynomialFunctionValue(BL$1,$BD139,AllTriggers)</f>
        <v>#VALUE!</v>
      </c>
      <c r="BM139" s="47" t="e">
        <f>_xll.qlPolynomialFunctionValue(BM$1,$BD139,AllTriggers)</f>
        <v>#VALUE!</v>
      </c>
      <c r="BN139" s="47" t="e">
        <f>_xll.qlPolynomialFunctionValue(BN$1,$BD139,AllTriggers)</f>
        <v>#VALUE!</v>
      </c>
      <c r="BO139" s="47" t="e">
        <f>_xll.qlPolynomialFunctionValue(BO$1,$BD139,AllTriggers)</f>
        <v>#VALUE!</v>
      </c>
      <c r="BP139" s="47" t="e">
        <f>_xll.qlPolynomialFunctionValue(BP$1,$BD139,AllTriggers)</f>
        <v>#VALUE!</v>
      </c>
      <c r="BQ139" s="47">
        <f>_xll.qlPolynomialFunctionValue('12MSynthDepo_used'!$P$18,BD139,AllTriggers)</f>
        <v>3.1425596471781328E-3</v>
      </c>
    </row>
    <row r="140" spans="18:69" x14ac:dyDescent="0.2">
      <c r="R140" s="35"/>
      <c r="S140" s="35"/>
      <c r="BC140" s="178">
        <f>_xll.qlCalendarAdvance(Calendar,BC139,"1d","mf",,Trigger)</f>
        <v>42473</v>
      </c>
      <c r="BD140" s="41">
        <f>_xll.qlDayCounterYearFraction(DayCounter,SettlementDate,BC140,,,Trigger)</f>
        <v>0.53888888888888886</v>
      </c>
      <c r="BE140" s="47" t="e">
        <f>_xll.qlPolynomialFunctionValue(BE$1,$BD140,AllTriggers)</f>
        <v>#VALUE!</v>
      </c>
      <c r="BF140" s="47" t="e">
        <f>_xll.qlPolynomialFunctionValue(BF$1,$BD140,AllTriggers)</f>
        <v>#VALUE!</v>
      </c>
      <c r="BG140" s="47" t="e">
        <f>_xll.qlPolynomialFunctionValue(BG$1,$BD140,AllTriggers)</f>
        <v>#VALUE!</v>
      </c>
      <c r="BH140" s="47" t="e">
        <f>_xll.qlPolynomialFunctionValue(BH$1,$BD140,AllTriggers)</f>
        <v>#VALUE!</v>
      </c>
      <c r="BI140" s="47" t="e">
        <f>_xll.qlPolynomialFunctionValue(BI$1,$BD140,AllTriggers)</f>
        <v>#VALUE!</v>
      </c>
      <c r="BJ140" s="47" t="e">
        <f>_xll.qlPolynomialFunctionValue(BJ$1,$BD140,AllTriggers)</f>
        <v>#VALUE!</v>
      </c>
      <c r="BK140" s="47" t="e">
        <f>_xll.qlPolynomialFunctionValue(BK$1,$BD140,AllTriggers)</f>
        <v>#VALUE!</v>
      </c>
      <c r="BL140" s="47" t="e">
        <f>_xll.qlPolynomialFunctionValue(BL$1,$BD140,AllTriggers)</f>
        <v>#VALUE!</v>
      </c>
      <c r="BM140" s="47" t="e">
        <f>_xll.qlPolynomialFunctionValue(BM$1,$BD140,AllTriggers)</f>
        <v>#VALUE!</v>
      </c>
      <c r="BN140" s="47" t="e">
        <f>_xll.qlPolynomialFunctionValue(BN$1,$BD140,AllTriggers)</f>
        <v>#VALUE!</v>
      </c>
      <c r="BO140" s="47" t="e">
        <f>_xll.qlPolynomialFunctionValue(BO$1,$BD140,AllTriggers)</f>
        <v>#VALUE!</v>
      </c>
      <c r="BP140" s="47" t="e">
        <f>_xll.qlPolynomialFunctionValue(BP$1,$BD140,AllTriggers)</f>
        <v>#VALUE!</v>
      </c>
      <c r="BQ140" s="47">
        <f>_xll.qlPolynomialFunctionValue('12MSynthDepo_used'!$P$18,BD140,AllTriggers)</f>
        <v>3.144235540911916E-3</v>
      </c>
    </row>
    <row r="141" spans="18:69" x14ac:dyDescent="0.2">
      <c r="R141" s="35"/>
      <c r="S141" s="35"/>
      <c r="BC141" s="178">
        <f>_xll.qlCalendarAdvance(Calendar,BC140,"1d","mf",,Trigger)</f>
        <v>42474</v>
      </c>
      <c r="BD141" s="41">
        <f>_xll.qlDayCounterYearFraction(DayCounter,SettlementDate,BC141,,,Trigger)</f>
        <v>0.54166666666666663</v>
      </c>
      <c r="BE141" s="47" t="e">
        <f>_xll.qlPolynomialFunctionValue(BE$1,$BD141,AllTriggers)</f>
        <v>#VALUE!</v>
      </c>
      <c r="BF141" s="47" t="e">
        <f>_xll.qlPolynomialFunctionValue(BF$1,$BD141,AllTriggers)</f>
        <v>#VALUE!</v>
      </c>
      <c r="BG141" s="47" t="e">
        <f>_xll.qlPolynomialFunctionValue(BG$1,$BD141,AllTriggers)</f>
        <v>#VALUE!</v>
      </c>
      <c r="BH141" s="47" t="e">
        <f>_xll.qlPolynomialFunctionValue(BH$1,$BD141,AllTriggers)</f>
        <v>#VALUE!</v>
      </c>
      <c r="BI141" s="47" t="e">
        <f>_xll.qlPolynomialFunctionValue(BI$1,$BD141,AllTriggers)</f>
        <v>#VALUE!</v>
      </c>
      <c r="BJ141" s="47" t="e">
        <f>_xll.qlPolynomialFunctionValue(BJ$1,$BD141,AllTriggers)</f>
        <v>#VALUE!</v>
      </c>
      <c r="BK141" s="47" t="e">
        <f>_xll.qlPolynomialFunctionValue(BK$1,$BD141,AllTriggers)</f>
        <v>#VALUE!</v>
      </c>
      <c r="BL141" s="47" t="e">
        <f>_xll.qlPolynomialFunctionValue(BL$1,$BD141,AllTriggers)</f>
        <v>#VALUE!</v>
      </c>
      <c r="BM141" s="47" t="e">
        <f>_xll.qlPolynomialFunctionValue(BM$1,$BD141,AllTriggers)</f>
        <v>#VALUE!</v>
      </c>
      <c r="BN141" s="47" t="e">
        <f>_xll.qlPolynomialFunctionValue(BN$1,$BD141,AllTriggers)</f>
        <v>#VALUE!</v>
      </c>
      <c r="BO141" s="47" t="e">
        <f>_xll.qlPolynomialFunctionValue(BO$1,$BD141,AllTriggers)</f>
        <v>#VALUE!</v>
      </c>
      <c r="BP141" s="47" t="e">
        <f>_xll.qlPolynomialFunctionValue(BP$1,$BD141,AllTriggers)</f>
        <v>#VALUE!</v>
      </c>
      <c r="BQ141" s="47">
        <f>_xll.qlPolynomialFunctionValue('12MSynthDepo_used'!$P$18,BD141,AllTriggers)</f>
        <v>3.1459120875046223E-3</v>
      </c>
    </row>
    <row r="142" spans="18:69" x14ac:dyDescent="0.2">
      <c r="R142" s="35"/>
      <c r="S142" s="35"/>
      <c r="BC142" s="178">
        <f>_xll.qlCalendarAdvance(Calendar,BC141,"1d","mf",,Trigger)</f>
        <v>42475</v>
      </c>
      <c r="BD142" s="41">
        <f>_xll.qlDayCounterYearFraction(DayCounter,SettlementDate,BC142,,,Trigger)</f>
        <v>0.5444444444444444</v>
      </c>
      <c r="BE142" s="47" t="e">
        <f>_xll.qlPolynomialFunctionValue(BE$1,$BD142,AllTriggers)</f>
        <v>#VALUE!</v>
      </c>
      <c r="BF142" s="47" t="e">
        <f>_xll.qlPolynomialFunctionValue(BF$1,$BD142,AllTriggers)</f>
        <v>#VALUE!</v>
      </c>
      <c r="BG142" s="47" t="e">
        <f>_xll.qlPolynomialFunctionValue(BG$1,$BD142,AllTriggers)</f>
        <v>#VALUE!</v>
      </c>
      <c r="BH142" s="47" t="e">
        <f>_xll.qlPolynomialFunctionValue(BH$1,$BD142,AllTriggers)</f>
        <v>#VALUE!</v>
      </c>
      <c r="BI142" s="47" t="e">
        <f>_xll.qlPolynomialFunctionValue(BI$1,$BD142,AllTriggers)</f>
        <v>#VALUE!</v>
      </c>
      <c r="BJ142" s="47" t="e">
        <f>_xll.qlPolynomialFunctionValue(BJ$1,$BD142,AllTriggers)</f>
        <v>#VALUE!</v>
      </c>
      <c r="BK142" s="47" t="e">
        <f>_xll.qlPolynomialFunctionValue(BK$1,$BD142,AllTriggers)</f>
        <v>#VALUE!</v>
      </c>
      <c r="BL142" s="47" t="e">
        <f>_xll.qlPolynomialFunctionValue(BL$1,$BD142,AllTriggers)</f>
        <v>#VALUE!</v>
      </c>
      <c r="BM142" s="47" t="e">
        <f>_xll.qlPolynomialFunctionValue(BM$1,$BD142,AllTriggers)</f>
        <v>#VALUE!</v>
      </c>
      <c r="BN142" s="47" t="e">
        <f>_xll.qlPolynomialFunctionValue(BN$1,$BD142,AllTriggers)</f>
        <v>#VALUE!</v>
      </c>
      <c r="BO142" s="47" t="e">
        <f>_xll.qlPolynomialFunctionValue(BO$1,$BD142,AllTriggers)</f>
        <v>#VALUE!</v>
      </c>
      <c r="BP142" s="47" t="e">
        <f>_xll.qlPolynomialFunctionValue(BP$1,$BD142,AllTriggers)</f>
        <v>#VALUE!</v>
      </c>
      <c r="BQ142" s="47">
        <f>_xll.qlPolynomialFunctionValue('12MSynthDepo_used'!$P$18,BD142,AllTriggers)</f>
        <v>3.1475892817061858E-3</v>
      </c>
    </row>
    <row r="143" spans="18:69" x14ac:dyDescent="0.2">
      <c r="R143" s="35"/>
      <c r="S143" s="35"/>
      <c r="BC143" s="178">
        <f>_xll.qlCalendarAdvance(Calendar,BC142,"1d","mf",,Trigger)</f>
        <v>42478</v>
      </c>
      <c r="BD143" s="41">
        <f>_xll.qlDayCounterYearFraction(DayCounter,SettlementDate,BC143,,,Trigger)</f>
        <v>0.55277777777777781</v>
      </c>
      <c r="BE143" s="47" t="e">
        <f>_xll.qlPolynomialFunctionValue(BE$1,$BD143,AllTriggers)</f>
        <v>#VALUE!</v>
      </c>
      <c r="BF143" s="47" t="e">
        <f>_xll.qlPolynomialFunctionValue(BF$1,$BD143,AllTriggers)</f>
        <v>#VALUE!</v>
      </c>
      <c r="BG143" s="47" t="e">
        <f>_xll.qlPolynomialFunctionValue(BG$1,$BD143,AllTriggers)</f>
        <v>#VALUE!</v>
      </c>
      <c r="BH143" s="47" t="e">
        <f>_xll.qlPolynomialFunctionValue(BH$1,$BD143,AllTriggers)</f>
        <v>#VALUE!</v>
      </c>
      <c r="BI143" s="47" t="e">
        <f>_xll.qlPolynomialFunctionValue(BI$1,$BD143,AllTriggers)</f>
        <v>#VALUE!</v>
      </c>
      <c r="BJ143" s="47" t="e">
        <f>_xll.qlPolynomialFunctionValue(BJ$1,$BD143,AllTriggers)</f>
        <v>#VALUE!</v>
      </c>
      <c r="BK143" s="47" t="e">
        <f>_xll.qlPolynomialFunctionValue(BK$1,$BD143,AllTriggers)</f>
        <v>#VALUE!</v>
      </c>
      <c r="BL143" s="47" t="e">
        <f>_xll.qlPolynomialFunctionValue(BL$1,$BD143,AllTriggers)</f>
        <v>#VALUE!</v>
      </c>
      <c r="BM143" s="47" t="e">
        <f>_xll.qlPolynomialFunctionValue(BM$1,$BD143,AllTriggers)</f>
        <v>#VALUE!</v>
      </c>
      <c r="BN143" s="47" t="e">
        <f>_xll.qlPolynomialFunctionValue(BN$1,$BD143,AllTriggers)</f>
        <v>#VALUE!</v>
      </c>
      <c r="BO143" s="47" t="e">
        <f>_xll.qlPolynomialFunctionValue(BO$1,$BD143,AllTriggers)</f>
        <v>#VALUE!</v>
      </c>
      <c r="BP143" s="47" t="e">
        <f>_xll.qlPolynomialFunctionValue(BP$1,$BD143,AllTriggers)</f>
        <v>#VALUE!</v>
      </c>
      <c r="BQ143" s="47">
        <f>_xll.qlPolynomialFunctionValue('12MSynthDepo_used'!$P$18,BD143,AllTriggers)</f>
        <v>3.152624697463388E-3</v>
      </c>
    </row>
    <row r="144" spans="18:69" x14ac:dyDescent="0.2">
      <c r="R144" s="35"/>
      <c r="S144" s="35"/>
      <c r="BC144" s="178">
        <f>_xll.qlCalendarAdvance(Calendar,BC143,"1d","mf",,Trigger)</f>
        <v>42479</v>
      </c>
      <c r="BD144" s="41">
        <f>_xll.qlDayCounterYearFraction(DayCounter,SettlementDate,BC144,,,Trigger)</f>
        <v>0.55555555555555558</v>
      </c>
      <c r="BE144" s="47" t="e">
        <f>_xll.qlPolynomialFunctionValue(BE$1,$BD144,AllTriggers)</f>
        <v>#VALUE!</v>
      </c>
      <c r="BF144" s="47" t="e">
        <f>_xll.qlPolynomialFunctionValue(BF$1,$BD144,AllTriggers)</f>
        <v>#VALUE!</v>
      </c>
      <c r="BG144" s="47" t="e">
        <f>_xll.qlPolynomialFunctionValue(BG$1,$BD144,AllTriggers)</f>
        <v>#VALUE!</v>
      </c>
      <c r="BH144" s="47" t="e">
        <f>_xll.qlPolynomialFunctionValue(BH$1,$BD144,AllTriggers)</f>
        <v>#VALUE!</v>
      </c>
      <c r="BI144" s="47" t="e">
        <f>_xll.qlPolynomialFunctionValue(BI$1,$BD144,AllTriggers)</f>
        <v>#VALUE!</v>
      </c>
      <c r="BJ144" s="47" t="e">
        <f>_xll.qlPolynomialFunctionValue(BJ$1,$BD144,AllTriggers)</f>
        <v>#VALUE!</v>
      </c>
      <c r="BK144" s="47" t="e">
        <f>_xll.qlPolynomialFunctionValue(BK$1,$BD144,AllTriggers)</f>
        <v>#VALUE!</v>
      </c>
      <c r="BL144" s="47" t="e">
        <f>_xll.qlPolynomialFunctionValue(BL$1,$BD144,AllTriggers)</f>
        <v>#VALUE!</v>
      </c>
      <c r="BM144" s="47" t="e">
        <f>_xll.qlPolynomialFunctionValue(BM$1,$BD144,AllTriggers)</f>
        <v>#VALUE!</v>
      </c>
      <c r="BN144" s="47" t="e">
        <f>_xll.qlPolynomialFunctionValue(BN$1,$BD144,AllTriggers)</f>
        <v>#VALUE!</v>
      </c>
      <c r="BO144" s="47" t="e">
        <f>_xll.qlPolynomialFunctionValue(BO$1,$BD144,AllTriggers)</f>
        <v>#VALUE!</v>
      </c>
      <c r="BP144" s="47" t="e">
        <f>_xll.qlPolynomialFunctionValue(BP$1,$BD144,AllTriggers)</f>
        <v>#VALUE!</v>
      </c>
      <c r="BQ144" s="47">
        <f>_xll.qlPolynomialFunctionValue('12MSynthDepo_used'!$P$18,BD144,AllTriggers)</f>
        <v>3.154304429599747E-3</v>
      </c>
    </row>
    <row r="145" spans="18:69" x14ac:dyDescent="0.2">
      <c r="R145" s="35"/>
      <c r="S145" s="35"/>
      <c r="BC145" s="178">
        <f>_xll.qlCalendarAdvance(Calendar,BC144,"1d","mf",,Trigger)</f>
        <v>42480</v>
      </c>
      <c r="BD145" s="41">
        <f>_xll.qlDayCounterYearFraction(DayCounter,SettlementDate,BC145,,,Trigger)</f>
        <v>0.55833333333333335</v>
      </c>
      <c r="BE145" s="47" t="e">
        <f>_xll.qlPolynomialFunctionValue(BE$1,$BD145,AllTriggers)</f>
        <v>#VALUE!</v>
      </c>
      <c r="BF145" s="47" t="e">
        <f>_xll.qlPolynomialFunctionValue(BF$1,$BD145,AllTriggers)</f>
        <v>#VALUE!</v>
      </c>
      <c r="BG145" s="47" t="e">
        <f>_xll.qlPolynomialFunctionValue(BG$1,$BD145,AllTriggers)</f>
        <v>#VALUE!</v>
      </c>
      <c r="BH145" s="47" t="e">
        <f>_xll.qlPolynomialFunctionValue(BH$1,$BD145,AllTriggers)</f>
        <v>#VALUE!</v>
      </c>
      <c r="BI145" s="47" t="e">
        <f>_xll.qlPolynomialFunctionValue(BI$1,$BD145,AllTriggers)</f>
        <v>#VALUE!</v>
      </c>
      <c r="BJ145" s="47" t="e">
        <f>_xll.qlPolynomialFunctionValue(BJ$1,$BD145,AllTriggers)</f>
        <v>#VALUE!</v>
      </c>
      <c r="BK145" s="47" t="e">
        <f>_xll.qlPolynomialFunctionValue(BK$1,$BD145,AllTriggers)</f>
        <v>#VALUE!</v>
      </c>
      <c r="BL145" s="47" t="e">
        <f>_xll.qlPolynomialFunctionValue(BL$1,$BD145,AllTriggers)</f>
        <v>#VALUE!</v>
      </c>
      <c r="BM145" s="47" t="e">
        <f>_xll.qlPolynomialFunctionValue(BM$1,$BD145,AllTriggers)</f>
        <v>#VALUE!</v>
      </c>
      <c r="BN145" s="47" t="e">
        <f>_xll.qlPolynomialFunctionValue(BN$1,$BD145,AllTriggers)</f>
        <v>#VALUE!</v>
      </c>
      <c r="BO145" s="47" t="e">
        <f>_xll.qlPolynomialFunctionValue(BO$1,$BD145,AllTriggers)</f>
        <v>#VALUE!</v>
      </c>
      <c r="BP145" s="47" t="e">
        <f>_xll.qlPolynomialFunctionValue(BP$1,$BD145,AllTriggers)</f>
        <v>#VALUE!</v>
      </c>
      <c r="BQ145" s="47">
        <f>_xll.qlPolynomialFunctionValue('12MSynthDepo_used'!$P$18,BD145,AllTriggers)</f>
        <v>3.1559847830946457E-3</v>
      </c>
    </row>
    <row r="146" spans="18:69" x14ac:dyDescent="0.2">
      <c r="R146" s="35"/>
      <c r="S146" s="35"/>
      <c r="BC146" s="178">
        <f>_xll.qlCalendarAdvance(Calendar,BC145,"1d","mf",,Trigger)</f>
        <v>42481</v>
      </c>
      <c r="BD146" s="41">
        <f>_xll.qlDayCounterYearFraction(DayCounter,SettlementDate,BC146,,,Trigger)</f>
        <v>0.56111111111111112</v>
      </c>
      <c r="BE146" s="47" t="e">
        <f>_xll.qlPolynomialFunctionValue(BE$1,$BD146,AllTriggers)</f>
        <v>#VALUE!</v>
      </c>
      <c r="BF146" s="47" t="e">
        <f>_xll.qlPolynomialFunctionValue(BF$1,$BD146,AllTriggers)</f>
        <v>#VALUE!</v>
      </c>
      <c r="BG146" s="47" t="e">
        <f>_xll.qlPolynomialFunctionValue(BG$1,$BD146,AllTriggers)</f>
        <v>#VALUE!</v>
      </c>
      <c r="BH146" s="47" t="e">
        <f>_xll.qlPolynomialFunctionValue(BH$1,$BD146,AllTriggers)</f>
        <v>#VALUE!</v>
      </c>
      <c r="BI146" s="47" t="e">
        <f>_xll.qlPolynomialFunctionValue(BI$1,$BD146,AllTriggers)</f>
        <v>#VALUE!</v>
      </c>
      <c r="BJ146" s="47" t="e">
        <f>_xll.qlPolynomialFunctionValue(BJ$1,$BD146,AllTriggers)</f>
        <v>#VALUE!</v>
      </c>
      <c r="BK146" s="47" t="e">
        <f>_xll.qlPolynomialFunctionValue(BK$1,$BD146,AllTriggers)</f>
        <v>#VALUE!</v>
      </c>
      <c r="BL146" s="47" t="e">
        <f>_xll.qlPolynomialFunctionValue(BL$1,$BD146,AllTriggers)</f>
        <v>#VALUE!</v>
      </c>
      <c r="BM146" s="47" t="e">
        <f>_xll.qlPolynomialFunctionValue(BM$1,$BD146,AllTriggers)</f>
        <v>#VALUE!</v>
      </c>
      <c r="BN146" s="47" t="e">
        <f>_xll.qlPolynomialFunctionValue(BN$1,$BD146,AllTriggers)</f>
        <v>#VALUE!</v>
      </c>
      <c r="BO146" s="47" t="e">
        <f>_xll.qlPolynomialFunctionValue(BO$1,$BD146,AllTriggers)</f>
        <v>#VALUE!</v>
      </c>
      <c r="BP146" s="47" t="e">
        <f>_xll.qlPolynomialFunctionValue(BP$1,$BD146,AllTriggers)</f>
        <v>#VALUE!</v>
      </c>
      <c r="BQ146" s="47">
        <f>_xll.qlPolynomialFunctionValue('12MSynthDepo_used'!$P$18,BD146,AllTriggers)</f>
        <v>3.1576657526980211E-3</v>
      </c>
    </row>
    <row r="147" spans="18:69" x14ac:dyDescent="0.2">
      <c r="R147" s="35"/>
      <c r="S147" s="35"/>
      <c r="BC147" s="178">
        <f>_xll.qlCalendarAdvance(Calendar,BC146,"1d","mf",,Trigger)</f>
        <v>42482</v>
      </c>
      <c r="BD147" s="41">
        <f>_xll.qlDayCounterYearFraction(DayCounter,SettlementDate,BC147,,,Trigger)</f>
        <v>0.56388888888888888</v>
      </c>
      <c r="BE147" s="47" t="e">
        <f>_xll.qlPolynomialFunctionValue(BE$1,$BD147,AllTriggers)</f>
        <v>#VALUE!</v>
      </c>
      <c r="BF147" s="47" t="e">
        <f>_xll.qlPolynomialFunctionValue(BF$1,$BD147,AllTriggers)</f>
        <v>#VALUE!</v>
      </c>
      <c r="BG147" s="47" t="e">
        <f>_xll.qlPolynomialFunctionValue(BG$1,$BD147,AllTriggers)</f>
        <v>#VALUE!</v>
      </c>
      <c r="BH147" s="47" t="e">
        <f>_xll.qlPolynomialFunctionValue(BH$1,$BD147,AllTriggers)</f>
        <v>#VALUE!</v>
      </c>
      <c r="BI147" s="47" t="e">
        <f>_xll.qlPolynomialFunctionValue(BI$1,$BD147,AllTriggers)</f>
        <v>#VALUE!</v>
      </c>
      <c r="BJ147" s="47" t="e">
        <f>_xll.qlPolynomialFunctionValue(BJ$1,$BD147,AllTriggers)</f>
        <v>#VALUE!</v>
      </c>
      <c r="BK147" s="47" t="e">
        <f>_xll.qlPolynomialFunctionValue(BK$1,$BD147,AllTriggers)</f>
        <v>#VALUE!</v>
      </c>
      <c r="BL147" s="47" t="e">
        <f>_xll.qlPolynomialFunctionValue(BL$1,$BD147,AllTriggers)</f>
        <v>#VALUE!</v>
      </c>
      <c r="BM147" s="47" t="e">
        <f>_xll.qlPolynomialFunctionValue(BM$1,$BD147,AllTriggers)</f>
        <v>#VALUE!</v>
      </c>
      <c r="BN147" s="47" t="e">
        <f>_xll.qlPolynomialFunctionValue(BN$1,$BD147,AllTriggers)</f>
        <v>#VALUE!</v>
      </c>
      <c r="BO147" s="47" t="e">
        <f>_xll.qlPolynomialFunctionValue(BO$1,$BD147,AllTriggers)</f>
        <v>#VALUE!</v>
      </c>
      <c r="BP147" s="47" t="e">
        <f>_xll.qlPolynomialFunctionValue(BP$1,$BD147,AllTriggers)</f>
        <v>#VALUE!</v>
      </c>
      <c r="BQ147" s="47">
        <f>_xll.qlPolynomialFunctionValue('12MSynthDepo_used'!$P$18,BD147,AllTriggers)</f>
        <v>3.1593473331598086E-3</v>
      </c>
    </row>
    <row r="148" spans="18:69" x14ac:dyDescent="0.2">
      <c r="R148" s="35"/>
      <c r="S148" s="35"/>
      <c r="BC148" s="178">
        <f>_xll.qlCalendarAdvance(Calendar,BC147,"1d","mf",,Trigger)</f>
        <v>42485</v>
      </c>
      <c r="BD148" s="41">
        <f>_xll.qlDayCounterYearFraction(DayCounter,SettlementDate,BC148,,,Trigger)</f>
        <v>0.57222222222222219</v>
      </c>
      <c r="BE148" s="47" t="e">
        <f>_xll.qlPolynomialFunctionValue(BE$1,$BD148,AllTriggers)</f>
        <v>#VALUE!</v>
      </c>
      <c r="BF148" s="47" t="e">
        <f>_xll.qlPolynomialFunctionValue(BF$1,$BD148,AllTriggers)</f>
        <v>#VALUE!</v>
      </c>
      <c r="BG148" s="47" t="e">
        <f>_xll.qlPolynomialFunctionValue(BG$1,$BD148,AllTriggers)</f>
        <v>#VALUE!</v>
      </c>
      <c r="BH148" s="47" t="e">
        <f>_xll.qlPolynomialFunctionValue(BH$1,$BD148,AllTriggers)</f>
        <v>#VALUE!</v>
      </c>
      <c r="BI148" s="47" t="e">
        <f>_xll.qlPolynomialFunctionValue(BI$1,$BD148,AllTriggers)</f>
        <v>#VALUE!</v>
      </c>
      <c r="BJ148" s="47" t="e">
        <f>_xll.qlPolynomialFunctionValue(BJ$1,$BD148,AllTriggers)</f>
        <v>#VALUE!</v>
      </c>
      <c r="BK148" s="47" t="e">
        <f>_xll.qlPolynomialFunctionValue(BK$1,$BD148,AllTriggers)</f>
        <v>#VALUE!</v>
      </c>
      <c r="BL148" s="47" t="e">
        <f>_xll.qlPolynomialFunctionValue(BL$1,$BD148,AllTriggers)</f>
        <v>#VALUE!</v>
      </c>
      <c r="BM148" s="47" t="e">
        <f>_xll.qlPolynomialFunctionValue(BM$1,$BD148,AllTriggers)</f>
        <v>#VALUE!</v>
      </c>
      <c r="BN148" s="47" t="e">
        <f>_xll.qlPolynomialFunctionValue(BN$1,$BD148,AllTriggers)</f>
        <v>#VALUE!</v>
      </c>
      <c r="BO148" s="47" t="e">
        <f>_xll.qlPolynomialFunctionValue(BO$1,$BD148,AllTriggers)</f>
        <v>#VALUE!</v>
      </c>
      <c r="BP148" s="47" t="e">
        <f>_xll.qlPolynomialFunctionValue(BP$1,$BD148,AllTriggers)</f>
        <v>#VALUE!</v>
      </c>
      <c r="BQ148" s="47">
        <f>_xll.qlPolynomialFunctionValue('12MSynthDepo_used'!$P$18,BD148,AllTriggers)</f>
        <v>3.1643956871950083E-3</v>
      </c>
    </row>
    <row r="149" spans="18:69" x14ac:dyDescent="0.2">
      <c r="S149" s="35"/>
      <c r="BC149" s="178">
        <f>_xll.qlCalendarAdvance(Calendar,BC148,"1d","mf",,Trigger)</f>
        <v>42486</v>
      </c>
      <c r="BD149" s="41">
        <f>_xll.qlDayCounterYearFraction(DayCounter,SettlementDate,BC149,,,Trigger)</f>
        <v>0.57499999999999996</v>
      </c>
      <c r="BE149" s="47" t="e">
        <f>_xll.qlPolynomialFunctionValue(BE$1,$BD149,AllTriggers)</f>
        <v>#VALUE!</v>
      </c>
      <c r="BF149" s="47" t="e">
        <f>_xll.qlPolynomialFunctionValue(BF$1,$BD149,AllTriggers)</f>
        <v>#VALUE!</v>
      </c>
      <c r="BG149" s="47" t="e">
        <f>_xll.qlPolynomialFunctionValue(BG$1,$BD149,AllTriggers)</f>
        <v>#VALUE!</v>
      </c>
      <c r="BH149" s="47" t="e">
        <f>_xll.qlPolynomialFunctionValue(BH$1,$BD149,AllTriggers)</f>
        <v>#VALUE!</v>
      </c>
      <c r="BI149" s="47" t="e">
        <f>_xll.qlPolynomialFunctionValue(BI$1,$BD149,AllTriggers)</f>
        <v>#VALUE!</v>
      </c>
      <c r="BJ149" s="47" t="e">
        <f>_xll.qlPolynomialFunctionValue(BJ$1,$BD149,AllTriggers)</f>
        <v>#VALUE!</v>
      </c>
      <c r="BK149" s="47" t="e">
        <f>_xll.qlPolynomialFunctionValue(BK$1,$BD149,AllTriggers)</f>
        <v>#VALUE!</v>
      </c>
      <c r="BL149" s="47" t="e">
        <f>_xll.qlPolynomialFunctionValue(BL$1,$BD149,AllTriggers)</f>
        <v>#VALUE!</v>
      </c>
      <c r="BM149" s="47" t="e">
        <f>_xll.qlPolynomialFunctionValue(BM$1,$BD149,AllTriggers)</f>
        <v>#VALUE!</v>
      </c>
      <c r="BN149" s="47" t="e">
        <f>_xll.qlPolynomialFunctionValue(BN$1,$BD149,AllTriggers)</f>
        <v>#VALUE!</v>
      </c>
      <c r="BO149" s="47" t="e">
        <f>_xll.qlPolynomialFunctionValue(BO$1,$BD149,AllTriggers)</f>
        <v>#VALUE!</v>
      </c>
      <c r="BP149" s="47" t="e">
        <f>_xll.qlPolynomialFunctionValue(BP$1,$BD149,AllTriggers)</f>
        <v>#VALUE!</v>
      </c>
      <c r="BQ149" s="47">
        <f>_xll.qlPolynomialFunctionValue('12MSynthDepo_used'!$P$18,BD149,AllTriggers)</f>
        <v>3.1660796585898086E-3</v>
      </c>
    </row>
    <row r="150" spans="18:69" x14ac:dyDescent="0.2">
      <c r="S150" s="35"/>
      <c r="BC150" s="178">
        <f>_xll.qlCalendarAdvance(Calendar,BC149,"1d","mf",,Trigger)</f>
        <v>42487</v>
      </c>
      <c r="BD150" s="41">
        <f>_xll.qlDayCounterYearFraction(DayCounter,SettlementDate,BC150,,,Trigger)</f>
        <v>0.57777777777777772</v>
      </c>
      <c r="BE150" s="47" t="e">
        <f>_xll.qlPolynomialFunctionValue(BE$1,$BD150,AllTriggers)</f>
        <v>#VALUE!</v>
      </c>
      <c r="BF150" s="47" t="e">
        <f>_xll.qlPolynomialFunctionValue(BF$1,$BD150,AllTriggers)</f>
        <v>#VALUE!</v>
      </c>
      <c r="BG150" s="47" t="e">
        <f>_xll.qlPolynomialFunctionValue(BG$1,$BD150,AllTriggers)</f>
        <v>#VALUE!</v>
      </c>
      <c r="BH150" s="47" t="e">
        <f>_xll.qlPolynomialFunctionValue(BH$1,$BD150,AllTriggers)</f>
        <v>#VALUE!</v>
      </c>
      <c r="BI150" s="47" t="e">
        <f>_xll.qlPolynomialFunctionValue(BI$1,$BD150,AllTriggers)</f>
        <v>#VALUE!</v>
      </c>
      <c r="BJ150" s="47" t="e">
        <f>_xll.qlPolynomialFunctionValue(BJ$1,$BD150,AllTriggers)</f>
        <v>#VALUE!</v>
      </c>
      <c r="BK150" s="47" t="e">
        <f>_xll.qlPolynomialFunctionValue(BK$1,$BD150,AllTriggers)</f>
        <v>#VALUE!</v>
      </c>
      <c r="BL150" s="47" t="e">
        <f>_xll.qlPolynomialFunctionValue(BL$1,$BD150,AllTriggers)</f>
        <v>#VALUE!</v>
      </c>
      <c r="BM150" s="47" t="e">
        <f>_xll.qlPolynomialFunctionValue(BM$1,$BD150,AllTriggers)</f>
        <v>#VALUE!</v>
      </c>
      <c r="BN150" s="47" t="e">
        <f>_xll.qlPolynomialFunctionValue(BN$1,$BD150,AllTriggers)</f>
        <v>#VALUE!</v>
      </c>
      <c r="BO150" s="47" t="e">
        <f>_xll.qlPolynomialFunctionValue(BO$1,$BD150,AllTriggers)</f>
        <v>#VALUE!</v>
      </c>
      <c r="BP150" s="47" t="e">
        <f>_xll.qlPolynomialFunctionValue(BP$1,$BD150,AllTriggers)</f>
        <v>#VALUE!</v>
      </c>
      <c r="BQ150" s="47">
        <f>_xll.qlPolynomialFunctionValue('12MSynthDepo_used'!$P$18,BD150,AllTriggers)</f>
        <v>3.1677642145927034E-3</v>
      </c>
    </row>
    <row r="151" spans="18:69" x14ac:dyDescent="0.2">
      <c r="S151" s="35"/>
      <c r="BC151" s="178">
        <f>_xll.qlCalendarAdvance(Calendar,BC150,"1d","mf",,Trigger)</f>
        <v>42488</v>
      </c>
      <c r="BD151" s="41">
        <f>_xll.qlDayCounterYearFraction(DayCounter,SettlementDate,BC151,,,Trigger)</f>
        <v>0.5805555555555556</v>
      </c>
      <c r="BE151" s="47" t="e">
        <f>_xll.qlPolynomialFunctionValue(BE$1,$BD151,AllTriggers)</f>
        <v>#VALUE!</v>
      </c>
      <c r="BF151" s="47" t="e">
        <f>_xll.qlPolynomialFunctionValue(BF$1,$BD151,AllTriggers)</f>
        <v>#VALUE!</v>
      </c>
      <c r="BG151" s="47" t="e">
        <f>_xll.qlPolynomialFunctionValue(BG$1,$BD151,AllTriggers)</f>
        <v>#VALUE!</v>
      </c>
      <c r="BH151" s="47" t="e">
        <f>_xll.qlPolynomialFunctionValue(BH$1,$BD151,AllTriggers)</f>
        <v>#VALUE!</v>
      </c>
      <c r="BI151" s="47" t="e">
        <f>_xll.qlPolynomialFunctionValue(BI$1,$BD151,AllTriggers)</f>
        <v>#VALUE!</v>
      </c>
      <c r="BJ151" s="47" t="e">
        <f>_xll.qlPolynomialFunctionValue(BJ$1,$BD151,AllTriggers)</f>
        <v>#VALUE!</v>
      </c>
      <c r="BK151" s="47" t="e">
        <f>_xll.qlPolynomialFunctionValue(BK$1,$BD151,AllTriggers)</f>
        <v>#VALUE!</v>
      </c>
      <c r="BL151" s="47" t="e">
        <f>_xll.qlPolynomialFunctionValue(BL$1,$BD151,AllTriggers)</f>
        <v>#VALUE!</v>
      </c>
      <c r="BM151" s="47" t="e">
        <f>_xll.qlPolynomialFunctionValue(BM$1,$BD151,AllTriggers)</f>
        <v>#VALUE!</v>
      </c>
      <c r="BN151" s="47" t="e">
        <f>_xll.qlPolynomialFunctionValue(BN$1,$BD151,AllTriggers)</f>
        <v>#VALUE!</v>
      </c>
      <c r="BO151" s="47" t="e">
        <f>_xll.qlPolynomialFunctionValue(BO$1,$BD151,AllTriggers)</f>
        <v>#VALUE!</v>
      </c>
      <c r="BP151" s="47" t="e">
        <f>_xll.qlPolynomialFunctionValue(BP$1,$BD151,AllTriggers)</f>
        <v>#VALUE!</v>
      </c>
      <c r="BQ151" s="47">
        <f>_xll.qlPolynomialFunctionValue('12MSynthDepo_used'!$P$18,BD151,AllTriggers)</f>
        <v>3.1694493499536281E-3</v>
      </c>
    </row>
    <row r="152" spans="18:69" x14ac:dyDescent="0.2">
      <c r="S152" s="35"/>
      <c r="BC152" s="178">
        <f>_xll.qlCalendarAdvance(Calendar,BC151,"1d","mf",,Trigger)</f>
        <v>42489</v>
      </c>
      <c r="BD152" s="41">
        <f>_xll.qlDayCounterYearFraction(DayCounter,SettlementDate,BC152,,,Trigger)</f>
        <v>0.58333333333333337</v>
      </c>
      <c r="BE152" s="47" t="e">
        <f>_xll.qlPolynomialFunctionValue(BE$1,$BD152,AllTriggers)</f>
        <v>#VALUE!</v>
      </c>
      <c r="BF152" s="47" t="e">
        <f>_xll.qlPolynomialFunctionValue(BF$1,$BD152,AllTriggers)</f>
        <v>#VALUE!</v>
      </c>
      <c r="BG152" s="47" t="e">
        <f>_xll.qlPolynomialFunctionValue(BG$1,$BD152,AllTriggers)</f>
        <v>#VALUE!</v>
      </c>
      <c r="BH152" s="47" t="e">
        <f>_xll.qlPolynomialFunctionValue(BH$1,$BD152,AllTriggers)</f>
        <v>#VALUE!</v>
      </c>
      <c r="BI152" s="47" t="e">
        <f>_xll.qlPolynomialFunctionValue(BI$1,$BD152,AllTriggers)</f>
        <v>#VALUE!</v>
      </c>
      <c r="BJ152" s="47" t="e">
        <f>_xll.qlPolynomialFunctionValue(BJ$1,$BD152,AllTriggers)</f>
        <v>#VALUE!</v>
      </c>
      <c r="BK152" s="47" t="e">
        <f>_xll.qlPolynomialFunctionValue(BK$1,$BD152,AllTriggers)</f>
        <v>#VALUE!</v>
      </c>
      <c r="BL152" s="47" t="e">
        <f>_xll.qlPolynomialFunctionValue(BL$1,$BD152,AllTriggers)</f>
        <v>#VALUE!</v>
      </c>
      <c r="BM152" s="47" t="e">
        <f>_xll.qlPolynomialFunctionValue(BM$1,$BD152,AllTriggers)</f>
        <v>#VALUE!</v>
      </c>
      <c r="BN152" s="47" t="e">
        <f>_xll.qlPolynomialFunctionValue(BN$1,$BD152,AllTriggers)</f>
        <v>#VALUE!</v>
      </c>
      <c r="BO152" s="47" t="e">
        <f>_xll.qlPolynomialFunctionValue(BO$1,$BD152,AllTriggers)</f>
        <v>#VALUE!</v>
      </c>
      <c r="BP152" s="47" t="e">
        <f>_xll.qlPolynomialFunctionValue(BP$1,$BD152,AllTriggers)</f>
        <v>#VALUE!</v>
      </c>
      <c r="BQ152" s="47">
        <f>_xll.qlPolynomialFunctionValue('12MSynthDepo_used'!$P$18,BD152,AllTriggers)</f>
        <v>3.1711350594225201E-3</v>
      </c>
    </row>
    <row r="153" spans="18:69" x14ac:dyDescent="0.2">
      <c r="S153" s="35"/>
      <c r="BC153" s="178">
        <f>_xll.qlCalendarAdvance(Calendar,BC152,"1d","mf",,Trigger)</f>
        <v>42492</v>
      </c>
      <c r="BD153" s="41">
        <f>_xll.qlDayCounterYearFraction(DayCounter,SettlementDate,BC153,,,Trigger)</f>
        <v>0.59166666666666667</v>
      </c>
      <c r="BE153" s="47" t="e">
        <f>_xll.qlPolynomialFunctionValue(BE$1,$BD153,AllTriggers)</f>
        <v>#VALUE!</v>
      </c>
      <c r="BF153" s="47" t="e">
        <f>_xll.qlPolynomialFunctionValue(BF$1,$BD153,AllTriggers)</f>
        <v>#VALUE!</v>
      </c>
      <c r="BG153" s="47" t="e">
        <f>_xll.qlPolynomialFunctionValue(BG$1,$BD153,AllTriggers)</f>
        <v>#VALUE!</v>
      </c>
      <c r="BH153" s="47" t="e">
        <f>_xll.qlPolynomialFunctionValue(BH$1,$BD153,AllTriggers)</f>
        <v>#VALUE!</v>
      </c>
      <c r="BI153" s="47" t="e">
        <f>_xll.qlPolynomialFunctionValue(BI$1,$BD153,AllTriggers)</f>
        <v>#VALUE!</v>
      </c>
      <c r="BJ153" s="47" t="e">
        <f>_xll.qlPolynomialFunctionValue(BJ$1,$BD153,AllTriggers)</f>
        <v>#VALUE!</v>
      </c>
      <c r="BK153" s="47" t="e">
        <f>_xll.qlPolynomialFunctionValue(BK$1,$BD153,AllTriggers)</f>
        <v>#VALUE!</v>
      </c>
      <c r="BL153" s="47" t="e">
        <f>_xll.qlPolynomialFunctionValue(BL$1,$BD153,AllTriggers)</f>
        <v>#VALUE!</v>
      </c>
      <c r="BM153" s="47" t="e">
        <f>_xll.qlPolynomialFunctionValue(BM$1,$BD153,AllTriggers)</f>
        <v>#VALUE!</v>
      </c>
      <c r="BN153" s="47" t="e">
        <f>_xll.qlPolynomialFunctionValue(BN$1,$BD153,AllTriggers)</f>
        <v>#VALUE!</v>
      </c>
      <c r="BO153" s="47" t="e">
        <f>_xll.qlPolynomialFunctionValue(BO$1,$BD153,AllTriggers)</f>
        <v>#VALUE!</v>
      </c>
      <c r="BP153" s="47" t="e">
        <f>_xll.qlPolynomialFunctionValue(BP$1,$BD153,AllTriggers)</f>
        <v>#VALUE!</v>
      </c>
      <c r="BQ153" s="47">
        <f>_xll.qlPolynomialFunctionValue('12MSynthDepo_used'!$P$18,BD153,AllTriggers)</f>
        <v>3.1761955799763605E-3</v>
      </c>
    </row>
    <row r="154" spans="18:69" x14ac:dyDescent="0.2">
      <c r="S154" s="35"/>
      <c r="BC154" s="178">
        <f>_xll.qlCalendarAdvance(Calendar,BC153,"1d","mf",,Trigger)</f>
        <v>42493</v>
      </c>
      <c r="BD154" s="41">
        <f>_xll.qlDayCounterYearFraction(DayCounter,SettlementDate,BC154,,,Trigger)</f>
        <v>0.59444444444444444</v>
      </c>
      <c r="BE154" s="47" t="e">
        <f>_xll.qlPolynomialFunctionValue(BE$1,$BD154,AllTriggers)</f>
        <v>#VALUE!</v>
      </c>
      <c r="BF154" s="47" t="e">
        <f>_xll.qlPolynomialFunctionValue(BF$1,$BD154,AllTriggers)</f>
        <v>#VALUE!</v>
      </c>
      <c r="BG154" s="47" t="e">
        <f>_xll.qlPolynomialFunctionValue(BG$1,$BD154,AllTriggers)</f>
        <v>#VALUE!</v>
      </c>
      <c r="BH154" s="47" t="e">
        <f>_xll.qlPolynomialFunctionValue(BH$1,$BD154,AllTriggers)</f>
        <v>#VALUE!</v>
      </c>
      <c r="BI154" s="47" t="e">
        <f>_xll.qlPolynomialFunctionValue(BI$1,$BD154,AllTriggers)</f>
        <v>#VALUE!</v>
      </c>
      <c r="BJ154" s="47" t="e">
        <f>_xll.qlPolynomialFunctionValue(BJ$1,$BD154,AllTriggers)</f>
        <v>#VALUE!</v>
      </c>
      <c r="BK154" s="47" t="e">
        <f>_xll.qlPolynomialFunctionValue(BK$1,$BD154,AllTriggers)</f>
        <v>#VALUE!</v>
      </c>
      <c r="BL154" s="47" t="e">
        <f>_xll.qlPolynomialFunctionValue(BL$1,$BD154,AllTriggers)</f>
        <v>#VALUE!</v>
      </c>
      <c r="BM154" s="47" t="e">
        <f>_xll.qlPolynomialFunctionValue(BM$1,$BD154,AllTriggers)</f>
        <v>#VALUE!</v>
      </c>
      <c r="BN154" s="47" t="e">
        <f>_xll.qlPolynomialFunctionValue(BN$1,$BD154,AllTriggers)</f>
        <v>#VALUE!</v>
      </c>
      <c r="BO154" s="47" t="e">
        <f>_xll.qlPolynomialFunctionValue(BO$1,$BD154,AllTriggers)</f>
        <v>#VALUE!</v>
      </c>
      <c r="BP154" s="47" t="e">
        <f>_xll.qlPolynomialFunctionValue(BP$1,$BD154,AllTriggers)</f>
        <v>#VALUE!</v>
      </c>
      <c r="BQ154" s="47">
        <f>_xll.qlPolynomialFunctionValue('12MSynthDepo_used'!$P$18,BD154,AllTriggers)</f>
        <v>3.177883533376483E-3</v>
      </c>
    </row>
    <row r="155" spans="18:69" x14ac:dyDescent="0.2">
      <c r="BC155" s="178">
        <f>_xll.qlCalendarAdvance(Calendar,BC154,"1d","mf",,Trigger)</f>
        <v>42494</v>
      </c>
      <c r="BD155" s="41">
        <f>_xll.qlDayCounterYearFraction(DayCounter,SettlementDate,BC155,,,Trigger)</f>
        <v>0.59722222222222221</v>
      </c>
      <c r="BE155" s="47" t="e">
        <f>_xll.qlPolynomialFunctionValue(BE$1,$BD155,AllTriggers)</f>
        <v>#VALUE!</v>
      </c>
      <c r="BF155" s="47" t="e">
        <f>_xll.qlPolynomialFunctionValue(BF$1,$BD155,AllTriggers)</f>
        <v>#VALUE!</v>
      </c>
      <c r="BG155" s="47" t="e">
        <f>_xll.qlPolynomialFunctionValue(BG$1,$BD155,AllTriggers)</f>
        <v>#VALUE!</v>
      </c>
      <c r="BH155" s="47" t="e">
        <f>_xll.qlPolynomialFunctionValue(BH$1,$BD155,AllTriggers)</f>
        <v>#VALUE!</v>
      </c>
      <c r="BI155" s="47" t="e">
        <f>_xll.qlPolynomialFunctionValue(BI$1,$BD155,AllTriggers)</f>
        <v>#VALUE!</v>
      </c>
      <c r="BJ155" s="47" t="e">
        <f>_xll.qlPolynomialFunctionValue(BJ$1,$BD155,AllTriggers)</f>
        <v>#VALUE!</v>
      </c>
      <c r="BK155" s="47" t="e">
        <f>_xll.qlPolynomialFunctionValue(BK$1,$BD155,AllTriggers)</f>
        <v>#VALUE!</v>
      </c>
      <c r="BL155" s="47" t="e">
        <f>_xll.qlPolynomialFunctionValue(BL$1,$BD155,AllTriggers)</f>
        <v>#VALUE!</v>
      </c>
      <c r="BM155" s="47" t="e">
        <f>_xll.qlPolynomialFunctionValue(BM$1,$BD155,AllTriggers)</f>
        <v>#VALUE!</v>
      </c>
      <c r="BN155" s="47" t="e">
        <f>_xll.qlPolynomialFunctionValue(BN$1,$BD155,AllTriggers)</f>
        <v>#VALUE!</v>
      </c>
      <c r="BO155" s="47" t="e">
        <f>_xll.qlPolynomialFunctionValue(BO$1,$BD155,AllTriggers)</f>
        <v>#VALUE!</v>
      </c>
      <c r="BP155" s="47" t="e">
        <f>_xll.qlPolynomialFunctionValue(BP$1,$BD155,AllTriggers)</f>
        <v>#VALUE!</v>
      </c>
      <c r="BQ155" s="47">
        <f>_xll.qlPolynomialFunctionValue('12MSynthDepo_used'!$P$18,BD155,AllTriggers)</f>
        <v>3.1795720346342545E-3</v>
      </c>
    </row>
    <row r="156" spans="18:69" x14ac:dyDescent="0.2">
      <c r="BC156" s="178">
        <f>_xll.qlCalendarAdvance(Calendar,BC155,"1d","mf",,Trigger)</f>
        <v>42495</v>
      </c>
      <c r="BD156" s="41">
        <f>_xll.qlDayCounterYearFraction(DayCounter,SettlementDate,BC156,,,Trigger)</f>
        <v>0.6</v>
      </c>
      <c r="BE156" s="47" t="e">
        <f>_xll.qlPolynomialFunctionValue(BE$1,$BD156,AllTriggers)</f>
        <v>#VALUE!</v>
      </c>
      <c r="BF156" s="47" t="e">
        <f>_xll.qlPolynomialFunctionValue(BF$1,$BD156,AllTriggers)</f>
        <v>#VALUE!</v>
      </c>
      <c r="BG156" s="47" t="e">
        <f>_xll.qlPolynomialFunctionValue(BG$1,$BD156,AllTriggers)</f>
        <v>#VALUE!</v>
      </c>
      <c r="BH156" s="47" t="e">
        <f>_xll.qlPolynomialFunctionValue(BH$1,$BD156,AllTriggers)</f>
        <v>#VALUE!</v>
      </c>
      <c r="BI156" s="47" t="e">
        <f>_xll.qlPolynomialFunctionValue(BI$1,$BD156,AllTriggers)</f>
        <v>#VALUE!</v>
      </c>
      <c r="BJ156" s="47" t="e">
        <f>_xll.qlPolynomialFunctionValue(BJ$1,$BD156,AllTriggers)</f>
        <v>#VALUE!</v>
      </c>
      <c r="BK156" s="47" t="e">
        <f>_xll.qlPolynomialFunctionValue(BK$1,$BD156,AllTriggers)</f>
        <v>#VALUE!</v>
      </c>
      <c r="BL156" s="47" t="e">
        <f>_xll.qlPolynomialFunctionValue(BL$1,$BD156,AllTriggers)</f>
        <v>#VALUE!</v>
      </c>
      <c r="BM156" s="47" t="e">
        <f>_xll.qlPolynomialFunctionValue(BM$1,$BD156,AllTriggers)</f>
        <v>#VALUE!</v>
      </c>
      <c r="BN156" s="47" t="e">
        <f>_xll.qlPolynomialFunctionValue(BN$1,$BD156,AllTriggers)</f>
        <v>#VALUE!</v>
      </c>
      <c r="BO156" s="47" t="e">
        <f>_xll.qlPolynomialFunctionValue(BO$1,$BD156,AllTriggers)</f>
        <v>#VALUE!</v>
      </c>
      <c r="BP156" s="47" t="e">
        <f>_xll.qlPolynomialFunctionValue(BP$1,$BD156,AllTriggers)</f>
        <v>#VALUE!</v>
      </c>
      <c r="BQ156" s="47">
        <f>_xll.qlPolynomialFunctionValue('12MSynthDepo_used'!$P$18,BD156,AllTriggers)</f>
        <v>3.1812610784996104E-3</v>
      </c>
    </row>
    <row r="157" spans="18:69" x14ac:dyDescent="0.2">
      <c r="BC157" s="178">
        <f>_xll.qlCalendarAdvance(Calendar,BC156,"1d","mf",,Trigger)</f>
        <v>42496</v>
      </c>
      <c r="BD157" s="41">
        <f>_xll.qlDayCounterYearFraction(DayCounter,SettlementDate,BC157,,,Trigger)</f>
        <v>0.60277777777777775</v>
      </c>
      <c r="BE157" s="47" t="e">
        <f>_xll.qlPolynomialFunctionValue(BE$1,$BD157,AllTriggers)</f>
        <v>#VALUE!</v>
      </c>
      <c r="BF157" s="47" t="e">
        <f>_xll.qlPolynomialFunctionValue(BF$1,$BD157,AllTriggers)</f>
        <v>#VALUE!</v>
      </c>
      <c r="BG157" s="47" t="e">
        <f>_xll.qlPolynomialFunctionValue(BG$1,$BD157,AllTriggers)</f>
        <v>#VALUE!</v>
      </c>
      <c r="BH157" s="47" t="e">
        <f>_xll.qlPolynomialFunctionValue(BH$1,$BD157,AllTriggers)</f>
        <v>#VALUE!</v>
      </c>
      <c r="BI157" s="47" t="e">
        <f>_xll.qlPolynomialFunctionValue(BI$1,$BD157,AllTriggers)</f>
        <v>#VALUE!</v>
      </c>
      <c r="BJ157" s="47" t="e">
        <f>_xll.qlPolynomialFunctionValue(BJ$1,$BD157,AllTriggers)</f>
        <v>#VALUE!</v>
      </c>
      <c r="BK157" s="47" t="e">
        <f>_xll.qlPolynomialFunctionValue(BK$1,$BD157,AllTriggers)</f>
        <v>#VALUE!</v>
      </c>
      <c r="BL157" s="47" t="e">
        <f>_xll.qlPolynomialFunctionValue(BL$1,$BD157,AllTriggers)</f>
        <v>#VALUE!</v>
      </c>
      <c r="BM157" s="47" t="e">
        <f>_xll.qlPolynomialFunctionValue(BM$1,$BD157,AllTriggers)</f>
        <v>#VALUE!</v>
      </c>
      <c r="BN157" s="47" t="e">
        <f>_xll.qlPolynomialFunctionValue(BN$1,$BD157,AllTriggers)</f>
        <v>#VALUE!</v>
      </c>
      <c r="BO157" s="47" t="e">
        <f>_xll.qlPolynomialFunctionValue(BO$1,$BD157,AllTriggers)</f>
        <v>#VALUE!</v>
      </c>
      <c r="BP157" s="47" t="e">
        <f>_xll.qlPolynomialFunctionValue(BP$1,$BD157,AllTriggers)</f>
        <v>#VALUE!</v>
      </c>
      <c r="BQ157" s="47">
        <f>_xll.qlPolynomialFunctionValue('12MSynthDepo_used'!$P$18,BD157,AllTriggers)</f>
        <v>3.1829506597224875E-3</v>
      </c>
    </row>
    <row r="158" spans="18:69" x14ac:dyDescent="0.2">
      <c r="BC158" s="178">
        <f>_xll.qlCalendarAdvance(Calendar,BC157,"1d","mf",,Trigger)</f>
        <v>42499</v>
      </c>
      <c r="BD158" s="41">
        <f>_xll.qlDayCounterYearFraction(DayCounter,SettlementDate,BC158,,,Trigger)</f>
        <v>0.61111111111111116</v>
      </c>
      <c r="BE158" s="47" t="e">
        <f>_xll.qlPolynomialFunctionValue(BE$1,$BD158,AllTriggers)</f>
        <v>#VALUE!</v>
      </c>
      <c r="BF158" s="47" t="e">
        <f>_xll.qlPolynomialFunctionValue(BF$1,$BD158,AllTriggers)</f>
        <v>#VALUE!</v>
      </c>
      <c r="BG158" s="47" t="e">
        <f>_xll.qlPolynomialFunctionValue(BG$1,$BD158,AllTriggers)</f>
        <v>#VALUE!</v>
      </c>
      <c r="BH158" s="47" t="e">
        <f>_xll.qlPolynomialFunctionValue(BH$1,$BD158,AllTriggers)</f>
        <v>#VALUE!</v>
      </c>
      <c r="BI158" s="47" t="e">
        <f>_xll.qlPolynomialFunctionValue(BI$1,$BD158,AllTriggers)</f>
        <v>#VALUE!</v>
      </c>
      <c r="BJ158" s="47" t="e">
        <f>_xll.qlPolynomialFunctionValue(BJ$1,$BD158,AllTriggers)</f>
        <v>#VALUE!</v>
      </c>
      <c r="BK158" s="47" t="e">
        <f>_xll.qlPolynomialFunctionValue(BK$1,$BD158,AllTriggers)</f>
        <v>#VALUE!</v>
      </c>
      <c r="BL158" s="47" t="e">
        <f>_xll.qlPolynomialFunctionValue(BL$1,$BD158,AllTriggers)</f>
        <v>#VALUE!</v>
      </c>
      <c r="BM158" s="47" t="e">
        <f>_xll.qlPolynomialFunctionValue(BM$1,$BD158,AllTriggers)</f>
        <v>#VALUE!</v>
      </c>
      <c r="BN158" s="47" t="e">
        <f>_xll.qlPolynomialFunctionValue(BN$1,$BD158,AllTriggers)</f>
        <v>#VALUE!</v>
      </c>
      <c r="BO158" s="47" t="e">
        <f>_xll.qlPolynomialFunctionValue(BO$1,$BD158,AllTriggers)</f>
        <v>#VALUE!</v>
      </c>
      <c r="BP158" s="47" t="e">
        <f>_xll.qlPolynomialFunctionValue(BP$1,$BD158,AllTriggers)</f>
        <v>#VALUE!</v>
      </c>
      <c r="BQ158" s="47">
        <f>_xll.qlPolynomialFunctionValue('12MSynthDepo_used'!$P$18,BD158,AllTriggers)</f>
        <v>3.1880225750356103E-3</v>
      </c>
    </row>
    <row r="159" spans="18:69" x14ac:dyDescent="0.2">
      <c r="BC159" s="178">
        <f>_xll.qlCalendarAdvance(Calendar,BC158,"1d","mf",,Trigger)</f>
        <v>42500</v>
      </c>
      <c r="BD159" s="41">
        <f>_xll.qlDayCounterYearFraction(DayCounter,SettlementDate,BC159,,,Trigger)</f>
        <v>0.61388888888888893</v>
      </c>
      <c r="BE159" s="47" t="e">
        <f>_xll.qlPolynomialFunctionValue(BE$1,$BD159,AllTriggers)</f>
        <v>#VALUE!</v>
      </c>
      <c r="BF159" s="47" t="e">
        <f>_xll.qlPolynomialFunctionValue(BF$1,$BD159,AllTriggers)</f>
        <v>#VALUE!</v>
      </c>
      <c r="BG159" s="47" t="e">
        <f>_xll.qlPolynomialFunctionValue(BG$1,$BD159,AllTriggers)</f>
        <v>#VALUE!</v>
      </c>
      <c r="BH159" s="47" t="e">
        <f>_xll.qlPolynomialFunctionValue(BH$1,$BD159,AllTriggers)</f>
        <v>#VALUE!</v>
      </c>
      <c r="BI159" s="47" t="e">
        <f>_xll.qlPolynomialFunctionValue(BI$1,$BD159,AllTriggers)</f>
        <v>#VALUE!</v>
      </c>
      <c r="BJ159" s="47" t="e">
        <f>_xll.qlPolynomialFunctionValue(BJ$1,$BD159,AllTriggers)</f>
        <v>#VALUE!</v>
      </c>
      <c r="BK159" s="47" t="e">
        <f>_xll.qlPolynomialFunctionValue(BK$1,$BD159,AllTriggers)</f>
        <v>#VALUE!</v>
      </c>
      <c r="BL159" s="47" t="e">
        <f>_xll.qlPolynomialFunctionValue(BL$1,$BD159,AllTriggers)</f>
        <v>#VALUE!</v>
      </c>
      <c r="BM159" s="47" t="e">
        <f>_xll.qlPolynomialFunctionValue(BM$1,$BD159,AllTriggers)</f>
        <v>#VALUE!</v>
      </c>
      <c r="BN159" s="47" t="e">
        <f>_xll.qlPolynomialFunctionValue(BN$1,$BD159,AllTriggers)</f>
        <v>#VALUE!</v>
      </c>
      <c r="BO159" s="47" t="e">
        <f>_xll.qlPolynomialFunctionValue(BO$1,$BD159,AllTriggers)</f>
        <v>#VALUE!</v>
      </c>
      <c r="BP159" s="47" t="e">
        <f>_xll.qlPolynomialFunctionValue(BP$1,$BD159,AllTriggers)</f>
        <v>#VALUE!</v>
      </c>
      <c r="BQ159" s="47">
        <f>_xll.qlPolynomialFunctionValue('12MSynthDepo_used'!$P$18,BD159,AllTriggers)</f>
        <v>3.1897142531879361E-3</v>
      </c>
    </row>
    <row r="160" spans="18:69" x14ac:dyDescent="0.2">
      <c r="BC160" s="178">
        <f>_xll.qlCalendarAdvance(Calendar,BC159,"1d","mf",,Trigger)</f>
        <v>42501</v>
      </c>
      <c r="BD160" s="41">
        <f>_xll.qlDayCounterYearFraction(DayCounter,SettlementDate,BC160,,,Trigger)</f>
        <v>0.6166666666666667</v>
      </c>
      <c r="BE160" s="47" t="e">
        <f>_xll.qlPolynomialFunctionValue(BE$1,$BD160,AllTriggers)</f>
        <v>#VALUE!</v>
      </c>
      <c r="BF160" s="47" t="e">
        <f>_xll.qlPolynomialFunctionValue(BF$1,$BD160,AllTriggers)</f>
        <v>#VALUE!</v>
      </c>
      <c r="BG160" s="47" t="e">
        <f>_xll.qlPolynomialFunctionValue(BG$1,$BD160,AllTriggers)</f>
        <v>#VALUE!</v>
      </c>
      <c r="BH160" s="47" t="e">
        <f>_xll.qlPolynomialFunctionValue(BH$1,$BD160,AllTriggers)</f>
        <v>#VALUE!</v>
      </c>
      <c r="BI160" s="47" t="e">
        <f>_xll.qlPolynomialFunctionValue(BI$1,$BD160,AllTriggers)</f>
        <v>#VALUE!</v>
      </c>
      <c r="BJ160" s="47" t="e">
        <f>_xll.qlPolynomialFunctionValue(BJ$1,$BD160,AllTriggers)</f>
        <v>#VALUE!</v>
      </c>
      <c r="BK160" s="47" t="e">
        <f>_xll.qlPolynomialFunctionValue(BK$1,$BD160,AllTriggers)</f>
        <v>#VALUE!</v>
      </c>
      <c r="BL160" s="47" t="e">
        <f>_xll.qlPolynomialFunctionValue(BL$1,$BD160,AllTriggers)</f>
        <v>#VALUE!</v>
      </c>
      <c r="BM160" s="47" t="e">
        <f>_xll.qlPolynomialFunctionValue(BM$1,$BD160,AllTriggers)</f>
        <v>#VALUE!</v>
      </c>
      <c r="BN160" s="47" t="e">
        <f>_xll.qlPolynomialFunctionValue(BN$1,$BD160,AllTriggers)</f>
        <v>#VALUE!</v>
      </c>
      <c r="BO160" s="47" t="e">
        <f>_xll.qlPolynomialFunctionValue(BO$1,$BD160,AllTriggers)</f>
        <v>#VALUE!</v>
      </c>
      <c r="BP160" s="47" t="e">
        <f>_xll.qlPolynomialFunctionValue(BP$1,$BD160,AllTriggers)</f>
        <v>#VALUE!</v>
      </c>
      <c r="BQ160" s="47">
        <f>_xll.qlPolynomialFunctionValue('12MSynthDepo_used'!$P$18,BD160,AllTriggers)</f>
        <v>3.1914064424474644E-3</v>
      </c>
    </row>
    <row r="161" spans="55:69" x14ac:dyDescent="0.2">
      <c r="BC161" s="178">
        <f>_xll.qlCalendarAdvance(Calendar,BC160,"1d","mf",,Trigger)</f>
        <v>42502</v>
      </c>
      <c r="BD161" s="41">
        <f>_xll.qlDayCounterYearFraction(DayCounter,SettlementDate,BC161,,,Trigger)</f>
        <v>0.61944444444444446</v>
      </c>
      <c r="BE161" s="47" t="e">
        <f>_xll.qlPolynomialFunctionValue(BE$1,$BD161,AllTriggers)</f>
        <v>#VALUE!</v>
      </c>
      <c r="BF161" s="47" t="e">
        <f>_xll.qlPolynomialFunctionValue(BF$1,$BD161,AllTriggers)</f>
        <v>#VALUE!</v>
      </c>
      <c r="BG161" s="47" t="e">
        <f>_xll.qlPolynomialFunctionValue(BG$1,$BD161,AllTriggers)</f>
        <v>#VALUE!</v>
      </c>
      <c r="BH161" s="47" t="e">
        <f>_xll.qlPolynomialFunctionValue(BH$1,$BD161,AllTriggers)</f>
        <v>#VALUE!</v>
      </c>
      <c r="BI161" s="47" t="e">
        <f>_xll.qlPolynomialFunctionValue(BI$1,$BD161,AllTriggers)</f>
        <v>#VALUE!</v>
      </c>
      <c r="BJ161" s="47" t="e">
        <f>_xll.qlPolynomialFunctionValue(BJ$1,$BD161,AllTriggers)</f>
        <v>#VALUE!</v>
      </c>
      <c r="BK161" s="47" t="e">
        <f>_xll.qlPolynomialFunctionValue(BK$1,$BD161,AllTriggers)</f>
        <v>#VALUE!</v>
      </c>
      <c r="BL161" s="47" t="e">
        <f>_xll.qlPolynomialFunctionValue(BL$1,$BD161,AllTriggers)</f>
        <v>#VALUE!</v>
      </c>
      <c r="BM161" s="47" t="e">
        <f>_xll.qlPolynomialFunctionValue(BM$1,$BD161,AllTriggers)</f>
        <v>#VALUE!</v>
      </c>
      <c r="BN161" s="47" t="e">
        <f>_xll.qlPolynomialFunctionValue(BN$1,$BD161,AllTriggers)</f>
        <v>#VALUE!</v>
      </c>
      <c r="BO161" s="47" t="e">
        <f>_xll.qlPolynomialFunctionValue(BO$1,$BD161,AllTriggers)</f>
        <v>#VALUE!</v>
      </c>
      <c r="BP161" s="47" t="e">
        <f>_xll.qlPolynomialFunctionValue(BP$1,$BD161,AllTriggers)</f>
        <v>#VALUE!</v>
      </c>
      <c r="BQ161" s="47">
        <f>_xll.qlPolynomialFunctionValue('12MSynthDepo_used'!$P$18,BD161,AllTriggers)</f>
        <v>3.1930991375641324E-3</v>
      </c>
    </row>
    <row r="162" spans="55:69" x14ac:dyDescent="0.2">
      <c r="BC162" s="178">
        <f>_xll.qlCalendarAdvance(Calendar,BC161,"1d","mf",,Trigger)</f>
        <v>42503</v>
      </c>
      <c r="BD162" s="41">
        <f>_xll.qlDayCounterYearFraction(DayCounter,SettlementDate,BC162,,,Trigger)</f>
        <v>0.62222222222222223</v>
      </c>
      <c r="BE162" s="47" t="e">
        <f>_xll.qlPolynomialFunctionValue(BE$1,$BD162,AllTriggers)</f>
        <v>#VALUE!</v>
      </c>
      <c r="BF162" s="47" t="e">
        <f>_xll.qlPolynomialFunctionValue(BF$1,$BD162,AllTriggers)</f>
        <v>#VALUE!</v>
      </c>
      <c r="BG162" s="47" t="e">
        <f>_xll.qlPolynomialFunctionValue(BG$1,$BD162,AllTriggers)</f>
        <v>#VALUE!</v>
      </c>
      <c r="BH162" s="47" t="e">
        <f>_xll.qlPolynomialFunctionValue(BH$1,$BD162,AllTriggers)</f>
        <v>#VALUE!</v>
      </c>
      <c r="BI162" s="47" t="e">
        <f>_xll.qlPolynomialFunctionValue(BI$1,$BD162,AllTriggers)</f>
        <v>#VALUE!</v>
      </c>
      <c r="BJ162" s="47" t="e">
        <f>_xll.qlPolynomialFunctionValue(BJ$1,$BD162,AllTriggers)</f>
        <v>#VALUE!</v>
      </c>
      <c r="BK162" s="47" t="e">
        <f>_xll.qlPolynomialFunctionValue(BK$1,$BD162,AllTriggers)</f>
        <v>#VALUE!</v>
      </c>
      <c r="BL162" s="47" t="e">
        <f>_xll.qlPolynomialFunctionValue(BL$1,$BD162,AllTriggers)</f>
        <v>#VALUE!</v>
      </c>
      <c r="BM162" s="47" t="e">
        <f>_xll.qlPolynomialFunctionValue(BM$1,$BD162,AllTriggers)</f>
        <v>#VALUE!</v>
      </c>
      <c r="BN162" s="47" t="e">
        <f>_xll.qlPolynomialFunctionValue(BN$1,$BD162,AllTriggers)</f>
        <v>#VALUE!</v>
      </c>
      <c r="BO162" s="47" t="e">
        <f>_xll.qlPolynomialFunctionValue(BO$1,$BD162,AllTriggers)</f>
        <v>#VALUE!</v>
      </c>
      <c r="BP162" s="47" t="e">
        <f>_xll.qlPolynomialFunctionValue(BP$1,$BD162,AllTriggers)</f>
        <v>#VALUE!</v>
      </c>
      <c r="BQ162" s="47">
        <f>_xll.qlPolynomialFunctionValue('12MSynthDepo_used'!$P$18,BD162,AllTriggers)</f>
        <v>3.1947923332878757E-3</v>
      </c>
    </row>
    <row r="163" spans="55:69" x14ac:dyDescent="0.2">
      <c r="BC163" s="178">
        <f>_xll.qlCalendarAdvance(Calendar,BC162,"1d","mf",,Trigger)</f>
        <v>42506</v>
      </c>
      <c r="BD163" s="41">
        <f>_xll.qlDayCounterYearFraction(DayCounter,SettlementDate,BC163,,,Trigger)</f>
        <v>0.63055555555555554</v>
      </c>
      <c r="BE163" s="47" t="e">
        <f>_xll.qlPolynomialFunctionValue(BE$1,$BD163,AllTriggers)</f>
        <v>#VALUE!</v>
      </c>
      <c r="BF163" s="47" t="e">
        <f>_xll.qlPolynomialFunctionValue(BF$1,$BD163,AllTriggers)</f>
        <v>#VALUE!</v>
      </c>
      <c r="BG163" s="47" t="e">
        <f>_xll.qlPolynomialFunctionValue(BG$1,$BD163,AllTriggers)</f>
        <v>#VALUE!</v>
      </c>
      <c r="BH163" s="47" t="e">
        <f>_xll.qlPolynomialFunctionValue(BH$1,$BD163,AllTriggers)</f>
        <v>#VALUE!</v>
      </c>
      <c r="BI163" s="47" t="e">
        <f>_xll.qlPolynomialFunctionValue(BI$1,$BD163,AllTriggers)</f>
        <v>#VALUE!</v>
      </c>
      <c r="BJ163" s="47" t="e">
        <f>_xll.qlPolynomialFunctionValue(BJ$1,$BD163,AllTriggers)</f>
        <v>#VALUE!</v>
      </c>
      <c r="BK163" s="47" t="e">
        <f>_xll.qlPolynomialFunctionValue(BK$1,$BD163,AllTriggers)</f>
        <v>#VALUE!</v>
      </c>
      <c r="BL163" s="47" t="e">
        <f>_xll.qlPolynomialFunctionValue(BL$1,$BD163,AllTriggers)</f>
        <v>#VALUE!</v>
      </c>
      <c r="BM163" s="47" t="e">
        <f>_xll.qlPolynomialFunctionValue(BM$1,$BD163,AllTriggers)</f>
        <v>#VALUE!</v>
      </c>
      <c r="BN163" s="47" t="e">
        <f>_xll.qlPolynomialFunctionValue(BN$1,$BD163,AllTriggers)</f>
        <v>#VALUE!</v>
      </c>
      <c r="BO163" s="47" t="e">
        <f>_xll.qlPolynomialFunctionValue(BO$1,$BD163,AllTriggers)</f>
        <v>#VALUE!</v>
      </c>
      <c r="BP163" s="47" t="e">
        <f>_xll.qlPolynomialFunctionValue(BP$1,$BD163,AllTriggers)</f>
        <v>#VALUE!</v>
      </c>
      <c r="BQ163" s="47">
        <f>_xll.qlPolynomialFunctionValue('12MSynthDepo_used'!$P$18,BD163,AllTriggers)</f>
        <v>3.1998748716009231E-3</v>
      </c>
    </row>
    <row r="164" spans="55:69" x14ac:dyDescent="0.2">
      <c r="BC164" s="178">
        <f>_xll.qlCalendarAdvance(Calendar,BC163,"1d","mf",,Trigger)</f>
        <v>42507</v>
      </c>
      <c r="BD164" s="41">
        <f>_xll.qlDayCounterYearFraction(DayCounter,SettlementDate,BC164,,,Trigger)</f>
        <v>0.6333333333333333</v>
      </c>
      <c r="BE164" s="47" t="e">
        <f>_xll.qlPolynomialFunctionValue(BE$1,$BD164,AllTriggers)</f>
        <v>#VALUE!</v>
      </c>
      <c r="BF164" s="47" t="e">
        <f>_xll.qlPolynomialFunctionValue(BF$1,$BD164,AllTriggers)</f>
        <v>#VALUE!</v>
      </c>
      <c r="BG164" s="47" t="e">
        <f>_xll.qlPolynomialFunctionValue(BG$1,$BD164,AllTriggers)</f>
        <v>#VALUE!</v>
      </c>
      <c r="BH164" s="47" t="e">
        <f>_xll.qlPolynomialFunctionValue(BH$1,$BD164,AllTriggers)</f>
        <v>#VALUE!</v>
      </c>
      <c r="BI164" s="47" t="e">
        <f>_xll.qlPolynomialFunctionValue(BI$1,$BD164,AllTriggers)</f>
        <v>#VALUE!</v>
      </c>
      <c r="BJ164" s="47" t="e">
        <f>_xll.qlPolynomialFunctionValue(BJ$1,$BD164,AllTriggers)</f>
        <v>#VALUE!</v>
      </c>
      <c r="BK164" s="47" t="e">
        <f>_xll.qlPolynomialFunctionValue(BK$1,$BD164,AllTriggers)</f>
        <v>#VALUE!</v>
      </c>
      <c r="BL164" s="47" t="e">
        <f>_xll.qlPolynomialFunctionValue(BL$1,$BD164,AllTriggers)</f>
        <v>#VALUE!</v>
      </c>
      <c r="BM164" s="47" t="e">
        <f>_xll.qlPolynomialFunctionValue(BM$1,$BD164,AllTriggers)</f>
        <v>#VALUE!</v>
      </c>
      <c r="BN164" s="47" t="e">
        <f>_xll.qlPolynomialFunctionValue(BN$1,$BD164,AllTriggers)</f>
        <v>#VALUE!</v>
      </c>
      <c r="BO164" s="47" t="e">
        <f>_xll.qlPolynomialFunctionValue(BO$1,$BD164,AllTriggers)</f>
        <v>#VALUE!</v>
      </c>
      <c r="BP164" s="47" t="e">
        <f>_xll.qlPolynomialFunctionValue(BP$1,$BD164,AllTriggers)</f>
        <v>#VALUE!</v>
      </c>
      <c r="BQ164" s="47">
        <f>_xll.qlPolynomialFunctionValue('12MSynthDepo_used'!$P$18,BD164,AllTriggers)</f>
        <v>3.2015700172523323E-3</v>
      </c>
    </row>
    <row r="165" spans="55:69" x14ac:dyDescent="0.2">
      <c r="BC165" s="178">
        <f>_xll.qlCalendarAdvance(Calendar,BC164,"1d","mf",,Trigger)</f>
        <v>42508</v>
      </c>
      <c r="BD165" s="41">
        <f>_xll.qlDayCounterYearFraction(DayCounter,SettlementDate,BC165,,,Trigger)</f>
        <v>0.63611111111111107</v>
      </c>
      <c r="BE165" s="47" t="e">
        <f>_xll.qlPolynomialFunctionValue(BE$1,$BD165,AllTriggers)</f>
        <v>#VALUE!</v>
      </c>
      <c r="BF165" s="47" t="e">
        <f>_xll.qlPolynomialFunctionValue(BF$1,$BD165,AllTriggers)</f>
        <v>#VALUE!</v>
      </c>
      <c r="BG165" s="47" t="e">
        <f>_xll.qlPolynomialFunctionValue(BG$1,$BD165,AllTriggers)</f>
        <v>#VALUE!</v>
      </c>
      <c r="BH165" s="47" t="e">
        <f>_xll.qlPolynomialFunctionValue(BH$1,$BD165,AllTriggers)</f>
        <v>#VALUE!</v>
      </c>
      <c r="BI165" s="47" t="e">
        <f>_xll.qlPolynomialFunctionValue(BI$1,$BD165,AllTriggers)</f>
        <v>#VALUE!</v>
      </c>
      <c r="BJ165" s="47" t="e">
        <f>_xll.qlPolynomialFunctionValue(BJ$1,$BD165,AllTriggers)</f>
        <v>#VALUE!</v>
      </c>
      <c r="BK165" s="47" t="e">
        <f>_xll.qlPolynomialFunctionValue(BK$1,$BD165,AllTriggers)</f>
        <v>#VALUE!</v>
      </c>
      <c r="BL165" s="47" t="e">
        <f>_xll.qlPolynomialFunctionValue(BL$1,$BD165,AllTriggers)</f>
        <v>#VALUE!</v>
      </c>
      <c r="BM165" s="47" t="e">
        <f>_xll.qlPolynomialFunctionValue(BM$1,$BD165,AllTriggers)</f>
        <v>#VALUE!</v>
      </c>
      <c r="BN165" s="47" t="e">
        <f>_xll.qlPolynomialFunctionValue(BN$1,$BD165,AllTriggers)</f>
        <v>#VALUE!</v>
      </c>
      <c r="BO165" s="47" t="e">
        <f>_xll.qlPolynomialFunctionValue(BO$1,$BD165,AllTriggers)</f>
        <v>#VALUE!</v>
      </c>
      <c r="BP165" s="47" t="e">
        <f>_xll.qlPolynomialFunctionValue(BP$1,$BD165,AllTriggers)</f>
        <v>#VALUE!</v>
      </c>
      <c r="BQ165" s="47">
        <f>_xll.qlPolynomialFunctionValue('12MSynthDepo_used'!$P$18,BD165,AllTriggers)</f>
        <v>3.2032656372604994E-3</v>
      </c>
    </row>
    <row r="166" spans="55:69" x14ac:dyDescent="0.2">
      <c r="BC166" s="178">
        <f>_xll.qlCalendarAdvance(Calendar,BC165,"1d","mf",,Trigger)</f>
        <v>42509</v>
      </c>
      <c r="BD166" s="41">
        <f>_xll.qlDayCounterYearFraction(DayCounter,SettlementDate,BC166,,,Trigger)</f>
        <v>0.63888888888888884</v>
      </c>
      <c r="BE166" s="47" t="e">
        <f>_xll.qlPolynomialFunctionValue(BE$1,$BD166,AllTriggers)</f>
        <v>#VALUE!</v>
      </c>
      <c r="BF166" s="47" t="e">
        <f>_xll.qlPolynomialFunctionValue(BF$1,$BD166,AllTriggers)</f>
        <v>#VALUE!</v>
      </c>
      <c r="BG166" s="47" t="e">
        <f>_xll.qlPolynomialFunctionValue(BG$1,$BD166,AllTriggers)</f>
        <v>#VALUE!</v>
      </c>
      <c r="BH166" s="47" t="e">
        <f>_xll.qlPolynomialFunctionValue(BH$1,$BD166,AllTriggers)</f>
        <v>#VALUE!</v>
      </c>
      <c r="BI166" s="47" t="e">
        <f>_xll.qlPolynomialFunctionValue(BI$1,$BD166,AllTriggers)</f>
        <v>#VALUE!</v>
      </c>
      <c r="BJ166" s="47" t="e">
        <f>_xll.qlPolynomialFunctionValue(BJ$1,$BD166,AllTriggers)</f>
        <v>#VALUE!</v>
      </c>
      <c r="BK166" s="47" t="e">
        <f>_xll.qlPolynomialFunctionValue(BK$1,$BD166,AllTriggers)</f>
        <v>#VALUE!</v>
      </c>
      <c r="BL166" s="47" t="e">
        <f>_xll.qlPolynomialFunctionValue(BL$1,$BD166,AllTriggers)</f>
        <v>#VALUE!</v>
      </c>
      <c r="BM166" s="47" t="e">
        <f>_xll.qlPolynomialFunctionValue(BM$1,$BD166,AllTriggers)</f>
        <v>#VALUE!</v>
      </c>
      <c r="BN166" s="47" t="e">
        <f>_xll.qlPolynomialFunctionValue(BN$1,$BD166,AllTriggers)</f>
        <v>#VALUE!</v>
      </c>
      <c r="BO166" s="47" t="e">
        <f>_xll.qlPolynomialFunctionValue(BO$1,$BD166,AllTriggers)</f>
        <v>#VALUE!</v>
      </c>
      <c r="BP166" s="47" t="e">
        <f>_xll.qlPolynomialFunctionValue(BP$1,$BD166,AllTriggers)</f>
        <v>#VALUE!</v>
      </c>
      <c r="BQ166" s="47">
        <f>_xll.qlPolynomialFunctionValue('12MSynthDepo_used'!$P$18,BD166,AllTriggers)</f>
        <v>3.2049617263753597E-3</v>
      </c>
    </row>
    <row r="167" spans="55:69" x14ac:dyDescent="0.2">
      <c r="BC167" s="178">
        <f>_xll.qlCalendarAdvance(Calendar,BC166,"1d","mf",,Trigger)</f>
        <v>42510</v>
      </c>
      <c r="BD167" s="41">
        <f>_xll.qlDayCounterYearFraction(DayCounter,SettlementDate,BC167,,,Trigger)</f>
        <v>0.64166666666666672</v>
      </c>
      <c r="BE167" s="47" t="e">
        <f>_xll.qlPolynomialFunctionValue(BE$1,$BD167,AllTriggers)</f>
        <v>#VALUE!</v>
      </c>
      <c r="BF167" s="47" t="e">
        <f>_xll.qlPolynomialFunctionValue(BF$1,$BD167,AllTriggers)</f>
        <v>#VALUE!</v>
      </c>
      <c r="BG167" s="47" t="e">
        <f>_xll.qlPolynomialFunctionValue(BG$1,$BD167,AllTriggers)</f>
        <v>#VALUE!</v>
      </c>
      <c r="BH167" s="47" t="e">
        <f>_xll.qlPolynomialFunctionValue(BH$1,$BD167,AllTriggers)</f>
        <v>#VALUE!</v>
      </c>
      <c r="BI167" s="47" t="e">
        <f>_xll.qlPolynomialFunctionValue(BI$1,$BD167,AllTriggers)</f>
        <v>#VALUE!</v>
      </c>
      <c r="BJ167" s="47" t="e">
        <f>_xll.qlPolynomialFunctionValue(BJ$1,$BD167,AllTriggers)</f>
        <v>#VALUE!</v>
      </c>
      <c r="BK167" s="47" t="e">
        <f>_xll.qlPolynomialFunctionValue(BK$1,$BD167,AllTriggers)</f>
        <v>#VALUE!</v>
      </c>
      <c r="BL167" s="47" t="e">
        <f>_xll.qlPolynomialFunctionValue(BL$1,$BD167,AllTriggers)</f>
        <v>#VALUE!</v>
      </c>
      <c r="BM167" s="47" t="e">
        <f>_xll.qlPolynomialFunctionValue(BM$1,$BD167,AllTriggers)</f>
        <v>#VALUE!</v>
      </c>
      <c r="BN167" s="47" t="e">
        <f>_xll.qlPolynomialFunctionValue(BN$1,$BD167,AllTriggers)</f>
        <v>#VALUE!</v>
      </c>
      <c r="BO167" s="47" t="e">
        <f>_xll.qlPolynomialFunctionValue(BO$1,$BD167,AllTriggers)</f>
        <v>#VALUE!</v>
      </c>
      <c r="BP167" s="47" t="e">
        <f>_xll.qlPolynomialFunctionValue(BP$1,$BD167,AllTriggers)</f>
        <v>#VALUE!</v>
      </c>
      <c r="BQ167" s="47">
        <f>_xll.qlPolynomialFunctionValue('12MSynthDepo_used'!$P$18,BD167,AllTriggers)</f>
        <v>3.2066582793468506E-3</v>
      </c>
    </row>
    <row r="168" spans="55:69" x14ac:dyDescent="0.2">
      <c r="BC168" s="178">
        <f>_xll.qlCalendarAdvance(Calendar,BC167,"1d","mf",,Trigger)</f>
        <v>42513</v>
      </c>
      <c r="BD168" s="41">
        <f>_xll.qlDayCounterYearFraction(DayCounter,SettlementDate,BC168,,,Trigger)</f>
        <v>0.65</v>
      </c>
      <c r="BE168" s="47" t="e">
        <f>_xll.qlPolynomialFunctionValue(BE$1,$BD168,AllTriggers)</f>
        <v>#VALUE!</v>
      </c>
      <c r="BF168" s="47" t="e">
        <f>_xll.qlPolynomialFunctionValue(BF$1,$BD168,AllTriggers)</f>
        <v>#VALUE!</v>
      </c>
      <c r="BG168" s="47" t="e">
        <f>_xll.qlPolynomialFunctionValue(BG$1,$BD168,AllTriggers)</f>
        <v>#VALUE!</v>
      </c>
      <c r="BH168" s="47" t="e">
        <f>_xll.qlPolynomialFunctionValue(BH$1,$BD168,AllTriggers)</f>
        <v>#VALUE!</v>
      </c>
      <c r="BI168" s="47" t="e">
        <f>_xll.qlPolynomialFunctionValue(BI$1,$BD168,AllTriggers)</f>
        <v>#VALUE!</v>
      </c>
      <c r="BJ168" s="47" t="e">
        <f>_xll.qlPolynomialFunctionValue(BJ$1,$BD168,AllTriggers)</f>
        <v>#VALUE!</v>
      </c>
      <c r="BK168" s="47" t="e">
        <f>_xll.qlPolynomialFunctionValue(BK$1,$BD168,AllTriggers)</f>
        <v>#VALUE!</v>
      </c>
      <c r="BL168" s="47" t="e">
        <f>_xll.qlPolynomialFunctionValue(BL$1,$BD168,AllTriggers)</f>
        <v>#VALUE!</v>
      </c>
      <c r="BM168" s="47" t="e">
        <f>_xll.qlPolynomialFunctionValue(BM$1,$BD168,AllTriggers)</f>
        <v>#VALUE!</v>
      </c>
      <c r="BN168" s="47" t="e">
        <f>_xll.qlPolynomialFunctionValue(BN$1,$BD168,AllTriggers)</f>
        <v>#VALUE!</v>
      </c>
      <c r="BO168" s="47" t="e">
        <f>_xll.qlPolynomialFunctionValue(BO$1,$BD168,AllTriggers)</f>
        <v>#VALUE!</v>
      </c>
      <c r="BP168" s="47" t="e">
        <f>_xll.qlPolynomialFunctionValue(BP$1,$BD168,AllTriggers)</f>
        <v>#VALUE!</v>
      </c>
      <c r="BQ168" s="47">
        <f>_xll.qlPolynomialFunctionValue('12MSynthDepo_used'!$P$18,BD168,AllTriggers)</f>
        <v>3.2117506689004656E-3</v>
      </c>
    </row>
    <row r="169" spans="55:69" x14ac:dyDescent="0.2">
      <c r="BC169" s="178">
        <f>_xll.qlCalendarAdvance(Calendar,BC168,"1d","mf",,Trigger)</f>
        <v>42514</v>
      </c>
      <c r="BD169" s="41">
        <f>_xll.qlDayCounterYearFraction(DayCounter,SettlementDate,BC169,,,Trigger)</f>
        <v>0.65277777777777779</v>
      </c>
      <c r="BE169" s="47" t="e">
        <f>_xll.qlPolynomialFunctionValue(BE$1,$BD169,AllTriggers)</f>
        <v>#VALUE!</v>
      </c>
      <c r="BF169" s="47" t="e">
        <f>_xll.qlPolynomialFunctionValue(BF$1,$BD169,AllTriggers)</f>
        <v>#VALUE!</v>
      </c>
      <c r="BG169" s="47" t="e">
        <f>_xll.qlPolynomialFunctionValue(BG$1,$BD169,AllTriggers)</f>
        <v>#VALUE!</v>
      </c>
      <c r="BH169" s="47" t="e">
        <f>_xll.qlPolynomialFunctionValue(BH$1,$BD169,AllTriggers)</f>
        <v>#VALUE!</v>
      </c>
      <c r="BI169" s="47" t="e">
        <f>_xll.qlPolynomialFunctionValue(BI$1,$BD169,AllTriggers)</f>
        <v>#VALUE!</v>
      </c>
      <c r="BJ169" s="47" t="e">
        <f>_xll.qlPolynomialFunctionValue(BJ$1,$BD169,AllTriggers)</f>
        <v>#VALUE!</v>
      </c>
      <c r="BK169" s="47" t="e">
        <f>_xll.qlPolynomialFunctionValue(BK$1,$BD169,AllTriggers)</f>
        <v>#VALUE!</v>
      </c>
      <c r="BL169" s="47" t="e">
        <f>_xll.qlPolynomialFunctionValue(BL$1,$BD169,AllTriggers)</f>
        <v>#VALUE!</v>
      </c>
      <c r="BM169" s="47" t="e">
        <f>_xll.qlPolynomialFunctionValue(BM$1,$BD169,AllTriggers)</f>
        <v>#VALUE!</v>
      </c>
      <c r="BN169" s="47" t="e">
        <f>_xll.qlPolynomialFunctionValue(BN$1,$BD169,AllTriggers)</f>
        <v>#VALUE!</v>
      </c>
      <c r="BO169" s="47" t="e">
        <f>_xll.qlPolynomialFunctionValue(BO$1,$BD169,AllTriggers)</f>
        <v>#VALUE!</v>
      </c>
      <c r="BP169" s="47" t="e">
        <f>_xll.qlPolynomialFunctionValue(BP$1,$BD169,AllTriggers)</f>
        <v>#VALUE!</v>
      </c>
      <c r="BQ169" s="47">
        <f>_xll.qlPolynomialFunctionValue('12MSynthDepo_used'!$P$18,BD169,AllTriggers)</f>
        <v>3.2134490247978393E-3</v>
      </c>
    </row>
    <row r="170" spans="55:69" x14ac:dyDescent="0.2">
      <c r="BC170" s="178">
        <f>_xll.qlCalendarAdvance(Calendar,BC169,"1d","mf",,Trigger)</f>
        <v>42515</v>
      </c>
      <c r="BD170" s="41">
        <f>_xll.qlDayCounterYearFraction(DayCounter,SettlementDate,BC170,,,Trigger)</f>
        <v>0.65555555555555556</v>
      </c>
      <c r="BE170" s="47" t="e">
        <f>_xll.qlPolynomialFunctionValue(BE$1,$BD170,AllTriggers)</f>
        <v>#VALUE!</v>
      </c>
      <c r="BF170" s="47" t="e">
        <f>_xll.qlPolynomialFunctionValue(BF$1,$BD170,AllTriggers)</f>
        <v>#VALUE!</v>
      </c>
      <c r="BG170" s="47" t="e">
        <f>_xll.qlPolynomialFunctionValue(BG$1,$BD170,AllTriggers)</f>
        <v>#VALUE!</v>
      </c>
      <c r="BH170" s="47" t="e">
        <f>_xll.qlPolynomialFunctionValue(BH$1,$BD170,AllTriggers)</f>
        <v>#VALUE!</v>
      </c>
      <c r="BI170" s="47" t="e">
        <f>_xll.qlPolynomialFunctionValue(BI$1,$BD170,AllTriggers)</f>
        <v>#VALUE!</v>
      </c>
      <c r="BJ170" s="47" t="e">
        <f>_xll.qlPolynomialFunctionValue(BJ$1,$BD170,AllTriggers)</f>
        <v>#VALUE!</v>
      </c>
      <c r="BK170" s="47" t="e">
        <f>_xll.qlPolynomialFunctionValue(BK$1,$BD170,AllTriggers)</f>
        <v>#VALUE!</v>
      </c>
      <c r="BL170" s="47" t="e">
        <f>_xll.qlPolynomialFunctionValue(BL$1,$BD170,AllTriggers)</f>
        <v>#VALUE!</v>
      </c>
      <c r="BM170" s="47" t="e">
        <f>_xll.qlPolynomialFunctionValue(BM$1,$BD170,AllTriggers)</f>
        <v>#VALUE!</v>
      </c>
      <c r="BN170" s="47" t="e">
        <f>_xll.qlPolynomialFunctionValue(BN$1,$BD170,AllTriggers)</f>
        <v>#VALUE!</v>
      </c>
      <c r="BO170" s="47" t="e">
        <f>_xll.qlPolynomialFunctionValue(BO$1,$BD170,AllTriggers)</f>
        <v>#VALUE!</v>
      </c>
      <c r="BP170" s="47" t="e">
        <f>_xll.qlPolynomialFunctionValue(BP$1,$BD170,AllTriggers)</f>
        <v>#VALUE!</v>
      </c>
      <c r="BQ170" s="47">
        <f>_xll.qlPolynomialFunctionValue('12MSynthDepo_used'!$P$18,BD170,AllTriggers)</f>
        <v>3.2151478183015253E-3</v>
      </c>
    </row>
    <row r="171" spans="55:69" x14ac:dyDescent="0.2">
      <c r="BC171" s="178">
        <f>_xll.qlCalendarAdvance(Calendar,BC170,"1d","mf",,Trigger)</f>
        <v>42516</v>
      </c>
      <c r="BD171" s="41">
        <f>_xll.qlDayCounterYearFraction(DayCounter,SettlementDate,BC171,,,Trigger)</f>
        <v>0.65833333333333333</v>
      </c>
      <c r="BE171" s="47" t="e">
        <f>_xll.qlPolynomialFunctionValue(BE$1,$BD171,AllTriggers)</f>
        <v>#VALUE!</v>
      </c>
      <c r="BF171" s="47" t="e">
        <f>_xll.qlPolynomialFunctionValue(BF$1,$BD171,AllTriggers)</f>
        <v>#VALUE!</v>
      </c>
      <c r="BG171" s="47" t="e">
        <f>_xll.qlPolynomialFunctionValue(BG$1,$BD171,AllTriggers)</f>
        <v>#VALUE!</v>
      </c>
      <c r="BH171" s="47" t="e">
        <f>_xll.qlPolynomialFunctionValue(BH$1,$BD171,AllTriggers)</f>
        <v>#VALUE!</v>
      </c>
      <c r="BI171" s="47" t="e">
        <f>_xll.qlPolynomialFunctionValue(BI$1,$BD171,AllTriggers)</f>
        <v>#VALUE!</v>
      </c>
      <c r="BJ171" s="47" t="e">
        <f>_xll.qlPolynomialFunctionValue(BJ$1,$BD171,AllTriggers)</f>
        <v>#VALUE!</v>
      </c>
      <c r="BK171" s="47" t="e">
        <f>_xll.qlPolynomialFunctionValue(BK$1,$BD171,AllTriggers)</f>
        <v>#VALUE!</v>
      </c>
      <c r="BL171" s="47" t="e">
        <f>_xll.qlPolynomialFunctionValue(BL$1,$BD171,AllTriggers)</f>
        <v>#VALUE!</v>
      </c>
      <c r="BM171" s="47" t="e">
        <f>_xll.qlPolynomialFunctionValue(BM$1,$BD171,AllTriggers)</f>
        <v>#VALUE!</v>
      </c>
      <c r="BN171" s="47" t="e">
        <f>_xll.qlPolynomialFunctionValue(BN$1,$BD171,AllTriggers)</f>
        <v>#VALUE!</v>
      </c>
      <c r="BO171" s="47" t="e">
        <f>_xll.qlPolynomialFunctionValue(BO$1,$BD171,AllTriggers)</f>
        <v>#VALUE!</v>
      </c>
      <c r="BP171" s="47" t="e">
        <f>_xll.qlPolynomialFunctionValue(BP$1,$BD171,AllTriggers)</f>
        <v>#VALUE!</v>
      </c>
      <c r="BQ171" s="47">
        <f>_xll.qlPolynomialFunctionValue('12MSynthDepo_used'!$P$18,BD171,AllTriggers)</f>
        <v>3.2168470441614589E-3</v>
      </c>
    </row>
    <row r="172" spans="55:69" x14ac:dyDescent="0.2">
      <c r="BC172" s="178">
        <f>_xll.qlCalendarAdvance(Calendar,BC171,"1d","mf",,Trigger)</f>
        <v>42517</v>
      </c>
      <c r="BD172" s="41">
        <f>_xll.qlDayCounterYearFraction(DayCounter,SettlementDate,BC172,,,Trigger)</f>
        <v>0.66111111111111109</v>
      </c>
      <c r="BE172" s="47" t="e">
        <f>_xll.qlPolynomialFunctionValue(BE$1,$BD172,AllTriggers)</f>
        <v>#VALUE!</v>
      </c>
      <c r="BF172" s="47" t="e">
        <f>_xll.qlPolynomialFunctionValue(BF$1,$BD172,AllTriggers)</f>
        <v>#VALUE!</v>
      </c>
      <c r="BG172" s="47" t="e">
        <f>_xll.qlPolynomialFunctionValue(BG$1,$BD172,AllTriggers)</f>
        <v>#VALUE!</v>
      </c>
      <c r="BH172" s="47" t="e">
        <f>_xll.qlPolynomialFunctionValue(BH$1,$BD172,AllTriggers)</f>
        <v>#VALUE!</v>
      </c>
      <c r="BI172" s="47" t="e">
        <f>_xll.qlPolynomialFunctionValue(BI$1,$BD172,AllTriggers)</f>
        <v>#VALUE!</v>
      </c>
      <c r="BJ172" s="47" t="e">
        <f>_xll.qlPolynomialFunctionValue(BJ$1,$BD172,AllTriggers)</f>
        <v>#VALUE!</v>
      </c>
      <c r="BK172" s="47" t="e">
        <f>_xll.qlPolynomialFunctionValue(BK$1,$BD172,AllTriggers)</f>
        <v>#VALUE!</v>
      </c>
      <c r="BL172" s="47" t="e">
        <f>_xll.qlPolynomialFunctionValue(BL$1,$BD172,AllTriggers)</f>
        <v>#VALUE!</v>
      </c>
      <c r="BM172" s="47" t="e">
        <f>_xll.qlPolynomialFunctionValue(BM$1,$BD172,AllTriggers)</f>
        <v>#VALUE!</v>
      </c>
      <c r="BN172" s="47" t="e">
        <f>_xll.qlPolynomialFunctionValue(BN$1,$BD172,AllTriggers)</f>
        <v>#VALUE!</v>
      </c>
      <c r="BO172" s="47" t="e">
        <f>_xll.qlPolynomialFunctionValue(BO$1,$BD172,AllTriggers)</f>
        <v>#VALUE!</v>
      </c>
      <c r="BP172" s="47" t="e">
        <f>_xll.qlPolynomialFunctionValue(BP$1,$BD172,AllTriggers)</f>
        <v>#VALUE!</v>
      </c>
      <c r="BQ172" s="47">
        <f>_xll.qlPolynomialFunctionValue('12MSynthDepo_used'!$P$18,BD172,AllTriggers)</f>
        <v>3.2185466971275775E-3</v>
      </c>
    </row>
    <row r="173" spans="55:69" x14ac:dyDescent="0.2">
      <c r="BC173" s="178">
        <f>_xll.qlCalendarAdvance(Calendar,BC172,"1d","mf",,Trigger)</f>
        <v>42520</v>
      </c>
      <c r="BD173" s="41">
        <f>_xll.qlDayCounterYearFraction(DayCounter,SettlementDate,BC173,,,Trigger)</f>
        <v>0.6694444444444444</v>
      </c>
      <c r="BE173" s="47" t="e">
        <f>_xll.qlPolynomialFunctionValue(BE$1,$BD173,AllTriggers)</f>
        <v>#VALUE!</v>
      </c>
      <c r="BF173" s="47" t="e">
        <f>_xll.qlPolynomialFunctionValue(BF$1,$BD173,AllTriggers)</f>
        <v>#VALUE!</v>
      </c>
      <c r="BG173" s="47" t="e">
        <f>_xll.qlPolynomialFunctionValue(BG$1,$BD173,AllTriggers)</f>
        <v>#VALUE!</v>
      </c>
      <c r="BH173" s="47" t="e">
        <f>_xll.qlPolynomialFunctionValue(BH$1,$BD173,AllTriggers)</f>
        <v>#VALUE!</v>
      </c>
      <c r="BI173" s="47" t="e">
        <f>_xll.qlPolynomialFunctionValue(BI$1,$BD173,AllTriggers)</f>
        <v>#VALUE!</v>
      </c>
      <c r="BJ173" s="47" t="e">
        <f>_xll.qlPolynomialFunctionValue(BJ$1,$BD173,AllTriggers)</f>
        <v>#VALUE!</v>
      </c>
      <c r="BK173" s="47" t="e">
        <f>_xll.qlPolynomialFunctionValue(BK$1,$BD173,AllTriggers)</f>
        <v>#VALUE!</v>
      </c>
      <c r="BL173" s="47" t="e">
        <f>_xll.qlPolynomialFunctionValue(BL$1,$BD173,AllTriggers)</f>
        <v>#VALUE!</v>
      </c>
      <c r="BM173" s="47" t="e">
        <f>_xll.qlPolynomialFunctionValue(BM$1,$BD173,AllTriggers)</f>
        <v>#VALUE!</v>
      </c>
      <c r="BN173" s="47" t="e">
        <f>_xll.qlPolynomialFunctionValue(BN$1,$BD173,AllTriggers)</f>
        <v>#VALUE!</v>
      </c>
      <c r="BO173" s="47" t="e">
        <f>_xll.qlPolynomialFunctionValue(BO$1,$BD173,AllTriggers)</f>
        <v>#VALUE!</v>
      </c>
      <c r="BP173" s="47" t="e">
        <f>_xll.qlPolynomialFunctionValue(BP$1,$BD173,AllTriggers)</f>
        <v>#VALUE!</v>
      </c>
      <c r="BQ173" s="47">
        <f>_xll.qlPolynomialFunctionValue('12MSynthDepo_used'!$P$18,BD173,AllTriggers)</f>
        <v>3.2236481661624028E-3</v>
      </c>
    </row>
    <row r="174" spans="55:69" x14ac:dyDescent="0.2">
      <c r="BC174" s="178">
        <f>_xll.qlCalendarAdvance(Calendar,BC173,"1d","mf",,Trigger)</f>
        <v>42521</v>
      </c>
      <c r="BD174" s="41">
        <f>_xll.qlDayCounterYearFraction(DayCounter,SettlementDate,BC174,,,Trigger)</f>
        <v>0.67222222222222228</v>
      </c>
      <c r="BE174" s="47" t="e">
        <f>_xll.qlPolynomialFunctionValue(BE$1,$BD174,AllTriggers)</f>
        <v>#VALUE!</v>
      </c>
      <c r="BF174" s="47" t="e">
        <f>_xll.qlPolynomialFunctionValue(BF$1,$BD174,AllTriggers)</f>
        <v>#VALUE!</v>
      </c>
      <c r="BG174" s="47" t="e">
        <f>_xll.qlPolynomialFunctionValue(BG$1,$BD174,AllTriggers)</f>
        <v>#VALUE!</v>
      </c>
      <c r="BH174" s="47" t="e">
        <f>_xll.qlPolynomialFunctionValue(BH$1,$BD174,AllTriggers)</f>
        <v>#VALUE!</v>
      </c>
      <c r="BI174" s="47" t="e">
        <f>_xll.qlPolynomialFunctionValue(BI$1,$BD174,AllTriggers)</f>
        <v>#VALUE!</v>
      </c>
      <c r="BJ174" s="47" t="e">
        <f>_xll.qlPolynomialFunctionValue(BJ$1,$BD174,AllTriggers)</f>
        <v>#VALUE!</v>
      </c>
      <c r="BK174" s="47" t="e">
        <f>_xll.qlPolynomialFunctionValue(BK$1,$BD174,AllTriggers)</f>
        <v>#VALUE!</v>
      </c>
      <c r="BL174" s="47" t="e">
        <f>_xll.qlPolynomialFunctionValue(BL$1,$BD174,AllTriggers)</f>
        <v>#VALUE!</v>
      </c>
      <c r="BM174" s="47" t="e">
        <f>_xll.qlPolynomialFunctionValue(BM$1,$BD174,AllTriggers)</f>
        <v>#VALUE!</v>
      </c>
      <c r="BN174" s="47" t="e">
        <f>_xll.qlPolynomialFunctionValue(BN$1,$BD174,AllTriggers)</f>
        <v>#VALUE!</v>
      </c>
      <c r="BO174" s="47" t="e">
        <f>_xll.qlPolynomialFunctionValue(BO$1,$BD174,AllTriggers)</f>
        <v>#VALUE!</v>
      </c>
      <c r="BP174" s="47" t="e">
        <f>_xll.qlPolynomialFunctionValue(BP$1,$BD174,AllTriggers)</f>
        <v>#VALUE!</v>
      </c>
      <c r="BQ174" s="47">
        <f>_xll.qlPolynomialFunctionValue('12MSynthDepo_used'!$P$18,BD174,AllTriggers)</f>
        <v>3.225349475052622E-3</v>
      </c>
    </row>
    <row r="175" spans="55:69" x14ac:dyDescent="0.2">
      <c r="BC175" s="178">
        <f>_xll.qlCalendarAdvance(Calendar,BC174,"1d","mf",,Trigger)</f>
        <v>42522</v>
      </c>
      <c r="BD175" s="41">
        <f>_xll.qlDayCounterYearFraction(DayCounter,SettlementDate,BC175,,,Trigger)</f>
        <v>0.67500000000000004</v>
      </c>
      <c r="BE175" s="47" t="e">
        <f>_xll.qlPolynomialFunctionValue(BE$1,$BD175,AllTriggers)</f>
        <v>#VALUE!</v>
      </c>
      <c r="BF175" s="47" t="e">
        <f>_xll.qlPolynomialFunctionValue(BF$1,$BD175,AllTriggers)</f>
        <v>#VALUE!</v>
      </c>
      <c r="BG175" s="47" t="e">
        <f>_xll.qlPolynomialFunctionValue(BG$1,$BD175,AllTriggers)</f>
        <v>#VALUE!</v>
      </c>
      <c r="BH175" s="47" t="e">
        <f>_xll.qlPolynomialFunctionValue(BH$1,$BD175,AllTriggers)</f>
        <v>#VALUE!</v>
      </c>
      <c r="BI175" s="47" t="e">
        <f>_xll.qlPolynomialFunctionValue(BI$1,$BD175,AllTriggers)</f>
        <v>#VALUE!</v>
      </c>
      <c r="BJ175" s="47" t="e">
        <f>_xll.qlPolynomialFunctionValue(BJ$1,$BD175,AllTriggers)</f>
        <v>#VALUE!</v>
      </c>
      <c r="BK175" s="47" t="e">
        <f>_xll.qlPolynomialFunctionValue(BK$1,$BD175,AllTriggers)</f>
        <v>#VALUE!</v>
      </c>
      <c r="BL175" s="47" t="e">
        <f>_xll.qlPolynomialFunctionValue(BL$1,$BD175,AllTriggers)</f>
        <v>#VALUE!</v>
      </c>
      <c r="BM175" s="47" t="e">
        <f>_xll.qlPolynomialFunctionValue(BM$1,$BD175,AllTriggers)</f>
        <v>#VALUE!</v>
      </c>
      <c r="BN175" s="47" t="e">
        <f>_xll.qlPolynomialFunctionValue(BN$1,$BD175,AllTriggers)</f>
        <v>#VALUE!</v>
      </c>
      <c r="BO175" s="47" t="e">
        <f>_xll.qlPolynomialFunctionValue(BO$1,$BD175,AllTriggers)</f>
        <v>#VALUE!</v>
      </c>
      <c r="BP175" s="47" t="e">
        <f>_xll.qlPolynomialFunctionValue(BP$1,$BD175,AllTriggers)</f>
        <v>#VALUE!</v>
      </c>
      <c r="BQ175" s="47">
        <f>_xll.qlPolynomialFunctionValue('12MSynthDepo_used'!$P$18,BD175,AllTriggers)</f>
        <v>3.2270511847987079E-3</v>
      </c>
    </row>
    <row r="176" spans="55:69" x14ac:dyDescent="0.2">
      <c r="BC176" s="178">
        <f>_xll.qlCalendarAdvance(Calendar,BC175,"1d","mf",,Trigger)</f>
        <v>42523</v>
      </c>
      <c r="BD176" s="41">
        <f>_xll.qlDayCounterYearFraction(DayCounter,SettlementDate,BC176,,,Trigger)</f>
        <v>0.67777777777777781</v>
      </c>
      <c r="BE176" s="47" t="e">
        <f>_xll.qlPolynomialFunctionValue(BE$1,$BD176,AllTriggers)</f>
        <v>#VALUE!</v>
      </c>
      <c r="BF176" s="47" t="e">
        <f>_xll.qlPolynomialFunctionValue(BF$1,$BD176,AllTriggers)</f>
        <v>#VALUE!</v>
      </c>
      <c r="BG176" s="47" t="e">
        <f>_xll.qlPolynomialFunctionValue(BG$1,$BD176,AllTriggers)</f>
        <v>#VALUE!</v>
      </c>
      <c r="BH176" s="47" t="e">
        <f>_xll.qlPolynomialFunctionValue(BH$1,$BD176,AllTriggers)</f>
        <v>#VALUE!</v>
      </c>
      <c r="BI176" s="47" t="e">
        <f>_xll.qlPolynomialFunctionValue(BI$1,$BD176,AllTriggers)</f>
        <v>#VALUE!</v>
      </c>
      <c r="BJ176" s="47" t="e">
        <f>_xll.qlPolynomialFunctionValue(BJ$1,$BD176,AllTriggers)</f>
        <v>#VALUE!</v>
      </c>
      <c r="BK176" s="47" t="e">
        <f>_xll.qlPolynomialFunctionValue(BK$1,$BD176,AllTriggers)</f>
        <v>#VALUE!</v>
      </c>
      <c r="BL176" s="47" t="e">
        <f>_xll.qlPolynomialFunctionValue(BL$1,$BD176,AllTriggers)</f>
        <v>#VALUE!</v>
      </c>
      <c r="BM176" s="47" t="e">
        <f>_xll.qlPolynomialFunctionValue(BM$1,$BD176,AllTriggers)</f>
        <v>#VALUE!</v>
      </c>
      <c r="BN176" s="47" t="e">
        <f>_xll.qlPolynomialFunctionValue(BN$1,$BD176,AllTriggers)</f>
        <v>#VALUE!</v>
      </c>
      <c r="BO176" s="47" t="e">
        <f>_xll.qlPolynomialFunctionValue(BO$1,$BD176,AllTriggers)</f>
        <v>#VALUE!</v>
      </c>
      <c r="BP176" s="47" t="e">
        <f>_xll.qlPolynomialFunctionValue(BP$1,$BD176,AllTriggers)</f>
        <v>#VALUE!</v>
      </c>
      <c r="BQ176" s="47">
        <f>_xll.qlPolynomialFunctionValue('12MSynthDepo_used'!$P$18,BD176,AllTriggers)</f>
        <v>3.2287532901505958E-3</v>
      </c>
    </row>
    <row r="177" spans="55:69" x14ac:dyDescent="0.2">
      <c r="BC177" s="178">
        <f>_xll.qlCalendarAdvance(Calendar,BC176,"1d","mf",,Trigger)</f>
        <v>42524</v>
      </c>
      <c r="BD177" s="41">
        <f>_xll.qlDayCounterYearFraction(DayCounter,SettlementDate,BC177,,,Trigger)</f>
        <v>0.68055555555555558</v>
      </c>
      <c r="BE177" s="47" t="e">
        <f>_xll.qlPolynomialFunctionValue(BE$1,$BD177,AllTriggers)</f>
        <v>#VALUE!</v>
      </c>
      <c r="BF177" s="47" t="e">
        <f>_xll.qlPolynomialFunctionValue(BF$1,$BD177,AllTriggers)</f>
        <v>#VALUE!</v>
      </c>
      <c r="BG177" s="47" t="e">
        <f>_xll.qlPolynomialFunctionValue(BG$1,$BD177,AllTriggers)</f>
        <v>#VALUE!</v>
      </c>
      <c r="BH177" s="47" t="e">
        <f>_xll.qlPolynomialFunctionValue(BH$1,$BD177,AllTriggers)</f>
        <v>#VALUE!</v>
      </c>
      <c r="BI177" s="47" t="e">
        <f>_xll.qlPolynomialFunctionValue(BI$1,$BD177,AllTriggers)</f>
        <v>#VALUE!</v>
      </c>
      <c r="BJ177" s="47" t="e">
        <f>_xll.qlPolynomialFunctionValue(BJ$1,$BD177,AllTriggers)</f>
        <v>#VALUE!</v>
      </c>
      <c r="BK177" s="47" t="e">
        <f>_xll.qlPolynomialFunctionValue(BK$1,$BD177,AllTriggers)</f>
        <v>#VALUE!</v>
      </c>
      <c r="BL177" s="47" t="e">
        <f>_xll.qlPolynomialFunctionValue(BL$1,$BD177,AllTriggers)</f>
        <v>#VALUE!</v>
      </c>
      <c r="BM177" s="47" t="e">
        <f>_xll.qlPolynomialFunctionValue(BM$1,$BD177,AllTriggers)</f>
        <v>#VALUE!</v>
      </c>
      <c r="BN177" s="47" t="e">
        <f>_xll.qlPolynomialFunctionValue(BN$1,$BD177,AllTriggers)</f>
        <v>#VALUE!</v>
      </c>
      <c r="BO177" s="47" t="e">
        <f>_xll.qlPolynomialFunctionValue(BO$1,$BD177,AllTriggers)</f>
        <v>#VALUE!</v>
      </c>
      <c r="BP177" s="47" t="e">
        <f>_xll.qlPolynomialFunctionValue(BP$1,$BD177,AllTriggers)</f>
        <v>#VALUE!</v>
      </c>
      <c r="BQ177" s="47">
        <f>_xll.qlPolynomialFunctionValue('12MSynthDepo_used'!$P$18,BD177,AllTriggers)</f>
        <v>3.2304557858582228E-3</v>
      </c>
    </row>
    <row r="178" spans="55:69" x14ac:dyDescent="0.2">
      <c r="BC178" s="178">
        <f>_xll.qlCalendarAdvance(Calendar,BC177,"1d","mf",,Trigger)</f>
        <v>42527</v>
      </c>
      <c r="BD178" s="41">
        <f>_xll.qlDayCounterYearFraction(DayCounter,SettlementDate,BC178,,,Trigger)</f>
        <v>0.68888888888888888</v>
      </c>
      <c r="BE178" s="47" t="e">
        <f>_xll.qlPolynomialFunctionValue(BE$1,$BD178,AllTriggers)</f>
        <v>#VALUE!</v>
      </c>
      <c r="BF178" s="47" t="e">
        <f>_xll.qlPolynomialFunctionValue(BF$1,$BD178,AllTriggers)</f>
        <v>#VALUE!</v>
      </c>
      <c r="BG178" s="47" t="e">
        <f>_xll.qlPolynomialFunctionValue(BG$1,$BD178,AllTriggers)</f>
        <v>#VALUE!</v>
      </c>
      <c r="BH178" s="47" t="e">
        <f>_xll.qlPolynomialFunctionValue(BH$1,$BD178,AllTriggers)</f>
        <v>#VALUE!</v>
      </c>
      <c r="BI178" s="47" t="e">
        <f>_xll.qlPolynomialFunctionValue(BI$1,$BD178,AllTriggers)</f>
        <v>#VALUE!</v>
      </c>
      <c r="BJ178" s="47" t="e">
        <f>_xll.qlPolynomialFunctionValue(BJ$1,$BD178,AllTriggers)</f>
        <v>#VALUE!</v>
      </c>
      <c r="BK178" s="47" t="e">
        <f>_xll.qlPolynomialFunctionValue(BK$1,$BD178,AllTriggers)</f>
        <v>#VALUE!</v>
      </c>
      <c r="BL178" s="47" t="e">
        <f>_xll.qlPolynomialFunctionValue(BL$1,$BD178,AllTriggers)</f>
        <v>#VALUE!</v>
      </c>
      <c r="BM178" s="47" t="e">
        <f>_xll.qlPolynomialFunctionValue(BM$1,$BD178,AllTriggers)</f>
        <v>#VALUE!</v>
      </c>
      <c r="BN178" s="47" t="e">
        <f>_xll.qlPolynomialFunctionValue(BN$1,$BD178,AllTriggers)</f>
        <v>#VALUE!</v>
      </c>
      <c r="BO178" s="47" t="e">
        <f>_xll.qlPolynomialFunctionValue(BO$1,$BD178,AllTriggers)</f>
        <v>#VALUE!</v>
      </c>
      <c r="BP178" s="47" t="e">
        <f>_xll.qlPolynomialFunctionValue(BP$1,$BD178,AllTriggers)</f>
        <v>#VALUE!</v>
      </c>
      <c r="BQ178" s="47">
        <f>_xll.qlPolynomialFunctionValue('12MSynthDepo_used'!$P$18,BD178,AllTriggers)</f>
        <v>3.2355655626149001E-3</v>
      </c>
    </row>
    <row r="179" spans="55:69" x14ac:dyDescent="0.2">
      <c r="BC179" s="178">
        <f>_xll.qlCalendarAdvance(Calendar,BC178,"1d","mf",,Trigger)</f>
        <v>42528</v>
      </c>
      <c r="BD179" s="41">
        <f>_xll.qlDayCounterYearFraction(DayCounter,SettlementDate,BC179,,,Trigger)</f>
        <v>0.69166666666666665</v>
      </c>
      <c r="BE179" s="47" t="e">
        <f>_xll.qlPolynomialFunctionValue(BE$1,$BD179,AllTriggers)</f>
        <v>#VALUE!</v>
      </c>
      <c r="BF179" s="47" t="e">
        <f>_xll.qlPolynomialFunctionValue(BF$1,$BD179,AllTriggers)</f>
        <v>#VALUE!</v>
      </c>
      <c r="BG179" s="47" t="e">
        <f>_xll.qlPolynomialFunctionValue(BG$1,$BD179,AllTriggers)</f>
        <v>#VALUE!</v>
      </c>
      <c r="BH179" s="47" t="e">
        <f>_xll.qlPolynomialFunctionValue(BH$1,$BD179,AllTriggers)</f>
        <v>#VALUE!</v>
      </c>
      <c r="BI179" s="47" t="e">
        <f>_xll.qlPolynomialFunctionValue(BI$1,$BD179,AllTriggers)</f>
        <v>#VALUE!</v>
      </c>
      <c r="BJ179" s="47" t="e">
        <f>_xll.qlPolynomialFunctionValue(BJ$1,$BD179,AllTriggers)</f>
        <v>#VALUE!</v>
      </c>
      <c r="BK179" s="47" t="e">
        <f>_xll.qlPolynomialFunctionValue(BK$1,$BD179,AllTriggers)</f>
        <v>#VALUE!</v>
      </c>
      <c r="BL179" s="47" t="e">
        <f>_xll.qlPolynomialFunctionValue(BL$1,$BD179,AllTriggers)</f>
        <v>#VALUE!</v>
      </c>
      <c r="BM179" s="47" t="e">
        <f>_xll.qlPolynomialFunctionValue(BM$1,$BD179,AllTriggers)</f>
        <v>#VALUE!</v>
      </c>
      <c r="BN179" s="47" t="e">
        <f>_xll.qlPolynomialFunctionValue(BN$1,$BD179,AllTriggers)</f>
        <v>#VALUE!</v>
      </c>
      <c r="BO179" s="47" t="e">
        <f>_xll.qlPolynomialFunctionValue(BO$1,$BD179,AllTriggers)</f>
        <v>#VALUE!</v>
      </c>
      <c r="BP179" s="47" t="e">
        <f>_xll.qlPolynomialFunctionValue(BP$1,$BD179,AllTriggers)</f>
        <v>#VALUE!</v>
      </c>
      <c r="BQ179" s="47">
        <f>_xll.qlPolynomialFunctionValue('12MSynthDepo_used'!$P$18,BD179,AllTriggers)</f>
        <v>3.2372695672448462E-3</v>
      </c>
    </row>
    <row r="180" spans="55:69" x14ac:dyDescent="0.2">
      <c r="BC180" s="178">
        <f>_xll.qlCalendarAdvance(Calendar,BC179,"1d","mf",,Trigger)</f>
        <v>42529</v>
      </c>
      <c r="BD180" s="41">
        <f>_xll.qlDayCounterYearFraction(DayCounter,SettlementDate,BC180,,,Trigger)</f>
        <v>0.69444444444444442</v>
      </c>
      <c r="BE180" s="47" t="e">
        <f>_xll.qlPolynomialFunctionValue(BE$1,$BD180,AllTriggers)</f>
        <v>#VALUE!</v>
      </c>
      <c r="BF180" s="47" t="e">
        <f>_xll.qlPolynomialFunctionValue(BF$1,$BD180,AllTriggers)</f>
        <v>#VALUE!</v>
      </c>
      <c r="BG180" s="47" t="e">
        <f>_xll.qlPolynomialFunctionValue(BG$1,$BD180,AllTriggers)</f>
        <v>#VALUE!</v>
      </c>
      <c r="BH180" s="47" t="e">
        <f>_xll.qlPolynomialFunctionValue(BH$1,$BD180,AllTriggers)</f>
        <v>#VALUE!</v>
      </c>
      <c r="BI180" s="47" t="e">
        <f>_xll.qlPolynomialFunctionValue(BI$1,$BD180,AllTriggers)</f>
        <v>#VALUE!</v>
      </c>
      <c r="BJ180" s="47" t="e">
        <f>_xll.qlPolynomialFunctionValue(BJ$1,$BD180,AllTriggers)</f>
        <v>#VALUE!</v>
      </c>
      <c r="BK180" s="47" t="e">
        <f>_xll.qlPolynomialFunctionValue(BK$1,$BD180,AllTriggers)</f>
        <v>#VALUE!</v>
      </c>
      <c r="BL180" s="47" t="e">
        <f>_xll.qlPolynomialFunctionValue(BL$1,$BD180,AllTriggers)</f>
        <v>#VALUE!</v>
      </c>
      <c r="BM180" s="47" t="e">
        <f>_xll.qlPolynomialFunctionValue(BM$1,$BD180,AllTriggers)</f>
        <v>#VALUE!</v>
      </c>
      <c r="BN180" s="47" t="e">
        <f>_xll.qlPolynomialFunctionValue(BN$1,$BD180,AllTriggers)</f>
        <v>#VALUE!</v>
      </c>
      <c r="BO180" s="47" t="e">
        <f>_xll.qlPolynomialFunctionValue(BO$1,$BD180,AllTriggers)</f>
        <v>#VALUE!</v>
      </c>
      <c r="BP180" s="47" t="e">
        <f>_xll.qlPolynomialFunctionValue(BP$1,$BD180,AllTriggers)</f>
        <v>#VALUE!</v>
      </c>
      <c r="BQ180" s="47">
        <f>_xll.qlPolynomialFunctionValue('12MSynthDepo_used'!$P$18,BD180,AllTriggers)</f>
        <v>3.2389739359802122E-3</v>
      </c>
    </row>
    <row r="181" spans="55:69" x14ac:dyDescent="0.2">
      <c r="BC181" s="178">
        <f>_xll.qlCalendarAdvance(Calendar,BC180,"1d","mf",,Trigger)</f>
        <v>42530</v>
      </c>
      <c r="BD181" s="41">
        <f>_xll.qlDayCounterYearFraction(DayCounter,SettlementDate,BC181,,,Trigger)</f>
        <v>0.69722222222222219</v>
      </c>
      <c r="BE181" s="47" t="e">
        <f>_xll.qlPolynomialFunctionValue(BE$1,$BD181,AllTriggers)</f>
        <v>#VALUE!</v>
      </c>
      <c r="BF181" s="47" t="e">
        <f>_xll.qlPolynomialFunctionValue(BF$1,$BD181,AllTriggers)</f>
        <v>#VALUE!</v>
      </c>
      <c r="BG181" s="47" t="e">
        <f>_xll.qlPolynomialFunctionValue(BG$1,$BD181,AllTriggers)</f>
        <v>#VALUE!</v>
      </c>
      <c r="BH181" s="47" t="e">
        <f>_xll.qlPolynomialFunctionValue(BH$1,$BD181,AllTriggers)</f>
        <v>#VALUE!</v>
      </c>
      <c r="BI181" s="47" t="e">
        <f>_xll.qlPolynomialFunctionValue(BI$1,$BD181,AllTriggers)</f>
        <v>#VALUE!</v>
      </c>
      <c r="BJ181" s="47" t="e">
        <f>_xll.qlPolynomialFunctionValue(BJ$1,$BD181,AllTriggers)</f>
        <v>#VALUE!</v>
      </c>
      <c r="BK181" s="47" t="e">
        <f>_xll.qlPolynomialFunctionValue(BK$1,$BD181,AllTriggers)</f>
        <v>#VALUE!</v>
      </c>
      <c r="BL181" s="47" t="e">
        <f>_xll.qlPolynomialFunctionValue(BL$1,$BD181,AllTriggers)</f>
        <v>#VALUE!</v>
      </c>
      <c r="BM181" s="47" t="e">
        <f>_xll.qlPolynomialFunctionValue(BM$1,$BD181,AllTriggers)</f>
        <v>#VALUE!</v>
      </c>
      <c r="BN181" s="47" t="e">
        <f>_xll.qlPolynomialFunctionValue(BN$1,$BD181,AllTriggers)</f>
        <v>#VALUE!</v>
      </c>
      <c r="BO181" s="47" t="e">
        <f>_xll.qlPolynomialFunctionValue(BO$1,$BD181,AllTriggers)</f>
        <v>#VALUE!</v>
      </c>
      <c r="BP181" s="47" t="e">
        <f>_xll.qlPolynomialFunctionValue(BP$1,$BD181,AllTriggers)</f>
        <v>#VALUE!</v>
      </c>
      <c r="BQ181" s="47">
        <f>_xll.qlPolynomialFunctionValue('12MSynthDepo_used'!$P$18,BD181,AllTriggers)</f>
        <v>3.2406786635709355E-3</v>
      </c>
    </row>
    <row r="182" spans="55:69" x14ac:dyDescent="0.2">
      <c r="BC182" s="178">
        <f>_xll.qlCalendarAdvance(Calendar,BC181,"1d","mf",,Trigger)</f>
        <v>42531</v>
      </c>
      <c r="BD182" s="41">
        <f>_xll.qlDayCounterYearFraction(DayCounter,SettlementDate,BC182,,,Trigger)</f>
        <v>0.7</v>
      </c>
      <c r="BE182" s="47" t="e">
        <f>_xll.qlPolynomialFunctionValue(BE$1,$BD182,AllTriggers)</f>
        <v>#VALUE!</v>
      </c>
      <c r="BF182" s="47" t="e">
        <f>_xll.qlPolynomialFunctionValue(BF$1,$BD182,AllTriggers)</f>
        <v>#VALUE!</v>
      </c>
      <c r="BG182" s="47" t="e">
        <f>_xll.qlPolynomialFunctionValue(BG$1,$BD182,AllTriggers)</f>
        <v>#VALUE!</v>
      </c>
      <c r="BH182" s="47" t="e">
        <f>_xll.qlPolynomialFunctionValue(BH$1,$BD182,AllTriggers)</f>
        <v>#VALUE!</v>
      </c>
      <c r="BI182" s="47" t="e">
        <f>_xll.qlPolynomialFunctionValue(BI$1,$BD182,AllTriggers)</f>
        <v>#VALUE!</v>
      </c>
      <c r="BJ182" s="47" t="e">
        <f>_xll.qlPolynomialFunctionValue(BJ$1,$BD182,AllTriggers)</f>
        <v>#VALUE!</v>
      </c>
      <c r="BK182" s="47" t="e">
        <f>_xll.qlPolynomialFunctionValue(BK$1,$BD182,AllTriggers)</f>
        <v>#VALUE!</v>
      </c>
      <c r="BL182" s="47" t="e">
        <f>_xll.qlPolynomialFunctionValue(BL$1,$BD182,AllTriggers)</f>
        <v>#VALUE!</v>
      </c>
      <c r="BM182" s="47" t="e">
        <f>_xll.qlPolynomialFunctionValue(BM$1,$BD182,AllTriggers)</f>
        <v>#VALUE!</v>
      </c>
      <c r="BN182" s="47" t="e">
        <f>_xll.qlPolynomialFunctionValue(BN$1,$BD182,AllTriggers)</f>
        <v>#VALUE!</v>
      </c>
      <c r="BO182" s="47" t="e">
        <f>_xll.qlPolynomialFunctionValue(BO$1,$BD182,AllTriggers)</f>
        <v>#VALUE!</v>
      </c>
      <c r="BP182" s="47" t="e">
        <f>_xll.qlPolynomialFunctionValue(BP$1,$BD182,AllTriggers)</f>
        <v>#VALUE!</v>
      </c>
      <c r="BQ182" s="47">
        <f>_xll.qlPolynomialFunctionValue('12MSynthDepo_used'!$P$18,BD182,AllTriggers)</f>
        <v>3.2423837447669518E-3</v>
      </c>
    </row>
    <row r="183" spans="55:69" x14ac:dyDescent="0.2">
      <c r="BC183" s="178">
        <f>_xll.qlCalendarAdvance(Calendar,BC182,"1d","mf",,Trigger)</f>
        <v>42534</v>
      </c>
      <c r="BD183" s="41">
        <f>_xll.qlDayCounterYearFraction(DayCounter,SettlementDate,BC183,,,Trigger)</f>
        <v>0.70833333333333337</v>
      </c>
      <c r="BE183" s="47" t="e">
        <f>_xll.qlPolynomialFunctionValue(BE$1,$BD183,AllTriggers)</f>
        <v>#VALUE!</v>
      </c>
      <c r="BF183" s="47" t="e">
        <f>_xll.qlPolynomialFunctionValue(BF$1,$BD183,AllTriggers)</f>
        <v>#VALUE!</v>
      </c>
      <c r="BG183" s="47" t="e">
        <f>_xll.qlPolynomialFunctionValue(BG$1,$BD183,AllTriggers)</f>
        <v>#VALUE!</v>
      </c>
      <c r="BH183" s="47" t="e">
        <f>_xll.qlPolynomialFunctionValue(BH$1,$BD183,AllTriggers)</f>
        <v>#VALUE!</v>
      </c>
      <c r="BI183" s="47" t="e">
        <f>_xll.qlPolynomialFunctionValue(BI$1,$BD183,AllTriggers)</f>
        <v>#VALUE!</v>
      </c>
      <c r="BJ183" s="47" t="e">
        <f>_xll.qlPolynomialFunctionValue(BJ$1,$BD183,AllTriggers)</f>
        <v>#VALUE!</v>
      </c>
      <c r="BK183" s="47" t="e">
        <f>_xll.qlPolynomialFunctionValue(BK$1,$BD183,AllTriggers)</f>
        <v>#VALUE!</v>
      </c>
      <c r="BL183" s="47" t="e">
        <f>_xll.qlPolynomialFunctionValue(BL$1,$BD183,AllTriggers)</f>
        <v>#VALUE!</v>
      </c>
      <c r="BM183" s="47" t="e">
        <f>_xll.qlPolynomialFunctionValue(BM$1,$BD183,AllTriggers)</f>
        <v>#VALUE!</v>
      </c>
      <c r="BN183" s="47" t="e">
        <f>_xll.qlPolynomialFunctionValue(BN$1,$BD183,AllTriggers)</f>
        <v>#VALUE!</v>
      </c>
      <c r="BO183" s="47" t="e">
        <f>_xll.qlPolynomialFunctionValue(BO$1,$BD183,AllTriggers)</f>
        <v>#VALUE!</v>
      </c>
      <c r="BP183" s="47" t="e">
        <f>_xll.qlPolynomialFunctionValue(BP$1,$BD183,AllTriggers)</f>
        <v>#VALUE!</v>
      </c>
      <c r="BQ183" s="47">
        <f>_xll.qlPolynomialFunctionValue('12MSynthDepo_used'!$P$18,BD183,AllTriggers)</f>
        <v>3.2475010574861242E-3</v>
      </c>
    </row>
    <row r="184" spans="55:69" x14ac:dyDescent="0.2">
      <c r="BC184" s="178">
        <f>_xll.qlCalendarAdvance(Calendar,BC183,"1d","mf",,Trigger)</f>
        <v>42535</v>
      </c>
      <c r="BD184" s="41">
        <f>_xll.qlDayCounterYearFraction(DayCounter,SettlementDate,BC184,,,Trigger)</f>
        <v>0.71111111111111114</v>
      </c>
      <c r="BE184" s="47" t="e">
        <f>_xll.qlPolynomialFunctionValue(BE$1,$BD184,AllTriggers)</f>
        <v>#VALUE!</v>
      </c>
      <c r="BF184" s="47" t="e">
        <f>_xll.qlPolynomialFunctionValue(BF$1,$BD184,AllTriggers)</f>
        <v>#VALUE!</v>
      </c>
      <c r="BG184" s="47" t="e">
        <f>_xll.qlPolynomialFunctionValue(BG$1,$BD184,AllTriggers)</f>
        <v>#VALUE!</v>
      </c>
      <c r="BH184" s="47" t="e">
        <f>_xll.qlPolynomialFunctionValue(BH$1,$BD184,AllTriggers)</f>
        <v>#VALUE!</v>
      </c>
      <c r="BI184" s="47" t="e">
        <f>_xll.qlPolynomialFunctionValue(BI$1,$BD184,AllTriggers)</f>
        <v>#VALUE!</v>
      </c>
      <c r="BJ184" s="47" t="e">
        <f>_xll.qlPolynomialFunctionValue(BJ$1,$BD184,AllTriggers)</f>
        <v>#VALUE!</v>
      </c>
      <c r="BK184" s="47" t="e">
        <f>_xll.qlPolynomialFunctionValue(BK$1,$BD184,AllTriggers)</f>
        <v>#VALUE!</v>
      </c>
      <c r="BL184" s="47" t="e">
        <f>_xll.qlPolynomialFunctionValue(BL$1,$BD184,AllTriggers)</f>
        <v>#VALUE!</v>
      </c>
      <c r="BM184" s="47" t="e">
        <f>_xll.qlPolynomialFunctionValue(BM$1,$BD184,AllTriggers)</f>
        <v>#VALUE!</v>
      </c>
      <c r="BN184" s="47" t="e">
        <f>_xll.qlPolynomialFunctionValue(BN$1,$BD184,AllTriggers)</f>
        <v>#VALUE!</v>
      </c>
      <c r="BO184" s="47" t="e">
        <f>_xll.qlPolynomialFunctionValue(BO$1,$BD184,AllTriggers)</f>
        <v>#VALUE!</v>
      </c>
      <c r="BP184" s="47" t="e">
        <f>_xll.qlPolynomialFunctionValue(BP$1,$BD184,AllTriggers)</f>
        <v>#VALUE!</v>
      </c>
      <c r="BQ184" s="47">
        <f>_xll.qlPolynomialFunctionValue('12MSynthDepo_used'!$P$18,BD184,AllTriggers)</f>
        <v>3.249207500602677E-3</v>
      </c>
    </row>
    <row r="185" spans="55:69" x14ac:dyDescent="0.2">
      <c r="BC185" s="178">
        <f>_xll.qlCalendarAdvance(Calendar,BC184,"1d","mf",,Trigger)</f>
        <v>42536</v>
      </c>
      <c r="BD185" s="41">
        <f>_xll.qlDayCounterYearFraction(DayCounter,SettlementDate,BC185,,,Trigger)</f>
        <v>0.71388888888888891</v>
      </c>
      <c r="BE185" s="47" t="e">
        <f>_xll.qlPolynomialFunctionValue(BE$1,$BD185,AllTriggers)</f>
        <v>#VALUE!</v>
      </c>
      <c r="BF185" s="47" t="e">
        <f>_xll.qlPolynomialFunctionValue(BF$1,$BD185,AllTriggers)</f>
        <v>#VALUE!</v>
      </c>
      <c r="BG185" s="47" t="e">
        <f>_xll.qlPolynomialFunctionValue(BG$1,$BD185,AllTriggers)</f>
        <v>#VALUE!</v>
      </c>
      <c r="BH185" s="47" t="e">
        <f>_xll.qlPolynomialFunctionValue(BH$1,$BD185,AllTriggers)</f>
        <v>#VALUE!</v>
      </c>
      <c r="BI185" s="47" t="e">
        <f>_xll.qlPolynomialFunctionValue(BI$1,$BD185,AllTriggers)</f>
        <v>#VALUE!</v>
      </c>
      <c r="BJ185" s="47" t="e">
        <f>_xll.qlPolynomialFunctionValue(BJ$1,$BD185,AllTriggers)</f>
        <v>#VALUE!</v>
      </c>
      <c r="BK185" s="47" t="e">
        <f>_xll.qlPolynomialFunctionValue(BK$1,$BD185,AllTriggers)</f>
        <v>#VALUE!</v>
      </c>
      <c r="BL185" s="47" t="e">
        <f>_xll.qlPolynomialFunctionValue(BL$1,$BD185,AllTriggers)</f>
        <v>#VALUE!</v>
      </c>
      <c r="BM185" s="47" t="e">
        <f>_xll.qlPolynomialFunctionValue(BM$1,$BD185,AllTriggers)</f>
        <v>#VALUE!</v>
      </c>
      <c r="BN185" s="47" t="e">
        <f>_xll.qlPolynomialFunctionValue(BN$1,$BD185,AllTriggers)</f>
        <v>#VALUE!</v>
      </c>
      <c r="BO185" s="47" t="e">
        <f>_xll.qlPolynomialFunctionValue(BO$1,$BD185,AllTriggers)</f>
        <v>#VALUE!</v>
      </c>
      <c r="BP185" s="47" t="e">
        <f>_xll.qlPolynomialFunctionValue(BP$1,$BD185,AllTriggers)</f>
        <v>#VALUE!</v>
      </c>
      <c r="BQ185" s="47">
        <f>_xll.qlPolynomialFunctionValue('12MSynthDepo_used'!$P$18,BD185,AllTriggers)</f>
        <v>3.2509142710742049E-3</v>
      </c>
    </row>
    <row r="186" spans="55:69" x14ac:dyDescent="0.2">
      <c r="BC186" s="178">
        <f>_xll.qlCalendarAdvance(Calendar,BC185,"1d","mf",,Trigger)</f>
        <v>42537</v>
      </c>
      <c r="BD186" s="41">
        <f>_xll.qlDayCounterYearFraction(DayCounter,SettlementDate,BC186,,,Trigger)</f>
        <v>0.71666666666666667</v>
      </c>
      <c r="BE186" s="47" t="e">
        <f>_xll.qlPolynomialFunctionValue(BE$1,$BD186,AllTriggers)</f>
        <v>#VALUE!</v>
      </c>
      <c r="BF186" s="47" t="e">
        <f>_xll.qlPolynomialFunctionValue(BF$1,$BD186,AllTriggers)</f>
        <v>#VALUE!</v>
      </c>
      <c r="BG186" s="47" t="e">
        <f>_xll.qlPolynomialFunctionValue(BG$1,$BD186,AllTriggers)</f>
        <v>#VALUE!</v>
      </c>
      <c r="BH186" s="47" t="e">
        <f>_xll.qlPolynomialFunctionValue(BH$1,$BD186,AllTriggers)</f>
        <v>#VALUE!</v>
      </c>
      <c r="BI186" s="47" t="e">
        <f>_xll.qlPolynomialFunctionValue(BI$1,$BD186,AllTriggers)</f>
        <v>#VALUE!</v>
      </c>
      <c r="BJ186" s="47" t="e">
        <f>_xll.qlPolynomialFunctionValue(BJ$1,$BD186,AllTriggers)</f>
        <v>#VALUE!</v>
      </c>
      <c r="BK186" s="47" t="e">
        <f>_xll.qlPolynomialFunctionValue(BK$1,$BD186,AllTriggers)</f>
        <v>#VALUE!</v>
      </c>
      <c r="BL186" s="47" t="e">
        <f>_xll.qlPolynomialFunctionValue(BL$1,$BD186,AllTriggers)</f>
        <v>#VALUE!</v>
      </c>
      <c r="BM186" s="47" t="e">
        <f>_xll.qlPolynomialFunctionValue(BM$1,$BD186,AllTriggers)</f>
        <v>#VALUE!</v>
      </c>
      <c r="BN186" s="47" t="e">
        <f>_xll.qlPolynomialFunctionValue(BN$1,$BD186,AllTriggers)</f>
        <v>#VALUE!</v>
      </c>
      <c r="BO186" s="47" t="e">
        <f>_xll.qlPolynomialFunctionValue(BO$1,$BD186,AllTriggers)</f>
        <v>#VALUE!</v>
      </c>
      <c r="BP186" s="47" t="e">
        <f>_xll.qlPolynomialFunctionValue(BP$1,$BD186,AllTriggers)</f>
        <v>#VALUE!</v>
      </c>
      <c r="BQ186" s="47">
        <f>_xll.qlPolynomialFunctionValue('12MSynthDepo_used'!$P$18,BD186,AllTriggers)</f>
        <v>3.2526213636506441E-3</v>
      </c>
    </row>
    <row r="187" spans="55:69" x14ac:dyDescent="0.2">
      <c r="BC187" s="178">
        <f>_xll.qlCalendarAdvance(Calendar,BC186,"1d","mf",,Trigger)</f>
        <v>42538</v>
      </c>
      <c r="BD187" s="41">
        <f>_xll.qlDayCounterYearFraction(DayCounter,SettlementDate,BC187,,,Trigger)</f>
        <v>0.71944444444444444</v>
      </c>
      <c r="BE187" s="47" t="e">
        <f>_xll.qlPolynomialFunctionValue(BE$1,$BD187,AllTriggers)</f>
        <v>#VALUE!</v>
      </c>
      <c r="BF187" s="47" t="e">
        <f>_xll.qlPolynomialFunctionValue(BF$1,$BD187,AllTriggers)</f>
        <v>#VALUE!</v>
      </c>
      <c r="BG187" s="47" t="e">
        <f>_xll.qlPolynomialFunctionValue(BG$1,$BD187,AllTriggers)</f>
        <v>#VALUE!</v>
      </c>
      <c r="BH187" s="47" t="e">
        <f>_xll.qlPolynomialFunctionValue(BH$1,$BD187,AllTriggers)</f>
        <v>#VALUE!</v>
      </c>
      <c r="BI187" s="47" t="e">
        <f>_xll.qlPolynomialFunctionValue(BI$1,$BD187,AllTriggers)</f>
        <v>#VALUE!</v>
      </c>
      <c r="BJ187" s="47" t="e">
        <f>_xll.qlPolynomialFunctionValue(BJ$1,$BD187,AllTriggers)</f>
        <v>#VALUE!</v>
      </c>
      <c r="BK187" s="47" t="e">
        <f>_xll.qlPolynomialFunctionValue(BK$1,$BD187,AllTriggers)</f>
        <v>#VALUE!</v>
      </c>
      <c r="BL187" s="47" t="e">
        <f>_xll.qlPolynomialFunctionValue(BL$1,$BD187,AllTriggers)</f>
        <v>#VALUE!</v>
      </c>
      <c r="BM187" s="47" t="e">
        <f>_xll.qlPolynomialFunctionValue(BM$1,$BD187,AllTriggers)</f>
        <v>#VALUE!</v>
      </c>
      <c r="BN187" s="47" t="e">
        <f>_xll.qlPolynomialFunctionValue(BN$1,$BD187,AllTriggers)</f>
        <v>#VALUE!</v>
      </c>
      <c r="BO187" s="47" t="e">
        <f>_xll.qlPolynomialFunctionValue(BO$1,$BD187,AllTriggers)</f>
        <v>#VALUE!</v>
      </c>
      <c r="BP187" s="47" t="e">
        <f>_xll.qlPolynomialFunctionValue(BP$1,$BD187,AllTriggers)</f>
        <v>#VALUE!</v>
      </c>
      <c r="BQ187" s="47">
        <f>_xll.qlPolynomialFunctionValue('12MSynthDepo_used'!$P$18,BD187,AllTriggers)</f>
        <v>3.2543287730819304E-3</v>
      </c>
    </row>
    <row r="188" spans="55:69" x14ac:dyDescent="0.2">
      <c r="BC188" s="178">
        <f>_xll.qlCalendarAdvance(Calendar,BC187,"1d","mf",,Trigger)</f>
        <v>42541</v>
      </c>
      <c r="BD188" s="41">
        <f>_xll.qlDayCounterYearFraction(DayCounter,SettlementDate,BC188,,,Trigger)</f>
        <v>0.72777777777777775</v>
      </c>
      <c r="BE188" s="47" t="e">
        <f>_xll.qlPolynomialFunctionValue(BE$1,$BD188,AllTriggers)</f>
        <v>#VALUE!</v>
      </c>
      <c r="BF188" s="47" t="e">
        <f>_xll.qlPolynomialFunctionValue(BF$1,$BD188,AllTriggers)</f>
        <v>#VALUE!</v>
      </c>
      <c r="BG188" s="47" t="e">
        <f>_xll.qlPolynomialFunctionValue(BG$1,$BD188,AllTriggers)</f>
        <v>#VALUE!</v>
      </c>
      <c r="BH188" s="47" t="e">
        <f>_xll.qlPolynomialFunctionValue(BH$1,$BD188,AllTriggers)</f>
        <v>#VALUE!</v>
      </c>
      <c r="BI188" s="47" t="e">
        <f>_xll.qlPolynomialFunctionValue(BI$1,$BD188,AllTriggers)</f>
        <v>#VALUE!</v>
      </c>
      <c r="BJ188" s="47" t="e">
        <f>_xll.qlPolynomialFunctionValue(BJ$1,$BD188,AllTriggers)</f>
        <v>#VALUE!</v>
      </c>
      <c r="BK188" s="47" t="e">
        <f>_xll.qlPolynomialFunctionValue(BK$1,$BD188,AllTriggers)</f>
        <v>#VALUE!</v>
      </c>
      <c r="BL188" s="47" t="e">
        <f>_xll.qlPolynomialFunctionValue(BL$1,$BD188,AllTriggers)</f>
        <v>#VALUE!</v>
      </c>
      <c r="BM188" s="47" t="e">
        <f>_xll.qlPolynomialFunctionValue(BM$1,$BD188,AllTriggers)</f>
        <v>#VALUE!</v>
      </c>
      <c r="BN188" s="47" t="e">
        <f>_xll.qlPolynomialFunctionValue(BN$1,$BD188,AllTriggers)</f>
        <v>#VALUE!</v>
      </c>
      <c r="BO188" s="47" t="e">
        <f>_xll.qlPolynomialFunctionValue(BO$1,$BD188,AllTriggers)</f>
        <v>#VALUE!</v>
      </c>
      <c r="BP188" s="47" t="e">
        <f>_xll.qlPolynomialFunctionValue(BP$1,$BD188,AllTriggers)</f>
        <v>#VALUE!</v>
      </c>
      <c r="BQ188" s="47">
        <f>_xll.qlPolynomialFunctionValue('12MSynthDepo_used'!$P$18,BD188,AllTriggers)</f>
        <v>3.2594528500042397E-3</v>
      </c>
    </row>
    <row r="189" spans="55:69" x14ac:dyDescent="0.2">
      <c r="BC189" s="178">
        <f>_xll.qlCalendarAdvance(Calendar,BC188,"1d","mf",,Trigger)</f>
        <v>42542</v>
      </c>
      <c r="BD189" s="41">
        <f>_xll.qlDayCounterYearFraction(DayCounter,SettlementDate,BC189,,,Trigger)</f>
        <v>0.73055555555555551</v>
      </c>
      <c r="BE189" s="47" t="e">
        <f>_xll.qlPolynomialFunctionValue(BE$1,$BD189,AllTriggers)</f>
        <v>#VALUE!</v>
      </c>
      <c r="BF189" s="47" t="e">
        <f>_xll.qlPolynomialFunctionValue(BF$1,$BD189,AllTriggers)</f>
        <v>#VALUE!</v>
      </c>
      <c r="BG189" s="47" t="e">
        <f>_xll.qlPolynomialFunctionValue(BG$1,$BD189,AllTriggers)</f>
        <v>#VALUE!</v>
      </c>
      <c r="BH189" s="47" t="e">
        <f>_xll.qlPolynomialFunctionValue(BH$1,$BD189,AllTriggers)</f>
        <v>#VALUE!</v>
      </c>
      <c r="BI189" s="47" t="e">
        <f>_xll.qlPolynomialFunctionValue(BI$1,$BD189,AllTriggers)</f>
        <v>#VALUE!</v>
      </c>
      <c r="BJ189" s="47" t="e">
        <f>_xll.qlPolynomialFunctionValue(BJ$1,$BD189,AllTriggers)</f>
        <v>#VALUE!</v>
      </c>
      <c r="BK189" s="47" t="e">
        <f>_xll.qlPolynomialFunctionValue(BK$1,$BD189,AllTriggers)</f>
        <v>#VALUE!</v>
      </c>
      <c r="BL189" s="47" t="e">
        <f>_xll.qlPolynomialFunctionValue(BL$1,$BD189,AllTriggers)</f>
        <v>#VALUE!</v>
      </c>
      <c r="BM189" s="47" t="e">
        <f>_xll.qlPolynomialFunctionValue(BM$1,$BD189,AllTriggers)</f>
        <v>#VALUE!</v>
      </c>
      <c r="BN189" s="47" t="e">
        <f>_xll.qlPolynomialFunctionValue(BN$1,$BD189,AllTriggers)</f>
        <v>#VALUE!</v>
      </c>
      <c r="BO189" s="47" t="e">
        <f>_xll.qlPolynomialFunctionValue(BO$1,$BD189,AllTriggers)</f>
        <v>#VALUE!</v>
      </c>
      <c r="BP189" s="47" t="e">
        <f>_xll.qlPolynomialFunctionValue(BP$1,$BD189,AllTriggers)</f>
        <v>#VALUE!</v>
      </c>
      <c r="BQ189" s="47">
        <f>_xll.qlPolynomialFunctionValue('12MSynthDepo_used'!$P$18,BD189,AllTriggers)</f>
        <v>3.2611614743542805E-3</v>
      </c>
    </row>
    <row r="190" spans="55:69" x14ac:dyDescent="0.2">
      <c r="BC190" s="178">
        <f>_xll.qlCalendarAdvance(Calendar,BC189,"1d","mf",,Trigger)</f>
        <v>42543</v>
      </c>
      <c r="BD190" s="41">
        <f>_xll.qlDayCounterYearFraction(DayCounter,SettlementDate,BC190,,,Trigger)</f>
        <v>0.73333333333333328</v>
      </c>
      <c r="BE190" s="47" t="e">
        <f>_xll.qlPolynomialFunctionValue(BE$1,$BD190,AllTriggers)</f>
        <v>#VALUE!</v>
      </c>
      <c r="BF190" s="47" t="e">
        <f>_xll.qlPolynomialFunctionValue(BF$1,$BD190,AllTriggers)</f>
        <v>#VALUE!</v>
      </c>
      <c r="BG190" s="47" t="e">
        <f>_xll.qlPolynomialFunctionValue(BG$1,$BD190,AllTriggers)</f>
        <v>#VALUE!</v>
      </c>
      <c r="BH190" s="47" t="e">
        <f>_xll.qlPolynomialFunctionValue(BH$1,$BD190,AllTriggers)</f>
        <v>#VALUE!</v>
      </c>
      <c r="BI190" s="47" t="e">
        <f>_xll.qlPolynomialFunctionValue(BI$1,$BD190,AllTriggers)</f>
        <v>#VALUE!</v>
      </c>
      <c r="BJ190" s="47" t="e">
        <f>_xll.qlPolynomialFunctionValue(BJ$1,$BD190,AllTriggers)</f>
        <v>#VALUE!</v>
      </c>
      <c r="BK190" s="47" t="e">
        <f>_xll.qlPolynomialFunctionValue(BK$1,$BD190,AllTriggers)</f>
        <v>#VALUE!</v>
      </c>
      <c r="BL190" s="47" t="e">
        <f>_xll.qlPolynomialFunctionValue(BL$1,$BD190,AllTriggers)</f>
        <v>#VALUE!</v>
      </c>
      <c r="BM190" s="47" t="e">
        <f>_xll.qlPolynomialFunctionValue(BM$1,$BD190,AllTriggers)</f>
        <v>#VALUE!</v>
      </c>
      <c r="BN190" s="47" t="e">
        <f>_xll.qlPolynomialFunctionValue(BN$1,$BD190,AllTriggers)</f>
        <v>#VALUE!</v>
      </c>
      <c r="BO190" s="47" t="e">
        <f>_xll.qlPolynomialFunctionValue(BO$1,$BD190,AllTriggers)</f>
        <v>#VALUE!</v>
      </c>
      <c r="BP190" s="47" t="e">
        <f>_xll.qlPolynomialFunctionValue(BP$1,$BD190,AllTriggers)</f>
        <v>#VALUE!</v>
      </c>
      <c r="BQ190" s="47">
        <f>_xll.qlPolynomialFunctionValue('12MSynthDepo_used'!$P$18,BD190,AllTriggers)</f>
        <v>3.262870389308851E-3</v>
      </c>
    </row>
    <row r="191" spans="55:69" x14ac:dyDescent="0.2">
      <c r="BC191" s="178">
        <f>_xll.qlCalendarAdvance(Calendar,BC190,"1d","mf",,Trigger)</f>
        <v>42544</v>
      </c>
      <c r="BD191" s="41">
        <f>_xll.qlDayCounterYearFraction(DayCounter,SettlementDate,BC191,,,Trigger)</f>
        <v>0.73611111111111116</v>
      </c>
      <c r="BE191" s="47" t="e">
        <f>_xll.qlPolynomialFunctionValue(BE$1,$BD191,AllTriggers)</f>
        <v>#VALUE!</v>
      </c>
      <c r="BF191" s="47" t="e">
        <f>_xll.qlPolynomialFunctionValue(BF$1,$BD191,AllTriggers)</f>
        <v>#VALUE!</v>
      </c>
      <c r="BG191" s="47" t="e">
        <f>_xll.qlPolynomialFunctionValue(BG$1,$BD191,AllTriggers)</f>
        <v>#VALUE!</v>
      </c>
      <c r="BH191" s="47" t="e">
        <f>_xll.qlPolynomialFunctionValue(BH$1,$BD191,AllTriggers)</f>
        <v>#VALUE!</v>
      </c>
      <c r="BI191" s="47" t="e">
        <f>_xll.qlPolynomialFunctionValue(BI$1,$BD191,AllTriggers)</f>
        <v>#VALUE!</v>
      </c>
      <c r="BJ191" s="47" t="e">
        <f>_xll.qlPolynomialFunctionValue(BJ$1,$BD191,AllTriggers)</f>
        <v>#VALUE!</v>
      </c>
      <c r="BK191" s="47" t="e">
        <f>_xll.qlPolynomialFunctionValue(BK$1,$BD191,AllTriggers)</f>
        <v>#VALUE!</v>
      </c>
      <c r="BL191" s="47" t="e">
        <f>_xll.qlPolynomialFunctionValue(BL$1,$BD191,AllTriggers)</f>
        <v>#VALUE!</v>
      </c>
      <c r="BM191" s="47" t="e">
        <f>_xll.qlPolynomialFunctionValue(BM$1,$BD191,AllTriggers)</f>
        <v>#VALUE!</v>
      </c>
      <c r="BN191" s="47" t="e">
        <f>_xll.qlPolynomialFunctionValue(BN$1,$BD191,AllTriggers)</f>
        <v>#VALUE!</v>
      </c>
      <c r="BO191" s="47" t="e">
        <f>_xll.qlPolynomialFunctionValue(BO$1,$BD191,AllTriggers)</f>
        <v>#VALUE!</v>
      </c>
      <c r="BP191" s="47" t="e">
        <f>_xll.qlPolynomialFunctionValue(BP$1,$BD191,AllTriggers)</f>
        <v>#VALUE!</v>
      </c>
      <c r="BQ191" s="47">
        <f>_xll.qlPolynomialFunctionValue('12MSynthDepo_used'!$P$18,BD191,AllTriggers)</f>
        <v>3.2645795896178867E-3</v>
      </c>
    </row>
    <row r="192" spans="55:69" x14ac:dyDescent="0.2">
      <c r="BC192" s="178">
        <f>_xll.qlCalendarAdvance(Calendar,BC191,"1d","mf",,Trigger)</f>
        <v>42545</v>
      </c>
      <c r="BD192" s="41">
        <f>_xll.qlDayCounterYearFraction(DayCounter,SettlementDate,BC192,,,Trigger)</f>
        <v>0.73888888888888893</v>
      </c>
      <c r="BE192" s="47" t="e">
        <f>_xll.qlPolynomialFunctionValue(BE$1,$BD192,AllTriggers)</f>
        <v>#VALUE!</v>
      </c>
      <c r="BF192" s="47" t="e">
        <f>_xll.qlPolynomialFunctionValue(BF$1,$BD192,AllTriggers)</f>
        <v>#VALUE!</v>
      </c>
      <c r="BG192" s="47" t="e">
        <f>_xll.qlPolynomialFunctionValue(BG$1,$BD192,AllTriggers)</f>
        <v>#VALUE!</v>
      </c>
      <c r="BH192" s="47" t="e">
        <f>_xll.qlPolynomialFunctionValue(BH$1,$BD192,AllTriggers)</f>
        <v>#VALUE!</v>
      </c>
      <c r="BI192" s="47" t="e">
        <f>_xll.qlPolynomialFunctionValue(BI$1,$BD192,AllTriggers)</f>
        <v>#VALUE!</v>
      </c>
      <c r="BJ192" s="47" t="e">
        <f>_xll.qlPolynomialFunctionValue(BJ$1,$BD192,AllTriggers)</f>
        <v>#VALUE!</v>
      </c>
      <c r="BK192" s="47" t="e">
        <f>_xll.qlPolynomialFunctionValue(BK$1,$BD192,AllTriggers)</f>
        <v>#VALUE!</v>
      </c>
      <c r="BL192" s="47" t="e">
        <f>_xll.qlPolynomialFunctionValue(BL$1,$BD192,AllTriggers)</f>
        <v>#VALUE!</v>
      </c>
      <c r="BM192" s="47" t="e">
        <f>_xll.qlPolynomialFunctionValue(BM$1,$BD192,AllTriggers)</f>
        <v>#VALUE!</v>
      </c>
      <c r="BN192" s="47" t="e">
        <f>_xll.qlPolynomialFunctionValue(BN$1,$BD192,AllTriggers)</f>
        <v>#VALUE!</v>
      </c>
      <c r="BO192" s="47" t="e">
        <f>_xll.qlPolynomialFunctionValue(BO$1,$BD192,AllTriggers)</f>
        <v>#VALUE!</v>
      </c>
      <c r="BP192" s="47" t="e">
        <f>_xll.qlPolynomialFunctionValue(BP$1,$BD192,AllTriggers)</f>
        <v>#VALUE!</v>
      </c>
      <c r="BQ192" s="47">
        <f>_xll.qlPolynomialFunctionValue('12MSynthDepo_used'!$P$18,BD192,AllTriggers)</f>
        <v>3.2662890700313248E-3</v>
      </c>
    </row>
    <row r="193" spans="55:69" x14ac:dyDescent="0.2">
      <c r="BC193" s="178">
        <f>_xll.qlCalendarAdvance(Calendar,BC192,"1d","mf",,Trigger)</f>
        <v>42548</v>
      </c>
      <c r="BD193" s="41">
        <f>_xll.qlDayCounterYearFraction(DayCounter,SettlementDate,BC193,,,Trigger)</f>
        <v>0.74722222222222223</v>
      </c>
      <c r="BE193" s="47" t="e">
        <f>_xll.qlPolynomialFunctionValue(BE$1,$BD193,AllTriggers)</f>
        <v>#VALUE!</v>
      </c>
      <c r="BF193" s="47" t="e">
        <f>_xll.qlPolynomialFunctionValue(BF$1,$BD193,AllTriggers)</f>
        <v>#VALUE!</v>
      </c>
      <c r="BG193" s="47" t="e">
        <f>_xll.qlPolynomialFunctionValue(BG$1,$BD193,AllTriggers)</f>
        <v>#VALUE!</v>
      </c>
      <c r="BH193" s="47" t="e">
        <f>_xll.qlPolynomialFunctionValue(BH$1,$BD193,AllTriggers)</f>
        <v>#VALUE!</v>
      </c>
      <c r="BI193" s="47" t="e">
        <f>_xll.qlPolynomialFunctionValue(BI$1,$BD193,AllTriggers)</f>
        <v>#VALUE!</v>
      </c>
      <c r="BJ193" s="47" t="e">
        <f>_xll.qlPolynomialFunctionValue(BJ$1,$BD193,AllTriggers)</f>
        <v>#VALUE!</v>
      </c>
      <c r="BK193" s="47" t="e">
        <f>_xll.qlPolynomialFunctionValue(BK$1,$BD193,AllTriggers)</f>
        <v>#VALUE!</v>
      </c>
      <c r="BL193" s="47" t="e">
        <f>_xll.qlPolynomialFunctionValue(BL$1,$BD193,AllTriggers)</f>
        <v>#VALUE!</v>
      </c>
      <c r="BM193" s="47" t="e">
        <f>_xll.qlPolynomialFunctionValue(BM$1,$BD193,AllTriggers)</f>
        <v>#VALUE!</v>
      </c>
      <c r="BN193" s="47" t="e">
        <f>_xll.qlPolynomialFunctionValue(BN$1,$BD193,AllTriggers)</f>
        <v>#VALUE!</v>
      </c>
      <c r="BO193" s="47" t="e">
        <f>_xll.qlPolynomialFunctionValue(BO$1,$BD193,AllTriggers)</f>
        <v>#VALUE!</v>
      </c>
      <c r="BP193" s="47" t="e">
        <f>_xll.qlPolynomialFunctionValue(BP$1,$BD193,AllTriggers)</f>
        <v>#VALUE!</v>
      </c>
      <c r="BQ193" s="47">
        <f>_xll.qlPolynomialFunctionValue('12MSynthDepo_used'!$P$18,BD193,AllTriggers)</f>
        <v>3.2714191393974136E-3</v>
      </c>
    </row>
    <row r="194" spans="55:69" x14ac:dyDescent="0.2">
      <c r="BC194" s="178">
        <f>_xll.qlCalendarAdvance(Calendar,BC193,"1d","mf",,Trigger)</f>
        <v>42549</v>
      </c>
      <c r="BD194" s="41">
        <f>_xll.qlDayCounterYearFraction(DayCounter,SettlementDate,BC194,,,Trigger)</f>
        <v>0.75</v>
      </c>
      <c r="BE194" s="47" t="e">
        <f>_xll.qlPolynomialFunctionValue(BE$1,$BD194,AllTriggers)</f>
        <v>#VALUE!</v>
      </c>
      <c r="BF194" s="47" t="e">
        <f>_xll.qlPolynomialFunctionValue(BF$1,$BD194,AllTriggers)</f>
        <v>#VALUE!</v>
      </c>
      <c r="BG194" s="47" t="e">
        <f>_xll.qlPolynomialFunctionValue(BG$1,$BD194,AllTriggers)</f>
        <v>#VALUE!</v>
      </c>
      <c r="BH194" s="47" t="e">
        <f>_xll.qlPolynomialFunctionValue(BH$1,$BD194,AllTriggers)</f>
        <v>#VALUE!</v>
      </c>
      <c r="BI194" s="47" t="e">
        <f>_xll.qlPolynomialFunctionValue(BI$1,$BD194,AllTriggers)</f>
        <v>#VALUE!</v>
      </c>
      <c r="BJ194" s="47" t="e">
        <f>_xll.qlPolynomialFunctionValue(BJ$1,$BD194,AllTriggers)</f>
        <v>#VALUE!</v>
      </c>
      <c r="BK194" s="47" t="e">
        <f>_xll.qlPolynomialFunctionValue(BK$1,$BD194,AllTriggers)</f>
        <v>#VALUE!</v>
      </c>
      <c r="BL194" s="47" t="e">
        <f>_xll.qlPolynomialFunctionValue(BL$1,$BD194,AllTriggers)</f>
        <v>#VALUE!</v>
      </c>
      <c r="BM194" s="47" t="e">
        <f>_xll.qlPolynomialFunctionValue(BM$1,$BD194,AllTriggers)</f>
        <v>#VALUE!</v>
      </c>
      <c r="BN194" s="47" t="e">
        <f>_xll.qlPolynomialFunctionValue(BN$1,$BD194,AllTriggers)</f>
        <v>#VALUE!</v>
      </c>
      <c r="BO194" s="47" t="e">
        <f>_xll.qlPolynomialFunctionValue(BO$1,$BD194,AllTriggers)</f>
        <v>#VALUE!</v>
      </c>
      <c r="BP194" s="47" t="e">
        <f>_xll.qlPolynomialFunctionValue(BP$1,$BD194,AllTriggers)</f>
        <v>#VALUE!</v>
      </c>
      <c r="BQ194" s="47">
        <f>_xll.qlPolynomialFunctionValue('12MSynthDepo_used'!$P$18,BD194,AllTriggers)</f>
        <v>3.2731296877278235E-3</v>
      </c>
    </row>
    <row r="195" spans="55:69" x14ac:dyDescent="0.2">
      <c r="BC195" s="178">
        <f>_xll.qlCalendarAdvance(Calendar,BC194,"1d","mf",,Trigger)</f>
        <v>42550</v>
      </c>
      <c r="BD195" s="41">
        <f>_xll.qlDayCounterYearFraction(DayCounter,SettlementDate,BC195,,,Trigger)</f>
        <v>0.75277777777777777</v>
      </c>
      <c r="BE195" s="47" t="e">
        <f>_xll.qlPolynomialFunctionValue(BE$1,$BD195,AllTriggers)</f>
        <v>#VALUE!</v>
      </c>
      <c r="BF195" s="47" t="e">
        <f>_xll.qlPolynomialFunctionValue(BF$1,$BD195,AllTriggers)</f>
        <v>#VALUE!</v>
      </c>
      <c r="BG195" s="47" t="e">
        <f>_xll.qlPolynomialFunctionValue(BG$1,$BD195,AllTriggers)</f>
        <v>#VALUE!</v>
      </c>
      <c r="BH195" s="47" t="e">
        <f>_xll.qlPolynomialFunctionValue(BH$1,$BD195,AllTriggers)</f>
        <v>#VALUE!</v>
      </c>
      <c r="BI195" s="47" t="e">
        <f>_xll.qlPolynomialFunctionValue(BI$1,$BD195,AllTriggers)</f>
        <v>#VALUE!</v>
      </c>
      <c r="BJ195" s="47" t="e">
        <f>_xll.qlPolynomialFunctionValue(BJ$1,$BD195,AllTriggers)</f>
        <v>#VALUE!</v>
      </c>
      <c r="BK195" s="47" t="e">
        <f>_xll.qlPolynomialFunctionValue(BK$1,$BD195,AllTriggers)</f>
        <v>#VALUE!</v>
      </c>
      <c r="BL195" s="47" t="e">
        <f>_xll.qlPolynomialFunctionValue(BL$1,$BD195,AllTriggers)</f>
        <v>#VALUE!</v>
      </c>
      <c r="BM195" s="47" t="e">
        <f>_xll.qlPolynomialFunctionValue(BM$1,$BD195,AllTriggers)</f>
        <v>#VALUE!</v>
      </c>
      <c r="BN195" s="47" t="e">
        <f>_xll.qlPolynomialFunctionValue(BN$1,$BD195,AllTriggers)</f>
        <v>#VALUE!</v>
      </c>
      <c r="BO195" s="47" t="e">
        <f>_xll.qlPolynomialFunctionValue(BO$1,$BD195,AllTriggers)</f>
        <v>#VALUE!</v>
      </c>
      <c r="BP195" s="47" t="e">
        <f>_xll.qlPolynomialFunctionValue(BP$1,$BD195,AllTriggers)</f>
        <v>#VALUE!</v>
      </c>
      <c r="BQ195" s="47">
        <f>_xll.qlPolynomialFunctionValue('12MSynthDepo_used'!$P$18,BD195,AllTriggers)</f>
        <v>3.2748404899123162E-3</v>
      </c>
    </row>
    <row r="196" spans="55:69" x14ac:dyDescent="0.2">
      <c r="BC196" s="178">
        <f>_xll.qlCalendarAdvance(Calendar,BC195,"1d","mf",,Trigger)</f>
        <v>42551</v>
      </c>
      <c r="BD196" s="41">
        <f>_xll.qlDayCounterYearFraction(DayCounter,SettlementDate,BC196,,,Trigger)</f>
        <v>0.75555555555555554</v>
      </c>
      <c r="BE196" s="47" t="e">
        <f>_xll.qlPolynomialFunctionValue(BE$1,$BD196,AllTriggers)</f>
        <v>#VALUE!</v>
      </c>
      <c r="BF196" s="47" t="e">
        <f>_xll.qlPolynomialFunctionValue(BF$1,$BD196,AllTriggers)</f>
        <v>#VALUE!</v>
      </c>
      <c r="BG196" s="47" t="e">
        <f>_xll.qlPolynomialFunctionValue(BG$1,$BD196,AllTriggers)</f>
        <v>#VALUE!</v>
      </c>
      <c r="BH196" s="47" t="e">
        <f>_xll.qlPolynomialFunctionValue(BH$1,$BD196,AllTriggers)</f>
        <v>#VALUE!</v>
      </c>
      <c r="BI196" s="47" t="e">
        <f>_xll.qlPolynomialFunctionValue(BI$1,$BD196,AllTriggers)</f>
        <v>#VALUE!</v>
      </c>
      <c r="BJ196" s="47" t="e">
        <f>_xll.qlPolynomialFunctionValue(BJ$1,$BD196,AllTriggers)</f>
        <v>#VALUE!</v>
      </c>
      <c r="BK196" s="47" t="e">
        <f>_xll.qlPolynomialFunctionValue(BK$1,$BD196,AllTriggers)</f>
        <v>#VALUE!</v>
      </c>
      <c r="BL196" s="47" t="e">
        <f>_xll.qlPolynomialFunctionValue(BL$1,$BD196,AllTriggers)</f>
        <v>#VALUE!</v>
      </c>
      <c r="BM196" s="47" t="e">
        <f>_xll.qlPolynomialFunctionValue(BM$1,$BD196,AllTriggers)</f>
        <v>#VALUE!</v>
      </c>
      <c r="BN196" s="47" t="e">
        <f>_xll.qlPolynomialFunctionValue(BN$1,$BD196,AllTriggers)</f>
        <v>#VALUE!</v>
      </c>
      <c r="BO196" s="47" t="e">
        <f>_xll.qlPolynomialFunctionValue(BO$1,$BD196,AllTriggers)</f>
        <v>#VALUE!</v>
      </c>
      <c r="BP196" s="47" t="e">
        <f>_xll.qlPolynomialFunctionValue(BP$1,$BD196,AllTriggers)</f>
        <v>#VALUE!</v>
      </c>
      <c r="BQ196" s="47">
        <f>_xll.qlPolynomialFunctionValue('12MSynthDepo_used'!$P$18,BD196,AllTriggers)</f>
        <v>3.2765515407008295E-3</v>
      </c>
    </row>
    <row r="197" spans="55:69" x14ac:dyDescent="0.2">
      <c r="BC197" s="178">
        <f>_xll.qlCalendarAdvance(Calendar,BC196,"1d","mf",,Trigger)</f>
        <v>42552</v>
      </c>
      <c r="BD197" s="41">
        <f>_xll.qlDayCounterYearFraction(DayCounter,SettlementDate,BC197,,,Trigger)</f>
        <v>0.7583333333333333</v>
      </c>
      <c r="BE197" s="47" t="e">
        <f>_xll.qlPolynomialFunctionValue(BE$1,$BD197,AllTriggers)</f>
        <v>#VALUE!</v>
      </c>
      <c r="BF197" s="47" t="e">
        <f>_xll.qlPolynomialFunctionValue(BF$1,$BD197,AllTriggers)</f>
        <v>#VALUE!</v>
      </c>
      <c r="BG197" s="47" t="e">
        <f>_xll.qlPolynomialFunctionValue(BG$1,$BD197,AllTriggers)</f>
        <v>#VALUE!</v>
      </c>
      <c r="BH197" s="47" t="e">
        <f>_xll.qlPolynomialFunctionValue(BH$1,$BD197,AllTriggers)</f>
        <v>#VALUE!</v>
      </c>
      <c r="BI197" s="47" t="e">
        <f>_xll.qlPolynomialFunctionValue(BI$1,$BD197,AllTriggers)</f>
        <v>#VALUE!</v>
      </c>
      <c r="BJ197" s="47" t="e">
        <f>_xll.qlPolynomialFunctionValue(BJ$1,$BD197,AllTriggers)</f>
        <v>#VALUE!</v>
      </c>
      <c r="BK197" s="47" t="e">
        <f>_xll.qlPolynomialFunctionValue(BK$1,$BD197,AllTriggers)</f>
        <v>#VALUE!</v>
      </c>
      <c r="BL197" s="47" t="e">
        <f>_xll.qlPolynomialFunctionValue(BL$1,$BD197,AllTriggers)</f>
        <v>#VALUE!</v>
      </c>
      <c r="BM197" s="47" t="e">
        <f>_xll.qlPolynomialFunctionValue(BM$1,$BD197,AllTriggers)</f>
        <v>#VALUE!</v>
      </c>
      <c r="BN197" s="47" t="e">
        <f>_xll.qlPolynomialFunctionValue(BN$1,$BD197,AllTriggers)</f>
        <v>#VALUE!</v>
      </c>
      <c r="BO197" s="47" t="e">
        <f>_xll.qlPolynomialFunctionValue(BO$1,$BD197,AllTriggers)</f>
        <v>#VALUE!</v>
      </c>
      <c r="BP197" s="47" t="e">
        <f>_xll.qlPolynomialFunctionValue(BP$1,$BD197,AllTriggers)</f>
        <v>#VALUE!</v>
      </c>
      <c r="BQ197" s="47">
        <f>_xll.qlPolynomialFunctionValue('12MSynthDepo_used'!$P$18,BD197,AllTriggers)</f>
        <v>3.2782628348432996E-3</v>
      </c>
    </row>
    <row r="198" spans="55:69" x14ac:dyDescent="0.2">
      <c r="BC198" s="178">
        <f>_xll.qlCalendarAdvance(Calendar,BC197,"1d","mf",,Trigger)</f>
        <v>42555</v>
      </c>
      <c r="BD198" s="41">
        <f>_xll.qlDayCounterYearFraction(DayCounter,SettlementDate,BC198,,,Trigger)</f>
        <v>0.76666666666666672</v>
      </c>
      <c r="BE198" s="47" t="e">
        <f>_xll.qlPolynomialFunctionValue(BE$1,$BD198,AllTriggers)</f>
        <v>#VALUE!</v>
      </c>
      <c r="BF198" s="47" t="e">
        <f>_xll.qlPolynomialFunctionValue(BF$1,$BD198,AllTriggers)</f>
        <v>#VALUE!</v>
      </c>
      <c r="BG198" s="47" t="e">
        <f>_xll.qlPolynomialFunctionValue(BG$1,$BD198,AllTriggers)</f>
        <v>#VALUE!</v>
      </c>
      <c r="BH198" s="47" t="e">
        <f>_xll.qlPolynomialFunctionValue(BH$1,$BD198,AllTriggers)</f>
        <v>#VALUE!</v>
      </c>
      <c r="BI198" s="47" t="e">
        <f>_xll.qlPolynomialFunctionValue(BI$1,$BD198,AllTriggers)</f>
        <v>#VALUE!</v>
      </c>
      <c r="BJ198" s="47" t="e">
        <f>_xll.qlPolynomialFunctionValue(BJ$1,$BD198,AllTriggers)</f>
        <v>#VALUE!</v>
      </c>
      <c r="BK198" s="47" t="e">
        <f>_xll.qlPolynomialFunctionValue(BK$1,$BD198,AllTriggers)</f>
        <v>#VALUE!</v>
      </c>
      <c r="BL198" s="47" t="e">
        <f>_xll.qlPolynomialFunctionValue(BL$1,$BD198,AllTriggers)</f>
        <v>#VALUE!</v>
      </c>
      <c r="BM198" s="47" t="e">
        <f>_xll.qlPolynomialFunctionValue(BM$1,$BD198,AllTriggers)</f>
        <v>#VALUE!</v>
      </c>
      <c r="BN198" s="47" t="e">
        <f>_xll.qlPolynomialFunctionValue(BN$1,$BD198,AllTriggers)</f>
        <v>#VALUE!</v>
      </c>
      <c r="BO198" s="47" t="e">
        <f>_xll.qlPolynomialFunctionValue(BO$1,$BD198,AllTriggers)</f>
        <v>#VALUE!</v>
      </c>
      <c r="BP198" s="47" t="e">
        <f>_xll.qlPolynomialFunctionValue(BP$1,$BD198,AllTriggers)</f>
        <v>#VALUE!</v>
      </c>
      <c r="BQ198" s="47">
        <f>_xll.qlPolynomialFunctionValue('12MSynthDepo_used'!$P$18,BD198,AllTriggers)</f>
        <v>3.2833981248938109E-3</v>
      </c>
    </row>
    <row r="199" spans="55:69" x14ac:dyDescent="0.2">
      <c r="BC199" s="178">
        <f>_xll.qlCalendarAdvance(Calendar,BC198,"1d","mf",,Trigger)</f>
        <v>42556</v>
      </c>
      <c r="BD199" s="41">
        <f>_xll.qlDayCounterYearFraction(DayCounter,SettlementDate,BC199,,,Trigger)</f>
        <v>0.76944444444444449</v>
      </c>
      <c r="BE199" s="47" t="e">
        <f>_xll.qlPolynomialFunctionValue(BE$1,$BD199,AllTriggers)</f>
        <v>#VALUE!</v>
      </c>
      <c r="BF199" s="47" t="e">
        <f>_xll.qlPolynomialFunctionValue(BF$1,$BD199,AllTriggers)</f>
        <v>#VALUE!</v>
      </c>
      <c r="BG199" s="47" t="e">
        <f>_xll.qlPolynomialFunctionValue(BG$1,$BD199,AllTriggers)</f>
        <v>#VALUE!</v>
      </c>
      <c r="BH199" s="47" t="e">
        <f>_xll.qlPolynomialFunctionValue(BH$1,$BD199,AllTriggers)</f>
        <v>#VALUE!</v>
      </c>
      <c r="BI199" s="47" t="e">
        <f>_xll.qlPolynomialFunctionValue(BI$1,$BD199,AllTriggers)</f>
        <v>#VALUE!</v>
      </c>
      <c r="BJ199" s="47" t="e">
        <f>_xll.qlPolynomialFunctionValue(BJ$1,$BD199,AllTriggers)</f>
        <v>#VALUE!</v>
      </c>
      <c r="BK199" s="47" t="e">
        <f>_xll.qlPolynomialFunctionValue(BK$1,$BD199,AllTriggers)</f>
        <v>#VALUE!</v>
      </c>
      <c r="BL199" s="47" t="e">
        <f>_xll.qlPolynomialFunctionValue(BL$1,$BD199,AllTriggers)</f>
        <v>#VALUE!</v>
      </c>
      <c r="BM199" s="47" t="e">
        <f>_xll.qlPolynomialFunctionValue(BM$1,$BD199,AllTriggers)</f>
        <v>#VALUE!</v>
      </c>
      <c r="BN199" s="47" t="e">
        <f>_xll.qlPolynomialFunctionValue(BN$1,$BD199,AllTriggers)</f>
        <v>#VALUE!</v>
      </c>
      <c r="BO199" s="47" t="e">
        <f>_xll.qlPolynomialFunctionValue(BO$1,$BD199,AllTriggers)</f>
        <v>#VALUE!</v>
      </c>
      <c r="BP199" s="47" t="e">
        <f>_xll.qlPolynomialFunctionValue(BP$1,$BD199,AllTriggers)</f>
        <v>#VALUE!</v>
      </c>
      <c r="BQ199" s="47">
        <f>_xll.qlPolynomialFunctionValue('12MSynthDepo_used'!$P$18,BD199,AllTriggers)</f>
        <v>3.2851103399514697E-3</v>
      </c>
    </row>
    <row r="200" spans="55:69" x14ac:dyDescent="0.2">
      <c r="BC200" s="178">
        <f>_xll.qlCalendarAdvance(Calendar,BC199,"1d","mf",,Trigger)</f>
        <v>42557</v>
      </c>
      <c r="BD200" s="41">
        <f>_xll.qlDayCounterYearFraction(DayCounter,SettlementDate,BC200,,,Trigger)</f>
        <v>0.77222222222222225</v>
      </c>
      <c r="BE200" s="47" t="e">
        <f>_xll.qlPolynomialFunctionValue(BE$1,$BD200,AllTriggers)</f>
        <v>#VALUE!</v>
      </c>
      <c r="BF200" s="47" t="e">
        <f>_xll.qlPolynomialFunctionValue(BF$1,$BD200,AllTriggers)</f>
        <v>#VALUE!</v>
      </c>
      <c r="BG200" s="47" t="e">
        <f>_xll.qlPolynomialFunctionValue(BG$1,$BD200,AllTriggers)</f>
        <v>#VALUE!</v>
      </c>
      <c r="BH200" s="47" t="e">
        <f>_xll.qlPolynomialFunctionValue(BH$1,$BD200,AllTriggers)</f>
        <v>#VALUE!</v>
      </c>
      <c r="BI200" s="47" t="e">
        <f>_xll.qlPolynomialFunctionValue(BI$1,$BD200,AllTriggers)</f>
        <v>#VALUE!</v>
      </c>
      <c r="BJ200" s="47" t="e">
        <f>_xll.qlPolynomialFunctionValue(BJ$1,$BD200,AllTriggers)</f>
        <v>#VALUE!</v>
      </c>
      <c r="BK200" s="47" t="e">
        <f>_xll.qlPolynomialFunctionValue(BK$1,$BD200,AllTriggers)</f>
        <v>#VALUE!</v>
      </c>
      <c r="BL200" s="47" t="e">
        <f>_xll.qlPolynomialFunctionValue(BL$1,$BD200,AllTriggers)</f>
        <v>#VALUE!</v>
      </c>
      <c r="BM200" s="47" t="e">
        <f>_xll.qlPolynomialFunctionValue(BM$1,$BD200,AllTriggers)</f>
        <v>#VALUE!</v>
      </c>
      <c r="BN200" s="47" t="e">
        <f>_xll.qlPolynomialFunctionValue(BN$1,$BD200,AllTriggers)</f>
        <v>#VALUE!</v>
      </c>
      <c r="BO200" s="47" t="e">
        <f>_xll.qlPolynomialFunctionValue(BO$1,$BD200,AllTriggers)</f>
        <v>#VALUE!</v>
      </c>
      <c r="BP200" s="47" t="e">
        <f>_xll.qlPolynomialFunctionValue(BP$1,$BD200,AllTriggers)</f>
        <v>#VALUE!</v>
      </c>
      <c r="BQ200" s="47">
        <f>_xll.qlPolynomialFunctionValue('12MSynthDepo_used'!$P$18,BD200,AllTriggers)</f>
        <v>3.286822772112767E-3</v>
      </c>
    </row>
    <row r="201" spans="55:69" x14ac:dyDescent="0.2">
      <c r="BC201" s="178">
        <f>_xll.qlCalendarAdvance(Calendar,BC200,"1d","mf",,Trigger)</f>
        <v>42558</v>
      </c>
      <c r="BD201" s="41">
        <f>_xll.qlDayCounterYearFraction(DayCounter,SettlementDate,BC201,,,Trigger)</f>
        <v>0.77500000000000002</v>
      </c>
      <c r="BE201" s="47" t="e">
        <f>_xll.qlPolynomialFunctionValue(BE$1,$BD201,AllTriggers)</f>
        <v>#VALUE!</v>
      </c>
      <c r="BF201" s="47" t="e">
        <f>_xll.qlPolynomialFunctionValue(BF$1,$BD201,AllTriggers)</f>
        <v>#VALUE!</v>
      </c>
      <c r="BG201" s="47" t="e">
        <f>_xll.qlPolynomialFunctionValue(BG$1,$BD201,AllTriggers)</f>
        <v>#VALUE!</v>
      </c>
      <c r="BH201" s="47" t="e">
        <f>_xll.qlPolynomialFunctionValue(BH$1,$BD201,AllTriggers)</f>
        <v>#VALUE!</v>
      </c>
      <c r="BI201" s="47" t="e">
        <f>_xll.qlPolynomialFunctionValue(BI$1,$BD201,AllTriggers)</f>
        <v>#VALUE!</v>
      </c>
      <c r="BJ201" s="47" t="e">
        <f>_xll.qlPolynomialFunctionValue(BJ$1,$BD201,AllTriggers)</f>
        <v>#VALUE!</v>
      </c>
      <c r="BK201" s="47" t="e">
        <f>_xll.qlPolynomialFunctionValue(BK$1,$BD201,AllTriggers)</f>
        <v>#VALUE!</v>
      </c>
      <c r="BL201" s="47" t="e">
        <f>_xll.qlPolynomialFunctionValue(BL$1,$BD201,AllTriggers)</f>
        <v>#VALUE!</v>
      </c>
      <c r="BM201" s="47" t="e">
        <f>_xll.qlPolynomialFunctionValue(BM$1,$BD201,AllTriggers)</f>
        <v>#VALUE!</v>
      </c>
      <c r="BN201" s="47" t="e">
        <f>_xll.qlPolynomialFunctionValue(BN$1,$BD201,AllTriggers)</f>
        <v>#VALUE!</v>
      </c>
      <c r="BO201" s="47" t="e">
        <f>_xll.qlPolynomialFunctionValue(BO$1,$BD201,AllTriggers)</f>
        <v>#VALUE!</v>
      </c>
      <c r="BP201" s="47" t="e">
        <f>_xll.qlPolynomialFunctionValue(BP$1,$BD201,AllTriggers)</f>
        <v>#VALUE!</v>
      </c>
      <c r="BQ201" s="47">
        <f>_xll.qlPolynomialFunctionValue('12MSynthDepo_used'!$P$18,BD201,AllTriggers)</f>
        <v>3.2885354161276388E-3</v>
      </c>
    </row>
    <row r="202" spans="55:69" x14ac:dyDescent="0.2">
      <c r="BC202" s="178">
        <f>_xll.qlCalendarAdvance(Calendar,BC201,"1d","mf",,Trigger)</f>
        <v>42559</v>
      </c>
      <c r="BD202" s="41">
        <f>_xll.qlDayCounterYearFraction(DayCounter,SettlementDate,BC202,,,Trigger)</f>
        <v>0.77777777777777779</v>
      </c>
      <c r="BE202" s="47" t="e">
        <f>_xll.qlPolynomialFunctionValue(BE$1,$BD202,AllTriggers)</f>
        <v>#VALUE!</v>
      </c>
      <c r="BF202" s="47" t="e">
        <f>_xll.qlPolynomialFunctionValue(BF$1,$BD202,AllTriggers)</f>
        <v>#VALUE!</v>
      </c>
      <c r="BG202" s="47" t="e">
        <f>_xll.qlPolynomialFunctionValue(BG$1,$BD202,AllTriggers)</f>
        <v>#VALUE!</v>
      </c>
      <c r="BH202" s="47" t="e">
        <f>_xll.qlPolynomialFunctionValue(BH$1,$BD202,AllTriggers)</f>
        <v>#VALUE!</v>
      </c>
      <c r="BI202" s="47" t="e">
        <f>_xll.qlPolynomialFunctionValue(BI$1,$BD202,AllTriggers)</f>
        <v>#VALUE!</v>
      </c>
      <c r="BJ202" s="47" t="e">
        <f>_xll.qlPolynomialFunctionValue(BJ$1,$BD202,AllTriggers)</f>
        <v>#VALUE!</v>
      </c>
      <c r="BK202" s="47" t="e">
        <f>_xll.qlPolynomialFunctionValue(BK$1,$BD202,AllTriggers)</f>
        <v>#VALUE!</v>
      </c>
      <c r="BL202" s="47" t="e">
        <f>_xll.qlPolynomialFunctionValue(BL$1,$BD202,AllTriggers)</f>
        <v>#VALUE!</v>
      </c>
      <c r="BM202" s="47" t="e">
        <f>_xll.qlPolynomialFunctionValue(BM$1,$BD202,AllTriggers)</f>
        <v>#VALUE!</v>
      </c>
      <c r="BN202" s="47" t="e">
        <f>_xll.qlPolynomialFunctionValue(BN$1,$BD202,AllTriggers)</f>
        <v>#VALUE!</v>
      </c>
      <c r="BO202" s="47" t="e">
        <f>_xll.qlPolynomialFunctionValue(BO$1,$BD202,AllTriggers)</f>
        <v>#VALUE!</v>
      </c>
      <c r="BP202" s="47" t="e">
        <f>_xll.qlPolynomialFunctionValue(BP$1,$BD202,AllTriggers)</f>
        <v>#VALUE!</v>
      </c>
      <c r="BQ202" s="47">
        <f>_xll.qlPolynomialFunctionValue('12MSynthDepo_used'!$P$18,BD202,AllTriggers)</f>
        <v>3.2902482667460211E-3</v>
      </c>
    </row>
    <row r="203" spans="55:69" x14ac:dyDescent="0.2">
      <c r="BC203" s="178">
        <f>_xll.qlCalendarAdvance(Calendar,BC202,"1d","mf",,Trigger)</f>
        <v>42562</v>
      </c>
      <c r="BD203" s="41">
        <f>_xll.qlDayCounterYearFraction(DayCounter,SettlementDate,BC203,,,Trigger)</f>
        <v>0.78611111111111109</v>
      </c>
      <c r="BE203" s="47" t="e">
        <f>_xll.qlPolynomialFunctionValue(BE$1,$BD203,AllTriggers)</f>
        <v>#VALUE!</v>
      </c>
      <c r="BF203" s="47" t="e">
        <f>_xll.qlPolynomialFunctionValue(BF$1,$BD203,AllTriggers)</f>
        <v>#VALUE!</v>
      </c>
      <c r="BG203" s="47" t="e">
        <f>_xll.qlPolynomialFunctionValue(BG$1,$BD203,AllTriggers)</f>
        <v>#VALUE!</v>
      </c>
      <c r="BH203" s="47" t="e">
        <f>_xll.qlPolynomialFunctionValue(BH$1,$BD203,AllTriggers)</f>
        <v>#VALUE!</v>
      </c>
      <c r="BI203" s="47" t="e">
        <f>_xll.qlPolynomialFunctionValue(BI$1,$BD203,AllTriggers)</f>
        <v>#VALUE!</v>
      </c>
      <c r="BJ203" s="47" t="e">
        <f>_xll.qlPolynomialFunctionValue(BJ$1,$BD203,AllTriggers)</f>
        <v>#VALUE!</v>
      </c>
      <c r="BK203" s="47" t="e">
        <f>_xll.qlPolynomialFunctionValue(BK$1,$BD203,AllTriggers)</f>
        <v>#VALUE!</v>
      </c>
      <c r="BL203" s="47" t="e">
        <f>_xll.qlPolynomialFunctionValue(BL$1,$BD203,AllTriggers)</f>
        <v>#VALUE!</v>
      </c>
      <c r="BM203" s="47" t="e">
        <f>_xll.qlPolynomialFunctionValue(BM$1,$BD203,AllTriggers)</f>
        <v>#VALUE!</v>
      </c>
      <c r="BN203" s="47" t="e">
        <f>_xll.qlPolynomialFunctionValue(BN$1,$BD203,AllTriggers)</f>
        <v>#VALUE!</v>
      </c>
      <c r="BO203" s="47" t="e">
        <f>_xll.qlPolynomialFunctionValue(BO$1,$BD203,AllTriggers)</f>
        <v>#VALUE!</v>
      </c>
      <c r="BP203" s="47" t="e">
        <f>_xll.qlPolynomialFunctionValue(BP$1,$BD203,AllTriggers)</f>
        <v>#VALUE!</v>
      </c>
      <c r="BQ203" s="47">
        <f>_xll.qlPolynomialFunctionValue('12MSynthDepo_used'!$P$18,BD203,AllTriggers)</f>
        <v>3.295388005721597E-3</v>
      </c>
    </row>
    <row r="204" spans="55:69" x14ac:dyDescent="0.2">
      <c r="BC204" s="178">
        <f>_xll.qlCalendarAdvance(Calendar,BC203,"1d","mf",,Trigger)</f>
        <v>42563</v>
      </c>
      <c r="BD204" s="41">
        <f>_xll.qlDayCounterYearFraction(DayCounter,SettlementDate,BC204,,,Trigger)</f>
        <v>0.78888888888888886</v>
      </c>
      <c r="BE204" s="47" t="e">
        <f>_xll.qlPolynomialFunctionValue(BE$1,$BD204,AllTriggers)</f>
        <v>#VALUE!</v>
      </c>
      <c r="BF204" s="47" t="e">
        <f>_xll.qlPolynomialFunctionValue(BF$1,$BD204,AllTriggers)</f>
        <v>#VALUE!</v>
      </c>
      <c r="BG204" s="47" t="e">
        <f>_xll.qlPolynomialFunctionValue(BG$1,$BD204,AllTriggers)</f>
        <v>#VALUE!</v>
      </c>
      <c r="BH204" s="47" t="e">
        <f>_xll.qlPolynomialFunctionValue(BH$1,$BD204,AllTriggers)</f>
        <v>#VALUE!</v>
      </c>
      <c r="BI204" s="47" t="e">
        <f>_xll.qlPolynomialFunctionValue(BI$1,$BD204,AllTriggers)</f>
        <v>#VALUE!</v>
      </c>
      <c r="BJ204" s="47" t="e">
        <f>_xll.qlPolynomialFunctionValue(BJ$1,$BD204,AllTriggers)</f>
        <v>#VALUE!</v>
      </c>
      <c r="BK204" s="47" t="e">
        <f>_xll.qlPolynomialFunctionValue(BK$1,$BD204,AllTriggers)</f>
        <v>#VALUE!</v>
      </c>
      <c r="BL204" s="47" t="e">
        <f>_xll.qlPolynomialFunctionValue(BL$1,$BD204,AllTriggers)</f>
        <v>#VALUE!</v>
      </c>
      <c r="BM204" s="47" t="e">
        <f>_xll.qlPolynomialFunctionValue(BM$1,$BD204,AllTriggers)</f>
        <v>#VALUE!</v>
      </c>
      <c r="BN204" s="47" t="e">
        <f>_xll.qlPolynomialFunctionValue(BN$1,$BD204,AllTriggers)</f>
        <v>#VALUE!</v>
      </c>
      <c r="BO204" s="47" t="e">
        <f>_xll.qlPolynomialFunctionValue(BO$1,$BD204,AllTriggers)</f>
        <v>#VALUE!</v>
      </c>
      <c r="BP204" s="47" t="e">
        <f>_xll.qlPolynomialFunctionValue(BP$1,$BD204,AllTriggers)</f>
        <v>#VALUE!</v>
      </c>
      <c r="BQ204" s="47">
        <f>_xll.qlPolynomialFunctionValue('12MSynthDepo_used'!$P$18,BD204,AllTriggers)</f>
        <v>3.2971016302533866E-3</v>
      </c>
    </row>
    <row r="205" spans="55:69" x14ac:dyDescent="0.2">
      <c r="BC205" s="178">
        <f>_xll.qlCalendarAdvance(Calendar,BC204,"1d","mf",,Trigger)</f>
        <v>42564</v>
      </c>
      <c r="BD205" s="41">
        <f>_xll.qlDayCounterYearFraction(DayCounter,SettlementDate,BC205,,,Trigger)</f>
        <v>0.79166666666666663</v>
      </c>
      <c r="BE205" s="47" t="e">
        <f>_xll.qlPolynomialFunctionValue(BE$1,$BD205,AllTriggers)</f>
        <v>#VALUE!</v>
      </c>
      <c r="BF205" s="47" t="e">
        <f>_xll.qlPolynomialFunctionValue(BF$1,$BD205,AllTriggers)</f>
        <v>#VALUE!</v>
      </c>
      <c r="BG205" s="47" t="e">
        <f>_xll.qlPolynomialFunctionValue(BG$1,$BD205,AllTriggers)</f>
        <v>#VALUE!</v>
      </c>
      <c r="BH205" s="47" t="e">
        <f>_xll.qlPolynomialFunctionValue(BH$1,$BD205,AllTriggers)</f>
        <v>#VALUE!</v>
      </c>
      <c r="BI205" s="47" t="e">
        <f>_xll.qlPolynomialFunctionValue(BI$1,$BD205,AllTriggers)</f>
        <v>#VALUE!</v>
      </c>
      <c r="BJ205" s="47" t="e">
        <f>_xll.qlPolynomialFunctionValue(BJ$1,$BD205,AllTriggers)</f>
        <v>#VALUE!</v>
      </c>
      <c r="BK205" s="47" t="e">
        <f>_xll.qlPolynomialFunctionValue(BK$1,$BD205,AllTriggers)</f>
        <v>#VALUE!</v>
      </c>
      <c r="BL205" s="47" t="e">
        <f>_xll.qlPolynomialFunctionValue(BL$1,$BD205,AllTriggers)</f>
        <v>#VALUE!</v>
      </c>
      <c r="BM205" s="47" t="e">
        <f>_xll.qlPolynomialFunctionValue(BM$1,$BD205,AllTriggers)</f>
        <v>#VALUE!</v>
      </c>
      <c r="BN205" s="47" t="e">
        <f>_xll.qlPolynomialFunctionValue(BN$1,$BD205,AllTriggers)</f>
        <v>#VALUE!</v>
      </c>
      <c r="BO205" s="47" t="e">
        <f>_xll.qlPolynomialFunctionValue(BO$1,$BD205,AllTriggers)</f>
        <v>#VALUE!</v>
      </c>
      <c r="BP205" s="47" t="e">
        <f>_xll.qlPolynomialFunctionValue(BP$1,$BD205,AllTriggers)</f>
        <v>#VALUE!</v>
      </c>
      <c r="BQ205" s="47">
        <f>_xll.qlPolynomialFunctionValue('12MSynthDepo_used'!$P$18,BD205,AllTriggers)</f>
        <v>3.2988154351383686E-3</v>
      </c>
    </row>
    <row r="206" spans="55:69" x14ac:dyDescent="0.2">
      <c r="BC206" s="178">
        <f>_xll.qlCalendarAdvance(Calendar,BC205,"1d","mf",,Trigger)</f>
        <v>42565</v>
      </c>
      <c r="BD206" s="41">
        <f>_xll.qlDayCounterYearFraction(DayCounter,SettlementDate,BC206,,,Trigger)</f>
        <v>0.7944444444444444</v>
      </c>
      <c r="BE206" s="47" t="e">
        <f>_xll.qlPolynomialFunctionValue(BE$1,$BD206,AllTriggers)</f>
        <v>#VALUE!</v>
      </c>
      <c r="BF206" s="47" t="e">
        <f>_xll.qlPolynomialFunctionValue(BF$1,$BD206,AllTriggers)</f>
        <v>#VALUE!</v>
      </c>
      <c r="BG206" s="47" t="e">
        <f>_xll.qlPolynomialFunctionValue(BG$1,$BD206,AllTriggers)</f>
        <v>#VALUE!</v>
      </c>
      <c r="BH206" s="47" t="e">
        <f>_xll.qlPolynomialFunctionValue(BH$1,$BD206,AllTriggers)</f>
        <v>#VALUE!</v>
      </c>
      <c r="BI206" s="47" t="e">
        <f>_xll.qlPolynomialFunctionValue(BI$1,$BD206,AllTriggers)</f>
        <v>#VALUE!</v>
      </c>
      <c r="BJ206" s="47" t="e">
        <f>_xll.qlPolynomialFunctionValue(BJ$1,$BD206,AllTriggers)</f>
        <v>#VALUE!</v>
      </c>
      <c r="BK206" s="47" t="e">
        <f>_xll.qlPolynomialFunctionValue(BK$1,$BD206,AllTriggers)</f>
        <v>#VALUE!</v>
      </c>
      <c r="BL206" s="47" t="e">
        <f>_xll.qlPolynomialFunctionValue(BL$1,$BD206,AllTriggers)</f>
        <v>#VALUE!</v>
      </c>
      <c r="BM206" s="47" t="e">
        <f>_xll.qlPolynomialFunctionValue(BM$1,$BD206,AllTriggers)</f>
        <v>#VALUE!</v>
      </c>
      <c r="BN206" s="47" t="e">
        <f>_xll.qlPolynomialFunctionValue(BN$1,$BD206,AllTriggers)</f>
        <v>#VALUE!</v>
      </c>
      <c r="BO206" s="47" t="e">
        <f>_xll.qlPolynomialFunctionValue(BO$1,$BD206,AllTriggers)</f>
        <v>#VALUE!</v>
      </c>
      <c r="BP206" s="47" t="e">
        <f>_xll.qlPolynomialFunctionValue(BP$1,$BD206,AllTriggers)</f>
        <v>#VALUE!</v>
      </c>
      <c r="BQ206" s="47">
        <f>_xll.qlPolynomialFunctionValue('12MSynthDepo_used'!$P$18,BD206,AllTriggers)</f>
        <v>3.3005294151264796E-3</v>
      </c>
    </row>
    <row r="207" spans="55:69" x14ac:dyDescent="0.2">
      <c r="BC207" s="178">
        <f>_xll.qlCalendarAdvance(Calendar,BC206,"1d","mf",,Trigger)</f>
        <v>42566</v>
      </c>
      <c r="BD207" s="41">
        <f>_xll.qlDayCounterYearFraction(DayCounter,SettlementDate,BC207,,,Trigger)</f>
        <v>0.79722222222222228</v>
      </c>
      <c r="BE207" s="47" t="e">
        <f>_xll.qlPolynomialFunctionValue(BE$1,$BD207,AllTriggers)</f>
        <v>#VALUE!</v>
      </c>
      <c r="BF207" s="47" t="e">
        <f>_xll.qlPolynomialFunctionValue(BF$1,$BD207,AllTriggers)</f>
        <v>#VALUE!</v>
      </c>
      <c r="BG207" s="47" t="e">
        <f>_xll.qlPolynomialFunctionValue(BG$1,$BD207,AllTriggers)</f>
        <v>#VALUE!</v>
      </c>
      <c r="BH207" s="47" t="e">
        <f>_xll.qlPolynomialFunctionValue(BH$1,$BD207,AllTriggers)</f>
        <v>#VALUE!</v>
      </c>
      <c r="BI207" s="47" t="e">
        <f>_xll.qlPolynomialFunctionValue(BI$1,$BD207,AllTriggers)</f>
        <v>#VALUE!</v>
      </c>
      <c r="BJ207" s="47" t="e">
        <f>_xll.qlPolynomialFunctionValue(BJ$1,$BD207,AllTriggers)</f>
        <v>#VALUE!</v>
      </c>
      <c r="BK207" s="47" t="e">
        <f>_xll.qlPolynomialFunctionValue(BK$1,$BD207,AllTriggers)</f>
        <v>#VALUE!</v>
      </c>
      <c r="BL207" s="47" t="e">
        <f>_xll.qlPolynomialFunctionValue(BL$1,$BD207,AllTriggers)</f>
        <v>#VALUE!</v>
      </c>
      <c r="BM207" s="47" t="e">
        <f>_xll.qlPolynomialFunctionValue(BM$1,$BD207,AllTriggers)</f>
        <v>#VALUE!</v>
      </c>
      <c r="BN207" s="47" t="e">
        <f>_xll.qlPolynomialFunctionValue(BN$1,$BD207,AllTriggers)</f>
        <v>#VALUE!</v>
      </c>
      <c r="BO207" s="47" t="e">
        <f>_xll.qlPolynomialFunctionValue(BO$1,$BD207,AllTriggers)</f>
        <v>#VALUE!</v>
      </c>
      <c r="BP207" s="47" t="e">
        <f>_xll.qlPolynomialFunctionValue(BP$1,$BD207,AllTriggers)</f>
        <v>#VALUE!</v>
      </c>
      <c r="BQ207" s="47">
        <f>_xll.qlPolynomialFunctionValue('12MSynthDepo_used'!$P$18,BD207,AllTriggers)</f>
        <v>3.3022435649676554E-3</v>
      </c>
    </row>
    <row r="208" spans="55:69" x14ac:dyDescent="0.2">
      <c r="BC208" s="178">
        <f>_xll.qlCalendarAdvance(Calendar,BC207,"1d","mf",,Trigger)</f>
        <v>42569</v>
      </c>
      <c r="BD208" s="41">
        <f>_xll.qlDayCounterYearFraction(DayCounter,SettlementDate,BC208,,,Trigger)</f>
        <v>0.80555555555555558</v>
      </c>
      <c r="BE208" s="47" t="e">
        <f>_xll.qlPolynomialFunctionValue(BE$1,$BD208,AllTriggers)</f>
        <v>#VALUE!</v>
      </c>
      <c r="BF208" s="47" t="e">
        <f>_xll.qlPolynomialFunctionValue(BF$1,$BD208,AllTriggers)</f>
        <v>#VALUE!</v>
      </c>
      <c r="BG208" s="47" t="e">
        <f>_xll.qlPolynomialFunctionValue(BG$1,$BD208,AllTriggers)</f>
        <v>#VALUE!</v>
      </c>
      <c r="BH208" s="47" t="e">
        <f>_xll.qlPolynomialFunctionValue(BH$1,$BD208,AllTriggers)</f>
        <v>#VALUE!</v>
      </c>
      <c r="BI208" s="47" t="e">
        <f>_xll.qlPolynomialFunctionValue(BI$1,$BD208,AllTriggers)</f>
        <v>#VALUE!</v>
      </c>
      <c r="BJ208" s="47" t="e">
        <f>_xll.qlPolynomialFunctionValue(BJ$1,$BD208,AllTriggers)</f>
        <v>#VALUE!</v>
      </c>
      <c r="BK208" s="47" t="e">
        <f>_xll.qlPolynomialFunctionValue(BK$1,$BD208,AllTriggers)</f>
        <v>#VALUE!</v>
      </c>
      <c r="BL208" s="47" t="e">
        <f>_xll.qlPolynomialFunctionValue(BL$1,$BD208,AllTriggers)</f>
        <v>#VALUE!</v>
      </c>
      <c r="BM208" s="47" t="e">
        <f>_xll.qlPolynomialFunctionValue(BM$1,$BD208,AllTriggers)</f>
        <v>#VALUE!</v>
      </c>
      <c r="BN208" s="47" t="e">
        <f>_xll.qlPolynomialFunctionValue(BN$1,$BD208,AllTriggers)</f>
        <v>#VALUE!</v>
      </c>
      <c r="BO208" s="47" t="e">
        <f>_xll.qlPolynomialFunctionValue(BO$1,$BD208,AllTriggers)</f>
        <v>#VALUE!</v>
      </c>
      <c r="BP208" s="47" t="e">
        <f>_xll.qlPolynomialFunctionValue(BP$1,$BD208,AllTriggers)</f>
        <v>#VALUE!</v>
      </c>
      <c r="BQ208" s="47">
        <f>_xll.qlPolynomialFunctionValue('12MSynthDepo_used'!$P$18,BD208,AllTriggers)</f>
        <v>3.3073869811089383E-3</v>
      </c>
    </row>
    <row r="209" spans="55:69" x14ac:dyDescent="0.2">
      <c r="BC209" s="178">
        <f>_xll.qlCalendarAdvance(Calendar,BC208,"1d","mf",,Trigger)</f>
        <v>42570</v>
      </c>
      <c r="BD209" s="41">
        <f>_xll.qlDayCounterYearFraction(DayCounter,SettlementDate,BC209,,,Trigger)</f>
        <v>0.80833333333333335</v>
      </c>
      <c r="BE209" s="47" t="e">
        <f>_xll.qlPolynomialFunctionValue(BE$1,$BD209,AllTriggers)</f>
        <v>#VALUE!</v>
      </c>
      <c r="BF209" s="47" t="e">
        <f>_xll.qlPolynomialFunctionValue(BF$1,$BD209,AllTriggers)</f>
        <v>#VALUE!</v>
      </c>
      <c r="BG209" s="47" t="e">
        <f>_xll.qlPolynomialFunctionValue(BG$1,$BD209,AllTriggers)</f>
        <v>#VALUE!</v>
      </c>
      <c r="BH209" s="47" t="e">
        <f>_xll.qlPolynomialFunctionValue(BH$1,$BD209,AllTriggers)</f>
        <v>#VALUE!</v>
      </c>
      <c r="BI209" s="47" t="e">
        <f>_xll.qlPolynomialFunctionValue(BI$1,$BD209,AllTriggers)</f>
        <v>#VALUE!</v>
      </c>
      <c r="BJ209" s="47" t="e">
        <f>_xll.qlPolynomialFunctionValue(BJ$1,$BD209,AllTriggers)</f>
        <v>#VALUE!</v>
      </c>
      <c r="BK209" s="47" t="e">
        <f>_xll.qlPolynomialFunctionValue(BK$1,$BD209,AllTriggers)</f>
        <v>#VALUE!</v>
      </c>
      <c r="BL209" s="47" t="e">
        <f>_xll.qlPolynomialFunctionValue(BL$1,$BD209,AllTriggers)</f>
        <v>#VALUE!</v>
      </c>
      <c r="BM209" s="47" t="e">
        <f>_xll.qlPolynomialFunctionValue(BM$1,$BD209,AllTriggers)</f>
        <v>#VALUE!</v>
      </c>
      <c r="BN209" s="47" t="e">
        <f>_xll.qlPolynomialFunctionValue(BN$1,$BD209,AllTriggers)</f>
        <v>#VALUE!</v>
      </c>
      <c r="BO209" s="47" t="e">
        <f>_xll.qlPolynomialFunctionValue(BO$1,$BD209,AllTriggers)</f>
        <v>#VALUE!</v>
      </c>
      <c r="BP209" s="47" t="e">
        <f>_xll.qlPolynomialFunctionValue(BP$1,$BD209,AllTriggers)</f>
        <v>#VALUE!</v>
      </c>
      <c r="BQ209" s="47">
        <f>_xll.qlPolynomialFunctionValue('12MSynthDepo_used'!$P$18,BD209,AllTriggers)</f>
        <v>3.3091017578617387E-3</v>
      </c>
    </row>
    <row r="210" spans="55:69" x14ac:dyDescent="0.2">
      <c r="BC210" s="178">
        <f>_xll.qlCalendarAdvance(Calendar,BC209,"1d","mf",,Trigger)</f>
        <v>42571</v>
      </c>
      <c r="BD210" s="41">
        <f>_xll.qlDayCounterYearFraction(DayCounter,SettlementDate,BC210,,,Trigger)</f>
        <v>0.81111111111111112</v>
      </c>
      <c r="BE210" s="47" t="e">
        <f>_xll.qlPolynomialFunctionValue(BE$1,$BD210,AllTriggers)</f>
        <v>#VALUE!</v>
      </c>
      <c r="BF210" s="47" t="e">
        <f>_xll.qlPolynomialFunctionValue(BF$1,$BD210,AllTriggers)</f>
        <v>#VALUE!</v>
      </c>
      <c r="BG210" s="47" t="e">
        <f>_xll.qlPolynomialFunctionValue(BG$1,$BD210,AllTriggers)</f>
        <v>#VALUE!</v>
      </c>
      <c r="BH210" s="47" t="e">
        <f>_xll.qlPolynomialFunctionValue(BH$1,$BD210,AllTriggers)</f>
        <v>#VALUE!</v>
      </c>
      <c r="BI210" s="47" t="e">
        <f>_xll.qlPolynomialFunctionValue(BI$1,$BD210,AllTriggers)</f>
        <v>#VALUE!</v>
      </c>
      <c r="BJ210" s="47" t="e">
        <f>_xll.qlPolynomialFunctionValue(BJ$1,$BD210,AllTriggers)</f>
        <v>#VALUE!</v>
      </c>
      <c r="BK210" s="47" t="e">
        <f>_xll.qlPolynomialFunctionValue(BK$1,$BD210,AllTriggers)</f>
        <v>#VALUE!</v>
      </c>
      <c r="BL210" s="47" t="e">
        <f>_xll.qlPolynomialFunctionValue(BL$1,$BD210,AllTriggers)</f>
        <v>#VALUE!</v>
      </c>
      <c r="BM210" s="47" t="e">
        <f>_xll.qlPolynomialFunctionValue(BM$1,$BD210,AllTriggers)</f>
        <v>#VALUE!</v>
      </c>
      <c r="BN210" s="47" t="e">
        <f>_xll.qlPolynomialFunctionValue(BN$1,$BD210,AllTriggers)</f>
        <v>#VALUE!</v>
      </c>
      <c r="BO210" s="47" t="e">
        <f>_xll.qlPolynomialFunctionValue(BO$1,$BD210,AllTriggers)</f>
        <v>#VALUE!</v>
      </c>
      <c r="BP210" s="47" t="e">
        <f>_xll.qlPolynomialFunctionValue(BP$1,$BD210,AllTriggers)</f>
        <v>#VALUE!</v>
      </c>
      <c r="BQ210" s="47">
        <f>_xll.qlPolynomialFunctionValue('12MSynthDepo_used'!$P$18,BD210,AllTriggers)</f>
        <v>3.3108166782172869E-3</v>
      </c>
    </row>
    <row r="211" spans="55:69" x14ac:dyDescent="0.2">
      <c r="BC211" s="178">
        <f>_xll.qlCalendarAdvance(Calendar,BC210,"1d","mf",,Trigger)</f>
        <v>42572</v>
      </c>
      <c r="BD211" s="41">
        <f>_xll.qlDayCounterYearFraction(DayCounter,SettlementDate,BC211,,,Trigger)</f>
        <v>0.81388888888888888</v>
      </c>
      <c r="BE211" s="47" t="e">
        <f>_xll.qlPolynomialFunctionValue(BE$1,$BD211,AllTriggers)</f>
        <v>#VALUE!</v>
      </c>
      <c r="BF211" s="47" t="e">
        <f>_xll.qlPolynomialFunctionValue(BF$1,$BD211,AllTriggers)</f>
        <v>#VALUE!</v>
      </c>
      <c r="BG211" s="47" t="e">
        <f>_xll.qlPolynomialFunctionValue(BG$1,$BD211,AllTriggers)</f>
        <v>#VALUE!</v>
      </c>
      <c r="BH211" s="47" t="e">
        <f>_xll.qlPolynomialFunctionValue(BH$1,$BD211,AllTriggers)</f>
        <v>#VALUE!</v>
      </c>
      <c r="BI211" s="47" t="e">
        <f>_xll.qlPolynomialFunctionValue(BI$1,$BD211,AllTriggers)</f>
        <v>#VALUE!</v>
      </c>
      <c r="BJ211" s="47" t="e">
        <f>_xll.qlPolynomialFunctionValue(BJ$1,$BD211,AllTriggers)</f>
        <v>#VALUE!</v>
      </c>
      <c r="BK211" s="47" t="e">
        <f>_xll.qlPolynomialFunctionValue(BK$1,$BD211,AllTriggers)</f>
        <v>#VALUE!</v>
      </c>
      <c r="BL211" s="47" t="e">
        <f>_xll.qlPolynomialFunctionValue(BL$1,$BD211,AllTriggers)</f>
        <v>#VALUE!</v>
      </c>
      <c r="BM211" s="47" t="e">
        <f>_xll.qlPolynomialFunctionValue(BM$1,$BD211,AllTriggers)</f>
        <v>#VALUE!</v>
      </c>
      <c r="BN211" s="47" t="e">
        <f>_xll.qlPolynomialFunctionValue(BN$1,$BD211,AllTriggers)</f>
        <v>#VALUE!</v>
      </c>
      <c r="BO211" s="47" t="e">
        <f>_xll.qlPolynomialFunctionValue(BO$1,$BD211,AllTriggers)</f>
        <v>#VALUE!</v>
      </c>
      <c r="BP211" s="47" t="e">
        <f>_xll.qlPolynomialFunctionValue(BP$1,$BD211,AllTriggers)</f>
        <v>#VALUE!</v>
      </c>
      <c r="BQ211" s="47">
        <f>_xll.qlPolynomialFunctionValue('12MSynthDepo_used'!$P$18,BD211,AllTriggers)</f>
        <v>3.3125317369255172E-3</v>
      </c>
    </row>
    <row r="212" spans="55:69" x14ac:dyDescent="0.2">
      <c r="BC212" s="178">
        <f>_xll.qlCalendarAdvance(Calendar,BC211,"1d","mf",,Trigger)</f>
        <v>42573</v>
      </c>
      <c r="BD212" s="41">
        <f>_xll.qlDayCounterYearFraction(DayCounter,SettlementDate,BC212,,,Trigger)</f>
        <v>0.81666666666666665</v>
      </c>
      <c r="BE212" s="47" t="e">
        <f>_xll.qlPolynomialFunctionValue(BE$1,$BD212,AllTriggers)</f>
        <v>#VALUE!</v>
      </c>
      <c r="BF212" s="47" t="e">
        <f>_xll.qlPolynomialFunctionValue(BF$1,$BD212,AllTriggers)</f>
        <v>#VALUE!</v>
      </c>
      <c r="BG212" s="47" t="e">
        <f>_xll.qlPolynomialFunctionValue(BG$1,$BD212,AllTriggers)</f>
        <v>#VALUE!</v>
      </c>
      <c r="BH212" s="47" t="e">
        <f>_xll.qlPolynomialFunctionValue(BH$1,$BD212,AllTriggers)</f>
        <v>#VALUE!</v>
      </c>
      <c r="BI212" s="47" t="e">
        <f>_xll.qlPolynomialFunctionValue(BI$1,$BD212,AllTriggers)</f>
        <v>#VALUE!</v>
      </c>
      <c r="BJ212" s="47" t="e">
        <f>_xll.qlPolynomialFunctionValue(BJ$1,$BD212,AllTriggers)</f>
        <v>#VALUE!</v>
      </c>
      <c r="BK212" s="47" t="e">
        <f>_xll.qlPolynomialFunctionValue(BK$1,$BD212,AllTriggers)</f>
        <v>#VALUE!</v>
      </c>
      <c r="BL212" s="47" t="e">
        <f>_xll.qlPolynomialFunctionValue(BL$1,$BD212,AllTriggers)</f>
        <v>#VALUE!</v>
      </c>
      <c r="BM212" s="47" t="e">
        <f>_xll.qlPolynomialFunctionValue(BM$1,$BD212,AllTriggers)</f>
        <v>#VALUE!</v>
      </c>
      <c r="BN212" s="47" t="e">
        <f>_xll.qlPolynomialFunctionValue(BN$1,$BD212,AllTriggers)</f>
        <v>#VALUE!</v>
      </c>
      <c r="BO212" s="47" t="e">
        <f>_xll.qlPolynomialFunctionValue(BO$1,$BD212,AllTriggers)</f>
        <v>#VALUE!</v>
      </c>
      <c r="BP212" s="47" t="e">
        <f>_xll.qlPolynomialFunctionValue(BP$1,$BD212,AllTriggers)</f>
        <v>#VALUE!</v>
      </c>
      <c r="BQ212" s="47">
        <f>_xll.qlPolynomialFunctionValue('12MSynthDepo_used'!$P$18,BD212,AllTriggers)</f>
        <v>3.3142469287363681E-3</v>
      </c>
    </row>
    <row r="213" spans="55:69" x14ac:dyDescent="0.2">
      <c r="BC213" s="178">
        <f>_xll.qlCalendarAdvance(Calendar,BC212,"1d","mf",,Trigger)</f>
        <v>42576</v>
      </c>
      <c r="BD213" s="41">
        <f>_xll.qlDayCounterYearFraction(DayCounter,SettlementDate,BC213,,,Trigger)</f>
        <v>0.82499999999999996</v>
      </c>
      <c r="BE213" s="47" t="e">
        <f>_xll.qlPolynomialFunctionValue(BE$1,$BD213,AllTriggers)</f>
        <v>#VALUE!</v>
      </c>
      <c r="BF213" s="47" t="e">
        <f>_xll.qlPolynomialFunctionValue(BF$1,$BD213,AllTriggers)</f>
        <v>#VALUE!</v>
      </c>
      <c r="BG213" s="47" t="e">
        <f>_xll.qlPolynomialFunctionValue(BG$1,$BD213,AllTriggers)</f>
        <v>#VALUE!</v>
      </c>
      <c r="BH213" s="47" t="e">
        <f>_xll.qlPolynomialFunctionValue(BH$1,$BD213,AllTriggers)</f>
        <v>#VALUE!</v>
      </c>
      <c r="BI213" s="47" t="e">
        <f>_xll.qlPolynomialFunctionValue(BI$1,$BD213,AllTriggers)</f>
        <v>#VALUE!</v>
      </c>
      <c r="BJ213" s="47" t="e">
        <f>_xll.qlPolynomialFunctionValue(BJ$1,$BD213,AllTriggers)</f>
        <v>#VALUE!</v>
      </c>
      <c r="BK213" s="47" t="e">
        <f>_xll.qlPolynomialFunctionValue(BK$1,$BD213,AllTriggers)</f>
        <v>#VALUE!</v>
      </c>
      <c r="BL213" s="47" t="e">
        <f>_xll.qlPolynomialFunctionValue(BL$1,$BD213,AllTriggers)</f>
        <v>#VALUE!</v>
      </c>
      <c r="BM213" s="47" t="e">
        <f>_xll.qlPolynomialFunctionValue(BM$1,$BD213,AllTriggers)</f>
        <v>#VALUE!</v>
      </c>
      <c r="BN213" s="47" t="e">
        <f>_xll.qlPolynomialFunctionValue(BN$1,$BD213,AllTriggers)</f>
        <v>#VALUE!</v>
      </c>
      <c r="BO213" s="47" t="e">
        <f>_xll.qlPolynomialFunctionValue(BO$1,$BD213,AllTriggers)</f>
        <v>#VALUE!</v>
      </c>
      <c r="BP213" s="47" t="e">
        <f>_xll.qlPolynomialFunctionValue(BP$1,$BD213,AllTriggers)</f>
        <v>#VALUE!</v>
      </c>
      <c r="BQ213" s="47">
        <f>_xll.qlPolynomialFunctionValue('12MSynthDepo_used'!$P$18,BD213,AllTriggers)</f>
        <v>3.319393250284E-3</v>
      </c>
    </row>
    <row r="214" spans="55:69" x14ac:dyDescent="0.2">
      <c r="BC214" s="178">
        <f>_xll.qlCalendarAdvance(Calendar,BC213,"1d","mf",,Trigger)</f>
        <v>42577</v>
      </c>
      <c r="BD214" s="41">
        <f>_xll.qlDayCounterYearFraction(DayCounter,SettlementDate,BC214,,,Trigger)</f>
        <v>0.82777777777777772</v>
      </c>
      <c r="BE214" s="47" t="e">
        <f>_xll.qlPolynomialFunctionValue(BE$1,$BD214,AllTriggers)</f>
        <v>#VALUE!</v>
      </c>
      <c r="BF214" s="47" t="e">
        <f>_xll.qlPolynomialFunctionValue(BF$1,$BD214,AllTriggers)</f>
        <v>#VALUE!</v>
      </c>
      <c r="BG214" s="47" t="e">
        <f>_xll.qlPolynomialFunctionValue(BG$1,$BD214,AllTriggers)</f>
        <v>#VALUE!</v>
      </c>
      <c r="BH214" s="47" t="e">
        <f>_xll.qlPolynomialFunctionValue(BH$1,$BD214,AllTriggers)</f>
        <v>#VALUE!</v>
      </c>
      <c r="BI214" s="47" t="e">
        <f>_xll.qlPolynomialFunctionValue(BI$1,$BD214,AllTriggers)</f>
        <v>#VALUE!</v>
      </c>
      <c r="BJ214" s="47" t="e">
        <f>_xll.qlPolynomialFunctionValue(BJ$1,$BD214,AllTriggers)</f>
        <v>#VALUE!</v>
      </c>
      <c r="BK214" s="47" t="e">
        <f>_xll.qlPolynomialFunctionValue(BK$1,$BD214,AllTriggers)</f>
        <v>#VALUE!</v>
      </c>
      <c r="BL214" s="47" t="e">
        <f>_xll.qlPolynomialFunctionValue(BL$1,$BD214,AllTriggers)</f>
        <v>#VALUE!</v>
      </c>
      <c r="BM214" s="47" t="e">
        <f>_xll.qlPolynomialFunctionValue(BM$1,$BD214,AllTriggers)</f>
        <v>#VALUE!</v>
      </c>
      <c r="BN214" s="47" t="e">
        <f>_xll.qlPolynomialFunctionValue(BN$1,$BD214,AllTriggers)</f>
        <v>#VALUE!</v>
      </c>
      <c r="BO214" s="47" t="e">
        <f>_xll.qlPolynomialFunctionValue(BO$1,$BD214,AllTriggers)</f>
        <v>#VALUE!</v>
      </c>
      <c r="BP214" s="47" t="e">
        <f>_xll.qlPolynomialFunctionValue(BP$1,$BD214,AllTriggers)</f>
        <v>#VALUE!</v>
      </c>
      <c r="BQ214" s="47">
        <f>_xll.qlPolynomialFunctionValue('12MSynthDepo_used'!$P$18,BD214,AllTriggers)</f>
        <v>3.3211089220046928E-3</v>
      </c>
    </row>
    <row r="215" spans="55:69" x14ac:dyDescent="0.2">
      <c r="BC215" s="178">
        <f>_xll.qlCalendarAdvance(Calendar,BC214,"1d","mf",,Trigger)</f>
        <v>42578</v>
      </c>
      <c r="BD215" s="41">
        <f>_xll.qlDayCounterYearFraction(DayCounter,SettlementDate,BC215,,,Trigger)</f>
        <v>0.8305555555555556</v>
      </c>
      <c r="BE215" s="47" t="e">
        <f>_xll.qlPolynomialFunctionValue(BE$1,$BD215,AllTriggers)</f>
        <v>#VALUE!</v>
      </c>
      <c r="BF215" s="47" t="e">
        <f>_xll.qlPolynomialFunctionValue(BF$1,$BD215,AllTriggers)</f>
        <v>#VALUE!</v>
      </c>
      <c r="BG215" s="47" t="e">
        <f>_xll.qlPolynomialFunctionValue(BG$1,$BD215,AllTriggers)</f>
        <v>#VALUE!</v>
      </c>
      <c r="BH215" s="47" t="e">
        <f>_xll.qlPolynomialFunctionValue(BH$1,$BD215,AllTriggers)</f>
        <v>#VALUE!</v>
      </c>
      <c r="BI215" s="47" t="e">
        <f>_xll.qlPolynomialFunctionValue(BI$1,$BD215,AllTriggers)</f>
        <v>#VALUE!</v>
      </c>
      <c r="BJ215" s="47" t="e">
        <f>_xll.qlPolynomialFunctionValue(BJ$1,$BD215,AllTriggers)</f>
        <v>#VALUE!</v>
      </c>
      <c r="BK215" s="47" t="e">
        <f>_xll.qlPolynomialFunctionValue(BK$1,$BD215,AllTriggers)</f>
        <v>#VALUE!</v>
      </c>
      <c r="BL215" s="47" t="e">
        <f>_xll.qlPolynomialFunctionValue(BL$1,$BD215,AllTriggers)</f>
        <v>#VALUE!</v>
      </c>
      <c r="BM215" s="47" t="e">
        <f>_xll.qlPolynomialFunctionValue(BM$1,$BD215,AllTriggers)</f>
        <v>#VALUE!</v>
      </c>
      <c r="BN215" s="47" t="e">
        <f>_xll.qlPolynomialFunctionValue(BN$1,$BD215,AllTriggers)</f>
        <v>#VALUE!</v>
      </c>
      <c r="BO215" s="47" t="e">
        <f>_xll.qlPolynomialFunctionValue(BO$1,$BD215,AllTriggers)</f>
        <v>#VALUE!</v>
      </c>
      <c r="BP215" s="47" t="e">
        <f>_xll.qlPolynomialFunctionValue(BP$1,$BD215,AllTriggers)</f>
        <v>#VALUE!</v>
      </c>
      <c r="BQ215" s="47">
        <f>_xll.qlPolynomialFunctionValue('12MSynthDepo_used'!$P$18,BD215,AllTriggers)</f>
        <v>3.3228247005776868E-3</v>
      </c>
    </row>
    <row r="216" spans="55:69" x14ac:dyDescent="0.2">
      <c r="BC216" s="178">
        <f>_xll.qlCalendarAdvance(Calendar,BC215,"1d","mf",,Trigger)</f>
        <v>42579</v>
      </c>
      <c r="BD216" s="41">
        <f>_xll.qlDayCounterYearFraction(DayCounter,SettlementDate,BC216,,,Trigger)</f>
        <v>0.83333333333333337</v>
      </c>
      <c r="BE216" s="47" t="e">
        <f>_xll.qlPolynomialFunctionValue(BE$1,$BD216,AllTriggers)</f>
        <v>#VALUE!</v>
      </c>
      <c r="BF216" s="47" t="e">
        <f>_xll.qlPolynomialFunctionValue(BF$1,$BD216,AllTriggers)</f>
        <v>#VALUE!</v>
      </c>
      <c r="BG216" s="47" t="e">
        <f>_xll.qlPolynomialFunctionValue(BG$1,$BD216,AllTriggers)</f>
        <v>#VALUE!</v>
      </c>
      <c r="BH216" s="47" t="e">
        <f>_xll.qlPolynomialFunctionValue(BH$1,$BD216,AllTriggers)</f>
        <v>#VALUE!</v>
      </c>
      <c r="BI216" s="47" t="e">
        <f>_xll.qlPolynomialFunctionValue(BI$1,$BD216,AllTriggers)</f>
        <v>#VALUE!</v>
      </c>
      <c r="BJ216" s="47" t="e">
        <f>_xll.qlPolynomialFunctionValue(BJ$1,$BD216,AllTriggers)</f>
        <v>#VALUE!</v>
      </c>
      <c r="BK216" s="47" t="e">
        <f>_xll.qlPolynomialFunctionValue(BK$1,$BD216,AllTriggers)</f>
        <v>#VALUE!</v>
      </c>
      <c r="BL216" s="47" t="e">
        <f>_xll.qlPolynomialFunctionValue(BL$1,$BD216,AllTriggers)</f>
        <v>#VALUE!</v>
      </c>
      <c r="BM216" s="47" t="e">
        <f>_xll.qlPolynomialFunctionValue(BM$1,$BD216,AllTriggers)</f>
        <v>#VALUE!</v>
      </c>
      <c r="BN216" s="47" t="e">
        <f>_xll.qlPolynomialFunctionValue(BN$1,$BD216,AllTriggers)</f>
        <v>#VALUE!</v>
      </c>
      <c r="BO216" s="47" t="e">
        <f>_xll.qlPolynomialFunctionValue(BO$1,$BD216,AllTriggers)</f>
        <v>#VALUE!</v>
      </c>
      <c r="BP216" s="47" t="e">
        <f>_xll.qlPolynomialFunctionValue(BP$1,$BD216,AllTriggers)</f>
        <v>#VALUE!</v>
      </c>
      <c r="BQ216" s="47">
        <f>_xll.qlPolynomialFunctionValue('12MSynthDepo_used'!$P$18,BD216,AllTriggers)</f>
        <v>3.3245405807529179E-3</v>
      </c>
    </row>
    <row r="217" spans="55:69" x14ac:dyDescent="0.2">
      <c r="BC217" s="178">
        <f>_xll.qlCalendarAdvance(Calendar,BC216,"1d","mf",,Trigger)</f>
        <v>42580</v>
      </c>
      <c r="BD217" s="41">
        <f>_xll.qlDayCounterYearFraction(DayCounter,SettlementDate,BC217,,,Trigger)</f>
        <v>0.83611111111111114</v>
      </c>
      <c r="BE217" s="47" t="e">
        <f>_xll.qlPolynomialFunctionValue(BE$1,$BD217,AllTriggers)</f>
        <v>#VALUE!</v>
      </c>
      <c r="BF217" s="47" t="e">
        <f>_xll.qlPolynomialFunctionValue(BF$1,$BD217,AllTriggers)</f>
        <v>#VALUE!</v>
      </c>
      <c r="BG217" s="47" t="e">
        <f>_xll.qlPolynomialFunctionValue(BG$1,$BD217,AllTriggers)</f>
        <v>#VALUE!</v>
      </c>
      <c r="BH217" s="47" t="e">
        <f>_xll.qlPolynomialFunctionValue(BH$1,$BD217,AllTriggers)</f>
        <v>#VALUE!</v>
      </c>
      <c r="BI217" s="47" t="e">
        <f>_xll.qlPolynomialFunctionValue(BI$1,$BD217,AllTriggers)</f>
        <v>#VALUE!</v>
      </c>
      <c r="BJ217" s="47" t="e">
        <f>_xll.qlPolynomialFunctionValue(BJ$1,$BD217,AllTriggers)</f>
        <v>#VALUE!</v>
      </c>
      <c r="BK217" s="47" t="e">
        <f>_xll.qlPolynomialFunctionValue(BK$1,$BD217,AllTriggers)</f>
        <v>#VALUE!</v>
      </c>
      <c r="BL217" s="47" t="e">
        <f>_xll.qlPolynomialFunctionValue(BL$1,$BD217,AllTriggers)</f>
        <v>#VALUE!</v>
      </c>
      <c r="BM217" s="47" t="e">
        <f>_xll.qlPolynomialFunctionValue(BM$1,$BD217,AllTriggers)</f>
        <v>#VALUE!</v>
      </c>
      <c r="BN217" s="47" t="e">
        <f>_xll.qlPolynomialFunctionValue(BN$1,$BD217,AllTriggers)</f>
        <v>#VALUE!</v>
      </c>
      <c r="BO217" s="47" t="e">
        <f>_xll.qlPolynomialFunctionValue(BO$1,$BD217,AllTriggers)</f>
        <v>#VALUE!</v>
      </c>
      <c r="BP217" s="47" t="e">
        <f>_xll.qlPolynomialFunctionValue(BP$1,$BD217,AllTriggers)</f>
        <v>#VALUE!</v>
      </c>
      <c r="BQ217" s="47">
        <f>_xll.qlPolynomialFunctionValue('12MSynthDepo_used'!$P$18,BD217,AllTriggers)</f>
        <v>3.3262565572803235E-3</v>
      </c>
    </row>
    <row r="218" spans="55:69" x14ac:dyDescent="0.2">
      <c r="BC218" s="178">
        <f>_xll.qlCalendarAdvance(Calendar,BC217,"1d","mf",,Trigger)</f>
        <v>42583</v>
      </c>
      <c r="BD218" s="41">
        <f>_xll.qlDayCounterYearFraction(DayCounter,SettlementDate,BC218,,,Trigger)</f>
        <v>0.84444444444444444</v>
      </c>
      <c r="BE218" s="47" t="e">
        <f>_xll.qlPolynomialFunctionValue(BE$1,$BD218,AllTriggers)</f>
        <v>#VALUE!</v>
      </c>
      <c r="BF218" s="47" t="e">
        <f>_xll.qlPolynomialFunctionValue(BF$1,$BD218,AllTriggers)</f>
        <v>#VALUE!</v>
      </c>
      <c r="BG218" s="47" t="e">
        <f>_xll.qlPolynomialFunctionValue(BG$1,$BD218,AllTriggers)</f>
        <v>#VALUE!</v>
      </c>
      <c r="BH218" s="47" t="e">
        <f>_xll.qlPolynomialFunctionValue(BH$1,$BD218,AllTriggers)</f>
        <v>#VALUE!</v>
      </c>
      <c r="BI218" s="47" t="e">
        <f>_xll.qlPolynomialFunctionValue(BI$1,$BD218,AllTriggers)</f>
        <v>#VALUE!</v>
      </c>
      <c r="BJ218" s="47" t="e">
        <f>_xll.qlPolynomialFunctionValue(BJ$1,$BD218,AllTriggers)</f>
        <v>#VALUE!</v>
      </c>
      <c r="BK218" s="47" t="e">
        <f>_xll.qlPolynomialFunctionValue(BK$1,$BD218,AllTriggers)</f>
        <v>#VALUE!</v>
      </c>
      <c r="BL218" s="47" t="e">
        <f>_xll.qlPolynomialFunctionValue(BL$1,$BD218,AllTriggers)</f>
        <v>#VALUE!</v>
      </c>
      <c r="BM218" s="47" t="e">
        <f>_xll.qlPolynomialFunctionValue(BM$1,$BD218,AllTriggers)</f>
        <v>#VALUE!</v>
      </c>
      <c r="BN218" s="47" t="e">
        <f>_xll.qlPolynomialFunctionValue(BN$1,$BD218,AllTriggers)</f>
        <v>#VALUE!</v>
      </c>
      <c r="BO218" s="47" t="e">
        <f>_xll.qlPolynomialFunctionValue(BO$1,$BD218,AllTriggers)</f>
        <v>#VALUE!</v>
      </c>
      <c r="BP218" s="47" t="e">
        <f>_xll.qlPolynomialFunctionValue(BP$1,$BD218,AllTriggers)</f>
        <v>#VALUE!</v>
      </c>
      <c r="BQ218" s="47">
        <f>_xll.qlPolynomialFunctionValue('12MSynthDepo_used'!$P$18,BD218,AllTriggers)</f>
        <v>3.3314050124749485E-3</v>
      </c>
    </row>
    <row r="219" spans="55:69" x14ac:dyDescent="0.2">
      <c r="BC219" s="178">
        <f>_xll.qlCalendarAdvance(Calendar,BC218,"1d","mf",,Trigger)</f>
        <v>42584</v>
      </c>
      <c r="BD219" s="41">
        <f>_xll.qlDayCounterYearFraction(DayCounter,SettlementDate,BC219,,,Trigger)</f>
        <v>0.84722222222222221</v>
      </c>
      <c r="BE219" s="47" t="e">
        <f>_xll.qlPolynomialFunctionValue(BE$1,$BD219,AllTriggers)</f>
        <v>#VALUE!</v>
      </c>
      <c r="BF219" s="47" t="e">
        <f>_xll.qlPolynomialFunctionValue(BF$1,$BD219,AllTriggers)</f>
        <v>#VALUE!</v>
      </c>
      <c r="BG219" s="47" t="e">
        <f>_xll.qlPolynomialFunctionValue(BG$1,$BD219,AllTriggers)</f>
        <v>#VALUE!</v>
      </c>
      <c r="BH219" s="47" t="e">
        <f>_xll.qlPolynomialFunctionValue(BH$1,$BD219,AllTriggers)</f>
        <v>#VALUE!</v>
      </c>
      <c r="BI219" s="47" t="e">
        <f>_xll.qlPolynomialFunctionValue(BI$1,$BD219,AllTriggers)</f>
        <v>#VALUE!</v>
      </c>
      <c r="BJ219" s="47" t="e">
        <f>_xll.qlPolynomialFunctionValue(BJ$1,$BD219,AllTriggers)</f>
        <v>#VALUE!</v>
      </c>
      <c r="BK219" s="47" t="e">
        <f>_xll.qlPolynomialFunctionValue(BK$1,$BD219,AllTriggers)</f>
        <v>#VALUE!</v>
      </c>
      <c r="BL219" s="47" t="e">
        <f>_xll.qlPolynomialFunctionValue(BL$1,$BD219,AllTriggers)</f>
        <v>#VALUE!</v>
      </c>
      <c r="BM219" s="47" t="e">
        <f>_xll.qlPolynomialFunctionValue(BM$1,$BD219,AllTriggers)</f>
        <v>#VALUE!</v>
      </c>
      <c r="BN219" s="47" t="e">
        <f>_xll.qlPolynomialFunctionValue(BN$1,$BD219,AllTriggers)</f>
        <v>#VALUE!</v>
      </c>
      <c r="BO219" s="47" t="e">
        <f>_xll.qlPolynomialFunctionValue(BO$1,$BD219,AllTriggers)</f>
        <v>#VALUE!</v>
      </c>
      <c r="BP219" s="47" t="e">
        <f>_xll.qlPolynomialFunctionValue(BP$1,$BD219,AllTriggers)</f>
        <v>#VALUE!</v>
      </c>
      <c r="BQ219" s="47">
        <f>_xll.qlPolynomialFunctionValue('12MSynthDepo_used'!$P$18,BD219,AllTriggers)</f>
        <v>3.3331213219104142E-3</v>
      </c>
    </row>
    <row r="220" spans="55:69" x14ac:dyDescent="0.2">
      <c r="BC220" s="178">
        <f>_xll.qlCalendarAdvance(Calendar,BC219,"1d","mf",,Trigger)</f>
        <v>42585</v>
      </c>
      <c r="BD220" s="41">
        <f>_xll.qlDayCounterYearFraction(DayCounter,SettlementDate,BC220,,,Trigger)</f>
        <v>0.85</v>
      </c>
      <c r="BE220" s="47" t="e">
        <f>_xll.qlPolynomialFunctionValue(BE$1,$BD220,AllTriggers)</f>
        <v>#VALUE!</v>
      </c>
      <c r="BF220" s="47" t="e">
        <f>_xll.qlPolynomialFunctionValue(BF$1,$BD220,AllTriggers)</f>
        <v>#VALUE!</v>
      </c>
      <c r="BG220" s="47" t="e">
        <f>_xll.qlPolynomialFunctionValue(BG$1,$BD220,AllTriggers)</f>
        <v>#VALUE!</v>
      </c>
      <c r="BH220" s="47" t="e">
        <f>_xll.qlPolynomialFunctionValue(BH$1,$BD220,AllTriggers)</f>
        <v>#VALUE!</v>
      </c>
      <c r="BI220" s="47" t="e">
        <f>_xll.qlPolynomialFunctionValue(BI$1,$BD220,AllTriggers)</f>
        <v>#VALUE!</v>
      </c>
      <c r="BJ220" s="47" t="e">
        <f>_xll.qlPolynomialFunctionValue(BJ$1,$BD220,AllTriggers)</f>
        <v>#VALUE!</v>
      </c>
      <c r="BK220" s="47" t="e">
        <f>_xll.qlPolynomialFunctionValue(BK$1,$BD220,AllTriggers)</f>
        <v>#VALUE!</v>
      </c>
      <c r="BL220" s="47" t="e">
        <f>_xll.qlPolynomialFunctionValue(BL$1,$BD220,AllTriggers)</f>
        <v>#VALUE!</v>
      </c>
      <c r="BM220" s="47" t="e">
        <f>_xll.qlPolynomialFunctionValue(BM$1,$BD220,AllTriggers)</f>
        <v>#VALUE!</v>
      </c>
      <c r="BN220" s="47" t="e">
        <f>_xll.qlPolynomialFunctionValue(BN$1,$BD220,AllTriggers)</f>
        <v>#VALUE!</v>
      </c>
      <c r="BO220" s="47" t="e">
        <f>_xll.qlPolynomialFunctionValue(BO$1,$BD220,AllTriggers)</f>
        <v>#VALUE!</v>
      </c>
      <c r="BP220" s="47" t="e">
        <f>_xll.qlPolynomialFunctionValue(BP$1,$BD220,AllTriggers)</f>
        <v>#VALUE!</v>
      </c>
      <c r="BQ220" s="47">
        <f>_xll.qlPolynomialFunctionValue('12MSynthDepo_used'!$P$18,BD220,AllTriggers)</f>
        <v>3.3348377014477352E-3</v>
      </c>
    </row>
    <row r="221" spans="55:69" x14ac:dyDescent="0.2">
      <c r="BC221" s="178">
        <f>_xll.qlCalendarAdvance(Calendar,BC220,"1d","mf",,Trigger)</f>
        <v>42586</v>
      </c>
      <c r="BD221" s="41">
        <f>_xll.qlDayCounterYearFraction(DayCounter,SettlementDate,BC221,,,Trigger)</f>
        <v>0.85277777777777775</v>
      </c>
      <c r="BE221" s="47" t="e">
        <f>_xll.qlPolynomialFunctionValue(BE$1,$BD221,AllTriggers)</f>
        <v>#VALUE!</v>
      </c>
      <c r="BF221" s="47" t="e">
        <f>_xll.qlPolynomialFunctionValue(BF$1,$BD221,AllTriggers)</f>
        <v>#VALUE!</v>
      </c>
      <c r="BG221" s="47" t="e">
        <f>_xll.qlPolynomialFunctionValue(BG$1,$BD221,AllTriggers)</f>
        <v>#VALUE!</v>
      </c>
      <c r="BH221" s="47" t="e">
        <f>_xll.qlPolynomialFunctionValue(BH$1,$BD221,AllTriggers)</f>
        <v>#VALUE!</v>
      </c>
      <c r="BI221" s="47" t="e">
        <f>_xll.qlPolynomialFunctionValue(BI$1,$BD221,AllTriggers)</f>
        <v>#VALUE!</v>
      </c>
      <c r="BJ221" s="47" t="e">
        <f>_xll.qlPolynomialFunctionValue(BJ$1,$BD221,AllTriggers)</f>
        <v>#VALUE!</v>
      </c>
      <c r="BK221" s="47" t="e">
        <f>_xll.qlPolynomialFunctionValue(BK$1,$BD221,AllTriggers)</f>
        <v>#VALUE!</v>
      </c>
      <c r="BL221" s="47" t="e">
        <f>_xll.qlPolynomialFunctionValue(BL$1,$BD221,AllTriggers)</f>
        <v>#VALUE!</v>
      </c>
      <c r="BM221" s="47" t="e">
        <f>_xll.qlPolynomialFunctionValue(BM$1,$BD221,AllTriggers)</f>
        <v>#VALUE!</v>
      </c>
      <c r="BN221" s="47" t="e">
        <f>_xll.qlPolynomialFunctionValue(BN$1,$BD221,AllTriggers)</f>
        <v>#VALUE!</v>
      </c>
      <c r="BO221" s="47" t="e">
        <f>_xll.qlPolynomialFunctionValue(BO$1,$BD221,AllTriggers)</f>
        <v>#VALUE!</v>
      </c>
      <c r="BP221" s="47" t="e">
        <f>_xll.qlPolynomialFunctionValue(BP$1,$BD221,AllTriggers)</f>
        <v>#VALUE!</v>
      </c>
      <c r="BQ221" s="47">
        <f>_xll.qlPolynomialFunctionValue('12MSynthDepo_used'!$P$18,BD221,AllTriggers)</f>
        <v>3.3365541458368481E-3</v>
      </c>
    </row>
    <row r="222" spans="55:69" x14ac:dyDescent="0.2">
      <c r="BC222" s="178">
        <f>_xll.qlCalendarAdvance(Calendar,BC221,"1d","mf",,Trigger)</f>
        <v>42587</v>
      </c>
      <c r="BD222" s="41">
        <f>_xll.qlDayCounterYearFraction(DayCounter,SettlementDate,BC222,,,Trigger)</f>
        <v>0.85555555555555551</v>
      </c>
      <c r="BE222" s="47" t="e">
        <f>_xll.qlPolynomialFunctionValue(BE$1,$BD222,AllTriggers)</f>
        <v>#VALUE!</v>
      </c>
      <c r="BF222" s="47" t="e">
        <f>_xll.qlPolynomialFunctionValue(BF$1,$BD222,AllTriggers)</f>
        <v>#VALUE!</v>
      </c>
      <c r="BG222" s="47" t="e">
        <f>_xll.qlPolynomialFunctionValue(BG$1,$BD222,AllTriggers)</f>
        <v>#VALUE!</v>
      </c>
      <c r="BH222" s="47" t="e">
        <f>_xll.qlPolynomialFunctionValue(BH$1,$BD222,AllTriggers)</f>
        <v>#VALUE!</v>
      </c>
      <c r="BI222" s="47" t="e">
        <f>_xll.qlPolynomialFunctionValue(BI$1,$BD222,AllTriggers)</f>
        <v>#VALUE!</v>
      </c>
      <c r="BJ222" s="47" t="e">
        <f>_xll.qlPolynomialFunctionValue(BJ$1,$BD222,AllTriggers)</f>
        <v>#VALUE!</v>
      </c>
      <c r="BK222" s="47" t="e">
        <f>_xll.qlPolynomialFunctionValue(BK$1,$BD222,AllTriggers)</f>
        <v>#VALUE!</v>
      </c>
      <c r="BL222" s="47" t="e">
        <f>_xll.qlPolynomialFunctionValue(BL$1,$BD222,AllTriggers)</f>
        <v>#VALUE!</v>
      </c>
      <c r="BM222" s="47" t="e">
        <f>_xll.qlPolynomialFunctionValue(BM$1,$BD222,AllTriggers)</f>
        <v>#VALUE!</v>
      </c>
      <c r="BN222" s="47" t="e">
        <f>_xll.qlPolynomialFunctionValue(BN$1,$BD222,AllTriggers)</f>
        <v>#VALUE!</v>
      </c>
      <c r="BO222" s="47" t="e">
        <f>_xll.qlPolynomialFunctionValue(BO$1,$BD222,AllTriggers)</f>
        <v>#VALUE!</v>
      </c>
      <c r="BP222" s="47" t="e">
        <f>_xll.qlPolynomialFunctionValue(BP$1,$BD222,AllTriggers)</f>
        <v>#VALUE!</v>
      </c>
      <c r="BQ222" s="47">
        <f>_xll.qlPolynomialFunctionValue('12MSynthDepo_used'!$P$18,BD222,AllTriggers)</f>
        <v>3.3382706498276894E-3</v>
      </c>
    </row>
    <row r="223" spans="55:69" x14ac:dyDescent="0.2">
      <c r="BC223" s="178">
        <f>_xll.qlCalendarAdvance(Calendar,BC222,"1d","mf",,Trigger)</f>
        <v>42590</v>
      </c>
      <c r="BD223" s="41">
        <f>_xll.qlDayCounterYearFraction(DayCounter,SettlementDate,BC223,,,Trigger)</f>
        <v>0.86388888888888893</v>
      </c>
      <c r="BE223" s="47" t="e">
        <f>_xll.qlPolynomialFunctionValue(BE$1,$BD223,AllTriggers)</f>
        <v>#VALUE!</v>
      </c>
      <c r="BF223" s="47" t="e">
        <f>_xll.qlPolynomialFunctionValue(BF$1,$BD223,AllTriggers)</f>
        <v>#VALUE!</v>
      </c>
      <c r="BG223" s="47" t="e">
        <f>_xll.qlPolynomialFunctionValue(BG$1,$BD223,AllTriggers)</f>
        <v>#VALUE!</v>
      </c>
      <c r="BH223" s="47" t="e">
        <f>_xll.qlPolynomialFunctionValue(BH$1,$BD223,AllTriggers)</f>
        <v>#VALUE!</v>
      </c>
      <c r="BI223" s="47" t="e">
        <f>_xll.qlPolynomialFunctionValue(BI$1,$BD223,AllTriggers)</f>
        <v>#VALUE!</v>
      </c>
      <c r="BJ223" s="47" t="e">
        <f>_xll.qlPolynomialFunctionValue(BJ$1,$BD223,AllTriggers)</f>
        <v>#VALUE!</v>
      </c>
      <c r="BK223" s="47" t="e">
        <f>_xll.qlPolynomialFunctionValue(BK$1,$BD223,AllTriggers)</f>
        <v>#VALUE!</v>
      </c>
      <c r="BL223" s="47" t="e">
        <f>_xll.qlPolynomialFunctionValue(BL$1,$BD223,AllTriggers)</f>
        <v>#VALUE!</v>
      </c>
      <c r="BM223" s="47" t="e">
        <f>_xll.qlPolynomialFunctionValue(BM$1,$BD223,AllTriggers)</f>
        <v>#VALUE!</v>
      </c>
      <c r="BN223" s="47" t="e">
        <f>_xll.qlPolynomialFunctionValue(BN$1,$BD223,AllTriggers)</f>
        <v>#VALUE!</v>
      </c>
      <c r="BO223" s="47" t="e">
        <f>_xll.qlPolynomialFunctionValue(BO$1,$BD223,AllTriggers)</f>
        <v>#VALUE!</v>
      </c>
      <c r="BP223" s="47" t="e">
        <f>_xll.qlPolynomialFunctionValue(BP$1,$BD223,AllTriggers)</f>
        <v>#VALUE!</v>
      </c>
      <c r="BQ223" s="47">
        <f>_xll.qlPolynomialFunctionValue('12MSynthDepo_used'!$P$18,BD223,AllTriggers)</f>
        <v>3.3434204669099492E-3</v>
      </c>
    </row>
    <row r="224" spans="55:69" x14ac:dyDescent="0.2">
      <c r="BC224" s="178">
        <f>_xll.qlCalendarAdvance(Calendar,BC223,"1d","mf",,Trigger)</f>
        <v>42591</v>
      </c>
      <c r="BD224" s="41">
        <f>_xll.qlDayCounterYearFraction(DayCounter,SettlementDate,BC224,,,Trigger)</f>
        <v>0.8666666666666667</v>
      </c>
      <c r="BE224" s="47" t="e">
        <f>_xll.qlPolynomialFunctionValue(BE$1,$BD224,AllTriggers)</f>
        <v>#VALUE!</v>
      </c>
      <c r="BF224" s="47" t="e">
        <f>_xll.qlPolynomialFunctionValue(BF$1,$BD224,AllTriggers)</f>
        <v>#VALUE!</v>
      </c>
      <c r="BG224" s="47" t="e">
        <f>_xll.qlPolynomialFunctionValue(BG$1,$BD224,AllTriggers)</f>
        <v>#VALUE!</v>
      </c>
      <c r="BH224" s="47" t="e">
        <f>_xll.qlPolynomialFunctionValue(BH$1,$BD224,AllTriggers)</f>
        <v>#VALUE!</v>
      </c>
      <c r="BI224" s="47" t="e">
        <f>_xll.qlPolynomialFunctionValue(BI$1,$BD224,AllTriggers)</f>
        <v>#VALUE!</v>
      </c>
      <c r="BJ224" s="47" t="e">
        <f>_xll.qlPolynomialFunctionValue(BJ$1,$BD224,AllTriggers)</f>
        <v>#VALUE!</v>
      </c>
      <c r="BK224" s="47" t="e">
        <f>_xll.qlPolynomialFunctionValue(BK$1,$BD224,AllTriggers)</f>
        <v>#VALUE!</v>
      </c>
      <c r="BL224" s="47" t="e">
        <f>_xll.qlPolynomialFunctionValue(BL$1,$BD224,AllTriggers)</f>
        <v>#VALUE!</v>
      </c>
      <c r="BM224" s="47" t="e">
        <f>_xll.qlPolynomialFunctionValue(BM$1,$BD224,AllTriggers)</f>
        <v>#VALUE!</v>
      </c>
      <c r="BN224" s="47" t="e">
        <f>_xll.qlPolynomialFunctionValue(BN$1,$BD224,AllTriggers)</f>
        <v>#VALUE!</v>
      </c>
      <c r="BO224" s="47" t="e">
        <f>_xll.qlPolynomialFunctionValue(BO$1,$BD224,AllTriggers)</f>
        <v>#VALUE!</v>
      </c>
      <c r="BP224" s="47" t="e">
        <f>_xll.qlPolynomialFunctionValue(BP$1,$BD224,AllTriggers)</f>
        <v>#VALUE!</v>
      </c>
      <c r="BQ224" s="47">
        <f>_xll.qlPolynomialFunctionValue('12MSynthDepo_used'!$P$18,BD224,AllTriggers)</f>
        <v>3.345137156807068E-3</v>
      </c>
    </row>
    <row r="225" spans="55:69" x14ac:dyDescent="0.2">
      <c r="BC225" s="178">
        <f>_xll.qlCalendarAdvance(Calendar,BC224,"1d","mf",,Trigger)</f>
        <v>42592</v>
      </c>
      <c r="BD225" s="41">
        <f>_xll.qlDayCounterYearFraction(DayCounter,SettlementDate,BC225,,,Trigger)</f>
        <v>0.86944444444444446</v>
      </c>
      <c r="BE225" s="47" t="e">
        <f>_xll.qlPolynomialFunctionValue(BE$1,$BD225,AllTriggers)</f>
        <v>#VALUE!</v>
      </c>
      <c r="BF225" s="47" t="e">
        <f>_xll.qlPolynomialFunctionValue(BF$1,$BD225,AllTriggers)</f>
        <v>#VALUE!</v>
      </c>
      <c r="BG225" s="47" t="e">
        <f>_xll.qlPolynomialFunctionValue(BG$1,$BD225,AllTriggers)</f>
        <v>#VALUE!</v>
      </c>
      <c r="BH225" s="47" t="e">
        <f>_xll.qlPolynomialFunctionValue(BH$1,$BD225,AllTriggers)</f>
        <v>#VALUE!</v>
      </c>
      <c r="BI225" s="47" t="e">
        <f>_xll.qlPolynomialFunctionValue(BI$1,$BD225,AllTriggers)</f>
        <v>#VALUE!</v>
      </c>
      <c r="BJ225" s="47" t="e">
        <f>_xll.qlPolynomialFunctionValue(BJ$1,$BD225,AllTriggers)</f>
        <v>#VALUE!</v>
      </c>
      <c r="BK225" s="47" t="e">
        <f>_xll.qlPolynomialFunctionValue(BK$1,$BD225,AllTriggers)</f>
        <v>#VALUE!</v>
      </c>
      <c r="BL225" s="47" t="e">
        <f>_xll.qlPolynomialFunctionValue(BL$1,$BD225,AllTriggers)</f>
        <v>#VALUE!</v>
      </c>
      <c r="BM225" s="47" t="e">
        <f>_xll.qlPolynomialFunctionValue(BM$1,$BD225,AllTriggers)</f>
        <v>#VALUE!</v>
      </c>
      <c r="BN225" s="47" t="e">
        <f>_xll.qlPolynomialFunctionValue(BN$1,$BD225,AllTriggers)</f>
        <v>#VALUE!</v>
      </c>
      <c r="BO225" s="47" t="e">
        <f>_xll.qlPolynomialFunctionValue(BO$1,$BD225,AllTriggers)</f>
        <v>#VALUE!</v>
      </c>
      <c r="BP225" s="47" t="e">
        <f>_xll.qlPolynomialFunctionValue(BP$1,$BD225,AllTriggers)</f>
        <v>#VALUE!</v>
      </c>
      <c r="BQ225" s="47">
        <f>_xll.qlPolynomialFunctionValue('12MSynthDepo_used'!$P$18,BD225,AllTriggers)</f>
        <v>3.3468538800555973E-3</v>
      </c>
    </row>
    <row r="226" spans="55:69" x14ac:dyDescent="0.2">
      <c r="BC226" s="178">
        <f>_xll.qlCalendarAdvance(Calendar,BC225,"1d","mf",,Trigger)</f>
        <v>42593</v>
      </c>
      <c r="BD226" s="41">
        <f>_xll.qlDayCounterYearFraction(DayCounter,SettlementDate,BC226,,,Trigger)</f>
        <v>0.87222222222222223</v>
      </c>
      <c r="BE226" s="47" t="e">
        <f>_xll.qlPolynomialFunctionValue(BE$1,$BD226,AllTriggers)</f>
        <v>#VALUE!</v>
      </c>
      <c r="BF226" s="47" t="e">
        <f>_xll.qlPolynomialFunctionValue(BF$1,$BD226,AllTriggers)</f>
        <v>#VALUE!</v>
      </c>
      <c r="BG226" s="47" t="e">
        <f>_xll.qlPolynomialFunctionValue(BG$1,$BD226,AllTriggers)</f>
        <v>#VALUE!</v>
      </c>
      <c r="BH226" s="47" t="e">
        <f>_xll.qlPolynomialFunctionValue(BH$1,$BD226,AllTriggers)</f>
        <v>#VALUE!</v>
      </c>
      <c r="BI226" s="47" t="e">
        <f>_xll.qlPolynomialFunctionValue(BI$1,$BD226,AllTriggers)</f>
        <v>#VALUE!</v>
      </c>
      <c r="BJ226" s="47" t="e">
        <f>_xll.qlPolynomialFunctionValue(BJ$1,$BD226,AllTriggers)</f>
        <v>#VALUE!</v>
      </c>
      <c r="BK226" s="47" t="e">
        <f>_xll.qlPolynomialFunctionValue(BK$1,$BD226,AllTriggers)</f>
        <v>#VALUE!</v>
      </c>
      <c r="BL226" s="47" t="e">
        <f>_xll.qlPolynomialFunctionValue(BL$1,$BD226,AllTriggers)</f>
        <v>#VALUE!</v>
      </c>
      <c r="BM226" s="47" t="e">
        <f>_xll.qlPolynomialFunctionValue(BM$1,$BD226,AllTriggers)</f>
        <v>#VALUE!</v>
      </c>
      <c r="BN226" s="47" t="e">
        <f>_xll.qlPolynomialFunctionValue(BN$1,$BD226,AllTriggers)</f>
        <v>#VALUE!</v>
      </c>
      <c r="BO226" s="47" t="e">
        <f>_xll.qlPolynomialFunctionValue(BO$1,$BD226,AllTriggers)</f>
        <v>#VALUE!</v>
      </c>
      <c r="BP226" s="47" t="e">
        <f>_xll.qlPolynomialFunctionValue(BP$1,$BD226,AllTriggers)</f>
        <v>#VALUE!</v>
      </c>
      <c r="BQ226" s="47">
        <f>_xll.qlPolynomialFunctionValue('12MSynthDepo_used'!$P$18,BD226,AllTriggers)</f>
        <v>3.3485706314054725E-3</v>
      </c>
    </row>
    <row r="227" spans="55:69" x14ac:dyDescent="0.2">
      <c r="BC227" s="178">
        <f>_xll.qlCalendarAdvance(Calendar,BC226,"1d","mf",,Trigger)</f>
        <v>42594</v>
      </c>
      <c r="BD227" s="41">
        <f>_xll.qlDayCounterYearFraction(DayCounter,SettlementDate,BC227,,,Trigger)</f>
        <v>0.875</v>
      </c>
      <c r="BE227" s="47" t="e">
        <f>_xll.qlPolynomialFunctionValue(BE$1,$BD227,AllTriggers)</f>
        <v>#VALUE!</v>
      </c>
      <c r="BF227" s="47" t="e">
        <f>_xll.qlPolynomialFunctionValue(BF$1,$BD227,AllTriggers)</f>
        <v>#VALUE!</v>
      </c>
      <c r="BG227" s="47" t="e">
        <f>_xll.qlPolynomialFunctionValue(BG$1,$BD227,AllTriggers)</f>
        <v>#VALUE!</v>
      </c>
      <c r="BH227" s="47" t="e">
        <f>_xll.qlPolynomialFunctionValue(BH$1,$BD227,AllTriggers)</f>
        <v>#VALUE!</v>
      </c>
      <c r="BI227" s="47" t="e">
        <f>_xll.qlPolynomialFunctionValue(BI$1,$BD227,AllTriggers)</f>
        <v>#VALUE!</v>
      </c>
      <c r="BJ227" s="47" t="e">
        <f>_xll.qlPolynomialFunctionValue(BJ$1,$BD227,AllTriggers)</f>
        <v>#VALUE!</v>
      </c>
      <c r="BK227" s="47" t="e">
        <f>_xll.qlPolynomialFunctionValue(BK$1,$BD227,AllTriggers)</f>
        <v>#VALUE!</v>
      </c>
      <c r="BL227" s="47" t="e">
        <f>_xll.qlPolynomialFunctionValue(BL$1,$BD227,AllTriggers)</f>
        <v>#VALUE!</v>
      </c>
      <c r="BM227" s="47" t="e">
        <f>_xll.qlPolynomialFunctionValue(BM$1,$BD227,AllTriggers)</f>
        <v>#VALUE!</v>
      </c>
      <c r="BN227" s="47" t="e">
        <f>_xll.qlPolynomialFunctionValue(BN$1,$BD227,AllTriggers)</f>
        <v>#VALUE!</v>
      </c>
      <c r="BO227" s="47" t="e">
        <f>_xll.qlPolynomialFunctionValue(BO$1,$BD227,AllTriggers)</f>
        <v>#VALUE!</v>
      </c>
      <c r="BP227" s="47" t="e">
        <f>_xll.qlPolynomialFunctionValue(BP$1,$BD227,AllTriggers)</f>
        <v>#VALUE!</v>
      </c>
      <c r="BQ227" s="47">
        <f>_xll.qlPolynomialFunctionValue('12MSynthDepo_used'!$P$18,BD227,AllTriggers)</f>
        <v>3.3502874056066312E-3</v>
      </c>
    </row>
    <row r="228" spans="55:69" x14ac:dyDescent="0.2">
      <c r="BC228" s="178">
        <f>_xll.qlCalendarAdvance(Calendar,BC227,"1d","mf",,Trigger)</f>
        <v>42597</v>
      </c>
      <c r="BD228" s="41">
        <f>_xll.qlDayCounterYearFraction(DayCounter,SettlementDate,BC228,,,Trigger)</f>
        <v>0.8833333333333333</v>
      </c>
      <c r="BE228" s="47" t="e">
        <f>_xll.qlPolynomialFunctionValue(BE$1,$BD228,AllTriggers)</f>
        <v>#VALUE!</v>
      </c>
      <c r="BF228" s="47" t="e">
        <f>_xll.qlPolynomialFunctionValue(BF$1,$BD228,AllTriggers)</f>
        <v>#VALUE!</v>
      </c>
      <c r="BG228" s="47" t="e">
        <f>_xll.qlPolynomialFunctionValue(BG$1,$BD228,AllTriggers)</f>
        <v>#VALUE!</v>
      </c>
      <c r="BH228" s="47" t="e">
        <f>_xll.qlPolynomialFunctionValue(BH$1,$BD228,AllTriggers)</f>
        <v>#VALUE!</v>
      </c>
      <c r="BI228" s="47" t="e">
        <f>_xll.qlPolynomialFunctionValue(BI$1,$BD228,AllTriggers)</f>
        <v>#VALUE!</v>
      </c>
      <c r="BJ228" s="47" t="e">
        <f>_xll.qlPolynomialFunctionValue(BJ$1,$BD228,AllTriggers)</f>
        <v>#VALUE!</v>
      </c>
      <c r="BK228" s="47" t="e">
        <f>_xll.qlPolynomialFunctionValue(BK$1,$BD228,AllTriggers)</f>
        <v>#VALUE!</v>
      </c>
      <c r="BL228" s="47" t="e">
        <f>_xll.qlPolynomialFunctionValue(BL$1,$BD228,AllTriggers)</f>
        <v>#VALUE!</v>
      </c>
      <c r="BM228" s="47" t="e">
        <f>_xll.qlPolynomialFunctionValue(BM$1,$BD228,AllTriggers)</f>
        <v>#VALUE!</v>
      </c>
      <c r="BN228" s="47" t="e">
        <f>_xll.qlPolynomialFunctionValue(BN$1,$BD228,AllTriggers)</f>
        <v>#VALUE!</v>
      </c>
      <c r="BO228" s="47" t="e">
        <f>_xll.qlPolynomialFunctionValue(BO$1,$BD228,AllTriggers)</f>
        <v>#VALUE!</v>
      </c>
      <c r="BP228" s="47" t="e">
        <f>_xll.qlPolynomialFunctionValue(BP$1,$BD228,AllTriggers)</f>
        <v>#VALUE!</v>
      </c>
      <c r="BQ228" s="47">
        <f>_xll.qlPolynomialFunctionValue('12MSynthDepo_used'!$P$18,BD228,AllTriggers)</f>
        <v>3.355437812817167E-3</v>
      </c>
    </row>
    <row r="229" spans="55:69" x14ac:dyDescent="0.2">
      <c r="BC229" s="178">
        <f>_xll.qlCalendarAdvance(Calendar,BC228,"1d","mf",,Trigger)</f>
        <v>42598</v>
      </c>
      <c r="BD229" s="41">
        <f>_xll.qlDayCounterYearFraction(DayCounter,SettlementDate,BC229,,,Trigger)</f>
        <v>0.88611111111111107</v>
      </c>
      <c r="BE229" s="47" t="e">
        <f>_xll.qlPolynomialFunctionValue(BE$1,$BD229,AllTriggers)</f>
        <v>#VALUE!</v>
      </c>
      <c r="BF229" s="47" t="e">
        <f>_xll.qlPolynomialFunctionValue(BF$1,$BD229,AllTriggers)</f>
        <v>#VALUE!</v>
      </c>
      <c r="BG229" s="47" t="e">
        <f>_xll.qlPolynomialFunctionValue(BG$1,$BD229,AllTriggers)</f>
        <v>#VALUE!</v>
      </c>
      <c r="BH229" s="47" t="e">
        <f>_xll.qlPolynomialFunctionValue(BH$1,$BD229,AllTriggers)</f>
        <v>#VALUE!</v>
      </c>
      <c r="BI229" s="47" t="e">
        <f>_xll.qlPolynomialFunctionValue(BI$1,$BD229,AllTriggers)</f>
        <v>#VALUE!</v>
      </c>
      <c r="BJ229" s="47" t="e">
        <f>_xll.qlPolynomialFunctionValue(BJ$1,$BD229,AllTriggers)</f>
        <v>#VALUE!</v>
      </c>
      <c r="BK229" s="47" t="e">
        <f>_xll.qlPolynomialFunctionValue(BK$1,$BD229,AllTriggers)</f>
        <v>#VALUE!</v>
      </c>
      <c r="BL229" s="47" t="e">
        <f>_xll.qlPolynomialFunctionValue(BL$1,$BD229,AllTriggers)</f>
        <v>#VALUE!</v>
      </c>
      <c r="BM229" s="47" t="e">
        <f>_xll.qlPolynomialFunctionValue(BM$1,$BD229,AllTriggers)</f>
        <v>#VALUE!</v>
      </c>
      <c r="BN229" s="47" t="e">
        <f>_xll.qlPolynomialFunctionValue(BN$1,$BD229,AllTriggers)</f>
        <v>#VALUE!</v>
      </c>
      <c r="BO229" s="47" t="e">
        <f>_xll.qlPolynomialFunctionValue(BO$1,$BD229,AllTriggers)</f>
        <v>#VALUE!</v>
      </c>
      <c r="BP229" s="47" t="e">
        <f>_xll.qlPolynomialFunctionValue(BP$1,$BD229,AllTriggers)</f>
        <v>#VALUE!</v>
      </c>
      <c r="BQ229" s="47">
        <f>_xll.qlPolynomialFunctionValue('12MSynthDepo_used'!$P$18,BD229,AllTriggers)</f>
        <v>3.3571546259228203E-3</v>
      </c>
    </row>
    <row r="230" spans="55:69" x14ac:dyDescent="0.2">
      <c r="BC230" s="178">
        <f>_xll.qlCalendarAdvance(Calendar,BC229,"1d","mf",,Trigger)</f>
        <v>42599</v>
      </c>
      <c r="BD230" s="41">
        <f>_xll.qlDayCounterYearFraction(DayCounter,SettlementDate,BC230,,,Trigger)</f>
        <v>0.88888888888888884</v>
      </c>
      <c r="BE230" s="47" t="e">
        <f>_xll.qlPolynomialFunctionValue(BE$1,$BD230,AllTriggers)</f>
        <v>#VALUE!</v>
      </c>
      <c r="BF230" s="47" t="e">
        <f>_xll.qlPolynomialFunctionValue(BF$1,$BD230,AllTriggers)</f>
        <v>#VALUE!</v>
      </c>
      <c r="BG230" s="47" t="e">
        <f>_xll.qlPolynomialFunctionValue(BG$1,$BD230,AllTriggers)</f>
        <v>#VALUE!</v>
      </c>
      <c r="BH230" s="47" t="e">
        <f>_xll.qlPolynomialFunctionValue(BH$1,$BD230,AllTriggers)</f>
        <v>#VALUE!</v>
      </c>
      <c r="BI230" s="47" t="e">
        <f>_xll.qlPolynomialFunctionValue(BI$1,$BD230,AllTriggers)</f>
        <v>#VALUE!</v>
      </c>
      <c r="BJ230" s="47" t="e">
        <f>_xll.qlPolynomialFunctionValue(BJ$1,$BD230,AllTriggers)</f>
        <v>#VALUE!</v>
      </c>
      <c r="BK230" s="47" t="e">
        <f>_xll.qlPolynomialFunctionValue(BK$1,$BD230,AllTriggers)</f>
        <v>#VALUE!</v>
      </c>
      <c r="BL230" s="47" t="e">
        <f>_xll.qlPolynomialFunctionValue(BL$1,$BD230,AllTriggers)</f>
        <v>#VALUE!</v>
      </c>
      <c r="BM230" s="47" t="e">
        <f>_xll.qlPolynomialFunctionValue(BM$1,$BD230,AllTriggers)</f>
        <v>#VALUE!</v>
      </c>
      <c r="BN230" s="47" t="e">
        <f>_xll.qlPolynomialFunctionValue(BN$1,$BD230,AllTriggers)</f>
        <v>#VALUE!</v>
      </c>
      <c r="BO230" s="47" t="e">
        <f>_xll.qlPolynomialFunctionValue(BO$1,$BD230,AllTriggers)</f>
        <v>#VALUE!</v>
      </c>
      <c r="BP230" s="47" t="e">
        <f>_xll.qlPolynomialFunctionValue(BP$1,$BD230,AllTriggers)</f>
        <v>#VALUE!</v>
      </c>
      <c r="BQ230" s="47">
        <f>_xll.qlPolynomialFunctionValue('12MSynthDepo_used'!$P$18,BD230,AllTriggers)</f>
        <v>3.3588714356294382E-3</v>
      </c>
    </row>
    <row r="231" spans="55:69" x14ac:dyDescent="0.2">
      <c r="BC231" s="178">
        <f>_xll.qlCalendarAdvance(Calendar,BC230,"1d","mf",,Trigger)</f>
        <v>42600</v>
      </c>
      <c r="BD231" s="41">
        <f>_xll.qlDayCounterYearFraction(DayCounter,SettlementDate,BC231,,,Trigger)</f>
        <v>0.89166666666666672</v>
      </c>
      <c r="BE231" s="47" t="e">
        <f>_xll.qlPolynomialFunctionValue(BE$1,$BD231,AllTriggers)</f>
        <v>#VALUE!</v>
      </c>
      <c r="BF231" s="47" t="e">
        <f>_xll.qlPolynomialFunctionValue(BF$1,$BD231,AllTriggers)</f>
        <v>#VALUE!</v>
      </c>
      <c r="BG231" s="47" t="e">
        <f>_xll.qlPolynomialFunctionValue(BG$1,$BD231,AllTriggers)</f>
        <v>#VALUE!</v>
      </c>
      <c r="BH231" s="47" t="e">
        <f>_xll.qlPolynomialFunctionValue(BH$1,$BD231,AllTriggers)</f>
        <v>#VALUE!</v>
      </c>
      <c r="BI231" s="47" t="e">
        <f>_xll.qlPolynomialFunctionValue(BI$1,$BD231,AllTriggers)</f>
        <v>#VALUE!</v>
      </c>
      <c r="BJ231" s="47" t="e">
        <f>_xll.qlPolynomialFunctionValue(BJ$1,$BD231,AllTriggers)</f>
        <v>#VALUE!</v>
      </c>
      <c r="BK231" s="47" t="e">
        <f>_xll.qlPolynomialFunctionValue(BK$1,$BD231,AllTriggers)</f>
        <v>#VALUE!</v>
      </c>
      <c r="BL231" s="47" t="e">
        <f>_xll.qlPolynomialFunctionValue(BL$1,$BD231,AllTriggers)</f>
        <v>#VALUE!</v>
      </c>
      <c r="BM231" s="47" t="e">
        <f>_xll.qlPolynomialFunctionValue(BM$1,$BD231,AllTriggers)</f>
        <v>#VALUE!</v>
      </c>
      <c r="BN231" s="47" t="e">
        <f>_xll.qlPolynomialFunctionValue(BN$1,$BD231,AllTriggers)</f>
        <v>#VALUE!</v>
      </c>
      <c r="BO231" s="47" t="e">
        <f>_xll.qlPolynomialFunctionValue(BO$1,$BD231,AllTriggers)</f>
        <v>#VALUE!</v>
      </c>
      <c r="BP231" s="47" t="e">
        <f>_xll.qlPolynomialFunctionValue(BP$1,$BD231,AllTriggers)</f>
        <v>#VALUE!</v>
      </c>
      <c r="BQ231" s="47">
        <f>_xll.qlPolynomialFunctionValue('12MSynthDepo_used'!$P$18,BD231,AllTriggers)</f>
        <v>3.3605882366869572E-3</v>
      </c>
    </row>
    <row r="232" spans="55:69" x14ac:dyDescent="0.2">
      <c r="BC232" s="178">
        <f>_xll.qlCalendarAdvance(Calendar,BC231,"1d","mf",,Trigger)</f>
        <v>42601</v>
      </c>
      <c r="BD232" s="41">
        <f>_xll.qlDayCounterYearFraction(DayCounter,SettlementDate,BC232,,,Trigger)</f>
        <v>0.89444444444444449</v>
      </c>
      <c r="BE232" s="47" t="e">
        <f>_xll.qlPolynomialFunctionValue(BE$1,$BD232,AllTriggers)</f>
        <v>#VALUE!</v>
      </c>
      <c r="BF232" s="47" t="e">
        <f>_xll.qlPolynomialFunctionValue(BF$1,$BD232,AllTriggers)</f>
        <v>#VALUE!</v>
      </c>
      <c r="BG232" s="47" t="e">
        <f>_xll.qlPolynomialFunctionValue(BG$1,$BD232,AllTriggers)</f>
        <v>#VALUE!</v>
      </c>
      <c r="BH232" s="47" t="e">
        <f>_xll.qlPolynomialFunctionValue(BH$1,$BD232,AllTriggers)</f>
        <v>#VALUE!</v>
      </c>
      <c r="BI232" s="47" t="e">
        <f>_xll.qlPolynomialFunctionValue(BI$1,$BD232,AllTriggers)</f>
        <v>#VALUE!</v>
      </c>
      <c r="BJ232" s="47" t="e">
        <f>_xll.qlPolynomialFunctionValue(BJ$1,$BD232,AllTriggers)</f>
        <v>#VALUE!</v>
      </c>
      <c r="BK232" s="47" t="e">
        <f>_xll.qlPolynomialFunctionValue(BK$1,$BD232,AllTriggers)</f>
        <v>#VALUE!</v>
      </c>
      <c r="BL232" s="47" t="e">
        <f>_xll.qlPolynomialFunctionValue(BL$1,$BD232,AllTriggers)</f>
        <v>#VALUE!</v>
      </c>
      <c r="BM232" s="47" t="e">
        <f>_xll.qlPolynomialFunctionValue(BM$1,$BD232,AllTriggers)</f>
        <v>#VALUE!</v>
      </c>
      <c r="BN232" s="47" t="e">
        <f>_xll.qlPolynomialFunctionValue(BN$1,$BD232,AllTriggers)</f>
        <v>#VALUE!</v>
      </c>
      <c r="BO232" s="47" t="e">
        <f>_xll.qlPolynomialFunctionValue(BO$1,$BD232,AllTriggers)</f>
        <v>#VALUE!</v>
      </c>
      <c r="BP232" s="47" t="e">
        <f>_xll.qlPolynomialFunctionValue(BP$1,$BD232,AllTriggers)</f>
        <v>#VALUE!</v>
      </c>
      <c r="BQ232" s="47">
        <f>_xll.qlPolynomialFunctionValue('12MSynthDepo_used'!$P$18,BD232,AllTriggers)</f>
        <v>3.3623050238453132E-3</v>
      </c>
    </row>
    <row r="233" spans="55:69" x14ac:dyDescent="0.2">
      <c r="BC233" s="178">
        <f>_xll.qlCalendarAdvance(Calendar,BC232,"1d","mf",,Trigger)</f>
        <v>42604</v>
      </c>
      <c r="BD233" s="41">
        <f>_xll.qlDayCounterYearFraction(DayCounter,SettlementDate,BC233,,,Trigger)</f>
        <v>0.90277777777777779</v>
      </c>
      <c r="BE233" s="47" t="e">
        <f>_xll.qlPolynomialFunctionValue(BE$1,$BD233,AllTriggers)</f>
        <v>#VALUE!</v>
      </c>
      <c r="BF233" s="47" t="e">
        <f>_xll.qlPolynomialFunctionValue(BF$1,$BD233,AllTriggers)</f>
        <v>#VALUE!</v>
      </c>
      <c r="BG233" s="47" t="e">
        <f>_xll.qlPolynomialFunctionValue(BG$1,$BD233,AllTriggers)</f>
        <v>#VALUE!</v>
      </c>
      <c r="BH233" s="47" t="e">
        <f>_xll.qlPolynomialFunctionValue(BH$1,$BD233,AllTriggers)</f>
        <v>#VALUE!</v>
      </c>
      <c r="BI233" s="47" t="e">
        <f>_xll.qlPolynomialFunctionValue(BI$1,$BD233,AllTriggers)</f>
        <v>#VALUE!</v>
      </c>
      <c r="BJ233" s="47" t="e">
        <f>_xll.qlPolynomialFunctionValue(BJ$1,$BD233,AllTriggers)</f>
        <v>#VALUE!</v>
      </c>
      <c r="BK233" s="47" t="e">
        <f>_xll.qlPolynomialFunctionValue(BK$1,$BD233,AllTriggers)</f>
        <v>#VALUE!</v>
      </c>
      <c r="BL233" s="47" t="e">
        <f>_xll.qlPolynomialFunctionValue(BL$1,$BD233,AllTriggers)</f>
        <v>#VALUE!</v>
      </c>
      <c r="BM233" s="47" t="e">
        <f>_xll.qlPolynomialFunctionValue(BM$1,$BD233,AllTriggers)</f>
        <v>#VALUE!</v>
      </c>
      <c r="BN233" s="47" t="e">
        <f>_xll.qlPolynomialFunctionValue(BN$1,$BD233,AllTriggers)</f>
        <v>#VALUE!</v>
      </c>
      <c r="BO233" s="47" t="e">
        <f>_xll.qlPolynomialFunctionValue(BO$1,$BD233,AllTriggers)</f>
        <v>#VALUE!</v>
      </c>
      <c r="BP233" s="47" t="e">
        <f>_xll.qlPolynomialFunctionValue(BP$1,$BD233,AllTriggers)</f>
        <v>#VALUE!</v>
      </c>
      <c r="BQ233" s="47">
        <f>_xll.qlPolynomialFunctionValue('12MSynthDepo_used'!$P$18,BD233,AllTriggers)</f>
        <v>3.3674552494247687E-3</v>
      </c>
    </row>
    <row r="234" spans="55:69" x14ac:dyDescent="0.2">
      <c r="BC234" s="178">
        <f>_xll.qlCalendarAdvance(Calendar,BC233,"1d","mf",,Trigger)</f>
        <v>42605</v>
      </c>
      <c r="BD234" s="41">
        <f>_xll.qlDayCounterYearFraction(DayCounter,SettlementDate,BC234,,,Trigger)</f>
        <v>0.90555555555555556</v>
      </c>
      <c r="BE234" s="47" t="e">
        <f>_xll.qlPolynomialFunctionValue(BE$1,$BD234,AllTriggers)</f>
        <v>#VALUE!</v>
      </c>
      <c r="BF234" s="47" t="e">
        <f>_xll.qlPolynomialFunctionValue(BF$1,$BD234,AllTriggers)</f>
        <v>#VALUE!</v>
      </c>
      <c r="BG234" s="47" t="e">
        <f>_xll.qlPolynomialFunctionValue(BG$1,$BD234,AllTriggers)</f>
        <v>#VALUE!</v>
      </c>
      <c r="BH234" s="47" t="e">
        <f>_xll.qlPolynomialFunctionValue(BH$1,$BD234,AllTriggers)</f>
        <v>#VALUE!</v>
      </c>
      <c r="BI234" s="47" t="e">
        <f>_xll.qlPolynomialFunctionValue(BI$1,$BD234,AllTriggers)</f>
        <v>#VALUE!</v>
      </c>
      <c r="BJ234" s="47" t="e">
        <f>_xll.qlPolynomialFunctionValue(BJ$1,$BD234,AllTriggers)</f>
        <v>#VALUE!</v>
      </c>
      <c r="BK234" s="47" t="e">
        <f>_xll.qlPolynomialFunctionValue(BK$1,$BD234,AllTriggers)</f>
        <v>#VALUE!</v>
      </c>
      <c r="BL234" s="47" t="e">
        <f>_xll.qlPolynomialFunctionValue(BL$1,$BD234,AllTriggers)</f>
        <v>#VALUE!</v>
      </c>
      <c r="BM234" s="47" t="e">
        <f>_xll.qlPolynomialFunctionValue(BM$1,$BD234,AllTriggers)</f>
        <v>#VALUE!</v>
      </c>
      <c r="BN234" s="47" t="e">
        <f>_xll.qlPolynomialFunctionValue(BN$1,$BD234,AllTriggers)</f>
        <v>#VALUE!</v>
      </c>
      <c r="BO234" s="47" t="e">
        <f>_xll.qlPolynomialFunctionValue(BO$1,$BD234,AllTriggers)</f>
        <v>#VALUE!</v>
      </c>
      <c r="BP234" s="47" t="e">
        <f>_xll.qlPolynomialFunctionValue(BP$1,$BD234,AllTriggers)</f>
        <v>#VALUE!</v>
      </c>
      <c r="BQ234" s="47">
        <f>_xll.qlPolynomialFunctionValue('12MSynthDepo_used'!$P$18,BD234,AllTriggers)</f>
        <v>3.3691719284858371E-3</v>
      </c>
    </row>
    <row r="235" spans="55:69" x14ac:dyDescent="0.2">
      <c r="BC235" s="178">
        <f>_xll.qlCalendarAdvance(Calendar,BC234,"1d","mf",,Trigger)</f>
        <v>42606</v>
      </c>
      <c r="BD235" s="41">
        <f>_xll.qlDayCounterYearFraction(DayCounter,SettlementDate,BC235,,,Trigger)</f>
        <v>0.90833333333333333</v>
      </c>
      <c r="BE235" s="47" t="e">
        <f>_xll.qlPolynomialFunctionValue(BE$1,$BD235,AllTriggers)</f>
        <v>#VALUE!</v>
      </c>
      <c r="BF235" s="47" t="e">
        <f>_xll.qlPolynomialFunctionValue(BF$1,$BD235,AllTriggers)</f>
        <v>#VALUE!</v>
      </c>
      <c r="BG235" s="47" t="e">
        <f>_xll.qlPolynomialFunctionValue(BG$1,$BD235,AllTriggers)</f>
        <v>#VALUE!</v>
      </c>
      <c r="BH235" s="47" t="e">
        <f>_xll.qlPolynomialFunctionValue(BH$1,$BD235,AllTriggers)</f>
        <v>#VALUE!</v>
      </c>
      <c r="BI235" s="47" t="e">
        <f>_xll.qlPolynomialFunctionValue(BI$1,$BD235,AllTriggers)</f>
        <v>#VALUE!</v>
      </c>
      <c r="BJ235" s="47" t="e">
        <f>_xll.qlPolynomialFunctionValue(BJ$1,$BD235,AllTriggers)</f>
        <v>#VALUE!</v>
      </c>
      <c r="BK235" s="47" t="e">
        <f>_xll.qlPolynomialFunctionValue(BK$1,$BD235,AllTriggers)</f>
        <v>#VALUE!</v>
      </c>
      <c r="BL235" s="47" t="e">
        <f>_xll.qlPolynomialFunctionValue(BL$1,$BD235,AllTriggers)</f>
        <v>#VALUE!</v>
      </c>
      <c r="BM235" s="47" t="e">
        <f>_xll.qlPolynomialFunctionValue(BM$1,$BD235,AllTriggers)</f>
        <v>#VALUE!</v>
      </c>
      <c r="BN235" s="47" t="e">
        <f>_xll.qlPolynomialFunctionValue(BN$1,$BD235,AllTriggers)</f>
        <v>#VALUE!</v>
      </c>
      <c r="BO235" s="47" t="e">
        <f>_xll.qlPolynomialFunctionValue(BO$1,$BD235,AllTriggers)</f>
        <v>#VALUE!</v>
      </c>
      <c r="BP235" s="47" t="e">
        <f>_xll.qlPolynomialFunctionValue(BP$1,$BD235,AllTriggers)</f>
        <v>#VALUE!</v>
      </c>
      <c r="BQ235" s="47">
        <f>_xll.qlPolynomialFunctionValue('12MSynthDepo_used'!$P$18,BD235,AllTriggers)</f>
        <v>3.3708885673974249E-3</v>
      </c>
    </row>
    <row r="236" spans="55:69" x14ac:dyDescent="0.2">
      <c r="BC236" s="178">
        <f>_xll.qlCalendarAdvance(Calendar,BC235,"1d","mf",,Trigger)</f>
        <v>42607</v>
      </c>
      <c r="BD236" s="41">
        <f>_xll.qlDayCounterYearFraction(DayCounter,SettlementDate,BC236,,,Trigger)</f>
        <v>0.91111111111111109</v>
      </c>
      <c r="BE236" s="47" t="e">
        <f>_xll.qlPolynomialFunctionValue(BE$1,$BD236,AllTriggers)</f>
        <v>#VALUE!</v>
      </c>
      <c r="BF236" s="47" t="e">
        <f>_xll.qlPolynomialFunctionValue(BF$1,$BD236,AllTriggers)</f>
        <v>#VALUE!</v>
      </c>
      <c r="BG236" s="47" t="e">
        <f>_xll.qlPolynomialFunctionValue(BG$1,$BD236,AllTriggers)</f>
        <v>#VALUE!</v>
      </c>
      <c r="BH236" s="47" t="e">
        <f>_xll.qlPolynomialFunctionValue(BH$1,$BD236,AllTriggers)</f>
        <v>#VALUE!</v>
      </c>
      <c r="BI236" s="47" t="e">
        <f>_xll.qlPolynomialFunctionValue(BI$1,$BD236,AllTriggers)</f>
        <v>#VALUE!</v>
      </c>
      <c r="BJ236" s="47" t="e">
        <f>_xll.qlPolynomialFunctionValue(BJ$1,$BD236,AllTriggers)</f>
        <v>#VALUE!</v>
      </c>
      <c r="BK236" s="47" t="e">
        <f>_xll.qlPolynomialFunctionValue(BK$1,$BD236,AllTriggers)</f>
        <v>#VALUE!</v>
      </c>
      <c r="BL236" s="47" t="e">
        <f>_xll.qlPolynomialFunctionValue(BL$1,$BD236,AllTriggers)</f>
        <v>#VALUE!</v>
      </c>
      <c r="BM236" s="47" t="e">
        <f>_xll.qlPolynomialFunctionValue(BM$1,$BD236,AllTriggers)</f>
        <v>#VALUE!</v>
      </c>
      <c r="BN236" s="47" t="e">
        <f>_xll.qlPolynomialFunctionValue(BN$1,$BD236,AllTriggers)</f>
        <v>#VALUE!</v>
      </c>
      <c r="BO236" s="47" t="e">
        <f>_xll.qlPolynomialFunctionValue(BO$1,$BD236,AllTriggers)</f>
        <v>#VALUE!</v>
      </c>
      <c r="BP236" s="47" t="e">
        <f>_xll.qlPolynomialFunctionValue(BP$1,$BD236,AllTriggers)</f>
        <v>#VALUE!</v>
      </c>
      <c r="BQ236" s="47">
        <f>_xll.qlPolynomialFunctionValue('12MSynthDepo_used'!$P$18,BD236,AllTriggers)</f>
        <v>3.3726051609094679E-3</v>
      </c>
    </row>
    <row r="237" spans="55:69" x14ac:dyDescent="0.2">
      <c r="BC237" s="178">
        <f>_xll.qlCalendarAdvance(Calendar,BC236,"1d","mf",,Trigger)</f>
        <v>42608</v>
      </c>
      <c r="BD237" s="41">
        <f>_xll.qlDayCounterYearFraction(DayCounter,SettlementDate,BC237,,,Trigger)</f>
        <v>0.91388888888888886</v>
      </c>
      <c r="BE237" s="47" t="e">
        <f>_xll.qlPolynomialFunctionValue(BE$1,$BD237,AllTriggers)</f>
        <v>#VALUE!</v>
      </c>
      <c r="BF237" s="47" t="e">
        <f>_xll.qlPolynomialFunctionValue(BF$1,$BD237,AllTriggers)</f>
        <v>#VALUE!</v>
      </c>
      <c r="BG237" s="47" t="e">
        <f>_xll.qlPolynomialFunctionValue(BG$1,$BD237,AllTriggers)</f>
        <v>#VALUE!</v>
      </c>
      <c r="BH237" s="47" t="e">
        <f>_xll.qlPolynomialFunctionValue(BH$1,$BD237,AllTriggers)</f>
        <v>#VALUE!</v>
      </c>
      <c r="BI237" s="47" t="e">
        <f>_xll.qlPolynomialFunctionValue(BI$1,$BD237,AllTriggers)</f>
        <v>#VALUE!</v>
      </c>
      <c r="BJ237" s="47" t="e">
        <f>_xll.qlPolynomialFunctionValue(BJ$1,$BD237,AllTriggers)</f>
        <v>#VALUE!</v>
      </c>
      <c r="BK237" s="47" t="e">
        <f>_xll.qlPolynomialFunctionValue(BK$1,$BD237,AllTriggers)</f>
        <v>#VALUE!</v>
      </c>
      <c r="BL237" s="47" t="e">
        <f>_xll.qlPolynomialFunctionValue(BL$1,$BD237,AllTriggers)</f>
        <v>#VALUE!</v>
      </c>
      <c r="BM237" s="47" t="e">
        <f>_xll.qlPolynomialFunctionValue(BM$1,$BD237,AllTriggers)</f>
        <v>#VALUE!</v>
      </c>
      <c r="BN237" s="47" t="e">
        <f>_xll.qlPolynomialFunctionValue(BN$1,$BD237,AllTriggers)</f>
        <v>#VALUE!</v>
      </c>
      <c r="BO237" s="47" t="e">
        <f>_xll.qlPolynomialFunctionValue(BO$1,$BD237,AllTriggers)</f>
        <v>#VALUE!</v>
      </c>
      <c r="BP237" s="47" t="e">
        <f>_xll.qlPolynomialFunctionValue(BP$1,$BD237,AllTriggers)</f>
        <v>#VALUE!</v>
      </c>
      <c r="BQ237" s="47">
        <f>_xll.qlPolynomialFunctionValue('12MSynthDepo_used'!$P$18,BD237,AllTriggers)</f>
        <v>3.3743217037719027E-3</v>
      </c>
    </row>
    <row r="238" spans="55:69" x14ac:dyDescent="0.2">
      <c r="BC238" s="178">
        <f>_xll.qlCalendarAdvance(Calendar,BC237,"1d","mf",,Trigger)</f>
        <v>42611</v>
      </c>
      <c r="BD238" s="41">
        <f>_xll.qlDayCounterYearFraction(DayCounter,SettlementDate,BC238,,,Trigger)</f>
        <v>0.92222222222222228</v>
      </c>
      <c r="BE238" s="47" t="e">
        <f>_xll.qlPolynomialFunctionValue(BE$1,$BD238,AllTriggers)</f>
        <v>#VALUE!</v>
      </c>
      <c r="BF238" s="47" t="e">
        <f>_xll.qlPolynomialFunctionValue(BF$1,$BD238,AllTriggers)</f>
        <v>#VALUE!</v>
      </c>
      <c r="BG238" s="47" t="e">
        <f>_xll.qlPolynomialFunctionValue(BG$1,$BD238,AllTriggers)</f>
        <v>#VALUE!</v>
      </c>
      <c r="BH238" s="47" t="e">
        <f>_xll.qlPolynomialFunctionValue(BH$1,$BD238,AllTriggers)</f>
        <v>#VALUE!</v>
      </c>
      <c r="BI238" s="47" t="e">
        <f>_xll.qlPolynomialFunctionValue(BI$1,$BD238,AllTriggers)</f>
        <v>#VALUE!</v>
      </c>
      <c r="BJ238" s="47" t="e">
        <f>_xll.qlPolynomialFunctionValue(BJ$1,$BD238,AllTriggers)</f>
        <v>#VALUE!</v>
      </c>
      <c r="BK238" s="47" t="e">
        <f>_xll.qlPolynomialFunctionValue(BK$1,$BD238,AllTriggers)</f>
        <v>#VALUE!</v>
      </c>
      <c r="BL238" s="47" t="e">
        <f>_xll.qlPolynomialFunctionValue(BL$1,$BD238,AllTriggers)</f>
        <v>#VALUE!</v>
      </c>
      <c r="BM238" s="47" t="e">
        <f>_xll.qlPolynomialFunctionValue(BM$1,$BD238,AllTriggers)</f>
        <v>#VALUE!</v>
      </c>
      <c r="BN238" s="47" t="e">
        <f>_xll.qlPolynomialFunctionValue(BN$1,$BD238,AllTriggers)</f>
        <v>#VALUE!</v>
      </c>
      <c r="BO238" s="47" t="e">
        <f>_xll.qlPolynomialFunctionValue(BO$1,$BD238,AllTriggers)</f>
        <v>#VALUE!</v>
      </c>
      <c r="BP238" s="47" t="e">
        <f>_xll.qlPolynomialFunctionValue(BP$1,$BD238,AllTriggers)</f>
        <v>#VALUE!</v>
      </c>
      <c r="BQ238" s="47">
        <f>_xll.qlPolynomialFunctionValue('12MSynthDepo_used'!$P$18,BD238,AllTriggers)</f>
        <v>3.37947097596092E-3</v>
      </c>
    </row>
    <row r="239" spans="55:69" x14ac:dyDescent="0.2">
      <c r="BC239" s="178">
        <f>_xll.qlCalendarAdvance(Calendar,BC238,"1d","mf",,Trigger)</f>
        <v>42612</v>
      </c>
      <c r="BD239" s="41">
        <f>_xll.qlDayCounterYearFraction(DayCounter,SettlementDate,BC239,,,Trigger)</f>
        <v>0.92500000000000004</v>
      </c>
      <c r="BE239" s="47" t="e">
        <f>_xll.qlPolynomialFunctionValue(BE$1,$BD239,AllTriggers)</f>
        <v>#VALUE!</v>
      </c>
      <c r="BF239" s="47" t="e">
        <f>_xll.qlPolynomialFunctionValue(BF$1,$BD239,AllTriggers)</f>
        <v>#VALUE!</v>
      </c>
      <c r="BG239" s="47" t="e">
        <f>_xll.qlPolynomialFunctionValue(BG$1,$BD239,AllTriggers)</f>
        <v>#VALUE!</v>
      </c>
      <c r="BH239" s="47" t="e">
        <f>_xll.qlPolynomialFunctionValue(BH$1,$BD239,AllTriggers)</f>
        <v>#VALUE!</v>
      </c>
      <c r="BI239" s="47" t="e">
        <f>_xll.qlPolynomialFunctionValue(BI$1,$BD239,AllTriggers)</f>
        <v>#VALUE!</v>
      </c>
      <c r="BJ239" s="47" t="e">
        <f>_xll.qlPolynomialFunctionValue(BJ$1,$BD239,AllTriggers)</f>
        <v>#VALUE!</v>
      </c>
      <c r="BK239" s="47" t="e">
        <f>_xll.qlPolynomialFunctionValue(BK$1,$BD239,AllTriggers)</f>
        <v>#VALUE!</v>
      </c>
      <c r="BL239" s="47" t="e">
        <f>_xll.qlPolynomialFunctionValue(BL$1,$BD239,AllTriggers)</f>
        <v>#VALUE!</v>
      </c>
      <c r="BM239" s="47" t="e">
        <f>_xll.qlPolynomialFunctionValue(BM$1,$BD239,AllTriggers)</f>
        <v>#VALUE!</v>
      </c>
      <c r="BN239" s="47" t="e">
        <f>_xll.qlPolynomialFunctionValue(BN$1,$BD239,AllTriggers)</f>
        <v>#VALUE!</v>
      </c>
      <c r="BO239" s="47" t="e">
        <f>_xll.qlPolynomialFunctionValue(BO$1,$BD239,AllTriggers)</f>
        <v>#VALUE!</v>
      </c>
      <c r="BP239" s="47" t="e">
        <f>_xll.qlPolynomialFunctionValue(BP$1,$BD239,AllTriggers)</f>
        <v>#VALUE!</v>
      </c>
      <c r="BQ239" s="47">
        <f>_xll.qlPolynomialFunctionValue('12MSynthDepo_used'!$P$18,BD239,AllTriggers)</f>
        <v>3.3811872637242845E-3</v>
      </c>
    </row>
    <row r="240" spans="55:69" x14ac:dyDescent="0.2">
      <c r="BC240" s="178">
        <f>_xll.qlCalendarAdvance(Calendar,BC239,"1d","mf",,Trigger)</f>
        <v>42613</v>
      </c>
      <c r="BD240" s="41">
        <f>_xll.qlDayCounterYearFraction(DayCounter,SettlementDate,BC240,,,Trigger)</f>
        <v>0.92777777777777781</v>
      </c>
      <c r="BE240" s="47" t="e">
        <f>_xll.qlPolynomialFunctionValue(BE$1,$BD240,AllTriggers)</f>
        <v>#VALUE!</v>
      </c>
      <c r="BF240" s="47" t="e">
        <f>_xll.qlPolynomialFunctionValue(BF$1,$BD240,AllTriggers)</f>
        <v>#VALUE!</v>
      </c>
      <c r="BG240" s="47" t="e">
        <f>_xll.qlPolynomialFunctionValue(BG$1,$BD240,AllTriggers)</f>
        <v>#VALUE!</v>
      </c>
      <c r="BH240" s="47" t="e">
        <f>_xll.qlPolynomialFunctionValue(BH$1,$BD240,AllTriggers)</f>
        <v>#VALUE!</v>
      </c>
      <c r="BI240" s="47" t="e">
        <f>_xll.qlPolynomialFunctionValue(BI$1,$BD240,AllTriggers)</f>
        <v>#VALUE!</v>
      </c>
      <c r="BJ240" s="47" t="e">
        <f>_xll.qlPolynomialFunctionValue(BJ$1,$BD240,AllTriggers)</f>
        <v>#VALUE!</v>
      </c>
      <c r="BK240" s="47" t="e">
        <f>_xll.qlPolynomialFunctionValue(BK$1,$BD240,AllTriggers)</f>
        <v>#VALUE!</v>
      </c>
      <c r="BL240" s="47" t="e">
        <f>_xll.qlPolynomialFunctionValue(BL$1,$BD240,AllTriggers)</f>
        <v>#VALUE!</v>
      </c>
      <c r="BM240" s="47" t="e">
        <f>_xll.qlPolynomialFunctionValue(BM$1,$BD240,AllTriggers)</f>
        <v>#VALUE!</v>
      </c>
      <c r="BN240" s="47" t="e">
        <f>_xll.qlPolynomialFunctionValue(BN$1,$BD240,AllTriggers)</f>
        <v>#VALUE!</v>
      </c>
      <c r="BO240" s="47" t="e">
        <f>_xll.qlPolynomialFunctionValue(BO$1,$BD240,AllTriggers)</f>
        <v>#VALUE!</v>
      </c>
      <c r="BP240" s="47" t="e">
        <f>_xll.qlPolynomialFunctionValue(BP$1,$BD240,AllTriggers)</f>
        <v>#VALUE!</v>
      </c>
      <c r="BQ240" s="47">
        <f>_xll.qlPolynomialFunctionValue('12MSynthDepo_used'!$P$18,BD240,AllTriggers)</f>
        <v>3.3829034745877225E-3</v>
      </c>
    </row>
    <row r="241" spans="55:69" x14ac:dyDescent="0.2">
      <c r="BC241" s="178">
        <f>_xll.qlCalendarAdvance(Calendar,BC240,"1d","mf",,Trigger)</f>
        <v>42614</v>
      </c>
      <c r="BD241" s="41">
        <f>_xll.qlDayCounterYearFraction(DayCounter,SettlementDate,BC241,,,Trigger)</f>
        <v>0.93055555555555558</v>
      </c>
      <c r="BE241" s="47" t="e">
        <f>_xll.qlPolynomialFunctionValue(BE$1,$BD241,AllTriggers)</f>
        <v>#VALUE!</v>
      </c>
      <c r="BF241" s="47" t="e">
        <f>_xll.qlPolynomialFunctionValue(BF$1,$BD241,AllTriggers)</f>
        <v>#VALUE!</v>
      </c>
      <c r="BG241" s="47" t="e">
        <f>_xll.qlPolynomialFunctionValue(BG$1,$BD241,AllTriggers)</f>
        <v>#VALUE!</v>
      </c>
      <c r="BH241" s="47" t="e">
        <f>_xll.qlPolynomialFunctionValue(BH$1,$BD241,AllTriggers)</f>
        <v>#VALUE!</v>
      </c>
      <c r="BI241" s="47" t="e">
        <f>_xll.qlPolynomialFunctionValue(BI$1,$BD241,AllTriggers)</f>
        <v>#VALUE!</v>
      </c>
      <c r="BJ241" s="47" t="e">
        <f>_xll.qlPolynomialFunctionValue(BJ$1,$BD241,AllTriggers)</f>
        <v>#VALUE!</v>
      </c>
      <c r="BK241" s="47" t="e">
        <f>_xll.qlPolynomialFunctionValue(BK$1,$BD241,AllTriggers)</f>
        <v>#VALUE!</v>
      </c>
      <c r="BL241" s="47" t="e">
        <f>_xll.qlPolynomialFunctionValue(BL$1,$BD241,AllTriggers)</f>
        <v>#VALUE!</v>
      </c>
      <c r="BM241" s="47" t="e">
        <f>_xll.qlPolynomialFunctionValue(BM$1,$BD241,AllTriggers)</f>
        <v>#VALUE!</v>
      </c>
      <c r="BN241" s="47" t="e">
        <f>_xll.qlPolynomialFunctionValue(BN$1,$BD241,AllTriggers)</f>
        <v>#VALUE!</v>
      </c>
      <c r="BO241" s="47" t="e">
        <f>_xll.qlPolynomialFunctionValue(BO$1,$BD241,AllTriggers)</f>
        <v>#VALUE!</v>
      </c>
      <c r="BP241" s="47" t="e">
        <f>_xll.qlPolynomialFunctionValue(BP$1,$BD241,AllTriggers)</f>
        <v>#VALUE!</v>
      </c>
      <c r="BQ241" s="47">
        <f>_xll.qlPolynomialFunctionValue('12MSynthDepo_used'!$P$18,BD241,AllTriggers)</f>
        <v>3.38461960330117E-3</v>
      </c>
    </row>
    <row r="242" spans="55:69" x14ac:dyDescent="0.2">
      <c r="BC242" s="178">
        <f>_xll.qlCalendarAdvance(Calendar,BC241,"1d","mf",,Trigger)</f>
        <v>42615</v>
      </c>
      <c r="BD242" s="41">
        <f>_xll.qlDayCounterYearFraction(DayCounter,SettlementDate,BC242,,,Trigger)</f>
        <v>0.93333333333333335</v>
      </c>
      <c r="BE242" s="47" t="e">
        <f>_xll.qlPolynomialFunctionValue(BE$1,$BD242,AllTriggers)</f>
        <v>#VALUE!</v>
      </c>
      <c r="BF242" s="47" t="e">
        <f>_xll.qlPolynomialFunctionValue(BF$1,$BD242,AllTriggers)</f>
        <v>#VALUE!</v>
      </c>
      <c r="BG242" s="47" t="e">
        <f>_xll.qlPolynomialFunctionValue(BG$1,$BD242,AllTriggers)</f>
        <v>#VALUE!</v>
      </c>
      <c r="BH242" s="47" t="e">
        <f>_xll.qlPolynomialFunctionValue(BH$1,$BD242,AllTriggers)</f>
        <v>#VALUE!</v>
      </c>
      <c r="BI242" s="47" t="e">
        <f>_xll.qlPolynomialFunctionValue(BI$1,$BD242,AllTriggers)</f>
        <v>#VALUE!</v>
      </c>
      <c r="BJ242" s="47" t="e">
        <f>_xll.qlPolynomialFunctionValue(BJ$1,$BD242,AllTriggers)</f>
        <v>#VALUE!</v>
      </c>
      <c r="BK242" s="47" t="e">
        <f>_xll.qlPolynomialFunctionValue(BK$1,$BD242,AllTriggers)</f>
        <v>#VALUE!</v>
      </c>
      <c r="BL242" s="47" t="e">
        <f>_xll.qlPolynomialFunctionValue(BL$1,$BD242,AllTriggers)</f>
        <v>#VALUE!</v>
      </c>
      <c r="BM242" s="47" t="e">
        <f>_xll.qlPolynomialFunctionValue(BM$1,$BD242,AllTriggers)</f>
        <v>#VALUE!</v>
      </c>
      <c r="BN242" s="47" t="e">
        <f>_xll.qlPolynomialFunctionValue(BN$1,$BD242,AllTriggers)</f>
        <v>#VALUE!</v>
      </c>
      <c r="BO242" s="47" t="e">
        <f>_xll.qlPolynomialFunctionValue(BO$1,$BD242,AllTriggers)</f>
        <v>#VALUE!</v>
      </c>
      <c r="BP242" s="47" t="e">
        <f>_xll.qlPolynomialFunctionValue(BP$1,$BD242,AllTriggers)</f>
        <v>#VALUE!</v>
      </c>
      <c r="BQ242" s="47">
        <f>_xll.qlPolynomialFunctionValue('12MSynthDepo_used'!$P$18,BD242,AllTriggers)</f>
        <v>3.3863356446145643E-3</v>
      </c>
    </row>
    <row r="243" spans="55:69" x14ac:dyDescent="0.2">
      <c r="BC243" s="178">
        <f>_xll.qlCalendarAdvance(Calendar,BC242,"1d","mf",,Trigger)</f>
        <v>42618</v>
      </c>
      <c r="BD243" s="41">
        <f>_xll.qlDayCounterYearFraction(DayCounter,SettlementDate,BC243,,,Trigger)</f>
        <v>0.94166666666666665</v>
      </c>
      <c r="BE243" s="47" t="e">
        <f>_xll.qlPolynomialFunctionValue(BE$1,$BD243,AllTriggers)</f>
        <v>#VALUE!</v>
      </c>
      <c r="BF243" s="47" t="e">
        <f>_xll.qlPolynomialFunctionValue(BF$1,$BD243,AllTriggers)</f>
        <v>#VALUE!</v>
      </c>
      <c r="BG243" s="47" t="e">
        <f>_xll.qlPolynomialFunctionValue(BG$1,$BD243,AllTriggers)</f>
        <v>#VALUE!</v>
      </c>
      <c r="BH243" s="47" t="e">
        <f>_xll.qlPolynomialFunctionValue(BH$1,$BD243,AllTriggers)</f>
        <v>#VALUE!</v>
      </c>
      <c r="BI243" s="47" t="e">
        <f>_xll.qlPolynomialFunctionValue(BI$1,$BD243,AllTriggers)</f>
        <v>#VALUE!</v>
      </c>
      <c r="BJ243" s="47" t="e">
        <f>_xll.qlPolynomialFunctionValue(BJ$1,$BD243,AllTriggers)</f>
        <v>#VALUE!</v>
      </c>
      <c r="BK243" s="47" t="e">
        <f>_xll.qlPolynomialFunctionValue(BK$1,$BD243,AllTriggers)</f>
        <v>#VALUE!</v>
      </c>
      <c r="BL243" s="47" t="e">
        <f>_xll.qlPolynomialFunctionValue(BL$1,$BD243,AllTriggers)</f>
        <v>#VALUE!</v>
      </c>
      <c r="BM243" s="47" t="e">
        <f>_xll.qlPolynomialFunctionValue(BM$1,$BD243,AllTriggers)</f>
        <v>#VALUE!</v>
      </c>
      <c r="BN243" s="47" t="e">
        <f>_xll.qlPolynomialFunctionValue(BN$1,$BD243,AllTriggers)</f>
        <v>#VALUE!</v>
      </c>
      <c r="BO243" s="47" t="e">
        <f>_xll.qlPolynomialFunctionValue(BO$1,$BD243,AllTriggers)</f>
        <v>#VALUE!</v>
      </c>
      <c r="BP243" s="47" t="e">
        <f>_xll.qlPolynomialFunctionValue(BP$1,$BD243,AllTriggers)</f>
        <v>#VALUE!</v>
      </c>
      <c r="BQ243" s="47">
        <f>_xll.qlPolynomialFunctionValue('12MSynthDepo_used'!$P$18,BD243,AllTriggers)</f>
        <v>3.3914831916537855E-3</v>
      </c>
    </row>
    <row r="244" spans="55:69" x14ac:dyDescent="0.2">
      <c r="BC244" s="178">
        <f>_xll.qlCalendarAdvance(Calendar,BC243,"1d","mf",,Trigger)</f>
        <v>42619</v>
      </c>
      <c r="BD244" s="41">
        <f>_xll.qlDayCounterYearFraction(DayCounter,SettlementDate,BC244,,,Trigger)</f>
        <v>0.94444444444444442</v>
      </c>
      <c r="BE244" s="47" t="e">
        <f>_xll.qlPolynomialFunctionValue(BE$1,$BD244,AllTriggers)</f>
        <v>#VALUE!</v>
      </c>
      <c r="BF244" s="47" t="e">
        <f>_xll.qlPolynomialFunctionValue(BF$1,$BD244,AllTriggers)</f>
        <v>#VALUE!</v>
      </c>
      <c r="BG244" s="47" t="e">
        <f>_xll.qlPolynomialFunctionValue(BG$1,$BD244,AllTriggers)</f>
        <v>#VALUE!</v>
      </c>
      <c r="BH244" s="47" t="e">
        <f>_xll.qlPolynomialFunctionValue(BH$1,$BD244,AllTriggers)</f>
        <v>#VALUE!</v>
      </c>
      <c r="BI244" s="47" t="e">
        <f>_xll.qlPolynomialFunctionValue(BI$1,$BD244,AllTriggers)</f>
        <v>#VALUE!</v>
      </c>
      <c r="BJ244" s="47" t="e">
        <f>_xll.qlPolynomialFunctionValue(BJ$1,$BD244,AllTriggers)</f>
        <v>#VALUE!</v>
      </c>
      <c r="BK244" s="47" t="e">
        <f>_xll.qlPolynomialFunctionValue(BK$1,$BD244,AllTriggers)</f>
        <v>#VALUE!</v>
      </c>
      <c r="BL244" s="47" t="e">
        <f>_xll.qlPolynomialFunctionValue(BL$1,$BD244,AllTriggers)</f>
        <v>#VALUE!</v>
      </c>
      <c r="BM244" s="47" t="e">
        <f>_xll.qlPolynomialFunctionValue(BM$1,$BD244,AllTriggers)</f>
        <v>#VALUE!</v>
      </c>
      <c r="BN244" s="47" t="e">
        <f>_xll.qlPolynomialFunctionValue(BN$1,$BD244,AllTriggers)</f>
        <v>#VALUE!</v>
      </c>
      <c r="BO244" s="47" t="e">
        <f>_xll.qlPolynomialFunctionValue(BO$1,$BD244,AllTriggers)</f>
        <v>#VALUE!</v>
      </c>
      <c r="BP244" s="47" t="e">
        <f>_xll.qlPolynomialFunctionValue(BP$1,$BD244,AllTriggers)</f>
        <v>#VALUE!</v>
      </c>
      <c r="BQ244" s="47">
        <f>_xll.qlPolynomialFunctionValue('12MSynthDepo_used'!$P$18,BD244,AllTriggers)</f>
        <v>3.3931988308663276E-3</v>
      </c>
    </row>
    <row r="245" spans="55:69" x14ac:dyDescent="0.2">
      <c r="BC245" s="178">
        <f>_xll.qlCalendarAdvance(Calendar,BC244,"1d","mf",,Trigger)</f>
        <v>42620</v>
      </c>
      <c r="BD245" s="41">
        <f>_xll.qlDayCounterYearFraction(DayCounter,SettlementDate,BC245,,,Trigger)</f>
        <v>0.94722222222222219</v>
      </c>
      <c r="BE245" s="47" t="e">
        <f>_xll.qlPolynomialFunctionValue(BE$1,$BD245,AllTriggers)</f>
        <v>#VALUE!</v>
      </c>
      <c r="BF245" s="47" t="e">
        <f>_xll.qlPolynomialFunctionValue(BF$1,$BD245,AllTriggers)</f>
        <v>#VALUE!</v>
      </c>
      <c r="BG245" s="47" t="e">
        <f>_xll.qlPolynomialFunctionValue(BG$1,$BD245,AllTriggers)</f>
        <v>#VALUE!</v>
      </c>
      <c r="BH245" s="47" t="e">
        <f>_xll.qlPolynomialFunctionValue(BH$1,$BD245,AllTriggers)</f>
        <v>#VALUE!</v>
      </c>
      <c r="BI245" s="47" t="e">
        <f>_xll.qlPolynomialFunctionValue(BI$1,$BD245,AllTriggers)</f>
        <v>#VALUE!</v>
      </c>
      <c r="BJ245" s="47" t="e">
        <f>_xll.qlPolynomialFunctionValue(BJ$1,$BD245,AllTriggers)</f>
        <v>#VALUE!</v>
      </c>
      <c r="BK245" s="47" t="e">
        <f>_xll.qlPolynomialFunctionValue(BK$1,$BD245,AllTriggers)</f>
        <v>#VALUE!</v>
      </c>
      <c r="BL245" s="47" t="e">
        <f>_xll.qlPolynomialFunctionValue(BL$1,$BD245,AllTriggers)</f>
        <v>#VALUE!</v>
      </c>
      <c r="BM245" s="47" t="e">
        <f>_xll.qlPolynomialFunctionValue(BM$1,$BD245,AllTriggers)</f>
        <v>#VALUE!</v>
      </c>
      <c r="BN245" s="47" t="e">
        <f>_xll.qlPolynomialFunctionValue(BN$1,$BD245,AllTriggers)</f>
        <v>#VALUE!</v>
      </c>
      <c r="BO245" s="47" t="e">
        <f>_xll.qlPolynomialFunctionValue(BO$1,$BD245,AllTriggers)</f>
        <v>#VALUE!</v>
      </c>
      <c r="BP245" s="47" t="e">
        <f>_xll.qlPolynomialFunctionValue(BP$1,$BD245,AllTriggers)</f>
        <v>#VALUE!</v>
      </c>
      <c r="BQ245" s="47">
        <f>_xll.qlPolynomialFunctionValue('12MSynthDepo_used'!$P$18,BD245,AllTriggers)</f>
        <v>3.3949143564284967E-3</v>
      </c>
    </row>
    <row r="246" spans="55:69" x14ac:dyDescent="0.2">
      <c r="BC246" s="178">
        <f>_xll.qlCalendarAdvance(Calendar,BC245,"1d","mf",,Trigger)</f>
        <v>42621</v>
      </c>
      <c r="BD246" s="41">
        <f>_xll.qlDayCounterYearFraction(DayCounter,SettlementDate,BC246,,,Trigger)</f>
        <v>0.95</v>
      </c>
      <c r="BE246" s="47" t="e">
        <f>_xll.qlPolynomialFunctionValue(BE$1,$BD246,AllTriggers)</f>
        <v>#VALUE!</v>
      </c>
      <c r="BF246" s="47" t="e">
        <f>_xll.qlPolynomialFunctionValue(BF$1,$BD246,AllTriggers)</f>
        <v>#VALUE!</v>
      </c>
      <c r="BG246" s="47" t="e">
        <f>_xll.qlPolynomialFunctionValue(BG$1,$BD246,AllTriggers)</f>
        <v>#VALUE!</v>
      </c>
      <c r="BH246" s="47" t="e">
        <f>_xll.qlPolynomialFunctionValue(BH$1,$BD246,AllTriggers)</f>
        <v>#VALUE!</v>
      </c>
      <c r="BI246" s="47" t="e">
        <f>_xll.qlPolynomialFunctionValue(BI$1,$BD246,AllTriggers)</f>
        <v>#VALUE!</v>
      </c>
      <c r="BJ246" s="47" t="e">
        <f>_xll.qlPolynomialFunctionValue(BJ$1,$BD246,AllTriggers)</f>
        <v>#VALUE!</v>
      </c>
      <c r="BK246" s="47" t="e">
        <f>_xll.qlPolynomialFunctionValue(BK$1,$BD246,AllTriggers)</f>
        <v>#VALUE!</v>
      </c>
      <c r="BL246" s="47" t="e">
        <f>_xll.qlPolynomialFunctionValue(BL$1,$BD246,AllTriggers)</f>
        <v>#VALUE!</v>
      </c>
      <c r="BM246" s="47" t="e">
        <f>_xll.qlPolynomialFunctionValue(BM$1,$BD246,AllTriggers)</f>
        <v>#VALUE!</v>
      </c>
      <c r="BN246" s="47" t="e">
        <f>_xll.qlPolynomialFunctionValue(BN$1,$BD246,AllTriggers)</f>
        <v>#VALUE!</v>
      </c>
      <c r="BO246" s="47" t="e">
        <f>_xll.qlPolynomialFunctionValue(BO$1,$BD246,AllTriggers)</f>
        <v>#VALUE!</v>
      </c>
      <c r="BP246" s="47" t="e">
        <f>_xll.qlPolynomialFunctionValue(BP$1,$BD246,AllTriggers)</f>
        <v>#VALUE!</v>
      </c>
      <c r="BQ246" s="47">
        <f>_xll.qlPolynomialFunctionValue('12MSynthDepo_used'!$P$18,BD246,AllTriggers)</f>
        <v>3.3966297630902303E-3</v>
      </c>
    </row>
    <row r="247" spans="55:69" x14ac:dyDescent="0.2">
      <c r="BC247" s="178">
        <f>_xll.qlCalendarAdvance(Calendar,BC246,"1d","mf",,Trigger)</f>
        <v>42622</v>
      </c>
      <c r="BD247" s="41">
        <f>_xll.qlDayCounterYearFraction(DayCounter,SettlementDate,BC247,,,Trigger)</f>
        <v>0.95277777777777772</v>
      </c>
      <c r="BE247" s="47" t="e">
        <f>_xll.qlPolynomialFunctionValue(BE$1,$BD247,AllTriggers)</f>
        <v>#VALUE!</v>
      </c>
      <c r="BF247" s="47" t="e">
        <f>_xll.qlPolynomialFunctionValue(BF$1,$BD247,AllTriggers)</f>
        <v>#VALUE!</v>
      </c>
      <c r="BG247" s="47" t="e">
        <f>_xll.qlPolynomialFunctionValue(BG$1,$BD247,AllTriggers)</f>
        <v>#VALUE!</v>
      </c>
      <c r="BH247" s="47" t="e">
        <f>_xll.qlPolynomialFunctionValue(BH$1,$BD247,AllTriggers)</f>
        <v>#VALUE!</v>
      </c>
      <c r="BI247" s="47" t="e">
        <f>_xll.qlPolynomialFunctionValue(BI$1,$BD247,AllTriggers)</f>
        <v>#VALUE!</v>
      </c>
      <c r="BJ247" s="47" t="e">
        <f>_xll.qlPolynomialFunctionValue(BJ$1,$BD247,AllTriggers)</f>
        <v>#VALUE!</v>
      </c>
      <c r="BK247" s="47" t="e">
        <f>_xll.qlPolynomialFunctionValue(BK$1,$BD247,AllTriggers)</f>
        <v>#VALUE!</v>
      </c>
      <c r="BL247" s="47" t="e">
        <f>_xll.qlPolynomialFunctionValue(BL$1,$BD247,AllTriggers)</f>
        <v>#VALUE!</v>
      </c>
      <c r="BM247" s="47" t="e">
        <f>_xll.qlPolynomialFunctionValue(BM$1,$BD247,AllTriggers)</f>
        <v>#VALUE!</v>
      </c>
      <c r="BN247" s="47" t="e">
        <f>_xll.qlPolynomialFunctionValue(BN$1,$BD247,AllTriggers)</f>
        <v>#VALUE!</v>
      </c>
      <c r="BO247" s="47" t="e">
        <f>_xll.qlPolynomialFunctionValue(BO$1,$BD247,AllTriggers)</f>
        <v>#VALUE!</v>
      </c>
      <c r="BP247" s="47" t="e">
        <f>_xll.qlPolynomialFunctionValue(BP$1,$BD247,AllTriggers)</f>
        <v>#VALUE!</v>
      </c>
      <c r="BQ247" s="47">
        <f>_xll.qlPolynomialFunctionValue('12MSynthDepo_used'!$P$18,BD247,AllTriggers)</f>
        <v>3.3983450456014641E-3</v>
      </c>
    </row>
    <row r="248" spans="55:69" x14ac:dyDescent="0.2">
      <c r="BC248" s="178">
        <f>_xll.qlCalendarAdvance(Calendar,BC247,"1d","mf",,Trigger)</f>
        <v>42625</v>
      </c>
      <c r="BD248" s="41">
        <f>_xll.qlDayCounterYearFraction(DayCounter,SettlementDate,BC248,,,Trigger)</f>
        <v>0.96111111111111114</v>
      </c>
      <c r="BE248" s="47" t="e">
        <f>_xll.qlPolynomialFunctionValue(BE$1,$BD248,AllTriggers)</f>
        <v>#VALUE!</v>
      </c>
      <c r="BF248" s="47" t="e">
        <f>_xll.qlPolynomialFunctionValue(BF$1,$BD248,AllTriggers)</f>
        <v>#VALUE!</v>
      </c>
      <c r="BG248" s="47" t="e">
        <f>_xll.qlPolynomialFunctionValue(BG$1,$BD248,AllTriggers)</f>
        <v>#VALUE!</v>
      </c>
      <c r="BH248" s="47" t="e">
        <f>_xll.qlPolynomialFunctionValue(BH$1,$BD248,AllTriggers)</f>
        <v>#VALUE!</v>
      </c>
      <c r="BI248" s="47" t="e">
        <f>_xll.qlPolynomialFunctionValue(BI$1,$BD248,AllTriggers)</f>
        <v>#VALUE!</v>
      </c>
      <c r="BJ248" s="47" t="e">
        <f>_xll.qlPolynomialFunctionValue(BJ$1,$BD248,AllTriggers)</f>
        <v>#VALUE!</v>
      </c>
      <c r="BK248" s="47" t="e">
        <f>_xll.qlPolynomialFunctionValue(BK$1,$BD248,AllTriggers)</f>
        <v>#VALUE!</v>
      </c>
      <c r="BL248" s="47" t="e">
        <f>_xll.qlPolynomialFunctionValue(BL$1,$BD248,AllTriggers)</f>
        <v>#VALUE!</v>
      </c>
      <c r="BM248" s="47" t="e">
        <f>_xll.qlPolynomialFunctionValue(BM$1,$BD248,AllTriggers)</f>
        <v>#VALUE!</v>
      </c>
      <c r="BN248" s="47" t="e">
        <f>_xll.qlPolynomialFunctionValue(BN$1,$BD248,AllTriggers)</f>
        <v>#VALUE!</v>
      </c>
      <c r="BO248" s="47" t="e">
        <f>_xll.qlPolynomialFunctionValue(BO$1,$BD248,AllTriggers)</f>
        <v>#VALUE!</v>
      </c>
      <c r="BP248" s="47" t="e">
        <f>_xll.qlPolynomialFunctionValue(BP$1,$BD248,AllTriggers)</f>
        <v>#VALUE!</v>
      </c>
      <c r="BQ248" s="47">
        <f>_xll.qlPolynomialFunctionValue('12MSynthDepo_used'!$P$18,BD248,AllTriggers)</f>
        <v>3.4034900957315328E-3</v>
      </c>
    </row>
    <row r="249" spans="55:69" x14ac:dyDescent="0.2">
      <c r="BC249" s="178">
        <f>_xll.qlCalendarAdvance(Calendar,BC248,"1d","mf",,Trigger)</f>
        <v>42626</v>
      </c>
      <c r="BD249" s="41">
        <f>_xll.qlDayCounterYearFraction(DayCounter,SettlementDate,BC249,,,Trigger)</f>
        <v>0.96388888888888891</v>
      </c>
      <c r="BE249" s="47" t="e">
        <f>_xll.qlPolynomialFunctionValue(BE$1,$BD249,AllTriggers)</f>
        <v>#VALUE!</v>
      </c>
      <c r="BF249" s="47" t="e">
        <f>_xll.qlPolynomialFunctionValue(BF$1,$BD249,AllTriggers)</f>
        <v>#VALUE!</v>
      </c>
      <c r="BG249" s="47" t="e">
        <f>_xll.qlPolynomialFunctionValue(BG$1,$BD249,AllTriggers)</f>
        <v>#VALUE!</v>
      </c>
      <c r="BH249" s="47" t="e">
        <f>_xll.qlPolynomialFunctionValue(BH$1,$BD249,AllTriggers)</f>
        <v>#VALUE!</v>
      </c>
      <c r="BI249" s="47" t="e">
        <f>_xll.qlPolynomialFunctionValue(BI$1,$BD249,AllTriggers)</f>
        <v>#VALUE!</v>
      </c>
      <c r="BJ249" s="47" t="e">
        <f>_xll.qlPolynomialFunctionValue(BJ$1,$BD249,AllTriggers)</f>
        <v>#VALUE!</v>
      </c>
      <c r="BK249" s="47" t="e">
        <f>_xll.qlPolynomialFunctionValue(BK$1,$BD249,AllTriggers)</f>
        <v>#VALUE!</v>
      </c>
      <c r="BL249" s="47" t="e">
        <f>_xll.qlPolynomialFunctionValue(BL$1,$BD249,AllTriggers)</f>
        <v>#VALUE!</v>
      </c>
      <c r="BM249" s="47" t="e">
        <f>_xll.qlPolynomialFunctionValue(BM$1,$BD249,AllTriggers)</f>
        <v>#VALUE!</v>
      </c>
      <c r="BN249" s="47" t="e">
        <f>_xll.qlPolynomialFunctionValue(BN$1,$BD249,AllTriggers)</f>
        <v>#VALUE!</v>
      </c>
      <c r="BO249" s="47" t="e">
        <f>_xll.qlPolynomialFunctionValue(BO$1,$BD249,AllTriggers)</f>
        <v>#VALUE!</v>
      </c>
      <c r="BP249" s="47" t="e">
        <f>_xll.qlPolynomialFunctionValue(BP$1,$BD249,AllTriggers)</f>
        <v>#VALUE!</v>
      </c>
      <c r="BQ249" s="47">
        <f>_xll.qlPolynomialFunctionValue('12MSynthDepo_used'!$P$18,BD249,AllTriggers)</f>
        <v>3.4052048291401322E-3</v>
      </c>
    </row>
    <row r="250" spans="55:69" x14ac:dyDescent="0.2">
      <c r="BC250" s="178">
        <f>_xll.qlCalendarAdvance(Calendar,BC249,"1d","mf",,Trigger)</f>
        <v>42627</v>
      </c>
      <c r="BD250" s="41">
        <f>_xll.qlDayCounterYearFraction(DayCounter,SettlementDate,BC250,,,Trigger)</f>
        <v>0.96666666666666667</v>
      </c>
      <c r="BE250" s="47" t="e">
        <f>_xll.qlPolynomialFunctionValue(BE$1,$BD250,AllTriggers)</f>
        <v>#VALUE!</v>
      </c>
      <c r="BF250" s="47" t="e">
        <f>_xll.qlPolynomialFunctionValue(BF$1,$BD250,AllTriggers)</f>
        <v>#VALUE!</v>
      </c>
      <c r="BG250" s="47" t="e">
        <f>_xll.qlPolynomialFunctionValue(BG$1,$BD250,AllTriggers)</f>
        <v>#VALUE!</v>
      </c>
      <c r="BH250" s="47" t="e">
        <f>_xll.qlPolynomialFunctionValue(BH$1,$BD250,AllTriggers)</f>
        <v>#VALUE!</v>
      </c>
      <c r="BI250" s="47" t="e">
        <f>_xll.qlPolynomialFunctionValue(BI$1,$BD250,AllTriggers)</f>
        <v>#VALUE!</v>
      </c>
      <c r="BJ250" s="47" t="e">
        <f>_xll.qlPolynomialFunctionValue(BJ$1,$BD250,AllTriggers)</f>
        <v>#VALUE!</v>
      </c>
      <c r="BK250" s="47" t="e">
        <f>_xll.qlPolynomialFunctionValue(BK$1,$BD250,AllTriggers)</f>
        <v>#VALUE!</v>
      </c>
      <c r="BL250" s="47" t="e">
        <f>_xll.qlPolynomialFunctionValue(BL$1,$BD250,AllTriggers)</f>
        <v>#VALUE!</v>
      </c>
      <c r="BM250" s="47" t="e">
        <f>_xll.qlPolynomialFunctionValue(BM$1,$BD250,AllTriggers)</f>
        <v>#VALUE!</v>
      </c>
      <c r="BN250" s="47" t="e">
        <f>_xll.qlPolynomialFunctionValue(BN$1,$BD250,AllTriggers)</f>
        <v>#VALUE!</v>
      </c>
      <c r="BO250" s="47" t="e">
        <f>_xll.qlPolynomialFunctionValue(BO$1,$BD250,AllTriggers)</f>
        <v>#VALUE!</v>
      </c>
      <c r="BP250" s="47" t="e">
        <f>_xll.qlPolynomialFunctionValue(BP$1,$BD250,AllTriggers)</f>
        <v>#VALUE!</v>
      </c>
      <c r="BQ250" s="47">
        <f>_xll.qlPolynomialFunctionValue('12MSynthDepo_used'!$P$18,BD250,AllTriggers)</f>
        <v>3.4069194121479135E-3</v>
      </c>
    </row>
    <row r="251" spans="55:69" x14ac:dyDescent="0.2">
      <c r="BC251" s="178">
        <f>_xll.qlCalendarAdvance(Calendar,BC250,"1d","mf",,Trigger)</f>
        <v>42628</v>
      </c>
      <c r="BD251" s="41">
        <f>_xll.qlDayCounterYearFraction(DayCounter,SettlementDate,BC251,,,Trigger)</f>
        <v>0.96944444444444444</v>
      </c>
      <c r="BE251" s="47" t="e">
        <f>_xll.qlPolynomialFunctionValue(BE$1,$BD251,AllTriggers)</f>
        <v>#VALUE!</v>
      </c>
      <c r="BF251" s="47" t="e">
        <f>_xll.qlPolynomialFunctionValue(BF$1,$BD251,AllTriggers)</f>
        <v>#VALUE!</v>
      </c>
      <c r="BG251" s="47" t="e">
        <f>_xll.qlPolynomialFunctionValue(BG$1,$BD251,AllTriggers)</f>
        <v>#VALUE!</v>
      </c>
      <c r="BH251" s="47" t="e">
        <f>_xll.qlPolynomialFunctionValue(BH$1,$BD251,AllTriggers)</f>
        <v>#VALUE!</v>
      </c>
      <c r="BI251" s="47" t="e">
        <f>_xll.qlPolynomialFunctionValue(BI$1,$BD251,AllTriggers)</f>
        <v>#VALUE!</v>
      </c>
      <c r="BJ251" s="47" t="e">
        <f>_xll.qlPolynomialFunctionValue(BJ$1,$BD251,AllTriggers)</f>
        <v>#VALUE!</v>
      </c>
      <c r="BK251" s="47" t="e">
        <f>_xll.qlPolynomialFunctionValue(BK$1,$BD251,AllTriggers)</f>
        <v>#VALUE!</v>
      </c>
      <c r="BL251" s="47" t="e">
        <f>_xll.qlPolynomialFunctionValue(BL$1,$BD251,AllTriggers)</f>
        <v>#VALUE!</v>
      </c>
      <c r="BM251" s="47" t="e">
        <f>_xll.qlPolynomialFunctionValue(BM$1,$BD251,AllTriggers)</f>
        <v>#VALUE!</v>
      </c>
      <c r="BN251" s="47" t="e">
        <f>_xll.qlPolynomialFunctionValue(BN$1,$BD251,AllTriggers)</f>
        <v>#VALUE!</v>
      </c>
      <c r="BO251" s="47" t="e">
        <f>_xll.qlPolynomialFunctionValue(BO$1,$BD251,AllTriggers)</f>
        <v>#VALUE!</v>
      </c>
      <c r="BP251" s="47" t="e">
        <f>_xll.qlPolynomialFunctionValue(BP$1,$BD251,AllTriggers)</f>
        <v>#VALUE!</v>
      </c>
      <c r="BQ251" s="47">
        <f>_xll.qlPolynomialFunctionValue('12MSynthDepo_used'!$P$18,BD251,AllTriggers)</f>
        <v>3.4086338395048132E-3</v>
      </c>
    </row>
    <row r="252" spans="55:69" x14ac:dyDescent="0.2">
      <c r="BC252" s="178">
        <f>_xll.qlCalendarAdvance(Calendar,BC251,"1d","mf",,Trigger)</f>
        <v>42629</v>
      </c>
      <c r="BD252" s="41">
        <f>_xll.qlDayCounterYearFraction(DayCounter,SettlementDate,BC252,,,Trigger)</f>
        <v>0.97222222222222221</v>
      </c>
      <c r="BE252" s="47" t="e">
        <f>_xll.qlPolynomialFunctionValue(BE$1,$BD252,AllTriggers)</f>
        <v>#VALUE!</v>
      </c>
      <c r="BF252" s="47" t="e">
        <f>_xll.qlPolynomialFunctionValue(BF$1,$BD252,AllTriggers)</f>
        <v>#VALUE!</v>
      </c>
      <c r="BG252" s="47" t="e">
        <f>_xll.qlPolynomialFunctionValue(BG$1,$BD252,AllTriggers)</f>
        <v>#VALUE!</v>
      </c>
      <c r="BH252" s="47" t="e">
        <f>_xll.qlPolynomialFunctionValue(BH$1,$BD252,AllTriggers)</f>
        <v>#VALUE!</v>
      </c>
      <c r="BI252" s="47" t="e">
        <f>_xll.qlPolynomialFunctionValue(BI$1,$BD252,AllTriggers)</f>
        <v>#VALUE!</v>
      </c>
      <c r="BJ252" s="47" t="e">
        <f>_xll.qlPolynomialFunctionValue(BJ$1,$BD252,AllTriggers)</f>
        <v>#VALUE!</v>
      </c>
      <c r="BK252" s="47" t="e">
        <f>_xll.qlPolynomialFunctionValue(BK$1,$BD252,AllTriggers)</f>
        <v>#VALUE!</v>
      </c>
      <c r="BL252" s="47" t="e">
        <f>_xll.qlPolynomialFunctionValue(BL$1,$BD252,AllTriggers)</f>
        <v>#VALUE!</v>
      </c>
      <c r="BM252" s="47" t="e">
        <f>_xll.qlPolynomialFunctionValue(BM$1,$BD252,AllTriggers)</f>
        <v>#VALUE!</v>
      </c>
      <c r="BN252" s="47" t="e">
        <f>_xll.qlPolynomialFunctionValue(BN$1,$BD252,AllTriggers)</f>
        <v>#VALUE!</v>
      </c>
      <c r="BO252" s="47" t="e">
        <f>_xll.qlPolynomialFunctionValue(BO$1,$BD252,AllTriggers)</f>
        <v>#VALUE!</v>
      </c>
      <c r="BP252" s="47" t="e">
        <f>_xll.qlPolynomialFunctionValue(BP$1,$BD252,AllTriggers)</f>
        <v>#VALUE!</v>
      </c>
      <c r="BQ252" s="47">
        <f>_xll.qlPolynomialFunctionValue('12MSynthDepo_used'!$P$18,BD252,AllTriggers)</f>
        <v>3.410348105960768E-3</v>
      </c>
    </row>
    <row r="253" spans="55:69" x14ac:dyDescent="0.2">
      <c r="BC253" s="178">
        <f>_xll.qlCalendarAdvance(Calendar,BC252,"1d","mf",,Trigger)</f>
        <v>42632</v>
      </c>
      <c r="BD253" s="41">
        <f>_xll.qlDayCounterYearFraction(DayCounter,SettlementDate,BC253,,,Trigger)</f>
        <v>0.98055555555555551</v>
      </c>
      <c r="BE253" s="47" t="e">
        <f>_xll.qlPolynomialFunctionValue(BE$1,$BD253,AllTriggers)</f>
        <v>#VALUE!</v>
      </c>
      <c r="BF253" s="47" t="e">
        <f>_xll.qlPolynomialFunctionValue(BF$1,$BD253,AllTriggers)</f>
        <v>#VALUE!</v>
      </c>
      <c r="BG253" s="47" t="e">
        <f>_xll.qlPolynomialFunctionValue(BG$1,$BD253,AllTriggers)</f>
        <v>#VALUE!</v>
      </c>
      <c r="BH253" s="47" t="e">
        <f>_xll.qlPolynomialFunctionValue(BH$1,$BD253,AllTriggers)</f>
        <v>#VALUE!</v>
      </c>
      <c r="BI253" s="47" t="e">
        <f>_xll.qlPolynomialFunctionValue(BI$1,$BD253,AllTriggers)</f>
        <v>#VALUE!</v>
      </c>
      <c r="BJ253" s="47" t="e">
        <f>_xll.qlPolynomialFunctionValue(BJ$1,$BD253,AllTriggers)</f>
        <v>#VALUE!</v>
      </c>
      <c r="BK253" s="47" t="e">
        <f>_xll.qlPolynomialFunctionValue(BK$1,$BD253,AllTriggers)</f>
        <v>#VALUE!</v>
      </c>
      <c r="BL253" s="47" t="e">
        <f>_xll.qlPolynomialFunctionValue(BL$1,$BD253,AllTriggers)</f>
        <v>#VALUE!</v>
      </c>
      <c r="BM253" s="47" t="e">
        <f>_xll.qlPolynomialFunctionValue(BM$1,$BD253,AllTriggers)</f>
        <v>#VALUE!</v>
      </c>
      <c r="BN253" s="47" t="e">
        <f>_xll.qlPolynomialFunctionValue(BN$1,$BD253,AllTriggers)</f>
        <v>#VALUE!</v>
      </c>
      <c r="BO253" s="47" t="e">
        <f>_xll.qlPolynomialFunctionValue(BO$1,$BD253,AllTriggers)</f>
        <v>#VALUE!</v>
      </c>
      <c r="BP253" s="47" t="e">
        <f>_xll.qlPolynomialFunctionValue(BP$1,$BD253,AllTriggers)</f>
        <v>#VALUE!</v>
      </c>
      <c r="BQ253" s="47">
        <f>_xll.qlPolynomialFunctionValue('12MSynthDepo_used'!$P$18,BD253,AllTriggers)</f>
        <v>3.4154898874223256E-3</v>
      </c>
    </row>
    <row r="254" spans="55:69" x14ac:dyDescent="0.2">
      <c r="BC254" s="178">
        <f>_xll.qlCalendarAdvance(Calendar,BC253,"1d","mf",,Trigger)</f>
        <v>42633</v>
      </c>
      <c r="BD254" s="41">
        <f>_xll.qlDayCounterYearFraction(DayCounter,SettlementDate,BC254,,,Trigger)</f>
        <v>0.98333333333333328</v>
      </c>
      <c r="BE254" s="47" t="e">
        <f>_xll.qlPolynomialFunctionValue(BE$1,$BD254,AllTriggers)</f>
        <v>#VALUE!</v>
      </c>
      <c r="BF254" s="47" t="e">
        <f>_xll.qlPolynomialFunctionValue(BF$1,$BD254,AllTriggers)</f>
        <v>#VALUE!</v>
      </c>
      <c r="BG254" s="47" t="e">
        <f>_xll.qlPolynomialFunctionValue(BG$1,$BD254,AllTriggers)</f>
        <v>#VALUE!</v>
      </c>
      <c r="BH254" s="47" t="e">
        <f>_xll.qlPolynomialFunctionValue(BH$1,$BD254,AllTriggers)</f>
        <v>#VALUE!</v>
      </c>
      <c r="BI254" s="47" t="e">
        <f>_xll.qlPolynomialFunctionValue(BI$1,$BD254,AllTriggers)</f>
        <v>#VALUE!</v>
      </c>
      <c r="BJ254" s="47" t="e">
        <f>_xll.qlPolynomialFunctionValue(BJ$1,$BD254,AllTriggers)</f>
        <v>#VALUE!</v>
      </c>
      <c r="BK254" s="47" t="e">
        <f>_xll.qlPolynomialFunctionValue(BK$1,$BD254,AllTriggers)</f>
        <v>#VALUE!</v>
      </c>
      <c r="BL254" s="47" t="e">
        <f>_xll.qlPolynomialFunctionValue(BL$1,$BD254,AllTriggers)</f>
        <v>#VALUE!</v>
      </c>
      <c r="BM254" s="47" t="e">
        <f>_xll.qlPolynomialFunctionValue(BM$1,$BD254,AllTriggers)</f>
        <v>#VALUE!</v>
      </c>
      <c r="BN254" s="47" t="e">
        <f>_xll.qlPolynomialFunctionValue(BN$1,$BD254,AllTriggers)</f>
        <v>#VALUE!</v>
      </c>
      <c r="BO254" s="47" t="e">
        <f>_xll.qlPolynomialFunctionValue(BO$1,$BD254,AllTriggers)</f>
        <v>#VALUE!</v>
      </c>
      <c r="BP254" s="47" t="e">
        <f>_xll.qlPolynomialFunctionValue(BP$1,$BD254,AllTriggers)</f>
        <v>#VALUE!</v>
      </c>
      <c r="BQ254" s="47">
        <f>_xll.qlPolynomialFunctionValue('12MSynthDepo_used'!$P$18,BD254,AllTriggers)</f>
        <v>3.4172034577738633E-3</v>
      </c>
    </row>
    <row r="255" spans="55:69" x14ac:dyDescent="0.2">
      <c r="BC255" s="178">
        <f>_xll.qlCalendarAdvance(Calendar,BC254,"1d","mf",,Trigger)</f>
        <v>42634</v>
      </c>
      <c r="BD255" s="41">
        <f>_xll.qlDayCounterYearFraction(DayCounter,SettlementDate,BC255,,,Trigger)</f>
        <v>0.98611111111111116</v>
      </c>
      <c r="BE255" s="47" t="e">
        <f>_xll.qlPolynomialFunctionValue(BE$1,$BD255,AllTriggers)</f>
        <v>#VALUE!</v>
      </c>
      <c r="BF255" s="47" t="e">
        <f>_xll.qlPolynomialFunctionValue(BF$1,$BD255,AllTriggers)</f>
        <v>#VALUE!</v>
      </c>
      <c r="BG255" s="47" t="e">
        <f>_xll.qlPolynomialFunctionValue(BG$1,$BD255,AllTriggers)</f>
        <v>#VALUE!</v>
      </c>
      <c r="BH255" s="47" t="e">
        <f>_xll.qlPolynomialFunctionValue(BH$1,$BD255,AllTriggers)</f>
        <v>#VALUE!</v>
      </c>
      <c r="BI255" s="47" t="e">
        <f>_xll.qlPolynomialFunctionValue(BI$1,$BD255,AllTriggers)</f>
        <v>#VALUE!</v>
      </c>
      <c r="BJ255" s="47" t="e">
        <f>_xll.qlPolynomialFunctionValue(BJ$1,$BD255,AllTriggers)</f>
        <v>#VALUE!</v>
      </c>
      <c r="BK255" s="47" t="e">
        <f>_xll.qlPolynomialFunctionValue(BK$1,$BD255,AllTriggers)</f>
        <v>#VALUE!</v>
      </c>
      <c r="BL255" s="47" t="e">
        <f>_xll.qlPolynomialFunctionValue(BL$1,$BD255,AllTriggers)</f>
        <v>#VALUE!</v>
      </c>
      <c r="BM255" s="47" t="e">
        <f>_xll.qlPolynomialFunctionValue(BM$1,$BD255,AllTriggers)</f>
        <v>#VALUE!</v>
      </c>
      <c r="BN255" s="47" t="e">
        <f>_xll.qlPolynomialFunctionValue(BN$1,$BD255,AllTriggers)</f>
        <v>#VALUE!</v>
      </c>
      <c r="BO255" s="47" t="e">
        <f>_xll.qlPolynomialFunctionValue(BO$1,$BD255,AllTriggers)</f>
        <v>#VALUE!</v>
      </c>
      <c r="BP255" s="47" t="e">
        <f>_xll.qlPolynomialFunctionValue(BP$1,$BD255,AllTriggers)</f>
        <v>#VALUE!</v>
      </c>
      <c r="BQ255" s="47">
        <f>_xll.qlPolynomialFunctionValue('12MSynthDepo_used'!$P$18,BD255,AllTriggers)</f>
        <v>3.4189168409741377E-3</v>
      </c>
    </row>
    <row r="256" spans="55:69" x14ac:dyDescent="0.2">
      <c r="BC256" s="178">
        <f>_xll.qlCalendarAdvance(Calendar,BC255,"1d","mf",,Trigger)</f>
        <v>42635</v>
      </c>
      <c r="BD256" s="41">
        <f>_xll.qlDayCounterYearFraction(DayCounter,SettlementDate,BC256,,,Trigger)</f>
        <v>0.98888888888888893</v>
      </c>
      <c r="BE256" s="47" t="e">
        <f>_xll.qlPolynomialFunctionValue(BE$1,$BD256,AllTriggers)</f>
        <v>#VALUE!</v>
      </c>
      <c r="BF256" s="47" t="e">
        <f>_xll.qlPolynomialFunctionValue(BF$1,$BD256,AllTriggers)</f>
        <v>#VALUE!</v>
      </c>
      <c r="BG256" s="47" t="e">
        <f>_xll.qlPolynomialFunctionValue(BG$1,$BD256,AllTriggers)</f>
        <v>#VALUE!</v>
      </c>
      <c r="BH256" s="47" t="e">
        <f>_xll.qlPolynomialFunctionValue(BH$1,$BD256,AllTriggers)</f>
        <v>#VALUE!</v>
      </c>
      <c r="BI256" s="47" t="e">
        <f>_xll.qlPolynomialFunctionValue(BI$1,$BD256,AllTriggers)</f>
        <v>#VALUE!</v>
      </c>
      <c r="BJ256" s="47" t="e">
        <f>_xll.qlPolynomialFunctionValue(BJ$1,$BD256,AllTriggers)</f>
        <v>#VALUE!</v>
      </c>
      <c r="BK256" s="47" t="e">
        <f>_xll.qlPolynomialFunctionValue(BK$1,$BD256,AllTriggers)</f>
        <v>#VALUE!</v>
      </c>
      <c r="BL256" s="47" t="e">
        <f>_xll.qlPolynomialFunctionValue(BL$1,$BD256,AllTriggers)</f>
        <v>#VALUE!</v>
      </c>
      <c r="BM256" s="47" t="e">
        <f>_xll.qlPolynomialFunctionValue(BM$1,$BD256,AllTriggers)</f>
        <v>#VALUE!</v>
      </c>
      <c r="BN256" s="47" t="e">
        <f>_xll.qlPolynomialFunctionValue(BN$1,$BD256,AllTriggers)</f>
        <v>#VALUE!</v>
      </c>
      <c r="BO256" s="47" t="e">
        <f>_xll.qlPolynomialFunctionValue(BO$1,$BD256,AllTriggers)</f>
        <v>#VALUE!</v>
      </c>
      <c r="BP256" s="47" t="e">
        <f>_xll.qlPolynomialFunctionValue(BP$1,$BD256,AllTriggers)</f>
        <v>#VALUE!</v>
      </c>
      <c r="BQ256" s="47">
        <f>_xll.qlPolynomialFunctionValue('12MSynthDepo_used'!$P$18,BD256,AllTriggers)</f>
        <v>3.4206300317730851E-3</v>
      </c>
    </row>
    <row r="257" spans="55:69" x14ac:dyDescent="0.2">
      <c r="BC257" s="178">
        <f>_xll.qlCalendarAdvance(Calendar,BC256,"1d","mf",,Trigger)</f>
        <v>42636</v>
      </c>
      <c r="BD257" s="41">
        <f>_xll.qlDayCounterYearFraction(DayCounter,SettlementDate,BC257,,,Trigger)</f>
        <v>0.9916666666666667</v>
      </c>
      <c r="BE257" s="47" t="e">
        <f>_xll.qlPolynomialFunctionValue(BE$1,$BD257,AllTriggers)</f>
        <v>#VALUE!</v>
      </c>
      <c r="BF257" s="47" t="e">
        <f>_xll.qlPolynomialFunctionValue(BF$1,$BD257,AllTriggers)</f>
        <v>#VALUE!</v>
      </c>
      <c r="BG257" s="47" t="e">
        <f>_xll.qlPolynomialFunctionValue(BG$1,$BD257,AllTriggers)</f>
        <v>#VALUE!</v>
      </c>
      <c r="BH257" s="47" t="e">
        <f>_xll.qlPolynomialFunctionValue(BH$1,$BD257,AllTriggers)</f>
        <v>#VALUE!</v>
      </c>
      <c r="BI257" s="47" t="e">
        <f>_xll.qlPolynomialFunctionValue(BI$1,$BD257,AllTriggers)</f>
        <v>#VALUE!</v>
      </c>
      <c r="BJ257" s="47" t="e">
        <f>_xll.qlPolynomialFunctionValue(BJ$1,$BD257,AllTriggers)</f>
        <v>#VALUE!</v>
      </c>
      <c r="BK257" s="47" t="e">
        <f>_xll.qlPolynomialFunctionValue(BK$1,$BD257,AllTriggers)</f>
        <v>#VALUE!</v>
      </c>
      <c r="BL257" s="47" t="e">
        <f>_xll.qlPolynomialFunctionValue(BL$1,$BD257,AllTriggers)</f>
        <v>#VALUE!</v>
      </c>
      <c r="BM257" s="47" t="e">
        <f>_xll.qlPolynomialFunctionValue(BM$1,$BD257,AllTriggers)</f>
        <v>#VALUE!</v>
      </c>
      <c r="BN257" s="47" t="e">
        <f>_xll.qlPolynomialFunctionValue(BN$1,$BD257,AllTriggers)</f>
        <v>#VALUE!</v>
      </c>
      <c r="BO257" s="47" t="e">
        <f>_xll.qlPolynomialFunctionValue(BO$1,$BD257,AllTriggers)</f>
        <v>#VALUE!</v>
      </c>
      <c r="BP257" s="47" t="e">
        <f>_xll.qlPolynomialFunctionValue(BP$1,$BD257,AllTriggers)</f>
        <v>#VALUE!</v>
      </c>
      <c r="BQ257" s="47">
        <f>_xll.qlPolynomialFunctionValue('12MSynthDepo_used'!$P$18,BD257,AllTriggers)</f>
        <v>3.4223430249206419E-3</v>
      </c>
    </row>
    <row r="258" spans="55:69" x14ac:dyDescent="0.2">
      <c r="BC258" s="178">
        <f>_xll.qlCalendarAdvance(Calendar,BC257,"1d","mf",,Trigger)</f>
        <v>42639</v>
      </c>
      <c r="BD258" s="41">
        <f>_xll.qlDayCounterYearFraction(DayCounter,SettlementDate,BC258,,,Trigger)</f>
        <v>1</v>
      </c>
      <c r="BE258" s="47" t="e">
        <f>_xll.qlPolynomialFunctionValue(BE$1,$BD258,AllTriggers)</f>
        <v>#VALUE!</v>
      </c>
      <c r="BF258" s="47" t="e">
        <f>_xll.qlPolynomialFunctionValue(BF$1,$BD258,AllTriggers)</f>
        <v>#VALUE!</v>
      </c>
      <c r="BG258" s="47" t="e">
        <f>_xll.qlPolynomialFunctionValue(BG$1,$BD258,AllTriggers)</f>
        <v>#VALUE!</v>
      </c>
      <c r="BH258" s="47" t="e">
        <f>_xll.qlPolynomialFunctionValue(BH$1,$BD258,AllTriggers)</f>
        <v>#VALUE!</v>
      </c>
      <c r="BI258" s="47" t="e">
        <f>_xll.qlPolynomialFunctionValue(BI$1,$BD258,AllTriggers)</f>
        <v>#VALUE!</v>
      </c>
      <c r="BJ258" s="47" t="e">
        <f>_xll.qlPolynomialFunctionValue(BJ$1,$BD258,AllTriggers)</f>
        <v>#VALUE!</v>
      </c>
      <c r="BK258" s="47" t="e">
        <f>_xll.qlPolynomialFunctionValue(BK$1,$BD258,AllTriggers)</f>
        <v>#VALUE!</v>
      </c>
      <c r="BL258" s="47" t="e">
        <f>_xll.qlPolynomialFunctionValue(BL$1,$BD258,AllTriggers)</f>
        <v>#VALUE!</v>
      </c>
      <c r="BM258" s="47" t="e">
        <f>_xll.qlPolynomialFunctionValue(BM$1,$BD258,AllTriggers)</f>
        <v>#VALUE!</v>
      </c>
      <c r="BN258" s="47" t="e">
        <f>_xll.qlPolynomialFunctionValue(BN$1,$BD258,AllTriggers)</f>
        <v>#VALUE!</v>
      </c>
      <c r="BO258" s="47" t="e">
        <f>_xll.qlPolynomialFunctionValue(BO$1,$BD258,AllTriggers)</f>
        <v>#VALUE!</v>
      </c>
      <c r="BP258" s="47" t="e">
        <f>_xll.qlPolynomialFunctionValue(BP$1,$BD258,AllTriggers)</f>
        <v>#VALUE!</v>
      </c>
      <c r="BQ258" s="47">
        <f>_xll.qlPolynomialFunctionValue('12MSynthDepo_used'!$P$18,BD258,AllTriggers)</f>
        <v>3.4274807659543309E-3</v>
      </c>
    </row>
    <row r="259" spans="55:69" x14ac:dyDescent="0.2">
      <c r="BC259" s="178">
        <f>_xll.qlCalendarAdvance(Calendar,BC258,"1d","mf",,Trigger)</f>
        <v>42640</v>
      </c>
      <c r="BD259" s="41">
        <f>_xll.qlDayCounterYearFraction(DayCounter,SettlementDate,BC259,,,Trigger)</f>
        <v>1.0027777777777778</v>
      </c>
      <c r="BE259" s="47" t="e">
        <f>_xll.qlPolynomialFunctionValue(BE$1,$BD259,AllTriggers)</f>
        <v>#VALUE!</v>
      </c>
      <c r="BF259" s="47" t="e">
        <f>_xll.qlPolynomialFunctionValue(BF$1,$BD259,AllTriggers)</f>
        <v>#VALUE!</v>
      </c>
      <c r="BG259" s="47" t="e">
        <f>_xll.qlPolynomialFunctionValue(BG$1,$BD259,AllTriggers)</f>
        <v>#VALUE!</v>
      </c>
      <c r="BH259" s="47" t="e">
        <f>_xll.qlPolynomialFunctionValue(BH$1,$BD259,AllTriggers)</f>
        <v>#VALUE!</v>
      </c>
      <c r="BI259" s="47" t="e">
        <f>_xll.qlPolynomialFunctionValue(BI$1,$BD259,AllTriggers)</f>
        <v>#VALUE!</v>
      </c>
      <c r="BJ259" s="47" t="e">
        <f>_xll.qlPolynomialFunctionValue(BJ$1,$BD259,AllTriggers)</f>
        <v>#VALUE!</v>
      </c>
      <c r="BK259" s="47" t="e">
        <f>_xll.qlPolynomialFunctionValue(BK$1,$BD259,AllTriggers)</f>
        <v>#VALUE!</v>
      </c>
      <c r="BL259" s="47" t="e">
        <f>_xll.qlPolynomialFunctionValue(BL$1,$BD259,AllTriggers)</f>
        <v>#VALUE!</v>
      </c>
      <c r="BM259" s="47" t="e">
        <f>_xll.qlPolynomialFunctionValue(BM$1,$BD259,AllTriggers)</f>
        <v>#VALUE!</v>
      </c>
      <c r="BN259" s="47" t="e">
        <f>_xll.qlPolynomialFunctionValue(BN$1,$BD259,AllTriggers)</f>
        <v>#VALUE!</v>
      </c>
      <c r="BO259" s="47" t="e">
        <f>_xll.qlPolynomialFunctionValue(BO$1,$BD259,AllTriggers)</f>
        <v>#VALUE!</v>
      </c>
      <c r="BP259" s="47" t="e">
        <f>_xll.qlPolynomialFunctionValue(BP$1,$BD259,AllTriggers)</f>
        <v>#VALUE!</v>
      </c>
      <c r="BQ259" s="47">
        <f>_xll.qlPolynomialFunctionValue('12MSynthDepo_used'!$P$18,BD259,AllTriggers)</f>
        <v>3.4291929159956883E-3</v>
      </c>
    </row>
    <row r="260" spans="55:69" x14ac:dyDescent="0.2">
      <c r="BC260" s="178">
        <f>_xll.qlCalendarAdvance(Calendar,BC259,"1d","mf",,Trigger)</f>
        <v>42641</v>
      </c>
      <c r="BD260" s="41">
        <f>_xll.qlDayCounterYearFraction(DayCounter,SettlementDate,BC260,,,Trigger)</f>
        <v>1.0055555555555555</v>
      </c>
      <c r="BE260" s="47" t="e">
        <f>_xll.qlPolynomialFunctionValue(BE$1,$BD260,AllTriggers)</f>
        <v>#VALUE!</v>
      </c>
      <c r="BF260" s="47" t="e">
        <f>_xll.qlPolynomialFunctionValue(BF$1,$BD260,AllTriggers)</f>
        <v>#VALUE!</v>
      </c>
      <c r="BG260" s="47" t="e">
        <f>_xll.qlPolynomialFunctionValue(BG$1,$BD260,AllTriggers)</f>
        <v>#VALUE!</v>
      </c>
      <c r="BH260" s="47" t="e">
        <f>_xll.qlPolynomialFunctionValue(BH$1,$BD260,AllTriggers)</f>
        <v>#VALUE!</v>
      </c>
      <c r="BI260" s="47" t="e">
        <f>_xll.qlPolynomialFunctionValue(BI$1,$BD260,AllTriggers)</f>
        <v>#VALUE!</v>
      </c>
      <c r="BJ260" s="47" t="e">
        <f>_xll.qlPolynomialFunctionValue(BJ$1,$BD260,AllTriggers)</f>
        <v>#VALUE!</v>
      </c>
      <c r="BK260" s="47" t="e">
        <f>_xll.qlPolynomialFunctionValue(BK$1,$BD260,AllTriggers)</f>
        <v>#VALUE!</v>
      </c>
      <c r="BL260" s="47" t="e">
        <f>_xll.qlPolynomialFunctionValue(BL$1,$BD260,AllTriggers)</f>
        <v>#VALUE!</v>
      </c>
      <c r="BM260" s="47" t="e">
        <f>_xll.qlPolynomialFunctionValue(BM$1,$BD260,AllTriggers)</f>
        <v>#VALUE!</v>
      </c>
      <c r="BN260" s="47" t="e">
        <f>_xll.qlPolynomialFunctionValue(BN$1,$BD260,AllTriggers)</f>
        <v>#VALUE!</v>
      </c>
      <c r="BO260" s="47" t="e">
        <f>_xll.qlPolynomialFunctionValue(BO$1,$BD260,AllTriggers)</f>
        <v>#VALUE!</v>
      </c>
      <c r="BP260" s="47" t="e">
        <f>_xll.qlPolynomialFunctionValue(BP$1,$BD260,AllTriggers)</f>
        <v>#VALUE!</v>
      </c>
      <c r="BQ260" s="47">
        <f>_xll.qlPolynomialFunctionValue('12MSynthDepo_used'!$P$18,BD260,AllTriggers)</f>
        <v>3.4309048421353361E-3</v>
      </c>
    </row>
    <row r="261" spans="55:69" x14ac:dyDescent="0.2">
      <c r="BC261" s="178">
        <f>_xll.qlCalendarAdvance(Calendar,BC260,"1d","mf",,Trigger)</f>
        <v>42642</v>
      </c>
      <c r="BD261" s="41">
        <f>_xll.qlDayCounterYearFraction(DayCounter,SettlementDate,BC261,,,Trigger)</f>
        <v>1.0083333333333333</v>
      </c>
      <c r="BE261" s="47" t="e">
        <f>_xll.qlPolynomialFunctionValue(BE$1,$BD261,AllTriggers)</f>
        <v>#VALUE!</v>
      </c>
      <c r="BF261" s="47" t="e">
        <f>_xll.qlPolynomialFunctionValue(BF$1,$BD261,AllTriggers)</f>
        <v>#VALUE!</v>
      </c>
      <c r="BG261" s="47" t="e">
        <f>_xll.qlPolynomialFunctionValue(BG$1,$BD261,AllTriggers)</f>
        <v>#VALUE!</v>
      </c>
      <c r="BH261" s="47" t="e">
        <f>_xll.qlPolynomialFunctionValue(BH$1,$BD261,AllTriggers)</f>
        <v>#VALUE!</v>
      </c>
      <c r="BI261" s="47" t="e">
        <f>_xll.qlPolynomialFunctionValue(BI$1,$BD261,AllTriggers)</f>
        <v>#VALUE!</v>
      </c>
      <c r="BJ261" s="47" t="e">
        <f>_xll.qlPolynomialFunctionValue(BJ$1,$BD261,AllTriggers)</f>
        <v>#VALUE!</v>
      </c>
      <c r="BK261" s="47" t="e">
        <f>_xll.qlPolynomialFunctionValue(BK$1,$BD261,AllTriggers)</f>
        <v>#VALUE!</v>
      </c>
      <c r="BL261" s="47" t="e">
        <f>_xll.qlPolynomialFunctionValue(BL$1,$BD261,AllTriggers)</f>
        <v>#VALUE!</v>
      </c>
      <c r="BM261" s="47" t="e">
        <f>_xll.qlPolynomialFunctionValue(BM$1,$BD261,AllTriggers)</f>
        <v>#VALUE!</v>
      </c>
      <c r="BN261" s="47" t="e">
        <f>_xll.qlPolynomialFunctionValue(BN$1,$BD261,AllTriggers)</f>
        <v>#VALUE!</v>
      </c>
      <c r="BO261" s="47" t="e">
        <f>_xll.qlPolynomialFunctionValue(BO$1,$BD261,AllTriggers)</f>
        <v>#VALUE!</v>
      </c>
      <c r="BP261" s="47" t="e">
        <f>_xll.qlPolynomialFunctionValue(BP$1,$BD261,AllTriggers)</f>
        <v>#VALUE!</v>
      </c>
      <c r="BQ261" s="47">
        <f>_xll.qlPolynomialFunctionValue('12MSynthDepo_used'!$P$18,BD261,AllTriggers)</f>
        <v>3.4326165391232117E-3</v>
      </c>
    </row>
    <row r="262" spans="55:69" x14ac:dyDescent="0.2">
      <c r="BC262" s="178">
        <f>_xll.qlCalendarAdvance(Calendar,BC261,"1d","mf",,Trigger)</f>
        <v>42643</v>
      </c>
      <c r="BD262" s="41">
        <f>_xll.qlDayCounterYearFraction(DayCounter,SettlementDate,BC262,,,Trigger)</f>
        <v>1.0111111111111111</v>
      </c>
      <c r="BE262" s="47" t="e">
        <f>_xll.qlPolynomialFunctionValue(BE$1,$BD262,AllTriggers)</f>
        <v>#VALUE!</v>
      </c>
      <c r="BF262" s="47" t="e">
        <f>_xll.qlPolynomialFunctionValue(BF$1,$BD262,AllTriggers)</f>
        <v>#VALUE!</v>
      </c>
      <c r="BG262" s="47" t="e">
        <f>_xll.qlPolynomialFunctionValue(BG$1,$BD262,AllTriggers)</f>
        <v>#VALUE!</v>
      </c>
      <c r="BH262" s="47" t="e">
        <f>_xll.qlPolynomialFunctionValue(BH$1,$BD262,AllTriggers)</f>
        <v>#VALUE!</v>
      </c>
      <c r="BI262" s="47" t="e">
        <f>_xll.qlPolynomialFunctionValue(BI$1,$BD262,AllTriggers)</f>
        <v>#VALUE!</v>
      </c>
      <c r="BJ262" s="47" t="e">
        <f>_xll.qlPolynomialFunctionValue(BJ$1,$BD262,AllTriggers)</f>
        <v>#VALUE!</v>
      </c>
      <c r="BK262" s="47" t="e">
        <f>_xll.qlPolynomialFunctionValue(BK$1,$BD262,AllTriggers)</f>
        <v>#VALUE!</v>
      </c>
      <c r="BL262" s="47" t="e">
        <f>_xll.qlPolynomialFunctionValue(BL$1,$BD262,AllTriggers)</f>
        <v>#VALUE!</v>
      </c>
      <c r="BM262" s="47" t="e">
        <f>_xll.qlPolynomialFunctionValue(BM$1,$BD262,AllTriggers)</f>
        <v>#VALUE!</v>
      </c>
      <c r="BN262" s="47" t="e">
        <f>_xll.qlPolynomialFunctionValue(BN$1,$BD262,AllTriggers)</f>
        <v>#VALUE!</v>
      </c>
      <c r="BO262" s="47" t="e">
        <f>_xll.qlPolynomialFunctionValue(BO$1,$BD262,AllTriggers)</f>
        <v>#VALUE!</v>
      </c>
      <c r="BP262" s="47" t="e">
        <f>_xll.qlPolynomialFunctionValue(BP$1,$BD262,AllTriggers)</f>
        <v>#VALUE!</v>
      </c>
      <c r="BQ262" s="47">
        <f>_xll.qlPolynomialFunctionValue('12MSynthDepo_used'!$P$18,BD262,AllTriggers)</f>
        <v>3.4343280017092512E-3</v>
      </c>
    </row>
    <row r="263" spans="55:69" x14ac:dyDescent="0.2">
      <c r="BC263" s="178">
        <f>_xll.qlCalendarAdvance(Calendar,BC262,"1d","mf",,Trigger)</f>
        <v>42646</v>
      </c>
      <c r="BD263" s="41">
        <f>_xll.qlDayCounterYearFraction(DayCounter,SettlementDate,BC263,,,Trigger)</f>
        <v>1.0194444444444444</v>
      </c>
      <c r="BE263" s="47" t="e">
        <f>_xll.qlPolynomialFunctionValue(BE$1,$BD263,AllTriggers)</f>
        <v>#VALUE!</v>
      </c>
      <c r="BF263" s="47" t="e">
        <f>_xll.qlPolynomialFunctionValue(BF$1,$BD263,AllTriggers)</f>
        <v>#VALUE!</v>
      </c>
      <c r="BG263" s="47" t="e">
        <f>_xll.qlPolynomialFunctionValue(BG$1,$BD263,AllTriggers)</f>
        <v>#VALUE!</v>
      </c>
      <c r="BH263" s="47" t="e">
        <f>_xll.qlPolynomialFunctionValue(BH$1,$BD263,AllTriggers)</f>
        <v>#VALUE!</v>
      </c>
      <c r="BI263" s="47" t="e">
        <f>_xll.qlPolynomialFunctionValue(BI$1,$BD263,AllTriggers)</f>
        <v>#VALUE!</v>
      </c>
      <c r="BJ263" s="47" t="e">
        <f>_xll.qlPolynomialFunctionValue(BJ$1,$BD263,AllTriggers)</f>
        <v>#VALUE!</v>
      </c>
      <c r="BK263" s="47" t="e">
        <f>_xll.qlPolynomialFunctionValue(BK$1,$BD263,AllTriggers)</f>
        <v>#VALUE!</v>
      </c>
      <c r="BL263" s="47" t="e">
        <f>_xll.qlPolynomialFunctionValue(BL$1,$BD263,AllTriggers)</f>
        <v>#VALUE!</v>
      </c>
      <c r="BM263" s="47" t="e">
        <f>_xll.qlPolynomialFunctionValue(BM$1,$BD263,AllTriggers)</f>
        <v>#VALUE!</v>
      </c>
      <c r="BN263" s="47" t="e">
        <f>_xll.qlPolynomialFunctionValue(BN$1,$BD263,AllTriggers)</f>
        <v>#VALUE!</v>
      </c>
      <c r="BO263" s="47" t="e">
        <f>_xll.qlPolynomialFunctionValue(BO$1,$BD263,AllTriggers)</f>
        <v>#VALUE!</v>
      </c>
      <c r="BP263" s="47" t="e">
        <f>_xll.qlPolynomialFunctionValue(BP$1,$BD263,AllTriggers)</f>
        <v>#VALUE!</v>
      </c>
      <c r="BQ263" s="47">
        <f>_xll.qlPolynomialFunctionValue('12MSynthDepo_used'!$P$18,BD263,AllTriggers)</f>
        <v>3.4394609305557142E-3</v>
      </c>
    </row>
    <row r="264" spans="55:69" x14ac:dyDescent="0.2">
      <c r="BC264" s="182">
        <f>_xll.qlCalendarAdvance(Calendar,BC263,"1d","mf",,Trigger)</f>
        <v>42647</v>
      </c>
      <c r="BD264" s="44">
        <f>_xll.qlDayCounterYearFraction(DayCounter,SettlementDate,BC264,,,Trigger)</f>
        <v>1.0222222222222221</v>
      </c>
      <c r="BE264" s="50" t="e">
        <f>_xll.qlPolynomialFunctionValue(BE$1,$BD264,AllTriggers)</f>
        <v>#VALUE!</v>
      </c>
      <c r="BF264" s="50" t="e">
        <f>_xll.qlPolynomialFunctionValue(BF$1,$BD264,AllTriggers)</f>
        <v>#VALUE!</v>
      </c>
      <c r="BG264" s="50" t="e">
        <f>_xll.qlPolynomialFunctionValue(BG$1,$BD264,AllTriggers)</f>
        <v>#VALUE!</v>
      </c>
      <c r="BH264" s="50" t="e">
        <f>_xll.qlPolynomialFunctionValue(BH$1,$BD264,AllTriggers)</f>
        <v>#VALUE!</v>
      </c>
      <c r="BI264" s="50" t="e">
        <f>_xll.qlPolynomialFunctionValue(BI$1,$BD264,AllTriggers)</f>
        <v>#VALUE!</v>
      </c>
      <c r="BJ264" s="50" t="e">
        <f>_xll.qlPolynomialFunctionValue(BJ$1,$BD264,AllTriggers)</f>
        <v>#VALUE!</v>
      </c>
      <c r="BK264" s="50" t="e">
        <f>_xll.qlPolynomialFunctionValue(BK$1,$BD264,AllTriggers)</f>
        <v>#VALUE!</v>
      </c>
      <c r="BL264" s="50" t="e">
        <f>_xll.qlPolynomialFunctionValue(BL$1,$BD264,AllTriggers)</f>
        <v>#VALUE!</v>
      </c>
      <c r="BM264" s="50" t="e">
        <f>_xll.qlPolynomialFunctionValue(BM$1,$BD264,AllTriggers)</f>
        <v>#VALUE!</v>
      </c>
      <c r="BN264" s="50" t="e">
        <f>_xll.qlPolynomialFunctionValue(BN$1,$BD264,AllTriggers)</f>
        <v>#VALUE!</v>
      </c>
      <c r="BO264" s="50" t="e">
        <f>_xll.qlPolynomialFunctionValue(BO$1,$BD264,AllTriggers)</f>
        <v>#VALUE!</v>
      </c>
      <c r="BP264" s="50" t="e">
        <f>_xll.qlPolynomialFunctionValue(BP$1,$BD264,AllTriggers)</f>
        <v>#VALUE!</v>
      </c>
      <c r="BQ264" s="50">
        <f>_xll.qlPolynomialFunctionValue('12MSynthDepo_used'!$P$18,BD264,AllTriggers)</f>
        <v>3.4411714030337711E-3</v>
      </c>
    </row>
  </sheetData>
  <mergeCells count="16">
    <mergeCell ref="AH5:AH6"/>
    <mergeCell ref="AJ5:AJ6"/>
    <mergeCell ref="AT5:AT6"/>
    <mergeCell ref="AV5:AV6"/>
    <mergeCell ref="AH9:AH10"/>
    <mergeCell ref="AJ9:AJ10"/>
    <mergeCell ref="AT9:AT10"/>
    <mergeCell ref="AV9:AV10"/>
    <mergeCell ref="AH14:AH16"/>
    <mergeCell ref="AJ14:AJ16"/>
    <mergeCell ref="AT14:AT16"/>
    <mergeCell ref="AV14:AV16"/>
    <mergeCell ref="AH19:AH21"/>
    <mergeCell ref="AJ19:AJ21"/>
    <mergeCell ref="AT19:AT21"/>
    <mergeCell ref="AV19:AV21"/>
  </mergeCells>
  <dataValidations count="4">
    <dataValidation type="list" allowBlank="1" showInputMessage="1" showErrorMessage="1" sqref="D27:D28">
      <formula1>"FIXING,ESTIMATED"</formula1>
    </dataValidation>
    <dataValidation type="list" allowBlank="1" showInputMessage="1" showErrorMessage="1" sqref="S15:V20 T10:W10 S4:V8 T9:V9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1" width="10.5" style="19" bestFit="1" customWidth="1"/>
    <col min="12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0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27" width="12.83203125" style="19" bestFit="1" customWidth="1"/>
    <col min="28" max="16384" width="9.33203125" style="19"/>
  </cols>
  <sheetData>
    <row r="1" spans="1:27" x14ac:dyDescent="0.2">
      <c r="G1" s="126" t="s">
        <v>49</v>
      </c>
      <c r="H1" s="127" t="s">
        <v>22</v>
      </c>
    </row>
    <row r="2" spans="1:27" ht="26.25" customHeight="1" x14ac:dyDescent="0.2">
      <c r="D2" s="36" t="str">
        <f>H1&amp;" Instruments"</f>
        <v>1M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1M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1</v>
      </c>
      <c r="D3" s="108" t="str">
        <f>Currency&amp;A3&amp;B3&amp;C3&amp;"F"&amp;"_Estimated"</f>
        <v>EUR0x1F_Estimated</v>
      </c>
      <c r="E3" s="108" t="str">
        <f>_xll.qlSimpleQuote(UPPER("B"&amp;$H$1&amp;"_"&amp;A3&amp;B3&amp;C3&amp;"Estimated"),,,Permanent,Trigger,ObjectOverwrite)</f>
        <v>B1M_0X1ESTIMATED#0002</v>
      </c>
      <c r="F3" s="197" t="e">
        <f>_xll.qlSimpleQuoteSetValue(E3,L3,AllTriggers)</f>
        <v>#N/A</v>
      </c>
      <c r="G3" s="210">
        <f>SettlementDate</f>
        <v>42279</v>
      </c>
      <c r="H3" s="210">
        <f>_xll.qlInterestRateIndexMaturity(PROPER(Currency)&amp;"ibor"&amp;$H$1,G3)</f>
        <v>42310</v>
      </c>
      <c r="I3" s="107">
        <f>L3+$J$4</f>
        <v>-1.1300000000010854E-3</v>
      </c>
      <c r="J3" s="89"/>
      <c r="K3" s="89"/>
      <c r="L3" s="66">
        <f>_xll.qlTenorBasisValue($P$3,G3,Trigger)</f>
        <v>2.7000000000292914E-4</v>
      </c>
      <c r="M3" s="89"/>
      <c r="N3" s="21"/>
      <c r="O3" s="192" t="s">
        <v>82</v>
      </c>
      <c r="P3" s="66" t="str">
        <f>'[2]1MSynthDepo'!TenorBasis1M</f>
        <v>obj_005a1#0001</v>
      </c>
      <c r="R3" s="211">
        <f>SettlementDate</f>
        <v>42279</v>
      </c>
      <c r="S3" s="52">
        <f>_xll.qlTenorBasisValue($P$3,R3,AllTriggers)</f>
        <v>2.7000000000292914E-4</v>
      </c>
      <c r="T3" s="46">
        <f>_xll.qlDayCounterYearFraction("actual/365 (fixed)",SettlementDate,R3,,,Trigger)</f>
        <v>0</v>
      </c>
      <c r="U3" s="52">
        <f>_xll.qlPolynomialFunctionValue($P$18,T3,AllTriggers)</f>
        <v>3.6564406627777275E-4</v>
      </c>
    </row>
    <row r="4" spans="1:27" ht="11.25" customHeight="1" x14ac:dyDescent="0.2">
      <c r="A4" s="104">
        <v>0</v>
      </c>
      <c r="B4" s="105" t="s">
        <v>20</v>
      </c>
      <c r="C4" s="106">
        <v>6</v>
      </c>
      <c r="D4" s="97" t="str">
        <f>PROPER(Currency&amp;IborType)&amp;H1&amp;"LastFixing"&amp;QuoteSuffix</f>
        <v>Euribor1MLastFixing_Quote</v>
      </c>
      <c r="E4" s="97" t="str">
        <f>_xll.qlSimpleQuote(UPPER("B"&amp;$H$1&amp;"_"&amp;A4&amp;B4&amp;C4&amp;"FIXING"),,,Permanent,Trigger,ObjectOverwrite)</f>
        <v>B1M_0X6FIXING#0002</v>
      </c>
      <c r="F4" s="198" t="e">
        <f>_xll.qlSimpleQuoteSetValue(E4,K4,AllTriggers)</f>
        <v>#N/A</v>
      </c>
      <c r="G4" s="210">
        <f>SettlementDate</f>
        <v>42279</v>
      </c>
      <c r="H4" s="210">
        <f>_xll.qlInterestRateIndexMaturity(ON_6M_index,G4)</f>
        <v>42464</v>
      </c>
      <c r="I4" s="66">
        <f>_xll.qlQuoteValue(D4,LastFixingsTrigger)</f>
        <v>-1.1299999999999999E-3</v>
      </c>
      <c r="J4" s="66">
        <f>_xll.qlIndexFixing(ON_1M_index,_xll.qlInterestRateIndexFixingDate(ON_1M_index,G4),,AllTriggers)</f>
        <v>-1.4000000000040146E-3</v>
      </c>
      <c r="K4" s="107">
        <f t="shared" ref="K4:K8" si="0">I4-J4</f>
        <v>2.7000000000401464E-4</v>
      </c>
      <c r="L4" s="62">
        <f>_xll.qlTenorBasisValue($P$3,G4,Trigger)</f>
        <v>2.7000000000292914E-4</v>
      </c>
      <c r="M4" s="63">
        <f>(K4-L4)*10000</f>
        <v>1.085503215092487E-11</v>
      </c>
      <c r="N4" s="21"/>
      <c r="R4" s="212">
        <f>_xll.qlCalendarAdvance(Calendar,R3,"1D","f")</f>
        <v>42282</v>
      </c>
      <c r="S4" s="47">
        <f>_xll.qlTenorBasisValue($P$3,R4,AllTriggers)</f>
        <v>2.5739685596291086E-4</v>
      </c>
      <c r="T4" s="41">
        <f>_xll.qlDayCounterYearFraction("actual/365 (fixed)",SettlementDate,R4,,,Trigger)</f>
        <v>8.21917808219178E-3</v>
      </c>
      <c r="U4" s="47">
        <f>_xll.qlPolynomialFunctionValue($P$18,T4,AllTriggers)</f>
        <v>3.3880360556803207E-4</v>
      </c>
    </row>
    <row r="5" spans="1:27" ht="11.25" customHeight="1" x14ac:dyDescent="0.2">
      <c r="A5" s="94">
        <v>0</v>
      </c>
      <c r="B5" s="21" t="s">
        <v>20</v>
      </c>
      <c r="C5" s="101">
        <f t="shared" ref="C5:C8" si="1">A5+SUBSTITUTE($H$1,"M","")</f>
        <v>1</v>
      </c>
      <c r="D5" s="98" t="str">
        <f t="shared" ref="D5:D8" si="2">Currency&amp;A5&amp;B5&amp;C5&amp;"F"&amp;QuoteSuffix</f>
        <v>EUR0x1F_Quote</v>
      </c>
      <c r="E5" s="98" t="str">
        <f>_xll.qlSimpleQuote(UPPER("B"&amp;$H$1&amp;"_"&amp;A5&amp;B5&amp;C5),,,Permanent,Trigger,ObjectOverwrite)</f>
        <v>B1M_0X1#0002</v>
      </c>
      <c r="F5" s="199" t="e">
        <f>_xll.qlSimpleQuoteSetValue(E5,K5,AllTriggers)</f>
        <v>#N/A</v>
      </c>
      <c r="G5" s="211">
        <f>_xll.qlCalendarAdvance("target",SettlementDate,A5&amp;"M","mf",,Trigger)</f>
        <v>42279</v>
      </c>
      <c r="H5" s="211">
        <f>_xll.qlInterestRateIndexMaturity(ON_6M_index,G5)</f>
        <v>42464</v>
      </c>
      <c r="I5" s="52">
        <f>_xll.qlIndexFixing([2]!iborindex1M,_xll.qlInterestRateIndexFixingDate("Euribor1M",G5,Trigger),,AllTriggers)</f>
        <v>-1.1299999999999999E-3</v>
      </c>
      <c r="J5" s="52">
        <f>_xll.qlIndexFixing(ON_1M_index,_xll.qlInterestRateIndexFixingDate(ON_1M_index,G5),,AllTriggers)</f>
        <v>-1.4000000000040146E-3</v>
      </c>
      <c r="K5" s="193">
        <f t="shared" si="0"/>
        <v>2.7000000000401464E-4</v>
      </c>
      <c r="L5" s="52">
        <f>_xll.qlTenorBasisValue($P$3,G5,Trigger)</f>
        <v>2.7000000000292914E-4</v>
      </c>
      <c r="M5" s="91">
        <f t="shared" ref="M5:M8" si="3">(K5-L5)*10000</f>
        <v>1.085503215092487E-11</v>
      </c>
      <c r="N5" s="21"/>
      <c r="O5" s="119" t="s">
        <v>94</v>
      </c>
      <c r="P5" s="120"/>
      <c r="Q5" s="20"/>
      <c r="R5" s="212">
        <f>_xll.qlCalendarAdvance(Calendar,R4,"1D","f")</f>
        <v>42283</v>
      </c>
      <c r="S5" s="47">
        <f>_xll.qlTenorBasisValue($P$3,R5,AllTriggers)</f>
        <v>2.5373158128307814E-4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3.3056906725805932E-4</v>
      </c>
    </row>
    <row r="6" spans="1:27" ht="11.25" customHeight="1" x14ac:dyDescent="0.2">
      <c r="A6" s="94">
        <v>1</v>
      </c>
      <c r="B6" s="21" t="s">
        <v>20</v>
      </c>
      <c r="C6" s="101">
        <f t="shared" si="1"/>
        <v>2</v>
      </c>
      <c r="D6" s="99" t="str">
        <f t="shared" si="2"/>
        <v>EUR1x2F_Quote</v>
      </c>
      <c r="E6" s="99" t="str">
        <f>_xll.qlSimpleQuote(UPPER("B"&amp;$H$1&amp;"_"&amp;A6&amp;B6&amp;C6),,,Permanent,Trigger,ObjectOverwrite)</f>
        <v>B1M_1X2#0002</v>
      </c>
      <c r="F6" s="200" t="e">
        <f>_xll.qlSimpleQuoteSetValue(E6,K6,AllTriggers)</f>
        <v>#N/A</v>
      </c>
      <c r="G6" s="212">
        <f>_xll.qlCalendarAdvance("target",SettlementDate,A6&amp;"M","mf",,Trigger)</f>
        <v>42310</v>
      </c>
      <c r="H6" s="212">
        <f>_xll.qlInterestRateIndexMaturity(ON_6M_index,G6)</f>
        <v>42492</v>
      </c>
      <c r="I6" s="47">
        <f>_xll.qlIndexFixing([2]!iborindex1M,_xll.qlInterestRateIndexFixingDate("Euribor1M",G6,Trigger),,AllTriggers)</f>
        <v>-1.2318093072893888E-3</v>
      </c>
      <c r="J6" s="47">
        <f>_xll.qlIndexFixing(ON_1M_index,_xll.qlInterestRateIndexFixingDate(ON_1M_index,G6),,AllTriggers)</f>
        <v>-1.4659042081865969E-3</v>
      </c>
      <c r="K6" s="128">
        <f t="shared" si="0"/>
        <v>2.3409490089720819E-4</v>
      </c>
      <c r="L6" s="47">
        <f>_xll.qlTenorBasisValue($P$3,G6,Trigger)</f>
        <v>2.3409490089720814E-4</v>
      </c>
      <c r="M6" s="64">
        <f t="shared" si="3"/>
        <v>5.4210108624275222E-16</v>
      </c>
      <c r="N6" s="21"/>
      <c r="O6" s="192" t="s">
        <v>77</v>
      </c>
      <c r="P6" s="66">
        <f t="array" ref="P6:P10">_xll.qlTenorBasisCoefficients(P3)</f>
        <v>2.7000000000292914E-4</v>
      </c>
      <c r="Q6" s="20"/>
      <c r="R6" s="212">
        <f>_xll.qlCalendarAdvance(Calendar,R5,"1D","f")</f>
        <v>42284</v>
      </c>
      <c r="S6" s="47">
        <f>_xll.qlTenorBasisValue($P$3,R6,AllTriggers)</f>
        <v>2.503248335567101E-4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3.2268131019810159E-4</v>
      </c>
    </row>
    <row r="7" spans="1:27" ht="11.25" customHeight="1" x14ac:dyDescent="0.2">
      <c r="A7" s="94">
        <v>2</v>
      </c>
      <c r="B7" s="21" t="s">
        <v>20</v>
      </c>
      <c r="C7" s="101">
        <f t="shared" si="1"/>
        <v>3</v>
      </c>
      <c r="D7" s="99" t="str">
        <f t="shared" si="2"/>
        <v>EUR2x3F_Quote</v>
      </c>
      <c r="E7" s="99" t="str">
        <f>_xll.qlSimpleQuote(UPPER("B"&amp;$H$1&amp;"_"&amp;A7&amp;B7&amp;C7),,,Permanent,Trigger,ObjectOverwrite)</f>
        <v>B1M_2X3#0002</v>
      </c>
      <c r="F7" s="200" t="e">
        <f>_xll.qlSimpleQuoteSetValue(E7,K7,AllTriggers)</f>
        <v>#N/A</v>
      </c>
      <c r="G7" s="212">
        <f>_xll.qlCalendarAdvance("target",SettlementDate,A7&amp;"M","mf",,Trigger)</f>
        <v>42340</v>
      </c>
      <c r="H7" s="212">
        <f>_xll.qlInterestRateIndexMaturity(ON_6M_index,G7)</f>
        <v>42523</v>
      </c>
      <c r="I7" s="47">
        <f>_xll.qlIndexFixing([2]!iborindex1M,_xll.qlInterestRateIndexFixingDate("Euribor1M",G7,Trigger),,AllTriggers)</f>
        <v>-1.1802957517760182E-3</v>
      </c>
      <c r="J7" s="47">
        <f>_xll.qlIndexFixing(ON_1M_index,_xll.qlInterestRateIndexFixingDate(ON_1M_index,G7),,AllTriggers)</f>
        <v>-1.4791697424461475E-3</v>
      </c>
      <c r="K7" s="128">
        <f t="shared" si="0"/>
        <v>2.9887399067012933E-4</v>
      </c>
      <c r="L7" s="47">
        <f>_xll.qlTenorBasisValue($P$3,G7,Trigger)</f>
        <v>2.9887399067012944E-4</v>
      </c>
      <c r="M7" s="64">
        <f t="shared" si="3"/>
        <v>-1.0842021724855044E-15</v>
      </c>
      <c r="N7" s="21"/>
      <c r="O7" s="192" t="s">
        <v>78</v>
      </c>
      <c r="P7" s="66">
        <v>-1.6841500293367454E-3</v>
      </c>
      <c r="Q7" s="20"/>
      <c r="R7" s="212">
        <f>_xll.qlCalendarAdvance(Calendar,R6,"1D","f")</f>
        <v>42285</v>
      </c>
      <c r="S7" s="47">
        <f>_xll.qlTenorBasisValue($P$3,R7,AllTriggers)</f>
        <v>2.4717099695583376E-4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3.1513471856018586E-4</v>
      </c>
    </row>
    <row r="8" spans="1:27" ht="11.25" customHeight="1" x14ac:dyDescent="0.2">
      <c r="A8" s="94">
        <v>3</v>
      </c>
      <c r="B8" s="21" t="s">
        <v>20</v>
      </c>
      <c r="C8" s="101">
        <f t="shared" si="1"/>
        <v>4</v>
      </c>
      <c r="D8" s="280" t="str">
        <f t="shared" si="2"/>
        <v>EUR3x4F_Quote</v>
      </c>
      <c r="E8" s="100" t="str">
        <f>_xll.qlSimpleQuote(UPPER("B"&amp;$H$1&amp;"_"&amp;A8&amp;B8&amp;C8),,,Permanent,Trigger,ObjectOverwrite)</f>
        <v>B1M_3X4#0002</v>
      </c>
      <c r="F8" s="201" t="e">
        <f>_xll.qlSimpleQuoteSetValue(E8,K8,AllTriggers)</f>
        <v>#N/A</v>
      </c>
      <c r="G8" s="213">
        <f>_xll.qlCalendarAdvance("target",SettlementDate,A8&amp;"M","mf",,Trigger)</f>
        <v>42373</v>
      </c>
      <c r="H8" s="213">
        <f>_xll.qlInterestRateIndexMaturity(ON_6M_index,G8)</f>
        <v>42555</v>
      </c>
      <c r="I8" s="50">
        <f>_xll.qlIndexFixing([2]!iborindex1M,_xll.qlInterestRateIndexFixingDate("Euribor1M",G8,Trigger),,AllTriggers)</f>
        <v>-1.3082336176710228E-3</v>
      </c>
      <c r="J8" s="50">
        <f>_xll.qlIndexFixing(ON_1M_index,_xll.qlInterestRateIndexFixingDate(ON_1M_index,G8),,AllTriggers)</f>
        <v>-1.6085194908884105E-3</v>
      </c>
      <c r="K8" s="115">
        <f t="shared" si="0"/>
        <v>3.0028587321738768E-4</v>
      </c>
      <c r="L8" s="50">
        <f>_xll.qlTenorBasisValue($P$3,G8,Trigger)</f>
        <v>3.0028587321738779E-4</v>
      </c>
      <c r="M8" s="65">
        <f t="shared" si="3"/>
        <v>-1.0842021724855044E-15</v>
      </c>
      <c r="N8" s="21"/>
      <c r="O8" s="192" t="s">
        <v>79</v>
      </c>
      <c r="P8" s="66">
        <v>1.8717464051117794E-2</v>
      </c>
      <c r="Q8" s="20"/>
      <c r="R8" s="212">
        <f>_xll.qlCalendarAdvance(Calendar,R7,"1D","f")</f>
        <v>42286</v>
      </c>
      <c r="S8" s="47">
        <f>_xll.qlTenorBasisValue($P$3,R8,AllTriggers)</f>
        <v>2.4426445565247572E-4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3.0792367651633892E-4</v>
      </c>
    </row>
    <row r="9" spans="1:27" ht="11.25" customHeight="1" x14ac:dyDescent="0.2">
      <c r="G9" s="60"/>
      <c r="H9" s="60"/>
      <c r="I9" s="35"/>
      <c r="J9" s="35"/>
      <c r="K9" s="35"/>
      <c r="L9" s="21"/>
      <c r="M9" s="21"/>
      <c r="N9" s="21"/>
      <c r="O9" s="192" t="s">
        <v>80</v>
      </c>
      <c r="P9" s="66">
        <v>-4.5513594804860127E-2</v>
      </c>
      <c r="Q9" s="20"/>
      <c r="R9" s="212">
        <f>_xll.qlCalendarAdvance(Calendar,R8,"1D","f")</f>
        <v>42289</v>
      </c>
      <c r="S9" s="47">
        <f>_xll.qlTenorBasisValue($P$3,R9,AllTriggers)</f>
        <v>2.3697244524778084E-4</v>
      </c>
      <c r="T9" s="41">
        <f>_xll.qlDayCounterYearFraction("actual/365 (fixed)",SettlementDate,R9,,,Trigger)</f>
        <v>2.7397260273972601E-2</v>
      </c>
      <c r="U9" s="47">
        <f>_xll.qlPolynomialFunctionValue($P$18,T9,AllTriggers)</f>
        <v>2.8824768966947934E-4</v>
      </c>
    </row>
    <row r="10" spans="1:27" ht="11.25" customHeight="1" x14ac:dyDescent="0.2">
      <c r="G10" s="60"/>
      <c r="H10" s="60"/>
      <c r="I10" s="35"/>
      <c r="J10" s="35"/>
      <c r="K10" s="35"/>
      <c r="L10" s="21"/>
      <c r="M10" s="21"/>
      <c r="N10" s="21"/>
      <c r="O10" s="192" t="s">
        <v>81</v>
      </c>
      <c r="P10" s="66" t="e">
        <v>#N/A</v>
      </c>
      <c r="Q10" s="20"/>
      <c r="R10" s="212">
        <f>_xll.qlCalendarAdvance(Calendar,R9,"1D","f")</f>
        <v>42290</v>
      </c>
      <c r="S10" s="47">
        <f>_xll.qlTenorBasisValue($P$3,R10,AllTriggers)</f>
        <v>2.3499892685476505E-4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2.8232268772217597E-4</v>
      </c>
    </row>
    <row r="11" spans="1:27" ht="11.25" customHeight="1" x14ac:dyDescent="0.2">
      <c r="G11" s="60"/>
      <c r="H11" s="60"/>
      <c r="I11" s="35"/>
      <c r="J11" s="35"/>
      <c r="K11" s="35"/>
      <c r="L11" s="21"/>
      <c r="M11" s="21"/>
      <c r="N11" s="21"/>
      <c r="Q11" s="20"/>
      <c r="R11" s="212">
        <f>_xll.qlCalendarAdvance(Calendar,R10,"1D","f")</f>
        <v>42291</v>
      </c>
      <c r="S11" s="47">
        <f>_xll.qlTenorBasisValue($P$3,R11,AllTriggers)</f>
        <v>2.332446246194019E-4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2.7670515622907566E-4</v>
      </c>
    </row>
    <row r="12" spans="1:27" ht="11.25" customHeight="1" x14ac:dyDescent="0.2">
      <c r="G12" s="60"/>
      <c r="H12" s="60"/>
      <c r="I12" s="35"/>
      <c r="J12" s="35"/>
      <c r="K12" s="35"/>
      <c r="L12" s="21"/>
      <c r="M12" s="21"/>
      <c r="N12" s="21"/>
      <c r="O12" s="119" t="s">
        <v>95</v>
      </c>
      <c r="P12" s="120"/>
      <c r="Q12" s="20"/>
      <c r="R12" s="212">
        <f>_xll.qlCalendarAdvance(Calendar,R11,"1D","f")</f>
        <v>42292</v>
      </c>
      <c r="S12" s="47">
        <f>_xll.qlTenorBasisValue($P$3,R12,AllTriggers)</f>
        <v>2.3170392271371824E-4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2.7138947936220523E-4</v>
      </c>
    </row>
    <row r="13" spans="1:27" ht="11.25" customHeight="1" x14ac:dyDescent="0.2">
      <c r="G13" s="60"/>
      <c r="H13" s="60"/>
      <c r="I13" s="35"/>
      <c r="J13" s="35"/>
      <c r="K13" s="35"/>
      <c r="L13" s="21"/>
      <c r="M13" s="21"/>
      <c r="N13" s="21"/>
      <c r="O13" s="192" t="s">
        <v>77</v>
      </c>
      <c r="P13" s="66">
        <f t="array" ref="P13:P17">_xll.qlTenorInstCoefficients(P3)</f>
        <v>3.6564406627777275E-4</v>
      </c>
      <c r="Q13" s="20"/>
      <c r="R13" s="212">
        <f>_xll.qlCalendarAdvance(Calendar,R12,"1D","f")</f>
        <v>42293</v>
      </c>
      <c r="S13" s="47">
        <f>_xll.qlTenorBasisValue($P$3,R13,AllTriggers)</f>
        <v>2.3037120530974091E-4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2.6637004129359147E-4</v>
      </c>
    </row>
    <row r="14" spans="1:27" ht="11.25" customHeight="1" thickBot="1" x14ac:dyDescent="0.25">
      <c r="G14" s="60"/>
      <c r="H14" s="60"/>
      <c r="I14" s="35"/>
      <c r="J14" s="35"/>
      <c r="K14" s="35"/>
      <c r="L14" s="21"/>
      <c r="M14" s="21"/>
      <c r="N14" s="21"/>
      <c r="O14" s="192" t="s">
        <v>78</v>
      </c>
      <c r="P14" s="66">
        <v>-3.4646761181809579E-3</v>
      </c>
      <c r="Q14" s="20"/>
      <c r="R14" s="212">
        <f>_xll.qlCalendarAdvance(Calendar,R13,"1D","f")</f>
        <v>42296</v>
      </c>
      <c r="S14" s="47">
        <f>_xll.qlTenorBasisValue($P$3,R14,AllTriggers)</f>
        <v>2.2756480182831545E-4</v>
      </c>
      <c r="T14" s="41">
        <f>_xll.qlDayCounterYearFraction("actual/365 (fixed)",SettlementDate,R14,,,Trigger)</f>
        <v>4.6575342465753428E-2</v>
      </c>
      <c r="U14" s="47">
        <f>_xll.qlPolynomialFunctionValue($P$18,T14,AllTriggers)</f>
        <v>2.5303300159755889E-4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G15" s="60"/>
      <c r="H15" s="60"/>
      <c r="I15" s="35"/>
      <c r="J15" s="35"/>
      <c r="K15" s="35"/>
      <c r="L15" s="21"/>
      <c r="M15" s="21"/>
      <c r="N15" s="21"/>
      <c r="O15" s="192" t="s">
        <v>79</v>
      </c>
      <c r="P15" s="66">
        <v>2.4596303380078899E-2</v>
      </c>
      <c r="Q15" s="20"/>
      <c r="R15" s="212">
        <f>_xll.qlCalendarAdvance(Calendar,R14,"1D","f")</f>
        <v>42297</v>
      </c>
      <c r="S15" s="47">
        <f>_xll.qlTenorBasisValue($P$3,R15,AllTriggers)</f>
        <v>2.2700786415143193E-4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2.4914236044224045E-4</v>
      </c>
      <c r="W15" s="45">
        <v>0</v>
      </c>
      <c r="X15" s="45" t="s">
        <v>25</v>
      </c>
      <c r="Y15" s="175">
        <f>_xll.qlCalendarAdvance(Calendar,SettlementDate,W15&amp;"M","mf",TRUE,Trigger)</f>
        <v>42279</v>
      </c>
      <c r="Z15" s="176">
        <f>_xll.qlCalendarAdvance(Calendar,SettlementDate,X15,"Following",,Trigger)</f>
        <v>42282</v>
      </c>
      <c r="AA15" s="205">
        <f>_xll.qlTenorBasisForwardRate2(TenorBasis6M,Y15,Z15,AllTriggers)</f>
        <v>-1.0128004084730691E-3</v>
      </c>
    </row>
    <row r="16" spans="1:27" ht="11.25" customHeight="1" x14ac:dyDescent="0.2">
      <c r="G16" s="60"/>
      <c r="H16" s="60"/>
      <c r="I16" s="35"/>
      <c r="J16" s="35"/>
      <c r="K16" s="35"/>
      <c r="L16" s="21"/>
      <c r="M16" s="21"/>
      <c r="N16" s="21"/>
      <c r="O16" s="192" t="s">
        <v>80</v>
      </c>
      <c r="P16" s="66">
        <v>-4.5513594804860127E-2</v>
      </c>
      <c r="Q16" s="20"/>
      <c r="R16" s="212">
        <f>_xll.qlCalendarAdvance(Calendar,R15,"1D","f")</f>
        <v>42298</v>
      </c>
      <c r="S16" s="47">
        <f>_xll.qlTenorBasisValue($P$3,R16,AllTriggers)</f>
        <v>2.2663083183638896E-4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2.4551987894531289E-4</v>
      </c>
      <c r="W16" s="48">
        <v>0</v>
      </c>
      <c r="X16" s="48" t="s">
        <v>26</v>
      </c>
      <c r="Y16" s="177">
        <f>_xll.qlCalendarAdvance(Calendar,SettlementDate,W16&amp;"M","mf",TRUE,Trigger)</f>
        <v>42279</v>
      </c>
      <c r="Z16" s="178">
        <f>_xll.qlCalendarAdvance(Calendar,SettlementDate,X16,"Following",,Trigger)</f>
        <v>42286</v>
      </c>
      <c r="AA16" s="206">
        <f>_xll.qlTenorBasisForwardRate2(TenorBasis6M,Y16,Z16,AllTriggers)</f>
        <v>-1.0992456741482875E-3</v>
      </c>
    </row>
    <row r="17" spans="7:27" ht="11.25" customHeight="1" x14ac:dyDescent="0.2">
      <c r="G17" s="60"/>
      <c r="H17" s="60"/>
      <c r="I17" s="35"/>
      <c r="J17" s="35"/>
      <c r="K17" s="35"/>
      <c r="L17" s="21"/>
      <c r="M17" s="21"/>
      <c r="N17" s="21"/>
      <c r="O17" s="192" t="s">
        <v>81</v>
      </c>
      <c r="P17" s="66" t="e">
        <v>#N/A</v>
      </c>
      <c r="Q17" s="20"/>
      <c r="R17" s="212">
        <f>_xll.qlCalendarAdvance(Calendar,R16,"1D","f")</f>
        <v>42299</v>
      </c>
      <c r="S17" s="47">
        <f>_xll.qlTenorBasisValue($P$3,R17,AllTriggers)</f>
        <v>2.2642808905521341E-4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2.4215994127880307E-4</v>
      </c>
      <c r="W17" s="48">
        <v>0</v>
      </c>
      <c r="X17" s="48" t="s">
        <v>27</v>
      </c>
      <c r="Y17" s="177">
        <f>_xll.qlCalendarAdvance(Calendar,SettlementDate,W17&amp;"M","mf",TRUE,Trigger)</f>
        <v>42279</v>
      </c>
      <c r="Z17" s="178">
        <f>_xll.qlCalendarAdvance(Calendar,SettlementDate,X17,"Following",,Trigger)</f>
        <v>42293</v>
      </c>
      <c r="AA17" s="206">
        <f>_xll.qlTenorBasisForwardRate2(TenorBasis6M,Y17,Z17,AllTriggers)</f>
        <v>-1.1236521203437733E-3</v>
      </c>
    </row>
    <row r="18" spans="7:27" ht="11.25" customHeight="1" x14ac:dyDescent="0.2">
      <c r="G18" s="60"/>
      <c r="H18" s="60"/>
      <c r="I18" s="35"/>
      <c r="J18" s="35"/>
      <c r="K18" s="35"/>
      <c r="L18" s="21"/>
      <c r="M18" s="21"/>
      <c r="N18" s="21"/>
      <c r="O18" s="192" t="s">
        <v>99</v>
      </c>
      <c r="P18" s="66" t="str">
        <f>_xll.qlPolynomialFunction(,_xll.ohPack(P13:P17),,Trigger)</f>
        <v>obj_005a8#0004</v>
      </c>
      <c r="Q18" s="20"/>
      <c r="R18" s="212">
        <f>_xll.qlCalendarAdvance(Calendar,R17,"1D","f")</f>
        <v>42300</v>
      </c>
      <c r="S18" s="47">
        <f>_xll.qlTenorBasisValue($P$3,R18,AllTriggers)</f>
        <v>2.2639401997993208E-4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2.3905693161473785E-4</v>
      </c>
      <c r="W18" s="48">
        <v>0</v>
      </c>
      <c r="X18" s="48" t="s">
        <v>28</v>
      </c>
      <c r="Y18" s="177">
        <f>_xll.qlCalendarAdvance(Calendar,SettlementDate,W18&amp;"M","mf",TRUE,Trigger)</f>
        <v>42279</v>
      </c>
      <c r="Z18" s="178">
        <f>_xll.qlCalendarAdvance(Calendar,SettlementDate,X18,"Following",,Trigger)</f>
        <v>42300</v>
      </c>
      <c r="AA18" s="208">
        <f>_xll.qlTenorBasisForwardRate2(TenorBasis6M,Y18,Z18,AllTriggers)</f>
        <v>-1.1430593529323677E-3</v>
      </c>
    </row>
    <row r="19" spans="7:27" ht="11.25" customHeight="1" thickBot="1" x14ac:dyDescent="0.25">
      <c r="G19" s="60"/>
      <c r="H19" s="60"/>
      <c r="I19" s="35"/>
      <c r="J19" s="35"/>
      <c r="K19" s="35"/>
      <c r="L19" s="21"/>
      <c r="M19" s="21"/>
      <c r="N19" s="21"/>
      <c r="Q19" s="20"/>
      <c r="R19" s="212">
        <f>_xll.qlCalendarAdvance(Calendar,R18,"1D","f")</f>
        <v>42303</v>
      </c>
      <c r="S19" s="47">
        <f>_xll.qlTenorBasisValue($P$3,R19,AllTriggers)</f>
        <v>2.2724769670972209E-4</v>
      </c>
      <c r="T19" s="41">
        <f>_xll.qlDayCounterYearFraction("actual/365 (fixed)",SettlementDate,R19,,,Trigger)</f>
        <v>6.575342465753424E-2</v>
      </c>
      <c r="U19" s="47">
        <f>_xll.qlPolynomialFunctionValue($P$18,T19,AllTriggers)</f>
        <v>2.3123331235747841E-4</v>
      </c>
      <c r="W19" s="162">
        <v>0</v>
      </c>
      <c r="X19" s="162" t="s">
        <v>22</v>
      </c>
      <c r="Y19" s="185">
        <f>_xll.qlCalendarAdvance(Calendar,SettlementDate,W19&amp;"M","mf",TRUE,Trigger)</f>
        <v>42279</v>
      </c>
      <c r="Z19" s="295">
        <f>_xll.qlCalendarAdvance(Calendar,SettlementDate,X19,"mf",TRUE,Trigger)</f>
        <v>42310</v>
      </c>
      <c r="AA19" s="209">
        <f>_xll.qlTenorBasisForwardRate2(TenorBasis6M,Y19,Z19,AllTriggers)</f>
        <v>-1.133053339100062E-3</v>
      </c>
    </row>
    <row r="20" spans="7:27" ht="11.25" customHeight="1" x14ac:dyDescent="0.2">
      <c r="G20" s="60"/>
      <c r="H20" s="60"/>
      <c r="I20" s="35"/>
      <c r="J20" s="35"/>
      <c r="K20" s="35"/>
      <c r="L20" s="21"/>
      <c r="M20" s="21"/>
      <c r="N20" s="21"/>
      <c r="Q20" s="20"/>
      <c r="R20" s="212">
        <f>_xll.qlCalendarAdvance(Calendar,R19,"1D","f")</f>
        <v>42304</v>
      </c>
      <c r="S20" s="47">
        <f>_xll.qlTenorBasisValue($P$3,R20,AllTriggers)</f>
        <v>2.2783216417828617E-4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2.2910185642346006E-4</v>
      </c>
      <c r="W20" s="48">
        <v>1</v>
      </c>
      <c r="X20" s="48" t="s">
        <v>29</v>
      </c>
      <c r="Y20" s="177">
        <f>_xll.qlCalendarAdvance(Calendar,SettlementDate,W20&amp;"M","mf",TRUE,Trigger)</f>
        <v>42310</v>
      </c>
      <c r="Z20" s="178">
        <f>_xll.qlCalendarAdvance(Calendar,SettlementDate,X20,"mf",TRUE,Trigger)</f>
        <v>42340</v>
      </c>
      <c r="AA20" s="47">
        <f>_xll.qlTenorBasisForwardRate2(TenorBasis6M,Y20,Z20,AllTriggers)</f>
        <v>-1.2364015857602162E-3</v>
      </c>
    </row>
    <row r="21" spans="7:27" ht="11.25" customHeight="1" x14ac:dyDescent="0.2">
      <c r="G21" s="60"/>
      <c r="H21" s="60"/>
      <c r="I21" s="35"/>
      <c r="J21" s="35"/>
      <c r="K21" s="35"/>
      <c r="L21" s="21"/>
      <c r="M21" s="21"/>
      <c r="N21" s="21"/>
      <c r="Q21" s="20"/>
      <c r="R21" s="212">
        <f>_xll.qlCalendarAdvance(Calendar,R20,"1D","f")</f>
        <v>42305</v>
      </c>
      <c r="S21" s="47">
        <f>_xll.qlTenorBasisValue($P$3,R21,AllTriggers)</f>
        <v>2.2855722621287878E-4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2.2719924935202059E-4</v>
      </c>
      <c r="W21" s="48">
        <v>2</v>
      </c>
      <c r="X21" s="48" t="s">
        <v>23</v>
      </c>
      <c r="Y21" s="177">
        <f>_xll.qlCalendarAdvance(Calendar,SettlementDate,W21&amp;"M","mf",TRUE,Trigger)</f>
        <v>42340</v>
      </c>
      <c r="Z21" s="178">
        <f>_xll.qlCalendarAdvance(Calendar,SettlementDate,X21,"mf",TRUE,Trigger)</f>
        <v>42373</v>
      </c>
      <c r="AA21" s="47">
        <f>_xll.qlTenorBasisForwardRate2(TenorBasis6M,Y21,Z21,AllTriggers)</f>
        <v>-1.1831110350976363E-3</v>
      </c>
    </row>
    <row r="22" spans="7:27" ht="11.25" customHeight="1" x14ac:dyDescent="0.2">
      <c r="G22" s="60"/>
      <c r="H22" s="60"/>
      <c r="I22" s="35"/>
      <c r="J22" s="35"/>
      <c r="K22" s="35"/>
      <c r="L22" s="21"/>
      <c r="M22" s="21"/>
      <c r="N22" s="21"/>
      <c r="Q22" s="20"/>
      <c r="R22" s="212">
        <f>_xll.qlCalendarAdvance(Calendar,R21,"1D","f")</f>
        <v>42306</v>
      </c>
      <c r="S22" s="47">
        <f>_xll.qlTenorBasisValue($P$3,R22,AllTriggers)</f>
        <v>2.2941726698552664E-4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2.2551987531518677E-4</v>
      </c>
      <c r="W22" s="48">
        <v>3</v>
      </c>
      <c r="X22" s="48" t="s">
        <v>30</v>
      </c>
      <c r="Y22" s="177">
        <f>_xll.qlCalendarAdvance(Calendar,SettlementDate,W22&amp;"M","mf",TRUE,Trigger)</f>
        <v>42373</v>
      </c>
      <c r="Z22" s="178">
        <f>_xll.qlCalendarAdvance(Calendar,SettlementDate,X22,"mf",TRUE,Trigger)</f>
        <v>42402</v>
      </c>
      <c r="AA22" s="47">
        <f>_xll.qlTenorBasisForwardRate2(TenorBasis6M,Y22,Z22,AllTriggers)</f>
        <v>-1.3050850873542012E-3</v>
      </c>
    </row>
    <row r="23" spans="7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42307</v>
      </c>
      <c r="S23" s="47">
        <f>_xll.qlTenorBasisValue($P$3,R23,AllTriggers)</f>
        <v>2.3040667066825672E-4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2.2405811848498551E-4</v>
      </c>
      <c r="W23" s="48">
        <v>4</v>
      </c>
      <c r="X23" s="48" t="s">
        <v>31</v>
      </c>
      <c r="Y23" s="177">
        <f>_xll.qlCalendarAdvance(Calendar,SettlementDate,W23&amp;"M","mf",TRUE,Trigger)</f>
        <v>42402</v>
      </c>
      <c r="Z23" s="178">
        <f>_xll.qlCalendarAdvance(Calendar,SettlementDate,X23,"mf",TRUE,Trigger)</f>
        <v>42431</v>
      </c>
      <c r="AA23" s="47">
        <f>_xll.qlTenorBasisForwardRate2(TenorBasis6M,Y23,Z23,AllTriggers)</f>
        <v>-1.5709503493889258E-3</v>
      </c>
    </row>
    <row r="24" spans="7:27" ht="11.25" customHeight="1" x14ac:dyDescent="0.2">
      <c r="G24" s="60"/>
      <c r="H24" s="60"/>
      <c r="I24" s="35"/>
      <c r="J24" s="35"/>
      <c r="K24" s="35"/>
      <c r="Q24" s="20"/>
      <c r="R24" s="212">
        <f>_xll.qlCalendarAdvance(Calendar,R23,"1D","f")</f>
        <v>42310</v>
      </c>
      <c r="S24" s="47">
        <f>_xll.qlTenorBasisValue($P$3,R24,AllTriggers)</f>
        <v>2.3409490089720814E-4</v>
      </c>
      <c r="T24" s="41">
        <f>_xll.qlDayCounterYearFraction("actual/365 (fixed)",SettlementDate,R24,,,Trigger)</f>
        <v>8.4931506849315067E-2</v>
      </c>
      <c r="U24" s="47">
        <f>_xll.qlPolynomialFunctionValue($P$18,T24,AllTriggers)</f>
        <v>2.2092239295444521E-4</v>
      </c>
      <c r="W24" s="48">
        <v>5</v>
      </c>
      <c r="X24" s="48" t="s">
        <v>24</v>
      </c>
      <c r="Y24" s="177">
        <f>_xll.qlCalendarAdvance(Calendar,SettlementDate,W24&amp;"M","mf",TRUE,Trigger)</f>
        <v>42431</v>
      </c>
      <c r="Z24" s="178">
        <f>_xll.qlCalendarAdvance(Calendar,SettlementDate,X24,"mf",TRUE,Trigger)</f>
        <v>42464</v>
      </c>
      <c r="AA24" s="47">
        <f>_xll.qlTenorBasisForwardRate2(TenorBasis6M,Y24,Z24,AllTriggers)</f>
        <v>-2.2181432214499453E-3</v>
      </c>
    </row>
    <row r="25" spans="7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42311</v>
      </c>
      <c r="S25" s="47">
        <f>_xll.qlTenorBasisValue($P$3,R25,AllTriggers)</f>
        <v>2.3554559794053528E-4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2.202749466710424E-4</v>
      </c>
      <c r="W25" s="49">
        <v>6</v>
      </c>
      <c r="X25" s="49" t="str">
        <f t="shared" ref="X25" si="4">W25+SUBSTITUTE($H$1,"M","")&amp;"M"</f>
        <v>7M</v>
      </c>
      <c r="Y25" s="181">
        <f>_xll.qlCalendarAdvance(Calendar,SettlementDate,W25&amp;"M","mf",TRUE,Trigger)</f>
        <v>42464</v>
      </c>
      <c r="Z25" s="181">
        <f>_xll.qlCalendarAdvance(Calendar,SettlementDate,X25,"mf",TRUE,Trigger)</f>
        <v>42492</v>
      </c>
      <c r="AA25" s="50">
        <f>_xll.qlTenorBasisTenorForwardRate(TenorBasis6M,Y25,AllTriggers)</f>
        <v>-3.4844861400523813E-3</v>
      </c>
    </row>
    <row r="26" spans="7:27" ht="11.25" customHeight="1" x14ac:dyDescent="0.2">
      <c r="R26" s="212">
        <f>_xll.qlCalendarAdvance(Calendar,R25,"1D","f")</f>
        <v>42312</v>
      </c>
      <c r="S26" s="47">
        <f>_xll.qlTenorBasisValue($P$3,R26,AllTriggers)</f>
        <v>2.3709757875407876E-4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2.1981703845440641E-4</v>
      </c>
    </row>
    <row r="27" spans="7:27" ht="11.25" customHeight="1" x14ac:dyDescent="0.2">
      <c r="R27" s="212">
        <f>_xll.qlCalendarAdvance(Calendar,R26,"1D","f")</f>
        <v>42313</v>
      </c>
      <c r="S27" s="47">
        <f>_xll.qlTenorBasisValue($P$3,R27,AllTriggers)</f>
        <v>2.3874522750986542E-4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2.1954305247656386E-4</v>
      </c>
    </row>
    <row r="28" spans="7:27" ht="11.25" customHeight="1" x14ac:dyDescent="0.2">
      <c r="R28" s="212">
        <f>_xll.qlCalendarAdvance(Calendar,R27,"1D","f")</f>
        <v>42314</v>
      </c>
      <c r="S28" s="47">
        <f>_xll.qlTenorBasisValue($P$3,R28,AllTriggers)</f>
        <v>2.4048292837992223E-4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2.1944737290954184E-4</v>
      </c>
    </row>
    <row r="29" spans="7:27" ht="11.25" customHeight="1" x14ac:dyDescent="0.2">
      <c r="R29" s="212">
        <f>_xll.qlCalendarAdvance(Calendar,R28,"1D","f")</f>
        <v>42317</v>
      </c>
      <c r="S29" s="47">
        <f>_xll.qlTenorBasisValue($P$3,R29,AllTriggers)</f>
        <v>2.4618018539598121E-4</v>
      </c>
      <c r="T29" s="41">
        <f>_xll.qlDayCounterYearFraction("actual/365 (fixed)",SettlementDate,R29,,,Trigger)</f>
        <v>0.10410958904109589</v>
      </c>
      <c r="U29" s="47">
        <f>_xll.qlPolynomialFunctionValue($P$18,T29,AllTriggers)</f>
        <v>2.2017401439366672E-4</v>
      </c>
    </row>
    <row r="30" spans="7:27" ht="11.25" customHeight="1" x14ac:dyDescent="0.2">
      <c r="R30" s="212">
        <f>_xll.qlCalendarAdvance(Calendar,R29,"1D","f")</f>
        <v>42318</v>
      </c>
      <c r="S30" s="47">
        <f>_xll.qlTenorBasisValue($P$3,R30,AllTriggers)</f>
        <v>2.4822193644338667E-4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2.2073540219019478E-4</v>
      </c>
    </row>
    <row r="31" spans="7:27" ht="11.25" customHeight="1" x14ac:dyDescent="0.2">
      <c r="R31" s="212">
        <f>_xll.qlCalendarAdvance(Calendar,R30,"1D","f")</f>
        <v>42319</v>
      </c>
      <c r="S31" s="47">
        <f>_xll.qlTenorBasisValue($P$3,R31,AllTriggers)</f>
        <v>2.503256604651964E-4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2.214470172576776E-4</v>
      </c>
    </row>
    <row r="32" spans="7:27" ht="11.25" customHeight="1" x14ac:dyDescent="0.2">
      <c r="R32" s="212">
        <f>_xll.qlCalendarAdvance(Calendar,R31,"1D","f")</f>
        <v>42320</v>
      </c>
      <c r="S32" s="47">
        <f>_xll.qlTenorBasisValue($P$3,R32,AllTriggers)</f>
        <v>2.5248574163343722E-4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2.2230324376814177E-4</v>
      </c>
    </row>
    <row r="33" spans="7:21" ht="11.25" customHeight="1" x14ac:dyDescent="0.2">
      <c r="R33" s="212">
        <f>_xll.qlCalendarAdvance(Calendar,R32,"1D","f")</f>
        <v>42321</v>
      </c>
      <c r="S33" s="47">
        <f>_xll.qlTenorBasisValue($P$3,R33,AllTriggers)</f>
        <v>2.5469656412013602E-4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2.2329846589361435E-4</v>
      </c>
    </row>
    <row r="34" spans="7:21" ht="11.25" customHeight="1" x14ac:dyDescent="0.2">
      <c r="R34" s="212">
        <f>_xll.qlCalendarAdvance(Calendar,R33,"1D","f")</f>
        <v>42324</v>
      </c>
      <c r="S34" s="47">
        <f>_xll.qlTenorBasisValue($P$3,R34,AllTriggers)</f>
        <v>2.6157732121124866E-4</v>
      </c>
      <c r="T34" s="41">
        <f>_xll.qlDayCounterYearFraction("actual/365 (fixed)",SettlementDate,R34,,,Trigger)</f>
        <v>0.12328767123287671</v>
      </c>
      <c r="U34" s="47">
        <f>_xll.qlPolynomialFunctionValue($P$18,T34,AllTriggers)</f>
        <v>2.2706194768035045E-4</v>
      </c>
    </row>
    <row r="35" spans="7:21" ht="11.25" customHeight="1" x14ac:dyDescent="0.2">
      <c r="R35" s="212">
        <f>_xll.qlCalendarAdvance(Calendar,R34,"1D","f")</f>
        <v>42325</v>
      </c>
      <c r="S35" s="47">
        <f>_xll.qlTenorBasisValue($P$3,R35,AllTriggers)</f>
        <v>2.6393495069204777E-4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2.2855699398612478E-4</v>
      </c>
    </row>
    <row r="36" spans="7:21" ht="11.25" customHeight="1" x14ac:dyDescent="0.2">
      <c r="R36" s="212">
        <f>_xll.qlCalendarAdvance(Calendar,R35,"1D","f")</f>
        <v>42326</v>
      </c>
      <c r="S36" s="47">
        <f>_xll.qlTenorBasisValue($P$3,R36,AllTriggers)</f>
        <v>2.6631524235143909E-4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2.3016295676704163E-4</v>
      </c>
    </row>
    <row r="37" spans="7:21" ht="11.25" customHeight="1" x14ac:dyDescent="0.2">
      <c r="R37" s="212">
        <f>_xll.qlCalendarAdvance(Calendar,R36,"1D","f")</f>
        <v>42327</v>
      </c>
      <c r="S37" s="47">
        <f>_xll.qlTenorBasisValue($P$3,R37,AllTriggers)</f>
        <v>2.6871258036144938E-4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2.3187422019512789E-4</v>
      </c>
    </row>
    <row r="38" spans="7:21" ht="11.25" customHeight="1" x14ac:dyDescent="0.2">
      <c r="R38" s="212">
        <f>_xll.qlCalendarAdvance(Calendar,R37,"1D","f")</f>
        <v>42328</v>
      </c>
      <c r="S38" s="47">
        <f>_xll.qlTenorBasisValue($P$3,R38,AllTriggers)</f>
        <v>2.7112134889410559E-4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2.3368516844241038E-4</v>
      </c>
    </row>
    <row r="39" spans="7:21" ht="11.25" customHeight="1" x14ac:dyDescent="0.2">
      <c r="R39" s="212">
        <f>_xll.qlCalendarAdvance(Calendar,R38,"1D","f")</f>
        <v>42331</v>
      </c>
      <c r="S39" s="47">
        <f>_xll.qlTenorBasisValue($P$3,R39,AllTriggers)</f>
        <v>2.7836007934821795E-4</v>
      </c>
      <c r="T39" s="41">
        <f>_xll.qlDayCounterYearFraction("actual/365 (fixed)",SettlementDate,R39,,,Trigger)</f>
        <v>0.14246575342465753</v>
      </c>
      <c r="U39" s="47">
        <f>_xll.qlPolynomialFunctionValue($P$18,T39,AllTriggers)</f>
        <v>2.3965996381970379E-4</v>
      </c>
    </row>
    <row r="40" spans="7:21" ht="11.25" customHeight="1" x14ac:dyDescent="0.2">
      <c r="R40" s="212">
        <f>_xll.qlCalendarAdvance(Calendar,R39,"1D","f")</f>
        <v>42332</v>
      </c>
      <c r="S40" s="47">
        <f>_xll.qlTenorBasisValue($P$3,R40,AllTriggers)</f>
        <v>2.80758411691726E-4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2.4181349306403969E-4</v>
      </c>
    </row>
    <row r="41" spans="7:21" ht="11.25" customHeight="1" x14ac:dyDescent="0.2">
      <c r="R41" s="212">
        <f>_xll.qlCalendarAdvance(Calendar,R40,"1D","f")</f>
        <v>42333</v>
      </c>
      <c r="S41" s="47">
        <f>_xll.qlTenorBasisValue($P$3,R41,AllTriggers)</f>
        <v>2.8314009541801423E-4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2.4403862798770602E-4</v>
      </c>
    </row>
    <row r="42" spans="7:21" ht="11.25" customHeight="1" x14ac:dyDescent="0.2">
      <c r="R42" s="212">
        <f>_xll.qlCalendarAdvance(Calendar,R41,"1D","f")</f>
        <v>42334</v>
      </c>
      <c r="S42" s="47">
        <f>_xll.qlTenorBasisValue($P$3,R42,AllTriggers)</f>
        <v>2.8549951469910938E-4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2.4632975276272969E-4</v>
      </c>
    </row>
    <row r="43" spans="7:21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42335</v>
      </c>
      <c r="S43" s="47">
        <f>_xll.qlTenorBasisValue($P$3,R43,AllTriggers)</f>
        <v>2.8783105370703839E-4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2.4868125156113753E-4</v>
      </c>
    </row>
    <row r="44" spans="7:21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42338</v>
      </c>
      <c r="S44" s="47">
        <f>_xll.qlTenorBasisValue($P$3,R44,AllTriggers)</f>
        <v>2.9460223081209636E-4</v>
      </c>
      <c r="T44" s="41">
        <f>_xll.qlDayCounterYearFraction("actual/365 (fixed)",SettlementDate,R44,,,Trigger)</f>
        <v>0.16164383561643836</v>
      </c>
      <c r="U44" s="47">
        <f>_xll.qlPolynomialFunctionValue($P$18,T44,AllTriggers)</f>
        <v>2.5604183381693426E-4</v>
      </c>
    </row>
    <row r="45" spans="7:21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42339</v>
      </c>
      <c r="S45" s="47">
        <f>_xll.qlTenorBasisValue($P$3,R45,AllTriggers)</f>
        <v>2.9676609044762878E-4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2.5857867042914707E-4</v>
      </c>
    </row>
    <row r="46" spans="7:21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42340</v>
      </c>
      <c r="S46" s="47">
        <f>_xll.qlTenorBasisValue($P$3,R46,AllTriggers)</f>
        <v>2.9887399067012944E-4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2.6114780192487816E-4</v>
      </c>
    </row>
    <row r="47" spans="7:21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42341</v>
      </c>
      <c r="S47" s="47">
        <f>_xll.qlTenorBasisValue($P$3,R47,AllTriggers)</f>
        <v>3.0092031565162462E-4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2.6374361247615469E-4</v>
      </c>
    </row>
    <row r="48" spans="7:21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42342</v>
      </c>
      <c r="S48" s="47">
        <f>_xll.qlTenorBasisValue($P$3,R48,AllTriggers)</f>
        <v>3.028994495641418E-4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2.6636048625500316E-4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42345</v>
      </c>
      <c r="S49" s="47">
        <f>_xll.qlTenorBasisValue($P$3,R49,AllTriggers)</f>
        <v>3.0837754660809156E-4</v>
      </c>
      <c r="T49" s="41">
        <f>_xll.qlDayCounterYearFraction("actual/365 (fixed)",SettlementDate,R49,,,Trigger)</f>
        <v>0.18082191780821918</v>
      </c>
      <c r="U49" s="47">
        <f>_xll.qlPolynomialFunctionValue($P$18,T49,AllTriggers)</f>
        <v>2.742813286772494E-4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42346</v>
      </c>
      <c r="S50" s="47">
        <f>_xll.qlTenorBasisValue($P$3,R50,AllTriggers)</f>
        <v>3.1003175796496385E-4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2.7692629708665431E-4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42347</v>
      </c>
      <c r="S51" s="47">
        <f>_xll.qlTenorBasisValue($P$3,R51,AllTriggers)</f>
        <v>3.1159069911299188E-4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2.7956424958376554E-4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42348</v>
      </c>
      <c r="S52" s="47">
        <f>_xll.qlTenorBasisValue($P$3,R52,AllTriggers)</f>
        <v>3.1304875422420286E-4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2.8218957034061021E-4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42349</v>
      </c>
      <c r="S53" s="47">
        <f>_xll.qlTenorBasisValue($P$3,R53,AllTriggers)</f>
        <v>3.1440030747062334E-4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2.8479664352921454E-4</v>
      </c>
    </row>
    <row r="54" spans="7:21" x14ac:dyDescent="0.2">
      <c r="R54" s="212">
        <f>_xll.qlCalendarAdvance(Calendar,R53,"1D","f")</f>
        <v>42352</v>
      </c>
      <c r="S54" s="47">
        <f>_xll.qlTenorBasisValue($P$3,R54,AllTriggers)</f>
        <v>3.1775979774141078E-4</v>
      </c>
      <c r="T54" s="41">
        <f>_xll.qlDayCounterYearFraction("actual/365 (fixed)",SettlementDate,R54,,,Trigger)</f>
        <v>0.2</v>
      </c>
      <c r="U54" s="47">
        <f>_xll.qlPolynomialFunctionValue($P$18,T54,AllTriggers)</f>
        <v>2.9245221940585618E-4</v>
      </c>
    </row>
    <row r="55" spans="7:21" x14ac:dyDescent="0.2">
      <c r="R55" s="212">
        <f>_xll.qlCalendarAdvance(Calendar,R54,"1D","f")</f>
        <v>42353</v>
      </c>
      <c r="S55" s="47">
        <f>_xll.qlTenorBasisValue($P$3,R55,AllTriggers)</f>
        <v>3.1862918524893806E-4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2.949301440417688E-4</v>
      </c>
    </row>
    <row r="56" spans="7:21" x14ac:dyDescent="0.2">
      <c r="R56" s="212">
        <f>_xll.qlCalendarAdvance(Calendar,R55,"1D","f")</f>
        <v>42354</v>
      </c>
      <c r="S56" s="47">
        <f>_xll.qlTenorBasisValue($P$3,R56,AllTriggers)</f>
        <v>3.1936399175180923E-4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2.9736174196957557E-4</v>
      </c>
    </row>
    <row r="57" spans="7:21" x14ac:dyDescent="0.2">
      <c r="R57" s="212">
        <f>_xll.qlCalendarAdvance(Calendar,R56,"1D","f")</f>
        <v>42355</v>
      </c>
      <c r="S57" s="47">
        <f>_xll.qlTenorBasisValue($P$3,R57,AllTriggers)</f>
        <v>3.1995860142205096E-4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2.997413973613036E-4</v>
      </c>
    </row>
    <row r="58" spans="7:21" x14ac:dyDescent="0.2">
      <c r="R58" s="212">
        <f>_xll.qlCalendarAdvance(Calendar,R57,"1D","f")</f>
        <v>42356</v>
      </c>
      <c r="S58" s="47">
        <f>_xll.qlTenorBasisValue($P$3,R58,AllTriggers)</f>
        <v>3.2040739843169035E-4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3.0206349438897934E-4</v>
      </c>
    </row>
    <row r="59" spans="7:21" x14ac:dyDescent="0.2">
      <c r="R59" s="212">
        <f>_xll.qlCalendarAdvance(Calendar,R58,"1D","f")</f>
        <v>42359</v>
      </c>
      <c r="S59" s="47">
        <f>_xll.qlTenorBasisValue($P$3,R59,AllTriggers)</f>
        <v>3.2082275521726162E-4</v>
      </c>
      <c r="T59" s="41">
        <f>_xll.qlDayCounterYearFraction("actual/365 (fixed)",SettlementDate,R59,,,Trigger)</f>
        <v>0.21917808219178081</v>
      </c>
      <c r="U59" s="47">
        <f>_xll.qlPolynomialFunctionValue($P$18,T59,AllTriggers)</f>
        <v>3.0862827700796244E-4</v>
      </c>
    </row>
    <row r="60" spans="7:21" x14ac:dyDescent="0.2">
      <c r="R60" s="212">
        <f>_xll.qlCalendarAdvance(Calendar,R59,"1D","f")</f>
        <v>42360</v>
      </c>
      <c r="S60" s="47">
        <f>_xll.qlTenorBasisValue($P$3,R60,AllTriggers)</f>
        <v>3.2063214330475939E-4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3.1066398229969816E-4</v>
      </c>
    </row>
    <row r="61" spans="7:21" x14ac:dyDescent="0.2">
      <c r="R61" s="212">
        <f>_xll.qlCalendarAdvance(Calendar,R60,"1D","f")</f>
        <v>42361</v>
      </c>
      <c r="S61" s="47">
        <f>_xll.qlTenorBasisValue($P$3,R61,AllTriggers)</f>
        <v>3.2026763959178888E-4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3.1261405008751585E-4</v>
      </c>
    </row>
    <row r="62" spans="7:21" x14ac:dyDescent="0.2">
      <c r="R62" s="212">
        <f>_xll.qlCalendarAdvance(Calendar,R61,"1D","f")</f>
        <v>42362</v>
      </c>
      <c r="S62" s="47">
        <f>_xll.qlTenorBasisValue($P$3,R62,AllTriggers)</f>
        <v>3.197236282503768E-4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3.1447286454344247E-4</v>
      </c>
    </row>
    <row r="63" spans="7:21" x14ac:dyDescent="0.2">
      <c r="R63" s="212">
        <f>_xll.qlCalendarAdvance(Calendar,R62,"1D","f")</f>
        <v>42366</v>
      </c>
      <c r="S63" s="47">
        <f>_xll.qlTenorBasisValue($P$3,R63,AllTriggers)</f>
        <v>3.156401900408515E-4</v>
      </c>
      <c r="T63" s="41">
        <f>_xll.qlDayCounterYearFraction("actual/365 (fixed)",SettlementDate,R63,,,Trigger)</f>
        <v>0.23835616438356164</v>
      </c>
      <c r="U63" s="47">
        <f>_xll.qlPolynomialFunctionValue($P$18,T63,AllTriggers)</f>
        <v>3.2088327248877536E-4</v>
      </c>
    </row>
    <row r="64" spans="7:21" x14ac:dyDescent="0.2">
      <c r="R64" s="212">
        <f>_xll.qlCalendarAdvance(Calendar,R63,"1D","f")</f>
        <v>42367</v>
      </c>
      <c r="S64" s="47">
        <f>_xll.qlTenorBasisValue($P$3,R64,AllTriggers)</f>
        <v>3.1411440313763492E-4</v>
      </c>
      <c r="T64" s="41">
        <f>_xll.qlDayCounterYearFraction("actual/365 (fixed)",SettlementDate,R64,,,Trigger)</f>
        <v>0.24109589041095891</v>
      </c>
      <c r="U64" s="47">
        <f>_xll.qlPolynomialFunctionValue($P$18,T64,AllTriggers)</f>
        <v>3.2220158286564967E-4</v>
      </c>
    </row>
    <row r="65" spans="18:21" x14ac:dyDescent="0.2">
      <c r="R65" s="212">
        <f>_xll.qlCalendarAdvance(Calendar,R64,"1D","f")</f>
        <v>42368</v>
      </c>
      <c r="S65" s="47">
        <f>_xll.qlTenorBasisValue($P$3,R65,AllTriggers)</f>
        <v>3.1237541363813811E-4</v>
      </c>
      <c r="T65" s="41">
        <f>_xll.qlDayCounterYearFraction("actual/365 (fixed)",SettlementDate,R65,,,Trigger)</f>
        <v>0.24383561643835616</v>
      </c>
      <c r="U65" s="47">
        <f>_xll.qlPolynomialFunctionValue($P$18,T65,AllTriggers)</f>
        <v>3.2339494494279346E-4</v>
      </c>
    </row>
    <row r="66" spans="18:21" x14ac:dyDescent="0.2">
      <c r="R66" s="212">
        <f>_xll.qlCalendarAdvance(Calendar,R65,"1D","f")</f>
        <v>42369</v>
      </c>
      <c r="S66" s="47">
        <f>_xll.qlTenorBasisValue($P$3,R66,AllTriggers)</f>
        <v>3.1041760571438772E-4</v>
      </c>
      <c r="T66" s="41">
        <f>_xll.qlDayCounterYearFraction("actual/365 (fixed)",SettlementDate,R66,,,Trigger)</f>
        <v>0.24657534246575341</v>
      </c>
      <c r="U66" s="47">
        <f>_xll.qlPolynomialFunctionValue($P$18,T66,AllTriggers)</f>
        <v>3.2445774289223417E-4</v>
      </c>
    </row>
    <row r="67" spans="18:21" x14ac:dyDescent="0.2">
      <c r="R67" s="212">
        <f>_xll.qlCalendarAdvance(Calendar,R66,"1D","f")</f>
        <v>42373</v>
      </c>
      <c r="S67" s="47">
        <f>_xll.qlTenorBasisValue($P$3,R67,AllTriggers)</f>
        <v>3.0028587321738779E-4</v>
      </c>
      <c r="T67" s="41">
        <f>_xll.qlDayCounterYearFraction("actual/365 (fixed)",SettlementDate,R67,,,Trigger)</f>
        <v>0.25753424657534246</v>
      </c>
      <c r="U67" s="47">
        <f>_xll.qlPolynomialFunctionValue($P$18,T67,AllTriggers)</f>
        <v>3.2729097685350276E-4</v>
      </c>
    </row>
    <row r="68" spans="18:21" x14ac:dyDescent="0.2">
      <c r="R68" s="212">
        <f>_xll.qlCalendarAdvance(Calendar,R67,"1D","f")</f>
        <v>42374</v>
      </c>
      <c r="S68" s="47">
        <f>_xll.qlTenorBasisValue($P$3,R68,AllTriggers)</f>
        <v>2.9714973575277243E-4</v>
      </c>
      <c r="T68" s="41">
        <f>_xll.qlDayCounterYearFraction("actual/365 (fixed)",SettlementDate,R68,,,Trigger)</f>
        <v>0.26027397260273971</v>
      </c>
      <c r="U68" s="47">
        <f>_xll.qlPolynomialFunctionValue($P$18,T68,AllTriggers)</f>
        <v>3.2761671674483045E-4</v>
      </c>
    </row>
    <row r="69" spans="18:21" x14ac:dyDescent="0.2">
      <c r="R69" s="212">
        <f>_xll.qlCalendarAdvance(Calendar,R68,"1D","f")</f>
        <v>42375</v>
      </c>
      <c r="S69" s="47">
        <f>_xll.qlTenorBasisValue($P$3,R69,AllTriggers)</f>
        <v>2.9376108489606459E-4</v>
      </c>
      <c r="T69" s="41">
        <f>_xll.qlDayCounterYearFraction("actual/365 (fixed)",SettlementDate,R69,,,Trigger)</f>
        <v>0.26301369863013696</v>
      </c>
      <c r="U69" s="47">
        <f>_xll.qlPolynomialFunctionValue($P$18,T69,AllTriggers)</f>
        <v>3.2777819754061595E-4</v>
      </c>
    </row>
    <row r="70" spans="18:21" x14ac:dyDescent="0.2">
      <c r="R70" s="213">
        <f>_xll.qlCalendarAdvance(Calendar,R69,"1D","f")</f>
        <v>42376</v>
      </c>
      <c r="S70" s="50">
        <f>_xll.qlTenorBasisValue($P$3,R70,AllTriggers)</f>
        <v>2.9011430481929096E-4</v>
      </c>
      <c r="T70" s="44">
        <f>_xll.qlDayCounterYearFraction("actual/365 (fixed)",SettlementDate,R70,,,Trigger)</f>
        <v>0.26575342465753427</v>
      </c>
      <c r="U70" s="50">
        <f>_xll.qlPolynomialFunctionValue($P$18,T70,AllTriggers)</f>
        <v>3.2776980341288635E-4</v>
      </c>
    </row>
    <row r="71" spans="18:21" x14ac:dyDescent="0.2">
      <c r="R71" s="61"/>
    </row>
    <row r="72" spans="18:21" x14ac:dyDescent="0.2">
      <c r="R72" s="61"/>
    </row>
    <row r="73" spans="18:21" x14ac:dyDescent="0.2">
      <c r="R73" s="61"/>
    </row>
    <row r="74" spans="18:21" x14ac:dyDescent="0.2">
      <c r="R74" s="61"/>
    </row>
    <row r="75" spans="18:21" x14ac:dyDescent="0.2">
      <c r="R75" s="61"/>
    </row>
    <row r="76" spans="18:21" x14ac:dyDescent="0.2">
      <c r="R76" s="61"/>
    </row>
    <row r="77" spans="18:21" x14ac:dyDescent="0.2">
      <c r="R77" s="61"/>
    </row>
    <row r="78" spans="18:21" x14ac:dyDescent="0.2">
      <c r="R78" s="61"/>
    </row>
    <row r="79" spans="18:21" x14ac:dyDescent="0.2">
      <c r="R79" s="61"/>
    </row>
    <row r="80" spans="18:21" x14ac:dyDescent="0.2">
      <c r="R80" s="61"/>
    </row>
    <row r="81" spans="18:18" x14ac:dyDescent="0.2">
      <c r="R81" s="61"/>
    </row>
    <row r="82" spans="18:18" x14ac:dyDescent="0.2">
      <c r="R82" s="61"/>
    </row>
    <row r="83" spans="18:18" x14ac:dyDescent="0.2">
      <c r="R83" s="61"/>
    </row>
    <row r="84" spans="18:18" x14ac:dyDescent="0.2">
      <c r="R84" s="61"/>
    </row>
    <row r="85" spans="18:18" x14ac:dyDescent="0.2">
      <c r="R85" s="61"/>
    </row>
    <row r="86" spans="18:18" x14ac:dyDescent="0.2">
      <c r="R86" s="61"/>
    </row>
    <row r="87" spans="18:18" x14ac:dyDescent="0.2">
      <c r="R87" s="61"/>
    </row>
    <row r="88" spans="18:18" x14ac:dyDescent="0.2">
      <c r="R88" s="61"/>
    </row>
    <row r="89" spans="18:18" x14ac:dyDescent="0.2">
      <c r="R89" s="61"/>
    </row>
    <row r="90" spans="18:18" x14ac:dyDescent="0.2">
      <c r="R90" s="61"/>
    </row>
    <row r="91" spans="18:18" x14ac:dyDescent="0.2">
      <c r="R91" s="61"/>
    </row>
    <row r="92" spans="18:18" x14ac:dyDescent="0.2">
      <c r="R92" s="61"/>
    </row>
    <row r="93" spans="18:18" x14ac:dyDescent="0.2">
      <c r="R93" s="61"/>
    </row>
    <row r="94" spans="18:18" x14ac:dyDescent="0.2">
      <c r="R94" s="61"/>
    </row>
    <row r="95" spans="18:18" x14ac:dyDescent="0.2">
      <c r="R95" s="61"/>
    </row>
    <row r="96" spans="18:18" x14ac:dyDescent="0.2">
      <c r="R96" s="61"/>
    </row>
    <row r="97" spans="18:18" x14ac:dyDescent="0.2">
      <c r="R97" s="61"/>
    </row>
    <row r="98" spans="18:18" x14ac:dyDescent="0.2">
      <c r="R98" s="61"/>
    </row>
    <row r="99" spans="18:18" x14ac:dyDescent="0.2">
      <c r="R99" s="61"/>
    </row>
    <row r="100" spans="18:18" x14ac:dyDescent="0.2">
      <c r="R100" s="61"/>
    </row>
    <row r="101" spans="18:18" x14ac:dyDescent="0.2">
      <c r="R101" s="61"/>
    </row>
    <row r="102" spans="18:18" x14ac:dyDescent="0.2">
      <c r="R102" s="61"/>
    </row>
    <row r="103" spans="18:18" x14ac:dyDescent="0.2">
      <c r="R103" s="61"/>
    </row>
    <row r="104" spans="18:18" x14ac:dyDescent="0.2">
      <c r="R104" s="61"/>
    </row>
    <row r="105" spans="18:18" x14ac:dyDescent="0.2">
      <c r="R105" s="61"/>
    </row>
    <row r="106" spans="18:18" x14ac:dyDescent="0.2">
      <c r="R106" s="61"/>
    </row>
    <row r="107" spans="18:18" x14ac:dyDescent="0.2">
      <c r="R107" s="61"/>
    </row>
    <row r="108" spans="18:18" x14ac:dyDescent="0.2">
      <c r="R108" s="61"/>
    </row>
    <row r="109" spans="18:18" x14ac:dyDescent="0.2">
      <c r="R109" s="61"/>
    </row>
    <row r="110" spans="18:18" x14ac:dyDescent="0.2">
      <c r="R110" s="61"/>
    </row>
    <row r="111" spans="18:18" x14ac:dyDescent="0.2">
      <c r="R111" s="61"/>
    </row>
    <row r="112" spans="18:18" x14ac:dyDescent="0.2">
      <c r="R112" s="61"/>
    </row>
    <row r="113" spans="18:18" x14ac:dyDescent="0.2">
      <c r="R113" s="61"/>
    </row>
    <row r="114" spans="18:18" x14ac:dyDescent="0.2">
      <c r="R114" s="61"/>
    </row>
    <row r="115" spans="18:18" x14ac:dyDescent="0.2">
      <c r="R115" s="61"/>
    </row>
    <row r="116" spans="18:18" x14ac:dyDescent="0.2">
      <c r="R116" s="61"/>
    </row>
    <row r="117" spans="18:18" x14ac:dyDescent="0.2">
      <c r="R117" s="61"/>
    </row>
    <row r="118" spans="18:18" x14ac:dyDescent="0.2">
      <c r="R118" s="61"/>
    </row>
    <row r="119" spans="18:18" x14ac:dyDescent="0.2">
      <c r="R119" s="61"/>
    </row>
    <row r="120" spans="18:18" x14ac:dyDescent="0.2">
      <c r="R120" s="61"/>
    </row>
    <row r="121" spans="18:18" x14ac:dyDescent="0.2">
      <c r="R121" s="61"/>
    </row>
    <row r="122" spans="18:18" x14ac:dyDescent="0.2">
      <c r="R122" s="61"/>
    </row>
    <row r="123" spans="18:18" x14ac:dyDescent="0.2">
      <c r="R123" s="61"/>
    </row>
    <row r="124" spans="18:18" x14ac:dyDescent="0.2">
      <c r="R124" s="61"/>
    </row>
    <row r="125" spans="18:18" x14ac:dyDescent="0.2">
      <c r="R125" s="61"/>
    </row>
    <row r="126" spans="18:18" x14ac:dyDescent="0.2">
      <c r="R126" s="61"/>
    </row>
    <row r="127" spans="18:18" x14ac:dyDescent="0.2">
      <c r="R127" s="61"/>
    </row>
    <row r="128" spans="18:18" x14ac:dyDescent="0.2">
      <c r="R128" s="61"/>
    </row>
    <row r="129" spans="18:18" x14ac:dyDescent="0.2">
      <c r="R129" s="61"/>
    </row>
    <row r="130" spans="18:18" x14ac:dyDescent="0.2">
      <c r="R130" s="61"/>
    </row>
    <row r="131" spans="18:18" x14ac:dyDescent="0.2">
      <c r="R131" s="61"/>
    </row>
    <row r="132" spans="18:18" x14ac:dyDescent="0.2">
      <c r="R132" s="61"/>
    </row>
    <row r="133" spans="18:18" x14ac:dyDescent="0.2">
      <c r="R133" s="61"/>
    </row>
    <row r="134" spans="18:18" x14ac:dyDescent="0.2">
      <c r="R134" s="61"/>
    </row>
    <row r="135" spans="18:18" x14ac:dyDescent="0.2">
      <c r="R135" s="61"/>
    </row>
    <row r="136" spans="18:18" x14ac:dyDescent="0.2">
      <c r="R136" s="61"/>
    </row>
    <row r="137" spans="18:18" x14ac:dyDescent="0.2">
      <c r="R137" s="61"/>
    </row>
    <row r="138" spans="18:18" x14ac:dyDescent="0.2">
      <c r="R138" s="61"/>
    </row>
    <row r="139" spans="18:18" x14ac:dyDescent="0.2">
      <c r="R139" s="61"/>
    </row>
    <row r="140" spans="18:18" x14ac:dyDescent="0.2">
      <c r="R140" s="61"/>
    </row>
    <row r="141" spans="18:18" x14ac:dyDescent="0.2">
      <c r="R141" s="61"/>
    </row>
    <row r="142" spans="18:18" x14ac:dyDescent="0.2">
      <c r="R142" s="61"/>
    </row>
    <row r="143" spans="18:18" x14ac:dyDescent="0.2">
      <c r="R143" s="61"/>
    </row>
    <row r="144" spans="18:18" x14ac:dyDescent="0.2">
      <c r="R144" s="61"/>
    </row>
    <row r="145" spans="18:18" x14ac:dyDescent="0.2">
      <c r="R145" s="61"/>
    </row>
    <row r="146" spans="18:18" x14ac:dyDescent="0.2">
      <c r="R146" s="61"/>
    </row>
    <row r="147" spans="18:18" x14ac:dyDescent="0.2">
      <c r="R147" s="61"/>
    </row>
    <row r="148" spans="18:18" x14ac:dyDescent="0.2">
      <c r="R148" s="61"/>
    </row>
    <row r="149" spans="18:18" x14ac:dyDescent="0.2">
      <c r="R149" s="61"/>
    </row>
    <row r="150" spans="18:18" x14ac:dyDescent="0.2">
      <c r="R150" s="61"/>
    </row>
    <row r="151" spans="18:18" x14ac:dyDescent="0.2">
      <c r="R151" s="61"/>
    </row>
    <row r="152" spans="18:18" x14ac:dyDescent="0.2">
      <c r="R152" s="61"/>
    </row>
    <row r="153" spans="18:18" x14ac:dyDescent="0.2">
      <c r="R153" s="61"/>
    </row>
    <row r="154" spans="18:18" x14ac:dyDescent="0.2">
      <c r="R154" s="61"/>
    </row>
    <row r="155" spans="18:18" x14ac:dyDescent="0.2">
      <c r="R155" s="61"/>
    </row>
    <row r="156" spans="18:18" x14ac:dyDescent="0.2">
      <c r="R156" s="61"/>
    </row>
    <row r="157" spans="18:18" x14ac:dyDescent="0.2">
      <c r="R157" s="61"/>
    </row>
    <row r="158" spans="18:18" x14ac:dyDescent="0.2">
      <c r="R158" s="61"/>
    </row>
    <row r="159" spans="18:18" x14ac:dyDescent="0.2">
      <c r="R159" s="61"/>
    </row>
    <row r="160" spans="18:18" x14ac:dyDescent="0.2">
      <c r="R160" s="61"/>
    </row>
    <row r="161" spans="18:18" x14ac:dyDescent="0.2">
      <c r="R161" s="61"/>
    </row>
    <row r="162" spans="18:18" x14ac:dyDescent="0.2">
      <c r="R162" s="61"/>
    </row>
    <row r="163" spans="18:18" x14ac:dyDescent="0.2">
      <c r="R163" s="61"/>
    </row>
    <row r="164" spans="18:18" x14ac:dyDescent="0.2">
      <c r="R164" s="61"/>
    </row>
    <row r="165" spans="18:18" x14ac:dyDescent="0.2">
      <c r="R165" s="61"/>
    </row>
    <row r="166" spans="18:18" x14ac:dyDescent="0.2">
      <c r="R166" s="61"/>
    </row>
    <row r="167" spans="18:18" x14ac:dyDescent="0.2">
      <c r="R167" s="61"/>
    </row>
    <row r="168" spans="18:18" x14ac:dyDescent="0.2">
      <c r="R168" s="61"/>
    </row>
    <row r="169" spans="18:18" x14ac:dyDescent="0.2">
      <c r="R169" s="61"/>
    </row>
    <row r="170" spans="18:18" x14ac:dyDescent="0.2">
      <c r="R170" s="61"/>
    </row>
    <row r="171" spans="18:18" x14ac:dyDescent="0.2">
      <c r="R171" s="61"/>
    </row>
    <row r="172" spans="18:18" x14ac:dyDescent="0.2">
      <c r="R172" s="61"/>
    </row>
    <row r="173" spans="18:18" x14ac:dyDescent="0.2">
      <c r="R173" s="61"/>
    </row>
    <row r="174" spans="18:18" x14ac:dyDescent="0.2">
      <c r="R174" s="61"/>
    </row>
    <row r="175" spans="18:18" x14ac:dyDescent="0.2">
      <c r="R175" s="61"/>
    </row>
    <row r="176" spans="18:18" x14ac:dyDescent="0.2">
      <c r="R176" s="61"/>
    </row>
    <row r="177" spans="18:18" x14ac:dyDescent="0.2">
      <c r="R177" s="61"/>
    </row>
    <row r="178" spans="18:18" x14ac:dyDescent="0.2">
      <c r="R178" s="61"/>
    </row>
    <row r="179" spans="18:18" x14ac:dyDescent="0.2">
      <c r="R179" s="61"/>
    </row>
    <row r="180" spans="18:18" x14ac:dyDescent="0.2">
      <c r="R180" s="61"/>
    </row>
    <row r="181" spans="18:18" x14ac:dyDescent="0.2">
      <c r="R181" s="61"/>
    </row>
    <row r="182" spans="18:18" x14ac:dyDescent="0.2">
      <c r="R182" s="61"/>
    </row>
    <row r="183" spans="18:18" x14ac:dyDescent="0.2">
      <c r="R183" s="61"/>
    </row>
    <row r="184" spans="18:18" x14ac:dyDescent="0.2">
      <c r="R184" s="61"/>
    </row>
    <row r="185" spans="18:18" x14ac:dyDescent="0.2">
      <c r="R185" s="61"/>
    </row>
    <row r="186" spans="18:18" x14ac:dyDescent="0.2">
      <c r="R186" s="61"/>
    </row>
    <row r="187" spans="18:18" x14ac:dyDescent="0.2">
      <c r="R187" s="61"/>
    </row>
    <row r="188" spans="18:18" x14ac:dyDescent="0.2">
      <c r="R188" s="61"/>
    </row>
    <row r="189" spans="18:18" x14ac:dyDescent="0.2">
      <c r="R189" s="61"/>
    </row>
    <row r="190" spans="18:18" x14ac:dyDescent="0.2">
      <c r="R190" s="61"/>
    </row>
    <row r="191" spans="18:18" x14ac:dyDescent="0.2">
      <c r="R191" s="61"/>
    </row>
    <row r="192" spans="18:18" x14ac:dyDescent="0.2">
      <c r="R192" s="61"/>
    </row>
    <row r="193" spans="18:18" x14ac:dyDescent="0.2">
      <c r="R193" s="61"/>
    </row>
    <row r="194" spans="18:18" x14ac:dyDescent="0.2">
      <c r="R194" s="61"/>
    </row>
    <row r="195" spans="18:18" x14ac:dyDescent="0.2">
      <c r="R195" s="61"/>
    </row>
    <row r="196" spans="18:18" x14ac:dyDescent="0.2">
      <c r="R196" s="61"/>
    </row>
    <row r="197" spans="18:18" x14ac:dyDescent="0.2">
      <c r="R197" s="61"/>
    </row>
    <row r="198" spans="18:18" x14ac:dyDescent="0.2">
      <c r="R198" s="61"/>
    </row>
    <row r="199" spans="18:18" x14ac:dyDescent="0.2">
      <c r="R199" s="61"/>
    </row>
    <row r="200" spans="18:18" x14ac:dyDescent="0.2">
      <c r="R200" s="61"/>
    </row>
    <row r="201" spans="18:18" x14ac:dyDescent="0.2">
      <c r="R201" s="61"/>
    </row>
    <row r="202" spans="18:18" x14ac:dyDescent="0.2">
      <c r="R202" s="61"/>
    </row>
    <row r="203" spans="18:18" x14ac:dyDescent="0.2">
      <c r="R203" s="61"/>
    </row>
    <row r="204" spans="18:18" x14ac:dyDescent="0.2">
      <c r="R204" s="61"/>
    </row>
    <row r="205" spans="18:18" x14ac:dyDescent="0.2">
      <c r="R205" s="61"/>
    </row>
    <row r="206" spans="18:18" x14ac:dyDescent="0.2">
      <c r="R206" s="61"/>
    </row>
    <row r="207" spans="18:18" x14ac:dyDescent="0.2">
      <c r="R207" s="61"/>
    </row>
    <row r="208" spans="18:18" x14ac:dyDescent="0.2">
      <c r="R208" s="61"/>
    </row>
    <row r="209" spans="18:18" x14ac:dyDescent="0.2">
      <c r="R209" s="61"/>
    </row>
    <row r="210" spans="18:18" x14ac:dyDescent="0.2">
      <c r="R210" s="61"/>
    </row>
    <row r="211" spans="18:18" x14ac:dyDescent="0.2">
      <c r="R211" s="61"/>
    </row>
    <row r="212" spans="18:18" x14ac:dyDescent="0.2">
      <c r="R212" s="61"/>
    </row>
    <row r="213" spans="18:18" x14ac:dyDescent="0.2">
      <c r="R213" s="61"/>
    </row>
    <row r="214" spans="18:18" x14ac:dyDescent="0.2">
      <c r="R214" s="61"/>
    </row>
    <row r="215" spans="18:18" x14ac:dyDescent="0.2">
      <c r="R215" s="61"/>
    </row>
    <row r="216" spans="18:18" x14ac:dyDescent="0.2">
      <c r="R216" s="61"/>
    </row>
    <row r="217" spans="18:18" x14ac:dyDescent="0.2">
      <c r="R217" s="61"/>
    </row>
    <row r="218" spans="18:18" x14ac:dyDescent="0.2">
      <c r="R218" s="61"/>
    </row>
    <row r="219" spans="18:18" x14ac:dyDescent="0.2">
      <c r="R219" s="61"/>
    </row>
    <row r="220" spans="18:18" x14ac:dyDescent="0.2">
      <c r="R220" s="61"/>
    </row>
    <row r="221" spans="18:18" x14ac:dyDescent="0.2">
      <c r="R221" s="61"/>
    </row>
    <row r="222" spans="18:18" x14ac:dyDescent="0.2">
      <c r="R222" s="61"/>
    </row>
    <row r="223" spans="18:18" x14ac:dyDescent="0.2">
      <c r="R223" s="61"/>
    </row>
    <row r="224" spans="18:18" x14ac:dyDescent="0.2">
      <c r="R224" s="61"/>
    </row>
    <row r="225" spans="18:18" x14ac:dyDescent="0.2">
      <c r="R225" s="61"/>
    </row>
    <row r="226" spans="18:18" x14ac:dyDescent="0.2">
      <c r="R226" s="61"/>
    </row>
    <row r="227" spans="18:18" x14ac:dyDescent="0.2">
      <c r="R227" s="61"/>
    </row>
    <row r="228" spans="18:18" x14ac:dyDescent="0.2">
      <c r="R228" s="61"/>
    </row>
    <row r="229" spans="18:18" x14ac:dyDescent="0.2">
      <c r="R229" s="61"/>
    </row>
    <row r="230" spans="18:18" x14ac:dyDescent="0.2">
      <c r="R230" s="61"/>
    </row>
    <row r="231" spans="18:18" x14ac:dyDescent="0.2">
      <c r="R231" s="61"/>
    </row>
    <row r="232" spans="18:18" x14ac:dyDescent="0.2">
      <c r="R232" s="61"/>
    </row>
    <row r="233" spans="18:18" x14ac:dyDescent="0.2">
      <c r="R233" s="61"/>
    </row>
    <row r="234" spans="18:18" x14ac:dyDescent="0.2">
      <c r="R234" s="61"/>
    </row>
    <row r="235" spans="18:18" x14ac:dyDescent="0.2">
      <c r="R235" s="61"/>
    </row>
    <row r="236" spans="18:18" x14ac:dyDescent="0.2">
      <c r="R236" s="61"/>
    </row>
    <row r="237" spans="18:18" x14ac:dyDescent="0.2">
      <c r="R237" s="61"/>
    </row>
    <row r="238" spans="18:18" x14ac:dyDescent="0.2">
      <c r="R238" s="61"/>
    </row>
    <row r="239" spans="18:18" x14ac:dyDescent="0.2">
      <c r="R239" s="61"/>
    </row>
    <row r="240" spans="18:18" x14ac:dyDescent="0.2">
      <c r="R240" s="61"/>
    </row>
    <row r="241" spans="18:18" x14ac:dyDescent="0.2">
      <c r="R241" s="61"/>
    </row>
    <row r="242" spans="18:18" x14ac:dyDescent="0.2">
      <c r="R242" s="61"/>
    </row>
    <row r="243" spans="18:18" x14ac:dyDescent="0.2">
      <c r="R243" s="61"/>
    </row>
    <row r="244" spans="18:18" x14ac:dyDescent="0.2">
      <c r="R244" s="61"/>
    </row>
    <row r="245" spans="18:18" x14ac:dyDescent="0.2">
      <c r="R245" s="61"/>
    </row>
    <row r="246" spans="18:18" x14ac:dyDescent="0.2">
      <c r="R246" s="61"/>
    </row>
    <row r="247" spans="18:18" x14ac:dyDescent="0.2">
      <c r="R247" s="61"/>
    </row>
    <row r="248" spans="18:18" x14ac:dyDescent="0.2">
      <c r="R248" s="61"/>
    </row>
    <row r="249" spans="18:18" x14ac:dyDescent="0.2">
      <c r="R249" s="61"/>
    </row>
    <row r="250" spans="18:18" x14ac:dyDescent="0.2">
      <c r="R250" s="61"/>
    </row>
    <row r="251" spans="18:18" x14ac:dyDescent="0.2">
      <c r="R251" s="61"/>
    </row>
    <row r="252" spans="18:18" x14ac:dyDescent="0.2">
      <c r="R252" s="61"/>
    </row>
    <row r="253" spans="18:18" x14ac:dyDescent="0.2">
      <c r="R253" s="61"/>
    </row>
    <row r="254" spans="18:18" x14ac:dyDescent="0.2">
      <c r="R254" s="61"/>
    </row>
    <row r="255" spans="18:18" x14ac:dyDescent="0.2">
      <c r="R255" s="61"/>
    </row>
    <row r="256" spans="18:18" x14ac:dyDescent="0.2">
      <c r="R256" s="61"/>
    </row>
    <row r="257" spans="18:18" x14ac:dyDescent="0.2">
      <c r="R257" s="61"/>
    </row>
    <row r="258" spans="18:18" x14ac:dyDescent="0.2">
      <c r="R258" s="61"/>
    </row>
    <row r="259" spans="18:18" x14ac:dyDescent="0.2">
      <c r="R259" s="61"/>
    </row>
    <row r="260" spans="18:18" x14ac:dyDescent="0.2">
      <c r="R260" s="61"/>
    </row>
    <row r="261" spans="18:18" x14ac:dyDescent="0.2">
      <c r="R261" s="61"/>
    </row>
    <row r="262" spans="18:18" x14ac:dyDescent="0.2">
      <c r="R262" s="61"/>
    </row>
    <row r="263" spans="18:18" x14ac:dyDescent="0.2">
      <c r="R263" s="61"/>
    </row>
    <row r="264" spans="18:18" x14ac:dyDescent="0.2">
      <c r="R264" s="61"/>
    </row>
    <row r="265" spans="18:18" x14ac:dyDescent="0.2">
      <c r="R265" s="61"/>
    </row>
    <row r="266" spans="18:18" x14ac:dyDescent="0.2">
      <c r="R266" s="61"/>
    </row>
    <row r="267" spans="18:18" x14ac:dyDescent="0.2">
      <c r="R267" s="61"/>
    </row>
    <row r="268" spans="18:18" x14ac:dyDescent="0.2">
      <c r="R268" s="61"/>
    </row>
    <row r="269" spans="18:18" x14ac:dyDescent="0.2">
      <c r="R269" s="61"/>
    </row>
    <row r="270" spans="18:18" x14ac:dyDescent="0.2">
      <c r="R270" s="61"/>
    </row>
    <row r="271" spans="18:18" x14ac:dyDescent="0.2">
      <c r="R271" s="61"/>
    </row>
    <row r="272" spans="18:18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154"/>
  <sheetViews>
    <sheetView topLeftCell="A19" workbookViewId="0">
      <selection activeCell="D21" sqref="D21"/>
    </sheetView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0X"&amp;SUBSTITUTE($D$21,"M","")</f>
        <v>with 0X1</v>
      </c>
      <c r="T1" s="118"/>
      <c r="U1" s="117" t="str">
        <f>"without 0X"&amp;SUBSTITUTE($D$21,"M","")</f>
        <v>without 0X1</v>
      </c>
      <c r="V1" s="118"/>
      <c r="AG1" s="225"/>
      <c r="AH1" s="225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e">
        <f>_xll.qlPolynomialFunction(,_xll.qlTenorInstCoefficients(G$24),,_xll.ohTrigger(Trigger,G$25:G$28))</f>
        <v>#NUM!</v>
      </c>
      <c r="BF1" s="19" t="e">
        <f>_xll.qlPolynomialFunction(,_xll.qlTenorInstCoefficients(H$24),,_xll.ohTrigger(Trigger,H$25:H$28))</f>
        <v>#NUM!</v>
      </c>
      <c r="BG1" s="19" t="e">
        <f>_xll.qlPolynomialFunction(,_xll.qlTenorInstCoefficients(S$24),,_xll.ohTrigger(Trigger,S$25:S$28))</f>
        <v>#NUM!</v>
      </c>
      <c r="BH1" s="19" t="e">
        <f>_xll.qlPolynomialFunction(,_xll.qlTenorInstCoefficients(T$24),,_xll.ohTrigger(Trigger,T$25:T$28))</f>
        <v>#NUM!</v>
      </c>
      <c r="BI1" s="19" t="e">
        <f>_xll.qlPolynomialFunction(,U$25:U$28,,_xll.ohTrigger(Trigger,G$25:G$28))</f>
        <v>#NUM!</v>
      </c>
      <c r="BJ1" s="19" t="e">
        <f>_xll.qlPolynomialFunction(,V$25:V$28,,_xll.ohTrigger(Trigger,H$25:H$28))</f>
        <v>#NUM!</v>
      </c>
      <c r="BK1" s="19" t="e">
        <f>_xll.qlPolynomialFunction(,W$25:W$28,,_xll.ohTrigger(Trigger,S$25:S$28))</f>
        <v>#NUM!</v>
      </c>
      <c r="BL1" s="19" t="e">
        <f>_xll.qlPolynomialFunction(,X$25:X$28,,_xll.ohTrigger(Trigger,T$25:T$28))</f>
        <v>#NUM!</v>
      </c>
      <c r="BM1" s="19" t="e">
        <f>_xll.qlPolynomialFunction(,_xll.qlTenorInstCoefficients(Y$24),,_xll.ohTrigger(Trigger,G$25:G$28))</f>
        <v>#NUM!</v>
      </c>
      <c r="BN1" s="19" t="e">
        <f>_xll.qlPolynomialFunction(,_xll.qlTenorInstCoefficients(Z$24),,_xll.ohTrigger(Trigger,H$25:H$28))</f>
        <v>#NUM!</v>
      </c>
      <c r="BO1" s="19" t="e">
        <f>_xll.qlPolynomialFunction(,_xll.qlTenorInstCoefficients(AA$24),,_xll.ohTrigger(Trigger,S$25:S$28))</f>
        <v>#NUM!</v>
      </c>
      <c r="BP1" s="19" t="e">
        <f>_xll.qlPolynomialFunction(,_xll.qlTenorInstCoefficients(AB$24),,_xll.ohTrigger(Trigger,T$25:T$28))</f>
        <v>#NUM!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"&amp;$D$21</f>
        <v>F 1M</v>
      </c>
      <c r="H2" s="36" t="str">
        <f>"B "&amp;$D$21</f>
        <v>B 1M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>A3+SUBSTITUTE($D$21,"M","")</f>
        <v>1</v>
      </c>
      <c r="C3" s="171" t="str">
        <f>"B"&amp;$D$21&amp;"_"&amp;A3&amp;"X"&amp;B3&amp;$D$24</f>
        <v>B1M_0X1ESTIMATED</v>
      </c>
      <c r="D3" s="186">
        <f>SettlementDate</f>
        <v>42279</v>
      </c>
      <c r="E3" s="186">
        <f>_xll.qlInterestRateIndexMaturity($D$22,D3)</f>
        <v>42310</v>
      </c>
      <c r="F3" s="172">
        <f>_xll.qlIndexFixing(ON_1M_index,_xll.qlInterestRateIndexFixingDate(ON_1M_index,D3,Trigger),,AllTriggers)</f>
        <v>-1.4000000000040146E-3</v>
      </c>
      <c r="G3" s="172" t="e">
        <f>H3+F3</f>
        <v>#NUM!</v>
      </c>
      <c r="H3" s="226" t="e">
        <f>_xll.qlQuoteValue(C3,_xll.ohTrigger(InterestRatesTrigger,'1MSynthDepo_used'!E3))</f>
        <v>#NUM!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6" si="0">I3</f>
        <v>0</v>
      </c>
      <c r="L3" s="173">
        <f t="shared" ref="L3:L6" si="1">I3^2</f>
        <v>0</v>
      </c>
      <c r="M3" s="217" t="e">
        <f>LN((1+G3*_xll.qlDayCounterYearFraction(DayCounter,D3,E3,,,Trigger))/(1+F3*_xll.qlDayCounterYearFraction(DayCounter,D3,E3,,,Trigger)))</f>
        <v>#NUM!</v>
      </c>
      <c r="N3" s="173">
        <f>_xll.qlDayCounterYearFraction(DayCounter,SettlementDate,D3,,,Trigger)</f>
        <v>0</v>
      </c>
      <c r="O3" s="173">
        <f>_xll.qlDayCounterYearFraction(DayCounter,SettlementDate,E3,,,Trigger)</f>
        <v>8.611111111111111E-2</v>
      </c>
      <c r="P3" s="173">
        <f>O3-N3</f>
        <v>8.611111111111111E-2</v>
      </c>
      <c r="Q3" s="173">
        <f>(O3^2-N3^2)/2</f>
        <v>3.7075617283950616E-3</v>
      </c>
      <c r="R3" s="173">
        <f>(O3^3-N3^3)/3</f>
        <v>2.1284150663008689E-4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f>'6MSynthDepo_used'!A5</f>
        <v>1</v>
      </c>
      <c r="B4" s="55">
        <f>A4+SUBSTITUTE($D$21,"M","")</f>
        <v>2</v>
      </c>
      <c r="C4" s="39" t="str">
        <f>"B"&amp;$D$21&amp;"_"&amp;A4&amp;"X"&amp;B4</f>
        <v>B1M_1X2</v>
      </c>
      <c r="D4" s="177">
        <f>_xll.qlCalendarAdvance(Calendar,SettlementDate,A4&amp;"M","mf")</f>
        <v>42310</v>
      </c>
      <c r="E4" s="177">
        <f>_xll.qlInterestRateIndexMaturity($D$22,D4)</f>
        <v>42340</v>
      </c>
      <c r="F4" s="53">
        <f>_xll.qlIndexFixing(ON_1M_index,_xll.qlInterestRateIndexFixingDate(ON_1M_index,D4,Trigger),,AllTriggers)</f>
        <v>-1.4659042081865969E-3</v>
      </c>
      <c r="G4" s="53" t="e">
        <f t="shared" ref="G4:G6" si="2">H4+F4</f>
        <v>#NUM!</v>
      </c>
      <c r="H4" s="202" t="e">
        <f>_xll.qlQuoteValue(C4,_xll.ohTrigger(InterestRatesTrigger,'1MSynthDepo_used'!E4))</f>
        <v>#NUM!</v>
      </c>
      <c r="I4" s="41">
        <f>_xll.qlDayCounterYearFraction(DayCounter,SettlementDate,D4,,,Trigger)</f>
        <v>8.611111111111111E-2</v>
      </c>
      <c r="J4" s="41">
        <f>1</f>
        <v>1</v>
      </c>
      <c r="K4" s="41">
        <f t="shared" si="0"/>
        <v>8.611111111111111E-2</v>
      </c>
      <c r="L4" s="41">
        <f t="shared" si="1"/>
        <v>7.4151234567901231E-3</v>
      </c>
      <c r="M4" s="40" t="e">
        <f>LN((1+G4*_xll.qlDayCounterYearFraction(DayCounter,D4,E4,,,Trigger))/(1+F4*_xll.qlDayCounterYearFraction(DayCounter,D4,E4,,,Trigger)))</f>
        <v>#NUM!</v>
      </c>
      <c r="N4" s="41">
        <f>_xll.qlDayCounterYearFraction(DayCounter,SettlementDate,D4,,,Trigger)</f>
        <v>8.611111111111111E-2</v>
      </c>
      <c r="O4" s="41">
        <f>_xll.qlDayCounterYearFraction(DayCounter,SettlementDate,E4,,,Trigger)</f>
        <v>0.16944444444444445</v>
      </c>
      <c r="P4" s="41">
        <f t="shared" ref="P4:P6" si="3">O4-N4</f>
        <v>8.3333333333333343E-2</v>
      </c>
      <c r="Q4" s="41">
        <f t="shared" ref="Q4:Q6" si="4">(O4^2-N4^2)/2</f>
        <v>1.064814814814815E-2</v>
      </c>
      <c r="R4" s="41">
        <f t="shared" ref="R4:R6" si="5">(O4^3-N4^3)/3</f>
        <v>1.4088220164609055E-3</v>
      </c>
      <c r="S4" s="114" t="b">
        <v>1</v>
      </c>
      <c r="T4" s="114" t="b">
        <v>1</v>
      </c>
      <c r="U4" s="114" t="b">
        <v>1</v>
      </c>
      <c r="V4" s="114" t="b">
        <v>1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G31</f>
        <v>with 0X1</v>
      </c>
      <c r="BF4" s="118"/>
      <c r="BG4" s="117" t="str">
        <f>S31</f>
        <v>without 0X1</v>
      </c>
      <c r="BH4" s="118"/>
      <c r="BI4" s="116" t="str">
        <f>U31</f>
        <v>with 0X1</v>
      </c>
      <c r="BJ4" s="118"/>
      <c r="BK4" s="117" t="str">
        <f>W31</f>
        <v>without 0X1</v>
      </c>
      <c r="BL4" s="118"/>
      <c r="BM4" s="116" t="str">
        <f>Y31</f>
        <v>with 0X1</v>
      </c>
      <c r="BN4" s="118"/>
      <c r="BO4" s="117" t="str">
        <f>AA31</f>
        <v>without 0X1</v>
      </c>
      <c r="BP4" s="118"/>
    </row>
    <row r="5" spans="1:69" ht="12" customHeight="1" x14ac:dyDescent="0.2">
      <c r="A5" s="21">
        <f>'6MSynthDepo_used'!A6</f>
        <v>2</v>
      </c>
      <c r="B5" s="55">
        <f>A5+SUBSTITUTE($D$21,"M","")</f>
        <v>3</v>
      </c>
      <c r="C5" s="39" t="str">
        <f>"B"&amp;$D$21&amp;"_"&amp;A5&amp;"X"&amp;B5</f>
        <v>B1M_2X3</v>
      </c>
      <c r="D5" s="177">
        <f>_xll.qlCalendarAdvance(Calendar,SettlementDate,A5&amp;"M","mf")</f>
        <v>42340</v>
      </c>
      <c r="E5" s="177">
        <f>_xll.qlInterestRateIndexMaturity($D$22,D5)</f>
        <v>42373</v>
      </c>
      <c r="F5" s="53">
        <f>_xll.qlIndexFixing(ON_1M_index,_xll.qlInterestRateIndexFixingDate(ON_1M_index,D5,Trigger),,AllTriggers)</f>
        <v>-1.4791697424461475E-3</v>
      </c>
      <c r="G5" s="53" t="e">
        <f t="shared" si="2"/>
        <v>#NUM!</v>
      </c>
      <c r="H5" s="202" t="e">
        <f>_xll.qlQuoteValue(C5,_xll.ohTrigger(InterestRatesTrigger,'1MSynthDepo_used'!E5))</f>
        <v>#NUM!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0"/>
        <v>0.16944444444444445</v>
      </c>
      <c r="L5" s="41">
        <f t="shared" si="1"/>
        <v>2.8711419753086422E-2</v>
      </c>
      <c r="M5" s="40" t="e">
        <f>LN((1+G5*_xll.qlDayCounterYearFraction(DayCounter,D5,E5,,,Trigger))/(1+F5*_xll.qlDayCounterYearFraction(DayCounter,D5,E5,,,Trigger)))</f>
        <v>#NUM!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0.26111111111111113</v>
      </c>
      <c r="P5" s="41">
        <f t="shared" si="3"/>
        <v>9.1666666666666674E-2</v>
      </c>
      <c r="Q5" s="41">
        <f t="shared" si="4"/>
        <v>1.9733796296296301E-2</v>
      </c>
      <c r="R5" s="41">
        <f t="shared" si="5"/>
        <v>4.312435699588479E-3</v>
      </c>
      <c r="S5" s="114" t="b">
        <v>1</v>
      </c>
      <c r="T5" s="114" t="b">
        <v>1</v>
      </c>
      <c r="U5" s="114" t="b">
        <v>1</v>
      </c>
      <c r="V5" s="114" t="b">
        <v>1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303" t="s">
        <v>20</v>
      </c>
      <c r="AI5" s="29" t="e">
        <f t="array" ref="AI5:AI6">MMULT(AL5:AM6,AK5:AK6)</f>
        <v>#NUM!</v>
      </c>
      <c r="AJ5" s="303" t="s">
        <v>21</v>
      </c>
      <c r="AK5" s="30" t="e">
        <f t="array" ref="AK5:AK6">_xll.ohFilter(H3:H9,S3:S9)</f>
        <v>#NUM!</v>
      </c>
      <c r="AL5" s="27">
        <f t="array" ref="AL5:AM6">MINVERSE(AF5:AG6)</f>
        <v>-11.612903225806452</v>
      </c>
      <c r="AM5" s="28">
        <v>11.612903225806452</v>
      </c>
      <c r="AN5" s="21"/>
      <c r="AO5" s="101"/>
      <c r="AP5" s="94"/>
      <c r="AQ5" s="124"/>
      <c r="AR5" s="27">
        <f t="array" ref="AR5:AR6">_xll.ohFilter(Q3:Q9,S3:S9)</f>
        <v>3.7075617283950616E-3</v>
      </c>
      <c r="AS5" s="28">
        <f t="array" ref="AS5:AS6">_xll.ohFilter(P3:P9,S3:S9)</f>
        <v>8.611111111111111E-2</v>
      </c>
      <c r="AT5" s="303" t="s">
        <v>20</v>
      </c>
      <c r="AU5" s="29" t="e">
        <f t="array" ref="AU5:AU6">MMULT(AX5:AY6,AW5:AW6)</f>
        <v>#NUM!</v>
      </c>
      <c r="AV5" s="303" t="s">
        <v>21</v>
      </c>
      <c r="AW5" s="56" t="e">
        <f t="array" ref="AW5:AW6">_xll.ohFilter(M3:M9,S3:S9)</f>
        <v>#NUM!</v>
      </c>
      <c r="AX5" s="27">
        <f t="array" ref="AX5:AY6">MINVERSE(AR5:AS6)</f>
        <v>-137.07033315705974</v>
      </c>
      <c r="AY5" s="28">
        <v>141.63934426229505</v>
      </c>
      <c r="AZ5" s="21"/>
      <c r="BA5" s="101"/>
      <c r="BC5" s="36" t="s">
        <v>38</v>
      </c>
      <c r="BD5" s="36" t="s">
        <v>55</v>
      </c>
      <c r="BE5" s="36" t="str">
        <f>G32</f>
        <v>Quadratic</v>
      </c>
      <c r="BF5" s="36" t="str">
        <f>H32</f>
        <v>Quadratic</v>
      </c>
      <c r="BG5" s="36" t="str">
        <f>S32</f>
        <v>Quadratic</v>
      </c>
      <c r="BH5" s="36" t="str">
        <f>T32</f>
        <v>Quadratic</v>
      </c>
      <c r="BI5" s="36" t="str">
        <f>U32</f>
        <v>Quadratic</v>
      </c>
      <c r="BJ5" s="36" t="str">
        <f>V32</f>
        <v>Quadratic</v>
      </c>
      <c r="BK5" s="36" t="str">
        <f>W32</f>
        <v>Quadratic</v>
      </c>
      <c r="BL5" s="36" t="str">
        <f>X32</f>
        <v>Quadratic</v>
      </c>
      <c r="BM5" s="36" t="str">
        <f>Y32</f>
        <v>Quadratic</v>
      </c>
      <c r="BN5" s="36" t="str">
        <f>Z32</f>
        <v>Quadratic</v>
      </c>
      <c r="BO5" s="36" t="str">
        <f>AA32</f>
        <v>Quadratic</v>
      </c>
      <c r="BP5" s="36" t="str">
        <f>AB32</f>
        <v>Quadratic</v>
      </c>
      <c r="BQ5" s="36" t="s">
        <v>105</v>
      </c>
    </row>
    <row r="6" spans="1:69" ht="12" customHeight="1" x14ac:dyDescent="0.2">
      <c r="A6" s="21">
        <f>'6MSynthDepo_used'!A7</f>
        <v>3</v>
      </c>
      <c r="B6" s="55">
        <f>A6+SUBSTITUTE($D$21,"M","")</f>
        <v>4</v>
      </c>
      <c r="C6" s="42" t="str">
        <f>"B"&amp;$D$21&amp;"_"&amp;A6&amp;"X"&amp;B6</f>
        <v>B1M_3X4</v>
      </c>
      <c r="D6" s="181">
        <f>_xll.qlCalendarAdvance(Calendar,SettlementDate,A6&amp;"M","mf")</f>
        <v>42373</v>
      </c>
      <c r="E6" s="181">
        <f>_xll.qlInterestRateIndexMaturity($D$22,D6)</f>
        <v>42404</v>
      </c>
      <c r="F6" s="54">
        <f>_xll.qlIndexFixing(ON_1M_index,_xll.qlInterestRateIndexFixingDate(ON_1M_index,D6,Trigger),,AllTriggers)</f>
        <v>-1.6085194908884105E-3</v>
      </c>
      <c r="G6" s="54" t="e">
        <f t="shared" si="2"/>
        <v>#NUM!</v>
      </c>
      <c r="H6" s="203" t="e">
        <f>_xll.qlQuoteValue(C6,_xll.ohTrigger(InterestRatesTrigger,'1MSynthDepo_used'!E6))</f>
        <v>#NUM!</v>
      </c>
      <c r="I6" s="44">
        <f>_xll.qlDayCounterYearFraction(DayCounter,SettlementDate,D6,,,Trigger)</f>
        <v>0.26111111111111113</v>
      </c>
      <c r="J6" s="44">
        <f>1</f>
        <v>1</v>
      </c>
      <c r="K6" s="44">
        <f t="shared" si="0"/>
        <v>0.26111111111111113</v>
      </c>
      <c r="L6" s="44">
        <f t="shared" si="1"/>
        <v>6.8179012345679024E-2</v>
      </c>
      <c r="M6" s="43" t="e">
        <f>LN((1+G6*_xll.qlDayCounterYearFraction(DayCounter,D6,E6,,,Trigger))/(1+F6*_xll.qlDayCounterYearFraction(DayCounter,D6,E6,,,Trigger)))</f>
        <v>#NUM!</v>
      </c>
      <c r="N6" s="44">
        <f>_xll.qlDayCounterYearFraction(DayCounter,SettlementDate,D6,,,Trigger)</f>
        <v>0.26111111111111113</v>
      </c>
      <c r="O6" s="44">
        <f>_xll.qlDayCounterYearFraction(DayCounter,SettlementDate,E6,,,Trigger)</f>
        <v>0.34722222222222221</v>
      </c>
      <c r="P6" s="44">
        <f t="shared" si="3"/>
        <v>8.6111111111111083E-2</v>
      </c>
      <c r="Q6" s="44">
        <f t="shared" si="4"/>
        <v>2.6192129629629621E-2</v>
      </c>
      <c r="R6" s="44">
        <f t="shared" si="5"/>
        <v>8.0199831390031975E-3</v>
      </c>
      <c r="S6" s="150" t="b">
        <v>0</v>
      </c>
      <c r="T6" s="150" t="b">
        <v>0</v>
      </c>
      <c r="U6" s="150" t="b">
        <v>1</v>
      </c>
      <c r="V6" s="150" t="b">
        <v>1</v>
      </c>
      <c r="AD6" s="94"/>
      <c r="AE6" s="21"/>
      <c r="AF6" s="27">
        <v>8.611111111111111E-2</v>
      </c>
      <c r="AG6" s="28">
        <v>1</v>
      </c>
      <c r="AH6" s="303"/>
      <c r="AI6" s="29" t="e">
        <v>#NUM!</v>
      </c>
      <c r="AJ6" s="303"/>
      <c r="AK6" s="30" t="e">
        <v>#NUM!</v>
      </c>
      <c r="AL6" s="27">
        <v>1</v>
      </c>
      <c r="AM6" s="28">
        <v>0</v>
      </c>
      <c r="AN6" s="21"/>
      <c r="AO6" s="101"/>
      <c r="AP6" s="94"/>
      <c r="AQ6" s="21"/>
      <c r="AR6" s="27">
        <v>1.064814814814815E-2</v>
      </c>
      <c r="AS6" s="28">
        <v>8.3333333333333343E-2</v>
      </c>
      <c r="AT6" s="303"/>
      <c r="AU6" s="29" t="e">
        <v>#NUM!</v>
      </c>
      <c r="AV6" s="303"/>
      <c r="AW6" s="56" t="e">
        <v>#NUM!</v>
      </c>
      <c r="AX6" s="27">
        <v>17.514542570068745</v>
      </c>
      <c r="AY6" s="28">
        <v>-6.0983606557377028</v>
      </c>
      <c r="AZ6" s="21"/>
      <c r="BA6" s="101"/>
      <c r="BC6" s="176">
        <f>SettlementDate</f>
        <v>42279</v>
      </c>
      <c r="BD6" s="41">
        <f>_xll.qlDayCounterYearFraction(DayCounter,SettlementDate,BC6,,,Trigger)</f>
        <v>0</v>
      </c>
      <c r="BE6" s="47" t="e">
        <f>_xll.qlPolynomialFunctionValue(BE$1,$BD6,AllTriggers)</f>
        <v>#VALUE!</v>
      </c>
      <c r="BF6" s="52" t="e">
        <f>_xll.qlPolynomialFunctionValue(BF$1,$BD6,AllTriggers)</f>
        <v>#VALUE!</v>
      </c>
      <c r="BG6" s="47" t="e">
        <f>_xll.qlPolynomialFunctionValue(BG$1,$BD6,AllTriggers)</f>
        <v>#VALUE!</v>
      </c>
      <c r="BH6" s="52" t="e">
        <f>_xll.qlPolynomialFunctionValue(BH$1,$BD6,AllTriggers)</f>
        <v>#VALUE!</v>
      </c>
      <c r="BI6" s="52" t="e">
        <f>_xll.qlPolynomialFunctionValue(BI$1,$BD6,AllTriggers)</f>
        <v>#VALUE!</v>
      </c>
      <c r="BJ6" s="52" t="e">
        <f>_xll.qlPolynomialFunctionValue(BJ$1,$BD6,AllTriggers)</f>
        <v>#VALUE!</v>
      </c>
      <c r="BK6" s="52" t="e">
        <f>_xll.qlPolynomialFunctionValue(BK$1,$BD6,AllTriggers)</f>
        <v>#VALUE!</v>
      </c>
      <c r="BL6" s="52" t="e">
        <f>_xll.qlPolynomialFunctionValue(BL$1,$BD6,AllTriggers)</f>
        <v>#VALUE!</v>
      </c>
      <c r="BM6" s="52" t="e">
        <f>_xll.qlPolynomialFunctionValue(BM$1,$BD6,AllTriggers)</f>
        <v>#VALUE!</v>
      </c>
      <c r="BN6" s="52" t="e">
        <f>_xll.qlPolynomialFunctionValue(BN$1,$BD6,AllTriggers)</f>
        <v>#VALUE!</v>
      </c>
      <c r="BO6" s="52" t="e">
        <f>_xll.qlPolynomialFunctionValue(BO$1,$BD6,AllTriggers)</f>
        <v>#VALUE!</v>
      </c>
      <c r="BP6" s="52" t="e">
        <f>_xll.qlPolynomialFunctionValue(BP$1,$BD6,AllTriggers)</f>
        <v>#VALUE!</v>
      </c>
      <c r="BQ6" s="52">
        <f>_xll.qlPolynomialFunctionValue('1MSynthDepo_used'!$P$18,BD6,AllTriggers)</f>
        <v>3.6564406627777275E-4</v>
      </c>
    </row>
    <row r="7" spans="1:69" ht="12" customHeight="1" x14ac:dyDescent="0.2">
      <c r="A7" s="21"/>
      <c r="B7" s="55"/>
      <c r="C7" s="22"/>
      <c r="D7" s="23"/>
      <c r="E7" s="23"/>
      <c r="F7" s="122"/>
      <c r="G7" s="122"/>
      <c r="H7" s="123"/>
      <c r="I7" s="24"/>
      <c r="J7" s="25"/>
      <c r="K7" s="25"/>
      <c r="L7" s="25"/>
      <c r="M7" s="25"/>
      <c r="N7" s="25"/>
      <c r="O7" s="25"/>
      <c r="P7" s="25"/>
      <c r="Q7" s="25"/>
      <c r="R7" s="25"/>
      <c r="S7" s="25"/>
      <c r="T7" s="26"/>
      <c r="U7" s="26"/>
      <c r="V7" s="26"/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42282</v>
      </c>
      <c r="BD7" s="41">
        <f>_xll.qlDayCounterYearFraction(DayCounter,SettlementDate,BC7,,,Trigger)</f>
        <v>8.3333333333333332E-3</v>
      </c>
      <c r="BE7" s="47" t="e">
        <f>_xll.qlPolynomialFunctionValue(BE$1,$BD7,AllTriggers)</f>
        <v>#VALUE!</v>
      </c>
      <c r="BF7" s="47" t="e">
        <f>_xll.qlPolynomialFunctionValue(BF$1,$BD7,AllTriggers)</f>
        <v>#VALUE!</v>
      </c>
      <c r="BG7" s="47" t="e">
        <f>_xll.qlPolynomialFunctionValue(BG$1,$BD7,AllTriggers)</f>
        <v>#VALUE!</v>
      </c>
      <c r="BH7" s="47" t="e">
        <f>_xll.qlPolynomialFunctionValue(BH$1,$BD7,AllTriggers)</f>
        <v>#VALUE!</v>
      </c>
      <c r="BI7" s="47" t="e">
        <f>_xll.qlPolynomialFunctionValue(BI$1,$BD7,AllTriggers)</f>
        <v>#VALUE!</v>
      </c>
      <c r="BJ7" s="47" t="e">
        <f>_xll.qlPolynomialFunctionValue(BJ$1,$BD7,AllTriggers)</f>
        <v>#VALUE!</v>
      </c>
      <c r="BK7" s="47" t="e">
        <f>_xll.qlPolynomialFunctionValue(BK$1,$BD7,AllTriggers)</f>
        <v>#VALUE!</v>
      </c>
      <c r="BL7" s="47" t="e">
        <f>_xll.qlPolynomialFunctionValue(BL$1,$BD7,AllTriggers)</f>
        <v>#VALUE!</v>
      </c>
      <c r="BM7" s="47" t="e">
        <f>_xll.qlPolynomialFunctionValue(BM$1,$BD7,AllTriggers)</f>
        <v>#VALUE!</v>
      </c>
      <c r="BN7" s="47" t="e">
        <f>_xll.qlPolynomialFunctionValue(BN$1,$BD7,AllTriggers)</f>
        <v>#VALUE!</v>
      </c>
      <c r="BO7" s="47" t="e">
        <f>_xll.qlPolynomialFunctionValue(BO$1,$BD7,AllTriggers)</f>
        <v>#VALUE!</v>
      </c>
      <c r="BP7" s="47" t="e">
        <f>_xll.qlPolynomialFunctionValue(BP$1,$BD7,AllTriggers)</f>
        <v>#VALUE!</v>
      </c>
      <c r="BQ7" s="47">
        <f>_xll.qlPolynomialFunctionValue('1MSynthDepo_used'!$P$18,BD7,AllTriggers)</f>
        <v>3.3845350303066558E-4</v>
      </c>
    </row>
    <row r="8" spans="1:69" ht="12" customHeight="1" x14ac:dyDescent="0.2">
      <c r="A8" s="21"/>
      <c r="B8" s="55"/>
      <c r="C8" s="22"/>
      <c r="D8" s="23"/>
      <c r="E8" s="23"/>
      <c r="F8" s="122"/>
      <c r="G8" s="122"/>
      <c r="H8" s="123"/>
      <c r="I8" s="24"/>
      <c r="J8" s="25"/>
      <c r="K8" s="25"/>
      <c r="L8" s="25"/>
      <c r="M8" s="25"/>
      <c r="N8" s="25"/>
      <c r="O8" s="25"/>
      <c r="P8" s="25"/>
      <c r="Q8" s="25"/>
      <c r="R8" s="25"/>
      <c r="S8" s="25"/>
      <c r="T8" s="26"/>
      <c r="U8" s="26"/>
      <c r="V8" s="26"/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42283</v>
      </c>
      <c r="BD8" s="41">
        <f>_xll.qlDayCounterYearFraction(DayCounter,SettlementDate,BC8,,,Trigger)</f>
        <v>1.1111111111111112E-2</v>
      </c>
      <c r="BE8" s="47" t="e">
        <f>_xll.qlPolynomialFunctionValue(BE$1,$BD8,AllTriggers)</f>
        <v>#VALUE!</v>
      </c>
      <c r="BF8" s="47" t="e">
        <f>_xll.qlPolynomialFunctionValue(BF$1,$BD8,AllTriggers)</f>
        <v>#VALUE!</v>
      </c>
      <c r="BG8" s="47" t="e">
        <f>_xll.qlPolynomialFunctionValue(BG$1,$BD8,AllTriggers)</f>
        <v>#VALUE!</v>
      </c>
      <c r="BH8" s="47" t="e">
        <f>_xll.qlPolynomialFunctionValue(BH$1,$BD8,AllTriggers)</f>
        <v>#VALUE!</v>
      </c>
      <c r="BI8" s="47" t="e">
        <f>_xll.qlPolynomialFunctionValue(BI$1,$BD8,AllTriggers)</f>
        <v>#VALUE!</v>
      </c>
      <c r="BJ8" s="47" t="e">
        <f>_xll.qlPolynomialFunctionValue(BJ$1,$BD8,AllTriggers)</f>
        <v>#VALUE!</v>
      </c>
      <c r="BK8" s="47" t="e">
        <f>_xll.qlPolynomialFunctionValue(BK$1,$BD8,AllTriggers)</f>
        <v>#VALUE!</v>
      </c>
      <c r="BL8" s="47" t="e">
        <f>_xll.qlPolynomialFunctionValue(BL$1,$BD8,AllTriggers)</f>
        <v>#VALUE!</v>
      </c>
      <c r="BM8" s="47" t="e">
        <f>_xll.qlPolynomialFunctionValue(BM$1,$BD8,AllTriggers)</f>
        <v>#VALUE!</v>
      </c>
      <c r="BN8" s="47" t="e">
        <f>_xll.qlPolynomialFunctionValue(BN$1,$BD8,AllTriggers)</f>
        <v>#VALUE!</v>
      </c>
      <c r="BO8" s="47" t="e">
        <f>_xll.qlPolynomialFunctionValue(BO$1,$BD8,AllTriggers)</f>
        <v>#VALUE!</v>
      </c>
      <c r="BP8" s="47" t="e">
        <f>_xll.qlPolynomialFunctionValue(BP$1,$BD8,AllTriggers)</f>
        <v>#VALUE!</v>
      </c>
      <c r="BQ8" s="47">
        <f>_xll.qlPolynomialFunctionValue('1MSynthDepo_used'!$P$18,BD8,AllTriggers)</f>
        <v>3.3012181271417396E-4</v>
      </c>
    </row>
    <row r="9" spans="1:69" ht="12" customHeight="1" x14ac:dyDescent="0.2">
      <c r="A9" s="21"/>
      <c r="B9" s="55"/>
      <c r="C9" s="22"/>
      <c r="D9" s="23"/>
      <c r="E9" s="23"/>
      <c r="F9" s="122"/>
      <c r="G9" s="122"/>
      <c r="H9" s="123"/>
      <c r="I9" s="24"/>
      <c r="J9" s="25"/>
      <c r="K9" s="25"/>
      <c r="L9" s="25"/>
      <c r="M9" s="25"/>
      <c r="N9" s="25"/>
      <c r="O9" s="25"/>
      <c r="P9" s="25"/>
      <c r="Q9" s="25"/>
      <c r="R9" s="25"/>
      <c r="S9" s="25"/>
      <c r="T9" s="26"/>
      <c r="U9" s="26"/>
      <c r="V9" s="26"/>
      <c r="AD9" s="94"/>
      <c r="AE9" s="32"/>
      <c r="AF9" s="27">
        <f t="array" ref="AF9:AF10">_xll.ohFilter(K3:K9,U3:U9)</f>
        <v>8.611111111111111E-2</v>
      </c>
      <c r="AG9" s="28">
        <f t="array" ref="AG9:AG10">_xll.ohFilter(J3:J9,U3:U9)</f>
        <v>1</v>
      </c>
      <c r="AH9" s="303" t="s">
        <v>20</v>
      </c>
      <c r="AI9" s="29" t="e">
        <f t="array" ref="AI9:AI10">MMULT(AL9:AM10,AK9:AK10)</f>
        <v>#NUM!</v>
      </c>
      <c r="AJ9" s="303" t="s">
        <v>21</v>
      </c>
      <c r="AK9" s="30" t="e">
        <f t="array" ref="AK9:AK10">_xll.ohFilter(H3:H9,U3:U9)</f>
        <v>#NUM!</v>
      </c>
      <c r="AL9" s="27">
        <f t="array" ref="AL9:AM10">MINVERSE(AF9:AG10)</f>
        <v>-11.999999999999998</v>
      </c>
      <c r="AM9" s="28">
        <v>11.999999999999998</v>
      </c>
      <c r="AN9" s="21"/>
      <c r="AO9" s="101"/>
      <c r="AP9" s="94"/>
      <c r="AQ9" s="32"/>
      <c r="AR9" s="27">
        <f t="array" ref="AR9:AR10">_xll.ohFilter(Q3:Q9,U3:U9)</f>
        <v>1.064814814814815E-2</v>
      </c>
      <c r="AS9" s="28">
        <f t="array" ref="AS9:AS10">_xll.ohFilter(P3:P9,U3:U9)</f>
        <v>8.3333333333333343E-2</v>
      </c>
      <c r="AT9" s="303" t="s">
        <v>20</v>
      </c>
      <c r="AU9" s="29" t="e">
        <f t="array" ref="AU9:AU10">MMULT(AX9:AY10,AW9:AW10)</f>
        <v>#NUM!</v>
      </c>
      <c r="AV9" s="303" t="s">
        <v>21</v>
      </c>
      <c r="AW9" s="56" t="e">
        <f t="array" ref="AW9:AW10">_xll.ohFilter(M3:M9,U3:U9)</f>
        <v>#NUM!</v>
      </c>
      <c r="AX9" s="27">
        <f t="array" ref="AX9:AY10">MINVERSE(AR9:AS10)</f>
        <v>-137.14285714285708</v>
      </c>
      <c r="AY9" s="28">
        <v>124.6753246753246</v>
      </c>
      <c r="AZ9" s="21"/>
      <c r="BA9" s="101"/>
      <c r="BC9" s="178">
        <f>_xll.qlCalendarAdvance(Calendar,BC8,"1d","mf",,Trigger)</f>
        <v>42284</v>
      </c>
      <c r="BD9" s="41">
        <f>_xll.qlDayCounterYearFraction(DayCounter,SettlementDate,BC9,,,Trigger)</f>
        <v>1.3888888888888888E-2</v>
      </c>
      <c r="BE9" s="47" t="e">
        <f>_xll.qlPolynomialFunctionValue(BE$1,$BD9,AllTriggers)</f>
        <v>#VALUE!</v>
      </c>
      <c r="BF9" s="47" t="e">
        <f>_xll.qlPolynomialFunctionValue(BF$1,$BD9,AllTriggers)</f>
        <v>#VALUE!</v>
      </c>
      <c r="BG9" s="47" t="e">
        <f>_xll.qlPolynomialFunctionValue(BG$1,$BD9,AllTriggers)</f>
        <v>#VALUE!</v>
      </c>
      <c r="BH9" s="47" t="e">
        <f>_xll.qlPolynomialFunctionValue(BH$1,$BD9,AllTriggers)</f>
        <v>#VALUE!</v>
      </c>
      <c r="BI9" s="47" t="e">
        <f>_xll.qlPolynomialFunctionValue(BI$1,$BD9,AllTriggers)</f>
        <v>#VALUE!</v>
      </c>
      <c r="BJ9" s="47" t="e">
        <f>_xll.qlPolynomialFunctionValue(BJ$1,$BD9,AllTriggers)</f>
        <v>#VALUE!</v>
      </c>
      <c r="BK9" s="47" t="e">
        <f>_xll.qlPolynomialFunctionValue(BK$1,$BD9,AllTriggers)</f>
        <v>#VALUE!</v>
      </c>
      <c r="BL9" s="47" t="e">
        <f>_xll.qlPolynomialFunctionValue(BL$1,$BD9,AllTriggers)</f>
        <v>#VALUE!</v>
      </c>
      <c r="BM9" s="47" t="e">
        <f>_xll.qlPolynomialFunctionValue(BM$1,$BD9,AllTriggers)</f>
        <v>#VALUE!</v>
      </c>
      <c r="BN9" s="47" t="e">
        <f>_xll.qlPolynomialFunctionValue(BN$1,$BD9,AllTriggers)</f>
        <v>#VALUE!</v>
      </c>
      <c r="BO9" s="47" t="e">
        <f>_xll.qlPolynomialFunctionValue(BO$1,$BD9,AllTriggers)</f>
        <v>#VALUE!</v>
      </c>
      <c r="BP9" s="47" t="e">
        <f>_xll.qlPolynomialFunctionValue(BP$1,$BD9,AllTriggers)</f>
        <v>#VALUE!</v>
      </c>
      <c r="BQ9" s="47">
        <f>_xll.qlPolynomialFunctionValue('1MSynthDepo_used'!$P$18,BD9,AllTriggers)</f>
        <v>3.2214628263770164E-4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0.16944444444444445</v>
      </c>
      <c r="AG10" s="28">
        <v>1</v>
      </c>
      <c r="AH10" s="303"/>
      <c r="AI10" s="29" t="e">
        <v>#NUM!</v>
      </c>
      <c r="AJ10" s="303"/>
      <c r="AK10" s="30" t="e">
        <v>#NUM!</v>
      </c>
      <c r="AL10" s="27">
        <v>2.0333333333333332</v>
      </c>
      <c r="AM10" s="28">
        <v>-1.0333333333333334</v>
      </c>
      <c r="AN10" s="21"/>
      <c r="AO10" s="101"/>
      <c r="AP10" s="94"/>
      <c r="AQ10" s="32"/>
      <c r="AR10" s="27">
        <v>1.9733796296296301E-2</v>
      </c>
      <c r="AS10" s="28">
        <v>9.1666666666666674E-2</v>
      </c>
      <c r="AT10" s="303"/>
      <c r="AU10" s="29" t="e">
        <v>#NUM!</v>
      </c>
      <c r="AV10" s="303"/>
      <c r="AW10" s="56" t="e">
        <v>#NUM!</v>
      </c>
      <c r="AX10" s="27">
        <v>29.523809523809515</v>
      </c>
      <c r="AY10" s="28">
        <v>-15.930735930735924</v>
      </c>
      <c r="AZ10" s="21"/>
      <c r="BA10" s="101"/>
      <c r="BC10" s="178">
        <f>_xll.qlCalendarAdvance(Calendar,BC9,"1d","mf",,Trigger)</f>
        <v>42285</v>
      </c>
      <c r="BD10" s="41">
        <f>_xll.qlDayCounterYearFraction(DayCounter,SettlementDate,BC10,,,Trigger)</f>
        <v>1.6666666666666666E-2</v>
      </c>
      <c r="BE10" s="47" t="e">
        <f>_xll.qlPolynomialFunctionValue(BE$1,$BD10,AllTriggers)</f>
        <v>#VALUE!</v>
      </c>
      <c r="BF10" s="47" t="e">
        <f>_xll.qlPolynomialFunctionValue(BF$1,$BD10,AllTriggers)</f>
        <v>#VALUE!</v>
      </c>
      <c r="BG10" s="47" t="e">
        <f>_xll.qlPolynomialFunctionValue(BG$1,$BD10,AllTriggers)</f>
        <v>#VALUE!</v>
      </c>
      <c r="BH10" s="47" t="e">
        <f>_xll.qlPolynomialFunctionValue(BH$1,$BD10,AllTriggers)</f>
        <v>#VALUE!</v>
      </c>
      <c r="BI10" s="47" t="e">
        <f>_xll.qlPolynomialFunctionValue(BI$1,$BD10,AllTriggers)</f>
        <v>#VALUE!</v>
      </c>
      <c r="BJ10" s="47" t="e">
        <f>_xll.qlPolynomialFunctionValue(BJ$1,$BD10,AllTriggers)</f>
        <v>#VALUE!</v>
      </c>
      <c r="BK10" s="47" t="e">
        <f>_xll.qlPolynomialFunctionValue(BK$1,$BD10,AllTriggers)</f>
        <v>#VALUE!</v>
      </c>
      <c r="BL10" s="47" t="e">
        <f>_xll.qlPolynomialFunctionValue(BL$1,$BD10,AllTriggers)</f>
        <v>#VALUE!</v>
      </c>
      <c r="BM10" s="47" t="e">
        <f>_xll.qlPolynomialFunctionValue(BM$1,$BD10,AllTriggers)</f>
        <v>#VALUE!</v>
      </c>
      <c r="BN10" s="47" t="e">
        <f>_xll.qlPolynomialFunctionValue(BN$1,$BD10,AllTriggers)</f>
        <v>#VALUE!</v>
      </c>
      <c r="BO10" s="47" t="e">
        <f>_xll.qlPolynomialFunctionValue(BO$1,$BD10,AllTriggers)</f>
        <v>#VALUE!</v>
      </c>
      <c r="BP10" s="47" t="e">
        <f>_xll.qlPolynomialFunctionValue(BP$1,$BD10,AllTriggers)</f>
        <v>#VALUE!</v>
      </c>
      <c r="BQ10" s="47">
        <f>_xll.qlPolynomialFunctionValue('1MSynthDepo_used'!$P$18,BD10,AllTriggers)</f>
        <v>3.1452105971549698E-4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42286</v>
      </c>
      <c r="BD11" s="41">
        <f>_xll.qlDayCounterYearFraction(DayCounter,SettlementDate,BC11,,,Trigger)</f>
        <v>1.9444444444444445E-2</v>
      </c>
      <c r="BE11" s="47" t="e">
        <f>_xll.qlPolynomialFunctionValue(BE$1,$BD11,AllTriggers)</f>
        <v>#VALUE!</v>
      </c>
      <c r="BF11" s="47" t="e">
        <f>_xll.qlPolynomialFunctionValue(BF$1,$BD11,AllTriggers)</f>
        <v>#VALUE!</v>
      </c>
      <c r="BG11" s="47" t="e">
        <f>_xll.qlPolynomialFunctionValue(BG$1,$BD11,AllTriggers)</f>
        <v>#VALUE!</v>
      </c>
      <c r="BH11" s="47" t="e">
        <f>_xll.qlPolynomialFunctionValue(BH$1,$BD11,AllTriggers)</f>
        <v>#VALUE!</v>
      </c>
      <c r="BI11" s="47" t="e">
        <f>_xll.qlPolynomialFunctionValue(BI$1,$BD11,AllTriggers)</f>
        <v>#VALUE!</v>
      </c>
      <c r="BJ11" s="47" t="e">
        <f>_xll.qlPolynomialFunctionValue(BJ$1,$BD11,AllTriggers)</f>
        <v>#VALUE!</v>
      </c>
      <c r="BK11" s="47" t="e">
        <f>_xll.qlPolynomialFunctionValue(BK$1,$BD11,AllTriggers)</f>
        <v>#VALUE!</v>
      </c>
      <c r="BL11" s="47" t="e">
        <f>_xll.qlPolynomialFunctionValue(BL$1,$BD11,AllTriggers)</f>
        <v>#VALUE!</v>
      </c>
      <c r="BM11" s="47" t="e">
        <f>_xll.qlPolynomialFunctionValue(BM$1,$BD11,AllTriggers)</f>
        <v>#VALUE!</v>
      </c>
      <c r="BN11" s="47" t="e">
        <f>_xll.qlPolynomialFunctionValue(BN$1,$BD11,AllTriggers)</f>
        <v>#VALUE!</v>
      </c>
      <c r="BO11" s="47" t="e">
        <f>_xll.qlPolynomialFunctionValue(BO$1,$BD11,AllTriggers)</f>
        <v>#VALUE!</v>
      </c>
      <c r="BP11" s="47" t="e">
        <f>_xll.qlPolynomialFunctionValue(BP$1,$BD11,AllTriggers)</f>
        <v>#VALUE!</v>
      </c>
      <c r="BQ11" s="47">
        <f>_xll.qlPolynomialFunctionValue('1MSynthDepo_used'!$P$18,BD11,AllTriggers)</f>
        <v>3.0724029086180824E-4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0X"&amp;SUBSTITUTE($D$21,"M","")</f>
        <v>with 0X1</v>
      </c>
      <c r="T12" s="118"/>
      <c r="U12" s="117" t="str">
        <f>"without 0X"&amp;SUBSTITUTE($D$21,"M","")</f>
        <v>without 0X1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42289</v>
      </c>
      <c r="BD12" s="41">
        <f>_xll.qlDayCounterYearFraction(DayCounter,SettlementDate,BC12,,,Trigger)</f>
        <v>2.7777777777777776E-2</v>
      </c>
      <c r="BE12" s="47" t="e">
        <f>_xll.qlPolynomialFunctionValue(BE$1,$BD12,AllTriggers)</f>
        <v>#VALUE!</v>
      </c>
      <c r="BF12" s="47" t="e">
        <f>_xll.qlPolynomialFunctionValue(BF$1,$BD12,AllTriggers)</f>
        <v>#VALUE!</v>
      </c>
      <c r="BG12" s="47" t="e">
        <f>_xll.qlPolynomialFunctionValue(BG$1,$BD12,AllTriggers)</f>
        <v>#VALUE!</v>
      </c>
      <c r="BH12" s="47" t="e">
        <f>_xll.qlPolynomialFunctionValue(BH$1,$BD12,AllTriggers)</f>
        <v>#VALUE!</v>
      </c>
      <c r="BI12" s="47" t="e">
        <f>_xll.qlPolynomialFunctionValue(BI$1,$BD12,AllTriggers)</f>
        <v>#VALUE!</v>
      </c>
      <c r="BJ12" s="47" t="e">
        <f>_xll.qlPolynomialFunctionValue(BJ$1,$BD12,AllTriggers)</f>
        <v>#VALUE!</v>
      </c>
      <c r="BK12" s="47" t="e">
        <f>_xll.qlPolynomialFunctionValue(BK$1,$BD12,AllTriggers)</f>
        <v>#VALUE!</v>
      </c>
      <c r="BL12" s="47" t="e">
        <f>_xll.qlPolynomialFunctionValue(BL$1,$BD12,AllTriggers)</f>
        <v>#VALUE!</v>
      </c>
      <c r="BM12" s="47" t="e">
        <f>_xll.qlPolynomialFunctionValue(BM$1,$BD12,AllTriggers)</f>
        <v>#VALUE!</v>
      </c>
      <c r="BN12" s="47" t="e">
        <f>_xll.qlPolynomialFunctionValue(BN$1,$BD12,AllTriggers)</f>
        <v>#VALUE!</v>
      </c>
      <c r="BO12" s="47" t="e">
        <f>_xll.qlPolynomialFunctionValue(BO$1,$BD12,AllTriggers)</f>
        <v>#VALUE!</v>
      </c>
      <c r="BP12" s="47" t="e">
        <f>_xll.qlPolynomialFunctionValue(BP$1,$BD12,AllTriggers)</f>
        <v>#VALUE!</v>
      </c>
      <c r="BQ12" s="47">
        <f>_xll.qlPolynomialFunctionValue('1MSynthDepo_used'!$P$18,BD12,AllTriggers)</f>
        <v>2.8740617785432153E-4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"&amp;$D$21</f>
        <v>F 1M</v>
      </c>
      <c r="H13" s="36" t="str">
        <f>"B "&amp;$D$21</f>
        <v>B 1M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42290</v>
      </c>
      <c r="BD13" s="41">
        <f>_xll.qlDayCounterYearFraction(DayCounter,SettlementDate,BC13,,,Trigger)</f>
        <v>3.0555555555555555E-2</v>
      </c>
      <c r="BE13" s="47" t="e">
        <f>_xll.qlPolynomialFunctionValue(BE$1,$BD13,AllTriggers)</f>
        <v>#VALUE!</v>
      </c>
      <c r="BF13" s="47" t="e">
        <f>_xll.qlPolynomialFunctionValue(BF$1,$BD13,AllTriggers)</f>
        <v>#VALUE!</v>
      </c>
      <c r="BG13" s="47" t="e">
        <f>_xll.qlPolynomialFunctionValue(BG$1,$BD13,AllTriggers)</f>
        <v>#VALUE!</v>
      </c>
      <c r="BH13" s="47" t="e">
        <f>_xll.qlPolynomialFunctionValue(BH$1,$BD13,AllTriggers)</f>
        <v>#VALUE!</v>
      </c>
      <c r="BI13" s="47" t="e">
        <f>_xll.qlPolynomialFunctionValue(BI$1,$BD13,AllTriggers)</f>
        <v>#VALUE!</v>
      </c>
      <c r="BJ13" s="47" t="e">
        <f>_xll.qlPolynomialFunctionValue(BJ$1,$BD13,AllTriggers)</f>
        <v>#VALUE!</v>
      </c>
      <c r="BK13" s="47" t="e">
        <f>_xll.qlPolynomialFunctionValue(BK$1,$BD13,AllTriggers)</f>
        <v>#VALUE!</v>
      </c>
      <c r="BL13" s="47" t="e">
        <f>_xll.qlPolynomialFunctionValue(BL$1,$BD13,AllTriggers)</f>
        <v>#VALUE!</v>
      </c>
      <c r="BM13" s="47" t="e">
        <f>_xll.qlPolynomialFunctionValue(BM$1,$BD13,AllTriggers)</f>
        <v>#VALUE!</v>
      </c>
      <c r="BN13" s="47" t="e">
        <f>_xll.qlPolynomialFunctionValue(BN$1,$BD13,AllTriggers)</f>
        <v>#VALUE!</v>
      </c>
      <c r="BO13" s="47" t="e">
        <f>_xll.qlPolynomialFunctionValue(BO$1,$BD13,AllTriggers)</f>
        <v>#VALUE!</v>
      </c>
      <c r="BP13" s="47" t="e">
        <f>_xll.qlPolynomialFunctionValue(BP$1,$BD13,AllTriggers)</f>
        <v>#VALUE!</v>
      </c>
      <c r="BQ13" s="47">
        <f>_xll.qlPolynomialFunctionValue('1MSynthDepo_used'!$P$18,BD13,AllTriggers)</f>
        <v>2.8144469441718022E-4</v>
      </c>
    </row>
    <row r="14" spans="1:69" ht="12" customHeight="1" x14ac:dyDescent="0.2">
      <c r="A14" s="19">
        <f>A3</f>
        <v>0</v>
      </c>
      <c r="B14" s="55">
        <f>A14+SUBSTITUTE($D$21,"M","")</f>
        <v>1</v>
      </c>
      <c r="C14" s="171" t="str">
        <f>"B"&amp;$D$21&amp;"_"&amp;A14&amp;"X"&amp;B14&amp;$D$25</f>
        <v>B1M_0X1ESTIMATED</v>
      </c>
      <c r="D14" s="186">
        <f>SettlementDate</f>
        <v>42279</v>
      </c>
      <c r="E14" s="186">
        <f>_xll.qlInterestRateIndexMaturity($D$22,D14)</f>
        <v>42310</v>
      </c>
      <c r="F14" s="172">
        <f>_xll.qlIndexFixing(ON_1M_index,_xll.qlInterestRateIndexFixingDate(ON_1M_index,D14,Trigger),,AllTriggers)</f>
        <v>-1.4000000000040146E-3</v>
      </c>
      <c r="G14" s="172" t="e">
        <f>H14+F14</f>
        <v>#NUM!</v>
      </c>
      <c r="H14" s="226" t="e">
        <f>_xll.qlQuoteValue(C14,_xll.ohTrigger(InterestRatesTrigger,'1MSynthDepo_used'!E3))</f>
        <v>#NUM!</v>
      </c>
      <c r="I14" s="173">
        <f>_xll.qlDayCounterYearFraction(DayCounter,SettlementDate,D14,,,Trigger)</f>
        <v>0</v>
      </c>
      <c r="J14" s="244">
        <v>1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303" t="s">
        <v>20</v>
      </c>
      <c r="AI14" s="29" t="e">
        <f t="array" ref="AI14:AI16">MMULT(AL14:AN16,AK14:AK16)</f>
        <v>#NUM!</v>
      </c>
      <c r="AJ14" s="303" t="s">
        <v>21</v>
      </c>
      <c r="AK14" s="56" t="e">
        <f t="array" ref="AK14:AK16">_xll.ohFilter(H3:H9,T3:T9)</f>
        <v>#NUM!</v>
      </c>
      <c r="AL14" s="27">
        <f t="array" ref="AL14:AN16">MINVERSE(AE14:AG16)</f>
        <v>68.535166578529882</v>
      </c>
      <c r="AM14" s="31">
        <v>-139.35483870967741</v>
      </c>
      <c r="AN14" s="28">
        <v>70.819672131147527</v>
      </c>
      <c r="AO14" s="101"/>
      <c r="AP14" s="94"/>
      <c r="AQ14" s="27">
        <f t="array" ref="AQ14:AQ16">_xll.ohFilter(R3:R9,T3:T9)</f>
        <v>2.1284150663008689E-4</v>
      </c>
      <c r="AR14" s="31">
        <f t="array" ref="AR14:AR16">_xll.ohFilter(Q3:Q9,T3:T9)</f>
        <v>3.7075617283950616E-3</v>
      </c>
      <c r="AS14" s="28">
        <f t="array" ref="AS14:AS16">_xll.ohFilter(P3:P9,T3:T9)</f>
        <v>8.611111111111111E-2</v>
      </c>
      <c r="AT14" s="303" t="s">
        <v>20</v>
      </c>
      <c r="AU14" s="29" t="e">
        <f t="array" ref="AU14:AU16">MMULT(AX14:AZ16,AW14:AW16)</f>
        <v>#NUM!</v>
      </c>
      <c r="AV14" s="303" t="s">
        <v>21</v>
      </c>
      <c r="AW14" s="56" t="e">
        <f t="array" ref="AW14:AW16">_xll.ohFilter(M3:M9,T3:T9)</f>
        <v>#NUM!</v>
      </c>
      <c r="AX14" s="27">
        <f t="array" ref="AX14:AZ16">MINVERSE(AQ14:AS16)</f>
        <v>787.42531813630001</v>
      </c>
      <c r="AY14" s="31">
        <v>-1601.5147740295961</v>
      </c>
      <c r="AZ14" s="28">
        <v>716.21995026250272</v>
      </c>
      <c r="BA14" s="101"/>
      <c r="BC14" s="178">
        <f>_xll.qlCalendarAdvance(Calendar,BC13,"1d","mf",,Trigger)</f>
        <v>42291</v>
      </c>
      <c r="BD14" s="41">
        <f>_xll.qlDayCounterYearFraction(DayCounter,SettlementDate,BC14,,,Trigger)</f>
        <v>3.3333333333333333E-2</v>
      </c>
      <c r="BE14" s="47" t="e">
        <f>_xll.qlPolynomialFunctionValue(BE$1,$BD14,AllTriggers)</f>
        <v>#VALUE!</v>
      </c>
      <c r="BF14" s="47" t="e">
        <f>_xll.qlPolynomialFunctionValue(BF$1,$BD14,AllTriggers)</f>
        <v>#VALUE!</v>
      </c>
      <c r="BG14" s="47" t="e">
        <f>_xll.qlPolynomialFunctionValue(BG$1,$BD14,AllTriggers)</f>
        <v>#VALUE!</v>
      </c>
      <c r="BH14" s="47" t="e">
        <f>_xll.qlPolynomialFunctionValue(BH$1,$BD14,AllTriggers)</f>
        <v>#VALUE!</v>
      </c>
      <c r="BI14" s="47" t="e">
        <f>_xll.qlPolynomialFunctionValue(BI$1,$BD14,AllTriggers)</f>
        <v>#VALUE!</v>
      </c>
      <c r="BJ14" s="47" t="e">
        <f>_xll.qlPolynomialFunctionValue(BJ$1,$BD14,AllTriggers)</f>
        <v>#VALUE!</v>
      </c>
      <c r="BK14" s="47" t="e">
        <f>_xll.qlPolynomialFunctionValue(BK$1,$BD14,AllTriggers)</f>
        <v>#VALUE!</v>
      </c>
      <c r="BL14" s="47" t="e">
        <f>_xll.qlPolynomialFunctionValue(BL$1,$BD14,AllTriggers)</f>
        <v>#VALUE!</v>
      </c>
      <c r="BM14" s="47" t="e">
        <f>_xll.qlPolynomialFunctionValue(BM$1,$BD14,AllTriggers)</f>
        <v>#VALUE!</v>
      </c>
      <c r="BN14" s="47" t="e">
        <f>_xll.qlPolynomialFunctionValue(BN$1,$BD14,AllTriggers)</f>
        <v>#VALUE!</v>
      </c>
      <c r="BO14" s="47" t="e">
        <f>_xll.qlPolynomialFunctionValue(BO$1,$BD14,AllTriggers)</f>
        <v>#VALUE!</v>
      </c>
      <c r="BP14" s="47" t="e">
        <f>_xll.qlPolynomialFunctionValue(BP$1,$BD14,AllTriggers)</f>
        <v>#VALUE!</v>
      </c>
      <c r="BQ14" s="47">
        <f>_xll.qlPolynomialFunctionValue('1MSynthDepo_used'!$P$18,BD14,AllTriggers)</f>
        <v>2.7579839961979668E-4</v>
      </c>
    </row>
    <row r="15" spans="1:69" ht="12" customHeight="1" x14ac:dyDescent="0.2">
      <c r="A15" s="21">
        <f t="shared" ref="A15:A17" si="6">A4</f>
        <v>1</v>
      </c>
      <c r="B15" s="55">
        <f>A15+SUBSTITUTE($D$21,"M","")</f>
        <v>2</v>
      </c>
      <c r="C15" s="39" t="str">
        <f>"B"&amp;$D$21&amp;"_"&amp;A15&amp;"X"&amp;B15</f>
        <v>B1M_1X2</v>
      </c>
      <c r="D15" s="177">
        <f>_xll.qlCalendarAdvance(Calendar,SettlementDate,A15&amp;"M","mf")</f>
        <v>42310</v>
      </c>
      <c r="E15" s="177">
        <f>_xll.qlInterestRateIndexMaturity($D$22,D15)</f>
        <v>42340</v>
      </c>
      <c r="F15" s="53">
        <f>_xll.qlIndexFixing(ON_1M_index,_xll.qlInterestRateIndexFixingDate(ON_1M_index,D15,Trigger),,AllTriggers)</f>
        <v>-1.4659042081865969E-3</v>
      </c>
      <c r="G15" s="53" t="e">
        <f t="shared" ref="G15:G17" si="7">H15+F15</f>
        <v>#NUM!</v>
      </c>
      <c r="H15" s="202" t="e">
        <f>_xll.qlQuoteValue(C15,_xll.ohTrigger(InterestRatesTrigger,'1MSynthDepo_used'!E4))</f>
        <v>#NUM!</v>
      </c>
      <c r="I15" s="41">
        <f>_xll.qlDayCounterYearFraction(DayCounter,SettlementDate,D15,,,Trigger)</f>
        <v>8.611111111111111E-2</v>
      </c>
      <c r="J15" s="242">
        <v>1</v>
      </c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7.4151234567901231E-3</v>
      </c>
      <c r="AF15" s="31">
        <v>8.611111111111111E-2</v>
      </c>
      <c r="AG15" s="28">
        <v>1</v>
      </c>
      <c r="AH15" s="303"/>
      <c r="AI15" s="29" t="e">
        <v>#NUM!</v>
      </c>
      <c r="AJ15" s="303"/>
      <c r="AK15" s="56" t="e">
        <v>#NUM!</v>
      </c>
      <c r="AL15" s="27">
        <v>-17.514542570068745</v>
      </c>
      <c r="AM15" s="31">
        <v>23.612903225806452</v>
      </c>
      <c r="AN15" s="28">
        <v>-6.0983606557377046</v>
      </c>
      <c r="AO15" s="101"/>
      <c r="AP15" s="94"/>
      <c r="AQ15" s="27">
        <v>1.4088220164609055E-3</v>
      </c>
      <c r="AR15" s="31">
        <v>1.064814814814815E-2</v>
      </c>
      <c r="AS15" s="28">
        <v>8.3333333333333343E-2</v>
      </c>
      <c r="AT15" s="303"/>
      <c r="AU15" s="29" t="e">
        <v>#NUM!</v>
      </c>
      <c r="AV15" s="303"/>
      <c r="AW15" s="56" t="e">
        <v>#NUM!</v>
      </c>
      <c r="AX15" s="27">
        <v>-271.22427624694785</v>
      </c>
      <c r="AY15" s="31">
        <v>414.4900094673373</v>
      </c>
      <c r="AZ15" s="28">
        <v>-122.02265819287079</v>
      </c>
      <c r="BA15" s="101"/>
      <c r="BC15" s="178">
        <f>_xll.qlCalendarAdvance(Calendar,BC14,"1d","mf",,Trigger)</f>
        <v>42292</v>
      </c>
      <c r="BD15" s="41">
        <f>_xll.qlDayCounterYearFraction(DayCounter,SettlementDate,BC15,,,Trigger)</f>
        <v>3.6111111111111108E-2</v>
      </c>
      <c r="BE15" s="47" t="e">
        <f>_xll.qlPolynomialFunctionValue(BE$1,$BD15,AllTriggers)</f>
        <v>#VALUE!</v>
      </c>
      <c r="BF15" s="47" t="e">
        <f>_xll.qlPolynomialFunctionValue(BF$1,$BD15,AllTriggers)</f>
        <v>#VALUE!</v>
      </c>
      <c r="BG15" s="47" t="e">
        <f>_xll.qlPolynomialFunctionValue(BG$1,$BD15,AllTriggers)</f>
        <v>#VALUE!</v>
      </c>
      <c r="BH15" s="47" t="e">
        <f>_xll.qlPolynomialFunctionValue(BH$1,$BD15,AllTriggers)</f>
        <v>#VALUE!</v>
      </c>
      <c r="BI15" s="47" t="e">
        <f>_xll.qlPolynomialFunctionValue(BI$1,$BD15,AllTriggers)</f>
        <v>#VALUE!</v>
      </c>
      <c r="BJ15" s="47" t="e">
        <f>_xll.qlPolynomialFunctionValue(BJ$1,$BD15,AllTriggers)</f>
        <v>#VALUE!</v>
      </c>
      <c r="BK15" s="47" t="e">
        <f>_xll.qlPolynomialFunctionValue(BK$1,$BD15,AllTriggers)</f>
        <v>#VALUE!</v>
      </c>
      <c r="BL15" s="47" t="e">
        <f>_xll.qlPolynomialFunctionValue(BL$1,$BD15,AllTriggers)</f>
        <v>#VALUE!</v>
      </c>
      <c r="BM15" s="47" t="e">
        <f>_xll.qlPolynomialFunctionValue(BM$1,$BD15,AllTriggers)</f>
        <v>#VALUE!</v>
      </c>
      <c r="BN15" s="47" t="e">
        <f>_xll.qlPolynomialFunctionValue(BN$1,$BD15,AllTriggers)</f>
        <v>#VALUE!</v>
      </c>
      <c r="BO15" s="47" t="e">
        <f>_xll.qlPolynomialFunctionValue(BO$1,$BD15,AllTriggers)</f>
        <v>#VALUE!</v>
      </c>
      <c r="BP15" s="47" t="e">
        <f>_xll.qlPolynomialFunctionValue(BP$1,$BD15,AllTriggers)</f>
        <v>#VALUE!</v>
      </c>
      <c r="BQ15" s="47">
        <f>_xll.qlPolynomialFunctionValue('1MSynthDepo_used'!$P$18,BD15,AllTriggers)</f>
        <v>2.7046144037641914E-4</v>
      </c>
    </row>
    <row r="16" spans="1:69" ht="12" customHeight="1" x14ac:dyDescent="0.2">
      <c r="A16" s="21">
        <f t="shared" si="6"/>
        <v>2</v>
      </c>
      <c r="B16" s="55">
        <f>A16+SUBSTITUTE($D$21,"M","")</f>
        <v>3</v>
      </c>
      <c r="C16" s="39" t="str">
        <f>"B"&amp;$D$21&amp;"_"&amp;A16&amp;"X"&amp;B16</f>
        <v>B1M_2X3</v>
      </c>
      <c r="D16" s="177">
        <f>_xll.qlCalendarAdvance(Calendar,SettlementDate,A16&amp;"M","mf")</f>
        <v>42340</v>
      </c>
      <c r="E16" s="177">
        <f>_xll.qlInterestRateIndexMaturity($D$22,D16)</f>
        <v>42373</v>
      </c>
      <c r="F16" s="53">
        <f>_xll.qlIndexFixing(ON_1M_index,_xll.qlInterestRateIndexFixingDate(ON_1M_index,D16,Trigger),,AllTriggers)</f>
        <v>-1.4791697424461475E-3</v>
      </c>
      <c r="G16" s="53" t="e">
        <f t="shared" si="7"/>
        <v>#NUM!</v>
      </c>
      <c r="H16" s="202" t="e">
        <f>_xll.qlQuoteValue(C16,_xll.ohTrigger(InterestRatesTrigger,'1MSynthDepo_used'!E5))</f>
        <v>#NUM!</v>
      </c>
      <c r="I16" s="41">
        <f>_xll.qlDayCounterYearFraction(DayCounter,SettlementDate,D16,,,Trigger)</f>
        <v>0.16944444444444445</v>
      </c>
      <c r="J16" s="242">
        <v>1</v>
      </c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2.8711419753086422E-2</v>
      </c>
      <c r="AF16" s="31">
        <v>0.16944444444444445</v>
      </c>
      <c r="AG16" s="28">
        <v>1</v>
      </c>
      <c r="AH16" s="303"/>
      <c r="AI16" s="29" t="e">
        <v>#NUM!</v>
      </c>
      <c r="AJ16" s="303"/>
      <c r="AK16" s="56" t="e">
        <v>#NUM!</v>
      </c>
      <c r="AL16" s="27">
        <v>1</v>
      </c>
      <c r="AM16" s="31">
        <v>0</v>
      </c>
      <c r="AN16" s="28">
        <v>0</v>
      </c>
      <c r="AO16" s="101"/>
      <c r="AP16" s="94"/>
      <c r="AQ16" s="27">
        <v>4.312435699588479E-3</v>
      </c>
      <c r="AR16" s="31">
        <v>1.9733796296296301E-2</v>
      </c>
      <c r="AS16" s="28">
        <v>9.1666666666666674E-2</v>
      </c>
      <c r="AT16" s="303"/>
      <c r="AU16" s="29" t="e">
        <v>#NUM!</v>
      </c>
      <c r="AV16" s="303"/>
      <c r="AW16" s="56" t="e">
        <v>#NUM!</v>
      </c>
      <c r="AX16" s="27">
        <v>21.344329804111293</v>
      </c>
      <c r="AY16" s="31">
        <v>-13.887621040742754</v>
      </c>
      <c r="AZ16" s="28">
        <v>3.4834668877222001</v>
      </c>
      <c r="BA16" s="101"/>
      <c r="BC16" s="178">
        <f>_xll.qlCalendarAdvance(Calendar,BC15,"1d","mf",,Trigger)</f>
        <v>42293</v>
      </c>
      <c r="BD16" s="41">
        <f>_xll.qlDayCounterYearFraction(DayCounter,SettlementDate,BC16,,,Trigger)</f>
        <v>3.888888888888889E-2</v>
      </c>
      <c r="BE16" s="47" t="e">
        <f>_xll.qlPolynomialFunctionValue(BE$1,$BD16,AllTriggers)</f>
        <v>#VALUE!</v>
      </c>
      <c r="BF16" s="47" t="e">
        <f>_xll.qlPolynomialFunctionValue(BF$1,$BD16,AllTriggers)</f>
        <v>#VALUE!</v>
      </c>
      <c r="BG16" s="47" t="e">
        <f>_xll.qlPolynomialFunctionValue(BG$1,$BD16,AllTriggers)</f>
        <v>#VALUE!</v>
      </c>
      <c r="BH16" s="47" t="e">
        <f>_xll.qlPolynomialFunctionValue(BH$1,$BD16,AllTriggers)</f>
        <v>#VALUE!</v>
      </c>
      <c r="BI16" s="47" t="e">
        <f>_xll.qlPolynomialFunctionValue(BI$1,$BD16,AllTriggers)</f>
        <v>#VALUE!</v>
      </c>
      <c r="BJ16" s="47" t="e">
        <f>_xll.qlPolynomialFunctionValue(BJ$1,$BD16,AllTriggers)</f>
        <v>#VALUE!</v>
      </c>
      <c r="BK16" s="47" t="e">
        <f>_xll.qlPolynomialFunctionValue(BK$1,$BD16,AllTriggers)</f>
        <v>#VALUE!</v>
      </c>
      <c r="BL16" s="47" t="e">
        <f>_xll.qlPolynomialFunctionValue(BL$1,$BD16,AllTriggers)</f>
        <v>#VALUE!</v>
      </c>
      <c r="BM16" s="47" t="e">
        <f>_xll.qlPolynomialFunctionValue(BM$1,$BD16,AllTriggers)</f>
        <v>#VALUE!</v>
      </c>
      <c r="BN16" s="47" t="e">
        <f>_xll.qlPolynomialFunctionValue(BN$1,$BD16,AllTriggers)</f>
        <v>#VALUE!</v>
      </c>
      <c r="BO16" s="47" t="e">
        <f>_xll.qlPolynomialFunctionValue(BO$1,$BD16,AllTriggers)</f>
        <v>#VALUE!</v>
      </c>
      <c r="BP16" s="47" t="e">
        <f>_xll.qlPolynomialFunctionValue(BP$1,$BD16,AllTriggers)</f>
        <v>#VALUE!</v>
      </c>
      <c r="BQ16" s="47">
        <f>_xll.qlPolynomialFunctionValue('1MSynthDepo_used'!$P$18,BD16,AllTriggers)</f>
        <v>2.6542796360129602E-4</v>
      </c>
    </row>
    <row r="17" spans="1:69" ht="12" customHeight="1" x14ac:dyDescent="0.2">
      <c r="A17" s="21">
        <f t="shared" si="6"/>
        <v>3</v>
      </c>
      <c r="B17" s="55">
        <f>A17+SUBSTITUTE($D$21,"M","")</f>
        <v>4</v>
      </c>
      <c r="C17" s="42" t="str">
        <f>"B"&amp;$D$21&amp;"_"&amp;A17&amp;"X"&amp;B17</f>
        <v>B1M_3X4</v>
      </c>
      <c r="D17" s="181">
        <f>_xll.qlCalendarAdvance(Calendar,SettlementDate,A17&amp;"M","mf")</f>
        <v>42373</v>
      </c>
      <c r="E17" s="181">
        <f>_xll.qlInterestRateIndexMaturity($D$22,D17)</f>
        <v>42404</v>
      </c>
      <c r="F17" s="54">
        <f>_xll.qlIndexFixing(ON_1M_index,_xll.qlInterestRateIndexFixingDate(ON_1M_index,D17,Trigger),,AllTriggers)</f>
        <v>-1.6085194908884105E-3</v>
      </c>
      <c r="G17" s="54" t="e">
        <f t="shared" si="7"/>
        <v>#NUM!</v>
      </c>
      <c r="H17" s="203" t="e">
        <f>_xll.qlQuoteValue(C17,_xll.ohTrigger(InterestRatesTrigger,'1MSynthDepo_used'!E6))</f>
        <v>#NUM!</v>
      </c>
      <c r="I17" s="44">
        <f>_xll.qlDayCounterYearFraction(DayCounter,SettlementDate,D17,,,Trigger)</f>
        <v>0.26111111111111113</v>
      </c>
      <c r="J17" s="243">
        <v>1</v>
      </c>
      <c r="K17" s="96"/>
      <c r="L17" s="96"/>
      <c r="M17" s="96"/>
      <c r="N17" s="96"/>
      <c r="O17" s="96"/>
      <c r="P17" s="294"/>
      <c r="Q17" s="294"/>
      <c r="R17" s="294"/>
      <c r="S17" s="150" t="b">
        <v>1</v>
      </c>
      <c r="T17" s="150" t="b">
        <v>1</v>
      </c>
      <c r="U17" s="150" t="b">
        <v>1</v>
      </c>
      <c r="V17" s="150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42296</v>
      </c>
      <c r="BD17" s="41">
        <f>_xll.qlDayCounterYearFraction(DayCounter,SettlementDate,BC17,,,Trigger)</f>
        <v>4.7222222222222221E-2</v>
      </c>
      <c r="BE17" s="47" t="e">
        <f>_xll.qlPolynomialFunctionValue(BE$1,$BD17,AllTriggers)</f>
        <v>#VALUE!</v>
      </c>
      <c r="BF17" s="47" t="e">
        <f>_xll.qlPolynomialFunctionValue(BF$1,$BD17,AllTriggers)</f>
        <v>#VALUE!</v>
      </c>
      <c r="BG17" s="47" t="e">
        <f>_xll.qlPolynomialFunctionValue(BG$1,$BD17,AllTriggers)</f>
        <v>#VALUE!</v>
      </c>
      <c r="BH17" s="47" t="e">
        <f>_xll.qlPolynomialFunctionValue(BH$1,$BD17,AllTriggers)</f>
        <v>#VALUE!</v>
      </c>
      <c r="BI17" s="47" t="e">
        <f>_xll.qlPolynomialFunctionValue(BI$1,$BD17,AllTriggers)</f>
        <v>#VALUE!</v>
      </c>
      <c r="BJ17" s="47" t="e">
        <f>_xll.qlPolynomialFunctionValue(BJ$1,$BD17,AllTriggers)</f>
        <v>#VALUE!</v>
      </c>
      <c r="BK17" s="47" t="e">
        <f>_xll.qlPolynomialFunctionValue(BK$1,$BD17,AllTriggers)</f>
        <v>#VALUE!</v>
      </c>
      <c r="BL17" s="47" t="e">
        <f>_xll.qlPolynomialFunctionValue(BL$1,$BD17,AllTriggers)</f>
        <v>#VALUE!</v>
      </c>
      <c r="BM17" s="47" t="e">
        <f>_xll.qlPolynomialFunctionValue(BM$1,$BD17,AllTriggers)</f>
        <v>#VALUE!</v>
      </c>
      <c r="BN17" s="47" t="e">
        <f>_xll.qlPolynomialFunctionValue(BN$1,$BD17,AllTriggers)</f>
        <v>#VALUE!</v>
      </c>
      <c r="BO17" s="47" t="e">
        <f>_xll.qlPolynomialFunctionValue(BO$1,$BD17,AllTriggers)</f>
        <v>#VALUE!</v>
      </c>
      <c r="BP17" s="47" t="e">
        <f>_xll.qlPolynomialFunctionValue(BP$1,$BD17,AllTriggers)</f>
        <v>#VALUE!</v>
      </c>
      <c r="BQ17" s="47">
        <f>_xll.qlPolynomialFunctionValue('1MSynthDepo_used'!$P$18,BD17,AllTriggers)</f>
        <v>2.5208989722793658E-4</v>
      </c>
    </row>
    <row r="18" spans="1:69" ht="12" customHeight="1" x14ac:dyDescent="0.2">
      <c r="H18" s="21"/>
      <c r="I18" s="21"/>
      <c r="J18" s="21"/>
      <c r="L18" s="21"/>
      <c r="M18" s="21"/>
      <c r="N18" s="21"/>
      <c r="P18" s="21"/>
      <c r="Q18" s="21"/>
      <c r="R18" s="21"/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42297</v>
      </c>
      <c r="BD18" s="41">
        <f>_xll.qlDayCounterYearFraction(DayCounter,SettlementDate,BC18,,,Trigger)</f>
        <v>0.05</v>
      </c>
      <c r="BE18" s="47" t="e">
        <f>_xll.qlPolynomialFunctionValue(BE$1,$BD18,AllTriggers)</f>
        <v>#VALUE!</v>
      </c>
      <c r="BF18" s="47" t="e">
        <f>_xll.qlPolynomialFunctionValue(BF$1,$BD18,AllTriggers)</f>
        <v>#VALUE!</v>
      </c>
      <c r="BG18" s="47" t="e">
        <f>_xll.qlPolynomialFunctionValue(BG$1,$BD18,AllTriggers)</f>
        <v>#VALUE!</v>
      </c>
      <c r="BH18" s="47" t="e">
        <f>_xll.qlPolynomialFunctionValue(BH$1,$BD18,AllTriggers)</f>
        <v>#VALUE!</v>
      </c>
      <c r="BI18" s="47" t="e">
        <f>_xll.qlPolynomialFunctionValue(BI$1,$BD18,AllTriggers)</f>
        <v>#VALUE!</v>
      </c>
      <c r="BJ18" s="47" t="e">
        <f>_xll.qlPolynomialFunctionValue(BJ$1,$BD18,AllTriggers)</f>
        <v>#VALUE!</v>
      </c>
      <c r="BK18" s="47" t="e">
        <f>_xll.qlPolynomialFunctionValue(BK$1,$BD18,AllTriggers)</f>
        <v>#VALUE!</v>
      </c>
      <c r="BL18" s="47" t="e">
        <f>_xll.qlPolynomialFunctionValue(BL$1,$BD18,AllTriggers)</f>
        <v>#VALUE!</v>
      </c>
      <c r="BM18" s="47" t="e">
        <f>_xll.qlPolynomialFunctionValue(BM$1,$BD18,AllTriggers)</f>
        <v>#VALUE!</v>
      </c>
      <c r="BN18" s="47" t="e">
        <f>_xll.qlPolynomialFunctionValue(BN$1,$BD18,AllTriggers)</f>
        <v>#VALUE!</v>
      </c>
      <c r="BO18" s="47" t="e">
        <f>_xll.qlPolynomialFunctionValue(BO$1,$BD18,AllTriggers)</f>
        <v>#VALUE!</v>
      </c>
      <c r="BP18" s="47" t="e">
        <f>_xll.qlPolynomialFunctionValue(BP$1,$BD18,AllTriggers)</f>
        <v>#VALUE!</v>
      </c>
      <c r="BQ18" s="47">
        <f>_xll.qlPolynomialFunctionValue('1MSynthDepo_used'!$P$18,BD18,AllTriggers)</f>
        <v>2.4821181946831463E-4</v>
      </c>
    </row>
    <row r="19" spans="1:69" ht="12" customHeight="1" x14ac:dyDescent="0.2">
      <c r="A19" s="21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W19" s="55"/>
      <c r="AD19" s="94"/>
      <c r="AE19" s="27">
        <f t="array" ref="AE19:AE21">_xll.ohFilter(L3:L9,V3:V9)</f>
        <v>7.4151234567901231E-3</v>
      </c>
      <c r="AF19" s="31">
        <f t="array" ref="AF19:AF21">_xll.ohFilter(K3:K9,V3:V9)</f>
        <v>8.611111111111111E-2</v>
      </c>
      <c r="AG19" s="28">
        <f t="array" ref="AG19:AG21">_xll.ohFilter(J3:J9,V3:V9)</f>
        <v>1</v>
      </c>
      <c r="AH19" s="303" t="s">
        <v>20</v>
      </c>
      <c r="AI19" s="29" t="e">
        <f t="array" ref="AI19:AI21">MMULT(AL19:AN21,AK19:AK21)</f>
        <v>#NUM!</v>
      </c>
      <c r="AJ19" s="303" t="s">
        <v>21</v>
      </c>
      <c r="AK19" s="56" t="e">
        <f t="array" ref="AK19:AK21">_xll.ohFilter(H3:H9,V3:V9)</f>
        <v>#NUM!</v>
      </c>
      <c r="AL19" s="27">
        <f t="array" ref="AL19:AN21">MINVERSE(AE19:AG21)</f>
        <v>68.571428571428513</v>
      </c>
      <c r="AM19" s="31">
        <v>-130.90909090909076</v>
      </c>
      <c r="AN19" s="28">
        <v>62.33766233766228</v>
      </c>
      <c r="AO19" s="101"/>
      <c r="AP19" s="94"/>
      <c r="AQ19" s="27">
        <f t="array" ref="AQ19:AQ21">_xll.ohFilter(R3:R9,V3:V9)</f>
        <v>1.4088220164609055E-3</v>
      </c>
      <c r="AR19" s="31">
        <f t="array" ref="AR19:AR21">_xll.ohFilter(Q3:Q9,V3:V9)</f>
        <v>1.064814814814815E-2</v>
      </c>
      <c r="AS19" s="28">
        <f t="array" ref="AS19:AS21">_xll.ohFilter(P3:P9,V3:V9)</f>
        <v>8.3333333333333343E-2</v>
      </c>
      <c r="AT19" s="303" t="s">
        <v>20</v>
      </c>
      <c r="AU19" s="29" t="e">
        <f t="array" ref="AU19:AU21">MMULT(AX19:AZ21,AW19:AW21)</f>
        <v>#NUM!</v>
      </c>
      <c r="AV19" s="303" t="s">
        <v>21</v>
      </c>
      <c r="AW19" s="56" t="e">
        <f t="array" ref="AW19:AW21">_xll.ohFilter(M3:M9,V3:V9)</f>
        <v>#NUM!</v>
      </c>
      <c r="AX19" s="27">
        <f t="array" ref="AX19:AZ21">MINVERSE(AQ19:AS21)</f>
        <v>787.84194528875355</v>
      </c>
      <c r="AY19" s="31">
        <v>-1421.2489638021559</v>
      </c>
      <c r="AZ19" s="28">
        <v>750.51475634866267</v>
      </c>
      <c r="BA19" s="101"/>
      <c r="BC19" s="178">
        <f>_xll.qlCalendarAdvance(Calendar,BC18,"1d","mf",,Trigger)</f>
        <v>42298</v>
      </c>
      <c r="BD19" s="41">
        <f>_xll.qlDayCounterYearFraction(DayCounter,SettlementDate,BC19,,,Trigger)</f>
        <v>5.2777777777777778E-2</v>
      </c>
      <c r="BE19" s="47" t="e">
        <f>_xll.qlPolynomialFunctionValue(BE$1,$BD19,AllTriggers)</f>
        <v>#VALUE!</v>
      </c>
      <c r="BF19" s="47" t="e">
        <f>_xll.qlPolynomialFunctionValue(BF$1,$BD19,AllTriggers)</f>
        <v>#VALUE!</v>
      </c>
      <c r="BG19" s="47" t="e">
        <f>_xll.qlPolynomialFunctionValue(BG$1,$BD19,AllTriggers)</f>
        <v>#VALUE!</v>
      </c>
      <c r="BH19" s="47" t="e">
        <f>_xll.qlPolynomialFunctionValue(BH$1,$BD19,AllTriggers)</f>
        <v>#VALUE!</v>
      </c>
      <c r="BI19" s="47" t="e">
        <f>_xll.qlPolynomialFunctionValue(BI$1,$BD19,AllTriggers)</f>
        <v>#VALUE!</v>
      </c>
      <c r="BJ19" s="47" t="e">
        <f>_xll.qlPolynomialFunctionValue(BJ$1,$BD19,AllTriggers)</f>
        <v>#VALUE!</v>
      </c>
      <c r="BK19" s="47" t="e">
        <f>_xll.qlPolynomialFunctionValue(BK$1,$BD19,AllTriggers)</f>
        <v>#VALUE!</v>
      </c>
      <c r="BL19" s="47" t="e">
        <f>_xll.qlPolynomialFunctionValue(BL$1,$BD19,AllTriggers)</f>
        <v>#VALUE!</v>
      </c>
      <c r="BM19" s="47" t="e">
        <f>_xll.qlPolynomialFunctionValue(BM$1,$BD19,AllTriggers)</f>
        <v>#VALUE!</v>
      </c>
      <c r="BN19" s="47" t="e">
        <f>_xll.qlPolynomialFunctionValue(BN$1,$BD19,AllTriggers)</f>
        <v>#VALUE!</v>
      </c>
      <c r="BO19" s="47" t="e">
        <f>_xll.qlPolynomialFunctionValue(BO$1,$BD19,AllTriggers)</f>
        <v>#VALUE!</v>
      </c>
      <c r="BP19" s="47" t="e">
        <f>_xll.qlPolynomialFunctionValue(BP$1,$BD19,AllTriggers)</f>
        <v>#VALUE!</v>
      </c>
      <c r="BQ19" s="47">
        <f>_xll.qlPolynomialFunctionValue('1MSynthDepo_used'!$P$18,BD19,AllTriggers)</f>
        <v>2.4460795874818873E-4</v>
      </c>
    </row>
    <row r="20" spans="1:69" ht="12" customHeight="1" x14ac:dyDescent="0.2">
      <c r="W20" s="21"/>
      <c r="X20" s="21"/>
      <c r="Y20" s="21"/>
      <c r="Z20" s="21"/>
      <c r="AA20" s="21"/>
      <c r="AB20" s="21"/>
      <c r="AC20" s="21"/>
      <c r="AD20" s="94"/>
      <c r="AE20" s="27">
        <v>2.8711419753086422E-2</v>
      </c>
      <c r="AF20" s="31">
        <v>0.16944444444444445</v>
      </c>
      <c r="AG20" s="28">
        <v>1</v>
      </c>
      <c r="AH20" s="303"/>
      <c r="AI20" s="29" t="e">
        <v>#NUM!</v>
      </c>
      <c r="AJ20" s="303"/>
      <c r="AK20" s="56" t="e">
        <v>#NUM!</v>
      </c>
      <c r="AL20" s="27">
        <v>-29.523809523809504</v>
      </c>
      <c r="AM20" s="31">
        <v>45.454545454545418</v>
      </c>
      <c r="AN20" s="28">
        <v>-15.930735930735915</v>
      </c>
      <c r="AO20" s="101"/>
      <c r="AP20" s="94"/>
      <c r="AQ20" s="27">
        <v>4.312435699588479E-3</v>
      </c>
      <c r="AR20" s="31">
        <v>1.9733796296296301E-2</v>
      </c>
      <c r="AS20" s="28">
        <v>9.1666666666666674E-2</v>
      </c>
      <c r="AT20" s="303"/>
      <c r="AU20" s="29" t="e">
        <v>#NUM!</v>
      </c>
      <c r="AV20" s="303"/>
      <c r="AW20" s="56" t="e">
        <v>#NUM!</v>
      </c>
      <c r="AX20" s="27">
        <v>-408.51063829787222</v>
      </c>
      <c r="AY20" s="31">
        <v>614.21663442940053</v>
      </c>
      <c r="AZ20" s="28">
        <v>-258.51063829787273</v>
      </c>
      <c r="BA20" s="101"/>
      <c r="BC20" s="178">
        <f>_xll.qlCalendarAdvance(Calendar,BC19,"1d","mf",,Trigger)</f>
        <v>42299</v>
      </c>
      <c r="BD20" s="41">
        <f>_xll.qlDayCounterYearFraction(DayCounter,SettlementDate,BC20,,,Trigger)</f>
        <v>5.5555555555555552E-2</v>
      </c>
      <c r="BE20" s="47" t="e">
        <f>_xll.qlPolynomialFunctionValue(BE$1,$BD20,AllTriggers)</f>
        <v>#VALUE!</v>
      </c>
      <c r="BF20" s="47" t="e">
        <f>_xll.qlPolynomialFunctionValue(BF$1,$BD20,AllTriggers)</f>
        <v>#VALUE!</v>
      </c>
      <c r="BG20" s="47" t="e">
        <f>_xll.qlPolynomialFunctionValue(BG$1,$BD20,AllTriggers)</f>
        <v>#VALUE!</v>
      </c>
      <c r="BH20" s="47" t="e">
        <f>_xll.qlPolynomialFunctionValue(BH$1,$BD20,AllTriggers)</f>
        <v>#VALUE!</v>
      </c>
      <c r="BI20" s="47" t="e">
        <f>_xll.qlPolynomialFunctionValue(BI$1,$BD20,AllTriggers)</f>
        <v>#VALUE!</v>
      </c>
      <c r="BJ20" s="47" t="e">
        <f>_xll.qlPolynomialFunctionValue(BJ$1,$BD20,AllTriggers)</f>
        <v>#VALUE!</v>
      </c>
      <c r="BK20" s="47" t="e">
        <f>_xll.qlPolynomialFunctionValue(BK$1,$BD20,AllTriggers)</f>
        <v>#VALUE!</v>
      </c>
      <c r="BL20" s="47" t="e">
        <f>_xll.qlPolynomialFunctionValue(BL$1,$BD20,AllTriggers)</f>
        <v>#VALUE!</v>
      </c>
      <c r="BM20" s="47" t="e">
        <f>_xll.qlPolynomialFunctionValue(BM$1,$BD20,AllTriggers)</f>
        <v>#VALUE!</v>
      </c>
      <c r="BN20" s="47" t="e">
        <f>_xll.qlPolynomialFunctionValue(BN$1,$BD20,AllTriggers)</f>
        <v>#VALUE!</v>
      </c>
      <c r="BO20" s="47" t="e">
        <f>_xll.qlPolynomialFunctionValue(BO$1,$BD20,AllTriggers)</f>
        <v>#VALUE!</v>
      </c>
      <c r="BP20" s="47" t="e">
        <f>_xll.qlPolynomialFunctionValue(BP$1,$BD20,AllTriggers)</f>
        <v>#VALUE!</v>
      </c>
      <c r="BQ20" s="47">
        <f>_xll.qlPolynomialFunctionValue('1MSynthDepo_used'!$P$18,BD20,AllTriggers)</f>
        <v>2.4127246198180733E-4</v>
      </c>
    </row>
    <row r="21" spans="1:69" ht="12" customHeight="1" x14ac:dyDescent="0.2">
      <c r="A21" s="21"/>
      <c r="B21" s="55"/>
      <c r="C21" s="36" t="s">
        <v>62</v>
      </c>
      <c r="D21" s="51" t="s">
        <v>22</v>
      </c>
      <c r="F21" s="187" t="s">
        <v>90</v>
      </c>
      <c r="G21" s="188" t="b">
        <v>1</v>
      </c>
      <c r="H21" s="235"/>
      <c r="S21" s="236"/>
      <c r="T21" s="237"/>
      <c r="U21" s="188" t="b">
        <v>0</v>
      </c>
      <c r="V21" s="235"/>
      <c r="W21" s="236"/>
      <c r="X21" s="237"/>
      <c r="Y21" s="188" t="b">
        <v>1</v>
      </c>
      <c r="Z21" s="235"/>
      <c r="AA21" s="236"/>
      <c r="AB21" s="236"/>
      <c r="AD21" s="94"/>
      <c r="AE21" s="27">
        <v>6.8179012345679024E-2</v>
      </c>
      <c r="AF21" s="31">
        <v>0.26111111111111113</v>
      </c>
      <c r="AG21" s="28">
        <v>1</v>
      </c>
      <c r="AH21" s="303"/>
      <c r="AI21" s="29" t="e">
        <v>#NUM!</v>
      </c>
      <c r="AJ21" s="303"/>
      <c r="AK21" s="56" t="e">
        <v>#NUM!</v>
      </c>
      <c r="AL21" s="27">
        <v>3.0338624338624327</v>
      </c>
      <c r="AM21" s="31">
        <v>-2.9434343434343413</v>
      </c>
      <c r="AN21" s="28">
        <v>0.9095719095719087</v>
      </c>
      <c r="AO21" s="101"/>
      <c r="AP21" s="94"/>
      <c r="AQ21" s="27">
        <v>8.0199831390031975E-3</v>
      </c>
      <c r="AR21" s="31">
        <v>2.6192129629629621E-2</v>
      </c>
      <c r="AS21" s="28">
        <v>8.6111111111111083E-2</v>
      </c>
      <c r="AT21" s="303"/>
      <c r="AU21" s="29" t="e">
        <v>#NUM!</v>
      </c>
      <c r="AV21" s="303"/>
      <c r="AW21" s="56" t="e">
        <v>#NUM!</v>
      </c>
      <c r="AX21" s="27">
        <v>50.879432624113463</v>
      </c>
      <c r="AY21" s="31">
        <v>-54.455794648613811</v>
      </c>
      <c r="AZ21" s="28">
        <v>20.343814344543613</v>
      </c>
      <c r="BA21" s="101"/>
      <c r="BC21" s="178">
        <f>_xll.qlCalendarAdvance(Calendar,BC20,"1d","mf",,Trigger)</f>
        <v>42300</v>
      </c>
      <c r="BD21" s="41">
        <f>_xll.qlDayCounterYearFraction(DayCounter,SettlementDate,BC21,,,Trigger)</f>
        <v>5.8333333333333334E-2</v>
      </c>
      <c r="BE21" s="47" t="e">
        <f>_xll.qlPolynomialFunctionValue(BE$1,$BD21,AllTriggers)</f>
        <v>#VALUE!</v>
      </c>
      <c r="BF21" s="47" t="e">
        <f>_xll.qlPolynomialFunctionValue(BF$1,$BD21,AllTriggers)</f>
        <v>#VALUE!</v>
      </c>
      <c r="BG21" s="47" t="e">
        <f>_xll.qlPolynomialFunctionValue(BG$1,$BD21,AllTriggers)</f>
        <v>#VALUE!</v>
      </c>
      <c r="BH21" s="47" t="e">
        <f>_xll.qlPolynomialFunctionValue(BH$1,$BD21,AllTriggers)</f>
        <v>#VALUE!</v>
      </c>
      <c r="BI21" s="47" t="e">
        <f>_xll.qlPolynomialFunctionValue(BI$1,$BD21,AllTriggers)</f>
        <v>#VALUE!</v>
      </c>
      <c r="BJ21" s="47" t="e">
        <f>_xll.qlPolynomialFunctionValue(BJ$1,$BD21,AllTriggers)</f>
        <v>#VALUE!</v>
      </c>
      <c r="BK21" s="47" t="e">
        <f>_xll.qlPolynomialFunctionValue(BK$1,$BD21,AllTriggers)</f>
        <v>#VALUE!</v>
      </c>
      <c r="BL21" s="47" t="e">
        <f>_xll.qlPolynomialFunctionValue(BL$1,$BD21,AllTriggers)</f>
        <v>#VALUE!</v>
      </c>
      <c r="BM21" s="47" t="e">
        <f>_xll.qlPolynomialFunctionValue(BM$1,$BD21,AllTriggers)</f>
        <v>#VALUE!</v>
      </c>
      <c r="BN21" s="47" t="e">
        <f>_xll.qlPolynomialFunctionValue(BN$1,$BD21,AllTriggers)</f>
        <v>#VALUE!</v>
      </c>
      <c r="BO21" s="47" t="e">
        <f>_xll.qlPolynomialFunctionValue(BO$1,$BD21,AllTriggers)</f>
        <v>#VALUE!</v>
      </c>
      <c r="BP21" s="47" t="e">
        <f>_xll.qlPolynomialFunctionValue(BP$1,$BD21,AllTriggers)</f>
        <v>#VALUE!</v>
      </c>
      <c r="BQ21" s="47">
        <f>_xll.qlPolynomialFunctionValue('1MSynthDepo_used'!$P$18,BD21,AllTriggers)</f>
        <v>2.3819947608341881E-4</v>
      </c>
    </row>
    <row r="22" spans="1:69" ht="12" customHeight="1" x14ac:dyDescent="0.2">
      <c r="C22" s="36" t="s">
        <v>53</v>
      </c>
      <c r="D22" s="51" t="str">
        <f>PROPER(Currency)&amp;IborType&amp;$D$21</f>
        <v>Euribor1M</v>
      </c>
      <c r="E22" s="23"/>
      <c r="F22" s="187" t="s">
        <v>91</v>
      </c>
      <c r="G22" s="89"/>
      <c r="H22" s="89"/>
      <c r="S22" s="89"/>
      <c r="T22" s="89"/>
      <c r="U22" s="89"/>
      <c r="V22" s="89"/>
      <c r="W22" s="89"/>
      <c r="X22" s="238"/>
      <c r="Y22" s="228" t="e">
        <f>_xll.qlPolynomialCalibration(,_xll.ohFilter($I$14:$I$17,$S$14:$S$17),_xll.ohFilter($H$14:$H$17,$S$14:$S$17),_xll.ohFilter($J$14:$J$17,$S$14:$S$17),G$25:G$26,,,,,Trigger)</f>
        <v>#NUM!</v>
      </c>
      <c r="Z22" s="188" t="e">
        <f>_xll.qlPolynomialCalibration(,_xll.ohFilter($I$14:$I$17,$T$14:$T$17),_xll.ohFilter($H$14:$H$17,$T$14:$T$17),_xll.ohFilter($J$14:$J$17,$T$14:$T$17),H$25:H$27,,,,,Trigger)</f>
        <v>#NUM!</v>
      </c>
      <c r="AA22" s="188" t="e">
        <f>_xll.qlPolynomialCalibration(,_xll.ohFilter($I$14:$I$17,$U$14:$U$17),_xll.ohFilter($H$14:$H$17,$U$14:$U$17),_xll.ohFilter($J$14:$J$17,$U$14:$U$17),S$25:S$26,,,,,Trigger)</f>
        <v>#NUM!</v>
      </c>
      <c r="AB22" s="188" t="e">
        <f>_xll.qlPolynomialCalibration(,_xll.ohFilter($I$14:$I$17,$V$14:$V$17),_xll.ohFilter($H$14:$H$17,$V$14:$V$17),_xll.ohFilter($J$14:$J$17,$V$14:$V$17),T$25:T$27,,,,,Trigger)</f>
        <v>#NUM!</v>
      </c>
      <c r="AC22" s="19" t="s">
        <v>70</v>
      </c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42303</v>
      </c>
      <c r="BD22" s="41">
        <f>_xll.qlDayCounterYearFraction(DayCounter,SettlementDate,BC22,,,Trigger)</f>
        <v>6.6666666666666666E-2</v>
      </c>
      <c r="BE22" s="47" t="e">
        <f>_xll.qlPolynomialFunctionValue(BE$1,$BD22,AllTriggers)</f>
        <v>#VALUE!</v>
      </c>
      <c r="BF22" s="47" t="e">
        <f>_xll.qlPolynomialFunctionValue(BF$1,$BD22,AllTriggers)</f>
        <v>#VALUE!</v>
      </c>
      <c r="BG22" s="47" t="e">
        <f>_xll.qlPolynomialFunctionValue(BG$1,$BD22,AllTriggers)</f>
        <v>#VALUE!</v>
      </c>
      <c r="BH22" s="47" t="e">
        <f>_xll.qlPolynomialFunctionValue(BH$1,$BD22,AllTriggers)</f>
        <v>#VALUE!</v>
      </c>
      <c r="BI22" s="47" t="e">
        <f>_xll.qlPolynomialFunctionValue(BI$1,$BD22,AllTriggers)</f>
        <v>#VALUE!</v>
      </c>
      <c r="BJ22" s="47" t="e">
        <f>_xll.qlPolynomialFunctionValue(BJ$1,$BD22,AllTriggers)</f>
        <v>#VALUE!</v>
      </c>
      <c r="BK22" s="47" t="e">
        <f>_xll.qlPolynomialFunctionValue(BK$1,$BD22,AllTriggers)</f>
        <v>#VALUE!</v>
      </c>
      <c r="BL22" s="47" t="e">
        <f>_xll.qlPolynomialFunctionValue(BL$1,$BD22,AllTriggers)</f>
        <v>#VALUE!</v>
      </c>
      <c r="BM22" s="47" t="e">
        <f>_xll.qlPolynomialFunctionValue(BM$1,$BD22,AllTriggers)</f>
        <v>#VALUE!</v>
      </c>
      <c r="BN22" s="47" t="e">
        <f>_xll.qlPolynomialFunctionValue(BN$1,$BD22,AllTriggers)</f>
        <v>#VALUE!</v>
      </c>
      <c r="BO22" s="47" t="e">
        <f>_xll.qlPolynomialFunctionValue(BO$1,$BD22,AllTriggers)</f>
        <v>#VALUE!</v>
      </c>
      <c r="BP22" s="47" t="e">
        <f>_xll.qlPolynomialFunctionValue(BP$1,$BD22,AllTriggers)</f>
        <v>#VALUE!</v>
      </c>
      <c r="BQ22" s="47">
        <f>_xll.qlPolynomialFunctionValue('1MSynthDepo_used'!$P$18,BD22,AllTriggers)</f>
        <v>2.3049705273869359E-4</v>
      </c>
    </row>
    <row r="23" spans="1:69" ht="12" customHeight="1" x14ac:dyDescent="0.2">
      <c r="C23" s="36" t="s">
        <v>116</v>
      </c>
      <c r="D23" s="51" t="str">
        <f>_xll.qlIborIndex(,,'1MSynthDepo_allScenario'!D21,2,Currency,Calendar,"mf",TRUE,DayCounter,Discounting,,Trigger)</f>
        <v>obj_005ad#0002</v>
      </c>
      <c r="E23" s="23"/>
      <c r="F23" s="187" t="s">
        <v>92</v>
      </c>
      <c r="G23" s="89"/>
      <c r="H23" s="89"/>
      <c r="S23" s="89"/>
      <c r="T23" s="89"/>
      <c r="U23" s="89"/>
      <c r="V23" s="89"/>
      <c r="W23" s="89"/>
      <c r="X23" s="238"/>
      <c r="Y23" s="239" t="e">
        <f>_xll.qlPolynomialCalibrationCompute(Y$22,AllTriggers)</f>
        <v>#VALUE!</v>
      </c>
      <c r="Z23" s="188" t="e">
        <f>_xll.qlPolynomialCalibrationCompute(Z$22,AllTriggers)</f>
        <v>#VALUE!</v>
      </c>
      <c r="AA23" s="188" t="e">
        <f>_xll.qlPolynomialCalibrationCompute(AA$22,AllTriggers)</f>
        <v>#VALUE!</v>
      </c>
      <c r="AB23" s="188" t="e">
        <f>_xll.qlPolynomialCalibrationCompute(AB$22,AllTriggers)</f>
        <v>#VALUE!</v>
      </c>
      <c r="AC23" s="19" t="s">
        <v>70</v>
      </c>
      <c r="AD23" s="93"/>
      <c r="AE23" s="93"/>
      <c r="AF23" s="93"/>
      <c r="AG23" s="93"/>
      <c r="AH23" s="93"/>
      <c r="BC23" s="178">
        <f>_xll.qlCalendarAdvance(Calendar,BC22,"1d","mf",,Trigger)</f>
        <v>42304</v>
      </c>
      <c r="BD23" s="41">
        <f>_xll.qlDayCounterYearFraction(DayCounter,SettlementDate,BC23,,,Trigger)</f>
        <v>6.9444444444444448E-2</v>
      </c>
      <c r="BE23" s="47" t="e">
        <f>_xll.qlPolynomialFunctionValue(BE$1,$BD23,AllTriggers)</f>
        <v>#VALUE!</v>
      </c>
      <c r="BF23" s="47" t="e">
        <f>_xll.qlPolynomialFunctionValue(BF$1,$BD23,AllTriggers)</f>
        <v>#VALUE!</v>
      </c>
      <c r="BG23" s="47" t="e">
        <f>_xll.qlPolynomialFunctionValue(BG$1,$BD23,AllTriggers)</f>
        <v>#VALUE!</v>
      </c>
      <c r="BH23" s="47" t="e">
        <f>_xll.qlPolynomialFunctionValue(BH$1,$BD23,AllTriggers)</f>
        <v>#VALUE!</v>
      </c>
      <c r="BI23" s="47" t="e">
        <f>_xll.qlPolynomialFunctionValue(BI$1,$BD23,AllTriggers)</f>
        <v>#VALUE!</v>
      </c>
      <c r="BJ23" s="47" t="e">
        <f>_xll.qlPolynomialFunctionValue(BJ$1,$BD23,AllTriggers)</f>
        <v>#VALUE!</v>
      </c>
      <c r="BK23" s="47" t="e">
        <f>_xll.qlPolynomialFunctionValue(BK$1,$BD23,AllTriggers)</f>
        <v>#VALUE!</v>
      </c>
      <c r="BL23" s="47" t="e">
        <f>_xll.qlPolynomialFunctionValue(BL$1,$BD23,AllTriggers)</f>
        <v>#VALUE!</v>
      </c>
      <c r="BM23" s="47" t="e">
        <f>_xll.qlPolynomialFunctionValue(BM$1,$BD23,AllTriggers)</f>
        <v>#VALUE!</v>
      </c>
      <c r="BN23" s="47" t="e">
        <f>_xll.qlPolynomialFunctionValue(BN$1,$BD23,AllTriggers)</f>
        <v>#VALUE!</v>
      </c>
      <c r="BO23" s="47" t="e">
        <f>_xll.qlPolynomialFunctionValue(BO$1,$BD23,AllTriggers)</f>
        <v>#VALUE!</v>
      </c>
      <c r="BP23" s="47" t="e">
        <f>_xll.qlPolynomialFunctionValue(BP$1,$BD23,AllTriggers)</f>
        <v>#VALUE!</v>
      </c>
      <c r="BQ23" s="47">
        <f>_xll.qlPolynomialFunctionValue('1MSynthDepo_used'!$P$18,BD23,AllTriggers)</f>
        <v>2.2841557945475982E-4</v>
      </c>
    </row>
    <row r="24" spans="1:69" ht="12" customHeight="1" x14ac:dyDescent="0.2">
      <c r="A24" s="21"/>
      <c r="B24" s="55"/>
      <c r="C24" s="36" t="s">
        <v>117</v>
      </c>
      <c r="D24" s="51" t="s">
        <v>86</v>
      </c>
      <c r="E24" s="23"/>
      <c r="F24" s="187" t="s">
        <v>82</v>
      </c>
      <c r="G24" s="188" t="e">
        <f>_xll.qlPolynomialTenorBasis(,$D$22,Discounting,SettlementDate,IsSimple,G$25:G$28,,Trigger)</f>
        <v>#NUM!</v>
      </c>
      <c r="H24" s="188" t="e">
        <f>_xll.qlPolynomialTenorBasis(,$D$22,Discounting,SettlementDate,IsSimple,H$25:H$28,,Trigger)</f>
        <v>#NUM!</v>
      </c>
      <c r="S24" s="188" t="e">
        <f>_xll.qlPolynomialTenorBasis(,$D$22,Discounting,SettlementDate,IsSimple,S$25:S$28,,Trigger)</f>
        <v>#NUM!</v>
      </c>
      <c r="T24" s="188" t="e">
        <f>_xll.qlPolynomialTenorBasis(,$D$22,Discounting,SettlementDate,IsSimple,T$25:T$28,,Trigger)</f>
        <v>#NUM!</v>
      </c>
      <c r="U24" s="188" t="e">
        <f>_xll.qlPolynomialTenorBasis(,$D$22,Discounting,SettlementDate,$U$21,U$25:U$28,,Trigger)</f>
        <v>#NUM!</v>
      </c>
      <c r="V24" s="188" t="e">
        <f>_xll.qlPolynomialTenorBasis(,$D$22,Discounting,SettlementDate,$U$21,V$25:V$28,,Trigger)</f>
        <v>#NUM!</v>
      </c>
      <c r="W24" s="188" t="e">
        <f>_xll.qlPolynomialTenorBasis(,$D$22,Discounting,SettlementDate,$U$21,W$25:W$28,,Trigger)</f>
        <v>#NUM!</v>
      </c>
      <c r="X24" s="227" t="e">
        <f>_xll.qlPolynomialTenorBasis(,$D$22,Discounting,SettlementDate,$U$21,X$25:X$28,,Trigger)</f>
        <v>#NUM!</v>
      </c>
      <c r="Y24" s="228" t="e">
        <f>_xll.qlPolynomialTenorBasis(,$D$22,Discounting,SettlementDate,$Y$21,Y$25:Y$28,,Trigger)</f>
        <v>#NUM!</v>
      </c>
      <c r="Z24" s="188" t="e">
        <f>_xll.qlPolynomialTenorBasis(,$D$22,Discounting,SettlementDate,$Y$21,Z$25:Z$28,,Trigger)</f>
        <v>#NUM!</v>
      </c>
      <c r="AA24" s="188" t="e">
        <f>_xll.qlPolynomialTenorBasis(,$D$22,Discounting,SettlementDate,$Y$21,AA$25:AA$28,,Trigger)</f>
        <v>#NUM!</v>
      </c>
      <c r="AB24" s="188" t="e">
        <f>_xll.qlPolynomialTenorBasis(,$D$22,Discounting,SettlementDate,$Y$21,AB$25:AB$28,,Trigger)</f>
        <v>#NUM!</v>
      </c>
      <c r="AC24" s="19" t="s">
        <v>70</v>
      </c>
      <c r="BC24" s="178">
        <f>_xll.qlCalendarAdvance(Calendar,BC23,"1d","mf",,Trigger)</f>
        <v>42305</v>
      </c>
      <c r="BD24" s="41">
        <f>_xll.qlDayCounterYearFraction(DayCounter,SettlementDate,BC24,,,Trigger)</f>
        <v>7.2222222222222215E-2</v>
      </c>
      <c r="BE24" s="47" t="e">
        <f>_xll.qlPolynomialFunctionValue(BE$1,$BD24,AllTriggers)</f>
        <v>#VALUE!</v>
      </c>
      <c r="BF24" s="47" t="e">
        <f>_xll.qlPolynomialFunctionValue(BF$1,$BD24,AllTriggers)</f>
        <v>#VALUE!</v>
      </c>
      <c r="BG24" s="47" t="e">
        <f>_xll.qlPolynomialFunctionValue(BG$1,$BD24,AllTriggers)</f>
        <v>#VALUE!</v>
      </c>
      <c r="BH24" s="47" t="e">
        <f>_xll.qlPolynomialFunctionValue(BH$1,$BD24,AllTriggers)</f>
        <v>#VALUE!</v>
      </c>
      <c r="BI24" s="47" t="e">
        <f>_xll.qlPolynomialFunctionValue(BI$1,$BD24,AllTriggers)</f>
        <v>#VALUE!</v>
      </c>
      <c r="BJ24" s="47" t="e">
        <f>_xll.qlPolynomialFunctionValue(BJ$1,$BD24,AllTriggers)</f>
        <v>#VALUE!</v>
      </c>
      <c r="BK24" s="47" t="e">
        <f>_xll.qlPolynomialFunctionValue(BK$1,$BD24,AllTriggers)</f>
        <v>#VALUE!</v>
      </c>
      <c r="BL24" s="47" t="e">
        <f>_xll.qlPolynomialFunctionValue(BL$1,$BD24,AllTriggers)</f>
        <v>#VALUE!</v>
      </c>
      <c r="BM24" s="47" t="e">
        <f>_xll.qlPolynomialFunctionValue(BM$1,$BD24,AllTriggers)</f>
        <v>#VALUE!</v>
      </c>
      <c r="BN24" s="47" t="e">
        <f>_xll.qlPolynomialFunctionValue(BN$1,$BD24,AllTriggers)</f>
        <v>#VALUE!</v>
      </c>
      <c r="BO24" s="47" t="e">
        <f>_xll.qlPolynomialFunctionValue(BO$1,$BD24,AllTriggers)</f>
        <v>#VALUE!</v>
      </c>
      <c r="BP24" s="47" t="e">
        <f>_xll.qlPolynomialFunctionValue(BP$1,$BD24,AllTriggers)</f>
        <v>#VALUE!</v>
      </c>
      <c r="BQ24" s="47">
        <f>_xll.qlPolynomialFunctionValue('1MSynthDepo_used'!$P$18,BD24,AllTriggers)</f>
        <v>2.2656735161006065E-4</v>
      </c>
    </row>
    <row r="25" spans="1:69" ht="12" customHeight="1" x14ac:dyDescent="0.2">
      <c r="A25" s="21"/>
      <c r="B25" s="55"/>
      <c r="C25" s="36" t="s">
        <v>118</v>
      </c>
      <c r="D25" s="51" t="s">
        <v>86</v>
      </c>
      <c r="E25" s="35"/>
      <c r="F25" s="133" t="s">
        <v>73</v>
      </c>
      <c r="G25" s="90" t="e">
        <f>AI6</f>
        <v>#NUM!</v>
      </c>
      <c r="H25" s="90" t="e">
        <f>AI16</f>
        <v>#NUM!</v>
      </c>
      <c r="S25" s="90" t="e">
        <f>AI10</f>
        <v>#NUM!</v>
      </c>
      <c r="T25" s="90" t="e">
        <f>AI21</f>
        <v>#NUM!</v>
      </c>
      <c r="U25" s="90" t="e">
        <f>AU6</f>
        <v>#NUM!</v>
      </c>
      <c r="V25" s="90" t="e">
        <f>AU16</f>
        <v>#NUM!</v>
      </c>
      <c r="W25" s="90" t="e">
        <f>AU10</f>
        <v>#NUM!</v>
      </c>
      <c r="X25" s="229" t="e">
        <f>AU21</f>
        <v>#NUM!</v>
      </c>
      <c r="Y25" s="230" t="e">
        <f t="array" ref="Y25:Y26">_xll.qlPolynomialCalibrationCoefficients($Y$22,$Y$23)</f>
        <v>#VALUE!</v>
      </c>
      <c r="Z25" s="90" t="e">
        <f t="array" ref="Z25:Z27">_xll.qlPolynomialCalibrationCoefficients($Z$22,$Z$23)</f>
        <v>#VALUE!</v>
      </c>
      <c r="AA25" s="90" t="e">
        <f t="array" ref="AA25:AA26">_xll.qlPolynomialCalibrationCoefficients($AA$22,$AA$23)</f>
        <v>#VALUE!</v>
      </c>
      <c r="AB25" s="90" t="e">
        <f t="array" ref="AB25:AB27">_xll.qlPolynomialCalibrationCoefficients($AB$22,$AB$23)</f>
        <v>#VALUE!</v>
      </c>
      <c r="AC25" s="19" t="s">
        <v>70</v>
      </c>
      <c r="BC25" s="178">
        <f>_xll.qlCalendarAdvance(Calendar,BC24,"1d","mf",,Trigger)</f>
        <v>42306</v>
      </c>
      <c r="BD25" s="41">
        <f>_xll.qlDayCounterYearFraction(DayCounter,SettlementDate,BC25,,,Trigger)</f>
        <v>7.4999999999999997E-2</v>
      </c>
      <c r="BE25" s="47" t="e">
        <f>_xll.qlPolynomialFunctionValue(BE$1,$BD25,AllTriggers)</f>
        <v>#VALUE!</v>
      </c>
      <c r="BF25" s="47" t="e">
        <f>_xll.qlPolynomialFunctionValue(BF$1,$BD25,AllTriggers)</f>
        <v>#VALUE!</v>
      </c>
      <c r="BG25" s="47" t="e">
        <f>_xll.qlPolynomialFunctionValue(BG$1,$BD25,AllTriggers)</f>
        <v>#VALUE!</v>
      </c>
      <c r="BH25" s="47" t="e">
        <f>_xll.qlPolynomialFunctionValue(BH$1,$BD25,AllTriggers)</f>
        <v>#VALUE!</v>
      </c>
      <c r="BI25" s="47" t="e">
        <f>_xll.qlPolynomialFunctionValue(BI$1,$BD25,AllTriggers)</f>
        <v>#VALUE!</v>
      </c>
      <c r="BJ25" s="47" t="e">
        <f>_xll.qlPolynomialFunctionValue(BJ$1,$BD25,AllTriggers)</f>
        <v>#VALUE!</v>
      </c>
      <c r="BK25" s="47" t="e">
        <f>_xll.qlPolynomialFunctionValue(BK$1,$BD25,AllTriggers)</f>
        <v>#VALUE!</v>
      </c>
      <c r="BL25" s="47" t="e">
        <f>_xll.qlPolynomialFunctionValue(BL$1,$BD25,AllTriggers)</f>
        <v>#VALUE!</v>
      </c>
      <c r="BM25" s="47" t="e">
        <f>_xll.qlPolynomialFunctionValue(BM$1,$BD25,AllTriggers)</f>
        <v>#VALUE!</v>
      </c>
      <c r="BN25" s="47" t="e">
        <f>_xll.qlPolynomialFunctionValue(BN$1,$BD25,AllTriggers)</f>
        <v>#VALUE!</v>
      </c>
      <c r="BO25" s="47" t="e">
        <f>_xll.qlPolynomialFunctionValue(BO$1,$BD25,AllTriggers)</f>
        <v>#VALUE!</v>
      </c>
      <c r="BP25" s="47" t="e">
        <f>_xll.qlPolynomialFunctionValue(BP$1,$BD25,AllTriggers)</f>
        <v>#VALUE!</v>
      </c>
      <c r="BQ25" s="47">
        <f>_xll.qlPolynomialFunctionValue('1MSynthDepo_used'!$P$18,BD25,AllTriggers)</f>
        <v>2.2494651611884432E-4</v>
      </c>
    </row>
    <row r="26" spans="1:69" ht="12" customHeight="1" x14ac:dyDescent="0.2">
      <c r="A26" s="21"/>
      <c r="B26" s="55"/>
      <c r="E26" s="35"/>
      <c r="F26" s="133" t="s">
        <v>74</v>
      </c>
      <c r="G26" s="90" t="e">
        <f>AI5</f>
        <v>#NUM!</v>
      </c>
      <c r="H26" s="90" t="e">
        <f>AI15</f>
        <v>#NUM!</v>
      </c>
      <c r="S26" s="90" t="e">
        <f>AI9</f>
        <v>#NUM!</v>
      </c>
      <c r="T26" s="90" t="e">
        <f>AI20</f>
        <v>#NUM!</v>
      </c>
      <c r="U26" s="90" t="e">
        <f>AU5</f>
        <v>#NUM!</v>
      </c>
      <c r="V26" s="90" t="e">
        <f>AU15</f>
        <v>#NUM!</v>
      </c>
      <c r="W26" s="90" t="e">
        <f>AU9</f>
        <v>#NUM!</v>
      </c>
      <c r="X26" s="229" t="e">
        <f>AU20</f>
        <v>#NUM!</v>
      </c>
      <c r="Y26" s="230" t="e">
        <v>#VALUE!</v>
      </c>
      <c r="Z26" s="90" t="e">
        <v>#VALUE!</v>
      </c>
      <c r="AA26" s="90" t="e">
        <v>#VALUE!</v>
      </c>
      <c r="AB26" s="90" t="e">
        <v>#VALUE!</v>
      </c>
      <c r="AC26" s="19" t="s">
        <v>70</v>
      </c>
      <c r="BC26" s="178">
        <f>_xll.qlCalendarAdvance(Calendar,BC25,"1d","mf",,Trigger)</f>
        <v>42307</v>
      </c>
      <c r="BD26" s="41">
        <f>_xll.qlDayCounterYearFraction(DayCounter,SettlementDate,BC26,,,Trigger)</f>
        <v>7.7777777777777779E-2</v>
      </c>
      <c r="BE26" s="47" t="e">
        <f>_xll.qlPolynomialFunctionValue(BE$1,$BD26,AllTriggers)</f>
        <v>#VALUE!</v>
      </c>
      <c r="BF26" s="47" t="e">
        <f>_xll.qlPolynomialFunctionValue(BF$1,$BD26,AllTriggers)</f>
        <v>#VALUE!</v>
      </c>
      <c r="BG26" s="47" t="e">
        <f>_xll.qlPolynomialFunctionValue(BG$1,$BD26,AllTriggers)</f>
        <v>#VALUE!</v>
      </c>
      <c r="BH26" s="47" t="e">
        <f>_xll.qlPolynomialFunctionValue(BH$1,$BD26,AllTriggers)</f>
        <v>#VALUE!</v>
      </c>
      <c r="BI26" s="47" t="e">
        <f>_xll.qlPolynomialFunctionValue(BI$1,$BD26,AllTriggers)</f>
        <v>#VALUE!</v>
      </c>
      <c r="BJ26" s="47" t="e">
        <f>_xll.qlPolynomialFunctionValue(BJ$1,$BD26,AllTriggers)</f>
        <v>#VALUE!</v>
      </c>
      <c r="BK26" s="47" t="e">
        <f>_xll.qlPolynomialFunctionValue(BK$1,$BD26,AllTriggers)</f>
        <v>#VALUE!</v>
      </c>
      <c r="BL26" s="47" t="e">
        <f>_xll.qlPolynomialFunctionValue(BL$1,$BD26,AllTriggers)</f>
        <v>#VALUE!</v>
      </c>
      <c r="BM26" s="47" t="e">
        <f>_xll.qlPolynomialFunctionValue(BM$1,$BD26,AllTriggers)</f>
        <v>#VALUE!</v>
      </c>
      <c r="BN26" s="47" t="e">
        <f>_xll.qlPolynomialFunctionValue(BN$1,$BD26,AllTriggers)</f>
        <v>#VALUE!</v>
      </c>
      <c r="BO26" s="47" t="e">
        <f>_xll.qlPolynomialFunctionValue(BO$1,$BD26,AllTriggers)</f>
        <v>#VALUE!</v>
      </c>
      <c r="BP26" s="47" t="e">
        <f>_xll.qlPolynomialFunctionValue(BP$1,$BD26,AllTriggers)</f>
        <v>#VALUE!</v>
      </c>
      <c r="BQ26" s="47">
        <f>_xll.qlPolynomialFunctionValue('1MSynthDepo_used'!$P$18,BD26,AllTriggers)</f>
        <v>2.2354721989535929E-4</v>
      </c>
    </row>
    <row r="27" spans="1:69" ht="12" customHeight="1" x14ac:dyDescent="0.2">
      <c r="B27" s="22"/>
      <c r="F27" s="133" t="s">
        <v>75</v>
      </c>
      <c r="G27" s="89"/>
      <c r="H27" s="90" t="e">
        <f>AI14</f>
        <v>#NUM!</v>
      </c>
      <c r="S27" s="89"/>
      <c r="T27" s="90" t="e">
        <f>AI19</f>
        <v>#NUM!</v>
      </c>
      <c r="U27" s="89"/>
      <c r="V27" s="90" t="e">
        <f>AU14</f>
        <v>#NUM!</v>
      </c>
      <c r="W27" s="89"/>
      <c r="X27" s="229" t="e">
        <f>AU19</f>
        <v>#NUM!</v>
      </c>
      <c r="Y27" s="231"/>
      <c r="Z27" s="90" t="e">
        <v>#VALUE!</v>
      </c>
      <c r="AA27" s="89"/>
      <c r="AB27" s="90" t="e">
        <v>#VALUE!</v>
      </c>
      <c r="AC27" s="19" t="s">
        <v>70</v>
      </c>
      <c r="BC27" s="178">
        <f>_xll.qlCalendarAdvance(Calendar,BC26,"1d","mf",,Trigger)</f>
        <v>42310</v>
      </c>
      <c r="BD27" s="41">
        <f>_xll.qlDayCounterYearFraction(DayCounter,SettlementDate,BC27,,,Trigger)</f>
        <v>8.611111111111111E-2</v>
      </c>
      <c r="BE27" s="47" t="e">
        <f>_xll.qlPolynomialFunctionValue(BE$1,$BD27,AllTriggers)</f>
        <v>#VALUE!</v>
      </c>
      <c r="BF27" s="47" t="e">
        <f>_xll.qlPolynomialFunctionValue(BF$1,$BD27,AllTriggers)</f>
        <v>#VALUE!</v>
      </c>
      <c r="BG27" s="47" t="e">
        <f>_xll.qlPolynomialFunctionValue(BG$1,$BD27,AllTriggers)</f>
        <v>#VALUE!</v>
      </c>
      <c r="BH27" s="47" t="e">
        <f>_xll.qlPolynomialFunctionValue(BH$1,$BD27,AllTriggers)</f>
        <v>#VALUE!</v>
      </c>
      <c r="BI27" s="47" t="e">
        <f>_xll.qlPolynomialFunctionValue(BI$1,$BD27,AllTriggers)</f>
        <v>#VALUE!</v>
      </c>
      <c r="BJ27" s="47" t="e">
        <f>_xll.qlPolynomialFunctionValue(BJ$1,$BD27,AllTriggers)</f>
        <v>#VALUE!</v>
      </c>
      <c r="BK27" s="47" t="e">
        <f>_xll.qlPolynomialFunctionValue(BK$1,$BD27,AllTriggers)</f>
        <v>#VALUE!</v>
      </c>
      <c r="BL27" s="47" t="e">
        <f>_xll.qlPolynomialFunctionValue(BL$1,$BD27,AllTriggers)</f>
        <v>#VALUE!</v>
      </c>
      <c r="BM27" s="47" t="e">
        <f>_xll.qlPolynomialFunctionValue(BM$1,$BD27,AllTriggers)</f>
        <v>#VALUE!</v>
      </c>
      <c r="BN27" s="47" t="e">
        <f>_xll.qlPolynomialFunctionValue(BN$1,$BD27,AllTriggers)</f>
        <v>#VALUE!</v>
      </c>
      <c r="BO27" s="47" t="e">
        <f>_xll.qlPolynomialFunctionValue(BO$1,$BD27,AllTriggers)</f>
        <v>#VALUE!</v>
      </c>
      <c r="BP27" s="47" t="e">
        <f>_xll.qlPolynomialFunctionValue(BP$1,$BD27,AllTriggers)</f>
        <v>#VALUE!</v>
      </c>
      <c r="BQ27" s="47">
        <f>_xll.qlPolynomialFunctionValue('1MSynthDepo_used'!$P$18,BD27,AllTriggers)</f>
        <v>2.2062003597377524E-4</v>
      </c>
    </row>
    <row r="28" spans="1:69" ht="12" customHeight="1" thickBot="1" x14ac:dyDescent="0.25">
      <c r="F28" s="133" t="s">
        <v>76</v>
      </c>
      <c r="G28" s="89"/>
      <c r="H28" s="89"/>
      <c r="S28" s="89"/>
      <c r="T28" s="89"/>
      <c r="U28" s="89"/>
      <c r="V28" s="89"/>
      <c r="W28" s="89"/>
      <c r="X28" s="232"/>
      <c r="Y28" s="233"/>
      <c r="Z28" s="89"/>
      <c r="AA28" s="89"/>
      <c r="AB28" s="234"/>
      <c r="BC28" s="178">
        <f>_xll.qlCalendarAdvance(Calendar,BC27,"1d","mf",,Trigger)</f>
        <v>42311</v>
      </c>
      <c r="BD28" s="41">
        <f>_xll.qlDayCounterYearFraction(DayCounter,SettlementDate,BC28,,,Trigger)</f>
        <v>8.8888888888888892E-2</v>
      </c>
      <c r="BE28" s="47" t="e">
        <f>_xll.qlPolynomialFunctionValue(BE$1,$BD28,AllTriggers)</f>
        <v>#VALUE!</v>
      </c>
      <c r="BF28" s="47" t="e">
        <f>_xll.qlPolynomialFunctionValue(BF$1,$BD28,AllTriggers)</f>
        <v>#VALUE!</v>
      </c>
      <c r="BG28" s="47" t="e">
        <f>_xll.qlPolynomialFunctionValue(BG$1,$BD28,AllTriggers)</f>
        <v>#VALUE!</v>
      </c>
      <c r="BH28" s="47" t="e">
        <f>_xll.qlPolynomialFunctionValue(BH$1,$BD28,AllTriggers)</f>
        <v>#VALUE!</v>
      </c>
      <c r="BI28" s="47" t="e">
        <f>_xll.qlPolynomialFunctionValue(BI$1,$BD28,AllTriggers)</f>
        <v>#VALUE!</v>
      </c>
      <c r="BJ28" s="47" t="e">
        <f>_xll.qlPolynomialFunctionValue(BJ$1,$BD28,AllTriggers)</f>
        <v>#VALUE!</v>
      </c>
      <c r="BK28" s="47" t="e">
        <f>_xll.qlPolynomialFunctionValue(BK$1,$BD28,AllTriggers)</f>
        <v>#VALUE!</v>
      </c>
      <c r="BL28" s="47" t="e">
        <f>_xll.qlPolynomialFunctionValue(BL$1,$BD28,AllTriggers)</f>
        <v>#VALUE!</v>
      </c>
      <c r="BM28" s="47" t="e">
        <f>_xll.qlPolynomialFunctionValue(BM$1,$BD28,AllTriggers)</f>
        <v>#VALUE!</v>
      </c>
      <c r="BN28" s="47" t="e">
        <f>_xll.qlPolynomialFunctionValue(BN$1,$BD28,AllTriggers)</f>
        <v>#VALUE!</v>
      </c>
      <c r="BO28" s="47" t="e">
        <f>_xll.qlPolynomialFunctionValue(BO$1,$BD28,AllTriggers)</f>
        <v>#VALUE!</v>
      </c>
      <c r="BP28" s="47" t="e">
        <f>_xll.qlPolynomialFunctionValue(BP$1,$BD28,AllTriggers)</f>
        <v>#VALUE!</v>
      </c>
      <c r="BQ28" s="47">
        <f>_xll.qlPolynomialFunctionValue('1MSynthDepo_used'!$P$18,BD28,AllTriggers)</f>
        <v>2.2004836596369867E-4</v>
      </c>
    </row>
    <row r="29" spans="1:69" ht="12" customHeight="1" x14ac:dyDescent="0.2">
      <c r="G29" s="147" t="s">
        <v>66</v>
      </c>
      <c r="H29" s="148"/>
      <c r="S29" s="148"/>
      <c r="T29" s="148"/>
      <c r="U29" s="148"/>
      <c r="V29" s="148"/>
      <c r="W29" s="148"/>
      <c r="X29" s="149"/>
      <c r="Y29" s="147" t="s">
        <v>67</v>
      </c>
      <c r="Z29" s="148"/>
      <c r="AA29" s="148"/>
      <c r="AB29" s="149"/>
      <c r="BC29" s="178">
        <f>_xll.qlCalendarAdvance(Calendar,BC28,"1d","mf",,Trigger)</f>
        <v>42312</v>
      </c>
      <c r="BD29" s="41">
        <f>_xll.qlDayCounterYearFraction(DayCounter,SettlementDate,BC29,,,Trigger)</f>
        <v>9.166666666666666E-2</v>
      </c>
      <c r="BE29" s="47" t="e">
        <f>_xll.qlPolynomialFunctionValue(BE$1,$BD29,AllTriggers)</f>
        <v>#VALUE!</v>
      </c>
      <c r="BF29" s="47" t="e">
        <f>_xll.qlPolynomialFunctionValue(BF$1,$BD29,AllTriggers)</f>
        <v>#VALUE!</v>
      </c>
      <c r="BG29" s="47" t="e">
        <f>_xll.qlPolynomialFunctionValue(BG$1,$BD29,AllTriggers)</f>
        <v>#VALUE!</v>
      </c>
      <c r="BH29" s="47" t="e">
        <f>_xll.qlPolynomialFunctionValue(BH$1,$BD29,AllTriggers)</f>
        <v>#VALUE!</v>
      </c>
      <c r="BI29" s="47" t="e">
        <f>_xll.qlPolynomialFunctionValue(BI$1,$BD29,AllTriggers)</f>
        <v>#VALUE!</v>
      </c>
      <c r="BJ29" s="47" t="e">
        <f>_xll.qlPolynomialFunctionValue(BJ$1,$BD29,AllTriggers)</f>
        <v>#VALUE!</v>
      </c>
      <c r="BK29" s="47" t="e">
        <f>_xll.qlPolynomialFunctionValue(BK$1,$BD29,AllTriggers)</f>
        <v>#VALUE!</v>
      </c>
      <c r="BL29" s="47" t="e">
        <f>_xll.qlPolynomialFunctionValue(BL$1,$BD29,AllTriggers)</f>
        <v>#VALUE!</v>
      </c>
      <c r="BM29" s="47" t="e">
        <f>_xll.qlPolynomialFunctionValue(BM$1,$BD29,AllTriggers)</f>
        <v>#VALUE!</v>
      </c>
      <c r="BN29" s="47" t="e">
        <f>_xll.qlPolynomialFunctionValue(BN$1,$BD29,AllTriggers)</f>
        <v>#VALUE!</v>
      </c>
      <c r="BO29" s="47" t="e">
        <f>_xll.qlPolynomialFunctionValue(BO$1,$BD29,AllTriggers)</f>
        <v>#VALUE!</v>
      </c>
      <c r="BP29" s="47" t="e">
        <f>_xll.qlPolynomialFunctionValue(BP$1,$BD29,AllTriggers)</f>
        <v>#VALUE!</v>
      </c>
      <c r="BQ29" s="47">
        <f>_xll.qlPolynomialFunctionValue('1MSynthDepo_used'!$P$18,BD29,AllTriggers)</f>
        <v>2.1966896979259509E-4</v>
      </c>
    </row>
    <row r="30" spans="1:69" ht="12" customHeight="1" x14ac:dyDescent="0.2">
      <c r="G30" s="214" t="s">
        <v>106</v>
      </c>
      <c r="H30" s="215"/>
      <c r="S30" s="215"/>
      <c r="T30" s="216"/>
      <c r="U30" s="214" t="s">
        <v>107</v>
      </c>
      <c r="V30" s="215"/>
      <c r="W30" s="215"/>
      <c r="X30" s="216"/>
      <c r="Y30" s="214" t="s">
        <v>106</v>
      </c>
      <c r="Z30" s="215"/>
      <c r="AA30" s="215"/>
      <c r="AB30" s="216"/>
      <c r="BC30" s="178">
        <f>_xll.qlCalendarAdvance(Calendar,BC29,"1d","mf",,Trigger)</f>
        <v>42313</v>
      </c>
      <c r="BD30" s="41">
        <f>_xll.qlDayCounterYearFraction(DayCounter,SettlementDate,BC30,,,Trigger)</f>
        <v>9.4444444444444442E-2</v>
      </c>
      <c r="BE30" s="47" t="e">
        <f>_xll.qlPolynomialFunctionValue(BE$1,$BD30,AllTriggers)</f>
        <v>#VALUE!</v>
      </c>
      <c r="BF30" s="47" t="e">
        <f>_xll.qlPolynomialFunctionValue(BF$1,$BD30,AllTriggers)</f>
        <v>#VALUE!</v>
      </c>
      <c r="BG30" s="47" t="e">
        <f>_xll.qlPolynomialFunctionValue(BG$1,$BD30,AllTriggers)</f>
        <v>#VALUE!</v>
      </c>
      <c r="BH30" s="47" t="e">
        <f>_xll.qlPolynomialFunctionValue(BH$1,$BD30,AllTriggers)</f>
        <v>#VALUE!</v>
      </c>
      <c r="BI30" s="47" t="e">
        <f>_xll.qlPolynomialFunctionValue(BI$1,$BD30,AllTriggers)</f>
        <v>#VALUE!</v>
      </c>
      <c r="BJ30" s="47" t="e">
        <f>_xll.qlPolynomialFunctionValue(BJ$1,$BD30,AllTriggers)</f>
        <v>#VALUE!</v>
      </c>
      <c r="BK30" s="47" t="e">
        <f>_xll.qlPolynomialFunctionValue(BK$1,$BD30,AllTriggers)</f>
        <v>#VALUE!</v>
      </c>
      <c r="BL30" s="47" t="e">
        <f>_xll.qlPolynomialFunctionValue(BL$1,$BD30,AllTriggers)</f>
        <v>#VALUE!</v>
      </c>
      <c r="BM30" s="47" t="e">
        <f>_xll.qlPolynomialFunctionValue(BM$1,$BD30,AllTriggers)</f>
        <v>#VALUE!</v>
      </c>
      <c r="BN30" s="47" t="e">
        <f>_xll.qlPolynomialFunctionValue(BN$1,$BD30,AllTriggers)</f>
        <v>#VALUE!</v>
      </c>
      <c r="BO30" s="47" t="e">
        <f>_xll.qlPolynomialFunctionValue(BO$1,$BD30,AllTriggers)</f>
        <v>#VALUE!</v>
      </c>
      <c r="BP30" s="47" t="e">
        <f>_xll.qlPolynomialFunctionValue(BP$1,$BD30,AllTriggers)</f>
        <v>#VALUE!</v>
      </c>
      <c r="BQ30" s="47">
        <f>_xll.qlPolynomialFunctionValue('1MSynthDepo_used'!$P$18,BD30,AllTriggers)</f>
        <v>2.194759943747129E-4</v>
      </c>
    </row>
    <row r="31" spans="1:69" ht="12" customHeight="1" thickBot="1" x14ac:dyDescent="0.25">
      <c r="G31" s="134" t="str">
        <f>"with 0X"&amp;SUBSTITUTE($D$21,"M","")</f>
        <v>with 0X1</v>
      </c>
      <c r="H31" s="110"/>
      <c r="S31" s="109" t="str">
        <f>"without 0X"&amp;SUBSTITUTE($D$21,"M","")</f>
        <v>without 0X1</v>
      </c>
      <c r="T31" s="135"/>
      <c r="U31" s="134" t="str">
        <f>"with 0X"&amp;SUBSTITUTE($D$21,"M","")</f>
        <v>with 0X1</v>
      </c>
      <c r="V31" s="110"/>
      <c r="W31" s="109" t="str">
        <f>"without 0X"&amp;SUBSTITUTE($D$21,"M","")</f>
        <v>without 0X1</v>
      </c>
      <c r="X31" s="135"/>
      <c r="Y31" s="134" t="str">
        <f>"with 0X"&amp;SUBSTITUTE($D$21,"M","")</f>
        <v>with 0X1</v>
      </c>
      <c r="Z31" s="110"/>
      <c r="AA31" s="109" t="str">
        <f>"without 0X"&amp;SUBSTITUTE($D$21,"M","")</f>
        <v>without 0X1</v>
      </c>
      <c r="AB31" s="135"/>
      <c r="BC31" s="178">
        <f>_xll.qlCalendarAdvance(Calendar,BC30,"1d","mf",,Trigger)</f>
        <v>42314</v>
      </c>
      <c r="BD31" s="41">
        <f>_xll.qlDayCounterYearFraction(DayCounter,SettlementDate,BC31,,,Trigger)</f>
        <v>9.7222222222222224E-2</v>
      </c>
      <c r="BE31" s="47" t="e">
        <f>_xll.qlPolynomialFunctionValue(BE$1,$BD31,AllTriggers)</f>
        <v>#VALUE!</v>
      </c>
      <c r="BF31" s="47" t="e">
        <f>_xll.qlPolynomialFunctionValue(BF$1,$BD31,AllTriggers)</f>
        <v>#VALUE!</v>
      </c>
      <c r="BG31" s="47" t="e">
        <f>_xll.qlPolynomialFunctionValue(BG$1,$BD31,AllTriggers)</f>
        <v>#VALUE!</v>
      </c>
      <c r="BH31" s="47" t="e">
        <f>_xll.qlPolynomialFunctionValue(BH$1,$BD31,AllTriggers)</f>
        <v>#VALUE!</v>
      </c>
      <c r="BI31" s="47" t="e">
        <f>_xll.qlPolynomialFunctionValue(BI$1,$BD31,AllTriggers)</f>
        <v>#VALUE!</v>
      </c>
      <c r="BJ31" s="47" t="e">
        <f>_xll.qlPolynomialFunctionValue(BJ$1,$BD31,AllTriggers)</f>
        <v>#VALUE!</v>
      </c>
      <c r="BK31" s="47" t="e">
        <f>_xll.qlPolynomialFunctionValue(BK$1,$BD31,AllTriggers)</f>
        <v>#VALUE!</v>
      </c>
      <c r="BL31" s="47" t="e">
        <f>_xll.qlPolynomialFunctionValue(BL$1,$BD31,AllTriggers)</f>
        <v>#VALUE!</v>
      </c>
      <c r="BM31" s="47" t="e">
        <f>_xll.qlPolynomialFunctionValue(BM$1,$BD31,AllTriggers)</f>
        <v>#VALUE!</v>
      </c>
      <c r="BN31" s="47" t="e">
        <f>_xll.qlPolynomialFunctionValue(BN$1,$BD31,AllTriggers)</f>
        <v>#VALUE!</v>
      </c>
      <c r="BO31" s="47" t="e">
        <f>_xll.qlPolynomialFunctionValue(BO$1,$BD31,AllTriggers)</f>
        <v>#VALUE!</v>
      </c>
      <c r="BP31" s="47" t="e">
        <f>_xll.qlPolynomialFunctionValue(BP$1,$BD31,AllTriggers)</f>
        <v>#VALUE!</v>
      </c>
      <c r="BQ31" s="47">
        <f>_xll.qlPolynomialFunctionValue('1MSynthDepo_used'!$P$18,BD31,AllTriggers)</f>
        <v>2.1946358662430031E-4</v>
      </c>
    </row>
    <row r="32" spans="1:69" ht="12" customHeight="1" x14ac:dyDescent="0.2">
      <c r="D32" s="36" t="s">
        <v>49</v>
      </c>
      <c r="E32" s="36" t="s">
        <v>38</v>
      </c>
      <c r="F32" s="36" t="s">
        <v>39</v>
      </c>
      <c r="G32" s="136" t="str">
        <f>IF(COUNT(G$25:G$28)=2,"Linear","Quadratic")</f>
        <v>Quadratic</v>
      </c>
      <c r="H32" s="38" t="str">
        <f>IF(COUNT(H$25:H$28)=2,"Linear","Quadratic")</f>
        <v>Quadratic</v>
      </c>
      <c r="S32" s="38" t="str">
        <f t="shared" ref="S32:AB32" si="8">IF(COUNT(S$25:S$28)=2,"Linear","Quadratic")</f>
        <v>Quadratic</v>
      </c>
      <c r="T32" s="137" t="str">
        <f t="shared" si="8"/>
        <v>Quadratic</v>
      </c>
      <c r="U32" s="136" t="str">
        <f t="shared" si="8"/>
        <v>Quadratic</v>
      </c>
      <c r="V32" s="38" t="str">
        <f t="shared" si="8"/>
        <v>Quadratic</v>
      </c>
      <c r="W32" s="38" t="str">
        <f t="shared" si="8"/>
        <v>Quadratic</v>
      </c>
      <c r="X32" s="137" t="str">
        <f t="shared" si="8"/>
        <v>Quadratic</v>
      </c>
      <c r="Y32" s="136" t="str">
        <f t="shared" si="8"/>
        <v>Quadratic</v>
      </c>
      <c r="Z32" s="38" t="str">
        <f t="shared" si="8"/>
        <v>Quadratic</v>
      </c>
      <c r="AA32" s="38" t="str">
        <f t="shared" si="8"/>
        <v>Quadratic</v>
      </c>
      <c r="AB32" s="137" t="str">
        <f t="shared" si="8"/>
        <v>Quadratic</v>
      </c>
      <c r="AC32" s="255" t="s">
        <v>105</v>
      </c>
      <c r="BC32" s="178">
        <f>_xll.qlCalendarAdvance(Calendar,BC31,"1d","mf",,Trigger)</f>
        <v>42317</v>
      </c>
      <c r="BD32" s="41">
        <f>_xll.qlDayCounterYearFraction(DayCounter,SettlementDate,BC32,,,Trigger)</f>
        <v>0.10555555555555556</v>
      </c>
      <c r="BE32" s="47" t="e">
        <f>_xll.qlPolynomialFunctionValue(BE$1,$BD32,AllTriggers)</f>
        <v>#VALUE!</v>
      </c>
      <c r="BF32" s="47" t="e">
        <f>_xll.qlPolynomialFunctionValue(BF$1,$BD32,AllTriggers)</f>
        <v>#VALUE!</v>
      </c>
      <c r="BG32" s="47" t="e">
        <f>_xll.qlPolynomialFunctionValue(BG$1,$BD32,AllTriggers)</f>
        <v>#VALUE!</v>
      </c>
      <c r="BH32" s="47" t="e">
        <f>_xll.qlPolynomialFunctionValue(BH$1,$BD32,AllTriggers)</f>
        <v>#VALUE!</v>
      </c>
      <c r="BI32" s="47" t="e">
        <f>_xll.qlPolynomialFunctionValue(BI$1,$BD32,AllTriggers)</f>
        <v>#VALUE!</v>
      </c>
      <c r="BJ32" s="47" t="e">
        <f>_xll.qlPolynomialFunctionValue(BJ$1,$BD32,AllTriggers)</f>
        <v>#VALUE!</v>
      </c>
      <c r="BK32" s="47" t="e">
        <f>_xll.qlPolynomialFunctionValue(BK$1,$BD32,AllTriggers)</f>
        <v>#VALUE!</v>
      </c>
      <c r="BL32" s="47" t="e">
        <f>_xll.qlPolynomialFunctionValue(BL$1,$BD32,AllTriggers)</f>
        <v>#VALUE!</v>
      </c>
      <c r="BM32" s="47" t="e">
        <f>_xll.qlPolynomialFunctionValue(BM$1,$BD32,AllTriggers)</f>
        <v>#VALUE!</v>
      </c>
      <c r="BN32" s="47" t="e">
        <f>_xll.qlPolynomialFunctionValue(BN$1,$BD32,AllTriggers)</f>
        <v>#VALUE!</v>
      </c>
      <c r="BO32" s="47" t="e">
        <f>_xll.qlPolynomialFunctionValue(BO$1,$BD32,AllTriggers)</f>
        <v>#VALUE!</v>
      </c>
      <c r="BP32" s="47" t="e">
        <f>_xll.qlPolynomialFunctionValue(BP$1,$BD32,AllTriggers)</f>
        <v>#VALUE!</v>
      </c>
      <c r="BQ32" s="47">
        <f>_xll.qlPolynomialFunctionValue('1MSynthDepo_used'!$P$18,BD32,AllTriggers)</f>
        <v>2.2045123852036419E-4</v>
      </c>
    </row>
    <row r="33" spans="3:69" ht="12" customHeight="1" x14ac:dyDescent="0.2">
      <c r="C33" s="19">
        <v>0</v>
      </c>
      <c r="D33" s="45" t="s">
        <v>25</v>
      </c>
      <c r="E33" s="175">
        <f>_xll.qlCalendarAdvance(Calendar,SettlementDate,C33&amp;"M","mf",TRUE,Trigger)</f>
        <v>42279</v>
      </c>
      <c r="F33" s="245">
        <f>_xll.qlCalendarAdvance(Calendar,SettlementDate,D33,"Following",,Trigger)</f>
        <v>42282</v>
      </c>
      <c r="G33" s="253" t="e">
        <f>_xll.qlTenorBasisForwardRate2(G$24,$E33,$F33,InterestRatesTrigger)</f>
        <v>#VALUE!</v>
      </c>
      <c r="H33" s="193" t="e">
        <f>_xll.qlTenorBasisForwardRate2(H$24,$E33,$F33,InterestRatesTrigger)</f>
        <v>#VALUE!</v>
      </c>
      <c r="S33" s="193" t="e">
        <f>_xll.qlTenorBasisForwardRate2(S$24,$E33,$F33,InterestRatesTrigger)</f>
        <v>#VALUE!</v>
      </c>
      <c r="T33" s="254" t="e">
        <f>_xll.qlTenorBasisForwardRate2(T$24,$E33,$F33,InterestRatesTrigger)</f>
        <v>#VALUE!</v>
      </c>
      <c r="U33" s="253" t="e">
        <f>_xll.qlTenorBasisForwardRate2(U$24,$E33,$F33,InterestRatesTrigger)</f>
        <v>#VALUE!</v>
      </c>
      <c r="V33" s="193" t="e">
        <f>_xll.qlTenorBasisForwardRate2(V$24,$E33,$F33,InterestRatesTrigger)</f>
        <v>#VALUE!</v>
      </c>
      <c r="W33" s="193" t="e">
        <f>_xll.qlTenorBasisForwardRate2(W$24,$E33,$F33,InterestRatesTrigger)</f>
        <v>#VALUE!</v>
      </c>
      <c r="X33" s="254" t="e">
        <f>_xll.qlTenorBasisForwardRate2(X$24,$E33,$F33,InterestRatesTrigger)</f>
        <v>#VALUE!</v>
      </c>
      <c r="Y33" s="253" t="e">
        <f>_xll.qlTenorBasisForwardRate2(Y$24,$E33,$F33,InterestRatesTrigger)</f>
        <v>#VALUE!</v>
      </c>
      <c r="Z33" s="193" t="e">
        <f>_xll.qlTenorBasisForwardRate2(Z$24,$E33,$F33,InterestRatesTrigger)</f>
        <v>#VALUE!</v>
      </c>
      <c r="AA33" s="193" t="e">
        <f>_xll.qlTenorBasisForwardRate2(AA$24,$E33,$F33,InterestRatesTrigger)</f>
        <v>#VALUE!</v>
      </c>
      <c r="AB33" s="254" t="e">
        <f>_xll.qlTenorBasisForwardRate2(AB$24,$E33,$F33,InterestRatesTrigger)</f>
        <v>#VALUE!</v>
      </c>
      <c r="AC33" s="254">
        <f>'1MSynthDepo_used'!AA15</f>
        <v>-1.0128004084730691E-3</v>
      </c>
      <c r="BC33" s="178">
        <f>_xll.qlCalendarAdvance(Calendar,BC32,"1d","mf",,Trigger)</f>
        <v>42318</v>
      </c>
      <c r="BD33" s="41">
        <f>_xll.qlDayCounterYearFraction(DayCounter,SettlementDate,BC33,,,Trigger)</f>
        <v>0.10833333333333334</v>
      </c>
      <c r="BE33" s="47" t="e">
        <f>_xll.qlPolynomialFunctionValue(BE$1,$BD33,AllTriggers)</f>
        <v>#VALUE!</v>
      </c>
      <c r="BF33" s="47" t="e">
        <f>_xll.qlPolynomialFunctionValue(BF$1,$BD33,AllTriggers)</f>
        <v>#VALUE!</v>
      </c>
      <c r="BG33" s="47" t="e">
        <f>_xll.qlPolynomialFunctionValue(BG$1,$BD33,AllTriggers)</f>
        <v>#VALUE!</v>
      </c>
      <c r="BH33" s="47" t="e">
        <f>_xll.qlPolynomialFunctionValue(BH$1,$BD33,AllTriggers)</f>
        <v>#VALUE!</v>
      </c>
      <c r="BI33" s="47" t="e">
        <f>_xll.qlPolynomialFunctionValue(BI$1,$BD33,AllTriggers)</f>
        <v>#VALUE!</v>
      </c>
      <c r="BJ33" s="47" t="e">
        <f>_xll.qlPolynomialFunctionValue(BJ$1,$BD33,AllTriggers)</f>
        <v>#VALUE!</v>
      </c>
      <c r="BK33" s="47" t="e">
        <f>_xll.qlPolynomialFunctionValue(BK$1,$BD33,AllTriggers)</f>
        <v>#VALUE!</v>
      </c>
      <c r="BL33" s="47" t="e">
        <f>_xll.qlPolynomialFunctionValue(BL$1,$BD33,AllTriggers)</f>
        <v>#VALUE!</v>
      </c>
      <c r="BM33" s="47" t="e">
        <f>_xll.qlPolynomialFunctionValue(BM$1,$BD33,AllTriggers)</f>
        <v>#VALUE!</v>
      </c>
      <c r="BN33" s="47" t="e">
        <f>_xll.qlPolynomialFunctionValue(BN$1,$BD33,AllTriggers)</f>
        <v>#VALUE!</v>
      </c>
      <c r="BO33" s="47" t="e">
        <f>_xll.qlPolynomialFunctionValue(BO$1,$BD33,AllTriggers)</f>
        <v>#VALUE!</v>
      </c>
      <c r="BP33" s="47" t="e">
        <f>_xll.qlPolynomialFunctionValue(BP$1,$BD33,AllTriggers)</f>
        <v>#VALUE!</v>
      </c>
      <c r="BQ33" s="47">
        <f>_xll.qlPolynomialFunctionValue('1MSynthDepo_used'!$P$18,BD33,AllTriggers)</f>
        <v>2.2110257058231388E-4</v>
      </c>
    </row>
    <row r="34" spans="3:69" ht="12" customHeight="1" x14ac:dyDescent="0.2">
      <c r="C34" s="19">
        <v>0</v>
      </c>
      <c r="D34" s="48" t="s">
        <v>26</v>
      </c>
      <c r="E34" s="177">
        <f>_xll.qlCalendarAdvance(Calendar,SettlementDate,C34&amp;"M","mf",TRUE,Trigger)</f>
        <v>42279</v>
      </c>
      <c r="F34" s="246">
        <f>_xll.qlCalendarAdvance(Calendar,SettlementDate,D34,"Following",,Trigger)</f>
        <v>42286</v>
      </c>
      <c r="G34" s="138" t="e">
        <f>_xll.qlTenorBasisForwardRate2(G$24,$E34,$F34,InterestRatesTrigger)</f>
        <v>#VALUE!</v>
      </c>
      <c r="H34" s="128" t="e">
        <f>_xll.qlTenorBasisForwardRate2(H$24,$E34,$F34,InterestRatesTrigger)</f>
        <v>#VALUE!</v>
      </c>
      <c r="S34" s="128" t="e">
        <f>_xll.qlTenorBasisForwardRate2(S$24,$E34,$F34,InterestRatesTrigger)</f>
        <v>#VALUE!</v>
      </c>
      <c r="T34" s="139" t="e">
        <f>_xll.qlTenorBasisForwardRate2(T$24,$E34,$F34,InterestRatesTrigger)</f>
        <v>#VALUE!</v>
      </c>
      <c r="U34" s="138" t="e">
        <f>_xll.qlTenorBasisForwardRate2(U$24,$E34,$F34,InterestRatesTrigger)</f>
        <v>#VALUE!</v>
      </c>
      <c r="V34" s="128" t="e">
        <f>_xll.qlTenorBasisForwardRate2(V$24,$E34,$F34,InterestRatesTrigger)</f>
        <v>#VALUE!</v>
      </c>
      <c r="W34" s="128" t="e">
        <f>_xll.qlTenorBasisForwardRate2(W$24,$E34,$F34,InterestRatesTrigger)</f>
        <v>#VALUE!</v>
      </c>
      <c r="X34" s="139" t="e">
        <f>_xll.qlTenorBasisForwardRate2(X$24,$E34,$F34,InterestRatesTrigger)</f>
        <v>#VALUE!</v>
      </c>
      <c r="Y34" s="138" t="e">
        <f>_xll.qlTenorBasisForwardRate2(Y$24,$E34,$F34,InterestRatesTrigger)</f>
        <v>#VALUE!</v>
      </c>
      <c r="Z34" s="128" t="e">
        <f>_xll.qlTenorBasisForwardRate2(Z$24,$E34,$F34,InterestRatesTrigger)</f>
        <v>#VALUE!</v>
      </c>
      <c r="AA34" s="128" t="e">
        <f>_xll.qlTenorBasisForwardRate2(AA$24,$E34,$F34,InterestRatesTrigger)</f>
        <v>#VALUE!</v>
      </c>
      <c r="AB34" s="139" t="e">
        <f>_xll.qlTenorBasisForwardRate2(AB$24,$E34,$F34,InterestRatesTrigger)</f>
        <v>#VALUE!</v>
      </c>
      <c r="AC34" s="139">
        <f>'1MSynthDepo_used'!AA16</f>
        <v>-1.0992456741482875E-3</v>
      </c>
      <c r="BC34" s="178">
        <f>_xll.qlCalendarAdvance(Calendar,BC33,"1d","mf",,Trigger)</f>
        <v>42319</v>
      </c>
      <c r="BD34" s="41">
        <f>_xll.qlDayCounterYearFraction(DayCounter,SettlementDate,BC34,,,Trigger)</f>
        <v>0.1111111111111111</v>
      </c>
      <c r="BE34" s="47" t="e">
        <f>_xll.qlPolynomialFunctionValue(BE$1,$BD34,AllTriggers)</f>
        <v>#VALUE!</v>
      </c>
      <c r="BF34" s="47" t="e">
        <f>_xll.qlPolynomialFunctionValue(BF$1,$BD34,AllTriggers)</f>
        <v>#VALUE!</v>
      </c>
      <c r="BG34" s="47" t="e">
        <f>_xll.qlPolynomialFunctionValue(BG$1,$BD34,AllTriggers)</f>
        <v>#VALUE!</v>
      </c>
      <c r="BH34" s="47" t="e">
        <f>_xll.qlPolynomialFunctionValue(BH$1,$BD34,AllTriggers)</f>
        <v>#VALUE!</v>
      </c>
      <c r="BI34" s="47" t="e">
        <f>_xll.qlPolynomialFunctionValue(BI$1,$BD34,AllTriggers)</f>
        <v>#VALUE!</v>
      </c>
      <c r="BJ34" s="47" t="e">
        <f>_xll.qlPolynomialFunctionValue(BJ$1,$BD34,AllTriggers)</f>
        <v>#VALUE!</v>
      </c>
      <c r="BK34" s="47" t="e">
        <f>_xll.qlPolynomialFunctionValue(BK$1,$BD34,AllTriggers)</f>
        <v>#VALUE!</v>
      </c>
      <c r="BL34" s="47" t="e">
        <f>_xll.qlPolynomialFunctionValue(BL$1,$BD34,AllTriggers)</f>
        <v>#VALUE!</v>
      </c>
      <c r="BM34" s="47" t="e">
        <f>_xll.qlPolynomialFunctionValue(BM$1,$BD34,AllTriggers)</f>
        <v>#VALUE!</v>
      </c>
      <c r="BN34" s="47" t="e">
        <f>_xll.qlPolynomialFunctionValue(BN$1,$BD34,AllTriggers)</f>
        <v>#VALUE!</v>
      </c>
      <c r="BO34" s="47" t="e">
        <f>_xll.qlPolynomialFunctionValue(BO$1,$BD34,AllTriggers)</f>
        <v>#VALUE!</v>
      </c>
      <c r="BP34" s="47" t="e">
        <f>_xll.qlPolynomialFunctionValue(BP$1,$BD34,AllTriggers)</f>
        <v>#VALUE!</v>
      </c>
      <c r="BQ34" s="47">
        <f>_xll.qlPolynomialFunctionValue('1MSynthDepo_used'!$P$18,BD34,AllTriggers)</f>
        <v>2.2190520488297495E-4</v>
      </c>
    </row>
    <row r="35" spans="3:69" ht="12" customHeight="1" x14ac:dyDescent="0.2">
      <c r="C35" s="19">
        <v>0</v>
      </c>
      <c r="D35" s="48" t="s">
        <v>27</v>
      </c>
      <c r="E35" s="177">
        <f>_xll.qlCalendarAdvance(Calendar,SettlementDate,C35&amp;"M","mf",TRUE,Trigger)</f>
        <v>42279</v>
      </c>
      <c r="F35" s="246">
        <f>_xll.qlCalendarAdvance(Calendar,SettlementDate,D35,"Following",,Trigger)</f>
        <v>42293</v>
      </c>
      <c r="G35" s="138" t="e">
        <f>_xll.qlTenorBasisForwardRate2(G$24,$E35,$F35,InterestRatesTrigger)</f>
        <v>#VALUE!</v>
      </c>
      <c r="H35" s="128" t="e">
        <f>_xll.qlTenorBasisForwardRate2(H$24,$E35,$F35,InterestRatesTrigger)</f>
        <v>#VALUE!</v>
      </c>
      <c r="S35" s="128" t="e">
        <f>_xll.qlTenorBasisForwardRate2(S$24,$E35,$F35,InterestRatesTrigger)</f>
        <v>#VALUE!</v>
      </c>
      <c r="T35" s="139" t="e">
        <f>_xll.qlTenorBasisForwardRate2(T$24,$E35,$F35,InterestRatesTrigger)</f>
        <v>#VALUE!</v>
      </c>
      <c r="U35" s="138" t="e">
        <f>_xll.qlTenorBasisForwardRate2(U$24,$E35,$F35,InterestRatesTrigger)</f>
        <v>#VALUE!</v>
      </c>
      <c r="V35" s="128" t="e">
        <f>_xll.qlTenorBasisForwardRate2(V$24,$E35,$F35,InterestRatesTrigger)</f>
        <v>#VALUE!</v>
      </c>
      <c r="W35" s="128" t="e">
        <f>_xll.qlTenorBasisForwardRate2(W$24,$E35,$F35,InterestRatesTrigger)</f>
        <v>#VALUE!</v>
      </c>
      <c r="X35" s="139" t="e">
        <f>_xll.qlTenorBasisForwardRate2(X$24,$E35,$F35,InterestRatesTrigger)</f>
        <v>#VALUE!</v>
      </c>
      <c r="Y35" s="138" t="e">
        <f>_xll.qlTenorBasisForwardRate2(Y$24,$E35,$F35,InterestRatesTrigger)</f>
        <v>#VALUE!</v>
      </c>
      <c r="Z35" s="128" t="e">
        <f>_xll.qlTenorBasisForwardRate2(Z$24,$E35,$F35,InterestRatesTrigger)</f>
        <v>#VALUE!</v>
      </c>
      <c r="AA35" s="128" t="e">
        <f>_xll.qlTenorBasisForwardRate2(AA$24,$E35,$F35,InterestRatesTrigger)</f>
        <v>#VALUE!</v>
      </c>
      <c r="AB35" s="139" t="e">
        <f>_xll.qlTenorBasisForwardRate2(AB$24,$E35,$F35,InterestRatesTrigger)</f>
        <v>#VALUE!</v>
      </c>
      <c r="AC35" s="139">
        <f>'1MSynthDepo_used'!AA17</f>
        <v>-1.1236521203437733E-3</v>
      </c>
      <c r="BC35" s="178">
        <f>_xll.qlCalendarAdvance(Calendar,BC34,"1d","mf",,Trigger)</f>
        <v>42320</v>
      </c>
      <c r="BD35" s="41">
        <f>_xll.qlDayCounterYearFraction(DayCounter,SettlementDate,BC35,,,Trigger)</f>
        <v>0.11388888888888889</v>
      </c>
      <c r="BE35" s="47" t="e">
        <f>_xll.qlPolynomialFunctionValue(BE$1,$BD35,AllTriggers)</f>
        <v>#VALUE!</v>
      </c>
      <c r="BF35" s="47" t="e">
        <f>_xll.qlPolynomialFunctionValue(BF$1,$BD35,AllTriggers)</f>
        <v>#VALUE!</v>
      </c>
      <c r="BG35" s="47" t="e">
        <f>_xll.qlPolynomialFunctionValue(BG$1,$BD35,AllTriggers)</f>
        <v>#VALUE!</v>
      </c>
      <c r="BH35" s="47" t="e">
        <f>_xll.qlPolynomialFunctionValue(BH$1,$BD35,AllTriggers)</f>
        <v>#VALUE!</v>
      </c>
      <c r="BI35" s="47" t="e">
        <f>_xll.qlPolynomialFunctionValue(BI$1,$BD35,AllTriggers)</f>
        <v>#VALUE!</v>
      </c>
      <c r="BJ35" s="47" t="e">
        <f>_xll.qlPolynomialFunctionValue(BJ$1,$BD35,AllTriggers)</f>
        <v>#VALUE!</v>
      </c>
      <c r="BK35" s="47" t="e">
        <f>_xll.qlPolynomialFunctionValue(BK$1,$BD35,AllTriggers)</f>
        <v>#VALUE!</v>
      </c>
      <c r="BL35" s="47" t="e">
        <f>_xll.qlPolynomialFunctionValue(BL$1,$BD35,AllTriggers)</f>
        <v>#VALUE!</v>
      </c>
      <c r="BM35" s="47" t="e">
        <f>_xll.qlPolynomialFunctionValue(BM$1,$BD35,AllTriggers)</f>
        <v>#VALUE!</v>
      </c>
      <c r="BN35" s="47" t="e">
        <f>_xll.qlPolynomialFunctionValue(BN$1,$BD35,AllTriggers)</f>
        <v>#VALUE!</v>
      </c>
      <c r="BO35" s="47" t="e">
        <f>_xll.qlPolynomialFunctionValue(BO$1,$BD35,AllTriggers)</f>
        <v>#VALUE!</v>
      </c>
      <c r="BP35" s="47" t="e">
        <f>_xll.qlPolynomialFunctionValue(BP$1,$BD35,AllTriggers)</f>
        <v>#VALUE!</v>
      </c>
      <c r="BQ35" s="47">
        <f>_xll.qlPolynomialFunctionValue('1MSynthDepo_used'!$P$18,BD35,AllTriggers)</f>
        <v>2.2285328833659566E-4</v>
      </c>
    </row>
    <row r="36" spans="3:69" ht="12" customHeight="1" x14ac:dyDescent="0.2">
      <c r="C36" s="19">
        <v>0</v>
      </c>
      <c r="D36" s="48" t="s">
        <v>28</v>
      </c>
      <c r="E36" s="177">
        <f>_xll.qlCalendarAdvance(Calendar,SettlementDate,C36&amp;"M","mf",TRUE,Trigger)</f>
        <v>42279</v>
      </c>
      <c r="F36" s="246">
        <f>_xll.qlCalendarAdvance(Calendar,SettlementDate,D36,"Following",,Trigger)</f>
        <v>42300</v>
      </c>
      <c r="G36" s="138" t="e">
        <f>_xll.qlTenorBasisForwardRate2(G$24,$E36,$F36,InterestRatesTrigger)</f>
        <v>#VALUE!</v>
      </c>
      <c r="H36" s="128" t="e">
        <f>_xll.qlTenorBasisForwardRate2(H$24,$E36,$F36,InterestRatesTrigger)</f>
        <v>#VALUE!</v>
      </c>
      <c r="S36" s="128" t="e">
        <f>_xll.qlTenorBasisForwardRate2(S$24,$E36,$F36,InterestRatesTrigger)</f>
        <v>#VALUE!</v>
      </c>
      <c r="T36" s="139" t="e">
        <f>_xll.qlTenorBasisForwardRate2(T$24,$E36,$F36,InterestRatesTrigger)</f>
        <v>#VALUE!</v>
      </c>
      <c r="U36" s="138" t="e">
        <f>_xll.qlTenorBasisForwardRate2(U$24,$E36,$F36,InterestRatesTrigger)</f>
        <v>#VALUE!</v>
      </c>
      <c r="V36" s="128" t="e">
        <f>_xll.qlTenorBasisForwardRate2(V$24,$E36,$F36,InterestRatesTrigger)</f>
        <v>#VALUE!</v>
      </c>
      <c r="W36" s="128" t="e">
        <f>_xll.qlTenorBasisForwardRate2(W$24,$E36,$F36,InterestRatesTrigger)</f>
        <v>#VALUE!</v>
      </c>
      <c r="X36" s="139" t="e">
        <f>_xll.qlTenorBasisForwardRate2(X$24,$E36,$F36,InterestRatesTrigger)</f>
        <v>#VALUE!</v>
      </c>
      <c r="Y36" s="138" t="e">
        <f>_xll.qlTenorBasisForwardRate2(Y$24,$E36,$F36,InterestRatesTrigger)</f>
        <v>#VALUE!</v>
      </c>
      <c r="Z36" s="128" t="e">
        <f>_xll.qlTenorBasisForwardRate2(Z$24,$E36,$F36,InterestRatesTrigger)</f>
        <v>#VALUE!</v>
      </c>
      <c r="AA36" s="128" t="e">
        <f>_xll.qlTenorBasisForwardRate2(AA$24,$E36,$F36,InterestRatesTrigger)</f>
        <v>#VALUE!</v>
      </c>
      <c r="AB36" s="139" t="e">
        <f>_xll.qlTenorBasisForwardRate2(AB$24,$E36,$F36,InterestRatesTrigger)</f>
        <v>#VALUE!</v>
      </c>
      <c r="AC36" s="139">
        <f>'1MSynthDepo_used'!AA18</f>
        <v>-1.1430593529323677E-3</v>
      </c>
      <c r="AD36" s="132" t="str">
        <f>"Fixing "&amp;DAY(_xll.qlInterestRateIndexFixingDate($D$22,'6MSynthDepo_used'!G4))&amp;"/"&amp;MONTH(_xll.qlInterestRateIndexFixingDate($D$22,'6MSynthDepo_used'!G4))</f>
        <v>Fixing 30/9</v>
      </c>
      <c r="BC36" s="178">
        <f>_xll.qlCalendarAdvance(Calendar,BC35,"1d","mf",,Trigger)</f>
        <v>42321</v>
      </c>
      <c r="BD36" s="41">
        <f>_xll.qlDayCounterYearFraction(DayCounter,SettlementDate,BC36,,,Trigger)</f>
        <v>0.11666666666666667</v>
      </c>
      <c r="BE36" s="47" t="e">
        <f>_xll.qlPolynomialFunctionValue(BE$1,$BD36,AllTriggers)</f>
        <v>#VALUE!</v>
      </c>
      <c r="BF36" s="47" t="e">
        <f>_xll.qlPolynomialFunctionValue(BF$1,$BD36,AllTriggers)</f>
        <v>#VALUE!</v>
      </c>
      <c r="BG36" s="47" t="e">
        <f>_xll.qlPolynomialFunctionValue(BG$1,$BD36,AllTriggers)</f>
        <v>#VALUE!</v>
      </c>
      <c r="BH36" s="47" t="e">
        <f>_xll.qlPolynomialFunctionValue(BH$1,$BD36,AllTriggers)</f>
        <v>#VALUE!</v>
      </c>
      <c r="BI36" s="47" t="e">
        <f>_xll.qlPolynomialFunctionValue(BI$1,$BD36,AllTriggers)</f>
        <v>#VALUE!</v>
      </c>
      <c r="BJ36" s="47" t="e">
        <f>_xll.qlPolynomialFunctionValue(BJ$1,$BD36,AllTriggers)</f>
        <v>#VALUE!</v>
      </c>
      <c r="BK36" s="47" t="e">
        <f>_xll.qlPolynomialFunctionValue(BK$1,$BD36,AllTriggers)</f>
        <v>#VALUE!</v>
      </c>
      <c r="BL36" s="47" t="e">
        <f>_xll.qlPolynomialFunctionValue(BL$1,$BD36,AllTriggers)</f>
        <v>#VALUE!</v>
      </c>
      <c r="BM36" s="47" t="e">
        <f>_xll.qlPolynomialFunctionValue(BM$1,$BD36,AllTriggers)</f>
        <v>#VALUE!</v>
      </c>
      <c r="BN36" s="47" t="e">
        <f>_xll.qlPolynomialFunctionValue(BN$1,$BD36,AllTriggers)</f>
        <v>#VALUE!</v>
      </c>
      <c r="BO36" s="47" t="e">
        <f>_xll.qlPolynomialFunctionValue(BO$1,$BD36,AllTriggers)</f>
        <v>#VALUE!</v>
      </c>
      <c r="BP36" s="47" t="e">
        <f>_xll.qlPolynomialFunctionValue(BP$1,$BD36,AllTriggers)</f>
        <v>#VALUE!</v>
      </c>
      <c r="BQ36" s="47">
        <f>_xll.qlPolynomialFunctionValue('1MSynthDepo_used'!$P$18,BD36,AllTriggers)</f>
        <v>2.2394096785742463E-4</v>
      </c>
    </row>
    <row r="37" spans="3:69" ht="12" customHeight="1" thickBot="1" x14ac:dyDescent="0.25">
      <c r="C37" s="19">
        <v>0</v>
      </c>
      <c r="D37" s="129" t="s">
        <v>22</v>
      </c>
      <c r="E37" s="179">
        <f>_xll.qlCalendarAdvance(Calendar,SettlementDate,C37&amp;"M","mf",TRUE,Trigger)</f>
        <v>42279</v>
      </c>
      <c r="F37" s="247">
        <f>_xll.qlCalendarAdvance(Calendar,SettlementDate,D37,"mf",TRUE,Trigger)</f>
        <v>42310</v>
      </c>
      <c r="G37" s="284" t="e">
        <f>_xll.qlTenorBasisForwardRate2(G$24,$E37,$F37,InterestRatesTrigger)</f>
        <v>#VALUE!</v>
      </c>
      <c r="H37" s="285" t="e">
        <f>_xll.qlTenorBasisForwardRate2(H$24,$E37,$F37,InterestRatesTrigger)</f>
        <v>#VALUE!</v>
      </c>
      <c r="S37" s="285" t="e">
        <f>_xll.qlTenorBasisForwardRate2(S$24,$E37,$F37,InterestRatesTrigger)</f>
        <v>#VALUE!</v>
      </c>
      <c r="T37" s="287" t="e">
        <f>_xll.qlTenorBasisForwardRate2(T$24,$E37,$F37,InterestRatesTrigger)</f>
        <v>#VALUE!</v>
      </c>
      <c r="U37" s="284" t="e">
        <f>_xll.qlTenorBasisForwardRate2(U$24,$E37,$F37,InterestRatesTrigger)</f>
        <v>#VALUE!</v>
      </c>
      <c r="V37" s="285" t="e">
        <f>_xll.qlTenorBasisForwardRate2(V$24,$E37,$F37,InterestRatesTrigger)</f>
        <v>#VALUE!</v>
      </c>
      <c r="W37" s="285" t="e">
        <f>_xll.qlTenorBasisForwardRate2(W$24,$E37,$F37,InterestRatesTrigger)</f>
        <v>#VALUE!</v>
      </c>
      <c r="X37" s="287" t="e">
        <f>_xll.qlTenorBasisForwardRate2(X$24,$E37,$F37,InterestRatesTrigger)</f>
        <v>#VALUE!</v>
      </c>
      <c r="Y37" s="284" t="e">
        <f>_xll.qlTenorBasisForwardRate2(Y$24,$E37,$F37,InterestRatesTrigger)</f>
        <v>#VALUE!</v>
      </c>
      <c r="Z37" s="285" t="e">
        <f>_xll.qlTenorBasisForwardRate2(Z$24,$E37,$F37,InterestRatesTrigger)</f>
        <v>#VALUE!</v>
      </c>
      <c r="AA37" s="285" t="e">
        <f>_xll.qlTenorBasisForwardRate2(AA$24,$E37,$F37,InterestRatesTrigger)</f>
        <v>#VALUE!</v>
      </c>
      <c r="AB37" s="287" t="e">
        <f>_xll.qlTenorBasisForwardRate2(AB$24,$E37,$F37,InterestRatesTrigger)</f>
        <v>#VALUE!</v>
      </c>
      <c r="AC37" s="287">
        <f>'1MSynthDepo_used'!AA19</f>
        <v>-1.133053339100062E-3</v>
      </c>
      <c r="AD37" s="144">
        <f>'1MSynthDepo_used'!AA19</f>
        <v>-1.133053339100062E-3</v>
      </c>
      <c r="BC37" s="178">
        <f>_xll.qlCalendarAdvance(Calendar,BC36,"1d","mf",,Trigger)</f>
        <v>42324</v>
      </c>
      <c r="BD37" s="41">
        <f>_xll.qlDayCounterYearFraction(DayCounter,SettlementDate,BC37,,,Trigger)</f>
        <v>0.125</v>
      </c>
      <c r="BE37" s="47" t="e">
        <f>_xll.qlPolynomialFunctionValue(BE$1,$BD37,AllTriggers)</f>
        <v>#VALUE!</v>
      </c>
      <c r="BF37" s="47" t="e">
        <f>_xll.qlPolynomialFunctionValue(BF$1,$BD37,AllTriggers)</f>
        <v>#VALUE!</v>
      </c>
      <c r="BG37" s="47" t="e">
        <f>_xll.qlPolynomialFunctionValue(BG$1,$BD37,AllTriggers)</f>
        <v>#VALUE!</v>
      </c>
      <c r="BH37" s="47" t="e">
        <f>_xll.qlPolynomialFunctionValue(BH$1,$BD37,AllTriggers)</f>
        <v>#VALUE!</v>
      </c>
      <c r="BI37" s="47" t="e">
        <f>_xll.qlPolynomialFunctionValue(BI$1,$BD37,AllTriggers)</f>
        <v>#VALUE!</v>
      </c>
      <c r="BJ37" s="47" t="e">
        <f>_xll.qlPolynomialFunctionValue(BJ$1,$BD37,AllTriggers)</f>
        <v>#VALUE!</v>
      </c>
      <c r="BK37" s="47" t="e">
        <f>_xll.qlPolynomialFunctionValue(BK$1,$BD37,AllTriggers)</f>
        <v>#VALUE!</v>
      </c>
      <c r="BL37" s="47" t="e">
        <f>_xll.qlPolynomialFunctionValue(BL$1,$BD37,AllTriggers)</f>
        <v>#VALUE!</v>
      </c>
      <c r="BM37" s="47" t="e">
        <f>_xll.qlPolynomialFunctionValue(BM$1,$BD37,AllTriggers)</f>
        <v>#VALUE!</v>
      </c>
      <c r="BN37" s="47" t="e">
        <f>_xll.qlPolynomialFunctionValue(BN$1,$BD37,AllTriggers)</f>
        <v>#VALUE!</v>
      </c>
      <c r="BO37" s="47" t="e">
        <f>_xll.qlPolynomialFunctionValue(BO$1,$BD37,AllTriggers)</f>
        <v>#VALUE!</v>
      </c>
      <c r="BP37" s="47" t="e">
        <f>_xll.qlPolynomialFunctionValue(BP$1,$BD37,AllTriggers)</f>
        <v>#VALUE!</v>
      </c>
      <c r="BQ37" s="47">
        <f>_xll.qlPolynomialFunctionValue('1MSynthDepo_used'!$P$18,BD37,AllTriggers)</f>
        <v>2.2798305196564337E-4</v>
      </c>
    </row>
    <row r="38" spans="3:69" ht="12" customHeight="1" x14ac:dyDescent="0.2">
      <c r="C38" s="19">
        <v>1</v>
      </c>
      <c r="D38" s="48" t="s">
        <v>29</v>
      </c>
      <c r="E38" s="177">
        <f>_xll.qlCalendarAdvance(Calendar,SettlementDate,C38&amp;"M","mf",TRUE,Trigger)</f>
        <v>42310</v>
      </c>
      <c r="F38" s="246">
        <f>_xll.qlCalendarAdvance(Calendar,SettlementDate,D38,"mf",TRUE,Trigger)</f>
        <v>42340</v>
      </c>
      <c r="G38" s="296" t="e">
        <f>_xll.qlTenorBasisForwardRate2(G$24,$E38,$F38,InterestRatesTrigger)</f>
        <v>#VALUE!</v>
      </c>
      <c r="H38" s="292" t="e">
        <f>_xll.qlTenorBasisForwardRate2(H$24,$E38,$F38,InterestRatesTrigger)</f>
        <v>#VALUE!</v>
      </c>
      <c r="S38" s="292" t="e">
        <f>_xll.qlTenorBasisForwardRate2(S$24,$E38,$F38,InterestRatesTrigger)</f>
        <v>#VALUE!</v>
      </c>
      <c r="T38" s="297" t="e">
        <f>_xll.qlTenorBasisForwardRate2(T$24,$E38,$F38,InterestRatesTrigger)</f>
        <v>#VALUE!</v>
      </c>
      <c r="U38" s="296" t="e">
        <f>_xll.qlTenorBasisForwardRate2(U$24,$E38,$F38,InterestRatesTrigger)</f>
        <v>#VALUE!</v>
      </c>
      <c r="V38" s="292" t="e">
        <f>_xll.qlTenorBasisForwardRate2(V$24,$E38,$F38,InterestRatesTrigger)</f>
        <v>#VALUE!</v>
      </c>
      <c r="W38" s="292" t="e">
        <f>_xll.qlTenorBasisForwardRate2(W$24,$E38,$F38,InterestRatesTrigger)</f>
        <v>#VALUE!</v>
      </c>
      <c r="X38" s="297" t="e">
        <f>_xll.qlTenorBasisForwardRate2(X$24,$E38,$F38,InterestRatesTrigger)</f>
        <v>#VALUE!</v>
      </c>
      <c r="Y38" s="296" t="e">
        <f>_xll.qlTenorBasisForwardRate2(Y$24,$E38,$F38,InterestRatesTrigger)</f>
        <v>#VALUE!</v>
      </c>
      <c r="Z38" s="292" t="e">
        <f>_xll.qlTenorBasisForwardRate2(Z$24,$E38,$F38,InterestRatesTrigger)</f>
        <v>#VALUE!</v>
      </c>
      <c r="AA38" s="292" t="e">
        <f>_xll.qlTenorBasisForwardRate2(AA$24,$E38,$F38,InterestRatesTrigger)</f>
        <v>#VALUE!</v>
      </c>
      <c r="AB38" s="297" t="e">
        <f>_xll.qlTenorBasisForwardRate2(AB$24,$E38,$F38,InterestRatesTrigger)</f>
        <v>#VALUE!</v>
      </c>
      <c r="AC38" s="297">
        <f>'1MSynthDepo_used'!AA20</f>
        <v>-1.2364015857602162E-3</v>
      </c>
      <c r="AD38" s="200">
        <f>'1MSynthDepo_used'!AA20</f>
        <v>-1.2364015857602162E-3</v>
      </c>
      <c r="BC38" s="178">
        <f>_xll.qlCalendarAdvance(Calendar,BC37,"1d","mf",,Trigger)</f>
        <v>42325</v>
      </c>
      <c r="BD38" s="41">
        <f>_xll.qlDayCounterYearFraction(DayCounter,SettlementDate,BC38,,,Trigger)</f>
        <v>0.12777777777777777</v>
      </c>
      <c r="BE38" s="47" t="e">
        <f>_xll.qlPolynomialFunctionValue(BE$1,$BD38,AllTriggers)</f>
        <v>#VALUE!</v>
      </c>
      <c r="BF38" s="47" t="e">
        <f>_xll.qlPolynomialFunctionValue(BF$1,$BD38,AllTriggers)</f>
        <v>#VALUE!</v>
      </c>
      <c r="BG38" s="47" t="e">
        <f>_xll.qlPolynomialFunctionValue(BG$1,$BD38,AllTriggers)</f>
        <v>#VALUE!</v>
      </c>
      <c r="BH38" s="47" t="e">
        <f>_xll.qlPolynomialFunctionValue(BH$1,$BD38,AllTriggers)</f>
        <v>#VALUE!</v>
      </c>
      <c r="BI38" s="47" t="e">
        <f>_xll.qlPolynomialFunctionValue(BI$1,$BD38,AllTriggers)</f>
        <v>#VALUE!</v>
      </c>
      <c r="BJ38" s="47" t="e">
        <f>_xll.qlPolynomialFunctionValue(BJ$1,$BD38,AllTriggers)</f>
        <v>#VALUE!</v>
      </c>
      <c r="BK38" s="47" t="e">
        <f>_xll.qlPolynomialFunctionValue(BK$1,$BD38,AllTriggers)</f>
        <v>#VALUE!</v>
      </c>
      <c r="BL38" s="47" t="e">
        <f>_xll.qlPolynomialFunctionValue(BL$1,$BD38,AllTriggers)</f>
        <v>#VALUE!</v>
      </c>
      <c r="BM38" s="47" t="e">
        <f>_xll.qlPolynomialFunctionValue(BM$1,$BD38,AllTriggers)</f>
        <v>#VALUE!</v>
      </c>
      <c r="BN38" s="47" t="e">
        <f>_xll.qlPolynomialFunctionValue(BN$1,$BD38,AllTriggers)</f>
        <v>#VALUE!</v>
      </c>
      <c r="BO38" s="47" t="e">
        <f>_xll.qlPolynomialFunctionValue(BO$1,$BD38,AllTriggers)</f>
        <v>#VALUE!</v>
      </c>
      <c r="BP38" s="47" t="e">
        <f>_xll.qlPolynomialFunctionValue(BP$1,$BD38,AllTriggers)</f>
        <v>#VALUE!</v>
      </c>
      <c r="BQ38" s="47">
        <f>_xll.qlPolynomialFunctionValue('1MSynthDepo_used'!$P$18,BD38,AllTriggers)</f>
        <v>2.2957058489778809E-4</v>
      </c>
    </row>
    <row r="39" spans="3:69" x14ac:dyDescent="0.2">
      <c r="C39" s="19">
        <v>2</v>
      </c>
      <c r="D39" s="48" t="s">
        <v>23</v>
      </c>
      <c r="E39" s="177">
        <f>_xll.qlCalendarAdvance(Calendar,SettlementDate,C39&amp;"M","mf",TRUE,Trigger)</f>
        <v>42340</v>
      </c>
      <c r="F39" s="246">
        <f>_xll.qlCalendarAdvance(Calendar,SettlementDate,D39,"mf",TRUE,Trigger)</f>
        <v>42373</v>
      </c>
      <c r="G39" s="296" t="e">
        <f>_xll.qlTenorBasisForwardRate2(G$24,$E39,$F39,InterestRatesTrigger)</f>
        <v>#VALUE!</v>
      </c>
      <c r="H39" s="292" t="e">
        <f>_xll.qlTenorBasisForwardRate2(H$24,$E39,$F39,InterestRatesTrigger)</f>
        <v>#VALUE!</v>
      </c>
      <c r="S39" s="292" t="e">
        <f>_xll.qlTenorBasisForwardRate2(S$24,$E39,$F39,InterestRatesTrigger)</f>
        <v>#VALUE!</v>
      </c>
      <c r="T39" s="297" t="e">
        <f>_xll.qlTenorBasisForwardRate2(T$24,$E39,$F39,InterestRatesTrigger)</f>
        <v>#VALUE!</v>
      </c>
      <c r="U39" s="296" t="e">
        <f>_xll.qlTenorBasisForwardRate2(U$24,$E39,$F39,InterestRatesTrigger)</f>
        <v>#VALUE!</v>
      </c>
      <c r="V39" s="292" t="e">
        <f>_xll.qlTenorBasisForwardRate2(V$24,$E39,$F39,InterestRatesTrigger)</f>
        <v>#VALUE!</v>
      </c>
      <c r="W39" s="292" t="e">
        <f>_xll.qlTenorBasisForwardRate2(W$24,$E39,$F39,InterestRatesTrigger)</f>
        <v>#VALUE!</v>
      </c>
      <c r="X39" s="297" t="e">
        <f>_xll.qlTenorBasisForwardRate2(X$24,$E39,$F39,InterestRatesTrigger)</f>
        <v>#VALUE!</v>
      </c>
      <c r="Y39" s="296" t="e">
        <f>_xll.qlTenorBasisForwardRate2(Y$24,$E39,$F39,InterestRatesTrigger)</f>
        <v>#VALUE!</v>
      </c>
      <c r="Z39" s="292" t="e">
        <f>_xll.qlTenorBasisForwardRate2(Z$24,$E39,$F39,InterestRatesTrigger)</f>
        <v>#VALUE!</v>
      </c>
      <c r="AA39" s="292" t="e">
        <f>_xll.qlTenorBasisForwardRate2(AA$24,$E39,$F39,InterestRatesTrigger)</f>
        <v>#VALUE!</v>
      </c>
      <c r="AB39" s="297" t="e">
        <f>_xll.qlTenorBasisForwardRate2(AB$24,$E39,$F39,InterestRatesTrigger)</f>
        <v>#VALUE!</v>
      </c>
      <c r="AC39" s="297">
        <f>'1MSynthDepo_used'!AA21</f>
        <v>-1.1831110350976363E-3</v>
      </c>
      <c r="AD39" s="200">
        <f>'1MSynthDepo_used'!AA21</f>
        <v>-1.1831110350976363E-3</v>
      </c>
      <c r="BC39" s="178">
        <f>_xll.qlCalendarAdvance(Calendar,BC38,"1d","mf",,Trigger)</f>
        <v>42326</v>
      </c>
      <c r="BD39" s="41">
        <f>_xll.qlDayCounterYearFraction(DayCounter,SettlementDate,BC39,,,Trigger)</f>
        <v>0.13055555555555556</v>
      </c>
      <c r="BE39" s="47" t="e">
        <f>_xll.qlPolynomialFunctionValue(BE$1,$BD39,AllTriggers)</f>
        <v>#VALUE!</v>
      </c>
      <c r="BF39" s="47" t="e">
        <f>_xll.qlPolynomialFunctionValue(BF$1,$BD39,AllTriggers)</f>
        <v>#VALUE!</v>
      </c>
      <c r="BG39" s="47" t="e">
        <f>_xll.qlPolynomialFunctionValue(BG$1,$BD39,AllTriggers)</f>
        <v>#VALUE!</v>
      </c>
      <c r="BH39" s="47" t="e">
        <f>_xll.qlPolynomialFunctionValue(BH$1,$BD39,AllTriggers)</f>
        <v>#VALUE!</v>
      </c>
      <c r="BI39" s="47" t="e">
        <f>_xll.qlPolynomialFunctionValue(BI$1,$BD39,AllTriggers)</f>
        <v>#VALUE!</v>
      </c>
      <c r="BJ39" s="47" t="e">
        <f>_xll.qlPolynomialFunctionValue(BJ$1,$BD39,AllTriggers)</f>
        <v>#VALUE!</v>
      </c>
      <c r="BK39" s="47" t="e">
        <f>_xll.qlPolynomialFunctionValue(BK$1,$BD39,AllTriggers)</f>
        <v>#VALUE!</v>
      </c>
      <c r="BL39" s="47" t="e">
        <f>_xll.qlPolynomialFunctionValue(BL$1,$BD39,AllTriggers)</f>
        <v>#VALUE!</v>
      </c>
      <c r="BM39" s="47" t="e">
        <f>_xll.qlPolynomialFunctionValue(BM$1,$BD39,AllTriggers)</f>
        <v>#VALUE!</v>
      </c>
      <c r="BN39" s="47" t="e">
        <f>_xll.qlPolynomialFunctionValue(BN$1,$BD39,AllTriggers)</f>
        <v>#VALUE!</v>
      </c>
      <c r="BO39" s="47" t="e">
        <f>_xll.qlPolynomialFunctionValue(BO$1,$BD39,AllTriggers)</f>
        <v>#VALUE!</v>
      </c>
      <c r="BP39" s="47" t="e">
        <f>_xll.qlPolynomialFunctionValue(BP$1,$BD39,AllTriggers)</f>
        <v>#VALUE!</v>
      </c>
      <c r="BQ39" s="47">
        <f>_xll.qlPolynomialFunctionValue('1MSynthDepo_used'!$P$18,BD39,AllTriggers)</f>
        <v>2.3126844846838276E-4</v>
      </c>
    </row>
    <row r="40" spans="3:69" x14ac:dyDescent="0.2">
      <c r="C40" s="19">
        <v>3</v>
      </c>
      <c r="D40" s="49" t="s">
        <v>30</v>
      </c>
      <c r="E40" s="181">
        <f>_xll.qlCalendarAdvance(Calendar,SettlementDate,C40&amp;"M","mf",TRUE,Trigger)</f>
        <v>42373</v>
      </c>
      <c r="F40" s="300">
        <f>_xll.qlCalendarAdvance(Calendar,SettlementDate,D40,"mf",TRUE,Trigger)</f>
        <v>42402</v>
      </c>
      <c r="G40" s="298" t="e">
        <f>_xll.qlTenorBasisForwardRate2(G$24,$E40,$F40,InterestRatesTrigger)</f>
        <v>#VALUE!</v>
      </c>
      <c r="H40" s="293" t="e">
        <f>_xll.qlTenorBasisForwardRate2(H$24,$E40,$F40,InterestRatesTrigger)</f>
        <v>#VALUE!</v>
      </c>
      <c r="S40" s="293" t="e">
        <f>_xll.qlTenorBasisForwardRate2(S$24,$E40,$F40,InterestRatesTrigger)</f>
        <v>#VALUE!</v>
      </c>
      <c r="T40" s="299" t="e">
        <f>_xll.qlTenorBasisForwardRate2(T$24,$E40,$F40,InterestRatesTrigger)</f>
        <v>#VALUE!</v>
      </c>
      <c r="U40" s="298" t="e">
        <f>_xll.qlTenorBasisForwardRate2(U$24,$E40,$F40,InterestRatesTrigger)</f>
        <v>#VALUE!</v>
      </c>
      <c r="V40" s="293" t="e">
        <f>_xll.qlTenorBasisForwardRate2(V$24,$E40,$F40,InterestRatesTrigger)</f>
        <v>#VALUE!</v>
      </c>
      <c r="W40" s="293" t="e">
        <f>_xll.qlTenorBasisForwardRate2(W$24,$E40,$F40,InterestRatesTrigger)</f>
        <v>#VALUE!</v>
      </c>
      <c r="X40" s="299" t="e">
        <f>_xll.qlTenorBasisForwardRate2(X$24,$E40,$F40,InterestRatesTrigger)</f>
        <v>#VALUE!</v>
      </c>
      <c r="Y40" s="298" t="e">
        <f>_xll.qlTenorBasisForwardRate2(Y$24,$E40,$F40,InterestRatesTrigger)</f>
        <v>#VALUE!</v>
      </c>
      <c r="Z40" s="293" t="e">
        <f>_xll.qlTenorBasisForwardRate2(Z$24,$E40,$F40,InterestRatesTrigger)</f>
        <v>#VALUE!</v>
      </c>
      <c r="AA40" s="293" t="e">
        <f>_xll.qlTenorBasisForwardRate2(AA$24,$E40,$F40,InterestRatesTrigger)</f>
        <v>#VALUE!</v>
      </c>
      <c r="AB40" s="299" t="e">
        <f>_xll.qlTenorBasisForwardRate2(AB$24,$E40,$F40,InterestRatesTrigger)</f>
        <v>#VALUE!</v>
      </c>
      <c r="AC40" s="299">
        <f>'1MSynthDepo_used'!AA22</f>
        <v>-1.3050850873542012E-3</v>
      </c>
      <c r="AD40" s="275">
        <f>'1MSynthDepo_used'!AA22</f>
        <v>-1.3050850873542012E-3</v>
      </c>
      <c r="BC40" s="178">
        <f>_xll.qlCalendarAdvance(Calendar,BC39,"1d","mf",,Trigger)</f>
        <v>42327</v>
      </c>
      <c r="BD40" s="41">
        <f>_xll.qlDayCounterYearFraction(DayCounter,SettlementDate,BC40,,,Trigger)</f>
        <v>0.13333333333333333</v>
      </c>
      <c r="BE40" s="47" t="e">
        <f>_xll.qlPolynomialFunctionValue(BE$1,$BD40,AllTriggers)</f>
        <v>#VALUE!</v>
      </c>
      <c r="BF40" s="47" t="e">
        <f>_xll.qlPolynomialFunctionValue(BF$1,$BD40,AllTriggers)</f>
        <v>#VALUE!</v>
      </c>
      <c r="BG40" s="47" t="e">
        <f>_xll.qlPolynomialFunctionValue(BG$1,$BD40,AllTriggers)</f>
        <v>#VALUE!</v>
      </c>
      <c r="BH40" s="47" t="e">
        <f>_xll.qlPolynomialFunctionValue(BH$1,$BD40,AllTriggers)</f>
        <v>#VALUE!</v>
      </c>
      <c r="BI40" s="47" t="e">
        <f>_xll.qlPolynomialFunctionValue(BI$1,$BD40,AllTriggers)</f>
        <v>#VALUE!</v>
      </c>
      <c r="BJ40" s="47" t="e">
        <f>_xll.qlPolynomialFunctionValue(BJ$1,$BD40,AllTriggers)</f>
        <v>#VALUE!</v>
      </c>
      <c r="BK40" s="47" t="e">
        <f>_xll.qlPolynomialFunctionValue(BK$1,$BD40,AllTriggers)</f>
        <v>#VALUE!</v>
      </c>
      <c r="BL40" s="47" t="e">
        <f>_xll.qlPolynomialFunctionValue(BL$1,$BD40,AllTriggers)</f>
        <v>#VALUE!</v>
      </c>
      <c r="BM40" s="47" t="e">
        <f>_xll.qlPolynomialFunctionValue(BM$1,$BD40,AllTriggers)</f>
        <v>#VALUE!</v>
      </c>
      <c r="BN40" s="47" t="e">
        <f>_xll.qlPolynomialFunctionValue(BN$1,$BD40,AllTriggers)</f>
        <v>#VALUE!</v>
      </c>
      <c r="BO40" s="47" t="e">
        <f>_xll.qlPolynomialFunctionValue(BO$1,$BD40,AllTriggers)</f>
        <v>#VALUE!</v>
      </c>
      <c r="BP40" s="47" t="e">
        <f>_xll.qlPolynomialFunctionValue(BP$1,$BD40,AllTriggers)</f>
        <v>#VALUE!</v>
      </c>
      <c r="BQ40" s="47">
        <f>_xll.qlPolynomialFunctionValue('1MSynthDepo_used'!$P$18,BD40,AllTriggers)</f>
        <v>2.3307078959167553E-4</v>
      </c>
    </row>
    <row r="41" spans="3:69" x14ac:dyDescent="0.2">
      <c r="BC41" s="178">
        <f>_xll.qlCalendarAdvance(Calendar,BC40,"1d","mf",,Trigger)</f>
        <v>42328</v>
      </c>
      <c r="BD41" s="41">
        <f>_xll.qlDayCounterYearFraction(DayCounter,SettlementDate,BC41,,,Trigger)</f>
        <v>0.1361111111111111</v>
      </c>
      <c r="BE41" s="47" t="e">
        <f>_xll.qlPolynomialFunctionValue(BE$1,$BD41,AllTriggers)</f>
        <v>#VALUE!</v>
      </c>
      <c r="BF41" s="47" t="e">
        <f>_xll.qlPolynomialFunctionValue(BF$1,$BD41,AllTriggers)</f>
        <v>#VALUE!</v>
      </c>
      <c r="BG41" s="47" t="e">
        <f>_xll.qlPolynomialFunctionValue(BG$1,$BD41,AllTriggers)</f>
        <v>#VALUE!</v>
      </c>
      <c r="BH41" s="47" t="e">
        <f>_xll.qlPolynomialFunctionValue(BH$1,$BD41,AllTriggers)</f>
        <v>#VALUE!</v>
      </c>
      <c r="BI41" s="47" t="e">
        <f>_xll.qlPolynomialFunctionValue(BI$1,$BD41,AllTriggers)</f>
        <v>#VALUE!</v>
      </c>
      <c r="BJ41" s="47" t="e">
        <f>_xll.qlPolynomialFunctionValue(BJ$1,$BD41,AllTriggers)</f>
        <v>#VALUE!</v>
      </c>
      <c r="BK41" s="47" t="e">
        <f>_xll.qlPolynomialFunctionValue(BK$1,$BD41,AllTriggers)</f>
        <v>#VALUE!</v>
      </c>
      <c r="BL41" s="47" t="e">
        <f>_xll.qlPolynomialFunctionValue(BL$1,$BD41,AllTriggers)</f>
        <v>#VALUE!</v>
      </c>
      <c r="BM41" s="47" t="e">
        <f>_xll.qlPolynomialFunctionValue(BM$1,$BD41,AllTriggers)</f>
        <v>#VALUE!</v>
      </c>
      <c r="BN41" s="47" t="e">
        <f>_xll.qlPolynomialFunctionValue(BN$1,$BD41,AllTriggers)</f>
        <v>#VALUE!</v>
      </c>
      <c r="BO41" s="47" t="e">
        <f>_xll.qlPolynomialFunctionValue(BO$1,$BD41,AllTriggers)</f>
        <v>#VALUE!</v>
      </c>
      <c r="BP41" s="47" t="e">
        <f>_xll.qlPolynomialFunctionValue(BP$1,$BD41,AllTriggers)</f>
        <v>#VALUE!</v>
      </c>
      <c r="BQ41" s="47">
        <f>_xll.qlPolynomialFunctionValue('1MSynthDepo_used'!$P$18,BD41,AllTriggers)</f>
        <v>2.3497175518191483E-4</v>
      </c>
    </row>
    <row r="42" spans="3:69" x14ac:dyDescent="0.2">
      <c r="F42" s="125" t="s">
        <v>69</v>
      </c>
      <c r="G42" s="125" t="s">
        <v>68</v>
      </c>
      <c r="H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0"/>
      <c r="AC42" s="256"/>
      <c r="BC42" s="178">
        <f>_xll.qlCalendarAdvance(Calendar,BC41,"1d","mf",,Trigger)</f>
        <v>42331</v>
      </c>
      <c r="BD42" s="41">
        <f>_xll.qlDayCounterYearFraction(DayCounter,SettlementDate,BC42,,,Trigger)</f>
        <v>0.14444444444444443</v>
      </c>
      <c r="BE42" s="47" t="e">
        <f>_xll.qlPolynomialFunctionValue(BE$1,$BD42,AllTriggers)</f>
        <v>#VALUE!</v>
      </c>
      <c r="BF42" s="47" t="e">
        <f>_xll.qlPolynomialFunctionValue(BF$1,$BD42,AllTriggers)</f>
        <v>#VALUE!</v>
      </c>
      <c r="BG42" s="47" t="e">
        <f>_xll.qlPolynomialFunctionValue(BG$1,$BD42,AllTriggers)</f>
        <v>#VALUE!</v>
      </c>
      <c r="BH42" s="47" t="e">
        <f>_xll.qlPolynomialFunctionValue(BH$1,$BD42,AllTriggers)</f>
        <v>#VALUE!</v>
      </c>
      <c r="BI42" s="47" t="e">
        <f>_xll.qlPolynomialFunctionValue(BI$1,$BD42,AllTriggers)</f>
        <v>#VALUE!</v>
      </c>
      <c r="BJ42" s="47" t="e">
        <f>_xll.qlPolynomialFunctionValue(BJ$1,$BD42,AllTriggers)</f>
        <v>#VALUE!</v>
      </c>
      <c r="BK42" s="47" t="e">
        <f>_xll.qlPolynomialFunctionValue(BK$1,$BD42,AllTriggers)</f>
        <v>#VALUE!</v>
      </c>
      <c r="BL42" s="47" t="e">
        <f>_xll.qlPolynomialFunctionValue(BL$1,$BD42,AllTriggers)</f>
        <v>#VALUE!</v>
      </c>
      <c r="BM42" s="47" t="e">
        <f>_xll.qlPolynomialFunctionValue(BM$1,$BD42,AllTriggers)</f>
        <v>#VALUE!</v>
      </c>
      <c r="BN42" s="47" t="e">
        <f>_xll.qlPolynomialFunctionValue(BN$1,$BD42,AllTriggers)</f>
        <v>#VALUE!</v>
      </c>
      <c r="BO42" s="47" t="e">
        <f>_xll.qlPolynomialFunctionValue(BO$1,$BD42,AllTriggers)</f>
        <v>#VALUE!</v>
      </c>
      <c r="BP42" s="47" t="e">
        <f>_xll.qlPolynomialFunctionValue(BP$1,$BD42,AllTriggers)</f>
        <v>#VALUE!</v>
      </c>
      <c r="BQ42" s="47">
        <f>_xll.qlPolynomialFunctionValue('1MSynthDepo_used'!$P$18,BD42,AllTriggers)</f>
        <v>2.4120786789679535E-4</v>
      </c>
    </row>
    <row r="43" spans="3:69" ht="11.25" customHeight="1" x14ac:dyDescent="0.2">
      <c r="F43" s="189" t="str">
        <f>C37&amp;"x"&amp;C37+SUBSTITUTE($D$21,"M","")&amp;"F"</f>
        <v>0x1F</v>
      </c>
      <c r="G43" s="156" t="e">
        <f t="shared" ref="G43:AC43" si="9">$AD37-G37</f>
        <v>#VALUE!</v>
      </c>
      <c r="H43" s="156" t="e">
        <f t="shared" si="9"/>
        <v>#VALUE!</v>
      </c>
      <c r="I43" s="19">
        <f t="shared" si="9"/>
        <v>-1.133053339100062E-3</v>
      </c>
      <c r="J43" s="19">
        <f t="shared" si="9"/>
        <v>-1.133053339100062E-3</v>
      </c>
      <c r="K43" s="19">
        <f t="shared" si="9"/>
        <v>-1.133053339100062E-3</v>
      </c>
      <c r="L43" s="19">
        <f t="shared" si="9"/>
        <v>-1.133053339100062E-3</v>
      </c>
      <c r="M43" s="19">
        <f t="shared" si="9"/>
        <v>-1.133053339100062E-3</v>
      </c>
      <c r="N43" s="19">
        <f t="shared" si="9"/>
        <v>-1.133053339100062E-3</v>
      </c>
      <c r="O43" s="19">
        <f t="shared" si="9"/>
        <v>-1.133053339100062E-3</v>
      </c>
      <c r="P43" s="19">
        <f t="shared" si="9"/>
        <v>-1.133053339100062E-3</v>
      </c>
      <c r="Q43" s="19">
        <f t="shared" si="9"/>
        <v>-1.133053339100062E-3</v>
      </c>
      <c r="R43" s="19">
        <f t="shared" si="9"/>
        <v>-1.133053339100062E-3</v>
      </c>
      <c r="S43" s="156" t="e">
        <f t="shared" si="9"/>
        <v>#VALUE!</v>
      </c>
      <c r="T43" s="157" t="e">
        <f t="shared" si="9"/>
        <v>#VALUE!</v>
      </c>
      <c r="U43" s="158" t="e">
        <f t="shared" si="9"/>
        <v>#VALUE!</v>
      </c>
      <c r="V43" s="156" t="e">
        <f t="shared" si="9"/>
        <v>#VALUE!</v>
      </c>
      <c r="W43" s="156" t="e">
        <f t="shared" si="9"/>
        <v>#VALUE!</v>
      </c>
      <c r="X43" s="157" t="e">
        <f t="shared" si="9"/>
        <v>#VALUE!</v>
      </c>
      <c r="Y43" s="158" t="e">
        <f t="shared" si="9"/>
        <v>#VALUE!</v>
      </c>
      <c r="Z43" s="240" t="e">
        <f t="shared" si="9"/>
        <v>#VALUE!</v>
      </c>
      <c r="AA43" s="156" t="e">
        <f t="shared" si="9"/>
        <v>#VALUE!</v>
      </c>
      <c r="AB43" s="156" t="e">
        <f t="shared" si="9"/>
        <v>#VALUE!</v>
      </c>
      <c r="AC43" s="156">
        <f t="shared" si="9"/>
        <v>0</v>
      </c>
      <c r="BC43" s="178">
        <f>_xll.qlCalendarAdvance(Calendar,BC42,"1d","mf",,Trigger)</f>
        <v>42332</v>
      </c>
      <c r="BD43" s="41">
        <f>_xll.qlDayCounterYearFraction(DayCounter,SettlementDate,BC43,,,Trigger)</f>
        <v>0.14722222222222223</v>
      </c>
      <c r="BE43" s="47" t="e">
        <f>_xll.qlPolynomialFunctionValue(BE$1,$BD43,AllTriggers)</f>
        <v>#VALUE!</v>
      </c>
      <c r="BF43" s="47" t="e">
        <f>_xll.qlPolynomialFunctionValue(BF$1,$BD43,AllTriggers)</f>
        <v>#VALUE!</v>
      </c>
      <c r="BG43" s="47" t="e">
        <f>_xll.qlPolynomialFunctionValue(BG$1,$BD43,AllTriggers)</f>
        <v>#VALUE!</v>
      </c>
      <c r="BH43" s="47" t="e">
        <f>_xll.qlPolynomialFunctionValue(BH$1,$BD43,AllTriggers)</f>
        <v>#VALUE!</v>
      </c>
      <c r="BI43" s="47" t="e">
        <f>_xll.qlPolynomialFunctionValue(BI$1,$BD43,AllTriggers)</f>
        <v>#VALUE!</v>
      </c>
      <c r="BJ43" s="47" t="e">
        <f>_xll.qlPolynomialFunctionValue(BJ$1,$BD43,AllTriggers)</f>
        <v>#VALUE!</v>
      </c>
      <c r="BK43" s="47" t="e">
        <f>_xll.qlPolynomialFunctionValue(BK$1,$BD43,AllTriggers)</f>
        <v>#VALUE!</v>
      </c>
      <c r="BL43" s="47" t="e">
        <f>_xll.qlPolynomialFunctionValue(BL$1,$BD43,AllTriggers)</f>
        <v>#VALUE!</v>
      </c>
      <c r="BM43" s="47" t="e">
        <f>_xll.qlPolynomialFunctionValue(BM$1,$BD43,AllTriggers)</f>
        <v>#VALUE!</v>
      </c>
      <c r="BN43" s="47" t="e">
        <f>_xll.qlPolynomialFunctionValue(BN$1,$BD43,AllTriggers)</f>
        <v>#VALUE!</v>
      </c>
      <c r="BO43" s="47" t="e">
        <f>_xll.qlPolynomialFunctionValue(BO$1,$BD43,AllTriggers)</f>
        <v>#VALUE!</v>
      </c>
      <c r="BP43" s="47" t="e">
        <f>_xll.qlPolynomialFunctionValue(BP$1,$BD43,AllTriggers)</f>
        <v>#VALUE!</v>
      </c>
      <c r="BQ43" s="47">
        <f>_xll.qlPolynomialFunctionValue('1MSynthDepo_used'!$P$18,BD43,AllTriggers)</f>
        <v>2.4344480049730432E-4</v>
      </c>
    </row>
    <row r="44" spans="3:69" x14ac:dyDescent="0.2">
      <c r="F44" s="190" t="str">
        <f>C38&amp;"x"&amp;C38+SUBSTITUTE($D$21,"M","")&amp;"F"</f>
        <v>1x2F</v>
      </c>
      <c r="G44" s="47" t="e">
        <f t="shared" ref="G44:AC44" si="10">$AD38-G38</f>
        <v>#VALUE!</v>
      </c>
      <c r="H44" s="47" t="e">
        <f t="shared" si="10"/>
        <v>#VALUE!</v>
      </c>
      <c r="I44" s="19">
        <f t="shared" si="10"/>
        <v>-1.2364015857602162E-3</v>
      </c>
      <c r="J44" s="19">
        <f t="shared" si="10"/>
        <v>-1.2364015857602162E-3</v>
      </c>
      <c r="K44" s="19">
        <f t="shared" si="10"/>
        <v>-1.2364015857602162E-3</v>
      </c>
      <c r="L44" s="19">
        <f t="shared" si="10"/>
        <v>-1.2364015857602162E-3</v>
      </c>
      <c r="M44" s="19">
        <f t="shared" si="10"/>
        <v>-1.2364015857602162E-3</v>
      </c>
      <c r="N44" s="19">
        <f t="shared" si="10"/>
        <v>-1.2364015857602162E-3</v>
      </c>
      <c r="O44" s="19">
        <f t="shared" si="10"/>
        <v>-1.2364015857602162E-3</v>
      </c>
      <c r="P44" s="19">
        <f t="shared" si="10"/>
        <v>-1.2364015857602162E-3</v>
      </c>
      <c r="Q44" s="19">
        <f t="shared" si="10"/>
        <v>-1.2364015857602162E-3</v>
      </c>
      <c r="R44" s="19">
        <f t="shared" si="10"/>
        <v>-1.2364015857602162E-3</v>
      </c>
      <c r="S44" s="47" t="e">
        <f t="shared" si="10"/>
        <v>#VALUE!</v>
      </c>
      <c r="T44" s="154" t="e">
        <f t="shared" si="10"/>
        <v>#VALUE!</v>
      </c>
      <c r="U44" s="155" t="e">
        <f t="shared" si="10"/>
        <v>#VALUE!</v>
      </c>
      <c r="V44" s="47" t="e">
        <f t="shared" si="10"/>
        <v>#VALUE!</v>
      </c>
      <c r="W44" s="47" t="e">
        <f t="shared" si="10"/>
        <v>#VALUE!</v>
      </c>
      <c r="X44" s="154" t="e">
        <f t="shared" si="10"/>
        <v>#VALUE!</v>
      </c>
      <c r="Y44" s="155" t="e">
        <f t="shared" si="10"/>
        <v>#VALUE!</v>
      </c>
      <c r="Z44" s="200" t="e">
        <f t="shared" si="10"/>
        <v>#VALUE!</v>
      </c>
      <c r="AA44" s="47" t="e">
        <f t="shared" si="10"/>
        <v>#VALUE!</v>
      </c>
      <c r="AB44" s="47" t="e">
        <f t="shared" si="10"/>
        <v>#VALUE!</v>
      </c>
      <c r="AC44" s="47">
        <f t="shared" si="10"/>
        <v>0</v>
      </c>
      <c r="BC44" s="178">
        <f>_xll.qlCalendarAdvance(Calendar,BC43,"1d","mf",,Trigger)</f>
        <v>42333</v>
      </c>
      <c r="BD44" s="41">
        <f>_xll.qlDayCounterYearFraction(DayCounter,SettlementDate,BC44,,,Trigger)</f>
        <v>0.15</v>
      </c>
      <c r="BE44" s="47" t="e">
        <f>_xll.qlPolynomialFunctionValue(BE$1,$BD44,AllTriggers)</f>
        <v>#VALUE!</v>
      </c>
      <c r="BF44" s="47" t="e">
        <f>_xll.qlPolynomialFunctionValue(BF$1,$BD44,AllTriggers)</f>
        <v>#VALUE!</v>
      </c>
      <c r="BG44" s="47" t="e">
        <f>_xll.qlPolynomialFunctionValue(BG$1,$BD44,AllTriggers)</f>
        <v>#VALUE!</v>
      </c>
      <c r="BH44" s="47" t="e">
        <f>_xll.qlPolynomialFunctionValue(BH$1,$BD44,AllTriggers)</f>
        <v>#VALUE!</v>
      </c>
      <c r="BI44" s="47" t="e">
        <f>_xll.qlPolynomialFunctionValue(BI$1,$BD44,AllTriggers)</f>
        <v>#VALUE!</v>
      </c>
      <c r="BJ44" s="47" t="e">
        <f>_xll.qlPolynomialFunctionValue(BJ$1,$BD44,AllTriggers)</f>
        <v>#VALUE!</v>
      </c>
      <c r="BK44" s="47" t="e">
        <f>_xll.qlPolynomialFunctionValue(BK$1,$BD44,AllTriggers)</f>
        <v>#VALUE!</v>
      </c>
      <c r="BL44" s="47" t="e">
        <f>_xll.qlPolynomialFunctionValue(BL$1,$BD44,AllTriggers)</f>
        <v>#VALUE!</v>
      </c>
      <c r="BM44" s="47" t="e">
        <f>_xll.qlPolynomialFunctionValue(BM$1,$BD44,AllTriggers)</f>
        <v>#VALUE!</v>
      </c>
      <c r="BN44" s="47" t="e">
        <f>_xll.qlPolynomialFunctionValue(BN$1,$BD44,AllTriggers)</f>
        <v>#VALUE!</v>
      </c>
      <c r="BO44" s="47" t="e">
        <f>_xll.qlPolynomialFunctionValue(BO$1,$BD44,AllTriggers)</f>
        <v>#VALUE!</v>
      </c>
      <c r="BP44" s="47" t="e">
        <f>_xll.qlPolynomialFunctionValue(BP$1,$BD44,AllTriggers)</f>
        <v>#VALUE!</v>
      </c>
      <c r="BQ44" s="47">
        <f>_xll.qlPolynomialFunctionValue('1MSynthDepo_used'!$P$18,BD44,AllTriggers)</f>
        <v>2.457510921360013E-4</v>
      </c>
    </row>
    <row r="45" spans="3:69" x14ac:dyDescent="0.2">
      <c r="F45" s="190" t="str">
        <f>C39&amp;"x"&amp;C39+SUBSTITUTE($D$21,"M","")&amp;"F"</f>
        <v>2x3F</v>
      </c>
      <c r="G45" s="47" t="e">
        <f t="shared" ref="G45:AC45" si="11">$AD39-G39</f>
        <v>#VALUE!</v>
      </c>
      <c r="H45" s="47" t="e">
        <f t="shared" si="11"/>
        <v>#VALUE!</v>
      </c>
      <c r="I45" s="19">
        <f t="shared" si="11"/>
        <v>-1.1831110350976363E-3</v>
      </c>
      <c r="J45" s="19">
        <f t="shared" si="11"/>
        <v>-1.1831110350976363E-3</v>
      </c>
      <c r="K45" s="19">
        <f t="shared" si="11"/>
        <v>-1.1831110350976363E-3</v>
      </c>
      <c r="L45" s="19">
        <f t="shared" si="11"/>
        <v>-1.1831110350976363E-3</v>
      </c>
      <c r="M45" s="19">
        <f t="shared" si="11"/>
        <v>-1.1831110350976363E-3</v>
      </c>
      <c r="N45" s="19">
        <f t="shared" si="11"/>
        <v>-1.1831110350976363E-3</v>
      </c>
      <c r="O45" s="19">
        <f t="shared" si="11"/>
        <v>-1.1831110350976363E-3</v>
      </c>
      <c r="P45" s="19">
        <f t="shared" si="11"/>
        <v>-1.1831110350976363E-3</v>
      </c>
      <c r="Q45" s="19">
        <f t="shared" si="11"/>
        <v>-1.1831110350976363E-3</v>
      </c>
      <c r="R45" s="19">
        <f t="shared" si="11"/>
        <v>-1.1831110350976363E-3</v>
      </c>
      <c r="S45" s="47" t="e">
        <f t="shared" si="11"/>
        <v>#VALUE!</v>
      </c>
      <c r="T45" s="154" t="e">
        <f t="shared" si="11"/>
        <v>#VALUE!</v>
      </c>
      <c r="U45" s="155" t="e">
        <f t="shared" si="11"/>
        <v>#VALUE!</v>
      </c>
      <c r="V45" s="47" t="e">
        <f t="shared" si="11"/>
        <v>#VALUE!</v>
      </c>
      <c r="W45" s="47" t="e">
        <f t="shared" si="11"/>
        <v>#VALUE!</v>
      </c>
      <c r="X45" s="154" t="e">
        <f t="shared" si="11"/>
        <v>#VALUE!</v>
      </c>
      <c r="Y45" s="155" t="e">
        <f t="shared" si="11"/>
        <v>#VALUE!</v>
      </c>
      <c r="Z45" s="200" t="e">
        <f t="shared" si="11"/>
        <v>#VALUE!</v>
      </c>
      <c r="AA45" s="47" t="e">
        <f t="shared" si="11"/>
        <v>#VALUE!</v>
      </c>
      <c r="AB45" s="47" t="e">
        <f t="shared" si="11"/>
        <v>#VALUE!</v>
      </c>
      <c r="AC45" s="47">
        <f t="shared" si="11"/>
        <v>0</v>
      </c>
      <c r="BC45" s="178">
        <f>_xll.qlCalendarAdvance(Calendar,BC44,"1d","mf",,Trigger)</f>
        <v>42334</v>
      </c>
      <c r="BD45" s="41">
        <f>_xll.qlDayCounterYearFraction(DayCounter,SettlementDate,BC45,,,Trigger)</f>
        <v>0.15277777777777779</v>
      </c>
      <c r="BE45" s="47" t="e">
        <f>_xll.qlPolynomialFunctionValue(BE$1,$BD45,AllTriggers)</f>
        <v>#VALUE!</v>
      </c>
      <c r="BF45" s="47" t="e">
        <f>_xll.qlPolynomialFunctionValue(BF$1,$BD45,AllTriggers)</f>
        <v>#VALUE!</v>
      </c>
      <c r="BG45" s="47" t="e">
        <f>_xll.qlPolynomialFunctionValue(BG$1,$BD45,AllTriggers)</f>
        <v>#VALUE!</v>
      </c>
      <c r="BH45" s="47" t="e">
        <f>_xll.qlPolynomialFunctionValue(BH$1,$BD45,AllTriggers)</f>
        <v>#VALUE!</v>
      </c>
      <c r="BI45" s="47" t="e">
        <f>_xll.qlPolynomialFunctionValue(BI$1,$BD45,AllTriggers)</f>
        <v>#VALUE!</v>
      </c>
      <c r="BJ45" s="47" t="e">
        <f>_xll.qlPolynomialFunctionValue(BJ$1,$BD45,AllTriggers)</f>
        <v>#VALUE!</v>
      </c>
      <c r="BK45" s="47" t="e">
        <f>_xll.qlPolynomialFunctionValue(BK$1,$BD45,AllTriggers)</f>
        <v>#VALUE!</v>
      </c>
      <c r="BL45" s="47" t="e">
        <f>_xll.qlPolynomialFunctionValue(BL$1,$BD45,AllTriggers)</f>
        <v>#VALUE!</v>
      </c>
      <c r="BM45" s="47" t="e">
        <f>_xll.qlPolynomialFunctionValue(BM$1,$BD45,AllTriggers)</f>
        <v>#VALUE!</v>
      </c>
      <c r="BN45" s="47" t="e">
        <f>_xll.qlPolynomialFunctionValue(BN$1,$BD45,AllTriggers)</f>
        <v>#VALUE!</v>
      </c>
      <c r="BO45" s="47" t="e">
        <f>_xll.qlPolynomialFunctionValue(BO$1,$BD45,AllTriggers)</f>
        <v>#VALUE!</v>
      </c>
      <c r="BP45" s="47" t="e">
        <f>_xll.qlPolynomialFunctionValue(BP$1,$BD45,AllTriggers)</f>
        <v>#VALUE!</v>
      </c>
      <c r="BQ45" s="47">
        <f>_xll.qlPolynomialFunctionValue('1MSynthDepo_used'!$P$18,BD45,AllTriggers)</f>
        <v>2.4812088972713512E-4</v>
      </c>
    </row>
    <row r="46" spans="3:69" x14ac:dyDescent="0.2">
      <c r="F46" s="277" t="str">
        <f>C40&amp;"x"&amp;C40+SUBSTITUTE($D$21,"M","")&amp;"F"</f>
        <v>3x4F</v>
      </c>
      <c r="G46" s="50" t="e">
        <f t="shared" ref="G46:AC46" si="12">$AD40-G40</f>
        <v>#VALUE!</v>
      </c>
      <c r="H46" s="50" t="e">
        <f t="shared" si="12"/>
        <v>#VALUE!</v>
      </c>
      <c r="I46" s="96">
        <f t="shared" si="12"/>
        <v>-1.3050850873542012E-3</v>
      </c>
      <c r="J46" s="96">
        <f t="shared" si="12"/>
        <v>-1.3050850873542012E-3</v>
      </c>
      <c r="K46" s="96">
        <f t="shared" si="12"/>
        <v>-1.3050850873542012E-3</v>
      </c>
      <c r="L46" s="96">
        <f t="shared" si="12"/>
        <v>-1.3050850873542012E-3</v>
      </c>
      <c r="M46" s="96">
        <f t="shared" si="12"/>
        <v>-1.3050850873542012E-3</v>
      </c>
      <c r="N46" s="96">
        <f t="shared" si="12"/>
        <v>-1.3050850873542012E-3</v>
      </c>
      <c r="O46" s="96">
        <f t="shared" si="12"/>
        <v>-1.3050850873542012E-3</v>
      </c>
      <c r="P46" s="96">
        <f t="shared" si="12"/>
        <v>-1.3050850873542012E-3</v>
      </c>
      <c r="Q46" s="96">
        <f t="shared" si="12"/>
        <v>-1.3050850873542012E-3</v>
      </c>
      <c r="R46" s="96">
        <f t="shared" si="12"/>
        <v>-1.3050850873542012E-3</v>
      </c>
      <c r="S46" s="50" t="e">
        <f t="shared" si="12"/>
        <v>#VALUE!</v>
      </c>
      <c r="T46" s="276" t="e">
        <f t="shared" si="12"/>
        <v>#VALUE!</v>
      </c>
      <c r="U46" s="275" t="e">
        <f t="shared" si="12"/>
        <v>#VALUE!</v>
      </c>
      <c r="V46" s="50" t="e">
        <f t="shared" si="12"/>
        <v>#VALUE!</v>
      </c>
      <c r="W46" s="50" t="e">
        <f t="shared" si="12"/>
        <v>#VALUE!</v>
      </c>
      <c r="X46" s="276" t="e">
        <f t="shared" si="12"/>
        <v>#VALUE!</v>
      </c>
      <c r="Y46" s="275" t="e">
        <f t="shared" si="12"/>
        <v>#VALUE!</v>
      </c>
      <c r="Z46" s="201" t="e">
        <f t="shared" si="12"/>
        <v>#VALUE!</v>
      </c>
      <c r="AA46" s="50" t="e">
        <f t="shared" si="12"/>
        <v>#VALUE!</v>
      </c>
      <c r="AB46" s="50" t="e">
        <f t="shared" si="12"/>
        <v>#VALUE!</v>
      </c>
      <c r="AC46" s="50">
        <f t="shared" si="12"/>
        <v>0</v>
      </c>
      <c r="BC46" s="178">
        <f>_xll.qlCalendarAdvance(Calendar,BC45,"1d","mf",,Trigger)</f>
        <v>42335</v>
      </c>
      <c r="BD46" s="41">
        <f>_xll.qlDayCounterYearFraction(DayCounter,SettlementDate,BC46,,,Trigger)</f>
        <v>0.15555555555555556</v>
      </c>
      <c r="BE46" s="47" t="e">
        <f>_xll.qlPolynomialFunctionValue(BE$1,$BD46,AllTriggers)</f>
        <v>#VALUE!</v>
      </c>
      <c r="BF46" s="47" t="e">
        <f>_xll.qlPolynomialFunctionValue(BF$1,$BD46,AllTriggers)</f>
        <v>#VALUE!</v>
      </c>
      <c r="BG46" s="47" t="e">
        <f>_xll.qlPolynomialFunctionValue(BG$1,$BD46,AllTriggers)</f>
        <v>#VALUE!</v>
      </c>
      <c r="BH46" s="47" t="e">
        <f>_xll.qlPolynomialFunctionValue(BH$1,$BD46,AllTriggers)</f>
        <v>#VALUE!</v>
      </c>
      <c r="BI46" s="47" t="e">
        <f>_xll.qlPolynomialFunctionValue(BI$1,$BD46,AllTriggers)</f>
        <v>#VALUE!</v>
      </c>
      <c r="BJ46" s="47" t="e">
        <f>_xll.qlPolynomialFunctionValue(BJ$1,$BD46,AllTriggers)</f>
        <v>#VALUE!</v>
      </c>
      <c r="BK46" s="47" t="e">
        <f>_xll.qlPolynomialFunctionValue(BK$1,$BD46,AllTriggers)</f>
        <v>#VALUE!</v>
      </c>
      <c r="BL46" s="47" t="e">
        <f>_xll.qlPolynomialFunctionValue(BL$1,$BD46,AllTriggers)</f>
        <v>#VALUE!</v>
      </c>
      <c r="BM46" s="47" t="e">
        <f>_xll.qlPolynomialFunctionValue(BM$1,$BD46,AllTriggers)</f>
        <v>#VALUE!</v>
      </c>
      <c r="BN46" s="47" t="e">
        <f>_xll.qlPolynomialFunctionValue(BN$1,$BD46,AllTriggers)</f>
        <v>#VALUE!</v>
      </c>
      <c r="BO46" s="47" t="e">
        <f>_xll.qlPolynomialFunctionValue(BO$1,$BD46,AllTriggers)</f>
        <v>#VALUE!</v>
      </c>
      <c r="BP46" s="47" t="e">
        <f>_xll.qlPolynomialFunctionValue(BP$1,$BD46,AllTriggers)</f>
        <v>#VALUE!</v>
      </c>
      <c r="BQ46" s="47">
        <f>_xll.qlPolynomialFunctionValue('1MSynthDepo_used'!$P$18,BD46,AllTriggers)</f>
        <v>2.5054834018495379E-4</v>
      </c>
    </row>
    <row r="47" spans="3:69" x14ac:dyDescent="0.2">
      <c r="BC47" s="178">
        <f>_xll.qlCalendarAdvance(Calendar,BC46,"1d","mf",,Trigger)</f>
        <v>42338</v>
      </c>
      <c r="BD47" s="41">
        <f>_xll.qlDayCounterYearFraction(DayCounter,SettlementDate,BC47,,,Trigger)</f>
        <v>0.16388888888888889</v>
      </c>
      <c r="BE47" s="47" t="e">
        <f>_xll.qlPolynomialFunctionValue(BE$1,$BD47,AllTriggers)</f>
        <v>#VALUE!</v>
      </c>
      <c r="BF47" s="47" t="e">
        <f>_xll.qlPolynomialFunctionValue(BF$1,$BD47,AllTriggers)</f>
        <v>#VALUE!</v>
      </c>
      <c r="BG47" s="47" t="e">
        <f>_xll.qlPolynomialFunctionValue(BG$1,$BD47,AllTriggers)</f>
        <v>#VALUE!</v>
      </c>
      <c r="BH47" s="47" t="e">
        <f>_xll.qlPolynomialFunctionValue(BH$1,$BD47,AllTriggers)</f>
        <v>#VALUE!</v>
      </c>
      <c r="BI47" s="47" t="e">
        <f>_xll.qlPolynomialFunctionValue(BI$1,$BD47,AllTriggers)</f>
        <v>#VALUE!</v>
      </c>
      <c r="BJ47" s="47" t="e">
        <f>_xll.qlPolynomialFunctionValue(BJ$1,$BD47,AllTriggers)</f>
        <v>#VALUE!</v>
      </c>
      <c r="BK47" s="47" t="e">
        <f>_xll.qlPolynomialFunctionValue(BK$1,$BD47,AllTriggers)</f>
        <v>#VALUE!</v>
      </c>
      <c r="BL47" s="47" t="e">
        <f>_xll.qlPolynomialFunctionValue(BL$1,$BD47,AllTriggers)</f>
        <v>#VALUE!</v>
      </c>
      <c r="BM47" s="47" t="e">
        <f>_xll.qlPolynomialFunctionValue(BM$1,$BD47,AllTriggers)</f>
        <v>#VALUE!</v>
      </c>
      <c r="BN47" s="47" t="e">
        <f>_xll.qlPolynomialFunctionValue(BN$1,$BD47,AllTriggers)</f>
        <v>#VALUE!</v>
      </c>
      <c r="BO47" s="47" t="e">
        <f>_xll.qlPolynomialFunctionValue(BO$1,$BD47,AllTriggers)</f>
        <v>#VALUE!</v>
      </c>
      <c r="BP47" s="47" t="e">
        <f>_xll.qlPolynomialFunctionValue(BP$1,$BD47,AllTriggers)</f>
        <v>#VALUE!</v>
      </c>
      <c r="BQ47" s="47">
        <f>_xll.qlPolynomialFunctionValue('1MSynthDepo_used'!$P$18,BD47,AllTriggers)</f>
        <v>2.5811807790100292E-4</v>
      </c>
    </row>
    <row r="48" spans="3:69" x14ac:dyDescent="0.2">
      <c r="BC48" s="178">
        <f>_xll.qlCalendarAdvance(Calendar,BC47,"1d","mf",,Trigger)</f>
        <v>42339</v>
      </c>
      <c r="BD48" s="41">
        <f>_xll.qlDayCounterYearFraction(DayCounter,SettlementDate,BC48,,,Trigger)</f>
        <v>0.16666666666666666</v>
      </c>
      <c r="BE48" s="47" t="e">
        <f>_xll.qlPolynomialFunctionValue(BE$1,$BD48,AllTriggers)</f>
        <v>#VALUE!</v>
      </c>
      <c r="BF48" s="47" t="e">
        <f>_xll.qlPolynomialFunctionValue(BF$1,$BD48,AllTriggers)</f>
        <v>#VALUE!</v>
      </c>
      <c r="BG48" s="47" t="e">
        <f>_xll.qlPolynomialFunctionValue(BG$1,$BD48,AllTriggers)</f>
        <v>#VALUE!</v>
      </c>
      <c r="BH48" s="47" t="e">
        <f>_xll.qlPolynomialFunctionValue(BH$1,$BD48,AllTriggers)</f>
        <v>#VALUE!</v>
      </c>
      <c r="BI48" s="47" t="e">
        <f>_xll.qlPolynomialFunctionValue(BI$1,$BD48,AllTriggers)</f>
        <v>#VALUE!</v>
      </c>
      <c r="BJ48" s="47" t="e">
        <f>_xll.qlPolynomialFunctionValue(BJ$1,$BD48,AllTriggers)</f>
        <v>#VALUE!</v>
      </c>
      <c r="BK48" s="47" t="e">
        <f>_xll.qlPolynomialFunctionValue(BK$1,$BD48,AllTriggers)</f>
        <v>#VALUE!</v>
      </c>
      <c r="BL48" s="47" t="e">
        <f>_xll.qlPolynomialFunctionValue(BL$1,$BD48,AllTriggers)</f>
        <v>#VALUE!</v>
      </c>
      <c r="BM48" s="47" t="e">
        <f>_xll.qlPolynomialFunctionValue(BM$1,$BD48,AllTriggers)</f>
        <v>#VALUE!</v>
      </c>
      <c r="BN48" s="47" t="e">
        <f>_xll.qlPolynomialFunctionValue(BN$1,$BD48,AllTriggers)</f>
        <v>#VALUE!</v>
      </c>
      <c r="BO48" s="47" t="e">
        <f>_xll.qlPolynomialFunctionValue(BO$1,$BD48,AllTriggers)</f>
        <v>#VALUE!</v>
      </c>
      <c r="BP48" s="47" t="e">
        <f>_xll.qlPolynomialFunctionValue(BP$1,$BD48,AllTriggers)</f>
        <v>#VALUE!</v>
      </c>
      <c r="BQ48" s="47">
        <f>_xll.qlPolynomialFunctionValue('1MSynthDepo_used'!$P$18,BD48,AllTriggers)</f>
        <v>2.6071760896804487E-4</v>
      </c>
    </row>
    <row r="49" spans="3:69" x14ac:dyDescent="0.2">
      <c r="BC49" s="178">
        <f>_xll.qlCalendarAdvance(Calendar,BC48,"1d","mf",,Trigger)</f>
        <v>42340</v>
      </c>
      <c r="BD49" s="41">
        <f>_xll.qlDayCounterYearFraction(DayCounter,SettlementDate,BC49,,,Trigger)</f>
        <v>0.16944444444444445</v>
      </c>
      <c r="BE49" s="47" t="e">
        <f>_xll.qlPolynomialFunctionValue(BE$1,$BD49,AllTriggers)</f>
        <v>#VALUE!</v>
      </c>
      <c r="BF49" s="47" t="e">
        <f>_xll.qlPolynomialFunctionValue(BF$1,$BD49,AllTriggers)</f>
        <v>#VALUE!</v>
      </c>
      <c r="BG49" s="47" t="e">
        <f>_xll.qlPolynomialFunctionValue(BG$1,$BD49,AllTriggers)</f>
        <v>#VALUE!</v>
      </c>
      <c r="BH49" s="47" t="e">
        <f>_xll.qlPolynomialFunctionValue(BH$1,$BD49,AllTriggers)</f>
        <v>#VALUE!</v>
      </c>
      <c r="BI49" s="47" t="e">
        <f>_xll.qlPolynomialFunctionValue(BI$1,$BD49,AllTriggers)</f>
        <v>#VALUE!</v>
      </c>
      <c r="BJ49" s="47" t="e">
        <f>_xll.qlPolynomialFunctionValue(BJ$1,$BD49,AllTriggers)</f>
        <v>#VALUE!</v>
      </c>
      <c r="BK49" s="47" t="e">
        <f>_xll.qlPolynomialFunctionValue(BK$1,$BD49,AllTriggers)</f>
        <v>#VALUE!</v>
      </c>
      <c r="BL49" s="47" t="e">
        <f>_xll.qlPolynomialFunctionValue(BL$1,$BD49,AllTriggers)</f>
        <v>#VALUE!</v>
      </c>
      <c r="BM49" s="47" t="e">
        <f>_xll.qlPolynomialFunctionValue(BM$1,$BD49,AllTriggers)</f>
        <v>#VALUE!</v>
      </c>
      <c r="BN49" s="47" t="e">
        <f>_xll.qlPolynomialFunctionValue(BN$1,$BD49,AllTriggers)</f>
        <v>#VALUE!</v>
      </c>
      <c r="BO49" s="47" t="e">
        <f>_xll.qlPolynomialFunctionValue(BO$1,$BD49,AllTriggers)</f>
        <v>#VALUE!</v>
      </c>
      <c r="BP49" s="47" t="e">
        <f>_xll.qlPolynomialFunctionValue(BP$1,$BD49,AllTriggers)</f>
        <v>#VALUE!</v>
      </c>
      <c r="BQ49" s="47">
        <f>_xll.qlPolynomialFunctionValue('1MSynthDepo_used'!$P$18,BD49,AllTriggers)</f>
        <v>2.6334552747301352E-4</v>
      </c>
    </row>
    <row r="50" spans="3:69" x14ac:dyDescent="0.2">
      <c r="BC50" s="178">
        <f>_xll.qlCalendarAdvance(Calendar,BC49,"1d","mf",,Trigger)</f>
        <v>42341</v>
      </c>
      <c r="BD50" s="41">
        <f>_xll.qlDayCounterYearFraction(DayCounter,SettlementDate,BC50,,,Trigger)</f>
        <v>0.17222222222222222</v>
      </c>
      <c r="BE50" s="47" t="e">
        <f>_xll.qlPolynomialFunctionValue(BE$1,$BD50,AllTriggers)</f>
        <v>#VALUE!</v>
      </c>
      <c r="BF50" s="47" t="e">
        <f>_xll.qlPolynomialFunctionValue(BF$1,$BD50,AllTriggers)</f>
        <v>#VALUE!</v>
      </c>
      <c r="BG50" s="47" t="e">
        <f>_xll.qlPolynomialFunctionValue(BG$1,$BD50,AllTriggers)</f>
        <v>#VALUE!</v>
      </c>
      <c r="BH50" s="47" t="e">
        <f>_xll.qlPolynomialFunctionValue(BH$1,$BD50,AllTriggers)</f>
        <v>#VALUE!</v>
      </c>
      <c r="BI50" s="47" t="e">
        <f>_xll.qlPolynomialFunctionValue(BI$1,$BD50,AllTriggers)</f>
        <v>#VALUE!</v>
      </c>
      <c r="BJ50" s="47" t="e">
        <f>_xll.qlPolynomialFunctionValue(BJ$1,$BD50,AllTriggers)</f>
        <v>#VALUE!</v>
      </c>
      <c r="BK50" s="47" t="e">
        <f>_xll.qlPolynomialFunctionValue(BK$1,$BD50,AllTriggers)</f>
        <v>#VALUE!</v>
      </c>
      <c r="BL50" s="47" t="e">
        <f>_xll.qlPolynomialFunctionValue(BL$1,$BD50,AllTriggers)</f>
        <v>#VALUE!</v>
      </c>
      <c r="BM50" s="47" t="e">
        <f>_xll.qlPolynomialFunctionValue(BM$1,$BD50,AllTriggers)</f>
        <v>#VALUE!</v>
      </c>
      <c r="BN50" s="47" t="e">
        <f>_xll.qlPolynomialFunctionValue(BN$1,$BD50,AllTriggers)</f>
        <v>#VALUE!</v>
      </c>
      <c r="BO50" s="47" t="e">
        <f>_xll.qlPolynomialFunctionValue(BO$1,$BD50,AllTriggers)</f>
        <v>#VALUE!</v>
      </c>
      <c r="BP50" s="47" t="e">
        <f>_xll.qlPolynomialFunctionValue(BP$1,$BD50,AllTriggers)</f>
        <v>#VALUE!</v>
      </c>
      <c r="BQ50" s="47">
        <f>_xll.qlPolynomialFunctionValue('1MSynthDepo_used'!$P$18,BD50,AllTriggers)</f>
        <v>2.6599598033015716E-4</v>
      </c>
    </row>
    <row r="51" spans="3:69" x14ac:dyDescent="0.2">
      <c r="BC51" s="178">
        <f>_xll.qlCalendarAdvance(Calendar,BC50,"1d","mf",,Trigger)</f>
        <v>42342</v>
      </c>
      <c r="BD51" s="41">
        <f>_xll.qlDayCounterYearFraction(DayCounter,SettlementDate,BC51,,,Trigger)</f>
        <v>0.17499999999999999</v>
      </c>
      <c r="BE51" s="47" t="e">
        <f>_xll.qlPolynomialFunctionValue(BE$1,$BD51,AllTriggers)</f>
        <v>#VALUE!</v>
      </c>
      <c r="BF51" s="47" t="e">
        <f>_xll.qlPolynomialFunctionValue(BF$1,$BD51,AllTriggers)</f>
        <v>#VALUE!</v>
      </c>
      <c r="BG51" s="47" t="e">
        <f>_xll.qlPolynomialFunctionValue(BG$1,$BD51,AllTriggers)</f>
        <v>#VALUE!</v>
      </c>
      <c r="BH51" s="47" t="e">
        <f>_xll.qlPolynomialFunctionValue(BH$1,$BD51,AllTriggers)</f>
        <v>#VALUE!</v>
      </c>
      <c r="BI51" s="47" t="e">
        <f>_xll.qlPolynomialFunctionValue(BI$1,$BD51,AllTriggers)</f>
        <v>#VALUE!</v>
      </c>
      <c r="BJ51" s="47" t="e">
        <f>_xll.qlPolynomialFunctionValue(BJ$1,$BD51,AllTriggers)</f>
        <v>#VALUE!</v>
      </c>
      <c r="BK51" s="47" t="e">
        <f>_xll.qlPolynomialFunctionValue(BK$1,$BD51,AllTriggers)</f>
        <v>#VALUE!</v>
      </c>
      <c r="BL51" s="47" t="e">
        <f>_xll.qlPolynomialFunctionValue(BL$1,$BD51,AllTriggers)</f>
        <v>#VALUE!</v>
      </c>
      <c r="BM51" s="47" t="e">
        <f>_xll.qlPolynomialFunctionValue(BM$1,$BD51,AllTriggers)</f>
        <v>#VALUE!</v>
      </c>
      <c r="BN51" s="47" t="e">
        <f>_xll.qlPolynomialFunctionValue(BN$1,$BD51,AllTriggers)</f>
        <v>#VALUE!</v>
      </c>
      <c r="BO51" s="47" t="e">
        <f>_xll.qlPolynomialFunctionValue(BO$1,$BD51,AllTriggers)</f>
        <v>#VALUE!</v>
      </c>
      <c r="BP51" s="47" t="e">
        <f>_xll.qlPolynomialFunctionValue(BP$1,$BD51,AllTriggers)</f>
        <v>#VALUE!</v>
      </c>
      <c r="BQ51" s="47">
        <f>_xll.qlPolynomialFunctionValue('1MSynthDepo_used'!$P$18,BD51,AllTriggers)</f>
        <v>2.6866311445372421E-4</v>
      </c>
    </row>
    <row r="52" spans="3:69" x14ac:dyDescent="0.2">
      <c r="BC52" s="178">
        <f>_xll.qlCalendarAdvance(Calendar,BC51,"1d","mf",,Trigger)</f>
        <v>42345</v>
      </c>
      <c r="BD52" s="41">
        <f>_xll.qlDayCounterYearFraction(DayCounter,SettlementDate,BC52,,,Trigger)</f>
        <v>0.18333333333333332</v>
      </c>
      <c r="BE52" s="47" t="e">
        <f>_xll.qlPolynomialFunctionValue(BE$1,$BD52,AllTriggers)</f>
        <v>#VALUE!</v>
      </c>
      <c r="BF52" s="47" t="e">
        <f>_xll.qlPolynomialFunctionValue(BF$1,$BD52,AllTriggers)</f>
        <v>#VALUE!</v>
      </c>
      <c r="BG52" s="47" t="e">
        <f>_xll.qlPolynomialFunctionValue(BG$1,$BD52,AllTriggers)</f>
        <v>#VALUE!</v>
      </c>
      <c r="BH52" s="47" t="e">
        <f>_xll.qlPolynomialFunctionValue(BH$1,$BD52,AllTriggers)</f>
        <v>#VALUE!</v>
      </c>
      <c r="BI52" s="47" t="e">
        <f>_xll.qlPolynomialFunctionValue(BI$1,$BD52,AllTriggers)</f>
        <v>#VALUE!</v>
      </c>
      <c r="BJ52" s="47" t="e">
        <f>_xll.qlPolynomialFunctionValue(BJ$1,$BD52,AllTriggers)</f>
        <v>#VALUE!</v>
      </c>
      <c r="BK52" s="47" t="e">
        <f>_xll.qlPolynomialFunctionValue(BK$1,$BD52,AllTriggers)</f>
        <v>#VALUE!</v>
      </c>
      <c r="BL52" s="47" t="e">
        <f>_xll.qlPolynomialFunctionValue(BL$1,$BD52,AllTriggers)</f>
        <v>#VALUE!</v>
      </c>
      <c r="BM52" s="47" t="e">
        <f>_xll.qlPolynomialFunctionValue(BM$1,$BD52,AllTriggers)</f>
        <v>#VALUE!</v>
      </c>
      <c r="BN52" s="47" t="e">
        <f>_xll.qlPolynomialFunctionValue(BN$1,$BD52,AllTriggers)</f>
        <v>#VALUE!</v>
      </c>
      <c r="BO52" s="47" t="e">
        <f>_xll.qlPolynomialFunctionValue(BO$1,$BD52,AllTriggers)</f>
        <v>#VALUE!</v>
      </c>
      <c r="BP52" s="47" t="e">
        <f>_xll.qlPolynomialFunctionValue(BP$1,$BD52,AllTriggers)</f>
        <v>#VALUE!</v>
      </c>
      <c r="BQ52" s="47">
        <f>_xll.qlPolynomialFunctionValue('1MSynthDepo_used'!$P$18,BD52,AllTriggers)</f>
        <v>2.7670607356544881E-4</v>
      </c>
    </row>
    <row r="53" spans="3:69" x14ac:dyDescent="0.2">
      <c r="BC53" s="178">
        <f>_xll.qlCalendarAdvance(Calendar,BC52,"1d","mf",,Trigger)</f>
        <v>42346</v>
      </c>
      <c r="BD53" s="41">
        <f>_xll.qlDayCounterYearFraction(DayCounter,SettlementDate,BC53,,,Trigger)</f>
        <v>0.18611111111111112</v>
      </c>
      <c r="BE53" s="47" t="e">
        <f>_xll.qlPolynomialFunctionValue(BE$1,$BD53,AllTriggers)</f>
        <v>#VALUE!</v>
      </c>
      <c r="BF53" s="47" t="e">
        <f>_xll.qlPolynomialFunctionValue(BF$1,$BD53,AllTriggers)</f>
        <v>#VALUE!</v>
      </c>
      <c r="BG53" s="47" t="e">
        <f>_xll.qlPolynomialFunctionValue(BG$1,$BD53,AllTriggers)</f>
        <v>#VALUE!</v>
      </c>
      <c r="BH53" s="47" t="e">
        <f>_xll.qlPolynomialFunctionValue(BH$1,$BD53,AllTriggers)</f>
        <v>#VALUE!</v>
      </c>
      <c r="BI53" s="47" t="e">
        <f>_xll.qlPolynomialFunctionValue(BI$1,$BD53,AllTriggers)</f>
        <v>#VALUE!</v>
      </c>
      <c r="BJ53" s="47" t="e">
        <f>_xll.qlPolynomialFunctionValue(BJ$1,$BD53,AllTriggers)</f>
        <v>#VALUE!</v>
      </c>
      <c r="BK53" s="47" t="e">
        <f>_xll.qlPolynomialFunctionValue(BK$1,$BD53,AllTriggers)</f>
        <v>#VALUE!</v>
      </c>
      <c r="BL53" s="47" t="e">
        <f>_xll.qlPolynomialFunctionValue(BL$1,$BD53,AllTriggers)</f>
        <v>#VALUE!</v>
      </c>
      <c r="BM53" s="47" t="e">
        <f>_xll.qlPolynomialFunctionValue(BM$1,$BD53,AllTriggers)</f>
        <v>#VALUE!</v>
      </c>
      <c r="BN53" s="47" t="e">
        <f>_xll.qlPolynomialFunctionValue(BN$1,$BD53,AllTriggers)</f>
        <v>#VALUE!</v>
      </c>
      <c r="BO53" s="47" t="e">
        <f>_xll.qlPolynomialFunctionValue(BO$1,$BD53,AllTriggers)</f>
        <v>#VALUE!</v>
      </c>
      <c r="BP53" s="47" t="e">
        <f>_xll.qlPolynomialFunctionValue(BP$1,$BD53,AllTriggers)</f>
        <v>#VALUE!</v>
      </c>
      <c r="BQ53" s="47">
        <f>_xll.qlPolynomialFunctionValue('1MSynthDepo_used'!$P$18,BD53,AllTriggers)</f>
        <v>2.7938140189719292E-4</v>
      </c>
    </row>
    <row r="54" spans="3:69" x14ac:dyDescent="0.2">
      <c r="BC54" s="178">
        <f>_xll.qlCalendarAdvance(Calendar,BC53,"1d","mf",,Trigger)</f>
        <v>42347</v>
      </c>
      <c r="BD54" s="41">
        <f>_xll.qlDayCounterYearFraction(DayCounter,SettlementDate,BC54,,,Trigger)</f>
        <v>0.18888888888888888</v>
      </c>
      <c r="BE54" s="47" t="e">
        <f>_xll.qlPolynomialFunctionValue(BE$1,$BD54,AllTriggers)</f>
        <v>#VALUE!</v>
      </c>
      <c r="BF54" s="47" t="e">
        <f>_xll.qlPolynomialFunctionValue(BF$1,$BD54,AllTriggers)</f>
        <v>#VALUE!</v>
      </c>
      <c r="BG54" s="47" t="e">
        <f>_xll.qlPolynomialFunctionValue(BG$1,$BD54,AllTriggers)</f>
        <v>#VALUE!</v>
      </c>
      <c r="BH54" s="47" t="e">
        <f>_xll.qlPolynomialFunctionValue(BH$1,$BD54,AllTriggers)</f>
        <v>#VALUE!</v>
      </c>
      <c r="BI54" s="47" t="e">
        <f>_xll.qlPolynomialFunctionValue(BI$1,$BD54,AllTriggers)</f>
        <v>#VALUE!</v>
      </c>
      <c r="BJ54" s="47" t="e">
        <f>_xll.qlPolynomialFunctionValue(BJ$1,$BD54,AllTriggers)</f>
        <v>#VALUE!</v>
      </c>
      <c r="BK54" s="47" t="e">
        <f>_xll.qlPolynomialFunctionValue(BK$1,$BD54,AllTriggers)</f>
        <v>#VALUE!</v>
      </c>
      <c r="BL54" s="47" t="e">
        <f>_xll.qlPolynomialFunctionValue(BL$1,$BD54,AllTriggers)</f>
        <v>#VALUE!</v>
      </c>
      <c r="BM54" s="47" t="e">
        <f>_xll.qlPolynomialFunctionValue(BM$1,$BD54,AllTriggers)</f>
        <v>#VALUE!</v>
      </c>
      <c r="BN54" s="47" t="e">
        <f>_xll.qlPolynomialFunctionValue(BN$1,$BD54,AllTriggers)</f>
        <v>#VALUE!</v>
      </c>
      <c r="BO54" s="47" t="e">
        <f>_xll.qlPolynomialFunctionValue(BO$1,$BD54,AllTriggers)</f>
        <v>#VALUE!</v>
      </c>
      <c r="BP54" s="47" t="e">
        <f>_xll.qlPolynomialFunctionValue(BP$1,$BD54,AllTriggers)</f>
        <v>#VALUE!</v>
      </c>
      <c r="BQ54" s="47">
        <f>_xll.qlPolynomialFunctionValue('1MSynthDepo_used'!$P$18,BD54,AllTriggers)</f>
        <v>2.8204414606660181E-4</v>
      </c>
    </row>
    <row r="55" spans="3:69" x14ac:dyDescent="0.2">
      <c r="BC55" s="178">
        <f>_xll.qlCalendarAdvance(Calendar,BC54,"1d","mf",,Trigger)</f>
        <v>42348</v>
      </c>
      <c r="BD55" s="41">
        <f>_xll.qlDayCounterYearFraction(DayCounter,SettlementDate,BC55,,,Trigger)</f>
        <v>0.19166666666666668</v>
      </c>
      <c r="BE55" s="47" t="e">
        <f>_xll.qlPolynomialFunctionValue(BE$1,$BD55,AllTriggers)</f>
        <v>#VALUE!</v>
      </c>
      <c r="BF55" s="47" t="e">
        <f>_xll.qlPolynomialFunctionValue(BF$1,$BD55,AllTriggers)</f>
        <v>#VALUE!</v>
      </c>
      <c r="BG55" s="47" t="e">
        <f>_xll.qlPolynomialFunctionValue(BG$1,$BD55,AllTriggers)</f>
        <v>#VALUE!</v>
      </c>
      <c r="BH55" s="47" t="e">
        <f>_xll.qlPolynomialFunctionValue(BH$1,$BD55,AllTriggers)</f>
        <v>#VALUE!</v>
      </c>
      <c r="BI55" s="47" t="e">
        <f>_xll.qlPolynomialFunctionValue(BI$1,$BD55,AllTriggers)</f>
        <v>#VALUE!</v>
      </c>
      <c r="BJ55" s="47" t="e">
        <f>_xll.qlPolynomialFunctionValue(BJ$1,$BD55,AllTriggers)</f>
        <v>#VALUE!</v>
      </c>
      <c r="BK55" s="47" t="e">
        <f>_xll.qlPolynomialFunctionValue(BK$1,$BD55,AllTriggers)</f>
        <v>#VALUE!</v>
      </c>
      <c r="BL55" s="47" t="e">
        <f>_xll.qlPolynomialFunctionValue(BL$1,$BD55,AllTriggers)</f>
        <v>#VALUE!</v>
      </c>
      <c r="BM55" s="47" t="e">
        <f>_xll.qlPolynomialFunctionValue(BM$1,$BD55,AllTriggers)</f>
        <v>#VALUE!</v>
      </c>
      <c r="BN55" s="47" t="e">
        <f>_xll.qlPolynomialFunctionValue(BN$1,$BD55,AllTriggers)</f>
        <v>#VALUE!</v>
      </c>
      <c r="BO55" s="47" t="e">
        <f>_xll.qlPolynomialFunctionValue(BO$1,$BD55,AllTriggers)</f>
        <v>#VALUE!</v>
      </c>
      <c r="BP55" s="47" t="e">
        <f>_xll.qlPolynomialFunctionValue(BP$1,$BD55,AllTriggers)</f>
        <v>#VALUE!</v>
      </c>
      <c r="BQ55" s="47">
        <f>_xll.qlPolynomialFunctionValue('1MSynthDepo_used'!$P$18,BD55,AllTriggers)</f>
        <v>2.8468845298792442E-4</v>
      </c>
    </row>
    <row r="56" spans="3:69" x14ac:dyDescent="0.2">
      <c r="BC56" s="178">
        <f>_xll.qlCalendarAdvance(Calendar,BC55,"1d","mf",,Trigger)</f>
        <v>42349</v>
      </c>
      <c r="BD56" s="41">
        <f>_xll.qlDayCounterYearFraction(DayCounter,SettlementDate,BC56,,,Trigger)</f>
        <v>0.19444444444444445</v>
      </c>
      <c r="BE56" s="47" t="e">
        <f>_xll.qlPolynomialFunctionValue(BE$1,$BD56,AllTriggers)</f>
        <v>#VALUE!</v>
      </c>
      <c r="BF56" s="47" t="e">
        <f>_xll.qlPolynomialFunctionValue(BF$1,$BD56,AllTriggers)</f>
        <v>#VALUE!</v>
      </c>
      <c r="BG56" s="47" t="e">
        <f>_xll.qlPolynomialFunctionValue(BG$1,$BD56,AllTriggers)</f>
        <v>#VALUE!</v>
      </c>
      <c r="BH56" s="47" t="e">
        <f>_xll.qlPolynomialFunctionValue(BH$1,$BD56,AllTriggers)</f>
        <v>#VALUE!</v>
      </c>
      <c r="BI56" s="47" t="e">
        <f>_xll.qlPolynomialFunctionValue(BI$1,$BD56,AllTriggers)</f>
        <v>#VALUE!</v>
      </c>
      <c r="BJ56" s="47" t="e">
        <f>_xll.qlPolynomialFunctionValue(BJ$1,$BD56,AllTriggers)</f>
        <v>#VALUE!</v>
      </c>
      <c r="BK56" s="47" t="e">
        <f>_xll.qlPolynomialFunctionValue(BK$1,$BD56,AllTriggers)</f>
        <v>#VALUE!</v>
      </c>
      <c r="BL56" s="47" t="e">
        <f>_xll.qlPolynomialFunctionValue(BL$1,$BD56,AllTriggers)</f>
        <v>#VALUE!</v>
      </c>
      <c r="BM56" s="47" t="e">
        <f>_xll.qlPolynomialFunctionValue(BM$1,$BD56,AllTriggers)</f>
        <v>#VALUE!</v>
      </c>
      <c r="BN56" s="47" t="e">
        <f>_xll.qlPolynomialFunctionValue(BN$1,$BD56,AllTriggers)</f>
        <v>#VALUE!</v>
      </c>
      <c r="BO56" s="47" t="e">
        <f>_xll.qlPolynomialFunctionValue(BO$1,$BD56,AllTriggers)</f>
        <v>#VALUE!</v>
      </c>
      <c r="BP56" s="47" t="e">
        <f>_xll.qlPolynomialFunctionValue(BP$1,$BD56,AllTriggers)</f>
        <v>#VALUE!</v>
      </c>
      <c r="BQ56" s="47">
        <f>_xll.qlPolynomialFunctionValue('1MSynthDepo_used'!$P$18,BD56,AllTriggers)</f>
        <v>2.8730846957540857E-4</v>
      </c>
    </row>
    <row r="57" spans="3:69" x14ac:dyDescent="0.2">
      <c r="BC57" s="178">
        <f>_xll.qlCalendarAdvance(Calendar,BC56,"1d","mf",,Trigger)</f>
        <v>42352</v>
      </c>
      <c r="BD57" s="41">
        <f>_xll.qlDayCounterYearFraction(DayCounter,SettlementDate,BC57,,,Trigger)</f>
        <v>0.20277777777777778</v>
      </c>
      <c r="BE57" s="47" t="e">
        <f>_xll.qlPolynomialFunctionValue(BE$1,$BD57,AllTriggers)</f>
        <v>#VALUE!</v>
      </c>
      <c r="BF57" s="47" t="e">
        <f>_xll.qlPolynomialFunctionValue(BF$1,$BD57,AllTriggers)</f>
        <v>#VALUE!</v>
      </c>
      <c r="BG57" s="47" t="e">
        <f>_xll.qlPolynomialFunctionValue(BG$1,$BD57,AllTriggers)</f>
        <v>#VALUE!</v>
      </c>
      <c r="BH57" s="47" t="e">
        <f>_xll.qlPolynomialFunctionValue(BH$1,$BD57,AllTriggers)</f>
        <v>#VALUE!</v>
      </c>
      <c r="BI57" s="47" t="e">
        <f>_xll.qlPolynomialFunctionValue(BI$1,$BD57,AllTriggers)</f>
        <v>#VALUE!</v>
      </c>
      <c r="BJ57" s="47" t="e">
        <f>_xll.qlPolynomialFunctionValue(BJ$1,$BD57,AllTriggers)</f>
        <v>#VALUE!</v>
      </c>
      <c r="BK57" s="47" t="e">
        <f>_xll.qlPolynomialFunctionValue(BK$1,$BD57,AllTriggers)</f>
        <v>#VALUE!</v>
      </c>
      <c r="BL57" s="47" t="e">
        <f>_xll.qlPolynomialFunctionValue(BL$1,$BD57,AllTriggers)</f>
        <v>#VALUE!</v>
      </c>
      <c r="BM57" s="47" t="e">
        <f>_xll.qlPolynomialFunctionValue(BM$1,$BD57,AllTriggers)</f>
        <v>#VALUE!</v>
      </c>
      <c r="BN57" s="47" t="e">
        <f>_xll.qlPolynomialFunctionValue(BN$1,$BD57,AllTriggers)</f>
        <v>#VALUE!</v>
      </c>
      <c r="BO57" s="47" t="e">
        <f>_xll.qlPolynomialFunctionValue(BO$1,$BD57,AllTriggers)</f>
        <v>#VALUE!</v>
      </c>
      <c r="BP57" s="47" t="e">
        <f>_xll.qlPolynomialFunctionValue(BP$1,$BD57,AllTriggers)</f>
        <v>#VALUE!</v>
      </c>
      <c r="BQ57" s="47">
        <f>_xll.qlPolynomialFunctionValue('1MSynthDepo_used'!$P$18,BD57,AllTriggers)</f>
        <v>2.9496424647731587E-4</v>
      </c>
    </row>
    <row r="58" spans="3:69" x14ac:dyDescent="0.2">
      <c r="BC58" s="178">
        <f>_xll.qlCalendarAdvance(Calendar,BC57,"1d","mf",,Trigger)</f>
        <v>42353</v>
      </c>
      <c r="BD58" s="41">
        <f>_xll.qlDayCounterYearFraction(DayCounter,SettlementDate,BC58,,,Trigger)</f>
        <v>0.20555555555555555</v>
      </c>
      <c r="BE58" s="47" t="e">
        <f>_xll.qlPolynomialFunctionValue(BE$1,$BD58,AllTriggers)</f>
        <v>#VALUE!</v>
      </c>
      <c r="BF58" s="47" t="e">
        <f>_xll.qlPolynomialFunctionValue(BF$1,$BD58,AllTriggers)</f>
        <v>#VALUE!</v>
      </c>
      <c r="BG58" s="47" t="e">
        <f>_xll.qlPolynomialFunctionValue(BG$1,$BD58,AllTriggers)</f>
        <v>#VALUE!</v>
      </c>
      <c r="BH58" s="47" t="e">
        <f>_xll.qlPolynomialFunctionValue(BH$1,$BD58,AllTriggers)</f>
        <v>#VALUE!</v>
      </c>
      <c r="BI58" s="47" t="e">
        <f>_xll.qlPolynomialFunctionValue(BI$1,$BD58,AllTriggers)</f>
        <v>#VALUE!</v>
      </c>
      <c r="BJ58" s="47" t="e">
        <f>_xll.qlPolynomialFunctionValue(BJ$1,$BD58,AllTriggers)</f>
        <v>#VALUE!</v>
      </c>
      <c r="BK58" s="47" t="e">
        <f>_xll.qlPolynomialFunctionValue(BK$1,$BD58,AllTriggers)</f>
        <v>#VALUE!</v>
      </c>
      <c r="BL58" s="47" t="e">
        <f>_xll.qlPolynomialFunctionValue(BL$1,$BD58,AllTriggers)</f>
        <v>#VALUE!</v>
      </c>
      <c r="BM58" s="47" t="e">
        <f>_xll.qlPolynomialFunctionValue(BM$1,$BD58,AllTriggers)</f>
        <v>#VALUE!</v>
      </c>
      <c r="BN58" s="47" t="e">
        <f>_xll.qlPolynomialFunctionValue(BN$1,$BD58,AllTriggers)</f>
        <v>#VALUE!</v>
      </c>
      <c r="BO58" s="47" t="e">
        <f>_xll.qlPolynomialFunctionValue(BO$1,$BD58,AllTriggers)</f>
        <v>#VALUE!</v>
      </c>
      <c r="BP58" s="47" t="e">
        <f>_xll.qlPolynomialFunctionValue(BP$1,$BD58,AllTriggers)</f>
        <v>#VALUE!</v>
      </c>
      <c r="BQ58" s="47">
        <f>_xll.qlPolynomialFunctionValue('1MSynthDepo_used'!$P$18,BD58,AllTriggers)</f>
        <v>2.974285708719307E-4</v>
      </c>
    </row>
    <row r="59" spans="3:69" x14ac:dyDescent="0.2">
      <c r="BC59" s="178">
        <f>_xll.qlCalendarAdvance(Calendar,BC58,"1d","mf",,Trigger)</f>
        <v>42354</v>
      </c>
      <c r="BD59" s="41">
        <f>_xll.qlDayCounterYearFraction(DayCounter,SettlementDate,BC59,,,Trigger)</f>
        <v>0.20833333333333334</v>
      </c>
      <c r="BE59" s="47" t="e">
        <f>_xll.qlPolynomialFunctionValue(BE$1,$BD59,AllTriggers)</f>
        <v>#VALUE!</v>
      </c>
      <c r="BF59" s="47" t="e">
        <f>_xll.qlPolynomialFunctionValue(BF$1,$BD59,AllTriggers)</f>
        <v>#VALUE!</v>
      </c>
      <c r="BG59" s="47" t="e">
        <f>_xll.qlPolynomialFunctionValue(BG$1,$BD59,AllTriggers)</f>
        <v>#VALUE!</v>
      </c>
      <c r="BH59" s="47" t="e">
        <f>_xll.qlPolynomialFunctionValue(BH$1,$BD59,AllTriggers)</f>
        <v>#VALUE!</v>
      </c>
      <c r="BI59" s="47" t="e">
        <f>_xll.qlPolynomialFunctionValue(BI$1,$BD59,AllTriggers)</f>
        <v>#VALUE!</v>
      </c>
      <c r="BJ59" s="47" t="e">
        <f>_xll.qlPolynomialFunctionValue(BJ$1,$BD59,AllTriggers)</f>
        <v>#VALUE!</v>
      </c>
      <c r="BK59" s="47" t="e">
        <f>_xll.qlPolynomialFunctionValue(BK$1,$BD59,AllTriggers)</f>
        <v>#VALUE!</v>
      </c>
      <c r="BL59" s="47" t="e">
        <f>_xll.qlPolynomialFunctionValue(BL$1,$BD59,AllTriggers)</f>
        <v>#VALUE!</v>
      </c>
      <c r="BM59" s="47" t="e">
        <f>_xll.qlPolynomialFunctionValue(BM$1,$BD59,AllTriggers)</f>
        <v>#VALUE!</v>
      </c>
      <c r="BN59" s="47" t="e">
        <f>_xll.qlPolynomialFunctionValue(BN$1,$BD59,AllTriggers)</f>
        <v>#VALUE!</v>
      </c>
      <c r="BO59" s="47" t="e">
        <f>_xll.qlPolynomialFunctionValue(BO$1,$BD59,AllTriggers)</f>
        <v>#VALUE!</v>
      </c>
      <c r="BP59" s="47" t="e">
        <f>_xll.qlPolynomialFunctionValue(BP$1,$BD59,AllTriggers)</f>
        <v>#VALUE!</v>
      </c>
      <c r="BQ59" s="47">
        <f>_xll.qlPolynomialFunctionValue('1MSynthDepo_used'!$P$18,BD59,AllTriggers)</f>
        <v>2.9983933950394935E-4</v>
      </c>
    </row>
    <row r="60" spans="3:69" x14ac:dyDescent="0.2">
      <c r="BC60" s="178">
        <f>_xll.qlCalendarAdvance(Calendar,BC59,"1d","mf",,Trigger)</f>
        <v>42355</v>
      </c>
      <c r="BD60" s="41">
        <f>_xll.qlDayCounterYearFraction(DayCounter,SettlementDate,BC60,,,Trigger)</f>
        <v>0.21111111111111111</v>
      </c>
      <c r="BE60" s="47" t="e">
        <f>_xll.qlPolynomialFunctionValue(BE$1,$BD60,AllTriggers)</f>
        <v>#VALUE!</v>
      </c>
      <c r="BF60" s="47" t="e">
        <f>_xll.qlPolynomialFunctionValue(BF$1,$BD60,AllTriggers)</f>
        <v>#VALUE!</v>
      </c>
      <c r="BG60" s="47" t="e">
        <f>_xll.qlPolynomialFunctionValue(BG$1,$BD60,AllTriggers)</f>
        <v>#VALUE!</v>
      </c>
      <c r="BH60" s="47" t="e">
        <f>_xll.qlPolynomialFunctionValue(BH$1,$BD60,AllTriggers)</f>
        <v>#VALUE!</v>
      </c>
      <c r="BI60" s="47" t="e">
        <f>_xll.qlPolynomialFunctionValue(BI$1,$BD60,AllTriggers)</f>
        <v>#VALUE!</v>
      </c>
      <c r="BJ60" s="47" t="e">
        <f>_xll.qlPolynomialFunctionValue(BJ$1,$BD60,AllTriggers)</f>
        <v>#VALUE!</v>
      </c>
      <c r="BK60" s="47" t="e">
        <f>_xll.qlPolynomialFunctionValue(BK$1,$BD60,AllTriggers)</f>
        <v>#VALUE!</v>
      </c>
      <c r="BL60" s="47" t="e">
        <f>_xll.qlPolynomialFunctionValue(BL$1,$BD60,AllTriggers)</f>
        <v>#VALUE!</v>
      </c>
      <c r="BM60" s="47" t="e">
        <f>_xll.qlPolynomialFunctionValue(BM$1,$BD60,AllTriggers)</f>
        <v>#VALUE!</v>
      </c>
      <c r="BN60" s="47" t="e">
        <f>_xll.qlPolynomialFunctionValue(BN$1,$BD60,AllTriggers)</f>
        <v>#VALUE!</v>
      </c>
      <c r="BO60" s="47" t="e">
        <f>_xll.qlPolynomialFunctionValue(BO$1,$BD60,AllTriggers)</f>
        <v>#VALUE!</v>
      </c>
      <c r="BP60" s="47" t="e">
        <f>_xll.qlPolynomialFunctionValue(BP$1,$BD60,AllTriggers)</f>
        <v>#VALUE!</v>
      </c>
      <c r="BQ60" s="47">
        <f>_xll.qlPolynomialFunctionValue('1MSynthDepo_used'!$P$18,BD60,AllTriggers)</f>
        <v>3.0219069928761943E-4</v>
      </c>
    </row>
    <row r="61" spans="3:69" x14ac:dyDescent="0.2">
      <c r="K61" s="55"/>
      <c r="L61" s="55"/>
      <c r="M61" s="55"/>
      <c r="N61" s="55"/>
      <c r="BC61" s="178">
        <f>_xll.qlCalendarAdvance(Calendar,BC60,"1d","mf",,Trigger)</f>
        <v>42356</v>
      </c>
      <c r="BD61" s="41">
        <f>_xll.qlDayCounterYearFraction(DayCounter,SettlementDate,BC61,,,Trigger)</f>
        <v>0.21388888888888888</v>
      </c>
      <c r="BE61" s="47" t="e">
        <f>_xll.qlPolynomialFunctionValue(BE$1,$BD61,AllTriggers)</f>
        <v>#VALUE!</v>
      </c>
      <c r="BF61" s="47" t="e">
        <f>_xll.qlPolynomialFunctionValue(BF$1,$BD61,AllTriggers)</f>
        <v>#VALUE!</v>
      </c>
      <c r="BG61" s="47" t="e">
        <f>_xll.qlPolynomialFunctionValue(BG$1,$BD61,AllTriggers)</f>
        <v>#VALUE!</v>
      </c>
      <c r="BH61" s="47" t="e">
        <f>_xll.qlPolynomialFunctionValue(BH$1,$BD61,AllTriggers)</f>
        <v>#VALUE!</v>
      </c>
      <c r="BI61" s="47" t="e">
        <f>_xll.qlPolynomialFunctionValue(BI$1,$BD61,AllTriggers)</f>
        <v>#VALUE!</v>
      </c>
      <c r="BJ61" s="47" t="e">
        <f>_xll.qlPolynomialFunctionValue(BJ$1,$BD61,AllTriggers)</f>
        <v>#VALUE!</v>
      </c>
      <c r="BK61" s="47" t="e">
        <f>_xll.qlPolynomialFunctionValue(BK$1,$BD61,AllTriggers)</f>
        <v>#VALUE!</v>
      </c>
      <c r="BL61" s="47" t="e">
        <f>_xll.qlPolynomialFunctionValue(BL$1,$BD61,AllTriggers)</f>
        <v>#VALUE!</v>
      </c>
      <c r="BM61" s="47" t="e">
        <f>_xll.qlPolynomialFunctionValue(BM$1,$BD61,AllTriggers)</f>
        <v>#VALUE!</v>
      </c>
      <c r="BN61" s="47" t="e">
        <f>_xll.qlPolynomialFunctionValue(BN$1,$BD61,AllTriggers)</f>
        <v>#VALUE!</v>
      </c>
      <c r="BO61" s="47" t="e">
        <f>_xll.qlPolynomialFunctionValue(BO$1,$BD61,AllTriggers)</f>
        <v>#VALUE!</v>
      </c>
      <c r="BP61" s="47" t="e">
        <f>_xll.qlPolynomialFunctionValue(BP$1,$BD61,AllTriggers)</f>
        <v>#VALUE!</v>
      </c>
      <c r="BQ61" s="47">
        <f>_xll.qlPolynomialFunctionValue('1MSynthDepo_used'!$P$18,BD61,AllTriggers)</f>
        <v>3.0447679713719016E-4</v>
      </c>
    </row>
    <row r="62" spans="3:69" x14ac:dyDescent="0.2">
      <c r="K62" s="55"/>
      <c r="L62" s="55"/>
      <c r="M62" s="55"/>
      <c r="N62" s="55"/>
      <c r="BC62" s="178">
        <f>_xll.qlCalendarAdvance(Calendar,BC61,"1d","mf",,Trigger)</f>
        <v>42359</v>
      </c>
      <c r="BD62" s="41">
        <f>_xll.qlDayCounterYearFraction(DayCounter,SettlementDate,BC62,,,Trigger)</f>
        <v>0.22222222222222221</v>
      </c>
      <c r="BE62" s="47" t="e">
        <f>_xll.qlPolynomialFunctionValue(BE$1,$BD62,AllTriggers)</f>
        <v>#VALUE!</v>
      </c>
      <c r="BF62" s="47" t="e">
        <f>_xll.qlPolynomialFunctionValue(BF$1,$BD62,AllTriggers)</f>
        <v>#VALUE!</v>
      </c>
      <c r="BG62" s="47" t="e">
        <f>_xll.qlPolynomialFunctionValue(BG$1,$BD62,AllTriggers)</f>
        <v>#VALUE!</v>
      </c>
      <c r="BH62" s="47" t="e">
        <f>_xll.qlPolynomialFunctionValue(BH$1,$BD62,AllTriggers)</f>
        <v>#VALUE!</v>
      </c>
      <c r="BI62" s="47" t="e">
        <f>_xll.qlPolynomialFunctionValue(BI$1,$BD62,AllTriggers)</f>
        <v>#VALUE!</v>
      </c>
      <c r="BJ62" s="47" t="e">
        <f>_xll.qlPolynomialFunctionValue(BJ$1,$BD62,AllTriggers)</f>
        <v>#VALUE!</v>
      </c>
      <c r="BK62" s="47" t="e">
        <f>_xll.qlPolynomialFunctionValue(BK$1,$BD62,AllTriggers)</f>
        <v>#VALUE!</v>
      </c>
      <c r="BL62" s="47" t="e">
        <f>_xll.qlPolynomialFunctionValue(BL$1,$BD62,AllTriggers)</f>
        <v>#VALUE!</v>
      </c>
      <c r="BM62" s="47" t="e">
        <f>_xll.qlPolynomialFunctionValue(BM$1,$BD62,AllTriggers)</f>
        <v>#VALUE!</v>
      </c>
      <c r="BN62" s="47" t="e">
        <f>_xll.qlPolynomialFunctionValue(BN$1,$BD62,AllTriggers)</f>
        <v>#VALUE!</v>
      </c>
      <c r="BO62" s="47" t="e">
        <f>_xll.qlPolynomialFunctionValue(BO$1,$BD62,AllTriggers)</f>
        <v>#VALUE!</v>
      </c>
      <c r="BP62" s="47" t="e">
        <f>_xll.qlPolynomialFunctionValue(BP$1,$BD62,AllTriggers)</f>
        <v>#VALUE!</v>
      </c>
      <c r="BQ62" s="47">
        <f>_xll.qlPolynomialFunctionValue('1MSynthDepo_used'!$P$18,BD62,AllTriggers)</f>
        <v>3.1088498822378675E-4</v>
      </c>
    </row>
    <row r="63" spans="3:69" x14ac:dyDescent="0.2">
      <c r="C63" s="194"/>
      <c r="D63" s="194"/>
      <c r="E63" s="195"/>
      <c r="H63" s="35"/>
      <c r="K63" s="55"/>
      <c r="L63" s="55"/>
      <c r="M63" s="55"/>
      <c r="N63" s="55"/>
      <c r="P63" s="35"/>
      <c r="Q63" s="35"/>
      <c r="R63" s="34"/>
      <c r="S63" s="34"/>
      <c r="BC63" s="178">
        <f>_xll.qlCalendarAdvance(Calendar,BC62,"1d","mf",,Trigger)</f>
        <v>42360</v>
      </c>
      <c r="BD63" s="41">
        <f>_xll.qlDayCounterYearFraction(DayCounter,SettlementDate,BC63,,,Trigger)</f>
        <v>0.22500000000000001</v>
      </c>
      <c r="BE63" s="47" t="e">
        <f>_xll.qlPolynomialFunctionValue(BE$1,$BD63,AllTriggers)</f>
        <v>#VALUE!</v>
      </c>
      <c r="BF63" s="47" t="e">
        <f>_xll.qlPolynomialFunctionValue(BF$1,$BD63,AllTriggers)</f>
        <v>#VALUE!</v>
      </c>
      <c r="BG63" s="47" t="e">
        <f>_xll.qlPolynomialFunctionValue(BG$1,$BD63,AllTriggers)</f>
        <v>#VALUE!</v>
      </c>
      <c r="BH63" s="47" t="e">
        <f>_xll.qlPolynomialFunctionValue(BH$1,$BD63,AllTriggers)</f>
        <v>#VALUE!</v>
      </c>
      <c r="BI63" s="47" t="e">
        <f>_xll.qlPolynomialFunctionValue(BI$1,$BD63,AllTriggers)</f>
        <v>#VALUE!</v>
      </c>
      <c r="BJ63" s="47" t="e">
        <f>_xll.qlPolynomialFunctionValue(BJ$1,$BD63,AllTriggers)</f>
        <v>#VALUE!</v>
      </c>
      <c r="BK63" s="47" t="e">
        <f>_xll.qlPolynomialFunctionValue(BK$1,$BD63,AllTriggers)</f>
        <v>#VALUE!</v>
      </c>
      <c r="BL63" s="47" t="e">
        <f>_xll.qlPolynomialFunctionValue(BL$1,$BD63,AllTriggers)</f>
        <v>#VALUE!</v>
      </c>
      <c r="BM63" s="47" t="e">
        <f>_xll.qlPolynomialFunctionValue(BM$1,$BD63,AllTriggers)</f>
        <v>#VALUE!</v>
      </c>
      <c r="BN63" s="47" t="e">
        <f>_xll.qlPolynomialFunctionValue(BN$1,$BD63,AllTriggers)</f>
        <v>#VALUE!</v>
      </c>
      <c r="BO63" s="47" t="e">
        <f>_xll.qlPolynomialFunctionValue(BO$1,$BD63,AllTriggers)</f>
        <v>#VALUE!</v>
      </c>
      <c r="BP63" s="47" t="e">
        <f>_xll.qlPolynomialFunctionValue(BP$1,$BD63,AllTriggers)</f>
        <v>#VALUE!</v>
      </c>
      <c r="BQ63" s="47">
        <f>_xll.qlPolynomialFunctionValue('1MSynthDepo_used'!$P$18,BD63,AllTriggers)</f>
        <v>3.1285150747944167E-4</v>
      </c>
    </row>
    <row r="64" spans="3:69" x14ac:dyDescent="0.2">
      <c r="C64" s="194"/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42361</v>
      </c>
      <c r="BD64" s="41">
        <f>_xll.qlDayCounterYearFraction(DayCounter,SettlementDate,BC64,,,Trigger)</f>
        <v>0.22777777777777777</v>
      </c>
      <c r="BE64" s="47" t="e">
        <f>_xll.qlPolynomialFunctionValue(BE$1,$BD64,AllTriggers)</f>
        <v>#VALUE!</v>
      </c>
      <c r="BF64" s="47" t="e">
        <f>_xll.qlPolynomialFunctionValue(BF$1,$BD64,AllTriggers)</f>
        <v>#VALUE!</v>
      </c>
      <c r="BG64" s="47" t="e">
        <f>_xll.qlPolynomialFunctionValue(BG$1,$BD64,AllTriggers)</f>
        <v>#VALUE!</v>
      </c>
      <c r="BH64" s="47" t="e">
        <f>_xll.qlPolynomialFunctionValue(BH$1,$BD64,AllTriggers)</f>
        <v>#VALUE!</v>
      </c>
      <c r="BI64" s="47" t="e">
        <f>_xll.qlPolynomialFunctionValue(BI$1,$BD64,AllTriggers)</f>
        <v>#VALUE!</v>
      </c>
      <c r="BJ64" s="47" t="e">
        <f>_xll.qlPolynomialFunctionValue(BJ$1,$BD64,AllTriggers)</f>
        <v>#VALUE!</v>
      </c>
      <c r="BK64" s="47" t="e">
        <f>_xll.qlPolynomialFunctionValue(BK$1,$BD64,AllTriggers)</f>
        <v>#VALUE!</v>
      </c>
      <c r="BL64" s="47" t="e">
        <f>_xll.qlPolynomialFunctionValue(BL$1,$BD64,AllTriggers)</f>
        <v>#VALUE!</v>
      </c>
      <c r="BM64" s="47" t="e">
        <f>_xll.qlPolynomialFunctionValue(BM$1,$BD64,AllTriggers)</f>
        <v>#VALUE!</v>
      </c>
      <c r="BN64" s="47" t="e">
        <f>_xll.qlPolynomialFunctionValue(BN$1,$BD64,AllTriggers)</f>
        <v>#VALUE!</v>
      </c>
      <c r="BO64" s="47" t="e">
        <f>_xll.qlPolynomialFunctionValue(BO$1,$BD64,AllTriggers)</f>
        <v>#VALUE!</v>
      </c>
      <c r="BP64" s="47" t="e">
        <f>_xll.qlPolynomialFunctionValue(BP$1,$BD64,AllTriggers)</f>
        <v>#VALUE!</v>
      </c>
      <c r="BQ64" s="47">
        <f>_xll.qlPolynomialFunctionValue('1MSynthDepo_used'!$P$18,BD64,AllTriggers)</f>
        <v>3.1472349937223837E-4</v>
      </c>
    </row>
    <row r="65" spans="3:69" x14ac:dyDescent="0.2">
      <c r="C65" s="194"/>
      <c r="D65" s="194"/>
      <c r="E65" s="195"/>
      <c r="H65" s="35"/>
      <c r="K65" s="55"/>
      <c r="L65" s="55"/>
      <c r="M65" s="55"/>
      <c r="N65" s="55"/>
      <c r="P65" s="35"/>
      <c r="Q65" s="35"/>
      <c r="R65" s="35"/>
      <c r="S65" s="35"/>
      <c r="BC65" s="178">
        <f>_xll.qlCalendarAdvance(Calendar,BC64,"1d","mf",,Trigger)</f>
        <v>42362</v>
      </c>
      <c r="BD65" s="41">
        <f>_xll.qlDayCounterYearFraction(DayCounter,SettlementDate,BC65,,,Trigger)</f>
        <v>0.23055555555555557</v>
      </c>
      <c r="BE65" s="47" t="e">
        <f>_xll.qlPolynomialFunctionValue(BE$1,$BD65,AllTriggers)</f>
        <v>#VALUE!</v>
      </c>
      <c r="BF65" s="47" t="e">
        <f>_xll.qlPolynomialFunctionValue(BF$1,$BD65,AllTriggers)</f>
        <v>#VALUE!</v>
      </c>
      <c r="BG65" s="47" t="e">
        <f>_xll.qlPolynomialFunctionValue(BG$1,$BD65,AllTriggers)</f>
        <v>#VALUE!</v>
      </c>
      <c r="BH65" s="47" t="e">
        <f>_xll.qlPolynomialFunctionValue(BH$1,$BD65,AllTriggers)</f>
        <v>#VALUE!</v>
      </c>
      <c r="BI65" s="47" t="e">
        <f>_xll.qlPolynomialFunctionValue(BI$1,$BD65,AllTriggers)</f>
        <v>#VALUE!</v>
      </c>
      <c r="BJ65" s="47" t="e">
        <f>_xll.qlPolynomialFunctionValue(BJ$1,$BD65,AllTriggers)</f>
        <v>#VALUE!</v>
      </c>
      <c r="BK65" s="47" t="e">
        <f>_xll.qlPolynomialFunctionValue(BK$1,$BD65,AllTriggers)</f>
        <v>#VALUE!</v>
      </c>
      <c r="BL65" s="47" t="e">
        <f>_xll.qlPolynomialFunctionValue(BL$1,$BD65,AllTriggers)</f>
        <v>#VALUE!</v>
      </c>
      <c r="BM65" s="47" t="e">
        <f>_xll.qlPolynomialFunctionValue(BM$1,$BD65,AllTriggers)</f>
        <v>#VALUE!</v>
      </c>
      <c r="BN65" s="47" t="e">
        <f>_xll.qlPolynomialFunctionValue(BN$1,$BD65,AllTriggers)</f>
        <v>#VALUE!</v>
      </c>
      <c r="BO65" s="47" t="e">
        <f>_xll.qlPolynomialFunctionValue(BO$1,$BD65,AllTriggers)</f>
        <v>#VALUE!</v>
      </c>
      <c r="BP65" s="47" t="e">
        <f>_xll.qlPolynomialFunctionValue(BP$1,$BD65,AllTriggers)</f>
        <v>#VALUE!</v>
      </c>
      <c r="BQ65" s="47">
        <f>_xll.qlPolynomialFunctionValue('1MSynthDepo_used'!$P$18,BD65,AllTriggers)</f>
        <v>3.1649511081642567E-4</v>
      </c>
    </row>
    <row r="66" spans="3:69" x14ac:dyDescent="0.2">
      <c r="C66" s="194"/>
      <c r="D66" s="194"/>
      <c r="E66" s="195"/>
      <c r="H66" s="35"/>
      <c r="K66" s="55"/>
      <c r="L66" s="55"/>
      <c r="M66" s="55"/>
      <c r="N66" s="55"/>
      <c r="P66" s="35"/>
      <c r="Q66" s="35"/>
      <c r="R66" s="35"/>
      <c r="S66" s="35"/>
      <c r="BC66" s="178">
        <f>_xll.qlCalendarAdvance(Calendar,BC65,"1d","mf",,Trigger)</f>
        <v>42366</v>
      </c>
      <c r="BD66" s="41">
        <f>_xll.qlDayCounterYearFraction(DayCounter,SettlementDate,BC66,,,Trigger)</f>
        <v>0.24166666666666667</v>
      </c>
      <c r="BE66" s="47" t="e">
        <f>_xll.qlPolynomialFunctionValue(BE$1,$BD66,AllTriggers)</f>
        <v>#VALUE!</v>
      </c>
      <c r="BF66" s="47" t="e">
        <f>_xll.qlPolynomialFunctionValue(BF$1,$BD66,AllTriggers)</f>
        <v>#VALUE!</v>
      </c>
      <c r="BG66" s="47" t="e">
        <f>_xll.qlPolynomialFunctionValue(BG$1,$BD66,AllTriggers)</f>
        <v>#VALUE!</v>
      </c>
      <c r="BH66" s="47" t="e">
        <f>_xll.qlPolynomialFunctionValue(BH$1,$BD66,AllTriggers)</f>
        <v>#VALUE!</v>
      </c>
      <c r="BI66" s="47" t="e">
        <f>_xll.qlPolynomialFunctionValue(BI$1,$BD66,AllTriggers)</f>
        <v>#VALUE!</v>
      </c>
      <c r="BJ66" s="47" t="e">
        <f>_xll.qlPolynomialFunctionValue(BJ$1,$BD66,AllTriggers)</f>
        <v>#VALUE!</v>
      </c>
      <c r="BK66" s="47" t="e">
        <f>_xll.qlPolynomialFunctionValue(BK$1,$BD66,AllTriggers)</f>
        <v>#VALUE!</v>
      </c>
      <c r="BL66" s="47" t="e">
        <f>_xll.qlPolynomialFunctionValue(BL$1,$BD66,AllTriggers)</f>
        <v>#VALUE!</v>
      </c>
      <c r="BM66" s="47" t="e">
        <f>_xll.qlPolynomialFunctionValue(BM$1,$BD66,AllTriggers)</f>
        <v>#VALUE!</v>
      </c>
      <c r="BN66" s="47" t="e">
        <f>_xll.qlPolynomialFunctionValue(BN$1,$BD66,AllTriggers)</f>
        <v>#VALUE!</v>
      </c>
      <c r="BO66" s="47" t="e">
        <f>_xll.qlPolynomialFunctionValue(BO$1,$BD66,AllTriggers)</f>
        <v>#VALUE!</v>
      </c>
      <c r="BP66" s="47" t="e">
        <f>_xll.qlPolynomialFunctionValue(BP$1,$BD66,AllTriggers)</f>
        <v>#VALUE!</v>
      </c>
      <c r="BQ66" s="47">
        <f>_xll.qlPolynomialFunctionValue('1MSynthDepo_used'!$P$18,BD66,AllTriggers)</f>
        <v>3.224606903920441E-4</v>
      </c>
    </row>
    <row r="67" spans="3:69" x14ac:dyDescent="0.2">
      <c r="C67" s="194"/>
      <c r="D67" s="194"/>
      <c r="E67" s="195"/>
      <c r="H67" s="35"/>
      <c r="K67" s="55"/>
      <c r="L67" s="55"/>
      <c r="M67" s="55"/>
      <c r="N67" s="55"/>
      <c r="P67" s="35"/>
      <c r="Q67" s="35"/>
      <c r="R67" s="35"/>
      <c r="S67" s="35"/>
      <c r="BC67" s="178">
        <f>_xll.qlCalendarAdvance(Calendar,BC66,"1d","mf",,Trigger)</f>
        <v>42367</v>
      </c>
      <c r="BD67" s="41">
        <f>_xll.qlDayCounterYearFraction(DayCounter,SettlementDate,BC67,,,Trigger)</f>
        <v>0.24444444444444444</v>
      </c>
      <c r="BE67" s="47" t="e">
        <f>_xll.qlPolynomialFunctionValue(BE$1,$BD67,AllTriggers)</f>
        <v>#VALUE!</v>
      </c>
      <c r="BF67" s="47" t="e">
        <f>_xll.qlPolynomialFunctionValue(BF$1,$BD67,AllTriggers)</f>
        <v>#VALUE!</v>
      </c>
      <c r="BG67" s="47" t="e">
        <f>_xll.qlPolynomialFunctionValue(BG$1,$BD67,AllTriggers)</f>
        <v>#VALUE!</v>
      </c>
      <c r="BH67" s="47" t="e">
        <f>_xll.qlPolynomialFunctionValue(BH$1,$BD67,AllTriggers)</f>
        <v>#VALUE!</v>
      </c>
      <c r="BI67" s="47" t="e">
        <f>_xll.qlPolynomialFunctionValue(BI$1,$BD67,AllTriggers)</f>
        <v>#VALUE!</v>
      </c>
      <c r="BJ67" s="47" t="e">
        <f>_xll.qlPolynomialFunctionValue(BJ$1,$BD67,AllTriggers)</f>
        <v>#VALUE!</v>
      </c>
      <c r="BK67" s="47" t="e">
        <f>_xll.qlPolynomialFunctionValue(BK$1,$BD67,AllTriggers)</f>
        <v>#VALUE!</v>
      </c>
      <c r="BL67" s="47" t="e">
        <f>_xll.qlPolynomialFunctionValue(BL$1,$BD67,AllTriggers)</f>
        <v>#VALUE!</v>
      </c>
      <c r="BM67" s="47" t="e">
        <f>_xll.qlPolynomialFunctionValue(BM$1,$BD67,AllTriggers)</f>
        <v>#VALUE!</v>
      </c>
      <c r="BN67" s="47" t="e">
        <f>_xll.qlPolynomialFunctionValue(BN$1,$BD67,AllTriggers)</f>
        <v>#VALUE!</v>
      </c>
      <c r="BO67" s="47" t="e">
        <f>_xll.qlPolynomialFunctionValue(BO$1,$BD67,AllTriggers)</f>
        <v>#VALUE!</v>
      </c>
      <c r="BP67" s="47" t="e">
        <f>_xll.qlPolynomialFunctionValue(BP$1,$BD67,AllTriggers)</f>
        <v>#VALUE!</v>
      </c>
      <c r="BQ67" s="47">
        <f>_xll.qlPolynomialFunctionValue('1MSynthDepo_used'!$P$18,BD67,AllTriggers)</f>
        <v>3.2364260330690797E-4</v>
      </c>
    </row>
    <row r="68" spans="3:69" x14ac:dyDescent="0.2">
      <c r="C68" s="194"/>
      <c r="D68" s="194"/>
      <c r="E68" s="195"/>
      <c r="H68" s="35"/>
      <c r="K68" s="55"/>
      <c r="L68" s="55"/>
      <c r="M68" s="55"/>
      <c r="N68" s="55"/>
      <c r="P68" s="35"/>
      <c r="Q68" s="35"/>
      <c r="R68" s="35"/>
      <c r="S68" s="35"/>
      <c r="BC68" s="178">
        <f>_xll.qlCalendarAdvance(Calendar,BC67,"1d","mf",,Trigger)</f>
        <v>42368</v>
      </c>
      <c r="BD68" s="41">
        <f>_xll.qlDayCounterYearFraction(DayCounter,SettlementDate,BC68,,,Trigger)</f>
        <v>0.24722222222222223</v>
      </c>
      <c r="BE68" s="47" t="e">
        <f>_xll.qlPolynomialFunctionValue(BE$1,$BD68,AllTriggers)</f>
        <v>#VALUE!</v>
      </c>
      <c r="BF68" s="47" t="e">
        <f>_xll.qlPolynomialFunctionValue(BF$1,$BD68,AllTriggers)</f>
        <v>#VALUE!</v>
      </c>
      <c r="BG68" s="47" t="e">
        <f>_xll.qlPolynomialFunctionValue(BG$1,$BD68,AllTriggers)</f>
        <v>#VALUE!</v>
      </c>
      <c r="BH68" s="47" t="e">
        <f>_xll.qlPolynomialFunctionValue(BH$1,$BD68,AllTriggers)</f>
        <v>#VALUE!</v>
      </c>
      <c r="BI68" s="47" t="e">
        <f>_xll.qlPolynomialFunctionValue(BI$1,$BD68,AllTriggers)</f>
        <v>#VALUE!</v>
      </c>
      <c r="BJ68" s="47" t="e">
        <f>_xll.qlPolynomialFunctionValue(BJ$1,$BD68,AllTriggers)</f>
        <v>#VALUE!</v>
      </c>
      <c r="BK68" s="47" t="e">
        <f>_xll.qlPolynomialFunctionValue(BK$1,$BD68,AllTriggers)</f>
        <v>#VALUE!</v>
      </c>
      <c r="BL68" s="47" t="e">
        <f>_xll.qlPolynomialFunctionValue(BL$1,$BD68,AllTriggers)</f>
        <v>#VALUE!</v>
      </c>
      <c r="BM68" s="47" t="e">
        <f>_xll.qlPolynomialFunctionValue(BM$1,$BD68,AllTriggers)</f>
        <v>#VALUE!</v>
      </c>
      <c r="BN68" s="47" t="e">
        <f>_xll.qlPolynomialFunctionValue(BN$1,$BD68,AllTriggers)</f>
        <v>#VALUE!</v>
      </c>
      <c r="BO68" s="47" t="e">
        <f>_xll.qlPolynomialFunctionValue(BO$1,$BD68,AllTriggers)</f>
        <v>#VALUE!</v>
      </c>
      <c r="BP68" s="47" t="e">
        <f>_xll.qlPolynomialFunctionValue(BP$1,$BD68,AllTriggers)</f>
        <v>#VALUE!</v>
      </c>
      <c r="BQ68" s="47">
        <f>_xll.qlPolynomialFunctionValue('1MSynthDepo_used'!$P$18,BD68,AllTriggers)</f>
        <v>3.2468901725865205E-4</v>
      </c>
    </row>
    <row r="69" spans="3:69" x14ac:dyDescent="0.2">
      <c r="C69" s="194"/>
      <c r="D69" s="194"/>
      <c r="E69" s="195"/>
      <c r="G69" s="196"/>
      <c r="H69" s="35"/>
      <c r="J69" s="196"/>
      <c r="K69" s="55"/>
      <c r="L69" s="55"/>
      <c r="M69" s="55"/>
      <c r="N69" s="55"/>
      <c r="P69" s="35"/>
      <c r="Q69" s="35"/>
      <c r="R69" s="35"/>
      <c r="S69" s="35"/>
      <c r="BC69" s="178">
        <f>_xll.qlCalendarAdvance(Calendar,BC68,"1d","mf",,Trigger)</f>
        <v>42369</v>
      </c>
      <c r="BD69" s="41">
        <f>_xll.qlDayCounterYearFraction(DayCounter,SettlementDate,BC69,,,Trigger)</f>
        <v>0.25</v>
      </c>
      <c r="BE69" s="47" t="e">
        <f>_xll.qlPolynomialFunctionValue(BE$1,$BD69,AllTriggers)</f>
        <v>#VALUE!</v>
      </c>
      <c r="BF69" s="47" t="e">
        <f>_xll.qlPolynomialFunctionValue(BF$1,$BD69,AllTriggers)</f>
        <v>#VALUE!</v>
      </c>
      <c r="BG69" s="47" t="e">
        <f>_xll.qlPolynomialFunctionValue(BG$1,$BD69,AllTriggers)</f>
        <v>#VALUE!</v>
      </c>
      <c r="BH69" s="47" t="e">
        <f>_xll.qlPolynomialFunctionValue(BH$1,$BD69,AllTriggers)</f>
        <v>#VALUE!</v>
      </c>
      <c r="BI69" s="47" t="e">
        <f>_xll.qlPolynomialFunctionValue(BI$1,$BD69,AllTriggers)</f>
        <v>#VALUE!</v>
      </c>
      <c r="BJ69" s="47" t="e">
        <f>_xll.qlPolynomialFunctionValue(BJ$1,$BD69,AllTriggers)</f>
        <v>#VALUE!</v>
      </c>
      <c r="BK69" s="47" t="e">
        <f>_xll.qlPolynomialFunctionValue(BK$1,$BD69,AllTriggers)</f>
        <v>#VALUE!</v>
      </c>
      <c r="BL69" s="47" t="e">
        <f>_xll.qlPolynomialFunctionValue(BL$1,$BD69,AllTriggers)</f>
        <v>#VALUE!</v>
      </c>
      <c r="BM69" s="47" t="e">
        <f>_xll.qlPolynomialFunctionValue(BM$1,$BD69,AllTriggers)</f>
        <v>#VALUE!</v>
      </c>
      <c r="BN69" s="47" t="e">
        <f>_xll.qlPolynomialFunctionValue(BN$1,$BD69,AllTriggers)</f>
        <v>#VALUE!</v>
      </c>
      <c r="BO69" s="47" t="e">
        <f>_xll.qlPolynomialFunctionValue(BO$1,$BD69,AllTriggers)</f>
        <v>#VALUE!</v>
      </c>
      <c r="BP69" s="47" t="e">
        <f>_xll.qlPolynomialFunctionValue(BP$1,$BD69,AllTriggers)</f>
        <v>#VALUE!</v>
      </c>
      <c r="BQ69" s="47">
        <f>_xll.qlPolynomialFunctionValue('1MSynthDepo_used'!$P$18,BD69,AllTriggers)</f>
        <v>3.25594079161525E-4</v>
      </c>
    </row>
    <row r="70" spans="3:69" x14ac:dyDescent="0.2">
      <c r="C70" s="194"/>
      <c r="D70" s="194"/>
      <c r="E70" s="195"/>
      <c r="H70" s="35"/>
      <c r="K70" s="55"/>
      <c r="L70" s="55"/>
      <c r="M70" s="55"/>
      <c r="N70" s="55"/>
      <c r="P70" s="35"/>
      <c r="Q70" s="35"/>
      <c r="R70" s="35"/>
      <c r="S70" s="35"/>
      <c r="T70" s="35"/>
      <c r="BC70" s="178">
        <f>_xll.qlCalendarAdvance(Calendar,BC69,"1d","mf",,Trigger)</f>
        <v>42373</v>
      </c>
      <c r="BD70" s="41">
        <f>_xll.qlDayCounterYearFraction(DayCounter,SettlementDate,BC70,,,Trigger)</f>
        <v>0.26111111111111113</v>
      </c>
      <c r="BE70" s="47" t="e">
        <f>_xll.qlPolynomialFunctionValue(BE$1,$BD70,AllTriggers)</f>
        <v>#VALUE!</v>
      </c>
      <c r="BF70" s="47" t="e">
        <f>_xll.qlPolynomialFunctionValue(BF$1,$BD70,AllTriggers)</f>
        <v>#VALUE!</v>
      </c>
      <c r="BG70" s="47" t="e">
        <f>_xll.qlPolynomialFunctionValue(BG$1,$BD70,AllTriggers)</f>
        <v>#VALUE!</v>
      </c>
      <c r="BH70" s="47" t="e">
        <f>_xll.qlPolynomialFunctionValue(BH$1,$BD70,AllTriggers)</f>
        <v>#VALUE!</v>
      </c>
      <c r="BI70" s="47" t="e">
        <f>_xll.qlPolynomialFunctionValue(BI$1,$BD70,AllTriggers)</f>
        <v>#VALUE!</v>
      </c>
      <c r="BJ70" s="47" t="e">
        <f>_xll.qlPolynomialFunctionValue(BJ$1,$BD70,AllTriggers)</f>
        <v>#VALUE!</v>
      </c>
      <c r="BK70" s="47" t="e">
        <f>_xll.qlPolynomialFunctionValue(BK$1,$BD70,AllTriggers)</f>
        <v>#VALUE!</v>
      </c>
      <c r="BL70" s="47" t="e">
        <f>_xll.qlPolynomialFunctionValue(BL$1,$BD70,AllTriggers)</f>
        <v>#VALUE!</v>
      </c>
      <c r="BM70" s="47" t="e">
        <f>_xll.qlPolynomialFunctionValue(BM$1,$BD70,AllTriggers)</f>
        <v>#VALUE!</v>
      </c>
      <c r="BN70" s="47" t="e">
        <f>_xll.qlPolynomialFunctionValue(BN$1,$BD70,AllTriggers)</f>
        <v>#VALUE!</v>
      </c>
      <c r="BO70" s="47" t="e">
        <f>_xll.qlPolynomialFunctionValue(BO$1,$BD70,AllTriggers)</f>
        <v>#VALUE!</v>
      </c>
      <c r="BP70" s="47" t="e">
        <f>_xll.qlPolynomialFunctionValue(BP$1,$BD70,AllTriggers)</f>
        <v>#VALUE!</v>
      </c>
      <c r="BQ70" s="47">
        <f>_xll.qlPolynomialFunctionValue('1MSynthDepo_used'!$P$18,BD70,AllTriggers)</f>
        <v>3.2768374456927066E-4</v>
      </c>
    </row>
    <row r="71" spans="3:69" x14ac:dyDescent="0.2">
      <c r="C71" s="194"/>
      <c r="D71" s="194"/>
      <c r="K71" s="55"/>
      <c r="L71" s="55"/>
      <c r="M71" s="55"/>
      <c r="N71" s="55"/>
      <c r="S71" s="35"/>
      <c r="T71" s="35"/>
      <c r="BC71" s="178">
        <f>_xll.qlCalendarAdvance(Calendar,BC70,"1d","mf",,Trigger)</f>
        <v>42374</v>
      </c>
      <c r="BD71" s="41">
        <f>_xll.qlDayCounterYearFraction(DayCounter,SettlementDate,BC71,,,Trigger)</f>
        <v>0.2638888888888889</v>
      </c>
      <c r="BE71" s="47" t="e">
        <f>_xll.qlPolynomialFunctionValue(BE$1,$BD71,AllTriggers)</f>
        <v>#VALUE!</v>
      </c>
      <c r="BF71" s="47" t="e">
        <f>_xll.qlPolynomialFunctionValue(BF$1,$BD71,AllTriggers)</f>
        <v>#VALUE!</v>
      </c>
      <c r="BG71" s="47" t="e">
        <f>_xll.qlPolynomialFunctionValue(BG$1,$BD71,AllTriggers)</f>
        <v>#VALUE!</v>
      </c>
      <c r="BH71" s="47" t="e">
        <f>_xll.qlPolynomialFunctionValue(BH$1,$BD71,AllTriggers)</f>
        <v>#VALUE!</v>
      </c>
      <c r="BI71" s="47" t="e">
        <f>_xll.qlPolynomialFunctionValue(BI$1,$BD71,AllTriggers)</f>
        <v>#VALUE!</v>
      </c>
      <c r="BJ71" s="47" t="e">
        <f>_xll.qlPolynomialFunctionValue(BJ$1,$BD71,AllTriggers)</f>
        <v>#VALUE!</v>
      </c>
      <c r="BK71" s="47" t="e">
        <f>_xll.qlPolynomialFunctionValue(BK$1,$BD71,AllTriggers)</f>
        <v>#VALUE!</v>
      </c>
      <c r="BL71" s="47" t="e">
        <f>_xll.qlPolynomialFunctionValue(BL$1,$BD71,AllTriggers)</f>
        <v>#VALUE!</v>
      </c>
      <c r="BM71" s="47" t="e">
        <f>_xll.qlPolynomialFunctionValue(BM$1,$BD71,AllTriggers)</f>
        <v>#VALUE!</v>
      </c>
      <c r="BN71" s="47" t="e">
        <f>_xll.qlPolynomialFunctionValue(BN$1,$BD71,AllTriggers)</f>
        <v>#VALUE!</v>
      </c>
      <c r="BO71" s="47" t="e">
        <f>_xll.qlPolynomialFunctionValue(BO$1,$BD71,AllTriggers)</f>
        <v>#VALUE!</v>
      </c>
      <c r="BP71" s="47" t="e">
        <f>_xll.qlPolynomialFunctionValue(BP$1,$BD71,AllTriggers)</f>
        <v>#VALUE!</v>
      </c>
      <c r="BQ71" s="47">
        <f>_xll.qlPolynomialFunctionValue('1MSynthDepo_used'!$P$18,BD71,AllTriggers)</f>
        <v>3.2779424994151232E-4</v>
      </c>
    </row>
    <row r="72" spans="3:69" x14ac:dyDescent="0.2">
      <c r="C72" s="194"/>
      <c r="D72" s="194"/>
      <c r="K72" s="55"/>
      <c r="L72" s="55"/>
      <c r="M72" s="55"/>
      <c r="N72" s="55"/>
      <c r="S72" s="35"/>
      <c r="T72" s="35"/>
      <c r="BC72" s="178">
        <f>_xll.qlCalendarAdvance(Calendar,BC71,"1d","mf",,Trigger)</f>
        <v>42375</v>
      </c>
      <c r="BD72" s="41">
        <f>_xll.qlDayCounterYearFraction(DayCounter,SettlementDate,BC72,,,Trigger)</f>
        <v>0.26666666666666666</v>
      </c>
      <c r="BE72" s="47" t="e">
        <f>_xll.qlPolynomialFunctionValue(BE$1,$BD72,AllTriggers)</f>
        <v>#VALUE!</v>
      </c>
      <c r="BF72" s="47" t="e">
        <f>_xll.qlPolynomialFunctionValue(BF$1,$BD72,AllTriggers)</f>
        <v>#VALUE!</v>
      </c>
      <c r="BG72" s="47" t="e">
        <f>_xll.qlPolynomialFunctionValue(BG$1,$BD72,AllTriggers)</f>
        <v>#VALUE!</v>
      </c>
      <c r="BH72" s="47" t="e">
        <f>_xll.qlPolynomialFunctionValue(BH$1,$BD72,AllTriggers)</f>
        <v>#VALUE!</v>
      </c>
      <c r="BI72" s="47" t="e">
        <f>_xll.qlPolynomialFunctionValue(BI$1,$BD72,AllTriggers)</f>
        <v>#VALUE!</v>
      </c>
      <c r="BJ72" s="47" t="e">
        <f>_xll.qlPolynomialFunctionValue(BJ$1,$BD72,AllTriggers)</f>
        <v>#VALUE!</v>
      </c>
      <c r="BK72" s="47" t="e">
        <f>_xll.qlPolynomialFunctionValue(BK$1,$BD72,AllTriggers)</f>
        <v>#VALUE!</v>
      </c>
      <c r="BL72" s="47" t="e">
        <f>_xll.qlPolynomialFunctionValue(BL$1,$BD72,AllTriggers)</f>
        <v>#VALUE!</v>
      </c>
      <c r="BM72" s="47" t="e">
        <f>_xll.qlPolynomialFunctionValue(BM$1,$BD72,AllTriggers)</f>
        <v>#VALUE!</v>
      </c>
      <c r="BN72" s="47" t="e">
        <f>_xll.qlPolynomialFunctionValue(BN$1,$BD72,AllTriggers)</f>
        <v>#VALUE!</v>
      </c>
      <c r="BO72" s="47" t="e">
        <f>_xll.qlPolynomialFunctionValue(BO$1,$BD72,AllTriggers)</f>
        <v>#VALUE!</v>
      </c>
      <c r="BP72" s="47" t="e">
        <f>_xll.qlPolynomialFunctionValue(BP$1,$BD72,AllTriggers)</f>
        <v>#VALUE!</v>
      </c>
      <c r="BQ72" s="47">
        <f>_xll.qlPolynomialFunctionValue('1MSynthDepo_used'!$P$18,BD72,AllTriggers)</f>
        <v>3.2772828475037302E-4</v>
      </c>
    </row>
    <row r="73" spans="3:69" ht="11.25" customHeight="1" x14ac:dyDescent="0.2">
      <c r="C73" s="194"/>
      <c r="D73" s="194"/>
      <c r="K73" s="55"/>
      <c r="L73" s="55"/>
      <c r="M73" s="55"/>
      <c r="N73" s="55"/>
      <c r="S73" s="35"/>
      <c r="T73" s="35"/>
      <c r="BC73" s="182">
        <f>_xll.qlCalendarAdvance(Calendar,BC72,"1d","mf",,Trigger)</f>
        <v>42376</v>
      </c>
      <c r="BD73" s="44">
        <f>_xll.qlDayCounterYearFraction(DayCounter,SettlementDate,BC73,,,Trigger)</f>
        <v>0.26944444444444443</v>
      </c>
      <c r="BE73" s="50" t="e">
        <f>_xll.qlPolynomialFunctionValue(BE$1,$BD73,AllTriggers)</f>
        <v>#VALUE!</v>
      </c>
      <c r="BF73" s="50" t="e">
        <f>_xll.qlPolynomialFunctionValue(BF$1,$BD73,AllTriggers)</f>
        <v>#VALUE!</v>
      </c>
      <c r="BG73" s="50" t="e">
        <f>_xll.qlPolynomialFunctionValue(BG$1,$BD73,AllTriggers)</f>
        <v>#VALUE!</v>
      </c>
      <c r="BH73" s="50" t="e">
        <f>_xll.qlPolynomialFunctionValue(BH$1,$BD73,AllTriggers)</f>
        <v>#VALUE!</v>
      </c>
      <c r="BI73" s="50" t="e">
        <f>_xll.qlPolynomialFunctionValue(BI$1,$BD73,AllTriggers)</f>
        <v>#VALUE!</v>
      </c>
      <c r="BJ73" s="50" t="e">
        <f>_xll.qlPolynomialFunctionValue(BJ$1,$BD73,AllTriggers)</f>
        <v>#VALUE!</v>
      </c>
      <c r="BK73" s="50" t="e">
        <f>_xll.qlPolynomialFunctionValue(BK$1,$BD73,AllTriggers)</f>
        <v>#VALUE!</v>
      </c>
      <c r="BL73" s="50" t="e">
        <f>_xll.qlPolynomialFunctionValue(BL$1,$BD73,AllTriggers)</f>
        <v>#VALUE!</v>
      </c>
      <c r="BM73" s="50" t="e">
        <f>_xll.qlPolynomialFunctionValue(BM$1,$BD73,AllTriggers)</f>
        <v>#VALUE!</v>
      </c>
      <c r="BN73" s="50" t="e">
        <f>_xll.qlPolynomialFunctionValue(BN$1,$BD73,AllTriggers)</f>
        <v>#VALUE!</v>
      </c>
      <c r="BO73" s="50" t="e">
        <f>_xll.qlPolynomialFunctionValue(BO$1,$BD73,AllTriggers)</f>
        <v>#VALUE!</v>
      </c>
      <c r="BP73" s="50" t="e">
        <f>_xll.qlPolynomialFunctionValue(BP$1,$BD73,AllTriggers)</f>
        <v>#VALUE!</v>
      </c>
      <c r="BQ73" s="50">
        <f>_xll.qlPolynomialFunctionValue('1MSynthDepo_used'!$P$18,BD73,AllTriggers)</f>
        <v>3.2747999591010036E-4</v>
      </c>
    </row>
    <row r="74" spans="3:69" x14ac:dyDescent="0.2">
      <c r="C74" s="194"/>
      <c r="D74" s="194"/>
      <c r="K74" s="55"/>
      <c r="L74" s="55"/>
      <c r="M74" s="55"/>
      <c r="N74" s="55"/>
      <c r="S74" s="35"/>
      <c r="T74" s="35"/>
    </row>
    <row r="75" spans="3:69" x14ac:dyDescent="0.2">
      <c r="C75" s="194"/>
      <c r="D75" s="194"/>
      <c r="K75" s="55"/>
      <c r="L75" s="55"/>
      <c r="M75" s="55"/>
      <c r="N75" s="55"/>
      <c r="S75" s="35"/>
      <c r="T75" s="35"/>
    </row>
    <row r="76" spans="3:69" x14ac:dyDescent="0.2">
      <c r="C76" s="194"/>
      <c r="D76" s="194"/>
      <c r="K76" s="55"/>
      <c r="L76" s="55"/>
      <c r="M76" s="55"/>
      <c r="N76" s="55"/>
      <c r="S76" s="35"/>
    </row>
    <row r="77" spans="3:69" x14ac:dyDescent="0.2">
      <c r="K77" s="55"/>
      <c r="L77" s="55"/>
      <c r="M77" s="55"/>
      <c r="N77" s="55"/>
      <c r="S77" s="35"/>
    </row>
    <row r="78" spans="3:69" x14ac:dyDescent="0.2">
      <c r="K78" s="55"/>
      <c r="L78" s="55"/>
      <c r="M78" s="55"/>
      <c r="N78" s="55"/>
    </row>
    <row r="79" spans="3:69" x14ac:dyDescent="0.2">
      <c r="K79" s="55"/>
      <c r="L79" s="55"/>
      <c r="M79" s="55"/>
      <c r="N79" s="55"/>
    </row>
    <row r="80" spans="3:69" x14ac:dyDescent="0.2">
      <c r="K80" s="55"/>
      <c r="L80" s="55"/>
      <c r="M80" s="55"/>
      <c r="N80" s="55"/>
      <c r="R80" s="34"/>
    </row>
    <row r="81" spans="8:19" x14ac:dyDescent="0.2">
      <c r="K81" s="55"/>
      <c r="L81" s="55"/>
      <c r="M81" s="55"/>
      <c r="N81" s="55"/>
      <c r="R81" s="34"/>
    </row>
    <row r="82" spans="8:19" x14ac:dyDescent="0.2">
      <c r="K82" s="55"/>
      <c r="L82" s="55"/>
      <c r="M82" s="55"/>
      <c r="N82" s="55"/>
      <c r="R82" s="34"/>
    </row>
    <row r="83" spans="8:19" x14ac:dyDescent="0.2">
      <c r="K83" s="55"/>
      <c r="L83" s="55"/>
      <c r="M83" s="55"/>
      <c r="N83" s="55"/>
      <c r="R83" s="34"/>
    </row>
    <row r="84" spans="8:19" x14ac:dyDescent="0.2">
      <c r="H84" s="35"/>
      <c r="K84" s="55"/>
      <c r="L84" s="55"/>
      <c r="M84" s="55"/>
      <c r="N84" s="55"/>
      <c r="R84" s="34"/>
    </row>
    <row r="85" spans="8:19" x14ac:dyDescent="0.2">
      <c r="K85" s="55"/>
      <c r="L85" s="55"/>
      <c r="M85" s="55"/>
      <c r="N85" s="55"/>
      <c r="R85" s="34"/>
    </row>
    <row r="86" spans="8:19" x14ac:dyDescent="0.2">
      <c r="K86" s="55"/>
      <c r="L86" s="55"/>
      <c r="M86" s="55"/>
      <c r="N86" s="55"/>
      <c r="R86" s="34"/>
      <c r="S86" s="34"/>
    </row>
    <row r="87" spans="8:19" x14ac:dyDescent="0.2">
      <c r="K87" s="55"/>
      <c r="L87" s="55"/>
      <c r="M87" s="55"/>
      <c r="N87" s="55"/>
      <c r="R87" s="34"/>
      <c r="S87" s="34"/>
    </row>
    <row r="88" spans="8:19" x14ac:dyDescent="0.2">
      <c r="K88" s="55"/>
      <c r="L88" s="55"/>
      <c r="M88" s="55"/>
      <c r="N88" s="55"/>
      <c r="R88" s="34"/>
      <c r="S88" s="34"/>
    </row>
    <row r="89" spans="8:19" x14ac:dyDescent="0.2">
      <c r="K89" s="55"/>
      <c r="L89" s="55"/>
      <c r="M89" s="55"/>
      <c r="N89" s="55"/>
      <c r="R89" s="34"/>
      <c r="S89" s="34"/>
    </row>
    <row r="90" spans="8:19" x14ac:dyDescent="0.2">
      <c r="K90" s="55"/>
      <c r="L90" s="55"/>
      <c r="M90" s="55"/>
      <c r="N90" s="55"/>
      <c r="R90" s="34"/>
      <c r="S90" s="34"/>
    </row>
    <row r="91" spans="8:19" x14ac:dyDescent="0.2">
      <c r="K91" s="55"/>
      <c r="L91" s="55"/>
      <c r="M91" s="55"/>
      <c r="N91" s="55"/>
      <c r="R91" s="34"/>
      <c r="S91" s="34"/>
    </row>
    <row r="92" spans="8:19" x14ac:dyDescent="0.2">
      <c r="K92" s="55"/>
      <c r="L92" s="55"/>
      <c r="M92" s="55"/>
      <c r="N92" s="55"/>
      <c r="R92" s="34"/>
      <c r="S92" s="34"/>
    </row>
    <row r="93" spans="8:19" x14ac:dyDescent="0.2">
      <c r="K93" s="55"/>
      <c r="L93" s="55"/>
      <c r="M93" s="55"/>
      <c r="N93" s="55"/>
      <c r="R93" s="34"/>
      <c r="S93" s="34"/>
    </row>
    <row r="94" spans="8:19" x14ac:dyDescent="0.2">
      <c r="K94" s="55"/>
      <c r="L94" s="55"/>
      <c r="M94" s="55"/>
      <c r="N94" s="55"/>
      <c r="R94" s="34"/>
      <c r="S94" s="34"/>
    </row>
    <row r="95" spans="8:19" x14ac:dyDescent="0.2">
      <c r="K95" s="55"/>
      <c r="L95" s="55"/>
      <c r="M95" s="55"/>
      <c r="N95" s="55"/>
      <c r="R95" s="34"/>
      <c r="S95" s="34"/>
    </row>
    <row r="96" spans="8:19" x14ac:dyDescent="0.2">
      <c r="K96" s="55"/>
      <c r="L96" s="55"/>
      <c r="M96" s="55"/>
      <c r="N96" s="55"/>
      <c r="R96" s="34"/>
      <c r="S96" s="34"/>
    </row>
    <row r="97" spans="11:19" x14ac:dyDescent="0.2">
      <c r="K97" s="55"/>
      <c r="L97" s="55"/>
      <c r="M97" s="55"/>
      <c r="N97" s="55"/>
      <c r="R97" s="34"/>
      <c r="S97" s="34"/>
    </row>
    <row r="98" spans="11:19" x14ac:dyDescent="0.2">
      <c r="K98" s="55"/>
      <c r="L98" s="55"/>
      <c r="M98" s="55"/>
      <c r="N98" s="55"/>
      <c r="R98" s="34"/>
      <c r="S98" s="34"/>
    </row>
    <row r="99" spans="11:19" x14ac:dyDescent="0.2">
      <c r="K99" s="55"/>
      <c r="L99" s="55"/>
      <c r="M99" s="55"/>
      <c r="N99" s="55"/>
      <c r="R99" s="34"/>
      <c r="S99" s="34"/>
    </row>
    <row r="100" spans="11:19" x14ac:dyDescent="0.2">
      <c r="K100" s="55"/>
      <c r="L100" s="55"/>
      <c r="M100" s="55"/>
      <c r="N100" s="55"/>
      <c r="R100" s="34"/>
      <c r="S100" s="34"/>
    </row>
    <row r="101" spans="11:19" x14ac:dyDescent="0.2">
      <c r="K101" s="55"/>
      <c r="L101" s="55"/>
      <c r="M101" s="55"/>
      <c r="N101" s="55"/>
      <c r="R101" s="34"/>
      <c r="S101" s="34"/>
    </row>
    <row r="102" spans="11:19" x14ac:dyDescent="0.2">
      <c r="K102" s="55"/>
      <c r="L102" s="55"/>
      <c r="M102" s="55"/>
      <c r="N102" s="55"/>
      <c r="R102" s="34"/>
      <c r="S102" s="34"/>
    </row>
    <row r="103" spans="11:19" x14ac:dyDescent="0.2">
      <c r="K103" s="55"/>
      <c r="L103" s="55"/>
      <c r="M103" s="55"/>
      <c r="N103" s="55"/>
      <c r="R103" s="34"/>
      <c r="S103" s="34"/>
    </row>
    <row r="104" spans="11:19" x14ac:dyDescent="0.2">
      <c r="K104" s="55"/>
      <c r="L104" s="55"/>
      <c r="M104" s="55"/>
      <c r="N104" s="55"/>
      <c r="R104" s="34"/>
      <c r="S104" s="34"/>
    </row>
    <row r="105" spans="11:19" x14ac:dyDescent="0.2">
      <c r="R105" s="34"/>
      <c r="S105" s="34"/>
    </row>
    <row r="106" spans="11:19" x14ac:dyDescent="0.2">
      <c r="R106" s="34"/>
      <c r="S106" s="34"/>
    </row>
    <row r="107" spans="11:19" x14ac:dyDescent="0.2">
      <c r="R107" s="34"/>
      <c r="S107" s="34"/>
    </row>
    <row r="108" spans="11:19" x14ac:dyDescent="0.2">
      <c r="R108" s="34"/>
      <c r="S108" s="34"/>
    </row>
    <row r="109" spans="11:19" x14ac:dyDescent="0.2">
      <c r="R109" s="34"/>
      <c r="S109" s="34"/>
    </row>
    <row r="110" spans="11:19" x14ac:dyDescent="0.2">
      <c r="R110" s="34"/>
      <c r="S110" s="34"/>
    </row>
    <row r="111" spans="11:19" x14ac:dyDescent="0.2">
      <c r="R111" s="34"/>
      <c r="S111" s="34"/>
    </row>
    <row r="112" spans="11:19" x14ac:dyDescent="0.2">
      <c r="R112" s="34"/>
      <c r="S112" s="34"/>
    </row>
    <row r="113" spans="18:19" x14ac:dyDescent="0.2">
      <c r="R113" s="34"/>
      <c r="S113" s="34"/>
    </row>
    <row r="114" spans="18:19" x14ac:dyDescent="0.2">
      <c r="R114" s="34"/>
      <c r="S114" s="34"/>
    </row>
    <row r="115" spans="18:19" x14ac:dyDescent="0.2">
      <c r="R115" s="34"/>
      <c r="S115" s="34"/>
    </row>
    <row r="116" spans="18:19" x14ac:dyDescent="0.2">
      <c r="R116" s="34"/>
      <c r="S116" s="34"/>
    </row>
    <row r="117" spans="18:19" x14ac:dyDescent="0.2">
      <c r="R117" s="34"/>
      <c r="S117" s="34"/>
    </row>
    <row r="118" spans="18:19" x14ac:dyDescent="0.2">
      <c r="R118" s="34"/>
      <c r="S118" s="34"/>
    </row>
    <row r="119" spans="18:19" x14ac:dyDescent="0.2">
      <c r="R119" s="34"/>
      <c r="S119" s="34"/>
    </row>
    <row r="120" spans="18:19" x14ac:dyDescent="0.2">
      <c r="R120" s="34"/>
      <c r="S120" s="34"/>
    </row>
    <row r="121" spans="18:19" x14ac:dyDescent="0.2">
      <c r="R121" s="34"/>
      <c r="S121" s="34"/>
    </row>
    <row r="122" spans="18:19" x14ac:dyDescent="0.2">
      <c r="R122" s="34"/>
      <c r="S122" s="34"/>
    </row>
    <row r="123" spans="18:19" x14ac:dyDescent="0.2">
      <c r="R123" s="34"/>
      <c r="S123" s="34"/>
    </row>
    <row r="124" spans="18:19" x14ac:dyDescent="0.2">
      <c r="R124" s="34"/>
      <c r="S124" s="34"/>
    </row>
    <row r="125" spans="18:19" x14ac:dyDescent="0.2">
      <c r="R125" s="34"/>
      <c r="S125" s="34"/>
    </row>
    <row r="126" spans="18:19" x14ac:dyDescent="0.2">
      <c r="R126" s="34"/>
      <c r="S126" s="34"/>
    </row>
    <row r="127" spans="18:19" x14ac:dyDescent="0.2">
      <c r="R127" s="34"/>
      <c r="S127" s="34"/>
    </row>
    <row r="128" spans="18:19" x14ac:dyDescent="0.2">
      <c r="R128" s="34"/>
      <c r="S128" s="34"/>
    </row>
    <row r="129" spans="18:19" x14ac:dyDescent="0.2">
      <c r="R129" s="34"/>
      <c r="S129" s="34"/>
    </row>
    <row r="130" spans="18:19" x14ac:dyDescent="0.2">
      <c r="R130" s="34"/>
      <c r="S130" s="34"/>
    </row>
    <row r="131" spans="18:19" x14ac:dyDescent="0.2">
      <c r="R131" s="34"/>
      <c r="S131" s="34"/>
    </row>
    <row r="132" spans="18:19" x14ac:dyDescent="0.2">
      <c r="R132" s="34"/>
      <c r="S132" s="34"/>
    </row>
    <row r="133" spans="18:19" x14ac:dyDescent="0.2">
      <c r="R133" s="35"/>
      <c r="S133" s="34"/>
    </row>
    <row r="134" spans="18:19" x14ac:dyDescent="0.2">
      <c r="R134" s="35"/>
      <c r="S134" s="34"/>
    </row>
    <row r="135" spans="18:19" x14ac:dyDescent="0.2">
      <c r="R135" s="35"/>
      <c r="S135" s="34"/>
    </row>
    <row r="136" spans="18:19" x14ac:dyDescent="0.2">
      <c r="R136" s="35"/>
      <c r="S136" s="34"/>
    </row>
    <row r="137" spans="18:19" x14ac:dyDescent="0.2">
      <c r="R137" s="35"/>
      <c r="S137" s="34"/>
    </row>
    <row r="138" spans="18:19" x14ac:dyDescent="0.2">
      <c r="R138" s="35"/>
      <c r="S138" s="34"/>
    </row>
    <row r="139" spans="18:19" x14ac:dyDescent="0.2">
      <c r="R139" s="35"/>
      <c r="S139" s="35"/>
    </row>
    <row r="140" spans="18:19" x14ac:dyDescent="0.2">
      <c r="R140" s="35"/>
      <c r="S140" s="35"/>
    </row>
    <row r="141" spans="18:19" x14ac:dyDescent="0.2">
      <c r="R141" s="35"/>
      <c r="S141" s="35"/>
    </row>
    <row r="142" spans="18:19" x14ac:dyDescent="0.2">
      <c r="R142" s="35"/>
      <c r="S142" s="35"/>
    </row>
    <row r="143" spans="18:19" x14ac:dyDescent="0.2">
      <c r="R143" s="35"/>
      <c r="S143" s="35"/>
    </row>
    <row r="144" spans="18:19" x14ac:dyDescent="0.2">
      <c r="R144" s="35"/>
      <c r="S144" s="35"/>
    </row>
    <row r="145" spans="18:19" x14ac:dyDescent="0.2">
      <c r="R145" s="35"/>
      <c r="S145" s="35"/>
    </row>
    <row r="146" spans="18:19" x14ac:dyDescent="0.2">
      <c r="R146" s="35"/>
      <c r="S146" s="35"/>
    </row>
    <row r="147" spans="18:19" x14ac:dyDescent="0.2">
      <c r="R147" s="35"/>
      <c r="S147" s="35"/>
    </row>
    <row r="148" spans="18:19" x14ac:dyDescent="0.2">
      <c r="R148" s="35"/>
      <c r="S148" s="35"/>
    </row>
    <row r="149" spans="18:19" x14ac:dyDescent="0.2">
      <c r="S149" s="35"/>
    </row>
    <row r="150" spans="18:19" x14ac:dyDescent="0.2">
      <c r="S150" s="35"/>
    </row>
    <row r="151" spans="18:19" x14ac:dyDescent="0.2">
      <c r="S151" s="35"/>
    </row>
    <row r="152" spans="18:19" x14ac:dyDescent="0.2">
      <c r="S152" s="35"/>
    </row>
    <row r="153" spans="18:19" x14ac:dyDescent="0.2">
      <c r="S153" s="35"/>
    </row>
    <row r="154" spans="18:19" x14ac:dyDescent="0.2">
      <c r="S154" s="35"/>
    </row>
  </sheetData>
  <mergeCells count="16">
    <mergeCell ref="AH5:AH6"/>
    <mergeCell ref="AJ5:AJ6"/>
    <mergeCell ref="AT5:AT6"/>
    <mergeCell ref="AV5:AV6"/>
    <mergeCell ref="AH9:AH10"/>
    <mergeCell ref="AJ9:AJ10"/>
    <mergeCell ref="AT9:AT10"/>
    <mergeCell ref="AV9:AV10"/>
    <mergeCell ref="AH14:AH16"/>
    <mergeCell ref="AJ14:AJ16"/>
    <mergeCell ref="AT14:AT16"/>
    <mergeCell ref="AV14:AV16"/>
    <mergeCell ref="AH19:AH21"/>
    <mergeCell ref="AJ19:AJ21"/>
    <mergeCell ref="AT19:AT21"/>
    <mergeCell ref="AV19:AV21"/>
  </mergeCells>
  <dataValidations count="4">
    <dataValidation type="list" allowBlank="1" showInputMessage="1" showErrorMessage="1" sqref="D24:D25">
      <formula1>"FIXING,ESTIMATED"</formula1>
    </dataValidation>
    <dataValidation type="list" allowBlank="1" showInputMessage="1" showErrorMessage="1" sqref="T7:V9 T10:W10 S4:V6 S15:V17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General Settings</vt:lpstr>
      <vt:lpstr>6MSynthDepo_used</vt:lpstr>
      <vt:lpstr>6MSynthDepo_allScenario</vt:lpstr>
      <vt:lpstr>3MSynthDepo_used</vt:lpstr>
      <vt:lpstr>3MSynthDepo_allScenario</vt:lpstr>
      <vt:lpstr>12MSynthDepo_used</vt:lpstr>
      <vt:lpstr>12MSynthDepo_allScenario</vt:lpstr>
      <vt:lpstr>1MSynthDepo_used</vt:lpstr>
      <vt:lpstr>1MSynthDepo_allScenario</vt:lpstr>
      <vt:lpstr>AllTriggers</vt:lpstr>
      <vt:lpstr>'12MSynthDepo_used'!Basis_coef</vt:lpstr>
      <vt:lpstr>'1MSynthDepo_used'!Basis_coef</vt:lpstr>
      <vt:lpstr>'3MSynthDepo_used'!Basis_coef</vt:lpstr>
      <vt:lpstr>'6MSynthDepo_used'!Basis_coef</vt:lpstr>
      <vt:lpstr>Calendar</vt:lpstr>
      <vt:lpstr>Currency</vt:lpstr>
      <vt:lpstr>DayCounter</vt:lpstr>
      <vt:lpstr>Discounting</vt:lpstr>
      <vt:lpstr>EvaluationDate</vt:lpstr>
      <vt:lpstr>IborType</vt:lpstr>
      <vt:lpstr>InterestRatesTrigger</vt:lpstr>
      <vt:lpstr>'12MSynthDepo_allScenario'!IsSimple</vt:lpstr>
      <vt:lpstr>'1MSynthDepo_allScenario'!IsSimple</vt:lpstr>
      <vt:lpstr>'3MSynthDepo_allScenario'!IsSimple</vt:lpstr>
      <vt:lpstr>'6MSynthDepo_allScenario'!IsSimple</vt:lpstr>
      <vt:lpstr>LastFixingsTrigger</vt:lpstr>
      <vt:lpstr>ObjectOverwrite</vt:lpstr>
      <vt:lpstr>OisCurve</vt:lpstr>
      <vt:lpstr>ON_12M_index</vt:lpstr>
      <vt:lpstr>ON_1M_index</vt:lpstr>
      <vt:lpstr>ON_3M_index</vt:lpstr>
      <vt:lpstr>ON_6M_index</vt:lpstr>
      <vt:lpstr>OvernightIndex</vt:lpstr>
      <vt:lpstr>Permanent</vt:lpstr>
      <vt:lpstr>QuoteSuffix</vt:lpstr>
      <vt:lpstr>SettlementDate</vt:lpstr>
      <vt:lpstr>'12MSynthDepo_used'!TenorBasis6M</vt:lpstr>
      <vt:lpstr>'1MSynthDepo_used'!TenorBasis6M</vt:lpstr>
      <vt:lpstr>'3MSynthDepo_used'!TenorBasis6M</vt:lpstr>
      <vt:lpstr>TenorBasis6M</vt:lpstr>
      <vt:lpstr>Trigger</vt:lpstr>
      <vt:lpstr>TriggerCounter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MAZZOCCHI PAOLO</cp:lastModifiedBy>
  <cp:lastPrinted>2014-03-18T13:51:31Z</cp:lastPrinted>
  <dcterms:created xsi:type="dcterms:W3CDTF">2007-10-30T15:41:10Z</dcterms:created>
  <dcterms:modified xsi:type="dcterms:W3CDTF">2015-11-11T17:41:26Z</dcterms:modified>
</cp:coreProperties>
</file>