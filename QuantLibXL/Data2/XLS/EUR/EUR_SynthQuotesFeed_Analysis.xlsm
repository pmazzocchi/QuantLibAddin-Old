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8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quantlib\QuantLibXL\Data2\XLS\EUR\"/>
    </mc:Choice>
  </mc:AlternateContent>
  <bookViews>
    <workbookView xWindow="-15" yWindow="-15" windowWidth="19080" windowHeight="12810"/>
  </bookViews>
  <sheets>
    <sheet name="General Settings" sheetId="29" r:id="rId1"/>
    <sheet name="6MSynthDepo_used" sheetId="40" r:id="rId2"/>
    <sheet name="6MSynthDepo_allScenario" sheetId="39" r:id="rId3"/>
    <sheet name="3MSynthDepo_used" sheetId="53" r:id="rId4"/>
    <sheet name="3MSynthDepo_allScenario" sheetId="54" r:id="rId5"/>
    <sheet name="12MSynthDepo_used" sheetId="55" r:id="rId6"/>
    <sheet name="12MSynthDepo_allScenario" sheetId="56" r:id="rId7"/>
    <sheet name="1MSynthDepo_used" sheetId="57" r:id="rId8"/>
    <sheet name="1MSynthDepo_allScenario" sheetId="58" r:id="rId9"/>
  </sheets>
  <externalReferences>
    <externalReference r:id="rId10"/>
    <externalReference r:id="rId11"/>
  </externalReferences>
  <definedNames>
    <definedName name="AllTriggers">'General Settings'!$D$15:$D$19</definedName>
    <definedName name="Basis_coef" localSheetId="5">'12MSynthDepo_used'!$P$6:$P$10</definedName>
    <definedName name="Basis_coef" localSheetId="7">'1MSynthDepo_used'!$P$6:$P$10</definedName>
    <definedName name="Basis_coef" localSheetId="3">'3MSynthDepo_used'!$P$6:$P$10</definedName>
    <definedName name="Basis_coef" localSheetId="1">'6MSynthDepo_used'!$P$6:$P$10</definedName>
    <definedName name="Calendar">'General Settings'!$D$5</definedName>
    <definedName name="Currency">'General Settings'!$D$4</definedName>
    <definedName name="DayCounter">'General Settings'!$D$9</definedName>
    <definedName name="Discounting">'General Settings'!$D$8</definedName>
    <definedName name="EvaluationDate">'General Settings'!$D$16</definedName>
    <definedName name="IborType">'General Settings'!$D$6</definedName>
    <definedName name="InterestRatesTrigger">'General Settings'!$D$17</definedName>
    <definedName name="IsSimple" localSheetId="6">'12MSynthDepo_allScenario'!$G$24</definedName>
    <definedName name="IsSimple" localSheetId="8">'1MSynthDepo_allScenario'!$G$21</definedName>
    <definedName name="IsSimple" localSheetId="4">'3MSynthDepo_allScenario'!$G$24</definedName>
    <definedName name="IsSimple" localSheetId="2">'6MSynthDepo_allScenario'!$G$24</definedName>
    <definedName name="LastFixingsTrigger">'General Settings'!$D$18</definedName>
    <definedName name="ObjectOverwrite">'General Settings'!$I$5</definedName>
    <definedName name="OisCurve">'General Settings'!$D$8</definedName>
    <definedName name="ON_12M_index">'12MSynthDepo_allScenario'!$D$26</definedName>
    <definedName name="ON_1M_index">'1MSynthDepo_allScenario'!$D$23</definedName>
    <definedName name="ON_3M_index">'3MSynthDepo_allScenario'!$D$26</definedName>
    <definedName name="ON_6M_index">'6MSynthDepo_allScenario'!$D$26</definedName>
    <definedName name="OvernightIndex">'General Settings'!$D$7</definedName>
    <definedName name="Permanent">'General Settings'!$I$4</definedName>
    <definedName name="QuoteSuffix">'General Settings'!$I$6</definedName>
    <definedName name="SettlementDate">'General Settings'!$D$10</definedName>
    <definedName name="solver_adj" localSheetId="6" hidden="1">'12MSynthDepo_allScenario'!$AB$28:$AB$30</definedName>
    <definedName name="solver_adj" localSheetId="5" hidden="1">'12MSynthDepo_used'!#REF!</definedName>
    <definedName name="solver_adj" localSheetId="8" hidden="1">'1MSynthDepo_allScenario'!$AB$25:$AB$27</definedName>
    <definedName name="solver_adj" localSheetId="7" hidden="1">'1MSynthDepo_used'!#REF!</definedName>
    <definedName name="solver_adj" localSheetId="4" hidden="1">'3MSynthDepo_allScenario'!$AB$28:$AB$30</definedName>
    <definedName name="solver_adj" localSheetId="3" hidden="1">'3MSynthDepo_used'!#REF!</definedName>
    <definedName name="solver_adj" localSheetId="2" hidden="1">'6MSynthDepo_allScenario'!$AB$28:$AB$30</definedName>
    <definedName name="solver_adj" localSheetId="1" hidden="1">'6MSynthDepo_used'!#REF!</definedName>
    <definedName name="solver_cvg" localSheetId="6" hidden="1">0.0000000000001</definedName>
    <definedName name="solver_cvg" localSheetId="5" hidden="1">0.0000000000001</definedName>
    <definedName name="solver_cvg" localSheetId="8" hidden="1">0.0000000000001</definedName>
    <definedName name="solver_cvg" localSheetId="7" hidden="1">0.0000000000001</definedName>
    <definedName name="solver_cvg" localSheetId="4" hidden="1">0.0000000000001</definedName>
    <definedName name="solver_cvg" localSheetId="3" hidden="1">0.0000000000001</definedName>
    <definedName name="solver_cvg" localSheetId="2" hidden="1">0.0000000000001</definedName>
    <definedName name="solver_cvg" localSheetId="1" hidden="1">0.0000000000001</definedName>
    <definedName name="solver_drv" localSheetId="6" hidden="1">1</definedName>
    <definedName name="solver_drv" localSheetId="5" hidden="1">1</definedName>
    <definedName name="solver_drv" localSheetId="8" hidden="1">1</definedName>
    <definedName name="solver_drv" localSheetId="7" hidden="1">1</definedName>
    <definedName name="solver_drv" localSheetId="4" hidden="1">1</definedName>
    <definedName name="solver_drv" localSheetId="3" hidden="1">1</definedName>
    <definedName name="solver_drv" localSheetId="2" hidden="1">1</definedName>
    <definedName name="solver_drv" localSheetId="1" hidden="1">1</definedName>
    <definedName name="solver_eng" localSheetId="6" hidden="1">1</definedName>
    <definedName name="solver_eng" localSheetId="5" hidden="1">1</definedName>
    <definedName name="solver_eng" localSheetId="8" hidden="1">1</definedName>
    <definedName name="solver_eng" localSheetId="7" hidden="1">1</definedName>
    <definedName name="solver_eng" localSheetId="4" hidden="1">1</definedName>
    <definedName name="solver_eng" localSheetId="3" hidden="1">1</definedName>
    <definedName name="solver_eng" localSheetId="2" hidden="1">1</definedName>
    <definedName name="solver_eng" localSheetId="1" hidden="1">1</definedName>
    <definedName name="solver_est" localSheetId="6" hidden="1">1</definedName>
    <definedName name="solver_est" localSheetId="5" hidden="1">1</definedName>
    <definedName name="solver_est" localSheetId="8" hidden="1">1</definedName>
    <definedName name="solver_est" localSheetId="7" hidden="1">1</definedName>
    <definedName name="solver_est" localSheetId="4" hidden="1">1</definedName>
    <definedName name="solver_est" localSheetId="3" hidden="1">1</definedName>
    <definedName name="solver_est" localSheetId="2" hidden="1">1</definedName>
    <definedName name="solver_est" localSheetId="1" hidden="1">1</definedName>
    <definedName name="solver_itr" localSheetId="6" hidden="1">2147483647</definedName>
    <definedName name="solver_itr" localSheetId="5" hidden="1">2147483647</definedName>
    <definedName name="solver_itr" localSheetId="8" hidden="1">2147483647</definedName>
    <definedName name="solver_itr" localSheetId="7" hidden="1">2147483647</definedName>
    <definedName name="solver_itr" localSheetId="4" hidden="1">2147483647</definedName>
    <definedName name="solver_itr" localSheetId="3" hidden="1">2147483647</definedName>
    <definedName name="solver_itr" localSheetId="2" hidden="1">2147483647</definedName>
    <definedName name="solver_itr" localSheetId="1" hidden="1">2147483647</definedName>
    <definedName name="solver_mip" localSheetId="6" hidden="1">2147483647</definedName>
    <definedName name="solver_mip" localSheetId="5" hidden="1">2147483647</definedName>
    <definedName name="solver_mip" localSheetId="8" hidden="1">2147483647</definedName>
    <definedName name="solver_mip" localSheetId="7" hidden="1">2147483647</definedName>
    <definedName name="solver_mip" localSheetId="4" hidden="1">2147483647</definedName>
    <definedName name="solver_mip" localSheetId="3" hidden="1">2147483647</definedName>
    <definedName name="solver_mip" localSheetId="2" hidden="1">2147483647</definedName>
    <definedName name="solver_mip" localSheetId="1" hidden="1">2147483647</definedName>
    <definedName name="solver_mni" localSheetId="6" hidden="1">30</definedName>
    <definedName name="solver_mni" localSheetId="5" hidden="1">30</definedName>
    <definedName name="solver_mni" localSheetId="8" hidden="1">30</definedName>
    <definedName name="solver_mni" localSheetId="7" hidden="1">30</definedName>
    <definedName name="solver_mni" localSheetId="4" hidden="1">30</definedName>
    <definedName name="solver_mni" localSheetId="3" hidden="1">30</definedName>
    <definedName name="solver_mni" localSheetId="2" hidden="1">30</definedName>
    <definedName name="solver_mni" localSheetId="1" hidden="1">30</definedName>
    <definedName name="solver_mrt" localSheetId="6" hidden="1">0.075</definedName>
    <definedName name="solver_mrt" localSheetId="5" hidden="1">0.075</definedName>
    <definedName name="solver_mrt" localSheetId="8" hidden="1">0.075</definedName>
    <definedName name="solver_mrt" localSheetId="7" hidden="1">0.075</definedName>
    <definedName name="solver_mrt" localSheetId="4" hidden="1">0.075</definedName>
    <definedName name="solver_mrt" localSheetId="3" hidden="1">0.075</definedName>
    <definedName name="solver_mrt" localSheetId="2" hidden="1">0.075</definedName>
    <definedName name="solver_mrt" localSheetId="1" hidden="1">0.075</definedName>
    <definedName name="solver_msl" localSheetId="6" hidden="1">2</definedName>
    <definedName name="solver_msl" localSheetId="5" hidden="1">2</definedName>
    <definedName name="solver_msl" localSheetId="8" hidden="1">2</definedName>
    <definedName name="solver_msl" localSheetId="7" hidden="1">2</definedName>
    <definedName name="solver_msl" localSheetId="4" hidden="1">2</definedName>
    <definedName name="solver_msl" localSheetId="3" hidden="1">2</definedName>
    <definedName name="solver_msl" localSheetId="2" hidden="1">2</definedName>
    <definedName name="solver_msl" localSheetId="1" hidden="1">2</definedName>
    <definedName name="solver_neg" localSheetId="6" hidden="1">2</definedName>
    <definedName name="solver_neg" localSheetId="5" hidden="1">2</definedName>
    <definedName name="solver_neg" localSheetId="8" hidden="1">2</definedName>
    <definedName name="solver_neg" localSheetId="7" hidden="1">2</definedName>
    <definedName name="solver_neg" localSheetId="4" hidden="1">2</definedName>
    <definedName name="solver_neg" localSheetId="3" hidden="1">2</definedName>
    <definedName name="solver_neg" localSheetId="2" hidden="1">2</definedName>
    <definedName name="solver_neg" localSheetId="1" hidden="1">2</definedName>
    <definedName name="solver_nod" localSheetId="6" hidden="1">2147483647</definedName>
    <definedName name="solver_nod" localSheetId="5" hidden="1">2147483647</definedName>
    <definedName name="solver_nod" localSheetId="8" hidden="1">2147483647</definedName>
    <definedName name="solver_nod" localSheetId="7" hidden="1">2147483647</definedName>
    <definedName name="solver_nod" localSheetId="4" hidden="1">2147483647</definedName>
    <definedName name="solver_nod" localSheetId="3" hidden="1">2147483647</definedName>
    <definedName name="solver_nod" localSheetId="2" hidden="1">2147483647</definedName>
    <definedName name="solver_nod" localSheetId="1" hidden="1">2147483647</definedName>
    <definedName name="solver_num" localSheetId="6" hidden="1">0</definedName>
    <definedName name="solver_num" localSheetId="5" hidden="1">0</definedName>
    <definedName name="solver_num" localSheetId="8" hidden="1">0</definedName>
    <definedName name="solver_num" localSheetId="7" hidden="1">0</definedName>
    <definedName name="solver_num" localSheetId="4" hidden="1">0</definedName>
    <definedName name="solver_num" localSheetId="3" hidden="1">0</definedName>
    <definedName name="solver_num" localSheetId="2" hidden="1">0</definedName>
    <definedName name="solver_num" localSheetId="1" hidden="1">0</definedName>
    <definedName name="solver_nwt" localSheetId="6" hidden="1">1</definedName>
    <definedName name="solver_nwt" localSheetId="5" hidden="1">1</definedName>
    <definedName name="solver_nwt" localSheetId="8" hidden="1">1</definedName>
    <definedName name="solver_nwt" localSheetId="7" hidden="1">1</definedName>
    <definedName name="solver_nwt" localSheetId="4" hidden="1">1</definedName>
    <definedName name="solver_nwt" localSheetId="3" hidden="1">1</definedName>
    <definedName name="solver_nwt" localSheetId="2" hidden="1">1</definedName>
    <definedName name="solver_nwt" localSheetId="1" hidden="1">1</definedName>
    <definedName name="solver_opt" localSheetId="6" hidden="1">'12MSynthDepo_allScenario'!#REF!</definedName>
    <definedName name="solver_opt" localSheetId="5" hidden="1">'12MSynthDepo_used'!#REF!</definedName>
    <definedName name="solver_opt" localSheetId="8" hidden="1">'1MSynthDepo_allScenario'!#REF!</definedName>
    <definedName name="solver_opt" localSheetId="7" hidden="1">'1MSynthDepo_used'!#REF!</definedName>
    <definedName name="solver_opt" localSheetId="4" hidden="1">'3MSynthDepo_allScenario'!#REF!</definedName>
    <definedName name="solver_opt" localSheetId="3" hidden="1">'3MSynthDepo_used'!#REF!</definedName>
    <definedName name="solver_opt" localSheetId="2" hidden="1">'6MSynthDepo_allScenario'!#REF!</definedName>
    <definedName name="solver_opt" localSheetId="1" hidden="1">'6MSynthDepo_used'!#REF!</definedName>
    <definedName name="solver_pre" localSheetId="6" hidden="1">0.000001</definedName>
    <definedName name="solver_pre" localSheetId="5" hidden="1">0.000001</definedName>
    <definedName name="solver_pre" localSheetId="8" hidden="1">0.000001</definedName>
    <definedName name="solver_pre" localSheetId="7" hidden="1">0.000001</definedName>
    <definedName name="solver_pre" localSheetId="4" hidden="1">0.000001</definedName>
    <definedName name="solver_pre" localSheetId="3" hidden="1">0.000001</definedName>
    <definedName name="solver_pre" localSheetId="2" hidden="1">0.000001</definedName>
    <definedName name="solver_pre" localSheetId="1" hidden="1">0.000001</definedName>
    <definedName name="solver_rbv" localSheetId="6" hidden="1">1</definedName>
    <definedName name="solver_rbv" localSheetId="5" hidden="1">1</definedName>
    <definedName name="solver_rbv" localSheetId="8" hidden="1">1</definedName>
    <definedName name="solver_rbv" localSheetId="7" hidden="1">1</definedName>
    <definedName name="solver_rbv" localSheetId="4" hidden="1">1</definedName>
    <definedName name="solver_rbv" localSheetId="3" hidden="1">1</definedName>
    <definedName name="solver_rbv" localSheetId="2" hidden="1">1</definedName>
    <definedName name="solver_rbv" localSheetId="1" hidden="1">1</definedName>
    <definedName name="solver_rlx" localSheetId="6" hidden="1">2</definedName>
    <definedName name="solver_rlx" localSheetId="5" hidden="1">2</definedName>
    <definedName name="solver_rlx" localSheetId="8" hidden="1">2</definedName>
    <definedName name="solver_rlx" localSheetId="7" hidden="1">2</definedName>
    <definedName name="solver_rlx" localSheetId="4" hidden="1">2</definedName>
    <definedName name="solver_rlx" localSheetId="3" hidden="1">2</definedName>
    <definedName name="solver_rlx" localSheetId="2" hidden="1">2</definedName>
    <definedName name="solver_rlx" localSheetId="1" hidden="1">2</definedName>
    <definedName name="solver_rsd" localSheetId="6" hidden="1">0</definedName>
    <definedName name="solver_rsd" localSheetId="5" hidden="1">0</definedName>
    <definedName name="solver_rsd" localSheetId="8" hidden="1">0</definedName>
    <definedName name="solver_rsd" localSheetId="7" hidden="1">0</definedName>
    <definedName name="solver_rsd" localSheetId="4" hidden="1">0</definedName>
    <definedName name="solver_rsd" localSheetId="3" hidden="1">0</definedName>
    <definedName name="solver_rsd" localSheetId="2" hidden="1">0</definedName>
    <definedName name="solver_rsd" localSheetId="1" hidden="1">0</definedName>
    <definedName name="solver_scl" localSheetId="6" hidden="1">1</definedName>
    <definedName name="solver_scl" localSheetId="5" hidden="1">1</definedName>
    <definedName name="solver_scl" localSheetId="8" hidden="1">1</definedName>
    <definedName name="solver_scl" localSheetId="7" hidden="1">1</definedName>
    <definedName name="solver_scl" localSheetId="4" hidden="1">1</definedName>
    <definedName name="solver_scl" localSheetId="3" hidden="1">1</definedName>
    <definedName name="solver_scl" localSheetId="2" hidden="1">1</definedName>
    <definedName name="solver_scl" localSheetId="1" hidden="1">1</definedName>
    <definedName name="solver_sho" localSheetId="6" hidden="1">2</definedName>
    <definedName name="solver_sho" localSheetId="5" hidden="1">2</definedName>
    <definedName name="solver_sho" localSheetId="8" hidden="1">2</definedName>
    <definedName name="solver_sho" localSheetId="7" hidden="1">2</definedName>
    <definedName name="solver_sho" localSheetId="4" hidden="1">2</definedName>
    <definedName name="solver_sho" localSheetId="3" hidden="1">2</definedName>
    <definedName name="solver_sho" localSheetId="2" hidden="1">2</definedName>
    <definedName name="solver_sho" localSheetId="1" hidden="1">2</definedName>
    <definedName name="solver_ssz" localSheetId="6" hidden="1">100</definedName>
    <definedName name="solver_ssz" localSheetId="5" hidden="1">100</definedName>
    <definedName name="solver_ssz" localSheetId="8" hidden="1">100</definedName>
    <definedName name="solver_ssz" localSheetId="7" hidden="1">100</definedName>
    <definedName name="solver_ssz" localSheetId="4" hidden="1">100</definedName>
    <definedName name="solver_ssz" localSheetId="3" hidden="1">100</definedName>
    <definedName name="solver_ssz" localSheetId="2" hidden="1">100</definedName>
    <definedName name="solver_ssz" localSheetId="1" hidden="1">100</definedName>
    <definedName name="solver_tim" localSheetId="6" hidden="1">2147483647</definedName>
    <definedName name="solver_tim" localSheetId="5" hidden="1">2147483647</definedName>
    <definedName name="solver_tim" localSheetId="8" hidden="1">2147483647</definedName>
    <definedName name="solver_tim" localSheetId="7" hidden="1">2147483647</definedName>
    <definedName name="solver_tim" localSheetId="4" hidden="1">2147483647</definedName>
    <definedName name="solver_tim" localSheetId="3" hidden="1">2147483647</definedName>
    <definedName name="solver_tim" localSheetId="2" hidden="1">2147483647</definedName>
    <definedName name="solver_tim" localSheetId="1" hidden="1">2147483647</definedName>
    <definedName name="solver_tol" localSheetId="6" hidden="1">0.01</definedName>
    <definedName name="solver_tol" localSheetId="5" hidden="1">0.01</definedName>
    <definedName name="solver_tol" localSheetId="8" hidden="1">0.01</definedName>
    <definedName name="solver_tol" localSheetId="7" hidden="1">0.01</definedName>
    <definedName name="solver_tol" localSheetId="4" hidden="1">0.01</definedName>
    <definedName name="solver_tol" localSheetId="3" hidden="1">0.01</definedName>
    <definedName name="solver_tol" localSheetId="2" hidden="1">0.01</definedName>
    <definedName name="solver_tol" localSheetId="1" hidden="1">0.01</definedName>
    <definedName name="solver_typ" localSheetId="6" hidden="1">2</definedName>
    <definedName name="solver_typ" localSheetId="5" hidden="1">2</definedName>
    <definedName name="solver_typ" localSheetId="8" hidden="1">2</definedName>
    <definedName name="solver_typ" localSheetId="7" hidden="1">2</definedName>
    <definedName name="solver_typ" localSheetId="4" hidden="1">2</definedName>
    <definedName name="solver_typ" localSheetId="3" hidden="1">2</definedName>
    <definedName name="solver_typ" localSheetId="2" hidden="1">2</definedName>
    <definedName name="solver_typ" localSheetId="1" hidden="1">2</definedName>
    <definedName name="solver_val" localSheetId="6" hidden="1">0</definedName>
    <definedName name="solver_val" localSheetId="5" hidden="1">0</definedName>
    <definedName name="solver_val" localSheetId="8" hidden="1">0</definedName>
    <definedName name="solver_val" localSheetId="7" hidden="1">0</definedName>
    <definedName name="solver_val" localSheetId="4" hidden="1">0</definedName>
    <definedName name="solver_val" localSheetId="3" hidden="1">0</definedName>
    <definedName name="solver_val" localSheetId="2" hidden="1">0</definedName>
    <definedName name="solver_val" localSheetId="1" hidden="1">0</definedName>
    <definedName name="solver_ver" localSheetId="6" hidden="1">3</definedName>
    <definedName name="solver_ver" localSheetId="5" hidden="1">3</definedName>
    <definedName name="solver_ver" localSheetId="8" hidden="1">3</definedName>
    <definedName name="solver_ver" localSheetId="7" hidden="1">3</definedName>
    <definedName name="solver_ver" localSheetId="4" hidden="1">3</definedName>
    <definedName name="solver_ver" localSheetId="3" hidden="1">3</definedName>
    <definedName name="solver_ver" localSheetId="2" hidden="1">3</definedName>
    <definedName name="solver_ver" localSheetId="1" hidden="1">3</definedName>
    <definedName name="TenorBasis6M" localSheetId="5">'12MSynthDepo_used'!$P$3</definedName>
    <definedName name="TenorBasis6M" localSheetId="7">'1MSynthDepo_used'!$P$3</definedName>
    <definedName name="TenorBasis6M" localSheetId="3">'3MSynthDepo_used'!$P$3</definedName>
    <definedName name="TenorBasis6M">'6MSynthDepo_used'!$P$3</definedName>
    <definedName name="Trigger">'General Settings'!$D$15</definedName>
    <definedName name="TriggerCounter">'General Settings'!$D$19</definedName>
  </definedNames>
  <calcPr calcId="152511"/>
</workbook>
</file>

<file path=xl/calcChain.xml><?xml version="1.0" encoding="utf-8"?>
<calcChain xmlns="http://schemas.openxmlformats.org/spreadsheetml/2006/main">
  <c r="H13" i="54" l="1"/>
  <c r="F46" i="58"/>
  <c r="F45" i="58"/>
  <c r="F44" i="58"/>
  <c r="F43" i="58"/>
  <c r="H13" i="39"/>
  <c r="H13" i="56"/>
  <c r="AA31" i="58"/>
  <c r="BO4" i="58" s="1"/>
  <c r="Y31" i="58"/>
  <c r="BM4" i="58" s="1"/>
  <c r="W31" i="58"/>
  <c r="BK4" i="58" s="1"/>
  <c r="U31" i="58"/>
  <c r="S31" i="58"/>
  <c r="BG4" i="58" s="1"/>
  <c r="G31" i="58"/>
  <c r="BE4" i="58" s="1"/>
  <c r="H13" i="58"/>
  <c r="G13" i="58"/>
  <c r="U12" i="58"/>
  <c r="S12" i="58"/>
  <c r="J6" i="58"/>
  <c r="J5" i="58"/>
  <c r="A5" i="58"/>
  <c r="A16" i="58" s="1"/>
  <c r="B16" i="58" s="1"/>
  <c r="C16" i="58" s="1"/>
  <c r="BI4" i="58"/>
  <c r="J4" i="58"/>
  <c r="A4" i="58"/>
  <c r="A15" i="58" s="1"/>
  <c r="J3" i="58"/>
  <c r="A3" i="58"/>
  <c r="A14" i="58" s="1"/>
  <c r="B14" i="58" s="1"/>
  <c r="C14" i="58" s="1"/>
  <c r="H2" i="58"/>
  <c r="G2" i="58"/>
  <c r="U1" i="58"/>
  <c r="S1" i="58"/>
  <c r="X25" i="57"/>
  <c r="C8" i="57"/>
  <c r="C6" i="57"/>
  <c r="D6" i="57" s="1"/>
  <c r="C5" i="57"/>
  <c r="C3" i="57"/>
  <c r="D3" i="57" s="1"/>
  <c r="I2" i="57"/>
  <c r="D2" i="57"/>
  <c r="J9" i="56"/>
  <c r="B9" i="56"/>
  <c r="C9" i="56"/>
  <c r="A15" i="56"/>
  <c r="A16" i="56"/>
  <c r="A17" i="56"/>
  <c r="A18" i="56"/>
  <c r="A19" i="56"/>
  <c r="A20" i="56"/>
  <c r="AG14" i="58" a="1"/>
  <c r="AG9" i="58" a="1"/>
  <c r="AG19" i="58" a="1"/>
  <c r="AG5" i="58" a="1"/>
  <c r="H17" i="58"/>
  <c r="H16" i="58"/>
  <c r="H15" i="58"/>
  <c r="H14" i="58"/>
  <c r="H6" i="58"/>
  <c r="H5" i="58"/>
  <c r="H4" i="58"/>
  <c r="H3" i="58"/>
  <c r="F1" i="57"/>
  <c r="H15" i="56"/>
  <c r="H19" i="56"/>
  <c r="H18" i="56"/>
  <c r="H16" i="56"/>
  <c r="H17" i="56"/>
  <c r="H20" i="56"/>
  <c r="H14" i="56"/>
  <c r="H9" i="56"/>
  <c r="H5" i="56"/>
  <c r="H7" i="56"/>
  <c r="H8" i="56"/>
  <c r="H4" i="56"/>
  <c r="H6" i="56"/>
  <c r="H3" i="56"/>
  <c r="F1" i="55"/>
  <c r="H20" i="39"/>
  <c r="H16" i="39"/>
  <c r="H19" i="39"/>
  <c r="H15" i="39"/>
  <c r="H18" i="39"/>
  <c r="H17" i="39"/>
  <c r="H14" i="39"/>
  <c r="H20" i="54"/>
  <c r="H16" i="54"/>
  <c r="H17" i="54"/>
  <c r="H19" i="54"/>
  <c r="H15" i="54"/>
  <c r="H18" i="54"/>
  <c r="H14" i="54"/>
  <c r="H9" i="54"/>
  <c r="H5" i="54"/>
  <c r="H6" i="54"/>
  <c r="H8" i="54"/>
  <c r="H4" i="54"/>
  <c r="H7" i="54"/>
  <c r="H3" i="54"/>
  <c r="F1" i="53"/>
  <c r="D23" i="58"/>
  <c r="E3" i="57"/>
  <c r="E4" i="57"/>
  <c r="E8" i="57"/>
  <c r="E5" i="57"/>
  <c r="B4" i="58" l="1"/>
  <c r="C4" i="58" s="1"/>
  <c r="C7" i="57"/>
  <c r="AG20" i="58"/>
  <c r="AG21" i="58"/>
  <c r="AG19" i="58"/>
  <c r="AG15" i="58"/>
  <c r="AG14" i="58"/>
  <c r="AG16" i="58"/>
  <c r="AG10" i="58"/>
  <c r="AG9" i="58"/>
  <c r="AG5" i="58"/>
  <c r="AG6" i="58"/>
  <c r="B15" i="58"/>
  <c r="C15" i="58" s="1"/>
  <c r="B3" i="58"/>
  <c r="C3" i="58"/>
  <c r="B5" i="58"/>
  <c r="C5" i="58" s="1"/>
  <c r="D7" i="57"/>
  <c r="D5" i="57"/>
  <c r="D8" i="57"/>
  <c r="X42" i="55"/>
  <c r="X41" i="55"/>
  <c r="X40" i="55"/>
  <c r="X39" i="55"/>
  <c r="X38" i="55"/>
  <c r="X37" i="55"/>
  <c r="X36" i="55"/>
  <c r="X35" i="55"/>
  <c r="X34" i="55"/>
  <c r="X33" i="55"/>
  <c r="X32" i="55"/>
  <c r="X31" i="55"/>
  <c r="F78" i="56"/>
  <c r="F77" i="56"/>
  <c r="F76" i="56"/>
  <c r="F75" i="56"/>
  <c r="F74" i="56"/>
  <c r="F73" i="56"/>
  <c r="F72" i="56"/>
  <c r="F71" i="56"/>
  <c r="F70" i="56"/>
  <c r="F69" i="56"/>
  <c r="F68" i="56"/>
  <c r="F67" i="56"/>
  <c r="F66" i="56"/>
  <c r="D63" i="56"/>
  <c r="D62" i="56"/>
  <c r="D61" i="56"/>
  <c r="D60" i="56"/>
  <c r="D59" i="56"/>
  <c r="D58" i="56"/>
  <c r="D57" i="56"/>
  <c r="D56" i="56"/>
  <c r="D55" i="56"/>
  <c r="D54" i="56"/>
  <c r="D53" i="56"/>
  <c r="D52" i="56"/>
  <c r="AA34" i="56"/>
  <c r="BO4" i="56" s="1"/>
  <c r="Y34" i="56"/>
  <c r="BM4" i="56" s="1"/>
  <c r="W34" i="56"/>
  <c r="BK4" i="56" s="1"/>
  <c r="U34" i="56"/>
  <c r="BI4" i="56" s="1"/>
  <c r="S34" i="56"/>
  <c r="BG4" i="56" s="1"/>
  <c r="G34" i="56"/>
  <c r="BE4" i="56" s="1"/>
  <c r="B19" i="56"/>
  <c r="B18" i="56"/>
  <c r="B15" i="56"/>
  <c r="G13" i="56"/>
  <c r="U12" i="56"/>
  <c r="S12" i="56"/>
  <c r="J8" i="56"/>
  <c r="B8" i="56"/>
  <c r="C8" i="56" s="1"/>
  <c r="J7" i="56"/>
  <c r="B7" i="56"/>
  <c r="C7" i="56" s="1"/>
  <c r="J6" i="56"/>
  <c r="J5" i="56"/>
  <c r="J4" i="56"/>
  <c r="J3" i="56"/>
  <c r="A3" i="56"/>
  <c r="A14" i="56" s="1"/>
  <c r="B14" i="56" s="1"/>
  <c r="H2" i="56"/>
  <c r="G2" i="56"/>
  <c r="U1" i="56"/>
  <c r="S1" i="56"/>
  <c r="A7" i="55"/>
  <c r="A8" i="55" s="1"/>
  <c r="C6" i="55"/>
  <c r="C5" i="55"/>
  <c r="D5" i="55" s="1"/>
  <c r="C3" i="55"/>
  <c r="I2" i="55"/>
  <c r="D2" i="55"/>
  <c r="AG9" i="56" a="1"/>
  <c r="AG5" i="56" a="1"/>
  <c r="AG19" i="56" a="1"/>
  <c r="AG14" i="56" a="1"/>
  <c r="E4" i="55"/>
  <c r="D26" i="56"/>
  <c r="E3" i="55"/>
  <c r="E7" i="57"/>
  <c r="E6" i="57"/>
  <c r="AG20" i="56" l="1"/>
  <c r="AG19" i="56"/>
  <c r="AG21" i="56"/>
  <c r="AG5" i="56"/>
  <c r="AG6" i="56"/>
  <c r="AG9" i="56"/>
  <c r="AG10" i="56"/>
  <c r="AG14" i="56"/>
  <c r="AG15" i="56"/>
  <c r="AG16" i="56"/>
  <c r="C15" i="56"/>
  <c r="B17" i="56"/>
  <c r="C17" i="56" s="1"/>
  <c r="B4" i="56"/>
  <c r="C4" i="56" s="1"/>
  <c r="C18" i="56"/>
  <c r="B5" i="56"/>
  <c r="C5" i="56" s="1"/>
  <c r="C19" i="56"/>
  <c r="B20" i="56"/>
  <c r="C20" i="56" s="1"/>
  <c r="C14" i="56"/>
  <c r="B3" i="56"/>
  <c r="C3" i="56" s="1"/>
  <c r="B6" i="56"/>
  <c r="C6" i="56" s="1"/>
  <c r="C8" i="55"/>
  <c r="D6" i="55"/>
  <c r="A9" i="55"/>
  <c r="C7" i="55"/>
  <c r="D7" i="55" s="1"/>
  <c r="D3" i="55"/>
  <c r="F57" i="54"/>
  <c r="F56" i="54"/>
  <c r="F55" i="54"/>
  <c r="F54" i="54"/>
  <c r="D45" i="54"/>
  <c r="D44" i="54"/>
  <c r="D43" i="54"/>
  <c r="AA34" i="54"/>
  <c r="BO4" i="54" s="1"/>
  <c r="Y34" i="54"/>
  <c r="BM4" i="54" s="1"/>
  <c r="W34" i="54"/>
  <c r="BK4" i="54" s="1"/>
  <c r="U34" i="54"/>
  <c r="S34" i="54"/>
  <c r="BG4" i="54" s="1"/>
  <c r="G34" i="54"/>
  <c r="BE4" i="54" s="1"/>
  <c r="A14" i="54"/>
  <c r="B14" i="54" s="1"/>
  <c r="G13" i="54"/>
  <c r="U12" i="54"/>
  <c r="S12" i="54"/>
  <c r="J9" i="54"/>
  <c r="J8" i="54"/>
  <c r="J7" i="54"/>
  <c r="J6" i="54"/>
  <c r="J5" i="54"/>
  <c r="A5" i="54"/>
  <c r="BI4" i="54"/>
  <c r="J4" i="54"/>
  <c r="A4" i="54"/>
  <c r="B4" i="54" s="1"/>
  <c r="J3" i="54"/>
  <c r="A3" i="54"/>
  <c r="H2" i="54"/>
  <c r="G2" i="54"/>
  <c r="U1" i="54"/>
  <c r="S1" i="54"/>
  <c r="A7" i="53"/>
  <c r="A8" i="53" s="1"/>
  <c r="C6" i="53"/>
  <c r="C5" i="53"/>
  <c r="D5" i="53" s="1"/>
  <c r="C3" i="53"/>
  <c r="D3" i="53" s="1"/>
  <c r="I2" i="53"/>
  <c r="D2" i="53"/>
  <c r="AG19" i="54" a="1"/>
  <c r="AG14" i="54" a="1"/>
  <c r="AG9" i="54" a="1"/>
  <c r="AG5" i="54" a="1"/>
  <c r="E6" i="53"/>
  <c r="E7" i="55"/>
  <c r="E8" i="55"/>
  <c r="D26" i="54"/>
  <c r="E4" i="53"/>
  <c r="E3" i="53"/>
  <c r="E6" i="55"/>
  <c r="E5" i="55"/>
  <c r="E5" i="53"/>
  <c r="B16" i="56" l="1"/>
  <c r="C16" i="56" s="1"/>
  <c r="D8" i="55"/>
  <c r="A10" i="55"/>
  <c r="C9" i="55"/>
  <c r="AG6" i="54"/>
  <c r="AG5" i="54"/>
  <c r="AG10" i="54"/>
  <c r="AG9" i="54"/>
  <c r="AG15" i="54"/>
  <c r="AG14" i="54"/>
  <c r="AG16" i="54"/>
  <c r="AG19" i="54"/>
  <c r="AG21" i="54"/>
  <c r="AG20" i="54"/>
  <c r="B5" i="54"/>
  <c r="C5" i="54" s="1"/>
  <c r="A15" i="54"/>
  <c r="A16" i="54"/>
  <c r="B3" i="54"/>
  <c r="C3" i="54" s="1"/>
  <c r="C14" i="54"/>
  <c r="C4" i="54"/>
  <c r="C8" i="53"/>
  <c r="A9" i="53"/>
  <c r="A10" i="53" s="1"/>
  <c r="D6" i="53"/>
  <c r="C7" i="53"/>
  <c r="D7" i="53" s="1"/>
  <c r="U12" i="39"/>
  <c r="S12" i="39"/>
  <c r="AA34" i="39"/>
  <c r="Y34" i="39"/>
  <c r="E8" i="53"/>
  <c r="E9" i="55"/>
  <c r="A11" i="53" l="1"/>
  <c r="C10" i="53"/>
  <c r="D10" i="53"/>
  <c r="D9" i="55"/>
  <c r="C10" i="55"/>
  <c r="A11" i="55"/>
  <c r="B16" i="54"/>
  <c r="C16" i="54" s="1"/>
  <c r="B15" i="54"/>
  <c r="C15" i="54" s="1"/>
  <c r="D8" i="53"/>
  <c r="C9" i="53"/>
  <c r="D9" i="53" s="1"/>
  <c r="W34" i="39"/>
  <c r="BK4" i="39" s="1"/>
  <c r="U34" i="39"/>
  <c r="BI4" i="39" s="1"/>
  <c r="I2" i="40"/>
  <c r="E10" i="55"/>
  <c r="E10" i="53"/>
  <c r="E7" i="53"/>
  <c r="E9" i="53"/>
  <c r="A12" i="53" l="1"/>
  <c r="C11" i="53"/>
  <c r="D11" i="53" s="1"/>
  <c r="D10" i="55"/>
  <c r="A12" i="55"/>
  <c r="C11" i="55"/>
  <c r="E11" i="53"/>
  <c r="E11" i="55"/>
  <c r="A13" i="53" l="1"/>
  <c r="C12" i="53"/>
  <c r="D11" i="55"/>
  <c r="C12" i="55"/>
  <c r="D12" i="55"/>
  <c r="A13" i="55"/>
  <c r="X30" i="40"/>
  <c r="X29" i="40"/>
  <c r="X28" i="40"/>
  <c r="X27" i="40"/>
  <c r="X26" i="40"/>
  <c r="X25" i="40"/>
  <c r="E12" i="53"/>
  <c r="E12" i="55"/>
  <c r="C13" i="53" l="1"/>
  <c r="D13" i="53" s="1"/>
  <c r="A14" i="53"/>
  <c r="D12" i="53"/>
  <c r="C13" i="55"/>
  <c r="D13" i="55" s="1"/>
  <c r="A14" i="55"/>
  <c r="J9" i="39"/>
  <c r="J8" i="39"/>
  <c r="J7" i="39"/>
  <c r="J6" i="39"/>
  <c r="J5" i="39"/>
  <c r="J4" i="39"/>
  <c r="J3" i="39"/>
  <c r="E4" i="40"/>
  <c r="E13" i="53"/>
  <c r="A15" i="53" l="1"/>
  <c r="C14" i="53"/>
  <c r="A15" i="55"/>
  <c r="C14" i="55"/>
  <c r="C3" i="40"/>
  <c r="E14" i="53"/>
  <c r="E13" i="55"/>
  <c r="E14" i="55"/>
  <c r="E3" i="40"/>
  <c r="C15" i="53" l="1"/>
  <c r="D15" i="53" s="1"/>
  <c r="A16" i="53"/>
  <c r="D14" i="53"/>
  <c r="D14" i="55"/>
  <c r="C15" i="55"/>
  <c r="D15" i="55" s="1"/>
  <c r="A16" i="55"/>
  <c r="A3" i="39"/>
  <c r="A4" i="39"/>
  <c r="A5" i="39"/>
  <c r="G13" i="39"/>
  <c r="H2" i="39"/>
  <c r="G2" i="39"/>
  <c r="D26" i="39"/>
  <c r="E15" i="53"/>
  <c r="C16" i="53" l="1"/>
  <c r="D16" i="53" s="1"/>
  <c r="C16" i="55"/>
  <c r="A16" i="39"/>
  <c r="A15" i="39"/>
  <c r="A14" i="39"/>
  <c r="E15" i="55"/>
  <c r="E16" i="53"/>
  <c r="E16" i="55"/>
  <c r="D16" i="55" l="1"/>
  <c r="C17" i="55"/>
  <c r="D17" i="55"/>
  <c r="F60" i="39"/>
  <c r="D51" i="39"/>
  <c r="BO4" i="39"/>
  <c r="S34" i="39"/>
  <c r="BG4" i="39" s="1"/>
  <c r="BM4" i="39"/>
  <c r="E17" i="55"/>
  <c r="G34" i="39" l="1"/>
  <c r="BE4" i="39" s="1"/>
  <c r="U1" i="39"/>
  <c r="S1" i="39"/>
  <c r="F59" i="39"/>
  <c r="F58" i="39"/>
  <c r="F57" i="39"/>
  <c r="F56" i="39"/>
  <c r="F55" i="39"/>
  <c r="D50" i="39"/>
  <c r="D49" i="39"/>
  <c r="D48" i="39"/>
  <c r="D47" i="39"/>
  <c r="D46" i="39"/>
  <c r="B16" i="39"/>
  <c r="C16" i="39" s="1"/>
  <c r="B15" i="39"/>
  <c r="C15" i="39" s="1"/>
  <c r="B14" i="39"/>
  <c r="C14" i="39" s="1"/>
  <c r="D3" i="40" l="1"/>
  <c r="B4" i="39" l="1"/>
  <c r="C4" i="39" s="1"/>
  <c r="B5" i="39"/>
  <c r="C5" i="39" s="1"/>
  <c r="B3" i="39"/>
  <c r="C3" i="39" s="1"/>
  <c r="D2" i="40"/>
  <c r="C6" i="40"/>
  <c r="C5" i="40"/>
  <c r="E5" i="40"/>
  <c r="E6" i="40"/>
  <c r="D6" i="40" l="1"/>
  <c r="D5" i="40"/>
  <c r="A7" i="40"/>
  <c r="A6" i="58" l="1"/>
  <c r="A6" i="54"/>
  <c r="A6" i="39"/>
  <c r="A17" i="39" s="1"/>
  <c r="A8" i="40"/>
  <c r="C7" i="40"/>
  <c r="E7" i="40"/>
  <c r="A17" i="54" l="1"/>
  <c r="B17" i="54" s="1"/>
  <c r="C17" i="54" s="1"/>
  <c r="B6" i="54"/>
  <c r="C6" i="54" s="1"/>
  <c r="A17" i="58"/>
  <c r="B17" i="58" s="1"/>
  <c r="C17" i="58" s="1"/>
  <c r="B6" i="58"/>
  <c r="C6" i="58" s="1"/>
  <c r="B6" i="39"/>
  <c r="C6" i="39" s="1"/>
  <c r="D7" i="40"/>
  <c r="A7" i="39"/>
  <c r="B17" i="39"/>
  <c r="C17" i="39" s="1"/>
  <c r="A18" i="39"/>
  <c r="B7" i="39"/>
  <c r="C7" i="39" s="1"/>
  <c r="A9" i="40"/>
  <c r="C8" i="40"/>
  <c r="E8" i="40"/>
  <c r="D8" i="40" l="1"/>
  <c r="A8" i="39"/>
  <c r="A19" i="39" s="1"/>
  <c r="B18" i="39"/>
  <c r="C18" i="39" s="1"/>
  <c r="C9" i="40"/>
  <c r="A10" i="40"/>
  <c r="E9" i="40"/>
  <c r="B8" i="39" l="1"/>
  <c r="C8" i="39" s="1"/>
  <c r="A9" i="39"/>
  <c r="A20" i="39" s="1"/>
  <c r="D9" i="40"/>
  <c r="B19" i="39"/>
  <c r="C19" i="39" s="1"/>
  <c r="C10" i="40"/>
  <c r="A11" i="40"/>
  <c r="E10" i="40"/>
  <c r="B9" i="39" l="1"/>
  <c r="C9" i="39" s="1"/>
  <c r="D10" i="40"/>
  <c r="B20" i="39"/>
  <c r="C20" i="39" s="1"/>
  <c r="C11" i="40"/>
  <c r="A12" i="40"/>
  <c r="E11" i="40"/>
  <c r="D11" i="40" l="1"/>
  <c r="C12" i="40"/>
  <c r="A13" i="40"/>
  <c r="E12" i="40"/>
  <c r="D12" i="40" l="1"/>
  <c r="C13" i="40"/>
  <c r="A14" i="40"/>
  <c r="D16" i="29"/>
  <c r="E13" i="40"/>
  <c r="D13" i="40" l="1"/>
  <c r="C14" i="40"/>
  <c r="A15" i="40"/>
  <c r="E14" i="40"/>
  <c r="D10" i="29"/>
  <c r="F46" i="56"/>
  <c r="Y28" i="55"/>
  <c r="E42" i="54"/>
  <c r="Y18" i="53"/>
  <c r="Z21" i="57"/>
  <c r="F36" i="58"/>
  <c r="Z26" i="40"/>
  <c r="G10" i="53"/>
  <c r="Y20" i="40"/>
  <c r="Z16" i="57"/>
  <c r="Z21" i="53"/>
  <c r="E38" i="56"/>
  <c r="D4" i="54"/>
  <c r="F37" i="58"/>
  <c r="Z22" i="55"/>
  <c r="E37" i="56"/>
  <c r="Y30" i="40"/>
  <c r="Y25" i="40"/>
  <c r="E36" i="54"/>
  <c r="F45" i="56"/>
  <c r="G5" i="53"/>
  <c r="Y15" i="40"/>
  <c r="D16" i="54"/>
  <c r="G7" i="57"/>
  <c r="Y24" i="57"/>
  <c r="F51" i="56"/>
  <c r="Y16" i="40"/>
  <c r="D7" i="56"/>
  <c r="Y23" i="55"/>
  <c r="G14" i="55"/>
  <c r="Z16" i="40"/>
  <c r="Z19" i="40"/>
  <c r="E60" i="56"/>
  <c r="D15" i="54"/>
  <c r="Z17" i="55"/>
  <c r="Z24" i="40"/>
  <c r="Y33" i="55"/>
  <c r="F39" i="54"/>
  <c r="D19" i="56"/>
  <c r="F38" i="58"/>
  <c r="D17" i="58"/>
  <c r="Z18" i="57"/>
  <c r="D9" i="56"/>
  <c r="Y23" i="40"/>
  <c r="E43" i="56"/>
  <c r="E45" i="56"/>
  <c r="E37" i="58"/>
  <c r="G5" i="57"/>
  <c r="Z23" i="57"/>
  <c r="E38" i="54"/>
  <c r="E51" i="56"/>
  <c r="Y31" i="55"/>
  <c r="Z18" i="55"/>
  <c r="F34" i="58"/>
  <c r="Z16" i="53"/>
  <c r="E50" i="56"/>
  <c r="Z24" i="53"/>
  <c r="Z30" i="55"/>
  <c r="E39" i="56"/>
  <c r="Y17" i="55"/>
  <c r="Y29" i="55"/>
  <c r="G9" i="53"/>
  <c r="Z17" i="57"/>
  <c r="E43" i="54"/>
  <c r="Z27" i="55"/>
  <c r="Y29" i="40"/>
  <c r="Z20" i="53"/>
  <c r="F35" i="58"/>
  <c r="G15" i="53"/>
  <c r="Y16" i="53"/>
  <c r="F43" i="56"/>
  <c r="G8" i="53"/>
  <c r="E40" i="56"/>
  <c r="Y15" i="57"/>
  <c r="D6" i="56"/>
  <c r="Y41" i="55"/>
  <c r="G13" i="53"/>
  <c r="Z28" i="55"/>
  <c r="F40" i="58"/>
  <c r="D16" i="58"/>
  <c r="Z15" i="55"/>
  <c r="Y19" i="40"/>
  <c r="Z18" i="53"/>
  <c r="Z17" i="53"/>
  <c r="F39" i="56"/>
  <c r="Z15" i="40"/>
  <c r="Z22" i="40"/>
  <c r="Y20" i="53"/>
  <c r="G6" i="55"/>
  <c r="Y16" i="57"/>
  <c r="Y25" i="57"/>
  <c r="G12" i="55"/>
  <c r="E45" i="54"/>
  <c r="Y38" i="55"/>
  <c r="Y40" i="55"/>
  <c r="Y26" i="55"/>
  <c r="E61" i="56"/>
  <c r="Z27" i="40"/>
  <c r="Z24" i="55"/>
  <c r="Y20" i="57"/>
  <c r="E58" i="56"/>
  <c r="F44" i="56"/>
  <c r="G8" i="55"/>
  <c r="F40" i="56"/>
  <c r="Y35" i="55"/>
  <c r="Y21" i="53"/>
  <c r="Y42" i="55"/>
  <c r="Z19" i="55"/>
  <c r="F48" i="56"/>
  <c r="F41" i="54"/>
  <c r="G12" i="53"/>
  <c r="E39" i="58"/>
  <c r="Y16" i="55"/>
  <c r="Z19" i="53"/>
  <c r="G5" i="55"/>
  <c r="H5" i="55" s="1"/>
  <c r="Z16" i="55"/>
  <c r="E46" i="56"/>
  <c r="Y20" i="55"/>
  <c r="F37" i="54"/>
  <c r="E37" i="54"/>
  <c r="E56" i="56"/>
  <c r="E36" i="58"/>
  <c r="D18" i="56"/>
  <c r="Y22" i="40"/>
  <c r="Y19" i="55"/>
  <c r="E49" i="56"/>
  <c r="D16" i="56"/>
  <c r="G7" i="55"/>
  <c r="E35" i="58"/>
  <c r="G15" i="55"/>
  <c r="Z24" i="57"/>
  <c r="Y17" i="40"/>
  <c r="E33" i="58"/>
  <c r="Z25" i="40"/>
  <c r="Z20" i="55"/>
  <c r="D4" i="58"/>
  <c r="F36" i="54"/>
  <c r="E39" i="54"/>
  <c r="D5" i="58"/>
  <c r="I5" i="58" s="1"/>
  <c r="Y21" i="55"/>
  <c r="Z30" i="40"/>
  <c r="Y30" i="55"/>
  <c r="Y36" i="55"/>
  <c r="G16" i="53"/>
  <c r="Z22" i="57"/>
  <c r="D5" i="54"/>
  <c r="Y24" i="40"/>
  <c r="E62" i="56"/>
  <c r="F40" i="54"/>
  <c r="Z15" i="53"/>
  <c r="Y26" i="40"/>
  <c r="Y25" i="55"/>
  <c r="Y23" i="53"/>
  <c r="Y34" i="55"/>
  <c r="F50" i="56"/>
  <c r="G16" i="55"/>
  <c r="Y28" i="40"/>
  <c r="E36" i="56"/>
  <c r="D4" i="56"/>
  <c r="G6" i="53"/>
  <c r="G11" i="55"/>
  <c r="Y39" i="55"/>
  <c r="F41" i="56"/>
  <c r="F49" i="56"/>
  <c r="F37" i="56"/>
  <c r="E54" i="56"/>
  <c r="Z15" i="57"/>
  <c r="G14" i="53"/>
  <c r="Y18" i="57"/>
  <c r="Y22" i="53"/>
  <c r="E41" i="56"/>
  <c r="E38" i="58"/>
  <c r="Y22" i="57"/>
  <c r="Y24" i="53"/>
  <c r="D15" i="56"/>
  <c r="E34" i="58"/>
  <c r="E63" i="56"/>
  <c r="Y23" i="57"/>
  <c r="Z28" i="40"/>
  <c r="Y21" i="40"/>
  <c r="Z26" i="55"/>
  <c r="G8" i="57"/>
  <c r="E53" i="56"/>
  <c r="E59" i="56"/>
  <c r="Z29" i="40"/>
  <c r="Z21" i="55"/>
  <c r="C17" i="53"/>
  <c r="F39" i="58"/>
  <c r="E52" i="56"/>
  <c r="Z20" i="40"/>
  <c r="Z23" i="53"/>
  <c r="E47" i="56"/>
  <c r="Z25" i="55"/>
  <c r="G6" i="57"/>
  <c r="Y37" i="55"/>
  <c r="Z19" i="57"/>
  <c r="D8" i="56"/>
  <c r="I7" i="56"/>
  <c r="Y17" i="57"/>
  <c r="Y17" i="53"/>
  <c r="F33" i="58"/>
  <c r="E40" i="54"/>
  <c r="E42" i="56"/>
  <c r="D6" i="54"/>
  <c r="N6" i="54" s="1"/>
  <c r="I5" i="54"/>
  <c r="I4" i="54"/>
  <c r="D20" i="56"/>
  <c r="Y32" i="55"/>
  <c r="Y19" i="57"/>
  <c r="Y27" i="40"/>
  <c r="E44" i="56"/>
  <c r="Z20" i="57"/>
  <c r="D17" i="54"/>
  <c r="Z18" i="40"/>
  <c r="G17" i="55"/>
  <c r="Y18" i="40"/>
  <c r="Y22" i="55"/>
  <c r="Z29" i="55"/>
  <c r="D15" i="58"/>
  <c r="Y15" i="53"/>
  <c r="Y27" i="55"/>
  <c r="G11" i="53"/>
  <c r="Z23" i="40"/>
  <c r="D6" i="58"/>
  <c r="I6" i="58" s="1"/>
  <c r="Z23" i="55"/>
  <c r="F42" i="54"/>
  <c r="Y24" i="55"/>
  <c r="G13" i="55"/>
  <c r="Z25" i="57"/>
  <c r="D46" i="54"/>
  <c r="G9" i="55"/>
  <c r="Y18" i="55"/>
  <c r="F47" i="56"/>
  <c r="E57" i="56"/>
  <c r="D17" i="56"/>
  <c r="Y15" i="55"/>
  <c r="F42" i="56"/>
  <c r="F38" i="54"/>
  <c r="E41" i="54"/>
  <c r="F36" i="56"/>
  <c r="E44" i="54"/>
  <c r="Z22" i="53"/>
  <c r="Y21" i="57"/>
  <c r="G10" i="55"/>
  <c r="G7" i="53"/>
  <c r="F38" i="56"/>
  <c r="Z21" i="40"/>
  <c r="E55" i="56"/>
  <c r="E40" i="58"/>
  <c r="Z17" i="40"/>
  <c r="Y19" i="53"/>
  <c r="E48" i="56"/>
  <c r="D5" i="56"/>
  <c r="N6" i="56"/>
  <c r="I6" i="56"/>
  <c r="N4" i="58"/>
  <c r="I4" i="58"/>
  <c r="G17" i="53"/>
  <c r="N8" i="56"/>
  <c r="I8" i="56"/>
  <c r="N5" i="56"/>
  <c r="I5" i="56"/>
  <c r="L4" i="58" l="1"/>
  <c r="K4" i="58"/>
  <c r="K6" i="58"/>
  <c r="L6" i="58"/>
  <c r="K5" i="58"/>
  <c r="L5" i="58"/>
  <c r="BC6" i="58"/>
  <c r="D14" i="58"/>
  <c r="D3" i="58"/>
  <c r="R3" i="57"/>
  <c r="G3" i="57"/>
  <c r="G4" i="57"/>
  <c r="L8" i="56"/>
  <c r="K8" i="56"/>
  <c r="L7" i="56"/>
  <c r="K7" i="56"/>
  <c r="K5" i="56"/>
  <c r="L5" i="56"/>
  <c r="K6" i="56"/>
  <c r="L6" i="56"/>
  <c r="BC6" i="56"/>
  <c r="D3" i="56"/>
  <c r="D14" i="56"/>
  <c r="G3" i="55"/>
  <c r="R3" i="55"/>
  <c r="G4" i="55"/>
  <c r="F58" i="54"/>
  <c r="B7" i="54"/>
  <c r="X25" i="53"/>
  <c r="K4" i="54"/>
  <c r="L4" i="54"/>
  <c r="K5" i="54"/>
  <c r="L5" i="54"/>
  <c r="D17" i="53"/>
  <c r="BC6" i="54"/>
  <c r="D14" i="54"/>
  <c r="D3" i="54"/>
  <c r="R3" i="53"/>
  <c r="G4" i="53"/>
  <c r="G3" i="53"/>
  <c r="D14" i="40"/>
  <c r="G4" i="40"/>
  <c r="C15" i="40"/>
  <c r="A16" i="40"/>
  <c r="H11" i="53"/>
  <c r="H14" i="53"/>
  <c r="I16" i="56"/>
  <c r="H7" i="57"/>
  <c r="Z42" i="55"/>
  <c r="I20" i="56"/>
  <c r="N4" i="56"/>
  <c r="H12" i="53"/>
  <c r="N7" i="56"/>
  <c r="H13" i="53"/>
  <c r="H5" i="53"/>
  <c r="H15" i="53"/>
  <c r="I6" i="54"/>
  <c r="H17" i="55"/>
  <c r="I15" i="58"/>
  <c r="Z37" i="55"/>
  <c r="N5" i="54"/>
  <c r="I17" i="56"/>
  <c r="C18" i="53"/>
  <c r="H16" i="53"/>
  <c r="N9" i="56"/>
  <c r="H6" i="53"/>
  <c r="N5" i="58"/>
  <c r="H9" i="55"/>
  <c r="Z31" i="55"/>
  <c r="I16" i="58"/>
  <c r="H10" i="53"/>
  <c r="G18" i="53"/>
  <c r="C19" i="53"/>
  <c r="C20" i="53"/>
  <c r="G19" i="53"/>
  <c r="H19" i="53" s="1"/>
  <c r="G20" i="53"/>
  <c r="H20" i="53" s="1"/>
  <c r="C21" i="53"/>
  <c r="G21" i="53"/>
  <c r="H21" i="53" s="1"/>
  <c r="C22" i="53"/>
  <c r="G22" i="53"/>
  <c r="H22" i="53" s="1"/>
  <c r="C23" i="53"/>
  <c r="G23" i="53"/>
  <c r="H23" i="53" s="1"/>
  <c r="C24" i="53"/>
  <c r="G24" i="53"/>
  <c r="H24" i="53" s="1"/>
  <c r="C25" i="53"/>
  <c r="G25" i="53"/>
  <c r="H25" i="53" s="1"/>
  <c r="C26" i="53"/>
  <c r="G26" i="53"/>
  <c r="H26" i="53" s="1"/>
  <c r="C27" i="53"/>
  <c r="G27" i="53"/>
  <c r="H27" i="53" s="1"/>
  <c r="C28" i="53"/>
  <c r="D28" i="53" l="1"/>
  <c r="D27" i="53"/>
  <c r="D26" i="53"/>
  <c r="D25" i="53"/>
  <c r="D24" i="53"/>
  <c r="D23" i="53"/>
  <c r="X30" i="53"/>
  <c r="D22" i="53"/>
  <c r="X29" i="53"/>
  <c r="D21" i="53"/>
  <c r="X28" i="53"/>
  <c r="D20" i="53"/>
  <c r="B9" i="54"/>
  <c r="C9" i="54" s="1"/>
  <c r="D19" i="53"/>
  <c r="X27" i="53"/>
  <c r="X26" i="53"/>
  <c r="D18" i="53"/>
  <c r="B8" i="54"/>
  <c r="K6" i="54"/>
  <c r="L6" i="54"/>
  <c r="C8" i="54"/>
  <c r="B19" i="54"/>
  <c r="C7" i="54"/>
  <c r="B18" i="54"/>
  <c r="B20" i="54"/>
  <c r="D15" i="40"/>
  <c r="C16" i="40"/>
  <c r="A17" i="40"/>
  <c r="C20" i="54" l="1"/>
  <c r="C18" i="54"/>
  <c r="C19" i="54"/>
  <c r="D16" i="40"/>
  <c r="C17" i="40"/>
  <c r="A18" i="40"/>
  <c r="D17" i="40" l="1"/>
  <c r="C18" i="40"/>
  <c r="A19" i="40"/>
  <c r="I19" i="56"/>
  <c r="H4" i="57"/>
  <c r="I15" i="54"/>
  <c r="E22" i="53"/>
  <c r="I14" i="54"/>
  <c r="I4" i="56"/>
  <c r="E28" i="53"/>
  <c r="BC7" i="56"/>
  <c r="R4" i="57"/>
  <c r="E27" i="53"/>
  <c r="H8" i="53"/>
  <c r="BD6" i="56"/>
  <c r="H12" i="55"/>
  <c r="BC7" i="58"/>
  <c r="H9" i="53"/>
  <c r="R5" i="57"/>
  <c r="E21" i="53"/>
  <c r="E19" i="53"/>
  <c r="Z35" i="55"/>
  <c r="E17" i="53"/>
  <c r="D9" i="54"/>
  <c r="I15" i="56"/>
  <c r="BC7" i="54"/>
  <c r="N6" i="58"/>
  <c r="D19" i="54"/>
  <c r="BD7" i="56"/>
  <c r="I9" i="54"/>
  <c r="Z32" i="55"/>
  <c r="Z40" i="55"/>
  <c r="Y28" i="53"/>
  <c r="Z28" i="53" s="1"/>
  <c r="I17" i="58"/>
  <c r="Z36" i="55"/>
  <c r="E15" i="40"/>
  <c r="H7" i="53"/>
  <c r="E25" i="53"/>
  <c r="E23" i="53"/>
  <c r="Z33" i="55"/>
  <c r="N3" i="54"/>
  <c r="Y25" i="53"/>
  <c r="T4" i="57"/>
  <c r="H13" i="55"/>
  <c r="H4" i="55"/>
  <c r="I14" i="56"/>
  <c r="I16" i="54"/>
  <c r="Z41" i="55"/>
  <c r="H6" i="57"/>
  <c r="E18" i="53"/>
  <c r="E24" i="53"/>
  <c r="H10" i="55"/>
  <c r="I3" i="54"/>
  <c r="N3" i="56"/>
  <c r="D18" i="54"/>
  <c r="I19" i="54"/>
  <c r="N9" i="54"/>
  <c r="H18" i="53"/>
  <c r="D8" i="54"/>
  <c r="N8" i="54" s="1"/>
  <c r="H8" i="57"/>
  <c r="T3" i="57"/>
  <c r="Y26" i="53"/>
  <c r="Z26" i="53" s="1"/>
  <c r="E46" i="54"/>
  <c r="H5" i="57"/>
  <c r="Z38" i="55"/>
  <c r="D47" i="54"/>
  <c r="I9" i="56"/>
  <c r="N4" i="54"/>
  <c r="BD6" i="58"/>
  <c r="H3" i="55"/>
  <c r="H16" i="55"/>
  <c r="Y29" i="53"/>
  <c r="H14" i="55"/>
  <c r="I18" i="56"/>
  <c r="BC8" i="58"/>
  <c r="T3" i="53"/>
  <c r="Z34" i="55"/>
  <c r="N3" i="58"/>
  <c r="H11" i="55"/>
  <c r="BC8" i="54"/>
  <c r="T3" i="55"/>
  <c r="D20" i="54"/>
  <c r="BD8" i="58"/>
  <c r="T5" i="57"/>
  <c r="G28" i="53"/>
  <c r="R4" i="55"/>
  <c r="Z39" i="55"/>
  <c r="I8" i="54"/>
  <c r="Y30" i="53"/>
  <c r="H7" i="55"/>
  <c r="Z30" i="53"/>
  <c r="Y27" i="53"/>
  <c r="Z27" i="53" s="1"/>
  <c r="H8" i="55"/>
  <c r="R4" i="53"/>
  <c r="I14" i="58"/>
  <c r="I17" i="54"/>
  <c r="E20" i="53"/>
  <c r="I3" i="58"/>
  <c r="H17" i="53"/>
  <c r="BD7" i="58"/>
  <c r="D7" i="54"/>
  <c r="N7" i="54" s="1"/>
  <c r="BD6" i="54"/>
  <c r="H3" i="57"/>
  <c r="E26" i="53"/>
  <c r="H15" i="55"/>
  <c r="H3" i="53"/>
  <c r="I3" i="56"/>
  <c r="H6" i="55"/>
  <c r="H4" i="53"/>
  <c r="E16" i="40"/>
  <c r="E17" i="40"/>
  <c r="I20" i="54"/>
  <c r="R6" i="57"/>
  <c r="T6" i="57" s="1"/>
  <c r="BD7" i="54"/>
  <c r="H28" i="53"/>
  <c r="E18" i="40"/>
  <c r="R7" i="57"/>
  <c r="T7" i="57"/>
  <c r="I18" i="54"/>
  <c r="BC8" i="56"/>
  <c r="BC9" i="56" s="1"/>
  <c r="I7" i="54"/>
  <c r="BD8" i="56"/>
  <c r="D48" i="54"/>
  <c r="E47" i="54"/>
  <c r="BC9" i="54"/>
  <c r="R5" i="55"/>
  <c r="T4" i="55"/>
  <c r="T4" i="53"/>
  <c r="R5" i="53"/>
  <c r="BC10" i="56"/>
  <c r="BD9" i="56"/>
  <c r="D49" i="54"/>
  <c r="E48" i="54"/>
  <c r="BC10" i="54"/>
  <c r="BD9" i="54"/>
  <c r="R6" i="55"/>
  <c r="T5" i="55"/>
  <c r="T5" i="53"/>
  <c r="R6" i="53"/>
  <c r="BD10" i="56"/>
  <c r="BC11" i="56"/>
  <c r="D50" i="54"/>
  <c r="E49" i="54"/>
  <c r="BD10" i="54"/>
  <c r="BC11" i="54"/>
  <c r="R7" i="55"/>
  <c r="T6" i="53"/>
  <c r="R7" i="53"/>
  <c r="BC12" i="56"/>
  <c r="BD11" i="56"/>
  <c r="E50" i="54"/>
  <c r="D51" i="54"/>
  <c r="BC12" i="54"/>
  <c r="BD11" i="54"/>
  <c r="T7" i="55"/>
  <c r="T7" i="53"/>
  <c r="R8" i="53"/>
  <c r="BC13" i="56"/>
  <c r="BD12" i="56"/>
  <c r="E51" i="54"/>
  <c r="BD12" i="54"/>
  <c r="BC13" i="54"/>
  <c r="R9" i="53"/>
  <c r="T8" i="53"/>
  <c r="BD13" i="56"/>
  <c r="BC14" i="56"/>
  <c r="BC14" i="54"/>
  <c r="BD13" i="54"/>
  <c r="T9" i="53"/>
  <c r="R10" i="53"/>
  <c r="BC15" i="56"/>
  <c r="BD14" i="56"/>
  <c r="BC15" i="54"/>
  <c r="BD14" i="54"/>
  <c r="T10" i="53"/>
  <c r="R11" i="53"/>
  <c r="BD15" i="56"/>
  <c r="BC16" i="56"/>
  <c r="BC16" i="54"/>
  <c r="BD15" i="54"/>
  <c r="T11" i="53"/>
  <c r="R12" i="53"/>
  <c r="BD16" i="56"/>
  <c r="BC17" i="56"/>
  <c r="BD16" i="54"/>
  <c r="BC17" i="54"/>
  <c r="R13" i="53"/>
  <c r="T12" i="53"/>
  <c r="BC18" i="56"/>
  <c r="BD17" i="56"/>
  <c r="BC18" i="54"/>
  <c r="BD17" i="54"/>
  <c r="R14" i="53"/>
  <c r="T13" i="53"/>
  <c r="BC19" i="56"/>
  <c r="BD18" i="56"/>
  <c r="BD18" i="54"/>
  <c r="BC19" i="54"/>
  <c r="T14" i="53"/>
  <c r="R15" i="53"/>
  <c r="BD19" i="56"/>
  <c r="BC20" i="56"/>
  <c r="BC20" i="54"/>
  <c r="BD19" i="54"/>
  <c r="R16" i="53"/>
  <c r="T15" i="53"/>
  <c r="BD20" i="56"/>
  <c r="BC21" i="56"/>
  <c r="BD20" i="54"/>
  <c r="BC21" i="54"/>
  <c r="R17" i="53"/>
  <c r="T16" i="53"/>
  <c r="BD21" i="56"/>
  <c r="BC22" i="56"/>
  <c r="BC22" i="54"/>
  <c r="BD21" i="54"/>
  <c r="R18" i="53"/>
  <c r="T17" i="53"/>
  <c r="BD22" i="56"/>
  <c r="BC23" i="56"/>
  <c r="BD22" i="54"/>
  <c r="BC23" i="54"/>
  <c r="T18" i="53"/>
  <c r="R19" i="53"/>
  <c r="BD23" i="56"/>
  <c r="BC24" i="56"/>
  <c r="BC24" i="54"/>
  <c r="BD23" i="54"/>
  <c r="R20" i="53"/>
  <c r="T19" i="53"/>
  <c r="BD24" i="56"/>
  <c r="BC25" i="56"/>
  <c r="BD24" i="54"/>
  <c r="BC25" i="54"/>
  <c r="R21" i="53"/>
  <c r="T20" i="53"/>
  <c r="BC26" i="56"/>
  <c r="BD25" i="56"/>
  <c r="BC26" i="54"/>
  <c r="BD25" i="54"/>
  <c r="R22" i="53"/>
  <c r="T21" i="53"/>
  <c r="BC27" i="56"/>
  <c r="BD26" i="56"/>
  <c r="BC27" i="54"/>
  <c r="BD26" i="54"/>
  <c r="T22" i="53"/>
  <c r="R23" i="53"/>
  <c r="BD27" i="56"/>
  <c r="BC28" i="56"/>
  <c r="BC28" i="54"/>
  <c r="BD27" i="54"/>
  <c r="T23" i="53"/>
  <c r="R24" i="53"/>
  <c r="BD28" i="56"/>
  <c r="BC29" i="56"/>
  <c r="BD28" i="54"/>
  <c r="BC29" i="54"/>
  <c r="R25" i="53"/>
  <c r="T24" i="53"/>
  <c r="BD29" i="56"/>
  <c r="BC30" i="56"/>
  <c r="BC30" i="54"/>
  <c r="BD29" i="54"/>
  <c r="R26" i="53"/>
  <c r="T25" i="53"/>
  <c r="BD30" i="56"/>
  <c r="BC31" i="56"/>
  <c r="BD30" i="54"/>
  <c r="BC31" i="54"/>
  <c r="T26" i="53"/>
  <c r="R27" i="53"/>
  <c r="BD31" i="56"/>
  <c r="BC32" i="56"/>
  <c r="BC32" i="54"/>
  <c r="BD31" i="54"/>
  <c r="T27" i="53"/>
  <c r="R28" i="53"/>
  <c r="BD32" i="56"/>
  <c r="BC33" i="56"/>
  <c r="BC33" i="54"/>
  <c r="BD32" i="54"/>
  <c r="T28" i="53"/>
  <c r="R29" i="53"/>
  <c r="BC34" i="56"/>
  <c r="BD33" i="56"/>
  <c r="BC34" i="54"/>
  <c r="BD33" i="54"/>
  <c r="R30" i="53"/>
  <c r="T29" i="53"/>
  <c r="BC35" i="56"/>
  <c r="BD34" i="56"/>
  <c r="BD34" i="54"/>
  <c r="BC35" i="54"/>
  <c r="T30" i="53"/>
  <c r="R31" i="53"/>
  <c r="BD35" i="56"/>
  <c r="BC36" i="56"/>
  <c r="BC36" i="54"/>
  <c r="BD35" i="54"/>
  <c r="R32" i="53"/>
  <c r="T31" i="53"/>
  <c r="BC37" i="56"/>
  <c r="BD36" i="56"/>
  <c r="BD36" i="54"/>
  <c r="BC37" i="54"/>
  <c r="R33" i="53"/>
  <c r="T32" i="53"/>
  <c r="BC38" i="56"/>
  <c r="BD37" i="56"/>
  <c r="BC38" i="54"/>
  <c r="BD37" i="54"/>
  <c r="T33" i="53"/>
  <c r="R34" i="53"/>
  <c r="BC39" i="56"/>
  <c r="BD38" i="56"/>
  <c r="BD38" i="54"/>
  <c r="BC39" i="54"/>
  <c r="T34" i="53"/>
  <c r="R35" i="53"/>
  <c r="BD39" i="56"/>
  <c r="BC40" i="56"/>
  <c r="BC40" i="54"/>
  <c r="BD39" i="54"/>
  <c r="R36" i="53"/>
  <c r="T35" i="53"/>
  <c r="BD40" i="56"/>
  <c r="BC41" i="56"/>
  <c r="BD40" i="54"/>
  <c r="BC41" i="54"/>
  <c r="R37" i="53"/>
  <c r="T36" i="53"/>
  <c r="BC42" i="56"/>
  <c r="BD41" i="56"/>
  <c r="BD41" i="54"/>
  <c r="BC42" i="54"/>
  <c r="T37" i="53"/>
  <c r="R38" i="53"/>
  <c r="BC43" i="56"/>
  <c r="BD42" i="56"/>
  <c r="BD42" i="54"/>
  <c r="BC43" i="54"/>
  <c r="T38" i="53"/>
  <c r="R39" i="53"/>
  <c r="BD43" i="56"/>
  <c r="BC44" i="56"/>
  <c r="BC44" i="54"/>
  <c r="BD43" i="54"/>
  <c r="R40" i="53"/>
  <c r="T39" i="53"/>
  <c r="BD44" i="56"/>
  <c r="BC45" i="56"/>
  <c r="BC45" i="54"/>
  <c r="BD44" i="54"/>
  <c r="T40" i="53"/>
  <c r="R41" i="53"/>
  <c r="BD45" i="56"/>
  <c r="BC46" i="56"/>
  <c r="BD45" i="54"/>
  <c r="BC46" i="54"/>
  <c r="R42" i="53"/>
  <c r="T41" i="53"/>
  <c r="BD46" i="56"/>
  <c r="BC47" i="56"/>
  <c r="BC47" i="54"/>
  <c r="BD46" i="54"/>
  <c r="T42" i="53"/>
  <c r="R43" i="53"/>
  <c r="BD47" i="56"/>
  <c r="BC48" i="56"/>
  <c r="BD47" i="54"/>
  <c r="BC48" i="54"/>
  <c r="T43" i="53"/>
  <c r="R44" i="53"/>
  <c r="BD48" i="56"/>
  <c r="BC49" i="56"/>
  <c r="BD48" i="54"/>
  <c r="BC49" i="54"/>
  <c r="T44" i="53"/>
  <c r="R45" i="53"/>
  <c r="BC50" i="56"/>
  <c r="BD49" i="56"/>
  <c r="BC50" i="54"/>
  <c r="BD49" i="54"/>
  <c r="R46" i="53"/>
  <c r="T45" i="53"/>
  <c r="BD50" i="56"/>
  <c r="BC51" i="56"/>
  <c r="BC51" i="54"/>
  <c r="BD50" i="54"/>
  <c r="R47" i="53"/>
  <c r="T46" i="53"/>
  <c r="BC52" i="56"/>
  <c r="BD51" i="56"/>
  <c r="BC52" i="54"/>
  <c r="BD51" i="54"/>
  <c r="R48" i="53"/>
  <c r="T47" i="53"/>
  <c r="BD52" i="56"/>
  <c r="BC53" i="56"/>
  <c r="BC53" i="54"/>
  <c r="BD52" i="54"/>
  <c r="T48" i="53"/>
  <c r="R49" i="53"/>
  <c r="BC54" i="56"/>
  <c r="BD53" i="56"/>
  <c r="BC54" i="54"/>
  <c r="BD53" i="54"/>
  <c r="T49" i="53"/>
  <c r="R50" i="53"/>
  <c r="BD54" i="56"/>
  <c r="BC55" i="56"/>
  <c r="BC55" i="54"/>
  <c r="BD54" i="54"/>
  <c r="R51" i="53"/>
  <c r="T50" i="53"/>
  <c r="BD55" i="56"/>
  <c r="BC56" i="56"/>
  <c r="BC56" i="54"/>
  <c r="BD55" i="54"/>
  <c r="T51" i="53"/>
  <c r="R52" i="53"/>
  <c r="BC57" i="56"/>
  <c r="BD56" i="56"/>
  <c r="BC57" i="54"/>
  <c r="BD56" i="54"/>
  <c r="R53" i="53"/>
  <c r="T52" i="53"/>
  <c r="BC58" i="56"/>
  <c r="BD57" i="56"/>
  <c r="BC58" i="54"/>
  <c r="BD57" i="54"/>
  <c r="T53" i="53"/>
  <c r="R54" i="53"/>
  <c r="BD58" i="56"/>
  <c r="BC59" i="56"/>
  <c r="BD58" i="54"/>
  <c r="BC59" i="54"/>
  <c r="R55" i="53"/>
  <c r="T54" i="53"/>
  <c r="BC60" i="56"/>
  <c r="BD59" i="56"/>
  <c r="BC60" i="54"/>
  <c r="BD59" i="54"/>
  <c r="T55" i="53"/>
  <c r="R56" i="53"/>
  <c r="BD60" i="56"/>
  <c r="BC61" i="56"/>
  <c r="BC61" i="54"/>
  <c r="BD60" i="54"/>
  <c r="T56" i="53"/>
  <c r="R57" i="53"/>
  <c r="BC62" i="56"/>
  <c r="BD61" i="56"/>
  <c r="BC62" i="54"/>
  <c r="BD61" i="54"/>
  <c r="R58" i="53"/>
  <c r="T57" i="53"/>
  <c r="BD62" i="56"/>
  <c r="BC63" i="56"/>
  <c r="BD62" i="54"/>
  <c r="BC63" i="54"/>
  <c r="R59" i="53"/>
  <c r="T58" i="53"/>
  <c r="BC64" i="56"/>
  <c r="BD63" i="56"/>
  <c r="BC64" i="54"/>
  <c r="BD63" i="54"/>
  <c r="R60" i="53"/>
  <c r="T59" i="53"/>
  <c r="BC65" i="56"/>
  <c r="BD64" i="56"/>
  <c r="BD64" i="54"/>
  <c r="BC65" i="54"/>
  <c r="R61" i="53"/>
  <c r="T60" i="53"/>
  <c r="BC66" i="56"/>
  <c r="BD65" i="56"/>
  <c r="BC66" i="54"/>
  <c r="BD65" i="54"/>
  <c r="R62" i="53"/>
  <c r="T61" i="53"/>
  <c r="BD66" i="56"/>
  <c r="BC67" i="56"/>
  <c r="BC67" i="54"/>
  <c r="BD66" i="54"/>
  <c r="R63" i="53"/>
  <c r="T62" i="53"/>
  <c r="BD67" i="56"/>
  <c r="BC68" i="56"/>
  <c r="BC68" i="54"/>
  <c r="BD67" i="54"/>
  <c r="R64" i="53"/>
  <c r="T63" i="53"/>
  <c r="BD68" i="56"/>
  <c r="BC69" i="56"/>
  <c r="BC69" i="54"/>
  <c r="BD68" i="54"/>
  <c r="T64" i="53"/>
  <c r="R65" i="53"/>
  <c r="BC70" i="56"/>
  <c r="BD69" i="56"/>
  <c r="BC70" i="54"/>
  <c r="BD69" i="54"/>
  <c r="T65" i="53"/>
  <c r="R66" i="53"/>
  <c r="BD70" i="56"/>
  <c r="BC71" i="56"/>
  <c r="BD70" i="54"/>
  <c r="BC71" i="54"/>
  <c r="R67" i="53"/>
  <c r="T66" i="53"/>
  <c r="BD71" i="56"/>
  <c r="BC72" i="56"/>
  <c r="BD71" i="54"/>
  <c r="BC72" i="54"/>
  <c r="BD72" i="54" s="1"/>
  <c r="T67" i="53"/>
  <c r="R68" i="53"/>
  <c r="BD72" i="56"/>
  <c r="BC73" i="56"/>
  <c r="T68" i="53"/>
  <c r="R69" i="53"/>
  <c r="BC74" i="56"/>
  <c r="BD73" i="56"/>
  <c r="T69" i="53"/>
  <c r="R70" i="53"/>
  <c r="BD74" i="56"/>
  <c r="BC75" i="56"/>
  <c r="R71" i="53"/>
  <c r="T70" i="53"/>
  <c r="BC76" i="56"/>
  <c r="BD75" i="56"/>
  <c r="R72" i="53"/>
  <c r="T71" i="53"/>
  <c r="BD76" i="56"/>
  <c r="BC77" i="56"/>
  <c r="T72" i="53"/>
  <c r="R73" i="53"/>
  <c r="BC78" i="56"/>
  <c r="BD77" i="56"/>
  <c r="T73" i="53"/>
  <c r="R74" i="53"/>
  <c r="BD78" i="56"/>
  <c r="BC79" i="56"/>
  <c r="T74" i="53"/>
  <c r="R75" i="53"/>
  <c r="BD79" i="56"/>
  <c r="BC80" i="56"/>
  <c r="T75" i="53"/>
  <c r="R76" i="53"/>
  <c r="BD80" i="56"/>
  <c r="BC81" i="56"/>
  <c r="R77" i="53"/>
  <c r="T76" i="53"/>
  <c r="BC82" i="56"/>
  <c r="BD81" i="56"/>
  <c r="T77" i="53"/>
  <c r="R78" i="53"/>
  <c r="BD82" i="56"/>
  <c r="BC83" i="56"/>
  <c r="T78" i="53"/>
  <c r="R79" i="53"/>
  <c r="BD83" i="56"/>
  <c r="BC84" i="56"/>
  <c r="R80" i="53"/>
  <c r="T79" i="53"/>
  <c r="BD84" i="56"/>
  <c r="BC85" i="56"/>
  <c r="R81" i="53"/>
  <c r="T80" i="53"/>
  <c r="BC86" i="56"/>
  <c r="BD85" i="56"/>
  <c r="T81" i="53"/>
  <c r="R82" i="53"/>
  <c r="BC87" i="56"/>
  <c r="BD86" i="56"/>
  <c r="T82" i="53"/>
  <c r="R83" i="53"/>
  <c r="BD87" i="56"/>
  <c r="BC88" i="56"/>
  <c r="R84" i="53"/>
  <c r="T83" i="53"/>
  <c r="BC89" i="56"/>
  <c r="BD88" i="56"/>
  <c r="R85" i="53"/>
  <c r="T84" i="53"/>
  <c r="BC90" i="56"/>
  <c r="BD89" i="56"/>
  <c r="T85" i="53"/>
  <c r="R86" i="53"/>
  <c r="BC91" i="56"/>
  <c r="BD90" i="56"/>
  <c r="T86" i="53"/>
  <c r="R87" i="53"/>
  <c r="BD91" i="56"/>
  <c r="BC92" i="56"/>
  <c r="T87" i="53"/>
  <c r="R88" i="53"/>
  <c r="BC93" i="56"/>
  <c r="BD92" i="56"/>
  <c r="T88" i="53"/>
  <c r="R89" i="53"/>
  <c r="BC94" i="56"/>
  <c r="BD93" i="56"/>
  <c r="T89" i="53"/>
  <c r="R90" i="53"/>
  <c r="BD94" i="56"/>
  <c r="BC95" i="56"/>
  <c r="T90" i="53"/>
  <c r="R91" i="53"/>
  <c r="BD95" i="56"/>
  <c r="BC96" i="56"/>
  <c r="T91" i="53"/>
  <c r="R92" i="53"/>
  <c r="BC97" i="56"/>
  <c r="BD96" i="56"/>
  <c r="R93" i="53"/>
  <c r="T92" i="53"/>
  <c r="BC98" i="56"/>
  <c r="BD97" i="56"/>
  <c r="T93" i="53"/>
  <c r="R94" i="53"/>
  <c r="BC99" i="56"/>
  <c r="BD98" i="56"/>
  <c r="T94" i="53"/>
  <c r="R95" i="53"/>
  <c r="BD99" i="56"/>
  <c r="BC100" i="56"/>
  <c r="R96" i="53"/>
  <c r="T95" i="53"/>
  <c r="BC101" i="56"/>
  <c r="BD100" i="56"/>
  <c r="R97" i="53"/>
  <c r="T96" i="53"/>
  <c r="BC102" i="56"/>
  <c r="BD101" i="56"/>
  <c r="T97" i="53"/>
  <c r="R98" i="53"/>
  <c r="BD102" i="56"/>
  <c r="BC103" i="56"/>
  <c r="T98" i="53"/>
  <c r="R99" i="53"/>
  <c r="BD103" i="56"/>
  <c r="BC104" i="56"/>
  <c r="T99" i="53"/>
  <c r="R100" i="53"/>
  <c r="BC105" i="56"/>
  <c r="BD104" i="56"/>
  <c r="T100" i="53"/>
  <c r="R101" i="53"/>
  <c r="BC106" i="56"/>
  <c r="BD105" i="56"/>
  <c r="R102" i="53"/>
  <c r="T101" i="53"/>
  <c r="BC107" i="56"/>
  <c r="BD106" i="56"/>
  <c r="T102" i="53"/>
  <c r="R103" i="53"/>
  <c r="BD107" i="56"/>
  <c r="BC108" i="56"/>
  <c r="T103" i="53"/>
  <c r="R104" i="53"/>
  <c r="BD108" i="56"/>
  <c r="BC109" i="56"/>
  <c r="T104" i="53"/>
  <c r="R105" i="53"/>
  <c r="BC110" i="56"/>
  <c r="BD109" i="56"/>
  <c r="T105" i="53"/>
  <c r="R106" i="53"/>
  <c r="BC111" i="56"/>
  <c r="BD110" i="56"/>
  <c r="T106" i="53"/>
  <c r="R107" i="53"/>
  <c r="BC112" i="56"/>
  <c r="BD111" i="56"/>
  <c r="T107" i="53"/>
  <c r="R108" i="53"/>
  <c r="BC113" i="56"/>
  <c r="BD112" i="56"/>
  <c r="T108" i="53"/>
  <c r="R109" i="53"/>
  <c r="BC114" i="56"/>
  <c r="BD113" i="56"/>
  <c r="R110" i="53"/>
  <c r="T109" i="53"/>
  <c r="BD114" i="56"/>
  <c r="BC115" i="56"/>
  <c r="T110" i="53"/>
  <c r="R111" i="53"/>
  <c r="BD115" i="56"/>
  <c r="BC116" i="56"/>
  <c r="T111" i="53"/>
  <c r="R112" i="53"/>
  <c r="BD116" i="56"/>
  <c r="BC117" i="56"/>
  <c r="R113" i="53"/>
  <c r="T112" i="53"/>
  <c r="BC118" i="56"/>
  <c r="BD117" i="56"/>
  <c r="R114" i="53"/>
  <c r="T113" i="53"/>
  <c r="BD118" i="56"/>
  <c r="BC119" i="56"/>
  <c r="T114" i="53"/>
  <c r="R115" i="53"/>
  <c r="BD119" i="56"/>
  <c r="BC120" i="56"/>
  <c r="R116" i="53"/>
  <c r="T115" i="53"/>
  <c r="BD120" i="56"/>
  <c r="BC121" i="56"/>
  <c r="T116" i="53"/>
  <c r="R117" i="53"/>
  <c r="BC122" i="56"/>
  <c r="BD121" i="56"/>
  <c r="R118" i="53"/>
  <c r="T117" i="53"/>
  <c r="BC123" i="56"/>
  <c r="BD122" i="56"/>
  <c r="T118" i="53"/>
  <c r="R119" i="53"/>
  <c r="BD123" i="56"/>
  <c r="BC124" i="56"/>
  <c r="T119" i="53"/>
  <c r="R120" i="53"/>
  <c r="BD124" i="56"/>
  <c r="BC125" i="56"/>
  <c r="T120" i="53"/>
  <c r="R121" i="53"/>
  <c r="BC126" i="56"/>
  <c r="BD125" i="56"/>
  <c r="T121" i="53"/>
  <c r="R122" i="53"/>
  <c r="BC127" i="56"/>
  <c r="BD126" i="56"/>
  <c r="T122" i="53"/>
  <c r="R123" i="53"/>
  <c r="BD127" i="56"/>
  <c r="BC128" i="56"/>
  <c r="R124" i="53"/>
  <c r="T123" i="53"/>
  <c r="BC129" i="56"/>
  <c r="BD128" i="56"/>
  <c r="R125" i="53"/>
  <c r="T124" i="53"/>
  <c r="BC130" i="56"/>
  <c r="BD129" i="56"/>
  <c r="R126" i="53"/>
  <c r="T125" i="53"/>
  <c r="BC131" i="56"/>
  <c r="BD130" i="56"/>
  <c r="T126" i="53"/>
  <c r="R127" i="53"/>
  <c r="BC132" i="56"/>
  <c r="BD131" i="56"/>
  <c r="R128" i="53"/>
  <c r="T127" i="53"/>
  <c r="BD132" i="56"/>
  <c r="BC133" i="56"/>
  <c r="T128" i="53"/>
  <c r="R129" i="53"/>
  <c r="BC134" i="56"/>
  <c r="BD133" i="56"/>
  <c r="R130" i="53"/>
  <c r="T129" i="53"/>
  <c r="BC135" i="56"/>
  <c r="BD134" i="56"/>
  <c r="T130" i="53"/>
  <c r="R131" i="53"/>
  <c r="BD135" i="56"/>
  <c r="BC136" i="56"/>
  <c r="R132" i="53"/>
  <c r="T131" i="53"/>
  <c r="BD136" i="56"/>
  <c r="BC137" i="56"/>
  <c r="R133" i="53"/>
  <c r="T132" i="53"/>
  <c r="BC138" i="56"/>
  <c r="BD137" i="56"/>
  <c r="T133" i="53"/>
  <c r="R134" i="53"/>
  <c r="BD138" i="56"/>
  <c r="BC139" i="56"/>
  <c r="T134" i="53"/>
  <c r="R135" i="53"/>
  <c r="BC140" i="56"/>
  <c r="BD139" i="56"/>
  <c r="R136" i="53"/>
  <c r="T135" i="53"/>
  <c r="BC141" i="56"/>
  <c r="BD140" i="56"/>
  <c r="T136" i="53"/>
  <c r="R137" i="53"/>
  <c r="BC142" i="56"/>
  <c r="BD141" i="56"/>
  <c r="T137" i="53"/>
  <c r="R138" i="53"/>
  <c r="BC143" i="56"/>
  <c r="BD142" i="56"/>
  <c r="T138" i="53"/>
  <c r="R139" i="53"/>
  <c r="BD143" i="56"/>
  <c r="BC144" i="56"/>
  <c r="R140" i="53"/>
  <c r="T139" i="53"/>
  <c r="BC145" i="56"/>
  <c r="BD144" i="56"/>
  <c r="T140" i="53"/>
  <c r="R141" i="53"/>
  <c r="BC146" i="56"/>
  <c r="BD145" i="56"/>
  <c r="R142" i="53"/>
  <c r="T141" i="53"/>
  <c r="BD146" i="56"/>
  <c r="BC147" i="56"/>
  <c r="T142" i="53"/>
  <c r="R143" i="53"/>
  <c r="BD147" i="56"/>
  <c r="BC148" i="56"/>
  <c r="T143" i="53"/>
  <c r="R144" i="53"/>
  <c r="BC149" i="56"/>
  <c r="BD148" i="56"/>
  <c r="R145" i="53"/>
  <c r="T144" i="53"/>
  <c r="BC150" i="56"/>
  <c r="BD149" i="56"/>
  <c r="R146" i="53"/>
  <c r="T145" i="53"/>
  <c r="BD150" i="56"/>
  <c r="BC151" i="56"/>
  <c r="T146" i="53"/>
  <c r="R147" i="53"/>
  <c r="BD151" i="56"/>
  <c r="BC152" i="56"/>
  <c r="R148" i="53"/>
  <c r="T147" i="53"/>
  <c r="BC153" i="56"/>
  <c r="BD152" i="56"/>
  <c r="T148" i="53"/>
  <c r="R149" i="53"/>
  <c r="BC154" i="56"/>
  <c r="BD153" i="56"/>
  <c r="T149" i="53"/>
  <c r="R150" i="53"/>
  <c r="BC155" i="56"/>
  <c r="BD154" i="56"/>
  <c r="T150" i="53"/>
  <c r="R151" i="53"/>
  <c r="BD155" i="56"/>
  <c r="BC156" i="56"/>
  <c r="R152" i="53"/>
  <c r="T151" i="53"/>
  <c r="BD156" i="56"/>
  <c r="BC157" i="56"/>
  <c r="T152" i="53"/>
  <c r="R153" i="53"/>
  <c r="BC158" i="56"/>
  <c r="BD157" i="56"/>
  <c r="T153" i="53"/>
  <c r="R154" i="53"/>
  <c r="BD158" i="56"/>
  <c r="BC159" i="56"/>
  <c r="T154" i="53"/>
  <c r="R155" i="53"/>
  <c r="BD159" i="56"/>
  <c r="BC160" i="56"/>
  <c r="R156" i="53"/>
  <c r="T155" i="53"/>
  <c r="BC161" i="56"/>
  <c r="BD160" i="56"/>
  <c r="R157" i="53"/>
  <c r="T156" i="53"/>
  <c r="BC162" i="56"/>
  <c r="BD161" i="56"/>
  <c r="R158" i="53"/>
  <c r="T157" i="53"/>
  <c r="BD162" i="56"/>
  <c r="BC163" i="56"/>
  <c r="T158" i="53"/>
  <c r="R159" i="53"/>
  <c r="BC164" i="56"/>
  <c r="BD163" i="56"/>
  <c r="T159" i="53"/>
  <c r="R160" i="53"/>
  <c r="BD164" i="56"/>
  <c r="BC165" i="56"/>
  <c r="T160" i="53"/>
  <c r="R161" i="53"/>
  <c r="BC166" i="56"/>
  <c r="BD165" i="56"/>
  <c r="R162" i="53"/>
  <c r="T161" i="53"/>
  <c r="BC167" i="56"/>
  <c r="BD166" i="56"/>
  <c r="T162" i="53"/>
  <c r="R163" i="53"/>
  <c r="BD167" i="56"/>
  <c r="BC168" i="56"/>
  <c r="R164" i="53"/>
  <c r="T163" i="53"/>
  <c r="BD168" i="56"/>
  <c r="BC169" i="56"/>
  <c r="T164" i="53"/>
  <c r="R165" i="53"/>
  <c r="BC170" i="56"/>
  <c r="BD169" i="56"/>
  <c r="T165" i="53"/>
  <c r="R166" i="53"/>
  <c r="BD170" i="56"/>
  <c r="BC171" i="56"/>
  <c r="T166" i="53"/>
  <c r="R167" i="53"/>
  <c r="BD171" i="56"/>
  <c r="BC172" i="56"/>
  <c r="T167" i="53"/>
  <c r="R168" i="53"/>
  <c r="BC173" i="56"/>
  <c r="BD172" i="56"/>
  <c r="R169" i="53"/>
  <c r="T168" i="53"/>
  <c r="BC174" i="56"/>
  <c r="BD173" i="56"/>
  <c r="R170" i="53"/>
  <c r="T169" i="53"/>
  <c r="BC175" i="56"/>
  <c r="BD174" i="56"/>
  <c r="T170" i="53"/>
  <c r="R171" i="53"/>
  <c r="BD175" i="56"/>
  <c r="BC176" i="56"/>
  <c r="R172" i="53"/>
  <c r="T171" i="53"/>
  <c r="BD176" i="56"/>
  <c r="BC177" i="56"/>
  <c r="R173" i="53"/>
  <c r="T172" i="53"/>
  <c r="BC178" i="56"/>
  <c r="BD177" i="56"/>
  <c r="R174" i="53"/>
  <c r="T173" i="53"/>
  <c r="BD178" i="56"/>
  <c r="BC179" i="56"/>
  <c r="T174" i="53"/>
  <c r="R175" i="53"/>
  <c r="BD179" i="56"/>
  <c r="BC180" i="56"/>
  <c r="R176" i="53"/>
  <c r="T175" i="53"/>
  <c r="BD180" i="56"/>
  <c r="BC181" i="56"/>
  <c r="R177" i="53"/>
  <c r="T176" i="53"/>
  <c r="BC182" i="56"/>
  <c r="BD181" i="56"/>
  <c r="R178" i="53"/>
  <c r="T177" i="53"/>
  <c r="BD182" i="56"/>
  <c r="BC183" i="56"/>
  <c r="T178" i="53"/>
  <c r="R179" i="53"/>
  <c r="BD183" i="56"/>
  <c r="BC184" i="56"/>
  <c r="T179" i="53"/>
  <c r="R180" i="53"/>
  <c r="BC185" i="56"/>
  <c r="BD184" i="56"/>
  <c r="T180" i="53"/>
  <c r="R181" i="53"/>
  <c r="BC186" i="56"/>
  <c r="BD185" i="56"/>
  <c r="R182" i="53"/>
  <c r="T181" i="53"/>
  <c r="BC187" i="56"/>
  <c r="BD186" i="56"/>
  <c r="T182" i="53"/>
  <c r="R183" i="53"/>
  <c r="BD187" i="56"/>
  <c r="BC188" i="56"/>
  <c r="R184" i="53"/>
  <c r="T183" i="53"/>
  <c r="BD188" i="56"/>
  <c r="BC189" i="56"/>
  <c r="R185" i="53"/>
  <c r="T184" i="53"/>
  <c r="BC190" i="56"/>
  <c r="BD189" i="56"/>
  <c r="T185" i="53"/>
  <c r="R186" i="53"/>
  <c r="BD190" i="56"/>
  <c r="BC191" i="56"/>
  <c r="T186" i="53"/>
  <c r="R187" i="53"/>
  <c r="BC192" i="56"/>
  <c r="BD191" i="56"/>
  <c r="R188" i="53"/>
  <c r="T187" i="53"/>
  <c r="BC193" i="56"/>
  <c r="BD192" i="56"/>
  <c r="R189" i="53"/>
  <c r="T188" i="53"/>
  <c r="BD193" i="56"/>
  <c r="BC194" i="56"/>
  <c r="R190" i="53"/>
  <c r="T189" i="53"/>
  <c r="BD194" i="56"/>
  <c r="BC195" i="56"/>
  <c r="T190" i="53"/>
  <c r="R191" i="53"/>
  <c r="BD195" i="56"/>
  <c r="BC196" i="56"/>
  <c r="R192" i="53"/>
  <c r="T191" i="53"/>
  <c r="BC197" i="56"/>
  <c r="BD196" i="56"/>
  <c r="T192" i="53"/>
  <c r="R193" i="53"/>
  <c r="BC198" i="56"/>
  <c r="BD197" i="56"/>
  <c r="R194" i="53"/>
  <c r="T193" i="53"/>
  <c r="BD198" i="56"/>
  <c r="BC199" i="56"/>
  <c r="T194" i="53"/>
  <c r="R195" i="53"/>
  <c r="BD199" i="56"/>
  <c r="BC200" i="56"/>
  <c r="T195" i="53"/>
  <c r="R196" i="53"/>
  <c r="BD200" i="56"/>
  <c r="BC201" i="56"/>
  <c r="R197" i="53"/>
  <c r="T196" i="53"/>
  <c r="BD201" i="56"/>
  <c r="BC202" i="56"/>
  <c r="T197" i="53"/>
  <c r="R198" i="53"/>
  <c r="BC203" i="56"/>
  <c r="BD202" i="56"/>
  <c r="T198" i="53"/>
  <c r="R199" i="53"/>
  <c r="BD203" i="56"/>
  <c r="BC204" i="56"/>
  <c r="R200" i="53"/>
  <c r="T199" i="53"/>
  <c r="BD204" i="56"/>
  <c r="BC205" i="56"/>
  <c r="T200" i="53"/>
  <c r="R201" i="53"/>
  <c r="BD205" i="56"/>
  <c r="BC206" i="56"/>
  <c r="T201" i="53"/>
  <c r="R202" i="53"/>
  <c r="BC207" i="56"/>
  <c r="BD206" i="56"/>
  <c r="R203" i="53"/>
  <c r="T202" i="53"/>
  <c r="BD207" i="56"/>
  <c r="BC208" i="56"/>
  <c r="T203" i="53"/>
  <c r="R204" i="53"/>
  <c r="BD208" i="56"/>
  <c r="BC209" i="56"/>
  <c r="T204" i="53"/>
  <c r="R205" i="53"/>
  <c r="BD209" i="56"/>
  <c r="BC210" i="56"/>
  <c r="T205" i="53"/>
  <c r="R206" i="53"/>
  <c r="BD210" i="56"/>
  <c r="BC211" i="56"/>
  <c r="R207" i="53"/>
  <c r="T206" i="53"/>
  <c r="BC212" i="56"/>
  <c r="BD211" i="56"/>
  <c r="R208" i="53"/>
  <c r="T207" i="53"/>
  <c r="BC213" i="56"/>
  <c r="BD212" i="56"/>
  <c r="T208" i="53"/>
  <c r="R209" i="53"/>
  <c r="BC214" i="56"/>
  <c r="BD213" i="56"/>
  <c r="T209" i="53"/>
  <c r="R210" i="53"/>
  <c r="BD214" i="56"/>
  <c r="BC215" i="56"/>
  <c r="T210" i="53"/>
  <c r="R211" i="53"/>
  <c r="BD215" i="56"/>
  <c r="BC216" i="56"/>
  <c r="R212" i="53"/>
  <c r="T211" i="53"/>
  <c r="BD216" i="56"/>
  <c r="BC217" i="56"/>
  <c r="T212" i="53"/>
  <c r="R213" i="53"/>
  <c r="BC218" i="56"/>
  <c r="BD217" i="56"/>
  <c r="R214" i="53"/>
  <c r="T213" i="53"/>
  <c r="BC219" i="56"/>
  <c r="BD218" i="56"/>
  <c r="T214" i="53"/>
  <c r="R215" i="53"/>
  <c r="BD219" i="56"/>
  <c r="BC220" i="56"/>
  <c r="R216" i="53"/>
  <c r="T215" i="53"/>
  <c r="BD220" i="56"/>
  <c r="BC221" i="56"/>
  <c r="R217" i="53"/>
  <c r="T216" i="53"/>
  <c r="BC222" i="56"/>
  <c r="BD221" i="56"/>
  <c r="T217" i="53"/>
  <c r="R218" i="53"/>
  <c r="BD222" i="56"/>
  <c r="BC223" i="56"/>
  <c r="R219" i="53"/>
  <c r="T218" i="53"/>
  <c r="BD223" i="56"/>
  <c r="BC224" i="56"/>
  <c r="T219" i="53"/>
  <c r="R220" i="53"/>
  <c r="BC225" i="56"/>
  <c r="BD224" i="56"/>
  <c r="R221" i="53"/>
  <c r="T220" i="53"/>
  <c r="BC226" i="56"/>
  <c r="BD225" i="56"/>
  <c r="R222" i="53"/>
  <c r="T221" i="53"/>
  <c r="BD226" i="56"/>
  <c r="BC227" i="56"/>
  <c r="T222" i="53"/>
  <c r="R223" i="53"/>
  <c r="BC228" i="56"/>
  <c r="BD227" i="56"/>
  <c r="R224" i="53"/>
  <c r="T223" i="53"/>
  <c r="BD228" i="56"/>
  <c r="BC229" i="56"/>
  <c r="T224" i="53"/>
  <c r="R225" i="53"/>
  <c r="BC230" i="56"/>
  <c r="BD229" i="56"/>
  <c r="R226" i="53"/>
  <c r="T225" i="53"/>
  <c r="BD230" i="56"/>
  <c r="BC231" i="56"/>
  <c r="R227" i="53"/>
  <c r="T226" i="53"/>
  <c r="BD231" i="56"/>
  <c r="BC232" i="56"/>
  <c r="T227" i="53"/>
  <c r="R228" i="53"/>
  <c r="BD232" i="56"/>
  <c r="BC233" i="56"/>
  <c r="T228" i="53"/>
  <c r="R229" i="53"/>
  <c r="BC234" i="56"/>
  <c r="BD233" i="56"/>
  <c r="T229" i="53"/>
  <c r="R230" i="53"/>
  <c r="BD234" i="56"/>
  <c r="BC235" i="56"/>
  <c r="R231" i="53"/>
  <c r="T230" i="53"/>
  <c r="BD235" i="56"/>
  <c r="BC236" i="56"/>
  <c r="R232" i="53"/>
  <c r="T231" i="53"/>
  <c r="BC237" i="56"/>
  <c r="BD236" i="56"/>
  <c r="R233" i="53"/>
  <c r="T232" i="53"/>
  <c r="BC238" i="56"/>
  <c r="BD237" i="56"/>
  <c r="R234" i="53"/>
  <c r="T233" i="53"/>
  <c r="BC239" i="56"/>
  <c r="BD238" i="56"/>
  <c r="T234" i="53"/>
  <c r="R235" i="53"/>
  <c r="BC240" i="56"/>
  <c r="BD239" i="56"/>
  <c r="R236" i="53"/>
  <c r="T235" i="53"/>
  <c r="BD240" i="56"/>
  <c r="BC241" i="56"/>
  <c r="T236" i="53"/>
  <c r="R237" i="53"/>
  <c r="BC242" i="56"/>
  <c r="BD241" i="56"/>
  <c r="R238" i="53"/>
  <c r="T237" i="53"/>
  <c r="BC243" i="56"/>
  <c r="BD242" i="56"/>
  <c r="R239" i="53"/>
  <c r="T238" i="53"/>
  <c r="BC244" i="56"/>
  <c r="BD243" i="56"/>
  <c r="T239" i="53"/>
  <c r="R240" i="53"/>
  <c r="BC245" i="56"/>
  <c r="BD244" i="56"/>
  <c r="T240" i="53"/>
  <c r="R241" i="53"/>
  <c r="BD245" i="56"/>
  <c r="BC246" i="56"/>
  <c r="R242" i="53"/>
  <c r="T241" i="53"/>
  <c r="BD246" i="56"/>
  <c r="BC247" i="56"/>
  <c r="T242" i="53"/>
  <c r="R243" i="53"/>
  <c r="BD247" i="56"/>
  <c r="BC248" i="56"/>
  <c r="R244" i="53"/>
  <c r="T243" i="53"/>
  <c r="BD248" i="56"/>
  <c r="BC249" i="56"/>
  <c r="R245" i="53"/>
  <c r="T244" i="53"/>
  <c r="BC250" i="56"/>
  <c r="BD249" i="56"/>
  <c r="T245" i="53"/>
  <c r="R246" i="53"/>
  <c r="BC251" i="56"/>
  <c r="BD250" i="56"/>
  <c r="T246" i="53"/>
  <c r="R247" i="53"/>
  <c r="BD251" i="56"/>
  <c r="BC252" i="56"/>
  <c r="R248" i="53"/>
  <c r="T247" i="53"/>
  <c r="BC253" i="56"/>
  <c r="BD252" i="56"/>
  <c r="R249" i="53"/>
  <c r="T248" i="53"/>
  <c r="BC254" i="56"/>
  <c r="BD253" i="56"/>
  <c r="R250" i="53"/>
  <c r="T249" i="53"/>
  <c r="BD254" i="56"/>
  <c r="BC255" i="56"/>
  <c r="T250" i="53"/>
  <c r="R251" i="53"/>
  <c r="BC256" i="56"/>
  <c r="BD255" i="56"/>
  <c r="R252" i="53"/>
  <c r="T251" i="53"/>
  <c r="BC257" i="56"/>
  <c r="BD256" i="56"/>
  <c r="R253" i="53"/>
  <c r="T252" i="53"/>
  <c r="BD257" i="56"/>
  <c r="BC258" i="56"/>
  <c r="R254" i="53"/>
  <c r="T253" i="53"/>
  <c r="BC259" i="56"/>
  <c r="BD258" i="56"/>
  <c r="R255" i="53"/>
  <c r="T254" i="53"/>
  <c r="BC260" i="56"/>
  <c r="BD259" i="56"/>
  <c r="R256" i="53"/>
  <c r="T255" i="53"/>
  <c r="BD260" i="56"/>
  <c r="BC261" i="56"/>
  <c r="T256" i="53"/>
  <c r="R257" i="53"/>
  <c r="BD261" i="56"/>
  <c r="BC262" i="56"/>
  <c r="R258" i="53"/>
  <c r="T257" i="53"/>
  <c r="BC263" i="56"/>
  <c r="BD262" i="56"/>
  <c r="R259" i="53"/>
  <c r="T258" i="53"/>
  <c r="BD263" i="56"/>
  <c r="BC264" i="56"/>
  <c r="T259" i="53"/>
  <c r="R260" i="53"/>
  <c r="T260" i="53"/>
  <c r="R261" i="53"/>
  <c r="T261" i="53"/>
  <c r="R262" i="53"/>
  <c r="F63" i="54" l="1"/>
  <c r="F62" i="54"/>
  <c r="F61" i="54"/>
  <c r="F60" i="54"/>
  <c r="L3" i="56"/>
  <c r="K3" i="56"/>
  <c r="K3" i="58"/>
  <c r="L3" i="58"/>
  <c r="L8" i="54"/>
  <c r="K8" i="54"/>
  <c r="L9" i="56"/>
  <c r="K9" i="56"/>
  <c r="F59" i="54"/>
  <c r="L3" i="54"/>
  <c r="K3" i="54"/>
  <c r="L9" i="54"/>
  <c r="K9" i="54"/>
  <c r="K4" i="56"/>
  <c r="L4" i="56"/>
  <c r="L7" i="54"/>
  <c r="K7" i="54"/>
  <c r="D18" i="40"/>
  <c r="C19" i="40"/>
  <c r="A20" i="40"/>
  <c r="D6" i="29"/>
  <c r="D22" i="58" s="1"/>
  <c r="T262" i="53"/>
  <c r="BD264" i="56"/>
  <c r="T6" i="55"/>
  <c r="E16" i="58"/>
  <c r="E5" i="58"/>
  <c r="AD36" i="58"/>
  <c r="Z25" i="53"/>
  <c r="E3" i="58"/>
  <c r="E17" i="58"/>
  <c r="E4" i="58"/>
  <c r="BD8" i="54"/>
  <c r="E15" i="58"/>
  <c r="R8" i="55"/>
  <c r="BC9" i="58"/>
  <c r="R8" i="57"/>
  <c r="T8" i="57" s="1"/>
  <c r="E6" i="58"/>
  <c r="E19" i="40"/>
  <c r="Z29" i="53"/>
  <c r="E14" i="58"/>
  <c r="T8" i="55"/>
  <c r="BC10" i="58"/>
  <c r="BD9" i="58"/>
  <c r="BD10" i="58"/>
  <c r="BC11" i="58"/>
  <c r="BD11" i="58"/>
  <c r="BC12" i="58"/>
  <c r="BD12" i="58"/>
  <c r="BC13" i="58"/>
  <c r="BC14" i="58"/>
  <c r="BD13" i="58"/>
  <c r="BC15" i="58"/>
  <c r="BD14" i="58"/>
  <c r="BD15" i="58"/>
  <c r="BC16" i="58"/>
  <c r="BD16" i="58"/>
  <c r="BC17" i="58"/>
  <c r="BD17" i="58"/>
  <c r="BC18" i="58"/>
  <c r="BD18" i="58"/>
  <c r="BC19" i="58"/>
  <c r="BD19" i="58"/>
  <c r="BC20" i="58"/>
  <c r="BD20" i="58"/>
  <c r="BC21" i="58"/>
  <c r="BD21" i="58"/>
  <c r="BC22" i="58"/>
  <c r="BD22" i="58"/>
  <c r="BC23" i="58"/>
  <c r="BD23" i="58"/>
  <c r="BC24" i="58"/>
  <c r="BD24" i="58"/>
  <c r="BC25" i="58"/>
  <c r="BD25" i="58"/>
  <c r="BC26" i="58"/>
  <c r="BD26" i="58"/>
  <c r="BC27" i="58"/>
  <c r="BD27" i="58"/>
  <c r="BC28" i="58"/>
  <c r="BD28" i="58"/>
  <c r="BC29" i="58"/>
  <c r="BD29" i="58"/>
  <c r="BC30" i="58"/>
  <c r="BC31" i="58"/>
  <c r="BD30" i="58"/>
  <c r="BD31" i="58"/>
  <c r="BC32" i="58"/>
  <c r="BD32" i="58"/>
  <c r="BC33" i="58"/>
  <c r="BC34" i="58"/>
  <c r="BD33" i="58"/>
  <c r="BD34" i="58"/>
  <c r="BC35" i="58"/>
  <c r="BC36" i="58"/>
  <c r="BD35" i="58"/>
  <c r="BD36" i="58"/>
  <c r="BC37" i="58"/>
  <c r="BD37" i="58"/>
  <c r="BC38" i="58"/>
  <c r="BD38" i="58"/>
  <c r="BC39" i="58"/>
  <c r="BC40" i="58"/>
  <c r="BD39" i="58"/>
  <c r="BD40" i="58"/>
  <c r="BC41" i="58"/>
  <c r="BD41" i="58"/>
  <c r="BC42" i="58"/>
  <c r="BC43" i="58"/>
  <c r="BD42" i="58"/>
  <c r="BD43" i="58"/>
  <c r="BC44" i="58"/>
  <c r="BC45" i="58"/>
  <c r="BD44" i="58"/>
  <c r="BC46" i="58"/>
  <c r="BD45" i="58"/>
  <c r="BD46" i="58"/>
  <c r="BC47" i="58"/>
  <c r="BC48" i="58"/>
  <c r="BD47" i="58"/>
  <c r="BC49" i="58"/>
  <c r="BD48" i="58"/>
  <c r="BC50" i="58"/>
  <c r="BD49" i="58"/>
  <c r="BC51" i="58"/>
  <c r="BD50" i="58"/>
  <c r="BD51" i="58"/>
  <c r="BC52" i="58"/>
  <c r="BC53" i="58"/>
  <c r="BD52" i="58"/>
  <c r="BC54" i="58"/>
  <c r="BD53" i="58"/>
  <c r="BD54" i="58"/>
  <c r="BC55" i="58"/>
  <c r="BC56" i="58"/>
  <c r="BD55" i="58"/>
  <c r="BC57" i="58"/>
  <c r="BD56" i="58"/>
  <c r="BD57" i="58"/>
  <c r="BC58" i="58"/>
  <c r="BC59" i="58"/>
  <c r="BD58" i="58"/>
  <c r="BC60" i="58"/>
  <c r="BD59" i="58"/>
  <c r="BC61" i="58"/>
  <c r="BD60" i="58"/>
  <c r="BD61" i="58"/>
  <c r="BC62" i="58"/>
  <c r="BD62" i="58"/>
  <c r="BC63" i="58"/>
  <c r="BC64" i="58"/>
  <c r="BD63" i="58"/>
  <c r="BD64" i="58"/>
  <c r="BC65" i="58"/>
  <c r="BC66" i="58"/>
  <c r="BD65" i="58"/>
  <c r="BC67" i="58"/>
  <c r="BD66" i="58"/>
  <c r="BC68" i="58"/>
  <c r="BD67" i="58"/>
  <c r="BD68" i="58"/>
  <c r="BC69" i="58"/>
  <c r="BC70" i="58"/>
  <c r="BD69" i="58"/>
  <c r="BC71" i="58"/>
  <c r="BD70" i="58"/>
  <c r="BC72" i="58"/>
  <c r="BD71" i="58"/>
  <c r="BD72" i="58"/>
  <c r="BC73" i="58"/>
  <c r="BD73" i="58" s="1"/>
  <c r="D4" i="57" l="1"/>
  <c r="D25" i="56"/>
  <c r="D4" i="55"/>
  <c r="D25" i="54"/>
  <c r="D4" i="53"/>
  <c r="D19" i="40"/>
  <c r="C20" i="40"/>
  <c r="A21" i="40"/>
  <c r="D4" i="40"/>
  <c r="D25" i="39"/>
  <c r="R9" i="55"/>
  <c r="E17" i="56"/>
  <c r="E8" i="54"/>
  <c r="E19" i="54"/>
  <c r="E20" i="40"/>
  <c r="E16" i="56"/>
  <c r="F49" i="54"/>
  <c r="F60" i="56"/>
  <c r="F58" i="56"/>
  <c r="E5" i="56"/>
  <c r="E3" i="56"/>
  <c r="F62" i="56"/>
  <c r="E19" i="56"/>
  <c r="E3" i="54"/>
  <c r="F45" i="54"/>
  <c r="F44" i="54"/>
  <c r="AD41" i="54"/>
  <c r="E6" i="54"/>
  <c r="E20" i="56"/>
  <c r="F51" i="54"/>
  <c r="F57" i="56"/>
  <c r="F52" i="56"/>
  <c r="F50" i="54"/>
  <c r="F54" i="56"/>
  <c r="E16" i="54"/>
  <c r="E17" i="54"/>
  <c r="E8" i="56"/>
  <c r="F59" i="56"/>
  <c r="O5" i="58"/>
  <c r="O5" i="56"/>
  <c r="E6" i="56"/>
  <c r="O6" i="56" s="1"/>
  <c r="O3" i="58"/>
  <c r="E15" i="56"/>
  <c r="F46" i="54"/>
  <c r="O6" i="58"/>
  <c r="E4" i="56"/>
  <c r="E9" i="56"/>
  <c r="O9" i="56" s="1"/>
  <c r="E9" i="54"/>
  <c r="E18" i="54"/>
  <c r="E20" i="54"/>
  <c r="E14" i="56"/>
  <c r="F55" i="56"/>
  <c r="E5" i="54"/>
  <c r="O4" i="58"/>
  <c r="F61" i="56"/>
  <c r="E7" i="56"/>
  <c r="E7" i="54"/>
  <c r="E15" i="54"/>
  <c r="E4" i="54"/>
  <c r="E18" i="56"/>
  <c r="F53" i="56"/>
  <c r="R9" i="57"/>
  <c r="F48" i="54"/>
  <c r="AD50" i="56"/>
  <c r="F43" i="54"/>
  <c r="E14" i="54"/>
  <c r="F56" i="56"/>
  <c r="F47" i="54"/>
  <c r="F63" i="56"/>
  <c r="T9" i="55"/>
  <c r="T9" i="57"/>
  <c r="R10" i="57"/>
  <c r="T10" i="57" s="1"/>
  <c r="Q3" i="58" l="1"/>
  <c r="P3" i="58"/>
  <c r="R3" i="58"/>
  <c r="Q5" i="58"/>
  <c r="P5" i="58"/>
  <c r="R5" i="58"/>
  <c r="R6" i="58"/>
  <c r="P6" i="58"/>
  <c r="Q6" i="58"/>
  <c r="R4" i="58"/>
  <c r="Q4" i="58"/>
  <c r="P4" i="58"/>
  <c r="J18" i="54"/>
  <c r="J17" i="54"/>
  <c r="J16" i="54"/>
  <c r="J15" i="54"/>
  <c r="J14" i="54"/>
  <c r="J19" i="54"/>
  <c r="J20" i="54"/>
  <c r="J20" i="56"/>
  <c r="J19" i="56"/>
  <c r="J18" i="56"/>
  <c r="J17" i="56"/>
  <c r="J15" i="56"/>
  <c r="J14" i="56"/>
  <c r="J16" i="56"/>
  <c r="Q6" i="56"/>
  <c r="P6" i="56"/>
  <c r="R6" i="56"/>
  <c r="R5" i="56"/>
  <c r="P5" i="56"/>
  <c r="Q5" i="56"/>
  <c r="R9" i="56"/>
  <c r="Q9" i="56"/>
  <c r="P9" i="56"/>
  <c r="D20" i="40"/>
  <c r="D14" i="39"/>
  <c r="G3" i="40"/>
  <c r="D3" i="39"/>
  <c r="R3" i="40"/>
  <c r="BC6" i="39"/>
  <c r="C21" i="40"/>
  <c r="A22" i="40"/>
  <c r="O8" i="56"/>
  <c r="R11" i="57"/>
  <c r="O8" i="54"/>
  <c r="R10" i="55"/>
  <c r="N3" i="39"/>
  <c r="O6" i="54"/>
  <c r="O5" i="54"/>
  <c r="T3" i="40"/>
  <c r="O7" i="56"/>
  <c r="O4" i="56"/>
  <c r="O7" i="54"/>
  <c r="O3" i="54"/>
  <c r="O4" i="54"/>
  <c r="O3" i="56"/>
  <c r="E21" i="40"/>
  <c r="I14" i="39"/>
  <c r="T11" i="57"/>
  <c r="O9" i="54"/>
  <c r="T10" i="55"/>
  <c r="R8" i="56" l="1"/>
  <c r="P8" i="56"/>
  <c r="Q8" i="56"/>
  <c r="Q3" i="56"/>
  <c r="R3" i="56"/>
  <c r="P3" i="56"/>
  <c r="Q7" i="56"/>
  <c r="R7" i="56"/>
  <c r="P7" i="56"/>
  <c r="R4" i="56"/>
  <c r="Q4" i="56"/>
  <c r="P4" i="56"/>
  <c r="P9" i="54"/>
  <c r="R9" i="54"/>
  <c r="Q9" i="54"/>
  <c r="R4" i="54"/>
  <c r="Q4" i="54"/>
  <c r="P4" i="54"/>
  <c r="R3" i="54"/>
  <c r="P3" i="54"/>
  <c r="Q3" i="54"/>
  <c r="P6" i="54"/>
  <c r="Q6" i="54"/>
  <c r="R6" i="54"/>
  <c r="P8" i="54"/>
  <c r="Q8" i="54"/>
  <c r="R8" i="54"/>
  <c r="P5" i="54"/>
  <c r="R5" i="54"/>
  <c r="Q5" i="54"/>
  <c r="P7" i="54"/>
  <c r="R7" i="54"/>
  <c r="Q7" i="54"/>
  <c r="D21" i="40"/>
  <c r="C22" i="40"/>
  <c r="AG14" i="39" a="1"/>
  <c r="AG19" i="39" a="1"/>
  <c r="AG9" i="39" a="1"/>
  <c r="R12" i="57"/>
  <c r="T12" i="57" s="1"/>
  <c r="R11" i="55"/>
  <c r="E22" i="40"/>
  <c r="R12" i="55"/>
  <c r="T12" i="55"/>
  <c r="D22" i="40" l="1"/>
  <c r="AG16" i="39"/>
  <c r="AG15" i="39"/>
  <c r="AG14" i="39"/>
  <c r="AG9" i="39"/>
  <c r="AG10" i="39"/>
  <c r="AG21" i="39"/>
  <c r="AG19" i="39"/>
  <c r="AG20" i="39"/>
  <c r="AG5" i="39" a="1"/>
  <c r="R13" i="57"/>
  <c r="T13" i="57" s="1"/>
  <c r="R14" i="57"/>
  <c r="T14" i="57"/>
  <c r="R13" i="55"/>
  <c r="T11" i="55"/>
  <c r="T13" i="55"/>
  <c r="AG6" i="39" l="1"/>
  <c r="AG5" i="39"/>
  <c r="R14" i="55"/>
  <c r="F36" i="39"/>
  <c r="G8" i="40"/>
  <c r="BD6" i="39"/>
  <c r="F37" i="39"/>
  <c r="E42" i="39"/>
  <c r="G19" i="40"/>
  <c r="G13" i="40"/>
  <c r="F38" i="39"/>
  <c r="D15" i="39"/>
  <c r="G9" i="40"/>
  <c r="F39" i="39"/>
  <c r="G5" i="40"/>
  <c r="G10" i="40"/>
  <c r="G16" i="40"/>
  <c r="E39" i="39"/>
  <c r="E46" i="39"/>
  <c r="D9" i="39"/>
  <c r="G15" i="40"/>
  <c r="D20" i="39"/>
  <c r="G11" i="40"/>
  <c r="D8" i="39"/>
  <c r="E8" i="39" s="1"/>
  <c r="F40" i="39"/>
  <c r="F44" i="39"/>
  <c r="G6" i="40"/>
  <c r="G14" i="40"/>
  <c r="G22" i="40"/>
  <c r="E44" i="39"/>
  <c r="E50" i="39"/>
  <c r="E47" i="39"/>
  <c r="B1" i="29"/>
  <c r="G21" i="40"/>
  <c r="H3" i="40"/>
  <c r="G7" i="40"/>
  <c r="E43" i="39"/>
  <c r="F42" i="39"/>
  <c r="E3" i="39"/>
  <c r="D6" i="39"/>
  <c r="BC7" i="39"/>
  <c r="H9" i="40"/>
  <c r="I9" i="39"/>
  <c r="G18" i="40"/>
  <c r="D19" i="39"/>
  <c r="E14" i="39"/>
  <c r="G20" i="40"/>
  <c r="E37" i="39"/>
  <c r="G12" i="40"/>
  <c r="H4" i="40"/>
  <c r="D17" i="39"/>
  <c r="E38" i="39"/>
  <c r="D7" i="39"/>
  <c r="R15" i="57"/>
  <c r="E48" i="39"/>
  <c r="G17" i="40"/>
  <c r="H8" i="40"/>
  <c r="D4" i="39"/>
  <c r="N4" i="39" s="1"/>
  <c r="F45" i="39"/>
  <c r="E49" i="39"/>
  <c r="F43" i="39"/>
  <c r="I20" i="39"/>
  <c r="E36" i="39"/>
  <c r="D18" i="39"/>
  <c r="E51" i="39"/>
  <c r="E6" i="39"/>
  <c r="N8" i="39"/>
  <c r="D5" i="39"/>
  <c r="D16" i="39"/>
  <c r="E40" i="39"/>
  <c r="I3" i="39"/>
  <c r="N5" i="39"/>
  <c r="F41" i="39"/>
  <c r="N7" i="39"/>
  <c r="R4" i="40"/>
  <c r="AD44" i="39"/>
  <c r="N9" i="39"/>
  <c r="E41" i="39"/>
  <c r="T15" i="57"/>
  <c r="T14" i="55"/>
  <c r="E7" i="39"/>
  <c r="I7" i="39"/>
  <c r="I16" i="39"/>
  <c r="J19" i="39" l="1"/>
  <c r="J18" i="39"/>
  <c r="J17" i="39"/>
  <c r="J16" i="39"/>
  <c r="J15" i="39"/>
  <c r="J14" i="39"/>
  <c r="J20" i="39"/>
  <c r="K9" i="39"/>
  <c r="L9" i="39"/>
  <c r="L7" i="39"/>
  <c r="K7" i="39"/>
  <c r="K3" i="39"/>
  <c r="L3" i="39"/>
  <c r="T4" i="40"/>
  <c r="E19" i="39"/>
  <c r="O7" i="39"/>
  <c r="H19" i="40"/>
  <c r="F47" i="39"/>
  <c r="H16" i="40"/>
  <c r="E16" i="39"/>
  <c r="BD7" i="39"/>
  <c r="H12" i="40"/>
  <c r="H6" i="40"/>
  <c r="H7" i="40"/>
  <c r="O6" i="39"/>
  <c r="F49" i="39"/>
  <c r="I15" i="39"/>
  <c r="I17" i="39"/>
  <c r="E18" i="39"/>
  <c r="H5" i="40"/>
  <c r="E5" i="39"/>
  <c r="E20" i="39"/>
  <c r="H13" i="40"/>
  <c r="H17" i="40"/>
  <c r="H14" i="40"/>
  <c r="F46" i="39"/>
  <c r="H10" i="40"/>
  <c r="I6" i="39"/>
  <c r="H20" i="40"/>
  <c r="F48" i="39"/>
  <c r="H22" i="40"/>
  <c r="F51" i="39"/>
  <c r="I5" i="39"/>
  <c r="R15" i="55"/>
  <c r="R16" i="57"/>
  <c r="T16" i="57" s="1"/>
  <c r="H21" i="40"/>
  <c r="E9" i="39"/>
  <c r="O9" i="39" s="1"/>
  <c r="I18" i="39"/>
  <c r="BC8" i="39"/>
  <c r="H11" i="40"/>
  <c r="R5" i="40"/>
  <c r="H18" i="40"/>
  <c r="O3" i="39"/>
  <c r="I8" i="39"/>
  <c r="F50" i="39"/>
  <c r="H15" i="40"/>
  <c r="BD8" i="39"/>
  <c r="E15" i="39"/>
  <c r="I4" i="39"/>
  <c r="E4" i="39"/>
  <c r="O8" i="39"/>
  <c r="N6" i="39"/>
  <c r="I19" i="39"/>
  <c r="E17" i="39"/>
  <c r="R16" i="55"/>
  <c r="T5" i="40"/>
  <c r="R6" i="40"/>
  <c r="T16" i="55"/>
  <c r="K6" i="39" l="1"/>
  <c r="L6" i="39"/>
  <c r="K8" i="39"/>
  <c r="L8" i="39"/>
  <c r="K4" i="39"/>
  <c r="L4" i="39"/>
  <c r="Q3" i="39"/>
  <c r="P3" i="39"/>
  <c r="R3" i="39"/>
  <c r="Q8" i="39"/>
  <c r="P8" i="39"/>
  <c r="R8" i="39"/>
  <c r="Q6" i="39"/>
  <c r="R6" i="39"/>
  <c r="P6" i="39"/>
  <c r="R7" i="39"/>
  <c r="Q7" i="39"/>
  <c r="P7" i="39"/>
  <c r="L5" i="39"/>
  <c r="K5" i="39"/>
  <c r="Q9" i="39"/>
  <c r="R9" i="39"/>
  <c r="P9" i="39"/>
  <c r="R17" i="55"/>
  <c r="T15" i="55"/>
  <c r="O5" i="39"/>
  <c r="T6" i="40"/>
  <c r="BC9" i="39"/>
  <c r="BC10" i="39" s="1"/>
  <c r="BC11" i="39" s="1"/>
  <c r="BC12" i="39" s="1"/>
  <c r="R7" i="40"/>
  <c r="BD12" i="39"/>
  <c r="R17" i="57"/>
  <c r="O4" i="39"/>
  <c r="BD11" i="39"/>
  <c r="BC13" i="39"/>
  <c r="T17" i="55"/>
  <c r="R18" i="57"/>
  <c r="T18" i="57" s="1"/>
  <c r="T17" i="57"/>
  <c r="BD13" i="39"/>
  <c r="BC14" i="39"/>
  <c r="BD14" i="39"/>
  <c r="BC15" i="39"/>
  <c r="BC16" i="39"/>
  <c r="BD15" i="39"/>
  <c r="BD16" i="39"/>
  <c r="BC17" i="39"/>
  <c r="BC18" i="39"/>
  <c r="BD17" i="39"/>
  <c r="BC19" i="39"/>
  <c r="BD18" i="39"/>
  <c r="BC20" i="39"/>
  <c r="BD19" i="39"/>
  <c r="BD20" i="39"/>
  <c r="BC21" i="39"/>
  <c r="BD21" i="39"/>
  <c r="BC22" i="39"/>
  <c r="BD22" i="39"/>
  <c r="BC23" i="39"/>
  <c r="BC24" i="39"/>
  <c r="BD23" i="39"/>
  <c r="BD24" i="39"/>
  <c r="BC25" i="39"/>
  <c r="BC26" i="39"/>
  <c r="BD25" i="39"/>
  <c r="BD26" i="39"/>
  <c r="BC27" i="39"/>
  <c r="BD27" i="39"/>
  <c r="BC28" i="39"/>
  <c r="BD28" i="39"/>
  <c r="BC29" i="39"/>
  <c r="BC30" i="39"/>
  <c r="BD29" i="39"/>
  <c r="BD30" i="39"/>
  <c r="BC31" i="39"/>
  <c r="BD31" i="39"/>
  <c r="BC32" i="39"/>
  <c r="BD32" i="39"/>
  <c r="BC33" i="39"/>
  <c r="BD33" i="39"/>
  <c r="BC34" i="39"/>
  <c r="BD34" i="39"/>
  <c r="BC35" i="39"/>
  <c r="BC36" i="39"/>
  <c r="BD35" i="39"/>
  <c r="BC37" i="39"/>
  <c r="BD36" i="39"/>
  <c r="BD37" i="39"/>
  <c r="BC38" i="39"/>
  <c r="BD38" i="39"/>
  <c r="BC39" i="39"/>
  <c r="BD39" i="39"/>
  <c r="BC40" i="39"/>
  <c r="BC41" i="39"/>
  <c r="BD40" i="39"/>
  <c r="BD41" i="39"/>
  <c r="BC42" i="39"/>
  <c r="BC43" i="39"/>
  <c r="BD42" i="39"/>
  <c r="BD43" i="39"/>
  <c r="BC44" i="39"/>
  <c r="BD44" i="39"/>
  <c r="BC45" i="39"/>
  <c r="BC46" i="39"/>
  <c r="BD45" i="39"/>
  <c r="BC47" i="39"/>
  <c r="BD46" i="39"/>
  <c r="BC48" i="39"/>
  <c r="BD47" i="39"/>
  <c r="BC49" i="39"/>
  <c r="BD48" i="39"/>
  <c r="BC50" i="39"/>
  <c r="BD49" i="39"/>
  <c r="BC51" i="39"/>
  <c r="BD50" i="39"/>
  <c r="BC52" i="39"/>
  <c r="BD51" i="39"/>
  <c r="BD52" i="39"/>
  <c r="BC53" i="39"/>
  <c r="BC54" i="39"/>
  <c r="BD53" i="39"/>
  <c r="BD54" i="39"/>
  <c r="BC55" i="39"/>
  <c r="BC56" i="39"/>
  <c r="BD55" i="39"/>
  <c r="BC57" i="39"/>
  <c r="BD56" i="39"/>
  <c r="BD57" i="39"/>
  <c r="BC58" i="39"/>
  <c r="BC59" i="39"/>
  <c r="BD58" i="39"/>
  <c r="BC60" i="39"/>
  <c r="BD59" i="39"/>
  <c r="BD60" i="39"/>
  <c r="BC61" i="39"/>
  <c r="BD61" i="39"/>
  <c r="BC62" i="39"/>
  <c r="BD62" i="39"/>
  <c r="BC63" i="39"/>
  <c r="BC64" i="39"/>
  <c r="BD63" i="39"/>
  <c r="BC65" i="39"/>
  <c r="BD64" i="39"/>
  <c r="BD65" i="39"/>
  <c r="BC66" i="39"/>
  <c r="BC67" i="39"/>
  <c r="BD66" i="39"/>
  <c r="BD67" i="39"/>
  <c r="BC68" i="39"/>
  <c r="BC69" i="39"/>
  <c r="BD68" i="39"/>
  <c r="BC70" i="39"/>
  <c r="BD69" i="39"/>
  <c r="BC71" i="39"/>
  <c r="BD70" i="39"/>
  <c r="BD71" i="39"/>
  <c r="BC72" i="39"/>
  <c r="BC73" i="39"/>
  <c r="BD72" i="39"/>
  <c r="BD73" i="39"/>
  <c r="BC74" i="39"/>
  <c r="BC75" i="39"/>
  <c r="BD74" i="39"/>
  <c r="BD75" i="39"/>
  <c r="BC76" i="39"/>
  <c r="BD76" i="39"/>
  <c r="BC77" i="39"/>
  <c r="BC78" i="39"/>
  <c r="BD77" i="39"/>
  <c r="BC79" i="39"/>
  <c r="BD78" i="39"/>
  <c r="BD79" i="39"/>
  <c r="BC80" i="39"/>
  <c r="BD80" i="39"/>
  <c r="BC81" i="39"/>
  <c r="BC82" i="39"/>
  <c r="BD81" i="39"/>
  <c r="BC83" i="39"/>
  <c r="BD82" i="39"/>
  <c r="BD83" i="39"/>
  <c r="BC84" i="39"/>
  <c r="BD84" i="39"/>
  <c r="BC85" i="39"/>
  <c r="BC86" i="39"/>
  <c r="BD85" i="39"/>
  <c r="BD86" i="39"/>
  <c r="BC87" i="39"/>
  <c r="BC88" i="39"/>
  <c r="BD87" i="39"/>
  <c r="BD88" i="39"/>
  <c r="BC89" i="39"/>
  <c r="BC90" i="39"/>
  <c r="BD89" i="39"/>
  <c r="BC91" i="39"/>
  <c r="BD90" i="39"/>
  <c r="BC92" i="39"/>
  <c r="BD91" i="39"/>
  <c r="BD92" i="39"/>
  <c r="BC93" i="39"/>
  <c r="BC94" i="39"/>
  <c r="BD93" i="39"/>
  <c r="BC95" i="39"/>
  <c r="BD94" i="39"/>
  <c r="BD95" i="39"/>
  <c r="BC96" i="39"/>
  <c r="BC97" i="39"/>
  <c r="BD96" i="39"/>
  <c r="BD97" i="39"/>
  <c r="BC98" i="39"/>
  <c r="BC99" i="39"/>
  <c r="BD98" i="39"/>
  <c r="BC100" i="39"/>
  <c r="BD99" i="39"/>
  <c r="BC101" i="39"/>
  <c r="BD100" i="39"/>
  <c r="BC102" i="39"/>
  <c r="BD101" i="39"/>
  <c r="BD102" i="39"/>
  <c r="BC103" i="39"/>
  <c r="BC104" i="39"/>
  <c r="BD103" i="39"/>
  <c r="BC105" i="39"/>
  <c r="BD104" i="39"/>
  <c r="BC106" i="39"/>
  <c r="BD105" i="39"/>
  <c r="BD106" i="39"/>
  <c r="BC107" i="39"/>
  <c r="BD107" i="39"/>
  <c r="BC108" i="39"/>
  <c r="BD108" i="39"/>
  <c r="BC109" i="39"/>
  <c r="BD109" i="39"/>
  <c r="BC110" i="39"/>
  <c r="BC111" i="39"/>
  <c r="BD110" i="39"/>
  <c r="BD111" i="39"/>
  <c r="BC112" i="39"/>
  <c r="BD112" i="39"/>
  <c r="BC113" i="39"/>
  <c r="BC114" i="39"/>
  <c r="BD113" i="39"/>
  <c r="BD114" i="39"/>
  <c r="BC115" i="39"/>
  <c r="BC116" i="39"/>
  <c r="BD115" i="39"/>
  <c r="BC117" i="39"/>
  <c r="BD116" i="39"/>
  <c r="BD117" i="39"/>
  <c r="BC118" i="39"/>
  <c r="BD118" i="39"/>
  <c r="BC119" i="39"/>
  <c r="BD119" i="39"/>
  <c r="BC120" i="39"/>
  <c r="BD120" i="39"/>
  <c r="BC121" i="39"/>
  <c r="BC122" i="39"/>
  <c r="BD121" i="39"/>
  <c r="BC123" i="39"/>
  <c r="BD122" i="39"/>
  <c r="BC124" i="39"/>
  <c r="BD123" i="39"/>
  <c r="BD124" i="39"/>
  <c r="BC125" i="39"/>
  <c r="BD125" i="39"/>
  <c r="BC126" i="39"/>
  <c r="BD126" i="39"/>
  <c r="BC127" i="39"/>
  <c r="BC128" i="39"/>
  <c r="BD127" i="39"/>
  <c r="BD128" i="39"/>
  <c r="BC129" i="39"/>
  <c r="BC130" i="39"/>
  <c r="BD129" i="39"/>
  <c r="BD130" i="39"/>
  <c r="BC131" i="39"/>
  <c r="BC132" i="39"/>
  <c r="BD131" i="39"/>
  <c r="BD132" i="39"/>
  <c r="BC133" i="39"/>
  <c r="BC134" i="39"/>
  <c r="BD133" i="39"/>
  <c r="BC135" i="39"/>
  <c r="BD134" i="39"/>
  <c r="R5" i="39" l="1"/>
  <c r="P5" i="39"/>
  <c r="Q5" i="39"/>
  <c r="R4" i="39"/>
  <c r="Q4" i="39"/>
  <c r="P4" i="39"/>
  <c r="F54" i="39"/>
  <c r="R18" i="55"/>
  <c r="BD10" i="39"/>
  <c r="T7" i="40"/>
  <c r="E45" i="39"/>
  <c r="BD9" i="39"/>
  <c r="R8" i="40"/>
  <c r="R9" i="40" s="1"/>
  <c r="T9" i="40" s="1"/>
  <c r="T8" i="40"/>
  <c r="R19" i="57"/>
  <c r="T19" i="57" s="1"/>
  <c r="BD135" i="39"/>
  <c r="T18" i="55"/>
  <c r="D18" i="29" l="1"/>
  <c r="R10" i="40"/>
  <c r="T10" i="40"/>
  <c r="R19" i="55"/>
  <c r="R20" i="57"/>
  <c r="T20" i="57" s="1"/>
  <c r="I4" i="57"/>
  <c r="I4" i="55"/>
  <c r="I4" i="53"/>
  <c r="I4" i="40"/>
  <c r="R20" i="55"/>
  <c r="T20" i="55"/>
  <c r="AD51" i="56" l="1"/>
  <c r="AD42" i="54"/>
  <c r="AD45" i="39"/>
  <c r="T19" i="55"/>
  <c r="R21" i="57"/>
  <c r="R11" i="40"/>
  <c r="R12" i="40" s="1"/>
  <c r="T12" i="40" s="1"/>
  <c r="T11" i="40"/>
  <c r="T21" i="57"/>
  <c r="R21" i="55"/>
  <c r="R22" i="57"/>
  <c r="T22" i="57" s="1"/>
  <c r="R13" i="40"/>
  <c r="T21" i="55"/>
  <c r="T13" i="40"/>
  <c r="R14" i="40"/>
  <c r="R15" i="40"/>
  <c r="T14" i="40"/>
  <c r="T15" i="40"/>
  <c r="R16" i="40"/>
  <c r="R17" i="40"/>
  <c r="T16" i="40"/>
  <c r="R18" i="40"/>
  <c r="T17" i="40"/>
  <c r="R19" i="40"/>
  <c r="T18" i="40"/>
  <c r="L66" i="56" l="1"/>
  <c r="P66" i="56"/>
  <c r="K66" i="56"/>
  <c r="N66" i="56"/>
  <c r="R66" i="56"/>
  <c r="J66" i="56"/>
  <c r="Q66" i="56"/>
  <c r="O66" i="56"/>
  <c r="M66" i="56"/>
  <c r="I66" i="56"/>
  <c r="K54" i="54"/>
  <c r="R54" i="54"/>
  <c r="J54" i="54"/>
  <c r="I54" i="54"/>
  <c r="Q54" i="54"/>
  <c r="L54" i="54"/>
  <c r="P54" i="54"/>
  <c r="O54" i="54"/>
  <c r="M54" i="54"/>
  <c r="N54" i="54"/>
  <c r="R23" i="57"/>
  <c r="AQ19" i="39" a="1"/>
  <c r="AR14" i="39" a="1"/>
  <c r="AS5" i="39" a="1"/>
  <c r="AR9" i="39" a="1"/>
  <c r="R20" i="40"/>
  <c r="T20" i="40"/>
  <c r="AS19" i="39" a="1"/>
  <c r="T23" i="57"/>
  <c r="AQ14" i="39" a="1"/>
  <c r="AR19" i="39" a="1"/>
  <c r="AS14" i="39" a="1"/>
  <c r="AF5" i="39" a="1"/>
  <c r="R22" i="55"/>
  <c r="T19" i="40"/>
  <c r="AS9" i="39" a="1"/>
  <c r="AR5" i="39" a="1"/>
  <c r="T22" i="55"/>
  <c r="AS9" i="39" l="1"/>
  <c r="AS10" i="39"/>
  <c r="AR21" i="39"/>
  <c r="AR19" i="39"/>
  <c r="AR20" i="39"/>
  <c r="AQ16" i="39"/>
  <c r="AQ14" i="39"/>
  <c r="AQ15" i="39"/>
  <c r="AS15" i="39"/>
  <c r="AS16" i="39"/>
  <c r="AS14" i="39"/>
  <c r="AQ21" i="39"/>
  <c r="AQ19" i="39"/>
  <c r="AQ20" i="39"/>
  <c r="AS21" i="39"/>
  <c r="AS20" i="39"/>
  <c r="AS19" i="39"/>
  <c r="AR14" i="39"/>
  <c r="AR16" i="39"/>
  <c r="AR15" i="39"/>
  <c r="AR9" i="39"/>
  <c r="AR10" i="39"/>
  <c r="AR5" i="39"/>
  <c r="AR6" i="39"/>
  <c r="AS6" i="39"/>
  <c r="AS5" i="39"/>
  <c r="AF6" i="39"/>
  <c r="AF5" i="39"/>
  <c r="AL5" i="39" s="1" a="1"/>
  <c r="R24" i="57"/>
  <c r="R21" i="40"/>
  <c r="T21" i="40"/>
  <c r="T24" i="57"/>
  <c r="R23" i="55"/>
  <c r="R24" i="55"/>
  <c r="T24" i="55"/>
  <c r="AX5" i="39" l="1" a="1"/>
  <c r="AL5" i="39"/>
  <c r="AM6" i="39"/>
  <c r="AL6" i="39"/>
  <c r="AM5" i="39"/>
  <c r="AX14" i="39" a="1"/>
  <c r="AX9" i="39" a="1"/>
  <c r="AX19" i="39" a="1"/>
  <c r="T23" i="55"/>
  <c r="R25" i="57"/>
  <c r="R22" i="40"/>
  <c r="T22" i="40" s="1"/>
  <c r="R25" i="55"/>
  <c r="R26" i="57"/>
  <c r="T26" i="57" s="1"/>
  <c r="T25" i="57"/>
  <c r="T25" i="55"/>
  <c r="AY21" i="39" l="1"/>
  <c r="AY19" i="39"/>
  <c r="AZ21" i="39"/>
  <c r="AZ20" i="39"/>
  <c r="AX20" i="39"/>
  <c r="AY20" i="39"/>
  <c r="AZ19" i="39"/>
  <c r="AX19" i="39"/>
  <c r="AX21" i="39"/>
  <c r="AX9" i="39"/>
  <c r="AY10" i="39"/>
  <c r="AX10" i="39"/>
  <c r="AY9" i="39"/>
  <c r="AZ14" i="39"/>
  <c r="AZ16" i="39"/>
  <c r="AY15" i="39"/>
  <c r="AX16" i="39"/>
  <c r="AX15" i="39"/>
  <c r="AY16" i="39"/>
  <c r="AZ15" i="39"/>
  <c r="AX14" i="39"/>
  <c r="AY14" i="39"/>
  <c r="AX5" i="39"/>
  <c r="AY6" i="39"/>
  <c r="AY5" i="39"/>
  <c r="AX6" i="39"/>
  <c r="R26" i="55"/>
  <c r="R27" i="57"/>
  <c r="T27" i="57"/>
  <c r="R23" i="40"/>
  <c r="R24" i="40" s="1"/>
  <c r="R25" i="40" s="1"/>
  <c r="T24" i="40"/>
  <c r="T26" i="55"/>
  <c r="T25" i="40"/>
  <c r="R26" i="40"/>
  <c r="R27" i="40"/>
  <c r="T26" i="40"/>
  <c r="T27" i="40"/>
  <c r="R28" i="40"/>
  <c r="T28" i="40"/>
  <c r="R29" i="40"/>
  <c r="T29" i="40"/>
  <c r="R30" i="40"/>
  <c r="R31" i="40"/>
  <c r="T30" i="40"/>
  <c r="T31" i="40"/>
  <c r="R32" i="40"/>
  <c r="R33" i="40"/>
  <c r="T32" i="40"/>
  <c r="R34" i="40"/>
  <c r="T33" i="40"/>
  <c r="T34" i="40"/>
  <c r="R35" i="40"/>
  <c r="R36" i="40"/>
  <c r="T35" i="40"/>
  <c r="T36" i="40"/>
  <c r="R37" i="40"/>
  <c r="T37" i="40"/>
  <c r="R38" i="40"/>
  <c r="R39" i="40"/>
  <c r="T38" i="40"/>
  <c r="T39" i="40"/>
  <c r="R40" i="40"/>
  <c r="T40" i="40"/>
  <c r="R41" i="40"/>
  <c r="R42" i="40"/>
  <c r="T41" i="40"/>
  <c r="T42" i="40"/>
  <c r="R43" i="40"/>
  <c r="T43" i="40"/>
  <c r="R44" i="40"/>
  <c r="R45" i="40"/>
  <c r="T44" i="40"/>
  <c r="T45" i="40"/>
  <c r="R46" i="40"/>
  <c r="R47" i="40"/>
  <c r="T46" i="40"/>
  <c r="T47" i="40"/>
  <c r="R48" i="40"/>
  <c r="T48" i="40"/>
  <c r="R49" i="40"/>
  <c r="T49" i="40"/>
  <c r="R50" i="40"/>
  <c r="T50" i="40"/>
  <c r="R51" i="40"/>
  <c r="T51" i="40"/>
  <c r="R52" i="40"/>
  <c r="R53" i="40"/>
  <c r="T52" i="40"/>
  <c r="T53" i="40"/>
  <c r="R54" i="40"/>
  <c r="T54" i="40"/>
  <c r="R55" i="40"/>
  <c r="T55" i="40"/>
  <c r="R56" i="40"/>
  <c r="R57" i="40"/>
  <c r="T56" i="40"/>
  <c r="T57" i="40"/>
  <c r="R58" i="40"/>
  <c r="T58" i="40"/>
  <c r="R59" i="40"/>
  <c r="T59" i="40"/>
  <c r="R60" i="40"/>
  <c r="R61" i="40"/>
  <c r="T60" i="40"/>
  <c r="T61" i="40"/>
  <c r="R62" i="40"/>
  <c r="T62" i="40"/>
  <c r="R63" i="40"/>
  <c r="T63" i="40"/>
  <c r="R64" i="40"/>
  <c r="T64" i="40"/>
  <c r="R65" i="40"/>
  <c r="R66" i="40"/>
  <c r="T65" i="40"/>
  <c r="T66" i="40"/>
  <c r="R67" i="40"/>
  <c r="T67" i="40"/>
  <c r="R68" i="40"/>
  <c r="T68" i="40"/>
  <c r="R69" i="40"/>
  <c r="T69" i="40"/>
  <c r="R70" i="40"/>
  <c r="R71" i="40"/>
  <c r="T70" i="40"/>
  <c r="R72" i="40"/>
  <c r="T71" i="40"/>
  <c r="R73" i="40"/>
  <c r="T72" i="40"/>
  <c r="R74" i="40"/>
  <c r="T73" i="40"/>
  <c r="R75" i="40"/>
  <c r="T74" i="40"/>
  <c r="T75" i="40"/>
  <c r="R76" i="40"/>
  <c r="R77" i="40"/>
  <c r="T76" i="40"/>
  <c r="T77" i="40"/>
  <c r="R78" i="40"/>
  <c r="R79" i="40"/>
  <c r="T78" i="40"/>
  <c r="R80" i="40"/>
  <c r="T79" i="40"/>
  <c r="T80" i="40"/>
  <c r="R81" i="40"/>
  <c r="R82" i="40"/>
  <c r="T81" i="40"/>
  <c r="T82" i="40"/>
  <c r="R83" i="40"/>
  <c r="T83" i="40"/>
  <c r="R84" i="40"/>
  <c r="R85" i="40"/>
  <c r="T84" i="40"/>
  <c r="T85" i="40"/>
  <c r="R86" i="40"/>
  <c r="T86" i="40"/>
  <c r="R87" i="40"/>
  <c r="T87" i="40"/>
  <c r="R88" i="40"/>
  <c r="T88" i="40"/>
  <c r="R89" i="40"/>
  <c r="R90" i="40"/>
  <c r="T89" i="40"/>
  <c r="T90" i="40"/>
  <c r="R91" i="40"/>
  <c r="R92" i="40"/>
  <c r="T91" i="40"/>
  <c r="R93" i="40"/>
  <c r="T92" i="40"/>
  <c r="R94" i="40"/>
  <c r="T93" i="40"/>
  <c r="R95" i="40"/>
  <c r="T94" i="40"/>
  <c r="T95" i="40"/>
  <c r="R96" i="40"/>
  <c r="T96" i="40"/>
  <c r="R97" i="40"/>
  <c r="T97" i="40"/>
  <c r="R98" i="40"/>
  <c r="T98" i="40"/>
  <c r="R99" i="40"/>
  <c r="T99" i="40"/>
  <c r="R100" i="40"/>
  <c r="T100" i="40"/>
  <c r="R101" i="40"/>
  <c r="T101" i="40"/>
  <c r="R102" i="40"/>
  <c r="R103" i="40"/>
  <c r="T102" i="40"/>
  <c r="T103" i="40"/>
  <c r="R104" i="40"/>
  <c r="R105" i="40"/>
  <c r="T104" i="40"/>
  <c r="T105" i="40"/>
  <c r="R106" i="40"/>
  <c r="R107" i="40"/>
  <c r="T106" i="40"/>
  <c r="R108" i="40"/>
  <c r="T107" i="40"/>
  <c r="R109" i="40"/>
  <c r="T108" i="40"/>
  <c r="R110" i="40"/>
  <c r="T109" i="40"/>
  <c r="T110" i="40"/>
  <c r="R111" i="40"/>
  <c r="R112" i="40"/>
  <c r="T111" i="40"/>
  <c r="T112" i="40"/>
  <c r="R113" i="40"/>
  <c r="T113" i="40"/>
  <c r="R114" i="40"/>
  <c r="R115" i="40"/>
  <c r="T114" i="40"/>
  <c r="T115" i="40"/>
  <c r="R116" i="40"/>
  <c r="T116" i="40"/>
  <c r="R117" i="40"/>
  <c r="R118" i="40"/>
  <c r="T117" i="40"/>
  <c r="T118" i="40"/>
  <c r="R119" i="40"/>
  <c r="T119" i="40"/>
  <c r="R120" i="40"/>
  <c r="R121" i="40"/>
  <c r="R122" i="40" s="1"/>
  <c r="T120" i="40"/>
  <c r="D17" i="29" l="1"/>
  <c r="R27" i="55"/>
  <c r="T121" i="40"/>
  <c r="R123" i="40"/>
  <c r="R28" i="57"/>
  <c r="T28" i="57" s="1"/>
  <c r="T123" i="40"/>
  <c r="T122" i="40"/>
  <c r="T23" i="40"/>
  <c r="I14" i="53"/>
  <c r="F15" i="56"/>
  <c r="F20" i="56"/>
  <c r="F17" i="58"/>
  <c r="J15" i="55"/>
  <c r="J9" i="53"/>
  <c r="F18" i="39"/>
  <c r="F7" i="54"/>
  <c r="J7" i="55"/>
  <c r="J5" i="40"/>
  <c r="F4" i="39"/>
  <c r="I23" i="53"/>
  <c r="I16" i="55"/>
  <c r="F15" i="58"/>
  <c r="I16" i="53"/>
  <c r="J27" i="53"/>
  <c r="F14" i="54"/>
  <c r="F6" i="39"/>
  <c r="J9" i="40"/>
  <c r="J8" i="40"/>
  <c r="J12" i="40"/>
  <c r="J18" i="40"/>
  <c r="I15" i="55"/>
  <c r="I11" i="40"/>
  <c r="I21" i="53"/>
  <c r="I19" i="53"/>
  <c r="I16" i="40"/>
  <c r="J14" i="53"/>
  <c r="I12" i="55"/>
  <c r="F5" i="39"/>
  <c r="F20" i="39"/>
  <c r="I28" i="53"/>
  <c r="I9" i="53"/>
  <c r="J7" i="57"/>
  <c r="I7" i="55"/>
  <c r="J19" i="53"/>
  <c r="I26" i="53"/>
  <c r="F8" i="56"/>
  <c r="J15" i="53"/>
  <c r="F4" i="58"/>
  <c r="J17" i="40"/>
  <c r="J8" i="53"/>
  <c r="J13" i="40"/>
  <c r="F15" i="54"/>
  <c r="I22" i="40"/>
  <c r="F3" i="54"/>
  <c r="J22" i="40"/>
  <c r="I6" i="53"/>
  <c r="F5" i="58"/>
  <c r="I11" i="53"/>
  <c r="F8" i="39"/>
  <c r="J21" i="40"/>
  <c r="F19" i="39"/>
  <c r="I9" i="55"/>
  <c r="F5" i="54"/>
  <c r="F6" i="58"/>
  <c r="F5" i="56"/>
  <c r="I13" i="55"/>
  <c r="I10" i="53"/>
  <c r="J28" i="53"/>
  <c r="J6" i="55"/>
  <c r="I8" i="53"/>
  <c r="J17" i="53"/>
  <c r="I8" i="40"/>
  <c r="I9" i="40"/>
  <c r="F9" i="39"/>
  <c r="F3" i="39"/>
  <c r="F20" i="54"/>
  <c r="J8" i="55"/>
  <c r="I15" i="53"/>
  <c r="I25" i="53"/>
  <c r="J12" i="53"/>
  <c r="J11" i="55"/>
  <c r="I18" i="40"/>
  <c r="J13" i="55"/>
  <c r="F14" i="39"/>
  <c r="J23" i="53"/>
  <c r="J10" i="55"/>
  <c r="J15" i="40"/>
  <c r="J4" i="40"/>
  <c r="J22" i="53"/>
  <c r="F16" i="54"/>
  <c r="I6" i="40"/>
  <c r="J18" i="53"/>
  <c r="J10" i="53"/>
  <c r="J14" i="40"/>
  <c r="I5" i="53"/>
  <c r="I17" i="55"/>
  <c r="J20" i="53"/>
  <c r="J5" i="57"/>
  <c r="F16" i="56"/>
  <c r="F18" i="54"/>
  <c r="F6" i="54"/>
  <c r="I7" i="40"/>
  <c r="I21" i="40"/>
  <c r="I20" i="53"/>
  <c r="I10" i="55"/>
  <c r="I5" i="40"/>
  <c r="J20" i="40"/>
  <c r="J7" i="53"/>
  <c r="J26" i="53"/>
  <c r="F19" i="54"/>
  <c r="I27" i="53"/>
  <c r="I6" i="55"/>
  <c r="I13" i="53"/>
  <c r="J25" i="53"/>
  <c r="I11" i="55"/>
  <c r="J13" i="53"/>
  <c r="F8" i="54"/>
  <c r="J10" i="40"/>
  <c r="I19" i="40"/>
  <c r="J16" i="40"/>
  <c r="I5" i="55"/>
  <c r="I7" i="53"/>
  <c r="F19" i="56"/>
  <c r="J4" i="55"/>
  <c r="F15" i="39"/>
  <c r="I17" i="53"/>
  <c r="F3" i="56"/>
  <c r="F16" i="39"/>
  <c r="F14" i="56"/>
  <c r="I14" i="40"/>
  <c r="F4" i="54"/>
  <c r="J16" i="53"/>
  <c r="J21" i="53"/>
  <c r="I22" i="53"/>
  <c r="J17" i="55"/>
  <c r="I15" i="40"/>
  <c r="J5" i="53"/>
  <c r="F4" i="56"/>
  <c r="I13" i="40"/>
  <c r="I14" i="55"/>
  <c r="F6" i="56"/>
  <c r="I24" i="53"/>
  <c r="F18" i="56"/>
  <c r="J19" i="40"/>
  <c r="I12" i="53"/>
  <c r="J6" i="57"/>
  <c r="J6" i="40"/>
  <c r="F3" i="58"/>
  <c r="I12" i="40"/>
  <c r="J4" i="53"/>
  <c r="J24" i="53"/>
  <c r="I18" i="53"/>
  <c r="J4" i="57"/>
  <c r="I8" i="55"/>
  <c r="J11" i="40"/>
  <c r="J6" i="53"/>
  <c r="F9" i="54"/>
  <c r="I17" i="40"/>
  <c r="F17" i="39"/>
  <c r="F17" i="54"/>
  <c r="J11" i="53"/>
  <c r="J5" i="55"/>
  <c r="F7" i="56"/>
  <c r="J7" i="40"/>
  <c r="F7" i="39"/>
  <c r="F14" i="58"/>
  <c r="F17" i="56"/>
  <c r="J9" i="55"/>
  <c r="F16" i="58"/>
  <c r="J16" i="55"/>
  <c r="J8" i="57"/>
  <c r="I20" i="40"/>
  <c r="J14" i="55"/>
  <c r="F9" i="56"/>
  <c r="I10" i="40"/>
  <c r="J12" i="55"/>
  <c r="R28" i="55"/>
  <c r="T28" i="55"/>
  <c r="K13" i="53" l="1"/>
  <c r="K16" i="53"/>
  <c r="K10" i="53"/>
  <c r="K15" i="53"/>
  <c r="K12" i="53"/>
  <c r="K11" i="53"/>
  <c r="K14" i="53"/>
  <c r="G4" i="58"/>
  <c r="G15" i="58"/>
  <c r="G5" i="58"/>
  <c r="G16" i="58"/>
  <c r="G6" i="58"/>
  <c r="G17" i="58"/>
  <c r="G3" i="58"/>
  <c r="G14" i="58"/>
  <c r="G3" i="56"/>
  <c r="G14" i="56"/>
  <c r="G4" i="56"/>
  <c r="G15" i="56"/>
  <c r="G8" i="56"/>
  <c r="G19" i="56"/>
  <c r="G5" i="56"/>
  <c r="G16" i="56"/>
  <c r="G7" i="56"/>
  <c r="G18" i="56"/>
  <c r="G6" i="56"/>
  <c r="G17" i="56"/>
  <c r="G9" i="56"/>
  <c r="G20" i="56"/>
  <c r="K17" i="55"/>
  <c r="K4" i="57"/>
  <c r="K4" i="55"/>
  <c r="AD63" i="56"/>
  <c r="K16" i="55"/>
  <c r="AD62" i="56"/>
  <c r="K15" i="55"/>
  <c r="AD61" i="56"/>
  <c r="K14" i="55"/>
  <c r="AD60" i="56"/>
  <c r="K13" i="55"/>
  <c r="AD59" i="56"/>
  <c r="K12" i="55"/>
  <c r="AD58" i="56"/>
  <c r="K11" i="55"/>
  <c r="AD57" i="56"/>
  <c r="K10" i="55"/>
  <c r="AD56" i="56"/>
  <c r="K9" i="55"/>
  <c r="AD55" i="56"/>
  <c r="K8" i="55"/>
  <c r="AD54" i="56"/>
  <c r="K7" i="55"/>
  <c r="AD53" i="56"/>
  <c r="K6" i="55"/>
  <c r="AD52" i="56"/>
  <c r="K5" i="55"/>
  <c r="G8" i="54"/>
  <c r="G17" i="54"/>
  <c r="G7" i="54"/>
  <c r="G6" i="54"/>
  <c r="G19" i="54"/>
  <c r="G5" i="54"/>
  <c r="G4" i="54"/>
  <c r="G18" i="54"/>
  <c r="G16" i="54"/>
  <c r="G15" i="54"/>
  <c r="G14" i="54"/>
  <c r="G9" i="54"/>
  <c r="G3" i="54"/>
  <c r="G20" i="54"/>
  <c r="AD44" i="54"/>
  <c r="K6" i="53"/>
  <c r="AD43" i="54"/>
  <c r="K5" i="53"/>
  <c r="K8" i="53"/>
  <c r="AD45" i="54"/>
  <c r="K7" i="53"/>
  <c r="K9" i="53"/>
  <c r="K27" i="53"/>
  <c r="AD51" i="54"/>
  <c r="K22" i="53"/>
  <c r="K26" i="53"/>
  <c r="AD47" i="54"/>
  <c r="K18" i="53"/>
  <c r="K4" i="53"/>
  <c r="K25" i="53"/>
  <c r="AD46" i="54"/>
  <c r="K17" i="53"/>
  <c r="K24" i="53"/>
  <c r="AD48" i="54"/>
  <c r="K19" i="53"/>
  <c r="AD50" i="54"/>
  <c r="K21" i="53"/>
  <c r="K28" i="53"/>
  <c r="K23" i="53"/>
  <c r="AD49" i="54"/>
  <c r="K20" i="53"/>
  <c r="K10" i="40"/>
  <c r="AD51" i="39"/>
  <c r="G17" i="39"/>
  <c r="K14" i="40"/>
  <c r="G16" i="39"/>
  <c r="AD48" i="39"/>
  <c r="K7" i="40"/>
  <c r="G20" i="39"/>
  <c r="G14" i="39"/>
  <c r="AD47" i="39"/>
  <c r="K6" i="40"/>
  <c r="G15" i="39"/>
  <c r="AD46" i="39"/>
  <c r="K5" i="40"/>
  <c r="K21" i="40"/>
  <c r="G18" i="39"/>
  <c r="K16" i="40"/>
  <c r="G19" i="39"/>
  <c r="K12" i="40"/>
  <c r="K18" i="40"/>
  <c r="K13" i="40"/>
  <c r="K11" i="40"/>
  <c r="K4" i="40"/>
  <c r="K20" i="40"/>
  <c r="K8" i="40"/>
  <c r="AD49" i="39"/>
  <c r="K9" i="40"/>
  <c r="AD50" i="39"/>
  <c r="K22" i="40"/>
  <c r="K19" i="40"/>
  <c r="K17" i="40"/>
  <c r="K15" i="40"/>
  <c r="R29" i="55"/>
  <c r="T27" i="55"/>
  <c r="R124" i="40"/>
  <c r="R29" i="57"/>
  <c r="F15" i="55"/>
  <c r="F8" i="40"/>
  <c r="F9" i="53"/>
  <c r="F12" i="53"/>
  <c r="F19" i="53"/>
  <c r="F4" i="55"/>
  <c r="F17" i="53"/>
  <c r="M8" i="56"/>
  <c r="F26" i="53"/>
  <c r="M3" i="58"/>
  <c r="F14" i="40"/>
  <c r="F25" i="53"/>
  <c r="F21" i="40"/>
  <c r="F13" i="55"/>
  <c r="F21" i="53"/>
  <c r="F20" i="40"/>
  <c r="F4" i="57"/>
  <c r="F6" i="53"/>
  <c r="F11" i="55"/>
  <c r="F15" i="53"/>
  <c r="F20" i="53"/>
  <c r="F4" i="40"/>
  <c r="F18" i="40"/>
  <c r="F22" i="53"/>
  <c r="F28" i="53"/>
  <c r="F10" i="53"/>
  <c r="F10" i="55"/>
  <c r="F8" i="55"/>
  <c r="M5" i="56"/>
  <c r="M6" i="56"/>
  <c r="F19" i="40"/>
  <c r="M6" i="54"/>
  <c r="F8" i="53"/>
  <c r="M8" i="54"/>
  <c r="F5" i="55"/>
  <c r="F14" i="55"/>
  <c r="F14" i="53"/>
  <c r="M7" i="56"/>
  <c r="F11" i="53"/>
  <c r="F7" i="53"/>
  <c r="F16" i="55"/>
  <c r="F5" i="53"/>
  <c r="F10" i="40"/>
  <c r="F7" i="55"/>
  <c r="F5" i="40"/>
  <c r="F22" i="40"/>
  <c r="F17" i="40"/>
  <c r="F9" i="40"/>
  <c r="M4" i="56"/>
  <c r="M3" i="54"/>
  <c r="F13" i="53"/>
  <c r="F18" i="53"/>
  <c r="M5" i="58"/>
  <c r="F23" i="53"/>
  <c r="F9" i="55"/>
  <c r="F4" i="53"/>
  <c r="F12" i="55"/>
  <c r="F27" i="53"/>
  <c r="M6" i="58"/>
  <c r="M4" i="58"/>
  <c r="M5" i="54"/>
  <c r="F6" i="40"/>
  <c r="F6" i="55"/>
  <c r="F16" i="40"/>
  <c r="M4" i="54"/>
  <c r="F15" i="40"/>
  <c r="F12" i="40"/>
  <c r="F11" i="40"/>
  <c r="F17" i="55"/>
  <c r="M9" i="56"/>
  <c r="F24" i="53"/>
  <c r="M9" i="54"/>
  <c r="F7" i="40"/>
  <c r="F16" i="53"/>
  <c r="F13" i="40"/>
  <c r="M3" i="56"/>
  <c r="M7" i="54"/>
  <c r="T29" i="55"/>
  <c r="R30" i="57"/>
  <c r="T30" i="57" s="1"/>
  <c r="T29" i="57"/>
  <c r="I67" i="56" l="1"/>
  <c r="P67" i="56"/>
  <c r="N67" i="56"/>
  <c r="O67" i="56"/>
  <c r="L67" i="56"/>
  <c r="R67" i="56"/>
  <c r="J67" i="56"/>
  <c r="K67" i="56"/>
  <c r="Q67" i="56"/>
  <c r="M67" i="56"/>
  <c r="R68" i="56"/>
  <c r="M68" i="56"/>
  <c r="J68" i="56"/>
  <c r="O68" i="56"/>
  <c r="Q68" i="56"/>
  <c r="P68" i="56"/>
  <c r="I68" i="56"/>
  <c r="N68" i="56"/>
  <c r="L68" i="56"/>
  <c r="K68" i="56"/>
  <c r="M69" i="56"/>
  <c r="L69" i="56"/>
  <c r="R69" i="56"/>
  <c r="I69" i="56"/>
  <c r="K69" i="56"/>
  <c r="J69" i="56"/>
  <c r="P69" i="56"/>
  <c r="N69" i="56"/>
  <c r="O69" i="56"/>
  <c r="Q69" i="56"/>
  <c r="L70" i="56"/>
  <c r="P70" i="56"/>
  <c r="K70" i="56"/>
  <c r="O70" i="56"/>
  <c r="R70" i="56"/>
  <c r="J70" i="56"/>
  <c r="Q70" i="56"/>
  <c r="N70" i="56"/>
  <c r="M70" i="56"/>
  <c r="I70" i="56"/>
  <c r="K71" i="56"/>
  <c r="Q71" i="56"/>
  <c r="I71" i="56"/>
  <c r="P71" i="56"/>
  <c r="N71" i="56"/>
  <c r="J71" i="56"/>
  <c r="M71" i="56"/>
  <c r="O71" i="56"/>
  <c r="L71" i="56"/>
  <c r="R71" i="56"/>
  <c r="P72" i="56"/>
  <c r="K72" i="56"/>
  <c r="Q72" i="56"/>
  <c r="R72" i="56"/>
  <c r="O72" i="56"/>
  <c r="M72" i="56"/>
  <c r="L72" i="56"/>
  <c r="J72" i="56"/>
  <c r="N72" i="56"/>
  <c r="I72" i="56"/>
  <c r="J73" i="56"/>
  <c r="I73" i="56"/>
  <c r="O73" i="56"/>
  <c r="R73" i="56"/>
  <c r="M73" i="56"/>
  <c r="P73" i="56"/>
  <c r="N73" i="56"/>
  <c r="Q73" i="56"/>
  <c r="L73" i="56"/>
  <c r="K73" i="56"/>
  <c r="K74" i="56"/>
  <c r="R74" i="56"/>
  <c r="J74" i="56"/>
  <c r="O74" i="56"/>
  <c r="I74" i="56"/>
  <c r="Q74" i="56"/>
  <c r="L74" i="56"/>
  <c r="M74" i="56"/>
  <c r="P74" i="56"/>
  <c r="N74" i="56"/>
  <c r="L75" i="56"/>
  <c r="O75" i="56"/>
  <c r="M75" i="56"/>
  <c r="Q75" i="56"/>
  <c r="K75" i="56"/>
  <c r="R75" i="56"/>
  <c r="J75" i="56"/>
  <c r="P75" i="56"/>
  <c r="N75" i="56"/>
  <c r="I75" i="56"/>
  <c r="P76" i="56"/>
  <c r="R76" i="56"/>
  <c r="Q76" i="56"/>
  <c r="J76" i="56"/>
  <c r="I76" i="56"/>
  <c r="M76" i="56"/>
  <c r="O76" i="56"/>
  <c r="N76" i="56"/>
  <c r="L76" i="56"/>
  <c r="K76" i="56"/>
  <c r="R77" i="56"/>
  <c r="Q77" i="56"/>
  <c r="O77" i="56"/>
  <c r="N77" i="56"/>
  <c r="M77" i="56"/>
  <c r="P77" i="56"/>
  <c r="J77" i="56"/>
  <c r="I77" i="56"/>
  <c r="L77" i="56"/>
  <c r="K77" i="56"/>
  <c r="P78" i="56"/>
  <c r="L78" i="56"/>
  <c r="N78" i="56"/>
  <c r="K78" i="56"/>
  <c r="I78" i="56"/>
  <c r="O78" i="56"/>
  <c r="M78" i="56"/>
  <c r="R78" i="56"/>
  <c r="J78" i="56"/>
  <c r="Q78" i="56"/>
  <c r="I62" i="54"/>
  <c r="Q62" i="54"/>
  <c r="K62" i="54"/>
  <c r="L62" i="54"/>
  <c r="J62" i="54"/>
  <c r="R62" i="54"/>
  <c r="M62" i="54"/>
  <c r="N62" i="54"/>
  <c r="O62" i="54"/>
  <c r="P62" i="54"/>
  <c r="Q57" i="54"/>
  <c r="I57" i="54"/>
  <c r="O57" i="54"/>
  <c r="P57" i="54"/>
  <c r="J57" i="54"/>
  <c r="R57" i="54"/>
  <c r="N57" i="54"/>
  <c r="M57" i="54"/>
  <c r="L57" i="54"/>
  <c r="K57" i="54"/>
  <c r="O56" i="54"/>
  <c r="N56" i="54"/>
  <c r="M56" i="54"/>
  <c r="R56" i="54"/>
  <c r="Q56" i="54"/>
  <c r="P56" i="54"/>
  <c r="L56" i="54"/>
  <c r="K56" i="54"/>
  <c r="J56" i="54"/>
  <c r="I56" i="54"/>
  <c r="O60" i="54"/>
  <c r="M60" i="54"/>
  <c r="N60" i="54"/>
  <c r="R60" i="54"/>
  <c r="Q60" i="54"/>
  <c r="P60" i="54"/>
  <c r="L60" i="54"/>
  <c r="K60" i="54"/>
  <c r="J60" i="54"/>
  <c r="I60" i="54"/>
  <c r="M59" i="54"/>
  <c r="K59" i="54"/>
  <c r="L59" i="54"/>
  <c r="P59" i="54"/>
  <c r="O59" i="54"/>
  <c r="N59" i="54"/>
  <c r="J59" i="54"/>
  <c r="I59" i="54"/>
  <c r="Q59" i="54"/>
  <c r="R59" i="54"/>
  <c r="P61" i="54"/>
  <c r="J61" i="54"/>
  <c r="R61" i="54"/>
  <c r="I61" i="54"/>
  <c r="Q61" i="54"/>
  <c r="K61" i="54"/>
  <c r="L61" i="54"/>
  <c r="M61" i="54"/>
  <c r="N61" i="54"/>
  <c r="O61" i="54"/>
  <c r="K58" i="54"/>
  <c r="Q58" i="54"/>
  <c r="I58" i="54"/>
  <c r="R58" i="54"/>
  <c r="J58" i="54"/>
  <c r="M58" i="54"/>
  <c r="L58" i="54"/>
  <c r="P58" i="54"/>
  <c r="O58" i="54"/>
  <c r="N58" i="54"/>
  <c r="J63" i="54"/>
  <c r="R63" i="54"/>
  <c r="K63" i="54"/>
  <c r="L63" i="54"/>
  <c r="M63" i="54"/>
  <c r="N63" i="54"/>
  <c r="O63" i="54"/>
  <c r="P63" i="54"/>
  <c r="Q63" i="54"/>
  <c r="I63" i="54"/>
  <c r="M55" i="54"/>
  <c r="L55" i="54"/>
  <c r="K55" i="54"/>
  <c r="O55" i="54"/>
  <c r="N55" i="54"/>
  <c r="J55" i="54"/>
  <c r="I55" i="54"/>
  <c r="R55" i="54"/>
  <c r="Q55" i="54"/>
  <c r="P55" i="54"/>
  <c r="R30" i="55"/>
  <c r="R125" i="40"/>
  <c r="T125" i="40"/>
  <c r="R126" i="40"/>
  <c r="R127" i="40" s="1"/>
  <c r="AE19" i="39" a="1"/>
  <c r="AF9" i="39" a="1"/>
  <c r="AE14" i="39" a="1"/>
  <c r="T124" i="40"/>
  <c r="T126" i="40"/>
  <c r="T127" i="40"/>
  <c r="R31" i="57"/>
  <c r="R32" i="57" s="1"/>
  <c r="R33" i="57" s="1"/>
  <c r="T33" i="57" s="1"/>
  <c r="T31" i="57"/>
  <c r="T32" i="57"/>
  <c r="R34" i="57"/>
  <c r="T34" i="57" s="1"/>
  <c r="R35" i="57"/>
  <c r="AF14" i="39" a="1"/>
  <c r="AF19" i="39" a="1"/>
  <c r="T30" i="55"/>
  <c r="R36" i="57"/>
  <c r="T35" i="57"/>
  <c r="R37" i="57"/>
  <c r="T36" i="57"/>
  <c r="T37" i="57"/>
  <c r="R38" i="57"/>
  <c r="R39" i="57"/>
  <c r="T38" i="57"/>
  <c r="R40" i="57"/>
  <c r="T39" i="57"/>
  <c r="R41" i="57"/>
  <c r="T40" i="57"/>
  <c r="T41" i="57"/>
  <c r="R42" i="57"/>
  <c r="T42" i="57"/>
  <c r="R43" i="57"/>
  <c r="R44" i="57"/>
  <c r="T43" i="57"/>
  <c r="T44" i="57"/>
  <c r="R45" i="57"/>
  <c r="T45" i="57" s="1"/>
  <c r="AF10" i="39" l="1"/>
  <c r="AF9" i="39"/>
  <c r="AE19" i="39"/>
  <c r="AE21" i="39"/>
  <c r="AE20" i="39"/>
  <c r="AF21" i="39"/>
  <c r="AF20" i="39"/>
  <c r="AF19" i="39"/>
  <c r="AF16" i="39"/>
  <c r="AF14" i="39"/>
  <c r="AF15" i="39"/>
  <c r="AE14" i="39"/>
  <c r="AE16" i="39"/>
  <c r="AE15" i="39"/>
  <c r="R31" i="55"/>
  <c r="R46" i="57"/>
  <c r="T46" i="57"/>
  <c r="R128" i="40"/>
  <c r="R32" i="55"/>
  <c r="R129" i="40"/>
  <c r="T32" i="55"/>
  <c r="R130" i="40"/>
  <c r="T129" i="40"/>
  <c r="R131" i="40"/>
  <c r="T131" i="40"/>
  <c r="R132" i="40"/>
  <c r="R133" i="40"/>
  <c r="T133" i="40"/>
  <c r="R134" i="40"/>
  <c r="R135" i="40"/>
  <c r="T134" i="40"/>
  <c r="R136" i="40"/>
  <c r="T136" i="40"/>
  <c r="R137" i="40"/>
  <c r="T137" i="40"/>
  <c r="AL9" i="39" l="1" a="1"/>
  <c r="AL14" i="39" a="1"/>
  <c r="AL19" i="39" a="1"/>
  <c r="AL10" i="39"/>
  <c r="AM9" i="39"/>
  <c r="AL9" i="39"/>
  <c r="AM10" i="39"/>
  <c r="T135" i="40"/>
  <c r="T128" i="40"/>
  <c r="T31" i="55"/>
  <c r="T132" i="40"/>
  <c r="T130" i="40"/>
  <c r="R47" i="57"/>
  <c r="R138" i="40"/>
  <c r="R33" i="55"/>
  <c r="T47" i="57"/>
  <c r="R48" i="57"/>
  <c r="T48" i="57" s="1"/>
  <c r="R139" i="40"/>
  <c r="T138" i="40"/>
  <c r="T33" i="55"/>
  <c r="R140" i="40"/>
  <c r="T139" i="40"/>
  <c r="R141" i="40"/>
  <c r="AL19" i="39" l="1"/>
  <c r="AN21" i="39"/>
  <c r="AN19" i="39"/>
  <c r="AL20" i="39"/>
  <c r="AM20" i="39"/>
  <c r="AM19" i="39"/>
  <c r="AM21" i="39"/>
  <c r="AL21" i="39"/>
  <c r="AN20" i="39"/>
  <c r="AL15" i="39"/>
  <c r="AM15" i="39"/>
  <c r="AL14" i="39"/>
  <c r="AN14" i="39"/>
  <c r="AM16" i="39"/>
  <c r="AL16" i="39"/>
  <c r="AM14" i="39"/>
  <c r="AN15" i="39"/>
  <c r="AN16" i="39"/>
  <c r="R34" i="55"/>
  <c r="R142" i="40"/>
  <c r="R143" i="40"/>
  <c r="R144" i="40"/>
  <c r="T142" i="40"/>
  <c r="AR14" i="54" a="1"/>
  <c r="R49" i="57"/>
  <c r="R50" i="57" s="1"/>
  <c r="T143" i="40"/>
  <c r="T144" i="40"/>
  <c r="R145" i="40"/>
  <c r="R146" i="40"/>
  <c r="T146" i="40" s="1"/>
  <c r="T140" i="40"/>
  <c r="T141" i="40"/>
  <c r="T49" i="57"/>
  <c r="T145" i="40"/>
  <c r="AF5" i="54" a="1"/>
  <c r="AK19" i="54" a="1"/>
  <c r="T34" i="55"/>
  <c r="R51" i="57"/>
  <c r="T50" i="57"/>
  <c r="R52" i="57"/>
  <c r="T51" i="57"/>
  <c r="T52" i="57"/>
  <c r="R53" i="57"/>
  <c r="R54" i="57"/>
  <c r="T54" i="57" s="1"/>
  <c r="T53" i="57"/>
  <c r="AR14" i="54" l="1"/>
  <c r="AR15" i="54"/>
  <c r="AR16" i="54"/>
  <c r="AF6" i="54"/>
  <c r="AF5" i="54"/>
  <c r="AK20" i="54"/>
  <c r="AK21" i="54"/>
  <c r="AK19" i="54"/>
  <c r="AR19" i="54" a="1"/>
  <c r="AQ19" i="54" a="1"/>
  <c r="AS14" i="54" a="1"/>
  <c r="AQ14" i="54" a="1"/>
  <c r="AF19" i="54" a="1"/>
  <c r="AE14" i="54" a="1"/>
  <c r="AS5" i="54" a="1"/>
  <c r="AE19" i="54" a="1"/>
  <c r="R35" i="55"/>
  <c r="R147" i="40"/>
  <c r="T147" i="40" s="1"/>
  <c r="R55" i="57"/>
  <c r="R56" i="57" s="1"/>
  <c r="T56" i="57" s="1"/>
  <c r="T55" i="57"/>
  <c r="AK14" i="54" a="1"/>
  <c r="R36" i="55"/>
  <c r="T36" i="55"/>
  <c r="AL5" i="54" l="1" a="1"/>
  <c r="AM5" i="54" s="1"/>
  <c r="AQ20" i="54"/>
  <c r="AQ21" i="54"/>
  <c r="AQ19" i="54"/>
  <c r="AR20" i="54"/>
  <c r="AR21" i="54"/>
  <c r="AR19" i="54"/>
  <c r="AE21" i="54"/>
  <c r="AE19" i="54"/>
  <c r="AE20" i="54"/>
  <c r="AQ16" i="54"/>
  <c r="AQ14" i="54"/>
  <c r="AQ15" i="54"/>
  <c r="AS6" i="54"/>
  <c r="AS5" i="54"/>
  <c r="AS14" i="54"/>
  <c r="AS15" i="54"/>
  <c r="AS16" i="54"/>
  <c r="AE16" i="54"/>
  <c r="AE14" i="54"/>
  <c r="AE15" i="54"/>
  <c r="AK16" i="54"/>
  <c r="AK14" i="54"/>
  <c r="AK15" i="54"/>
  <c r="AF19" i="54"/>
  <c r="AF20" i="54"/>
  <c r="AF21" i="54"/>
  <c r="T35" i="55"/>
  <c r="R57" i="57"/>
  <c r="R148" i="40"/>
  <c r="T57" i="57"/>
  <c r="R37" i="55"/>
  <c r="AK9" i="54" a="1"/>
  <c r="T37" i="55"/>
  <c r="AL5" i="54" l="1"/>
  <c r="AM6" i="54"/>
  <c r="AL6" i="54"/>
  <c r="AX14" i="54" a="1"/>
  <c r="AY14" i="54" s="1"/>
  <c r="AL19" i="54" a="1"/>
  <c r="AL21" i="54" s="1"/>
  <c r="AK9" i="54"/>
  <c r="AK10" i="54"/>
  <c r="R58" i="57"/>
  <c r="T58" i="57"/>
  <c r="R38" i="55"/>
  <c r="T148" i="40"/>
  <c r="R149" i="40"/>
  <c r="T38" i="55"/>
  <c r="T149" i="40"/>
  <c r="R150" i="40"/>
  <c r="AX14" i="54" l="1"/>
  <c r="AZ16" i="54"/>
  <c r="AZ15" i="54"/>
  <c r="AY15" i="54"/>
  <c r="AX16" i="54"/>
  <c r="AX15" i="54"/>
  <c r="AY16" i="54"/>
  <c r="AZ14" i="54"/>
  <c r="AM20" i="54"/>
  <c r="AL20" i="54"/>
  <c r="AM21" i="54"/>
  <c r="AN21" i="54"/>
  <c r="AN20" i="54"/>
  <c r="AM19" i="54"/>
  <c r="AN19" i="54"/>
  <c r="AL19" i="54"/>
  <c r="R151" i="40"/>
  <c r="R59" i="57"/>
  <c r="R60" i="57" s="1"/>
  <c r="T150" i="40"/>
  <c r="R39" i="55"/>
  <c r="T59" i="57"/>
  <c r="T60" i="57"/>
  <c r="AW14" i="54" a="1"/>
  <c r="R40" i="55"/>
  <c r="T39" i="55"/>
  <c r="T40" i="55"/>
  <c r="R41" i="55"/>
  <c r="R42" i="55"/>
  <c r="T42" i="55"/>
  <c r="AI19" i="54" l="1" a="1"/>
  <c r="AI19" i="54" s="1"/>
  <c r="T30" i="54" s="1"/>
  <c r="AW14" i="54"/>
  <c r="AW15" i="54"/>
  <c r="AW16" i="54"/>
  <c r="T41" i="55"/>
  <c r="AF9" i="54" a="1"/>
  <c r="R152" i="40"/>
  <c r="R61" i="57"/>
  <c r="T61" i="57" s="1"/>
  <c r="R43" i="55"/>
  <c r="T151" i="40"/>
  <c r="R44" i="55"/>
  <c r="T44" i="55"/>
  <c r="AI20" i="54" l="1"/>
  <c r="T29" i="54" s="1"/>
  <c r="AI21" i="54"/>
  <c r="T28" i="54" s="1"/>
  <c r="AU14" i="54" a="1"/>
  <c r="AU14" i="54" s="1"/>
  <c r="V30" i="54" s="1"/>
  <c r="AF9" i="54"/>
  <c r="T43" i="55"/>
  <c r="T152" i="40"/>
  <c r="R153" i="40"/>
  <c r="T153" i="40"/>
  <c r="R45" i="55"/>
  <c r="R62" i="57"/>
  <c r="T62" i="57" s="1"/>
  <c r="R46" i="55"/>
  <c r="T46" i="55"/>
  <c r="T35" i="54" l="1"/>
  <c r="BH5" i="54" s="1"/>
  <c r="AU16" i="54"/>
  <c r="V28" i="54" s="1"/>
  <c r="AU15" i="54"/>
  <c r="V29" i="54" s="1"/>
  <c r="AF10" i="54"/>
  <c r="AL9" i="54" s="1" a="1"/>
  <c r="T45" i="55"/>
  <c r="AS19" i="54" a="1"/>
  <c r="R154" i="40"/>
  <c r="R47" i="55"/>
  <c r="R63" i="57"/>
  <c r="T63" i="57" s="1"/>
  <c r="R64" i="57"/>
  <c r="T64" i="57" s="1"/>
  <c r="R48" i="55"/>
  <c r="R49" i="55"/>
  <c r="T49" i="55"/>
  <c r="V35" i="54" l="1"/>
  <c r="BJ5" i="54" s="1"/>
  <c r="AL10" i="54"/>
  <c r="AL9" i="54"/>
  <c r="AM10" i="54"/>
  <c r="AM9" i="54"/>
  <c r="AS19" i="54"/>
  <c r="AS20" i="54"/>
  <c r="AS21" i="54"/>
  <c r="T48" i="55"/>
  <c r="R155" i="40"/>
  <c r="T47" i="55"/>
  <c r="R65" i="57"/>
  <c r="T154" i="40"/>
  <c r="T65" i="57"/>
  <c r="R50" i="55"/>
  <c r="AS9" i="54" a="1"/>
  <c r="R51" i="55"/>
  <c r="R52" i="55"/>
  <c r="R53" i="55"/>
  <c r="T53" i="55"/>
  <c r="AX19" i="54" l="1" a="1"/>
  <c r="AI9" i="54" a="1"/>
  <c r="AS10" i="54"/>
  <c r="AS9" i="54"/>
  <c r="T52" i="55"/>
  <c r="R156" i="40"/>
  <c r="T51" i="55"/>
  <c r="R66" i="57"/>
  <c r="T66" i="57"/>
  <c r="T50" i="55"/>
  <c r="AF14" i="54" a="1"/>
  <c r="R54" i="55"/>
  <c r="T155" i="40"/>
  <c r="R55" i="55"/>
  <c r="R56" i="55"/>
  <c r="R57" i="55"/>
  <c r="T57" i="55"/>
  <c r="AI10" i="54" l="1"/>
  <c r="S28" i="54" s="1"/>
  <c r="AI9" i="54"/>
  <c r="S29" i="54" s="1"/>
  <c r="AZ21" i="54"/>
  <c r="AY20" i="54"/>
  <c r="AX19" i="54"/>
  <c r="AZ20" i="54"/>
  <c r="AX21" i="54"/>
  <c r="AX20" i="54"/>
  <c r="AY19" i="54"/>
  <c r="AZ19" i="54"/>
  <c r="AY21" i="54"/>
  <c r="AF14" i="54"/>
  <c r="AF15" i="54"/>
  <c r="AF16" i="54"/>
  <c r="T56" i="55"/>
  <c r="T55" i="55"/>
  <c r="T54" i="55"/>
  <c r="R67" i="57"/>
  <c r="T67" i="57" s="1"/>
  <c r="R58" i="55"/>
  <c r="R157" i="40"/>
  <c r="T157" i="40" s="1"/>
  <c r="T156" i="40"/>
  <c r="AK5" i="54" a="1"/>
  <c r="R59" i="55"/>
  <c r="R60" i="55"/>
  <c r="T60" i="55"/>
  <c r="AL14" i="54" l="1" a="1"/>
  <c r="S35" i="54"/>
  <c r="BG5" i="54" s="1"/>
  <c r="AK5" i="54"/>
  <c r="AK6" i="54"/>
  <c r="T59" i="55"/>
  <c r="T58" i="55"/>
  <c r="R158" i="40"/>
  <c r="R159" i="40" s="1"/>
  <c r="R68" i="57"/>
  <c r="T68" i="57" s="1"/>
  <c r="R61" i="55"/>
  <c r="AW19" i="54" a="1"/>
  <c r="T61" i="55"/>
  <c r="AI5" i="54" l="1" a="1"/>
  <c r="AI6" i="54" s="1"/>
  <c r="G28" i="54" s="1"/>
  <c r="AN14" i="54"/>
  <c r="AL16" i="54"/>
  <c r="AL15" i="54"/>
  <c r="AM16" i="54"/>
  <c r="AM15" i="54"/>
  <c r="AN16" i="54"/>
  <c r="AN15" i="54"/>
  <c r="AL14" i="54"/>
  <c r="AM14" i="54"/>
  <c r="AW19" i="54"/>
  <c r="AW20" i="54"/>
  <c r="AW21" i="54"/>
  <c r="R69" i="57"/>
  <c r="T158" i="40"/>
  <c r="R62" i="55"/>
  <c r="T159" i="40"/>
  <c r="R160" i="40"/>
  <c r="T69" i="57"/>
  <c r="AW9" i="54" a="1"/>
  <c r="R63" i="55"/>
  <c r="R64" i="55"/>
  <c r="R65" i="55"/>
  <c r="T65" i="55"/>
  <c r="AI5" i="54" l="1"/>
  <c r="G29" i="54" s="1"/>
  <c r="G35" i="54" s="1"/>
  <c r="BE5" i="54" s="1"/>
  <c r="AU19" i="54" a="1"/>
  <c r="AI14" i="54" a="1"/>
  <c r="AW10" i="54"/>
  <c r="AW9" i="54"/>
  <c r="T64" i="55"/>
  <c r="R70" i="57"/>
  <c r="T63" i="55"/>
  <c r="R161" i="40"/>
  <c r="T62" i="55"/>
  <c r="T160" i="40"/>
  <c r="R66" i="55"/>
  <c r="T161" i="40"/>
  <c r="R67" i="55"/>
  <c r="R68" i="55"/>
  <c r="R69" i="55"/>
  <c r="T69" i="55"/>
  <c r="AI15" i="54" l="1"/>
  <c r="H29" i="54" s="1"/>
  <c r="AI14" i="54"/>
  <c r="H30" i="54" s="1"/>
  <c r="AI16" i="54"/>
  <c r="H28" i="54" s="1"/>
  <c r="AU21" i="54"/>
  <c r="X28" i="54" s="1"/>
  <c r="AU19" i="54"/>
  <c r="X30" i="54" s="1"/>
  <c r="AU20" i="54"/>
  <c r="X29" i="54" s="1"/>
  <c r="T68" i="55"/>
  <c r="T67" i="55"/>
  <c r="T66" i="55"/>
  <c r="R162" i="40"/>
  <c r="R70" i="55"/>
  <c r="T70" i="57"/>
  <c r="T162" i="40"/>
  <c r="BL1" i="54"/>
  <c r="BL25" i="54"/>
  <c r="BL58" i="54"/>
  <c r="BL20" i="54"/>
  <c r="BL55" i="54"/>
  <c r="BL34" i="54"/>
  <c r="BL32" i="54"/>
  <c r="BL63" i="54"/>
  <c r="BL57" i="54"/>
  <c r="BL47" i="54"/>
  <c r="BL21" i="54"/>
  <c r="BL41" i="54"/>
  <c r="BL69" i="54"/>
  <c r="BL65" i="54"/>
  <c r="BL48" i="54"/>
  <c r="BL8" i="54"/>
  <c r="BL56" i="54"/>
  <c r="BL38" i="54"/>
  <c r="BL17" i="54"/>
  <c r="BL37" i="54"/>
  <c r="BL67" i="54"/>
  <c r="BJ1" i="54"/>
  <c r="BL52" i="54"/>
  <c r="BJ29" i="54"/>
  <c r="BL49" i="54"/>
  <c r="BJ69" i="54"/>
  <c r="BL64" i="54"/>
  <c r="BJ23" i="54"/>
  <c r="BJ50" i="54"/>
  <c r="BL44" i="54"/>
  <c r="BL26" i="54"/>
  <c r="BJ40" i="54"/>
  <c r="BJ22" i="54"/>
  <c r="BL28" i="54"/>
  <c r="BL12" i="54"/>
  <c r="BJ10" i="54"/>
  <c r="BL60" i="54"/>
  <c r="BJ67" i="54"/>
  <c r="BJ55" i="54"/>
  <c r="BJ15" i="54"/>
  <c r="BJ52" i="54"/>
  <c r="BJ72" i="54"/>
  <c r="BJ39" i="54"/>
  <c r="BJ19" i="54"/>
  <c r="BL61" i="54"/>
  <c r="BL14" i="54"/>
  <c r="BJ35" i="54"/>
  <c r="BJ20" i="54"/>
  <c r="BJ38" i="54"/>
  <c r="BJ42" i="54"/>
  <c r="BJ53" i="54"/>
  <c r="BL29" i="54"/>
  <c r="BL6" i="54"/>
  <c r="BL45" i="54"/>
  <c r="BL68" i="54"/>
  <c r="BL46" i="54"/>
  <c r="BL16" i="54"/>
  <c r="BL10" i="54"/>
  <c r="BL70" i="54"/>
  <c r="BJ56" i="54"/>
  <c r="BL33" i="54"/>
  <c r="BJ46" i="54"/>
  <c r="BJ7" i="54"/>
  <c r="BL71" i="54"/>
  <c r="BL31" i="54"/>
  <c r="BJ51" i="54"/>
  <c r="BJ41" i="54"/>
  <c r="BL43" i="54"/>
  <c r="BL27" i="54"/>
  <c r="BJ59" i="54"/>
  <c r="BJ64" i="54"/>
  <c r="BJ18" i="54"/>
  <c r="BJ66" i="54"/>
  <c r="BJ17" i="54"/>
  <c r="BJ25" i="54"/>
  <c r="BL35" i="54"/>
  <c r="BL62" i="54"/>
  <c r="BL18" i="54"/>
  <c r="BL51" i="54"/>
  <c r="BL13" i="54"/>
  <c r="BL7" i="54"/>
  <c r="BL19" i="54"/>
  <c r="BL59" i="54"/>
  <c r="BJ54" i="54"/>
  <c r="BJ44" i="54"/>
  <c r="BL30" i="54"/>
  <c r="BL36" i="54"/>
  <c r="BJ31" i="54"/>
  <c r="BL24" i="54"/>
  <c r="BJ62" i="54"/>
  <c r="BJ26" i="54"/>
  <c r="BL15" i="54"/>
  <c r="BJ11" i="54"/>
  <c r="BL54" i="54"/>
  <c r="BJ48" i="54"/>
  <c r="BL9" i="54"/>
  <c r="BJ68" i="54"/>
  <c r="BL40" i="54"/>
  <c r="BJ49" i="54"/>
  <c r="BJ34" i="54"/>
  <c r="BJ30" i="54"/>
  <c r="BJ21" i="54"/>
  <c r="BJ60" i="54"/>
  <c r="BJ28" i="54"/>
  <c r="BJ71" i="54"/>
  <c r="BL66" i="54"/>
  <c r="BL72" i="54"/>
  <c r="BL50" i="54"/>
  <c r="BL23" i="54"/>
  <c r="BJ36" i="54"/>
  <c r="BJ70" i="54"/>
  <c r="BJ43" i="54"/>
  <c r="BJ24" i="54"/>
  <c r="BJ12" i="54"/>
  <c r="BJ27" i="54"/>
  <c r="BJ33" i="54"/>
  <c r="BJ57" i="54"/>
  <c r="BJ13" i="54"/>
  <c r="BJ65" i="54"/>
  <c r="BJ32" i="54"/>
  <c r="BJ9" i="54"/>
  <c r="BJ37" i="54"/>
  <c r="BJ47" i="54"/>
  <c r="R71" i="55"/>
  <c r="R72" i="55"/>
  <c r="T72" i="55"/>
  <c r="R73" i="55"/>
  <c r="R74" i="55"/>
  <c r="T73" i="55"/>
  <c r="R75" i="55"/>
  <c r="T74" i="55"/>
  <c r="R76" i="55"/>
  <c r="T75" i="55"/>
  <c r="T76" i="55"/>
  <c r="R77" i="55"/>
  <c r="T77" i="55"/>
  <c r="R78" i="55"/>
  <c r="T78" i="55"/>
  <c r="R79" i="55"/>
  <c r="R80" i="55"/>
  <c r="T79" i="55"/>
  <c r="T80" i="55"/>
  <c r="R81" i="55"/>
  <c r="T81" i="55"/>
  <c r="R82" i="55"/>
  <c r="T82" i="55"/>
  <c r="R83" i="55"/>
  <c r="R84" i="55"/>
  <c r="T83" i="55"/>
  <c r="T84" i="55"/>
  <c r="R85" i="55"/>
  <c r="R86" i="55"/>
  <c r="T85" i="55"/>
  <c r="T86" i="55"/>
  <c r="R87" i="55"/>
  <c r="R88" i="55"/>
  <c r="T87" i="55"/>
  <c r="R89" i="55"/>
  <c r="T88" i="55"/>
  <c r="R90" i="55"/>
  <c r="T89" i="55"/>
  <c r="T90" i="55"/>
  <c r="R91" i="55"/>
  <c r="R92" i="55"/>
  <c r="T91" i="55"/>
  <c r="R93" i="55"/>
  <c r="T92" i="55"/>
  <c r="R94" i="55"/>
  <c r="T93" i="55"/>
  <c r="T94" i="55"/>
  <c r="R95" i="55"/>
  <c r="R96" i="55"/>
  <c r="T95" i="55"/>
  <c r="T96" i="55"/>
  <c r="R97" i="55"/>
  <c r="R98" i="55"/>
  <c r="T97" i="55"/>
  <c r="T98" i="55"/>
  <c r="R99" i="55"/>
  <c r="T99" i="55"/>
  <c r="R100" i="55"/>
  <c r="T100" i="55"/>
  <c r="R101" i="55"/>
  <c r="T101" i="55"/>
  <c r="R102" i="55"/>
  <c r="T102" i="55"/>
  <c r="R103" i="55"/>
  <c r="T103" i="55"/>
  <c r="R104" i="55"/>
  <c r="T104" i="55"/>
  <c r="R105" i="55"/>
  <c r="T105" i="55"/>
  <c r="R106" i="55"/>
  <c r="T106" i="55"/>
  <c r="R107" i="55"/>
  <c r="T107" i="55"/>
  <c r="R108" i="55"/>
  <c r="R109" i="55"/>
  <c r="T108" i="55"/>
  <c r="T109" i="55"/>
  <c r="R110" i="55"/>
  <c r="T110" i="55"/>
  <c r="R111" i="55"/>
  <c r="R112" i="55"/>
  <c r="T111" i="55"/>
  <c r="T112" i="55"/>
  <c r="R113" i="55"/>
  <c r="R114" i="55"/>
  <c r="T113" i="55"/>
  <c r="T114" i="55"/>
  <c r="R115" i="55"/>
  <c r="R116" i="55"/>
  <c r="T115" i="55"/>
  <c r="T116" i="55"/>
  <c r="R117" i="55"/>
  <c r="R118" i="55"/>
  <c r="T117" i="55"/>
  <c r="T118" i="55"/>
  <c r="R119" i="55"/>
  <c r="R120" i="55"/>
  <c r="T119" i="55"/>
  <c r="R121" i="55"/>
  <c r="T120" i="55"/>
  <c r="R122" i="55"/>
  <c r="T121" i="55"/>
  <c r="T122" i="55"/>
  <c r="R123" i="55"/>
  <c r="R124" i="55"/>
  <c r="T123" i="55"/>
  <c r="R125" i="55"/>
  <c r="T124" i="55"/>
  <c r="R126" i="55"/>
  <c r="T125" i="55"/>
  <c r="T126" i="55"/>
  <c r="R127" i="55"/>
  <c r="R128" i="55"/>
  <c r="T127" i="55"/>
  <c r="T128" i="55"/>
  <c r="R129" i="55"/>
  <c r="R130" i="55"/>
  <c r="T129" i="55"/>
  <c r="R131" i="55"/>
  <c r="T130" i="55"/>
  <c r="R132" i="55"/>
  <c r="T131" i="55"/>
  <c r="T132" i="55"/>
  <c r="R133" i="55"/>
  <c r="R134" i="55"/>
  <c r="T133" i="55"/>
  <c r="R135" i="55"/>
  <c r="T134" i="55"/>
  <c r="T135" i="55"/>
  <c r="R136" i="55"/>
  <c r="R137" i="55"/>
  <c r="T136" i="55"/>
  <c r="T137" i="55"/>
  <c r="R138" i="55"/>
  <c r="R139" i="55"/>
  <c r="T138" i="55"/>
  <c r="T139" i="55"/>
  <c r="R140" i="55"/>
  <c r="R141" i="55"/>
  <c r="T140" i="55"/>
  <c r="T141" i="55"/>
  <c r="R142" i="55"/>
  <c r="R143" i="55"/>
  <c r="T142" i="55"/>
  <c r="T143" i="55"/>
  <c r="R144" i="55"/>
  <c r="R145" i="55"/>
  <c r="T144" i="55"/>
  <c r="T145" i="55"/>
  <c r="R146" i="55"/>
  <c r="R147" i="55"/>
  <c r="T146" i="55"/>
  <c r="T147" i="55"/>
  <c r="R148" i="55"/>
  <c r="R149" i="55"/>
  <c r="T148" i="55"/>
  <c r="R150" i="55"/>
  <c r="T149" i="55"/>
  <c r="R151" i="55"/>
  <c r="T150" i="55"/>
  <c r="R152" i="55"/>
  <c r="T151" i="55"/>
  <c r="T152" i="55"/>
  <c r="R153" i="55"/>
  <c r="R154" i="55"/>
  <c r="T153" i="55"/>
  <c r="R155" i="55"/>
  <c r="T154" i="55"/>
  <c r="R156" i="55"/>
  <c r="T155" i="55"/>
  <c r="T156" i="55"/>
  <c r="R157" i="55"/>
  <c r="R158" i="55"/>
  <c r="T157" i="55"/>
  <c r="R159" i="55"/>
  <c r="T158" i="55"/>
  <c r="R160" i="55"/>
  <c r="T159" i="55"/>
  <c r="R161" i="55"/>
  <c r="T160" i="55"/>
  <c r="R162" i="55"/>
  <c r="T161" i="55"/>
  <c r="T162" i="55"/>
  <c r="R163" i="55"/>
  <c r="R164" i="55"/>
  <c r="T163" i="55"/>
  <c r="R165" i="55"/>
  <c r="T164" i="55"/>
  <c r="R166" i="55"/>
  <c r="T165" i="55"/>
  <c r="R167" i="55"/>
  <c r="T166" i="55"/>
  <c r="R168" i="55"/>
  <c r="T167" i="55"/>
  <c r="T168" i="55"/>
  <c r="R169" i="55"/>
  <c r="T169" i="55"/>
  <c r="R170" i="55"/>
  <c r="R171" i="55"/>
  <c r="T170" i="55"/>
  <c r="R172" i="55"/>
  <c r="T171" i="55"/>
  <c r="R173" i="55"/>
  <c r="T172" i="55"/>
  <c r="R174" i="55"/>
  <c r="T173" i="55"/>
  <c r="T174" i="55"/>
  <c r="R175" i="55"/>
  <c r="R176" i="55"/>
  <c r="T175" i="55"/>
  <c r="T176" i="55"/>
  <c r="R177" i="55"/>
  <c r="T177" i="55"/>
  <c r="R178" i="55"/>
  <c r="R179" i="55"/>
  <c r="T178" i="55"/>
  <c r="R180" i="55"/>
  <c r="T179" i="55"/>
  <c r="T180" i="55"/>
  <c r="R181" i="55"/>
  <c r="T181" i="55"/>
  <c r="R182" i="55"/>
  <c r="R183" i="55"/>
  <c r="T182" i="55"/>
  <c r="T183" i="55"/>
  <c r="R184" i="55"/>
  <c r="R185" i="55"/>
  <c r="T184" i="55"/>
  <c r="R186" i="55"/>
  <c r="T185" i="55"/>
  <c r="T186" i="55"/>
  <c r="R187" i="55"/>
  <c r="T187" i="55"/>
  <c r="R188" i="55"/>
  <c r="R189" i="55"/>
  <c r="T188" i="55"/>
  <c r="T189" i="55"/>
  <c r="R190" i="55"/>
  <c r="R191" i="55"/>
  <c r="T190" i="55"/>
  <c r="T191" i="55"/>
  <c r="R192" i="55"/>
  <c r="T192" i="55"/>
  <c r="R193" i="55"/>
  <c r="R194" i="55"/>
  <c r="T193" i="55"/>
  <c r="T194" i="55"/>
  <c r="R195" i="55"/>
  <c r="T195" i="55"/>
  <c r="R196" i="55"/>
  <c r="T196" i="55"/>
  <c r="R197" i="55"/>
  <c r="T197" i="55"/>
  <c r="R198" i="55"/>
  <c r="R199" i="55"/>
  <c r="T198" i="55"/>
  <c r="R200" i="55"/>
  <c r="T199" i="55"/>
  <c r="R201" i="55"/>
  <c r="T200" i="55"/>
  <c r="R202" i="55"/>
  <c r="T201" i="55"/>
  <c r="T202" i="55"/>
  <c r="R203" i="55"/>
  <c r="R204" i="55"/>
  <c r="T203" i="55"/>
  <c r="T204" i="55"/>
  <c r="R205" i="55"/>
  <c r="R206" i="55"/>
  <c r="T205" i="55"/>
  <c r="T206" i="55"/>
  <c r="R207" i="55"/>
  <c r="R208" i="55"/>
  <c r="T207" i="55"/>
  <c r="T208" i="55"/>
  <c r="R209" i="55"/>
  <c r="R210" i="55"/>
  <c r="T209" i="55"/>
  <c r="R211" i="55"/>
  <c r="T210" i="55"/>
  <c r="T211" i="55"/>
  <c r="R212" i="55"/>
  <c r="R213" i="55"/>
  <c r="T212" i="55"/>
  <c r="T213" i="55"/>
  <c r="R214" i="55"/>
  <c r="R215" i="55"/>
  <c r="T214" i="55"/>
  <c r="T215" i="55"/>
  <c r="R216" i="55"/>
  <c r="T216" i="55"/>
  <c r="R217" i="55"/>
  <c r="R218" i="55"/>
  <c r="T217" i="55"/>
  <c r="T218" i="55"/>
  <c r="R219" i="55"/>
  <c r="T219" i="55"/>
  <c r="R220" i="55"/>
  <c r="R221" i="55"/>
  <c r="T220" i="55"/>
  <c r="T221" i="55"/>
  <c r="R222" i="55"/>
  <c r="T222" i="55"/>
  <c r="R223" i="55"/>
  <c r="T223" i="55"/>
  <c r="R224" i="55"/>
  <c r="T224" i="55"/>
  <c r="R225" i="55"/>
  <c r="T225" i="55"/>
  <c r="R226" i="55"/>
  <c r="R227" i="55"/>
  <c r="T226" i="55"/>
  <c r="T227" i="55"/>
  <c r="R228" i="55"/>
  <c r="R229" i="55"/>
  <c r="T228" i="55"/>
  <c r="T229" i="55"/>
  <c r="R230" i="55"/>
  <c r="T230" i="55"/>
  <c r="R231" i="55"/>
  <c r="T231" i="55"/>
  <c r="R232" i="55"/>
  <c r="T232" i="55"/>
  <c r="R233" i="55"/>
  <c r="T233" i="55"/>
  <c r="R234" i="55"/>
  <c r="T234" i="55"/>
  <c r="R235" i="55"/>
  <c r="T235" i="55"/>
  <c r="R236" i="55"/>
  <c r="R237" i="55"/>
  <c r="T236" i="55"/>
  <c r="T237" i="55"/>
  <c r="R238" i="55"/>
  <c r="T238" i="55"/>
  <c r="R239" i="55"/>
  <c r="T239" i="55"/>
  <c r="R240" i="55"/>
  <c r="T240" i="55"/>
  <c r="R241" i="55"/>
  <c r="R242" i="55"/>
  <c r="T241" i="55"/>
  <c r="R243" i="55"/>
  <c r="T242" i="55"/>
  <c r="T243" i="55"/>
  <c r="R244" i="55"/>
  <c r="T244" i="55"/>
  <c r="R245" i="55"/>
  <c r="T245" i="55"/>
  <c r="R246" i="55"/>
  <c r="T246" i="55"/>
  <c r="R247" i="55"/>
  <c r="T247" i="55"/>
  <c r="R248" i="55"/>
  <c r="R249" i="55"/>
  <c r="T248" i="55"/>
  <c r="R250" i="55"/>
  <c r="T249" i="55"/>
  <c r="R251" i="55"/>
  <c r="T250" i="55"/>
  <c r="T251" i="55"/>
  <c r="R252" i="55"/>
  <c r="R253" i="55"/>
  <c r="T252" i="55"/>
  <c r="R254" i="55"/>
  <c r="T253" i="55"/>
  <c r="R255" i="55"/>
  <c r="T254" i="55"/>
  <c r="T255" i="55"/>
  <c r="R256" i="55"/>
  <c r="R257" i="55"/>
  <c r="T256" i="55"/>
  <c r="T257" i="55"/>
  <c r="R258" i="55"/>
  <c r="T258" i="55"/>
  <c r="R259" i="55"/>
  <c r="T259" i="55"/>
  <c r="R260" i="55"/>
  <c r="T260" i="55"/>
  <c r="R261" i="55"/>
  <c r="T261" i="55"/>
  <c r="R262" i="55"/>
  <c r="X35" i="54" l="1"/>
  <c r="BL5" i="54" s="1"/>
  <c r="H35" i="54"/>
  <c r="BF5" i="54" s="1"/>
  <c r="T71" i="55"/>
  <c r="R163" i="40"/>
  <c r="T70" i="55"/>
  <c r="AR9" i="54" a="1"/>
  <c r="AR5" i="54" a="1"/>
  <c r="T262" i="55"/>
  <c r="BJ63" i="54"/>
  <c r="BJ8" i="54"/>
  <c r="BL53" i="54"/>
  <c r="BJ61" i="54"/>
  <c r="BJ45" i="54"/>
  <c r="BL22" i="54"/>
  <c r="BJ16" i="54"/>
  <c r="BJ14" i="54"/>
  <c r="BL42" i="54"/>
  <c r="BJ6" i="54"/>
  <c r="BJ58" i="54"/>
  <c r="BL39" i="54"/>
  <c r="BL11" i="54"/>
  <c r="AW5" i="54" a="1"/>
  <c r="AR9" i="54" l="1"/>
  <c r="AR10" i="54"/>
  <c r="AW6" i="54"/>
  <c r="AW5" i="54"/>
  <c r="AR5" i="54"/>
  <c r="AR6" i="54"/>
  <c r="R164" i="40"/>
  <c r="T163" i="40"/>
  <c r="G27" i="54"/>
  <c r="G44" i="54"/>
  <c r="G51" i="54"/>
  <c r="G39" i="54"/>
  <c r="T27" i="54"/>
  <c r="T51" i="54"/>
  <c r="T42" i="54"/>
  <c r="BE1" i="54"/>
  <c r="G46" i="54"/>
  <c r="BE25" i="54"/>
  <c r="BE66" i="54"/>
  <c r="BE24" i="54"/>
  <c r="T39" i="54"/>
  <c r="T49" i="54"/>
  <c r="T41" i="54"/>
  <c r="BE34" i="54"/>
  <c r="BE33" i="54"/>
  <c r="BE11" i="54"/>
  <c r="BE61" i="54"/>
  <c r="BE38" i="54"/>
  <c r="BE48" i="54"/>
  <c r="BE22" i="54"/>
  <c r="BE46" i="54"/>
  <c r="BE40" i="54"/>
  <c r="BE12" i="54"/>
  <c r="BE59" i="54"/>
  <c r="BE69" i="54"/>
  <c r="G42" i="54"/>
  <c r="G37" i="54"/>
  <c r="G49" i="54"/>
  <c r="G48" i="54"/>
  <c r="G40" i="54"/>
  <c r="G45" i="54"/>
  <c r="BE58" i="54"/>
  <c r="G43" i="54"/>
  <c r="BE28" i="54"/>
  <c r="BE32" i="54"/>
  <c r="BE8" i="54"/>
  <c r="T50" i="54"/>
  <c r="T38" i="54"/>
  <c r="T37" i="54"/>
  <c r="BE42" i="54"/>
  <c r="BE41" i="54"/>
  <c r="BE31" i="54"/>
  <c r="BE62" i="54"/>
  <c r="BE39" i="54"/>
  <c r="BE26" i="54"/>
  <c r="BE47" i="54"/>
  <c r="BE23" i="54"/>
  <c r="BE35" i="54"/>
  <c r="BE72" i="54"/>
  <c r="BE67" i="54"/>
  <c r="BE55" i="54"/>
  <c r="BE20" i="54"/>
  <c r="BE49" i="54"/>
  <c r="BE21" i="54"/>
  <c r="G41" i="54"/>
  <c r="X27" i="54"/>
  <c r="X43" i="54"/>
  <c r="S27" i="54"/>
  <c r="S40" i="54"/>
  <c r="X39" i="54"/>
  <c r="S46" i="54"/>
  <c r="BH1" i="54"/>
  <c r="BH18" i="54"/>
  <c r="BH56" i="54"/>
  <c r="BH39" i="54"/>
  <c r="BH37" i="54"/>
  <c r="BH45" i="54"/>
  <c r="BH42" i="54"/>
  <c r="G36" i="54"/>
  <c r="G50" i="54"/>
  <c r="BE56" i="54"/>
  <c r="BE36" i="54"/>
  <c r="BE51" i="54"/>
  <c r="BE13" i="54"/>
  <c r="BE50" i="54"/>
  <c r="T44" i="54"/>
  <c r="BH61" i="54"/>
  <c r="BH47" i="54"/>
  <c r="BH13" i="54"/>
  <c r="BH10" i="54"/>
  <c r="BH28" i="54"/>
  <c r="BH16" i="54"/>
  <c r="X47" i="54"/>
  <c r="S37" i="54"/>
  <c r="T47" i="54"/>
  <c r="T40" i="54"/>
  <c r="BH43" i="54"/>
  <c r="BH54" i="54"/>
  <c r="BH24" i="54"/>
  <c r="BH51" i="54"/>
  <c r="BH52" i="54"/>
  <c r="BH19" i="54"/>
  <c r="BE16" i="54"/>
  <c r="BE71" i="54"/>
  <c r="BE57" i="54"/>
  <c r="BE15" i="54"/>
  <c r="BE44" i="54"/>
  <c r="BE27" i="54"/>
  <c r="BE68" i="54"/>
  <c r="BE37" i="54"/>
  <c r="BE53" i="54"/>
  <c r="BE65" i="54"/>
  <c r="BE9" i="54"/>
  <c r="H27" i="54"/>
  <c r="G47" i="54"/>
  <c r="X48" i="54"/>
  <c r="X46" i="54"/>
  <c r="H45" i="54"/>
  <c r="H49" i="54"/>
  <c r="S47" i="54"/>
  <c r="X38" i="54"/>
  <c r="G38" i="54"/>
  <c r="H50" i="54"/>
  <c r="T46" i="54"/>
  <c r="BH11" i="54"/>
  <c r="BH40" i="54"/>
  <c r="BH17" i="54"/>
  <c r="BH31" i="54"/>
  <c r="BH14" i="54"/>
  <c r="V27" i="54"/>
  <c r="S51" i="54"/>
  <c r="S48" i="54"/>
  <c r="S50" i="54"/>
  <c r="T36" i="54"/>
  <c r="BE54" i="54"/>
  <c r="BE30" i="54"/>
  <c r="BE60" i="54"/>
  <c r="BE29" i="54"/>
  <c r="T43" i="54"/>
  <c r="BH57" i="54"/>
  <c r="BH38" i="54"/>
  <c r="BH35" i="54"/>
  <c r="BH9" i="54"/>
  <c r="BH44" i="54"/>
  <c r="X50" i="54"/>
  <c r="S45" i="54"/>
  <c r="S49" i="54"/>
  <c r="T48" i="54"/>
  <c r="T45" i="54"/>
  <c r="BH30" i="54"/>
  <c r="BH41" i="54"/>
  <c r="BH6" i="54"/>
  <c r="BH48" i="54"/>
  <c r="BH27" i="54"/>
  <c r="BH25" i="54"/>
  <c r="V45" i="54"/>
  <c r="V41" i="54"/>
  <c r="V50" i="54"/>
  <c r="BE17" i="54"/>
  <c r="BE45" i="54"/>
  <c r="BE10" i="54"/>
  <c r="BE63" i="54"/>
  <c r="BE7" i="54"/>
  <c r="BE70" i="54"/>
  <c r="BE43" i="54"/>
  <c r="BE6" i="54"/>
  <c r="BE19" i="54"/>
  <c r="BE14" i="54"/>
  <c r="BE64" i="54"/>
  <c r="BE18" i="54"/>
  <c r="BE52" i="54"/>
  <c r="X51" i="54"/>
  <c r="X42" i="54"/>
  <c r="X49" i="54"/>
  <c r="X45" i="54"/>
  <c r="X41" i="54"/>
  <c r="X36" i="54"/>
  <c r="X40" i="54"/>
  <c r="X37" i="54"/>
  <c r="X44" i="54"/>
  <c r="S43" i="54"/>
  <c r="S36" i="54"/>
  <c r="S42" i="54"/>
  <c r="S41" i="54"/>
  <c r="S39" i="54"/>
  <c r="S44" i="54"/>
  <c r="BG1" i="54"/>
  <c r="S38" i="54"/>
  <c r="BH15" i="54"/>
  <c r="BH46" i="54"/>
  <c r="BH69" i="54"/>
  <c r="BH22" i="54"/>
  <c r="BH58" i="54"/>
  <c r="BH70" i="54"/>
  <c r="BH7" i="54"/>
  <c r="BH68" i="54"/>
  <c r="BH29" i="54"/>
  <c r="BH8" i="54"/>
  <c r="BH63" i="54"/>
  <c r="BH12" i="54"/>
  <c r="BH33" i="54"/>
  <c r="BH71" i="54"/>
  <c r="BH32" i="54"/>
  <c r="BH62" i="54"/>
  <c r="BH36" i="54"/>
  <c r="BH49" i="54"/>
  <c r="BH23" i="54"/>
  <c r="BH59" i="54"/>
  <c r="BH55" i="54"/>
  <c r="BH26" i="54"/>
  <c r="BH65" i="54"/>
  <c r="BH66" i="54"/>
  <c r="BH34" i="54"/>
  <c r="BH60" i="54"/>
  <c r="BH67" i="54"/>
  <c r="BH64" i="54"/>
  <c r="BH72" i="54"/>
  <c r="BH53" i="54"/>
  <c r="BH50" i="54"/>
  <c r="BH20" i="54"/>
  <c r="BH21" i="54"/>
  <c r="H44" i="54"/>
  <c r="H48" i="54"/>
  <c r="H42" i="54"/>
  <c r="H36" i="54"/>
  <c r="H41" i="54"/>
  <c r="BF1" i="54"/>
  <c r="H40" i="54"/>
  <c r="H39" i="54"/>
  <c r="H37" i="54"/>
  <c r="H46" i="54"/>
  <c r="H47" i="54"/>
  <c r="H51" i="54"/>
  <c r="H43" i="54"/>
  <c r="H38" i="54"/>
  <c r="V49" i="54"/>
  <c r="V46" i="54"/>
  <c r="V36" i="54"/>
  <c r="V40" i="54"/>
  <c r="V51" i="54"/>
  <c r="V47" i="54"/>
  <c r="V44" i="54"/>
  <c r="V43" i="54"/>
  <c r="V37" i="54"/>
  <c r="V39" i="54"/>
  <c r="V42" i="54"/>
  <c r="V48" i="54"/>
  <c r="V38" i="54"/>
  <c r="BG21" i="54"/>
  <c r="BG33" i="54"/>
  <c r="BG55" i="54"/>
  <c r="BG23" i="54"/>
  <c r="BG36" i="54"/>
  <c r="BG50" i="54"/>
  <c r="BG14" i="54"/>
  <c r="BG46" i="54"/>
  <c r="BG15" i="54"/>
  <c r="BG54" i="54"/>
  <c r="BG16" i="54"/>
  <c r="BG9" i="54"/>
  <c r="BG20" i="54"/>
  <c r="BG24" i="54"/>
  <c r="BG43" i="54"/>
  <c r="BG41" i="54"/>
  <c r="BG47" i="54"/>
  <c r="BG66" i="54"/>
  <c r="BG12" i="54"/>
  <c r="BG35" i="54"/>
  <c r="BG64" i="54"/>
  <c r="BG65" i="54"/>
  <c r="BG44" i="54"/>
  <c r="BG67" i="54"/>
  <c r="BG69" i="54"/>
  <c r="BG71" i="54"/>
  <c r="BG17" i="54"/>
  <c r="BG68" i="54"/>
  <c r="BG32" i="54"/>
  <c r="BG59" i="54"/>
  <c r="BG40" i="54"/>
  <c r="BG56" i="54"/>
  <c r="BG7" i="54"/>
  <c r="BG8" i="54"/>
  <c r="BG57" i="54"/>
  <c r="BG34" i="54"/>
  <c r="BG31" i="54"/>
  <c r="BG70" i="54"/>
  <c r="BG30" i="54"/>
  <c r="BG28" i="54"/>
  <c r="BG19" i="54"/>
  <c r="BG51" i="54"/>
  <c r="BG13" i="54"/>
  <c r="BG11" i="54"/>
  <c r="BG58" i="54"/>
  <c r="BG60" i="54"/>
  <c r="BG37" i="54"/>
  <c r="BG48" i="54"/>
  <c r="BG53" i="54"/>
  <c r="BG26" i="54"/>
  <c r="BG29" i="54"/>
  <c r="BG61" i="54"/>
  <c r="BG6" i="54"/>
  <c r="BG38" i="54"/>
  <c r="BG72" i="54"/>
  <c r="BG49" i="54"/>
  <c r="BG18" i="54"/>
  <c r="BG39" i="54"/>
  <c r="BG42" i="54"/>
  <c r="BG52" i="54"/>
  <c r="BG27" i="54"/>
  <c r="BG22" i="54"/>
  <c r="BG62" i="54"/>
  <c r="BG25" i="54"/>
  <c r="BG45" i="54"/>
  <c r="BG63" i="54"/>
  <c r="BG10" i="54"/>
  <c r="BF26" i="54"/>
  <c r="BF54" i="54"/>
  <c r="BF16" i="54"/>
  <c r="BF8" i="54"/>
  <c r="BF72" i="54"/>
  <c r="BF36" i="54"/>
  <c r="BF17" i="54"/>
  <c r="BF15" i="54"/>
  <c r="BF33" i="54"/>
  <c r="BF70" i="54"/>
  <c r="BF47" i="54"/>
  <c r="BF28" i="54"/>
  <c r="BF31" i="54"/>
  <c r="BF7" i="54"/>
  <c r="BF56" i="54"/>
  <c r="BF55" i="54"/>
  <c r="BF18" i="54"/>
  <c r="BF44" i="54"/>
  <c r="BF24" i="54"/>
  <c r="BF51" i="54"/>
  <c r="BF48" i="54"/>
  <c r="BF63" i="54"/>
  <c r="BF41" i="54"/>
  <c r="BF40" i="54"/>
  <c r="BF19" i="54"/>
  <c r="BF45" i="54"/>
  <c r="BF34" i="54"/>
  <c r="BF58" i="54"/>
  <c r="BF22" i="54"/>
  <c r="BF38" i="54"/>
  <c r="BF59" i="54"/>
  <c r="BF60" i="54"/>
  <c r="BF66" i="54"/>
  <c r="BF61" i="54"/>
  <c r="BF12" i="54"/>
  <c r="BF43" i="54"/>
  <c r="BF10" i="54"/>
  <c r="BF27" i="54"/>
  <c r="BF49" i="54"/>
  <c r="BF35" i="54"/>
  <c r="BF25" i="54"/>
  <c r="BF30" i="54"/>
  <c r="BF67" i="54"/>
  <c r="BF46" i="54"/>
  <c r="BF42" i="54"/>
  <c r="BF29" i="54"/>
  <c r="BF37" i="54"/>
  <c r="BF69" i="54"/>
  <c r="BF64" i="54"/>
  <c r="BF11" i="54"/>
  <c r="BF65" i="54"/>
  <c r="BF68" i="54"/>
  <c r="BF53" i="54"/>
  <c r="BF21" i="54"/>
  <c r="BF57" i="54"/>
  <c r="BF14" i="54"/>
  <c r="BF9" i="54"/>
  <c r="BF32" i="54"/>
  <c r="BF23" i="54"/>
  <c r="BF13" i="54"/>
  <c r="BF50" i="54"/>
  <c r="BF52" i="54"/>
  <c r="BF20" i="54"/>
  <c r="BF62" i="54"/>
  <c r="BF71" i="54"/>
  <c r="BF6" i="54"/>
  <c r="BF39" i="54"/>
  <c r="AX9" i="54" l="1" a="1"/>
  <c r="AY9" i="54" s="1"/>
  <c r="AX5" i="54" a="1"/>
  <c r="AX6" i="54" s="1"/>
  <c r="T63" i="54"/>
  <c r="T62" i="54"/>
  <c r="T61" i="54"/>
  <c r="T56" i="54"/>
  <c r="T58" i="54"/>
  <c r="T57" i="54"/>
  <c r="T60" i="54"/>
  <c r="T59" i="54"/>
  <c r="T55" i="54"/>
  <c r="T54" i="54"/>
  <c r="X61" i="54"/>
  <c r="X63" i="54"/>
  <c r="X62" i="54"/>
  <c r="X55" i="54"/>
  <c r="X58" i="54"/>
  <c r="X57" i="54"/>
  <c r="X60" i="54"/>
  <c r="X54" i="54"/>
  <c r="G62" i="54"/>
  <c r="G61" i="54"/>
  <c r="G63" i="54"/>
  <c r="G54" i="54"/>
  <c r="G60" i="54"/>
  <c r="G57" i="54"/>
  <c r="G56" i="54"/>
  <c r="G55" i="54"/>
  <c r="G59" i="54"/>
  <c r="G58" i="54"/>
  <c r="S61" i="54"/>
  <c r="S62" i="54"/>
  <c r="S63" i="54"/>
  <c r="S57" i="54"/>
  <c r="S59" i="54"/>
  <c r="S54" i="54"/>
  <c r="H63" i="54"/>
  <c r="H61" i="54"/>
  <c r="H62" i="54"/>
  <c r="H55" i="54"/>
  <c r="H54" i="54"/>
  <c r="V63" i="54"/>
  <c r="V61" i="54"/>
  <c r="V62" i="54"/>
  <c r="X56" i="54"/>
  <c r="X59" i="54"/>
  <c r="H56" i="54"/>
  <c r="S55" i="54"/>
  <c r="S60" i="54"/>
  <c r="S56" i="54"/>
  <c r="V59" i="54"/>
  <c r="H58" i="54"/>
  <c r="V58" i="54"/>
  <c r="S58" i="54"/>
  <c r="V55" i="54"/>
  <c r="H59" i="54"/>
  <c r="V57" i="54"/>
  <c r="H57" i="54"/>
  <c r="V54" i="54"/>
  <c r="H60" i="54"/>
  <c r="V56" i="54"/>
  <c r="V60" i="54"/>
  <c r="AY5" i="54"/>
  <c r="T164" i="40"/>
  <c r="R165" i="40"/>
  <c r="AX9" i="54" l="1"/>
  <c r="AX10" i="54"/>
  <c r="AY10" i="54"/>
  <c r="AY6" i="54"/>
  <c r="AX5" i="54"/>
  <c r="AU9" i="54" a="1"/>
  <c r="AU10" i="54" s="1"/>
  <c r="W28" i="54" s="1"/>
  <c r="T165" i="40"/>
  <c r="R166" i="40"/>
  <c r="AU5" i="54" l="1" a="1"/>
  <c r="AU6" i="54" s="1"/>
  <c r="U28" i="54" s="1"/>
  <c r="AU9" i="54"/>
  <c r="W29" i="54" s="1"/>
  <c r="W35" i="54" s="1"/>
  <c r="BK5" i="54" s="1"/>
  <c r="R167" i="40"/>
  <c r="T166" i="40"/>
  <c r="BK1" i="54"/>
  <c r="BK71" i="54"/>
  <c r="W27" i="54"/>
  <c r="BK55" i="54"/>
  <c r="BK29" i="54"/>
  <c r="W36" i="54"/>
  <c r="BK51" i="54"/>
  <c r="BK47" i="54"/>
  <c r="BK33" i="54"/>
  <c r="BK16" i="54"/>
  <c r="BK24" i="54"/>
  <c r="BK32" i="54"/>
  <c r="W38" i="54"/>
  <c r="BK9" i="54"/>
  <c r="BK37" i="54"/>
  <c r="BK57" i="54"/>
  <c r="BK19" i="54"/>
  <c r="BK7" i="54"/>
  <c r="W47" i="54"/>
  <c r="W51" i="54"/>
  <c r="BK25" i="54"/>
  <c r="BK39" i="54"/>
  <c r="BK21" i="54"/>
  <c r="BK50" i="54"/>
  <c r="BK8" i="54"/>
  <c r="BK12" i="54"/>
  <c r="BK27" i="54"/>
  <c r="BK15" i="54"/>
  <c r="BK6" i="54"/>
  <c r="BK60" i="54"/>
  <c r="BK59" i="54"/>
  <c r="BK36" i="54"/>
  <c r="BK68" i="54"/>
  <c r="W37" i="54"/>
  <c r="W48" i="54"/>
  <c r="W43" i="54"/>
  <c r="BK52" i="54"/>
  <c r="BK54" i="54"/>
  <c r="BK69" i="54"/>
  <c r="BK58" i="54"/>
  <c r="W49" i="54"/>
  <c r="W40" i="54"/>
  <c r="Z25" i="54"/>
  <c r="BK28" i="54"/>
  <c r="BK22" i="54"/>
  <c r="BK70" i="54"/>
  <c r="BK65" i="54"/>
  <c r="W50" i="54"/>
  <c r="BK34" i="54"/>
  <c r="BK20" i="54"/>
  <c r="BK66" i="54"/>
  <c r="BK62" i="54"/>
  <c r="BK49" i="54"/>
  <c r="BK53" i="54"/>
  <c r="BK35" i="54"/>
  <c r="BK43" i="54"/>
  <c r="BK67" i="54"/>
  <c r="W44" i="54"/>
  <c r="BK13" i="54"/>
  <c r="BK30" i="54"/>
  <c r="BK26" i="54"/>
  <c r="W45" i="54"/>
  <c r="W41" i="54"/>
  <c r="BK48" i="54"/>
  <c r="BK23" i="54"/>
  <c r="BK42" i="54"/>
  <c r="BK17" i="54"/>
  <c r="BK64" i="54"/>
  <c r="BK72" i="54"/>
  <c r="BK14" i="54"/>
  <c r="BK45" i="54"/>
  <c r="BK11" i="54"/>
  <c r="BK38" i="54"/>
  <c r="BK41" i="54"/>
  <c r="BK63" i="54"/>
  <c r="BK61" i="54"/>
  <c r="W46" i="54"/>
  <c r="W42" i="54"/>
  <c r="BK18" i="54"/>
  <c r="BK40" i="54"/>
  <c r="BK44" i="54"/>
  <c r="BK56" i="54"/>
  <c r="BK46" i="54"/>
  <c r="BK10" i="54"/>
  <c r="BK31" i="54"/>
  <c r="W39" i="54"/>
  <c r="AU5" i="54" l="1"/>
  <c r="U29" i="54" s="1"/>
  <c r="W58" i="54"/>
  <c r="W54" i="54"/>
  <c r="W57" i="54"/>
  <c r="W60" i="54"/>
  <c r="W56" i="54"/>
  <c r="W59" i="54"/>
  <c r="W55" i="54"/>
  <c r="W61" i="54"/>
  <c r="W62" i="54"/>
  <c r="W63" i="54"/>
  <c r="T167" i="40"/>
  <c r="BI1" i="54"/>
  <c r="U27" i="54"/>
  <c r="R168" i="40"/>
  <c r="Z26" i="54"/>
  <c r="Z28" i="54" s="1" a="1"/>
  <c r="BI63" i="54"/>
  <c r="BI35" i="54"/>
  <c r="BI31" i="54"/>
  <c r="BI34" i="54"/>
  <c r="BI60" i="54"/>
  <c r="BI57" i="54"/>
  <c r="BI32" i="54"/>
  <c r="BI28" i="54"/>
  <c r="BI40" i="54"/>
  <c r="BI11" i="54"/>
  <c r="BI19" i="54"/>
  <c r="BI22" i="54"/>
  <c r="BI68" i="54"/>
  <c r="BI66" i="54"/>
  <c r="BI18" i="54"/>
  <c r="BI52" i="54"/>
  <c r="BI9" i="54"/>
  <c r="BI61" i="54"/>
  <c r="BI41" i="54"/>
  <c r="BI10" i="54"/>
  <c r="BI58" i="54"/>
  <c r="BI56" i="54"/>
  <c r="BI70" i="54"/>
  <c r="BI46" i="54"/>
  <c r="BI67" i="54"/>
  <c r="BI33" i="54"/>
  <c r="BI72" i="54"/>
  <c r="BI15" i="54"/>
  <c r="BI7" i="54"/>
  <c r="BI69" i="54"/>
  <c r="BI26" i="54"/>
  <c r="BI49" i="54"/>
  <c r="BI6" i="54"/>
  <c r="BI47" i="54"/>
  <c r="BI54" i="54"/>
  <c r="BI42" i="54"/>
  <c r="BI16" i="54"/>
  <c r="BI62" i="54"/>
  <c r="BI29" i="54"/>
  <c r="BI14" i="54"/>
  <c r="BI20" i="54"/>
  <c r="BI55" i="54"/>
  <c r="BI37" i="54"/>
  <c r="BI36" i="54"/>
  <c r="BI13" i="54"/>
  <c r="BI27" i="54"/>
  <c r="BI48" i="54"/>
  <c r="BI53" i="54"/>
  <c r="BI45" i="54"/>
  <c r="BI8" i="54"/>
  <c r="BI65" i="54"/>
  <c r="BI50" i="54"/>
  <c r="BI38" i="54"/>
  <c r="BI12" i="54"/>
  <c r="BI21" i="54"/>
  <c r="BI44" i="54"/>
  <c r="BI71" i="54"/>
  <c r="BI59" i="54"/>
  <c r="BI23" i="54"/>
  <c r="BI25" i="54"/>
  <c r="BI24" i="54"/>
  <c r="BI43" i="54"/>
  <c r="BI30" i="54"/>
  <c r="BI39" i="54"/>
  <c r="BI64" i="54"/>
  <c r="BI51" i="54"/>
  <c r="BI17" i="54"/>
  <c r="U36" i="54"/>
  <c r="U37" i="54"/>
  <c r="U39" i="54"/>
  <c r="U51" i="54"/>
  <c r="U43" i="54"/>
  <c r="U48" i="54"/>
  <c r="U38" i="54"/>
  <c r="U49" i="54"/>
  <c r="U41" i="54"/>
  <c r="U47" i="54"/>
  <c r="U45" i="54"/>
  <c r="U42" i="54"/>
  <c r="U46" i="54"/>
  <c r="U50" i="54"/>
  <c r="U44" i="54"/>
  <c r="U40" i="54"/>
  <c r="U56" i="54" l="1"/>
  <c r="U62" i="54"/>
  <c r="U58" i="54"/>
  <c r="U54" i="54"/>
  <c r="U57" i="54"/>
  <c r="U59" i="54"/>
  <c r="U61" i="54"/>
  <c r="U60" i="54"/>
  <c r="U55" i="54"/>
  <c r="U63" i="54"/>
  <c r="U35" i="54"/>
  <c r="BI5" i="54" s="1"/>
  <c r="Z28" i="54"/>
  <c r="Z29" i="54"/>
  <c r="Z30" i="54"/>
  <c r="T168" i="40"/>
  <c r="R169" i="40"/>
  <c r="Z27" i="54"/>
  <c r="Z36" i="54"/>
  <c r="Z50" i="54"/>
  <c r="Z44" i="54"/>
  <c r="Z38" i="54"/>
  <c r="Z37" i="54"/>
  <c r="BN1" i="54"/>
  <c r="Z48" i="54"/>
  <c r="Z42" i="54"/>
  <c r="Z47" i="54"/>
  <c r="BN32" i="54"/>
  <c r="BN25" i="54"/>
  <c r="BN45" i="54"/>
  <c r="BN17" i="54"/>
  <c r="BN56" i="54"/>
  <c r="BN11" i="54"/>
  <c r="BN41" i="54"/>
  <c r="BN48" i="54"/>
  <c r="Z43" i="54"/>
  <c r="Z46" i="54"/>
  <c r="Z49" i="54"/>
  <c r="Z41" i="54"/>
  <c r="BN50" i="54"/>
  <c r="BN15" i="54"/>
  <c r="BN42" i="54"/>
  <c r="BN62" i="54"/>
  <c r="BN55" i="54"/>
  <c r="BN72" i="54"/>
  <c r="BN65" i="54"/>
  <c r="BN26" i="54"/>
  <c r="BN23" i="54"/>
  <c r="BN24" i="54"/>
  <c r="BN7" i="54"/>
  <c r="BN38" i="54"/>
  <c r="BN34" i="54"/>
  <c r="BN33" i="54"/>
  <c r="BN71" i="54"/>
  <c r="BN43" i="54"/>
  <c r="BN67" i="54"/>
  <c r="BN37" i="54"/>
  <c r="BN52" i="54"/>
  <c r="BN47" i="54"/>
  <c r="BN28" i="54"/>
  <c r="BN68" i="54"/>
  <c r="BN44" i="54"/>
  <c r="BN40" i="54"/>
  <c r="BN66" i="54"/>
  <c r="BN60" i="54"/>
  <c r="Z39" i="54"/>
  <c r="Z40" i="54"/>
  <c r="Z51" i="54"/>
  <c r="Z45" i="54"/>
  <c r="BN57" i="54"/>
  <c r="BN14" i="54"/>
  <c r="BN69" i="54"/>
  <c r="BN18" i="54"/>
  <c r="BN6" i="54"/>
  <c r="BN46" i="54"/>
  <c r="BN19" i="54"/>
  <c r="BN8" i="54"/>
  <c r="BN61" i="54"/>
  <c r="BN10" i="54"/>
  <c r="BN53" i="54"/>
  <c r="BN13" i="54"/>
  <c r="BN35" i="54"/>
  <c r="BN36" i="54"/>
  <c r="BN59" i="54"/>
  <c r="BN20" i="54"/>
  <c r="BN29" i="54"/>
  <c r="BN39" i="54"/>
  <c r="BN12" i="54"/>
  <c r="BN16" i="54"/>
  <c r="BN49" i="54"/>
  <c r="BN27" i="54"/>
  <c r="BN9" i="54"/>
  <c r="BN70" i="54"/>
  <c r="BN30" i="54"/>
  <c r="BN58" i="54"/>
  <c r="BN22" i="54"/>
  <c r="BN64" i="54"/>
  <c r="BN63" i="54"/>
  <c r="BN54" i="54"/>
  <c r="BN21" i="54"/>
  <c r="BN31" i="54"/>
  <c r="BN51" i="54"/>
  <c r="Z61" i="54" l="1"/>
  <c r="Z55" i="54"/>
  <c r="Z62" i="54"/>
  <c r="Z63" i="54"/>
  <c r="Z56" i="54"/>
  <c r="Z54" i="54"/>
  <c r="Z57" i="54"/>
  <c r="Z59" i="54"/>
  <c r="Z60" i="54"/>
  <c r="Z58" i="54"/>
  <c r="Z35" i="54"/>
  <c r="BN5" i="54" s="1"/>
  <c r="R170" i="40"/>
  <c r="R171" i="40"/>
  <c r="T170" i="40"/>
  <c r="R172" i="40"/>
  <c r="T169" i="40"/>
  <c r="T171" i="40"/>
  <c r="AF5" i="56" a="1"/>
  <c r="AE14" i="56" a="1"/>
  <c r="AR19" i="56" a="1"/>
  <c r="Y25" i="54"/>
  <c r="Y26" i="54"/>
  <c r="Y28" i="54" a="1"/>
  <c r="AK19" i="56" a="1"/>
  <c r="AB25" i="54"/>
  <c r="AA25" i="54"/>
  <c r="AK14" i="56" a="1"/>
  <c r="AB26" i="54"/>
  <c r="AB28" i="54" s="1" a="1"/>
  <c r="AW19" i="56" a="1"/>
  <c r="T172" i="40"/>
  <c r="R173" i="40"/>
  <c r="R174" i="40"/>
  <c r="T173" i="40"/>
  <c r="T174" i="40"/>
  <c r="R175" i="40"/>
  <c r="R176" i="40"/>
  <c r="T175" i="40"/>
  <c r="T176" i="40"/>
  <c r="R177" i="40"/>
  <c r="R178" i="40"/>
  <c r="T177" i="40"/>
  <c r="T178" i="40"/>
  <c r="R179" i="40"/>
  <c r="R180" i="40"/>
  <c r="T179" i="40"/>
  <c r="T180" i="40"/>
  <c r="R181" i="40"/>
  <c r="R182" i="40"/>
  <c r="T181" i="40"/>
  <c r="T182" i="40"/>
  <c r="R183" i="40"/>
  <c r="R184" i="40"/>
  <c r="T183" i="40"/>
  <c r="T184" i="40"/>
  <c r="R185" i="40"/>
  <c r="R186" i="40"/>
  <c r="T185" i="40"/>
  <c r="T186" i="40"/>
  <c r="R187" i="40"/>
  <c r="R188" i="40"/>
  <c r="T187" i="40"/>
  <c r="T188" i="40"/>
  <c r="R189" i="40"/>
  <c r="R190" i="40"/>
  <c r="T189" i="40"/>
  <c r="T190" i="40"/>
  <c r="R191" i="40"/>
  <c r="R192" i="40"/>
  <c r="T191" i="40"/>
  <c r="T192" i="40"/>
  <c r="R193" i="40"/>
  <c r="R194" i="40"/>
  <c r="T193" i="40"/>
  <c r="T194" i="40"/>
  <c r="R195" i="40"/>
  <c r="R196" i="40"/>
  <c r="T195" i="40"/>
  <c r="T196" i="40"/>
  <c r="R197" i="40"/>
  <c r="R198" i="40"/>
  <c r="T197" i="40"/>
  <c r="T198" i="40"/>
  <c r="R199" i="40"/>
  <c r="R200" i="40"/>
  <c r="T199" i="40"/>
  <c r="T200" i="40"/>
  <c r="R201" i="40"/>
  <c r="R202" i="40"/>
  <c r="T201" i="40"/>
  <c r="T202" i="40"/>
  <c r="R203" i="40"/>
  <c r="R204" i="40"/>
  <c r="T203" i="40"/>
  <c r="T204" i="40"/>
  <c r="R205" i="40"/>
  <c r="R206" i="40"/>
  <c r="T205" i="40"/>
  <c r="T206" i="40"/>
  <c r="R207" i="40"/>
  <c r="R208" i="40"/>
  <c r="T207" i="40"/>
  <c r="T208" i="40"/>
  <c r="R209" i="40"/>
  <c r="R210" i="40"/>
  <c r="T209" i="40"/>
  <c r="T210" i="40"/>
  <c r="R211" i="40"/>
  <c r="R212" i="40"/>
  <c r="T211" i="40"/>
  <c r="T212" i="40"/>
  <c r="R213" i="40"/>
  <c r="R214" i="40"/>
  <c r="T213" i="40"/>
  <c r="T214" i="40"/>
  <c r="R215" i="40"/>
  <c r="R216" i="40"/>
  <c r="T215" i="40"/>
  <c r="T216" i="40"/>
  <c r="R217" i="40"/>
  <c r="R218" i="40"/>
  <c r="T217" i="40"/>
  <c r="T218" i="40"/>
  <c r="R219" i="40"/>
  <c r="R220" i="40"/>
  <c r="T219" i="40"/>
  <c r="T220" i="40"/>
  <c r="R221" i="40"/>
  <c r="R222" i="40"/>
  <c r="T221" i="40"/>
  <c r="T222" i="40"/>
  <c r="R223" i="40"/>
  <c r="R224" i="40"/>
  <c r="T223" i="40"/>
  <c r="T224" i="40"/>
  <c r="R225" i="40"/>
  <c r="R226" i="40"/>
  <c r="T225" i="40"/>
  <c r="T226" i="40"/>
  <c r="R227" i="40"/>
  <c r="R228" i="40"/>
  <c r="T227" i="40"/>
  <c r="R229" i="40"/>
  <c r="T228" i="40"/>
  <c r="R230" i="40"/>
  <c r="T229" i="40"/>
  <c r="T230" i="40"/>
  <c r="Y28" i="54" l="1"/>
  <c r="Y29" i="54"/>
  <c r="AB30" i="54"/>
  <c r="AB29" i="54"/>
  <c r="AB28" i="54"/>
  <c r="AR19" i="56"/>
  <c r="AR21" i="56"/>
  <c r="AR20" i="56"/>
  <c r="AF6" i="56"/>
  <c r="AF5" i="56"/>
  <c r="AE16" i="56"/>
  <c r="AE15" i="56"/>
  <c r="AE14" i="56"/>
  <c r="AK15" i="56"/>
  <c r="AK14" i="56"/>
  <c r="AK16" i="56"/>
  <c r="AK19" i="56"/>
  <c r="AK20" i="56"/>
  <c r="AK21" i="56"/>
  <c r="AW21" i="56"/>
  <c r="AW20" i="56"/>
  <c r="AW19" i="56"/>
  <c r="R231" i="40"/>
  <c r="AF9" i="56" a="1"/>
  <c r="AA26" i="54"/>
  <c r="AA28" i="54" s="1" a="1"/>
  <c r="AW5" i="56" a="1"/>
  <c r="Y27" i="54"/>
  <c r="Y46" i="54"/>
  <c r="Y51" i="54"/>
  <c r="Y48" i="54"/>
  <c r="Y44" i="54"/>
  <c r="Y47" i="54"/>
  <c r="Y40" i="54"/>
  <c r="Y50" i="54"/>
  <c r="Y45" i="54"/>
  <c r="AB27" i="54"/>
  <c r="AB51" i="54"/>
  <c r="AB43" i="54"/>
  <c r="AB44" i="54"/>
  <c r="AB40" i="54"/>
  <c r="AB38" i="54"/>
  <c r="Y38" i="54"/>
  <c r="Y43" i="54"/>
  <c r="Y42" i="54"/>
  <c r="Y36" i="54"/>
  <c r="Y37" i="54"/>
  <c r="Y41" i="54"/>
  <c r="BM1" i="54"/>
  <c r="Y39" i="54"/>
  <c r="Y49" i="54"/>
  <c r="AB50" i="54"/>
  <c r="AB49" i="54"/>
  <c r="AB48" i="54"/>
  <c r="BP1" i="54"/>
  <c r="AB46" i="54"/>
  <c r="AB45" i="54"/>
  <c r="AB39" i="54"/>
  <c r="AB36" i="54"/>
  <c r="AB37" i="54"/>
  <c r="AB41" i="54"/>
  <c r="AB47" i="54"/>
  <c r="AB42" i="54"/>
  <c r="BM59" i="54"/>
  <c r="BM7" i="54"/>
  <c r="BM42" i="54"/>
  <c r="BM53" i="54"/>
  <c r="BM38" i="54"/>
  <c r="BM17" i="54"/>
  <c r="BM32" i="54"/>
  <c r="BM44" i="54"/>
  <c r="BM31" i="54"/>
  <c r="BM11" i="54"/>
  <c r="BM62" i="54"/>
  <c r="BM66" i="54"/>
  <c r="BM23" i="54"/>
  <c r="BM24" i="54"/>
  <c r="BM13" i="54"/>
  <c r="BM60" i="54"/>
  <c r="BM40" i="54"/>
  <c r="BM54" i="54"/>
  <c r="BM50" i="54"/>
  <c r="BM63" i="54"/>
  <c r="BM12" i="54"/>
  <c r="BM61" i="54"/>
  <c r="BM28" i="54"/>
  <c r="BM52" i="54"/>
  <c r="BM16" i="54"/>
  <c r="BM33" i="54"/>
  <c r="BM71" i="54"/>
  <c r="BM67" i="54"/>
  <c r="BM57" i="54"/>
  <c r="BM25" i="54"/>
  <c r="BM64" i="54"/>
  <c r="BM37" i="54"/>
  <c r="BM21" i="54"/>
  <c r="BM6" i="54"/>
  <c r="BM47" i="54"/>
  <c r="BM46" i="54"/>
  <c r="BM35" i="54"/>
  <c r="BM72" i="54"/>
  <c r="BM15" i="54"/>
  <c r="BM27" i="54"/>
  <c r="BM30" i="54"/>
  <c r="BM10" i="54"/>
  <c r="BM36" i="54"/>
  <c r="BM55" i="54"/>
  <c r="BM41" i="54"/>
  <c r="BM69" i="54"/>
  <c r="BM45" i="54"/>
  <c r="BM26" i="54"/>
  <c r="BM48" i="54"/>
  <c r="BM51" i="54"/>
  <c r="BM49" i="54"/>
  <c r="BM18" i="54"/>
  <c r="BM8" i="54"/>
  <c r="BM65" i="54"/>
  <c r="BM68" i="54"/>
  <c r="BM58" i="54"/>
  <c r="BM19" i="54"/>
  <c r="BM22" i="54"/>
  <c r="BM70" i="54"/>
  <c r="BM20" i="54"/>
  <c r="BM39" i="54"/>
  <c r="BM43" i="54"/>
  <c r="BM34" i="54"/>
  <c r="BM29" i="54"/>
  <c r="BM9" i="54"/>
  <c r="BM14" i="54"/>
  <c r="BM56" i="54"/>
  <c r="BP48" i="54"/>
  <c r="BP31" i="54"/>
  <c r="BP22" i="54"/>
  <c r="BP47" i="54"/>
  <c r="BP17" i="54"/>
  <c r="BP58" i="54"/>
  <c r="BP21" i="54"/>
  <c r="BP51" i="54"/>
  <c r="BP41" i="54"/>
  <c r="BP49" i="54"/>
  <c r="BP55" i="54"/>
  <c r="BP61" i="54"/>
  <c r="BP46" i="54"/>
  <c r="BP59" i="54"/>
  <c r="BP20" i="54"/>
  <c r="BP70" i="54"/>
  <c r="BP37" i="54"/>
  <c r="BP39" i="54"/>
  <c r="BP45" i="54"/>
  <c r="BP32" i="54"/>
  <c r="BP60" i="54"/>
  <c r="BP33" i="54"/>
  <c r="BP36" i="54"/>
  <c r="BP12" i="54"/>
  <c r="BP57" i="54"/>
  <c r="BP63" i="54"/>
  <c r="BP23" i="54"/>
  <c r="BP18" i="54"/>
  <c r="BP66" i="54"/>
  <c r="BP72" i="54"/>
  <c r="BP65" i="54"/>
  <c r="BP38" i="54"/>
  <c r="BP25" i="54"/>
  <c r="BP11" i="54"/>
  <c r="BP16" i="54"/>
  <c r="BP8" i="54"/>
  <c r="BP27" i="54"/>
  <c r="BP10" i="54"/>
  <c r="BP43" i="54"/>
  <c r="BP54" i="54"/>
  <c r="BP19" i="54"/>
  <c r="BP26" i="54"/>
  <c r="BP7" i="54"/>
  <c r="BP52" i="54"/>
  <c r="BP71" i="54"/>
  <c r="BP15" i="54"/>
  <c r="BP24" i="54"/>
  <c r="BP56" i="54"/>
  <c r="BP68" i="54"/>
  <c r="BP69" i="54"/>
  <c r="BP67" i="54"/>
  <c r="BP28" i="54"/>
  <c r="BP42" i="54"/>
  <c r="BP9" i="54"/>
  <c r="BP6" i="54"/>
  <c r="BP34" i="54"/>
  <c r="BP44" i="54"/>
  <c r="BP13" i="54"/>
  <c r="BP62" i="54"/>
  <c r="BP14" i="54"/>
  <c r="BP29" i="54"/>
  <c r="BP30" i="54"/>
  <c r="BP40" i="54"/>
  <c r="BP53" i="54"/>
  <c r="BP35" i="54"/>
  <c r="BP50" i="54"/>
  <c r="BP64" i="54"/>
  <c r="R232" i="40"/>
  <c r="T231" i="40"/>
  <c r="T232" i="40"/>
  <c r="R233" i="40"/>
  <c r="R234" i="40"/>
  <c r="T233" i="40"/>
  <c r="R235" i="40"/>
  <c r="T234" i="40"/>
  <c r="R236" i="40"/>
  <c r="T235" i="40"/>
  <c r="T236" i="40"/>
  <c r="R237" i="40"/>
  <c r="R238" i="40"/>
  <c r="T237" i="40"/>
  <c r="R239" i="40"/>
  <c r="T238" i="40"/>
  <c r="R240" i="40"/>
  <c r="T239" i="40"/>
  <c r="T240" i="40"/>
  <c r="R241" i="40"/>
  <c r="T241" i="40"/>
  <c r="R242" i="40"/>
  <c r="R243" i="40"/>
  <c r="T242" i="40"/>
  <c r="R244" i="40"/>
  <c r="T243" i="40"/>
  <c r="T244" i="40"/>
  <c r="R245" i="40"/>
  <c r="T245" i="40"/>
  <c r="R246" i="40"/>
  <c r="T246" i="40"/>
  <c r="R247" i="40"/>
  <c r="R248" i="40"/>
  <c r="T247" i="40"/>
  <c r="T248" i="40"/>
  <c r="R249" i="40"/>
  <c r="R250" i="40"/>
  <c r="T249" i="40"/>
  <c r="R251" i="40"/>
  <c r="T250" i="40"/>
  <c r="R252" i="40"/>
  <c r="T251" i="40"/>
  <c r="T252" i="40"/>
  <c r="R253" i="40"/>
  <c r="R254" i="40"/>
  <c r="T253" i="40"/>
  <c r="R255" i="40"/>
  <c r="T254" i="40"/>
  <c r="T255" i="40"/>
  <c r="R256" i="40"/>
  <c r="T256" i="40"/>
  <c r="R257" i="40"/>
  <c r="T257" i="40"/>
  <c r="R258" i="40"/>
  <c r="R259" i="40"/>
  <c r="T258" i="40"/>
  <c r="T259" i="40"/>
  <c r="R260" i="40"/>
  <c r="T260" i="40"/>
  <c r="R261" i="40"/>
  <c r="T261" i="40"/>
  <c r="R262" i="40"/>
  <c r="T262" i="40" s="1"/>
  <c r="AA29" i="54" l="1"/>
  <c r="AA28" i="54"/>
  <c r="Y35" i="54"/>
  <c r="BM5" i="54" s="1"/>
  <c r="AB35" i="54"/>
  <c r="BP5" i="54" s="1"/>
  <c r="Y57" i="54"/>
  <c r="Y56" i="54"/>
  <c r="Y54" i="54"/>
  <c r="Y62" i="54"/>
  <c r="Y60" i="54"/>
  <c r="Y55" i="54"/>
  <c r="Y63" i="54"/>
  <c r="Y59" i="54"/>
  <c r="Y58" i="54"/>
  <c r="Y61" i="54"/>
  <c r="AB62" i="54"/>
  <c r="AB58" i="54"/>
  <c r="AB61" i="54"/>
  <c r="AB57" i="54"/>
  <c r="AB56" i="54"/>
  <c r="AB60" i="54"/>
  <c r="AB59" i="54"/>
  <c r="AB55" i="54"/>
  <c r="AB54" i="54"/>
  <c r="AB63" i="54"/>
  <c r="AA35" i="54"/>
  <c r="BO5" i="54" s="1"/>
  <c r="AL5" i="56" a="1"/>
  <c r="AF9" i="56"/>
  <c r="AF10" i="56"/>
  <c r="AW6" i="56"/>
  <c r="AW5" i="56"/>
  <c r="AR14" i="56" a="1"/>
  <c r="AA27" i="54"/>
  <c r="AA50" i="54"/>
  <c r="AA38" i="54"/>
  <c r="BO1" i="54"/>
  <c r="AA46" i="54"/>
  <c r="AA36" i="54"/>
  <c r="AA45" i="54"/>
  <c r="AA48" i="54"/>
  <c r="AA40" i="54"/>
  <c r="AA44" i="54"/>
  <c r="AA51" i="54"/>
  <c r="AA42" i="54"/>
  <c r="AA47" i="54"/>
  <c r="AA49" i="54"/>
  <c r="AA43" i="54"/>
  <c r="AA41" i="54"/>
  <c r="AA39" i="54"/>
  <c r="AA37" i="54"/>
  <c r="BO69" i="54"/>
  <c r="BO45" i="54"/>
  <c r="BO9" i="54"/>
  <c r="BO29" i="54"/>
  <c r="BO58" i="54"/>
  <c r="BO22" i="54"/>
  <c r="BO15" i="54"/>
  <c r="BO59" i="54"/>
  <c r="BO68" i="54"/>
  <c r="BO34" i="54"/>
  <c r="BO62" i="54"/>
  <c r="BO64" i="54"/>
  <c r="BO7" i="54"/>
  <c r="BO71" i="54"/>
  <c r="BO24" i="54"/>
  <c r="BO36" i="54"/>
  <c r="BO8" i="54"/>
  <c r="BO30" i="54"/>
  <c r="BO12" i="54"/>
  <c r="BO42" i="54"/>
  <c r="BO31" i="54"/>
  <c r="BO37" i="54"/>
  <c r="BO35" i="54"/>
  <c r="BO66" i="54"/>
  <c r="BO38" i="54"/>
  <c r="BO70" i="54"/>
  <c r="BO18" i="54"/>
  <c r="BO10" i="54"/>
  <c r="BO61" i="54"/>
  <c r="BO14" i="54"/>
  <c r="BO54" i="54"/>
  <c r="BO19" i="54"/>
  <c r="BO20" i="54"/>
  <c r="BO44" i="54"/>
  <c r="BO52" i="54"/>
  <c r="BO33" i="54"/>
  <c r="BO6" i="54"/>
  <c r="BO67" i="54"/>
  <c r="BO55" i="54"/>
  <c r="BO51" i="54"/>
  <c r="BO57" i="54"/>
  <c r="BO21" i="54"/>
  <c r="BO60" i="54"/>
  <c r="BO47" i="54"/>
  <c r="BO40" i="54"/>
  <c r="BO46" i="54"/>
  <c r="BO63" i="54"/>
  <c r="BO17" i="54"/>
  <c r="BO13" i="54"/>
  <c r="BO28" i="54"/>
  <c r="BO11" i="54"/>
  <c r="BO27" i="54"/>
  <c r="BO49" i="54"/>
  <c r="BO41" i="54"/>
  <c r="BO72" i="54"/>
  <c r="BO16" i="54"/>
  <c r="BO32" i="54"/>
  <c r="BO23" i="54"/>
  <c r="BO48" i="54"/>
  <c r="BO56" i="54"/>
  <c r="BO39" i="54"/>
  <c r="BO53" i="54"/>
  <c r="BO43" i="54"/>
  <c r="BO26" i="54"/>
  <c r="BO50" i="54"/>
  <c r="BO65" i="54"/>
  <c r="BO25" i="54"/>
  <c r="AA55" i="54" l="1"/>
  <c r="AA61" i="54"/>
  <c r="AA59" i="54"/>
  <c r="AA54" i="54"/>
  <c r="AA63" i="54"/>
  <c r="AA56" i="54"/>
  <c r="AA60" i="54"/>
  <c r="AA57" i="54"/>
  <c r="AA58" i="54"/>
  <c r="AA62" i="54"/>
  <c r="AL9" i="56" a="1"/>
  <c r="AM9" i="56" s="1"/>
  <c r="AL5" i="56"/>
  <c r="AM6" i="56"/>
  <c r="AL6" i="56"/>
  <c r="AM5" i="56"/>
  <c r="AR16" i="56"/>
  <c r="AR14" i="56"/>
  <c r="AR15" i="56"/>
  <c r="AQ19" i="56" a="1"/>
  <c r="AW14" i="56" a="1"/>
  <c r="AK5" i="56" a="1"/>
  <c r="AM10" i="56" l="1"/>
  <c r="AL10" i="56"/>
  <c r="AL9" i="56"/>
  <c r="AQ20" i="56"/>
  <c r="AQ21" i="56"/>
  <c r="AQ19" i="56"/>
  <c r="AW14" i="56"/>
  <c r="AW16" i="56"/>
  <c r="AW15" i="56"/>
  <c r="AK5" i="56"/>
  <c r="AI5" i="56" s="1" a="1"/>
  <c r="AI5" i="56" s="1"/>
  <c r="G29" i="56" s="1"/>
  <c r="AK6" i="56"/>
  <c r="AK9" i="56" a="1"/>
  <c r="AI6" i="56" l="1"/>
  <c r="G28" i="56" s="1"/>
  <c r="G35" i="56" s="1"/>
  <c r="BE5" i="56" s="1"/>
  <c r="AK9" i="56"/>
  <c r="AK10" i="56"/>
  <c r="AF14" i="56" a="1"/>
  <c r="AI9" i="56" l="1" a="1"/>
  <c r="AI10" i="56" s="1"/>
  <c r="S28" i="56" s="1"/>
  <c r="AF14" i="56"/>
  <c r="AF15" i="56"/>
  <c r="AF16" i="56"/>
  <c r="AF19" i="56" a="1"/>
  <c r="AL14" i="56" l="1" a="1"/>
  <c r="AN16" i="56" s="1"/>
  <c r="AI9" i="56"/>
  <c r="S29" i="56" s="1"/>
  <c r="S35" i="56" s="1"/>
  <c r="BG5" i="56" s="1"/>
  <c r="AF19" i="56"/>
  <c r="AF20" i="56"/>
  <c r="AF21" i="56"/>
  <c r="AQ14" i="56" a="1"/>
  <c r="AL15" i="56" l="1"/>
  <c r="AM15" i="56"/>
  <c r="AL16" i="56"/>
  <c r="AN15" i="56"/>
  <c r="AM16" i="56"/>
  <c r="AN14" i="56"/>
  <c r="AM14" i="56"/>
  <c r="AL14" i="56"/>
  <c r="AQ14" i="56"/>
  <c r="AQ16" i="56"/>
  <c r="AQ15" i="56"/>
  <c r="AS9" i="56" a="1"/>
  <c r="AI14" i="56" l="1" a="1"/>
  <c r="AI15" i="56" s="1"/>
  <c r="H29" i="56" s="1"/>
  <c r="AS9" i="56"/>
  <c r="AS10" i="56"/>
  <c r="AS5" i="56" a="1"/>
  <c r="AI16" i="56" l="1"/>
  <c r="H28" i="56" s="1"/>
  <c r="AI14" i="56"/>
  <c r="H30" i="56" s="1"/>
  <c r="H35" i="56" s="1"/>
  <c r="BF5" i="56" s="1"/>
  <c r="AS5" i="56"/>
  <c r="AS6" i="56"/>
  <c r="AR9" i="56" a="1"/>
  <c r="AS19" i="56" a="1"/>
  <c r="AR9" i="56" l="1"/>
  <c r="AR10" i="56"/>
  <c r="AX9" i="56" s="1" a="1"/>
  <c r="AX10" i="56" s="1"/>
  <c r="AS21" i="56"/>
  <c r="AS20" i="56"/>
  <c r="AS19" i="56"/>
  <c r="AY9" i="56" l="1"/>
  <c r="AX9" i="56"/>
  <c r="AY10" i="56"/>
  <c r="AX19" i="56" a="1"/>
  <c r="AZ20" i="56" s="1"/>
  <c r="AE19" i="56" a="1"/>
  <c r="AX20" i="56" l="1"/>
  <c r="AY20" i="56"/>
  <c r="AZ19" i="56"/>
  <c r="AY19" i="56"/>
  <c r="AX21" i="56"/>
  <c r="AZ21" i="56"/>
  <c r="AY21" i="56"/>
  <c r="AX19" i="56"/>
  <c r="AE19" i="56"/>
  <c r="AU19" i="56" l="1" a="1"/>
  <c r="AU19" i="56" s="1"/>
  <c r="X30" i="56" s="1"/>
  <c r="AE21" i="56"/>
  <c r="AE20" i="56"/>
  <c r="AL19" i="56" s="1" a="1"/>
  <c r="AS14" i="56" a="1"/>
  <c r="AU21" i="56" l="1"/>
  <c r="X28" i="56" s="1"/>
  <c r="AU20" i="56"/>
  <c r="X29" i="56" s="1"/>
  <c r="AM21" i="56"/>
  <c r="AL19" i="56"/>
  <c r="AN20" i="56"/>
  <c r="AM19" i="56"/>
  <c r="AL21" i="56"/>
  <c r="AN21" i="56"/>
  <c r="AN19" i="56"/>
  <c r="AM20" i="56"/>
  <c r="AL20" i="56"/>
  <c r="AS14" i="56"/>
  <c r="AS16" i="56"/>
  <c r="AS15" i="56"/>
  <c r="AW9" i="56" a="1"/>
  <c r="X35" i="56" l="1"/>
  <c r="BL5" i="56" s="1"/>
  <c r="AX14" i="56" a="1"/>
  <c r="AI19" i="56" a="1"/>
  <c r="AW10" i="56"/>
  <c r="AW9" i="56"/>
  <c r="AU9" i="56" l="1" a="1"/>
  <c r="AU10" i="56" s="1"/>
  <c r="W28" i="56" s="1"/>
  <c r="AI21" i="56"/>
  <c r="T28" i="56" s="1"/>
  <c r="AI19" i="56"/>
  <c r="T30" i="56" s="1"/>
  <c r="AI20" i="56"/>
  <c r="T29" i="56" s="1"/>
  <c r="AZ16" i="56"/>
  <c r="AX15" i="56"/>
  <c r="AX16" i="56"/>
  <c r="AY16" i="56"/>
  <c r="AZ14" i="56"/>
  <c r="AX14" i="56"/>
  <c r="AZ15" i="56"/>
  <c r="AY15" i="56"/>
  <c r="AY14" i="56"/>
  <c r="AR5" i="56" a="1"/>
  <c r="BL1" i="56"/>
  <c r="BL181" i="56"/>
  <c r="BL234" i="56"/>
  <c r="BL121" i="56"/>
  <c r="BL81" i="56"/>
  <c r="BL150" i="56"/>
  <c r="BL224" i="56"/>
  <c r="BL127" i="56"/>
  <c r="BL155" i="56"/>
  <c r="BL100" i="56"/>
  <c r="BL201" i="56"/>
  <c r="BL30" i="56"/>
  <c r="BL227" i="56"/>
  <c r="BL218" i="56"/>
  <c r="BL142" i="56"/>
  <c r="BL66" i="56"/>
  <c r="BL245" i="56"/>
  <c r="BL92" i="56"/>
  <c r="BL72" i="56"/>
  <c r="BL223" i="56"/>
  <c r="BL203" i="56"/>
  <c r="BL63" i="56"/>
  <c r="BL78" i="56"/>
  <c r="BL28" i="56"/>
  <c r="BL141" i="56"/>
  <c r="BL137" i="56"/>
  <c r="BL258" i="56"/>
  <c r="BL221" i="56"/>
  <c r="BL76" i="56"/>
  <c r="BL80" i="56"/>
  <c r="BL246" i="56"/>
  <c r="BL217" i="56"/>
  <c r="BL164" i="56"/>
  <c r="BL199" i="56"/>
  <c r="BL145" i="56"/>
  <c r="BL18" i="56"/>
  <c r="BL26" i="56"/>
  <c r="BL250" i="56"/>
  <c r="BL198" i="56"/>
  <c r="BL200" i="56"/>
  <c r="BL110" i="56"/>
  <c r="BL60" i="56"/>
  <c r="BL262" i="56"/>
  <c r="BL44" i="56"/>
  <c r="BL204" i="56"/>
  <c r="BL147" i="56"/>
  <c r="BL175" i="56"/>
  <c r="BL11" i="56"/>
  <c r="BL238" i="56"/>
  <c r="BL252" i="56"/>
  <c r="BL215" i="56"/>
  <c r="BL14" i="56"/>
  <c r="BL162" i="56"/>
  <c r="BL259" i="56"/>
  <c r="BL184" i="56"/>
  <c r="BL7" i="56"/>
  <c r="BL216" i="56"/>
  <c r="BL242" i="56"/>
  <c r="BL190" i="56"/>
  <c r="BL168" i="56"/>
  <c r="BL65" i="56"/>
  <c r="BL243" i="56"/>
  <c r="BL136" i="56"/>
  <c r="BL257" i="56"/>
  <c r="BL144" i="56"/>
  <c r="BL236" i="56"/>
  <c r="BL119" i="56"/>
  <c r="BL229" i="56"/>
  <c r="BL122" i="56"/>
  <c r="BL50" i="56"/>
  <c r="BL176" i="56"/>
  <c r="BL27" i="56"/>
  <c r="BL160" i="56"/>
  <c r="BL25" i="56"/>
  <c r="BL253" i="56"/>
  <c r="BL34" i="56"/>
  <c r="BL153" i="56"/>
  <c r="BL68" i="56"/>
  <c r="BL225" i="56"/>
  <c r="BL148" i="56"/>
  <c r="BL134" i="56"/>
  <c r="BL8" i="56"/>
  <c r="BL188" i="56"/>
  <c r="BL138" i="56"/>
  <c r="BL19" i="56"/>
  <c r="BL93" i="56"/>
  <c r="BL96" i="56"/>
  <c r="BL189" i="56"/>
  <c r="BL29" i="56"/>
  <c r="BL62" i="56"/>
  <c r="BL97" i="56"/>
  <c r="BL185" i="56"/>
  <c r="BL51" i="56"/>
  <c r="BL251" i="56"/>
  <c r="BL64" i="56"/>
  <c r="BL133" i="56"/>
  <c r="BL254" i="56"/>
  <c r="BL35" i="56"/>
  <c r="BL149" i="56"/>
  <c r="BL210" i="56"/>
  <c r="BL105" i="56"/>
  <c r="BL235" i="56"/>
  <c r="BL67" i="56"/>
  <c r="BL244" i="56"/>
  <c r="BL206" i="56"/>
  <c r="BL180" i="56"/>
  <c r="BL58" i="56"/>
  <c r="BL165" i="56"/>
  <c r="BL24" i="56"/>
  <c r="BL220" i="56"/>
  <c r="BL226" i="56"/>
  <c r="BL166" i="56"/>
  <c r="BL128" i="56"/>
  <c r="BL15" i="56"/>
  <c r="BL61" i="56"/>
  <c r="BL152" i="56"/>
  <c r="BL71" i="56"/>
  <c r="BL107" i="56"/>
  <c r="BL131" i="56"/>
  <c r="BL135" i="56"/>
  <c r="BL264" i="56"/>
  <c r="BL182" i="56"/>
  <c r="BL249" i="56"/>
  <c r="BL212" i="56"/>
  <c r="BL174" i="56"/>
  <c r="BL23" i="56"/>
  <c r="BL115" i="56"/>
  <c r="BL103" i="56"/>
  <c r="BL192" i="56"/>
  <c r="BL118" i="56"/>
  <c r="BL48" i="56"/>
  <c r="BL102" i="56"/>
  <c r="BL49" i="56"/>
  <c r="BL177" i="56"/>
  <c r="BL123" i="56"/>
  <c r="BL16" i="56"/>
  <c r="BL37" i="56"/>
  <c r="BL191" i="56"/>
  <c r="BL219" i="56"/>
  <c r="BL84" i="56"/>
  <c r="BL124" i="56"/>
  <c r="BL209" i="56"/>
  <c r="BL171" i="56"/>
  <c r="BL161" i="56"/>
  <c r="BL53" i="56"/>
  <c r="BL52" i="56"/>
  <c r="BL86" i="56"/>
  <c r="BL43" i="56"/>
  <c r="BL45" i="56"/>
  <c r="BL232" i="56"/>
  <c r="BL6" i="56"/>
  <c r="BL143" i="56"/>
  <c r="BL113" i="56"/>
  <c r="BL255" i="56"/>
  <c r="BL32" i="56"/>
  <c r="BL17" i="56"/>
  <c r="BL40" i="56"/>
  <c r="BL207" i="56"/>
  <c r="BL163" i="56"/>
  <c r="BL69" i="56"/>
  <c r="BL90" i="56"/>
  <c r="BL77" i="56"/>
  <c r="BL173" i="56"/>
  <c r="BL111" i="56"/>
  <c r="BL99" i="56"/>
  <c r="BL247" i="56"/>
  <c r="BL179" i="56"/>
  <c r="BL156" i="56"/>
  <c r="BL151" i="56"/>
  <c r="BL261" i="56"/>
  <c r="BL130" i="56"/>
  <c r="BL167" i="56"/>
  <c r="BL129" i="56"/>
  <c r="BL12" i="56"/>
  <c r="BL195" i="56"/>
  <c r="BL21" i="56"/>
  <c r="BL222" i="56"/>
  <c r="BL240" i="56"/>
  <c r="BL116" i="56"/>
  <c r="BL214" i="56"/>
  <c r="BL41" i="56"/>
  <c r="BL159" i="56"/>
  <c r="BL139" i="56"/>
  <c r="BL98" i="56"/>
  <c r="BL73" i="56"/>
  <c r="BL120" i="56"/>
  <c r="BL10" i="56"/>
  <c r="BL186" i="56"/>
  <c r="BL95" i="56"/>
  <c r="BL263" i="56"/>
  <c r="BL157" i="56"/>
  <c r="BL211" i="56"/>
  <c r="BL33" i="56"/>
  <c r="BL169" i="56"/>
  <c r="BL231" i="56"/>
  <c r="BL117" i="56"/>
  <c r="BL239" i="56"/>
  <c r="BL75" i="56"/>
  <c r="BL170" i="56"/>
  <c r="BL91" i="56"/>
  <c r="BL108" i="56"/>
  <c r="BL79" i="56"/>
  <c r="BL248" i="56"/>
  <c r="BL197" i="56"/>
  <c r="BL55" i="56"/>
  <c r="BL126" i="56"/>
  <c r="BL202" i="56"/>
  <c r="BL38" i="56"/>
  <c r="BL104" i="56"/>
  <c r="BL241" i="56"/>
  <c r="BL112" i="56"/>
  <c r="BL94" i="56"/>
  <c r="BL158" i="56"/>
  <c r="BL172" i="56"/>
  <c r="BL233" i="56"/>
  <c r="BL187" i="56"/>
  <c r="BL260" i="56"/>
  <c r="BL178" i="56"/>
  <c r="BL54" i="56"/>
  <c r="BL88" i="56"/>
  <c r="BL140" i="56"/>
  <c r="BL114" i="56"/>
  <c r="BL70" i="56"/>
  <c r="BL39" i="56"/>
  <c r="BL106" i="56"/>
  <c r="BL213" i="56"/>
  <c r="BL59" i="56"/>
  <c r="BL132" i="56"/>
  <c r="BL228" i="56"/>
  <c r="BL154" i="56"/>
  <c r="BL56" i="56"/>
  <c r="BL101" i="56"/>
  <c r="BL237" i="56"/>
  <c r="BL82" i="56"/>
  <c r="BL89" i="56"/>
  <c r="BL87" i="56"/>
  <c r="BL125" i="56"/>
  <c r="BL194" i="56"/>
  <c r="BL85" i="56"/>
  <c r="BL83" i="56"/>
  <c r="BL20" i="56"/>
  <c r="BL109" i="56"/>
  <c r="BL230" i="56"/>
  <c r="BL42" i="56"/>
  <c r="BL256" i="56"/>
  <c r="BL22" i="56"/>
  <c r="BL208" i="56"/>
  <c r="BL47" i="56"/>
  <c r="BL146" i="56"/>
  <c r="BL57" i="56"/>
  <c r="BL183" i="56"/>
  <c r="BL196" i="56"/>
  <c r="BL193" i="56"/>
  <c r="BL74" i="56"/>
  <c r="BL13" i="56"/>
  <c r="BL9" i="56"/>
  <c r="BL46" i="56"/>
  <c r="BL31" i="56"/>
  <c r="BL36" i="56"/>
  <c r="BL205" i="56"/>
  <c r="AU9" i="56" l="1"/>
  <c r="W29" i="56" s="1"/>
  <c r="T35" i="56"/>
  <c r="BH5" i="56" s="1"/>
  <c r="AU14" i="56" a="1"/>
  <c r="AR5" i="56"/>
  <c r="AR6" i="56"/>
  <c r="BK1" i="56"/>
  <c r="BK124" i="56"/>
  <c r="BK179" i="56"/>
  <c r="BK21" i="56"/>
  <c r="BK132" i="56"/>
  <c r="BK147" i="56"/>
  <c r="BK216" i="56"/>
  <c r="BK13" i="56"/>
  <c r="BK154" i="56"/>
  <c r="BK139" i="56"/>
  <c r="BK232" i="56"/>
  <c r="BK8" i="56"/>
  <c r="BK162" i="56"/>
  <c r="BK163" i="56"/>
  <c r="BK176" i="56"/>
  <c r="BK238" i="56"/>
  <c r="BK138" i="56"/>
  <c r="BK129" i="56"/>
  <c r="BK213" i="56"/>
  <c r="BK50" i="56"/>
  <c r="BK102" i="56"/>
  <c r="BK91" i="56"/>
  <c r="BK241" i="56"/>
  <c r="BK235" i="56"/>
  <c r="BK80" i="56"/>
  <c r="BK55" i="56"/>
  <c r="BK249" i="56"/>
  <c r="BK259" i="56"/>
  <c r="BK215" i="56"/>
  <c r="BK66" i="56"/>
  <c r="BK217" i="56"/>
  <c r="BK210" i="56"/>
  <c r="BK135" i="56"/>
  <c r="BK113" i="56"/>
  <c r="BK173" i="56"/>
  <c r="BK48" i="56"/>
  <c r="BK140" i="56"/>
  <c r="BK152" i="56"/>
  <c r="BK31" i="56"/>
  <c r="BK39" i="56"/>
  <c r="BK164" i="56"/>
  <c r="BK168" i="56"/>
  <c r="BK12" i="56"/>
  <c r="BK188" i="56"/>
  <c r="BK34" i="56"/>
  <c r="BK120" i="56"/>
  <c r="BK93" i="56"/>
  <c r="BK41" i="56"/>
  <c r="BK96" i="56"/>
  <c r="BK190" i="56"/>
  <c r="BK233" i="56"/>
  <c r="BK223" i="56"/>
  <c r="BK250" i="56"/>
  <c r="BK174" i="56"/>
  <c r="BK257" i="56"/>
  <c r="BK239" i="56"/>
  <c r="BK258" i="56"/>
  <c r="BK261" i="56"/>
  <c r="BK185" i="56"/>
  <c r="BK191" i="56"/>
  <c r="BK256" i="56"/>
  <c r="BK22" i="56"/>
  <c r="BK230" i="56"/>
  <c r="BK77" i="56"/>
  <c r="BK214" i="56"/>
  <c r="BK49" i="56"/>
  <c r="BK264" i="56"/>
  <c r="BK134" i="56"/>
  <c r="BK117" i="56"/>
  <c r="BK242" i="56"/>
  <c r="BK110" i="56"/>
  <c r="BK44" i="56"/>
  <c r="BK38" i="56"/>
  <c r="BK167" i="56"/>
  <c r="BK89" i="56"/>
  <c r="BK159" i="56"/>
  <c r="BK126" i="56"/>
  <c r="BK27" i="56"/>
  <c r="BK30" i="56"/>
  <c r="BK178" i="56"/>
  <c r="BK11" i="56"/>
  <c r="BK92" i="56"/>
  <c r="BK153" i="56"/>
  <c r="BK189" i="56"/>
  <c r="BK192" i="56"/>
  <c r="BK260" i="56"/>
  <c r="BK247" i="56"/>
  <c r="BK197" i="56"/>
  <c r="BK115" i="56"/>
  <c r="BK243" i="56"/>
  <c r="BK262" i="56"/>
  <c r="BK61" i="56"/>
  <c r="BK10" i="56"/>
  <c r="BK78" i="56"/>
  <c r="BK73" i="56"/>
  <c r="BK18" i="56"/>
  <c r="BK62" i="56"/>
  <c r="BK37" i="56"/>
  <c r="BK198" i="56"/>
  <c r="BK19" i="56"/>
  <c r="BK263" i="56"/>
  <c r="BK20" i="56"/>
  <c r="BK200" i="56"/>
  <c r="BK220" i="56"/>
  <c r="BK165" i="56"/>
  <c r="BK148" i="56"/>
  <c r="BK99" i="56"/>
  <c r="BK186" i="56"/>
  <c r="BK109" i="56"/>
  <c r="BK64" i="56"/>
  <c r="BK69" i="56"/>
  <c r="BK194" i="56"/>
  <c r="BK131" i="56"/>
  <c r="BK248" i="56"/>
  <c r="BK24" i="56"/>
  <c r="BK170" i="56"/>
  <c r="BK67" i="56"/>
  <c r="BK118" i="56"/>
  <c r="BK87" i="56"/>
  <c r="BK187" i="56"/>
  <c r="BK255" i="56"/>
  <c r="BK157" i="56"/>
  <c r="BK47" i="56"/>
  <c r="BK75" i="56"/>
  <c r="BK32" i="56"/>
  <c r="BK181" i="56"/>
  <c r="BK105" i="56"/>
  <c r="BK36" i="56"/>
  <c r="BK111" i="56"/>
  <c r="BK125" i="56"/>
  <c r="BK7" i="56"/>
  <c r="BK81" i="56"/>
  <c r="BK98" i="56"/>
  <c r="BK90" i="56"/>
  <c r="BK68" i="56"/>
  <c r="BK236" i="56"/>
  <c r="BK208" i="56"/>
  <c r="BK212" i="56"/>
  <c r="BK229" i="56"/>
  <c r="BK244" i="56"/>
  <c r="BK224" i="56"/>
  <c r="BK180" i="56"/>
  <c r="BK133" i="56"/>
  <c r="BK196" i="56"/>
  <c r="BK184" i="56"/>
  <c r="BK17" i="56"/>
  <c r="BK14" i="56"/>
  <c r="BK33" i="56"/>
  <c r="BK144" i="56"/>
  <c r="BK142" i="56"/>
  <c r="BK6" i="56"/>
  <c r="BK107" i="56"/>
  <c r="BK65" i="56"/>
  <c r="BK253" i="56"/>
  <c r="BK240" i="56"/>
  <c r="BK209" i="56"/>
  <c r="BK9" i="56"/>
  <c r="BK104" i="56"/>
  <c r="BK63" i="56"/>
  <c r="BK43" i="56"/>
  <c r="BK25" i="56"/>
  <c r="BK76" i="56"/>
  <c r="BK150" i="56"/>
  <c r="BK227" i="56"/>
  <c r="BK45" i="56"/>
  <c r="BK219" i="56"/>
  <c r="BK54" i="56"/>
  <c r="BK245" i="56"/>
  <c r="BK52" i="56"/>
  <c r="BK254" i="56"/>
  <c r="BK221" i="56"/>
  <c r="BK146" i="56"/>
  <c r="BK123" i="56"/>
  <c r="BK121" i="56"/>
  <c r="BK85" i="56"/>
  <c r="BK145" i="56"/>
  <c r="BK72" i="56"/>
  <c r="BK57" i="56"/>
  <c r="BK53" i="56"/>
  <c r="BK203" i="56"/>
  <c r="BK51" i="56"/>
  <c r="BK149" i="56"/>
  <c r="BK86" i="56"/>
  <c r="BK70" i="56"/>
  <c r="BK156" i="56"/>
  <c r="BK42" i="56"/>
  <c r="BK207" i="56"/>
  <c r="BK88" i="56"/>
  <c r="BK15" i="56"/>
  <c r="BK116" i="56"/>
  <c r="BK74" i="56"/>
  <c r="BK40" i="56"/>
  <c r="BK82" i="56"/>
  <c r="BK234" i="56"/>
  <c r="BK251" i="56"/>
  <c r="BK143" i="56"/>
  <c r="BK101" i="56"/>
  <c r="BK177" i="56"/>
  <c r="BK106" i="56"/>
  <c r="BK158" i="56"/>
  <c r="BK112" i="56"/>
  <c r="BK195" i="56"/>
  <c r="BK130" i="56"/>
  <c r="BK222" i="56"/>
  <c r="BK160" i="56"/>
  <c r="BK171" i="56"/>
  <c r="BK122" i="56"/>
  <c r="BK206" i="56"/>
  <c r="BK172" i="56"/>
  <c r="BK231" i="56"/>
  <c r="BK100" i="56"/>
  <c r="BK225" i="56"/>
  <c r="BK202" i="56"/>
  <c r="BK119" i="56"/>
  <c r="BK56" i="56"/>
  <c r="BK141" i="56"/>
  <c r="BK226" i="56"/>
  <c r="BK175" i="56"/>
  <c r="BK161" i="56"/>
  <c r="BK237" i="56"/>
  <c r="BK218" i="56"/>
  <c r="BK151" i="56"/>
  <c r="BK137" i="56"/>
  <c r="BK205" i="56"/>
  <c r="BK228" i="56"/>
  <c r="BK108" i="56"/>
  <c r="BK136" i="56"/>
  <c r="BK23" i="56"/>
  <c r="BK29" i="56"/>
  <c r="BK59" i="56"/>
  <c r="BK166" i="56"/>
  <c r="BK204" i="56"/>
  <c r="BK79" i="56"/>
  <c r="BK58" i="56"/>
  <c r="BK246" i="56"/>
  <c r="BK252" i="56"/>
  <c r="BK97" i="56"/>
  <c r="BK83" i="56"/>
  <c r="BK155" i="56"/>
  <c r="BK128" i="56"/>
  <c r="BK182" i="56"/>
  <c r="BK114" i="56"/>
  <c r="BK169" i="56"/>
  <c r="BK35" i="56"/>
  <c r="BK127" i="56"/>
  <c r="BK46" i="56"/>
  <c r="BK201" i="56"/>
  <c r="BK71" i="56"/>
  <c r="BK199" i="56"/>
  <c r="BK84" i="56"/>
  <c r="BK193" i="56"/>
  <c r="BK16" i="56"/>
  <c r="BK183" i="56"/>
  <c r="BK60" i="56"/>
  <c r="BK94" i="56"/>
  <c r="BK26" i="56"/>
  <c r="BK95" i="56"/>
  <c r="BK211" i="56"/>
  <c r="W35" i="56" l="1"/>
  <c r="BK5" i="56" s="1"/>
  <c r="AX5" i="56" a="1"/>
  <c r="AX5" i="56" s="1"/>
  <c r="AU16" i="56"/>
  <c r="V28" i="56" s="1"/>
  <c r="AU14" i="56"/>
  <c r="V30" i="56" s="1"/>
  <c r="AU15" i="56"/>
  <c r="V29" i="56" s="1"/>
  <c r="AX6" i="56" l="1"/>
  <c r="AY6" i="56"/>
  <c r="AY5" i="56"/>
  <c r="V35" i="56"/>
  <c r="BJ5" i="56" s="1"/>
  <c r="AU5" i="56" l="1" a="1"/>
  <c r="AU6" i="56" s="1"/>
  <c r="U28" i="56" s="1"/>
  <c r="BK103" i="56"/>
  <c r="T27" i="56"/>
  <c r="T57" i="56"/>
  <c r="BK28" i="56"/>
  <c r="S27" i="56"/>
  <c r="BG1" i="56"/>
  <c r="BG66" i="56"/>
  <c r="BG251" i="56"/>
  <c r="BG214" i="56"/>
  <c r="BJ1" i="56"/>
  <c r="S51" i="56"/>
  <c r="BG101" i="56"/>
  <c r="BG146" i="56"/>
  <c r="BG248" i="56"/>
  <c r="BG118" i="56"/>
  <c r="BG10" i="56"/>
  <c r="BJ212" i="56"/>
  <c r="BJ139" i="56"/>
  <c r="BJ7" i="56"/>
  <c r="BJ54" i="56"/>
  <c r="BJ197" i="56"/>
  <c r="BJ114" i="56"/>
  <c r="BJ138" i="56"/>
  <c r="BJ113" i="56"/>
  <c r="BJ89" i="56"/>
  <c r="BJ19" i="56"/>
  <c r="BJ217" i="56"/>
  <c r="BJ154" i="56"/>
  <c r="BJ208" i="56"/>
  <c r="BJ151" i="56"/>
  <c r="BJ245" i="56"/>
  <c r="BJ140" i="56"/>
  <c r="BJ172" i="56"/>
  <c r="BJ232" i="56"/>
  <c r="T52" i="56"/>
  <c r="S59" i="56"/>
  <c r="BG58" i="56"/>
  <c r="BG110" i="56"/>
  <c r="BG184" i="56"/>
  <c r="BG132" i="56"/>
  <c r="BG85" i="56"/>
  <c r="BJ102" i="56"/>
  <c r="BJ198" i="56"/>
  <c r="BJ20" i="56"/>
  <c r="BJ220" i="56"/>
  <c r="BJ248" i="56"/>
  <c r="BJ42" i="56"/>
  <c r="BJ34" i="56"/>
  <c r="BJ247" i="56"/>
  <c r="BJ230" i="56"/>
  <c r="BJ193" i="56"/>
  <c r="BJ226" i="56"/>
  <c r="BJ128" i="56"/>
  <c r="BJ103" i="56"/>
  <c r="BJ15" i="56"/>
  <c r="T53" i="56"/>
  <c r="S40" i="56"/>
  <c r="BG16" i="56"/>
  <c r="BG31" i="56"/>
  <c r="BG156" i="56"/>
  <c r="BG233" i="56"/>
  <c r="BG14" i="56"/>
  <c r="BG30" i="56"/>
  <c r="BG168" i="56"/>
  <c r="BG204" i="56"/>
  <c r="BG83" i="56"/>
  <c r="BG15" i="56"/>
  <c r="BG220" i="56"/>
  <c r="BJ33" i="56"/>
  <c r="BJ196" i="56"/>
  <c r="BJ24" i="56"/>
  <c r="BJ179" i="56"/>
  <c r="BJ120" i="56"/>
  <c r="V27" i="56"/>
  <c r="V40" i="56" s="1"/>
  <c r="BJ100" i="56"/>
  <c r="V54" i="56"/>
  <c r="BJ253" i="56"/>
  <c r="BJ27" i="56"/>
  <c r="BJ67" i="56"/>
  <c r="BJ251" i="56"/>
  <c r="BJ235" i="56"/>
  <c r="BJ152" i="56"/>
  <c r="T48" i="56"/>
  <c r="W27" i="56"/>
  <c r="X27" i="56"/>
  <c r="S57" i="56"/>
  <c r="W58" i="56"/>
  <c r="BG244" i="56"/>
  <c r="BG209" i="56"/>
  <c r="BG19" i="56"/>
  <c r="BG7" i="56"/>
  <c r="W61" i="56"/>
  <c r="T56" i="56"/>
  <c r="W37" i="56"/>
  <c r="BG217" i="56"/>
  <c r="W51" i="56"/>
  <c r="BG113" i="56"/>
  <c r="BG32" i="56"/>
  <c r="BG246" i="56"/>
  <c r="BJ115" i="56"/>
  <c r="BJ143" i="56"/>
  <c r="BJ134" i="56"/>
  <c r="BJ145" i="56"/>
  <c r="BJ195" i="56"/>
  <c r="BJ118" i="56"/>
  <c r="BJ90" i="56"/>
  <c r="BJ32" i="56"/>
  <c r="BJ242" i="56"/>
  <c r="BJ255" i="56"/>
  <c r="BJ69" i="56"/>
  <c r="BJ10" i="56"/>
  <c r="BJ211" i="56"/>
  <c r="BJ136" i="56"/>
  <c r="BJ132" i="56"/>
  <c r="BJ51" i="56"/>
  <c r="BJ62" i="56"/>
  <c r="BJ104" i="56"/>
  <c r="W63" i="56"/>
  <c r="T55" i="56"/>
  <c r="X50" i="56"/>
  <c r="S61" i="56"/>
  <c r="BG231" i="56"/>
  <c r="BG237" i="56"/>
  <c r="BG56" i="56"/>
  <c r="BG139" i="56"/>
  <c r="BG191" i="56"/>
  <c r="BJ116" i="56"/>
  <c r="BJ160" i="56"/>
  <c r="BJ123" i="56"/>
  <c r="BJ73" i="56"/>
  <c r="BJ121" i="56"/>
  <c r="BJ9" i="56"/>
  <c r="BJ252" i="56"/>
  <c r="BJ170" i="56"/>
  <c r="BJ215" i="56"/>
  <c r="BJ206" i="56"/>
  <c r="BJ141" i="56"/>
  <c r="BJ131" i="56"/>
  <c r="BJ28" i="56"/>
  <c r="BJ12" i="56"/>
  <c r="X56" i="56"/>
  <c r="S55" i="56"/>
  <c r="S44" i="56"/>
  <c r="BG206" i="56"/>
  <c r="BG240" i="56"/>
  <c r="BG55" i="56"/>
  <c r="BG12" i="56"/>
  <c r="BG166" i="56"/>
  <c r="BG176" i="56"/>
  <c r="BG224" i="56"/>
  <c r="BG80" i="56"/>
  <c r="BG222" i="56"/>
  <c r="BG92" i="56"/>
  <c r="BG59" i="56"/>
  <c r="BJ106" i="56"/>
  <c r="BJ101" i="56"/>
  <c r="BJ126" i="56"/>
  <c r="BJ53" i="56"/>
  <c r="BJ88" i="56"/>
  <c r="BJ78" i="56"/>
  <c r="BJ261" i="56"/>
  <c r="BJ80" i="56"/>
  <c r="BJ64" i="56"/>
  <c r="BJ225" i="56"/>
  <c r="BJ243" i="56"/>
  <c r="BJ162" i="56"/>
  <c r="BJ22" i="56"/>
  <c r="BJ44" i="56"/>
  <c r="W55" i="56"/>
  <c r="T45" i="56"/>
  <c r="X47" i="56"/>
  <c r="T36" i="56"/>
  <c r="W47" i="56"/>
  <c r="W56" i="56"/>
  <c r="T43" i="56"/>
  <c r="X57" i="56"/>
  <c r="BG152" i="56"/>
  <c r="BG77" i="56"/>
  <c r="BG213" i="56"/>
  <c r="BG207" i="56"/>
  <c r="H27" i="56"/>
  <c r="G27" i="56"/>
  <c r="X58" i="56"/>
  <c r="H44" i="56"/>
  <c r="G61" i="56"/>
  <c r="G60" i="56"/>
  <c r="BG96" i="56"/>
  <c r="BG136" i="56"/>
  <c r="BG117" i="56"/>
  <c r="BG111" i="56"/>
  <c r="BJ39" i="56"/>
  <c r="BJ21" i="56"/>
  <c r="BJ144" i="56"/>
  <c r="BJ119" i="56"/>
  <c r="BJ97" i="56"/>
  <c r="BJ68" i="56"/>
  <c r="BJ219" i="56"/>
  <c r="BJ35" i="56"/>
  <c r="BJ48" i="56"/>
  <c r="BJ124" i="56"/>
  <c r="BJ216" i="56"/>
  <c r="BJ158" i="56"/>
  <c r="BJ186" i="56"/>
  <c r="BJ83" i="56"/>
  <c r="BJ50" i="56"/>
  <c r="BJ93" i="56"/>
  <c r="BJ56" i="56"/>
  <c r="BJ38" i="56"/>
  <c r="BJ233" i="56"/>
  <c r="H54" i="56"/>
  <c r="T58" i="56"/>
  <c r="G38" i="56"/>
  <c r="X48" i="56"/>
  <c r="S63" i="56"/>
  <c r="BG103" i="56"/>
  <c r="BG109" i="56"/>
  <c r="BG122" i="56"/>
  <c r="BG65" i="56"/>
  <c r="BG81" i="56"/>
  <c r="BJ207" i="56"/>
  <c r="BJ177" i="56"/>
  <c r="BJ13" i="56"/>
  <c r="BJ76" i="56"/>
  <c r="BJ249" i="56"/>
  <c r="BJ260" i="56"/>
  <c r="BJ187" i="56"/>
  <c r="BJ86" i="56"/>
  <c r="BJ184" i="56"/>
  <c r="BJ149" i="56"/>
  <c r="BJ57" i="56"/>
  <c r="BJ47" i="56"/>
  <c r="BJ264" i="56"/>
  <c r="W49" i="56"/>
  <c r="T37" i="56"/>
  <c r="G57" i="56"/>
  <c r="X59" i="56"/>
  <c r="S52" i="56"/>
  <c r="BG35" i="56"/>
  <c r="BG36" i="56"/>
  <c r="BG130" i="56"/>
  <c r="BG234" i="56"/>
  <c r="BG88" i="56"/>
  <c r="BG22" i="56"/>
  <c r="BG192" i="56"/>
  <c r="BG105" i="56"/>
  <c r="BG68" i="56"/>
  <c r="BG90" i="56"/>
  <c r="BG106" i="56"/>
  <c r="BG107" i="56"/>
  <c r="BJ227" i="56"/>
  <c r="BJ240" i="56"/>
  <c r="BJ210" i="56"/>
  <c r="BJ150" i="56"/>
  <c r="BJ153" i="56"/>
  <c r="BJ17" i="56"/>
  <c r="BJ164" i="56"/>
  <c r="BJ46" i="56"/>
  <c r="BJ99" i="56"/>
  <c r="V38" i="56"/>
  <c r="BJ130" i="56"/>
  <c r="BJ191" i="56"/>
  <c r="BJ182" i="56"/>
  <c r="BJ169" i="56"/>
  <c r="W52" i="56"/>
  <c r="T46" i="56"/>
  <c r="G41" i="56"/>
  <c r="X41" i="56"/>
  <c r="S54" i="56"/>
  <c r="BG78" i="56"/>
  <c r="BG91" i="56"/>
  <c r="BG256" i="56"/>
  <c r="BG144" i="56"/>
  <c r="BG255" i="56"/>
  <c r="BJ79" i="56"/>
  <c r="BJ52" i="56"/>
  <c r="BJ159" i="56"/>
  <c r="BJ214" i="56"/>
  <c r="BJ185" i="56"/>
  <c r="BJ173" i="56"/>
  <c r="BJ94" i="56"/>
  <c r="BJ107" i="56"/>
  <c r="BJ59" i="56"/>
  <c r="BJ77" i="56"/>
  <c r="BJ60" i="56"/>
  <c r="BJ263" i="56"/>
  <c r="BJ246" i="56"/>
  <c r="BJ201" i="56"/>
  <c r="W38" i="56"/>
  <c r="T44" i="56"/>
  <c r="G51" i="56"/>
  <c r="X36" i="56"/>
  <c r="S41" i="56"/>
  <c r="BG135" i="56"/>
  <c r="BG141" i="56"/>
  <c r="BG172" i="56"/>
  <c r="BG46" i="56"/>
  <c r="BG6" i="56"/>
  <c r="BG25" i="56"/>
  <c r="BG108" i="56"/>
  <c r="BG87" i="56"/>
  <c r="BG151" i="56"/>
  <c r="BG157" i="56"/>
  <c r="BG200" i="56"/>
  <c r="BG218" i="56"/>
  <c r="BG163" i="56"/>
  <c r="BG39" i="56"/>
  <c r="BG179" i="56"/>
  <c r="BG29" i="56"/>
  <c r="V44" i="56"/>
  <c r="BG197" i="56"/>
  <c r="BG48" i="56"/>
  <c r="BG253" i="56"/>
  <c r="BG242" i="56"/>
  <c r="V51" i="56"/>
  <c r="BG133" i="56"/>
  <c r="BG94" i="56"/>
  <c r="BG189" i="56"/>
  <c r="BG60" i="56"/>
  <c r="V45" i="56"/>
  <c r="BG243" i="56"/>
  <c r="BG63" i="56"/>
  <c r="BG112" i="56"/>
  <c r="BG93" i="56"/>
  <c r="S53" i="56"/>
  <c r="BG167" i="56"/>
  <c r="BG173" i="56"/>
  <c r="BG225" i="56"/>
  <c r="BG62" i="56"/>
  <c r="BG127" i="56"/>
  <c r="BJ122" i="56"/>
  <c r="BJ55" i="56"/>
  <c r="BJ146" i="56"/>
  <c r="BJ199" i="56"/>
  <c r="BJ70" i="56"/>
  <c r="BJ25" i="56"/>
  <c r="BJ66" i="56"/>
  <c r="BJ244" i="56"/>
  <c r="BJ256" i="56"/>
  <c r="BJ23" i="56"/>
  <c r="BJ228" i="56"/>
  <c r="BJ194" i="56"/>
  <c r="BJ223" i="56"/>
  <c r="BJ82" i="56"/>
  <c r="H51" i="56"/>
  <c r="T50" i="56"/>
  <c r="X61" i="56"/>
  <c r="S38" i="56"/>
  <c r="BG86" i="56"/>
  <c r="BG99" i="56"/>
  <c r="BG128" i="56"/>
  <c r="BG124" i="56"/>
  <c r="BG230" i="56"/>
  <c r="BG67" i="56"/>
  <c r="BG40" i="56"/>
  <c r="BG27" i="56"/>
  <c r="BG100" i="56"/>
  <c r="BG51" i="56"/>
  <c r="BG115" i="56"/>
  <c r="BG262" i="56"/>
  <c r="BG227" i="56"/>
  <c r="BG42" i="56"/>
  <c r="BG169" i="56"/>
  <c r="BG82" i="56"/>
  <c r="BG226" i="56"/>
  <c r="BG228" i="56"/>
  <c r="BG37" i="56"/>
  <c r="BG208" i="56"/>
  <c r="V41" i="56"/>
  <c r="BG123" i="56"/>
  <c r="BG21" i="56"/>
  <c r="BG212" i="56"/>
  <c r="BG252" i="56"/>
  <c r="V63" i="56"/>
  <c r="BG120" i="56"/>
  <c r="BG119" i="56"/>
  <c r="BG147" i="56"/>
  <c r="BG154" i="56"/>
  <c r="V47" i="56"/>
  <c r="S58" i="56"/>
  <c r="BG53" i="56"/>
  <c r="BG52" i="56"/>
  <c r="BG232" i="56"/>
  <c r="BG155" i="56"/>
  <c r="BJ108" i="56"/>
  <c r="BJ109" i="56"/>
  <c r="BJ49" i="56"/>
  <c r="BJ8" i="56"/>
  <c r="BJ176" i="56"/>
  <c r="V37" i="56"/>
  <c r="BJ258" i="56"/>
  <c r="BJ111" i="56"/>
  <c r="BJ65" i="56"/>
  <c r="BJ129" i="56"/>
  <c r="BJ236" i="56"/>
  <c r="BJ163" i="56"/>
  <c r="BJ91" i="56"/>
  <c r="BJ192" i="56"/>
  <c r="W42" i="56"/>
  <c r="H59" i="56"/>
  <c r="BE1" i="56"/>
  <c r="X54" i="56"/>
  <c r="S37" i="56"/>
  <c r="S39" i="56"/>
  <c r="BG142" i="56"/>
  <c r="BG137" i="56"/>
  <c r="BG185" i="56"/>
  <c r="BG44" i="56"/>
  <c r="BG9" i="56"/>
  <c r="BG145" i="56"/>
  <c r="BG121" i="56"/>
  <c r="BG95" i="56"/>
  <c r="BG158" i="56"/>
  <c r="BG162" i="56"/>
  <c r="BG210" i="56"/>
  <c r="BG261" i="56"/>
  <c r="BG104" i="56"/>
  <c r="BG45" i="56"/>
  <c r="BG170" i="56"/>
  <c r="V55" i="56"/>
  <c r="BE213" i="56"/>
  <c r="BE211" i="56"/>
  <c r="BE208" i="56"/>
  <c r="BE20" i="56"/>
  <c r="BE237" i="56"/>
  <c r="BE235" i="56"/>
  <c r="BE170" i="56"/>
  <c r="BE7" i="56"/>
  <c r="BE261" i="56"/>
  <c r="BE131" i="56"/>
  <c r="BE130" i="56"/>
  <c r="BE155" i="56"/>
  <c r="BE159" i="56"/>
  <c r="BG264" i="56"/>
  <c r="BG247" i="56"/>
  <c r="BG138" i="56"/>
  <c r="BG49" i="56"/>
  <c r="V50" i="56"/>
  <c r="BE88" i="56"/>
  <c r="BE14" i="56"/>
  <c r="BE225" i="56"/>
  <c r="BE160" i="56"/>
  <c r="BE60" i="56"/>
  <c r="BE9" i="56"/>
  <c r="BE138" i="56"/>
  <c r="BE199" i="56"/>
  <c r="BE42" i="56"/>
  <c r="BE15" i="56"/>
  <c r="BE177" i="56"/>
  <c r="BE238" i="56"/>
  <c r="BE125" i="56"/>
  <c r="BE123" i="56"/>
  <c r="BE216" i="56"/>
  <c r="BE94" i="56"/>
  <c r="BE257" i="56"/>
  <c r="BE72" i="56"/>
  <c r="BE206" i="56"/>
  <c r="BE262" i="56"/>
  <c r="BG161" i="56"/>
  <c r="BG183" i="56"/>
  <c r="BG250" i="56"/>
  <c r="BG33" i="56"/>
  <c r="V57" i="56"/>
  <c r="BE148" i="56"/>
  <c r="BE37" i="56"/>
  <c r="BE190" i="56"/>
  <c r="BE247" i="56"/>
  <c r="BE172" i="56"/>
  <c r="BE78" i="56"/>
  <c r="BE226" i="56"/>
  <c r="BE52" i="56"/>
  <c r="BE196" i="56"/>
  <c r="BE167" i="56"/>
  <c r="BE221" i="56"/>
  <c r="BE166" i="56"/>
  <c r="BG38" i="56"/>
  <c r="BG195" i="56"/>
  <c r="BG126" i="56"/>
  <c r="BG160" i="56"/>
  <c r="V42" i="56"/>
  <c r="S45" i="56"/>
  <c r="S46" i="56"/>
  <c r="BG174" i="56"/>
  <c r="BG187" i="56"/>
  <c r="BG235" i="56"/>
  <c r="BG70" i="56"/>
  <c r="BJ213" i="56"/>
  <c r="BJ183" i="56"/>
  <c r="BJ189" i="56"/>
  <c r="BJ133" i="56"/>
  <c r="BJ63" i="56"/>
  <c r="BJ222" i="56"/>
  <c r="BJ165" i="56"/>
  <c r="BJ112" i="56"/>
  <c r="BJ45" i="56"/>
  <c r="BJ257" i="56"/>
  <c r="BJ147" i="56"/>
  <c r="V59" i="56"/>
  <c r="BJ181" i="56"/>
  <c r="BJ74" i="56"/>
  <c r="W59" i="56"/>
  <c r="T62" i="56"/>
  <c r="G62" i="56"/>
  <c r="X49" i="56"/>
  <c r="S48" i="56"/>
  <c r="BG263" i="56"/>
  <c r="BG89" i="56"/>
  <c r="BG216" i="56"/>
  <c r="BG140" i="56"/>
  <c r="BG223" i="56"/>
  <c r="BG229" i="56"/>
  <c r="BG34" i="56"/>
  <c r="BG241" i="56"/>
  <c r="BG75" i="56"/>
  <c r="BG50" i="56"/>
  <c r="BG153" i="56"/>
  <c r="BG257" i="56"/>
  <c r="BG43" i="56"/>
  <c r="BG202" i="56"/>
  <c r="BG47" i="56"/>
  <c r="BG258" i="56"/>
  <c r="V48" i="56"/>
  <c r="BE50" i="56"/>
  <c r="BE46" i="56"/>
  <c r="BE152" i="56"/>
  <c r="BE210" i="56"/>
  <c r="BE109" i="56"/>
  <c r="BE107" i="56"/>
  <c r="BE191" i="56"/>
  <c r="BE249" i="56"/>
  <c r="BE133" i="56"/>
  <c r="BE100" i="56"/>
  <c r="BE13" i="56"/>
  <c r="BE103" i="56"/>
  <c r="BG198" i="56"/>
  <c r="BG71" i="56"/>
  <c r="BG254" i="56"/>
  <c r="BG177" i="56"/>
  <c r="BG13" i="56"/>
  <c r="V49" i="56"/>
  <c r="BE180" i="56"/>
  <c r="BE92" i="56"/>
  <c r="BE240" i="56"/>
  <c r="BE38" i="56"/>
  <c r="BE204" i="56"/>
  <c r="BE36" i="56"/>
  <c r="BE68" i="56"/>
  <c r="BE194" i="56"/>
  <c r="BE228" i="56"/>
  <c r="BE27" i="56"/>
  <c r="BE118" i="56"/>
  <c r="BE69" i="56"/>
  <c r="BE252" i="56"/>
  <c r="BE19" i="56"/>
  <c r="BE158" i="56"/>
  <c r="BE33" i="56"/>
  <c r="BE99" i="56"/>
  <c r="BE87" i="56"/>
  <c r="BE258" i="56"/>
  <c r="BG134" i="56"/>
  <c r="BG171" i="56"/>
  <c r="BG190" i="56"/>
  <c r="BG260" i="56"/>
  <c r="V36" i="56"/>
  <c r="BE97" i="56"/>
  <c r="BE62" i="56"/>
  <c r="BE214" i="56"/>
  <c r="BE233" i="56"/>
  <c r="BE84" i="56"/>
  <c r="BE10" i="56"/>
  <c r="BE128" i="56"/>
  <c r="BE234" i="56"/>
  <c r="BE32" i="56"/>
  <c r="BE57" i="56"/>
  <c r="BE127" i="56"/>
  <c r="BE220" i="56"/>
  <c r="BE250" i="56"/>
  <c r="BG61" i="56"/>
  <c r="BG219" i="56"/>
  <c r="BG125" i="56"/>
  <c r="BG69" i="56"/>
  <c r="V46" i="56"/>
  <c r="BE117" i="56"/>
  <c r="BE115" i="56"/>
  <c r="BE202" i="56"/>
  <c r="BE263" i="56"/>
  <c r="BE141" i="56"/>
  <c r="BE139" i="56"/>
  <c r="BE241" i="56"/>
  <c r="BE39" i="56"/>
  <c r="BE165" i="56"/>
  <c r="BE163" i="56"/>
  <c r="BE56" i="56"/>
  <c r="BE207" i="56"/>
  <c r="BE189" i="56"/>
  <c r="BE187" i="56"/>
  <c r="BE104" i="56"/>
  <c r="BE136" i="56"/>
  <c r="V39" i="56"/>
  <c r="BE8" i="56"/>
  <c r="BE43" i="56"/>
  <c r="BE80" i="56"/>
  <c r="BE182" i="56"/>
  <c r="BE12" i="56"/>
  <c r="BE248" i="56"/>
  <c r="BE83" i="56"/>
  <c r="BE174" i="56"/>
  <c r="BE230" i="56"/>
  <c r="BE54" i="56"/>
  <c r="BE65" i="56"/>
  <c r="BE77" i="56"/>
  <c r="T47" i="56"/>
  <c r="W57" i="56"/>
  <c r="W39" i="56"/>
  <c r="W43" i="56"/>
  <c r="X43" i="56"/>
  <c r="X55" i="56"/>
  <c r="S43" i="56"/>
  <c r="BG98" i="56"/>
  <c r="BG18" i="56"/>
  <c r="BG116" i="56"/>
  <c r="BG194" i="56"/>
  <c r="BG143" i="56"/>
  <c r="BG149" i="56"/>
  <c r="BG186" i="56"/>
  <c r="BG203" i="56"/>
  <c r="BJ180" i="56"/>
  <c r="BJ71" i="56"/>
  <c r="BJ239" i="56"/>
  <c r="BJ218" i="56"/>
  <c r="BJ117" i="56"/>
  <c r="BJ190" i="56"/>
  <c r="H58" i="56"/>
  <c r="H63" i="56"/>
  <c r="H46" i="56"/>
  <c r="H60" i="56"/>
  <c r="G63" i="56"/>
  <c r="G55" i="56"/>
  <c r="G40" i="56"/>
  <c r="V61" i="56"/>
  <c r="V60" i="56"/>
  <c r="BE245" i="56"/>
  <c r="BE223" i="56"/>
  <c r="BE85" i="56"/>
  <c r="BE161" i="56"/>
  <c r="BE53" i="56"/>
  <c r="BE114" i="56"/>
  <c r="BE51" i="56"/>
  <c r="BE153" i="56"/>
  <c r="BE18" i="56"/>
  <c r="BE162" i="56"/>
  <c r="BE61" i="56"/>
  <c r="BE89" i="56"/>
  <c r="T41" i="56"/>
  <c r="T63" i="56"/>
  <c r="W45" i="56"/>
  <c r="W62" i="56"/>
  <c r="X44" i="56"/>
  <c r="X39" i="56"/>
  <c r="S56" i="56"/>
  <c r="S47" i="56"/>
  <c r="BG182" i="56"/>
  <c r="BG201" i="56"/>
  <c r="BG249" i="56"/>
  <c r="BG54" i="56"/>
  <c r="BG97" i="56"/>
  <c r="BG73" i="56"/>
  <c r="BG178" i="56"/>
  <c r="BG41" i="56"/>
  <c r="BJ178" i="56"/>
  <c r="BJ209" i="56"/>
  <c r="BJ262" i="56"/>
  <c r="BJ26" i="56"/>
  <c r="BJ202" i="56"/>
  <c r="BJ254" i="56"/>
  <c r="H48" i="56"/>
  <c r="H52" i="56"/>
  <c r="H49" i="56"/>
  <c r="H62" i="56"/>
  <c r="G52" i="56"/>
  <c r="G37" i="56"/>
  <c r="G58" i="56"/>
  <c r="V56" i="56"/>
  <c r="V58" i="56"/>
  <c r="BE244" i="56"/>
  <c r="BE119" i="56"/>
  <c r="BE93" i="56"/>
  <c r="BE120" i="56"/>
  <c r="BE63" i="56"/>
  <c r="BE111" i="56"/>
  <c r="BE70" i="56"/>
  <c r="BE113" i="56"/>
  <c r="BE259" i="56"/>
  <c r="BE25" i="56"/>
  <c r="BE64" i="56"/>
  <c r="BE201" i="56"/>
  <c r="T61" i="56"/>
  <c r="T38" i="56"/>
  <c r="W53" i="56"/>
  <c r="W54" i="56"/>
  <c r="X63" i="56"/>
  <c r="X45" i="56"/>
  <c r="S42" i="56"/>
  <c r="BG8" i="56"/>
  <c r="BG11" i="56"/>
  <c r="BG129" i="56"/>
  <c r="BG131" i="56"/>
  <c r="BG20" i="56"/>
  <c r="BG150" i="56"/>
  <c r="BG148" i="56"/>
  <c r="BG196" i="56"/>
  <c r="BJ231" i="56"/>
  <c r="BJ188" i="56"/>
  <c r="BJ18" i="56"/>
  <c r="BJ205" i="56"/>
  <c r="BJ234" i="56"/>
  <c r="BJ61" i="56"/>
  <c r="H61" i="56"/>
  <c r="H55" i="56"/>
  <c r="H38" i="56"/>
  <c r="BF1" i="56"/>
  <c r="G49" i="56"/>
  <c r="G56" i="56"/>
  <c r="G59" i="56"/>
  <c r="V52" i="56"/>
  <c r="V53" i="56"/>
  <c r="BF227" i="56"/>
  <c r="BF125" i="56"/>
  <c r="BF94" i="56"/>
  <c r="BF21" i="56"/>
  <c r="BF43" i="56"/>
  <c r="BF32" i="56"/>
  <c r="BF56" i="56"/>
  <c r="BF111" i="56"/>
  <c r="BF130" i="56"/>
  <c r="BF261" i="56"/>
  <c r="BF112" i="56"/>
  <c r="BF140" i="56"/>
  <c r="BF101" i="56"/>
  <c r="BF215" i="56"/>
  <c r="BF220" i="56"/>
  <c r="BF153" i="56"/>
  <c r="BF161" i="56"/>
  <c r="BF25" i="56"/>
  <c r="BF155" i="56"/>
  <c r="BF13" i="56"/>
  <c r="BF141" i="56"/>
  <c r="BF146" i="56"/>
  <c r="BF110" i="56"/>
  <c r="BF67" i="56"/>
  <c r="BF7" i="56"/>
  <c r="BF16" i="56"/>
  <c r="BF28" i="56"/>
  <c r="BF149" i="56"/>
  <c r="BF218" i="56"/>
  <c r="BF257" i="56"/>
  <c r="BF207" i="56"/>
  <c r="BF206" i="56"/>
  <c r="BF176" i="56"/>
  <c r="BF119" i="56"/>
  <c r="BF19" i="56"/>
  <c r="BF246" i="56"/>
  <c r="BE243" i="56"/>
  <c r="BE129" i="56"/>
  <c r="BE101" i="56"/>
  <c r="BE169" i="56"/>
  <c r="BE79" i="56"/>
  <c r="BE184" i="56"/>
  <c r="BE11" i="56"/>
  <c r="BE150" i="56"/>
  <c r="BE98" i="56"/>
  <c r="BE55" i="56"/>
  <c r="BE90" i="56"/>
  <c r="BE24" i="56"/>
  <c r="T60" i="56"/>
  <c r="T42" i="56"/>
  <c r="W46" i="56"/>
  <c r="W41" i="56"/>
  <c r="X37" i="56"/>
  <c r="X60" i="56"/>
  <c r="S49" i="56"/>
  <c r="BG175" i="56"/>
  <c r="BG181" i="56"/>
  <c r="BG236" i="56"/>
  <c r="BG76" i="56"/>
  <c r="BG102" i="56"/>
  <c r="BG57" i="56"/>
  <c r="BG114" i="56"/>
  <c r="BG193" i="56"/>
  <c r="BJ81" i="56"/>
  <c r="BJ174" i="56"/>
  <c r="BJ200" i="56"/>
  <c r="BJ40" i="56"/>
  <c r="BJ29" i="56"/>
  <c r="BJ125" i="56"/>
  <c r="H41" i="56"/>
  <c r="H37" i="56"/>
  <c r="H47" i="56"/>
  <c r="H53" i="56"/>
  <c r="G47" i="56"/>
  <c r="G45" i="56"/>
  <c r="G44" i="56"/>
  <c r="V62" i="56"/>
  <c r="V43" i="56"/>
  <c r="BF262" i="56"/>
  <c r="BF76" i="56"/>
  <c r="BF123" i="56"/>
  <c r="BF202" i="56"/>
  <c r="BF106" i="56"/>
  <c r="BF133" i="56"/>
  <c r="BF214" i="56"/>
  <c r="BF172" i="56"/>
  <c r="BF73" i="56"/>
  <c r="BF62" i="56"/>
  <c r="BF51" i="56"/>
  <c r="BF83" i="56"/>
  <c r="BF137" i="56"/>
  <c r="BF8" i="56"/>
  <c r="BF189" i="56"/>
  <c r="BF113" i="56"/>
  <c r="BF26" i="56"/>
  <c r="BF171" i="56"/>
  <c r="BF139" i="56"/>
  <c r="BF231" i="56"/>
  <c r="BF245" i="56"/>
  <c r="BF6" i="56"/>
  <c r="BF236" i="56"/>
  <c r="BF254" i="56"/>
  <c r="BF35" i="56"/>
  <c r="BF233" i="56"/>
  <c r="BF183" i="56"/>
  <c r="BF170" i="56"/>
  <c r="BF240" i="56"/>
  <c r="BF129" i="56"/>
  <c r="BF42" i="56"/>
  <c r="BF142" i="56"/>
  <c r="BF84" i="56"/>
  <c r="BF122" i="56"/>
  <c r="BF108" i="56"/>
  <c r="BF134" i="56"/>
  <c r="BF230" i="56"/>
  <c r="BF37" i="56"/>
  <c r="BF24" i="56"/>
  <c r="BF224" i="56"/>
  <c r="BF253" i="56"/>
  <c r="BF219" i="56"/>
  <c r="BF96" i="56"/>
  <c r="BF74" i="56"/>
  <c r="BF120" i="56"/>
  <c r="BF179" i="56"/>
  <c r="BF260" i="56"/>
  <c r="BF104" i="56"/>
  <c r="BF87" i="56"/>
  <c r="BF243" i="56"/>
  <c r="BF33" i="56"/>
  <c r="BF145" i="56"/>
  <c r="BF34" i="56"/>
  <c r="BF182" i="56"/>
  <c r="BF222" i="56"/>
  <c r="BF192" i="56"/>
  <c r="BF216" i="56"/>
  <c r="BF203" i="56"/>
  <c r="BF205" i="56"/>
  <c r="BF10" i="56"/>
  <c r="BF109" i="56"/>
  <c r="BF69" i="56"/>
  <c r="BF103" i="56"/>
  <c r="BF14" i="56"/>
  <c r="BF228" i="56"/>
  <c r="BF81" i="56"/>
  <c r="BF241" i="56"/>
  <c r="BF235" i="56"/>
  <c r="BF264" i="56"/>
  <c r="BF190" i="56"/>
  <c r="BF167" i="56"/>
  <c r="BF177" i="56"/>
  <c r="BF178" i="56"/>
  <c r="BF169" i="56"/>
  <c r="BF204" i="56"/>
  <c r="BF40" i="56"/>
  <c r="BF173" i="56"/>
  <c r="BF15" i="56"/>
  <c r="BF55" i="56"/>
  <c r="BF30" i="56"/>
  <c r="BF213" i="56"/>
  <c r="BF64" i="56"/>
  <c r="BF60" i="56"/>
  <c r="BF225" i="56"/>
  <c r="BF157" i="56"/>
  <c r="BF165" i="56"/>
  <c r="BF196" i="56"/>
  <c r="BF184" i="56"/>
  <c r="BF166" i="56"/>
  <c r="BF12" i="56"/>
  <c r="BF131" i="56"/>
  <c r="BF135" i="56"/>
  <c r="BF116" i="56"/>
  <c r="BF89" i="56"/>
  <c r="BF97" i="56"/>
  <c r="BF114" i="56"/>
  <c r="BF212" i="56"/>
  <c r="BF38" i="56"/>
  <c r="BF90" i="56"/>
  <c r="BF251" i="56"/>
  <c r="BF248" i="56"/>
  <c r="BF258" i="56"/>
  <c r="BF147" i="56"/>
  <c r="BF93" i="56"/>
  <c r="BF121" i="56"/>
  <c r="BF50" i="56"/>
  <c r="BF209" i="56"/>
  <c r="BF221" i="56"/>
  <c r="BF263" i="56"/>
  <c r="BF185" i="56"/>
  <c r="BF234" i="56"/>
  <c r="BF152" i="56"/>
  <c r="BF22" i="56"/>
  <c r="BF98" i="56"/>
  <c r="BF23" i="56"/>
  <c r="BF175" i="56"/>
  <c r="BF58" i="56"/>
  <c r="BF244" i="56"/>
  <c r="BF255" i="56"/>
  <c r="BF252" i="56"/>
  <c r="BF92" i="56"/>
  <c r="BF210" i="56"/>
  <c r="BF95" i="56"/>
  <c r="BF100" i="56"/>
  <c r="Y25" i="56"/>
  <c r="AA25" i="56"/>
  <c r="Z25" i="56"/>
  <c r="T51" i="56"/>
  <c r="T54" i="56"/>
  <c r="T49" i="56"/>
  <c r="T40" i="56"/>
  <c r="BH1" i="56"/>
  <c r="T39" i="56"/>
  <c r="T59" i="56"/>
  <c r="S60" i="56"/>
  <c r="S50" i="56"/>
  <c r="S36" i="56"/>
  <c r="S62" i="56"/>
  <c r="BG188" i="56"/>
  <c r="BG28" i="56"/>
  <c r="BG221" i="56"/>
  <c r="BG215" i="56"/>
  <c r="BG79" i="56"/>
  <c r="BG211" i="56"/>
  <c r="BG165" i="56"/>
  <c r="BG159" i="56"/>
  <c r="BG24" i="56"/>
  <c r="BG64" i="56"/>
  <c r="BG205" i="56"/>
  <c r="BG199" i="56"/>
  <c r="BG23" i="56"/>
  <c r="BG17" i="56"/>
  <c r="BG26" i="56"/>
  <c r="BG238" i="56"/>
  <c r="BG239" i="56"/>
  <c r="BG245" i="56"/>
  <c r="BG74" i="56"/>
  <c r="BG164" i="56"/>
  <c r="BG72" i="56"/>
  <c r="BG84" i="56"/>
  <c r="BG180" i="56"/>
  <c r="BG259" i="56"/>
  <c r="BJ85" i="56"/>
  <c r="BJ167" i="56"/>
  <c r="BJ72" i="56"/>
  <c r="BJ75" i="56"/>
  <c r="BJ142" i="56"/>
  <c r="BJ224" i="56"/>
  <c r="BJ148" i="56"/>
  <c r="BJ156" i="56"/>
  <c r="BJ16" i="56"/>
  <c r="BJ135" i="56"/>
  <c r="BJ168" i="56"/>
  <c r="BJ241" i="56"/>
  <c r="BJ87" i="56"/>
  <c r="BJ137" i="56"/>
  <c r="BJ110" i="56"/>
  <c r="BJ127" i="56"/>
  <c r="BJ98" i="56"/>
  <c r="BJ92" i="56"/>
  <c r="BJ157" i="56"/>
  <c r="BJ250" i="56"/>
  <c r="BJ171" i="56"/>
  <c r="BJ96" i="56"/>
  <c r="BJ84" i="56"/>
  <c r="BJ31" i="56"/>
  <c r="BJ238" i="56"/>
  <c r="BJ259" i="56"/>
  <c r="BJ221" i="56"/>
  <c r="BJ11" i="56"/>
  <c r="BJ41" i="56"/>
  <c r="BJ58" i="56"/>
  <c r="BJ237" i="56"/>
  <c r="BJ161" i="56"/>
  <c r="BJ166" i="56"/>
  <c r="BJ175" i="56"/>
  <c r="BJ36" i="56"/>
  <c r="BJ14" i="56"/>
  <c r="BJ229" i="56"/>
  <c r="BJ37" i="56"/>
  <c r="BJ43" i="56"/>
  <c r="BJ6" i="56"/>
  <c r="BJ203" i="56"/>
  <c r="BJ30" i="56"/>
  <c r="BJ105" i="56"/>
  <c r="BJ155" i="56"/>
  <c r="BJ204" i="56"/>
  <c r="BJ95" i="56"/>
  <c r="W50" i="56"/>
  <c r="W40" i="56"/>
  <c r="W60" i="56"/>
  <c r="W44" i="56"/>
  <c r="W36" i="56"/>
  <c r="W48" i="56"/>
  <c r="X62" i="56"/>
  <c r="X40" i="56"/>
  <c r="X38" i="56"/>
  <c r="X53" i="56"/>
  <c r="X51" i="56"/>
  <c r="X52" i="56"/>
  <c r="X46" i="56"/>
  <c r="X42" i="56"/>
  <c r="H56" i="56"/>
  <c r="H50" i="56"/>
  <c r="H36" i="56"/>
  <c r="H45" i="56"/>
  <c r="H39" i="56"/>
  <c r="H57" i="56"/>
  <c r="H43" i="56"/>
  <c r="H40" i="56"/>
  <c r="H42" i="56"/>
  <c r="G48" i="56"/>
  <c r="G43" i="56"/>
  <c r="G50" i="56"/>
  <c r="G54" i="56"/>
  <c r="G46" i="56"/>
  <c r="G39" i="56"/>
  <c r="G36" i="56"/>
  <c r="G42" i="56"/>
  <c r="G53" i="56"/>
  <c r="BE254" i="56"/>
  <c r="BE16" i="56"/>
  <c r="BE188" i="56"/>
  <c r="BE67" i="56"/>
  <c r="BE215" i="56"/>
  <c r="BE91" i="56"/>
  <c r="BE164" i="56"/>
  <c r="BE168" i="56"/>
  <c r="BE176" i="56"/>
  <c r="BE40" i="56"/>
  <c r="BE140" i="56"/>
  <c r="BE74" i="56"/>
  <c r="BE137" i="56"/>
  <c r="BE242" i="56"/>
  <c r="BE116" i="56"/>
  <c r="BE193" i="56"/>
  <c r="BE29" i="56"/>
  <c r="BE185" i="56"/>
  <c r="BE73" i="56"/>
  <c r="BE41" i="56"/>
  <c r="BE146" i="56"/>
  <c r="BE175" i="56"/>
  <c r="BE17" i="56"/>
  <c r="BE59" i="56"/>
  <c r="BE105" i="56"/>
  <c r="BE209" i="56"/>
  <c r="BE76" i="56"/>
  <c r="BE58" i="56"/>
  <c r="BE96" i="56"/>
  <c r="BE82" i="56"/>
  <c r="BE154" i="56"/>
  <c r="BE31" i="56"/>
  <c r="BE246" i="56"/>
  <c r="BE110" i="56"/>
  <c r="BE251" i="56"/>
  <c r="BE253" i="56"/>
  <c r="BE48" i="56"/>
  <c r="BE106" i="56"/>
  <c r="BE227" i="56"/>
  <c r="BE229" i="56"/>
  <c r="BE86" i="56"/>
  <c r="BE144" i="56"/>
  <c r="BE203" i="56"/>
  <c r="BE205" i="56"/>
  <c r="BE198" i="56"/>
  <c r="BE26" i="56"/>
  <c r="BE179" i="56"/>
  <c r="BE181" i="56"/>
  <c r="BE134" i="56"/>
  <c r="BE156" i="56"/>
  <c r="BE222" i="56"/>
  <c r="BE132" i="56"/>
  <c r="BE71" i="56"/>
  <c r="BE126" i="56"/>
  <c r="BE231" i="56"/>
  <c r="BE108" i="56"/>
  <c r="BE143" i="56"/>
  <c r="BE239" i="56"/>
  <c r="BE192" i="56"/>
  <c r="BE6" i="56"/>
  <c r="BE35" i="56"/>
  <c r="BE224" i="56"/>
  <c r="BE219" i="56"/>
  <c r="BE186" i="56"/>
  <c r="BE195" i="56"/>
  <c r="BE197" i="56"/>
  <c r="BE183" i="56"/>
  <c r="BE28" i="56"/>
  <c r="BE171" i="56"/>
  <c r="BE173" i="56"/>
  <c r="BE30" i="56"/>
  <c r="BE255" i="56"/>
  <c r="BE147" i="56"/>
  <c r="BE149" i="56"/>
  <c r="BE47" i="56"/>
  <c r="BE45" i="56"/>
  <c r="BE264" i="56"/>
  <c r="BE22" i="56"/>
  <c r="BE151" i="56"/>
  <c r="BE256" i="56"/>
  <c r="BE124" i="56"/>
  <c r="BE218" i="56"/>
  <c r="BE112" i="56"/>
  <c r="BE217" i="56"/>
  <c r="BE44" i="56"/>
  <c r="BE23" i="56"/>
  <c r="BE200" i="56"/>
  <c r="BE178" i="56"/>
  <c r="BE66" i="56"/>
  <c r="BE49" i="56"/>
  <c r="BE135" i="56"/>
  <c r="BE142" i="56"/>
  <c r="BE95" i="56"/>
  <c r="BE75" i="56"/>
  <c r="BE121" i="56"/>
  <c r="BE157" i="56"/>
  <c r="BE122" i="56"/>
  <c r="BE260" i="56"/>
  <c r="BE34" i="56"/>
  <c r="BE232" i="56"/>
  <c r="BE21" i="56"/>
  <c r="BE236" i="56"/>
  <c r="BE145" i="56"/>
  <c r="BE81" i="56"/>
  <c r="BE102" i="56"/>
  <c r="BE212" i="56"/>
  <c r="BF148" i="56"/>
  <c r="BF194" i="56"/>
  <c r="BF154" i="56"/>
  <c r="BF200" i="56"/>
  <c r="BF118" i="56"/>
  <c r="BF143" i="56"/>
  <c r="BF193" i="56"/>
  <c r="BF249" i="56"/>
  <c r="BF78" i="56"/>
  <c r="BF247" i="56"/>
  <c r="BF77" i="56"/>
  <c r="BF198" i="56"/>
  <c r="BF180" i="56"/>
  <c r="BF124" i="56"/>
  <c r="BF144" i="56"/>
  <c r="BF61" i="56"/>
  <c r="BF11" i="56"/>
  <c r="BF132" i="56"/>
  <c r="BF70" i="56"/>
  <c r="BF208" i="56"/>
  <c r="BF72" i="56"/>
  <c r="BF127" i="56"/>
  <c r="BF151" i="56"/>
  <c r="BF201" i="56"/>
  <c r="BF71" i="56"/>
  <c r="BF211" i="56"/>
  <c r="BF136" i="56"/>
  <c r="BF223" i="56"/>
  <c r="BF115" i="56"/>
  <c r="BF53" i="56"/>
  <c r="BF117" i="56"/>
  <c r="BF150" i="56"/>
  <c r="BF9" i="56"/>
  <c r="BF191" i="56"/>
  <c r="BF86" i="56"/>
  <c r="BF229" i="56"/>
  <c r="BF256" i="56"/>
  <c r="BF232" i="56"/>
  <c r="BF57" i="56"/>
  <c r="BF238" i="56"/>
  <c r="BF75" i="56"/>
  <c r="BF29" i="56"/>
  <c r="BF158" i="56"/>
  <c r="BF217" i="56"/>
  <c r="BF259" i="56"/>
  <c r="BF239" i="56"/>
  <c r="BF41" i="56"/>
  <c r="BF126" i="56"/>
  <c r="BF226" i="56"/>
  <c r="BF48" i="56"/>
  <c r="BF159" i="56"/>
  <c r="BF187" i="56"/>
  <c r="BF160" i="56"/>
  <c r="BF68" i="56"/>
  <c r="BF45" i="56"/>
  <c r="BF79" i="56"/>
  <c r="BF27" i="56"/>
  <c r="BF102" i="56"/>
  <c r="BF242" i="56"/>
  <c r="BF164" i="56"/>
  <c r="BF20" i="56"/>
  <c r="BF237" i="56"/>
  <c r="BF186" i="56"/>
  <c r="BF31" i="56"/>
  <c r="BF195" i="56"/>
  <c r="BF199" i="56"/>
  <c r="BF36" i="56"/>
  <c r="BF128" i="56"/>
  <c r="BF85" i="56"/>
  <c r="BF17" i="56"/>
  <c r="BF174" i="56"/>
  <c r="BF80" i="56"/>
  <c r="BF105" i="56"/>
  <c r="BF52" i="56"/>
  <c r="BF162" i="56"/>
  <c r="BF181" i="56"/>
  <c r="BF47" i="56"/>
  <c r="BF107" i="56"/>
  <c r="BF65" i="56"/>
  <c r="BF156" i="56"/>
  <c r="BF188" i="56"/>
  <c r="BF168" i="56"/>
  <c r="BF91" i="56"/>
  <c r="BF39" i="56"/>
  <c r="BF138" i="56"/>
  <c r="BF59" i="56"/>
  <c r="BF66" i="56"/>
  <c r="BF49" i="56"/>
  <c r="BF18" i="56"/>
  <c r="BF88" i="56"/>
  <c r="BF99" i="56"/>
  <c r="BF163" i="56"/>
  <c r="BF54" i="56"/>
  <c r="BF197" i="56"/>
  <c r="BF82" i="56"/>
  <c r="BF63" i="56"/>
  <c r="BF250" i="56"/>
  <c r="BF46" i="56"/>
  <c r="BF44" i="56"/>
  <c r="BH13" i="56"/>
  <c r="BH103" i="56"/>
  <c r="BH152" i="56"/>
  <c r="BH245" i="56"/>
  <c r="BH20" i="56"/>
  <c r="BH16" i="56"/>
  <c r="BH184" i="56"/>
  <c r="BH108" i="56"/>
  <c r="BH219" i="56"/>
  <c r="BH188" i="56"/>
  <c r="BH57" i="56"/>
  <c r="BH53" i="56"/>
  <c r="BH228" i="56"/>
  <c r="BH158" i="56"/>
  <c r="BH144" i="56"/>
  <c r="BH251" i="56"/>
  <c r="BH120" i="56"/>
  <c r="BH119" i="56"/>
  <c r="BH105" i="56"/>
  <c r="BH147" i="56"/>
  <c r="BH239" i="56"/>
  <c r="BH146" i="56"/>
  <c r="BH132" i="56"/>
  <c r="BH155" i="56"/>
  <c r="BH221" i="56"/>
  <c r="BH151" i="56"/>
  <c r="BH35" i="56"/>
  <c r="BH61" i="56"/>
  <c r="BH43" i="56"/>
  <c r="BH140" i="56"/>
  <c r="BH161" i="56"/>
  <c r="BH254" i="56"/>
  <c r="BH67" i="56"/>
  <c r="BH127" i="56"/>
  <c r="BH149" i="56"/>
  <c r="BH115" i="56"/>
  <c r="BH113" i="56"/>
  <c r="BH198" i="56"/>
  <c r="BH38" i="56"/>
  <c r="BH6" i="56"/>
  <c r="BH183" i="56"/>
  <c r="BH122" i="56"/>
  <c r="BH172" i="56"/>
  <c r="BH55" i="56"/>
  <c r="BH229" i="56"/>
  <c r="BH150" i="56"/>
  <c r="BH181" i="56"/>
  <c r="BH93" i="56"/>
  <c r="BH247" i="56"/>
  <c r="BH90" i="56"/>
  <c r="BH193" i="56"/>
  <c r="BH7" i="56"/>
  <c r="BH213" i="56"/>
  <c r="BH160" i="56"/>
  <c r="BH87" i="56"/>
  <c r="BH64" i="56"/>
  <c r="BH182" i="56"/>
  <c r="BH130" i="56"/>
  <c r="BH135" i="56"/>
  <c r="BH243" i="56"/>
  <c r="BH197" i="56"/>
  <c r="BH118" i="56"/>
  <c r="BH102" i="56"/>
  <c r="BH209" i="56"/>
  <c r="BH196" i="56"/>
  <c r="BH225" i="56"/>
  <c r="BH26" i="56"/>
  <c r="BH58" i="56"/>
  <c r="BH223" i="56"/>
  <c r="BH234" i="56"/>
  <c r="BH17" i="56"/>
  <c r="BH39" i="56"/>
  <c r="BH166" i="56"/>
  <c r="BH134" i="56"/>
  <c r="BH211" i="56"/>
  <c r="BH44" i="56"/>
  <c r="BH29" i="56"/>
  <c r="BH248" i="56"/>
  <c r="BH86" i="56"/>
  <c r="BH231" i="56"/>
  <c r="BH189" i="56"/>
  <c r="BH51" i="56"/>
  <c r="BH85" i="56"/>
  <c r="BH164" i="56"/>
  <c r="BH185" i="56"/>
  <c r="BH123" i="56"/>
  <c r="BH79" i="56"/>
  <c r="BH224" i="56"/>
  <c r="BH246" i="56"/>
  <c r="BH62" i="56"/>
  <c r="BH40" i="56"/>
  <c r="BH233" i="56"/>
  <c r="BH137" i="56"/>
  <c r="BH52" i="56"/>
  <c r="BH83" i="56"/>
  <c r="BH242" i="56"/>
  <c r="BH165" i="56"/>
  <c r="BH94" i="56"/>
  <c r="BH110" i="56"/>
  <c r="BH252" i="56"/>
  <c r="BH201" i="56"/>
  <c r="BH47" i="56"/>
  <c r="BH70" i="56"/>
  <c r="BH12" i="56"/>
  <c r="BH174" i="56"/>
  <c r="BH159" i="56"/>
  <c r="BH163" i="56"/>
  <c r="BH121" i="56"/>
  <c r="BH220" i="56"/>
  <c r="BH177" i="56"/>
  <c r="BH171" i="56"/>
  <c r="BH75" i="56"/>
  <c r="BH202" i="56"/>
  <c r="BH10" i="56"/>
  <c r="BH49" i="56"/>
  <c r="BH186" i="56"/>
  <c r="BH190" i="56"/>
  <c r="BH74" i="56"/>
  <c r="BH73" i="56"/>
  <c r="BH214" i="56"/>
  <c r="BH199" i="56"/>
  <c r="BH45" i="56"/>
  <c r="BH238" i="56"/>
  <c r="BH133" i="56"/>
  <c r="BH46" i="56"/>
  <c r="BH250" i="56"/>
  <c r="BH244" i="56"/>
  <c r="BH48" i="56"/>
  <c r="BH59" i="56"/>
  <c r="BH104" i="56"/>
  <c r="BH253" i="56"/>
  <c r="BH92" i="56"/>
  <c r="BH31" i="56"/>
  <c r="BH111" i="56"/>
  <c r="BH97" i="56"/>
  <c r="BH23" i="56"/>
  <c r="BH200" i="56"/>
  <c r="BH142" i="56"/>
  <c r="BH42" i="56"/>
  <c r="BH60" i="56"/>
  <c r="BH154" i="56"/>
  <c r="BH11" i="56"/>
  <c r="BH84" i="56"/>
  <c r="BH33" i="56"/>
  <c r="BH50" i="56"/>
  <c r="BH71" i="56"/>
  <c r="BH112" i="56"/>
  <c r="BH107" i="56"/>
  <c r="BH210" i="56"/>
  <c r="BH141" i="56"/>
  <c r="BH207" i="56"/>
  <c r="BH34" i="56"/>
  <c r="BH54" i="56"/>
  <c r="BH168" i="56"/>
  <c r="BH216" i="56"/>
  <c r="BH77" i="56"/>
  <c r="BH68" i="56"/>
  <c r="BH96" i="56"/>
  <c r="BH124" i="56"/>
  <c r="BH255" i="56"/>
  <c r="BH25" i="56"/>
  <c r="BH256" i="56"/>
  <c r="BH261" i="56"/>
  <c r="BH41" i="56"/>
  <c r="BH66" i="56"/>
  <c r="BH138" i="56"/>
  <c r="BH28" i="56"/>
  <c r="BH24" i="56"/>
  <c r="BH69" i="56"/>
  <c r="BH175" i="56"/>
  <c r="BH18" i="56"/>
  <c r="BH89" i="56"/>
  <c r="BH230" i="56"/>
  <c r="BH117" i="56"/>
  <c r="BH227" i="56"/>
  <c r="BH136" i="56"/>
  <c r="BH98" i="56"/>
  <c r="BH126" i="56"/>
  <c r="BH235" i="56"/>
  <c r="BH109" i="56"/>
  <c r="BH206" i="56"/>
  <c r="BH145" i="56"/>
  <c r="BH30" i="56"/>
  <c r="BH212" i="56"/>
  <c r="BH215" i="56"/>
  <c r="BH191" i="56"/>
  <c r="BH81" i="56"/>
  <c r="BH91" i="56"/>
  <c r="BH217" i="56"/>
  <c r="BH106" i="56"/>
  <c r="BH157" i="56"/>
  <c r="BH82" i="56"/>
  <c r="BH262" i="56"/>
  <c r="BH114" i="56"/>
  <c r="BH65" i="56"/>
  <c r="BH260" i="56"/>
  <c r="BH195" i="56"/>
  <c r="BH9" i="56"/>
  <c r="BH148" i="56"/>
  <c r="BH116" i="56"/>
  <c r="BH203" i="56"/>
  <c r="BH167" i="56"/>
  <c r="BH176" i="56"/>
  <c r="BH170" i="56"/>
  <c r="BH263" i="56"/>
  <c r="BH14" i="56"/>
  <c r="BH204" i="56"/>
  <c r="BH180" i="56"/>
  <c r="BH88" i="56"/>
  <c r="BH173" i="56"/>
  <c r="BH218" i="56"/>
  <c r="BH222" i="56"/>
  <c r="BH131" i="56"/>
  <c r="BH192" i="56"/>
  <c r="BH264" i="56"/>
  <c r="BH249" i="56"/>
  <c r="BH139" i="56"/>
  <c r="BH187" i="56"/>
  <c r="BH232" i="56"/>
  <c r="BH8" i="56"/>
  <c r="BH76" i="56"/>
  <c r="BH237" i="56"/>
  <c r="BH15" i="56"/>
  <c r="BH208" i="56"/>
  <c r="BH241" i="56"/>
  <c r="BH129" i="56"/>
  <c r="BH258" i="56"/>
  <c r="BH125" i="56"/>
  <c r="BH226" i="56"/>
  <c r="BH22" i="56"/>
  <c r="BH257" i="56"/>
  <c r="BH143" i="56"/>
  <c r="BH236" i="56"/>
  <c r="BH36" i="56"/>
  <c r="BH72" i="56"/>
  <c r="BH169" i="56"/>
  <c r="BH21" i="56"/>
  <c r="BH37" i="56"/>
  <c r="BH56" i="56"/>
  <c r="BH178" i="56"/>
  <c r="BH63" i="56"/>
  <c r="BH19" i="56"/>
  <c r="BH128" i="56"/>
  <c r="BH194" i="56"/>
  <c r="BH153" i="56"/>
  <c r="BH259" i="56"/>
  <c r="BH156" i="56"/>
  <c r="BH240" i="56"/>
  <c r="BH162" i="56"/>
  <c r="BH78" i="56"/>
  <c r="BH99" i="56"/>
  <c r="BH27" i="56"/>
  <c r="BH95" i="56"/>
  <c r="BH32" i="56"/>
  <c r="BH179" i="56"/>
  <c r="BH205" i="56"/>
  <c r="BH100" i="56"/>
  <c r="BH101" i="56"/>
  <c r="BH80" i="56"/>
  <c r="G68" i="56" l="1"/>
  <c r="G69" i="56"/>
  <c r="H72" i="56"/>
  <c r="H71" i="56"/>
  <c r="X67" i="56"/>
  <c r="X66" i="56"/>
  <c r="X68" i="56"/>
  <c r="X77" i="56"/>
  <c r="W75" i="56"/>
  <c r="S77" i="56"/>
  <c r="S75" i="56"/>
  <c r="T74" i="56"/>
  <c r="T69" i="56"/>
  <c r="T66" i="56"/>
  <c r="V77" i="56"/>
  <c r="H68" i="56"/>
  <c r="X75" i="56"/>
  <c r="T75" i="56"/>
  <c r="V68" i="56"/>
  <c r="V67" i="56"/>
  <c r="G74" i="56"/>
  <c r="G71" i="56"/>
  <c r="H70" i="56"/>
  <c r="H76" i="56"/>
  <c r="X78" i="56"/>
  <c r="W69" i="56"/>
  <c r="W68" i="56"/>
  <c r="T76" i="56"/>
  <c r="V73" i="56"/>
  <c r="V71" i="56"/>
  <c r="G73" i="56"/>
  <c r="G67" i="56"/>
  <c r="H77" i="56"/>
  <c r="H67" i="56"/>
  <c r="S71" i="56"/>
  <c r="W77" i="56"/>
  <c r="T78" i="56"/>
  <c r="V75" i="56"/>
  <c r="V76" i="56"/>
  <c r="G70" i="56"/>
  <c r="G78" i="56"/>
  <c r="H75" i="56"/>
  <c r="H78" i="56"/>
  <c r="H73" i="56"/>
  <c r="X70" i="56"/>
  <c r="W72" i="56"/>
  <c r="G77" i="56"/>
  <c r="T77" i="56"/>
  <c r="W74" i="56"/>
  <c r="V74" i="56"/>
  <c r="V72" i="56"/>
  <c r="V70" i="56"/>
  <c r="X69" i="56"/>
  <c r="H74" i="56"/>
  <c r="S73" i="56"/>
  <c r="V78" i="56"/>
  <c r="X76" i="56"/>
  <c r="H66" i="56"/>
  <c r="S68" i="56"/>
  <c r="V66" i="56"/>
  <c r="G66" i="56"/>
  <c r="S69" i="56"/>
  <c r="W67" i="56"/>
  <c r="S67" i="56"/>
  <c r="X74" i="56"/>
  <c r="G72" i="56"/>
  <c r="S78" i="56"/>
  <c r="T73" i="56"/>
  <c r="H69" i="56"/>
  <c r="G75" i="56"/>
  <c r="G76" i="56"/>
  <c r="X73" i="56"/>
  <c r="X72" i="56"/>
  <c r="W71" i="56"/>
  <c r="W70" i="56"/>
  <c r="S70" i="56"/>
  <c r="X71" i="56"/>
  <c r="S76" i="56"/>
  <c r="T70" i="56"/>
  <c r="W78" i="56"/>
  <c r="W66" i="56"/>
  <c r="T71" i="56"/>
  <c r="W76" i="56"/>
  <c r="W73" i="56"/>
  <c r="S72" i="56"/>
  <c r="V69" i="56"/>
  <c r="T68" i="56"/>
  <c r="S74" i="56"/>
  <c r="T67" i="56"/>
  <c r="S66" i="56"/>
  <c r="T72" i="56"/>
  <c r="AU5" i="56"/>
  <c r="U29" i="56" s="1"/>
  <c r="U27" i="56"/>
  <c r="U46" i="56"/>
  <c r="U56" i="56"/>
  <c r="U36" i="56"/>
  <c r="U43" i="56"/>
  <c r="U55" i="56"/>
  <c r="U54" i="56"/>
  <c r="U61" i="56"/>
  <c r="U49" i="56"/>
  <c r="U48" i="56"/>
  <c r="U59" i="56"/>
  <c r="AA26" i="56"/>
  <c r="BI1" i="56"/>
  <c r="BI129" i="56"/>
  <c r="BI15" i="56"/>
  <c r="BI80" i="56"/>
  <c r="BI126" i="56"/>
  <c r="BI115" i="56"/>
  <c r="BI201" i="56"/>
  <c r="BI84" i="56"/>
  <c r="BI93" i="56"/>
  <c r="BI205" i="56"/>
  <c r="BI170" i="56"/>
  <c r="BI10" i="56"/>
  <c r="BI151" i="56"/>
  <c r="BI78" i="56"/>
  <c r="BI79" i="56"/>
  <c r="BI191" i="56"/>
  <c r="BI226" i="56"/>
  <c r="BI248" i="56"/>
  <c r="BI213" i="56"/>
  <c r="BI30" i="56"/>
  <c r="BI204" i="56"/>
  <c r="BI91" i="56"/>
  <c r="BI253" i="56"/>
  <c r="BI245" i="56"/>
  <c r="BI83" i="56"/>
  <c r="BI28" i="56"/>
  <c r="BI47" i="56"/>
  <c r="BI121" i="56"/>
  <c r="BI147" i="56"/>
  <c r="BI198" i="56"/>
  <c r="BI256" i="56"/>
  <c r="BI261" i="56"/>
  <c r="BI258" i="56"/>
  <c r="AA28" i="56" a="1"/>
  <c r="BI60" i="56"/>
  <c r="BI71" i="56"/>
  <c r="BI122" i="56"/>
  <c r="BI264" i="56"/>
  <c r="BI233" i="56"/>
  <c r="BI159" i="56"/>
  <c r="BI74" i="56"/>
  <c r="BI148" i="56"/>
  <c r="BI17" i="56"/>
  <c r="BI63" i="56"/>
  <c r="BI40" i="56"/>
  <c r="BI48" i="56"/>
  <c r="BI196" i="56"/>
  <c r="BI249" i="56"/>
  <c r="AB25" i="56"/>
  <c r="BI175" i="56"/>
  <c r="BI108" i="56"/>
  <c r="BI186" i="56"/>
  <c r="BI168" i="56"/>
  <c r="BI45" i="56"/>
  <c r="BI55" i="56"/>
  <c r="BI138" i="56"/>
  <c r="BI189" i="56"/>
  <c r="U63" i="56"/>
  <c r="BI212" i="56"/>
  <c r="BI146" i="56"/>
  <c r="BI19" i="56"/>
  <c r="BI77" i="56"/>
  <c r="BI130" i="56"/>
  <c r="U45" i="56"/>
  <c r="U60" i="56"/>
  <c r="Y26" i="56"/>
  <c r="Y28" i="56" s="1" a="1"/>
  <c r="BI36" i="56"/>
  <c r="BI162" i="56"/>
  <c r="BI152" i="56"/>
  <c r="BI117" i="56"/>
  <c r="BI207" i="56"/>
  <c r="BI124" i="56"/>
  <c r="BI202" i="56"/>
  <c r="BI221" i="56"/>
  <c r="BI13" i="56"/>
  <c r="BI94" i="56"/>
  <c r="BI161" i="56"/>
  <c r="BI66" i="56"/>
  <c r="BI44" i="56"/>
  <c r="BI225" i="56"/>
  <c r="BI142" i="56"/>
  <c r="BI246" i="56"/>
  <c r="BI235" i="56"/>
  <c r="BI32" i="56"/>
  <c r="BI22" i="56"/>
  <c r="BI153" i="56"/>
  <c r="BI24" i="56"/>
  <c r="BI259" i="56"/>
  <c r="BI211" i="56"/>
  <c r="BI260" i="56"/>
  <c r="BI54" i="56"/>
  <c r="BI199" i="56"/>
  <c r="BI72" i="56"/>
  <c r="BI25" i="56"/>
  <c r="BI154" i="56"/>
  <c r="BI65" i="56"/>
  <c r="BI127" i="56"/>
  <c r="BI64" i="56"/>
  <c r="BI160" i="56"/>
  <c r="BI192" i="56"/>
  <c r="BI208" i="56"/>
  <c r="BI166" i="56"/>
  <c r="BI123" i="56"/>
  <c r="BI167" i="56"/>
  <c r="BI242" i="56"/>
  <c r="BI35" i="56"/>
  <c r="BI11" i="56"/>
  <c r="BI165" i="56"/>
  <c r="BI141" i="56"/>
  <c r="BI21" i="56"/>
  <c r="BI219" i="56"/>
  <c r="BI230" i="56"/>
  <c r="BI97" i="56"/>
  <c r="BI69" i="56"/>
  <c r="BI41" i="56"/>
  <c r="BI7" i="56"/>
  <c r="BI238" i="56"/>
  <c r="BI179" i="56"/>
  <c r="U41" i="56"/>
  <c r="BI232" i="56"/>
  <c r="BI182" i="56"/>
  <c r="BI131" i="56"/>
  <c r="BI61" i="56"/>
  <c r="U38" i="56"/>
  <c r="BI243" i="56"/>
  <c r="BI227" i="56"/>
  <c r="BI34" i="56"/>
  <c r="BI104" i="56"/>
  <c r="BI216" i="56"/>
  <c r="BI16" i="56"/>
  <c r="BI203" i="56"/>
  <c r="BI214" i="56"/>
  <c r="BI218" i="56"/>
  <c r="BI231" i="56"/>
  <c r="U40" i="56"/>
  <c r="U52" i="56"/>
  <c r="U50" i="56"/>
  <c r="U57" i="56"/>
  <c r="U47" i="56"/>
  <c r="U37" i="56"/>
  <c r="BI234" i="56"/>
  <c r="BI255" i="56"/>
  <c r="BI200" i="56"/>
  <c r="BI143" i="56"/>
  <c r="BI239" i="56"/>
  <c r="U53" i="56"/>
  <c r="U51" i="56"/>
  <c r="U58" i="56"/>
  <c r="U39" i="56"/>
  <c r="U62" i="56"/>
  <c r="U42" i="56"/>
  <c r="U44" i="56"/>
  <c r="BI133" i="56"/>
  <c r="BI228" i="56"/>
  <c r="BI119" i="56"/>
  <c r="BI128" i="56"/>
  <c r="BI149" i="56"/>
  <c r="BI140" i="56"/>
  <c r="BI240" i="56"/>
  <c r="BI177" i="56"/>
  <c r="BI101" i="56"/>
  <c r="BI70" i="56"/>
  <c r="BI158" i="56"/>
  <c r="BI155" i="56"/>
  <c r="BI241" i="56"/>
  <c r="BI109" i="56"/>
  <c r="BI229" i="56"/>
  <c r="BI9" i="56"/>
  <c r="BI113" i="56"/>
  <c r="BI38" i="56"/>
  <c r="BI169" i="56"/>
  <c r="BI95" i="56"/>
  <c r="BI185" i="56"/>
  <c r="BI56" i="56"/>
  <c r="BI110" i="56"/>
  <c r="BI82" i="56"/>
  <c r="BI120" i="56"/>
  <c r="BI193" i="56"/>
  <c r="BI111" i="56"/>
  <c r="BI102" i="56"/>
  <c r="BI172" i="56"/>
  <c r="BI27" i="56"/>
  <c r="BI52" i="56"/>
  <c r="BI118" i="56"/>
  <c r="BI136" i="56"/>
  <c r="BI57" i="56"/>
  <c r="BI81" i="56"/>
  <c r="BI100" i="56"/>
  <c r="BI145" i="56"/>
  <c r="BI90" i="56"/>
  <c r="BI134" i="56"/>
  <c r="BI87" i="56"/>
  <c r="BI96" i="56"/>
  <c r="BI8" i="56"/>
  <c r="BI12" i="56"/>
  <c r="BI99" i="56"/>
  <c r="BI20" i="56"/>
  <c r="BI106" i="56"/>
  <c r="BI173" i="56"/>
  <c r="BI39" i="56"/>
  <c r="BI125" i="56"/>
  <c r="BI46" i="56"/>
  <c r="BI187" i="56"/>
  <c r="BI190" i="56"/>
  <c r="BI116" i="56"/>
  <c r="BI135" i="56"/>
  <c r="BI217" i="56"/>
  <c r="BI50" i="56"/>
  <c r="BI139" i="56"/>
  <c r="BI42" i="56"/>
  <c r="BI43" i="56"/>
  <c r="BI222" i="56"/>
  <c r="BI163" i="56"/>
  <c r="BI75" i="56"/>
  <c r="BI58" i="56"/>
  <c r="BI188" i="56"/>
  <c r="BI73" i="56"/>
  <c r="BI114" i="56"/>
  <c r="BI206" i="56"/>
  <c r="BI250" i="56"/>
  <c r="BI180" i="56"/>
  <c r="BI6" i="56"/>
  <c r="BI105" i="56"/>
  <c r="BI194" i="56"/>
  <c r="BI197" i="56"/>
  <c r="BI156" i="56"/>
  <c r="BI237" i="56"/>
  <c r="BI244" i="56"/>
  <c r="BI132" i="56"/>
  <c r="BI247" i="56"/>
  <c r="BI51" i="56"/>
  <c r="BI76" i="56"/>
  <c r="BI26" i="56"/>
  <c r="BI23" i="56"/>
  <c r="BI144" i="56"/>
  <c r="BI33" i="56"/>
  <c r="BI88" i="56"/>
  <c r="BI210" i="56"/>
  <c r="BI224" i="56"/>
  <c r="BI252" i="56"/>
  <c r="BI181" i="56"/>
  <c r="BI157" i="56"/>
  <c r="BI98" i="56"/>
  <c r="BI251" i="56"/>
  <c r="BI262" i="56"/>
  <c r="BI220" i="56"/>
  <c r="BI223" i="56"/>
  <c r="BI85" i="56"/>
  <c r="BI103" i="56"/>
  <c r="BI37" i="56"/>
  <c r="BI183" i="56"/>
  <c r="BI209" i="56"/>
  <c r="BI62" i="56"/>
  <c r="BI137" i="56"/>
  <c r="BI53" i="56"/>
  <c r="BI184" i="56"/>
  <c r="BI150" i="56"/>
  <c r="BI107" i="56"/>
  <c r="BI86" i="56"/>
  <c r="BI49" i="56"/>
  <c r="BI236" i="56"/>
  <c r="BI176" i="56"/>
  <c r="BI178" i="56"/>
  <c r="BI263" i="56"/>
  <c r="BI59" i="56"/>
  <c r="BI14" i="56"/>
  <c r="BI112" i="56"/>
  <c r="BI18" i="56"/>
  <c r="BI215" i="56"/>
  <c r="BI89" i="56"/>
  <c r="BI29" i="56"/>
  <c r="BI164" i="56"/>
  <c r="BI68" i="56"/>
  <c r="BI67" i="56"/>
  <c r="BI195" i="56"/>
  <c r="BI254" i="56"/>
  <c r="BI92" i="56"/>
  <c r="BI31" i="56"/>
  <c r="BI257" i="56"/>
  <c r="BI171" i="56"/>
  <c r="BI174" i="56"/>
  <c r="Y28" i="56" l="1"/>
  <c r="Y29" i="56"/>
  <c r="U69" i="56"/>
  <c r="U76" i="56"/>
  <c r="U78" i="56"/>
  <c r="U77" i="56"/>
  <c r="U68" i="56"/>
  <c r="U75" i="56"/>
  <c r="U72" i="56"/>
  <c r="U67" i="56"/>
  <c r="U71" i="56"/>
  <c r="U74" i="56"/>
  <c r="U73" i="56"/>
  <c r="U70" i="56"/>
  <c r="U66" i="56"/>
  <c r="U35" i="56"/>
  <c r="BI5" i="56" s="1"/>
  <c r="AA28" i="56"/>
  <c r="AA29" i="56"/>
  <c r="Z26" i="56"/>
  <c r="AB26" i="56"/>
  <c r="AB28" i="56" a="1"/>
  <c r="Y35" i="56" l="1"/>
  <c r="BM5" i="56" s="1"/>
  <c r="AA35" i="56"/>
  <c r="BO5" i="56" s="1"/>
  <c r="AB30" i="56"/>
  <c r="AB28" i="56"/>
  <c r="AB29" i="56"/>
  <c r="AB35" i="56" l="1"/>
  <c r="BP5" i="56" s="1"/>
  <c r="AS19" i="58" a="1"/>
  <c r="AF9" i="58" a="1"/>
  <c r="AF19" i="58" a="1"/>
  <c r="AQ19" i="58" a="1"/>
  <c r="AB27" i="56"/>
  <c r="AB43" i="56"/>
  <c r="AB63" i="56"/>
  <c r="AB38" i="56"/>
  <c r="AB42" i="56"/>
  <c r="AB37" i="56"/>
  <c r="AA27" i="56"/>
  <c r="AA56" i="56"/>
  <c r="AB55" i="56"/>
  <c r="AB61" i="56"/>
  <c r="AA36" i="56"/>
  <c r="AB41" i="56"/>
  <c r="AA44" i="56"/>
  <c r="AA53" i="56"/>
  <c r="AA43" i="56"/>
  <c r="AA45" i="56"/>
  <c r="AA61" i="56"/>
  <c r="AB47" i="56"/>
  <c r="AB45" i="56"/>
  <c r="Z28" i="56" a="1"/>
  <c r="AB51" i="56"/>
  <c r="AB52" i="56"/>
  <c r="AB54" i="56"/>
  <c r="AB59" i="56"/>
  <c r="AB36" i="56"/>
  <c r="AA54" i="56"/>
  <c r="AA40" i="56"/>
  <c r="AB49" i="56"/>
  <c r="AA48" i="56"/>
  <c r="AA39" i="56"/>
  <c r="AA59" i="56"/>
  <c r="AA52" i="56"/>
  <c r="BP1" i="56"/>
  <c r="AB56" i="56"/>
  <c r="BP44" i="56"/>
  <c r="BP138" i="56"/>
  <c r="BP140" i="56"/>
  <c r="BP175" i="56"/>
  <c r="BP232" i="56"/>
  <c r="BP39" i="56"/>
  <c r="BP20" i="56"/>
  <c r="AB60" i="56"/>
  <c r="BP132" i="56"/>
  <c r="BP130" i="56"/>
  <c r="BP64" i="56"/>
  <c r="BP129" i="56"/>
  <c r="BP251" i="56"/>
  <c r="BP249" i="56"/>
  <c r="BP177" i="56"/>
  <c r="BP97" i="56"/>
  <c r="AB58" i="56"/>
  <c r="AB44" i="56"/>
  <c r="BP229" i="56"/>
  <c r="BP193" i="56"/>
  <c r="BP203" i="56"/>
  <c r="AB53" i="56"/>
  <c r="BP143" i="56"/>
  <c r="BP125" i="56"/>
  <c r="BP11" i="56"/>
  <c r="BP26" i="56"/>
  <c r="BP18" i="56"/>
  <c r="BP13" i="56"/>
  <c r="BP16" i="56"/>
  <c r="BP8" i="56"/>
  <c r="BP137" i="56"/>
  <c r="BP35" i="56"/>
  <c r="BP47" i="56"/>
  <c r="BP32" i="56"/>
  <c r="BP136" i="56"/>
  <c r="Y27" i="56"/>
  <c r="BP157" i="56"/>
  <c r="AA55" i="56"/>
  <c r="BP152" i="56"/>
  <c r="BP233" i="56"/>
  <c r="BP235" i="56"/>
  <c r="BP119" i="56"/>
  <c r="AA50" i="56"/>
  <c r="BP166" i="56"/>
  <c r="BP241" i="56"/>
  <c r="BP243" i="56"/>
  <c r="Y37" i="56"/>
  <c r="AB62" i="56"/>
  <c r="AA47" i="56"/>
  <c r="BP15" i="56"/>
  <c r="BP19" i="56"/>
  <c r="BP38" i="56"/>
  <c r="BP111" i="56"/>
  <c r="BP45" i="56"/>
  <c r="BP67" i="56"/>
  <c r="BP255" i="56"/>
  <c r="BP150" i="56"/>
  <c r="BP207" i="56"/>
  <c r="AA38" i="56"/>
  <c r="BP184" i="56"/>
  <c r="BP23" i="56"/>
  <c r="BP139" i="56"/>
  <c r="Y61" i="56"/>
  <c r="Y59" i="56"/>
  <c r="BP165" i="56"/>
  <c r="BP99" i="56"/>
  <c r="BP69" i="56"/>
  <c r="Y50" i="56"/>
  <c r="AB39" i="56"/>
  <c r="BO1" i="56"/>
  <c r="BP164" i="56"/>
  <c r="BP162" i="56"/>
  <c r="BP24" i="56"/>
  <c r="BP103" i="56"/>
  <c r="BP124" i="56"/>
  <c r="BP122" i="56"/>
  <c r="BP256" i="56"/>
  <c r="BP159" i="56"/>
  <c r="BO50" i="56"/>
  <c r="BO55" i="56"/>
  <c r="BO250" i="56"/>
  <c r="BO115" i="56"/>
  <c r="BO26" i="56"/>
  <c r="BO212" i="56"/>
  <c r="BO136" i="56"/>
  <c r="BO202" i="56"/>
  <c r="BO150" i="56"/>
  <c r="BO79" i="56"/>
  <c r="BO20" i="56"/>
  <c r="BO184" i="56"/>
  <c r="BO177" i="56"/>
  <c r="BO260" i="56"/>
  <c r="BO211" i="56"/>
  <c r="BO83" i="56"/>
  <c r="BO166" i="56"/>
  <c r="BO37" i="56"/>
  <c r="BO78" i="56"/>
  <c r="BO109" i="56"/>
  <c r="BO112" i="56"/>
  <c r="BO263" i="56"/>
  <c r="Y53" i="56"/>
  <c r="Y46" i="56"/>
  <c r="Y43" i="56"/>
  <c r="AA46" i="56"/>
  <c r="AA63" i="56"/>
  <c r="AA41" i="56"/>
  <c r="AA62" i="56"/>
  <c r="BO9" i="56"/>
  <c r="BO91" i="56"/>
  <c r="BO13" i="56"/>
  <c r="BO209" i="56"/>
  <c r="BO231" i="56"/>
  <c r="BO126" i="56"/>
  <c r="BO131" i="56"/>
  <c r="BO100" i="56"/>
  <c r="BO104" i="56"/>
  <c r="BO187" i="56"/>
  <c r="BO95" i="56"/>
  <c r="BO173" i="56"/>
  <c r="BO7" i="56"/>
  <c r="BO223" i="56"/>
  <c r="BO35" i="56"/>
  <c r="BO89" i="56"/>
  <c r="BO155" i="56"/>
  <c r="BO199" i="56"/>
  <c r="BO53" i="56"/>
  <c r="BO52" i="56"/>
  <c r="BO8" i="56"/>
  <c r="BO62" i="56"/>
  <c r="BO76" i="56"/>
  <c r="BO154" i="56"/>
  <c r="BO246" i="56"/>
  <c r="BO51" i="56"/>
  <c r="BO163" i="56"/>
  <c r="BO243" i="56"/>
  <c r="BO153" i="56"/>
  <c r="BO47" i="56"/>
  <c r="BO229" i="56"/>
  <c r="BO46" i="56"/>
  <c r="BO32" i="56"/>
  <c r="BO224" i="56"/>
  <c r="BO180" i="56"/>
  <c r="BO168" i="56"/>
  <c r="BO210" i="56"/>
  <c r="BO60" i="56"/>
  <c r="BO207" i="56"/>
  <c r="BO99" i="56"/>
  <c r="BO101" i="56"/>
  <c r="BO43" i="56"/>
  <c r="BO234" i="56"/>
  <c r="BO247" i="56"/>
  <c r="BO148" i="56"/>
  <c r="BO182" i="56"/>
  <c r="BO241" i="56"/>
  <c r="BO147" i="56"/>
  <c r="BO220" i="56"/>
  <c r="BO222" i="56"/>
  <c r="BO54" i="56"/>
  <c r="BO251" i="56"/>
  <c r="BO204" i="56"/>
  <c r="BO255" i="56"/>
  <c r="BO264" i="56"/>
  <c r="BO111" i="56"/>
  <c r="BO262" i="56"/>
  <c r="BO171" i="56"/>
  <c r="BO72" i="56"/>
  <c r="BO6" i="56"/>
  <c r="BO86" i="56"/>
  <c r="BO92" i="56"/>
  <c r="BO239" i="56"/>
  <c r="BO64" i="56"/>
  <c r="BO226" i="56"/>
  <c r="BO120" i="56"/>
  <c r="BO88" i="56"/>
  <c r="BO74" i="56"/>
  <c r="BO49" i="56"/>
  <c r="BO42" i="56"/>
  <c r="BO161" i="56"/>
  <c r="BO25" i="56"/>
  <c r="BO21" i="56"/>
  <c r="BO67" i="56"/>
  <c r="BO80" i="56"/>
  <c r="BO103" i="56"/>
  <c r="BO227" i="56"/>
  <c r="BO68" i="56"/>
  <c r="BO205" i="56"/>
  <c r="BO218" i="56"/>
  <c r="BO135" i="56"/>
  <c r="BO40" i="56"/>
  <c r="BO28" i="56"/>
  <c r="BO201" i="56"/>
  <c r="BO249" i="56"/>
  <c r="BO56" i="56"/>
  <c r="BO125" i="56"/>
  <c r="BO221" i="56"/>
  <c r="BO133" i="56"/>
  <c r="BO185" i="56"/>
  <c r="BO254" i="56"/>
  <c r="BO215" i="56"/>
  <c r="BO196" i="56"/>
  <c r="BO48" i="56"/>
  <c r="BO170" i="56"/>
  <c r="BO172" i="56"/>
  <c r="BO174" i="56"/>
  <c r="BO139" i="56"/>
  <c r="BO240" i="56"/>
  <c r="BO69" i="56"/>
  <c r="BO181" i="56"/>
  <c r="BO144" i="56"/>
  <c r="BO143" i="56"/>
  <c r="BO61" i="56"/>
  <c r="BO253" i="56"/>
  <c r="AW19" i="58" a="1"/>
  <c r="AB50" i="56"/>
  <c r="AB57" i="56"/>
  <c r="AB46" i="56"/>
  <c r="AB48" i="56"/>
  <c r="AB40" i="56"/>
  <c r="AA42" i="56"/>
  <c r="AA60" i="56"/>
  <c r="AA58" i="56"/>
  <c r="AA51" i="56"/>
  <c r="AA37" i="56"/>
  <c r="AA57" i="56"/>
  <c r="AA49" i="56"/>
  <c r="BP134" i="56"/>
  <c r="BP262" i="56"/>
  <c r="BP250" i="56"/>
  <c r="BP252" i="56"/>
  <c r="BP248" i="56"/>
  <c r="BP42" i="56"/>
  <c r="BP83" i="56"/>
  <c r="BP68" i="56"/>
  <c r="BP244" i="56"/>
  <c r="BP242" i="56"/>
  <c r="BP254" i="56"/>
  <c r="BP46" i="56"/>
  <c r="BP142" i="56"/>
  <c r="BP89" i="56"/>
  <c r="BP80" i="56"/>
  <c r="BP151" i="56"/>
  <c r="BP223" i="56"/>
  <c r="BP121" i="56"/>
  <c r="BP41" i="56"/>
  <c r="BP187" i="56"/>
  <c r="BP14" i="56"/>
  <c r="BP141" i="56"/>
  <c r="BP225" i="56"/>
  <c r="BP227" i="56"/>
  <c r="BP115" i="56"/>
  <c r="BP92" i="56"/>
  <c r="BP168" i="56"/>
  <c r="BP149" i="56"/>
  <c r="BP107" i="56"/>
  <c r="BP72" i="56"/>
  <c r="BP104" i="56"/>
  <c r="BP208" i="56"/>
  <c r="BP110" i="56"/>
  <c r="BP216" i="56"/>
  <c r="BP61" i="56"/>
  <c r="BP79" i="56"/>
  <c r="BP224" i="56"/>
  <c r="BP144" i="56"/>
  <c r="BP87" i="56"/>
  <c r="BP131" i="56"/>
  <c r="BP180" i="56"/>
  <c r="BP178" i="56"/>
  <c r="BP190" i="56"/>
  <c r="BP261" i="56"/>
  <c r="BP239" i="56"/>
  <c r="BP30" i="56"/>
  <c r="BP25" i="56"/>
  <c r="BP27" i="56"/>
  <c r="BP88" i="56"/>
  <c r="BP133" i="56"/>
  <c r="BP230" i="56"/>
  <c r="BP218" i="56"/>
  <c r="BP220" i="56"/>
  <c r="BP205" i="56"/>
  <c r="BP96" i="56"/>
  <c r="BP258" i="56"/>
  <c r="BP260" i="56"/>
  <c r="BP57" i="56"/>
  <c r="BP78" i="56"/>
  <c r="BP51" i="56"/>
  <c r="BP160" i="56"/>
  <c r="BP171" i="56"/>
  <c r="BP9" i="56"/>
  <c r="BP185" i="56"/>
  <c r="BP82" i="56"/>
  <c r="BP253" i="56"/>
  <c r="BP176" i="56"/>
  <c r="BP49" i="56"/>
  <c r="BP94" i="56"/>
  <c r="BP231" i="56"/>
  <c r="BP62" i="56"/>
  <c r="BP12" i="56"/>
  <c r="BP74" i="56"/>
  <c r="BP116" i="56"/>
  <c r="BP114" i="56"/>
  <c r="BP237" i="56"/>
  <c r="BP236" i="56"/>
  <c r="BP234" i="56"/>
  <c r="BP246" i="56"/>
  <c r="BP264" i="56"/>
  <c r="BP201" i="56"/>
  <c r="BP95" i="56"/>
  <c r="BP154" i="56"/>
  <c r="BP156" i="56"/>
  <c r="BP200" i="56"/>
  <c r="BP206" i="56"/>
  <c r="BP194" i="56"/>
  <c r="BP196" i="56"/>
  <c r="BP22" i="56"/>
  <c r="BP58" i="56"/>
  <c r="BP29" i="56"/>
  <c r="BP112" i="56"/>
  <c r="BP21" i="56"/>
  <c r="BP43" i="56"/>
  <c r="BP60" i="56"/>
  <c r="BP191" i="56"/>
  <c r="BP183" i="56"/>
  <c r="BP127" i="56"/>
  <c r="BP217" i="56"/>
  <c r="BP219" i="56"/>
  <c r="BP117" i="56"/>
  <c r="BP197" i="56"/>
  <c r="BP257" i="56"/>
  <c r="BP259" i="56"/>
  <c r="BP211" i="56"/>
  <c r="BP209" i="56"/>
  <c r="BP113" i="56"/>
  <c r="BP66" i="56"/>
  <c r="BP93" i="56"/>
  <c r="BP63" i="56"/>
  <c r="BP77" i="56"/>
  <c r="BP50" i="56"/>
  <c r="BP167" i="56"/>
  <c r="BP73" i="56"/>
  <c r="BP126" i="56"/>
  <c r="BP76" i="56"/>
  <c r="BP40" i="56"/>
  <c r="BP37" i="56"/>
  <c r="BP192" i="56"/>
  <c r="BP52" i="56"/>
  <c r="BP81" i="56"/>
  <c r="BP148" i="56"/>
  <c r="BP146" i="56"/>
  <c r="BP36" i="56"/>
  <c r="BP54" i="56"/>
  <c r="BP31" i="56"/>
  <c r="BP213" i="56"/>
  <c r="BP75" i="56"/>
  <c r="BP90" i="56"/>
  <c r="BP109" i="56"/>
  <c r="BP56" i="56"/>
  <c r="BP155" i="56"/>
  <c r="BP221" i="56"/>
  <c r="BP174" i="56"/>
  <c r="BP17" i="56"/>
  <c r="BP195" i="56"/>
  <c r="BP147" i="56"/>
  <c r="BP28" i="56"/>
  <c r="BP59" i="56"/>
  <c r="BP7" i="56"/>
  <c r="BP108" i="56"/>
  <c r="BP106" i="56"/>
  <c r="BP215" i="56"/>
  <c r="BP6" i="56"/>
  <c r="BP189" i="56"/>
  <c r="BP71" i="56"/>
  <c r="BP101" i="56"/>
  <c r="BP85" i="56"/>
  <c r="BP161" i="56"/>
  <c r="BP10" i="56"/>
  <c r="BP91" i="56"/>
  <c r="BP84" i="56"/>
  <c r="BP212" i="56"/>
  <c r="BP210" i="56"/>
  <c r="BP222" i="56"/>
  <c r="BP105" i="56"/>
  <c r="BP53" i="56"/>
  <c r="BP204" i="56"/>
  <c r="BP202" i="56"/>
  <c r="BP214" i="56"/>
  <c r="BP263" i="56"/>
  <c r="BP55" i="56"/>
  <c r="BP118" i="56"/>
  <c r="BP198" i="56"/>
  <c r="BP186" i="56"/>
  <c r="BP188" i="56"/>
  <c r="BP169" i="56"/>
  <c r="BP238" i="56"/>
  <c r="BP226" i="56"/>
  <c r="BP228" i="56"/>
  <c r="BP33" i="56"/>
  <c r="BP98" i="56"/>
  <c r="BP128" i="56"/>
  <c r="BP181" i="56"/>
  <c r="BP34" i="56"/>
  <c r="BP172" i="56"/>
  <c r="BP170" i="56"/>
  <c r="BP182" i="56"/>
  <c r="BP199" i="56"/>
  <c r="BP158" i="56"/>
  <c r="BP153" i="56"/>
  <c r="BP240" i="56"/>
  <c r="BP48" i="56"/>
  <c r="BP123" i="56"/>
  <c r="BP245" i="56"/>
  <c r="BP145" i="56"/>
  <c r="BP100" i="56"/>
  <c r="BP163" i="56"/>
  <c r="BP179" i="56"/>
  <c r="BP70" i="56"/>
  <c r="BP247" i="56"/>
  <c r="BP120" i="56"/>
  <c r="BP86" i="56"/>
  <c r="BP102" i="56"/>
  <c r="BP65" i="56"/>
  <c r="BP135" i="56"/>
  <c r="BP173" i="56"/>
  <c r="Y45" i="56"/>
  <c r="Y58" i="56"/>
  <c r="Y42" i="56"/>
  <c r="Y55" i="56"/>
  <c r="Y49" i="56"/>
  <c r="Y54" i="56"/>
  <c r="Y40" i="56"/>
  <c r="BM1" i="56"/>
  <c r="Y47" i="56"/>
  <c r="Y36" i="56"/>
  <c r="Y44" i="56"/>
  <c r="Y57" i="56"/>
  <c r="Y38" i="56"/>
  <c r="Y39" i="56"/>
  <c r="Y60" i="56"/>
  <c r="Y62" i="56"/>
  <c r="Y41" i="56"/>
  <c r="Y48" i="56"/>
  <c r="Y51" i="56"/>
  <c r="Y56" i="56"/>
  <c r="Y52" i="56"/>
  <c r="Y63" i="56"/>
  <c r="BO130" i="56"/>
  <c r="BO59" i="56"/>
  <c r="BO244" i="56"/>
  <c r="BO186" i="56"/>
  <c r="BO192" i="56"/>
  <c r="BO214" i="56"/>
  <c r="BO65" i="56"/>
  <c r="BO33" i="56"/>
  <c r="BO121" i="56"/>
  <c r="BO129" i="56"/>
  <c r="BO22" i="56"/>
  <c r="BO160" i="56"/>
  <c r="BO124" i="56"/>
  <c r="BO138" i="56"/>
  <c r="BO257" i="56"/>
  <c r="BO77" i="56"/>
  <c r="BO85" i="56"/>
  <c r="BO17" i="56"/>
  <c r="BO96" i="56"/>
  <c r="BO219" i="56"/>
  <c r="BO41" i="56"/>
  <c r="BO39" i="56"/>
  <c r="BO19" i="56"/>
  <c r="BO167" i="56"/>
  <c r="BO107" i="56"/>
  <c r="BO27" i="56"/>
  <c r="BO14" i="56"/>
  <c r="BO152" i="56"/>
  <c r="BO70" i="56"/>
  <c r="BO44" i="56"/>
  <c r="BO141" i="56"/>
  <c r="BO137" i="56"/>
  <c r="BO258" i="56"/>
  <c r="BO82" i="56"/>
  <c r="BO63" i="56"/>
  <c r="BO38" i="56"/>
  <c r="BO146" i="56"/>
  <c r="BO24" i="56"/>
  <c r="BO34" i="56"/>
  <c r="BO230" i="56"/>
  <c r="BO191" i="56"/>
  <c r="BO84" i="56"/>
  <c r="BO94" i="56"/>
  <c r="BO183" i="56"/>
  <c r="BO30" i="56"/>
  <c r="BO242" i="56"/>
  <c r="BO119" i="56"/>
  <c r="BO75" i="56"/>
  <c r="BO237" i="56"/>
  <c r="BO23" i="56"/>
  <c r="BO159" i="56"/>
  <c r="BO190" i="56"/>
  <c r="BO188" i="56"/>
  <c r="BO259" i="56"/>
  <c r="BO176" i="56"/>
  <c r="BO118" i="56"/>
  <c r="BO116" i="56"/>
  <c r="BO90" i="56"/>
  <c r="BO18" i="56"/>
  <c r="BO71" i="56"/>
  <c r="BO87" i="56"/>
  <c r="BO225" i="56"/>
  <c r="BO93" i="56"/>
  <c r="BO198" i="56"/>
  <c r="BO164" i="56"/>
  <c r="BO45" i="56"/>
  <c r="BO200" i="56"/>
  <c r="BO58" i="56"/>
  <c r="BO178" i="56"/>
  <c r="BO217" i="56"/>
  <c r="BO16" i="56"/>
  <c r="BO228" i="56"/>
  <c r="BO122" i="56"/>
  <c r="BO123" i="56"/>
  <c r="BO213" i="56"/>
  <c r="BO252" i="56"/>
  <c r="BO36" i="56"/>
  <c r="BO151" i="56"/>
  <c r="BO29" i="56"/>
  <c r="BO165" i="56"/>
  <c r="BO233" i="56"/>
  <c r="BO232" i="56"/>
  <c r="BO108" i="56"/>
  <c r="BO110" i="56"/>
  <c r="BO162" i="56"/>
  <c r="BO235" i="56"/>
  <c r="BO11" i="56"/>
  <c r="BO117" i="56"/>
  <c r="BO203" i="56"/>
  <c r="BO113" i="56"/>
  <c r="BO57" i="56"/>
  <c r="BO189" i="56"/>
  <c r="BO114" i="56"/>
  <c r="BO193" i="56"/>
  <c r="BO149" i="56"/>
  <c r="BO31" i="56"/>
  <c r="BO73" i="56"/>
  <c r="BO216" i="56"/>
  <c r="BO142" i="56"/>
  <c r="BO140" i="56"/>
  <c r="BO208" i="56"/>
  <c r="BO195" i="56"/>
  <c r="BO197" i="56"/>
  <c r="BO102" i="56"/>
  <c r="BO81" i="56"/>
  <c r="BO248" i="56"/>
  <c r="BO66" i="56"/>
  <c r="BO206" i="56"/>
  <c r="BO127" i="56"/>
  <c r="BO179" i="56"/>
  <c r="BO194" i="56"/>
  <c r="BO261" i="56"/>
  <c r="BO15" i="56"/>
  <c r="BO97" i="56"/>
  <c r="BO106" i="56"/>
  <c r="BO157" i="56"/>
  <c r="BO145" i="56"/>
  <c r="BO169" i="56"/>
  <c r="BO132" i="56"/>
  <c r="BO134" i="56"/>
  <c r="BO128" i="56"/>
  <c r="BO175" i="56"/>
  <c r="BO236" i="56"/>
  <c r="BO238" i="56"/>
  <c r="BO105" i="56"/>
  <c r="BO256" i="56"/>
  <c r="BO10" i="56"/>
  <c r="BO245" i="56"/>
  <c r="BO98" i="56"/>
  <c r="BO12" i="56"/>
  <c r="BO156" i="56"/>
  <c r="BO158" i="56"/>
  <c r="BM88" i="56"/>
  <c r="BM246" i="56"/>
  <c r="BM13" i="56"/>
  <c r="BM237" i="56"/>
  <c r="BM87" i="56"/>
  <c r="BM148" i="56"/>
  <c r="BM24" i="56"/>
  <c r="BM157" i="56"/>
  <c r="BM135" i="56"/>
  <c r="BM209" i="56"/>
  <c r="BM261" i="56"/>
  <c r="BM47" i="56"/>
  <c r="BM256" i="56"/>
  <c r="BM238" i="56"/>
  <c r="BM123" i="56"/>
  <c r="BM121" i="56"/>
  <c r="BM216" i="56"/>
  <c r="BM198" i="56"/>
  <c r="BM161" i="56"/>
  <c r="BM252" i="56"/>
  <c r="BM42" i="56"/>
  <c r="BM6" i="56"/>
  <c r="BM164" i="56"/>
  <c r="BM249" i="56"/>
  <c r="BM85" i="56"/>
  <c r="BM224" i="56"/>
  <c r="BM206" i="56"/>
  <c r="BM95" i="56"/>
  <c r="BM171" i="56"/>
  <c r="BM184" i="56"/>
  <c r="BM166" i="56"/>
  <c r="BM162" i="56"/>
  <c r="BM242" i="56"/>
  <c r="BM32" i="56"/>
  <c r="BM90" i="56"/>
  <c r="BM106" i="56"/>
  <c r="BM115" i="56"/>
  <c r="BM33" i="56"/>
  <c r="BM98" i="56"/>
  <c r="BM27" i="56"/>
  <c r="BM73" i="56"/>
  <c r="BM212" i="56"/>
  <c r="BM92" i="56"/>
  <c r="BM192" i="56"/>
  <c r="BM174" i="56"/>
  <c r="BM201" i="56"/>
  <c r="BM220" i="56"/>
  <c r="BM152" i="56"/>
  <c r="BM134" i="56"/>
  <c r="BM80" i="56"/>
  <c r="BM218" i="56"/>
  <c r="BM76" i="56"/>
  <c r="BM64" i="56"/>
  <c r="BM141" i="56"/>
  <c r="BM116" i="56"/>
  <c r="BM227" i="56"/>
  <c r="BM48" i="56"/>
  <c r="BM181" i="56"/>
  <c r="BM56" i="56"/>
  <c r="BM104" i="56"/>
  <c r="BM160" i="56"/>
  <c r="BM142" i="56"/>
  <c r="BM228" i="56"/>
  <c r="BM86" i="56"/>
  <c r="BM120" i="56"/>
  <c r="BM111" i="56"/>
  <c r="BM251" i="56"/>
  <c r="BM132" i="56"/>
  <c r="BM77" i="56"/>
  <c r="BM254" i="56"/>
  <c r="BM16" i="56"/>
  <c r="BM117" i="56"/>
  <c r="BM222" i="56"/>
  <c r="BM114" i="56"/>
  <c r="BM154" i="56"/>
  <c r="BM239" i="56"/>
  <c r="BM110" i="56"/>
  <c r="BM78" i="56"/>
  <c r="BM139" i="56"/>
  <c r="BM240" i="56"/>
  <c r="BM204" i="56"/>
  <c r="BM168" i="56"/>
  <c r="BM53" i="56"/>
  <c r="BM74" i="56"/>
  <c r="BM243" i="56"/>
  <c r="BM75" i="56"/>
  <c r="BM61" i="56"/>
  <c r="BM122" i="56"/>
  <c r="BM129" i="56"/>
  <c r="BM234" i="56"/>
  <c r="BM208" i="56"/>
  <c r="BM190" i="56"/>
  <c r="BM211" i="56"/>
  <c r="BM146" i="56"/>
  <c r="BM65" i="56"/>
  <c r="BM70" i="56"/>
  <c r="BM109" i="56"/>
  <c r="BM138" i="56"/>
  <c r="BM182" i="56"/>
  <c r="BM200" i="56"/>
  <c r="BM25" i="56"/>
  <c r="BM187" i="56"/>
  <c r="BM145" i="56"/>
  <c r="BM51" i="56"/>
  <c r="BM255" i="56"/>
  <c r="BM149" i="56"/>
  <c r="BM253" i="56"/>
  <c r="BM69" i="56"/>
  <c r="BM176" i="56"/>
  <c r="BM158" i="56"/>
  <c r="BM103" i="56"/>
  <c r="BM195" i="56"/>
  <c r="BM62" i="56"/>
  <c r="BM259" i="56"/>
  <c r="BM203" i="56"/>
  <c r="BM214" i="56"/>
  <c r="BM232" i="56"/>
  <c r="BM263" i="56"/>
  <c r="BM172" i="56"/>
  <c r="BM194" i="56"/>
  <c r="BM68" i="56"/>
  <c r="BM223" i="56"/>
  <c r="BM213" i="56"/>
  <c r="BM130" i="56"/>
  <c r="BM71" i="56"/>
  <c r="BM144" i="56"/>
  <c r="BM126" i="56"/>
  <c r="BM81" i="56"/>
  <c r="BM245" i="56"/>
  <c r="BM221" i="56"/>
  <c r="BM63" i="56"/>
  <c r="BM105" i="56"/>
  <c r="BM128" i="56"/>
  <c r="BM107" i="56"/>
  <c r="BM57" i="56"/>
  <c r="BM46" i="56"/>
  <c r="BM185" i="56"/>
  <c r="BM14" i="56"/>
  <c r="BM150" i="56"/>
  <c r="BM131" i="56"/>
  <c r="BM118" i="56"/>
  <c r="BM136" i="56"/>
  <c r="BM231" i="56"/>
  <c r="BM153" i="56"/>
  <c r="BM244" i="56"/>
  <c r="BM38" i="56"/>
  <c r="BM183" i="56"/>
  <c r="BM72" i="56"/>
  <c r="BM108" i="56"/>
  <c r="BM97" i="56"/>
  <c r="BM112" i="56"/>
  <c r="BM44" i="56"/>
  <c r="BM28" i="56"/>
  <c r="BM102" i="56"/>
  <c r="BM20" i="56"/>
  <c r="BM199" i="56"/>
  <c r="BM79" i="56"/>
  <c r="BM10" i="56"/>
  <c r="BM58" i="56"/>
  <c r="BM151" i="56"/>
  <c r="BM197" i="56"/>
  <c r="BM156" i="56"/>
  <c r="BM9" i="56"/>
  <c r="BM40" i="56"/>
  <c r="BM59" i="56"/>
  <c r="BM165" i="56"/>
  <c r="BM12" i="56"/>
  <c r="BM170" i="56"/>
  <c r="BM36" i="56"/>
  <c r="BM177" i="56"/>
  <c r="BM18" i="56"/>
  <c r="BM82" i="56"/>
  <c r="BM29" i="56"/>
  <c r="BM159" i="56"/>
  <c r="BM147" i="56"/>
  <c r="BM133" i="56"/>
  <c r="BM19" i="56"/>
  <c r="BM66" i="56"/>
  <c r="BM163" i="56"/>
  <c r="BM205" i="56"/>
  <c r="BM100" i="56"/>
  <c r="BM94" i="56"/>
  <c r="BM235" i="56"/>
  <c r="BM169" i="56"/>
  <c r="BM8" i="56"/>
  <c r="BM101" i="56"/>
  <c r="BM155" i="56"/>
  <c r="BM250" i="56"/>
  <c r="BM15" i="56"/>
  <c r="BM11" i="56"/>
  <c r="BM127" i="56"/>
  <c r="BM124" i="56"/>
  <c r="BM173" i="56"/>
  <c r="BM45" i="56"/>
  <c r="BM52" i="56"/>
  <c r="BM196" i="56"/>
  <c r="BM258" i="56"/>
  <c r="BM84" i="56"/>
  <c r="BM247" i="56"/>
  <c r="BM137" i="56"/>
  <c r="BM119" i="56"/>
  <c r="BM37" i="56"/>
  <c r="BM210" i="56"/>
  <c r="BM241" i="56"/>
  <c r="BM264" i="56"/>
  <c r="BM125" i="56"/>
  <c r="BM89" i="56"/>
  <c r="BM7" i="56"/>
  <c r="BM215" i="56"/>
  <c r="BM193" i="56"/>
  <c r="BM41" i="56"/>
  <c r="BM23" i="56"/>
  <c r="BM179" i="56"/>
  <c r="BM202" i="56"/>
  <c r="BM31" i="56"/>
  <c r="BM34" i="56"/>
  <c r="BM188" i="56"/>
  <c r="BM186" i="56"/>
  <c r="BM35" i="56"/>
  <c r="BM175" i="56"/>
  <c r="BM225" i="56"/>
  <c r="BM219" i="56"/>
  <c r="BM22" i="56"/>
  <c r="BM257" i="56"/>
  <c r="BM30" i="56"/>
  <c r="BM233" i="56"/>
  <c r="BM39" i="56"/>
  <c r="BM167" i="56"/>
  <c r="BM67" i="56"/>
  <c r="BM60" i="56"/>
  <c r="BM229" i="56"/>
  <c r="BM191" i="56"/>
  <c r="BM91" i="56"/>
  <c r="BM262" i="56"/>
  <c r="BM178" i="56"/>
  <c r="BM236" i="56"/>
  <c r="BM83" i="56"/>
  <c r="BM143" i="56"/>
  <c r="BM17" i="56"/>
  <c r="BM26" i="56"/>
  <c r="BM55" i="56"/>
  <c r="BM54" i="56"/>
  <c r="BM113" i="56"/>
  <c r="BM140" i="56"/>
  <c r="BM207" i="56"/>
  <c r="BM96" i="56"/>
  <c r="BM93" i="56"/>
  <c r="BM21" i="56"/>
  <c r="BM180" i="56"/>
  <c r="BM248" i="56"/>
  <c r="BM230" i="56"/>
  <c r="BM217" i="56"/>
  <c r="BM43" i="56"/>
  <c r="BM99" i="56"/>
  <c r="BM49" i="56"/>
  <c r="BM226" i="56"/>
  <c r="BM260" i="56"/>
  <c r="BM50" i="56"/>
  <c r="BM189" i="56"/>
  <c r="Y78" i="56" l="1"/>
  <c r="Y67" i="56"/>
  <c r="Y71" i="56"/>
  <c r="Y66" i="56"/>
  <c r="Y77" i="56"/>
  <c r="Y75" i="56"/>
  <c r="Y72" i="56"/>
  <c r="Y69" i="56"/>
  <c r="Y70" i="56"/>
  <c r="Y73" i="56"/>
  <c r="AA72" i="56"/>
  <c r="AA66" i="56"/>
  <c r="AA73" i="56"/>
  <c r="AA75" i="56"/>
  <c r="AB72" i="56"/>
  <c r="AA77" i="56"/>
  <c r="AA78" i="56"/>
  <c r="Y68" i="56"/>
  <c r="Y74" i="56"/>
  <c r="Y76" i="56"/>
  <c r="AB77" i="56"/>
  <c r="AA70" i="56"/>
  <c r="AB68" i="56"/>
  <c r="AB73" i="56"/>
  <c r="AB75" i="56"/>
  <c r="AB71" i="56"/>
  <c r="AA67" i="56"/>
  <c r="AA74" i="56"/>
  <c r="AA69" i="56"/>
  <c r="AB74" i="56"/>
  <c r="AB69" i="56"/>
  <c r="AB67" i="56"/>
  <c r="AB66" i="56"/>
  <c r="Z29" i="56"/>
  <c r="Z30" i="56"/>
  <c r="Z28" i="56"/>
  <c r="AA76" i="56"/>
  <c r="AA68" i="56"/>
  <c r="AB76" i="56"/>
  <c r="AB70" i="56"/>
  <c r="AA71" i="56"/>
  <c r="AB78" i="56"/>
  <c r="AF9" i="58"/>
  <c r="AF10" i="58"/>
  <c r="AS19" i="58"/>
  <c r="AS20" i="58"/>
  <c r="AS21" i="58"/>
  <c r="AQ19" i="58"/>
  <c r="AQ20" i="58"/>
  <c r="AQ21" i="58"/>
  <c r="AW20" i="58"/>
  <c r="AW19" i="58"/>
  <c r="AW21" i="58"/>
  <c r="AF21" i="58"/>
  <c r="AF19" i="58"/>
  <c r="AF20" i="58"/>
  <c r="AF14" i="58" a="1"/>
  <c r="Z27" i="56"/>
  <c r="Z48" i="56"/>
  <c r="Z47" i="56"/>
  <c r="Z53" i="56"/>
  <c r="Z45" i="56"/>
  <c r="Z46" i="56"/>
  <c r="Z54" i="56"/>
  <c r="Z40" i="56"/>
  <c r="Z60" i="56"/>
  <c r="Z58" i="56"/>
  <c r="Z56" i="56"/>
  <c r="Z57" i="56"/>
  <c r="Z39" i="56"/>
  <c r="Z36" i="56"/>
  <c r="Z52" i="56"/>
  <c r="Z51" i="56"/>
  <c r="Z55" i="56"/>
  <c r="Z49" i="56"/>
  <c r="Z42" i="56"/>
  <c r="Z59" i="56"/>
  <c r="Z44" i="56"/>
  <c r="Z41" i="56"/>
  <c r="Z61" i="56"/>
  <c r="BN1" i="56"/>
  <c r="Z63" i="56"/>
  <c r="Z37" i="56"/>
  <c r="Z50" i="56"/>
  <c r="Z38" i="56"/>
  <c r="Z62" i="56"/>
  <c r="Z43" i="56"/>
  <c r="BN195" i="56"/>
  <c r="BN135" i="56"/>
  <c r="BN230" i="56"/>
  <c r="BN220" i="56"/>
  <c r="BN241" i="56"/>
  <c r="BN264" i="56"/>
  <c r="BN253" i="56"/>
  <c r="BN153" i="56"/>
  <c r="BN134" i="56"/>
  <c r="BN144" i="56"/>
  <c r="BN125" i="56"/>
  <c r="BN262" i="56"/>
  <c r="BN242" i="56"/>
  <c r="BN127" i="56"/>
  <c r="BN131" i="56"/>
  <c r="BN150" i="56"/>
  <c r="BN244" i="56"/>
  <c r="BN112" i="56"/>
  <c r="BN106" i="56"/>
  <c r="BN205" i="56"/>
  <c r="BN25" i="56"/>
  <c r="BN216" i="56"/>
  <c r="BN210" i="56"/>
  <c r="BN100" i="56"/>
  <c r="BN136" i="56"/>
  <c r="BN101" i="56"/>
  <c r="BN115" i="56"/>
  <c r="BN128" i="56"/>
  <c r="BN110" i="56"/>
  <c r="BN171" i="56"/>
  <c r="BN76" i="56"/>
  <c r="BN78" i="56"/>
  <c r="BN187" i="56"/>
  <c r="BN77" i="56"/>
  <c r="BN86" i="56"/>
  <c r="BN74" i="56"/>
  <c r="BN250" i="56"/>
  <c r="BN29" i="56"/>
  <c r="BN183" i="56"/>
  <c r="BN222" i="56"/>
  <c r="BN30" i="56"/>
  <c r="BN121" i="56"/>
  <c r="BN119" i="56"/>
  <c r="BN8" i="56"/>
  <c r="BN235" i="56"/>
  <c r="BN34" i="56"/>
  <c r="BN196" i="56"/>
  <c r="BN246" i="56"/>
  <c r="BN39" i="56"/>
  <c r="BN45" i="56"/>
  <c r="BN62" i="56"/>
  <c r="BN219" i="56"/>
  <c r="BN156" i="56"/>
  <c r="BN175" i="56"/>
  <c r="BN177" i="56"/>
  <c r="BN11" i="56"/>
  <c r="BN200" i="56"/>
  <c r="BN6" i="56"/>
  <c r="BN32" i="56"/>
  <c r="BN217" i="56"/>
  <c r="BN42" i="56"/>
  <c r="BN118" i="56"/>
  <c r="BN13" i="56"/>
  <c r="BN208" i="56"/>
  <c r="BN75" i="56"/>
  <c r="BN197" i="56"/>
  <c r="BN46" i="56"/>
  <c r="BN36" i="56"/>
  <c r="BN55" i="56"/>
  <c r="BN23" i="56"/>
  <c r="BN66" i="56"/>
  <c r="BN31" i="56"/>
  <c r="BN163" i="56"/>
  <c r="BN185" i="56"/>
  <c r="BN191" i="56"/>
  <c r="BN164" i="56"/>
  <c r="BN238" i="56"/>
  <c r="BN122" i="56"/>
  <c r="BN94" i="56"/>
  <c r="BN126" i="56"/>
  <c r="BN254" i="56"/>
  <c r="BN141" i="56"/>
  <c r="BN56" i="56"/>
  <c r="BN161" i="56"/>
  <c r="BN140" i="56"/>
  <c r="BN99" i="56"/>
  <c r="BN21" i="56"/>
  <c r="BN261" i="56"/>
  <c r="BN145" i="56"/>
  <c r="BN232" i="56"/>
  <c r="BN7" i="56"/>
  <c r="BN194" i="56"/>
  <c r="BN38" i="56"/>
  <c r="BN111" i="56"/>
  <c r="BN203" i="56"/>
  <c r="BN227" i="56"/>
  <c r="BN79" i="56"/>
  <c r="BN117" i="56"/>
  <c r="BN182" i="56"/>
  <c r="BN180" i="56"/>
  <c r="BN207" i="56"/>
  <c r="BN201" i="56"/>
  <c r="BN157" i="56"/>
  <c r="BN58" i="56"/>
  <c r="BN152" i="56"/>
  <c r="BN146" i="56"/>
  <c r="BN162" i="56"/>
  <c r="BN231" i="56"/>
  <c r="BN204" i="56"/>
  <c r="BN37" i="56"/>
  <c r="BN192" i="56"/>
  <c r="BN165" i="56"/>
  <c r="BN158" i="56"/>
  <c r="BN49" i="56"/>
  <c r="BN52" i="56"/>
  <c r="BN123" i="56"/>
  <c r="BN81" i="56"/>
  <c r="BN9" i="56"/>
  <c r="BN48" i="56"/>
  <c r="BN193" i="56"/>
  <c r="BN19" i="56"/>
  <c r="BN65" i="56"/>
  <c r="BN173" i="56"/>
  <c r="BN18" i="56"/>
  <c r="BN95" i="56"/>
  <c r="BN43" i="56"/>
  <c r="BN98" i="56"/>
  <c r="BN93" i="56"/>
  <c r="BN85" i="56"/>
  <c r="BN132" i="56"/>
  <c r="BN73" i="56"/>
  <c r="BN240" i="56"/>
  <c r="BN181" i="56"/>
  <c r="BN68" i="56"/>
  <c r="BN35" i="56"/>
  <c r="BN159" i="56"/>
  <c r="BN213" i="56"/>
  <c r="BN97" i="56"/>
  <c r="BN61" i="56"/>
  <c r="BN71" i="56"/>
  <c r="BN124" i="56"/>
  <c r="BN143" i="56"/>
  <c r="BN226" i="56"/>
  <c r="BN251" i="56"/>
  <c r="BN229" i="56"/>
  <c r="BN245" i="56"/>
  <c r="BN255" i="56"/>
  <c r="BN70" i="56"/>
  <c r="BN149" i="56"/>
  <c r="BN22" i="56"/>
  <c r="BN103" i="56"/>
  <c r="BN113" i="56"/>
  <c r="BN130" i="56"/>
  <c r="BN15" i="56"/>
  <c r="BN69" i="56"/>
  <c r="BN91" i="56"/>
  <c r="BN84" i="56"/>
  <c r="BN260" i="56"/>
  <c r="BN174" i="56"/>
  <c r="BN148" i="56"/>
  <c r="BN167" i="56"/>
  <c r="BN169" i="56"/>
  <c r="BN214" i="56"/>
  <c r="BN252" i="56"/>
  <c r="BN120" i="56"/>
  <c r="BN114" i="56"/>
  <c r="BN44" i="56"/>
  <c r="BN104" i="56"/>
  <c r="BN236" i="56"/>
  <c r="BN190" i="56"/>
  <c r="BN218" i="56"/>
  <c r="BN224" i="56"/>
  <c r="BN12" i="56"/>
  <c r="BN142" i="56"/>
  <c r="BN234" i="56"/>
  <c r="BN223" i="56"/>
  <c r="BN102" i="56"/>
  <c r="BN221" i="56"/>
  <c r="BN17" i="56"/>
  <c r="BN176" i="56"/>
  <c r="BN202" i="56"/>
  <c r="BN259" i="56"/>
  <c r="BN27" i="56"/>
  <c r="BN83" i="56"/>
  <c r="BN64" i="56"/>
  <c r="BN20" i="56"/>
  <c r="BN54" i="56"/>
  <c r="BN16" i="56"/>
  <c r="BN147" i="56"/>
  <c r="BN26" i="56"/>
  <c r="BN211" i="56"/>
  <c r="BN51" i="56"/>
  <c r="BN50" i="56"/>
  <c r="BN105" i="56"/>
  <c r="BN90" i="56"/>
  <c r="BN188" i="56"/>
  <c r="BN215" i="56"/>
  <c r="BN209" i="56"/>
  <c r="BN170" i="56"/>
  <c r="BN168" i="56"/>
  <c r="BN89" i="56"/>
  <c r="BN198" i="56"/>
  <c r="BN33" i="56"/>
  <c r="BN67" i="56"/>
  <c r="BN82" i="56"/>
  <c r="BN109" i="56"/>
  <c r="BN133" i="56"/>
  <c r="BN256" i="56"/>
  <c r="BN10" i="56"/>
  <c r="BN116" i="56"/>
  <c r="BN137" i="56"/>
  <c r="BN247" i="56"/>
  <c r="BN40" i="56"/>
  <c r="BN63" i="56"/>
  <c r="BN189" i="56"/>
  <c r="BN80" i="56"/>
  <c r="BN138" i="56"/>
  <c r="BN248" i="56"/>
  <c r="BN129" i="56"/>
  <c r="BN108" i="56"/>
  <c r="BN249" i="56"/>
  <c r="BN263" i="56"/>
  <c r="BN228" i="56"/>
  <c r="BN107" i="56"/>
  <c r="BN186" i="56"/>
  <c r="BN28" i="56"/>
  <c r="BN206" i="56"/>
  <c r="BN237" i="56"/>
  <c r="BN72" i="56"/>
  <c r="BN53" i="56"/>
  <c r="BN87" i="56"/>
  <c r="BN60" i="56"/>
  <c r="BN57" i="56"/>
  <c r="BN14" i="56"/>
  <c r="BN92" i="56"/>
  <c r="BN24" i="56"/>
  <c r="BN47" i="56"/>
  <c r="BN139" i="56"/>
  <c r="BN257" i="56"/>
  <c r="BN88" i="56"/>
  <c r="BN166" i="56"/>
  <c r="BN212" i="56"/>
  <c r="BN239" i="56"/>
  <c r="BN233" i="56"/>
  <c r="BN243" i="56"/>
  <c r="BN96" i="56"/>
  <c r="BN184" i="56"/>
  <c r="BN178" i="56"/>
  <c r="BN225" i="56"/>
  <c r="BN199" i="56"/>
  <c r="BN172" i="56"/>
  <c r="BN59" i="56"/>
  <c r="BN154" i="56"/>
  <c r="BN160" i="56"/>
  <c r="BN41" i="56"/>
  <c r="BN179" i="56"/>
  <c r="BN258" i="56"/>
  <c r="BN151" i="56"/>
  <c r="BN155" i="56"/>
  <c r="Z77" i="56" l="1"/>
  <c r="Z78" i="56"/>
  <c r="Z76" i="56"/>
  <c r="Z74" i="56"/>
  <c r="Z70" i="56"/>
  <c r="Z66" i="56"/>
  <c r="Z67" i="56"/>
  <c r="Z72" i="56"/>
  <c r="Z71" i="56"/>
  <c r="Z73" i="56"/>
  <c r="Z75" i="56"/>
  <c r="Z69" i="56"/>
  <c r="Z68" i="56"/>
  <c r="Z35" i="56"/>
  <c r="BN5" i="56" s="1"/>
  <c r="AL9" i="58" a="1"/>
  <c r="AL10" i="58" s="1"/>
  <c r="AF15" i="58"/>
  <c r="AF16" i="58"/>
  <c r="AF14" i="58"/>
  <c r="AE14" i="58" a="1"/>
  <c r="AL9" i="58" l="1"/>
  <c r="AM9" i="58"/>
  <c r="AM10" i="58"/>
  <c r="AE14" i="58"/>
  <c r="AE15" i="58"/>
  <c r="AE16" i="58"/>
  <c r="AS5" i="58" a="1"/>
  <c r="AL14" i="58" l="1" a="1"/>
  <c r="AL14" i="58" s="1"/>
  <c r="AS5" i="58"/>
  <c r="AS6" i="58"/>
  <c r="AF5" i="58" a="1"/>
  <c r="AM16" i="58" l="1"/>
  <c r="AM14" i="58"/>
  <c r="AL16" i="58"/>
  <c r="AM15" i="58"/>
  <c r="AN15" i="58"/>
  <c r="AL15" i="58"/>
  <c r="AN14" i="58"/>
  <c r="AN16" i="58"/>
  <c r="AF6" i="58"/>
  <c r="AF5" i="58"/>
  <c r="AL5" i="58" a="1"/>
  <c r="AM5" i="58" s="1"/>
  <c r="AL5" i="58" l="1"/>
  <c r="AM6" i="58"/>
  <c r="AL6" i="58"/>
  <c r="AW5" i="58" a="1"/>
  <c r="AW6" i="58" l="1"/>
  <c r="AW5" i="58"/>
  <c r="AR5" i="58" a="1"/>
  <c r="AR6" i="58" l="1"/>
  <c r="AR5" i="58"/>
  <c r="AX5" i="58" a="1"/>
  <c r="AY6" i="58" s="1"/>
  <c r="AS9" i="58" a="1"/>
  <c r="AY5" i="58" l="1"/>
  <c r="AX5" i="58"/>
  <c r="AX6" i="58"/>
  <c r="AS10" i="58"/>
  <c r="AS9" i="58"/>
  <c r="AK5" i="58" a="1"/>
  <c r="AU5" i="58" l="1" a="1"/>
  <c r="AU5" i="58" s="1"/>
  <c r="U26" i="58" s="1"/>
  <c r="AK5" i="58"/>
  <c r="AK6" i="58"/>
  <c r="AK19" i="58" a="1"/>
  <c r="AI5" i="58" l="1" a="1"/>
  <c r="AI6" i="58" s="1"/>
  <c r="G25" i="58" s="1"/>
  <c r="AU6" i="58"/>
  <c r="U25" i="58" s="1"/>
  <c r="U32" i="58" s="1"/>
  <c r="BI5" i="58" s="1"/>
  <c r="AK21" i="58"/>
  <c r="AK19" i="58"/>
  <c r="AK20" i="58"/>
  <c r="AQ14" i="58" a="1"/>
  <c r="AI5" i="58" l="1"/>
  <c r="G26" i="58" s="1"/>
  <c r="AQ16" i="58"/>
  <c r="AQ14" i="58"/>
  <c r="AQ15" i="58"/>
  <c r="AR19" i="58" a="1"/>
  <c r="AK9" i="58" a="1"/>
  <c r="BI1" i="58"/>
  <c r="BI59" i="58"/>
  <c r="BI8" i="58"/>
  <c r="BI64" i="58"/>
  <c r="BI36" i="58"/>
  <c r="BI12" i="58"/>
  <c r="BI61" i="58"/>
  <c r="BI11" i="58"/>
  <c r="BI46" i="58"/>
  <c r="BI55" i="58"/>
  <c r="BI50" i="58"/>
  <c r="BI23" i="58"/>
  <c r="BI15" i="58"/>
  <c r="BI54" i="58"/>
  <c r="BI58" i="58"/>
  <c r="BI24" i="58"/>
  <c r="BI66" i="58"/>
  <c r="BI37" i="58"/>
  <c r="BI48" i="58"/>
  <c r="BI63" i="58"/>
  <c r="BI70" i="58"/>
  <c r="BI35" i="58"/>
  <c r="BI68" i="58"/>
  <c r="BI17" i="58"/>
  <c r="BI29" i="58"/>
  <c r="BI60" i="58"/>
  <c r="BI62" i="58"/>
  <c r="BI65" i="58"/>
  <c r="BI18" i="58"/>
  <c r="BI56" i="58"/>
  <c r="BI28" i="58"/>
  <c r="BI51" i="58"/>
  <c r="BI30" i="58"/>
  <c r="BI32" i="58"/>
  <c r="BI19" i="58"/>
  <c r="BI71" i="58"/>
  <c r="BI16" i="58"/>
  <c r="BI38" i="58"/>
  <c r="BI31" i="58"/>
  <c r="BI52" i="58"/>
  <c r="BI9" i="58"/>
  <c r="BI72" i="58"/>
  <c r="BI20" i="58"/>
  <c r="BI43" i="58"/>
  <c r="BI45" i="58"/>
  <c r="BI10" i="58"/>
  <c r="BI44" i="58"/>
  <c r="BI13" i="58"/>
  <c r="BI53" i="58"/>
  <c r="BI34" i="58"/>
  <c r="BI39" i="58"/>
  <c r="BI73" i="58"/>
  <c r="BI42" i="58"/>
  <c r="BI21" i="58"/>
  <c r="BI33" i="58"/>
  <c r="G32" i="58" l="1"/>
  <c r="BE5" i="58" s="1"/>
  <c r="AK9" i="58"/>
  <c r="AK10" i="58"/>
  <c r="AI9" i="58" a="1"/>
  <c r="AI9" i="58" s="1"/>
  <c r="S26" i="58" s="1"/>
  <c r="AR20" i="58"/>
  <c r="AR19" i="58"/>
  <c r="AR21" i="58"/>
  <c r="AE19" i="58" a="1"/>
  <c r="AI10" i="58" l="1"/>
  <c r="S25" i="58" s="1"/>
  <c r="S32" i="58" s="1"/>
  <c r="BG5" i="58" s="1"/>
  <c r="AX19" i="58" a="1"/>
  <c r="AE19" i="58"/>
  <c r="AE20" i="58"/>
  <c r="AE21" i="58"/>
  <c r="AR14" i="58" a="1"/>
  <c r="AL19" i="58" l="1" a="1"/>
  <c r="AM21" i="58" s="1"/>
  <c r="AZ21" i="58"/>
  <c r="AX19" i="58"/>
  <c r="AZ19" i="58"/>
  <c r="AY20" i="58"/>
  <c r="AX21" i="58"/>
  <c r="AZ20" i="58"/>
  <c r="AX20" i="58"/>
  <c r="AY21" i="58"/>
  <c r="AY19" i="58"/>
  <c r="AR14" i="58"/>
  <c r="AR15" i="58"/>
  <c r="AR16" i="58"/>
  <c r="AS14" i="58" a="1"/>
  <c r="BI27" i="58"/>
  <c r="BI41" i="58"/>
  <c r="BI40" i="58"/>
  <c r="BI57" i="58"/>
  <c r="BI69" i="58"/>
  <c r="BI49" i="58"/>
  <c r="BI47" i="58"/>
  <c r="AN21" i="58" l="1"/>
  <c r="AN20" i="58"/>
  <c r="AN19" i="58"/>
  <c r="AL20" i="58"/>
  <c r="AM20" i="58"/>
  <c r="AL21" i="58"/>
  <c r="AM19" i="58"/>
  <c r="AL19" i="58"/>
  <c r="AU19" i="58" a="1"/>
  <c r="AS14" i="58"/>
  <c r="AS15" i="58"/>
  <c r="AS16" i="58"/>
  <c r="BI22" i="58"/>
  <c r="AW9" i="58" a="1"/>
  <c r="BI26" i="58"/>
  <c r="AI19" i="58" l="1" a="1"/>
  <c r="AI21" i="58" s="1"/>
  <c r="T25" i="58" s="1"/>
  <c r="AX14" i="58" a="1"/>
  <c r="AZ16" i="58" s="1"/>
  <c r="AU19" i="58"/>
  <c r="X27" i="58" s="1"/>
  <c r="AU20" i="58"/>
  <c r="X26" i="58" s="1"/>
  <c r="AU21" i="58"/>
  <c r="X25" i="58" s="1"/>
  <c r="AW9" i="58"/>
  <c r="AW10" i="58"/>
  <c r="BI67" i="58"/>
  <c r="AW14" i="58" a="1"/>
  <c r="BI7" i="58"/>
  <c r="AI20" i="58" l="1"/>
  <c r="T26" i="58" s="1"/>
  <c r="AI19" i="58"/>
  <c r="T27" i="58" s="1"/>
  <c r="AZ14" i="58"/>
  <c r="AY14" i="58"/>
  <c r="AY16" i="58"/>
  <c r="AZ15" i="58"/>
  <c r="AY15" i="58"/>
  <c r="X32" i="58"/>
  <c r="BL5" i="58" s="1"/>
  <c r="AX14" i="58"/>
  <c r="AX15" i="58"/>
  <c r="AX16" i="58"/>
  <c r="AW15" i="58"/>
  <c r="AW14" i="58"/>
  <c r="AW16" i="58"/>
  <c r="AK14" i="58" a="1"/>
  <c r="BL1" i="58"/>
  <c r="BL58" i="58"/>
  <c r="BL60" i="58"/>
  <c r="BL49" i="58"/>
  <c r="BL43" i="58"/>
  <c r="BL70" i="58"/>
  <c r="BL48" i="58"/>
  <c r="BL59" i="58"/>
  <c r="BL23" i="58"/>
  <c r="BL44" i="58"/>
  <c r="BL26" i="58"/>
  <c r="BL28" i="58"/>
  <c r="BL16" i="58"/>
  <c r="BL63" i="58"/>
  <c r="BL69" i="58"/>
  <c r="BL37" i="58"/>
  <c r="BL11" i="58"/>
  <c r="BL36" i="58"/>
  <c r="BL27" i="58"/>
  <c r="BL39" i="58"/>
  <c r="BL9" i="58"/>
  <c r="BL22" i="58"/>
  <c r="BL67" i="58"/>
  <c r="BL15" i="58"/>
  <c r="BL56" i="58"/>
  <c r="BL13" i="58"/>
  <c r="BL6" i="58"/>
  <c r="BL52" i="58"/>
  <c r="BL61" i="58"/>
  <c r="BL33" i="58"/>
  <c r="BL20" i="58"/>
  <c r="BL32" i="58"/>
  <c r="BL8" i="58"/>
  <c r="BL18" i="58"/>
  <c r="BL55" i="58"/>
  <c r="BL51" i="58"/>
  <c r="BL17" i="58"/>
  <c r="BL24" i="58"/>
  <c r="BL50" i="58"/>
  <c r="BL7" i="58"/>
  <c r="BL54" i="58"/>
  <c r="BL41" i="58"/>
  <c r="BL71" i="58"/>
  <c r="BL35" i="58"/>
  <c r="BL29" i="58"/>
  <c r="BL65" i="58"/>
  <c r="BL21" i="58"/>
  <c r="BL53" i="58"/>
  <c r="BL57" i="58"/>
  <c r="BL45" i="58"/>
  <c r="BL42" i="58"/>
  <c r="BL34" i="58"/>
  <c r="BL30" i="58"/>
  <c r="BL40" i="58"/>
  <c r="BL38" i="58"/>
  <c r="BL72" i="58"/>
  <c r="BL19" i="58"/>
  <c r="BL62" i="58"/>
  <c r="BL31" i="58"/>
  <c r="BL64" i="58"/>
  <c r="BL68" i="58"/>
  <c r="BL14" i="58"/>
  <c r="BL66" i="58"/>
  <c r="BL46" i="58"/>
  <c r="BL73" i="58"/>
  <c r="BL12" i="58"/>
  <c r="BL47" i="58"/>
  <c r="BL10" i="58"/>
  <c r="BL25" i="58"/>
  <c r="T32" i="58" l="1"/>
  <c r="BH5" i="58" s="1"/>
  <c r="AU14" i="58" a="1"/>
  <c r="AU14" i="58" s="1"/>
  <c r="V27" i="58" s="1"/>
  <c r="AK14" i="58"/>
  <c r="AK15" i="58"/>
  <c r="AK16" i="58"/>
  <c r="AR9" i="58" a="1"/>
  <c r="BI6" i="58"/>
  <c r="BI25" i="58"/>
  <c r="AU16" i="58" l="1"/>
  <c r="V25" i="58" s="1"/>
  <c r="AU15" i="58"/>
  <c r="V26" i="58" s="1"/>
  <c r="AI14" i="58" a="1"/>
  <c r="AI15" i="58" s="1"/>
  <c r="H26" i="58" s="1"/>
  <c r="AR9" i="58"/>
  <c r="AR10" i="58"/>
  <c r="X24" i="58"/>
  <c r="X38" i="58"/>
  <c r="X40" i="58"/>
  <c r="G24" i="58"/>
  <c r="G39" i="58" s="1"/>
  <c r="G40" i="58"/>
  <c r="X35" i="58"/>
  <c r="G35" i="58"/>
  <c r="U24" i="58"/>
  <c r="X34" i="58"/>
  <c r="X39" i="58"/>
  <c r="U36" i="58"/>
  <c r="U33" i="58"/>
  <c r="G36" i="58"/>
  <c r="G38" i="58"/>
  <c r="T24" i="58"/>
  <c r="S24" i="58"/>
  <c r="G37" i="58"/>
  <c r="G34" i="58"/>
  <c r="S38" i="58"/>
  <c r="X36" i="58"/>
  <c r="T33" i="58"/>
  <c r="T40" i="58"/>
  <c r="S33" i="58"/>
  <c r="U34" i="58"/>
  <c r="U37" i="58"/>
  <c r="G33" i="58"/>
  <c r="V24" i="58"/>
  <c r="BE1" i="58"/>
  <c r="BE26" i="58"/>
  <c r="BE7" i="58"/>
  <c r="BE40" i="58"/>
  <c r="BE55" i="58"/>
  <c r="X37" i="58"/>
  <c r="S35" i="58"/>
  <c r="T35" i="58"/>
  <c r="BE31" i="58"/>
  <c r="BE39" i="58"/>
  <c r="BE38" i="58"/>
  <c r="BE30" i="58"/>
  <c r="S34" i="58"/>
  <c r="BI14" i="58"/>
  <c r="V37" i="58"/>
  <c r="BE29" i="58"/>
  <c r="BE70" i="58"/>
  <c r="BE19" i="58"/>
  <c r="BE24" i="58"/>
  <c r="X33" i="58"/>
  <c r="V40" i="58"/>
  <c r="BE11" i="58"/>
  <c r="BE44" i="58"/>
  <c r="BE50" i="58"/>
  <c r="BE56" i="58"/>
  <c r="BE51" i="58"/>
  <c r="S40" i="58"/>
  <c r="U35" i="58"/>
  <c r="U38" i="58"/>
  <c r="U40" i="58"/>
  <c r="U39" i="58"/>
  <c r="T37" i="58"/>
  <c r="T38" i="58"/>
  <c r="BH1" i="58"/>
  <c r="T34" i="58"/>
  <c r="T36" i="58"/>
  <c r="T39" i="58"/>
  <c r="S37" i="58"/>
  <c r="BG1" i="58"/>
  <c r="S36" i="58"/>
  <c r="S39" i="58"/>
  <c r="V35" i="58"/>
  <c r="V33" i="58"/>
  <c r="V36" i="58"/>
  <c r="V39" i="58"/>
  <c r="V34" i="58"/>
  <c r="BE25" i="58"/>
  <c r="BE41" i="58"/>
  <c r="BE32" i="58"/>
  <c r="BE67" i="58"/>
  <c r="BE27" i="58"/>
  <c r="BE35" i="58"/>
  <c r="BE6" i="58"/>
  <c r="BE49" i="58"/>
  <c r="BE58" i="58"/>
  <c r="BE53" i="58"/>
  <c r="BE47" i="58"/>
  <c r="BE22" i="58"/>
  <c r="BE63" i="58"/>
  <c r="BE23" i="58"/>
  <c r="BE72" i="58"/>
  <c r="BE54" i="58"/>
  <c r="BE62" i="58"/>
  <c r="BE14" i="58"/>
  <c r="BE65" i="58"/>
  <c r="BE68" i="58"/>
  <c r="BE21" i="58"/>
  <c r="BE36" i="58"/>
  <c r="BE66" i="58"/>
  <c r="BE64" i="58"/>
  <c r="BE43" i="58"/>
  <c r="BE13" i="58"/>
  <c r="BE52" i="58"/>
  <c r="BE17" i="58"/>
  <c r="BE33" i="58"/>
  <c r="BE16" i="58"/>
  <c r="BE46" i="58"/>
  <c r="BE61" i="58"/>
  <c r="BE8" i="58"/>
  <c r="BE37" i="58"/>
  <c r="BE18" i="58"/>
  <c r="BE42" i="58"/>
  <c r="BE45" i="58"/>
  <c r="BE48" i="58"/>
  <c r="BE28" i="58"/>
  <c r="BE12" i="58"/>
  <c r="BE15" i="58"/>
  <c r="BE34" i="58"/>
  <c r="BE20" i="58"/>
  <c r="BE71" i="58"/>
  <c r="BE60" i="58"/>
  <c r="BE59" i="58"/>
  <c r="BE9" i="58"/>
  <c r="BE73" i="58"/>
  <c r="BE10" i="58"/>
  <c r="BE69" i="58"/>
  <c r="BE57" i="58"/>
  <c r="BH57" i="58"/>
  <c r="BH61" i="58"/>
  <c r="BH59" i="58"/>
  <c r="BH22" i="58"/>
  <c r="BH34" i="58"/>
  <c r="BH17" i="58"/>
  <c r="BH46" i="58"/>
  <c r="BH14" i="58"/>
  <c r="BH20" i="58"/>
  <c r="BH62" i="58"/>
  <c r="BH16" i="58"/>
  <c r="BH69" i="58"/>
  <c r="BH43" i="58"/>
  <c r="BH25" i="58"/>
  <c r="BH9" i="58"/>
  <c r="BH10" i="58"/>
  <c r="BH21" i="58"/>
  <c r="BH60" i="58"/>
  <c r="BH26" i="58"/>
  <c r="BH47" i="58"/>
  <c r="BH64" i="58"/>
  <c r="BH56" i="58"/>
  <c r="BH45" i="58"/>
  <c r="BH32" i="58"/>
  <c r="BH54" i="58"/>
  <c r="BH66" i="58"/>
  <c r="BH35" i="58"/>
  <c r="BH29" i="58"/>
  <c r="BH41" i="58"/>
  <c r="BH71" i="58"/>
  <c r="BH18" i="58"/>
  <c r="BH30" i="58"/>
  <c r="BH55" i="58"/>
  <c r="BH67" i="58"/>
  <c r="BH15" i="58"/>
  <c r="BH6" i="58"/>
  <c r="BH50" i="58"/>
  <c r="BH58" i="58"/>
  <c r="BH13" i="58"/>
  <c r="BH51" i="58"/>
  <c r="BH73" i="58"/>
  <c r="BH8" i="58"/>
  <c r="BH63" i="58"/>
  <c r="BH44" i="58"/>
  <c r="BH70" i="58"/>
  <c r="BH48" i="58"/>
  <c r="BH40" i="58"/>
  <c r="BH7" i="58"/>
  <c r="BH36" i="58"/>
  <c r="BH52" i="58"/>
  <c r="BH11" i="58"/>
  <c r="BH28" i="58"/>
  <c r="BH24" i="58"/>
  <c r="BH72" i="58"/>
  <c r="BH19" i="58"/>
  <c r="BH39" i="58"/>
  <c r="BH27" i="58"/>
  <c r="BH23" i="58"/>
  <c r="BH42" i="58"/>
  <c r="BH53" i="58"/>
  <c r="BH49" i="58"/>
  <c r="BH68" i="58"/>
  <c r="BH31" i="58"/>
  <c r="BH33" i="58"/>
  <c r="BH38" i="58"/>
  <c r="BH37" i="58"/>
  <c r="BH65" i="58"/>
  <c r="BH12" i="58"/>
  <c r="BG73" i="58"/>
  <c r="BG16" i="58"/>
  <c r="BG33" i="58"/>
  <c r="BG58" i="58"/>
  <c r="BG28" i="58"/>
  <c r="BG25" i="58"/>
  <c r="BG8" i="58"/>
  <c r="BG31" i="58"/>
  <c r="BG24" i="58"/>
  <c r="BG56" i="58"/>
  <c r="BG53" i="58"/>
  <c r="BG12" i="58"/>
  <c r="BG15" i="58"/>
  <c r="BG34" i="58"/>
  <c r="BG21" i="58"/>
  <c r="BG18" i="58"/>
  <c r="BG50" i="58"/>
  <c r="BG10" i="58"/>
  <c r="BG69" i="58"/>
  <c r="BG49" i="58"/>
  <c r="BG26" i="58"/>
  <c r="BG38" i="58"/>
  <c r="BG64" i="58"/>
  <c r="BG40" i="58"/>
  <c r="BG39" i="58"/>
  <c r="BG48" i="58"/>
  <c r="BG42" i="58"/>
  <c r="BG23" i="58"/>
  <c r="BG71" i="58"/>
  <c r="BG47" i="58"/>
  <c r="BG7" i="58"/>
  <c r="BG9" i="58"/>
  <c r="BG60" i="58"/>
  <c r="BG14" i="58"/>
  <c r="BG13" i="58"/>
  <c r="BG62" i="58"/>
  <c r="BG22" i="58"/>
  <c r="BG37" i="58"/>
  <c r="BG17" i="58"/>
  <c r="BG54" i="58"/>
  <c r="BG55" i="58"/>
  <c r="BG70" i="58"/>
  <c r="BG32" i="58"/>
  <c r="BG30" i="58"/>
  <c r="BG35" i="58"/>
  <c r="BG45" i="58"/>
  <c r="BG52" i="58"/>
  <c r="BG36" i="58"/>
  <c r="BG19" i="58"/>
  <c r="BG72" i="58"/>
  <c r="BG68" i="58"/>
  <c r="BG29" i="58"/>
  <c r="BG59" i="58"/>
  <c r="BG57" i="58"/>
  <c r="BG6" i="58"/>
  <c r="BG63" i="58"/>
  <c r="BG44" i="58"/>
  <c r="BG11" i="58"/>
  <c r="BG41" i="58"/>
  <c r="BG61" i="58"/>
  <c r="BG65" i="58"/>
  <c r="BG46" i="58"/>
  <c r="BG20" i="58"/>
  <c r="BG51" i="58"/>
  <c r="BG66" i="58"/>
  <c r="BG67" i="58"/>
  <c r="BG27" i="58"/>
  <c r="BG43" i="58"/>
  <c r="V32" i="58" l="1"/>
  <c r="BJ5" i="58" s="1"/>
  <c r="AI16" i="58"/>
  <c r="H25" i="58" s="1"/>
  <c r="AI14" i="58"/>
  <c r="H27" i="58" s="1"/>
  <c r="AX9" i="58" a="1"/>
  <c r="AX10" i="58" s="1"/>
  <c r="V38" i="58"/>
  <c r="H24" i="58"/>
  <c r="H38" i="58"/>
  <c r="BJ1" i="58"/>
  <c r="BJ58" i="58"/>
  <c r="BJ50" i="58"/>
  <c r="BJ51" i="58"/>
  <c r="BJ32" i="58"/>
  <c r="BJ63" i="58"/>
  <c r="H35" i="58"/>
  <c r="BJ48" i="58"/>
  <c r="BJ66" i="58"/>
  <c r="BJ14" i="58"/>
  <c r="BJ8" i="58"/>
  <c r="BJ29" i="58"/>
  <c r="BJ67" i="58"/>
  <c r="BJ72" i="58"/>
  <c r="BJ39" i="58"/>
  <c r="BJ9" i="58"/>
  <c r="BJ12" i="58"/>
  <c r="BJ20" i="58"/>
  <c r="BJ70" i="58"/>
  <c r="BJ59" i="58"/>
  <c r="BJ60" i="58"/>
  <c r="BJ64" i="58"/>
  <c r="BJ37" i="58"/>
  <c r="BJ15" i="58"/>
  <c r="BJ62" i="58"/>
  <c r="H37" i="58"/>
  <c r="BF1" i="58"/>
  <c r="BF48" i="58"/>
  <c r="BF45" i="58"/>
  <c r="BF22" i="58"/>
  <c r="BF19" i="58"/>
  <c r="BF31" i="58"/>
  <c r="BF13" i="58"/>
  <c r="BJ25" i="58"/>
  <c r="BJ49" i="58"/>
  <c r="BJ7" i="58"/>
  <c r="BJ27" i="58"/>
  <c r="BJ31" i="58"/>
  <c r="BJ46" i="58"/>
  <c r="BF57" i="58"/>
  <c r="BF39" i="58"/>
  <c r="BF6" i="58"/>
  <c r="BF28" i="58"/>
  <c r="BF23" i="58"/>
  <c r="H39" i="58"/>
  <c r="BF10" i="58"/>
  <c r="BF54" i="58"/>
  <c r="BF73" i="58"/>
  <c r="BF37" i="58"/>
  <c r="BJ43" i="58"/>
  <c r="BJ10" i="58"/>
  <c r="BJ16" i="58"/>
  <c r="BJ34" i="58"/>
  <c r="BJ22" i="58"/>
  <c r="H36" i="58"/>
  <c r="BF63" i="58"/>
  <c r="BF14" i="58"/>
  <c r="BF60" i="58"/>
  <c r="BF15" i="58"/>
  <c r="BF42" i="58"/>
  <c r="BF24" i="58"/>
  <c r="BF50" i="58"/>
  <c r="BJ54" i="58"/>
  <c r="BJ55" i="58"/>
  <c r="BJ53" i="58"/>
  <c r="BF71" i="58"/>
  <c r="BJ61" i="58"/>
  <c r="BJ38" i="58"/>
  <c r="BF27" i="58"/>
  <c r="BF58" i="58"/>
  <c r="BF25" i="58"/>
  <c r="BF52" i="58"/>
  <c r="BF18" i="58"/>
  <c r="H40" i="58"/>
  <c r="BF55" i="58"/>
  <c r="BF26" i="58"/>
  <c r="BF20" i="58"/>
  <c r="BF51" i="58"/>
  <c r="BF67" i="58"/>
  <c r="BJ45" i="58"/>
  <c r="BJ41" i="58"/>
  <c r="BJ44" i="58"/>
  <c r="BJ65" i="58"/>
  <c r="BJ68" i="58"/>
  <c r="BJ40" i="58"/>
  <c r="BJ13" i="58"/>
  <c r="BJ57" i="58"/>
  <c r="BJ6" i="58"/>
  <c r="BJ26" i="58"/>
  <c r="BJ18" i="58"/>
  <c r="BJ47" i="58"/>
  <c r="BF65" i="58"/>
  <c r="BF49" i="58"/>
  <c r="BF8" i="58"/>
  <c r="BF44" i="58"/>
  <c r="BJ30" i="58"/>
  <c r="BJ73" i="58"/>
  <c r="BJ28" i="58"/>
  <c r="BJ56" i="58"/>
  <c r="BJ71" i="58"/>
  <c r="BJ23" i="58"/>
  <c r="BJ69" i="58"/>
  <c r="H33" i="58"/>
  <c r="H34" i="58"/>
  <c r="BJ33" i="58"/>
  <c r="BJ24" i="58"/>
  <c r="BJ11" i="58"/>
  <c r="BJ21" i="58"/>
  <c r="BJ19" i="58"/>
  <c r="BJ42" i="58"/>
  <c r="BJ52" i="58"/>
  <c r="BJ17" i="58"/>
  <c r="BJ36" i="58"/>
  <c r="BJ35" i="58"/>
  <c r="BF17" i="58"/>
  <c r="BF36" i="58"/>
  <c r="BF59" i="58"/>
  <c r="BF21" i="58"/>
  <c r="BF35" i="58"/>
  <c r="BF53" i="58"/>
  <c r="BF66" i="58"/>
  <c r="BF32" i="58"/>
  <c r="BF33" i="58"/>
  <c r="BF41" i="58"/>
  <c r="BF72" i="58"/>
  <c r="BF7" i="58"/>
  <c r="BF34" i="58"/>
  <c r="BF29" i="58"/>
  <c r="BF38" i="58"/>
  <c r="BF11" i="58"/>
  <c r="BF16" i="58"/>
  <c r="BF68" i="58"/>
  <c r="BF12" i="58"/>
  <c r="BF43" i="58"/>
  <c r="BF56" i="58"/>
  <c r="BF64" i="58"/>
  <c r="BF70" i="58"/>
  <c r="BF62" i="58"/>
  <c r="BF47" i="58"/>
  <c r="BF69" i="58"/>
  <c r="BF46" i="58"/>
  <c r="BF9" i="58"/>
  <c r="BF30" i="58"/>
  <c r="BF40" i="58"/>
  <c r="BF61" i="58"/>
  <c r="AY10" i="58" l="1"/>
  <c r="AX9" i="58"/>
  <c r="AY9" i="58"/>
  <c r="H32" i="58"/>
  <c r="BF5" i="58" s="1"/>
  <c r="AU9" i="58" l="1" a="1"/>
  <c r="AU10" i="58" s="1"/>
  <c r="W25" i="58" s="1"/>
  <c r="AU9" i="58" l="1"/>
  <c r="W26" i="58" s="1"/>
  <c r="W32" i="58" s="1"/>
  <c r="BK5" i="58" s="1"/>
  <c r="AB22" i="58"/>
  <c r="Y22" i="58"/>
  <c r="Z22" i="58"/>
  <c r="W24" i="58"/>
  <c r="W39" i="58"/>
  <c r="BK1" i="58"/>
  <c r="BK34" i="58"/>
  <c r="BK46" i="58"/>
  <c r="BK42" i="58"/>
  <c r="BK44" i="58"/>
  <c r="W35" i="58"/>
  <c r="BK73" i="58"/>
  <c r="BK13" i="58"/>
  <c r="BK33" i="58"/>
  <c r="BK58" i="58"/>
  <c r="BK67" i="58"/>
  <c r="BK23" i="58"/>
  <c r="BK66" i="58"/>
  <c r="BK28" i="58"/>
  <c r="BK7" i="58"/>
  <c r="BK62" i="58"/>
  <c r="BK8" i="58"/>
  <c r="BK47" i="58"/>
  <c r="BK64" i="58"/>
  <c r="BK43" i="58"/>
  <c r="BK41" i="58"/>
  <c r="BK49" i="58"/>
  <c r="BK50" i="58"/>
  <c r="W38" i="58"/>
  <c r="AA22" i="58"/>
  <c r="BK29" i="58"/>
  <c r="BK32" i="58"/>
  <c r="BK38" i="58"/>
  <c r="BK63" i="58"/>
  <c r="BK45" i="58"/>
  <c r="BK14" i="58"/>
  <c r="BK51" i="58"/>
  <c r="BK9" i="58"/>
  <c r="BK21" i="58"/>
  <c r="W33" i="58"/>
  <c r="W40" i="58"/>
  <c r="BK61" i="58"/>
  <c r="BK68" i="58"/>
  <c r="BK15" i="58"/>
  <c r="BK53" i="58"/>
  <c r="BK22" i="58"/>
  <c r="BK54" i="58"/>
  <c r="BK20" i="58"/>
  <c r="BK70" i="58"/>
  <c r="BK19" i="58"/>
  <c r="BK26" i="58"/>
  <c r="BK52" i="58"/>
  <c r="BK72" i="58"/>
  <c r="W36" i="58"/>
  <c r="W37" i="58"/>
  <c r="W34" i="58"/>
  <c r="BK31" i="58"/>
  <c r="BK27" i="58"/>
  <c r="BK55" i="58"/>
  <c r="BK40" i="58"/>
  <c r="BK16" i="58"/>
  <c r="BK35" i="58"/>
  <c r="BK59" i="58"/>
  <c r="BK6" i="58"/>
  <c r="BK65" i="58"/>
  <c r="BK48" i="58"/>
  <c r="BK69" i="58"/>
  <c r="BK12" i="58"/>
  <c r="BK17" i="58"/>
  <c r="BK30" i="58"/>
  <c r="BK18" i="58"/>
  <c r="BK25" i="58"/>
  <c r="BK11" i="58"/>
  <c r="BK56" i="58"/>
  <c r="BK60" i="58"/>
  <c r="BK36" i="58"/>
  <c r="BK10" i="58"/>
  <c r="BK39" i="58"/>
  <c r="BK71" i="58"/>
  <c r="BK24" i="58"/>
  <c r="BK57" i="58"/>
  <c r="BK37" i="58"/>
  <c r="P3" i="57" l="1"/>
  <c r="Y23" i="58"/>
  <c r="Y25" i="58" s="1" a="1"/>
  <c r="Z23" i="58"/>
  <c r="AA23" i="58"/>
  <c r="AB23" i="58"/>
  <c r="AB25" i="58" a="1"/>
  <c r="Z25" i="58" a="1"/>
  <c r="AA25" i="58" a="1"/>
  <c r="S7" i="57"/>
  <c r="S9" i="57"/>
  <c r="S34" i="57"/>
  <c r="S52" i="57"/>
  <c r="I5" i="57"/>
  <c r="S12" i="57"/>
  <c r="S24" i="57"/>
  <c r="S50" i="57"/>
  <c r="S57" i="57"/>
  <c r="S20" i="57"/>
  <c r="S48" i="57"/>
  <c r="S70" i="57"/>
  <c r="AA24" i="57"/>
  <c r="S69" i="57"/>
  <c r="S10" i="57"/>
  <c r="I7" i="57"/>
  <c r="L3" i="57"/>
  <c r="F3" i="57" s="1"/>
  <c r="S36" i="57"/>
  <c r="S32" i="57"/>
  <c r="S15" i="57"/>
  <c r="S4" i="57"/>
  <c r="S18" i="57"/>
  <c r="S17" i="57"/>
  <c r="L8" i="57"/>
  <c r="S23" i="57"/>
  <c r="S62" i="57"/>
  <c r="P6" i="57" a="1"/>
  <c r="S54" i="57"/>
  <c r="S14" i="57"/>
  <c r="S26" i="57"/>
  <c r="L7" i="57"/>
  <c r="AA21" i="57"/>
  <c r="S44" i="57"/>
  <c r="S40" i="57"/>
  <c r="S65" i="57"/>
  <c r="P13" i="57" a="1"/>
  <c r="S11" i="57"/>
  <c r="S31" i="57"/>
  <c r="AA16" i="57"/>
  <c r="I8" i="57"/>
  <c r="S68" i="57"/>
  <c r="S16" i="57"/>
  <c r="S49" i="57"/>
  <c r="S55" i="57"/>
  <c r="AA15" i="57"/>
  <c r="AA17" i="57"/>
  <c r="S6" i="57"/>
  <c r="S53" i="57"/>
  <c r="S25" i="57"/>
  <c r="L5" i="57"/>
  <c r="S46" i="57"/>
  <c r="S29" i="57"/>
  <c r="S61" i="57"/>
  <c r="S21" i="57"/>
  <c r="AA20" i="57"/>
  <c r="AA19" i="57"/>
  <c r="S42" i="57"/>
  <c r="S43" i="57"/>
  <c r="L4" i="57"/>
  <c r="S66" i="57"/>
  <c r="S3" i="57"/>
  <c r="S35" i="57"/>
  <c r="S59" i="57"/>
  <c r="S45" i="57"/>
  <c r="S37" i="57"/>
  <c r="S47" i="57"/>
  <c r="S8" i="57"/>
  <c r="S33" i="57"/>
  <c r="S27" i="57"/>
  <c r="S13" i="57"/>
  <c r="S5" i="57"/>
  <c r="S28" i="57"/>
  <c r="S60" i="57"/>
  <c r="S56" i="57"/>
  <c r="I6" i="57"/>
  <c r="AA23" i="57"/>
  <c r="S63" i="57"/>
  <c r="AA22" i="57"/>
  <c r="AA18" i="57"/>
  <c r="S67" i="57"/>
  <c r="S64" i="57"/>
  <c r="S39" i="57"/>
  <c r="S19" i="57"/>
  <c r="S38" i="57"/>
  <c r="L6" i="57"/>
  <c r="S58" i="57"/>
  <c r="S41" i="57"/>
  <c r="S51" i="57"/>
  <c r="S30" i="57"/>
  <c r="S22" i="57"/>
  <c r="AA25" i="57"/>
  <c r="AA26" i="58" l="1"/>
  <c r="AA25" i="58"/>
  <c r="Z25" i="58"/>
  <c r="Z26" i="58"/>
  <c r="Z27" i="58"/>
  <c r="AB25" i="58"/>
  <c r="AB26" i="58"/>
  <c r="AB27" i="58"/>
  <c r="Y25" i="58"/>
  <c r="Y26" i="58"/>
  <c r="K7" i="57"/>
  <c r="K8" i="57"/>
  <c r="K6" i="57"/>
  <c r="K5" i="57"/>
  <c r="P6" i="57"/>
  <c r="P7" i="57"/>
  <c r="P9" i="57"/>
  <c r="P10" i="57"/>
  <c r="P8" i="57"/>
  <c r="P15" i="57"/>
  <c r="P14" i="57"/>
  <c r="P13" i="57"/>
  <c r="P17" i="57"/>
  <c r="P16" i="57"/>
  <c r="AC35" i="58"/>
  <c r="AC34" i="58"/>
  <c r="M8" i="57"/>
  <c r="AD38" i="58"/>
  <c r="AC38" i="58"/>
  <c r="M4" i="57"/>
  <c r="AC37" i="58"/>
  <c r="AD37" i="58"/>
  <c r="AC39" i="58"/>
  <c r="AD39" i="58"/>
  <c r="M7" i="57"/>
  <c r="AC33" i="58"/>
  <c r="M5" i="57"/>
  <c r="AC36" i="58"/>
  <c r="AD40" i="58"/>
  <c r="AC40" i="58"/>
  <c r="I3" i="57"/>
  <c r="AA24" i="58"/>
  <c r="AB24" i="58"/>
  <c r="F6" i="57"/>
  <c r="Z24" i="58"/>
  <c r="F5" i="57"/>
  <c r="F7" i="57"/>
  <c r="Y24" i="58"/>
  <c r="F8" i="57"/>
  <c r="AA39" i="58"/>
  <c r="AA34" i="58"/>
  <c r="AA33" i="58"/>
  <c r="AA36" i="58"/>
  <c r="BO1" i="58"/>
  <c r="AA37" i="58"/>
  <c r="AA40" i="58"/>
  <c r="AA38" i="58"/>
  <c r="AA35" i="58"/>
  <c r="AB40" i="58"/>
  <c r="AB38" i="58"/>
  <c r="AB35" i="58"/>
  <c r="AB33" i="58"/>
  <c r="AB39" i="58"/>
  <c r="AB37" i="58"/>
  <c r="BP1" i="58"/>
  <c r="AB34" i="58"/>
  <c r="AB36" i="58"/>
  <c r="Z39" i="58"/>
  <c r="Z35" i="58"/>
  <c r="Z33" i="58"/>
  <c r="Z36" i="58"/>
  <c r="Z40" i="58"/>
  <c r="BN1" i="58"/>
  <c r="Z37" i="58"/>
  <c r="Z38" i="58"/>
  <c r="Z34" i="58"/>
  <c r="Y33" i="58"/>
  <c r="Y35" i="58"/>
  <c r="Y37" i="58"/>
  <c r="Y36" i="58"/>
  <c r="Y38" i="58"/>
  <c r="Y34" i="58"/>
  <c r="BM1" i="58"/>
  <c r="Y39" i="58"/>
  <c r="Y40" i="58"/>
  <c r="BO44" i="58"/>
  <c r="BO45" i="58"/>
  <c r="BO21" i="58"/>
  <c r="BO46" i="58"/>
  <c r="BO27" i="58"/>
  <c r="BO48" i="58"/>
  <c r="BO8" i="58"/>
  <c r="BO59" i="58"/>
  <c r="BO50" i="58"/>
  <c r="BO26" i="58"/>
  <c r="BO11" i="58"/>
  <c r="BO67" i="58"/>
  <c r="BO9" i="58"/>
  <c r="BO40" i="58"/>
  <c r="BO18" i="58"/>
  <c r="BO35" i="58"/>
  <c r="BO39" i="58"/>
  <c r="BO36" i="58"/>
  <c r="BO43" i="58"/>
  <c r="BO41" i="58"/>
  <c r="BO72" i="58"/>
  <c r="BO64" i="58"/>
  <c r="BO32" i="58"/>
  <c r="BO24" i="58"/>
  <c r="BO31" i="58"/>
  <c r="BO71" i="58"/>
  <c r="BO34" i="58"/>
  <c r="BO56" i="58"/>
  <c r="BO33" i="58"/>
  <c r="BO15" i="58"/>
  <c r="BO14" i="58"/>
  <c r="BO16" i="58"/>
  <c r="BO47" i="58"/>
  <c r="BO69" i="58"/>
  <c r="BO13" i="58"/>
  <c r="BO49" i="58"/>
  <c r="BO61" i="58"/>
  <c r="BO63" i="58"/>
  <c r="BO30" i="58"/>
  <c r="BO37" i="58"/>
  <c r="BO25" i="58"/>
  <c r="BO66" i="58"/>
  <c r="BO73" i="58"/>
  <c r="BO10" i="58"/>
  <c r="BO55" i="58"/>
  <c r="BO42" i="58"/>
  <c r="BO28" i="58"/>
  <c r="BO17" i="58"/>
  <c r="BO23" i="58"/>
  <c r="BO58" i="58"/>
  <c r="BO57" i="58"/>
  <c r="BO68" i="58"/>
  <c r="BO19" i="58"/>
  <c r="BO60" i="58"/>
  <c r="BO7" i="58"/>
  <c r="BO65" i="58"/>
  <c r="BO53" i="58"/>
  <c r="BO12" i="58"/>
  <c r="BO52" i="58"/>
  <c r="BO62" i="58"/>
  <c r="BO29" i="58"/>
  <c r="BO22" i="58"/>
  <c r="BO20" i="58"/>
  <c r="BO54" i="58"/>
  <c r="BO6" i="58"/>
  <c r="BO51" i="58"/>
  <c r="BO38" i="58"/>
  <c r="BO70" i="58"/>
  <c r="BP11" i="58"/>
  <c r="BP9" i="58"/>
  <c r="BP40" i="58"/>
  <c r="BP24" i="58"/>
  <c r="BP45" i="58"/>
  <c r="BP25" i="58"/>
  <c r="BP61" i="58"/>
  <c r="BP57" i="58"/>
  <c r="BP13" i="58"/>
  <c r="BP28" i="58"/>
  <c r="BP53" i="58"/>
  <c r="BP58" i="58"/>
  <c r="BP63" i="58"/>
  <c r="BP22" i="58"/>
  <c r="BP7" i="58"/>
  <c r="BP20" i="58"/>
  <c r="BP31" i="58"/>
  <c r="BP71" i="58"/>
  <c r="BP65" i="58"/>
  <c r="BP56" i="58"/>
  <c r="BP36" i="58"/>
  <c r="BP55" i="58"/>
  <c r="BP18" i="58"/>
  <c r="BP35" i="58"/>
  <c r="BP47" i="58"/>
  <c r="BP62" i="58"/>
  <c r="BP15" i="58"/>
  <c r="BP48" i="58"/>
  <c r="BP51" i="58"/>
  <c r="BP46" i="58"/>
  <c r="BP69" i="58"/>
  <c r="BP52" i="58"/>
  <c r="BP14" i="58"/>
  <c r="BP72" i="58"/>
  <c r="BP70" i="58"/>
  <c r="BP50" i="58"/>
  <c r="BP26" i="58"/>
  <c r="BP59" i="58"/>
  <c r="BP73" i="58"/>
  <c r="BP10" i="58"/>
  <c r="BP66" i="58"/>
  <c r="BP12" i="58"/>
  <c r="BP68" i="58"/>
  <c r="BP17" i="58"/>
  <c r="BP42" i="58"/>
  <c r="BP21" i="58"/>
  <c r="BP8" i="58"/>
  <c r="BP37" i="58"/>
  <c r="BP41" i="58"/>
  <c r="BP29" i="58"/>
  <c r="BP43" i="58"/>
  <c r="BP32" i="58"/>
  <c r="BP49" i="58"/>
  <c r="BP27" i="58"/>
  <c r="BP34" i="58"/>
  <c r="BP33" i="58"/>
  <c r="BP64" i="58"/>
  <c r="BP39" i="58"/>
  <c r="BP23" i="58"/>
  <c r="BP54" i="58"/>
  <c r="BP19" i="58"/>
  <c r="BP30" i="58"/>
  <c r="BP6" i="58"/>
  <c r="BP38" i="58"/>
  <c r="BP16" i="58"/>
  <c r="BP67" i="58"/>
  <c r="BP44" i="58"/>
  <c r="BP60" i="58"/>
  <c r="BN47" i="58"/>
  <c r="BN28" i="58"/>
  <c r="BN6" i="58"/>
  <c r="BN42" i="58"/>
  <c r="BN30" i="58"/>
  <c r="BN38" i="58"/>
  <c r="BN64" i="58"/>
  <c r="BN20" i="58"/>
  <c r="BN63" i="58"/>
  <c r="BN59" i="58"/>
  <c r="BN31" i="58"/>
  <c r="BN41" i="58"/>
  <c r="BN46" i="58"/>
  <c r="BN56" i="58"/>
  <c r="BN55" i="58"/>
  <c r="BN39" i="58"/>
  <c r="BN23" i="58"/>
  <c r="BN58" i="58"/>
  <c r="BN10" i="58"/>
  <c r="BN11" i="58"/>
  <c r="BN69" i="58"/>
  <c r="BN61" i="58"/>
  <c r="BN34" i="58"/>
  <c r="BN50" i="58"/>
  <c r="BN14" i="58"/>
  <c r="BN15" i="58"/>
  <c r="BN37" i="58"/>
  <c r="BN71" i="58"/>
  <c r="BN32" i="58"/>
  <c r="BN35" i="58"/>
  <c r="BN8" i="58"/>
  <c r="BN52" i="58"/>
  <c r="BN18" i="58"/>
  <c r="BN44" i="58"/>
  <c r="BN19" i="58"/>
  <c r="BN72" i="58"/>
  <c r="BN48" i="58"/>
  <c r="BN49" i="58"/>
  <c r="BN17" i="58"/>
  <c r="BN29" i="58"/>
  <c r="BN9" i="58"/>
  <c r="BN66" i="58"/>
  <c r="BN70" i="58"/>
  <c r="BN68" i="58"/>
  <c r="BN45" i="58"/>
  <c r="BN36" i="58"/>
  <c r="BN7" i="58"/>
  <c r="BN43" i="58"/>
  <c r="BN73" i="58"/>
  <c r="BN54" i="58"/>
  <c r="BN57" i="58"/>
  <c r="BN40" i="58"/>
  <c r="BN25" i="58"/>
  <c r="BN26" i="58"/>
  <c r="BN67" i="58"/>
  <c r="BN13" i="58"/>
  <c r="BN24" i="58"/>
  <c r="BN62" i="58"/>
  <c r="BN51" i="58"/>
  <c r="BN65" i="58"/>
  <c r="BN22" i="58"/>
  <c r="BN60" i="58"/>
  <c r="BN16" i="58"/>
  <c r="BN21" i="58"/>
  <c r="BN33" i="58"/>
  <c r="BN27" i="58"/>
  <c r="BN53" i="58"/>
  <c r="BN12" i="58"/>
  <c r="BM44" i="58"/>
  <c r="BM22" i="58"/>
  <c r="BM7" i="58"/>
  <c r="BM9" i="58"/>
  <c r="BM67" i="58"/>
  <c r="BM27" i="58"/>
  <c r="BM11" i="58"/>
  <c r="BM14" i="58"/>
  <c r="BM19" i="58"/>
  <c r="BM17" i="58"/>
  <c r="BM51" i="58"/>
  <c r="BM73" i="58"/>
  <c r="BM10" i="58"/>
  <c r="BM16" i="58"/>
  <c r="BM28" i="58"/>
  <c r="BM13" i="58"/>
  <c r="BM39" i="58"/>
  <c r="BM15" i="58"/>
  <c r="BM8" i="58"/>
  <c r="BM23" i="58"/>
  <c r="BM33" i="58"/>
  <c r="BM72" i="58"/>
  <c r="BM54" i="58"/>
  <c r="BM40" i="58"/>
  <c r="BM38" i="58"/>
  <c r="BM43" i="58"/>
  <c r="BM47" i="58"/>
  <c r="BM18" i="58"/>
  <c r="BM55" i="58"/>
  <c r="BM24" i="58"/>
  <c r="BM6" i="58"/>
  <c r="BM46" i="58"/>
  <c r="BM37" i="58"/>
  <c r="BM53" i="58"/>
  <c r="BM66" i="58"/>
  <c r="BM20" i="58"/>
  <c r="BM60" i="58"/>
  <c r="BM56" i="58"/>
  <c r="BM63" i="58"/>
  <c r="BM49" i="58"/>
  <c r="BM30" i="58"/>
  <c r="BM32" i="58"/>
  <c r="BM64" i="58"/>
  <c r="BM68" i="58"/>
  <c r="BM45" i="58"/>
  <c r="BM21" i="58"/>
  <c r="BM36" i="58"/>
  <c r="BM52" i="58"/>
  <c r="BM34" i="58"/>
  <c r="BM57" i="58"/>
  <c r="BM65" i="58"/>
  <c r="BM12" i="58"/>
  <c r="BM42" i="58"/>
  <c r="BM29" i="58"/>
  <c r="BM48" i="58"/>
  <c r="BM31" i="58"/>
  <c r="BM26" i="58"/>
  <c r="BM61" i="58"/>
  <c r="BM25" i="58"/>
  <c r="BM35" i="58"/>
  <c r="BM69" i="58"/>
  <c r="BM59" i="58"/>
  <c r="BM62" i="58"/>
  <c r="BM41" i="58"/>
  <c r="BM71" i="58"/>
  <c r="BM70" i="58"/>
  <c r="BM58" i="58"/>
  <c r="BM50" i="58"/>
  <c r="Y32" i="58" l="1"/>
  <c r="BM5" i="58" s="1"/>
  <c r="Z32" i="58"/>
  <c r="BN5" i="58" s="1"/>
  <c r="AB32" i="58"/>
  <c r="BP5" i="58" s="1"/>
  <c r="AA32" i="58"/>
  <c r="BO5" i="58" s="1"/>
  <c r="M6" i="57"/>
  <c r="S44" i="58"/>
  <c r="P44" i="58"/>
  <c r="M44" i="58"/>
  <c r="N44" i="58"/>
  <c r="O44" i="58"/>
  <c r="I44" i="58"/>
  <c r="K44" i="58"/>
  <c r="H44" i="58"/>
  <c r="G44" i="58"/>
  <c r="T44" i="58"/>
  <c r="L44" i="58"/>
  <c r="R44" i="58"/>
  <c r="W44" i="58"/>
  <c r="Q44" i="58"/>
  <c r="V44" i="58"/>
  <c r="J44" i="58"/>
  <c r="X44" i="58"/>
  <c r="AC44" i="58"/>
  <c r="U44" i="58"/>
  <c r="Y44" i="58"/>
  <c r="AB44" i="58"/>
  <c r="Z44" i="58"/>
  <c r="AA44" i="58"/>
  <c r="H45" i="58"/>
  <c r="T45" i="58"/>
  <c r="AC45" i="58"/>
  <c r="K45" i="58"/>
  <c r="Q45" i="58"/>
  <c r="U45" i="58"/>
  <c r="M45" i="58"/>
  <c r="W45" i="58"/>
  <c r="L45" i="58"/>
  <c r="G45" i="58"/>
  <c r="V45" i="58"/>
  <c r="N45" i="58"/>
  <c r="J45" i="58"/>
  <c r="O45" i="58"/>
  <c r="S45" i="58"/>
  <c r="R45" i="58"/>
  <c r="X45" i="58"/>
  <c r="P45" i="58"/>
  <c r="I45" i="58"/>
  <c r="Y45" i="58"/>
  <c r="Z45" i="58"/>
  <c r="AA45" i="58"/>
  <c r="AB45" i="58"/>
  <c r="K46" i="58"/>
  <c r="Q46" i="58"/>
  <c r="AC46" i="58"/>
  <c r="H46" i="58"/>
  <c r="W46" i="58"/>
  <c r="V46" i="58"/>
  <c r="R46" i="58"/>
  <c r="P46" i="58"/>
  <c r="G46" i="58"/>
  <c r="I46" i="58"/>
  <c r="T46" i="58"/>
  <c r="L46" i="58"/>
  <c r="N46" i="58"/>
  <c r="J46" i="58"/>
  <c r="O46" i="58"/>
  <c r="U46" i="58"/>
  <c r="M46" i="58"/>
  <c r="X46" i="58"/>
  <c r="S46" i="58"/>
  <c r="Y46" i="58"/>
  <c r="AB46" i="58"/>
  <c r="Z46" i="58"/>
  <c r="AA46" i="58"/>
  <c r="W43" i="58"/>
  <c r="L43" i="58"/>
  <c r="H43" i="58"/>
  <c r="U43" i="58"/>
  <c r="M43" i="58"/>
  <c r="O43" i="58"/>
  <c r="S43" i="58"/>
  <c r="X43" i="58"/>
  <c r="AC43" i="58"/>
  <c r="G43" i="58"/>
  <c r="K43" i="58"/>
  <c r="P43" i="58"/>
  <c r="R43" i="58"/>
  <c r="J43" i="58"/>
  <c r="V43" i="58"/>
  <c r="T43" i="58"/>
  <c r="N43" i="58"/>
  <c r="Q43" i="58"/>
  <c r="I43" i="58"/>
  <c r="Y43" i="58"/>
  <c r="AB43" i="58"/>
  <c r="AA43" i="58"/>
  <c r="Z43" i="58"/>
  <c r="P3" i="53" l="1"/>
  <c r="S161" i="53"/>
  <c r="S55" i="53"/>
  <c r="S235" i="53"/>
  <c r="S140" i="53"/>
  <c r="P6" i="53" a="1"/>
  <c r="S245" i="53"/>
  <c r="S10" i="53"/>
  <c r="S56" i="53"/>
  <c r="S15" i="53"/>
  <c r="S195" i="53"/>
  <c r="S219" i="53"/>
  <c r="S221" i="53"/>
  <c r="S84" i="53"/>
  <c r="S176" i="53"/>
  <c r="S156" i="53"/>
  <c r="S85" i="53"/>
  <c r="S79" i="53"/>
  <c r="S125" i="53"/>
  <c r="L17" i="53"/>
  <c r="S81" i="53"/>
  <c r="S112" i="53"/>
  <c r="S187" i="53"/>
  <c r="S19" i="53"/>
  <c r="L27" i="53"/>
  <c r="S252" i="53"/>
  <c r="S198" i="53"/>
  <c r="S164" i="53"/>
  <c r="S30" i="53"/>
  <c r="S181" i="53"/>
  <c r="S25" i="53"/>
  <c r="S256" i="53"/>
  <c r="S89" i="53"/>
  <c r="S40" i="53"/>
  <c r="S207" i="53"/>
  <c r="S214" i="53"/>
  <c r="AA28" i="53"/>
  <c r="S20" i="53"/>
  <c r="L24" i="53"/>
  <c r="S152" i="53"/>
  <c r="S115" i="53"/>
  <c r="S92" i="53"/>
  <c r="S243" i="53"/>
  <c r="S109" i="53"/>
  <c r="S249" i="53"/>
  <c r="S34" i="53"/>
  <c r="S68" i="53"/>
  <c r="S178" i="53"/>
  <c r="L9" i="53"/>
  <c r="S77" i="53"/>
  <c r="S126" i="53"/>
  <c r="S16" i="53"/>
  <c r="S94" i="53"/>
  <c r="S237" i="53"/>
  <c r="S238" i="53"/>
  <c r="S101" i="53"/>
  <c r="S217" i="53"/>
  <c r="S155" i="53"/>
  <c r="S150" i="53"/>
  <c r="S33" i="53"/>
  <c r="S232" i="53"/>
  <c r="S4" i="53"/>
  <c r="S159" i="53"/>
  <c r="S74" i="53"/>
  <c r="S173" i="53"/>
  <c r="S18" i="53"/>
  <c r="S99" i="53"/>
  <c r="P13" i="53" a="1"/>
  <c r="S141" i="53"/>
  <c r="S260" i="53"/>
  <c r="S114" i="53"/>
  <c r="S12" i="53"/>
  <c r="S14" i="53"/>
  <c r="S52" i="53"/>
  <c r="S130" i="53"/>
  <c r="S144" i="53"/>
  <c r="L14" i="53"/>
  <c r="S242" i="53"/>
  <c r="S106" i="53"/>
  <c r="S111" i="53"/>
  <c r="S6" i="53"/>
  <c r="S171" i="53"/>
  <c r="S166" i="53"/>
  <c r="S63" i="53"/>
  <c r="S9" i="53"/>
  <c r="S37" i="53"/>
  <c r="S62" i="53"/>
  <c r="S151" i="53"/>
  <c r="S227" i="53"/>
  <c r="S199" i="53"/>
  <c r="L21" i="53"/>
  <c r="S240" i="53"/>
  <c r="S174" i="53"/>
  <c r="S128" i="53"/>
  <c r="S147" i="53"/>
  <c r="L11" i="53"/>
  <c r="S162" i="53"/>
  <c r="S216" i="53"/>
  <c r="S188" i="53"/>
  <c r="S107" i="53"/>
  <c r="S127" i="53"/>
  <c r="AA24" i="53"/>
  <c r="S120" i="53"/>
  <c r="S202" i="53"/>
  <c r="S189" i="53"/>
  <c r="S185" i="53"/>
  <c r="S257" i="53"/>
  <c r="S17" i="53"/>
  <c r="S204" i="53"/>
  <c r="S32" i="53"/>
  <c r="S96" i="53"/>
  <c r="S23" i="53"/>
  <c r="S138" i="53"/>
  <c r="S26" i="53"/>
  <c r="L8" i="53"/>
  <c r="AA16" i="53"/>
  <c r="S116" i="53"/>
  <c r="AA23" i="53"/>
  <c r="S193" i="53"/>
  <c r="L23" i="53"/>
  <c r="S213" i="53"/>
  <c r="AA19" i="53"/>
  <c r="S42" i="53"/>
  <c r="S46" i="53"/>
  <c r="S48" i="53"/>
  <c r="S186" i="53"/>
  <c r="S148" i="53"/>
  <c r="AA15" i="53"/>
  <c r="S169" i="53"/>
  <c r="S110" i="53"/>
  <c r="S50" i="53"/>
  <c r="AA25" i="53"/>
  <c r="S146" i="53"/>
  <c r="L20" i="53"/>
  <c r="S163" i="53"/>
  <c r="S258" i="53"/>
  <c r="S35" i="53"/>
  <c r="S90" i="53"/>
  <c r="L19" i="53"/>
  <c r="S247" i="53"/>
  <c r="S209" i="53"/>
  <c r="S108" i="53"/>
  <c r="S251" i="53"/>
  <c r="S61" i="53"/>
  <c r="S27" i="53"/>
  <c r="S13" i="53"/>
  <c r="S142" i="53"/>
  <c r="S223" i="53"/>
  <c r="S28" i="53"/>
  <c r="S248" i="53"/>
  <c r="S179" i="53"/>
  <c r="S75" i="53"/>
  <c r="L6" i="53"/>
  <c r="S194" i="53"/>
  <c r="S80" i="53"/>
  <c r="S134" i="53"/>
  <c r="S244" i="53"/>
  <c r="S59" i="53"/>
  <c r="S22" i="53"/>
  <c r="S39" i="53"/>
  <c r="S78" i="53"/>
  <c r="S76" i="53"/>
  <c r="L22" i="53"/>
  <c r="S118" i="53"/>
  <c r="S145" i="53"/>
  <c r="S57" i="53"/>
  <c r="S31" i="53"/>
  <c r="S197" i="53"/>
  <c r="S100" i="53"/>
  <c r="S47" i="53"/>
  <c r="AA22" i="53"/>
  <c r="S36" i="53"/>
  <c r="L10" i="53"/>
  <c r="S236" i="53"/>
  <c r="S254" i="53"/>
  <c r="S43" i="53"/>
  <c r="S190" i="53"/>
  <c r="S239" i="53"/>
  <c r="S177" i="53"/>
  <c r="S136" i="53"/>
  <c r="S95" i="53"/>
  <c r="S226" i="53"/>
  <c r="S230" i="53"/>
  <c r="S88" i="53"/>
  <c r="S131" i="53"/>
  <c r="S165" i="53"/>
  <c r="L5" i="53"/>
  <c r="S72" i="53"/>
  <c r="S60" i="53"/>
  <c r="S253" i="53"/>
  <c r="S113" i="53"/>
  <c r="L12" i="53"/>
  <c r="S208" i="53"/>
  <c r="S91" i="53"/>
  <c r="S21" i="53"/>
  <c r="S103" i="53"/>
  <c r="S154" i="53"/>
  <c r="S105" i="53"/>
  <c r="S222" i="53"/>
  <c r="AA20" i="53"/>
  <c r="S73" i="53"/>
  <c r="S58" i="53"/>
  <c r="S191" i="53"/>
  <c r="S102" i="53"/>
  <c r="S29" i="53"/>
  <c r="L3" i="53"/>
  <c r="S201" i="53"/>
  <c r="S143" i="53"/>
  <c r="S137" i="53"/>
  <c r="S53" i="53"/>
  <c r="L15" i="53"/>
  <c r="S97" i="53"/>
  <c r="S200" i="53"/>
  <c r="S246" i="53"/>
  <c r="AA27" i="53"/>
  <c r="S196" i="53"/>
  <c r="AA26" i="53"/>
  <c r="S98" i="53"/>
  <c r="S86" i="53"/>
  <c r="S87" i="53"/>
  <c r="S205" i="53"/>
  <c r="S121" i="53"/>
  <c r="AA21" i="53"/>
  <c r="S153" i="53"/>
  <c r="L25" i="53"/>
  <c r="S7" i="53"/>
  <c r="S69" i="53"/>
  <c r="S183" i="53"/>
  <c r="AA18" i="53"/>
  <c r="S262" i="53"/>
  <c r="S167" i="53"/>
  <c r="S228" i="53"/>
  <c r="S250" i="53"/>
  <c r="S123" i="53"/>
  <c r="S184" i="53"/>
  <c r="S54" i="53"/>
  <c r="S133" i="53"/>
  <c r="S158" i="53"/>
  <c r="L7" i="53"/>
  <c r="S259" i="53"/>
  <c r="S210" i="53"/>
  <c r="AA17" i="53"/>
  <c r="S119" i="53"/>
  <c r="S139" i="53"/>
  <c r="S93" i="53"/>
  <c r="S241" i="53"/>
  <c r="S149" i="53"/>
  <c r="L28" i="53"/>
  <c r="S203" i="53"/>
  <c r="S168" i="53"/>
  <c r="S172" i="53"/>
  <c r="S38" i="53"/>
  <c r="S220" i="53"/>
  <c r="S211" i="53"/>
  <c r="S229" i="53"/>
  <c r="S83" i="53"/>
  <c r="S24" i="53"/>
  <c r="L18" i="53"/>
  <c r="S132" i="53"/>
  <c r="S124" i="53"/>
  <c r="S71" i="53"/>
  <c r="S49" i="53"/>
  <c r="S45" i="53"/>
  <c r="S67" i="53"/>
  <c r="S104" i="53"/>
  <c r="S182" i="53"/>
  <c r="S175" i="53"/>
  <c r="L13" i="53"/>
  <c r="S192" i="53"/>
  <c r="S180" i="53"/>
  <c r="S117" i="53"/>
  <c r="S225" i="53"/>
  <c r="S135" i="53"/>
  <c r="S3" i="53"/>
  <c r="AA30" i="53"/>
  <c r="S170" i="53"/>
  <c r="L4" i="53"/>
  <c r="S44" i="53"/>
  <c r="S157" i="53"/>
  <c r="S212" i="53"/>
  <c r="S8" i="53"/>
  <c r="F3" i="53"/>
  <c r="S64" i="53"/>
  <c r="S122" i="53"/>
  <c r="S51" i="53"/>
  <c r="S215" i="53"/>
  <c r="L16" i="53"/>
  <c r="S231" i="53"/>
  <c r="S5" i="53"/>
  <c r="S233" i="53"/>
  <c r="S82" i="53"/>
  <c r="S218" i="53"/>
  <c r="S224" i="53"/>
  <c r="AA29" i="53"/>
  <c r="S70" i="53"/>
  <c r="L26" i="53"/>
  <c r="S261" i="53"/>
  <c r="S11" i="53"/>
  <c r="S234" i="53"/>
  <c r="S129" i="53"/>
  <c r="S65" i="53"/>
  <c r="S255" i="53"/>
  <c r="S41" i="53"/>
  <c r="S206" i="53"/>
  <c r="S160" i="53"/>
  <c r="S66" i="53"/>
  <c r="M16" i="53" l="1"/>
  <c r="M13" i="53"/>
  <c r="M10" i="53"/>
  <c r="M14" i="53"/>
  <c r="M15" i="53"/>
  <c r="M12" i="53"/>
  <c r="M11" i="53"/>
  <c r="P17" i="53"/>
  <c r="P14" i="53"/>
  <c r="P13" i="53"/>
  <c r="P16" i="53"/>
  <c r="P15" i="53"/>
  <c r="P7" i="53"/>
  <c r="P6" i="53"/>
  <c r="P10" i="53"/>
  <c r="P9" i="53"/>
  <c r="P8" i="53"/>
  <c r="M17" i="53"/>
  <c r="M7" i="53"/>
  <c r="M9" i="53"/>
  <c r="M8" i="53"/>
  <c r="M6" i="53"/>
  <c r="M5" i="53"/>
  <c r="M18" i="53"/>
  <c r="M19" i="53"/>
  <c r="M20" i="53"/>
  <c r="M21" i="53"/>
  <c r="M22" i="53"/>
  <c r="M23" i="53"/>
  <c r="M24" i="53"/>
  <c r="M25" i="53"/>
  <c r="M26" i="53"/>
  <c r="M27" i="53"/>
  <c r="M28" i="53"/>
  <c r="I3" i="53"/>
  <c r="M4" i="53"/>
  <c r="AC39" i="54"/>
  <c r="AC48" i="54"/>
  <c r="AC60" i="54" s="1"/>
  <c r="AC43" i="54"/>
  <c r="AC55" i="54" s="1"/>
  <c r="AC36" i="54"/>
  <c r="AC41" i="54"/>
  <c r="AC38" i="54"/>
  <c r="AC46" i="54"/>
  <c r="AC58" i="54" s="1"/>
  <c r="AC44" i="54"/>
  <c r="AC56" i="54" s="1"/>
  <c r="AC49" i="54"/>
  <c r="AC61" i="54" s="1"/>
  <c r="AC42" i="54"/>
  <c r="AC54" i="54" s="1"/>
  <c r="AC50" i="54"/>
  <c r="AC62" i="54" s="1"/>
  <c r="AC51" i="54"/>
  <c r="AC63" i="54" s="1"/>
  <c r="AC40" i="54"/>
  <c r="AC47" i="54"/>
  <c r="AC59" i="54" s="1"/>
  <c r="AC45" i="54"/>
  <c r="AC57" i="54" s="1"/>
  <c r="AC37" i="54"/>
  <c r="P3" i="55" l="1"/>
  <c r="S168" i="55"/>
  <c r="S31" i="55"/>
  <c r="S227" i="55"/>
  <c r="S172" i="55"/>
  <c r="S253" i="55"/>
  <c r="S42" i="55"/>
  <c r="S107" i="55"/>
  <c r="S15" i="55"/>
  <c r="AA39" i="55"/>
  <c r="S167" i="55"/>
  <c r="AA15" i="55"/>
  <c r="S115" i="55"/>
  <c r="S213" i="55"/>
  <c r="S109" i="55"/>
  <c r="S123" i="55"/>
  <c r="S105" i="55"/>
  <c r="S84" i="55"/>
  <c r="S108" i="55"/>
  <c r="AA23" i="55"/>
  <c r="S147" i="55"/>
  <c r="S19" i="55"/>
  <c r="S261" i="55"/>
  <c r="S171" i="55"/>
  <c r="S106" i="55"/>
  <c r="S220" i="55"/>
  <c r="L8" i="55"/>
  <c r="S36" i="55"/>
  <c r="S193" i="55"/>
  <c r="S91" i="55"/>
  <c r="S149" i="55"/>
  <c r="S68" i="55"/>
  <c r="S100" i="55"/>
  <c r="S95" i="55"/>
  <c r="S210" i="55"/>
  <c r="S65" i="55"/>
  <c r="S70" i="55"/>
  <c r="S101" i="55"/>
  <c r="AA32" i="55"/>
  <c r="S76" i="55"/>
  <c r="L12" i="55"/>
  <c r="S40" i="55"/>
  <c r="S177" i="55"/>
  <c r="S130" i="55"/>
  <c r="S7" i="55"/>
  <c r="S189" i="55"/>
  <c r="S29" i="55"/>
  <c r="S99" i="55"/>
  <c r="L9" i="55"/>
  <c r="S56" i="55"/>
  <c r="S103" i="55"/>
  <c r="S211" i="55"/>
  <c r="AA41" i="55"/>
  <c r="S197" i="55"/>
  <c r="S180" i="55"/>
  <c r="S258" i="55"/>
  <c r="S145" i="55"/>
  <c r="S89" i="55"/>
  <c r="S111" i="55"/>
  <c r="S155" i="55"/>
  <c r="S162" i="55"/>
  <c r="S207" i="55"/>
  <c r="S53" i="55"/>
  <c r="S139" i="55"/>
  <c r="S243" i="55"/>
  <c r="L7" i="55"/>
  <c r="S217" i="55"/>
  <c r="S230" i="55"/>
  <c r="S194" i="55"/>
  <c r="S205" i="55"/>
  <c r="S257" i="55"/>
  <c r="L15" i="55"/>
  <c r="AA40" i="55"/>
  <c r="S131" i="55"/>
  <c r="S262" i="55"/>
  <c r="S110" i="55"/>
  <c r="S249" i="55"/>
  <c r="S66" i="55"/>
  <c r="S204" i="55"/>
  <c r="L4" i="55"/>
  <c r="S25" i="55"/>
  <c r="S50" i="55"/>
  <c r="S23" i="55"/>
  <c r="S118" i="55"/>
  <c r="S170" i="55"/>
  <c r="S96" i="55"/>
  <c r="S79" i="55"/>
  <c r="S60" i="55"/>
  <c r="S41" i="55"/>
  <c r="S8" i="55"/>
  <c r="S255" i="55"/>
  <c r="S231" i="55"/>
  <c r="S237" i="55"/>
  <c r="S112" i="55"/>
  <c r="S90" i="55"/>
  <c r="S212" i="55"/>
  <c r="S165" i="55"/>
  <c r="S24" i="55"/>
  <c r="S16" i="55"/>
  <c r="S178" i="55"/>
  <c r="S88" i="55"/>
  <c r="AA33" i="55"/>
  <c r="S9" i="55"/>
  <c r="S144" i="55"/>
  <c r="AA16" i="55"/>
  <c r="S216" i="55"/>
  <c r="S46" i="55"/>
  <c r="S129" i="55"/>
  <c r="S219" i="55"/>
  <c r="S156" i="55"/>
  <c r="S202" i="55"/>
  <c r="S223" i="55"/>
  <c r="AA27" i="55"/>
  <c r="S98" i="55"/>
  <c r="S198" i="55"/>
  <c r="S151" i="55"/>
  <c r="S234" i="55"/>
  <c r="S34" i="55"/>
  <c r="S140" i="55"/>
  <c r="S58" i="55"/>
  <c r="AA37" i="55"/>
  <c r="S146" i="55"/>
  <c r="S71" i="55"/>
  <c r="S54" i="55"/>
  <c r="S93" i="55"/>
  <c r="S218" i="55"/>
  <c r="S148" i="55"/>
  <c r="L17" i="55"/>
  <c r="S184" i="55"/>
  <c r="S94" i="55"/>
  <c r="AA38" i="55"/>
  <c r="S62" i="55"/>
  <c r="S45" i="55"/>
  <c r="S248" i="55"/>
  <c r="S51" i="55"/>
  <c r="S4" i="55"/>
  <c r="S72" i="55"/>
  <c r="S175" i="55"/>
  <c r="S22" i="55"/>
  <c r="L10" i="55"/>
  <c r="S181" i="55"/>
  <c r="S128" i="55"/>
  <c r="S233" i="55"/>
  <c r="S92" i="55"/>
  <c r="AA35" i="55"/>
  <c r="S183" i="55"/>
  <c r="S166" i="55"/>
  <c r="S179" i="55"/>
  <c r="AA22" i="55"/>
  <c r="S49" i="55"/>
  <c r="S200" i="55"/>
  <c r="S86" i="55"/>
  <c r="S134" i="55"/>
  <c r="S259" i="55"/>
  <c r="S81" i="55"/>
  <c r="S142" i="55"/>
  <c r="S125" i="55"/>
  <c r="S228" i="55"/>
  <c r="S242" i="55"/>
  <c r="L6" i="55"/>
  <c r="S114" i="55"/>
  <c r="S63" i="55"/>
  <c r="S229" i="55"/>
  <c r="AA31" i="55"/>
  <c r="S69" i="55"/>
  <c r="S52" i="55"/>
  <c r="S10" i="55"/>
  <c r="S35" i="55"/>
  <c r="AA29" i="55"/>
  <c r="S135" i="55"/>
  <c r="S182" i="55"/>
  <c r="S157" i="55"/>
  <c r="AA18" i="55"/>
  <c r="S188" i="55"/>
  <c r="S26" i="55"/>
  <c r="S256" i="55"/>
  <c r="AA17" i="55"/>
  <c r="AA34" i="55"/>
  <c r="S190" i="55"/>
  <c r="S173" i="55"/>
  <c r="S235" i="55"/>
  <c r="P13" i="55" a="1"/>
  <c r="S74" i="55"/>
  <c r="S55" i="55"/>
  <c r="S38" i="55"/>
  <c r="S250" i="55"/>
  <c r="AA28" i="55"/>
  <c r="S260" i="55"/>
  <c r="S57" i="55"/>
  <c r="S137" i="55"/>
  <c r="S150" i="55"/>
  <c r="AA36" i="55"/>
  <c r="S174" i="55"/>
  <c r="S226" i="55"/>
  <c r="S208" i="55"/>
  <c r="S21" i="55"/>
  <c r="S116" i="55"/>
  <c r="S153" i="55"/>
  <c r="S159" i="55"/>
  <c r="AA19" i="55"/>
  <c r="L3" i="55"/>
  <c r="S82" i="55"/>
  <c r="S224" i="55"/>
  <c r="S240" i="55"/>
  <c r="S5" i="55"/>
  <c r="S186" i="55"/>
  <c r="S136" i="55"/>
  <c r="L13" i="55"/>
  <c r="S163" i="55"/>
  <c r="S78" i="55"/>
  <c r="S176" i="55"/>
  <c r="S203" i="55"/>
  <c r="S13" i="55"/>
  <c r="S124" i="55"/>
  <c r="S169" i="55"/>
  <c r="S59" i="55"/>
  <c r="S195" i="55"/>
  <c r="S3" i="55"/>
  <c r="S126" i="55"/>
  <c r="S32" i="55"/>
  <c r="S37" i="55"/>
  <c r="S132" i="55"/>
  <c r="S152" i="55"/>
  <c r="S83" i="55"/>
  <c r="S245" i="55"/>
  <c r="S87" i="55"/>
  <c r="S247" i="55"/>
  <c r="S161" i="55"/>
  <c r="S12" i="55"/>
  <c r="S201" i="55"/>
  <c r="S39" i="55"/>
  <c r="S251" i="55"/>
  <c r="S225" i="55"/>
  <c r="S85" i="55"/>
  <c r="S187" i="55"/>
  <c r="S232" i="55"/>
  <c r="S20" i="55"/>
  <c r="AA21" i="55"/>
  <c r="S191" i="55"/>
  <c r="S104" i="55"/>
  <c r="S239" i="55"/>
  <c r="S241" i="55"/>
  <c r="S133" i="55"/>
  <c r="S43" i="55"/>
  <c r="L11" i="55"/>
  <c r="L16" i="55"/>
  <c r="S199" i="55"/>
  <c r="S47" i="55"/>
  <c r="S221" i="55"/>
  <c r="S192" i="55"/>
  <c r="S141" i="55"/>
  <c r="S252" i="55"/>
  <c r="S154" i="55"/>
  <c r="S222" i="55"/>
  <c r="S209" i="55"/>
  <c r="S6" i="55"/>
  <c r="S117" i="55"/>
  <c r="S11" i="55"/>
  <c r="S48" i="55"/>
  <c r="L5" i="55"/>
  <c r="AA25" i="55"/>
  <c r="S119" i="55"/>
  <c r="S33" i="55"/>
  <c r="S158" i="55"/>
  <c r="S61" i="55"/>
  <c r="S185" i="55"/>
  <c r="S122" i="55"/>
  <c r="S214" i="55"/>
  <c r="AA24" i="55"/>
  <c r="S127" i="55"/>
  <c r="S238" i="55"/>
  <c r="S18" i="55"/>
  <c r="S215" i="55"/>
  <c r="S244" i="55"/>
  <c r="S138" i="55"/>
  <c r="S120" i="55"/>
  <c r="L14" i="55"/>
  <c r="S44" i="55"/>
  <c r="S246" i="55"/>
  <c r="S27" i="55"/>
  <c r="S97" i="55"/>
  <c r="S143" i="55"/>
  <c r="AA42" i="55"/>
  <c r="S121" i="55"/>
  <c r="S28" i="55"/>
  <c r="AA30" i="55"/>
  <c r="S206" i="55"/>
  <c r="S102" i="55"/>
  <c r="S113" i="55"/>
  <c r="S75" i="55"/>
  <c r="S77" i="55"/>
  <c r="S236" i="55"/>
  <c r="P6" i="55" a="1"/>
  <c r="AA26" i="55"/>
  <c r="AA20" i="55"/>
  <c r="S254" i="55"/>
  <c r="S160" i="55"/>
  <c r="S80" i="55"/>
  <c r="S14" i="55"/>
  <c r="S196" i="55"/>
  <c r="S164" i="55"/>
  <c r="S67" i="55"/>
  <c r="S64" i="55"/>
  <c r="S30" i="55"/>
  <c r="S17" i="55"/>
  <c r="S73" i="55"/>
  <c r="AC58" i="56" l="1"/>
  <c r="AC73" i="56" s="1"/>
  <c r="AC59" i="56"/>
  <c r="AC74" i="56" s="1"/>
  <c r="AC61" i="56"/>
  <c r="AC76" i="56" s="1"/>
  <c r="AC56" i="56"/>
  <c r="AC71" i="56" s="1"/>
  <c r="AC54" i="56"/>
  <c r="AC69" i="56" s="1"/>
  <c r="AC55" i="56"/>
  <c r="AC70" i="56" s="1"/>
  <c r="AC63" i="56"/>
  <c r="AC78" i="56" s="1"/>
  <c r="AC52" i="56"/>
  <c r="AC67" i="56" s="1"/>
  <c r="AC60" i="56"/>
  <c r="AC75" i="56" s="1"/>
  <c r="AC53" i="56"/>
  <c r="AC68" i="56" s="1"/>
  <c r="AC57" i="56"/>
  <c r="AC72" i="56" s="1"/>
  <c r="AC62" i="56"/>
  <c r="AC77" i="56" s="1"/>
  <c r="M10" i="55"/>
  <c r="AC44" i="56"/>
  <c r="AC39" i="56"/>
  <c r="P9" i="55"/>
  <c r="P7" i="55"/>
  <c r="P8" i="55"/>
  <c r="P10" i="55"/>
  <c r="P6" i="55"/>
  <c r="I3" i="55"/>
  <c r="M11" i="55"/>
  <c r="AC43" i="56"/>
  <c r="AC49" i="56"/>
  <c r="P17" i="55"/>
  <c r="P13" i="55"/>
  <c r="P14" i="55"/>
  <c r="P16" i="55"/>
  <c r="P15" i="55"/>
  <c r="M7" i="55"/>
  <c r="AC38" i="56"/>
  <c r="M14" i="55"/>
  <c r="AC40" i="56"/>
  <c r="M15" i="55"/>
  <c r="AC37" i="56"/>
  <c r="M8" i="55"/>
  <c r="AC51" i="56"/>
  <c r="AC66" i="56" s="1"/>
  <c r="M17" i="55"/>
  <c r="AC42" i="56"/>
  <c r="M4" i="55"/>
  <c r="M12" i="55"/>
  <c r="AC46" i="56"/>
  <c r="AC41" i="56"/>
  <c r="M13" i="55"/>
  <c r="AC36" i="56"/>
  <c r="M6" i="55"/>
  <c r="AC48" i="56"/>
  <c r="M5" i="55"/>
  <c r="AC47" i="56"/>
  <c r="M16" i="55"/>
  <c r="AC50" i="56"/>
  <c r="M9" i="55"/>
  <c r="AC45" i="56"/>
  <c r="F3" i="55"/>
  <c r="P3" i="40" l="1"/>
  <c r="S199" i="40"/>
  <c r="S117" i="40"/>
  <c r="S94" i="40"/>
  <c r="S69" i="40"/>
  <c r="S226" i="40"/>
  <c r="S162" i="40"/>
  <c r="S135" i="40"/>
  <c r="S80" i="40"/>
  <c r="S12" i="40"/>
  <c r="S221" i="40"/>
  <c r="S157" i="40"/>
  <c r="S110" i="40"/>
  <c r="L3" i="40"/>
  <c r="S248" i="40"/>
  <c r="S184" i="40"/>
  <c r="S48" i="40"/>
  <c r="S102" i="40"/>
  <c r="S83" i="40"/>
  <c r="S243" i="40"/>
  <c r="S179" i="40"/>
  <c r="S93" i="40"/>
  <c r="S70" i="40"/>
  <c r="S114" i="40"/>
  <c r="S206" i="40"/>
  <c r="S142" i="40"/>
  <c r="S107" i="40"/>
  <c r="AA28" i="40"/>
  <c r="S125" i="40"/>
  <c r="S201" i="40"/>
  <c r="L17" i="40"/>
  <c r="S74" i="40"/>
  <c r="S50" i="40"/>
  <c r="S228" i="40"/>
  <c r="S164" i="40"/>
  <c r="S86" i="40"/>
  <c r="S42" i="40"/>
  <c r="AA21" i="40"/>
  <c r="S223" i="40"/>
  <c r="S159" i="40"/>
  <c r="S72" i="40"/>
  <c r="S105" i="40"/>
  <c r="S250" i="40"/>
  <c r="S186" i="40"/>
  <c r="L16" i="40"/>
  <c r="S15" i="40"/>
  <c r="S90" i="40"/>
  <c r="S245" i="40"/>
  <c r="S181" i="40"/>
  <c r="AA19" i="40"/>
  <c r="S20" i="40"/>
  <c r="S131" i="40"/>
  <c r="S208" i="40"/>
  <c r="S144" i="40"/>
  <c r="S39" i="40"/>
  <c r="S4" i="40"/>
  <c r="AA22" i="40"/>
  <c r="S203" i="40"/>
  <c r="S139" i="40"/>
  <c r="S63" i="40"/>
  <c r="S40" i="40"/>
  <c r="S230" i="40"/>
  <c r="S35" i="40"/>
  <c r="S95" i="40"/>
  <c r="S225" i="40"/>
  <c r="S112" i="40"/>
  <c r="S252" i="40"/>
  <c r="S84" i="40"/>
  <c r="S17" i="40"/>
  <c r="S247" i="40"/>
  <c r="S183" i="40"/>
  <c r="L22" i="40"/>
  <c r="S104" i="40"/>
  <c r="S99" i="40"/>
  <c r="S210" i="40"/>
  <c r="S146" i="40"/>
  <c r="S22" i="40"/>
  <c r="L6" i="40"/>
  <c r="S82" i="40"/>
  <c r="S205" i="40"/>
  <c r="S141" i="40"/>
  <c r="S132" i="40"/>
  <c r="S124" i="40"/>
  <c r="S232" i="40"/>
  <c r="S168" i="40"/>
  <c r="S44" i="40"/>
  <c r="S122" i="40"/>
  <c r="S29" i="40"/>
  <c r="S227" i="40"/>
  <c r="S163" i="40"/>
  <c r="S76" i="40"/>
  <c r="S46" i="40"/>
  <c r="S254" i="40"/>
  <c r="S190" i="40"/>
  <c r="AA17" i="40"/>
  <c r="S77" i="40"/>
  <c r="S78" i="40"/>
  <c r="S249" i="40"/>
  <c r="S185" i="40"/>
  <c r="S71" i="40"/>
  <c r="S27" i="40"/>
  <c r="S101" i="40"/>
  <c r="S212" i="40"/>
  <c r="S148" i="40"/>
  <c r="S92" i="40"/>
  <c r="S136" i="40"/>
  <c r="S23" i="40"/>
  <c r="S207" i="40"/>
  <c r="S143" i="40"/>
  <c r="S37" i="40"/>
  <c r="S111" i="40"/>
  <c r="S234" i="40"/>
  <c r="S170" i="40"/>
  <c r="S60" i="40"/>
  <c r="S11" i="40"/>
  <c r="S14" i="40"/>
  <c r="S229" i="40"/>
  <c r="S165" i="40"/>
  <c r="S49" i="40"/>
  <c r="S24" i="40"/>
  <c r="S256" i="40"/>
  <c r="S192" i="40"/>
  <c r="AA16" i="40"/>
  <c r="L4" i="40"/>
  <c r="S118" i="40"/>
  <c r="S251" i="40"/>
  <c r="S187" i="40"/>
  <c r="S51" i="40"/>
  <c r="S21" i="40"/>
  <c r="L11" i="40"/>
  <c r="S214" i="40"/>
  <c r="S150" i="40"/>
  <c r="S106" i="40"/>
  <c r="S13" i="40"/>
  <c r="P6" i="40" a="1"/>
  <c r="S209" i="40"/>
  <c r="S145" i="40"/>
  <c r="AA15" i="40"/>
  <c r="AA30" i="40"/>
  <c r="S236" i="40"/>
  <c r="S172" i="40"/>
  <c r="L20" i="40"/>
  <c r="L15" i="40"/>
  <c r="S91" i="40"/>
  <c r="AA24" i="40"/>
  <c r="S66" i="40"/>
  <c r="S193" i="40"/>
  <c r="S87" i="40"/>
  <c r="S220" i="40"/>
  <c r="L21" i="40"/>
  <c r="F3" i="40"/>
  <c r="S231" i="40"/>
  <c r="S167" i="40"/>
  <c r="AA26" i="40"/>
  <c r="L13" i="40"/>
  <c r="S258" i="40"/>
  <c r="S194" i="40"/>
  <c r="AA25" i="40"/>
  <c r="S59" i="40"/>
  <c r="L8" i="40"/>
  <c r="S253" i="40"/>
  <c r="S189" i="40"/>
  <c r="L10" i="40"/>
  <c r="S45" i="40"/>
  <c r="S96" i="40"/>
  <c r="S216" i="40"/>
  <c r="S152" i="40"/>
  <c r="S108" i="40"/>
  <c r="S28" i="40"/>
  <c r="S3" i="40"/>
  <c r="S211" i="40"/>
  <c r="S147" i="40"/>
  <c r="S54" i="40"/>
  <c r="S31" i="40"/>
  <c r="S238" i="40"/>
  <c r="S174" i="40"/>
  <c r="S34" i="40"/>
  <c r="S33" i="40"/>
  <c r="S68" i="40"/>
  <c r="S233" i="40"/>
  <c r="S169" i="40"/>
  <c r="S62" i="40"/>
  <c r="S7" i="40"/>
  <c r="S260" i="40"/>
  <c r="S196" i="40"/>
  <c r="AA18" i="40"/>
  <c r="L19" i="40"/>
  <c r="S41" i="40"/>
  <c r="S255" i="40"/>
  <c r="S191" i="40"/>
  <c r="S73" i="40"/>
  <c r="S19" i="40"/>
  <c r="L9" i="40"/>
  <c r="S218" i="40"/>
  <c r="S154" i="40"/>
  <c r="S47" i="40"/>
  <c r="S126" i="40"/>
  <c r="S127" i="40"/>
  <c r="S213" i="40"/>
  <c r="S149" i="40"/>
  <c r="S134" i="40"/>
  <c r="S120" i="40"/>
  <c r="S240" i="40"/>
  <c r="S176" i="40"/>
  <c r="S32" i="40"/>
  <c r="S52" i="40"/>
  <c r="S128" i="40"/>
  <c r="S235" i="40"/>
  <c r="S171" i="40"/>
  <c r="L5" i="40"/>
  <c r="S9" i="40"/>
  <c r="S262" i="40"/>
  <c r="S198" i="40"/>
  <c r="AA20" i="40"/>
  <c r="S257" i="40"/>
  <c r="S89" i="40"/>
  <c r="S65" i="40"/>
  <c r="S156" i="40"/>
  <c r="S133" i="40"/>
  <c r="S215" i="40"/>
  <c r="S151" i="40"/>
  <c r="AA23" i="40"/>
  <c r="S123" i="40"/>
  <c r="S242" i="40"/>
  <c r="S178" i="40"/>
  <c r="S26" i="40"/>
  <c r="S97" i="40"/>
  <c r="S103" i="40"/>
  <c r="S237" i="40"/>
  <c r="S173" i="40"/>
  <c r="S56" i="40"/>
  <c r="S121" i="40"/>
  <c r="S8" i="40"/>
  <c r="S200" i="40"/>
  <c r="S109" i="40"/>
  <c r="S88" i="40"/>
  <c r="P13" i="40" a="1"/>
  <c r="S259" i="40"/>
  <c r="S195" i="40"/>
  <c r="S67" i="40"/>
  <c r="S115" i="40"/>
  <c r="S10" i="40"/>
  <c r="S222" i="40"/>
  <c r="S158" i="40"/>
  <c r="S18" i="40"/>
  <c r="S113" i="40"/>
  <c r="S61" i="40"/>
  <c r="S217" i="40"/>
  <c r="S153" i="40"/>
  <c r="S53" i="40"/>
  <c r="S58" i="40"/>
  <c r="S244" i="40"/>
  <c r="S180" i="40"/>
  <c r="AA27" i="40"/>
  <c r="S57" i="40"/>
  <c r="S129" i="40"/>
  <c r="S239" i="40"/>
  <c r="S175" i="40"/>
  <c r="S137" i="40"/>
  <c r="S55" i="40"/>
  <c r="L12" i="40"/>
  <c r="S202" i="40"/>
  <c r="S79" i="40"/>
  <c r="S98" i="40"/>
  <c r="S6" i="40"/>
  <c r="S261" i="40"/>
  <c r="S197" i="40"/>
  <c r="S75" i="40"/>
  <c r="AA29" i="40"/>
  <c r="S138" i="40"/>
  <c r="S224" i="40"/>
  <c r="S160" i="40"/>
  <c r="S36" i="40"/>
  <c r="L18" i="40"/>
  <c r="S130" i="40"/>
  <c r="S219" i="40"/>
  <c r="S155" i="40"/>
  <c r="S64" i="40"/>
  <c r="S38" i="40"/>
  <c r="S246" i="40"/>
  <c r="S182" i="40"/>
  <c r="S43" i="40"/>
  <c r="S25" i="40"/>
  <c r="L7" i="40"/>
  <c r="S241" i="40"/>
  <c r="S177" i="40"/>
  <c r="S85" i="40"/>
  <c r="S5" i="40"/>
  <c r="S119" i="40"/>
  <c r="S204" i="40"/>
  <c r="S140" i="40"/>
  <c r="S16" i="40"/>
  <c r="S81" i="40"/>
  <c r="S30" i="40"/>
  <c r="S166" i="40"/>
  <c r="S100" i="40"/>
  <c r="S161" i="40"/>
  <c r="L14" i="40"/>
  <c r="S188" i="40"/>
  <c r="S116" i="40"/>
  <c r="M12" i="40" l="1"/>
  <c r="AC42" i="39"/>
  <c r="AC43" i="39"/>
  <c r="P8" i="40"/>
  <c r="P10" i="40"/>
  <c r="P7" i="40"/>
  <c r="P9" i="40"/>
  <c r="P6" i="40"/>
  <c r="M7" i="40"/>
  <c r="M11" i="40"/>
  <c r="M9" i="40"/>
  <c r="M8" i="40"/>
  <c r="P16" i="40"/>
  <c r="P17" i="40"/>
  <c r="P13" i="40"/>
  <c r="P15" i="40"/>
  <c r="P14" i="40"/>
  <c r="AC49" i="39"/>
  <c r="AC58" i="39" s="1"/>
  <c r="AC51" i="39"/>
  <c r="AC60" i="39" s="1"/>
  <c r="M6" i="40"/>
  <c r="I3" i="40"/>
  <c r="M18" i="40"/>
  <c r="M14" i="40"/>
  <c r="M13" i="40"/>
  <c r="M15" i="40"/>
  <c r="M4" i="40"/>
  <c r="M19" i="40"/>
  <c r="AC50" i="39"/>
  <c r="AC59" i="39" s="1"/>
  <c r="AC41" i="39"/>
  <c r="AC36" i="39"/>
  <c r="AC44" i="39"/>
  <c r="M21" i="40"/>
  <c r="AC47" i="39"/>
  <c r="AC56" i="39" s="1"/>
  <c r="M5" i="40"/>
  <c r="M20" i="40"/>
  <c r="AC48" i="39"/>
  <c r="AC57" i="39" s="1"/>
  <c r="AC40" i="39"/>
  <c r="M22" i="40"/>
  <c r="M16" i="40"/>
  <c r="M10" i="40"/>
  <c r="AC38" i="39"/>
  <c r="AC37" i="39"/>
  <c r="AC46" i="39"/>
  <c r="AC55" i="39" s="1"/>
  <c r="AC39" i="39"/>
  <c r="AC45" i="39"/>
  <c r="AC54" i="39" s="1"/>
  <c r="M17" i="40"/>
  <c r="P18" i="57" l="1"/>
  <c r="BQ45" i="58"/>
  <c r="BQ73" i="58"/>
  <c r="BQ53" i="58"/>
  <c r="U24" i="57"/>
  <c r="U25" i="57"/>
  <c r="U3" i="57"/>
  <c r="U6" i="57"/>
  <c r="BQ41" i="58"/>
  <c r="BQ6" i="58"/>
  <c r="BQ36" i="58"/>
  <c r="U57" i="57"/>
  <c r="U67" i="57"/>
  <c r="U12" i="57"/>
  <c r="BQ49" i="58"/>
  <c r="BQ17" i="58"/>
  <c r="U29" i="57"/>
  <c r="U22" i="57"/>
  <c r="BQ20" i="58"/>
  <c r="U4" i="57"/>
  <c r="BQ61" i="58"/>
  <c r="U8" i="57"/>
  <c r="BQ12" i="58"/>
  <c r="U64" i="57"/>
  <c r="BQ33" i="58"/>
  <c r="BQ44" i="58"/>
  <c r="BQ28" i="58"/>
  <c r="BQ25" i="58"/>
  <c r="U38" i="57"/>
  <c r="U41" i="57"/>
  <c r="BQ65" i="58"/>
  <c r="BQ57" i="58"/>
  <c r="P18" i="53"/>
  <c r="U118" i="53"/>
  <c r="U15" i="53"/>
  <c r="BQ7" i="54"/>
  <c r="BQ57" i="54"/>
  <c r="U79" i="53"/>
  <c r="U21" i="53"/>
  <c r="U70" i="53"/>
  <c r="BQ56" i="54"/>
  <c r="U174" i="53"/>
  <c r="U134" i="53"/>
  <c r="U3" i="53"/>
  <c r="U125" i="53"/>
  <c r="BQ51" i="54"/>
  <c r="U10" i="53"/>
  <c r="BQ18" i="54"/>
  <c r="U33" i="53"/>
  <c r="U77" i="53"/>
  <c r="U67" i="53"/>
  <c r="U83" i="53"/>
  <c r="BQ9" i="58"/>
  <c r="BQ60" i="58"/>
  <c r="BQ24" i="58"/>
  <c r="BQ69" i="58"/>
  <c r="U54" i="57"/>
  <c r="U62" i="57"/>
  <c r="U146" i="53"/>
  <c r="BQ50" i="54"/>
  <c r="U257" i="53"/>
  <c r="U171" i="53"/>
  <c r="U12" i="53"/>
  <c r="U221" i="53"/>
  <c r="U52" i="53"/>
  <c r="U27" i="53"/>
  <c r="U76" i="53"/>
  <c r="U30" i="53"/>
  <c r="U110" i="53"/>
  <c r="U235" i="53"/>
  <c r="U137" i="53"/>
  <c r="U177" i="53"/>
  <c r="U229" i="53"/>
  <c r="BQ13" i="54"/>
  <c r="U136" i="53"/>
  <c r="U43" i="53"/>
  <c r="BQ45" i="54"/>
  <c r="U185" i="53"/>
  <c r="U112" i="53"/>
  <c r="U21" i="57"/>
  <c r="U10" i="57"/>
  <c r="U45" i="57"/>
  <c r="BQ35" i="58"/>
  <c r="BQ71" i="58"/>
  <c r="BQ58" i="58"/>
  <c r="U259" i="53"/>
  <c r="U244" i="53"/>
  <c r="U75" i="53"/>
  <c r="BQ59" i="54"/>
  <c r="U84" i="53"/>
  <c r="BQ32" i="54"/>
  <c r="U48" i="53"/>
  <c r="U187" i="53"/>
  <c r="BQ12" i="54"/>
  <c r="U151" i="53"/>
  <c r="U40" i="53"/>
  <c r="BQ19" i="54"/>
  <c r="U184" i="53"/>
  <c r="U254" i="53"/>
  <c r="U238" i="53"/>
  <c r="U212" i="53"/>
  <c r="U191" i="53"/>
  <c r="U222" i="53"/>
  <c r="U203" i="53"/>
  <c r="U209" i="53"/>
  <c r="BQ63" i="54"/>
  <c r="BQ58" i="54"/>
  <c r="U37" i="57"/>
  <c r="BQ52" i="58"/>
  <c r="U60" i="57"/>
  <c r="BQ8" i="58"/>
  <c r="U68" i="57"/>
  <c r="BQ32" i="58"/>
  <c r="U215" i="53"/>
  <c r="U227" i="53"/>
  <c r="BQ16" i="54"/>
  <c r="BQ69" i="54"/>
  <c r="BQ49" i="54"/>
  <c r="U61" i="53"/>
  <c r="U166" i="53"/>
  <c r="U231" i="53"/>
  <c r="U122" i="53"/>
  <c r="U42" i="53"/>
  <c r="U56" i="53"/>
  <c r="P18" i="40"/>
  <c r="U28" i="40"/>
  <c r="U180" i="53"/>
  <c r="BQ70" i="39"/>
  <c r="BQ72" i="54"/>
  <c r="U73" i="53"/>
  <c r="BQ8" i="39"/>
  <c r="BQ67" i="54"/>
  <c r="U58" i="53"/>
  <c r="U201" i="53"/>
  <c r="U184" i="40"/>
  <c r="U248" i="40"/>
  <c r="U40" i="40"/>
  <c r="U4" i="40"/>
  <c r="BQ44" i="54"/>
  <c r="U163" i="53"/>
  <c r="U22" i="40"/>
  <c r="BQ27" i="39"/>
  <c r="U42" i="40"/>
  <c r="U157" i="53"/>
  <c r="U138" i="53"/>
  <c r="U239" i="53"/>
  <c r="U189" i="40"/>
  <c r="U253" i="40"/>
  <c r="BQ21" i="58"/>
  <c r="U23" i="57"/>
  <c r="BQ50" i="58"/>
  <c r="BQ59" i="58"/>
  <c r="U56" i="57"/>
  <c r="U48" i="57"/>
  <c r="BQ66" i="58"/>
  <c r="U50" i="57"/>
  <c r="BQ56" i="58"/>
  <c r="U259" i="40"/>
  <c r="U195" i="40"/>
  <c r="U29" i="40"/>
  <c r="U141" i="40"/>
  <c r="U123" i="40"/>
  <c r="U44" i="40"/>
  <c r="U254" i="40"/>
  <c r="U190" i="40"/>
  <c r="U54" i="40"/>
  <c r="BQ14" i="39"/>
  <c r="BQ33" i="39"/>
  <c r="U116" i="40"/>
  <c r="BQ16" i="58"/>
  <c r="BQ19" i="58"/>
  <c r="U31" i="57"/>
  <c r="U207" i="40"/>
  <c r="BQ49" i="39"/>
  <c r="BQ92" i="39"/>
  <c r="BQ17" i="39"/>
  <c r="BQ77" i="39"/>
  <c r="U64" i="40"/>
  <c r="U202" i="40"/>
  <c r="U66" i="40"/>
  <c r="BQ13" i="39"/>
  <c r="BQ98" i="39"/>
  <c r="BQ121" i="39"/>
  <c r="BQ124" i="39"/>
  <c r="U59" i="57"/>
  <c r="BQ40" i="58"/>
  <c r="U52" i="57"/>
  <c r="U219" i="40"/>
  <c r="U155" i="40"/>
  <c r="BQ87" i="39"/>
  <c r="U92" i="40"/>
  <c r="U118" i="40"/>
  <c r="U53" i="40"/>
  <c r="U214" i="40"/>
  <c r="U149" i="40"/>
  <c r="U79" i="40"/>
  <c r="BQ50" i="39"/>
  <c r="BQ57" i="39"/>
  <c r="BQ53" i="39"/>
  <c r="U9" i="57"/>
  <c r="U26" i="57"/>
  <c r="U231" i="40"/>
  <c r="U167" i="40"/>
  <c r="U90" i="40"/>
  <c r="BQ25" i="39"/>
  <c r="BQ46" i="54"/>
  <c r="U31" i="53"/>
  <c r="U64" i="53"/>
  <c r="U55" i="53"/>
  <c r="U210" i="53"/>
  <c r="U129" i="53"/>
  <c r="BQ20" i="54"/>
  <c r="U245" i="53"/>
  <c r="U240" i="53"/>
  <c r="U28" i="53"/>
  <c r="U128" i="53"/>
  <c r="U46" i="53"/>
  <c r="U108" i="53"/>
  <c r="U149" i="53"/>
  <c r="U51" i="53"/>
  <c r="U199" i="53"/>
  <c r="BQ28" i="54"/>
  <c r="U50" i="53"/>
  <c r="BQ65" i="54"/>
  <c r="U181" i="53"/>
  <c r="BQ31" i="58"/>
  <c r="U36" i="57"/>
  <c r="BQ39" i="58"/>
  <c r="U70" i="57"/>
  <c r="BQ18" i="58"/>
  <c r="BQ62" i="58"/>
  <c r="BQ17" i="54"/>
  <c r="U34" i="53"/>
  <c r="U32" i="53"/>
  <c r="U224" i="53"/>
  <c r="U253" i="53"/>
  <c r="U105" i="53"/>
  <c r="BQ21" i="54"/>
  <c r="BQ36" i="54"/>
  <c r="BQ66" i="54"/>
  <c r="U161" i="53"/>
  <c r="U145" i="53"/>
  <c r="U104" i="53"/>
  <c r="U182" i="53"/>
  <c r="U169" i="53"/>
  <c r="BQ25" i="54"/>
  <c r="U60" i="53"/>
  <c r="U206" i="53"/>
  <c r="U99" i="53"/>
  <c r="U97" i="53"/>
  <c r="BQ62" i="54"/>
  <c r="U100" i="53"/>
  <c r="U33" i="57"/>
  <c r="BQ72" i="58"/>
  <c r="U5" i="57"/>
  <c r="U43" i="57"/>
  <c r="BQ23" i="58"/>
  <c r="U34" i="57"/>
  <c r="U74" i="53"/>
  <c r="U103" i="53"/>
  <c r="U17" i="53"/>
  <c r="U69" i="53"/>
  <c r="U115" i="53"/>
  <c r="U68" i="53"/>
  <c r="U230" i="53"/>
  <c r="U204" i="53"/>
  <c r="U47" i="53"/>
  <c r="U260" i="53"/>
  <c r="U39" i="53"/>
  <c r="BQ8" i="54"/>
  <c r="BQ31" i="54"/>
  <c r="U36" i="53"/>
  <c r="U44" i="53"/>
  <c r="U251" i="53"/>
  <c r="U211" i="53"/>
  <c r="U4" i="53"/>
  <c r="U143" i="53"/>
  <c r="BQ14" i="54"/>
  <c r="U243" i="53"/>
  <c r="BQ54" i="54"/>
  <c r="U58" i="57"/>
  <c r="U16" i="57"/>
  <c r="U46" i="57"/>
  <c r="BQ64" i="58"/>
  <c r="U17" i="57"/>
  <c r="BQ47" i="58"/>
  <c r="BQ9" i="54"/>
  <c r="BQ27" i="54"/>
  <c r="BQ11" i="54"/>
  <c r="U95" i="53"/>
  <c r="BQ53" i="54"/>
  <c r="U20" i="53"/>
  <c r="BQ38" i="54"/>
  <c r="U248" i="53"/>
  <c r="U19" i="53"/>
  <c r="U223" i="53"/>
  <c r="P18" i="55"/>
  <c r="BQ106" i="56"/>
  <c r="BQ202" i="56"/>
  <c r="BQ57" i="56"/>
  <c r="U68" i="55"/>
  <c r="U7" i="40"/>
  <c r="BQ56" i="39"/>
  <c r="U106" i="53"/>
  <c r="U155" i="53"/>
  <c r="U130" i="53"/>
  <c r="U57" i="53"/>
  <c r="U12" i="40"/>
  <c r="U140" i="53"/>
  <c r="U139" i="53"/>
  <c r="U45" i="53"/>
  <c r="U200" i="40"/>
  <c r="U48" i="55"/>
  <c r="BQ186" i="56"/>
  <c r="BQ108" i="56"/>
  <c r="BQ79" i="56"/>
  <c r="BQ45" i="39"/>
  <c r="U8" i="40"/>
  <c r="U33" i="40"/>
  <c r="U133" i="40"/>
  <c r="U20" i="40"/>
  <c r="U183" i="53"/>
  <c r="U65" i="40"/>
  <c r="U126" i="53"/>
  <c r="BQ68" i="54"/>
  <c r="U188" i="53"/>
  <c r="U205" i="40"/>
  <c r="BQ197" i="56"/>
  <c r="BQ70" i="56"/>
  <c r="BQ114" i="56"/>
  <c r="U256" i="55"/>
  <c r="U55" i="55"/>
  <c r="U31" i="55"/>
  <c r="U92" i="55"/>
  <c r="U215" i="55"/>
  <c r="BQ210" i="56"/>
  <c r="BQ34" i="58"/>
  <c r="BQ14" i="58"/>
  <c r="U117" i="55"/>
  <c r="BQ6" i="56"/>
  <c r="U157" i="55"/>
  <c r="U203" i="55"/>
  <c r="BQ27" i="58"/>
  <c r="BQ68" i="58"/>
  <c r="U194" i="55"/>
  <c r="U109" i="55"/>
  <c r="U177" i="55"/>
  <c r="BQ130" i="56"/>
  <c r="U28" i="57"/>
  <c r="BQ15" i="58"/>
  <c r="U142" i="55"/>
  <c r="BQ36" i="56"/>
  <c r="U168" i="55"/>
  <c r="U182" i="55"/>
  <c r="U53" i="57"/>
  <c r="BQ22" i="58"/>
  <c r="BQ10" i="58"/>
  <c r="U100" i="55"/>
  <c r="U243" i="55"/>
  <c r="BQ22" i="56"/>
  <c r="U243" i="40"/>
  <c r="U179" i="40"/>
  <c r="BQ79" i="39"/>
  <c r="BQ74" i="39"/>
  <c r="U102" i="40"/>
  <c r="U74" i="40"/>
  <c r="U238" i="40"/>
  <c r="U174" i="40"/>
  <c r="BQ15" i="39"/>
  <c r="U136" i="40"/>
  <c r="BQ36" i="39"/>
  <c r="U128" i="40"/>
  <c r="U93" i="55"/>
  <c r="BQ120" i="56"/>
  <c r="U21" i="55"/>
  <c r="U73" i="55"/>
  <c r="BQ38" i="58"/>
  <c r="BQ67" i="58"/>
  <c r="BQ13" i="58"/>
  <c r="BQ91" i="56"/>
  <c r="BQ31" i="56"/>
  <c r="BQ54" i="56"/>
  <c r="U255" i="40"/>
  <c r="U191" i="40"/>
  <c r="BQ30" i="39"/>
  <c r="U6" i="40"/>
  <c r="U119" i="40"/>
  <c r="U71" i="40"/>
  <c r="U250" i="40"/>
  <c r="U186" i="40"/>
  <c r="BQ16" i="39"/>
  <c r="U105" i="40"/>
  <c r="BQ123" i="39"/>
  <c r="BQ83" i="39"/>
  <c r="U119" i="55"/>
  <c r="U8" i="55"/>
  <c r="U223" i="55"/>
  <c r="BQ140" i="56"/>
  <c r="U30" i="57"/>
  <c r="BQ55" i="58"/>
  <c r="BQ48" i="58"/>
  <c r="BQ28" i="56"/>
  <c r="BQ18" i="56"/>
  <c r="BQ143" i="56"/>
  <c r="BQ159" i="56"/>
  <c r="U203" i="40"/>
  <c r="BQ126" i="39"/>
  <c r="U101" i="40"/>
  <c r="U34" i="40"/>
  <c r="U73" i="40"/>
  <c r="U262" i="40"/>
  <c r="U198" i="40"/>
  <c r="U58" i="40"/>
  <c r="U138" i="40"/>
  <c r="U75" i="40"/>
  <c r="U113" i="40"/>
  <c r="BQ54" i="39"/>
  <c r="U124" i="55"/>
  <c r="U218" i="55"/>
  <c r="BQ230" i="56"/>
  <c r="U13" i="57"/>
  <c r="U11" i="57"/>
  <c r="U63" i="57"/>
  <c r="BQ205" i="56"/>
  <c r="BQ152" i="56"/>
  <c r="BQ9" i="56"/>
  <c r="BQ107" i="56"/>
  <c r="U215" i="40"/>
  <c r="U151" i="40"/>
  <c r="BQ73" i="39"/>
  <c r="U50" i="40"/>
  <c r="BQ110" i="39"/>
  <c r="U121" i="40"/>
  <c r="U210" i="40"/>
  <c r="BQ116" i="39"/>
  <c r="BQ103" i="39"/>
  <c r="BQ120" i="39"/>
  <c r="BQ69" i="39"/>
  <c r="BQ96" i="39"/>
  <c r="BQ13" i="56"/>
  <c r="U42" i="55"/>
  <c r="U201" i="55"/>
  <c r="U51" i="55"/>
  <c r="BQ261" i="56"/>
  <c r="U186" i="55"/>
  <c r="U76" i="55"/>
  <c r="BQ51" i="56"/>
  <c r="BQ134" i="56"/>
  <c r="U202" i="55"/>
  <c r="U108" i="55"/>
  <c r="BQ60" i="56"/>
  <c r="BQ220" i="56"/>
  <c r="U71" i="55"/>
  <c r="U100" i="40"/>
  <c r="U226" i="40"/>
  <c r="U111" i="40"/>
  <c r="BQ31" i="39"/>
  <c r="U29" i="55"/>
  <c r="BQ191" i="56"/>
  <c r="BQ97" i="56"/>
  <c r="U23" i="55"/>
  <c r="BQ105" i="56"/>
  <c r="U155" i="55"/>
  <c r="U115" i="55"/>
  <c r="BQ246" i="56"/>
  <c r="BQ146" i="56"/>
  <c r="BQ242" i="56"/>
  <c r="BQ30" i="56"/>
  <c r="U32" i="55"/>
  <c r="BQ32" i="56"/>
  <c r="U254" i="55"/>
  <c r="BQ85" i="56"/>
  <c r="U105" i="55"/>
  <c r="BQ95" i="56"/>
  <c r="BQ20" i="56"/>
  <c r="U134" i="55"/>
  <c r="U120" i="55"/>
  <c r="BQ46" i="56"/>
  <c r="U94" i="55"/>
  <c r="U83" i="55"/>
  <c r="U237" i="55"/>
  <c r="BQ254" i="56"/>
  <c r="U238" i="55"/>
  <c r="U59" i="55"/>
  <c r="U25" i="55"/>
  <c r="BQ55" i="56"/>
  <c r="U167" i="55"/>
  <c r="U210" i="55"/>
  <c r="BQ153" i="56"/>
  <c r="BQ41" i="56"/>
  <c r="BQ151" i="56"/>
  <c r="BQ53" i="56"/>
  <c r="BQ156" i="56"/>
  <c r="BQ94" i="56"/>
  <c r="BQ189" i="56"/>
  <c r="U103" i="55"/>
  <c r="BQ103" i="56"/>
  <c r="BQ10" i="56"/>
  <c r="BQ49" i="56"/>
  <c r="BQ236" i="56"/>
  <c r="U198" i="55"/>
  <c r="U184" i="55"/>
  <c r="BQ164" i="56"/>
  <c r="U158" i="55"/>
  <c r="U16" i="55"/>
  <c r="U165" i="55"/>
  <c r="BQ255" i="56"/>
  <c r="U5" i="55"/>
  <c r="BQ14" i="56"/>
  <c r="U74" i="55"/>
  <c r="U65" i="55"/>
  <c r="U149" i="55"/>
  <c r="BQ177" i="56"/>
  <c r="BQ72" i="56"/>
  <c r="BQ117" i="56"/>
  <c r="BQ52" i="56"/>
  <c r="BQ96" i="56"/>
  <c r="BQ144" i="56"/>
  <c r="U64" i="55"/>
  <c r="BQ74" i="56"/>
  <c r="U114" i="55"/>
  <c r="BQ203" i="56"/>
  <c r="U69" i="55"/>
  <c r="BQ243" i="56"/>
  <c r="BQ238" i="56"/>
  <c r="U217" i="40"/>
  <c r="U153" i="40"/>
  <c r="U38" i="40"/>
  <c r="BQ82" i="39"/>
  <c r="U134" i="40"/>
  <c r="U260" i="40"/>
  <c r="U196" i="40"/>
  <c r="BQ113" i="39"/>
  <c r="U99" i="40"/>
  <c r="BQ43" i="39"/>
  <c r="BQ93" i="39"/>
  <c r="U213" i="40"/>
  <c r="U150" i="40"/>
  <c r="BQ109" i="39"/>
  <c r="U48" i="40"/>
  <c r="U17" i="40"/>
  <c r="U103" i="40"/>
  <c r="U256" i="40"/>
  <c r="U192" i="40"/>
  <c r="U114" i="40"/>
  <c r="BQ7" i="39"/>
  <c r="BQ130" i="39"/>
  <c r="U257" i="40"/>
  <c r="U193" i="40"/>
  <c r="U125" i="40"/>
  <c r="U63" i="40"/>
  <c r="U41" i="40"/>
  <c r="BQ89" i="39"/>
  <c r="U204" i="40"/>
  <c r="U130" i="40"/>
  <c r="BQ12" i="39"/>
  <c r="BQ81" i="39"/>
  <c r="U96" i="40"/>
  <c r="U122" i="40"/>
  <c r="U35" i="40"/>
  <c r="BQ106" i="39"/>
  <c r="U3" i="40"/>
  <c r="U194" i="40"/>
  <c r="BQ38" i="39"/>
  <c r="BQ64" i="39"/>
  <c r="BQ40" i="56"/>
  <c r="U204" i="55"/>
  <c r="U147" i="55"/>
  <c r="U17" i="55"/>
  <c r="U33" i="55"/>
  <c r="U205" i="55"/>
  <c r="BQ89" i="56"/>
  <c r="BQ110" i="56"/>
  <c r="BQ162" i="56"/>
  <c r="U240" i="55"/>
  <c r="U129" i="55"/>
  <c r="BQ264" i="56"/>
  <c r="BQ196" i="56"/>
  <c r="U241" i="55"/>
  <c r="BQ206" i="56"/>
  <c r="BQ160" i="56"/>
  <c r="U173" i="55"/>
  <c r="U208" i="55"/>
  <c r="BQ58" i="56"/>
  <c r="U151" i="55"/>
  <c r="BQ184" i="56"/>
  <c r="U261" i="55"/>
  <c r="BQ139" i="56"/>
  <c r="U14" i="55"/>
  <c r="U219" i="55"/>
  <c r="U226" i="55"/>
  <c r="BQ12" i="56"/>
  <c r="U95" i="55"/>
  <c r="U11" i="55"/>
  <c r="U258" i="55"/>
  <c r="U196" i="55"/>
  <c r="U249" i="55"/>
  <c r="U7" i="55"/>
  <c r="U97" i="55"/>
  <c r="BQ15" i="56"/>
  <c r="BQ213" i="56"/>
  <c r="BQ204" i="56"/>
  <c r="BQ157" i="56"/>
  <c r="U50" i="55"/>
  <c r="U96" i="55"/>
  <c r="BQ26" i="56"/>
  <c r="BQ247" i="56"/>
  <c r="U211" i="55"/>
  <c r="BQ154" i="56"/>
  <c r="U99" i="55"/>
  <c r="U6" i="55"/>
  <c r="U66" i="55"/>
  <c r="BQ141" i="56"/>
  <c r="U58" i="55"/>
  <c r="U179" i="55"/>
  <c r="U169" i="55"/>
  <c r="BQ168" i="56"/>
  <c r="U107" i="55"/>
  <c r="U236" i="55"/>
  <c r="U189" i="55"/>
  <c r="BQ174" i="56"/>
  <c r="BQ50" i="56"/>
  <c r="BQ219" i="56"/>
  <c r="BQ78" i="56"/>
  <c r="BQ225" i="56"/>
  <c r="U116" i="55"/>
  <c r="BQ166" i="56"/>
  <c r="BQ229" i="56"/>
  <c r="U231" i="55"/>
  <c r="U75" i="55"/>
  <c r="BQ47" i="56"/>
  <c r="BQ147" i="56"/>
  <c r="BQ258" i="56"/>
  <c r="U201" i="40"/>
  <c r="BQ105" i="39"/>
  <c r="BQ88" i="39"/>
  <c r="U25" i="40"/>
  <c r="U87" i="40"/>
  <c r="U244" i="40"/>
  <c r="U180" i="40"/>
  <c r="U82" i="40"/>
  <c r="BQ118" i="39"/>
  <c r="BQ55" i="39"/>
  <c r="U261" i="40"/>
  <c r="U197" i="40"/>
  <c r="U51" i="40"/>
  <c r="U62" i="40"/>
  <c r="U11" i="40"/>
  <c r="U95" i="40"/>
  <c r="U49" i="40"/>
  <c r="U240" i="40"/>
  <c r="U176" i="40"/>
  <c r="BQ71" i="39"/>
  <c r="BQ127" i="39"/>
  <c r="BQ72" i="39"/>
  <c r="U241" i="40"/>
  <c r="U177" i="40"/>
  <c r="BQ37" i="39"/>
  <c r="U88" i="40"/>
  <c r="BQ134" i="39"/>
  <c r="U252" i="40"/>
  <c r="U188" i="40"/>
  <c r="BQ23" i="39"/>
  <c r="BQ41" i="39"/>
  <c r="U30" i="40"/>
  <c r="U135" i="40"/>
  <c r="BQ42" i="39"/>
  <c r="BQ84" i="39"/>
  <c r="U19" i="40"/>
  <c r="U162" i="40"/>
  <c r="U47" i="40"/>
  <c r="BQ22" i="39"/>
  <c r="U125" i="55"/>
  <c r="U221" i="55"/>
  <c r="U197" i="55"/>
  <c r="U98" i="55"/>
  <c r="U163" i="55"/>
  <c r="U130" i="55"/>
  <c r="BQ33" i="56"/>
  <c r="U148" i="55"/>
  <c r="BQ119" i="56"/>
  <c r="BQ212" i="56"/>
  <c r="U128" i="55"/>
  <c r="BQ82" i="56"/>
  <c r="U53" i="55"/>
  <c r="U242" i="55"/>
  <c r="BQ221" i="56"/>
  <c r="U45" i="55"/>
  <c r="BQ126" i="56"/>
  <c r="BQ259" i="56"/>
  <c r="BQ131" i="56"/>
  <c r="U106" i="55"/>
  <c r="U15" i="55"/>
  <c r="U132" i="55"/>
  <c r="BQ111" i="56"/>
  <c r="U250" i="55"/>
  <c r="U156" i="55"/>
  <c r="BQ180" i="56"/>
  <c r="BQ175" i="56"/>
  <c r="U233" i="55"/>
  <c r="U172" i="55"/>
  <c r="BQ245" i="56"/>
  <c r="BQ235" i="56"/>
  <c r="U36" i="55"/>
  <c r="U137" i="55"/>
  <c r="BQ101" i="56"/>
  <c r="U22" i="55"/>
  <c r="BQ188" i="56"/>
  <c r="BQ240" i="56"/>
  <c r="U143" i="55"/>
  <c r="U245" i="55"/>
  <c r="BQ150" i="56"/>
  <c r="BQ61" i="56"/>
  <c r="BQ136" i="56"/>
  <c r="U101" i="55"/>
  <c r="BQ133" i="56"/>
  <c r="U170" i="55"/>
  <c r="U60" i="55"/>
  <c r="BQ73" i="56"/>
  <c r="BQ104" i="56"/>
  <c r="U121" i="55"/>
  <c r="U220" i="55"/>
  <c r="U102" i="55"/>
  <c r="U88" i="55"/>
  <c r="BQ45" i="56"/>
  <c r="U62" i="55"/>
  <c r="U159" i="55"/>
  <c r="BQ208" i="56"/>
  <c r="BQ211" i="56"/>
  <c r="U257" i="55"/>
  <c r="U80" i="55"/>
  <c r="U24" i="55"/>
  <c r="BQ48" i="56"/>
  <c r="BQ228" i="56"/>
  <c r="BQ237" i="56"/>
  <c r="BQ123" i="56"/>
  <c r="BQ250" i="56"/>
  <c r="U123" i="55"/>
  <c r="BQ24" i="56"/>
  <c r="U249" i="40"/>
  <c r="U185" i="40"/>
  <c r="U13" i="40"/>
  <c r="BQ133" i="39"/>
  <c r="U56" i="40"/>
  <c r="BQ80" i="39"/>
  <c r="U228" i="40"/>
  <c r="U164" i="40"/>
  <c r="BQ61" i="39"/>
  <c r="U77" i="40"/>
  <c r="BQ78" i="39"/>
  <c r="U245" i="40"/>
  <c r="U181" i="40"/>
  <c r="U81" i="40"/>
  <c r="U39" i="40"/>
  <c r="U70" i="40"/>
  <c r="BQ114" i="39"/>
  <c r="BQ128" i="39"/>
  <c r="U224" i="40"/>
  <c r="U160" i="40"/>
  <c r="BQ35" i="39"/>
  <c r="BQ100" i="39"/>
  <c r="U31" i="40"/>
  <c r="U225" i="40"/>
  <c r="U161" i="40"/>
  <c r="BQ94" i="39"/>
  <c r="BQ122" i="39"/>
  <c r="BQ51" i="39"/>
  <c r="U236" i="40"/>
  <c r="U172" i="40"/>
  <c r="BQ112" i="39"/>
  <c r="U67" i="40"/>
  <c r="BQ6" i="39"/>
  <c r="U5" i="40"/>
  <c r="U59" i="40"/>
  <c r="U91" i="40"/>
  <c r="U258" i="40"/>
  <c r="BQ68" i="39"/>
  <c r="U140" i="40"/>
  <c r="U76" i="40"/>
  <c r="U133" i="55"/>
  <c r="U259" i="55"/>
  <c r="BQ249" i="56"/>
  <c r="U145" i="55"/>
  <c r="BQ218" i="56"/>
  <c r="U89" i="55"/>
  <c r="BQ7" i="56"/>
  <c r="BQ262" i="56"/>
  <c r="BQ90" i="56"/>
  <c r="BQ226" i="56"/>
  <c r="U176" i="55"/>
  <c r="BQ181" i="56"/>
  <c r="BQ253" i="56"/>
  <c r="U39" i="55"/>
  <c r="BQ167" i="56"/>
  <c r="BQ128" i="56"/>
  <c r="BQ135" i="56"/>
  <c r="U153" i="55"/>
  <c r="U4" i="55"/>
  <c r="U10" i="55"/>
  <c r="U247" i="55"/>
  <c r="U191" i="55"/>
  <c r="U79" i="55"/>
  <c r="BQ241" i="56"/>
  <c r="U209" i="55"/>
  <c r="U38" i="55"/>
  <c r="U207" i="55"/>
  <c r="BQ194" i="56"/>
  <c r="U20" i="55"/>
  <c r="U227" i="55"/>
  <c r="BQ115" i="56"/>
  <c r="BQ145" i="56"/>
  <c r="BQ27" i="56"/>
  <c r="U67" i="55"/>
  <c r="BQ224" i="56"/>
  <c r="BQ84" i="56"/>
  <c r="BQ234" i="56"/>
  <c r="U52" i="55"/>
  <c r="BQ67" i="56"/>
  <c r="BQ231" i="56"/>
  <c r="BQ98" i="56"/>
  <c r="BQ92" i="56"/>
  <c r="U131" i="55"/>
  <c r="U139" i="55"/>
  <c r="BQ25" i="56"/>
  <c r="U18" i="55"/>
  <c r="U86" i="55"/>
  <c r="U72" i="55"/>
  <c r="BQ172" i="56"/>
  <c r="U46" i="55"/>
  <c r="U61" i="55"/>
  <c r="U26" i="55"/>
  <c r="BQ56" i="56"/>
  <c r="U87" i="55"/>
  <c r="U30" i="55"/>
  <c r="BQ63" i="56"/>
  <c r="BQ222" i="56"/>
  <c r="BQ257" i="56"/>
  <c r="U244" i="55"/>
  <c r="BQ124" i="56"/>
  <c r="U43" i="55"/>
  <c r="BQ112" i="56"/>
  <c r="U37" i="55"/>
  <c r="BQ192" i="56"/>
  <c r="U224" i="55"/>
  <c r="U253" i="55"/>
  <c r="BQ81" i="56"/>
  <c r="U233" i="40"/>
  <c r="U169" i="40"/>
  <c r="U117" i="40"/>
  <c r="BQ108" i="39"/>
  <c r="U84" i="40"/>
  <c r="U14" i="40"/>
  <c r="U212" i="40"/>
  <c r="U148" i="40"/>
  <c r="BQ20" i="39"/>
  <c r="U78" i="40"/>
  <c r="U18" i="40"/>
  <c r="U229" i="40"/>
  <c r="U165" i="40"/>
  <c r="U24" i="40"/>
  <c r="BQ132" i="39"/>
  <c r="BQ104" i="39"/>
  <c r="BQ29" i="39"/>
  <c r="BQ101" i="39"/>
  <c r="U208" i="40"/>
  <c r="BQ95" i="39"/>
  <c r="U98" i="40"/>
  <c r="U120" i="40"/>
  <c r="BQ65" i="39"/>
  <c r="U209" i="40"/>
  <c r="BQ102" i="39"/>
  <c r="BQ21" i="39"/>
  <c r="BQ39" i="39"/>
  <c r="BQ86" i="39"/>
  <c r="U220" i="40"/>
  <c r="U156" i="40"/>
  <c r="U124" i="40"/>
  <c r="U60" i="40"/>
  <c r="U80" i="40"/>
  <c r="U45" i="40"/>
  <c r="BQ75" i="39"/>
  <c r="U127" i="40"/>
  <c r="F1" i="40"/>
  <c r="U66" i="57"/>
  <c r="U51" i="57"/>
  <c r="U42" i="57"/>
  <c r="U49" i="57"/>
  <c r="BQ63" i="58"/>
  <c r="U19" i="57"/>
  <c r="U35" i="57"/>
  <c r="BQ26" i="58"/>
  <c r="BQ37" i="58"/>
  <c r="BQ7" i="58"/>
  <c r="U15" i="57"/>
  <c r="U7" i="57"/>
  <c r="BQ43" i="58"/>
  <c r="U65" i="57"/>
  <c r="BQ30" i="58"/>
  <c r="BQ11" i="58"/>
  <c r="BQ70" i="58"/>
  <c r="U20" i="57"/>
  <c r="U39" i="57"/>
  <c r="U32" i="57"/>
  <c r="BQ42" i="58"/>
  <c r="U44" i="57"/>
  <c r="BQ51" i="58"/>
  <c r="BQ29" i="58"/>
  <c r="U18" i="57"/>
  <c r="U27" i="57"/>
  <c r="U40" i="57"/>
  <c r="U47" i="57"/>
  <c r="U14" i="57"/>
  <c r="U55" i="57"/>
  <c r="U61" i="57"/>
  <c r="BQ54" i="58"/>
  <c r="U69" i="57"/>
  <c r="BQ46" i="58"/>
  <c r="BQ42" i="54"/>
  <c r="U213" i="53"/>
  <c r="U261" i="53"/>
  <c r="BQ47" i="54"/>
  <c r="U78" i="53"/>
  <c r="BQ64" i="54"/>
  <c r="U131" i="53"/>
  <c r="U22" i="53"/>
  <c r="U96" i="53"/>
  <c r="U207" i="53"/>
  <c r="U186" i="53"/>
  <c r="U8" i="53"/>
  <c r="BQ37" i="54"/>
  <c r="U91" i="53"/>
  <c r="U208" i="53"/>
  <c r="U225" i="53"/>
  <c r="U101" i="53"/>
  <c r="U37" i="53"/>
  <c r="U71" i="53"/>
  <c r="U190" i="53"/>
  <c r="U93" i="53"/>
  <c r="U202" i="53"/>
  <c r="U59" i="53"/>
  <c r="U158" i="53"/>
  <c r="U226" i="53"/>
  <c r="U141" i="53"/>
  <c r="U124" i="53"/>
  <c r="BQ22" i="54"/>
  <c r="U262" i="53"/>
  <c r="U24" i="53"/>
  <c r="U150" i="53"/>
  <c r="BQ71" i="54"/>
  <c r="U165" i="53"/>
  <c r="U11" i="53"/>
  <c r="U142" i="53"/>
  <c r="U236" i="53"/>
  <c r="BQ55" i="54"/>
  <c r="U218" i="53"/>
  <c r="U242" i="53"/>
  <c r="U189" i="53"/>
  <c r="U109" i="53"/>
  <c r="U90" i="53"/>
  <c r="U200" i="53"/>
  <c r="U256" i="53"/>
  <c r="U26" i="53"/>
  <c r="BQ15" i="54"/>
  <c r="U117" i="53"/>
  <c r="U147" i="53"/>
  <c r="U168" i="53"/>
  <c r="U119" i="53"/>
  <c r="U176" i="53"/>
  <c r="U80" i="53"/>
  <c r="U164" i="53"/>
  <c r="U14" i="53"/>
  <c r="U194" i="53"/>
  <c r="U237" i="53"/>
  <c r="BQ39" i="54"/>
  <c r="U89" i="53"/>
  <c r="U232" i="53"/>
  <c r="U178" i="53"/>
  <c r="U87" i="53"/>
  <c r="BQ30" i="54"/>
  <c r="U63" i="53"/>
  <c r="U241" i="53"/>
  <c r="U216" i="53"/>
  <c r="U29" i="53"/>
  <c r="U152" i="53"/>
  <c r="U107" i="53"/>
  <c r="U148" i="53"/>
  <c r="U49" i="53"/>
  <c r="U127" i="53"/>
  <c r="BQ10" i="54"/>
  <c r="BQ40" i="54"/>
  <c r="U5" i="53"/>
  <c r="U81" i="53"/>
  <c r="BQ26" i="54"/>
  <c r="BQ29" i="54"/>
  <c r="U111" i="53"/>
  <c r="U250" i="53"/>
  <c r="U217" i="53"/>
  <c r="U179" i="53"/>
  <c r="BQ43" i="54"/>
  <c r="U153" i="53"/>
  <c r="U205" i="53"/>
  <c r="BQ60" i="54"/>
  <c r="U172" i="53"/>
  <c r="U135" i="53"/>
  <c r="U197" i="53"/>
  <c r="U9" i="53"/>
  <c r="BQ23" i="54"/>
  <c r="U7" i="53"/>
  <c r="U23" i="53"/>
  <c r="U144" i="53"/>
  <c r="U102" i="53"/>
  <c r="U198" i="53"/>
  <c r="U133" i="53"/>
  <c r="U249" i="53"/>
  <c r="U85" i="53"/>
  <c r="BQ6" i="54"/>
  <c r="U123" i="53"/>
  <c r="U159" i="53"/>
  <c r="U162" i="53"/>
  <c r="U16" i="53"/>
  <c r="BQ48" i="54"/>
  <c r="U156" i="53"/>
  <c r="BQ33" i="54"/>
  <c r="U65" i="53"/>
  <c r="U120" i="53"/>
  <c r="U6" i="53"/>
  <c r="U220" i="53"/>
  <c r="U13" i="53"/>
  <c r="BQ35" i="54"/>
  <c r="U255" i="53"/>
  <c r="U170" i="53"/>
  <c r="U25" i="53"/>
  <c r="U154" i="53"/>
  <c r="U35" i="53"/>
  <c r="U54" i="53"/>
  <c r="U62" i="53"/>
  <c r="U88" i="53"/>
  <c r="U121" i="53"/>
  <c r="U246" i="53"/>
  <c r="U175" i="53"/>
  <c r="U82" i="53"/>
  <c r="U98" i="53"/>
  <c r="U113" i="53"/>
  <c r="U214" i="53"/>
  <c r="U258" i="53"/>
  <c r="U116" i="53"/>
  <c r="BQ52" i="54"/>
  <c r="U132" i="53"/>
  <c r="U233" i="53"/>
  <c r="U196" i="53"/>
  <c r="U234" i="53"/>
  <c r="U160" i="53"/>
  <c r="U41" i="53"/>
  <c r="U92" i="53"/>
  <c r="U219" i="53"/>
  <c r="U192" i="53"/>
  <c r="U72" i="53"/>
  <c r="U228" i="53"/>
  <c r="U86" i="53"/>
  <c r="U38" i="53"/>
  <c r="U114" i="53"/>
  <c r="U18" i="53"/>
  <c r="U193" i="53"/>
  <c r="BQ70" i="54"/>
  <c r="U252" i="53"/>
  <c r="BQ34" i="54"/>
  <c r="BQ61" i="54"/>
  <c r="U173" i="53"/>
  <c r="BQ24" i="54"/>
  <c r="U195" i="53"/>
  <c r="U66" i="53"/>
  <c r="BQ41" i="54"/>
  <c r="U94" i="53"/>
  <c r="U247" i="53"/>
  <c r="U53" i="53"/>
  <c r="U167" i="53"/>
  <c r="BQ48" i="39"/>
  <c r="U143" i="40"/>
  <c r="BQ40" i="39"/>
  <c r="BQ9" i="39"/>
  <c r="U178" i="40"/>
  <c r="U242" i="40"/>
  <c r="U115" i="40"/>
  <c r="BQ91" i="39"/>
  <c r="BQ26" i="39"/>
  <c r="BQ129" i="39"/>
  <c r="U183" i="40"/>
  <c r="U247" i="40"/>
  <c r="U57" i="40"/>
  <c r="U89" i="40"/>
  <c r="U46" i="40"/>
  <c r="U23" i="40"/>
  <c r="U166" i="40"/>
  <c r="U230" i="40"/>
  <c r="U146" i="40"/>
  <c r="BQ67" i="39"/>
  <c r="BQ60" i="39"/>
  <c r="U142" i="40"/>
  <c r="U171" i="40"/>
  <c r="U235" i="40"/>
  <c r="U108" i="40"/>
  <c r="U15" i="40"/>
  <c r="U10" i="40"/>
  <c r="BQ32" i="39"/>
  <c r="U154" i="40"/>
  <c r="U218" i="40"/>
  <c r="BQ90" i="39"/>
  <c r="U94" i="40"/>
  <c r="U112" i="40"/>
  <c r="U97" i="40"/>
  <c r="U159" i="40"/>
  <c r="U223" i="40"/>
  <c r="U83" i="40"/>
  <c r="U21" i="40"/>
  <c r="BQ99" i="39"/>
  <c r="BQ63" i="39"/>
  <c r="U137" i="40"/>
  <c r="U206" i="40"/>
  <c r="U36" i="40"/>
  <c r="BQ10" i="39"/>
  <c r="U52" i="40"/>
  <c r="BQ34" i="39"/>
  <c r="U147" i="40"/>
  <c r="U211" i="40"/>
  <c r="U237" i="40"/>
  <c r="U173" i="40"/>
  <c r="BQ58" i="39"/>
  <c r="BQ28" i="39"/>
  <c r="BQ66" i="39"/>
  <c r="U27" i="40"/>
  <c r="U16" i="40"/>
  <c r="BQ59" i="39"/>
  <c r="U232" i="40"/>
  <c r="U168" i="40"/>
  <c r="BQ11" i="39"/>
  <c r="BQ115" i="39"/>
  <c r="U106" i="40"/>
  <c r="U93" i="40"/>
  <c r="U55" i="40"/>
  <c r="BQ85" i="39"/>
  <c r="U107" i="40"/>
  <c r="U199" i="40"/>
  <c r="BQ97" i="39"/>
  <c r="BQ119" i="39"/>
  <c r="BQ131" i="39"/>
  <c r="BQ18" i="39"/>
  <c r="U182" i="40"/>
  <c r="U246" i="40"/>
  <c r="BQ62" i="39"/>
  <c r="BQ117" i="39"/>
  <c r="U61" i="40"/>
  <c r="BQ24" i="39"/>
  <c r="U187" i="40"/>
  <c r="U251" i="40"/>
  <c r="U32" i="40"/>
  <c r="U72" i="40"/>
  <c r="BQ76" i="39"/>
  <c r="BQ125" i="39"/>
  <c r="U170" i="40"/>
  <c r="U234" i="40"/>
  <c r="BQ135" i="39"/>
  <c r="U139" i="40"/>
  <c r="U104" i="40"/>
  <c r="BQ44" i="39"/>
  <c r="U175" i="40"/>
  <c r="U239" i="40"/>
  <c r="U145" i="40"/>
  <c r="BQ111" i="39"/>
  <c r="U86" i="40"/>
  <c r="U131" i="40"/>
  <c r="U158" i="40"/>
  <c r="U222" i="40"/>
  <c r="U9" i="40"/>
  <c r="BQ47" i="39"/>
  <c r="U132" i="40"/>
  <c r="U68" i="40"/>
  <c r="U163" i="40"/>
  <c r="U227" i="40"/>
  <c r="U221" i="40"/>
  <c r="U157" i="40"/>
  <c r="U144" i="40"/>
  <c r="U69" i="40"/>
  <c r="BQ19" i="39"/>
  <c r="U109" i="40"/>
  <c r="U126" i="40"/>
  <c r="U129" i="40"/>
  <c r="BQ46" i="39"/>
  <c r="U216" i="40"/>
  <c r="U152" i="40"/>
  <c r="U26" i="40"/>
  <c r="U85" i="40"/>
  <c r="U37" i="40"/>
  <c r="U110" i="40"/>
  <c r="BQ107" i="39"/>
  <c r="U43" i="40"/>
  <c r="BQ52" i="39"/>
  <c r="BQ129" i="56"/>
  <c r="BQ80" i="56"/>
  <c r="BQ176" i="56"/>
  <c r="BQ200" i="56"/>
  <c r="U3" i="55"/>
  <c r="U161" i="55"/>
  <c r="BQ161" i="56"/>
  <c r="U195" i="55"/>
  <c r="U77" i="55"/>
  <c r="BQ102" i="56"/>
  <c r="BQ34" i="56"/>
  <c r="U181" i="55"/>
  <c r="BQ239" i="56"/>
  <c r="U251" i="55"/>
  <c r="U188" i="55"/>
  <c r="BQ178" i="56"/>
  <c r="BQ227" i="56"/>
  <c r="BQ64" i="56"/>
  <c r="BQ244" i="56"/>
  <c r="BQ142" i="56"/>
  <c r="U90" i="55"/>
  <c r="U193" i="55"/>
  <c r="U47" i="55"/>
  <c r="U160" i="55"/>
  <c r="BQ121" i="56"/>
  <c r="BQ195" i="56"/>
  <c r="BQ185" i="56"/>
  <c r="U9" i="55"/>
  <c r="U229" i="55"/>
  <c r="U34" i="55"/>
  <c r="BQ39" i="56"/>
  <c r="U234" i="55"/>
  <c r="U140" i="55"/>
  <c r="BQ87" i="56"/>
  <c r="U150" i="55"/>
  <c r="U136" i="55"/>
  <c r="BQ182" i="56"/>
  <c r="U110" i="55"/>
  <c r="BQ132" i="56"/>
  <c r="U138" i="55"/>
  <c r="U239" i="55"/>
  <c r="BQ137" i="56"/>
  <c r="BQ35" i="56"/>
  <c r="BQ179" i="56"/>
  <c r="BQ17" i="56"/>
  <c r="BQ65" i="56"/>
  <c r="U228" i="55"/>
  <c r="U84" i="55"/>
  <c r="BQ23" i="56"/>
  <c r="BQ62" i="56"/>
  <c r="U164" i="55"/>
  <c r="U175" i="55"/>
  <c r="BQ190" i="56"/>
  <c r="BQ76" i="56"/>
  <c r="U146" i="55"/>
  <c r="U190" i="55"/>
  <c r="BQ165" i="56"/>
  <c r="U216" i="55"/>
  <c r="U230" i="55"/>
  <c r="U174" i="55"/>
  <c r="BQ37" i="56"/>
  <c r="U200" i="55"/>
  <c r="U214" i="55"/>
  <c r="U255" i="55"/>
  <c r="BQ44" i="56"/>
  <c r="U56" i="55"/>
  <c r="U70" i="55"/>
  <c r="BQ207" i="56"/>
  <c r="U212" i="55"/>
  <c r="U85" i="55"/>
  <c r="U246" i="55"/>
  <c r="U232" i="55"/>
  <c r="BQ38" i="56"/>
  <c r="U206" i="55"/>
  <c r="BQ68" i="56"/>
  <c r="BQ75" i="56"/>
  <c r="BQ71" i="56"/>
  <c r="BQ199" i="56"/>
  <c r="U54" i="55"/>
  <c r="U40" i="55"/>
  <c r="BQ171" i="56"/>
  <c r="U127" i="55"/>
  <c r="U144" i="55"/>
  <c r="U180" i="55"/>
  <c r="BQ118" i="56"/>
  <c r="BQ215" i="56"/>
  <c r="U141" i="55"/>
  <c r="BQ232" i="56"/>
  <c r="U213" i="55"/>
  <c r="U252" i="55"/>
  <c r="BQ263" i="56"/>
  <c r="U225" i="55"/>
  <c r="BQ11" i="56"/>
  <c r="BQ216" i="56"/>
  <c r="BQ252" i="56"/>
  <c r="U154" i="55"/>
  <c r="U44" i="55"/>
  <c r="BQ43" i="56"/>
  <c r="U63" i="55"/>
  <c r="U13" i="55"/>
  <c r="BQ201" i="56"/>
  <c r="U81" i="55"/>
  <c r="BQ209" i="56"/>
  <c r="U41" i="55"/>
  <c r="BQ248" i="56"/>
  <c r="U113" i="55"/>
  <c r="U27" i="55"/>
  <c r="U185" i="55"/>
  <c r="BQ170" i="56"/>
  <c r="U171" i="55"/>
  <c r="U12" i="55"/>
  <c r="BQ16" i="56"/>
  <c r="BQ113" i="56"/>
  <c r="U91" i="55"/>
  <c r="BQ155" i="56"/>
  <c r="BQ138" i="56"/>
  <c r="BQ148" i="56"/>
  <c r="BQ116" i="56"/>
  <c r="BQ66" i="56"/>
  <c r="U57" i="55"/>
  <c r="BQ187" i="56"/>
  <c r="BQ109" i="56"/>
  <c r="BQ198" i="56"/>
  <c r="BQ19" i="56"/>
  <c r="BQ217" i="56"/>
  <c r="BQ29" i="56"/>
  <c r="BQ149" i="56"/>
  <c r="BQ8" i="56"/>
  <c r="BQ59" i="56"/>
  <c r="U49" i="55"/>
  <c r="U235" i="55"/>
  <c r="U162" i="55"/>
  <c r="BQ193" i="56"/>
  <c r="BQ122" i="56"/>
  <c r="BQ86" i="56"/>
  <c r="U183" i="55"/>
  <c r="U19" i="55"/>
  <c r="BQ127" i="56"/>
  <c r="U199" i="55"/>
  <c r="BQ99" i="56"/>
  <c r="BQ69" i="56"/>
  <c r="BQ183" i="56"/>
  <c r="U118" i="55"/>
  <c r="U104" i="55"/>
  <c r="BQ173" i="56"/>
  <c r="U78" i="55"/>
  <c r="BQ233" i="56"/>
  <c r="BQ93" i="56"/>
  <c r="BQ169" i="56"/>
  <c r="BQ260" i="56"/>
  <c r="U135" i="55"/>
  <c r="U35" i="55"/>
  <c r="BQ42" i="56"/>
  <c r="U28" i="55"/>
  <c r="BQ125" i="56"/>
  <c r="U262" i="55"/>
  <c r="U248" i="55"/>
  <c r="BQ158" i="56"/>
  <c r="U222" i="55"/>
  <c r="BQ251" i="56"/>
  <c r="U122" i="55"/>
  <c r="U111" i="55"/>
  <c r="U260" i="55"/>
  <c r="U166" i="55"/>
  <c r="U152" i="55"/>
  <c r="BQ163" i="56"/>
  <c r="U126" i="55"/>
  <c r="U82" i="55"/>
  <c r="BQ83" i="56"/>
  <c r="U187" i="55"/>
  <c r="BQ21" i="56"/>
  <c r="BQ88" i="56"/>
  <c r="BQ214" i="56"/>
  <c r="BQ100" i="56"/>
  <c r="U217" i="55"/>
  <c r="U192" i="55"/>
  <c r="U178" i="55"/>
  <c r="BQ223" i="56"/>
  <c r="BQ77" i="56"/>
  <c r="U112" i="55"/>
  <c r="BQ256" i="56"/>
  <c r="H4" i="39"/>
  <c r="H8" i="39"/>
  <c r="H9" i="39"/>
  <c r="H7" i="39"/>
  <c r="H5" i="39"/>
  <c r="H6" i="39"/>
  <c r="H3" i="39"/>
  <c r="G3" i="39" l="1"/>
  <c r="G6" i="39"/>
  <c r="G5" i="39"/>
  <c r="G7" i="39"/>
  <c r="G9" i="39"/>
  <c r="G8" i="39"/>
  <c r="G4" i="39"/>
  <c r="M6" i="39"/>
  <c r="M8" i="39"/>
  <c r="M5" i="39"/>
  <c r="M4" i="39"/>
  <c r="M7" i="39"/>
  <c r="M3" i="39"/>
  <c r="M9" i="39"/>
  <c r="AK14" i="39" l="1" a="1"/>
  <c r="AK9" i="39" a="1"/>
  <c r="AK5" i="39" a="1"/>
  <c r="AK19" i="39" a="1"/>
  <c r="AK6" i="39"/>
  <c r="AK16" i="39"/>
  <c r="AK21" i="39"/>
  <c r="AK9" i="39"/>
  <c r="AK14" i="39"/>
  <c r="AK10" i="39"/>
  <c r="AK19" i="39"/>
  <c r="AK20" i="39"/>
  <c r="AI19" i="39" a="1"/>
  <c r="AK5" i="39"/>
  <c r="AI5" i="39" a="1"/>
  <c r="AK15" i="39"/>
  <c r="AW19" i="39" a="1"/>
  <c r="AW5" i="39" a="1"/>
  <c r="AW9" i="39" a="1"/>
  <c r="AW14" i="39" a="1"/>
  <c r="AI14" i="39" a="1"/>
  <c r="AI14" i="39" s="1"/>
  <c r="H30" i="39" s="1"/>
  <c r="AW19" i="39"/>
  <c r="AW20" i="39"/>
  <c r="AW21" i="39"/>
  <c r="AU19" i="39" a="1"/>
  <c r="AU21" i="39" s="1"/>
  <c r="X28" i="39" s="1"/>
  <c r="AW10" i="39"/>
  <c r="AI19" i="39"/>
  <c r="T30" i="39" s="1"/>
  <c r="AI15" i="39"/>
  <c r="H29" i="39" s="1"/>
  <c r="AI9" i="39" a="1"/>
  <c r="AI9" i="39" s="1"/>
  <c r="S29" i="39" s="1"/>
  <c r="AW14" i="39"/>
  <c r="AW9" i="39"/>
  <c r="AU9" i="39" s="1" a="1"/>
  <c r="AI20" i="39"/>
  <c r="T29" i="39" s="1"/>
  <c r="AI5" i="39"/>
  <c r="G29" i="39" s="1"/>
  <c r="AW16" i="39"/>
  <c r="AW5" i="39"/>
  <c r="AI21" i="39"/>
  <c r="T28" i="39" s="1"/>
  <c r="AI6" i="39"/>
  <c r="G28" i="39" s="1"/>
  <c r="G35" i="39" s="1"/>
  <c r="BE5" i="39" s="1"/>
  <c r="AW15" i="39"/>
  <c r="AW6" i="39"/>
  <c r="AI16" i="39"/>
  <c r="H28" i="39" s="1"/>
  <c r="AI10" i="39"/>
  <c r="S28" i="39" s="1"/>
  <c r="S35" i="39" s="1"/>
  <c r="BG5" i="39" s="1"/>
  <c r="AU14" i="39" a="1"/>
  <c r="AU16" i="39" s="1"/>
  <c r="V28" i="39" s="1"/>
  <c r="AU5" i="39" a="1"/>
  <c r="AU5" i="39"/>
  <c r="U29" i="39" s="1"/>
  <c r="AU6" i="39"/>
  <c r="U28" i="39" s="1"/>
  <c r="U35" i="39" s="1"/>
  <c r="BI5" i="39" s="1"/>
  <c r="T27" i="39"/>
  <c r="G27" i="39"/>
  <c r="H27" i="39"/>
  <c r="H45" i="39"/>
  <c r="H35" i="39" l="1"/>
  <c r="BF5" i="39" s="1"/>
  <c r="T35" i="39"/>
  <c r="BH5" i="39" s="1"/>
  <c r="AU10" i="39"/>
  <c r="W28" i="39" s="1"/>
  <c r="W35" i="39" s="1"/>
  <c r="BK5" i="39" s="1"/>
  <c r="AU9" i="39"/>
  <c r="W29" i="39" s="1"/>
  <c r="AU14" i="39"/>
  <c r="V30" i="39" s="1"/>
  <c r="AU19" i="39"/>
  <c r="X30" i="39" s="1"/>
  <c r="AU20" i="39"/>
  <c r="X29" i="39" s="1"/>
  <c r="X35" i="39" s="1"/>
  <c r="BL5" i="39" s="1"/>
  <c r="AU15" i="39"/>
  <c r="V29" i="39" s="1"/>
  <c r="V35" i="39" s="1"/>
  <c r="BJ5" i="39" s="1"/>
  <c r="H54" i="39"/>
  <c r="H48" i="39"/>
  <c r="H57" i="39"/>
  <c r="H38" i="39"/>
  <c r="H44" i="39"/>
  <c r="T51" i="39"/>
  <c r="T60" i="39"/>
  <c r="T47" i="39"/>
  <c r="T56" i="39"/>
  <c r="T43" i="39"/>
  <c r="T44" i="39"/>
  <c r="G39" i="39"/>
  <c r="G43" i="39"/>
  <c r="G50" i="39"/>
  <c r="G59" i="39"/>
  <c r="G42" i="39"/>
  <c r="BF1" i="39"/>
  <c r="BF111" i="39"/>
  <c r="BF60" i="39"/>
  <c r="BF114" i="39"/>
  <c r="BF80" i="39"/>
  <c r="BF97" i="39"/>
  <c r="BF107" i="39"/>
  <c r="BF16" i="39"/>
  <c r="BF71" i="39"/>
  <c r="BF134" i="39"/>
  <c r="BF86" i="39"/>
  <c r="BF39" i="39"/>
  <c r="BF22" i="39"/>
  <c r="BF53" i="39"/>
  <c r="BF91" i="39"/>
  <c r="BF32" i="39"/>
  <c r="BF72" i="39"/>
  <c r="BF19" i="39"/>
  <c r="BF74" i="39"/>
  <c r="BF120" i="39"/>
  <c r="BF70" i="39"/>
  <c r="BF93" i="39"/>
  <c r="BF66" i="39"/>
  <c r="BF62" i="39"/>
  <c r="BF132" i="39"/>
  <c r="BF133" i="39"/>
  <c r="BF95" i="39"/>
  <c r="BF40" i="39"/>
  <c r="BF18" i="39"/>
  <c r="BF99" i="39"/>
  <c r="BF103" i="39"/>
  <c r="BF102" i="39"/>
  <c r="BF90" i="39"/>
  <c r="BF36" i="39"/>
  <c r="H47" i="39"/>
  <c r="H56" i="39"/>
  <c r="H37" i="39"/>
  <c r="H49" i="39"/>
  <c r="H58" i="39"/>
  <c r="H42" i="39"/>
  <c r="T42" i="39"/>
  <c r="T38" i="39"/>
  <c r="T41" i="39"/>
  <c r="T39" i="39"/>
  <c r="G45" i="39"/>
  <c r="G54" i="39"/>
  <c r="G46" i="39"/>
  <c r="G55" i="39"/>
  <c r="G40" i="39"/>
  <c r="G48" i="39"/>
  <c r="G57" i="39"/>
  <c r="BF42" i="39"/>
  <c r="BF122" i="39"/>
  <c r="BF75" i="39"/>
  <c r="BF12" i="39"/>
  <c r="BF33" i="39"/>
  <c r="BF77" i="39"/>
  <c r="BF56" i="39"/>
  <c r="BF9" i="39"/>
  <c r="BF34" i="39"/>
  <c r="BF129" i="39"/>
  <c r="BF27" i="39"/>
  <c r="BF82" i="39"/>
  <c r="BF15" i="39"/>
  <c r="BF94" i="39"/>
  <c r="BF61" i="39"/>
  <c r="BF115" i="39"/>
  <c r="BF112" i="39"/>
  <c r="BF10" i="39"/>
  <c r="BF81" i="39"/>
  <c r="BF31" i="39"/>
  <c r="BF104" i="39"/>
  <c r="BF8" i="39"/>
  <c r="BF110" i="39"/>
  <c r="BF11" i="39"/>
  <c r="BF88" i="39"/>
  <c r="BF127" i="39"/>
  <c r="BF73" i="39"/>
  <c r="BF79" i="39"/>
  <c r="BF108" i="39"/>
  <c r="BF44" i="39"/>
  <c r="BF101" i="39"/>
  <c r="BF13" i="39"/>
  <c r="BF50" i="39"/>
  <c r="H39" i="39"/>
  <c r="H43" i="39"/>
  <c r="H40" i="39"/>
  <c r="H41" i="39"/>
  <c r="BH1" i="39"/>
  <c r="BH23" i="39"/>
  <c r="BH70" i="39"/>
  <c r="BH24" i="39"/>
  <c r="BH89" i="39"/>
  <c r="BH56" i="39"/>
  <c r="BH92" i="39"/>
  <c r="BH40" i="39"/>
  <c r="BH60" i="39"/>
  <c r="BH80" i="39"/>
  <c r="BH95" i="39"/>
  <c r="BH126" i="39"/>
  <c r="BH83" i="39"/>
  <c r="BH115" i="39"/>
  <c r="BH96" i="39"/>
  <c r="BH97" i="39"/>
  <c r="BH43" i="39"/>
  <c r="BH120" i="39"/>
  <c r="BH50" i="39"/>
  <c r="BH110" i="39"/>
  <c r="BH122" i="39"/>
  <c r="BH15" i="39"/>
  <c r="BH94" i="39"/>
  <c r="BH128" i="39"/>
  <c r="BH121" i="39"/>
  <c r="BH113" i="39"/>
  <c r="BH41" i="39"/>
  <c r="BH32" i="39"/>
  <c r="BH27" i="39"/>
  <c r="BH74" i="39"/>
  <c r="BH118" i="39"/>
  <c r="BH109" i="39"/>
  <c r="BH117" i="39"/>
  <c r="BH26" i="39"/>
  <c r="BH77" i="39"/>
  <c r="BH16" i="39"/>
  <c r="BH7" i="39"/>
  <c r="BH100" i="39"/>
  <c r="BH98" i="39"/>
  <c r="BH14" i="39"/>
  <c r="BH22" i="39"/>
  <c r="BH87" i="39"/>
  <c r="BH105" i="39"/>
  <c r="BH58" i="39"/>
  <c r="BH131" i="39"/>
  <c r="BH53" i="39"/>
  <c r="BH101" i="39"/>
  <c r="BH38" i="39"/>
  <c r="BH13" i="39"/>
  <c r="BH30" i="39"/>
  <c r="BH51" i="39"/>
  <c r="BH99" i="39"/>
  <c r="BH48" i="39"/>
  <c r="BH133" i="39"/>
  <c r="BH21" i="39"/>
  <c r="BH39" i="39"/>
  <c r="BH67" i="39"/>
  <c r="BH82" i="39"/>
  <c r="BH88" i="39"/>
  <c r="BH46" i="39"/>
  <c r="BH57" i="39"/>
  <c r="BH76" i="39"/>
  <c r="BH31" i="39"/>
  <c r="BH34" i="39"/>
  <c r="BH102" i="39"/>
  <c r="T36" i="39"/>
  <c r="T45" i="39"/>
  <c r="T54" i="39"/>
  <c r="T49" i="39"/>
  <c r="T58" i="39"/>
  <c r="T37" i="39"/>
  <c r="BE1" i="39"/>
  <c r="BE38" i="39"/>
  <c r="BE98" i="39"/>
  <c r="BE52" i="39"/>
  <c r="BE17" i="39"/>
  <c r="BE104" i="39"/>
  <c r="BE74" i="39"/>
  <c r="BE75" i="39"/>
  <c r="BE42" i="39"/>
  <c r="BE36" i="39"/>
  <c r="BE99" i="39"/>
  <c r="BE114" i="39"/>
  <c r="BE9" i="39"/>
  <c r="BE93" i="39"/>
  <c r="BE112" i="39"/>
  <c r="BE46" i="39"/>
  <c r="BE101" i="39"/>
  <c r="BE110" i="39"/>
  <c r="BE44" i="39"/>
  <c r="BE122" i="39"/>
  <c r="BE77" i="39"/>
  <c r="BE83" i="39"/>
  <c r="BE29" i="39"/>
  <c r="BE73" i="39"/>
  <c r="BE33" i="39"/>
  <c r="BE127" i="39"/>
  <c r="BE54" i="39"/>
  <c r="BE10" i="39"/>
  <c r="BE96" i="39"/>
  <c r="BE113" i="39"/>
  <c r="BE20" i="39"/>
  <c r="BE39" i="39"/>
  <c r="BE124" i="39"/>
  <c r="BE34" i="39"/>
  <c r="BE117" i="39"/>
  <c r="BE65" i="39"/>
  <c r="BE89" i="39"/>
  <c r="BE100" i="39"/>
  <c r="BE59" i="39"/>
  <c r="BE37" i="39"/>
  <c r="BE28" i="39"/>
  <c r="BE19" i="39"/>
  <c r="BE23" i="39"/>
  <c r="BE41" i="39"/>
  <c r="BE50" i="39"/>
  <c r="BE7" i="39"/>
  <c r="BE91" i="39"/>
  <c r="BE70" i="39"/>
  <c r="BE118" i="39"/>
  <c r="BE8" i="39"/>
  <c r="BE47" i="39"/>
  <c r="BE48" i="39"/>
  <c r="BE6" i="39"/>
  <c r="BE57" i="39"/>
  <c r="BE84" i="39"/>
  <c r="BE97" i="39"/>
  <c r="BE88" i="39"/>
  <c r="BE90" i="39"/>
  <c r="BE14" i="39"/>
  <c r="BE92" i="39"/>
  <c r="BE105" i="39"/>
  <c r="BE109" i="39"/>
  <c r="BE15" i="39"/>
  <c r="BE24" i="39"/>
  <c r="BE58" i="39"/>
  <c r="BE63" i="39"/>
  <c r="G47" i="39"/>
  <c r="G56" i="39"/>
  <c r="G51" i="39"/>
  <c r="G60" i="39"/>
  <c r="G38" i="39"/>
  <c r="BF28" i="39"/>
  <c r="BF106" i="39"/>
  <c r="BF55" i="39"/>
  <c r="BF38" i="39"/>
  <c r="BF125" i="39"/>
  <c r="BF26" i="39"/>
  <c r="BF37" i="39"/>
  <c r="BF116" i="39"/>
  <c r="BF7" i="39"/>
  <c r="BF46" i="39"/>
  <c r="BF17" i="39"/>
  <c r="BF30" i="39"/>
  <c r="BF85" i="39"/>
  <c r="BF20" i="39"/>
  <c r="BF105" i="39"/>
  <c r="BF41" i="39"/>
  <c r="BF98" i="39"/>
  <c r="BF48" i="39"/>
  <c r="BF57" i="39"/>
  <c r="BF92" i="39"/>
  <c r="BF35" i="39"/>
  <c r="BF52" i="39"/>
  <c r="BF100" i="39"/>
  <c r="BF124" i="39"/>
  <c r="BF67" i="39"/>
  <c r="BF89" i="39"/>
  <c r="BF109" i="39"/>
  <c r="BF63" i="39"/>
  <c r="BF76" i="39"/>
  <c r="BF126" i="39"/>
  <c r="BF47" i="39"/>
  <c r="BF58" i="39"/>
  <c r="BH75" i="39"/>
  <c r="BH29" i="39"/>
  <c r="BH19" i="39"/>
  <c r="BH134" i="39"/>
  <c r="BH64" i="39"/>
  <c r="BH132" i="39"/>
  <c r="BH114" i="39"/>
  <c r="BH9" i="39"/>
  <c r="BH33" i="39"/>
  <c r="BH78" i="39"/>
  <c r="BH72" i="39"/>
  <c r="BH49" i="39"/>
  <c r="BH69" i="39"/>
  <c r="BH79" i="39"/>
  <c r="BH84" i="39"/>
  <c r="BH85" i="39"/>
  <c r="BH125" i="39"/>
  <c r="BH129" i="39"/>
  <c r="BH123" i="39"/>
  <c r="BH47" i="39"/>
  <c r="BH130" i="39"/>
  <c r="BH37" i="39"/>
  <c r="BH20" i="39"/>
  <c r="BH18" i="39"/>
  <c r="BH17" i="39"/>
  <c r="BH63" i="39"/>
  <c r="BH91" i="39"/>
  <c r="BH90" i="39"/>
  <c r="BH68" i="39"/>
  <c r="BH10" i="39"/>
  <c r="BH127" i="39"/>
  <c r="BH12" i="39"/>
  <c r="BH111" i="39"/>
  <c r="BE82" i="39"/>
  <c r="BE67" i="39"/>
  <c r="BE62" i="39"/>
  <c r="BE135" i="39"/>
  <c r="BE95" i="39"/>
  <c r="BE40" i="39"/>
  <c r="BE60" i="39"/>
  <c r="BE35" i="39"/>
  <c r="BE78" i="39"/>
  <c r="BE94" i="39"/>
  <c r="BE72" i="39"/>
  <c r="BE80" i="39"/>
  <c r="BE25" i="39"/>
  <c r="BE27" i="39"/>
  <c r="BE79" i="39"/>
  <c r="BE53" i="39"/>
  <c r="BE103" i="39"/>
  <c r="BE119" i="39"/>
  <c r="BE22" i="39"/>
  <c r="BE61" i="39"/>
  <c r="BE51" i="39"/>
  <c r="BE134" i="39"/>
  <c r="BE130" i="39"/>
  <c r="H51" i="39"/>
  <c r="H60" i="39"/>
  <c r="H46" i="39"/>
  <c r="H55" i="39"/>
  <c r="H50" i="39"/>
  <c r="H59" i="39"/>
  <c r="H36" i="39"/>
  <c r="T40" i="39"/>
  <c r="T48" i="39"/>
  <c r="T57" i="39"/>
  <c r="T46" i="39"/>
  <c r="T55" i="39"/>
  <c r="T50" i="39"/>
  <c r="T59" i="39"/>
  <c r="G44" i="39"/>
  <c r="G37" i="39"/>
  <c r="G36" i="39"/>
  <c r="G41" i="39"/>
  <c r="G49" i="39"/>
  <c r="G58" i="39"/>
  <c r="BF123" i="39"/>
  <c r="BF78" i="39"/>
  <c r="BF54" i="39"/>
  <c r="BF119" i="39"/>
  <c r="BF59" i="39"/>
  <c r="BF96" i="39"/>
  <c r="BF23" i="39"/>
  <c r="BF131" i="39"/>
  <c r="BF6" i="39"/>
  <c r="BF65" i="39"/>
  <c r="BF68" i="39"/>
  <c r="BF84" i="39"/>
  <c r="BF117" i="39"/>
  <c r="BF121" i="39"/>
  <c r="BF118" i="39"/>
  <c r="BF87" i="39"/>
  <c r="BF135" i="39"/>
  <c r="BF29" i="39"/>
  <c r="BF45" i="39"/>
  <c r="BF113" i="39"/>
  <c r="BF128" i="39"/>
  <c r="BF130" i="39"/>
  <c r="BF49" i="39"/>
  <c r="BF14" i="39"/>
  <c r="BF25" i="39"/>
  <c r="BF43" i="39"/>
  <c r="BF21" i="39"/>
  <c r="BF51" i="39"/>
  <c r="BF24" i="39"/>
  <c r="BF69" i="39"/>
  <c r="BF64" i="39"/>
  <c r="BF83" i="39"/>
  <c r="BH62" i="39"/>
  <c r="BH54" i="39"/>
  <c r="BH116" i="39"/>
  <c r="BH6" i="39"/>
  <c r="BH44" i="39"/>
  <c r="BH52" i="39"/>
  <c r="BH59" i="39"/>
  <c r="BH73" i="39"/>
  <c r="BH11" i="39"/>
  <c r="BH103" i="39"/>
  <c r="BH25" i="39"/>
  <c r="BH124" i="39"/>
  <c r="BH66" i="39"/>
  <c r="BH107" i="39"/>
  <c r="BH108" i="39"/>
  <c r="BH35" i="39"/>
  <c r="BH106" i="39"/>
  <c r="BH36" i="39"/>
  <c r="BH81" i="39"/>
  <c r="BH42" i="39"/>
  <c r="BH135" i="39"/>
  <c r="BH45" i="39"/>
  <c r="BH93" i="39"/>
  <c r="BH104" i="39"/>
  <c r="BH8" i="39"/>
  <c r="BH119" i="39"/>
  <c r="BH61" i="39"/>
  <c r="BH71" i="39"/>
  <c r="BH112" i="39"/>
  <c r="BH55" i="39"/>
  <c r="BH65" i="39"/>
  <c r="BH28" i="39"/>
  <c r="BH86" i="39"/>
  <c r="BE115" i="39"/>
  <c r="BE11" i="39"/>
  <c r="BE32" i="39"/>
  <c r="BE71" i="39"/>
  <c r="BE125" i="39"/>
  <c r="BE120" i="39"/>
  <c r="BE85" i="39"/>
  <c r="BE31" i="39"/>
  <c r="BE55" i="39"/>
  <c r="BE30" i="39"/>
  <c r="BE111" i="39"/>
  <c r="BE68" i="39"/>
  <c r="BE64" i="39"/>
  <c r="BE129" i="39"/>
  <c r="BE43" i="39"/>
  <c r="BE116" i="39"/>
  <c r="BE133" i="39"/>
  <c r="BE26" i="39"/>
  <c r="BE132" i="39"/>
  <c r="BE56" i="39"/>
  <c r="BE66" i="39"/>
  <c r="BE12" i="39"/>
  <c r="BE49" i="39"/>
  <c r="BE16" i="39"/>
  <c r="BE106" i="39"/>
  <c r="BE87" i="39"/>
  <c r="BE123" i="39"/>
  <c r="BE21" i="39"/>
  <c r="BE45" i="39"/>
  <c r="BE13" i="39"/>
  <c r="BE86" i="39"/>
  <c r="BE108" i="39"/>
  <c r="BE107" i="39"/>
  <c r="BE76" i="39"/>
  <c r="BE69" i="39"/>
  <c r="BE126" i="39"/>
  <c r="BE131" i="39"/>
  <c r="BE81" i="39"/>
  <c r="BE121" i="39"/>
  <c r="BE18" i="39"/>
  <c r="BE128" i="39"/>
  <c r="BE102" i="39"/>
  <c r="BJ1" i="39"/>
  <c r="BL1" i="39"/>
  <c r="BJ118" i="39"/>
  <c r="BJ10" i="39"/>
  <c r="BJ17" i="39"/>
  <c r="BJ106" i="39"/>
  <c r="BJ36" i="39"/>
  <c r="BJ97" i="39"/>
  <c r="BJ115" i="39"/>
  <c r="BJ90" i="39"/>
  <c r="BJ100" i="39"/>
  <c r="BJ75" i="39"/>
  <c r="BJ108" i="39"/>
  <c r="BJ98" i="39"/>
  <c r="BJ119" i="39"/>
  <c r="BJ113" i="39"/>
  <c r="BJ48" i="39"/>
  <c r="BJ92" i="39"/>
  <c r="BJ58" i="39"/>
  <c r="BJ86" i="39"/>
  <c r="BJ38" i="39"/>
  <c r="BJ81" i="39"/>
  <c r="BJ62" i="39"/>
  <c r="BJ131" i="39"/>
  <c r="BJ11" i="39"/>
  <c r="BJ79" i="39"/>
  <c r="BJ129" i="39"/>
  <c r="BJ104" i="39"/>
  <c r="BJ135" i="39"/>
  <c r="BJ120" i="39"/>
  <c r="BJ15" i="39"/>
  <c r="BJ68" i="39"/>
  <c r="BJ51" i="39"/>
  <c r="BJ14" i="39"/>
  <c r="BL64" i="39"/>
  <c r="BL81" i="39"/>
  <c r="BL77" i="39"/>
  <c r="BL25" i="39"/>
  <c r="BL113" i="39"/>
  <c r="BL50" i="39"/>
  <c r="BL53" i="39"/>
  <c r="BL104" i="39"/>
  <c r="BL111" i="39"/>
  <c r="BL30" i="39"/>
  <c r="BL66" i="39"/>
  <c r="BL110" i="39"/>
  <c r="BL52" i="39"/>
  <c r="BL89" i="39"/>
  <c r="BL37" i="39"/>
  <c r="BL106" i="39"/>
  <c r="BL131" i="39"/>
  <c r="BL118" i="39"/>
  <c r="BL34" i="39"/>
  <c r="BL22" i="39"/>
  <c r="BL80" i="39"/>
  <c r="BL28" i="39"/>
  <c r="BL68" i="39"/>
  <c r="BL31" i="39"/>
  <c r="BL51" i="39"/>
  <c r="BL62" i="39"/>
  <c r="BL33" i="39"/>
  <c r="BL39" i="39"/>
  <c r="BL45" i="39"/>
  <c r="BL91" i="39"/>
  <c r="BL35" i="39"/>
  <c r="BL78" i="39"/>
  <c r="V27" i="39"/>
  <c r="V49" i="39"/>
  <c r="V58" i="39"/>
  <c r="V39" i="39"/>
  <c r="V40" i="39"/>
  <c r="V44" i="39"/>
  <c r="X27" i="39"/>
  <c r="X48" i="39"/>
  <c r="X57" i="39"/>
  <c r="X44" i="39"/>
  <c r="X39" i="39"/>
  <c r="X42" i="39"/>
  <c r="BJ65" i="39"/>
  <c r="BJ37" i="39"/>
  <c r="BJ67" i="39"/>
  <c r="BJ109" i="39"/>
  <c r="BJ7" i="39"/>
  <c r="BJ130" i="39"/>
  <c r="BJ49" i="39"/>
  <c r="BJ55" i="39"/>
  <c r="BJ73" i="39"/>
  <c r="BJ72" i="39"/>
  <c r="BJ125" i="39"/>
  <c r="BJ82" i="39"/>
  <c r="BJ32" i="39"/>
  <c r="BJ28" i="39"/>
  <c r="BJ107" i="39"/>
  <c r="BJ122" i="39"/>
  <c r="BJ64" i="39"/>
  <c r="BJ77" i="39"/>
  <c r="BJ94" i="39"/>
  <c r="BJ74" i="39"/>
  <c r="BJ111" i="39"/>
  <c r="BJ41" i="39"/>
  <c r="BJ60" i="39"/>
  <c r="BJ21" i="39"/>
  <c r="BJ56" i="39"/>
  <c r="BJ69" i="39"/>
  <c r="BJ91" i="39"/>
  <c r="BJ133" i="39"/>
  <c r="BJ31" i="39"/>
  <c r="BJ124" i="39"/>
  <c r="BJ66" i="39"/>
  <c r="BJ46" i="39"/>
  <c r="V37" i="39"/>
  <c r="V48" i="39"/>
  <c r="V57" i="39"/>
  <c r="V47" i="39"/>
  <c r="V56" i="39"/>
  <c r="V46" i="39"/>
  <c r="V55" i="39"/>
  <c r="BL57" i="39"/>
  <c r="BL18" i="39"/>
  <c r="BL46" i="39"/>
  <c r="BL88" i="39"/>
  <c r="BL123" i="39"/>
  <c r="BL93" i="39"/>
  <c r="BL61" i="39"/>
  <c r="BL90" i="39"/>
  <c r="BL102" i="39"/>
  <c r="BL20" i="39"/>
  <c r="BL67" i="39"/>
  <c r="BL49" i="39"/>
  <c r="BL127" i="39"/>
  <c r="BL60" i="39"/>
  <c r="BL122" i="39"/>
  <c r="BL101" i="39"/>
  <c r="BL134" i="39"/>
  <c r="BL103" i="39"/>
  <c r="BL42" i="39"/>
  <c r="BL70" i="39"/>
  <c r="BL38" i="39"/>
  <c r="BL23" i="39"/>
  <c r="BL41" i="39"/>
  <c r="BL58" i="39"/>
  <c r="BL107" i="39"/>
  <c r="BL98" i="39"/>
  <c r="BL27" i="39"/>
  <c r="BL40" i="39"/>
  <c r="BL74" i="39"/>
  <c r="BL16" i="39"/>
  <c r="BL36" i="39"/>
  <c r="BL13" i="39"/>
  <c r="X38" i="39"/>
  <c r="X47" i="39"/>
  <c r="X56" i="39"/>
  <c r="X45" i="39"/>
  <c r="X54" i="39"/>
  <c r="X49" i="39"/>
  <c r="X58" i="39"/>
  <c r="BK1" i="39"/>
  <c r="BK61" i="39"/>
  <c r="BK33" i="39"/>
  <c r="BK117" i="39"/>
  <c r="BK108" i="39"/>
  <c r="BK64" i="39"/>
  <c r="BK119" i="39"/>
  <c r="BK22" i="39"/>
  <c r="BK60" i="39"/>
  <c r="BK109" i="39"/>
  <c r="BK58" i="39"/>
  <c r="BK34" i="39"/>
  <c r="BK16" i="39"/>
  <c r="BK100" i="39"/>
  <c r="BK107" i="39"/>
  <c r="BK94" i="39"/>
  <c r="BK103" i="39"/>
  <c r="BK84" i="39"/>
  <c r="BK21" i="39"/>
  <c r="BK66" i="39"/>
  <c r="BK15" i="39"/>
  <c r="BK11" i="39"/>
  <c r="BK124" i="39"/>
  <c r="BK135" i="39"/>
  <c r="BK63" i="39"/>
  <c r="BK6" i="39"/>
  <c r="BK96" i="39"/>
  <c r="BK77" i="39"/>
  <c r="BK20" i="39"/>
  <c r="BK123" i="39"/>
  <c r="BK72" i="39"/>
  <c r="BK128" i="39"/>
  <c r="BK116" i="39"/>
  <c r="BK76" i="39"/>
  <c r="BK53" i="39"/>
  <c r="BK24" i="39"/>
  <c r="BK49" i="39"/>
  <c r="BK68" i="39"/>
  <c r="BK19" i="39"/>
  <c r="BK17" i="39"/>
  <c r="BK69" i="39"/>
  <c r="BK85" i="39"/>
  <c r="BK115" i="39"/>
  <c r="BK67" i="39"/>
  <c r="BK121" i="39"/>
  <c r="BK65" i="39"/>
  <c r="BK10" i="39"/>
  <c r="BK127" i="39"/>
  <c r="BK30" i="39"/>
  <c r="BK26" i="39"/>
  <c r="BK13" i="39"/>
  <c r="BK80" i="39"/>
  <c r="BK70" i="39"/>
  <c r="BK43" i="39"/>
  <c r="BK54" i="39"/>
  <c r="BK73" i="39"/>
  <c r="BK48" i="39"/>
  <c r="BK91" i="39"/>
  <c r="BK93" i="39"/>
  <c r="BK28" i="39"/>
  <c r="BK31" i="39"/>
  <c r="BK92" i="39"/>
  <c r="BK81" i="39"/>
  <c r="BK131" i="39"/>
  <c r="BK104" i="39"/>
  <c r="BK37" i="39"/>
  <c r="BK57" i="39"/>
  <c r="BJ13" i="39"/>
  <c r="BJ19" i="39"/>
  <c r="BJ45" i="39"/>
  <c r="BJ84" i="39"/>
  <c r="BJ83" i="39"/>
  <c r="BJ12" i="39"/>
  <c r="BJ88" i="39"/>
  <c r="BJ16" i="39"/>
  <c r="BJ127" i="39"/>
  <c r="BJ99" i="39"/>
  <c r="BJ53" i="39"/>
  <c r="BJ9" i="39"/>
  <c r="BJ132" i="39"/>
  <c r="BJ95" i="39"/>
  <c r="BJ52" i="39"/>
  <c r="BJ121" i="39"/>
  <c r="BJ126" i="39"/>
  <c r="BJ128" i="39"/>
  <c r="BJ112" i="39"/>
  <c r="BJ33" i="39"/>
  <c r="BJ57" i="39"/>
  <c r="BJ18" i="39"/>
  <c r="BJ8" i="39"/>
  <c r="BJ47" i="39"/>
  <c r="BJ30" i="39"/>
  <c r="BJ101" i="39"/>
  <c r="BJ34" i="39"/>
  <c r="BJ110" i="39"/>
  <c r="BJ87" i="39"/>
  <c r="BJ22" i="39"/>
  <c r="BJ42" i="39"/>
  <c r="BJ59" i="39"/>
  <c r="BJ93" i="39"/>
  <c r="V36" i="39"/>
  <c r="V41" i="39"/>
  <c r="V43" i="39"/>
  <c r="V42" i="39"/>
  <c r="BK39" i="39"/>
  <c r="BK82" i="39"/>
  <c r="BK97" i="39"/>
  <c r="BK120" i="39"/>
  <c r="BK98" i="39"/>
  <c r="BK99" i="39"/>
  <c r="BK79" i="39"/>
  <c r="BK130" i="39"/>
  <c r="BK74" i="39"/>
  <c r="BK112" i="39"/>
  <c r="BK42" i="39"/>
  <c r="BK111" i="39"/>
  <c r="BK51" i="39"/>
  <c r="BK23" i="39"/>
  <c r="BK78" i="39"/>
  <c r="BK132" i="39"/>
  <c r="BK71" i="39"/>
  <c r="BK27" i="39"/>
  <c r="BK9" i="39"/>
  <c r="BK122" i="39"/>
  <c r="BK86" i="39"/>
  <c r="BK106" i="39"/>
  <c r="BK118" i="39"/>
  <c r="BK134" i="39"/>
  <c r="BK46" i="39"/>
  <c r="BK55" i="39"/>
  <c r="BK47" i="39"/>
  <c r="BK56" i="39"/>
  <c r="BK62" i="39"/>
  <c r="BK59" i="39"/>
  <c r="BK50" i="39"/>
  <c r="BK90" i="39"/>
  <c r="BL76" i="39"/>
  <c r="BL95" i="39"/>
  <c r="BL129" i="39"/>
  <c r="BL117" i="39"/>
  <c r="BL11" i="39"/>
  <c r="BL29" i="39"/>
  <c r="BL48" i="39"/>
  <c r="BL10" i="39"/>
  <c r="BL87" i="39"/>
  <c r="BL115" i="39"/>
  <c r="BL108" i="39"/>
  <c r="BL63" i="39"/>
  <c r="BL14" i="39"/>
  <c r="BL6" i="39"/>
  <c r="BL105" i="39"/>
  <c r="BL55" i="39"/>
  <c r="BL112" i="39"/>
  <c r="BL21" i="39"/>
  <c r="BL56" i="39"/>
  <c r="BL43" i="39"/>
  <c r="BL114" i="39"/>
  <c r="BL85" i="39"/>
  <c r="BL96" i="39"/>
  <c r="BL92" i="39"/>
  <c r="BL79" i="39"/>
  <c r="BL72" i="39"/>
  <c r="BL9" i="39"/>
  <c r="BL109" i="39"/>
  <c r="BL84" i="39"/>
  <c r="BL8" i="39"/>
  <c r="BL120" i="39"/>
  <c r="BL97" i="39"/>
  <c r="BL15" i="39"/>
  <c r="X50" i="39"/>
  <c r="X59" i="39"/>
  <c r="X40" i="39"/>
  <c r="X41" i="39"/>
  <c r="X51" i="39"/>
  <c r="X60" i="39"/>
  <c r="S27" i="39"/>
  <c r="S47" i="39"/>
  <c r="S56" i="39"/>
  <c r="S42" i="39"/>
  <c r="S41" i="39"/>
  <c r="BG1" i="39"/>
  <c r="BG9" i="39"/>
  <c r="BG22" i="39"/>
  <c r="BG29" i="39"/>
  <c r="BG64" i="39"/>
  <c r="BG93" i="39"/>
  <c r="BG102" i="39"/>
  <c r="BG128" i="39"/>
  <c r="BG121" i="39"/>
  <c r="BG114" i="39"/>
  <c r="BG23" i="39"/>
  <c r="BG97" i="39"/>
  <c r="BG38" i="39"/>
  <c r="BG120" i="39"/>
  <c r="BG62" i="39"/>
  <c r="BG50" i="39"/>
  <c r="BG39" i="39"/>
  <c r="BG43" i="39"/>
  <c r="BG98" i="39"/>
  <c r="BG80" i="39"/>
  <c r="BG65" i="39"/>
  <c r="BG14" i="39"/>
  <c r="BG37" i="39"/>
  <c r="BG49" i="39"/>
  <c r="BG94" i="39"/>
  <c r="BG134" i="39"/>
  <c r="BG46" i="39"/>
  <c r="BG111" i="39"/>
  <c r="BG122" i="39"/>
  <c r="BG59" i="39"/>
  <c r="BG100" i="39"/>
  <c r="BG87" i="39"/>
  <c r="BG21" i="39"/>
  <c r="BG68" i="39"/>
  <c r="BG8" i="39"/>
  <c r="BG27" i="39"/>
  <c r="BG53" i="39"/>
  <c r="BG92" i="39"/>
  <c r="BG123" i="39"/>
  <c r="BG73" i="39"/>
  <c r="BG96" i="39"/>
  <c r="BG52" i="39"/>
  <c r="BG135" i="39"/>
  <c r="BG18" i="39"/>
  <c r="BG105" i="39"/>
  <c r="BG32" i="39"/>
  <c r="BG72" i="39"/>
  <c r="BG51" i="39"/>
  <c r="BG57" i="39"/>
  <c r="BG99" i="39"/>
  <c r="BG7" i="39"/>
  <c r="BG24" i="39"/>
  <c r="BG40" i="39"/>
  <c r="BG83" i="39"/>
  <c r="BG110" i="39"/>
  <c r="BG41" i="39"/>
  <c r="BG79" i="39"/>
  <c r="BG11" i="39"/>
  <c r="BG60" i="39"/>
  <c r="BG86" i="39"/>
  <c r="BG69" i="39"/>
  <c r="BG78" i="39"/>
  <c r="BG58" i="39"/>
  <c r="BG131" i="39"/>
  <c r="BG109" i="39"/>
  <c r="BG117" i="39"/>
  <c r="BG104" i="39"/>
  <c r="BG56" i="39"/>
  <c r="BG127" i="39"/>
  <c r="BG67" i="39"/>
  <c r="BG16" i="39"/>
  <c r="BG10" i="39"/>
  <c r="BG108" i="39"/>
  <c r="BG125" i="39"/>
  <c r="BG33" i="39"/>
  <c r="BG84" i="39"/>
  <c r="BG75" i="39"/>
  <c r="BG74" i="39"/>
  <c r="BG132" i="39"/>
  <c r="BG19" i="39"/>
  <c r="BG133" i="39"/>
  <c r="BG71" i="39"/>
  <c r="BG12" i="39"/>
  <c r="BG95" i="39"/>
  <c r="BG76" i="39"/>
  <c r="BG6" i="39"/>
  <c r="BG63" i="39"/>
  <c r="BG13" i="39"/>
  <c r="S49" i="39"/>
  <c r="S58" i="39"/>
  <c r="S36" i="39"/>
  <c r="S48" i="39"/>
  <c r="S57" i="39"/>
  <c r="S44" i="39"/>
  <c r="S46" i="39"/>
  <c r="S55" i="39"/>
  <c r="S38" i="39"/>
  <c r="S50" i="39"/>
  <c r="S59" i="39"/>
  <c r="S37" i="39"/>
  <c r="S43" i="39"/>
  <c r="W27" i="39"/>
  <c r="W40" i="39"/>
  <c r="W48" i="39"/>
  <c r="W57" i="39"/>
  <c r="W46" i="39"/>
  <c r="W55" i="39"/>
  <c r="W41" i="39"/>
  <c r="W44" i="39"/>
  <c r="W36" i="39"/>
  <c r="W45" i="39"/>
  <c r="W54" i="39"/>
  <c r="W42" i="39"/>
  <c r="W50" i="39"/>
  <c r="W59" i="39"/>
  <c r="W51" i="39"/>
  <c r="W60" i="39"/>
  <c r="W38" i="39"/>
  <c r="W47" i="39"/>
  <c r="W56" i="39"/>
  <c r="BJ25" i="39"/>
  <c r="BJ23" i="39"/>
  <c r="BJ43" i="39"/>
  <c r="BJ54" i="39"/>
  <c r="BJ61" i="39"/>
  <c r="BJ6" i="39"/>
  <c r="BJ80" i="39"/>
  <c r="BJ26" i="39"/>
  <c r="BJ39" i="39"/>
  <c r="BJ27" i="39"/>
  <c r="BJ85" i="39"/>
  <c r="BJ78" i="39"/>
  <c r="BJ117" i="39"/>
  <c r="BJ63" i="39"/>
  <c r="BJ50" i="39"/>
  <c r="BJ96" i="39"/>
  <c r="BJ116" i="39"/>
  <c r="BJ123" i="39"/>
  <c r="BJ20" i="39"/>
  <c r="BJ102" i="39"/>
  <c r="BJ76" i="39"/>
  <c r="BJ114" i="39"/>
  <c r="BJ134" i="39"/>
  <c r="BJ89" i="39"/>
  <c r="BJ44" i="39"/>
  <c r="BJ71" i="39"/>
  <c r="BJ40" i="39"/>
  <c r="BJ70" i="39"/>
  <c r="BJ105" i="39"/>
  <c r="BJ24" i="39"/>
  <c r="BJ35" i="39"/>
  <c r="BJ103" i="39"/>
  <c r="BJ29" i="39"/>
  <c r="V38" i="39"/>
  <c r="V45" i="39"/>
  <c r="V54" i="39"/>
  <c r="V51" i="39"/>
  <c r="V60" i="39"/>
  <c r="V50" i="39"/>
  <c r="V59" i="39"/>
  <c r="BK14" i="39"/>
  <c r="BK129" i="39"/>
  <c r="BK29" i="39"/>
  <c r="BK110" i="39"/>
  <c r="BK35" i="39"/>
  <c r="BK44" i="39"/>
  <c r="BK113" i="39"/>
  <c r="BK87" i="39"/>
  <c r="BK32" i="39"/>
  <c r="BK40" i="39"/>
  <c r="BK114" i="39"/>
  <c r="BK95" i="39"/>
  <c r="BK125" i="39"/>
  <c r="BK133" i="39"/>
  <c r="BK102" i="39"/>
  <c r="BK38" i="39"/>
  <c r="BK88" i="39"/>
  <c r="BK105" i="39"/>
  <c r="BK52" i="39"/>
  <c r="BK89" i="39"/>
  <c r="BK25" i="39"/>
  <c r="BK83" i="39"/>
  <c r="BK18" i="39"/>
  <c r="BK7" i="39"/>
  <c r="BK41" i="39"/>
  <c r="BK45" i="39"/>
  <c r="BK101" i="39"/>
  <c r="BK12" i="39"/>
  <c r="BK126" i="39"/>
  <c r="BK36" i="39"/>
  <c r="BK75" i="39"/>
  <c r="BK8" i="39"/>
  <c r="W37" i="39"/>
  <c r="W49" i="39"/>
  <c r="W58" i="39"/>
  <c r="W43" i="39"/>
  <c r="W39" i="39"/>
  <c r="BL24" i="39"/>
  <c r="BL54" i="39"/>
  <c r="BL116" i="39"/>
  <c r="BL17" i="39"/>
  <c r="BL128" i="39"/>
  <c r="BL7" i="39"/>
  <c r="BL83" i="39"/>
  <c r="BL100" i="39"/>
  <c r="BL126" i="39"/>
  <c r="BL75" i="39"/>
  <c r="BL65" i="39"/>
  <c r="BL19" i="39"/>
  <c r="BL135" i="39"/>
  <c r="BL133" i="39"/>
  <c r="BL119" i="39"/>
  <c r="BL99" i="39"/>
  <c r="BL32" i="39"/>
  <c r="BL124" i="39"/>
  <c r="BL69" i="39"/>
  <c r="BL44" i="39"/>
  <c r="BL94" i="39"/>
  <c r="BL125" i="39"/>
  <c r="BL86" i="39"/>
  <c r="BL71" i="39"/>
  <c r="BL59" i="39"/>
  <c r="BL132" i="39"/>
  <c r="BL82" i="39"/>
  <c r="BL121" i="39"/>
  <c r="BL130" i="39"/>
  <c r="BL12" i="39"/>
  <c r="BL47" i="39"/>
  <c r="BL26" i="39"/>
  <c r="BL73" i="39"/>
  <c r="X37" i="39"/>
  <c r="X36" i="39"/>
  <c r="X43" i="39"/>
  <c r="X46" i="39"/>
  <c r="X55" i="39"/>
  <c r="S40" i="39"/>
  <c r="S39" i="39"/>
  <c r="S45" i="39"/>
  <c r="S54" i="39"/>
  <c r="S51" i="39"/>
  <c r="S60" i="39"/>
  <c r="BG70" i="39"/>
  <c r="BG26" i="39"/>
  <c r="BG61" i="39"/>
  <c r="BG55" i="39"/>
  <c r="BG85" i="39"/>
  <c r="BG15" i="39"/>
  <c r="BG101" i="39"/>
  <c r="BG34" i="39"/>
  <c r="BG112" i="39"/>
  <c r="BG66" i="39"/>
  <c r="BG91" i="39"/>
  <c r="BG45" i="39"/>
  <c r="BG88" i="39"/>
  <c r="BG116" i="39"/>
  <c r="BG107" i="39"/>
  <c r="BG17" i="39"/>
  <c r="BG90" i="39"/>
  <c r="BG54" i="39"/>
  <c r="BG82" i="39"/>
  <c r="BG36" i="39"/>
  <c r="BG77" i="39"/>
  <c r="BG130" i="39"/>
  <c r="BG118" i="39"/>
  <c r="BG20" i="39"/>
  <c r="BG47" i="39"/>
  <c r="BG103" i="39"/>
  <c r="BG81" i="39"/>
  <c r="BG106" i="39"/>
  <c r="BG129" i="39"/>
  <c r="BG115" i="39"/>
  <c r="BG28" i="39"/>
  <c r="BG124" i="39"/>
  <c r="BG31" i="39"/>
  <c r="BG35" i="39"/>
  <c r="BG48" i="39"/>
  <c r="BG30" i="39"/>
  <c r="BG119" i="39"/>
  <c r="BG126" i="39"/>
  <c r="BG89" i="39"/>
  <c r="BG44" i="39"/>
  <c r="BG25" i="39"/>
  <c r="BG42" i="39"/>
  <c r="BG113" i="39"/>
  <c r="U27" i="39"/>
  <c r="U45" i="39"/>
  <c r="U54" i="39"/>
  <c r="U50" i="39"/>
  <c r="U59" i="39"/>
  <c r="U51" i="39"/>
  <c r="U60" i="39"/>
  <c r="U38" i="39"/>
  <c r="U49" i="39"/>
  <c r="U58" i="39"/>
  <c r="U43" i="39"/>
  <c r="U42" i="39"/>
  <c r="U46" i="39"/>
  <c r="U55" i="39"/>
  <c r="BI1" i="39"/>
  <c r="BI120" i="39"/>
  <c r="BI60" i="39"/>
  <c r="BI11" i="39"/>
  <c r="BI93" i="39"/>
  <c r="BI77" i="39"/>
  <c r="BI106" i="39"/>
  <c r="BI22" i="39"/>
  <c r="BI128" i="39"/>
  <c r="BI70" i="39"/>
  <c r="BI35" i="39"/>
  <c r="BI10" i="39"/>
  <c r="BI45" i="39"/>
  <c r="BI112" i="39"/>
  <c r="BI85" i="39"/>
  <c r="BI121" i="39"/>
  <c r="BI52" i="39"/>
  <c r="BI34" i="39"/>
  <c r="BI7" i="39"/>
  <c r="BI119" i="39"/>
  <c r="BI15" i="39"/>
  <c r="BI41" i="39"/>
  <c r="BI76" i="39"/>
  <c r="BI40" i="39"/>
  <c r="BI132" i="39"/>
  <c r="BI66" i="39"/>
  <c r="BI72" i="39"/>
  <c r="BI75" i="39"/>
  <c r="BI124" i="39"/>
  <c r="BI87" i="39"/>
  <c r="BI19" i="39"/>
  <c r="BI8" i="39"/>
  <c r="BI23" i="39"/>
  <c r="BI114" i="39"/>
  <c r="BI55" i="39"/>
  <c r="BI122" i="39"/>
  <c r="BI98" i="39"/>
  <c r="BI99" i="39"/>
  <c r="BI14" i="39"/>
  <c r="BI101" i="39"/>
  <c r="BI127" i="39"/>
  <c r="BI64" i="39"/>
  <c r="BI78" i="39"/>
  <c r="BI33" i="39"/>
  <c r="BI83" i="39"/>
  <c r="BI50" i="39"/>
  <c r="BI12" i="39"/>
  <c r="BI58" i="39"/>
  <c r="BI94" i="39"/>
  <c r="BI79" i="39"/>
  <c r="BI9" i="39"/>
  <c r="BI56" i="39"/>
  <c r="BI54" i="39"/>
  <c r="BI105" i="39"/>
  <c r="BI67" i="39"/>
  <c r="BI74" i="39"/>
  <c r="BI27" i="39"/>
  <c r="BI68" i="39"/>
  <c r="BI113" i="39"/>
  <c r="BI125" i="39"/>
  <c r="BI71" i="39"/>
  <c r="BI42" i="39"/>
  <c r="BI135" i="39"/>
  <c r="BI90" i="39"/>
  <c r="BI111" i="39"/>
  <c r="BI39" i="39"/>
  <c r="U41" i="39"/>
  <c r="U47" i="39"/>
  <c r="U56" i="39"/>
  <c r="U40" i="39"/>
  <c r="U37" i="39"/>
  <c r="BI117" i="39"/>
  <c r="BI30" i="39"/>
  <c r="BI46" i="39"/>
  <c r="BI57" i="39"/>
  <c r="BI51" i="39"/>
  <c r="BI131" i="39"/>
  <c r="BI29" i="39"/>
  <c r="BI115" i="39"/>
  <c r="BI130" i="39"/>
  <c r="BI13" i="39"/>
  <c r="BI108" i="39"/>
  <c r="BI18" i="39"/>
  <c r="BI92" i="39"/>
  <c r="BI103" i="39"/>
  <c r="BI24" i="39"/>
  <c r="BI47" i="39"/>
  <c r="BI100" i="39"/>
  <c r="BI16" i="39"/>
  <c r="BI91" i="39"/>
  <c r="BI37" i="39"/>
  <c r="BI109" i="39"/>
  <c r="U48" i="39"/>
  <c r="U57" i="39"/>
  <c r="U39" i="39"/>
  <c r="U36" i="39"/>
  <c r="U44" i="39"/>
  <c r="BI28" i="39"/>
  <c r="BI36" i="39"/>
  <c r="BI73" i="39"/>
  <c r="BI80" i="39"/>
  <c r="BI88" i="39"/>
  <c r="BI96" i="39"/>
  <c r="BI107" i="39"/>
  <c r="BI65" i="39"/>
  <c r="BI123" i="39"/>
  <c r="BI63" i="39"/>
  <c r="BI6" i="39"/>
  <c r="BI17" i="39"/>
  <c r="BI49" i="39"/>
  <c r="BI89" i="39"/>
  <c r="BI126" i="39"/>
  <c r="BI69" i="39"/>
  <c r="BI97" i="39"/>
  <c r="BI43" i="39"/>
  <c r="BI118" i="39"/>
  <c r="BI102" i="39"/>
  <c r="BI95" i="39"/>
  <c r="BI133" i="39"/>
  <c r="BI32" i="39"/>
  <c r="BI61" i="39"/>
  <c r="BI82" i="39"/>
  <c r="BI26" i="39"/>
  <c r="BI134" i="39"/>
  <c r="BI21" i="39"/>
  <c r="BI81" i="39"/>
  <c r="BI62" i="39"/>
  <c r="BI86" i="39"/>
  <c r="BI59" i="39"/>
  <c r="BI116" i="39"/>
  <c r="BI25" i="39"/>
  <c r="BI48" i="39"/>
  <c r="BI84" i="39"/>
  <c r="BI129" i="39"/>
  <c r="BI20" i="39"/>
  <c r="BI44" i="39"/>
  <c r="BI53" i="39"/>
  <c r="BI104" i="39"/>
  <c r="BI31" i="39"/>
  <c r="BI110" i="39"/>
  <c r="BI38" i="39"/>
  <c r="Z25" i="39"/>
  <c r="AA25" i="39"/>
  <c r="AA26" i="39"/>
  <c r="Z26" i="39"/>
  <c r="AA28" i="39" a="1"/>
  <c r="AA29" i="39"/>
  <c r="AA28" i="39"/>
  <c r="AA27" i="39"/>
  <c r="AA39" i="39"/>
  <c r="BO1" i="39"/>
  <c r="BO80" i="39"/>
  <c r="BO24" i="39"/>
  <c r="BO39" i="39"/>
  <c r="BO75" i="39"/>
  <c r="BO36" i="39"/>
  <c r="BO104" i="39"/>
  <c r="BO110" i="39"/>
  <c r="BO122" i="39"/>
  <c r="BO58" i="39"/>
  <c r="BO77" i="39"/>
  <c r="BO93" i="39"/>
  <c r="BO40" i="39"/>
  <c r="BO16" i="39"/>
  <c r="BO79" i="39"/>
  <c r="BO12" i="39"/>
  <c r="BO124" i="39"/>
  <c r="BO64" i="39"/>
  <c r="BO35" i="39"/>
  <c r="BO21" i="39"/>
  <c r="BO91" i="39"/>
  <c r="BO55" i="39"/>
  <c r="BO88" i="39"/>
  <c r="BO60" i="39"/>
  <c r="BO14" i="39"/>
  <c r="BO25" i="39"/>
  <c r="BO57" i="39"/>
  <c r="BO125" i="39"/>
  <c r="BO30" i="39"/>
  <c r="BO43" i="39"/>
  <c r="BO120" i="39"/>
  <c r="BO130" i="39"/>
  <c r="BO31" i="39"/>
  <c r="BO49" i="39"/>
  <c r="BO69" i="39"/>
  <c r="BO107" i="39"/>
  <c r="AA42" i="39"/>
  <c r="AA35" i="39"/>
  <c r="BO5" i="39" s="1"/>
  <c r="AA38" i="39"/>
  <c r="BO50" i="39"/>
  <c r="BO63" i="39"/>
  <c r="BO92" i="39"/>
  <c r="BO15" i="39"/>
  <c r="BO82" i="39"/>
  <c r="BO119" i="39"/>
  <c r="BO59" i="39"/>
  <c r="BO89" i="39"/>
  <c r="BO118" i="39"/>
  <c r="BO114" i="39"/>
  <c r="BO85" i="39"/>
  <c r="BO121" i="39"/>
  <c r="BO97" i="39"/>
  <c r="BO95" i="39"/>
  <c r="BO101" i="39"/>
  <c r="BO37" i="39"/>
  <c r="AA46" i="39"/>
  <c r="AA55" i="39"/>
  <c r="BO46" i="39"/>
  <c r="BO94" i="39"/>
  <c r="BO106" i="39"/>
  <c r="BO10" i="39"/>
  <c r="BO72" i="39"/>
  <c r="BO20" i="39"/>
  <c r="BO71" i="39"/>
  <c r="BO70" i="39"/>
  <c r="BO87" i="39"/>
  <c r="BO116" i="39"/>
  <c r="BO47" i="39"/>
  <c r="BO108" i="39"/>
  <c r="BO105" i="39"/>
  <c r="BO9" i="39"/>
  <c r="BO33" i="39"/>
  <c r="BO65" i="39"/>
  <c r="BO51" i="39"/>
  <c r="AB25" i="39"/>
  <c r="AB26" i="39"/>
  <c r="AB28" i="39" a="1"/>
  <c r="AB28" i="39"/>
  <c r="AB35" i="39" s="1"/>
  <c r="BP5" i="39" s="1"/>
  <c r="AB29" i="39"/>
  <c r="AB30" i="39"/>
  <c r="Z28" i="39" a="1"/>
  <c r="Z30" i="39"/>
  <c r="Z28" i="39"/>
  <c r="Z29" i="39"/>
  <c r="Z27" i="39"/>
  <c r="Z50" i="39"/>
  <c r="Z59" i="39"/>
  <c r="Z38" i="39"/>
  <c r="BN1" i="39"/>
  <c r="BN73" i="39"/>
  <c r="BN7" i="39"/>
  <c r="BN79" i="39"/>
  <c r="BN108" i="39"/>
  <c r="BN87" i="39"/>
  <c r="BN127" i="39"/>
  <c r="BN13" i="39"/>
  <c r="BN49" i="39"/>
  <c r="BN81" i="39"/>
  <c r="BN128" i="39"/>
  <c r="BN101" i="39"/>
  <c r="BN132" i="39"/>
  <c r="BN36" i="39"/>
  <c r="BN16" i="39"/>
  <c r="BN42" i="39"/>
  <c r="BN112" i="39"/>
  <c r="BN88" i="39"/>
  <c r="BN118" i="39"/>
  <c r="BN24" i="39"/>
  <c r="BN84" i="39"/>
  <c r="BN113" i="39"/>
  <c r="BN53" i="39"/>
  <c r="BN133" i="39"/>
  <c r="BN99" i="39"/>
  <c r="BN78" i="39"/>
  <c r="BN134" i="39"/>
  <c r="BN26" i="39"/>
  <c r="BN126" i="39"/>
  <c r="BN120" i="39"/>
  <c r="BN28" i="39"/>
  <c r="BN91" i="39"/>
  <c r="BN6" i="39"/>
  <c r="BN103" i="39"/>
  <c r="BN110" i="39"/>
  <c r="BN10" i="39"/>
  <c r="BN48" i="39"/>
  <c r="BN57" i="39"/>
  <c r="BN135" i="39"/>
  <c r="BN12" i="39"/>
  <c r="BN65" i="39"/>
  <c r="BN86" i="39"/>
  <c r="BN94" i="39"/>
  <c r="BN19" i="39"/>
  <c r="BN102" i="39"/>
  <c r="BN95" i="39"/>
  <c r="BN62" i="39"/>
  <c r="BN92" i="39"/>
  <c r="BN29" i="39"/>
  <c r="BN51" i="39"/>
  <c r="BN64" i="39"/>
  <c r="BN52" i="39"/>
  <c r="BN40" i="39"/>
  <c r="BN106" i="39"/>
  <c r="BN14" i="39"/>
  <c r="BN56" i="39"/>
  <c r="BN119" i="39"/>
  <c r="BN125" i="39"/>
  <c r="BN107" i="39"/>
  <c r="BN74" i="39"/>
  <c r="BN67" i="39"/>
  <c r="BN41" i="39"/>
  <c r="BN105" i="39"/>
  <c r="BN70" i="39"/>
  <c r="BN45" i="39"/>
  <c r="BN30" i="39"/>
  <c r="BN96" i="39"/>
  <c r="BN114" i="39"/>
  <c r="BN44" i="39"/>
  <c r="Z39" i="39"/>
  <c r="Z46" i="39"/>
  <c r="Z55" i="39"/>
  <c r="Z49" i="39"/>
  <c r="Z58" i="39"/>
  <c r="Z35" i="39"/>
  <c r="BN5" i="39" s="1"/>
  <c r="AA36" i="39"/>
  <c r="AA50" i="39"/>
  <c r="AA59" i="39"/>
  <c r="BO115" i="39"/>
  <c r="BO61" i="39"/>
  <c r="BO96" i="39"/>
  <c r="BO23" i="39"/>
  <c r="BO98" i="39"/>
  <c r="BO28" i="39"/>
  <c r="BO86" i="39"/>
  <c r="BO54" i="39"/>
  <c r="BO112" i="39"/>
  <c r="BO123" i="39"/>
  <c r="AA41" i="39"/>
  <c r="BN22" i="39"/>
  <c r="BN89" i="39"/>
  <c r="BO17" i="39"/>
  <c r="BN75" i="39"/>
  <c r="BO134" i="39"/>
  <c r="BN63" i="39"/>
  <c r="BN20" i="39"/>
  <c r="BN90" i="39"/>
  <c r="BO127" i="39"/>
  <c r="BN46" i="39"/>
  <c r="BN33" i="39"/>
  <c r="BN8" i="39"/>
  <c r="BN117" i="39"/>
  <c r="BO133" i="39"/>
  <c r="BO113" i="39"/>
  <c r="AA40" i="39"/>
  <c r="BN76" i="39"/>
  <c r="BN39" i="39"/>
  <c r="BO73" i="39"/>
  <c r="BO11" i="39"/>
  <c r="BN82" i="39"/>
  <c r="BN54" i="39"/>
  <c r="BO19" i="39"/>
  <c r="BO32" i="39"/>
  <c r="AA45" i="39"/>
  <c r="AA54" i="39"/>
  <c r="Z40" i="39"/>
  <c r="BN68" i="39"/>
  <c r="AA44" i="39"/>
  <c r="BN98" i="39"/>
  <c r="BN11" i="39"/>
  <c r="BO111" i="39"/>
  <c r="BO99" i="39"/>
  <c r="BO117" i="39"/>
  <c r="BO18" i="39"/>
  <c r="BO22" i="39"/>
  <c r="BO44" i="39"/>
  <c r="BO27" i="39"/>
  <c r="BO135" i="39"/>
  <c r="Z48" i="39"/>
  <c r="Z57" i="39"/>
  <c r="BO84" i="39"/>
  <c r="BO56" i="39"/>
  <c r="BO6" i="39"/>
  <c r="BO128" i="39"/>
  <c r="BO103" i="39"/>
  <c r="BO109" i="39"/>
  <c r="BN109" i="39"/>
  <c r="BN17" i="39"/>
  <c r="BN131" i="39"/>
  <c r="BN21" i="39"/>
  <c r="BN121" i="39"/>
  <c r="BN55" i="39"/>
  <c r="BN104" i="39"/>
  <c r="BN60" i="39"/>
  <c r="BN37" i="39"/>
  <c r="BN23" i="39"/>
  <c r="BN83" i="39"/>
  <c r="BN80" i="39"/>
  <c r="BN47" i="39"/>
  <c r="BN130" i="39"/>
  <c r="BN115" i="39"/>
  <c r="BN59" i="39"/>
  <c r="Y25" i="39"/>
  <c r="Y26" i="39"/>
  <c r="Y28" i="39" a="1"/>
  <c r="Y28" i="39"/>
  <c r="Y29" i="39"/>
  <c r="Y27" i="39"/>
  <c r="Y37" i="39"/>
  <c r="Y41" i="39"/>
  <c r="Y39" i="39"/>
  <c r="Y36" i="39"/>
  <c r="Y43" i="39"/>
  <c r="Y44" i="39"/>
  <c r="Y50" i="39"/>
  <c r="Y59" i="39"/>
  <c r="Y45" i="39"/>
  <c r="Y54" i="39"/>
  <c r="Y51" i="39"/>
  <c r="Y60" i="39"/>
  <c r="Y42" i="39"/>
  <c r="Y49" i="39"/>
  <c r="Y58" i="39"/>
  <c r="Y46" i="39"/>
  <c r="Y55" i="39"/>
  <c r="Y35" i="39"/>
  <c r="BM5" i="39" s="1"/>
  <c r="AA37" i="39"/>
  <c r="Z47" i="39"/>
  <c r="Z56" i="39"/>
  <c r="BO129" i="39"/>
  <c r="AA43" i="39"/>
  <c r="Z42" i="39"/>
  <c r="BO42" i="39"/>
  <c r="AA51" i="39"/>
  <c r="AA60" i="39"/>
  <c r="Z43" i="39"/>
  <c r="BO102" i="39"/>
  <c r="BO78" i="39"/>
  <c r="BO68" i="39"/>
  <c r="BO126" i="39"/>
  <c r="Z51" i="39"/>
  <c r="Z60" i="39"/>
  <c r="BN123" i="39"/>
  <c r="BN27" i="39"/>
  <c r="BO8" i="39"/>
  <c r="AA48" i="39"/>
  <c r="AA57" i="39"/>
  <c r="Z36" i="39"/>
  <c r="BN38" i="39"/>
  <c r="BO74" i="39"/>
  <c r="AA49" i="39"/>
  <c r="AA58" i="39"/>
  <c r="Z37" i="39"/>
  <c r="BN50" i="39"/>
  <c r="AA47" i="39"/>
  <c r="AA56" i="39"/>
  <c r="BN129" i="39"/>
  <c r="BN61" i="39"/>
  <c r="BO52" i="39"/>
  <c r="AB27" i="39"/>
  <c r="AB38" i="39"/>
  <c r="AB46" i="39"/>
  <c r="AB55" i="39"/>
  <c r="AB45" i="39"/>
  <c r="AB54" i="39"/>
  <c r="AB40" i="39"/>
  <c r="AB51" i="39"/>
  <c r="AB60" i="39"/>
  <c r="AB41" i="39"/>
  <c r="BP1" i="39"/>
  <c r="BP55" i="39"/>
  <c r="BP128" i="39"/>
  <c r="BP83" i="39"/>
  <c r="BP47" i="39"/>
  <c r="BP50" i="39"/>
  <c r="BP111" i="39"/>
  <c r="BP43" i="39"/>
  <c r="BP100" i="39"/>
  <c r="BP131" i="39"/>
  <c r="BP130" i="39"/>
  <c r="BP74" i="39"/>
  <c r="BP62" i="39"/>
  <c r="BP11" i="39"/>
  <c r="BP60" i="39"/>
  <c r="BP25" i="39"/>
  <c r="BP125" i="39"/>
  <c r="BP101" i="39"/>
  <c r="BP73" i="39"/>
  <c r="BP124" i="39"/>
  <c r="BP81" i="39"/>
  <c r="BP112" i="39"/>
  <c r="BP91" i="39"/>
  <c r="BP9" i="39"/>
  <c r="BP119" i="39"/>
  <c r="BP93" i="39"/>
  <c r="BP94" i="39"/>
  <c r="BP92" i="39"/>
  <c r="BP129" i="39"/>
  <c r="BP65" i="39"/>
  <c r="BP39" i="39"/>
  <c r="BP45" i="39"/>
  <c r="BP33" i="39"/>
  <c r="BP105" i="39"/>
  <c r="BP36" i="39"/>
  <c r="BP64" i="39"/>
  <c r="BP116" i="39"/>
  <c r="BP15" i="39"/>
  <c r="BP66" i="39"/>
  <c r="BP108" i="39"/>
  <c r="BP38" i="39"/>
  <c r="BP134" i="39"/>
  <c r="BP104" i="39"/>
  <c r="BP32" i="39"/>
  <c r="BP10" i="39"/>
  <c r="BP135" i="39"/>
  <c r="BP69" i="39"/>
  <c r="BP114" i="39"/>
  <c r="BP63" i="39"/>
  <c r="BP84" i="39"/>
  <c r="BP76" i="39"/>
  <c r="BP89" i="39"/>
  <c r="BP99" i="39"/>
  <c r="BP68" i="39"/>
  <c r="BP110" i="39"/>
  <c r="BP51" i="39"/>
  <c r="BP117" i="39"/>
  <c r="BP23" i="39"/>
  <c r="BP44" i="39"/>
  <c r="BP19" i="39"/>
  <c r="BP22" i="39"/>
  <c r="BP14" i="39"/>
  <c r="BP12" i="39"/>
  <c r="BP52" i="39"/>
  <c r="BP31" i="39"/>
  <c r="BP49" i="39"/>
  <c r="BP121" i="39"/>
  <c r="BP86" i="39"/>
  <c r="BP46" i="39"/>
  <c r="BP7" i="39"/>
  <c r="BP120" i="39"/>
  <c r="BP77" i="39"/>
  <c r="BP133" i="39"/>
  <c r="BP28" i="39"/>
  <c r="BP30" i="39"/>
  <c r="BP122" i="39"/>
  <c r="BP17" i="39"/>
  <c r="BP18" i="39"/>
  <c r="BP37" i="39"/>
  <c r="BP40" i="39"/>
  <c r="BP8" i="39"/>
  <c r="BP85" i="39"/>
  <c r="BP102" i="39"/>
  <c r="BP79" i="39"/>
  <c r="BP107" i="39"/>
  <c r="BP20" i="39"/>
  <c r="BP59" i="39"/>
  <c r="BP95" i="39"/>
  <c r="BP88" i="39"/>
  <c r="BP41" i="39"/>
  <c r="BP56" i="39"/>
  <c r="BP34" i="39"/>
  <c r="BP113" i="39"/>
  <c r="BP21" i="39"/>
  <c r="BP53" i="39"/>
  <c r="BP67" i="39"/>
  <c r="BP97" i="39"/>
  <c r="BP48" i="39"/>
  <c r="AB39" i="39"/>
  <c r="AB49" i="39"/>
  <c r="AB58" i="39"/>
  <c r="AB37" i="39"/>
  <c r="AB36" i="39"/>
  <c r="AB48" i="39"/>
  <c r="AB57" i="39"/>
  <c r="AB50" i="39"/>
  <c r="AB59" i="39"/>
  <c r="Z45" i="39"/>
  <c r="Z54" i="39"/>
  <c r="BN111" i="39"/>
  <c r="BO100" i="39"/>
  <c r="BO81" i="39"/>
  <c r="BO132" i="39"/>
  <c r="BN35" i="39"/>
  <c r="BN58" i="39"/>
  <c r="BO45" i="39"/>
  <c r="BO76" i="39"/>
  <c r="BO131" i="39"/>
  <c r="BN71" i="39"/>
  <c r="BN97" i="39"/>
  <c r="AB47" i="39"/>
  <c r="AB56" i="39"/>
  <c r="Z41" i="39"/>
  <c r="BN93" i="39"/>
  <c r="BN32" i="39"/>
  <c r="BO38" i="39"/>
  <c r="BO7" i="39"/>
  <c r="BO48" i="39"/>
  <c r="BO66" i="39"/>
  <c r="BO90" i="39"/>
  <c r="BO67" i="39"/>
  <c r="BO29" i="39"/>
  <c r="BO53" i="39"/>
  <c r="Z44" i="39"/>
  <c r="BO83" i="39"/>
  <c r="BO41" i="39"/>
  <c r="BO62" i="39"/>
  <c r="BO34" i="39"/>
  <c r="BO13" i="39"/>
  <c r="BO26" i="39"/>
  <c r="BN69" i="39"/>
  <c r="BN77" i="39"/>
  <c r="BN43" i="39"/>
  <c r="BN18" i="39"/>
  <c r="BN122" i="39"/>
  <c r="BN85" i="39"/>
  <c r="BN66" i="39"/>
  <c r="BN9" i="39"/>
  <c r="BN100" i="39"/>
  <c r="BN34" i="39"/>
  <c r="BN31" i="39"/>
  <c r="BN116" i="39"/>
  <c r="BN124" i="39"/>
  <c r="BN72" i="39"/>
  <c r="BN25" i="39"/>
  <c r="BN15" i="39"/>
  <c r="AB43" i="39"/>
  <c r="AB44" i="39"/>
  <c r="AB42" i="39"/>
  <c r="BP16" i="39"/>
  <c r="BP98" i="39"/>
  <c r="BP71" i="39"/>
  <c r="BP109" i="39"/>
  <c r="BP118" i="39"/>
  <c r="BP78" i="39"/>
  <c r="BP54" i="39"/>
  <c r="BP96" i="39"/>
  <c r="BP13" i="39"/>
  <c r="BP70" i="39"/>
  <c r="BP87" i="39"/>
  <c r="BP75" i="39"/>
  <c r="BP132" i="39"/>
  <c r="BP82" i="39"/>
  <c r="BP80" i="39"/>
  <c r="BP57" i="39"/>
  <c r="BP123" i="39"/>
  <c r="BP127" i="39"/>
  <c r="BP72" i="39"/>
  <c r="BP27" i="39"/>
  <c r="BP29" i="39"/>
  <c r="BP115" i="39"/>
  <c r="BP24" i="39"/>
  <c r="BP61" i="39"/>
  <c r="BP6" i="39"/>
  <c r="BP106" i="39"/>
  <c r="BP42" i="39"/>
  <c r="BP126" i="39"/>
  <c r="BP35" i="39"/>
  <c r="BP90" i="39"/>
  <c r="BP103" i="39"/>
  <c r="BP58" i="39"/>
  <c r="BP26" i="39"/>
  <c r="Y40" i="39"/>
  <c r="Y48" i="39"/>
  <c r="Y57" i="39"/>
  <c r="Y38" i="39"/>
  <c r="Y47" i="39"/>
  <c r="Y56" i="39"/>
  <c r="BM1" i="39"/>
  <c r="BM104" i="39"/>
  <c r="BM29" i="39"/>
  <c r="BM51" i="39"/>
  <c r="BM27" i="39"/>
  <c r="BM87" i="39"/>
  <c r="BM58" i="39"/>
  <c r="BM47" i="39"/>
  <c r="BM32" i="39"/>
  <c r="BM72" i="39"/>
  <c r="BM62" i="39"/>
  <c r="BM99" i="39"/>
  <c r="BM132" i="39"/>
  <c r="BM123" i="39"/>
  <c r="BM48" i="39"/>
  <c r="BM57" i="39"/>
  <c r="BM97" i="39"/>
  <c r="BM93" i="39"/>
  <c r="BM33" i="39"/>
  <c r="BM64" i="39"/>
  <c r="BM74" i="39"/>
  <c r="BM126" i="39"/>
  <c r="BM52" i="39"/>
  <c r="BM8" i="39"/>
  <c r="BM35" i="39"/>
  <c r="BM75" i="39"/>
  <c r="BM23" i="39"/>
  <c r="BM116" i="39"/>
  <c r="BM67" i="39"/>
  <c r="BM19" i="39"/>
  <c r="BM53" i="39"/>
  <c r="BM42" i="39"/>
  <c r="BM122" i="39"/>
  <c r="BM94" i="39"/>
  <c r="BM78" i="39"/>
  <c r="BM24" i="39"/>
  <c r="BM61" i="39"/>
  <c r="BM113" i="39"/>
  <c r="BM43" i="39"/>
  <c r="BM26" i="39"/>
  <c r="BM77" i="39"/>
  <c r="BM107" i="39"/>
  <c r="BM90" i="39"/>
  <c r="BM44" i="39"/>
  <c r="BM17" i="39"/>
  <c r="BM95" i="39"/>
  <c r="BM117" i="39"/>
  <c r="BM103" i="39"/>
  <c r="BM70" i="39"/>
  <c r="BM60" i="39"/>
  <c r="BM109" i="39"/>
  <c r="BM106" i="39"/>
  <c r="BM40" i="39"/>
  <c r="BM79" i="39"/>
  <c r="BM11" i="39"/>
  <c r="BM38" i="39"/>
  <c r="BM110" i="39"/>
  <c r="BM54" i="39"/>
  <c r="BM71" i="39"/>
  <c r="BM102" i="39"/>
  <c r="BM37" i="39"/>
  <c r="BM133" i="39"/>
  <c r="BM96" i="39"/>
  <c r="BM36" i="39"/>
  <c r="BM128" i="39"/>
  <c r="BM134" i="39"/>
  <c r="BM83" i="39"/>
  <c r="BM86" i="39"/>
  <c r="BM85" i="39"/>
  <c r="BM101" i="39"/>
  <c r="BM25" i="39"/>
  <c r="BM82" i="39"/>
  <c r="BM30" i="39"/>
  <c r="BM120" i="39"/>
  <c r="BM28" i="39"/>
  <c r="BM14" i="39"/>
  <c r="BM100" i="39"/>
  <c r="BM98" i="39"/>
  <c r="BM22" i="39"/>
  <c r="BM68" i="39"/>
  <c r="BM59" i="39"/>
  <c r="BM10" i="39"/>
  <c r="BM20" i="39"/>
  <c r="BM119" i="39"/>
  <c r="BM69" i="39"/>
  <c r="BM130" i="39"/>
  <c r="BM39" i="39"/>
  <c r="BM125" i="39"/>
  <c r="BM18" i="39"/>
  <c r="BM13" i="39"/>
  <c r="BM73" i="39"/>
  <c r="BM121" i="39"/>
  <c r="BM31" i="39"/>
  <c r="BM45" i="39"/>
  <c r="BM80" i="39"/>
  <c r="BM15" i="39"/>
  <c r="BM118" i="39"/>
  <c r="BM108" i="39"/>
  <c r="BM81" i="39"/>
  <c r="BM115" i="39"/>
  <c r="BM9" i="39"/>
  <c r="BM91" i="39"/>
  <c r="BM6" i="39"/>
  <c r="BM65" i="39"/>
  <c r="BM124" i="39"/>
  <c r="BM21" i="39"/>
  <c r="BM76" i="39"/>
  <c r="BM56" i="39"/>
  <c r="BM66" i="39"/>
  <c r="BM131" i="39"/>
  <c r="BM63" i="39"/>
  <c r="BM46" i="39"/>
  <c r="BM129" i="39"/>
  <c r="BM127" i="39"/>
  <c r="BM112" i="39"/>
  <c r="BM41" i="39"/>
  <c r="BM12" i="39"/>
  <c r="BM88" i="39"/>
  <c r="BM50" i="39"/>
  <c r="BM105" i="39"/>
  <c r="BM114" i="39"/>
  <c r="BM49" i="39"/>
  <c r="BM7" i="39"/>
  <c r="BM16" i="39"/>
  <c r="BM111" i="39"/>
  <c r="BM55" i="39"/>
  <c r="BM92" i="39"/>
  <c r="BM84" i="39"/>
  <c r="BM34" i="39"/>
  <c r="BM135" i="39"/>
  <c r="BM89" i="39"/>
</calcChain>
</file>

<file path=xl/sharedStrings.xml><?xml version="1.0" encoding="utf-8"?>
<sst xmlns="http://schemas.openxmlformats.org/spreadsheetml/2006/main" count="708" uniqueCount="119">
  <si>
    <t>General Settings</t>
  </si>
  <si>
    <t>Currency</t>
  </si>
  <si>
    <t>EUR</t>
  </si>
  <si>
    <t>Calendar</t>
  </si>
  <si>
    <t>TARGET</t>
  </si>
  <si>
    <t>IborType</t>
  </si>
  <si>
    <t>OvenightIndex</t>
  </si>
  <si>
    <t>Eonia</t>
  </si>
  <si>
    <t>Permanent</t>
  </si>
  <si>
    <t>ObjectOverwrite</t>
  </si>
  <si>
    <t>SettlementDate</t>
  </si>
  <si>
    <t>Actual/360</t>
  </si>
  <si>
    <t>QuoteSuffix</t>
  </si>
  <si>
    <t>_Quote</t>
  </si>
  <si>
    <t>Trigger</t>
  </si>
  <si>
    <t>Evaluation Date</t>
  </si>
  <si>
    <t>Interest Rates Trigger</t>
  </si>
  <si>
    <t>LastFixingsTrigger</t>
  </si>
  <si>
    <t>1Y</t>
  </si>
  <si>
    <t>TriggerCounter</t>
  </si>
  <si>
    <t>x</t>
  </si>
  <si>
    <t>=</t>
  </si>
  <si>
    <t>1M</t>
  </si>
  <si>
    <t>3M</t>
  </si>
  <si>
    <t>6M</t>
  </si>
  <si>
    <t>1D</t>
  </si>
  <si>
    <t>1W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</si>
  <si>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</si>
  <si>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</si>
  <si>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</si>
  <si>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</si>
  <si>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</si>
  <si>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</si>
  <si>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</si>
  <si>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</si>
  <si>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</si>
  <si>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</si>
  <si>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12M</t>
  </si>
  <si>
    <t>Value Date</t>
  </si>
  <si>
    <t>Maturity Date</t>
  </si>
  <si>
    <t>Triggers</t>
  </si>
  <si>
    <t>Linear</t>
  </si>
  <si>
    <t>Quadratic</t>
  </si>
  <si>
    <t>Instruments</t>
  </si>
  <si>
    <t>γ,β,α</t>
  </si>
  <si>
    <t>β,α</t>
  </si>
  <si>
    <t>coef α</t>
  </si>
  <si>
    <t>coef β</t>
  </si>
  <si>
    <t>coef γ</t>
  </si>
  <si>
    <t>tenor</t>
  </si>
  <si>
    <t>start date</t>
  </si>
  <si>
    <t>Discounting</t>
  </si>
  <si>
    <t>EURON</t>
  </si>
  <si>
    <t>Index</t>
  </si>
  <si>
    <t>Additional Settings</t>
  </si>
  <si>
    <t>tau</t>
  </si>
  <si>
    <t>F ON</t>
  </si>
  <si>
    <t>Delta</t>
  </si>
  <si>
    <t>Daycounter</t>
  </si>
  <si>
    <t>tau 1</t>
  </si>
  <si>
    <t>tau 2</t>
  </si>
  <si>
    <t>Basis</t>
  </si>
  <si>
    <t>Tenor</t>
  </si>
  <si>
    <t>Diff (bps)</t>
  </si>
  <si>
    <t>with 0X6</t>
  </si>
  <si>
    <t>without 0X6</t>
  </si>
  <si>
    <t>Exact Fit</t>
  </si>
  <si>
    <t>Best Fit</t>
  </si>
  <si>
    <t>Repricing Error</t>
  </si>
  <si>
    <t>FRA</t>
  </si>
  <si>
    <t xml:space="preserve"> </t>
  </si>
  <si>
    <t>Value date</t>
  </si>
  <si>
    <t>ON 6M Index</t>
  </si>
  <si>
    <t>C0</t>
  </si>
  <si>
    <t>C1</t>
  </si>
  <si>
    <t>C2</t>
  </si>
  <si>
    <t>C3</t>
  </si>
  <si>
    <t>c0</t>
  </si>
  <si>
    <t>c1</t>
  </si>
  <si>
    <t>c2</t>
  </si>
  <si>
    <t>c3</t>
  </si>
  <si>
    <t>c4</t>
  </si>
  <si>
    <t>Tenor Basis</t>
  </si>
  <si>
    <t>Basis BestFit</t>
  </si>
  <si>
    <t>Quote object</t>
  </si>
  <si>
    <t>Set Value</t>
  </si>
  <si>
    <t>ESTIMATED</t>
  </si>
  <si>
    <t>0 X 6 EXACT</t>
  </si>
  <si>
    <t>0 X 6 BEST</t>
  </si>
  <si>
    <t>t</t>
  </si>
  <si>
    <t>Is simple</t>
  </si>
  <si>
    <t>Calibration</t>
  </si>
  <si>
    <t>Compute</t>
  </si>
  <si>
    <t>Synth Depo</t>
  </si>
  <si>
    <t>Simple Basis Coeff</t>
  </si>
  <si>
    <t>Continuous Basis Coeff</t>
  </si>
  <si>
    <t>end date</t>
  </si>
  <si>
    <t xml:space="preserve">Cont Basis </t>
  </si>
  <si>
    <t>Simple Basis</t>
  </si>
  <si>
    <t>function</t>
  </si>
  <si>
    <t>Using Continuous Basis</t>
  </si>
  <si>
    <t>Start Date</t>
  </si>
  <si>
    <t>End Date</t>
  </si>
  <si>
    <t>Using Simple Basis</t>
  </si>
  <si>
    <t>Wheigts</t>
  </si>
  <si>
    <t>Contribution</t>
  </si>
  <si>
    <t>Simple Basis Approximation</t>
  </si>
  <si>
    <t>Continuous Basis Approximation</t>
  </si>
  <si>
    <t>Continuous Basis approximation</t>
  </si>
  <si>
    <t>Simple Basis approximation</t>
  </si>
  <si>
    <t>ON 3M Index</t>
  </si>
  <si>
    <t>0 X 3 EXACT</t>
  </si>
  <si>
    <t>0 X 3 BEST</t>
  </si>
  <si>
    <t>ON 12M Index</t>
  </si>
  <si>
    <t>0 X 12 EXACT</t>
  </si>
  <si>
    <t>0 X 12 BEST</t>
  </si>
  <si>
    <t>ON 1M Index</t>
  </si>
  <si>
    <t>0 X 1 EXACT</t>
  </si>
  <si>
    <t>0 X 1 BEST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</si>
</sst>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6" formatCode="&quot;£&quot;#,##0;[Red]\-&quot;£&quot;#,##0"/>
    <numFmt numFmtId="164" formatCode="#,##0.0;#,##0.0"/>
    <numFmt numFmtId="165" formatCode="_([$€-2]* #,##0.00_);_([$€-2]* \(#,##0.00\);_([$€-2]* &quot;-&quot;??_)"/>
    <numFmt numFmtId="166" formatCode="General_)"/>
    <numFmt numFmtId="167" formatCode="ddd\,\ dd\-mmm\-yyyy\ h:mm:ss"/>
    <numFmt numFmtId="168" formatCode="ddd\,\ d\-mmm\-yyyy"/>
    <numFmt numFmtId="169" formatCode="ddd\,\ d\-mmm\-yyyy\,\ hh:mm:ss"/>
    <numFmt numFmtId="170" formatCode="ddd\,\ dd\-mmm\-yyyy"/>
    <numFmt numFmtId="171" formatCode="0.0000%"/>
    <numFmt numFmtId="172" formatCode="0.0000"/>
    <numFmt numFmtId="173" formatCode="ddd\,\ dd\-mmm\-yyyy\,\ h:mm:ss"/>
    <numFmt numFmtId="174" formatCode="0.000000000"/>
    <numFmt numFmtId="175" formatCode="0.00000"/>
    <numFmt numFmtId="176" formatCode="0.000000"/>
    <numFmt numFmtId="177" formatCode="0.00000000"/>
  </numFmts>
  <fonts count="21" x14ac:knownFonts="1">
    <font>
      <sz val="8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b/>
      <sz val="12"/>
      <color indexed="16"/>
      <name val="MS Sans Serif"/>
      <family val="2"/>
    </font>
    <font>
      <sz val="10"/>
      <name val="Helv"/>
    </font>
    <font>
      <sz val="12"/>
      <name val="Helv"/>
    </font>
    <font>
      <sz val="10"/>
      <name val="Arial"/>
      <family val="2"/>
    </font>
    <font>
      <sz val="8"/>
      <name val="Courier New"/>
      <family val="3"/>
    </font>
    <font>
      <sz val="8"/>
      <name val="Arial"/>
      <family val="2"/>
    </font>
    <font>
      <sz val="14"/>
      <name val="Courier New"/>
      <family val="3"/>
    </font>
    <font>
      <sz val="8"/>
      <name val="Microsoft Sans Serif"/>
      <family val="2"/>
    </font>
    <font>
      <sz val="8"/>
      <color indexed="12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10"/>
      <name val="Courier New"/>
      <family val="3"/>
    </font>
    <font>
      <sz val="8"/>
      <color rgb="FFFF0000"/>
      <name val="Courier New"/>
      <family val="3"/>
    </font>
    <font>
      <sz val="9"/>
      <name val="Courier New"/>
      <family val="3"/>
    </font>
  </fonts>
  <fills count="14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gray0625">
        <fgColor indexed="22"/>
        <bgColor theme="8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fgColor auto="1"/>
        <bgColor theme="0" tint="-0.14996795556505021"/>
      </patternFill>
    </fill>
    <fill>
      <patternFill patternType="solid">
        <fgColor theme="8" tint="0.59999389629810485"/>
        <bgColor theme="8" tint="0.59996337778862885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medium">
        <color indexed="64"/>
      </bottom>
      <diagonal/>
    </border>
    <border>
      <left style="mediumDashed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Dashed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42">
    <xf numFmtId="0" fontId="0" fillId="0" borderId="0"/>
    <xf numFmtId="165" fontId="6" fillId="0" borderId="0" applyFont="0" applyFill="0" applyBorder="0" applyAlignment="0" applyProtection="0"/>
    <xf numFmtId="38" fontId="8" fillId="0" borderId="0" applyFont="0" applyFill="0" applyBorder="0" applyAlignment="0" applyProtection="0"/>
    <xf numFmtId="40" fontId="8" fillId="0" borderId="0" applyFont="0" applyFill="0" applyBorder="0" applyAlignment="0" applyProtection="0"/>
    <xf numFmtId="166" fontId="9" fillId="0" borderId="0"/>
    <xf numFmtId="164" fontId="7" fillId="2" borderId="0">
      <alignment horizontal="center" vertical="center"/>
    </xf>
    <xf numFmtId="6" fontId="8" fillId="0" borderId="0" applyFont="0" applyFill="0" applyBorder="0" applyAlignment="0" applyProtection="0"/>
    <xf numFmtId="6" fontId="8" fillId="0" borderId="0" applyFont="0" applyFill="0" applyBorder="0" applyAlignment="0" applyProtection="0"/>
    <xf numFmtId="0" fontId="10" fillId="0" borderId="0"/>
    <xf numFmtId="0" fontId="4" fillId="0" borderId="0"/>
    <xf numFmtId="9" fontId="5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12" fillId="0" borderId="0"/>
    <xf numFmtId="9" fontId="12" fillId="0" borderId="0" applyFont="0" applyFill="0" applyBorder="0" applyAlignment="0" applyProtection="0"/>
    <xf numFmtId="0" fontId="3" fillId="0" borderId="0"/>
    <xf numFmtId="9" fontId="12" fillId="0" borderId="0" applyFont="0" applyFill="0" applyBorder="0" applyAlignment="0" applyProtection="0"/>
    <xf numFmtId="0" fontId="5" fillId="0" borderId="0"/>
    <xf numFmtId="0" fontId="5" fillId="0" borderId="0"/>
    <xf numFmtId="0" fontId="2" fillId="0" borderId="0"/>
    <xf numFmtId="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  <xf numFmtId="9" fontId="5" fillId="0" borderId="0" applyFont="0" applyFill="0" applyBorder="0" applyAlignment="0" applyProtection="0"/>
    <xf numFmtId="0" fontId="6" fillId="0" borderId="0"/>
    <xf numFmtId="165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2" fillId="0" borderId="0"/>
    <xf numFmtId="9" fontId="5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6" fillId="0" borderId="0" applyFont="0" applyFill="0" applyBorder="0" applyAlignment="0" applyProtection="0"/>
    <xf numFmtId="0" fontId="6" fillId="0" borderId="0"/>
    <xf numFmtId="9" fontId="1" fillId="0" borderId="0" applyFont="0" applyFill="0" applyBorder="0" applyAlignment="0" applyProtection="0"/>
    <xf numFmtId="0" fontId="1" fillId="0" borderId="0"/>
  </cellStyleXfs>
  <cellXfs count="304">
    <xf numFmtId="0" fontId="0" fillId="0" borderId="0" xfId="0"/>
    <xf numFmtId="0" fontId="11" fillId="3" borderId="0" xfId="15" applyFont="1" applyFill="1" applyBorder="1"/>
    <xf numFmtId="0" fontId="11" fillId="4" borderId="1" xfId="15" applyFont="1" applyFill="1" applyBorder="1" applyAlignment="1">
      <alignment horizontal="right"/>
    </xf>
    <xf numFmtId="0" fontId="11" fillId="3" borderId="1" xfId="15" applyFont="1" applyFill="1" applyBorder="1" applyAlignment="1">
      <alignment horizontal="center"/>
    </xf>
    <xf numFmtId="167" fontId="11" fillId="3" borderId="1" xfId="15" applyNumberFormat="1" applyFont="1" applyFill="1" applyBorder="1" applyAlignment="1">
      <alignment horizontal="center"/>
    </xf>
    <xf numFmtId="0" fontId="14" fillId="3" borderId="0" xfId="14" applyFont="1" applyFill="1" applyBorder="1"/>
    <xf numFmtId="168" fontId="11" fillId="3" borderId="1" xfId="17" applyNumberFormat="1" applyFont="1" applyFill="1" applyBorder="1" applyAlignment="1">
      <alignment horizontal="center"/>
    </xf>
    <xf numFmtId="0" fontId="14" fillId="4" borderId="1" xfId="14" applyNumberFormat="1" applyFont="1" applyFill="1" applyBorder="1"/>
    <xf numFmtId="170" fontId="11" fillId="3" borderId="2" xfId="17" applyNumberFormat="1" applyFont="1" applyFill="1" applyBorder="1" applyAlignment="1">
      <alignment horizontal="center"/>
    </xf>
    <xf numFmtId="168" fontId="11" fillId="3" borderId="2" xfId="17" applyNumberFormat="1" applyFont="1" applyFill="1" applyBorder="1" applyAlignment="1">
      <alignment horizontal="center"/>
    </xf>
    <xf numFmtId="0" fontId="11" fillId="3" borderId="0" xfId="0" applyFont="1" applyFill="1" applyBorder="1"/>
    <xf numFmtId="0" fontId="11" fillId="4" borderId="1" xfId="15" applyFont="1" applyFill="1" applyBorder="1" applyAlignment="1">
      <alignment horizontal="right" vertical="center"/>
    </xf>
    <xf numFmtId="170" fontId="11" fillId="3" borderId="1" xfId="15" applyNumberFormat="1" applyFont="1" applyFill="1" applyBorder="1" applyAlignment="1">
      <alignment horizontal="center"/>
    </xf>
    <xf numFmtId="1" fontId="11" fillId="3" borderId="1" xfId="17" applyNumberFormat="1" applyFont="1" applyFill="1" applyBorder="1" applyAlignment="1">
      <alignment horizontal="center"/>
    </xf>
    <xf numFmtId="1" fontId="11" fillId="3" borderId="2" xfId="17" applyNumberFormat="1" applyFont="1" applyFill="1" applyBorder="1" applyAlignment="1">
      <alignment horizontal="center"/>
    </xf>
    <xf numFmtId="0" fontId="11" fillId="7" borderId="0" xfId="15" applyFont="1" applyFill="1"/>
    <xf numFmtId="0" fontId="11" fillId="7" borderId="0" xfId="16" applyFont="1" applyFill="1"/>
    <xf numFmtId="169" fontId="14" fillId="9" borderId="2" xfId="14" applyNumberFormat="1" applyFont="1" applyFill="1" applyBorder="1" applyAlignment="1" applyProtection="1">
      <alignment horizontal="center"/>
    </xf>
    <xf numFmtId="169" fontId="14" fillId="9" borderId="2" xfId="14" quotePrefix="1" applyNumberFormat="1" applyFont="1" applyFill="1" applyBorder="1" applyAlignment="1" applyProtection="1">
      <alignment horizontal="center"/>
    </xf>
    <xf numFmtId="0" fontId="11" fillId="7" borderId="0" xfId="0" applyFont="1" applyFill="1"/>
    <xf numFmtId="0" fontId="11" fillId="7" borderId="0" xfId="0" applyNumberFormat="1" applyFont="1" applyFill="1"/>
    <xf numFmtId="0" fontId="11" fillId="7" borderId="0" xfId="0" applyFont="1" applyFill="1" applyBorder="1"/>
    <xf numFmtId="0" fontId="11" fillId="7" borderId="0" xfId="0" applyFont="1" applyFill="1" applyBorder="1" applyAlignment="1"/>
    <xf numFmtId="170" fontId="11" fillId="7" borderId="0" xfId="0" applyNumberFormat="1" applyFont="1" applyFill="1" applyBorder="1" applyAlignment="1"/>
    <xf numFmtId="171" fontId="11" fillId="7" borderId="0" xfId="0" applyNumberFormat="1" applyFont="1" applyFill="1" applyBorder="1" applyAlignment="1"/>
    <xf numFmtId="172" fontId="11" fillId="7" borderId="0" xfId="0" applyNumberFormat="1" applyFont="1" applyFill="1" applyBorder="1"/>
    <xf numFmtId="171" fontId="11" fillId="7" borderId="0" xfId="17" applyNumberFormat="1" applyFont="1" applyFill="1" applyBorder="1"/>
    <xf numFmtId="2" fontId="11" fillId="7" borderId="5" xfId="0" applyNumberFormat="1" applyFont="1" applyFill="1" applyBorder="1" applyAlignment="1">
      <alignment horizontal="center" vertical="center"/>
    </xf>
    <xf numFmtId="2" fontId="11" fillId="7" borderId="4" xfId="0" applyNumberFormat="1" applyFont="1" applyFill="1" applyBorder="1" applyAlignment="1">
      <alignment horizontal="center" vertical="center"/>
    </xf>
    <xf numFmtId="171" fontId="11" fillId="7" borderId="3" xfId="0" applyNumberFormat="1" applyFont="1" applyFill="1" applyBorder="1" applyAlignment="1">
      <alignment vertical="center"/>
    </xf>
    <xf numFmtId="171" fontId="11" fillId="7" borderId="3" xfId="0" applyNumberFormat="1" applyFont="1" applyFill="1" applyBorder="1" applyAlignment="1"/>
    <xf numFmtId="2" fontId="11" fillId="7" borderId="0" xfId="0" applyNumberFormat="1" applyFont="1" applyFill="1" applyBorder="1" applyAlignment="1">
      <alignment horizontal="center" vertical="center"/>
    </xf>
    <xf numFmtId="2" fontId="11" fillId="7" borderId="0" xfId="0" applyNumberFormat="1" applyFont="1" applyFill="1" applyBorder="1"/>
    <xf numFmtId="0" fontId="11" fillId="7" borderId="0" xfId="0" applyFont="1" applyFill="1" applyBorder="1" applyAlignment="1">
      <alignment horizontal="center"/>
    </xf>
    <xf numFmtId="171" fontId="11" fillId="7" borderId="0" xfId="0" applyNumberFormat="1" applyFont="1" applyFill="1" applyBorder="1"/>
    <xf numFmtId="171" fontId="11" fillId="7" borderId="0" xfId="0" applyNumberFormat="1" applyFont="1" applyFill="1"/>
    <xf numFmtId="0" fontId="11" fillId="8" borderId="1" xfId="0" applyFont="1" applyFill="1" applyBorder="1" applyAlignment="1">
      <alignment horizontal="center" vertical="center" wrapText="1"/>
    </xf>
    <xf numFmtId="0" fontId="11" fillId="8" borderId="1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center" vertical="center" wrapText="1"/>
    </xf>
    <xf numFmtId="0" fontId="11" fillId="10" borderId="3" xfId="0" applyFont="1" applyFill="1" applyBorder="1" applyAlignment="1"/>
    <xf numFmtId="176" fontId="11" fillId="10" borderId="3" xfId="0" applyNumberFormat="1" applyFont="1" applyFill="1" applyBorder="1" applyAlignment="1"/>
    <xf numFmtId="172" fontId="11" fillId="10" borderId="3" xfId="0" applyNumberFormat="1" applyFont="1" applyFill="1" applyBorder="1"/>
    <xf numFmtId="0" fontId="11" fillId="10" borderId="10" xfId="0" applyFont="1" applyFill="1" applyBorder="1" applyAlignment="1"/>
    <xf numFmtId="176" fontId="11" fillId="10" borderId="10" xfId="0" applyNumberFormat="1" applyFont="1" applyFill="1" applyBorder="1" applyAlignment="1"/>
    <xf numFmtId="172" fontId="11" fillId="10" borderId="10" xfId="0" applyNumberFormat="1" applyFont="1" applyFill="1" applyBorder="1"/>
    <xf numFmtId="0" fontId="11" fillId="10" borderId="8" xfId="0" applyFont="1" applyFill="1" applyBorder="1" applyAlignment="1">
      <alignment horizontal="center" vertical="center"/>
    </xf>
    <xf numFmtId="172" fontId="11" fillId="10" borderId="8" xfId="0" applyNumberFormat="1" applyFont="1" applyFill="1" applyBorder="1"/>
    <xf numFmtId="171" fontId="11" fillId="10" borderId="3" xfId="0" applyNumberFormat="1" applyFont="1" applyFill="1" applyBorder="1"/>
    <xf numFmtId="0" fontId="11" fillId="10" borderId="3" xfId="0" applyFont="1" applyFill="1" applyBorder="1" applyAlignment="1">
      <alignment horizontal="center" vertical="center"/>
    </xf>
    <xf numFmtId="0" fontId="11" fillId="10" borderId="10" xfId="0" applyFont="1" applyFill="1" applyBorder="1" applyAlignment="1">
      <alignment horizontal="center" vertical="center"/>
    </xf>
    <xf numFmtId="171" fontId="11" fillId="10" borderId="10" xfId="0" applyNumberFormat="1" applyFont="1" applyFill="1" applyBorder="1"/>
    <xf numFmtId="170" fontId="11" fillId="10" borderId="1" xfId="0" applyNumberFormat="1" applyFont="1" applyFill="1" applyBorder="1" applyAlignment="1">
      <alignment horizontal="center" vertical="center"/>
    </xf>
    <xf numFmtId="171" fontId="11" fillId="10" borderId="8" xfId="0" applyNumberFormat="1" applyFont="1" applyFill="1" applyBorder="1"/>
    <xf numFmtId="171" fontId="11" fillId="10" borderId="3" xfId="0" applyNumberFormat="1" applyFont="1" applyFill="1" applyBorder="1" applyAlignment="1"/>
    <xf numFmtId="171" fontId="11" fillId="10" borderId="10" xfId="0" applyNumberFormat="1" applyFont="1" applyFill="1" applyBorder="1" applyAlignment="1"/>
    <xf numFmtId="0" fontId="11" fillId="7" borderId="0" xfId="0" applyNumberFormat="1" applyFont="1" applyFill="1" applyBorder="1" applyAlignment="1"/>
    <xf numFmtId="175" fontId="11" fillId="7" borderId="3" xfId="0" applyNumberFormat="1" applyFont="1" applyFill="1" applyBorder="1" applyAlignment="1"/>
    <xf numFmtId="0" fontId="11" fillId="3" borderId="4" xfId="0" applyFont="1" applyFill="1" applyBorder="1"/>
    <xf numFmtId="0" fontId="11" fillId="3" borderId="18" xfId="0" applyFont="1" applyFill="1" applyBorder="1"/>
    <xf numFmtId="0" fontId="11" fillId="3" borderId="7" xfId="0" applyFont="1" applyFill="1" applyBorder="1"/>
    <xf numFmtId="170" fontId="11" fillId="7" borderId="0" xfId="0" applyNumberFormat="1" applyFont="1" applyFill="1"/>
    <xf numFmtId="170" fontId="11" fillId="7" borderId="0" xfId="0" applyNumberFormat="1" applyFont="1" applyFill="1" applyBorder="1"/>
    <xf numFmtId="171" fontId="19" fillId="10" borderId="1" xfId="0" applyNumberFormat="1" applyFont="1" applyFill="1" applyBorder="1"/>
    <xf numFmtId="2" fontId="19" fillId="10" borderId="1" xfId="0" applyNumberFormat="1" applyFont="1" applyFill="1" applyBorder="1"/>
    <xf numFmtId="2" fontId="11" fillId="10" borderId="3" xfId="0" applyNumberFormat="1" applyFont="1" applyFill="1" applyBorder="1"/>
    <xf numFmtId="2" fontId="11" fillId="10" borderId="10" xfId="0" applyNumberFormat="1" applyFont="1" applyFill="1" applyBorder="1"/>
    <xf numFmtId="171" fontId="11" fillId="10" borderId="1" xfId="0" applyNumberFormat="1" applyFont="1" applyFill="1" applyBorder="1"/>
    <xf numFmtId="0" fontId="11" fillId="7" borderId="0" xfId="0" applyFont="1" applyFill="1" applyAlignment="1">
      <alignment horizontal="right"/>
    </xf>
    <xf numFmtId="0" fontId="13" fillId="8" borderId="20" xfId="16" applyFont="1" applyFill="1" applyBorder="1" applyAlignment="1">
      <alignment horizontal="centerContinuous" vertical="center"/>
    </xf>
    <xf numFmtId="0" fontId="13" fillId="8" borderId="21" xfId="16" applyFont="1" applyFill="1" applyBorder="1" applyAlignment="1">
      <alignment horizontal="centerContinuous" vertical="center"/>
    </xf>
    <xf numFmtId="0" fontId="13" fillId="8" borderId="17" xfId="16" applyFont="1" applyFill="1" applyBorder="1" applyAlignment="1">
      <alignment horizontal="centerContinuous" vertical="center"/>
    </xf>
    <xf numFmtId="0" fontId="11" fillId="3" borderId="5" xfId="15" applyFont="1" applyFill="1" applyBorder="1"/>
    <xf numFmtId="0" fontId="11" fillId="3" borderId="4" xfId="15" applyFont="1" applyFill="1" applyBorder="1"/>
    <xf numFmtId="0" fontId="11" fillId="5" borderId="5" xfId="15" applyFont="1" applyFill="1" applyBorder="1"/>
    <xf numFmtId="0" fontId="11" fillId="3" borderId="6" xfId="15" applyFont="1" applyFill="1" applyBorder="1"/>
    <xf numFmtId="0" fontId="15" fillId="3" borderId="18" xfId="15" applyFont="1" applyFill="1" applyBorder="1" applyAlignment="1">
      <alignment horizontal="right" vertical="center"/>
    </xf>
    <xf numFmtId="0" fontId="11" fillId="3" borderId="7" xfId="15" applyFont="1" applyFill="1" applyBorder="1"/>
    <xf numFmtId="0" fontId="14" fillId="3" borderId="5" xfId="14" applyFont="1" applyFill="1" applyBorder="1"/>
    <xf numFmtId="0" fontId="14" fillId="3" borderId="4" xfId="14" applyFont="1" applyFill="1" applyBorder="1"/>
    <xf numFmtId="15" fontId="14" fillId="3" borderId="4" xfId="14" applyNumberFormat="1" applyFont="1" applyFill="1" applyBorder="1"/>
    <xf numFmtId="0" fontId="14" fillId="3" borderId="6" xfId="14" applyFont="1" applyFill="1" applyBorder="1"/>
    <xf numFmtId="0" fontId="14" fillId="3" borderId="18" xfId="14" applyFont="1" applyFill="1" applyBorder="1"/>
    <xf numFmtId="0" fontId="11" fillId="3" borderId="5" xfId="0" applyFont="1" applyFill="1" applyBorder="1"/>
    <xf numFmtId="0" fontId="11" fillId="3" borderId="6" xfId="0" applyFont="1" applyFill="1" applyBorder="1"/>
    <xf numFmtId="0" fontId="13" fillId="8" borderId="11" xfId="16" applyFont="1" applyFill="1" applyBorder="1" applyAlignment="1">
      <alignment horizontal="centerContinuous" vertical="center"/>
    </xf>
    <xf numFmtId="0" fontId="13" fillId="8" borderId="19" xfId="16" applyFont="1" applyFill="1" applyBorder="1" applyAlignment="1">
      <alignment horizontal="centerContinuous" vertical="center"/>
    </xf>
    <xf numFmtId="0" fontId="13" fillId="8" borderId="16" xfId="16" applyFont="1" applyFill="1" applyBorder="1" applyAlignment="1">
      <alignment horizontal="centerContinuous" vertical="center"/>
    </xf>
    <xf numFmtId="170" fontId="11" fillId="11" borderId="1" xfId="15" applyNumberFormat="1" applyFont="1" applyFill="1" applyBorder="1" applyAlignment="1">
      <alignment horizontal="center"/>
    </xf>
    <xf numFmtId="0" fontId="11" fillId="7" borderId="0" xfId="0" applyFont="1" applyFill="1" applyAlignment="1">
      <alignment horizontal="center" vertical="center"/>
    </xf>
    <xf numFmtId="171" fontId="11" fillId="12" borderId="1" xfId="0" applyNumberFormat="1" applyFont="1" applyFill="1" applyBorder="1"/>
    <xf numFmtId="171" fontId="11" fillId="7" borderId="1" xfId="0" applyNumberFormat="1" applyFont="1" applyFill="1" applyBorder="1"/>
    <xf numFmtId="2" fontId="11" fillId="10" borderId="8" xfId="0" applyNumberFormat="1" applyFont="1" applyFill="1" applyBorder="1"/>
    <xf numFmtId="0" fontId="11" fillId="7" borderId="13" xfId="0" applyFont="1" applyFill="1" applyBorder="1"/>
    <xf numFmtId="0" fontId="11" fillId="7" borderId="14" xfId="0" applyFont="1" applyFill="1" applyBorder="1"/>
    <xf numFmtId="0" fontId="11" fillId="7" borderId="5" xfId="0" applyFont="1" applyFill="1" applyBorder="1"/>
    <xf numFmtId="0" fontId="11" fillId="7" borderId="6" xfId="0" applyFont="1" applyFill="1" applyBorder="1"/>
    <xf numFmtId="0" fontId="11" fillId="7" borderId="18" xfId="0" applyFont="1" applyFill="1" applyBorder="1"/>
    <xf numFmtId="0" fontId="11" fillId="10" borderId="2" xfId="0" applyFont="1" applyFill="1" applyBorder="1"/>
    <xf numFmtId="0" fontId="11" fillId="10" borderId="9" xfId="0" applyFont="1" applyFill="1" applyBorder="1"/>
    <xf numFmtId="0" fontId="11" fillId="10" borderId="4" xfId="0" applyFont="1" applyFill="1" applyBorder="1"/>
    <xf numFmtId="0" fontId="11" fillId="10" borderId="7" xfId="0" applyFont="1" applyFill="1" applyBorder="1"/>
    <xf numFmtId="0" fontId="11" fillId="7" borderId="4" xfId="0" applyFont="1" applyFill="1" applyBorder="1"/>
    <xf numFmtId="0" fontId="11" fillId="7" borderId="9" xfId="0" applyFont="1" applyFill="1" applyBorder="1"/>
    <xf numFmtId="0" fontId="11" fillId="7" borderId="7" xfId="0" applyFont="1" applyFill="1" applyBorder="1"/>
    <xf numFmtId="0" fontId="11" fillId="7" borderId="11" xfId="0" applyFont="1" applyFill="1" applyBorder="1"/>
    <xf numFmtId="0" fontId="11" fillId="7" borderId="12" xfId="0" applyFont="1" applyFill="1" applyBorder="1"/>
    <xf numFmtId="0" fontId="11" fillId="7" borderId="2" xfId="0" applyFont="1" applyFill="1" applyBorder="1" applyAlignment="1">
      <alignment horizontal="right"/>
    </xf>
    <xf numFmtId="171" fontId="11" fillId="11" borderId="1" xfId="0" applyNumberFormat="1" applyFont="1" applyFill="1" applyBorder="1"/>
    <xf numFmtId="0" fontId="11" fillId="10" borderId="2" xfId="0" applyFont="1" applyFill="1" applyBorder="1" applyAlignment="1">
      <alignment vertical="center"/>
    </xf>
    <xf numFmtId="0" fontId="17" fillId="6" borderId="11" xfId="0" applyFont="1" applyFill="1" applyBorder="1" applyAlignment="1">
      <alignment horizontal="centerContinuous" vertical="center" wrapText="1"/>
    </xf>
    <xf numFmtId="0" fontId="17" fillId="6" borderId="2" xfId="0" applyFont="1" applyFill="1" applyBorder="1" applyAlignment="1">
      <alignment horizontal="centerContinuous" vertical="center" wrapText="1"/>
    </xf>
    <xf numFmtId="0" fontId="11" fillId="7" borderId="0" xfId="0" applyFont="1" applyFill="1" applyBorder="1" applyAlignment="1">
      <alignment vertical="center"/>
    </xf>
    <xf numFmtId="0" fontId="18" fillId="7" borderId="0" xfId="0" applyFont="1" applyFill="1" applyBorder="1" applyAlignment="1">
      <alignment horizontal="center" vertical="center"/>
    </xf>
    <xf numFmtId="0" fontId="20" fillId="7" borderId="0" xfId="0" applyFont="1" applyFill="1" applyBorder="1" applyAlignment="1">
      <alignment horizontal="center" vertical="center"/>
    </xf>
    <xf numFmtId="171" fontId="11" fillId="11" borderId="3" xfId="17" applyNumberFormat="1" applyFont="1" applyFill="1" applyBorder="1"/>
    <xf numFmtId="171" fontId="11" fillId="11" borderId="10" xfId="0" applyNumberFormat="1" applyFont="1" applyFill="1" applyBorder="1"/>
    <xf numFmtId="0" fontId="11" fillId="13" borderId="11" xfId="0" applyFont="1" applyFill="1" applyBorder="1" applyAlignment="1">
      <alignment horizontal="centerContinuous" vertical="center"/>
    </xf>
    <xf numFmtId="0" fontId="11" fillId="13" borderId="12" xfId="0" applyFont="1" applyFill="1" applyBorder="1" applyAlignment="1">
      <alignment horizontal="centerContinuous" vertical="center"/>
    </xf>
    <xf numFmtId="0" fontId="11" fillId="13" borderId="2" xfId="0" applyFont="1" applyFill="1" applyBorder="1" applyAlignment="1">
      <alignment horizontal="centerContinuous" vertical="center"/>
    </xf>
    <xf numFmtId="0" fontId="11" fillId="8" borderId="11" xfId="0" applyFont="1" applyFill="1" applyBorder="1" applyAlignment="1">
      <alignment horizontal="centerContinuous" vertical="center" wrapText="1"/>
    </xf>
    <xf numFmtId="0" fontId="11" fillId="8" borderId="2" xfId="0" applyFont="1" applyFill="1" applyBorder="1" applyAlignment="1">
      <alignment horizontal="centerContinuous" vertical="center"/>
    </xf>
    <xf numFmtId="0" fontId="11" fillId="8" borderId="12" xfId="0" applyFont="1" applyFill="1" applyBorder="1" applyAlignment="1">
      <alignment horizontal="centerContinuous" vertical="center"/>
    </xf>
    <xf numFmtId="174" fontId="11" fillId="7" borderId="0" xfId="0" applyNumberFormat="1" applyFont="1" applyFill="1" applyBorder="1" applyAlignment="1"/>
    <xf numFmtId="172" fontId="11" fillId="7" borderId="0" xfId="0" applyNumberFormat="1" applyFont="1" applyFill="1" applyBorder="1" applyAlignment="1"/>
    <xf numFmtId="0" fontId="11" fillId="7" borderId="4" xfId="0" applyFont="1" applyFill="1" applyBorder="1" applyAlignment="1">
      <alignment vertical="center"/>
    </xf>
    <xf numFmtId="0" fontId="11" fillId="8" borderId="11" xfId="0" applyFont="1" applyFill="1" applyBorder="1" applyAlignment="1">
      <alignment horizontal="centerContinuous" vertical="center"/>
    </xf>
    <xf numFmtId="0" fontId="11" fillId="8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 vertical="center"/>
    </xf>
    <xf numFmtId="171" fontId="11" fillId="11" borderId="3" xfId="0" applyNumberFormat="1" applyFont="1" applyFill="1" applyBorder="1"/>
    <xf numFmtId="0" fontId="11" fillId="10" borderId="23" xfId="0" applyFont="1" applyFill="1" applyBorder="1" applyAlignment="1">
      <alignment horizontal="center" vertical="center"/>
    </xf>
    <xf numFmtId="172" fontId="11" fillId="10" borderId="23" xfId="0" applyNumberFormat="1" applyFont="1" applyFill="1" applyBorder="1"/>
    <xf numFmtId="171" fontId="11" fillId="11" borderId="23" xfId="0" applyNumberFormat="1" applyFont="1" applyFill="1" applyBorder="1"/>
    <xf numFmtId="170" fontId="11" fillId="7" borderId="0" xfId="0" applyNumberFormat="1" applyFont="1" applyFill="1" applyAlignment="1">
      <alignment horizontal="center" vertical="center"/>
    </xf>
    <xf numFmtId="0" fontId="11" fillId="8" borderId="11" xfId="0" applyFont="1" applyFill="1" applyBorder="1" applyAlignment="1">
      <alignment horizontal="center"/>
    </xf>
    <xf numFmtId="0" fontId="17" fillId="6" borderId="19" xfId="0" applyFont="1" applyFill="1" applyBorder="1" applyAlignment="1">
      <alignment horizontal="centerContinuous" vertical="center" wrapText="1"/>
    </xf>
    <xf numFmtId="0" fontId="17" fillId="6" borderId="22" xfId="0" applyFont="1" applyFill="1" applyBorder="1" applyAlignment="1">
      <alignment horizontal="centerContinuous" vertical="center" wrapText="1"/>
    </xf>
    <xf numFmtId="0" fontId="17" fillId="6" borderId="16" xfId="0" applyFont="1" applyFill="1" applyBorder="1" applyAlignment="1">
      <alignment horizontal="center" vertical="center" wrapText="1"/>
    </xf>
    <xf numFmtId="0" fontId="17" fillId="6" borderId="25" xfId="0" applyFont="1" applyFill="1" applyBorder="1" applyAlignment="1">
      <alignment horizontal="center" vertical="center" wrapText="1"/>
    </xf>
    <xf numFmtId="171" fontId="11" fillId="11" borderId="26" xfId="0" applyNumberFormat="1" applyFont="1" applyFill="1" applyBorder="1"/>
    <xf numFmtId="171" fontId="11" fillId="11" borderId="27" xfId="0" applyNumberFormat="1" applyFont="1" applyFill="1" applyBorder="1"/>
    <xf numFmtId="171" fontId="11" fillId="11" borderId="28" xfId="0" applyNumberFormat="1" applyFont="1" applyFill="1" applyBorder="1"/>
    <xf numFmtId="171" fontId="11" fillId="11" borderId="29" xfId="0" applyNumberFormat="1" applyFont="1" applyFill="1" applyBorder="1"/>
    <xf numFmtId="171" fontId="11" fillId="11" borderId="30" xfId="0" applyNumberFormat="1" applyFont="1" applyFill="1" applyBorder="1"/>
    <xf numFmtId="171" fontId="11" fillId="11" borderId="31" xfId="0" applyNumberFormat="1" applyFont="1" applyFill="1" applyBorder="1"/>
    <xf numFmtId="171" fontId="11" fillId="8" borderId="17" xfId="0" applyNumberFormat="1" applyFont="1" applyFill="1" applyBorder="1"/>
    <xf numFmtId="171" fontId="11" fillId="8" borderId="32" xfId="0" applyNumberFormat="1" applyFont="1" applyFill="1" applyBorder="1"/>
    <xf numFmtId="171" fontId="11" fillId="8" borderId="33" xfId="0" applyNumberFormat="1" applyFont="1" applyFill="1" applyBorder="1"/>
    <xf numFmtId="0" fontId="17" fillId="6" borderId="34" xfId="0" applyFont="1" applyFill="1" applyBorder="1" applyAlignment="1">
      <alignment horizontal="centerContinuous" vertical="center" wrapText="1"/>
    </xf>
    <xf numFmtId="0" fontId="17" fillId="6" borderId="35" xfId="0" applyFont="1" applyFill="1" applyBorder="1" applyAlignment="1">
      <alignment horizontal="centerContinuous" vertical="center" wrapText="1"/>
    </xf>
    <xf numFmtId="0" fontId="17" fillId="6" borderId="36" xfId="0" applyFont="1" applyFill="1" applyBorder="1" applyAlignment="1">
      <alignment horizontal="centerContinuous" vertical="center" wrapText="1"/>
    </xf>
    <xf numFmtId="171" fontId="11" fillId="11" borderId="10" xfId="17" applyNumberFormat="1" applyFont="1" applyFill="1" applyBorder="1"/>
    <xf numFmtId="171" fontId="11" fillId="10" borderId="15" xfId="0" applyNumberFormat="1" applyFont="1" applyFill="1" applyBorder="1"/>
    <xf numFmtId="171" fontId="11" fillId="10" borderId="37" xfId="0" applyNumberFormat="1" applyFont="1" applyFill="1" applyBorder="1"/>
    <xf numFmtId="171" fontId="11" fillId="10" borderId="38" xfId="0" applyNumberFormat="1" applyFont="1" applyFill="1" applyBorder="1"/>
    <xf numFmtId="171" fontId="11" fillId="10" borderId="27" xfId="0" applyNumberFormat="1" applyFont="1" applyFill="1" applyBorder="1"/>
    <xf numFmtId="171" fontId="11" fillId="10" borderId="26" xfId="0" applyNumberFormat="1" applyFont="1" applyFill="1" applyBorder="1"/>
    <xf numFmtId="171" fontId="11" fillId="10" borderId="39" xfId="0" applyNumberFormat="1" applyFont="1" applyFill="1" applyBorder="1"/>
    <xf numFmtId="171" fontId="11" fillId="10" borderId="40" xfId="0" applyNumberFormat="1" applyFont="1" applyFill="1" applyBorder="1"/>
    <xf numFmtId="171" fontId="11" fillId="10" borderId="41" xfId="0" applyNumberFormat="1" applyFont="1" applyFill="1" applyBorder="1"/>
    <xf numFmtId="171" fontId="11" fillId="10" borderId="42" xfId="0" applyNumberFormat="1" applyFont="1" applyFill="1" applyBorder="1"/>
    <xf numFmtId="171" fontId="11" fillId="10" borderId="43" xfId="0" applyNumberFormat="1" applyFont="1" applyFill="1" applyBorder="1"/>
    <xf numFmtId="171" fontId="11" fillId="10" borderId="44" xfId="0" applyNumberFormat="1" applyFont="1" applyFill="1" applyBorder="1"/>
    <xf numFmtId="0" fontId="11" fillId="10" borderId="42" xfId="0" applyFont="1" applyFill="1" applyBorder="1" applyAlignment="1">
      <alignment horizontal="center" vertical="center"/>
    </xf>
    <xf numFmtId="0" fontId="11" fillId="7" borderId="45" xfId="0" applyFont="1" applyFill="1" applyBorder="1"/>
    <xf numFmtId="172" fontId="11" fillId="10" borderId="46" xfId="0" applyNumberFormat="1" applyFont="1" applyFill="1" applyBorder="1"/>
    <xf numFmtId="0" fontId="11" fillId="7" borderId="45" xfId="0" applyNumberFormat="1" applyFont="1" applyFill="1" applyBorder="1" applyAlignment="1"/>
    <xf numFmtId="0" fontId="11" fillId="10" borderId="46" xfId="0" applyFont="1" applyFill="1" applyBorder="1" applyAlignment="1"/>
    <xf numFmtId="0" fontId="11" fillId="10" borderId="23" xfId="0" applyFont="1" applyFill="1" applyBorder="1" applyAlignment="1"/>
    <xf numFmtId="171" fontId="11" fillId="10" borderId="23" xfId="0" applyNumberFormat="1" applyFont="1" applyFill="1" applyBorder="1" applyAlignment="1"/>
    <xf numFmtId="176" fontId="11" fillId="10" borderId="23" xfId="0" applyNumberFormat="1" applyFont="1" applyFill="1" applyBorder="1" applyAlignment="1"/>
    <xf numFmtId="171" fontId="11" fillId="11" borderId="23" xfId="17" applyNumberFormat="1" applyFont="1" applyFill="1" applyBorder="1"/>
    <xf numFmtId="0" fontId="11" fillId="10" borderId="39" xfId="0" applyFont="1" applyFill="1" applyBorder="1" applyAlignment="1"/>
    <xf numFmtId="171" fontId="11" fillId="10" borderId="39" xfId="0" applyNumberFormat="1" applyFont="1" applyFill="1" applyBorder="1" applyAlignment="1"/>
    <xf numFmtId="172" fontId="11" fillId="10" borderId="39" xfId="0" applyNumberFormat="1" applyFont="1" applyFill="1" applyBorder="1"/>
    <xf numFmtId="171" fontId="11" fillId="7" borderId="39" xfId="17" applyNumberFormat="1" applyFont="1" applyFill="1" applyBorder="1"/>
    <xf numFmtId="15" fontId="11" fillId="10" borderId="8" xfId="0" applyNumberFormat="1" applyFont="1" applyFill="1" applyBorder="1" applyAlignment="1"/>
    <xf numFmtId="15" fontId="11" fillId="10" borderId="8" xfId="0" applyNumberFormat="1" applyFont="1" applyFill="1" applyBorder="1"/>
    <xf numFmtId="15" fontId="11" fillId="10" borderId="3" xfId="0" applyNumberFormat="1" applyFont="1" applyFill="1" applyBorder="1" applyAlignment="1"/>
    <xf numFmtId="15" fontId="11" fillId="10" borderId="3" xfId="0" applyNumberFormat="1" applyFont="1" applyFill="1" applyBorder="1"/>
    <xf numFmtId="15" fontId="11" fillId="10" borderId="23" xfId="0" applyNumberFormat="1" applyFont="1" applyFill="1" applyBorder="1" applyAlignment="1"/>
    <xf numFmtId="15" fontId="11" fillId="10" borderId="23" xfId="0" applyNumberFormat="1" applyFont="1" applyFill="1" applyBorder="1"/>
    <xf numFmtId="15" fontId="11" fillId="10" borderId="10" xfId="0" applyNumberFormat="1" applyFont="1" applyFill="1" applyBorder="1" applyAlignment="1"/>
    <xf numFmtId="15" fontId="11" fillId="10" borderId="10" xfId="0" applyNumberFormat="1" applyFont="1" applyFill="1" applyBorder="1"/>
    <xf numFmtId="15" fontId="11" fillId="10" borderId="1" xfId="0" applyNumberFormat="1" applyFont="1" applyFill="1" applyBorder="1" applyAlignment="1"/>
    <xf numFmtId="15" fontId="11" fillId="10" borderId="1" xfId="0" applyNumberFormat="1" applyFont="1" applyFill="1" applyBorder="1"/>
    <xf numFmtId="15" fontId="11" fillId="10" borderId="42" xfId="0" applyNumberFormat="1" applyFont="1" applyFill="1" applyBorder="1" applyAlignment="1"/>
    <xf numFmtId="15" fontId="11" fillId="10" borderId="39" xfId="0" applyNumberFormat="1" applyFont="1" applyFill="1" applyBorder="1" applyAlignment="1"/>
    <xf numFmtId="0" fontId="11" fillId="8" borderId="1" xfId="0" applyFont="1" applyFill="1" applyBorder="1" applyAlignment="1">
      <alignment horizontal="center"/>
    </xf>
    <xf numFmtId="172" fontId="11" fillId="7" borderId="1" xfId="0" applyNumberFormat="1" applyFont="1" applyFill="1" applyBorder="1"/>
    <xf numFmtId="0" fontId="11" fillId="10" borderId="39" xfId="0" applyFont="1" applyFill="1" applyBorder="1" applyAlignment="1">
      <alignment horizontal="right"/>
    </xf>
    <xf numFmtId="0" fontId="11" fillId="10" borderId="3" xfId="0" applyFont="1" applyFill="1" applyBorder="1" applyAlignment="1">
      <alignment horizontal="right"/>
    </xf>
    <xf numFmtId="0" fontId="11" fillId="10" borderId="42" xfId="0" applyFont="1" applyFill="1" applyBorder="1" applyAlignment="1">
      <alignment horizontal="right"/>
    </xf>
    <xf numFmtId="0" fontId="11" fillId="8" borderId="1" xfId="0" applyFont="1" applyFill="1" applyBorder="1" applyAlignment="1">
      <alignment horizontal="right" vertical="center" wrapText="1"/>
    </xf>
    <xf numFmtId="171" fontId="11" fillId="11" borderId="8" xfId="0" applyNumberFormat="1" applyFont="1" applyFill="1" applyBorder="1"/>
    <xf numFmtId="15" fontId="11" fillId="7" borderId="0" xfId="0" applyNumberFormat="1" applyFont="1" applyFill="1"/>
    <xf numFmtId="174" fontId="11" fillId="7" borderId="0" xfId="0" applyNumberFormat="1" applyFont="1" applyFill="1"/>
    <xf numFmtId="177" fontId="11" fillId="7" borderId="0" xfId="0" applyNumberFormat="1" applyFont="1" applyFill="1"/>
    <xf numFmtId="171" fontId="11" fillId="10" borderId="2" xfId="0" applyNumberFormat="1" applyFont="1" applyFill="1" applyBorder="1" applyAlignment="1">
      <alignment vertical="center"/>
    </xf>
    <xf numFmtId="171" fontId="11" fillId="10" borderId="2" xfId="0" applyNumberFormat="1" applyFont="1" applyFill="1" applyBorder="1"/>
    <xf numFmtId="171" fontId="11" fillId="10" borderId="9" xfId="0" applyNumberFormat="1" applyFont="1" applyFill="1" applyBorder="1"/>
    <xf numFmtId="171" fontId="11" fillId="10" borderId="4" xfId="0" applyNumberFormat="1" applyFont="1" applyFill="1" applyBorder="1"/>
    <xf numFmtId="171" fontId="11" fillId="10" borderId="7" xfId="0" applyNumberFormat="1" applyFont="1" applyFill="1" applyBorder="1"/>
    <xf numFmtId="171" fontId="11" fillId="11" borderId="3" xfId="0" applyNumberFormat="1" applyFont="1" applyFill="1" applyBorder="1" applyAlignment="1"/>
    <xf numFmtId="171" fontId="11" fillId="11" borderId="10" xfId="0" applyNumberFormat="1" applyFont="1" applyFill="1" applyBorder="1" applyAlignment="1"/>
    <xf numFmtId="0" fontId="11" fillId="8" borderId="8" xfId="0" applyFont="1" applyFill="1" applyBorder="1" applyAlignment="1">
      <alignment horizontal="center" vertical="center" wrapText="1"/>
    </xf>
    <xf numFmtId="171" fontId="11" fillId="11" borderId="47" xfId="0" applyNumberFormat="1" applyFont="1" applyFill="1" applyBorder="1"/>
    <xf numFmtId="171" fontId="11" fillId="11" borderId="48" xfId="0" applyNumberFormat="1" applyFont="1" applyFill="1" applyBorder="1"/>
    <xf numFmtId="171" fontId="11" fillId="11" borderId="49" xfId="0" applyNumberFormat="1" applyFont="1" applyFill="1" applyBorder="1"/>
    <xf numFmtId="171" fontId="11" fillId="11" borderId="50" xfId="0" applyNumberFormat="1" applyFont="1" applyFill="1" applyBorder="1"/>
    <xf numFmtId="171" fontId="11" fillId="8" borderId="51" xfId="0" applyNumberFormat="1" applyFont="1" applyFill="1" applyBorder="1"/>
    <xf numFmtId="15" fontId="11" fillId="10" borderId="1" xfId="0" applyNumberFormat="1" applyFont="1" applyFill="1" applyBorder="1"/>
    <xf numFmtId="15" fontId="11" fillId="10" borderId="8" xfId="0" applyNumberFormat="1" applyFont="1" applyFill="1" applyBorder="1"/>
    <xf numFmtId="15" fontId="11" fillId="10" borderId="3" xfId="0" applyNumberFormat="1" applyFont="1" applyFill="1" applyBorder="1"/>
    <xf numFmtId="15" fontId="11" fillId="10" borderId="10" xfId="0" applyNumberFormat="1" applyFont="1" applyFill="1" applyBorder="1"/>
    <xf numFmtId="0" fontId="17" fillId="6" borderId="52" xfId="0" applyFont="1" applyFill="1" applyBorder="1" applyAlignment="1">
      <alignment horizontal="centerContinuous" vertical="center" wrapText="1"/>
    </xf>
    <xf numFmtId="0" fontId="17" fillId="6" borderId="18" xfId="0" applyFont="1" applyFill="1" applyBorder="1" applyAlignment="1">
      <alignment horizontal="centerContinuous" vertical="center" wrapText="1"/>
    </xf>
    <xf numFmtId="0" fontId="17" fillId="6" borderId="53" xfId="0" applyFont="1" applyFill="1" applyBorder="1" applyAlignment="1">
      <alignment horizontal="centerContinuous" vertical="center" wrapText="1"/>
    </xf>
    <xf numFmtId="176" fontId="11" fillId="10" borderId="39" xfId="0" applyNumberFormat="1" applyFont="1" applyFill="1" applyBorder="1" applyAlignment="1"/>
    <xf numFmtId="175" fontId="11" fillId="7" borderId="0" xfId="0" applyNumberFormat="1" applyFont="1" applyFill="1" applyBorder="1" applyAlignment="1"/>
    <xf numFmtId="0" fontId="11" fillId="7" borderId="54" xfId="0" applyFont="1" applyFill="1" applyBorder="1"/>
    <xf numFmtId="0" fontId="11" fillId="7" borderId="55" xfId="0" applyFont="1" applyFill="1" applyBorder="1"/>
    <xf numFmtId="0" fontId="11" fillId="7" borderId="55" xfId="0" applyFont="1" applyFill="1" applyBorder="1" applyAlignment="1">
      <alignment horizontal="center" vertical="center"/>
    </xf>
    <xf numFmtId="0" fontId="11" fillId="7" borderId="56" xfId="0" applyFont="1" applyFill="1" applyBorder="1"/>
    <xf numFmtId="0" fontId="11" fillId="8" borderId="0" xfId="0" applyFont="1" applyFill="1"/>
    <xf numFmtId="0" fontId="11" fillId="7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171" fontId="11" fillId="11" borderId="39" xfId="0" applyNumberFormat="1" applyFont="1" applyFill="1" applyBorder="1" applyAlignment="1"/>
    <xf numFmtId="172" fontId="11" fillId="7" borderId="57" xfId="0" applyNumberFormat="1" applyFont="1" applyFill="1" applyBorder="1"/>
    <xf numFmtId="172" fontId="11" fillId="7" borderId="58" xfId="0" applyNumberFormat="1" applyFont="1" applyFill="1" applyBorder="1"/>
    <xf numFmtId="171" fontId="11" fillId="7" borderId="57" xfId="0" applyNumberFormat="1" applyFont="1" applyFill="1" applyBorder="1"/>
    <xf numFmtId="171" fontId="11" fillId="7" borderId="58" xfId="0" applyNumberFormat="1" applyFont="1" applyFill="1" applyBorder="1"/>
    <xf numFmtId="171" fontId="11" fillId="12" borderId="58" xfId="0" applyNumberFormat="1" applyFont="1" applyFill="1" applyBorder="1"/>
    <xf numFmtId="171" fontId="11" fillId="12" borderId="59" xfId="0" applyNumberFormat="1" applyFont="1" applyFill="1" applyBorder="1"/>
    <xf numFmtId="171" fontId="11" fillId="12" borderId="60" xfId="0" applyNumberFormat="1" applyFont="1" applyFill="1" applyBorder="1"/>
    <xf numFmtId="171" fontId="11" fillId="12" borderId="32" xfId="0" applyNumberFormat="1" applyFont="1" applyFill="1" applyBorder="1"/>
    <xf numFmtId="172" fontId="11" fillId="7" borderId="6" xfId="0" applyNumberFormat="1" applyFont="1" applyFill="1" applyBorder="1"/>
    <xf numFmtId="172" fontId="11" fillId="7" borderId="18" xfId="0" applyNumberFormat="1" applyFont="1" applyFill="1" applyBorder="1"/>
    <xf numFmtId="172" fontId="11" fillId="7" borderId="7" xfId="0" applyNumberFormat="1" applyFont="1" applyFill="1" applyBorder="1"/>
    <xf numFmtId="171" fontId="11" fillId="12" borderId="57" xfId="0" applyNumberFormat="1" applyFont="1" applyFill="1" applyBorder="1"/>
    <xf numFmtId="0" fontId="11" fillId="7" borderId="61" xfId="0" applyFont="1" applyFill="1" applyBorder="1"/>
    <xf numFmtId="171" fontId="11" fillId="10" borderId="56" xfId="0" applyNumberFormat="1" applyFont="1" applyFill="1" applyBorder="1"/>
    <xf numFmtId="171" fontId="11" fillId="10" borderId="62" xfId="0" applyNumberFormat="1" applyFont="1" applyFill="1" applyBorder="1"/>
    <xf numFmtId="1" fontId="11" fillId="10" borderId="3" xfId="0" applyNumberFormat="1" applyFont="1" applyFill="1" applyBorder="1"/>
    <xf numFmtId="1" fontId="11" fillId="10" borderId="10" xfId="0" applyNumberFormat="1" applyFont="1" applyFill="1" applyBorder="1"/>
    <xf numFmtId="1" fontId="11" fillId="10" borderId="39" xfId="0" applyNumberFormat="1" applyFont="1" applyFill="1" applyBorder="1"/>
    <xf numFmtId="15" fontId="11" fillId="10" borderId="13" xfId="0" applyNumberFormat="1" applyFont="1" applyFill="1" applyBorder="1"/>
    <xf numFmtId="15" fontId="11" fillId="10" borderId="5" xfId="0" applyNumberFormat="1" applyFont="1" applyFill="1" applyBorder="1"/>
    <xf numFmtId="15" fontId="11" fillId="10" borderId="24" xfId="0" applyNumberFormat="1" applyFont="1" applyFill="1" applyBorder="1"/>
    <xf numFmtId="15" fontId="11" fillId="10" borderId="6" xfId="0" applyNumberFormat="1" applyFont="1" applyFill="1" applyBorder="1"/>
    <xf numFmtId="15" fontId="11" fillId="10" borderId="11" xfId="0" applyNumberFormat="1" applyFont="1" applyFill="1" applyBorder="1"/>
    <xf numFmtId="15" fontId="11" fillId="10" borderId="13" xfId="0" applyNumberFormat="1" applyFont="1" applyFill="1" applyBorder="1" applyAlignment="1"/>
    <xf numFmtId="15" fontId="11" fillId="10" borderId="5" xfId="0" applyNumberFormat="1" applyFont="1" applyFill="1" applyBorder="1" applyAlignment="1"/>
    <xf numFmtId="15" fontId="11" fillId="10" borderId="63" xfId="0" applyNumberFormat="1" applyFont="1" applyFill="1" applyBorder="1" applyAlignment="1"/>
    <xf numFmtId="171" fontId="11" fillId="11" borderId="64" xfId="0" applyNumberFormat="1" applyFont="1" applyFill="1" applyBorder="1"/>
    <xf numFmtId="171" fontId="11" fillId="11" borderId="65" xfId="0" applyNumberFormat="1" applyFont="1" applyFill="1" applyBorder="1"/>
    <xf numFmtId="0" fontId="17" fillId="6" borderId="66" xfId="0" applyFont="1" applyFill="1" applyBorder="1" applyAlignment="1">
      <alignment horizontal="center"/>
    </xf>
    <xf numFmtId="0" fontId="11" fillId="8" borderId="1" xfId="0" applyFont="1" applyFill="1" applyBorder="1" applyAlignment="1">
      <alignment horizontal="centerContinuous" vertical="center"/>
    </xf>
    <xf numFmtId="0" fontId="11" fillId="7" borderId="13" xfId="0" applyFont="1" applyFill="1" applyBorder="1" applyAlignment="1">
      <alignment horizontal="centerContinuous" vertical="center"/>
    </xf>
    <xf numFmtId="0" fontId="11" fillId="7" borderId="14" xfId="0" applyFont="1" applyFill="1" applyBorder="1" applyAlignment="1">
      <alignment horizontal="centerContinuous" vertical="center"/>
    </xf>
    <xf numFmtId="0" fontId="11" fillId="7" borderId="5" xfId="0" applyFont="1" applyFill="1" applyBorder="1" applyAlignment="1">
      <alignment horizontal="centerContinuous" vertical="center"/>
    </xf>
    <xf numFmtId="0" fontId="11" fillId="7" borderId="0" xfId="0" applyFont="1" applyFill="1" applyBorder="1" applyAlignment="1">
      <alignment horizontal="centerContinuous" vertical="center"/>
    </xf>
    <xf numFmtId="0" fontId="11" fillId="7" borderId="6" xfId="0" applyFont="1" applyFill="1" applyBorder="1" applyAlignment="1">
      <alignment horizontal="centerContinuous" vertical="center"/>
    </xf>
    <xf numFmtId="0" fontId="11" fillId="7" borderId="18" xfId="0" applyFont="1" applyFill="1" applyBorder="1" applyAlignment="1">
      <alignment horizontal="centerContinuous" vertical="center"/>
    </xf>
    <xf numFmtId="15" fontId="11" fillId="10" borderId="46" xfId="0" applyNumberFormat="1" applyFont="1" applyFill="1" applyBorder="1" applyAlignment="1"/>
    <xf numFmtId="171" fontId="11" fillId="10" borderId="46" xfId="0" applyNumberFormat="1" applyFont="1" applyFill="1" applyBorder="1" applyAlignment="1"/>
    <xf numFmtId="176" fontId="11" fillId="10" borderId="46" xfId="0" applyNumberFormat="1" applyFont="1" applyFill="1" applyBorder="1" applyAlignment="1"/>
    <xf numFmtId="171" fontId="11" fillId="11" borderId="46" xfId="17" applyNumberFormat="1" applyFont="1" applyFill="1" applyBorder="1"/>
    <xf numFmtId="171" fontId="11" fillId="11" borderId="23" xfId="0" applyNumberFormat="1" applyFont="1" applyFill="1" applyBorder="1" applyAlignment="1"/>
    <xf numFmtId="171" fontId="11" fillId="11" borderId="46" xfId="0" applyNumberFormat="1" applyFont="1" applyFill="1" applyBorder="1" applyAlignment="1"/>
    <xf numFmtId="1" fontId="11" fillId="10" borderId="46" xfId="0" applyNumberFormat="1" applyFont="1" applyFill="1" applyBorder="1"/>
    <xf numFmtId="15" fontId="11" fillId="10" borderId="65" xfId="0" applyNumberFormat="1" applyFont="1" applyFill="1" applyBorder="1"/>
    <xf numFmtId="15" fontId="11" fillId="10" borderId="27" xfId="0" applyNumberFormat="1" applyFont="1" applyFill="1" applyBorder="1"/>
    <xf numFmtId="171" fontId="11" fillId="10" borderId="64" xfId="0" applyNumberFormat="1" applyFont="1" applyFill="1" applyBorder="1"/>
    <xf numFmtId="171" fontId="11" fillId="10" borderId="65" xfId="0" applyNumberFormat="1" applyFont="1" applyFill="1" applyBorder="1"/>
    <xf numFmtId="15" fontId="11" fillId="10" borderId="6" xfId="0" applyNumberFormat="1" applyFont="1" applyFill="1" applyBorder="1" applyAlignment="1"/>
    <xf numFmtId="171" fontId="11" fillId="10" borderId="30" xfId="0" applyNumberFormat="1" applyFont="1" applyFill="1" applyBorder="1"/>
    <xf numFmtId="171" fontId="11" fillId="10" borderId="31" xfId="0" applyNumberFormat="1" applyFont="1" applyFill="1" applyBorder="1"/>
    <xf numFmtId="0" fontId="11" fillId="10" borderId="10" xfId="0" applyFont="1" applyFill="1" applyBorder="1" applyAlignment="1">
      <alignment horizontal="right"/>
    </xf>
    <xf numFmtId="0" fontId="11" fillId="10" borderId="8" xfId="0" applyFont="1" applyFill="1" applyBorder="1" applyAlignment="1">
      <alignment horizontal="right"/>
    </xf>
    <xf numFmtId="171" fontId="11" fillId="8" borderId="67" xfId="0" applyNumberFormat="1" applyFont="1" applyFill="1" applyBorder="1"/>
    <xf numFmtId="0" fontId="11" fillId="10" borderId="10" xfId="0" applyFont="1" applyFill="1" applyBorder="1"/>
    <xf numFmtId="15" fontId="11" fillId="10" borderId="68" xfId="0" applyNumberFormat="1" applyFont="1" applyFill="1" applyBorder="1"/>
    <xf numFmtId="171" fontId="11" fillId="11" borderId="69" xfId="0" applyNumberFormat="1" applyFont="1" applyFill="1" applyBorder="1"/>
    <xf numFmtId="15" fontId="11" fillId="10" borderId="29" xfId="0" applyNumberFormat="1" applyFont="1" applyFill="1" applyBorder="1"/>
    <xf numFmtId="171" fontId="11" fillId="11" borderId="70" xfId="0" applyNumberFormat="1" applyFont="1" applyFill="1" applyBorder="1"/>
    <xf numFmtId="171" fontId="11" fillId="11" borderId="71" xfId="0" applyNumberFormat="1" applyFont="1" applyFill="1" applyBorder="1"/>
    <xf numFmtId="0" fontId="11" fillId="7" borderId="72" xfId="0" applyFont="1" applyFill="1" applyBorder="1"/>
    <xf numFmtId="171" fontId="11" fillId="11" borderId="73" xfId="0" applyNumberFormat="1" applyFont="1" applyFill="1" applyBorder="1"/>
    <xf numFmtId="15" fontId="11" fillId="10" borderId="27" xfId="0" applyNumberFormat="1" applyFont="1" applyFill="1" applyBorder="1" applyAlignment="1"/>
    <xf numFmtId="15" fontId="11" fillId="10" borderId="24" xfId="0" applyNumberFormat="1" applyFont="1" applyFill="1" applyBorder="1" applyAlignment="1"/>
    <xf numFmtId="171" fontId="11" fillId="8" borderId="49" xfId="0" applyNumberFormat="1" applyFont="1" applyFill="1" applyBorder="1"/>
    <xf numFmtId="171" fontId="11" fillId="5" borderId="15" xfId="0" applyNumberFormat="1" applyFont="1" applyFill="1" applyBorder="1"/>
    <xf numFmtId="171" fontId="11" fillId="5" borderId="3" xfId="0" applyNumberFormat="1" applyFont="1" applyFill="1" applyBorder="1"/>
    <xf numFmtId="171" fontId="11" fillId="5" borderId="10" xfId="0" applyNumberFormat="1" applyFont="1" applyFill="1" applyBorder="1"/>
    <xf numFmtId="0" fontId="11" fillId="7" borderId="18" xfId="0" applyNumberFormat="1" applyFont="1" applyFill="1" applyBorder="1" applyAlignment="1"/>
    <xf numFmtId="15" fontId="11" fillId="10" borderId="42" xfId="0" applyNumberFormat="1" applyFont="1" applyFill="1" applyBorder="1"/>
    <xf numFmtId="171" fontId="11" fillId="5" borderId="26" xfId="0" applyNumberFormat="1" applyFont="1" applyFill="1" applyBorder="1"/>
    <xf numFmtId="171" fontId="11" fillId="5" borderId="27" xfId="0" applyNumberFormat="1" applyFont="1" applyFill="1" applyBorder="1"/>
    <xf numFmtId="171" fontId="11" fillId="5" borderId="30" xfId="0" applyNumberFormat="1" applyFont="1" applyFill="1" applyBorder="1"/>
    <xf numFmtId="171" fontId="11" fillId="5" borderId="31" xfId="0" applyNumberFormat="1" applyFont="1" applyFill="1" applyBorder="1"/>
    <xf numFmtId="15" fontId="11" fillId="10" borderId="31" xfId="0" applyNumberFormat="1" applyFont="1" applyFill="1" applyBorder="1"/>
    <xf numFmtId="15" fontId="14" fillId="3" borderId="7" xfId="14" applyNumberFormat="1" applyFont="1" applyFill="1" applyBorder="1"/>
    <xf numFmtId="173" fontId="16" fillId="3" borderId="18" xfId="15" applyNumberFormat="1" applyFont="1" applyFill="1" applyBorder="1" applyAlignment="1">
      <alignment horizontal="right" vertical="center"/>
    </xf>
    <xf numFmtId="0" fontId="11" fillId="7" borderId="3" xfId="0" applyFont="1" applyFill="1" applyBorder="1" applyAlignment="1">
      <alignment horizontal="center" vertical="center"/>
    </xf>
  </cellXfs>
  <cellStyles count="42">
    <cellStyle name="Euro" xfId="1"/>
    <cellStyle name="Euro 2" xfId="28"/>
    <cellStyle name="Migliaia (0)_AZIONI" xfId="2"/>
    <cellStyle name="Migliaia_AZIONI" xfId="3"/>
    <cellStyle name="Normal" xfId="0" builtinId="0"/>
    <cellStyle name="Normal 2" xfId="8"/>
    <cellStyle name="Normal 2 2" xfId="14"/>
    <cellStyle name="Normal 2 2 2" xfId="30"/>
    <cellStyle name="Normal 3" xfId="9"/>
    <cellStyle name="Normal 3 2" xfId="18"/>
    <cellStyle name="Normal 3 2 2" xfId="34"/>
    <cellStyle name="Normal 3 2 2 2" xfId="37"/>
    <cellStyle name="Normal 3 2 3" xfId="35"/>
    <cellStyle name="Normal 3 2 4" xfId="25"/>
    <cellStyle name="Normal 3 3" xfId="31"/>
    <cellStyle name="Normal 3 4" xfId="36"/>
    <cellStyle name="Normal 3 5" xfId="22"/>
    <cellStyle name="Normal 4" xfId="12"/>
    <cellStyle name="Normal 5" xfId="21"/>
    <cellStyle name="Normal 6" xfId="27"/>
    <cellStyle name="Normal 6 2" xfId="39"/>
    <cellStyle name="Normal 7" xfId="20"/>
    <cellStyle name="Normal 8" xfId="41"/>
    <cellStyle name="Normal_InterestRateQuotesFeed" xfId="15"/>
    <cellStyle name="Normal_SwaptionATMVols" xfId="16"/>
    <cellStyle name="Normale_AZIONI" xfId="4"/>
    <cellStyle name="Percent 2" xfId="11"/>
    <cellStyle name="Percent 2 2" xfId="33"/>
    <cellStyle name="Percent 2 2 2" xfId="38"/>
    <cellStyle name="Percent 2 3" xfId="23"/>
    <cellStyle name="Percent 3" xfId="10"/>
    <cellStyle name="Percent 3 2" xfId="19"/>
    <cellStyle name="Percent 3 2 2" xfId="26"/>
    <cellStyle name="Percent 3 3" xfId="32"/>
    <cellStyle name="Percent 4" xfId="13"/>
    <cellStyle name="Percent 5" xfId="17"/>
    <cellStyle name="Percent 5 2" xfId="24"/>
    <cellStyle name="Percent 6" xfId="29"/>
    <cellStyle name="Percent 7" xfId="40"/>
    <cellStyle name="result" xfId="5"/>
    <cellStyle name="Valuta (0)_AZIONI" xfId="6"/>
    <cellStyle name="Valuta_AZIONI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Basis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2709973753280843E-2"/>
          <c:y val="1.8266641777536428E-2"/>
          <c:w val="0.91118569119257442"/>
          <c:h val="0.93730079509660247"/>
        </c:manualLayout>
      </c:layout>
      <c:scatterChart>
        <c:scatterStyle val="lineMarker"/>
        <c:varyColors val="0"/>
        <c:ser>
          <c:idx val="0"/>
          <c:order val="0"/>
          <c:tx>
            <c:v>Basis Fix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'6MSynthDepo_used'!$G$4</c:f>
              <c:numCache>
                <c:formatCode>d\-mmm\-yy</c:formatCode>
                <c:ptCount val="1"/>
                <c:pt idx="0">
                  <c:v>42279</c:v>
                </c:pt>
              </c:numCache>
            </c:numRef>
          </c:xVal>
          <c:yVal>
            <c:numRef>
              <c:f>'6MSynthDepo_used'!$K$4</c:f>
              <c:numCache>
                <c:formatCode>0.0000%</c:formatCode>
                <c:ptCount val="1"/>
                <c:pt idx="0">
                  <c:v>1.8474732317485692E-3</c:v>
                </c:pt>
              </c:numCache>
            </c:numRef>
          </c:yVal>
          <c:smooth val="0"/>
        </c:ser>
        <c:ser>
          <c:idx val="1"/>
          <c:order val="1"/>
          <c:tx>
            <c:v>Basis FRA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xVal>
            <c:numRef>
              <c:f>'6MSynthDepo_used'!$G$5:$G$16</c:f>
              <c:numCache>
                <c:formatCode>d\-mmm\-yy</c:formatCode>
                <c:ptCount val="12"/>
                <c:pt idx="0">
                  <c:v>42310</c:v>
                </c:pt>
                <c:pt idx="1">
                  <c:v>42340</c:v>
                </c:pt>
                <c:pt idx="2">
                  <c:v>42373</c:v>
                </c:pt>
                <c:pt idx="3">
                  <c:v>42402</c:v>
                </c:pt>
                <c:pt idx="4">
                  <c:v>42431</c:v>
                </c:pt>
                <c:pt idx="5">
                  <c:v>42464</c:v>
                </c:pt>
                <c:pt idx="6">
                  <c:v>42492</c:v>
                </c:pt>
                <c:pt idx="7">
                  <c:v>42523</c:v>
                </c:pt>
                <c:pt idx="8">
                  <c:v>42555</c:v>
                </c:pt>
                <c:pt idx="9">
                  <c:v>42584</c:v>
                </c:pt>
                <c:pt idx="10">
                  <c:v>42615</c:v>
                </c:pt>
                <c:pt idx="11">
                  <c:v>42646</c:v>
                </c:pt>
              </c:numCache>
            </c:numRef>
          </c:xVal>
          <c:yVal>
            <c:numRef>
              <c:f>'6MSynthDepo_used'!$K$5:$K$22</c:f>
              <c:numCache>
                <c:formatCode>0.0000%</c:formatCode>
                <c:ptCount val="18"/>
                <c:pt idx="0">
                  <c:v>1.8691558107094683E-3</c:v>
                </c:pt>
                <c:pt idx="1">
                  <c:v>1.9055417546055464E-3</c:v>
                </c:pt>
                <c:pt idx="2">
                  <c:v>1.9833264869979234E-3</c:v>
                </c:pt>
                <c:pt idx="3">
                  <c:v>2.0185125036239035E-3</c:v>
                </c:pt>
                <c:pt idx="4">
                  <c:v>2.0547709331345996E-3</c:v>
                </c:pt>
                <c:pt idx="5">
                  <c:v>2.101875076779963E-3</c:v>
                </c:pt>
                <c:pt idx="6">
                  <c:v>2.1426813564952309E-3</c:v>
                </c:pt>
                <c:pt idx="7">
                  <c:v>2.1625053778948711E-3</c:v>
                </c:pt>
                <c:pt idx="8">
                  <c:v>2.2008408617647415E-3</c:v>
                </c:pt>
                <c:pt idx="9">
                  <c:v>2.2353249734360439E-3</c:v>
                </c:pt>
                <c:pt idx="10">
                  <c:v>2.2550974245285245E-3</c:v>
                </c:pt>
                <c:pt idx="11">
                  <c:v>2.2762043216986599E-3</c:v>
                </c:pt>
                <c:pt idx="12">
                  <c:v>2.3216476317897629E-3</c:v>
                </c:pt>
                <c:pt idx="13">
                  <c:v>2.3497589466750066E-3</c:v>
                </c:pt>
                <c:pt idx="14">
                  <c:v>2.3954856451233815E-3</c:v>
                </c:pt>
                <c:pt idx="15">
                  <c:v>2.4336287110431273E-3</c:v>
                </c:pt>
                <c:pt idx="16">
                  <c:v>2.4657700273006374E-3</c:v>
                </c:pt>
                <c:pt idx="17">
                  <c:v>2.4986412683407925E-3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'6MSynthDepo_used'!$S$2</c:f>
              <c:strCache>
                <c:ptCount val="1"/>
                <c:pt idx="0">
                  <c:v>Simple Basis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'6MSynthDepo_used'!$R$3:$R$262</c:f>
              <c:numCache>
                <c:formatCode>d\-mmm\-yy</c:formatCode>
                <c:ptCount val="26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</c:numCache>
            </c:numRef>
          </c:xVal>
          <c:yVal>
            <c:numRef>
              <c:f>'6MSynthDepo_used'!$S$3:$S$262</c:f>
              <c:numCache>
                <c:formatCode>0.0000%</c:formatCode>
                <c:ptCount val="260"/>
                <c:pt idx="0">
                  <c:v>1.8272734459687102E-3</c:v>
                </c:pt>
                <c:pt idx="1">
                  <c:v>1.8326747547347979E-3</c:v>
                </c:pt>
                <c:pt idx="2">
                  <c:v>1.8344660083550466E-3</c:v>
                </c:pt>
                <c:pt idx="3">
                  <c:v>1.8362526932100829E-3</c:v>
                </c:pt>
                <c:pt idx="4">
                  <c:v>1.838034822831314E-3</c:v>
                </c:pt>
                <c:pt idx="5">
                  <c:v>1.8398124107501469E-3</c:v>
                </c:pt>
                <c:pt idx="6">
                  <c:v>1.8451180596063231E-3</c:v>
                </c:pt>
                <c:pt idx="7">
                  <c:v>1.8468776160296312E-3</c:v>
                </c:pt>
                <c:pt idx="8">
                  <c:v>1.8486326984075746E-3</c:v>
                </c:pt>
                <c:pt idx="9">
                  <c:v>1.8503833202715612E-3</c:v>
                </c:pt>
                <c:pt idx="10">
                  <c:v>1.8521294951529977E-3</c:v>
                </c:pt>
                <c:pt idx="11">
                  <c:v>1.8573414732160737E-3</c:v>
                </c:pt>
                <c:pt idx="12">
                  <c:v>1.8590699954813778E-3</c:v>
                </c:pt>
                <c:pt idx="13">
                  <c:v>1.8607941384211656E-3</c:v>
                </c:pt>
                <c:pt idx="14">
                  <c:v>1.8625139155668447E-3</c:v>
                </c:pt>
                <c:pt idx="15">
                  <c:v>1.8642293404498216E-3</c:v>
                </c:pt>
                <c:pt idx="16">
                  <c:v>1.8693496368366079E-3</c:v>
                </c:pt>
                <c:pt idx="17">
                  <c:v>1.871047787982845E-3</c:v>
                </c:pt>
                <c:pt idx="18">
                  <c:v>1.8727416545234142E-3</c:v>
                </c:pt>
                <c:pt idx="19">
                  <c:v>1.8744312499897225E-3</c:v>
                </c:pt>
                <c:pt idx="20">
                  <c:v>1.8761165879131768E-3</c:v>
                </c:pt>
                <c:pt idx="21">
                  <c:v>1.8811471917404845E-3</c:v>
                </c:pt>
                <c:pt idx="22">
                  <c:v>1.8828156348065913E-3</c:v>
                </c:pt>
                <c:pt idx="23">
                  <c:v>1.884479887986879E-3</c:v>
                </c:pt>
                <c:pt idx="24">
                  <c:v>1.8861399648127536E-3</c:v>
                </c:pt>
                <c:pt idx="25">
                  <c:v>1.8877958788156225E-3</c:v>
                </c:pt>
                <c:pt idx="26">
                  <c:v>1.8927387792002622E-3</c:v>
                </c:pt>
                <c:pt idx="27">
                  <c:v>1.8943781772251761E-3</c:v>
                </c:pt>
                <c:pt idx="28">
                  <c:v>1.8960134800841185E-3</c:v>
                </c:pt>
                <c:pt idx="29">
                  <c:v>1.8976447013084963E-3</c:v>
                </c:pt>
                <c:pt idx="30">
                  <c:v>1.8992718544297166E-3</c:v>
                </c:pt>
                <c:pt idx="31">
                  <c:v>1.9041290404884989E-3</c:v>
                </c:pt>
                <c:pt idx="32">
                  <c:v>1.9057400565111568E-3</c:v>
                </c:pt>
                <c:pt idx="33">
                  <c:v>1.9073470720876913E-3</c:v>
                </c:pt>
                <c:pt idx="34">
                  <c:v>1.9089501007495094E-3</c:v>
                </c:pt>
                <c:pt idx="35">
                  <c:v>1.9105491560280179E-3</c:v>
                </c:pt>
                <c:pt idx="36">
                  <c:v>1.9153226168777541E-3</c:v>
                </c:pt>
                <c:pt idx="37">
                  <c:v>1.9169059139370927E-3</c:v>
                </c:pt>
                <c:pt idx="38">
                  <c:v>1.9184853052701563E-3</c:v>
                </c:pt>
                <c:pt idx="39">
                  <c:v>1.9200608044083513E-3</c:v>
                </c:pt>
                <c:pt idx="40">
                  <c:v>1.9216324248830848E-3</c:v>
                </c:pt>
                <c:pt idx="41">
                  <c:v>1.9263241496405856E-3</c:v>
                </c:pt>
                <c:pt idx="42">
                  <c:v>1.927880390775542E-3</c:v>
                </c:pt>
                <c:pt idx="43">
                  <c:v>1.9294328209040715E-3</c:v>
                </c:pt>
                <c:pt idx="44">
                  <c:v>1.9309814535575806E-3</c:v>
                </c:pt>
                <c:pt idx="45">
                  <c:v>1.9325263022674762E-3</c:v>
                </c:pt>
                <c:pt idx="46">
                  <c:v>1.9371382800495523E-3</c:v>
                </c:pt>
                <c:pt idx="47">
                  <c:v>1.9386681282990636E-3</c:v>
                </c:pt>
                <c:pt idx="48">
                  <c:v>1.9401942602619957E-3</c:v>
                </c:pt>
                <c:pt idx="49">
                  <c:v>1.9417166894697558E-3</c:v>
                </c:pt>
                <c:pt idx="50">
                  <c:v>1.9432354294537507E-3</c:v>
                </c:pt>
                <c:pt idx="51">
                  <c:v>1.9477696493772126E-3</c:v>
                </c:pt>
                <c:pt idx="52">
                  <c:v>1.9492737677802153E-3</c:v>
                </c:pt>
                <c:pt idx="53">
                  <c:v>1.9507742646164877E-3</c:v>
                </c:pt>
                <c:pt idx="54">
                  <c:v>1.9522711534174357E-3</c:v>
                </c:pt>
                <c:pt idx="55">
                  <c:v>1.9537644477144664E-3</c:v>
                </c:pt>
                <c:pt idx="56">
                  <c:v>1.9582228988961259E-3</c:v>
                </c:pt>
                <c:pt idx="57">
                  <c:v>1.9597019504915569E-3</c:v>
                </c:pt>
                <c:pt idx="58">
                  <c:v>1.9611774752401057E-3</c:v>
                </c:pt>
                <c:pt idx="59">
                  <c:v>1.9626494866731782E-3</c:v>
                </c:pt>
                <c:pt idx="60">
                  <c:v>1.968502669878849E-3</c:v>
                </c:pt>
                <c:pt idx="61">
                  <c:v>1.9699573177056461E-3</c:v>
                </c:pt>
                <c:pt idx="62">
                  <c:v>1.9714085334054088E-3</c:v>
                </c:pt>
                <c:pt idx="63">
                  <c:v>1.9728563305095432E-3</c:v>
                </c:pt>
                <c:pt idx="64">
                  <c:v>1.9786136035979426E-3</c:v>
                </c:pt>
                <c:pt idx="65">
                  <c:v>1.9800445106950421E-3</c:v>
                </c:pt>
                <c:pt idx="66">
                  <c:v>1.9814720803849545E-3</c:v>
                </c:pt>
                <c:pt idx="67">
                  <c:v>1.9828963261990878E-3</c:v>
                </c:pt>
                <c:pt idx="68">
                  <c:v>1.9843172616688491E-3</c:v>
                </c:pt>
                <c:pt idx="69">
                  <c:v>1.9885603413259635E-3</c:v>
                </c:pt>
                <c:pt idx="70">
                  <c:v>1.9899681707323019E-3</c:v>
                </c:pt>
                <c:pt idx="71">
                  <c:v>1.9913727574513026E-3</c:v>
                </c:pt>
                <c:pt idx="72">
                  <c:v>1.9927741150143718E-3</c:v>
                </c:pt>
                <c:pt idx="73">
                  <c:v>1.9941722569529162E-3</c:v>
                </c:pt>
                <c:pt idx="74">
                  <c:v>1.998347524335471E-3</c:v>
                </c:pt>
                <c:pt idx="75">
                  <c:v>1.9997329390899865E-3</c:v>
                </c:pt>
                <c:pt idx="76">
                  <c:v>2.0011152058770111E-3</c:v>
                </c:pt>
                <c:pt idx="77">
                  <c:v>2.0024943382279527E-3</c:v>
                </c:pt>
                <c:pt idx="78">
                  <c:v>2.003870349674218E-3</c:v>
                </c:pt>
                <c:pt idx="79">
                  <c:v>2.0079797938990238E-3</c:v>
                </c:pt>
                <c:pt idx="80">
                  <c:v>2.0093434570406521E-3</c:v>
                </c:pt>
                <c:pt idx="81">
                  <c:v>2.0107040669346387E-3</c:v>
                </c:pt>
                <c:pt idx="82">
                  <c:v>2.0120616371123901E-3</c:v>
                </c:pt>
                <c:pt idx="83">
                  <c:v>2.0134161811053127E-3</c:v>
                </c:pt>
                <c:pt idx="84">
                  <c:v>2.0174617912891804E-3</c:v>
                </c:pt>
                <c:pt idx="85">
                  <c:v>2.018804365856859E-3</c:v>
                </c:pt>
                <c:pt idx="86">
                  <c:v>2.0201439818967435E-3</c:v>
                </c:pt>
                <c:pt idx="87">
                  <c:v>2.0214806529402409E-3</c:v>
                </c:pt>
                <c:pt idx="88">
                  <c:v>2.0228143925187583E-3</c:v>
                </c:pt>
                <c:pt idx="89">
                  <c:v>2.0267981577784993E-3</c:v>
                </c:pt>
                <c:pt idx="90">
                  <c:v>2.0281203068111646E-3</c:v>
                </c:pt>
                <c:pt idx="91">
                  <c:v>2.0294395920358848E-3</c:v>
                </c:pt>
                <c:pt idx="92">
                  <c:v>2.0307560269840663E-3</c:v>
                </c:pt>
                <c:pt idx="93">
                  <c:v>2.0320696251871152E-3</c:v>
                </c:pt>
                <c:pt idx="94">
                  <c:v>2.0359935346395391E-3</c:v>
                </c:pt>
                <c:pt idx="95">
                  <c:v>2.037295921176129E-3</c:v>
                </c:pt>
                <c:pt idx="96">
                  <c:v>2.0385955386246209E-3</c:v>
                </c:pt>
                <c:pt idx="97">
                  <c:v>2.0398924005164223E-3</c:v>
                </c:pt>
                <c:pt idx="98">
                  <c:v>2.0411865203829394E-3</c:v>
                </c:pt>
                <c:pt idx="99">
                  <c:v>2.0450525631448579E-3</c:v>
                </c:pt>
                <c:pt idx="100">
                  <c:v>2.0463358502243087E-3</c:v>
                </c:pt>
                <c:pt idx="101">
                  <c:v>2.0476164629355097E-3</c:v>
                </c:pt>
                <c:pt idx="102">
                  <c:v>2.0488944148098686E-3</c:v>
                </c:pt>
                <c:pt idx="103">
                  <c:v>2.0501697193787919E-3</c:v>
                </c:pt>
                <c:pt idx="104">
                  <c:v>2.0539798845670147E-3</c:v>
                </c:pt>
                <c:pt idx="105">
                  <c:v>2.0552447352282636E-3</c:v>
                </c:pt>
                <c:pt idx="106">
                  <c:v>2.0565070062411113E-3</c:v>
                </c:pt>
                <c:pt idx="107">
                  <c:v>2.0577667111369644E-3</c:v>
                </c:pt>
                <c:pt idx="108">
                  <c:v>2.0590238634472292E-3</c:v>
                </c:pt>
                <c:pt idx="109">
                  <c:v>2.0627801401785686E-3</c:v>
                </c:pt>
                <c:pt idx="110">
                  <c:v>2.0640272174605521E-3</c:v>
                </c:pt>
                <c:pt idx="111">
                  <c:v>2.0652718098139828E-3</c:v>
                </c:pt>
                <c:pt idx="112">
                  <c:v>2.0665139307702667E-3</c:v>
                </c:pt>
                <c:pt idx="113">
                  <c:v>2.0677535938608115E-3</c:v>
                </c:pt>
                <c:pt idx="114">
                  <c:v>2.0714579712520771E-3</c:v>
                </c:pt>
                <c:pt idx="115">
                  <c:v>2.0726879381937329E-3</c:v>
                </c:pt>
                <c:pt idx="116">
                  <c:v>2.0739155149266829E-3</c:v>
                </c:pt>
                <c:pt idx="117">
                  <c:v>2.0751407149823351E-3</c:v>
                </c:pt>
                <c:pt idx="118">
                  <c:v>2.0763635518920962E-3</c:v>
                </c:pt>
                <c:pt idx="119">
                  <c:v>2.0800180190600993E-3</c:v>
                </c:pt>
                <c:pt idx="120">
                  <c:v>2.0812315387003636E-3</c:v>
                </c:pt>
                <c:pt idx="121">
                  <c:v>2.0824427628517712E-3</c:v>
                </c:pt>
                <c:pt idx="122">
                  <c:v>2.0836517050457286E-3</c:v>
                </c:pt>
                <c:pt idx="123">
                  <c:v>2.0896626602530037E-3</c:v>
                </c:pt>
                <c:pt idx="124">
                  <c:v>2.0908581948618056E-3</c:v>
                </c:pt>
                <c:pt idx="125">
                  <c:v>2.0920515422330043E-3</c:v>
                </c:pt>
                <c:pt idx="126">
                  <c:v>2.0932427158980088E-3</c:v>
                </c:pt>
                <c:pt idx="127">
                  <c:v>2.0968033299699198E-3</c:v>
                </c:pt>
                <c:pt idx="128">
                  <c:v>2.0979859441242121E-3</c:v>
                </c:pt>
                <c:pt idx="129">
                  <c:v>2.0991664522293438E-3</c:v>
                </c:pt>
                <c:pt idx="130">
                  <c:v>2.1003448678167222E-3</c:v>
                </c:pt>
                <c:pt idx="131">
                  <c:v>2.1015212044177538E-3</c:v>
                </c:pt>
                <c:pt idx="132">
                  <c:v>2.105037875616834E-3</c:v>
                </c:pt>
                <c:pt idx="133">
                  <c:v>2.106206031586547E-3</c:v>
                </c:pt>
                <c:pt idx="134">
                  <c:v>2.1073721762269464E-3</c:v>
                </c:pt>
                <c:pt idx="135">
                  <c:v>2.1085363230694404E-3</c:v>
                </c:pt>
                <c:pt idx="136">
                  <c:v>2.1096984856454355E-3</c:v>
                </c:pt>
                <c:pt idx="137">
                  <c:v>2.1131732030884973E-3</c:v>
                </c:pt>
                <c:pt idx="138">
                  <c:v>2.114327563912566E-3</c:v>
                </c:pt>
                <c:pt idx="139">
                  <c:v>2.1154800081271703E-3</c:v>
                </c:pt>
                <c:pt idx="140">
                  <c:v>2.116630549263717E-3</c:v>
                </c:pt>
                <c:pt idx="141">
                  <c:v>2.1177792008536134E-3</c:v>
                </c:pt>
                <c:pt idx="142">
                  <c:v>2.1212139536574666E-3</c:v>
                </c:pt>
                <c:pt idx="143">
                  <c:v>2.1223551823748282E-3</c:v>
                </c:pt>
                <c:pt idx="144">
                  <c:v>2.1234945892025748E-3</c:v>
                </c:pt>
                <c:pt idx="145">
                  <c:v>2.1246321876721114E-3</c:v>
                </c:pt>
                <c:pt idx="146">
                  <c:v>2.1257679913148451E-3</c:v>
                </c:pt>
                <c:pt idx="147">
                  <c:v>2.1291647685963005E-3</c:v>
                </c:pt>
                <c:pt idx="148">
                  <c:v>2.1302935282458933E-3</c:v>
                </c:pt>
                <c:pt idx="149">
                  <c:v>2.1314205607257178E-3</c:v>
                </c:pt>
                <c:pt idx="150">
                  <c:v>2.1325458795671808E-3</c:v>
                </c:pt>
                <c:pt idx="151">
                  <c:v>2.1336694983016898E-3</c:v>
                </c:pt>
                <c:pt idx="152">
                  <c:v>2.1370302891775589E-3</c:v>
                </c:pt>
                <c:pt idx="153">
                  <c:v>2.1381472427983187E-3</c:v>
                </c:pt>
                <c:pt idx="154">
                  <c:v>2.139262563969159E-3</c:v>
                </c:pt>
                <c:pt idx="155">
                  <c:v>2.1403762662214852E-3</c:v>
                </c:pt>
                <c:pt idx="156">
                  <c:v>2.1414883630867061E-3</c:v>
                </c:pt>
                <c:pt idx="157">
                  <c:v>2.1448151566737989E-3</c:v>
                </c:pt>
                <c:pt idx="158">
                  <c:v>2.145920967304663E-3</c:v>
                </c:pt>
                <c:pt idx="159">
                  <c:v>2.1470252402054557E-3</c:v>
                </c:pt>
                <c:pt idx="160">
                  <c:v>2.1481279889075831E-3</c:v>
                </c:pt>
                <c:pt idx="161">
                  <c:v>2.1492292269424521E-3</c:v>
                </c:pt>
                <c:pt idx="162">
                  <c:v>2.1525240123575801E-3</c:v>
                </c:pt>
                <c:pt idx="163">
                  <c:v>2.1536193430374854E-3</c:v>
                </c:pt>
                <c:pt idx="164">
                  <c:v>2.1547132307071673E-3</c:v>
                </c:pt>
                <c:pt idx="165">
                  <c:v>2.1558056888980322E-3</c:v>
                </c:pt>
                <c:pt idx="166">
                  <c:v>2.1568967311414869E-3</c:v>
                </c:pt>
                <c:pt idx="167">
                  <c:v>2.1601614975014605E-3</c:v>
                </c:pt>
                <c:pt idx="168">
                  <c:v>2.1612470112693442E-3</c:v>
                </c:pt>
                <c:pt idx="169">
                  <c:v>2.1623311767468519E-3</c:v>
                </c:pt>
                <c:pt idx="170">
                  <c:v>2.1634140074653914E-3</c:v>
                </c:pt>
                <c:pt idx="171">
                  <c:v>2.1644955169563686E-3</c:v>
                </c:pt>
                <c:pt idx="172">
                  <c:v>2.1677322533779986E-3</c:v>
                </c:pt>
                <c:pt idx="173">
                  <c:v>2.1688086132727971E-3</c:v>
                </c:pt>
                <c:pt idx="174">
                  <c:v>2.1698837195970686E-3</c:v>
                </c:pt>
                <c:pt idx="175">
                  <c:v>2.1709575858822193E-3</c:v>
                </c:pt>
                <c:pt idx="176">
                  <c:v>2.1720302256596565E-3</c:v>
                </c:pt>
                <c:pt idx="177">
                  <c:v>2.1752409212597531E-3</c:v>
                </c:pt>
                <c:pt idx="178">
                  <c:v>2.1763087903204042E-3</c:v>
                </c:pt>
                <c:pt idx="179">
                  <c:v>2.1773755005303759E-3</c:v>
                </c:pt>
                <c:pt idx="180">
                  <c:v>2.1784410654210745E-3</c:v>
                </c:pt>
                <c:pt idx="181">
                  <c:v>2.1795054985239075E-3</c:v>
                </c:pt>
                <c:pt idx="182">
                  <c:v>2.1826921424192834E-3</c:v>
                </c:pt>
                <c:pt idx="183">
                  <c:v>2.183752183684723E-3</c:v>
                </c:pt>
                <c:pt idx="184">
                  <c:v>2.184811160819331E-3</c:v>
                </c:pt>
                <c:pt idx="185">
                  <c:v>2.1858690873545156E-3</c:v>
                </c:pt>
                <c:pt idx="186">
                  <c:v>2.1869259768216823E-3</c:v>
                </c:pt>
                <c:pt idx="187">
                  <c:v>2.1900905581291462E-3</c:v>
                </c:pt>
                <c:pt idx="188">
                  <c:v>2.1911434346383123E-3</c:v>
                </c:pt>
                <c:pt idx="189">
                  <c:v>2.1921953417364947E-3</c:v>
                </c:pt>
                <c:pt idx="190">
                  <c:v>2.193246292955101E-3</c:v>
                </c:pt>
                <c:pt idx="191">
                  <c:v>2.1942963018255382E-3</c:v>
                </c:pt>
                <c:pt idx="192">
                  <c:v>2.1974408096619024E-3</c:v>
                </c:pt>
                <c:pt idx="193">
                  <c:v>2.1984871844537308E-3</c:v>
                </c:pt>
                <c:pt idx="194">
                  <c:v>2.1995326845544241E-3</c:v>
                </c:pt>
                <c:pt idx="195">
                  <c:v>2.2005773234953898E-3</c:v>
                </c:pt>
                <c:pt idx="196">
                  <c:v>2.2016211148080341E-3</c:v>
                </c:pt>
                <c:pt idx="197">
                  <c:v>2.2047475382901086E-3</c:v>
                </c:pt>
                <c:pt idx="198">
                  <c:v>2.2057880744035365E-3</c:v>
                </c:pt>
                <c:pt idx="199">
                  <c:v>2.2068278305456784E-3</c:v>
                </c:pt>
                <c:pt idx="200">
                  <c:v>2.2078668202479396E-3</c:v>
                </c:pt>
                <c:pt idx="201">
                  <c:v>2.2089050570417283E-3</c:v>
                </c:pt>
                <c:pt idx="202">
                  <c:v>2.2120153852863244E-3</c:v>
                </c:pt>
                <c:pt idx="203">
                  <c:v>2.2130507457602893E-3</c:v>
                </c:pt>
                <c:pt idx="204">
                  <c:v>2.2140854209828156E-3</c:v>
                </c:pt>
                <c:pt idx="205">
                  <c:v>2.21511942448531E-3</c:v>
                </c:pt>
                <c:pt idx="206">
                  <c:v>2.2161527697991796E-3</c:v>
                </c:pt>
                <c:pt idx="207">
                  <c:v>2.2192489919231075E-3</c:v>
                </c:pt>
                <c:pt idx="208">
                  <c:v>2.2202798397965465E-3</c:v>
                </c:pt>
                <c:pt idx="209">
                  <c:v>2.2213100971383952E-3</c:v>
                </c:pt>
                <c:pt idx="210">
                  <c:v>2.2223397774800593E-3</c:v>
                </c:pt>
                <c:pt idx="211">
                  <c:v>2.223368894352947E-3</c:v>
                </c:pt>
                <c:pt idx="212">
                  <c:v>2.2264529994730181E-3</c:v>
                </c:pt>
                <c:pt idx="213">
                  <c:v>2.2274799977848674E-3</c:v>
                </c:pt>
                <c:pt idx="214">
                  <c:v>2.2285065002849739E-3</c:v>
                </c:pt>
                <c:pt idx="215">
                  <c:v>2.2295325205047454E-3</c:v>
                </c:pt>
                <c:pt idx="216">
                  <c:v>2.2305580719755884E-3</c:v>
                </c:pt>
                <c:pt idx="217">
                  <c:v>2.2336320492086126E-3</c:v>
                </c:pt>
                <c:pt idx="218">
                  <c:v>2.2346558609978094E-3</c:v>
                </c:pt>
                <c:pt idx="219">
                  <c:v>2.2356792716951126E-3</c:v>
                </c:pt>
                <c:pt idx="220">
                  <c:v>2.2367022948319277E-3</c:v>
                </c:pt>
                <c:pt idx="221">
                  <c:v>2.2377249439396625E-3</c:v>
                </c:pt>
                <c:pt idx="222">
                  <c:v>2.2407907824024522E-3</c:v>
                </c:pt>
                <c:pt idx="223">
                  <c:v>2.2418120707079331E-3</c:v>
                </c:pt>
                <c:pt idx="224">
                  <c:v>2.2428330526413683E-3</c:v>
                </c:pt>
                <c:pt idx="225">
                  <c:v>2.2438537417341638E-3</c:v>
                </c:pt>
                <c:pt idx="226">
                  <c:v>2.2448741515177276E-3</c:v>
                </c:pt>
                <c:pt idx="227">
                  <c:v>2.2479338403270923E-3</c:v>
                </c:pt>
                <c:pt idx="228">
                  <c:v>2.2489532681877955E-3</c:v>
                </c:pt>
                <c:pt idx="229">
                  <c:v>2.2499724843963002E-3</c:v>
                </c:pt>
                <c:pt idx="230">
                  <c:v>2.2509915024840135E-3</c:v>
                </c:pt>
                <c:pt idx="231">
                  <c:v>2.2520103359823431E-3</c:v>
                </c:pt>
                <c:pt idx="232">
                  <c:v>2.2550658642550942E-3</c:v>
                </c:pt>
                <c:pt idx="233">
                  <c:v>2.2560840947099554E-3</c:v>
                </c:pt>
                <c:pt idx="234">
                  <c:v>2.2571022082324664E-3</c:v>
                </c:pt>
                <c:pt idx="235">
                  <c:v>2.2581202183540347E-3</c:v>
                </c:pt>
                <c:pt idx="236">
                  <c:v>2.2591381386060671E-3</c:v>
                </c:pt>
                <c:pt idx="237">
                  <c:v>2.2621914954590152E-3</c:v>
                </c:pt>
                <c:pt idx="238">
                  <c:v>2.263209191546971E-3</c:v>
                </c:pt>
                <c:pt idx="239">
                  <c:v>2.2642268654224258E-3</c:v>
                </c:pt>
                <c:pt idx="240">
                  <c:v>2.2652445306167858E-3</c:v>
                </c:pt>
                <c:pt idx="241">
                  <c:v>2.2662622006614573E-3</c:v>
                </c:pt>
                <c:pt idx="242">
                  <c:v>2.2693153752114141E-3</c:v>
                </c:pt>
                <c:pt idx="243">
                  <c:v>2.2703331999714025E-3</c:v>
                </c:pt>
                <c:pt idx="244">
                  <c:v>2.2713510972387375E-3</c:v>
                </c:pt>
                <c:pt idx="245">
                  <c:v>2.2723690805448258E-3</c:v>
                </c:pt>
                <c:pt idx="246">
                  <c:v>2.273387163421074E-3</c:v>
                </c:pt>
                <c:pt idx="247">
                  <c:v>2.2764421447848491E-3</c:v>
                </c:pt>
                <c:pt idx="248">
                  <c:v>2.2774607612558069E-3</c:v>
                </c:pt>
                <c:pt idx="249">
                  <c:v>2.278479544953959E-3</c:v>
                </c:pt>
                <c:pt idx="250">
                  <c:v>2.2794985094107129E-3</c:v>
                </c:pt>
                <c:pt idx="251">
                  <c:v>2.2805176681574748E-3</c:v>
                </c:pt>
                <c:pt idx="252">
                  <c:v>2.2835764454518788E-3</c:v>
                </c:pt>
                <c:pt idx="253">
                  <c:v>2.2845965166727431E-3</c:v>
                </c:pt>
                <c:pt idx="254">
                  <c:v>2.2856168498406495E-3</c:v>
                </c:pt>
                <c:pt idx="255">
                  <c:v>2.2866374584870055E-3</c:v>
                </c:pt>
                <c:pt idx="256">
                  <c:v>2.2876583561432184E-3</c:v>
                </c:pt>
                <c:pt idx="257">
                  <c:v>2.290722918485063E-3</c:v>
                </c:pt>
                <c:pt idx="258">
                  <c:v>2.29174510749477E-3</c:v>
                </c:pt>
                <c:pt idx="259">
                  <c:v>2.2927676531713675E-3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4455728"/>
        <c:axId val="734456120"/>
      </c:scatterChart>
      <c:valAx>
        <c:axId val="73445572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734456120"/>
        <c:crosses val="autoZero"/>
        <c:crossBetween val="midCat"/>
      </c:valAx>
      <c:valAx>
        <c:axId val="734456120"/>
        <c:scaling>
          <c:orientation val="minMax"/>
          <c:max val="2.5000000000000005E-3"/>
          <c:min val="1.5000000000000005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34455728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78579558080808076"/>
          <c:y val="0.5043522222222222"/>
          <c:w val="0.13984531312743334"/>
          <c:h val="0.3280346318532488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Continuous Basis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709973753280843E-2"/>
          <c:y val="1.8266641777536428E-2"/>
          <c:w val="0.91118569119257442"/>
          <c:h val="0.93730079509660247"/>
        </c:manualLayout>
      </c:layout>
      <c:scatterChart>
        <c:scatterStyle val="lineMarker"/>
        <c:varyColors val="0"/>
        <c:ser>
          <c:idx val="4"/>
          <c:order val="0"/>
          <c:tx>
            <c:v>Cont Basis 0M-6M</c:v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'6MSynthDepo_used'!$R$3:$R$133</c:f>
              <c:numCache>
                <c:formatCode>d\-mmm\-yy</c:formatCode>
                <c:ptCount val="131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</c:numCache>
            </c:numRef>
          </c:xVal>
          <c:yVal>
            <c:numRef>
              <c:f>'6MSynthDepo_used'!$U$3:$U$133</c:f>
              <c:numCache>
                <c:formatCode>0.0000%</c:formatCode>
                <c:ptCount val="131"/>
                <c:pt idx="0">
                  <c:v>1.6442179409597816E-3</c:v>
                </c:pt>
                <c:pt idx="1">
                  <c:v>1.6510332251412588E-3</c:v>
                </c:pt>
                <c:pt idx="2">
                  <c:v>1.6532932658214999E-3</c:v>
                </c:pt>
                <c:pt idx="3">
                  <c:v>1.6555474686972944E-3</c:v>
                </c:pt>
                <c:pt idx="4">
                  <c:v>1.6577958473000477E-3</c:v>
                </c:pt>
                <c:pt idx="5">
                  <c:v>1.660038415161168E-3</c:v>
                </c:pt>
                <c:pt idx="6">
                  <c:v>1.6667313896087954E-3</c:v>
                </c:pt>
                <c:pt idx="7">
                  <c:v>1.6689508498174499E-3</c:v>
                </c:pt>
                <c:pt idx="8">
                  <c:v>1.6711645669415047E-3</c:v>
                </c:pt>
                <c:pt idx="9">
                  <c:v>1.6733725545123679E-3</c:v>
                </c:pt>
                <c:pt idx="10">
                  <c:v>1.6755748260614454E-3</c:v>
                </c:pt>
                <c:pt idx="11">
                  <c:v>1.682147479892034E-3</c:v>
                </c:pt>
                <c:pt idx="12">
                  <c:v>1.6843270226680382E-3</c:v>
                </c:pt>
                <c:pt idx="13">
                  <c:v>1.6865009170792917E-3</c:v>
                </c:pt>
                <c:pt idx="14">
                  <c:v>1.6886691766572007E-3</c:v>
                </c:pt>
                <c:pt idx="15">
                  <c:v>1.6908318149331724E-3</c:v>
                </c:pt>
                <c:pt idx="16">
                  <c:v>1.6972861372635329E-3</c:v>
                </c:pt>
                <c:pt idx="17">
                  <c:v>1.6994264256458243E-3</c:v>
                </c:pt>
                <c:pt idx="18">
                  <c:v>1.7015611603832127E-3</c:v>
                </c:pt>
                <c:pt idx="19">
                  <c:v>1.7036903550071046E-3</c:v>
                </c:pt>
                <c:pt idx="20">
                  <c:v>1.7058140230489078E-3</c:v>
                </c:pt>
                <c:pt idx="21">
                  <c:v>1.712152002995851E-3</c:v>
                </c:pt>
                <c:pt idx="22">
                  <c:v>1.7142537000233661E-3</c:v>
                </c:pt>
                <c:pt idx="23">
                  <c:v>1.7163499381258264E-3</c:v>
                </c:pt>
                <c:pt idx="24">
                  <c:v>1.7184407308346388E-3</c:v>
                </c:pt>
                <c:pt idx="25">
                  <c:v>1.7205260916812104E-3</c:v>
                </c:pt>
                <c:pt idx="26">
                  <c:v>1.7267497183615468E-3</c:v>
                </c:pt>
                <c:pt idx="27">
                  <c:v>1.7288134870732227E-3</c:v>
                </c:pt>
                <c:pt idx="28">
                  <c:v>1.7308718915796919E-3</c:v>
                </c:pt>
                <c:pt idx="29">
                  <c:v>1.7329249454123613E-3</c:v>
                </c:pt>
                <c:pt idx="30">
                  <c:v>1.7349726621026379E-3</c:v>
                </c:pt>
                <c:pt idx="31">
                  <c:v>1.7410839246331784E-3</c:v>
                </c:pt>
                <c:pt idx="32">
                  <c:v>1.7431104280679522E-3</c:v>
                </c:pt>
                <c:pt idx="33">
                  <c:v>1.7451316620173672E-3</c:v>
                </c:pt>
                <c:pt idx="34">
                  <c:v>1.7471476400128306E-3</c:v>
                </c:pt>
                <c:pt idx="35">
                  <c:v>1.7491583755857494E-3</c:v>
                </c:pt>
                <c:pt idx="36">
                  <c:v>1.7551592630833052E-3</c:v>
                </c:pt>
                <c:pt idx="37">
                  <c:v>1.7571491642801133E-3</c:v>
                </c:pt>
                <c:pt idx="38">
                  <c:v>1.7591338907114113E-3</c:v>
                </c:pt>
                <c:pt idx="39">
                  <c:v>1.7611134559086057E-3</c:v>
                </c:pt>
                <c:pt idx="40">
                  <c:v>1.7630878734031033E-3</c:v>
                </c:pt>
                <c:pt idx="41">
                  <c:v>1.7689803749844852E-3</c:v>
                </c:pt>
                <c:pt idx="42">
                  <c:v>1.7709343369822648E-3</c:v>
                </c:pt>
                <c:pt idx="43">
                  <c:v>1.7728832189343826E-3</c:v>
                </c:pt>
                <c:pt idx="44">
                  <c:v>1.7748270343722449E-3</c:v>
                </c:pt>
                <c:pt idx="45">
                  <c:v>1.7767657968272585E-3</c:v>
                </c:pt>
                <c:pt idx="46">
                  <c:v>1.7825519016092771E-3</c:v>
                </c:pt>
                <c:pt idx="47">
                  <c:v>1.7844705874469654E-3</c:v>
                </c:pt>
                <c:pt idx="48">
                  <c:v>1.7863842879588397E-3</c:v>
                </c:pt>
                <c:pt idx="49">
                  <c:v>1.7882930166763066E-3</c:v>
                </c:pt>
                <c:pt idx="50">
                  <c:v>1.7901967871307733E-3</c:v>
                </c:pt>
                <c:pt idx="51">
                  <c:v>1.7958784842302396E-3</c:v>
                </c:pt>
                <c:pt idx="52">
                  <c:v>1.7977625569467735E-3</c:v>
                </c:pt>
                <c:pt idx="53">
                  <c:v>1.7996417390573412E-3</c:v>
                </c:pt>
                <c:pt idx="54">
                  <c:v>1.8015160440933498E-3</c:v>
                </c:pt>
                <c:pt idx="55">
                  <c:v>1.8033854855862062E-3</c:v>
                </c:pt>
                <c:pt idx="56">
                  <c:v>1.8089647641199311E-3</c:v>
                </c:pt>
                <c:pt idx="57">
                  <c:v>1.8108148867542473E-3</c:v>
                </c:pt>
                <c:pt idx="58">
                  <c:v>1.8126602135024453E-3</c:v>
                </c:pt>
                <c:pt idx="59">
                  <c:v>1.8145007578959328E-3</c:v>
                </c:pt>
                <c:pt idx="60">
                  <c:v>1.8218153825509101E-3</c:v>
                </c:pt>
                <c:pt idx="61">
                  <c:v>1.8236322181419454E-3</c:v>
                </c:pt>
                <c:pt idx="62">
                  <c:v>1.8254443525667111E-3</c:v>
                </c:pt>
                <c:pt idx="63">
                  <c:v>1.8272517993566141E-3</c:v>
                </c:pt>
                <c:pt idx="64">
                  <c:v>1.8344349807957352E-3</c:v>
                </c:pt>
                <c:pt idx="65">
                  <c:v>1.8362191923824271E-3</c:v>
                </c:pt>
                <c:pt idx="66">
                  <c:v>1.8379987975226972E-3</c:v>
                </c:pt>
                <c:pt idx="67">
                  <c:v>1.8397738097479528E-3</c:v>
                </c:pt>
                <c:pt idx="68">
                  <c:v>1.8415442425896002E-3</c:v>
                </c:pt>
                <c:pt idx="69">
                  <c:v>1.8468282001269649E-3</c:v>
                </c:pt>
                <c:pt idx="70">
                  <c:v>1.8485804507482502E-3</c:v>
                </c:pt>
                <c:pt idx="71">
                  <c:v>1.8503281896429615E-3</c:v>
                </c:pt>
                <c:pt idx="72">
                  <c:v>1.8520714303425069E-3</c:v>
                </c:pt>
                <c:pt idx="73">
                  <c:v>1.8538101863782919E-3</c:v>
                </c:pt>
                <c:pt idx="74">
                  <c:v>1.8589996818171584E-3</c:v>
                </c:pt>
                <c:pt idx="75">
                  <c:v>1.8607206345119735E-3</c:v>
                </c:pt>
                <c:pt idx="76">
                  <c:v>1.8624371702000635E-3</c:v>
                </c:pt>
                <c:pt idx="77">
                  <c:v>1.8641493024128348E-3</c:v>
                </c:pt>
                <c:pt idx="78">
                  <c:v>1.8658570446816946E-3</c:v>
                </c:pt>
                <c:pt idx="79">
                  <c:v>1.8709540671388734E-3</c:v>
                </c:pt>
                <c:pt idx="80">
                  <c:v>1.8726443849461556E-3</c:v>
                </c:pt>
                <c:pt idx="81">
                  <c:v>1.8743303804665608E-3</c:v>
                </c:pt>
                <c:pt idx="82">
                  <c:v>1.8760120672314956E-3</c:v>
                </c:pt>
                <c:pt idx="83">
                  <c:v>1.8776894587723668E-3</c:v>
                </c:pt>
                <c:pt idx="84">
                  <c:v>1.8826959973646689E-3</c:v>
                </c:pt>
                <c:pt idx="85">
                  <c:v>1.8843563433233552E-3</c:v>
                </c:pt>
                <c:pt idx="86">
                  <c:v>1.8860124617150124E-3</c:v>
                </c:pt>
                <c:pt idx="87">
                  <c:v>1.8876643660710477E-3</c:v>
                </c:pt>
                <c:pt idx="88">
                  <c:v>1.8893120699228674E-3</c:v>
                </c:pt>
                <c:pt idx="89">
                  <c:v>1.8942301137671032E-3</c:v>
                </c:pt>
                <c:pt idx="90">
                  <c:v>1.8958611509161307E-3</c:v>
                </c:pt>
                <c:pt idx="91">
                  <c:v>1.897488055217977E-3</c:v>
                </c:pt>
                <c:pt idx="92">
                  <c:v>1.8991108402040492E-3</c:v>
                </c:pt>
                <c:pt idx="93">
                  <c:v>1.9007295194057544E-3</c:v>
                </c:pt>
                <c:pt idx="94">
                  <c:v>1.9055610576187358E-3</c:v>
                </c:pt>
                <c:pt idx="95">
                  <c:v>1.9071634489970406E-3</c:v>
                </c:pt>
                <c:pt idx="96">
                  <c:v>1.9087618022480134E-3</c:v>
                </c:pt>
                <c:pt idx="97">
                  <c:v>1.9103561309030596E-3</c:v>
                </c:pt>
                <c:pt idx="98">
                  <c:v>1.9119464484935872E-3</c:v>
                </c:pt>
                <c:pt idx="99">
                  <c:v>1.9166934701921239E-3</c:v>
                </c:pt>
                <c:pt idx="100">
                  <c:v>1.9182678788386438E-3</c:v>
                </c:pt>
                <c:pt idx="101">
                  <c:v>1.9198383440776794E-3</c:v>
                </c:pt>
                <c:pt idx="102">
                  <c:v>1.9214048794406367E-3</c:v>
                </c:pt>
                <c:pt idx="103">
                  <c:v>1.9229674984589237E-3</c:v>
                </c:pt>
                <c:pt idx="104">
                  <c:v>1.9276319927598268E-3</c:v>
                </c:pt>
                <c:pt idx="105">
                  <c:v>1.9291790817134984E-3</c:v>
                </c:pt>
                <c:pt idx="106">
                  <c:v>1.9307223219795339E-3</c:v>
                </c:pt>
                <c:pt idx="107">
                  <c:v>1.9322617270893395E-3</c:v>
                </c:pt>
                <c:pt idx="108">
                  <c:v>1.9337973105743227E-3</c:v>
                </c:pt>
                <c:pt idx="109">
                  <c:v>1.9383812665944031E-3</c:v>
                </c:pt>
                <c:pt idx="110">
                  <c:v>1.9399016988941634E-3</c:v>
                </c:pt>
                <c:pt idx="111">
                  <c:v>1.9414183772261356E-3</c:v>
                </c:pt>
                <c:pt idx="112">
                  <c:v>1.9429313151217262E-3</c:v>
                </c:pt>
                <c:pt idx="113">
                  <c:v>1.9444405261123422E-3</c:v>
                </c:pt>
                <c:pt idx="114">
                  <c:v>1.9489459329684112E-3</c:v>
                </c:pt>
                <c:pt idx="115">
                  <c:v>1.950440371653197E-3</c:v>
                </c:pt>
                <c:pt idx="116">
                  <c:v>1.9519311510900433E-3</c:v>
                </c:pt>
                <c:pt idx="117">
                  <c:v>1.9534182848103556E-3</c:v>
                </c:pt>
                <c:pt idx="118">
                  <c:v>1.9549017863455418E-3</c:v>
                </c:pt>
                <c:pt idx="119">
                  <c:v>1.9593306331544096E-3</c:v>
                </c:pt>
                <c:pt idx="120">
                  <c:v>1.9607997412631585E-3</c:v>
                </c:pt>
                <c:pt idx="121">
                  <c:v>1.9622652848438151E-3</c:v>
                </c:pt>
                <c:pt idx="122">
                  <c:v>1.9637272774277862E-3</c:v>
                </c:pt>
                <c:pt idx="123">
                  <c:v>1.9709844489966054E-3</c:v>
                </c:pt>
                <c:pt idx="124">
                  <c:v>1.9724254197600096E-3</c:v>
                </c:pt>
                <c:pt idx="125">
                  <c:v>1.9738629342465766E-3</c:v>
                </c:pt>
                <c:pt idx="126">
                  <c:v>1.9752970059877138E-3</c:v>
                </c:pt>
                <c:pt idx="127">
                  <c:v>1.9795787000526123E-3</c:v>
                </c:pt>
                <c:pt idx="128">
                  <c:v>1.9809991361260972E-3</c:v>
                </c:pt>
                <c:pt idx="129">
                  <c:v>1.9824161971111857E-3</c:v>
                </c:pt>
                <c:pt idx="130">
                  <c:v>1.9838298965392854E-3</c:v>
                </c:pt>
              </c:numCache>
            </c:numRef>
          </c:yVal>
          <c:smooth val="0"/>
        </c:ser>
        <c:ser>
          <c:idx val="0"/>
          <c:order val="1"/>
          <c:tx>
            <c:v>Cont Basis 6M-12M</c:v>
          </c:tx>
          <c:marker>
            <c:symbol val="none"/>
          </c:marker>
          <c:xVal>
            <c:numRef>
              <c:f>'6MSynthDepo_used'!$R$134:$R$262</c:f>
              <c:numCache>
                <c:formatCode>d\-mmm\-yy</c:formatCode>
                <c:ptCount val="129"/>
                <c:pt idx="0">
                  <c:v>42468</c:v>
                </c:pt>
                <c:pt idx="1">
                  <c:v>42471</c:v>
                </c:pt>
                <c:pt idx="2">
                  <c:v>42472</c:v>
                </c:pt>
                <c:pt idx="3">
                  <c:v>42473</c:v>
                </c:pt>
                <c:pt idx="4">
                  <c:v>42474</c:v>
                </c:pt>
                <c:pt idx="5">
                  <c:v>42475</c:v>
                </c:pt>
                <c:pt idx="6">
                  <c:v>42478</c:v>
                </c:pt>
                <c:pt idx="7">
                  <c:v>42479</c:v>
                </c:pt>
                <c:pt idx="8">
                  <c:v>42480</c:v>
                </c:pt>
                <c:pt idx="9">
                  <c:v>42481</c:v>
                </c:pt>
                <c:pt idx="10">
                  <c:v>42482</c:v>
                </c:pt>
                <c:pt idx="11">
                  <c:v>42485</c:v>
                </c:pt>
                <c:pt idx="12">
                  <c:v>42486</c:v>
                </c:pt>
                <c:pt idx="13">
                  <c:v>42487</c:v>
                </c:pt>
                <c:pt idx="14">
                  <c:v>42488</c:v>
                </c:pt>
                <c:pt idx="15">
                  <c:v>42489</c:v>
                </c:pt>
                <c:pt idx="16">
                  <c:v>42492</c:v>
                </c:pt>
                <c:pt idx="17">
                  <c:v>42493</c:v>
                </c:pt>
                <c:pt idx="18">
                  <c:v>42494</c:v>
                </c:pt>
                <c:pt idx="19">
                  <c:v>42495</c:v>
                </c:pt>
                <c:pt idx="20">
                  <c:v>42496</c:v>
                </c:pt>
                <c:pt idx="21">
                  <c:v>42499</c:v>
                </c:pt>
                <c:pt idx="22">
                  <c:v>42500</c:v>
                </c:pt>
                <c:pt idx="23">
                  <c:v>42501</c:v>
                </c:pt>
                <c:pt idx="24">
                  <c:v>42502</c:v>
                </c:pt>
                <c:pt idx="25">
                  <c:v>42503</c:v>
                </c:pt>
                <c:pt idx="26">
                  <c:v>42506</c:v>
                </c:pt>
                <c:pt idx="27">
                  <c:v>42507</c:v>
                </c:pt>
                <c:pt idx="28">
                  <c:v>42508</c:v>
                </c:pt>
                <c:pt idx="29">
                  <c:v>42509</c:v>
                </c:pt>
                <c:pt idx="30">
                  <c:v>42510</c:v>
                </c:pt>
                <c:pt idx="31">
                  <c:v>42513</c:v>
                </c:pt>
                <c:pt idx="32">
                  <c:v>42514</c:v>
                </c:pt>
                <c:pt idx="33">
                  <c:v>42515</c:v>
                </c:pt>
                <c:pt idx="34">
                  <c:v>42516</c:v>
                </c:pt>
                <c:pt idx="35">
                  <c:v>42517</c:v>
                </c:pt>
                <c:pt idx="36">
                  <c:v>42520</c:v>
                </c:pt>
                <c:pt idx="37">
                  <c:v>42521</c:v>
                </c:pt>
                <c:pt idx="38">
                  <c:v>42522</c:v>
                </c:pt>
                <c:pt idx="39">
                  <c:v>42523</c:v>
                </c:pt>
                <c:pt idx="40">
                  <c:v>42524</c:v>
                </c:pt>
                <c:pt idx="41">
                  <c:v>42527</c:v>
                </c:pt>
                <c:pt idx="42">
                  <c:v>42528</c:v>
                </c:pt>
                <c:pt idx="43">
                  <c:v>42529</c:v>
                </c:pt>
                <c:pt idx="44">
                  <c:v>42530</c:v>
                </c:pt>
                <c:pt idx="45">
                  <c:v>42531</c:v>
                </c:pt>
                <c:pt idx="46">
                  <c:v>42534</c:v>
                </c:pt>
                <c:pt idx="47">
                  <c:v>42535</c:v>
                </c:pt>
                <c:pt idx="48">
                  <c:v>42536</c:v>
                </c:pt>
                <c:pt idx="49">
                  <c:v>42537</c:v>
                </c:pt>
                <c:pt idx="50">
                  <c:v>42538</c:v>
                </c:pt>
                <c:pt idx="51">
                  <c:v>42541</c:v>
                </c:pt>
                <c:pt idx="52">
                  <c:v>42542</c:v>
                </c:pt>
                <c:pt idx="53">
                  <c:v>42543</c:v>
                </c:pt>
                <c:pt idx="54">
                  <c:v>42544</c:v>
                </c:pt>
                <c:pt idx="55">
                  <c:v>42545</c:v>
                </c:pt>
                <c:pt idx="56">
                  <c:v>42548</c:v>
                </c:pt>
                <c:pt idx="57">
                  <c:v>42549</c:v>
                </c:pt>
                <c:pt idx="58">
                  <c:v>42550</c:v>
                </c:pt>
                <c:pt idx="59">
                  <c:v>42551</c:v>
                </c:pt>
                <c:pt idx="60">
                  <c:v>42552</c:v>
                </c:pt>
                <c:pt idx="61">
                  <c:v>42555</c:v>
                </c:pt>
                <c:pt idx="62">
                  <c:v>42556</c:v>
                </c:pt>
                <c:pt idx="63">
                  <c:v>42557</c:v>
                </c:pt>
                <c:pt idx="64">
                  <c:v>42558</c:v>
                </c:pt>
                <c:pt idx="65">
                  <c:v>42559</c:v>
                </c:pt>
                <c:pt idx="66">
                  <c:v>42562</c:v>
                </c:pt>
                <c:pt idx="67">
                  <c:v>42563</c:v>
                </c:pt>
                <c:pt idx="68">
                  <c:v>42564</c:v>
                </c:pt>
                <c:pt idx="69">
                  <c:v>42565</c:v>
                </c:pt>
                <c:pt idx="70">
                  <c:v>42566</c:v>
                </c:pt>
                <c:pt idx="71">
                  <c:v>42569</c:v>
                </c:pt>
                <c:pt idx="72">
                  <c:v>42570</c:v>
                </c:pt>
                <c:pt idx="73">
                  <c:v>42571</c:v>
                </c:pt>
                <c:pt idx="74">
                  <c:v>42572</c:v>
                </c:pt>
                <c:pt idx="75">
                  <c:v>42573</c:v>
                </c:pt>
                <c:pt idx="76">
                  <c:v>42576</c:v>
                </c:pt>
                <c:pt idx="77">
                  <c:v>42577</c:v>
                </c:pt>
                <c:pt idx="78">
                  <c:v>42578</c:v>
                </c:pt>
                <c:pt idx="79">
                  <c:v>42579</c:v>
                </c:pt>
                <c:pt idx="80">
                  <c:v>42580</c:v>
                </c:pt>
                <c:pt idx="81">
                  <c:v>42583</c:v>
                </c:pt>
                <c:pt idx="82">
                  <c:v>42584</c:v>
                </c:pt>
                <c:pt idx="83">
                  <c:v>42585</c:v>
                </c:pt>
                <c:pt idx="84">
                  <c:v>42586</c:v>
                </c:pt>
                <c:pt idx="85">
                  <c:v>42587</c:v>
                </c:pt>
                <c:pt idx="86">
                  <c:v>42590</c:v>
                </c:pt>
                <c:pt idx="87">
                  <c:v>42591</c:v>
                </c:pt>
                <c:pt idx="88">
                  <c:v>42592</c:v>
                </c:pt>
                <c:pt idx="89">
                  <c:v>42593</c:v>
                </c:pt>
                <c:pt idx="90">
                  <c:v>42594</c:v>
                </c:pt>
                <c:pt idx="91">
                  <c:v>42597</c:v>
                </c:pt>
                <c:pt idx="92">
                  <c:v>42598</c:v>
                </c:pt>
                <c:pt idx="93">
                  <c:v>42599</c:v>
                </c:pt>
                <c:pt idx="94">
                  <c:v>42600</c:v>
                </c:pt>
                <c:pt idx="95">
                  <c:v>42601</c:v>
                </c:pt>
                <c:pt idx="96">
                  <c:v>42604</c:v>
                </c:pt>
                <c:pt idx="97">
                  <c:v>42605</c:v>
                </c:pt>
                <c:pt idx="98">
                  <c:v>42606</c:v>
                </c:pt>
                <c:pt idx="99">
                  <c:v>42607</c:v>
                </c:pt>
                <c:pt idx="100">
                  <c:v>42608</c:v>
                </c:pt>
                <c:pt idx="101">
                  <c:v>42611</c:v>
                </c:pt>
                <c:pt idx="102">
                  <c:v>42612</c:v>
                </c:pt>
                <c:pt idx="103">
                  <c:v>42613</c:v>
                </c:pt>
                <c:pt idx="104">
                  <c:v>42614</c:v>
                </c:pt>
                <c:pt idx="105">
                  <c:v>42615</c:v>
                </c:pt>
                <c:pt idx="106">
                  <c:v>42618</c:v>
                </c:pt>
                <c:pt idx="107">
                  <c:v>42619</c:v>
                </c:pt>
                <c:pt idx="108">
                  <c:v>42620</c:v>
                </c:pt>
                <c:pt idx="109">
                  <c:v>42621</c:v>
                </c:pt>
                <c:pt idx="110">
                  <c:v>42622</c:v>
                </c:pt>
                <c:pt idx="111">
                  <c:v>42625</c:v>
                </c:pt>
                <c:pt idx="112">
                  <c:v>42626</c:v>
                </c:pt>
                <c:pt idx="113">
                  <c:v>42627</c:v>
                </c:pt>
                <c:pt idx="114">
                  <c:v>42628</c:v>
                </c:pt>
                <c:pt idx="115">
                  <c:v>42629</c:v>
                </c:pt>
                <c:pt idx="116">
                  <c:v>42632</c:v>
                </c:pt>
                <c:pt idx="117">
                  <c:v>42633</c:v>
                </c:pt>
                <c:pt idx="118">
                  <c:v>42634</c:v>
                </c:pt>
                <c:pt idx="119">
                  <c:v>42635</c:v>
                </c:pt>
                <c:pt idx="120">
                  <c:v>42636</c:v>
                </c:pt>
                <c:pt idx="121">
                  <c:v>42639</c:v>
                </c:pt>
                <c:pt idx="122">
                  <c:v>42640</c:v>
                </c:pt>
                <c:pt idx="123">
                  <c:v>42641</c:v>
                </c:pt>
                <c:pt idx="124">
                  <c:v>42642</c:v>
                </c:pt>
                <c:pt idx="125">
                  <c:v>42643</c:v>
                </c:pt>
                <c:pt idx="126">
                  <c:v>42646</c:v>
                </c:pt>
                <c:pt idx="127">
                  <c:v>42647</c:v>
                </c:pt>
                <c:pt idx="128">
                  <c:v>42648</c:v>
                </c:pt>
              </c:numCache>
            </c:numRef>
          </c:xVal>
          <c:yVal>
            <c:numRef>
              <c:f>'6MSynthDepo_used'!$U$134:$U$262</c:f>
              <c:numCache>
                <c:formatCode>0.0000%</c:formatCode>
                <c:ptCount val="129"/>
                <c:pt idx="0">
                  <c:v>1.9852402479418039E-3</c:v>
                </c:pt>
                <c:pt idx="1">
                  <c:v>1.9894513493099331E-3</c:v>
                </c:pt>
                <c:pt idx="2">
                  <c:v>1.9908484439241916E-3</c:v>
                </c:pt>
                <c:pt idx="3">
                  <c:v>1.9922422581699017E-3</c:v>
                </c:pt>
                <c:pt idx="4">
                  <c:v>1.9936328055784711E-3</c:v>
                </c:pt>
                <c:pt idx="5">
                  <c:v>1.9950200996813072E-3</c:v>
                </c:pt>
                <c:pt idx="6">
                  <c:v>1.9991625974694789E-3</c:v>
                </c:pt>
                <c:pt idx="7">
                  <c:v>2.0005370136634477E-3</c:v>
                </c:pt>
                <c:pt idx="8">
                  <c:v>2.0019082442087163E-3</c:v>
                </c:pt>
                <c:pt idx="9">
                  <c:v>2.0032763026366922E-3</c:v>
                </c:pt>
                <c:pt idx="10">
                  <c:v>2.0046412024787835E-3</c:v>
                </c:pt>
                <c:pt idx="11">
                  <c:v>2.0087170858038082E-3</c:v>
                </c:pt>
                <c:pt idx="12">
                  <c:v>2.010069486616424E-3</c:v>
                </c:pt>
                <c:pt idx="13">
                  <c:v>2.0114187965001883E-3</c:v>
                </c:pt>
                <c:pt idx="14">
                  <c:v>2.0127650289865078E-3</c:v>
                </c:pt>
                <c:pt idx="15">
                  <c:v>2.0141081976067904E-3</c:v>
                </c:pt>
                <c:pt idx="16">
                  <c:v>2.0181194555854787E-3</c:v>
                </c:pt>
                <c:pt idx="17">
                  <c:v>2.019450504055679E-3</c:v>
                </c:pt>
                <c:pt idx="18">
                  <c:v>2.0207785563168758E-3</c:v>
                </c:pt>
                <c:pt idx="19">
                  <c:v>2.0221036259004755E-3</c:v>
                </c:pt>
                <c:pt idx="20">
                  <c:v>2.0234257263378871E-3</c:v>
                </c:pt>
                <c:pt idx="21">
                  <c:v>2.0273743480870503E-3</c:v>
                </c:pt>
                <c:pt idx="22">
                  <c:v>2.0286847072537718E-3</c:v>
                </c:pt>
                <c:pt idx="23">
                  <c:v>2.0299921649313377E-3</c:v>
                </c:pt>
                <c:pt idx="24">
                  <c:v>2.0312967346511552E-3</c:v>
                </c:pt>
                <c:pt idx="25">
                  <c:v>2.0325984299446312E-3</c:v>
                </c:pt>
                <c:pt idx="26">
                  <c:v>2.0364864045810801E-3</c:v>
                </c:pt>
                <c:pt idx="27">
                  <c:v>2.0377767374832596E-3</c:v>
                </c:pt>
                <c:pt idx="28">
                  <c:v>2.0390642636161317E-3</c:v>
                </c:pt>
                <c:pt idx="29">
                  <c:v>2.0403489965111041E-3</c:v>
                </c:pt>
                <c:pt idx="30">
                  <c:v>2.0416309496995829E-3</c:v>
                </c:pt>
                <c:pt idx="31">
                  <c:v>2.0454602663401282E-3</c:v>
                </c:pt>
                <c:pt idx="32">
                  <c:v>2.0467312360167027E-3</c:v>
                </c:pt>
                <c:pt idx="33">
                  <c:v>2.0479994936438181E-3</c:v>
                </c:pt>
                <c:pt idx="34">
                  <c:v>2.0492650527528813E-3</c:v>
                </c:pt>
                <c:pt idx="35">
                  <c:v>2.0505279268752995E-3</c:v>
                </c:pt>
                <c:pt idx="36">
                  <c:v>2.0543005746367516E-3</c:v>
                </c:pt>
                <c:pt idx="37">
                  <c:v>2.0555528441266583E-3</c:v>
                </c:pt>
                <c:pt idx="38">
                  <c:v>2.0568024962869542E-3</c:v>
                </c:pt>
                <c:pt idx="39">
                  <c:v>2.0580495446490456E-3</c:v>
                </c:pt>
                <c:pt idx="40">
                  <c:v>2.0592940027443401E-3</c:v>
                </c:pt>
                <c:pt idx="41">
                  <c:v>2.0630119707435103E-3</c:v>
                </c:pt>
                <c:pt idx="42">
                  <c:v>2.0642462030856855E-3</c:v>
                </c:pt>
                <c:pt idx="43">
                  <c:v>2.065477912818098E-3</c:v>
                </c:pt>
                <c:pt idx="44">
                  <c:v>2.0667071134721554E-3</c:v>
                </c:pt>
                <c:pt idx="45">
                  <c:v>2.0679338185792631E-3</c:v>
                </c:pt>
                <c:pt idx="46">
                  <c:v>2.071599095932962E-3</c:v>
                </c:pt>
                <c:pt idx="47">
                  <c:v>2.0728159541663431E-3</c:v>
                </c:pt>
                <c:pt idx="48">
                  <c:v>2.0740303845098104E-3</c:v>
                </c:pt>
                <c:pt idx="49">
                  <c:v>2.075242400494769E-3</c:v>
                </c:pt>
                <c:pt idx="50">
                  <c:v>2.0764520156526267E-3</c:v>
                </c:pt>
                <c:pt idx="51">
                  <c:v>2.0800665914776661E-3</c:v>
                </c:pt>
                <c:pt idx="52">
                  <c:v>2.0812667386411895E-3</c:v>
                </c:pt>
                <c:pt idx="53">
                  <c:v>2.0824645526346468E-3</c:v>
                </c:pt>
                <c:pt idx="54">
                  <c:v>2.0836600469894451E-3</c:v>
                </c:pt>
                <c:pt idx="55">
                  <c:v>2.0848532352369903E-3</c:v>
                </c:pt>
                <c:pt idx="56">
                  <c:v>2.0884190986501794E-3</c:v>
                </c:pt>
                <c:pt idx="57">
                  <c:v>2.089603197782783E-3</c:v>
                </c:pt>
                <c:pt idx="58">
                  <c:v>2.0907850584651684E-3</c:v>
                </c:pt>
                <c:pt idx="59">
                  <c:v>2.0919646942287422E-3</c:v>
                </c:pt>
                <c:pt idx="60">
                  <c:v>2.093142118604912E-3</c:v>
                </c:pt>
                <c:pt idx="61">
                  <c:v>2.0966612587230622E-3</c:v>
                </c:pt>
                <c:pt idx="62">
                  <c:v>2.0978299728636822E-3</c:v>
                </c:pt>
                <c:pt idx="63">
                  <c:v>2.0989965432739329E-3</c:v>
                </c:pt>
                <c:pt idx="64">
                  <c:v>2.1001609834852193E-3</c:v>
                </c:pt>
                <c:pt idx="65">
                  <c:v>2.10132330702895E-3</c:v>
                </c:pt>
                <c:pt idx="66">
                  <c:v>2.1047977129688726E-3</c:v>
                </c:pt>
                <c:pt idx="67">
                  <c:v>2.1059517051564463E-3</c:v>
                </c:pt>
                <c:pt idx="68">
                  <c:v>2.1071036483334984E-3</c:v>
                </c:pt>
                <c:pt idx="69">
                  <c:v>2.1082535560314349E-3</c:v>
                </c:pt>
                <c:pt idx="70">
                  <c:v>2.1094014417816632E-3</c:v>
                </c:pt>
                <c:pt idx="71">
                  <c:v>2.1128331026601692E-3</c:v>
                </c:pt>
                <c:pt idx="72">
                  <c:v>2.1139730359336331E-3</c:v>
                </c:pt>
                <c:pt idx="73">
                  <c:v>2.1151110149164238E-3</c:v>
                </c:pt>
                <c:pt idx="74">
                  <c:v>2.1162470531399472E-3</c:v>
                </c:pt>
                <c:pt idx="75">
                  <c:v>2.1173811641356107E-3</c:v>
                </c:pt>
                <c:pt idx="76">
                  <c:v>2.1207720690695096E-3</c:v>
                </c:pt>
                <c:pt idx="77">
                  <c:v>2.1218986064678014E-3</c:v>
                </c:pt>
                <c:pt idx="78">
                  <c:v>2.1230232842952682E-3</c:v>
                </c:pt>
                <c:pt idx="79">
                  <c:v>2.1241461160833152E-3</c:v>
                </c:pt>
                <c:pt idx="80">
                  <c:v>2.1252671153633509E-3</c:v>
                </c:pt>
                <c:pt idx="81">
                  <c:v>2.1286192534694538E-3</c:v>
                </c:pt>
                <c:pt idx="82">
                  <c:v>2.1297330580315101E-3</c:v>
                </c:pt>
                <c:pt idx="83">
                  <c:v>2.1308450977425889E-3</c:v>
                </c:pt>
                <c:pt idx="84">
                  <c:v>2.131955386134097E-3</c:v>
                </c:pt>
                <c:pt idx="85">
                  <c:v>2.1330639367374408E-3</c:v>
                </c:pt>
                <c:pt idx="86">
                  <c:v>2.1363792971325598E-3</c:v>
                </c:pt>
                <c:pt idx="87">
                  <c:v>2.1374810318973169E-3</c:v>
                </c:pt>
                <c:pt idx="88">
                  <c:v>2.1385810965309456E-3</c:v>
                </c:pt>
                <c:pt idx="89">
                  <c:v>2.1396795045648511E-3</c:v>
                </c:pt>
                <c:pt idx="90">
                  <c:v>2.1407762695304414E-3</c:v>
                </c:pt>
                <c:pt idx="91">
                  <c:v>2.1440568413313862E-3</c:v>
                </c:pt>
                <c:pt idx="92">
                  <c:v>2.1451471693377817E-3</c:v>
                </c:pt>
                <c:pt idx="93">
                  <c:v>2.1462359219328966E-3</c:v>
                </c:pt>
                <c:pt idx="94">
                  <c:v>2.1473231126481369E-3</c:v>
                </c:pt>
                <c:pt idx="95">
                  <c:v>2.1484087550149096E-3</c:v>
                </c:pt>
                <c:pt idx="96">
                  <c:v>2.1516565273384911E-3</c:v>
                </c:pt>
                <c:pt idx="97">
                  <c:v>2.1527361116254621E-3</c:v>
                </c:pt>
                <c:pt idx="98">
                  <c:v>2.1538142152210003E-3</c:v>
                </c:pt>
                <c:pt idx="99">
                  <c:v>2.1548908516565118E-3</c:v>
                </c:pt>
                <c:pt idx="100">
                  <c:v>2.1559660344634044E-3</c:v>
                </c:pt>
                <c:pt idx="101">
                  <c:v>2.1591829964264335E-3</c:v>
                </c:pt>
                <c:pt idx="102">
                  <c:v>2.1602525000329166E-3</c:v>
                </c:pt>
                <c:pt idx="103">
                  <c:v>2.1613206176678153E-3</c:v>
                </c:pt>
                <c:pt idx="104">
                  <c:v>2.162387362862536E-3</c:v>
                </c:pt>
                <c:pt idx="105">
                  <c:v>2.1634527491484847E-3</c:v>
                </c:pt>
                <c:pt idx="106">
                  <c:v>2.166640889867772E-3</c:v>
                </c:pt>
                <c:pt idx="107">
                  <c:v>2.1677009758327044E-3</c:v>
                </c:pt>
                <c:pt idx="108">
                  <c:v>2.1687597705459007E-3</c:v>
                </c:pt>
                <c:pt idx="109">
                  <c:v>2.1698172875387663E-3</c:v>
                </c:pt>
                <c:pt idx="110">
                  <c:v>2.1708735403427083E-3</c:v>
                </c:pt>
                <c:pt idx="111">
                  <c:v>2.1740348489350655E-3</c:v>
                </c:pt>
                <c:pt idx="112">
                  <c:v>2.1750861802973839E-3</c:v>
                </c:pt>
                <c:pt idx="113">
                  <c:v>2.1761363151278136E-3</c:v>
                </c:pt>
                <c:pt idx="114">
                  <c:v>2.1771852669577618E-3</c:v>
                </c:pt>
                <c:pt idx="115">
                  <c:v>2.1782330493186346E-3</c:v>
                </c:pt>
                <c:pt idx="116">
                  <c:v>2.1813695149008718E-3</c:v>
                </c:pt>
                <c:pt idx="117">
                  <c:v>2.1824127546995137E-3</c:v>
                </c:pt>
                <c:pt idx="118">
                  <c:v>2.1834548926861143E-3</c:v>
                </c:pt>
                <c:pt idx="119">
                  <c:v>2.1844959423920817E-3</c:v>
                </c:pt>
                <c:pt idx="120">
                  <c:v>2.1855359173488216E-3</c:v>
                </c:pt>
                <c:pt idx="121">
                  <c:v>2.1886495290377498E-3</c:v>
                </c:pt>
                <c:pt idx="122">
                  <c:v>2.1896853403116515E-3</c:v>
                </c:pt>
                <c:pt idx="123">
                  <c:v>2.1907201444933602E-3</c:v>
                </c:pt>
                <c:pt idx="124">
                  <c:v>2.1917539551142839E-3</c:v>
                </c:pt>
                <c:pt idx="125">
                  <c:v>2.1927867857058285E-3</c:v>
                </c:pt>
                <c:pt idx="126">
                  <c:v>2.1958795326182581E-3</c:v>
                </c:pt>
                <c:pt idx="127">
                  <c:v>2.1969085784063567E-3</c:v>
                </c:pt>
                <c:pt idx="128">
                  <c:v>2.1979367118221105E-3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4456512"/>
        <c:axId val="734456904"/>
      </c:scatterChart>
      <c:valAx>
        <c:axId val="73445651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734456904"/>
        <c:crosses val="autoZero"/>
        <c:crossBetween val="midCat"/>
      </c:valAx>
      <c:valAx>
        <c:axId val="734456904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34456512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74341151726895061"/>
          <c:y val="0.39793589936640678"/>
          <c:w val="0.19328056178408162"/>
          <c:h val="0.11319504807091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Exact Fit </a:t>
            </a:r>
            <a:r>
              <a:rPr lang="en-US" sz="1800" b="1" i="0" u="none" strike="noStrike" baseline="0">
                <a:effectLst/>
              </a:rPr>
              <a:t>Exact Fit (Simple Basis Approx)</a:t>
            </a:r>
            <a:endParaRPr lang="en-US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</c:numCache>
            </c:numRef>
          </c:cat>
          <c:val>
            <c:numRef>
              <c:f>'6MSynthDepo_allScenario'!$BE$6:$BE$135</c:f>
              <c:numCache>
                <c:formatCode>0.0000%</c:formatCode>
                <c:ptCount val="130"/>
                <c:pt idx="0">
                  <c:v>1.7023018737583845E-3</c:v>
                </c:pt>
                <c:pt idx="1">
                  <c:v>1.7063550058300707E-3</c:v>
                </c:pt>
                <c:pt idx="2">
                  <c:v>1.707706049853966E-3</c:v>
                </c:pt>
                <c:pt idx="3">
                  <c:v>1.7090570938778616E-3</c:v>
                </c:pt>
                <c:pt idx="4">
                  <c:v>1.7104081379017569E-3</c:v>
                </c:pt>
                <c:pt idx="5">
                  <c:v>1.7117591819256523E-3</c:v>
                </c:pt>
                <c:pt idx="6">
                  <c:v>1.7158123139973387E-3</c:v>
                </c:pt>
                <c:pt idx="7">
                  <c:v>1.717163358021234E-3</c:v>
                </c:pt>
                <c:pt idx="8">
                  <c:v>1.7185144020451294E-3</c:v>
                </c:pt>
                <c:pt idx="9">
                  <c:v>1.7198654460690249E-3</c:v>
                </c:pt>
                <c:pt idx="10">
                  <c:v>1.7212164900929203E-3</c:v>
                </c:pt>
                <c:pt idx="11">
                  <c:v>1.7252696221646065E-3</c:v>
                </c:pt>
                <c:pt idx="12">
                  <c:v>1.7266206661885018E-3</c:v>
                </c:pt>
                <c:pt idx="13">
                  <c:v>1.7279717102123974E-3</c:v>
                </c:pt>
                <c:pt idx="14">
                  <c:v>1.7293227542362927E-3</c:v>
                </c:pt>
                <c:pt idx="15">
                  <c:v>1.730673798260188E-3</c:v>
                </c:pt>
                <c:pt idx="16">
                  <c:v>1.7347269303318745E-3</c:v>
                </c:pt>
                <c:pt idx="17">
                  <c:v>1.7360779743557698E-3</c:v>
                </c:pt>
                <c:pt idx="18">
                  <c:v>1.7374290183796652E-3</c:v>
                </c:pt>
                <c:pt idx="19">
                  <c:v>1.7387800624035607E-3</c:v>
                </c:pt>
                <c:pt idx="20">
                  <c:v>1.7401311064274561E-3</c:v>
                </c:pt>
                <c:pt idx="21">
                  <c:v>1.7441842384991423E-3</c:v>
                </c:pt>
                <c:pt idx="22">
                  <c:v>1.7455352825230376E-3</c:v>
                </c:pt>
                <c:pt idx="23">
                  <c:v>1.7468863265469332E-3</c:v>
                </c:pt>
                <c:pt idx="24">
                  <c:v>1.7482373705708285E-3</c:v>
                </c:pt>
                <c:pt idx="25">
                  <c:v>1.7495884145947238E-3</c:v>
                </c:pt>
                <c:pt idx="26">
                  <c:v>1.7536415466664103E-3</c:v>
                </c:pt>
                <c:pt idx="27">
                  <c:v>1.7549925906903056E-3</c:v>
                </c:pt>
                <c:pt idx="28">
                  <c:v>1.756343634714201E-3</c:v>
                </c:pt>
                <c:pt idx="29">
                  <c:v>1.7576946787380965E-3</c:v>
                </c:pt>
                <c:pt idx="30">
                  <c:v>1.7590457227619918E-3</c:v>
                </c:pt>
                <c:pt idx="31">
                  <c:v>1.7630988548336781E-3</c:v>
                </c:pt>
                <c:pt idx="32">
                  <c:v>1.7644498988575734E-3</c:v>
                </c:pt>
                <c:pt idx="33">
                  <c:v>1.765800942881469E-3</c:v>
                </c:pt>
                <c:pt idx="34">
                  <c:v>1.7671519869053643E-3</c:v>
                </c:pt>
                <c:pt idx="35">
                  <c:v>1.7685030309292596E-3</c:v>
                </c:pt>
                <c:pt idx="36">
                  <c:v>1.7725561630009459E-3</c:v>
                </c:pt>
                <c:pt idx="37">
                  <c:v>1.7739072070248414E-3</c:v>
                </c:pt>
                <c:pt idx="38">
                  <c:v>1.7752582510487367E-3</c:v>
                </c:pt>
                <c:pt idx="39">
                  <c:v>1.7766092950726323E-3</c:v>
                </c:pt>
                <c:pt idx="40">
                  <c:v>1.7779603390965276E-3</c:v>
                </c:pt>
                <c:pt idx="41">
                  <c:v>1.7820134711682139E-3</c:v>
                </c:pt>
                <c:pt idx="42">
                  <c:v>1.7833645151921092E-3</c:v>
                </c:pt>
                <c:pt idx="43">
                  <c:v>1.7847155592160048E-3</c:v>
                </c:pt>
                <c:pt idx="44">
                  <c:v>1.7860666032399001E-3</c:v>
                </c:pt>
                <c:pt idx="45">
                  <c:v>1.7874176472637954E-3</c:v>
                </c:pt>
                <c:pt idx="46">
                  <c:v>1.7914707793354817E-3</c:v>
                </c:pt>
                <c:pt idx="47">
                  <c:v>1.7928218233593772E-3</c:v>
                </c:pt>
                <c:pt idx="48">
                  <c:v>1.7941728673832725E-3</c:v>
                </c:pt>
                <c:pt idx="49">
                  <c:v>1.7955239114071681E-3</c:v>
                </c:pt>
                <c:pt idx="50">
                  <c:v>1.7968749554310634E-3</c:v>
                </c:pt>
                <c:pt idx="51">
                  <c:v>1.8009280875027497E-3</c:v>
                </c:pt>
                <c:pt idx="52">
                  <c:v>1.802279131526645E-3</c:v>
                </c:pt>
                <c:pt idx="53">
                  <c:v>1.8036301755505405E-3</c:v>
                </c:pt>
                <c:pt idx="54">
                  <c:v>1.8049812195744359E-3</c:v>
                </c:pt>
                <c:pt idx="55">
                  <c:v>1.8063322635983312E-3</c:v>
                </c:pt>
                <c:pt idx="56">
                  <c:v>1.8103853956700174E-3</c:v>
                </c:pt>
                <c:pt idx="57">
                  <c:v>1.811736439693913E-3</c:v>
                </c:pt>
                <c:pt idx="58">
                  <c:v>1.8130874837178083E-3</c:v>
                </c:pt>
                <c:pt idx="59">
                  <c:v>1.8144385277417039E-3</c:v>
                </c:pt>
                <c:pt idx="60">
                  <c:v>1.8198427038372854E-3</c:v>
                </c:pt>
                <c:pt idx="61">
                  <c:v>1.8211937478611808E-3</c:v>
                </c:pt>
                <c:pt idx="62">
                  <c:v>1.8225447918850763E-3</c:v>
                </c:pt>
                <c:pt idx="63">
                  <c:v>1.8238958359089717E-3</c:v>
                </c:pt>
                <c:pt idx="64">
                  <c:v>1.8293000120045535E-3</c:v>
                </c:pt>
                <c:pt idx="65">
                  <c:v>1.8306510560284488E-3</c:v>
                </c:pt>
                <c:pt idx="66">
                  <c:v>1.8320021000523441E-3</c:v>
                </c:pt>
                <c:pt idx="67">
                  <c:v>1.8333531440762395E-3</c:v>
                </c:pt>
                <c:pt idx="68">
                  <c:v>1.834704188100135E-3</c:v>
                </c:pt>
                <c:pt idx="69">
                  <c:v>1.8387573201718212E-3</c:v>
                </c:pt>
                <c:pt idx="70">
                  <c:v>1.8401083641957166E-3</c:v>
                </c:pt>
                <c:pt idx="71">
                  <c:v>1.8414594082196121E-3</c:v>
                </c:pt>
                <c:pt idx="72">
                  <c:v>1.8428104522435075E-3</c:v>
                </c:pt>
                <c:pt idx="73">
                  <c:v>1.8441614962674028E-3</c:v>
                </c:pt>
                <c:pt idx="74">
                  <c:v>1.848214628339089E-3</c:v>
                </c:pt>
                <c:pt idx="75">
                  <c:v>1.8495656723629846E-3</c:v>
                </c:pt>
                <c:pt idx="76">
                  <c:v>1.8509167163868799E-3</c:v>
                </c:pt>
                <c:pt idx="77">
                  <c:v>1.8522677604107755E-3</c:v>
                </c:pt>
                <c:pt idx="78">
                  <c:v>1.8536188044346708E-3</c:v>
                </c:pt>
                <c:pt idx="79">
                  <c:v>1.857671936506357E-3</c:v>
                </c:pt>
                <c:pt idx="80">
                  <c:v>1.8590229805302524E-3</c:v>
                </c:pt>
                <c:pt idx="81">
                  <c:v>1.8603740245541479E-3</c:v>
                </c:pt>
                <c:pt idx="82">
                  <c:v>1.8617250685780433E-3</c:v>
                </c:pt>
                <c:pt idx="83">
                  <c:v>1.8630761126019386E-3</c:v>
                </c:pt>
                <c:pt idx="84">
                  <c:v>1.8671292446736248E-3</c:v>
                </c:pt>
                <c:pt idx="85">
                  <c:v>1.8684802886975204E-3</c:v>
                </c:pt>
                <c:pt idx="86">
                  <c:v>1.8698313327214157E-3</c:v>
                </c:pt>
                <c:pt idx="87">
                  <c:v>1.871182376745311E-3</c:v>
                </c:pt>
                <c:pt idx="88">
                  <c:v>1.8725334207692066E-3</c:v>
                </c:pt>
                <c:pt idx="89">
                  <c:v>1.8765865528408928E-3</c:v>
                </c:pt>
                <c:pt idx="90">
                  <c:v>1.8779375968647882E-3</c:v>
                </c:pt>
                <c:pt idx="91">
                  <c:v>1.8792886408886835E-3</c:v>
                </c:pt>
                <c:pt idx="92">
                  <c:v>1.880639684912579E-3</c:v>
                </c:pt>
                <c:pt idx="93">
                  <c:v>1.8819907289364744E-3</c:v>
                </c:pt>
                <c:pt idx="94">
                  <c:v>1.8860438610081606E-3</c:v>
                </c:pt>
                <c:pt idx="95">
                  <c:v>1.8873949050320562E-3</c:v>
                </c:pt>
                <c:pt idx="96">
                  <c:v>1.8887459490559515E-3</c:v>
                </c:pt>
                <c:pt idx="97">
                  <c:v>1.8900969930798471E-3</c:v>
                </c:pt>
                <c:pt idx="98">
                  <c:v>1.8914480371037424E-3</c:v>
                </c:pt>
                <c:pt idx="99">
                  <c:v>1.8955011691754286E-3</c:v>
                </c:pt>
                <c:pt idx="100">
                  <c:v>1.896852213199324E-3</c:v>
                </c:pt>
                <c:pt idx="101">
                  <c:v>1.8982032572232195E-3</c:v>
                </c:pt>
                <c:pt idx="102">
                  <c:v>1.8995543012471148E-3</c:v>
                </c:pt>
                <c:pt idx="103">
                  <c:v>1.9009053452710102E-3</c:v>
                </c:pt>
                <c:pt idx="104">
                  <c:v>1.9049584773426964E-3</c:v>
                </c:pt>
                <c:pt idx="105">
                  <c:v>1.906309521366592E-3</c:v>
                </c:pt>
                <c:pt idx="106">
                  <c:v>1.9076605653904873E-3</c:v>
                </c:pt>
                <c:pt idx="107">
                  <c:v>1.9090116094143826E-3</c:v>
                </c:pt>
                <c:pt idx="108">
                  <c:v>1.9103626534382782E-3</c:v>
                </c:pt>
                <c:pt idx="109">
                  <c:v>1.9144157855099644E-3</c:v>
                </c:pt>
                <c:pt idx="110">
                  <c:v>1.9157668295338597E-3</c:v>
                </c:pt>
                <c:pt idx="111">
                  <c:v>1.9171178735577551E-3</c:v>
                </c:pt>
                <c:pt idx="112">
                  <c:v>1.9184689175816506E-3</c:v>
                </c:pt>
                <c:pt idx="113">
                  <c:v>1.919819961605546E-3</c:v>
                </c:pt>
                <c:pt idx="114">
                  <c:v>1.9238730936772322E-3</c:v>
                </c:pt>
                <c:pt idx="115">
                  <c:v>1.9252241377011277E-3</c:v>
                </c:pt>
                <c:pt idx="116">
                  <c:v>1.9265751817250231E-3</c:v>
                </c:pt>
                <c:pt idx="117">
                  <c:v>1.9279262257489184E-3</c:v>
                </c:pt>
                <c:pt idx="118">
                  <c:v>1.929277269772814E-3</c:v>
                </c:pt>
                <c:pt idx="119">
                  <c:v>1.9333304018445002E-3</c:v>
                </c:pt>
                <c:pt idx="120">
                  <c:v>1.9346814458683955E-3</c:v>
                </c:pt>
                <c:pt idx="121">
                  <c:v>1.9360324898922911E-3</c:v>
                </c:pt>
                <c:pt idx="122">
                  <c:v>1.9373835339161864E-3</c:v>
                </c:pt>
                <c:pt idx="123">
                  <c:v>1.9441387540356635E-3</c:v>
                </c:pt>
                <c:pt idx="124">
                  <c:v>1.9454897980595589E-3</c:v>
                </c:pt>
                <c:pt idx="125">
                  <c:v>1.9468408420834542E-3</c:v>
                </c:pt>
                <c:pt idx="126">
                  <c:v>1.9481918861073498E-3</c:v>
                </c:pt>
                <c:pt idx="127">
                  <c:v>1.952245018179036E-3</c:v>
                </c:pt>
                <c:pt idx="128">
                  <c:v>1.9535960622029313E-3</c:v>
                </c:pt>
                <c:pt idx="129">
                  <c:v>1.9549471062268267E-3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</c:numCache>
            </c:numRef>
          </c:cat>
          <c:val>
            <c:numRef>
              <c:f>'6MSynthDepo_allScenario'!$BF$6:$BF$135</c:f>
              <c:numCache>
                <c:formatCode>0.0000%</c:formatCode>
                <c:ptCount val="130"/>
                <c:pt idx="0">
                  <c:v>1.6828850495422647E-3</c:v>
                </c:pt>
                <c:pt idx="1">
                  <c:v>1.6883856656513725E-3</c:v>
                </c:pt>
                <c:pt idx="2">
                  <c:v>1.6902101434214669E-3</c:v>
                </c:pt>
                <c:pt idx="3">
                  <c:v>1.6920300907250906E-3</c:v>
                </c:pt>
                <c:pt idx="4">
                  <c:v>1.6938455075622433E-3</c:v>
                </c:pt>
                <c:pt idx="5">
                  <c:v>1.6956563939329254E-3</c:v>
                </c:pt>
                <c:pt idx="6">
                  <c:v>1.7010618702461464E-3</c:v>
                </c:pt>
                <c:pt idx="7">
                  <c:v>1.7028546347509451E-3</c:v>
                </c:pt>
                <c:pt idx="8">
                  <c:v>1.7046428687892731E-3</c:v>
                </c:pt>
                <c:pt idx="9">
                  <c:v>1.7064265723611303E-3</c:v>
                </c:pt>
                <c:pt idx="10">
                  <c:v>1.7082057454665166E-3</c:v>
                </c:pt>
                <c:pt idx="11">
                  <c:v>1.7135160819838507E-3</c:v>
                </c:pt>
                <c:pt idx="12">
                  <c:v>1.7152771332233539E-3</c:v>
                </c:pt>
                <c:pt idx="13">
                  <c:v>1.7170336539963861E-3</c:v>
                </c:pt>
                <c:pt idx="14">
                  <c:v>1.7187856443029476E-3</c:v>
                </c:pt>
                <c:pt idx="15">
                  <c:v>1.7205331041430384E-3</c:v>
                </c:pt>
                <c:pt idx="16">
                  <c:v>1.7257483008644859E-3</c:v>
                </c:pt>
                <c:pt idx="17">
                  <c:v>1.7274776388386934E-3</c:v>
                </c:pt>
                <c:pt idx="18">
                  <c:v>1.7292024463464301E-3</c:v>
                </c:pt>
                <c:pt idx="19">
                  <c:v>1.7309227233876961E-3</c:v>
                </c:pt>
                <c:pt idx="20">
                  <c:v>1.7326384699624911E-3</c:v>
                </c:pt>
                <c:pt idx="21">
                  <c:v>1.7377585268880515E-3</c:v>
                </c:pt>
                <c:pt idx="22">
                  <c:v>1.7394561515969634E-3</c:v>
                </c:pt>
                <c:pt idx="23">
                  <c:v>1.7411492458394044E-3</c:v>
                </c:pt>
                <c:pt idx="24">
                  <c:v>1.7428378096153746E-3</c:v>
                </c:pt>
                <c:pt idx="25">
                  <c:v>1.7445218429248744E-3</c:v>
                </c:pt>
                <c:pt idx="26">
                  <c:v>1.749546760054548E-3</c:v>
                </c:pt>
                <c:pt idx="27">
                  <c:v>1.7512126714981642E-3</c:v>
                </c:pt>
                <c:pt idx="28">
                  <c:v>1.7528740524753097E-3</c:v>
                </c:pt>
                <c:pt idx="29">
                  <c:v>1.7545309029859842E-3</c:v>
                </c:pt>
                <c:pt idx="30">
                  <c:v>1.7561832230301882E-3</c:v>
                </c:pt>
                <c:pt idx="31">
                  <c:v>1.7611130003639748E-3</c:v>
                </c:pt>
                <c:pt idx="32">
                  <c:v>1.7627471985422955E-3</c:v>
                </c:pt>
                <c:pt idx="33">
                  <c:v>1.7643768662541452E-3</c:v>
                </c:pt>
                <c:pt idx="34">
                  <c:v>1.7660020034995243E-3</c:v>
                </c:pt>
                <c:pt idx="35">
                  <c:v>1.7676226102784325E-3</c:v>
                </c:pt>
                <c:pt idx="36">
                  <c:v>1.7724572478163326E-3</c:v>
                </c:pt>
                <c:pt idx="37">
                  <c:v>1.7740597327293576E-3</c:v>
                </c:pt>
                <c:pt idx="38">
                  <c:v>1.7756576871759118E-3</c:v>
                </c:pt>
                <c:pt idx="39">
                  <c:v>1.7772511111559951E-3</c:v>
                </c:pt>
                <c:pt idx="40">
                  <c:v>1.7788400046696076E-3</c:v>
                </c:pt>
                <c:pt idx="41">
                  <c:v>1.7835795024116208E-3</c:v>
                </c:pt>
                <c:pt idx="42">
                  <c:v>1.78515027405935E-3</c:v>
                </c:pt>
                <c:pt idx="43">
                  <c:v>1.7867165152406087E-3</c:v>
                </c:pt>
                <c:pt idx="44">
                  <c:v>1.7882782259553965E-3</c:v>
                </c:pt>
                <c:pt idx="45">
                  <c:v>1.7898354062037133E-3</c:v>
                </c:pt>
                <c:pt idx="46">
                  <c:v>1.7944797641498396E-3</c:v>
                </c:pt>
                <c:pt idx="47">
                  <c:v>1.7960188225322735E-3</c:v>
                </c:pt>
                <c:pt idx="48">
                  <c:v>1.7975533504482363E-3</c:v>
                </c:pt>
                <c:pt idx="49">
                  <c:v>1.7990833478977286E-3</c:v>
                </c:pt>
                <c:pt idx="50">
                  <c:v>1.8006088148807499E-3</c:v>
                </c:pt>
                <c:pt idx="51">
                  <c:v>1.805158033030989E-3</c:v>
                </c:pt>
                <c:pt idx="52">
                  <c:v>1.8066653781481272E-3</c:v>
                </c:pt>
                <c:pt idx="53">
                  <c:v>1.8081681927987945E-3</c:v>
                </c:pt>
                <c:pt idx="54">
                  <c:v>1.809666476982991E-3</c:v>
                </c:pt>
                <c:pt idx="55">
                  <c:v>1.8111602307007168E-3</c:v>
                </c:pt>
                <c:pt idx="56">
                  <c:v>1.8156143090550694E-3</c:v>
                </c:pt>
                <c:pt idx="57">
                  <c:v>1.8170899409069119E-3</c:v>
                </c:pt>
                <c:pt idx="58">
                  <c:v>1.8185610422922836E-3</c:v>
                </c:pt>
                <c:pt idx="59">
                  <c:v>1.8200276132111844E-3</c:v>
                </c:pt>
                <c:pt idx="60">
                  <c:v>1.8258485922220801E-3</c:v>
                </c:pt>
                <c:pt idx="61">
                  <c:v>1.8272925108086271E-3</c:v>
                </c:pt>
                <c:pt idx="62">
                  <c:v>1.8287318989287031E-3</c:v>
                </c:pt>
                <c:pt idx="63">
                  <c:v>1.8301667565823083E-3</c:v>
                </c:pt>
                <c:pt idx="64">
                  <c:v>1.8358608825320216E-3</c:v>
                </c:pt>
                <c:pt idx="65">
                  <c:v>1.837273087853273E-3</c:v>
                </c:pt>
                <c:pt idx="66">
                  <c:v>1.8386807627080535E-3</c:v>
                </c:pt>
                <c:pt idx="67">
                  <c:v>1.840083907096363E-3</c:v>
                </c:pt>
                <c:pt idx="68">
                  <c:v>1.8414825210182019E-3</c:v>
                </c:pt>
                <c:pt idx="69">
                  <c:v>1.8456511799848935E-3</c:v>
                </c:pt>
                <c:pt idx="70">
                  <c:v>1.8470316720408492E-3</c:v>
                </c:pt>
                <c:pt idx="71">
                  <c:v>1.8484076336303342E-3</c:v>
                </c:pt>
                <c:pt idx="72">
                  <c:v>1.8497790647533483E-3</c:v>
                </c:pt>
                <c:pt idx="73">
                  <c:v>1.8511459654098914E-3</c:v>
                </c:pt>
                <c:pt idx="74">
                  <c:v>1.8552194845806965E-3</c:v>
                </c:pt>
                <c:pt idx="75">
                  <c:v>1.8565682633713565E-3</c:v>
                </c:pt>
                <c:pt idx="76">
                  <c:v>1.8579125116955457E-3</c:v>
                </c:pt>
                <c:pt idx="77">
                  <c:v>1.859252229553264E-3</c:v>
                </c:pt>
                <c:pt idx="78">
                  <c:v>1.8605874169445118E-3</c:v>
                </c:pt>
                <c:pt idx="79">
                  <c:v>1.8645657963194298E-3</c:v>
                </c:pt>
                <c:pt idx="80">
                  <c:v>1.8658828618447942E-3</c:v>
                </c:pt>
                <c:pt idx="81">
                  <c:v>1.8671953969036877E-3</c:v>
                </c:pt>
                <c:pt idx="82">
                  <c:v>1.8685034014961105E-3</c:v>
                </c:pt>
                <c:pt idx="83">
                  <c:v>1.8698068756220626E-3</c:v>
                </c:pt>
                <c:pt idx="84">
                  <c:v>1.8736901152010938E-3</c:v>
                </c:pt>
                <c:pt idx="85">
                  <c:v>1.8749754674611625E-3</c:v>
                </c:pt>
                <c:pt idx="86">
                  <c:v>1.8762562892547605E-3</c:v>
                </c:pt>
                <c:pt idx="87">
                  <c:v>1.8775325805818878E-3</c:v>
                </c:pt>
                <c:pt idx="88">
                  <c:v>1.8788043414425441E-3</c:v>
                </c:pt>
                <c:pt idx="89">
                  <c:v>1.8825924412256884E-3</c:v>
                </c:pt>
                <c:pt idx="90">
                  <c:v>1.8838460802204616E-3</c:v>
                </c:pt>
                <c:pt idx="91">
                  <c:v>1.8850951887487638E-3</c:v>
                </c:pt>
                <c:pt idx="92">
                  <c:v>1.8863397668105954E-3</c:v>
                </c:pt>
                <c:pt idx="93">
                  <c:v>1.8875798144059562E-3</c:v>
                </c:pt>
                <c:pt idx="94">
                  <c:v>1.8912727743932139E-3</c:v>
                </c:pt>
                <c:pt idx="95">
                  <c:v>1.8924947001226914E-3</c:v>
                </c:pt>
                <c:pt idx="96">
                  <c:v>1.8937120953856981E-3</c:v>
                </c:pt>
                <c:pt idx="97">
                  <c:v>1.8949249601822339E-3</c:v>
                </c:pt>
                <c:pt idx="98">
                  <c:v>1.896133294512299E-3</c:v>
                </c:pt>
                <c:pt idx="99">
                  <c:v>1.8997311147036695E-3</c:v>
                </c:pt>
                <c:pt idx="100">
                  <c:v>1.9009213271678515E-3</c:v>
                </c:pt>
                <c:pt idx="101">
                  <c:v>1.9021070091655625E-3</c:v>
                </c:pt>
                <c:pt idx="102">
                  <c:v>1.9032881606968028E-3</c:v>
                </c:pt>
                <c:pt idx="103">
                  <c:v>1.9044647817615726E-3</c:v>
                </c:pt>
                <c:pt idx="104">
                  <c:v>1.9079674621570561E-3</c:v>
                </c:pt>
                <c:pt idx="105">
                  <c:v>1.9091259613559426E-3</c:v>
                </c:pt>
                <c:pt idx="106">
                  <c:v>1.9102799300883579E-3</c:v>
                </c:pt>
                <c:pt idx="107">
                  <c:v>1.9114293683543027E-3</c:v>
                </c:pt>
                <c:pt idx="108">
                  <c:v>1.9125742761537763E-3</c:v>
                </c:pt>
                <c:pt idx="109">
                  <c:v>1.9159818167533735E-3</c:v>
                </c:pt>
                <c:pt idx="110">
                  <c:v>1.9171086026869642E-3</c:v>
                </c:pt>
                <c:pt idx="111">
                  <c:v>1.918230858154084E-3</c:v>
                </c:pt>
                <c:pt idx="112">
                  <c:v>1.9193485831547332E-3</c:v>
                </c:pt>
                <c:pt idx="113">
                  <c:v>1.9204617776889111E-3</c:v>
                </c:pt>
                <c:pt idx="114">
                  <c:v>1.9237741784926213E-3</c:v>
                </c:pt>
                <c:pt idx="115">
                  <c:v>1.9248692511609161E-3</c:v>
                </c:pt>
                <c:pt idx="116">
                  <c:v>1.9259597933627406E-3</c:v>
                </c:pt>
                <c:pt idx="117">
                  <c:v>1.9270458050980942E-3</c:v>
                </c:pt>
                <c:pt idx="118">
                  <c:v>1.9281272863669765E-3</c:v>
                </c:pt>
                <c:pt idx="119">
                  <c:v>1.9313445473748E-3</c:v>
                </c:pt>
                <c:pt idx="120">
                  <c:v>1.932407906777799E-3</c:v>
                </c:pt>
                <c:pt idx="121">
                  <c:v>1.933466735714328E-3</c:v>
                </c:pt>
                <c:pt idx="122">
                  <c:v>1.9345210341843856E-3</c:v>
                </c:pt>
                <c:pt idx="123">
                  <c:v>1.9397245695376127E-3</c:v>
                </c:pt>
                <c:pt idx="124">
                  <c:v>1.9407516852088455E-3</c:v>
                </c:pt>
                <c:pt idx="125">
                  <c:v>1.941774270413608E-3</c:v>
                </c:pt>
                <c:pt idx="126">
                  <c:v>1.9427923251518992E-3</c:v>
                </c:pt>
                <c:pt idx="127">
                  <c:v>1.9458193065679487E-3</c:v>
                </c:pt>
                <c:pt idx="128">
                  <c:v>1.9468192394403569E-3</c:v>
                </c:pt>
                <c:pt idx="129">
                  <c:v>1.9478146418462942E-3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</c:numCache>
            </c:numRef>
          </c:cat>
          <c:val>
            <c:numRef>
              <c:f>'6MSynthDepo_allScenario'!$BG$6:$BG$135</c:f>
              <c:numCache>
                <c:formatCode>0.0000%</c:formatCode>
                <c:ptCount val="130"/>
                <c:pt idx="0">
                  <c:v>1.7193670083372797E-3</c:v>
                </c:pt>
                <c:pt idx="1">
                  <c:v>1.7230056027268876E-3</c:v>
                </c:pt>
                <c:pt idx="2">
                  <c:v>1.7242184675234234E-3</c:v>
                </c:pt>
                <c:pt idx="3">
                  <c:v>1.7254313323199595E-3</c:v>
                </c:pt>
                <c:pt idx="4">
                  <c:v>1.7266441971164953E-3</c:v>
                </c:pt>
                <c:pt idx="5">
                  <c:v>1.7278570619130313E-3</c:v>
                </c:pt>
                <c:pt idx="6">
                  <c:v>1.7314956563026392E-3</c:v>
                </c:pt>
                <c:pt idx="7">
                  <c:v>1.732708521099175E-3</c:v>
                </c:pt>
                <c:pt idx="8">
                  <c:v>1.733921385895711E-3</c:v>
                </c:pt>
                <c:pt idx="9">
                  <c:v>1.7351342506922468E-3</c:v>
                </c:pt>
                <c:pt idx="10">
                  <c:v>1.7363471154887829E-3</c:v>
                </c:pt>
                <c:pt idx="11">
                  <c:v>1.7399857098783905E-3</c:v>
                </c:pt>
                <c:pt idx="12">
                  <c:v>1.7411985746749266E-3</c:v>
                </c:pt>
                <c:pt idx="13">
                  <c:v>1.7424114394714626E-3</c:v>
                </c:pt>
                <c:pt idx="14">
                  <c:v>1.7436243042679984E-3</c:v>
                </c:pt>
                <c:pt idx="15">
                  <c:v>1.7448371690645345E-3</c:v>
                </c:pt>
                <c:pt idx="16">
                  <c:v>1.7484757634541421E-3</c:v>
                </c:pt>
                <c:pt idx="17">
                  <c:v>1.7496886282506782E-3</c:v>
                </c:pt>
                <c:pt idx="18">
                  <c:v>1.750901493047214E-3</c:v>
                </c:pt>
                <c:pt idx="19">
                  <c:v>1.75211435784375E-3</c:v>
                </c:pt>
                <c:pt idx="20">
                  <c:v>1.753327222640286E-3</c:v>
                </c:pt>
                <c:pt idx="21">
                  <c:v>1.7569658170298937E-3</c:v>
                </c:pt>
                <c:pt idx="22">
                  <c:v>1.7581786818264297E-3</c:v>
                </c:pt>
                <c:pt idx="23">
                  <c:v>1.7593915466229655E-3</c:v>
                </c:pt>
                <c:pt idx="24">
                  <c:v>1.7606044114195016E-3</c:v>
                </c:pt>
                <c:pt idx="25">
                  <c:v>1.7618172762160374E-3</c:v>
                </c:pt>
                <c:pt idx="26">
                  <c:v>1.7654558706056453E-3</c:v>
                </c:pt>
                <c:pt idx="27">
                  <c:v>1.7666687354021813E-3</c:v>
                </c:pt>
                <c:pt idx="28">
                  <c:v>1.7678816001987171E-3</c:v>
                </c:pt>
                <c:pt idx="29">
                  <c:v>1.7690944649952532E-3</c:v>
                </c:pt>
                <c:pt idx="30">
                  <c:v>1.770307329791789E-3</c:v>
                </c:pt>
                <c:pt idx="31">
                  <c:v>1.7739459241813969E-3</c:v>
                </c:pt>
                <c:pt idx="32">
                  <c:v>1.7751587889779329E-3</c:v>
                </c:pt>
                <c:pt idx="33">
                  <c:v>1.7763716537744687E-3</c:v>
                </c:pt>
                <c:pt idx="34">
                  <c:v>1.7775845185710047E-3</c:v>
                </c:pt>
                <c:pt idx="35">
                  <c:v>1.7787973833675406E-3</c:v>
                </c:pt>
                <c:pt idx="36">
                  <c:v>1.7824359777571484E-3</c:v>
                </c:pt>
                <c:pt idx="37">
                  <c:v>1.7836488425536842E-3</c:v>
                </c:pt>
                <c:pt idx="38">
                  <c:v>1.7848617073502203E-3</c:v>
                </c:pt>
                <c:pt idx="39">
                  <c:v>1.7860745721467563E-3</c:v>
                </c:pt>
                <c:pt idx="40">
                  <c:v>1.7872874369432921E-3</c:v>
                </c:pt>
                <c:pt idx="41">
                  <c:v>1.7909260313329E-3</c:v>
                </c:pt>
                <c:pt idx="42">
                  <c:v>1.7921388961294358E-3</c:v>
                </c:pt>
                <c:pt idx="43">
                  <c:v>1.7933517609259719E-3</c:v>
                </c:pt>
                <c:pt idx="44">
                  <c:v>1.7945646257225077E-3</c:v>
                </c:pt>
                <c:pt idx="45">
                  <c:v>1.7957774905190437E-3</c:v>
                </c:pt>
                <c:pt idx="46">
                  <c:v>1.7994160849086516E-3</c:v>
                </c:pt>
                <c:pt idx="47">
                  <c:v>1.8006289497051874E-3</c:v>
                </c:pt>
                <c:pt idx="48">
                  <c:v>1.8018418145017234E-3</c:v>
                </c:pt>
                <c:pt idx="49">
                  <c:v>1.8030546792982593E-3</c:v>
                </c:pt>
                <c:pt idx="50">
                  <c:v>1.8042675440947953E-3</c:v>
                </c:pt>
                <c:pt idx="51">
                  <c:v>1.8079061384844032E-3</c:v>
                </c:pt>
                <c:pt idx="52">
                  <c:v>1.809119003280939E-3</c:v>
                </c:pt>
                <c:pt idx="53">
                  <c:v>1.810331868077475E-3</c:v>
                </c:pt>
                <c:pt idx="54">
                  <c:v>1.8115447328740108E-3</c:v>
                </c:pt>
                <c:pt idx="55">
                  <c:v>1.8127575976705469E-3</c:v>
                </c:pt>
                <c:pt idx="56">
                  <c:v>1.8163961920601545E-3</c:v>
                </c:pt>
                <c:pt idx="57">
                  <c:v>1.8176090568566906E-3</c:v>
                </c:pt>
                <c:pt idx="58">
                  <c:v>1.8188219216532266E-3</c:v>
                </c:pt>
                <c:pt idx="59">
                  <c:v>1.8200347864497624E-3</c:v>
                </c:pt>
                <c:pt idx="60">
                  <c:v>1.8248862456359061E-3</c:v>
                </c:pt>
                <c:pt idx="61">
                  <c:v>1.8260991104324421E-3</c:v>
                </c:pt>
                <c:pt idx="62">
                  <c:v>1.827311975228978E-3</c:v>
                </c:pt>
                <c:pt idx="63">
                  <c:v>1.828524840025514E-3</c:v>
                </c:pt>
                <c:pt idx="64">
                  <c:v>1.8333762992116577E-3</c:v>
                </c:pt>
                <c:pt idx="65">
                  <c:v>1.8345891640081937E-3</c:v>
                </c:pt>
                <c:pt idx="66">
                  <c:v>1.8358020288047295E-3</c:v>
                </c:pt>
                <c:pt idx="67">
                  <c:v>1.8370148936012656E-3</c:v>
                </c:pt>
                <c:pt idx="68">
                  <c:v>1.8382277583978014E-3</c:v>
                </c:pt>
                <c:pt idx="69">
                  <c:v>1.8418663527874093E-3</c:v>
                </c:pt>
                <c:pt idx="70">
                  <c:v>1.8430792175839453E-3</c:v>
                </c:pt>
                <c:pt idx="71">
                  <c:v>1.8442920823804811E-3</c:v>
                </c:pt>
                <c:pt idx="72">
                  <c:v>1.8455049471770171E-3</c:v>
                </c:pt>
                <c:pt idx="73">
                  <c:v>1.846717811973553E-3</c:v>
                </c:pt>
                <c:pt idx="74">
                  <c:v>1.8503564063631608E-3</c:v>
                </c:pt>
                <c:pt idx="75">
                  <c:v>1.8515692711596967E-3</c:v>
                </c:pt>
                <c:pt idx="76">
                  <c:v>1.8527821359562327E-3</c:v>
                </c:pt>
                <c:pt idx="77">
                  <c:v>1.8539950007527687E-3</c:v>
                </c:pt>
                <c:pt idx="78">
                  <c:v>1.8552078655493045E-3</c:v>
                </c:pt>
                <c:pt idx="79">
                  <c:v>1.8588464599389124E-3</c:v>
                </c:pt>
                <c:pt idx="80">
                  <c:v>1.8600593247354484E-3</c:v>
                </c:pt>
                <c:pt idx="81">
                  <c:v>1.8612721895319843E-3</c:v>
                </c:pt>
                <c:pt idx="82">
                  <c:v>1.8624850543285201E-3</c:v>
                </c:pt>
                <c:pt idx="83">
                  <c:v>1.8636979191250561E-3</c:v>
                </c:pt>
                <c:pt idx="84">
                  <c:v>1.867336513514664E-3</c:v>
                </c:pt>
                <c:pt idx="85">
                  <c:v>1.8685493783111998E-3</c:v>
                </c:pt>
                <c:pt idx="86">
                  <c:v>1.8697622431077358E-3</c:v>
                </c:pt>
                <c:pt idx="87">
                  <c:v>1.8709751079042717E-3</c:v>
                </c:pt>
                <c:pt idx="88">
                  <c:v>1.8721879727008077E-3</c:v>
                </c:pt>
                <c:pt idx="89">
                  <c:v>1.8758265670904156E-3</c:v>
                </c:pt>
                <c:pt idx="90">
                  <c:v>1.8770394318869514E-3</c:v>
                </c:pt>
                <c:pt idx="91">
                  <c:v>1.8782522966834874E-3</c:v>
                </c:pt>
                <c:pt idx="92">
                  <c:v>1.8794651614800232E-3</c:v>
                </c:pt>
                <c:pt idx="93">
                  <c:v>1.8806780262765593E-3</c:v>
                </c:pt>
                <c:pt idx="94">
                  <c:v>1.8843166206661669E-3</c:v>
                </c:pt>
                <c:pt idx="95">
                  <c:v>1.885529485462703E-3</c:v>
                </c:pt>
                <c:pt idx="96">
                  <c:v>1.886742350259239E-3</c:v>
                </c:pt>
                <c:pt idx="97">
                  <c:v>1.8879552150557748E-3</c:v>
                </c:pt>
                <c:pt idx="98">
                  <c:v>1.8891680798523108E-3</c:v>
                </c:pt>
                <c:pt idx="99">
                  <c:v>1.8928066742419185E-3</c:v>
                </c:pt>
                <c:pt idx="100">
                  <c:v>1.8940195390384545E-3</c:v>
                </c:pt>
                <c:pt idx="101">
                  <c:v>1.8952324038349906E-3</c:v>
                </c:pt>
                <c:pt idx="102">
                  <c:v>1.8964452686315264E-3</c:v>
                </c:pt>
                <c:pt idx="103">
                  <c:v>1.8976581334280624E-3</c:v>
                </c:pt>
                <c:pt idx="104">
                  <c:v>1.9012967278176701E-3</c:v>
                </c:pt>
                <c:pt idx="105">
                  <c:v>1.9025095926142061E-3</c:v>
                </c:pt>
                <c:pt idx="106">
                  <c:v>1.9037224574107421E-3</c:v>
                </c:pt>
                <c:pt idx="107">
                  <c:v>1.904935322207278E-3</c:v>
                </c:pt>
                <c:pt idx="108">
                  <c:v>1.9061481870038138E-3</c:v>
                </c:pt>
                <c:pt idx="109">
                  <c:v>1.9097867813934217E-3</c:v>
                </c:pt>
                <c:pt idx="110">
                  <c:v>1.9109996461899577E-3</c:v>
                </c:pt>
                <c:pt idx="111">
                  <c:v>1.9122125109864935E-3</c:v>
                </c:pt>
                <c:pt idx="112">
                  <c:v>1.9134253757830295E-3</c:v>
                </c:pt>
                <c:pt idx="113">
                  <c:v>1.9146382405795656E-3</c:v>
                </c:pt>
                <c:pt idx="114">
                  <c:v>1.9182768349691732E-3</c:v>
                </c:pt>
                <c:pt idx="115">
                  <c:v>1.9194896997657093E-3</c:v>
                </c:pt>
                <c:pt idx="116">
                  <c:v>1.9207025645622451E-3</c:v>
                </c:pt>
                <c:pt idx="117">
                  <c:v>1.9219154293587811E-3</c:v>
                </c:pt>
                <c:pt idx="118">
                  <c:v>1.9231282941553169E-3</c:v>
                </c:pt>
                <c:pt idx="119">
                  <c:v>1.9267668885449248E-3</c:v>
                </c:pt>
                <c:pt idx="120">
                  <c:v>1.9279797533414608E-3</c:v>
                </c:pt>
                <c:pt idx="121">
                  <c:v>1.9291926181379967E-3</c:v>
                </c:pt>
                <c:pt idx="122">
                  <c:v>1.9304054829345327E-3</c:v>
                </c:pt>
                <c:pt idx="123">
                  <c:v>1.9364698069172124E-3</c:v>
                </c:pt>
                <c:pt idx="124">
                  <c:v>1.9376826717137482E-3</c:v>
                </c:pt>
                <c:pt idx="125">
                  <c:v>1.9388955365102841E-3</c:v>
                </c:pt>
                <c:pt idx="126">
                  <c:v>1.9401084013068201E-3</c:v>
                </c:pt>
                <c:pt idx="127">
                  <c:v>1.943746995696428E-3</c:v>
                </c:pt>
                <c:pt idx="128">
                  <c:v>1.9449598604929638E-3</c:v>
                </c:pt>
                <c:pt idx="129">
                  <c:v>1.9461727252894998E-3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</c:numCache>
            </c:numRef>
          </c:cat>
          <c:val>
            <c:numRef>
              <c:f>'6MSynthDepo_allScenario'!$BH$6:$BH$135</c:f>
              <c:numCache>
                <c:formatCode>0.0000%</c:formatCode>
                <c:ptCount val="130"/>
                <c:pt idx="0">
                  <c:v>2.0118798604074838E-3</c:v>
                </c:pt>
                <c:pt idx="1">
                  <c:v>2.0005887388010834E-3</c:v>
                </c:pt>
                <c:pt idx="2">
                  <c:v>1.9968976822850619E-3</c:v>
                </c:pt>
                <c:pt idx="3">
                  <c:v>1.9932429511120967E-3</c:v>
                </c:pt>
                <c:pt idx="4">
                  <c:v>1.9896245452821872E-3</c:v>
                </c:pt>
                <c:pt idx="5">
                  <c:v>1.9860424647953337E-3</c:v>
                </c:pt>
                <c:pt idx="6">
                  <c:v>1.9755141753931087E-3</c:v>
                </c:pt>
                <c:pt idx="7">
                  <c:v>1.9720773962784797E-3</c:v>
                </c:pt>
                <c:pt idx="8">
                  <c:v>1.9686769425069058E-3</c:v>
                </c:pt>
                <c:pt idx="9">
                  <c:v>1.9653128140783883E-3</c:v>
                </c:pt>
                <c:pt idx="10">
                  <c:v>1.9619850109929265E-3</c:v>
                </c:pt>
                <c:pt idx="11">
                  <c:v>1.9522195537948776E-3</c:v>
                </c:pt>
                <c:pt idx="12">
                  <c:v>1.9490370520816398E-3</c:v>
                </c:pt>
                <c:pt idx="13">
                  <c:v>1.945890875711458E-3</c:v>
                </c:pt>
                <c:pt idx="14">
                  <c:v>1.9427810246843322E-3</c:v>
                </c:pt>
                <c:pt idx="15">
                  <c:v>1.9397074990002625E-3</c:v>
                </c:pt>
                <c:pt idx="16">
                  <c:v>1.9307048740063891E-3</c:v>
                </c:pt>
                <c:pt idx="17">
                  <c:v>1.9277766496945431E-3</c:v>
                </c:pt>
                <c:pt idx="18">
                  <c:v>1.9248847507257535E-3</c:v>
                </c:pt>
                <c:pt idx="19">
                  <c:v>1.9220291771000196E-3</c:v>
                </c:pt>
                <c:pt idx="20">
                  <c:v>1.9192099288173417E-3</c:v>
                </c:pt>
                <c:pt idx="21">
                  <c:v>1.9109701360276437E-3</c:v>
                </c:pt>
                <c:pt idx="22">
                  <c:v>1.9082961891171897E-3</c:v>
                </c:pt>
                <c:pt idx="23">
                  <c:v>1.9056585675497916E-3</c:v>
                </c:pt>
                <c:pt idx="24">
                  <c:v>1.9030572713254496E-3</c:v>
                </c:pt>
                <c:pt idx="25">
                  <c:v>1.9004923004441636E-3</c:v>
                </c:pt>
                <c:pt idx="26">
                  <c:v>1.8930153398586415E-3</c:v>
                </c:pt>
                <c:pt idx="27">
                  <c:v>1.8905956703495794E-3</c:v>
                </c:pt>
                <c:pt idx="28">
                  <c:v>1.8882123261835732E-3</c:v>
                </c:pt>
                <c:pt idx="29">
                  <c:v>1.8858653073606229E-3</c:v>
                </c:pt>
                <c:pt idx="30">
                  <c:v>1.8835546138807288E-3</c:v>
                </c:pt>
                <c:pt idx="31">
                  <c:v>1.8768404854993821E-3</c:v>
                </c:pt>
                <c:pt idx="32">
                  <c:v>1.8746750933917118E-3</c:v>
                </c:pt>
                <c:pt idx="33">
                  <c:v>1.8725460266270976E-3</c:v>
                </c:pt>
                <c:pt idx="34">
                  <c:v>1.8704532852055393E-3</c:v>
                </c:pt>
                <c:pt idx="35">
                  <c:v>1.8683968691270371E-3</c:v>
                </c:pt>
                <c:pt idx="36">
                  <c:v>1.8624455729498661E-3</c:v>
                </c:pt>
                <c:pt idx="37">
                  <c:v>1.8605344582435877E-3</c:v>
                </c:pt>
                <c:pt idx="38">
                  <c:v>1.8586596688803651E-3</c:v>
                </c:pt>
                <c:pt idx="39">
                  <c:v>1.8568212048601987E-3</c:v>
                </c:pt>
                <c:pt idx="40">
                  <c:v>1.8550190661830882E-3</c:v>
                </c:pt>
                <c:pt idx="41">
                  <c:v>1.849830602210093E-3</c:v>
                </c:pt>
                <c:pt idx="42">
                  <c:v>1.8481737649052065E-3</c:v>
                </c:pt>
                <c:pt idx="43">
                  <c:v>1.8465532529433758E-3</c:v>
                </c:pt>
                <c:pt idx="44">
                  <c:v>1.8449690663246013E-3</c:v>
                </c:pt>
                <c:pt idx="45">
                  <c:v>1.8434212050488826E-3</c:v>
                </c:pt>
                <c:pt idx="46">
                  <c:v>1.8389955732800627E-3</c:v>
                </c:pt>
                <c:pt idx="47">
                  <c:v>1.8375930133765681E-3</c:v>
                </c:pt>
                <c:pt idx="48">
                  <c:v>1.8362267788161297E-3</c:v>
                </c:pt>
                <c:pt idx="49">
                  <c:v>1.8348968695987469E-3</c:v>
                </c:pt>
                <c:pt idx="50">
                  <c:v>1.8336032857244201E-3</c:v>
                </c:pt>
                <c:pt idx="51">
                  <c:v>1.8299404861597758E-3</c:v>
                </c:pt>
                <c:pt idx="52">
                  <c:v>1.8287922036576731E-3</c:v>
                </c:pt>
                <c:pt idx="53">
                  <c:v>1.8276802464986263E-3</c:v>
                </c:pt>
                <c:pt idx="54">
                  <c:v>1.8266046146826356E-3</c:v>
                </c:pt>
                <c:pt idx="55">
                  <c:v>1.8255653082097007E-3</c:v>
                </c:pt>
                <c:pt idx="56">
                  <c:v>1.8226653408492321E-3</c:v>
                </c:pt>
                <c:pt idx="57">
                  <c:v>1.8217713357485212E-3</c:v>
                </c:pt>
                <c:pt idx="58">
                  <c:v>1.8209136559908662E-3</c:v>
                </c:pt>
                <c:pt idx="59">
                  <c:v>1.8200923015762671E-3</c:v>
                </c:pt>
                <c:pt idx="60">
                  <c:v>1.8171701373484311E-3</c:v>
                </c:pt>
                <c:pt idx="61">
                  <c:v>1.816530409649112E-3</c:v>
                </c:pt>
                <c:pt idx="62">
                  <c:v>1.815927007292849E-3</c:v>
                </c:pt>
                <c:pt idx="63">
                  <c:v>1.8153599302796421E-3</c:v>
                </c:pt>
                <c:pt idx="64">
                  <c:v>1.8134548756573734E-3</c:v>
                </c:pt>
                <c:pt idx="65">
                  <c:v>1.8130694253594463E-3</c:v>
                </c:pt>
                <c:pt idx="66">
                  <c:v>1.812720300404575E-3</c:v>
                </c:pt>
                <c:pt idx="67">
                  <c:v>1.8124075007927599E-3</c:v>
                </c:pt>
                <c:pt idx="68">
                  <c:v>1.8121310265240007E-3</c:v>
                </c:pt>
                <c:pt idx="69">
                  <c:v>1.8115195557760588E-3</c:v>
                </c:pt>
                <c:pt idx="70">
                  <c:v>1.8113883828795234E-3</c:v>
                </c:pt>
                <c:pt idx="71">
                  <c:v>1.811293535326044E-3</c:v>
                </c:pt>
                <c:pt idx="72">
                  <c:v>1.8112350131156206E-3</c:v>
                </c:pt>
                <c:pt idx="73">
                  <c:v>1.8112128162482534E-3</c:v>
                </c:pt>
                <c:pt idx="74">
                  <c:v>1.811364177704487E-3</c:v>
                </c:pt>
                <c:pt idx="75">
                  <c:v>1.8114872822093436E-3</c:v>
                </c:pt>
                <c:pt idx="76">
                  <c:v>1.8116467120572561E-3</c:v>
                </c:pt>
                <c:pt idx="77">
                  <c:v>1.8118424672482248E-3</c:v>
                </c:pt>
                <c:pt idx="78">
                  <c:v>1.8120745477822491E-3</c:v>
                </c:pt>
                <c:pt idx="79">
                  <c:v>1.8129887414426585E-3</c:v>
                </c:pt>
                <c:pt idx="80">
                  <c:v>1.8133661233489069E-3</c:v>
                </c:pt>
                <c:pt idx="81">
                  <c:v>1.8137798305982113E-3</c:v>
                </c:pt>
                <c:pt idx="82">
                  <c:v>1.8142298631905719E-3</c:v>
                </c:pt>
                <c:pt idx="83">
                  <c:v>1.8147162211259883E-3</c:v>
                </c:pt>
                <c:pt idx="84">
                  <c:v>1.8163932469905731E-3</c:v>
                </c:pt>
                <c:pt idx="85">
                  <c:v>1.8170249062982133E-3</c:v>
                </c:pt>
                <c:pt idx="86">
                  <c:v>1.8176928909489096E-3</c:v>
                </c:pt>
                <c:pt idx="87">
                  <c:v>1.8183972009426618E-3</c:v>
                </c:pt>
                <c:pt idx="88">
                  <c:v>1.8191378362794699E-3</c:v>
                </c:pt>
                <c:pt idx="89">
                  <c:v>1.8215776943482306E-3</c:v>
                </c:pt>
                <c:pt idx="90">
                  <c:v>1.8224636310572627E-3</c:v>
                </c:pt>
                <c:pt idx="91">
                  <c:v>1.8233858931093511E-3</c:v>
                </c:pt>
                <c:pt idx="92">
                  <c:v>1.824344480504495E-3</c:v>
                </c:pt>
                <c:pt idx="93">
                  <c:v>1.8253393932426952E-3</c:v>
                </c:pt>
                <c:pt idx="94">
                  <c:v>1.8285420835156315E-3</c:v>
                </c:pt>
                <c:pt idx="95">
                  <c:v>1.8296822976260555E-3</c:v>
                </c:pt>
                <c:pt idx="96">
                  <c:v>1.8308588370795356E-3</c:v>
                </c:pt>
                <c:pt idx="97">
                  <c:v>1.8320717018760714E-3</c:v>
                </c:pt>
                <c:pt idx="98">
                  <c:v>1.8333208920156634E-3</c:v>
                </c:pt>
                <c:pt idx="99">
                  <c:v>1.837286414492775E-3</c:v>
                </c:pt>
                <c:pt idx="100">
                  <c:v>1.8386809060045909E-3</c:v>
                </c:pt>
                <c:pt idx="101">
                  <c:v>1.8401117228594628E-3</c:v>
                </c:pt>
                <c:pt idx="102">
                  <c:v>1.8415788650573907E-3</c:v>
                </c:pt>
                <c:pt idx="103">
                  <c:v>1.8430823325983744E-3</c:v>
                </c:pt>
                <c:pt idx="104">
                  <c:v>1.8478106872796616E-3</c:v>
                </c:pt>
                <c:pt idx="105">
                  <c:v>1.8494594561928694E-3</c:v>
                </c:pt>
                <c:pt idx="106">
                  <c:v>1.8511445504491334E-3</c:v>
                </c:pt>
                <c:pt idx="107">
                  <c:v>1.852865970048453E-3</c:v>
                </c:pt>
                <c:pt idx="108">
                  <c:v>1.8546237149908288E-3</c:v>
                </c:pt>
                <c:pt idx="109">
                  <c:v>1.8601149018762917E-3</c:v>
                </c:pt>
                <c:pt idx="110">
                  <c:v>1.8620179481908914E-3</c:v>
                </c:pt>
                <c:pt idx="111">
                  <c:v>1.863957319848547E-3</c:v>
                </c:pt>
                <c:pt idx="112">
                  <c:v>1.8659330168492585E-3</c:v>
                </c:pt>
                <c:pt idx="113">
                  <c:v>1.8679450391930262E-3</c:v>
                </c:pt>
                <c:pt idx="114">
                  <c:v>1.8741990582826647E-3</c:v>
                </c:pt>
                <c:pt idx="115">
                  <c:v>1.876356381998656E-3</c:v>
                </c:pt>
                <c:pt idx="116">
                  <c:v>1.8785500310577036E-3</c:v>
                </c:pt>
                <c:pt idx="117">
                  <c:v>1.880780005459807E-3</c:v>
                </c:pt>
                <c:pt idx="118">
                  <c:v>1.8830463052049665E-3</c:v>
                </c:pt>
                <c:pt idx="119">
                  <c:v>1.8900631564987807E-3</c:v>
                </c:pt>
                <c:pt idx="120">
                  <c:v>1.8924747576161637E-3</c:v>
                </c:pt>
                <c:pt idx="121">
                  <c:v>1.8949226840766031E-3</c:v>
                </c:pt>
                <c:pt idx="122">
                  <c:v>1.8974069358800986E-3</c:v>
                </c:pt>
                <c:pt idx="123">
                  <c:v>1.910373075043415E-3</c:v>
                </c:pt>
                <c:pt idx="124">
                  <c:v>1.9130752789052463E-3</c:v>
                </c:pt>
                <c:pt idx="125">
                  <c:v>1.9158138081101332E-3</c:v>
                </c:pt>
                <c:pt idx="126">
                  <c:v>1.9185886626580766E-3</c:v>
                </c:pt>
                <c:pt idx="127">
                  <c:v>1.9271311783602416E-3</c:v>
                </c:pt>
                <c:pt idx="128">
                  <c:v>1.9300513342804088E-3</c:v>
                </c:pt>
                <c:pt idx="129">
                  <c:v>1.933007815543632E-3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5768248"/>
        <c:axId val="735769816"/>
      </c:lineChart>
      <c:dateAx>
        <c:axId val="73576824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735769816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735769816"/>
        <c:scaling>
          <c:orientation val="minMax"/>
          <c:max val="2.2000000000000006E-3"/>
          <c:min val="1.2000000000000003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735768248"/>
        <c:crosses val="autoZero"/>
        <c:crossBetween val="between"/>
        <c:majorUnit val="1.0000000000000003E-4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36684293225888576"/>
          <c:h val="0.368966188745347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Exact Fit (Continuous</a:t>
            </a:r>
            <a:r>
              <a:rPr lang="en-US" baseline="0"/>
              <a:t> Basis Approx)</a:t>
            </a:r>
            <a:endParaRPr lang="en-US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</c:numCache>
            </c:numRef>
          </c:cat>
          <c:val>
            <c:numRef>
              <c:f>'6MSynthDepo_allScenario'!$BI$6:$BI$135</c:f>
              <c:numCache>
                <c:formatCode>0.0000%</c:formatCode>
                <c:ptCount val="130"/>
                <c:pt idx="0">
                  <c:v>1.6964194815444486E-3</c:v>
                </c:pt>
                <c:pt idx="1">
                  <c:v>1.7006830125085783E-3</c:v>
                </c:pt>
                <c:pt idx="2">
                  <c:v>1.7021041894966214E-3</c:v>
                </c:pt>
                <c:pt idx="3">
                  <c:v>1.7035253664846647E-3</c:v>
                </c:pt>
                <c:pt idx="4">
                  <c:v>1.7049465434727077E-3</c:v>
                </c:pt>
                <c:pt idx="5">
                  <c:v>1.706367720460751E-3</c:v>
                </c:pt>
                <c:pt idx="6">
                  <c:v>1.7106312514248807E-3</c:v>
                </c:pt>
                <c:pt idx="7">
                  <c:v>1.7120524284129238E-3</c:v>
                </c:pt>
                <c:pt idx="8">
                  <c:v>1.7134736054009671E-3</c:v>
                </c:pt>
                <c:pt idx="9">
                  <c:v>1.7148947823890101E-3</c:v>
                </c:pt>
                <c:pt idx="10">
                  <c:v>1.7163159593770534E-3</c:v>
                </c:pt>
                <c:pt idx="11">
                  <c:v>1.7205794903411829E-3</c:v>
                </c:pt>
                <c:pt idx="12">
                  <c:v>1.7220006673292262E-3</c:v>
                </c:pt>
                <c:pt idx="13">
                  <c:v>1.7234218443172695E-3</c:v>
                </c:pt>
                <c:pt idx="14">
                  <c:v>1.7248430213053125E-3</c:v>
                </c:pt>
                <c:pt idx="15">
                  <c:v>1.7262641982933558E-3</c:v>
                </c:pt>
                <c:pt idx="16">
                  <c:v>1.7305277292574853E-3</c:v>
                </c:pt>
                <c:pt idx="17">
                  <c:v>1.7319489062455286E-3</c:v>
                </c:pt>
                <c:pt idx="18">
                  <c:v>1.7333700832335716E-3</c:v>
                </c:pt>
                <c:pt idx="19">
                  <c:v>1.7347912602216149E-3</c:v>
                </c:pt>
                <c:pt idx="20">
                  <c:v>1.7362124372096582E-3</c:v>
                </c:pt>
                <c:pt idx="21">
                  <c:v>1.7404759681737877E-3</c:v>
                </c:pt>
                <c:pt idx="22">
                  <c:v>1.741897145161831E-3</c:v>
                </c:pt>
                <c:pt idx="23">
                  <c:v>1.743318322149874E-3</c:v>
                </c:pt>
                <c:pt idx="24">
                  <c:v>1.7447394991379173E-3</c:v>
                </c:pt>
                <c:pt idx="25">
                  <c:v>1.7461606761259604E-3</c:v>
                </c:pt>
                <c:pt idx="26">
                  <c:v>1.7504242070900901E-3</c:v>
                </c:pt>
                <c:pt idx="27">
                  <c:v>1.7518453840781334E-3</c:v>
                </c:pt>
                <c:pt idx="28">
                  <c:v>1.7532665610661764E-3</c:v>
                </c:pt>
                <c:pt idx="29">
                  <c:v>1.7546877380542197E-3</c:v>
                </c:pt>
                <c:pt idx="30">
                  <c:v>1.7561089150422628E-3</c:v>
                </c:pt>
                <c:pt idx="31">
                  <c:v>1.7603724460063925E-3</c:v>
                </c:pt>
                <c:pt idx="32">
                  <c:v>1.7617936229944358E-3</c:v>
                </c:pt>
                <c:pt idx="33">
                  <c:v>1.7632147999824788E-3</c:v>
                </c:pt>
                <c:pt idx="34">
                  <c:v>1.7646359769705221E-3</c:v>
                </c:pt>
                <c:pt idx="35">
                  <c:v>1.7660571539585652E-3</c:v>
                </c:pt>
                <c:pt idx="36">
                  <c:v>1.7703206849226949E-3</c:v>
                </c:pt>
                <c:pt idx="37">
                  <c:v>1.7717418619107379E-3</c:v>
                </c:pt>
                <c:pt idx="38">
                  <c:v>1.7731630388987812E-3</c:v>
                </c:pt>
                <c:pt idx="39">
                  <c:v>1.7745842158868245E-3</c:v>
                </c:pt>
                <c:pt idx="40">
                  <c:v>1.7760053928748676E-3</c:v>
                </c:pt>
                <c:pt idx="41">
                  <c:v>1.7802689238389973E-3</c:v>
                </c:pt>
                <c:pt idx="42">
                  <c:v>1.7816901008270403E-3</c:v>
                </c:pt>
                <c:pt idx="43">
                  <c:v>1.7831112778150836E-3</c:v>
                </c:pt>
                <c:pt idx="44">
                  <c:v>1.7845324548031267E-3</c:v>
                </c:pt>
                <c:pt idx="45">
                  <c:v>1.78595363179117E-3</c:v>
                </c:pt>
                <c:pt idx="46">
                  <c:v>1.7902171627552997E-3</c:v>
                </c:pt>
                <c:pt idx="47">
                  <c:v>1.7916383397433427E-3</c:v>
                </c:pt>
                <c:pt idx="48">
                  <c:v>1.793059516731386E-3</c:v>
                </c:pt>
                <c:pt idx="49">
                  <c:v>1.7944806937194291E-3</c:v>
                </c:pt>
                <c:pt idx="50">
                  <c:v>1.7959018707074724E-3</c:v>
                </c:pt>
                <c:pt idx="51">
                  <c:v>1.8001654016716021E-3</c:v>
                </c:pt>
                <c:pt idx="52">
                  <c:v>1.8015865786596451E-3</c:v>
                </c:pt>
                <c:pt idx="53">
                  <c:v>1.8030077556476884E-3</c:v>
                </c:pt>
                <c:pt idx="54">
                  <c:v>1.8044289326357315E-3</c:v>
                </c:pt>
                <c:pt idx="55">
                  <c:v>1.8058501096237748E-3</c:v>
                </c:pt>
                <c:pt idx="56">
                  <c:v>1.8101136405879042E-3</c:v>
                </c:pt>
                <c:pt idx="57">
                  <c:v>1.8115348175759475E-3</c:v>
                </c:pt>
                <c:pt idx="58">
                  <c:v>1.8129559945639908E-3</c:v>
                </c:pt>
                <c:pt idx="59">
                  <c:v>1.8143771715520339E-3</c:v>
                </c:pt>
                <c:pt idx="60">
                  <c:v>1.8200618795042066E-3</c:v>
                </c:pt>
                <c:pt idx="61">
                  <c:v>1.8214830564922499E-3</c:v>
                </c:pt>
                <c:pt idx="62">
                  <c:v>1.822904233480293E-3</c:v>
                </c:pt>
                <c:pt idx="63">
                  <c:v>1.8243254104683363E-3</c:v>
                </c:pt>
                <c:pt idx="64">
                  <c:v>1.830010118420509E-3</c:v>
                </c:pt>
                <c:pt idx="65">
                  <c:v>1.8314312954085523E-3</c:v>
                </c:pt>
                <c:pt idx="66">
                  <c:v>1.8328524723965954E-3</c:v>
                </c:pt>
                <c:pt idx="67">
                  <c:v>1.8342736493846387E-3</c:v>
                </c:pt>
                <c:pt idx="68">
                  <c:v>1.8356948263726818E-3</c:v>
                </c:pt>
                <c:pt idx="69">
                  <c:v>1.8399583573368114E-3</c:v>
                </c:pt>
                <c:pt idx="70">
                  <c:v>1.8413795343248547E-3</c:v>
                </c:pt>
                <c:pt idx="71">
                  <c:v>1.8428007113128978E-3</c:v>
                </c:pt>
                <c:pt idx="72">
                  <c:v>1.8442218883009411E-3</c:v>
                </c:pt>
                <c:pt idx="73">
                  <c:v>1.8456430652889842E-3</c:v>
                </c:pt>
                <c:pt idx="74">
                  <c:v>1.8499065962531138E-3</c:v>
                </c:pt>
                <c:pt idx="75">
                  <c:v>1.8513277732411571E-3</c:v>
                </c:pt>
                <c:pt idx="76">
                  <c:v>1.8527489502292002E-3</c:v>
                </c:pt>
                <c:pt idx="77">
                  <c:v>1.8541701272172435E-3</c:v>
                </c:pt>
                <c:pt idx="78">
                  <c:v>1.8555913042052866E-3</c:v>
                </c:pt>
                <c:pt idx="79">
                  <c:v>1.8598548351694162E-3</c:v>
                </c:pt>
                <c:pt idx="80">
                  <c:v>1.8612760121574593E-3</c:v>
                </c:pt>
                <c:pt idx="81">
                  <c:v>1.8626971891455026E-3</c:v>
                </c:pt>
                <c:pt idx="82">
                  <c:v>1.8641183661335459E-3</c:v>
                </c:pt>
                <c:pt idx="83">
                  <c:v>1.865539543121589E-3</c:v>
                </c:pt>
                <c:pt idx="84">
                  <c:v>1.8698030740857186E-3</c:v>
                </c:pt>
                <c:pt idx="85">
                  <c:v>1.8712242510737617E-3</c:v>
                </c:pt>
                <c:pt idx="86">
                  <c:v>1.872645428061805E-3</c:v>
                </c:pt>
                <c:pt idx="87">
                  <c:v>1.8740666050498481E-3</c:v>
                </c:pt>
                <c:pt idx="88">
                  <c:v>1.8754877820378914E-3</c:v>
                </c:pt>
                <c:pt idx="89">
                  <c:v>1.879751313002021E-3</c:v>
                </c:pt>
                <c:pt idx="90">
                  <c:v>1.8811724899900641E-3</c:v>
                </c:pt>
                <c:pt idx="91">
                  <c:v>1.8825936669781074E-3</c:v>
                </c:pt>
                <c:pt idx="92">
                  <c:v>1.8840148439661505E-3</c:v>
                </c:pt>
                <c:pt idx="93">
                  <c:v>1.8854360209541938E-3</c:v>
                </c:pt>
                <c:pt idx="94">
                  <c:v>1.8896995519183234E-3</c:v>
                </c:pt>
                <c:pt idx="95">
                  <c:v>1.8911207289063665E-3</c:v>
                </c:pt>
                <c:pt idx="96">
                  <c:v>1.8925419058944098E-3</c:v>
                </c:pt>
                <c:pt idx="97">
                  <c:v>1.8939630828824529E-3</c:v>
                </c:pt>
                <c:pt idx="98">
                  <c:v>1.8953842598704962E-3</c:v>
                </c:pt>
                <c:pt idx="99">
                  <c:v>1.8996477908346256E-3</c:v>
                </c:pt>
                <c:pt idx="100">
                  <c:v>1.9010689678226689E-3</c:v>
                </c:pt>
                <c:pt idx="101">
                  <c:v>1.9024901448107122E-3</c:v>
                </c:pt>
                <c:pt idx="102">
                  <c:v>1.9039113217987553E-3</c:v>
                </c:pt>
                <c:pt idx="103">
                  <c:v>1.9053324987867986E-3</c:v>
                </c:pt>
                <c:pt idx="104">
                  <c:v>1.909596029750928E-3</c:v>
                </c:pt>
                <c:pt idx="105">
                  <c:v>1.9110172067389713E-3</c:v>
                </c:pt>
                <c:pt idx="106">
                  <c:v>1.9124383837270144E-3</c:v>
                </c:pt>
                <c:pt idx="107">
                  <c:v>1.9138595607150577E-3</c:v>
                </c:pt>
                <c:pt idx="108">
                  <c:v>1.915280737703101E-3</c:v>
                </c:pt>
                <c:pt idx="109">
                  <c:v>1.9195442686672304E-3</c:v>
                </c:pt>
                <c:pt idx="110">
                  <c:v>1.9209654456552737E-3</c:v>
                </c:pt>
                <c:pt idx="111">
                  <c:v>1.9223866226433168E-3</c:v>
                </c:pt>
                <c:pt idx="112">
                  <c:v>1.9238077996313601E-3</c:v>
                </c:pt>
                <c:pt idx="113">
                  <c:v>1.9252289766194032E-3</c:v>
                </c:pt>
                <c:pt idx="114">
                  <c:v>1.9294925075835328E-3</c:v>
                </c:pt>
                <c:pt idx="115">
                  <c:v>1.9309136845715761E-3</c:v>
                </c:pt>
                <c:pt idx="116">
                  <c:v>1.9323348615596192E-3</c:v>
                </c:pt>
                <c:pt idx="117">
                  <c:v>1.9337560385476625E-3</c:v>
                </c:pt>
                <c:pt idx="118">
                  <c:v>1.9351772155357056E-3</c:v>
                </c:pt>
                <c:pt idx="119">
                  <c:v>1.9394407464998352E-3</c:v>
                </c:pt>
                <c:pt idx="120">
                  <c:v>1.9408619234878785E-3</c:v>
                </c:pt>
                <c:pt idx="121">
                  <c:v>1.9422831004759216E-3</c:v>
                </c:pt>
                <c:pt idx="122">
                  <c:v>1.9437042774639649E-3</c:v>
                </c:pt>
                <c:pt idx="123">
                  <c:v>1.9508101624041807E-3</c:v>
                </c:pt>
                <c:pt idx="124">
                  <c:v>1.952231339392224E-3</c:v>
                </c:pt>
                <c:pt idx="125">
                  <c:v>1.9536525163802673E-3</c:v>
                </c:pt>
                <c:pt idx="126">
                  <c:v>1.9550736933683106E-3</c:v>
                </c:pt>
                <c:pt idx="127">
                  <c:v>1.95933722433244E-3</c:v>
                </c:pt>
                <c:pt idx="128">
                  <c:v>1.9607584013204833E-3</c:v>
                </c:pt>
                <c:pt idx="129">
                  <c:v>1.9621795783085266E-3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</c:numCache>
            </c:numRef>
          </c:cat>
          <c:val>
            <c:numRef>
              <c:f>'6MSynthDepo_allScenario'!$BJ$6:$BJ$135</c:f>
              <c:numCache>
                <c:formatCode>0.0000%</c:formatCode>
                <c:ptCount val="130"/>
                <c:pt idx="0">
                  <c:v>1.6676477895482319E-3</c:v>
                </c:pt>
                <c:pt idx="1">
                  <c:v>1.6741196305188062E-3</c:v>
                </c:pt>
                <c:pt idx="2">
                  <c:v>1.6762627814899786E-3</c:v>
                </c:pt>
                <c:pt idx="3">
                  <c:v>1.6783988677849747E-3</c:v>
                </c:pt>
                <c:pt idx="4">
                  <c:v>1.6805278894037943E-3</c:v>
                </c:pt>
                <c:pt idx="5">
                  <c:v>1.6826498463464381E-3</c:v>
                </c:pt>
                <c:pt idx="6">
                  <c:v>1.6889733291173114E-3</c:v>
                </c:pt>
                <c:pt idx="7">
                  <c:v>1.6910670273552501E-3</c:v>
                </c:pt>
                <c:pt idx="8">
                  <c:v>1.6931536609170125E-3</c:v>
                </c:pt>
                <c:pt idx="9">
                  <c:v>1.6952332298025988E-3</c:v>
                </c:pt>
                <c:pt idx="10">
                  <c:v>1.6973057340120086E-3</c:v>
                </c:pt>
                <c:pt idx="11">
                  <c:v>1.7034808585831812E-3</c:v>
                </c:pt>
                <c:pt idx="12">
                  <c:v>1.7055251040878861E-3</c:v>
                </c:pt>
                <c:pt idx="13">
                  <c:v>1.707562284916415E-3</c:v>
                </c:pt>
                <c:pt idx="14">
                  <c:v>1.7095924010687676E-3</c:v>
                </c:pt>
                <c:pt idx="15">
                  <c:v>1.7116154525449437E-3</c:v>
                </c:pt>
                <c:pt idx="16">
                  <c:v>1.7176422189164155E-3</c:v>
                </c:pt>
                <c:pt idx="17">
                  <c:v>1.7196370116878868E-3</c:v>
                </c:pt>
                <c:pt idx="18">
                  <c:v>1.7216247397831819E-3</c:v>
                </c:pt>
                <c:pt idx="19">
                  <c:v>1.7236054032023008E-3</c:v>
                </c:pt>
                <c:pt idx="20">
                  <c:v>1.7255790019452435E-3</c:v>
                </c:pt>
                <c:pt idx="21">
                  <c:v>1.7314574101170142E-3</c:v>
                </c:pt>
                <c:pt idx="22">
                  <c:v>1.7334027501552519E-3</c:v>
                </c:pt>
                <c:pt idx="23">
                  <c:v>1.7353410255173131E-3</c:v>
                </c:pt>
                <c:pt idx="24">
                  <c:v>1.7372722362031985E-3</c:v>
                </c:pt>
                <c:pt idx="25">
                  <c:v>1.7391963822129075E-3</c:v>
                </c:pt>
                <c:pt idx="26">
                  <c:v>1.7449264321849772E-3</c:v>
                </c:pt>
                <c:pt idx="27">
                  <c:v>1.7468223194899814E-3</c:v>
                </c:pt>
                <c:pt idx="28">
                  <c:v>1.7487111421188089E-3</c:v>
                </c:pt>
                <c:pt idx="29">
                  <c:v>1.7505929000714608E-3</c:v>
                </c:pt>
                <c:pt idx="30">
                  <c:v>1.7524675933479361E-3</c:v>
                </c:pt>
                <c:pt idx="31">
                  <c:v>1.7580492851203048E-3</c:v>
                </c:pt>
                <c:pt idx="32">
                  <c:v>1.7598957196920753E-3</c:v>
                </c:pt>
                <c:pt idx="33">
                  <c:v>1.7617350895876695E-3</c:v>
                </c:pt>
                <c:pt idx="34">
                  <c:v>1.7635673948070874E-3</c:v>
                </c:pt>
                <c:pt idx="35">
                  <c:v>1.7653926353503292E-3</c:v>
                </c:pt>
                <c:pt idx="36">
                  <c:v>1.7708259689229969E-3</c:v>
                </c:pt>
                <c:pt idx="37">
                  <c:v>1.7726229507615337E-3</c:v>
                </c:pt>
                <c:pt idx="38">
                  <c:v>1.7744128679238944E-3</c:v>
                </c:pt>
                <c:pt idx="39">
                  <c:v>1.7761957204100785E-3</c:v>
                </c:pt>
                <c:pt idx="40">
                  <c:v>1.7779715082200866E-3</c:v>
                </c:pt>
                <c:pt idx="41">
                  <c:v>1.7832564835930534E-3</c:v>
                </c:pt>
                <c:pt idx="42">
                  <c:v>1.7850040126983567E-3</c:v>
                </c:pt>
                <c:pt idx="43">
                  <c:v>1.7867444771274836E-3</c:v>
                </c:pt>
                <c:pt idx="44">
                  <c:v>1.7884778768804343E-3</c:v>
                </c:pt>
                <c:pt idx="45">
                  <c:v>1.7902042119572086E-3</c:v>
                </c:pt>
                <c:pt idx="46">
                  <c:v>1.7953408291304744E-3</c:v>
                </c:pt>
                <c:pt idx="47">
                  <c:v>1.797038905502544E-3</c:v>
                </c:pt>
                <c:pt idx="48">
                  <c:v>1.7987299171984372E-3</c:v>
                </c:pt>
                <c:pt idx="49">
                  <c:v>1.8004138642181543E-3</c:v>
                </c:pt>
                <c:pt idx="50">
                  <c:v>1.802090746561695E-3</c:v>
                </c:pt>
                <c:pt idx="51">
                  <c:v>1.8070790055352598E-3</c:v>
                </c:pt>
                <c:pt idx="52">
                  <c:v>1.8087276291740958E-3</c:v>
                </c:pt>
                <c:pt idx="53">
                  <c:v>1.8103691881367556E-3</c:v>
                </c:pt>
                <c:pt idx="54">
                  <c:v>1.812003682423239E-3</c:v>
                </c:pt>
                <c:pt idx="55">
                  <c:v>1.8136311120335459E-3</c:v>
                </c:pt>
                <c:pt idx="56">
                  <c:v>1.8184710128074102E-3</c:v>
                </c:pt>
                <c:pt idx="57">
                  <c:v>1.8200701837130121E-3</c:v>
                </c:pt>
                <c:pt idx="58">
                  <c:v>1.8216622899424383E-3</c:v>
                </c:pt>
                <c:pt idx="59">
                  <c:v>1.8232473314956879E-3</c:v>
                </c:pt>
                <c:pt idx="60">
                  <c:v>1.8295168509469245E-3</c:v>
                </c:pt>
                <c:pt idx="61">
                  <c:v>1.831066569119293E-3</c:v>
                </c:pt>
                <c:pt idx="62">
                  <c:v>1.8326092226154853E-3</c:v>
                </c:pt>
                <c:pt idx="63">
                  <c:v>1.8341448114355015E-3</c:v>
                </c:pt>
                <c:pt idx="64">
                  <c:v>1.8402165199538035E-3</c:v>
                </c:pt>
                <c:pt idx="65">
                  <c:v>1.8417167853929384E-3</c:v>
                </c:pt>
                <c:pt idx="66">
                  <c:v>1.8432099861558969E-3</c:v>
                </c:pt>
                <c:pt idx="67">
                  <c:v>1.8446961222426796E-3</c:v>
                </c:pt>
                <c:pt idx="68">
                  <c:v>1.8461751936532857E-3</c:v>
                </c:pt>
                <c:pt idx="69">
                  <c:v>1.8505700198280469E-3</c:v>
                </c:pt>
                <c:pt idx="70">
                  <c:v>1.8520208325339483E-3</c:v>
                </c:pt>
                <c:pt idx="71">
                  <c:v>1.8534645805636731E-3</c:v>
                </c:pt>
                <c:pt idx="72">
                  <c:v>1.854901263917222E-3</c:v>
                </c:pt>
                <c:pt idx="73">
                  <c:v>1.8563308825945946E-3</c:v>
                </c:pt>
                <c:pt idx="74">
                  <c:v>1.8605773505696549E-3</c:v>
                </c:pt>
                <c:pt idx="75">
                  <c:v>1.8619787105423225E-3</c:v>
                </c:pt>
                <c:pt idx="76">
                  <c:v>1.863373005838814E-3</c:v>
                </c:pt>
                <c:pt idx="77">
                  <c:v>1.8647602364591288E-3</c:v>
                </c:pt>
                <c:pt idx="78">
                  <c:v>1.8661404024032679E-3</c:v>
                </c:pt>
                <c:pt idx="79">
                  <c:v>1.8702385121786272E-3</c:v>
                </c:pt>
                <c:pt idx="80">
                  <c:v>1.8715904194180613E-3</c:v>
                </c:pt>
                <c:pt idx="81">
                  <c:v>1.8729352619813191E-3</c:v>
                </c:pt>
                <c:pt idx="82">
                  <c:v>1.8742730398684003E-3</c:v>
                </c:pt>
                <c:pt idx="83">
                  <c:v>1.8756037530793057E-3</c:v>
                </c:pt>
                <c:pt idx="84">
                  <c:v>1.8795535046549643E-3</c:v>
                </c:pt>
                <c:pt idx="85">
                  <c:v>1.8808559591611644E-3</c:v>
                </c:pt>
                <c:pt idx="86">
                  <c:v>1.8821513489911885E-3</c:v>
                </c:pt>
                <c:pt idx="87">
                  <c:v>1.8834396741450362E-3</c:v>
                </c:pt>
                <c:pt idx="88">
                  <c:v>1.8847209346227079E-3</c:v>
                </c:pt>
                <c:pt idx="89">
                  <c:v>1.8885223279986655E-3</c:v>
                </c:pt>
                <c:pt idx="90">
                  <c:v>1.8897753297716321E-3</c:v>
                </c:pt>
                <c:pt idx="91">
                  <c:v>1.8910212668684227E-3</c:v>
                </c:pt>
                <c:pt idx="92">
                  <c:v>1.8922601392890367E-3</c:v>
                </c:pt>
                <c:pt idx="93">
                  <c:v>1.8934919470334746E-3</c:v>
                </c:pt>
                <c:pt idx="94">
                  <c:v>1.8971449822097314E-3</c:v>
                </c:pt>
                <c:pt idx="95">
                  <c:v>1.8983485312494643E-3</c:v>
                </c:pt>
                <c:pt idx="96">
                  <c:v>1.8995450156130212E-3</c:v>
                </c:pt>
                <c:pt idx="97">
                  <c:v>1.9007344353004019E-3</c:v>
                </c:pt>
                <c:pt idx="98">
                  <c:v>1.9019167903116059E-3</c:v>
                </c:pt>
                <c:pt idx="99">
                  <c:v>1.9054214672881615E-3</c:v>
                </c:pt>
                <c:pt idx="100">
                  <c:v>1.9065755635946609E-3</c:v>
                </c:pt>
                <c:pt idx="101">
                  <c:v>1.9077225952249843E-3</c:v>
                </c:pt>
                <c:pt idx="102">
                  <c:v>1.9088625621791308E-3</c:v>
                </c:pt>
                <c:pt idx="103">
                  <c:v>1.9099954644571015E-3</c:v>
                </c:pt>
                <c:pt idx="104">
                  <c:v>1.9133517832339564E-3</c:v>
                </c:pt>
                <c:pt idx="105">
                  <c:v>1.9144564268072221E-3</c:v>
                </c:pt>
                <c:pt idx="106">
                  <c:v>1.9155540057043117E-3</c:v>
                </c:pt>
                <c:pt idx="107">
                  <c:v>1.916644519925225E-3</c:v>
                </c:pt>
                <c:pt idx="108">
                  <c:v>1.9177279694699617E-3</c:v>
                </c:pt>
                <c:pt idx="109">
                  <c:v>1.9209359300471156E-3</c:v>
                </c:pt>
                <c:pt idx="110">
                  <c:v>1.9219911208871478E-3</c:v>
                </c:pt>
                <c:pt idx="111">
                  <c:v>1.9230392470510037E-3</c:v>
                </c:pt>
                <c:pt idx="112">
                  <c:v>1.9240803085386834E-3</c:v>
                </c:pt>
                <c:pt idx="113">
                  <c:v>1.9251143053501867E-3</c:v>
                </c:pt>
                <c:pt idx="114">
                  <c:v>1.9281739077276392E-3</c:v>
                </c:pt>
                <c:pt idx="115">
                  <c:v>1.9291796458344378E-3</c:v>
                </c:pt>
                <c:pt idx="116">
                  <c:v>1.93017831926506E-3</c:v>
                </c:pt>
                <c:pt idx="117">
                  <c:v>1.931169928019506E-3</c:v>
                </c:pt>
                <c:pt idx="118">
                  <c:v>1.932154472097776E-3</c:v>
                </c:pt>
                <c:pt idx="119">
                  <c:v>1.9350657162755275E-3</c:v>
                </c:pt>
                <c:pt idx="120">
                  <c:v>1.9360220016490922E-3</c:v>
                </c:pt>
                <c:pt idx="121">
                  <c:v>1.9369712223464809E-3</c:v>
                </c:pt>
                <c:pt idx="122">
                  <c:v>1.9379133783676934E-3</c:v>
                </c:pt>
                <c:pt idx="123">
                  <c:v>1.9425181883311114E-3</c:v>
                </c:pt>
                <c:pt idx="124">
                  <c:v>1.9434179562952663E-3</c:v>
                </c:pt>
                <c:pt idx="125">
                  <c:v>1.9443106595832451E-3</c:v>
                </c:pt>
                <c:pt idx="126">
                  <c:v>1.9451962981950476E-3</c:v>
                </c:pt>
                <c:pt idx="127">
                  <c:v>1.9478108259733972E-3</c:v>
                </c:pt>
                <c:pt idx="128">
                  <c:v>1.9486682058804947E-3</c:v>
                </c:pt>
                <c:pt idx="129">
                  <c:v>1.9495185211114161E-3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</c:numCache>
            </c:numRef>
          </c:cat>
          <c:val>
            <c:numRef>
              <c:f>'6MSynthDepo_allScenario'!$BK$6:$BK$135</c:f>
              <c:numCache>
                <c:formatCode>0.0000%</c:formatCode>
                <c:ptCount val="130"/>
                <c:pt idx="0">
                  <c:v>1.7240462769091526E-3</c:v>
                </c:pt>
                <c:pt idx="1">
                  <c:v>1.7276304604462813E-3</c:v>
                </c:pt>
                <c:pt idx="2">
                  <c:v>1.728825188291991E-3</c:v>
                </c:pt>
                <c:pt idx="3">
                  <c:v>1.7300199161377004E-3</c:v>
                </c:pt>
                <c:pt idx="4">
                  <c:v>1.73121464398341E-3</c:v>
                </c:pt>
                <c:pt idx="5">
                  <c:v>1.7324093718291197E-3</c:v>
                </c:pt>
                <c:pt idx="6">
                  <c:v>1.7359935553662483E-3</c:v>
                </c:pt>
                <c:pt idx="7">
                  <c:v>1.7371882832119578E-3</c:v>
                </c:pt>
                <c:pt idx="8">
                  <c:v>1.7383830110576674E-3</c:v>
                </c:pt>
                <c:pt idx="9">
                  <c:v>1.739577738903377E-3</c:v>
                </c:pt>
                <c:pt idx="10">
                  <c:v>1.7407724667490865E-3</c:v>
                </c:pt>
                <c:pt idx="11">
                  <c:v>1.7443566502862151E-3</c:v>
                </c:pt>
                <c:pt idx="12">
                  <c:v>1.7455513781319248E-3</c:v>
                </c:pt>
                <c:pt idx="13">
                  <c:v>1.7467461059776344E-3</c:v>
                </c:pt>
                <c:pt idx="14">
                  <c:v>1.7479408338233438E-3</c:v>
                </c:pt>
                <c:pt idx="15">
                  <c:v>1.7491355616690535E-3</c:v>
                </c:pt>
                <c:pt idx="16">
                  <c:v>1.7527197452061822E-3</c:v>
                </c:pt>
                <c:pt idx="17">
                  <c:v>1.7539144730518918E-3</c:v>
                </c:pt>
                <c:pt idx="18">
                  <c:v>1.7551092008976012E-3</c:v>
                </c:pt>
                <c:pt idx="19">
                  <c:v>1.7563039287433108E-3</c:v>
                </c:pt>
                <c:pt idx="20">
                  <c:v>1.7574986565890205E-3</c:v>
                </c:pt>
                <c:pt idx="21">
                  <c:v>1.7610828401261492E-3</c:v>
                </c:pt>
                <c:pt idx="22">
                  <c:v>1.7622775679718586E-3</c:v>
                </c:pt>
                <c:pt idx="23">
                  <c:v>1.7634722958175682E-3</c:v>
                </c:pt>
                <c:pt idx="24">
                  <c:v>1.7646670236632779E-3</c:v>
                </c:pt>
                <c:pt idx="25">
                  <c:v>1.7658617515089873E-3</c:v>
                </c:pt>
                <c:pt idx="26">
                  <c:v>1.769445935046116E-3</c:v>
                </c:pt>
                <c:pt idx="27">
                  <c:v>1.7706406628918256E-3</c:v>
                </c:pt>
                <c:pt idx="28">
                  <c:v>1.7718353907375352E-3</c:v>
                </c:pt>
                <c:pt idx="29">
                  <c:v>1.7730301185832447E-3</c:v>
                </c:pt>
                <c:pt idx="30">
                  <c:v>1.7742248464289543E-3</c:v>
                </c:pt>
                <c:pt idx="31">
                  <c:v>1.777809029966083E-3</c:v>
                </c:pt>
                <c:pt idx="32">
                  <c:v>1.7790037578117926E-3</c:v>
                </c:pt>
                <c:pt idx="33">
                  <c:v>1.780198485657502E-3</c:v>
                </c:pt>
                <c:pt idx="34">
                  <c:v>1.7813932135032117E-3</c:v>
                </c:pt>
                <c:pt idx="35">
                  <c:v>1.7825879413489213E-3</c:v>
                </c:pt>
                <c:pt idx="36">
                  <c:v>1.78617212488605E-3</c:v>
                </c:pt>
                <c:pt idx="37">
                  <c:v>1.7873668527317594E-3</c:v>
                </c:pt>
                <c:pt idx="38">
                  <c:v>1.7885615805774691E-3</c:v>
                </c:pt>
                <c:pt idx="39">
                  <c:v>1.7897563084231787E-3</c:v>
                </c:pt>
                <c:pt idx="40">
                  <c:v>1.7909510362688881E-3</c:v>
                </c:pt>
                <c:pt idx="41">
                  <c:v>1.7945352198060168E-3</c:v>
                </c:pt>
                <c:pt idx="42">
                  <c:v>1.7957299476517264E-3</c:v>
                </c:pt>
                <c:pt idx="43">
                  <c:v>1.7969246754974361E-3</c:v>
                </c:pt>
                <c:pt idx="44">
                  <c:v>1.7981194033431455E-3</c:v>
                </c:pt>
                <c:pt idx="45">
                  <c:v>1.7993141311888551E-3</c:v>
                </c:pt>
                <c:pt idx="46">
                  <c:v>1.8028983147259838E-3</c:v>
                </c:pt>
                <c:pt idx="47">
                  <c:v>1.8040930425716935E-3</c:v>
                </c:pt>
                <c:pt idx="48">
                  <c:v>1.8052877704174029E-3</c:v>
                </c:pt>
                <c:pt idx="49">
                  <c:v>1.8064824982631125E-3</c:v>
                </c:pt>
                <c:pt idx="50">
                  <c:v>1.8076772261088221E-3</c:v>
                </c:pt>
                <c:pt idx="51">
                  <c:v>1.8112614096459508E-3</c:v>
                </c:pt>
                <c:pt idx="52">
                  <c:v>1.8124561374916603E-3</c:v>
                </c:pt>
                <c:pt idx="53">
                  <c:v>1.8136508653373699E-3</c:v>
                </c:pt>
                <c:pt idx="54">
                  <c:v>1.8148455931830795E-3</c:v>
                </c:pt>
                <c:pt idx="55">
                  <c:v>1.8160403210287889E-3</c:v>
                </c:pt>
                <c:pt idx="56">
                  <c:v>1.8196245045659176E-3</c:v>
                </c:pt>
                <c:pt idx="57">
                  <c:v>1.8208192324116273E-3</c:v>
                </c:pt>
                <c:pt idx="58">
                  <c:v>1.8220139602573369E-3</c:v>
                </c:pt>
                <c:pt idx="59">
                  <c:v>1.8232086881030463E-3</c:v>
                </c:pt>
                <c:pt idx="60">
                  <c:v>1.8279875994858846E-3</c:v>
                </c:pt>
                <c:pt idx="61">
                  <c:v>1.8291823273315943E-3</c:v>
                </c:pt>
                <c:pt idx="62">
                  <c:v>1.8303770551773037E-3</c:v>
                </c:pt>
                <c:pt idx="63">
                  <c:v>1.8315717830230133E-3</c:v>
                </c:pt>
                <c:pt idx="64">
                  <c:v>1.8363506944058517E-3</c:v>
                </c:pt>
                <c:pt idx="65">
                  <c:v>1.8375454222515611E-3</c:v>
                </c:pt>
                <c:pt idx="66">
                  <c:v>1.8387401500972707E-3</c:v>
                </c:pt>
                <c:pt idx="67">
                  <c:v>1.8399348779429804E-3</c:v>
                </c:pt>
                <c:pt idx="68">
                  <c:v>1.8411296057886898E-3</c:v>
                </c:pt>
                <c:pt idx="69">
                  <c:v>1.8447137893258185E-3</c:v>
                </c:pt>
                <c:pt idx="70">
                  <c:v>1.8459085171715281E-3</c:v>
                </c:pt>
                <c:pt idx="71">
                  <c:v>1.8471032450172377E-3</c:v>
                </c:pt>
                <c:pt idx="72">
                  <c:v>1.8482979728629472E-3</c:v>
                </c:pt>
                <c:pt idx="73">
                  <c:v>1.8494927007086568E-3</c:v>
                </c:pt>
                <c:pt idx="74">
                  <c:v>1.8530768842457855E-3</c:v>
                </c:pt>
                <c:pt idx="75">
                  <c:v>1.8542716120914951E-3</c:v>
                </c:pt>
                <c:pt idx="76">
                  <c:v>1.8554663399372045E-3</c:v>
                </c:pt>
                <c:pt idx="77">
                  <c:v>1.8566610677829142E-3</c:v>
                </c:pt>
                <c:pt idx="78">
                  <c:v>1.8578557956286238E-3</c:v>
                </c:pt>
                <c:pt idx="79">
                  <c:v>1.8614399791657525E-3</c:v>
                </c:pt>
                <c:pt idx="80">
                  <c:v>1.8626347070114619E-3</c:v>
                </c:pt>
                <c:pt idx="81">
                  <c:v>1.8638294348571715E-3</c:v>
                </c:pt>
                <c:pt idx="82">
                  <c:v>1.8650241627028812E-3</c:v>
                </c:pt>
                <c:pt idx="83">
                  <c:v>1.8662188905485906E-3</c:v>
                </c:pt>
                <c:pt idx="84">
                  <c:v>1.8698030740857193E-3</c:v>
                </c:pt>
                <c:pt idx="85">
                  <c:v>1.8709978019314289E-3</c:v>
                </c:pt>
                <c:pt idx="86">
                  <c:v>1.8721925297771386E-3</c:v>
                </c:pt>
                <c:pt idx="87">
                  <c:v>1.873387257622848E-3</c:v>
                </c:pt>
                <c:pt idx="88">
                  <c:v>1.8745819854685576E-3</c:v>
                </c:pt>
                <c:pt idx="89">
                  <c:v>1.8781661690056863E-3</c:v>
                </c:pt>
                <c:pt idx="90">
                  <c:v>1.8793608968513959E-3</c:v>
                </c:pt>
                <c:pt idx="91">
                  <c:v>1.8805556246971054E-3</c:v>
                </c:pt>
                <c:pt idx="92">
                  <c:v>1.881750352542815E-3</c:v>
                </c:pt>
                <c:pt idx="93">
                  <c:v>1.8829450803885246E-3</c:v>
                </c:pt>
                <c:pt idx="94">
                  <c:v>1.8865292639256533E-3</c:v>
                </c:pt>
                <c:pt idx="95">
                  <c:v>1.8877239917713627E-3</c:v>
                </c:pt>
                <c:pt idx="96">
                  <c:v>1.8889187196170724E-3</c:v>
                </c:pt>
                <c:pt idx="97">
                  <c:v>1.890113447462782E-3</c:v>
                </c:pt>
                <c:pt idx="98">
                  <c:v>1.8913081753084914E-3</c:v>
                </c:pt>
                <c:pt idx="99">
                  <c:v>1.8948923588456201E-3</c:v>
                </c:pt>
                <c:pt idx="100">
                  <c:v>1.8960870866913298E-3</c:v>
                </c:pt>
                <c:pt idx="101">
                  <c:v>1.8972818145370394E-3</c:v>
                </c:pt>
                <c:pt idx="102">
                  <c:v>1.8984765423827488E-3</c:v>
                </c:pt>
                <c:pt idx="103">
                  <c:v>1.8996712702284584E-3</c:v>
                </c:pt>
                <c:pt idx="104">
                  <c:v>1.9032554537655871E-3</c:v>
                </c:pt>
                <c:pt idx="105">
                  <c:v>1.9044501816112968E-3</c:v>
                </c:pt>
                <c:pt idx="106">
                  <c:v>1.9056449094570062E-3</c:v>
                </c:pt>
                <c:pt idx="107">
                  <c:v>1.9068396373027158E-3</c:v>
                </c:pt>
                <c:pt idx="108">
                  <c:v>1.9080343651484255E-3</c:v>
                </c:pt>
                <c:pt idx="109">
                  <c:v>1.9116185486855542E-3</c:v>
                </c:pt>
                <c:pt idx="110">
                  <c:v>1.9128132765312636E-3</c:v>
                </c:pt>
                <c:pt idx="111">
                  <c:v>1.9140080043769732E-3</c:v>
                </c:pt>
                <c:pt idx="112">
                  <c:v>1.9152027322226828E-3</c:v>
                </c:pt>
                <c:pt idx="113">
                  <c:v>1.9163974600683923E-3</c:v>
                </c:pt>
                <c:pt idx="114">
                  <c:v>1.9199816436055209E-3</c:v>
                </c:pt>
                <c:pt idx="115">
                  <c:v>1.9211763714512306E-3</c:v>
                </c:pt>
                <c:pt idx="116">
                  <c:v>1.9223710992969402E-3</c:v>
                </c:pt>
                <c:pt idx="117">
                  <c:v>1.9235658271426496E-3</c:v>
                </c:pt>
                <c:pt idx="118">
                  <c:v>1.9247605549883593E-3</c:v>
                </c:pt>
                <c:pt idx="119">
                  <c:v>1.928344738525488E-3</c:v>
                </c:pt>
                <c:pt idx="120">
                  <c:v>1.9295394663711976E-3</c:v>
                </c:pt>
                <c:pt idx="121">
                  <c:v>1.930734194216907E-3</c:v>
                </c:pt>
                <c:pt idx="122">
                  <c:v>1.9319289220626167E-3</c:v>
                </c:pt>
                <c:pt idx="123">
                  <c:v>1.9379025612911644E-3</c:v>
                </c:pt>
                <c:pt idx="124">
                  <c:v>1.939097289136874E-3</c:v>
                </c:pt>
                <c:pt idx="125">
                  <c:v>1.9402920169825837E-3</c:v>
                </c:pt>
                <c:pt idx="126">
                  <c:v>1.9414867448282931E-3</c:v>
                </c:pt>
                <c:pt idx="127">
                  <c:v>1.9450709283654218E-3</c:v>
                </c:pt>
                <c:pt idx="128">
                  <c:v>1.9462656562111314E-3</c:v>
                </c:pt>
                <c:pt idx="129">
                  <c:v>1.9474603840568411E-3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</c:numCache>
            </c:numRef>
          </c:cat>
          <c:val>
            <c:numRef>
              <c:f>'6MSynthDepo_allScenario'!$BL$6:$BL$135</c:f>
              <c:numCache>
                <c:formatCode>0.0000%</c:formatCode>
                <c:ptCount val="130"/>
                <c:pt idx="0">
                  <c:v>2.0380337319299766E-3</c:v>
                </c:pt>
                <c:pt idx="1">
                  <c:v>2.0255414522333099E-3</c:v>
                </c:pt>
                <c:pt idx="2">
                  <c:v>2.0214560213836063E-3</c:v>
                </c:pt>
                <c:pt idx="3">
                  <c:v>2.0174099217251619E-3</c:v>
                </c:pt>
                <c:pt idx="4">
                  <c:v>2.0134031532579762E-3</c:v>
                </c:pt>
                <c:pt idx="5">
                  <c:v>2.0094357159820501E-3</c:v>
                </c:pt>
                <c:pt idx="6">
                  <c:v>1.9977693913018268E-3</c:v>
                </c:pt>
                <c:pt idx="7">
                  <c:v>1.9939592787909378E-3</c:v>
                </c:pt>
                <c:pt idx="8">
                  <c:v>1.9901884974713076E-3</c:v>
                </c:pt>
                <c:pt idx="9">
                  <c:v>1.9864570473429365E-3</c:v>
                </c:pt>
                <c:pt idx="10">
                  <c:v>1.982764928405825E-3</c:v>
                </c:pt>
                <c:pt idx="11">
                  <c:v>1.9719245587420452E-3</c:v>
                </c:pt>
                <c:pt idx="12">
                  <c:v>1.9683897645699703E-3</c:v>
                </c:pt>
                <c:pt idx="13">
                  <c:v>1.9648943015891547E-3</c:v>
                </c:pt>
                <c:pt idx="14">
                  <c:v>1.9614381697995982E-3</c:v>
                </c:pt>
                <c:pt idx="15">
                  <c:v>1.9580213692013009E-3</c:v>
                </c:pt>
                <c:pt idx="16">
                  <c:v>1.9480069545539647E-3</c:v>
                </c:pt>
                <c:pt idx="17">
                  <c:v>1.9447474787207045E-3</c:v>
                </c:pt>
                <c:pt idx="18">
                  <c:v>1.9415273340787033E-3</c:v>
                </c:pt>
                <c:pt idx="19">
                  <c:v>1.9383465206279612E-3</c:v>
                </c:pt>
                <c:pt idx="20">
                  <c:v>1.9352050383684787E-3</c:v>
                </c:pt>
                <c:pt idx="21">
                  <c:v>1.9260165787375856E-3</c:v>
                </c:pt>
                <c:pt idx="22">
                  <c:v>1.9230324212431401E-3</c:v>
                </c:pt>
                <c:pt idx="23">
                  <c:v>1.9200875949399532E-3</c:v>
                </c:pt>
                <c:pt idx="24">
                  <c:v>1.9171820998280258E-3</c:v>
                </c:pt>
                <c:pt idx="25">
                  <c:v>1.9143159359073577E-3</c:v>
                </c:pt>
                <c:pt idx="26">
                  <c:v>1.905953431292908E-3</c:v>
                </c:pt>
                <c:pt idx="27">
                  <c:v>1.9032445921372768E-3</c:v>
                </c:pt>
                <c:pt idx="28">
                  <c:v>1.9005750841729046E-3</c:v>
                </c:pt>
                <c:pt idx="29">
                  <c:v>1.8979449073997915E-3</c:v>
                </c:pt>
                <c:pt idx="30">
                  <c:v>1.8953540618179378E-3</c:v>
                </c:pt>
                <c:pt idx="31">
                  <c:v>1.8878175122199318E-3</c:v>
                </c:pt>
                <c:pt idx="32">
                  <c:v>1.885383991403115E-3</c:v>
                </c:pt>
                <c:pt idx="33">
                  <c:v>1.8829898017775572E-3</c:v>
                </c:pt>
                <c:pt idx="34">
                  <c:v>1.8806349433432587E-3</c:v>
                </c:pt>
                <c:pt idx="35">
                  <c:v>1.8783194161002194E-3</c:v>
                </c:pt>
                <c:pt idx="36">
                  <c:v>1.8716088215186568E-3</c:v>
                </c:pt>
                <c:pt idx="37">
                  <c:v>1.8694506190406544E-3</c:v>
                </c:pt>
                <c:pt idx="38">
                  <c:v>1.8673317477539112E-3</c:v>
                </c:pt>
                <c:pt idx="39">
                  <c:v>1.8652522076584271E-3</c:v>
                </c:pt>
                <c:pt idx="40">
                  <c:v>1.8632119987542024E-3</c:v>
                </c:pt>
                <c:pt idx="41">
                  <c:v>1.8573273591890832E-3</c:v>
                </c:pt>
                <c:pt idx="42">
                  <c:v>1.8554444750498954E-3</c:v>
                </c:pt>
                <c:pt idx="43">
                  <c:v>1.8536009221019666E-3</c:v>
                </c:pt>
                <c:pt idx="44">
                  <c:v>1.8517967003452971E-3</c:v>
                </c:pt>
                <c:pt idx="45">
                  <c:v>1.8500318097798868E-3</c:v>
                </c:pt>
                <c:pt idx="46">
                  <c:v>1.844973125231211E-3</c:v>
                </c:pt>
                <c:pt idx="47">
                  <c:v>1.8433655594308376E-3</c:v>
                </c:pt>
                <c:pt idx="48">
                  <c:v>1.8417973248217234E-3</c:v>
                </c:pt>
                <c:pt idx="49">
                  <c:v>1.8402684214038683E-3</c:v>
                </c:pt>
                <c:pt idx="50">
                  <c:v>1.8387788491772725E-3</c:v>
                </c:pt>
                <c:pt idx="51">
                  <c:v>1.8345461196450402E-3</c:v>
                </c:pt>
                <c:pt idx="52">
                  <c:v>1.833213872183481E-3</c:v>
                </c:pt>
                <c:pt idx="53">
                  <c:v>1.8319209559131812E-3</c:v>
                </c:pt>
                <c:pt idx="54">
                  <c:v>1.8306673708341408E-3</c:v>
                </c:pt>
                <c:pt idx="55">
                  <c:v>1.8294531169463595E-3</c:v>
                </c:pt>
                <c:pt idx="56">
                  <c:v>1.8260463424305707E-3</c:v>
                </c:pt>
                <c:pt idx="57">
                  <c:v>1.8249894133078261E-3</c:v>
                </c:pt>
                <c:pt idx="58">
                  <c:v>1.8239718153763409E-3</c:v>
                </c:pt>
                <c:pt idx="59">
                  <c:v>1.8229935486361148E-3</c:v>
                </c:pt>
                <c:pt idx="60">
                  <c:v>1.8194737935878025E-3</c:v>
                </c:pt>
                <c:pt idx="61">
                  <c:v>1.8186921828038725E-3</c:v>
                </c:pt>
                <c:pt idx="62">
                  <c:v>1.8179499032112015E-3</c:v>
                </c:pt>
                <c:pt idx="63">
                  <c:v>1.8172469548097901E-3</c:v>
                </c:pt>
                <c:pt idx="64">
                  <c:v>1.8148284731167358E-3</c:v>
                </c:pt>
                <c:pt idx="65">
                  <c:v>1.8143221806716202E-3</c:v>
                </c:pt>
                <c:pt idx="66">
                  <c:v>1.8138552194177638E-3</c:v>
                </c:pt>
                <c:pt idx="67">
                  <c:v>1.8134275893551667E-3</c:v>
                </c:pt>
                <c:pt idx="68">
                  <c:v>1.8130392904838288E-3</c:v>
                </c:pt>
                <c:pt idx="69">
                  <c:v>1.8121103810173705E-3</c:v>
                </c:pt>
                <c:pt idx="70">
                  <c:v>1.8118794069110693E-3</c:v>
                </c:pt>
                <c:pt idx="71">
                  <c:v>1.8116877639960272E-3</c:v>
                </c:pt>
                <c:pt idx="72">
                  <c:v>1.8115354522722446E-3</c:v>
                </c:pt>
                <c:pt idx="73">
                  <c:v>1.8114224717397211E-3</c:v>
                </c:pt>
                <c:pt idx="74">
                  <c:v>1.8113195172897063E-3</c:v>
                </c:pt>
                <c:pt idx="75">
                  <c:v>1.8113638615222195E-3</c:v>
                </c:pt>
                <c:pt idx="76">
                  <c:v>1.8114475369459921E-3</c:v>
                </c:pt>
                <c:pt idx="77">
                  <c:v>1.8115705435610241E-3</c:v>
                </c:pt>
                <c:pt idx="78">
                  <c:v>1.811732881367315E-3</c:v>
                </c:pt>
                <c:pt idx="79">
                  <c:v>1.8124558819337436E-3</c:v>
                </c:pt>
                <c:pt idx="80">
                  <c:v>1.8127755445050714E-3</c:v>
                </c:pt>
                <c:pt idx="81">
                  <c:v>1.8131345382676584E-3</c:v>
                </c:pt>
                <c:pt idx="82">
                  <c:v>1.8135328632215048E-3</c:v>
                </c:pt>
                <c:pt idx="83">
                  <c:v>1.8139705193666103E-3</c:v>
                </c:pt>
                <c:pt idx="84">
                  <c:v>1.8155194749494823E-3</c:v>
                </c:pt>
                <c:pt idx="85">
                  <c:v>1.8161144558596245E-3</c:v>
                </c:pt>
                <c:pt idx="86">
                  <c:v>1.8167487679610259E-3</c:v>
                </c:pt>
                <c:pt idx="87">
                  <c:v>1.8174224112536869E-3</c:v>
                </c:pt>
                <c:pt idx="88">
                  <c:v>1.818135385737607E-3</c:v>
                </c:pt>
                <c:pt idx="89">
                  <c:v>1.8205102963369222E-3</c:v>
                </c:pt>
                <c:pt idx="90">
                  <c:v>1.8213805955858788E-3</c:v>
                </c:pt>
                <c:pt idx="91">
                  <c:v>1.8222902260260948E-3</c:v>
                </c:pt>
                <c:pt idx="92">
                  <c:v>1.8232391876575702E-3</c:v>
                </c:pt>
                <c:pt idx="93">
                  <c:v>1.8242274804803047E-3</c:v>
                </c:pt>
                <c:pt idx="94">
                  <c:v>1.8274283460960636E-3</c:v>
                </c:pt>
                <c:pt idx="95">
                  <c:v>1.8285739636838348E-3</c:v>
                </c:pt>
                <c:pt idx="96">
                  <c:v>1.8297589124628652E-3</c:v>
                </c:pt>
                <c:pt idx="97">
                  <c:v>1.8309831924331551E-3</c:v>
                </c:pt>
                <c:pt idx="98">
                  <c:v>1.8322468035947038E-3</c:v>
                </c:pt>
                <c:pt idx="99">
                  <c:v>1.8362736242269061E-3</c:v>
                </c:pt>
                <c:pt idx="100">
                  <c:v>1.8376945601534917E-3</c:v>
                </c:pt>
                <c:pt idx="101">
                  <c:v>1.8391548272713369E-3</c:v>
                </c:pt>
                <c:pt idx="102">
                  <c:v>1.8406544255804413E-3</c:v>
                </c:pt>
                <c:pt idx="103">
                  <c:v>1.8421933550808046E-3</c:v>
                </c:pt>
                <c:pt idx="104">
                  <c:v>1.84704613072945E-3</c:v>
                </c:pt>
                <c:pt idx="105">
                  <c:v>1.8487423849948502E-3</c:v>
                </c:pt>
                <c:pt idx="106">
                  <c:v>1.8504779704515098E-3</c:v>
                </c:pt>
                <c:pt idx="107">
                  <c:v>1.8522528870994286E-3</c:v>
                </c:pt>
                <c:pt idx="108">
                  <c:v>1.8540671349386066E-3</c:v>
                </c:pt>
                <c:pt idx="109">
                  <c:v>1.8597458656036958E-3</c:v>
                </c:pt>
                <c:pt idx="110">
                  <c:v>1.8617174382079102E-3</c:v>
                </c:pt>
                <c:pt idx="111">
                  <c:v>1.8637283420033842E-3</c:v>
                </c:pt>
                <c:pt idx="112">
                  <c:v>1.8657785769901176E-3</c:v>
                </c:pt>
                <c:pt idx="113">
                  <c:v>1.8678681431681099E-3</c:v>
                </c:pt>
                <c:pt idx="114">
                  <c:v>1.8743728288496426E-3</c:v>
                </c:pt>
                <c:pt idx="115">
                  <c:v>1.8766197197926716E-3</c:v>
                </c:pt>
                <c:pt idx="116">
                  <c:v>1.8789059419269602E-3</c:v>
                </c:pt>
                <c:pt idx="117">
                  <c:v>1.881231495252508E-3</c:v>
                </c:pt>
                <c:pt idx="118">
                  <c:v>1.8835963797693145E-3</c:v>
                </c:pt>
                <c:pt idx="119">
                  <c:v>1.8909270204672908E-3</c:v>
                </c:pt>
                <c:pt idx="120">
                  <c:v>1.893449229749134E-3</c:v>
                </c:pt>
                <c:pt idx="121">
                  <c:v>1.8960107702222372E-3</c:v>
                </c:pt>
                <c:pt idx="122">
                  <c:v>1.8986116418865993E-3</c:v>
                </c:pt>
                <c:pt idx="123">
                  <c:v>1.9122059680772982E-3</c:v>
                </c:pt>
                <c:pt idx="124">
                  <c:v>1.9150428268892156E-3</c:v>
                </c:pt>
                <c:pt idx="125">
                  <c:v>1.9179190168923921E-3</c:v>
                </c:pt>
                <c:pt idx="126">
                  <c:v>1.9208345380868279E-3</c:v>
                </c:pt>
                <c:pt idx="127">
                  <c:v>1.929817088817691E-3</c:v>
                </c:pt>
                <c:pt idx="128">
                  <c:v>1.9328899347771634E-3</c:v>
                </c:pt>
                <c:pt idx="129">
                  <c:v>1.9360021119278954E-3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0092504"/>
        <c:axId val="720090936"/>
      </c:lineChart>
      <c:dateAx>
        <c:axId val="72009250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720090936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720090936"/>
        <c:scaling>
          <c:orientation val="minMax"/>
          <c:max val="2.2000000000000006E-3"/>
          <c:min val="1.2000000000000003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720092504"/>
        <c:crosses val="autoZero"/>
        <c:crossBetween val="between"/>
        <c:majorUnit val="1.0000000000000003E-4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36684293225888576"/>
          <c:h val="0.368966188745347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Fit (Simple</a:t>
            </a:r>
            <a:r>
              <a:rPr lang="en-US" baseline="0"/>
              <a:t> Basis Approx)</a:t>
            </a:r>
            <a:endParaRPr lang="en-US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</c:numCache>
            </c:numRef>
          </c:cat>
          <c:val>
            <c:numRef>
              <c:f>'6MSynthDepo_allScenario'!$BM$6:$BM$135</c:f>
              <c:numCache>
                <c:formatCode>0.0000%</c:formatCode>
                <c:ptCount val="130"/>
                <c:pt idx="0">
                  <c:v>1.678702412913013E-3</c:v>
                </c:pt>
                <c:pt idx="1">
                  <c:v>1.6833881547205713E-3</c:v>
                </c:pt>
                <c:pt idx="2">
                  <c:v>1.684950068656424E-3</c:v>
                </c:pt>
                <c:pt idx="3">
                  <c:v>1.6865119825922768E-3</c:v>
                </c:pt>
                <c:pt idx="4">
                  <c:v>1.6880738965281293E-3</c:v>
                </c:pt>
                <c:pt idx="5">
                  <c:v>1.689635810463982E-3</c:v>
                </c:pt>
                <c:pt idx="6">
                  <c:v>1.6943215522715403E-3</c:v>
                </c:pt>
                <c:pt idx="7">
                  <c:v>1.695883466207393E-3</c:v>
                </c:pt>
                <c:pt idx="8">
                  <c:v>1.6974453801432458E-3</c:v>
                </c:pt>
                <c:pt idx="9">
                  <c:v>1.6990072940790985E-3</c:v>
                </c:pt>
                <c:pt idx="10">
                  <c:v>1.7005692080149513E-3</c:v>
                </c:pt>
                <c:pt idx="11">
                  <c:v>1.7052549498225095E-3</c:v>
                </c:pt>
                <c:pt idx="12">
                  <c:v>1.706816863758362E-3</c:v>
                </c:pt>
                <c:pt idx="13">
                  <c:v>1.7083787776942148E-3</c:v>
                </c:pt>
                <c:pt idx="14">
                  <c:v>1.7099406916300675E-3</c:v>
                </c:pt>
                <c:pt idx="15">
                  <c:v>1.7115026055659203E-3</c:v>
                </c:pt>
                <c:pt idx="16">
                  <c:v>1.7161883473734785E-3</c:v>
                </c:pt>
                <c:pt idx="17">
                  <c:v>1.7177502613093313E-3</c:v>
                </c:pt>
                <c:pt idx="18">
                  <c:v>1.719312175245184E-3</c:v>
                </c:pt>
                <c:pt idx="19">
                  <c:v>1.7208740891810367E-3</c:v>
                </c:pt>
                <c:pt idx="20">
                  <c:v>1.7224360031168895E-3</c:v>
                </c:pt>
                <c:pt idx="21">
                  <c:v>1.7271217449244475E-3</c:v>
                </c:pt>
                <c:pt idx="22">
                  <c:v>1.7286836588603003E-3</c:v>
                </c:pt>
                <c:pt idx="23">
                  <c:v>1.730245572796153E-3</c:v>
                </c:pt>
                <c:pt idx="24">
                  <c:v>1.7318074867320057E-3</c:v>
                </c:pt>
                <c:pt idx="25">
                  <c:v>1.7333694006678585E-3</c:v>
                </c:pt>
                <c:pt idx="26">
                  <c:v>1.7380551424754167E-3</c:v>
                </c:pt>
                <c:pt idx="27">
                  <c:v>1.7396170564112695E-3</c:v>
                </c:pt>
                <c:pt idx="28">
                  <c:v>1.741178970347122E-3</c:v>
                </c:pt>
                <c:pt idx="29">
                  <c:v>1.7427408842829748E-3</c:v>
                </c:pt>
                <c:pt idx="30">
                  <c:v>1.7443027982188275E-3</c:v>
                </c:pt>
                <c:pt idx="31">
                  <c:v>1.7489885400263857E-3</c:v>
                </c:pt>
                <c:pt idx="32">
                  <c:v>1.7505504539622385E-3</c:v>
                </c:pt>
                <c:pt idx="33">
                  <c:v>1.7521123678980912E-3</c:v>
                </c:pt>
                <c:pt idx="34">
                  <c:v>1.753674281833944E-3</c:v>
                </c:pt>
                <c:pt idx="35">
                  <c:v>1.7552361957697967E-3</c:v>
                </c:pt>
                <c:pt idx="36">
                  <c:v>1.7599219375773547E-3</c:v>
                </c:pt>
                <c:pt idx="37">
                  <c:v>1.7614838515132075E-3</c:v>
                </c:pt>
                <c:pt idx="38">
                  <c:v>1.7630457654490602E-3</c:v>
                </c:pt>
                <c:pt idx="39">
                  <c:v>1.764607679384913E-3</c:v>
                </c:pt>
                <c:pt idx="40">
                  <c:v>1.7661695933207657E-3</c:v>
                </c:pt>
                <c:pt idx="41">
                  <c:v>1.770855335128324E-3</c:v>
                </c:pt>
                <c:pt idx="42">
                  <c:v>1.7724172490641767E-3</c:v>
                </c:pt>
                <c:pt idx="43">
                  <c:v>1.7739791630000295E-3</c:v>
                </c:pt>
                <c:pt idx="44">
                  <c:v>1.7755410769358822E-3</c:v>
                </c:pt>
                <c:pt idx="45">
                  <c:v>1.7771029908717347E-3</c:v>
                </c:pt>
                <c:pt idx="46">
                  <c:v>1.781788732679293E-3</c:v>
                </c:pt>
                <c:pt idx="47">
                  <c:v>1.7833506466151457E-3</c:v>
                </c:pt>
                <c:pt idx="48">
                  <c:v>1.7849125605509985E-3</c:v>
                </c:pt>
                <c:pt idx="49">
                  <c:v>1.7864744744868512E-3</c:v>
                </c:pt>
                <c:pt idx="50">
                  <c:v>1.7880363884227039E-3</c:v>
                </c:pt>
                <c:pt idx="51">
                  <c:v>1.7927221302302622E-3</c:v>
                </c:pt>
                <c:pt idx="52">
                  <c:v>1.7942840441661149E-3</c:v>
                </c:pt>
                <c:pt idx="53">
                  <c:v>1.7958459581019675E-3</c:v>
                </c:pt>
                <c:pt idx="54">
                  <c:v>1.7974078720378202E-3</c:v>
                </c:pt>
                <c:pt idx="55">
                  <c:v>1.798969785973673E-3</c:v>
                </c:pt>
                <c:pt idx="56">
                  <c:v>1.8036555277812312E-3</c:v>
                </c:pt>
                <c:pt idx="57">
                  <c:v>1.8052174417170839E-3</c:v>
                </c:pt>
                <c:pt idx="58">
                  <c:v>1.8067793556529367E-3</c:v>
                </c:pt>
                <c:pt idx="59">
                  <c:v>1.8083412695887894E-3</c:v>
                </c:pt>
                <c:pt idx="60">
                  <c:v>1.8145889253322002E-3</c:v>
                </c:pt>
                <c:pt idx="61">
                  <c:v>1.8161508392680529E-3</c:v>
                </c:pt>
                <c:pt idx="62">
                  <c:v>1.8177127532039057E-3</c:v>
                </c:pt>
                <c:pt idx="63">
                  <c:v>1.8192746671397584E-3</c:v>
                </c:pt>
                <c:pt idx="64">
                  <c:v>1.8255223228831694E-3</c:v>
                </c:pt>
                <c:pt idx="65">
                  <c:v>1.8270842368190222E-3</c:v>
                </c:pt>
                <c:pt idx="66">
                  <c:v>1.8286461507548749E-3</c:v>
                </c:pt>
                <c:pt idx="67">
                  <c:v>1.8302080646907274E-3</c:v>
                </c:pt>
                <c:pt idx="68">
                  <c:v>1.8317699786265802E-3</c:v>
                </c:pt>
                <c:pt idx="69">
                  <c:v>1.8364557204341384E-3</c:v>
                </c:pt>
                <c:pt idx="70">
                  <c:v>1.8380176343699912E-3</c:v>
                </c:pt>
                <c:pt idx="71">
                  <c:v>1.8395795483058439E-3</c:v>
                </c:pt>
                <c:pt idx="72">
                  <c:v>1.8411414622416967E-3</c:v>
                </c:pt>
                <c:pt idx="73">
                  <c:v>1.8427033761775494E-3</c:v>
                </c:pt>
                <c:pt idx="74">
                  <c:v>1.8473891179851074E-3</c:v>
                </c:pt>
                <c:pt idx="75">
                  <c:v>1.8489510319209602E-3</c:v>
                </c:pt>
                <c:pt idx="76">
                  <c:v>1.8505129458568129E-3</c:v>
                </c:pt>
                <c:pt idx="77">
                  <c:v>1.8520748597926657E-3</c:v>
                </c:pt>
                <c:pt idx="78">
                  <c:v>1.8536367737285184E-3</c:v>
                </c:pt>
                <c:pt idx="79">
                  <c:v>1.8583225155360766E-3</c:v>
                </c:pt>
                <c:pt idx="80">
                  <c:v>1.8598844294719294E-3</c:v>
                </c:pt>
                <c:pt idx="81">
                  <c:v>1.8614463434077821E-3</c:v>
                </c:pt>
                <c:pt idx="82">
                  <c:v>1.8630082573436349E-3</c:v>
                </c:pt>
                <c:pt idx="83">
                  <c:v>1.8645701712794876E-3</c:v>
                </c:pt>
                <c:pt idx="84">
                  <c:v>1.8692559130870456E-3</c:v>
                </c:pt>
                <c:pt idx="85">
                  <c:v>1.8708178270228984E-3</c:v>
                </c:pt>
                <c:pt idx="86">
                  <c:v>1.8723797409587511E-3</c:v>
                </c:pt>
                <c:pt idx="87">
                  <c:v>1.8739416548946039E-3</c:v>
                </c:pt>
                <c:pt idx="88">
                  <c:v>1.8755035688304566E-3</c:v>
                </c:pt>
                <c:pt idx="89">
                  <c:v>1.8801893106380149E-3</c:v>
                </c:pt>
                <c:pt idx="90">
                  <c:v>1.8817512245738676E-3</c:v>
                </c:pt>
                <c:pt idx="91">
                  <c:v>1.8833131385097204E-3</c:v>
                </c:pt>
                <c:pt idx="92">
                  <c:v>1.8848750524455729E-3</c:v>
                </c:pt>
                <c:pt idx="93">
                  <c:v>1.8864369663814256E-3</c:v>
                </c:pt>
                <c:pt idx="94">
                  <c:v>1.8911227081889839E-3</c:v>
                </c:pt>
                <c:pt idx="95">
                  <c:v>1.8926846221248366E-3</c:v>
                </c:pt>
                <c:pt idx="96">
                  <c:v>1.8942465360606894E-3</c:v>
                </c:pt>
                <c:pt idx="97">
                  <c:v>1.8958084499965421E-3</c:v>
                </c:pt>
                <c:pt idx="98">
                  <c:v>1.8973703639323949E-3</c:v>
                </c:pt>
                <c:pt idx="99">
                  <c:v>1.9020561057399529E-3</c:v>
                </c:pt>
                <c:pt idx="100">
                  <c:v>1.9036180196758058E-3</c:v>
                </c:pt>
                <c:pt idx="101">
                  <c:v>1.9051799336116584E-3</c:v>
                </c:pt>
                <c:pt idx="102">
                  <c:v>1.9067418475475111E-3</c:v>
                </c:pt>
                <c:pt idx="103">
                  <c:v>1.9083037614833639E-3</c:v>
                </c:pt>
                <c:pt idx="104">
                  <c:v>1.9129895032909221E-3</c:v>
                </c:pt>
                <c:pt idx="105">
                  <c:v>1.9145514172267748E-3</c:v>
                </c:pt>
                <c:pt idx="106">
                  <c:v>1.9161133311626276E-3</c:v>
                </c:pt>
                <c:pt idx="107">
                  <c:v>1.9176752450984803E-3</c:v>
                </c:pt>
                <c:pt idx="108">
                  <c:v>1.9192371590343329E-3</c:v>
                </c:pt>
                <c:pt idx="109">
                  <c:v>1.9239229008418911E-3</c:v>
                </c:pt>
                <c:pt idx="110">
                  <c:v>1.9254848147777438E-3</c:v>
                </c:pt>
                <c:pt idx="111">
                  <c:v>1.9270467287135966E-3</c:v>
                </c:pt>
                <c:pt idx="112">
                  <c:v>1.9286086426494493E-3</c:v>
                </c:pt>
                <c:pt idx="113">
                  <c:v>1.9301705565853021E-3</c:v>
                </c:pt>
                <c:pt idx="114">
                  <c:v>1.9348562983928603E-3</c:v>
                </c:pt>
                <c:pt idx="115">
                  <c:v>1.9364182123287129E-3</c:v>
                </c:pt>
                <c:pt idx="116">
                  <c:v>1.9379801262645658E-3</c:v>
                </c:pt>
                <c:pt idx="117">
                  <c:v>1.9395420402004183E-3</c:v>
                </c:pt>
                <c:pt idx="118">
                  <c:v>1.9411039541362711E-3</c:v>
                </c:pt>
                <c:pt idx="119">
                  <c:v>1.9457896959438293E-3</c:v>
                </c:pt>
                <c:pt idx="120">
                  <c:v>1.9473516098796821E-3</c:v>
                </c:pt>
                <c:pt idx="121">
                  <c:v>1.9489135238155348E-3</c:v>
                </c:pt>
                <c:pt idx="122">
                  <c:v>1.9504754377513876E-3</c:v>
                </c:pt>
                <c:pt idx="123">
                  <c:v>1.9582850074306513E-3</c:v>
                </c:pt>
                <c:pt idx="124">
                  <c:v>1.9598469213665038E-3</c:v>
                </c:pt>
                <c:pt idx="125">
                  <c:v>1.9614088353023568E-3</c:v>
                </c:pt>
                <c:pt idx="126">
                  <c:v>1.9629707492382093E-3</c:v>
                </c:pt>
                <c:pt idx="127">
                  <c:v>1.9676564910457673E-3</c:v>
                </c:pt>
                <c:pt idx="128">
                  <c:v>1.9692184049816203E-3</c:v>
                </c:pt>
                <c:pt idx="129">
                  <c:v>1.9707803189174728E-3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</c:numCache>
            </c:numRef>
          </c:cat>
          <c:val>
            <c:numRef>
              <c:f>'6MSynthDepo_allScenario'!$BN$6:$BN$135</c:f>
              <c:numCache>
                <c:formatCode>0.0000%</c:formatCode>
                <c:ptCount val="130"/>
                <c:pt idx="0">
                  <c:v>1.7001587678347188E-3</c:v>
                </c:pt>
                <c:pt idx="1">
                  <c:v>1.7038197007907805E-3</c:v>
                </c:pt>
                <c:pt idx="2">
                  <c:v>1.7050444001746538E-3</c:v>
                </c:pt>
                <c:pt idx="3">
                  <c:v>1.7062712937577873E-3</c:v>
                </c:pt>
                <c:pt idx="4">
                  <c:v>1.7075003815401803E-3</c:v>
                </c:pt>
                <c:pt idx="5">
                  <c:v>1.7087316635218332E-3</c:v>
                </c:pt>
                <c:pt idx="6">
                  <c:v>1.7124386746623509E-3</c:v>
                </c:pt>
                <c:pt idx="7">
                  <c:v>1.7136787334410433E-3</c:v>
                </c:pt>
                <c:pt idx="8">
                  <c:v>1.7149209864189951E-3</c:v>
                </c:pt>
                <c:pt idx="9">
                  <c:v>1.7161654335962071E-3</c:v>
                </c:pt>
                <c:pt idx="10">
                  <c:v>1.7174120749726789E-3</c:v>
                </c:pt>
                <c:pt idx="11">
                  <c:v>1.7211651642976525E-3</c:v>
                </c:pt>
                <c:pt idx="12">
                  <c:v>1.7224205824711634E-3</c:v>
                </c:pt>
                <c:pt idx="13">
                  <c:v>1.7236781948439341E-3</c:v>
                </c:pt>
                <c:pt idx="14">
                  <c:v>1.7249380014159646E-3</c:v>
                </c:pt>
                <c:pt idx="15">
                  <c:v>1.7262000021872549E-3</c:v>
                </c:pt>
                <c:pt idx="16">
                  <c:v>1.7299991696966849E-3</c:v>
                </c:pt>
                <c:pt idx="17">
                  <c:v>1.7312699472650144E-3</c:v>
                </c:pt>
                <c:pt idx="18">
                  <c:v>1.732542919032604E-3</c:v>
                </c:pt>
                <c:pt idx="19">
                  <c:v>1.733818084999453E-3</c:v>
                </c:pt>
                <c:pt idx="20">
                  <c:v>1.7350954451655623E-3</c:v>
                </c:pt>
                <c:pt idx="21">
                  <c:v>1.7389406908594482E-3</c:v>
                </c:pt>
                <c:pt idx="22">
                  <c:v>1.7402268278225964E-3</c:v>
                </c:pt>
                <c:pt idx="23">
                  <c:v>1.7415151589850045E-3</c:v>
                </c:pt>
                <c:pt idx="24">
                  <c:v>1.7428056843466727E-3</c:v>
                </c:pt>
                <c:pt idx="25">
                  <c:v>1.7440984039076002E-3</c:v>
                </c:pt>
                <c:pt idx="26">
                  <c:v>1.7479897277859423E-3</c:v>
                </c:pt>
                <c:pt idx="27">
                  <c:v>1.7492912241439094E-3</c:v>
                </c:pt>
                <c:pt idx="28">
                  <c:v>1.7505949147011361E-3</c:v>
                </c:pt>
                <c:pt idx="29">
                  <c:v>1.751900799457623E-3</c:v>
                </c:pt>
                <c:pt idx="30">
                  <c:v>1.7532088784133694E-3</c:v>
                </c:pt>
                <c:pt idx="31">
                  <c:v>1.7571462804761675E-3</c:v>
                </c:pt>
                <c:pt idx="32">
                  <c:v>1.7584631362289533E-3</c:v>
                </c:pt>
                <c:pt idx="33">
                  <c:v>1.7597821861809989E-3</c:v>
                </c:pt>
                <c:pt idx="34">
                  <c:v>1.7611034303323041E-3</c:v>
                </c:pt>
                <c:pt idx="35">
                  <c:v>1.7624268686828692E-3</c:v>
                </c:pt>
                <c:pt idx="36">
                  <c:v>1.7664103489301237E-3</c:v>
                </c:pt>
                <c:pt idx="37">
                  <c:v>1.767742564077728E-3</c:v>
                </c:pt>
                <c:pt idx="38">
                  <c:v>1.7690769734245921E-3</c:v>
                </c:pt>
                <c:pt idx="39">
                  <c:v>1.770413576970716E-3</c:v>
                </c:pt>
                <c:pt idx="40">
                  <c:v>1.7717523747161001E-3</c:v>
                </c:pt>
                <c:pt idx="41">
                  <c:v>1.7757819331478105E-3</c:v>
                </c:pt>
                <c:pt idx="42">
                  <c:v>1.7771295076902335E-3</c:v>
                </c:pt>
                <c:pt idx="43">
                  <c:v>1.7784792764319163E-3</c:v>
                </c:pt>
                <c:pt idx="44">
                  <c:v>1.7798312393728592E-3</c:v>
                </c:pt>
                <c:pt idx="45">
                  <c:v>1.7811853965130616E-3</c:v>
                </c:pt>
                <c:pt idx="46">
                  <c:v>1.7852610331292281E-3</c:v>
                </c:pt>
                <c:pt idx="47">
                  <c:v>1.7866239670664701E-3</c:v>
                </c:pt>
                <c:pt idx="48">
                  <c:v>1.7879890952029716E-3</c:v>
                </c:pt>
                <c:pt idx="49">
                  <c:v>1.7893564175387332E-3</c:v>
                </c:pt>
                <c:pt idx="50">
                  <c:v>1.7907259340737545E-3</c:v>
                </c:pt>
                <c:pt idx="51">
                  <c:v>1.7948476488743768E-3</c:v>
                </c:pt>
                <c:pt idx="52">
                  <c:v>1.7962259422064375E-3</c:v>
                </c:pt>
                <c:pt idx="53">
                  <c:v>1.7976064297377577E-3</c:v>
                </c:pt>
                <c:pt idx="54">
                  <c:v>1.7989891114683378E-3</c:v>
                </c:pt>
                <c:pt idx="55">
                  <c:v>1.8003739873981778E-3</c:v>
                </c:pt>
                <c:pt idx="56">
                  <c:v>1.8045417803832567E-3</c:v>
                </c:pt>
                <c:pt idx="57">
                  <c:v>1.8059354331101357E-3</c:v>
                </c:pt>
                <c:pt idx="58">
                  <c:v>1.8073312800362747E-3</c:v>
                </c:pt>
                <c:pt idx="59">
                  <c:v>1.8087293211616737E-3</c:v>
                </c:pt>
                <c:pt idx="60">
                  <c:v>1.814343427655867E-3</c:v>
                </c:pt>
                <c:pt idx="61">
                  <c:v>1.815752439777565E-3</c:v>
                </c:pt>
                <c:pt idx="62">
                  <c:v>1.8171636460985227E-3</c:v>
                </c:pt>
                <c:pt idx="63">
                  <c:v>1.8185770466187402E-3</c:v>
                </c:pt>
                <c:pt idx="64">
                  <c:v>1.8242525906922084E-3</c:v>
                </c:pt>
                <c:pt idx="65">
                  <c:v>1.8256769622087251E-3</c:v>
                </c:pt>
                <c:pt idx="66">
                  <c:v>1.8271035279245015E-3</c:v>
                </c:pt>
                <c:pt idx="67">
                  <c:v>1.8285322878395377E-3</c:v>
                </c:pt>
                <c:pt idx="68">
                  <c:v>1.8299632419538339E-3</c:v>
                </c:pt>
                <c:pt idx="69">
                  <c:v>1.8342692694922806E-3</c:v>
                </c:pt>
                <c:pt idx="70">
                  <c:v>1.835709000403616E-3</c:v>
                </c:pt>
                <c:pt idx="71">
                  <c:v>1.8371509255142113E-3</c:v>
                </c:pt>
                <c:pt idx="72">
                  <c:v>1.8385950448240661E-3</c:v>
                </c:pt>
                <c:pt idx="73">
                  <c:v>1.8400413583331808E-3</c:v>
                </c:pt>
                <c:pt idx="74">
                  <c:v>1.8443934640560841E-3</c:v>
                </c:pt>
                <c:pt idx="75">
                  <c:v>1.8458485543622379E-3</c:v>
                </c:pt>
                <c:pt idx="76">
                  <c:v>1.8473058388676518E-3</c:v>
                </c:pt>
                <c:pt idx="77">
                  <c:v>1.8487653175723253E-3</c:v>
                </c:pt>
                <c:pt idx="78">
                  <c:v>1.8502269904762589E-3</c:v>
                </c:pt>
                <c:pt idx="79">
                  <c:v>1.8546251743836182E-3</c:v>
                </c:pt>
                <c:pt idx="80">
                  <c:v>1.856095624084591E-3</c:v>
                </c:pt>
                <c:pt idx="81">
                  <c:v>1.8575682679848233E-3</c:v>
                </c:pt>
                <c:pt idx="82">
                  <c:v>1.8590431060843157E-3</c:v>
                </c:pt>
                <c:pt idx="83">
                  <c:v>1.8605201383830676E-3</c:v>
                </c:pt>
                <c:pt idx="84">
                  <c:v>1.8649644004748831E-3</c:v>
                </c:pt>
                <c:pt idx="85">
                  <c:v>1.8664502095706746E-3</c:v>
                </c:pt>
                <c:pt idx="86">
                  <c:v>1.8679382128657257E-3</c:v>
                </c:pt>
                <c:pt idx="87">
                  <c:v>1.8694284103600368E-3</c:v>
                </c:pt>
                <c:pt idx="88">
                  <c:v>1.8709208020536076E-3</c:v>
                </c:pt>
                <c:pt idx="89">
                  <c:v>1.875411142329879E-3</c:v>
                </c:pt>
                <c:pt idx="90">
                  <c:v>1.876912310820489E-3</c:v>
                </c:pt>
                <c:pt idx="91">
                  <c:v>1.8784156735103591E-3</c:v>
                </c:pt>
                <c:pt idx="92">
                  <c:v>1.8799212303994887E-3</c:v>
                </c:pt>
                <c:pt idx="93">
                  <c:v>1.8814289814878783E-3</c:v>
                </c:pt>
                <c:pt idx="94">
                  <c:v>1.8859653999486058E-3</c:v>
                </c:pt>
                <c:pt idx="95">
                  <c:v>1.8874819278340345E-3</c:v>
                </c:pt>
                <c:pt idx="96">
                  <c:v>1.8890006499187233E-3</c:v>
                </c:pt>
                <c:pt idx="97">
                  <c:v>1.8905215662026716E-3</c:v>
                </c:pt>
                <c:pt idx="98">
                  <c:v>1.8920446766858799E-3</c:v>
                </c:pt>
                <c:pt idx="99">
                  <c:v>1.8966271733310634E-3</c:v>
                </c:pt>
                <c:pt idx="100">
                  <c:v>1.8981590606113111E-3</c:v>
                </c:pt>
                <c:pt idx="101">
                  <c:v>1.8996931420908183E-3</c:v>
                </c:pt>
                <c:pt idx="102">
                  <c:v>1.9012294177695854E-3</c:v>
                </c:pt>
                <c:pt idx="103">
                  <c:v>1.9027678876476122E-3</c:v>
                </c:pt>
                <c:pt idx="104">
                  <c:v>1.907396462477252E-3</c:v>
                </c:pt>
                <c:pt idx="105">
                  <c:v>1.9089437091523182E-3</c:v>
                </c:pt>
                <c:pt idx="106">
                  <c:v>1.9104931500266442E-3</c:v>
                </c:pt>
                <c:pt idx="107">
                  <c:v>1.9120447851002302E-3</c:v>
                </c:pt>
                <c:pt idx="108">
                  <c:v>1.9135986143730757E-3</c:v>
                </c:pt>
                <c:pt idx="109">
                  <c:v>1.9182732673871715E-3</c:v>
                </c:pt>
                <c:pt idx="110">
                  <c:v>1.9198358734570564E-3</c:v>
                </c:pt>
                <c:pt idx="111">
                  <c:v>1.9214006737262013E-3</c:v>
                </c:pt>
                <c:pt idx="112">
                  <c:v>1.9229676681946056E-3</c:v>
                </c:pt>
                <c:pt idx="113">
                  <c:v>1.9245368568622701E-3</c:v>
                </c:pt>
                <c:pt idx="114">
                  <c:v>1.929257588060822E-3</c:v>
                </c:pt>
                <c:pt idx="115">
                  <c:v>1.9308355535255254E-3</c:v>
                </c:pt>
                <c:pt idx="116">
                  <c:v>1.9324157131894891E-3</c:v>
                </c:pt>
                <c:pt idx="117">
                  <c:v>1.9339980670527123E-3</c:v>
                </c:pt>
                <c:pt idx="118">
                  <c:v>1.9355826151151953E-3</c:v>
                </c:pt>
                <c:pt idx="119">
                  <c:v>1.9403494244982031E-3</c:v>
                </c:pt>
                <c:pt idx="120">
                  <c:v>1.9419427493577257E-3</c:v>
                </c:pt>
                <c:pt idx="121">
                  <c:v>1.9435382684165076E-3</c:v>
                </c:pt>
                <c:pt idx="122">
                  <c:v>1.9451359816745496E-3</c:v>
                </c:pt>
                <c:pt idx="123">
                  <c:v>1.9531574609536564E-3</c:v>
                </c:pt>
                <c:pt idx="124">
                  <c:v>1.9547683394072575E-3</c:v>
                </c:pt>
                <c:pt idx="125">
                  <c:v>1.9563814120601179E-3</c:v>
                </c:pt>
                <c:pt idx="126">
                  <c:v>1.9579966789122385E-3</c:v>
                </c:pt>
                <c:pt idx="127">
                  <c:v>1.9628556446641588E-3</c:v>
                </c:pt>
                <c:pt idx="128">
                  <c:v>1.9644796883133181E-3</c:v>
                </c:pt>
                <c:pt idx="129">
                  <c:v>1.9661059261617377E-3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</c:numCache>
            </c:numRef>
          </c:cat>
          <c:val>
            <c:numRef>
              <c:f>'6MSynthDepo_allScenario'!$BO$6:$BO$135</c:f>
              <c:numCache>
                <c:formatCode>0.0000%</c:formatCode>
                <c:ptCount val="130"/>
                <c:pt idx="0">
                  <c:v>1.6640054121332295E-3</c:v>
                </c:pt>
                <c:pt idx="1">
                  <c:v>1.6689290232271713E-3</c:v>
                </c:pt>
                <c:pt idx="2">
                  <c:v>1.6705702269251518E-3</c:v>
                </c:pt>
                <c:pt idx="3">
                  <c:v>1.6722114306231323E-3</c:v>
                </c:pt>
                <c:pt idx="4">
                  <c:v>1.6738526343211128E-3</c:v>
                </c:pt>
                <c:pt idx="5">
                  <c:v>1.6754938380190935E-3</c:v>
                </c:pt>
                <c:pt idx="6">
                  <c:v>1.680417449113035E-3</c:v>
                </c:pt>
                <c:pt idx="7">
                  <c:v>1.6820586528110155E-3</c:v>
                </c:pt>
                <c:pt idx="8">
                  <c:v>1.6836998565089962E-3</c:v>
                </c:pt>
                <c:pt idx="9">
                  <c:v>1.6853410602069767E-3</c:v>
                </c:pt>
                <c:pt idx="10">
                  <c:v>1.6869822639049572E-3</c:v>
                </c:pt>
                <c:pt idx="11">
                  <c:v>1.6919058749988989E-3</c:v>
                </c:pt>
                <c:pt idx="12">
                  <c:v>1.6935470786968794E-3</c:v>
                </c:pt>
                <c:pt idx="13">
                  <c:v>1.6951882823948599E-3</c:v>
                </c:pt>
                <c:pt idx="14">
                  <c:v>1.6968294860928404E-3</c:v>
                </c:pt>
                <c:pt idx="15">
                  <c:v>1.6984706897908209E-3</c:v>
                </c:pt>
                <c:pt idx="16">
                  <c:v>1.7033943008847626E-3</c:v>
                </c:pt>
                <c:pt idx="17">
                  <c:v>1.7050355045827431E-3</c:v>
                </c:pt>
                <c:pt idx="18">
                  <c:v>1.7066767082807239E-3</c:v>
                </c:pt>
                <c:pt idx="19">
                  <c:v>1.7083179119787044E-3</c:v>
                </c:pt>
                <c:pt idx="20">
                  <c:v>1.7099591156766849E-3</c:v>
                </c:pt>
                <c:pt idx="21">
                  <c:v>1.7148827267706266E-3</c:v>
                </c:pt>
                <c:pt idx="22">
                  <c:v>1.7165239304686071E-3</c:v>
                </c:pt>
                <c:pt idx="23">
                  <c:v>1.7181651341665876E-3</c:v>
                </c:pt>
                <c:pt idx="24">
                  <c:v>1.7198063378645681E-3</c:v>
                </c:pt>
                <c:pt idx="25">
                  <c:v>1.7214475415625488E-3</c:v>
                </c:pt>
                <c:pt idx="26">
                  <c:v>1.7263711526564903E-3</c:v>
                </c:pt>
                <c:pt idx="27">
                  <c:v>1.7280123563544708E-3</c:v>
                </c:pt>
                <c:pt idx="28">
                  <c:v>1.7296535600524515E-3</c:v>
                </c:pt>
                <c:pt idx="29">
                  <c:v>1.731294763750432E-3</c:v>
                </c:pt>
                <c:pt idx="30">
                  <c:v>1.7329359674484125E-3</c:v>
                </c:pt>
                <c:pt idx="31">
                  <c:v>1.7378595785423542E-3</c:v>
                </c:pt>
                <c:pt idx="32">
                  <c:v>1.7395007822403347E-3</c:v>
                </c:pt>
                <c:pt idx="33">
                  <c:v>1.7411419859383152E-3</c:v>
                </c:pt>
                <c:pt idx="34">
                  <c:v>1.7427831896362957E-3</c:v>
                </c:pt>
                <c:pt idx="35">
                  <c:v>1.7444243933342762E-3</c:v>
                </c:pt>
                <c:pt idx="36">
                  <c:v>1.749348004428218E-3</c:v>
                </c:pt>
                <c:pt idx="37">
                  <c:v>1.7509892081261985E-3</c:v>
                </c:pt>
                <c:pt idx="38">
                  <c:v>1.7526304118241792E-3</c:v>
                </c:pt>
                <c:pt idx="39">
                  <c:v>1.7542716155221597E-3</c:v>
                </c:pt>
                <c:pt idx="40">
                  <c:v>1.7559128192201402E-3</c:v>
                </c:pt>
                <c:pt idx="41">
                  <c:v>1.7608364303140819E-3</c:v>
                </c:pt>
                <c:pt idx="42">
                  <c:v>1.7624776340120624E-3</c:v>
                </c:pt>
                <c:pt idx="43">
                  <c:v>1.7641188377100429E-3</c:v>
                </c:pt>
                <c:pt idx="44">
                  <c:v>1.7657600414080234E-3</c:v>
                </c:pt>
                <c:pt idx="45">
                  <c:v>1.7674012451060039E-3</c:v>
                </c:pt>
                <c:pt idx="46">
                  <c:v>1.7723248561999456E-3</c:v>
                </c:pt>
                <c:pt idx="47">
                  <c:v>1.7739660598979261E-3</c:v>
                </c:pt>
                <c:pt idx="48">
                  <c:v>1.7756072635959066E-3</c:v>
                </c:pt>
                <c:pt idx="49">
                  <c:v>1.7772484672938873E-3</c:v>
                </c:pt>
                <c:pt idx="50">
                  <c:v>1.7788896709918678E-3</c:v>
                </c:pt>
                <c:pt idx="51">
                  <c:v>1.7838132820858096E-3</c:v>
                </c:pt>
                <c:pt idx="52">
                  <c:v>1.7854544857837901E-3</c:v>
                </c:pt>
                <c:pt idx="53">
                  <c:v>1.7870956894817706E-3</c:v>
                </c:pt>
                <c:pt idx="54">
                  <c:v>1.7887368931797511E-3</c:v>
                </c:pt>
                <c:pt idx="55">
                  <c:v>1.7903780968777316E-3</c:v>
                </c:pt>
                <c:pt idx="56">
                  <c:v>1.7953017079716733E-3</c:v>
                </c:pt>
                <c:pt idx="57">
                  <c:v>1.7969429116696538E-3</c:v>
                </c:pt>
                <c:pt idx="58">
                  <c:v>1.7985841153676345E-3</c:v>
                </c:pt>
                <c:pt idx="59">
                  <c:v>1.800225319065615E-3</c:v>
                </c:pt>
                <c:pt idx="60">
                  <c:v>1.8067901338575372E-3</c:v>
                </c:pt>
                <c:pt idx="61">
                  <c:v>1.8084313375555177E-3</c:v>
                </c:pt>
                <c:pt idx="62">
                  <c:v>1.8100725412534982E-3</c:v>
                </c:pt>
                <c:pt idx="63">
                  <c:v>1.8117137449514787E-3</c:v>
                </c:pt>
                <c:pt idx="64">
                  <c:v>1.8182785597434009E-3</c:v>
                </c:pt>
                <c:pt idx="65">
                  <c:v>1.8199197634413814E-3</c:v>
                </c:pt>
                <c:pt idx="66">
                  <c:v>1.8215609671393619E-3</c:v>
                </c:pt>
                <c:pt idx="67">
                  <c:v>1.8232021708373426E-3</c:v>
                </c:pt>
                <c:pt idx="68">
                  <c:v>1.8248433745353231E-3</c:v>
                </c:pt>
                <c:pt idx="69">
                  <c:v>1.8297669856292649E-3</c:v>
                </c:pt>
                <c:pt idx="70">
                  <c:v>1.8314081893272454E-3</c:v>
                </c:pt>
                <c:pt idx="71">
                  <c:v>1.8330493930252259E-3</c:v>
                </c:pt>
                <c:pt idx="72">
                  <c:v>1.8346905967232064E-3</c:v>
                </c:pt>
                <c:pt idx="73">
                  <c:v>1.8363318004211869E-3</c:v>
                </c:pt>
                <c:pt idx="74">
                  <c:v>1.8412554115151286E-3</c:v>
                </c:pt>
                <c:pt idx="75">
                  <c:v>1.8428966152131091E-3</c:v>
                </c:pt>
                <c:pt idx="76">
                  <c:v>1.8445378189110898E-3</c:v>
                </c:pt>
                <c:pt idx="77">
                  <c:v>1.8461790226090703E-3</c:v>
                </c:pt>
                <c:pt idx="78">
                  <c:v>1.8478202263070508E-3</c:v>
                </c:pt>
                <c:pt idx="79">
                  <c:v>1.8527438374009923E-3</c:v>
                </c:pt>
                <c:pt idx="80">
                  <c:v>1.854385041098973E-3</c:v>
                </c:pt>
                <c:pt idx="81">
                  <c:v>1.8560262447969535E-3</c:v>
                </c:pt>
                <c:pt idx="82">
                  <c:v>1.857667448494934E-3</c:v>
                </c:pt>
                <c:pt idx="83">
                  <c:v>1.8593086521929145E-3</c:v>
                </c:pt>
                <c:pt idx="84">
                  <c:v>1.8642322632868562E-3</c:v>
                </c:pt>
                <c:pt idx="85">
                  <c:v>1.8658734669848367E-3</c:v>
                </c:pt>
                <c:pt idx="86">
                  <c:v>1.8675146706828172E-3</c:v>
                </c:pt>
                <c:pt idx="87">
                  <c:v>1.869155874380798E-3</c:v>
                </c:pt>
                <c:pt idx="88">
                  <c:v>1.8707970780787785E-3</c:v>
                </c:pt>
                <c:pt idx="89">
                  <c:v>1.8757206891727202E-3</c:v>
                </c:pt>
                <c:pt idx="90">
                  <c:v>1.8773618928707007E-3</c:v>
                </c:pt>
                <c:pt idx="91">
                  <c:v>1.8790030965686812E-3</c:v>
                </c:pt>
                <c:pt idx="92">
                  <c:v>1.8806443002666617E-3</c:v>
                </c:pt>
                <c:pt idx="93">
                  <c:v>1.8822855039646422E-3</c:v>
                </c:pt>
                <c:pt idx="94">
                  <c:v>1.8872091150585839E-3</c:v>
                </c:pt>
                <c:pt idx="95">
                  <c:v>1.8888503187565644E-3</c:v>
                </c:pt>
                <c:pt idx="96">
                  <c:v>1.8904915224545451E-3</c:v>
                </c:pt>
                <c:pt idx="97">
                  <c:v>1.8921327261525256E-3</c:v>
                </c:pt>
                <c:pt idx="98">
                  <c:v>1.8937739298505061E-3</c:v>
                </c:pt>
                <c:pt idx="99">
                  <c:v>1.8986975409444476E-3</c:v>
                </c:pt>
                <c:pt idx="100">
                  <c:v>1.9003387446424283E-3</c:v>
                </c:pt>
                <c:pt idx="101">
                  <c:v>1.9019799483404088E-3</c:v>
                </c:pt>
                <c:pt idx="102">
                  <c:v>1.9036211520383893E-3</c:v>
                </c:pt>
                <c:pt idx="103">
                  <c:v>1.9052623557363698E-3</c:v>
                </c:pt>
                <c:pt idx="104">
                  <c:v>1.9101859668303116E-3</c:v>
                </c:pt>
                <c:pt idx="105">
                  <c:v>1.9118271705282921E-3</c:v>
                </c:pt>
                <c:pt idx="106">
                  <c:v>1.9134683742262726E-3</c:v>
                </c:pt>
                <c:pt idx="107">
                  <c:v>1.9151095779242533E-3</c:v>
                </c:pt>
                <c:pt idx="108">
                  <c:v>1.9167507816222338E-3</c:v>
                </c:pt>
                <c:pt idx="109">
                  <c:v>1.9216743927161755E-3</c:v>
                </c:pt>
                <c:pt idx="110">
                  <c:v>1.923315596414156E-3</c:v>
                </c:pt>
                <c:pt idx="111">
                  <c:v>1.9249568001121365E-3</c:v>
                </c:pt>
                <c:pt idx="112">
                  <c:v>1.926598003810117E-3</c:v>
                </c:pt>
                <c:pt idx="113">
                  <c:v>1.9282392075080975E-3</c:v>
                </c:pt>
                <c:pt idx="114">
                  <c:v>1.9331628186020392E-3</c:v>
                </c:pt>
                <c:pt idx="115">
                  <c:v>1.9348040223000197E-3</c:v>
                </c:pt>
                <c:pt idx="116">
                  <c:v>1.9364452259980004E-3</c:v>
                </c:pt>
                <c:pt idx="117">
                  <c:v>1.9380864296959809E-3</c:v>
                </c:pt>
                <c:pt idx="118">
                  <c:v>1.9397276333939614E-3</c:v>
                </c:pt>
                <c:pt idx="119">
                  <c:v>1.9446512444879029E-3</c:v>
                </c:pt>
                <c:pt idx="120">
                  <c:v>1.9462924481858837E-3</c:v>
                </c:pt>
                <c:pt idx="121">
                  <c:v>1.9479336518838642E-3</c:v>
                </c:pt>
                <c:pt idx="122">
                  <c:v>1.9495748555818447E-3</c:v>
                </c:pt>
                <c:pt idx="123">
                  <c:v>1.9577808740717474E-3</c:v>
                </c:pt>
                <c:pt idx="124">
                  <c:v>1.9594220777697279E-3</c:v>
                </c:pt>
                <c:pt idx="125">
                  <c:v>1.9610632814677084E-3</c:v>
                </c:pt>
                <c:pt idx="126">
                  <c:v>1.9627044851656889E-3</c:v>
                </c:pt>
                <c:pt idx="127">
                  <c:v>1.9676280962596308E-3</c:v>
                </c:pt>
                <c:pt idx="128">
                  <c:v>1.9692692999576113E-3</c:v>
                </c:pt>
                <c:pt idx="129">
                  <c:v>1.9709105036555918E-3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'6MSynthDepo_allScenario'!$BC$6:$BC$135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</c:numCache>
            </c:numRef>
          </c:cat>
          <c:val>
            <c:numRef>
              <c:f>'6MSynthDepo_allScenario'!$BP$6:$BP$135</c:f>
              <c:numCache>
                <c:formatCode>0.0000%</c:formatCode>
                <c:ptCount val="130"/>
                <c:pt idx="0">
                  <c:v>1.6331208263572026E-3</c:v>
                </c:pt>
                <c:pt idx="1">
                  <c:v>1.6392687089876808E-3</c:v>
                </c:pt>
                <c:pt idx="2">
                  <c:v>1.6413133112383408E-3</c:v>
                </c:pt>
                <c:pt idx="3">
                  <c:v>1.643355567509251E-3</c:v>
                </c:pt>
                <c:pt idx="4">
                  <c:v>1.6453954778004112E-3</c:v>
                </c:pt>
                <c:pt idx="5">
                  <c:v>1.6474330421118216E-3</c:v>
                </c:pt>
                <c:pt idx="6">
                  <c:v>1.6535316591675541E-3</c:v>
                </c:pt>
                <c:pt idx="7">
                  <c:v>1.6555598395599652E-3</c:v>
                </c:pt>
                <c:pt idx="8">
                  <c:v>1.6575856739726267E-3</c:v>
                </c:pt>
                <c:pt idx="9">
                  <c:v>1.6596091624055385E-3</c:v>
                </c:pt>
                <c:pt idx="10">
                  <c:v>1.6616303048587004E-3</c:v>
                </c:pt>
                <c:pt idx="11">
                  <c:v>1.6676796563396871E-3</c:v>
                </c:pt>
                <c:pt idx="12">
                  <c:v>1.6696914148738495E-3</c:v>
                </c:pt>
                <c:pt idx="13">
                  <c:v>1.6717008274282623E-3</c:v>
                </c:pt>
                <c:pt idx="14">
                  <c:v>1.6737078940029253E-3</c:v>
                </c:pt>
                <c:pt idx="15">
                  <c:v>1.6757126145978385E-3</c:v>
                </c:pt>
                <c:pt idx="16">
                  <c:v>1.6817127005040796E-3</c:v>
                </c:pt>
                <c:pt idx="17">
                  <c:v>1.6837080371799936E-3</c:v>
                </c:pt>
                <c:pt idx="18">
                  <c:v>1.6857010278761577E-3</c:v>
                </c:pt>
                <c:pt idx="19">
                  <c:v>1.687691672592572E-3</c:v>
                </c:pt>
                <c:pt idx="20">
                  <c:v>1.6896799713292366E-3</c:v>
                </c:pt>
                <c:pt idx="21">
                  <c:v>1.6956307916607318E-3</c:v>
                </c:pt>
                <c:pt idx="22">
                  <c:v>1.6976097064783971E-3</c:v>
                </c:pt>
                <c:pt idx="23">
                  <c:v>1.6995862753163126E-3</c:v>
                </c:pt>
                <c:pt idx="24">
                  <c:v>1.7015604981744784E-3</c:v>
                </c:pt>
                <c:pt idx="25">
                  <c:v>1.7035323750528943E-3</c:v>
                </c:pt>
                <c:pt idx="26">
                  <c:v>1.7094339298096436E-3</c:v>
                </c:pt>
                <c:pt idx="27">
                  <c:v>1.7113964227690604E-3</c:v>
                </c:pt>
                <c:pt idx="28">
                  <c:v>1.7133565697487272E-3</c:v>
                </c:pt>
                <c:pt idx="29">
                  <c:v>1.7153143707486446E-3</c:v>
                </c:pt>
                <c:pt idx="30">
                  <c:v>1.7172698257688118E-3</c:v>
                </c:pt>
                <c:pt idx="31">
                  <c:v>1.723122114950815E-3</c:v>
                </c:pt>
                <c:pt idx="32">
                  <c:v>1.7250681860519832E-3</c:v>
                </c:pt>
                <c:pt idx="33">
                  <c:v>1.7270119111734016E-3</c:v>
                </c:pt>
                <c:pt idx="34">
                  <c:v>1.7289532903150702E-3</c:v>
                </c:pt>
                <c:pt idx="35">
                  <c:v>1.7308923234769888E-3</c:v>
                </c:pt>
                <c:pt idx="36">
                  <c:v>1.7366953470842462E-3</c:v>
                </c:pt>
                <c:pt idx="37">
                  <c:v>1.7386249963271658E-3</c:v>
                </c:pt>
                <c:pt idx="38">
                  <c:v>1.7405522995903354E-3</c:v>
                </c:pt>
                <c:pt idx="39">
                  <c:v>1.7424772568737556E-3</c:v>
                </c:pt>
                <c:pt idx="40">
                  <c:v>1.7443998681774258E-3</c:v>
                </c:pt>
                <c:pt idx="41">
                  <c:v>1.7501536262099372E-3</c:v>
                </c:pt>
                <c:pt idx="42">
                  <c:v>1.752066853594608E-3</c:v>
                </c:pt>
                <c:pt idx="43">
                  <c:v>1.7539777349995292E-3</c:v>
                </c:pt>
                <c:pt idx="44">
                  <c:v>1.7558862704247005E-3</c:v>
                </c:pt>
                <c:pt idx="45">
                  <c:v>1.757792459870122E-3</c:v>
                </c:pt>
                <c:pt idx="46">
                  <c:v>1.7634969523278878E-3</c:v>
                </c:pt>
                <c:pt idx="47">
                  <c:v>1.76539375785431E-3</c:v>
                </c:pt>
                <c:pt idx="48">
                  <c:v>1.7672882174009825E-3</c:v>
                </c:pt>
                <c:pt idx="49">
                  <c:v>1.7691803309679052E-3</c:v>
                </c:pt>
                <c:pt idx="50">
                  <c:v>1.7710700985550782E-3</c:v>
                </c:pt>
                <c:pt idx="51">
                  <c:v>1.7767253254380982E-3</c:v>
                </c:pt>
                <c:pt idx="52">
                  <c:v>1.7786057091062717E-3</c:v>
                </c:pt>
                <c:pt idx="53">
                  <c:v>1.7804837467946955E-3</c:v>
                </c:pt>
                <c:pt idx="54">
                  <c:v>1.7823594385033698E-3</c:v>
                </c:pt>
                <c:pt idx="55">
                  <c:v>1.7842327842322939E-3</c:v>
                </c:pt>
                <c:pt idx="56">
                  <c:v>1.7898387455405678E-3</c:v>
                </c:pt>
                <c:pt idx="57">
                  <c:v>1.7917027073504931E-3</c:v>
                </c:pt>
                <c:pt idx="58">
                  <c:v>1.7935643231806683E-3</c:v>
                </c:pt>
                <c:pt idx="59">
                  <c:v>1.7954235930310938E-3</c:v>
                </c:pt>
                <c:pt idx="60">
                  <c:v>1.8028372126352974E-3</c:v>
                </c:pt>
                <c:pt idx="61">
                  <c:v>1.8046847525869738E-3</c:v>
                </c:pt>
                <c:pt idx="62">
                  <c:v>1.8065299465589008E-3</c:v>
                </c:pt>
                <c:pt idx="63">
                  <c:v>1.8083727945510776E-3</c:v>
                </c:pt>
                <c:pt idx="64">
                  <c:v>1.8157207267222868E-3</c:v>
                </c:pt>
                <c:pt idx="65">
                  <c:v>1.8175518448157145E-3</c:v>
                </c:pt>
                <c:pt idx="66">
                  <c:v>1.8193806169293926E-3</c:v>
                </c:pt>
                <c:pt idx="67">
                  <c:v>1.8212070430633207E-3</c:v>
                </c:pt>
                <c:pt idx="68">
                  <c:v>1.8230311232174993E-3</c:v>
                </c:pt>
                <c:pt idx="69">
                  <c:v>1.8284892878015358E-3</c:v>
                </c:pt>
                <c:pt idx="70">
                  <c:v>1.8303039840367149E-3</c:v>
                </c:pt>
                <c:pt idx="71">
                  <c:v>1.8321163342921443E-3</c:v>
                </c:pt>
                <c:pt idx="72">
                  <c:v>1.833926338567824E-3</c:v>
                </c:pt>
                <c:pt idx="73">
                  <c:v>1.8357339968637539E-3</c:v>
                </c:pt>
                <c:pt idx="74">
                  <c:v>1.8411428958730444E-3</c:v>
                </c:pt>
                <c:pt idx="75">
                  <c:v>1.842941170249975E-3</c:v>
                </c:pt>
                <c:pt idx="76">
                  <c:v>1.8447370986471557E-3</c:v>
                </c:pt>
                <c:pt idx="77">
                  <c:v>1.8465306810645868E-3</c:v>
                </c:pt>
                <c:pt idx="78">
                  <c:v>1.8483219175022679E-3</c:v>
                </c:pt>
                <c:pt idx="79">
                  <c:v>1.8536815509368125E-3</c:v>
                </c:pt>
                <c:pt idx="80">
                  <c:v>1.8554634034554946E-3</c:v>
                </c:pt>
                <c:pt idx="81">
                  <c:v>1.8572429099944269E-3</c:v>
                </c:pt>
                <c:pt idx="82">
                  <c:v>1.8590200705536093E-3</c:v>
                </c:pt>
                <c:pt idx="83">
                  <c:v>1.8607948851330418E-3</c:v>
                </c:pt>
                <c:pt idx="84">
                  <c:v>1.8661052529928407E-3</c:v>
                </c:pt>
                <c:pt idx="85">
                  <c:v>1.8678706836532742E-3</c:v>
                </c:pt>
                <c:pt idx="86">
                  <c:v>1.8696337683339575E-3</c:v>
                </c:pt>
                <c:pt idx="87">
                  <c:v>1.8713945070348913E-3</c:v>
                </c:pt>
                <c:pt idx="88">
                  <c:v>1.8731528997560753E-3</c:v>
                </c:pt>
                <c:pt idx="89">
                  <c:v>1.8784140020411282E-3</c:v>
                </c:pt>
                <c:pt idx="90">
                  <c:v>1.880163010843313E-3</c:v>
                </c:pt>
                <c:pt idx="91">
                  <c:v>1.8819096736657479E-3</c:v>
                </c:pt>
                <c:pt idx="92">
                  <c:v>1.883653990508433E-3</c:v>
                </c:pt>
                <c:pt idx="93">
                  <c:v>1.8853959613713686E-3</c:v>
                </c:pt>
                <c:pt idx="94">
                  <c:v>1.8906077980816757E-3</c:v>
                </c:pt>
                <c:pt idx="95">
                  <c:v>1.8923403850256116E-3</c:v>
                </c:pt>
                <c:pt idx="96">
                  <c:v>1.8940706259897983E-3</c:v>
                </c:pt>
                <c:pt idx="97">
                  <c:v>1.8957985209742346E-3</c:v>
                </c:pt>
                <c:pt idx="98">
                  <c:v>1.8975240699789214E-3</c:v>
                </c:pt>
                <c:pt idx="99">
                  <c:v>1.9026866411144827E-3</c:v>
                </c:pt>
                <c:pt idx="100">
                  <c:v>1.9044028062001701E-3</c:v>
                </c:pt>
                <c:pt idx="101">
                  <c:v>1.9061166253061077E-3</c:v>
                </c:pt>
                <c:pt idx="102">
                  <c:v>1.9078280984322956E-3</c:v>
                </c:pt>
                <c:pt idx="103">
                  <c:v>1.9095372255787336E-3</c:v>
                </c:pt>
                <c:pt idx="104">
                  <c:v>1.9146505311395494E-3</c:v>
                </c:pt>
                <c:pt idx="105">
                  <c:v>1.9163502743669882E-3</c:v>
                </c:pt>
                <c:pt idx="106">
                  <c:v>1.9180476716146773E-3</c:v>
                </c:pt>
                <c:pt idx="107">
                  <c:v>1.9197427228826165E-3</c:v>
                </c:pt>
                <c:pt idx="108">
                  <c:v>1.9214354281708061E-3</c:v>
                </c:pt>
                <c:pt idx="109">
                  <c:v>1.9264994681568758E-3</c:v>
                </c:pt>
                <c:pt idx="110">
                  <c:v>1.9281827895260659E-3</c:v>
                </c:pt>
                <c:pt idx="111">
                  <c:v>1.9298637649155063E-3</c:v>
                </c:pt>
                <c:pt idx="112">
                  <c:v>1.9315423943251971E-3</c:v>
                </c:pt>
                <c:pt idx="113">
                  <c:v>1.9332186777551378E-3</c:v>
                </c:pt>
                <c:pt idx="114">
                  <c:v>1.9382334521664615E-3</c:v>
                </c:pt>
                <c:pt idx="115">
                  <c:v>1.9399003516774032E-3</c:v>
                </c:pt>
                <c:pt idx="116">
                  <c:v>1.9415649052085949E-3</c:v>
                </c:pt>
                <c:pt idx="117">
                  <c:v>1.943227112760037E-3</c:v>
                </c:pt>
                <c:pt idx="118">
                  <c:v>1.9448869743317293E-3</c:v>
                </c:pt>
                <c:pt idx="119">
                  <c:v>1.9498524831683076E-3</c:v>
                </c:pt>
                <c:pt idx="120">
                  <c:v>1.9515029608210006E-3</c:v>
                </c:pt>
                <c:pt idx="121">
                  <c:v>1.9531510924939437E-3</c:v>
                </c:pt>
                <c:pt idx="122">
                  <c:v>1.9547968781871371E-3</c:v>
                </c:pt>
                <c:pt idx="123">
                  <c:v>1.9629906169568571E-3</c:v>
                </c:pt>
                <c:pt idx="124">
                  <c:v>1.9646223267715517E-3</c:v>
                </c:pt>
                <c:pt idx="125">
                  <c:v>1.9662516906064965E-3</c:v>
                </c:pt>
                <c:pt idx="126">
                  <c:v>1.9678787084616914E-3</c:v>
                </c:pt>
                <c:pt idx="127">
                  <c:v>1.9727456861487777E-3</c:v>
                </c:pt>
                <c:pt idx="128">
                  <c:v>1.974363320084974E-3</c:v>
                </c:pt>
                <c:pt idx="129">
                  <c:v>1.9759786080414199E-3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'6MSynthDepo_allScenario'!$BQ$5</c:f>
              <c:strCache>
                <c:ptCount val="1"/>
                <c:pt idx="0">
                  <c:v>Contribution</c:v>
                </c:pt>
              </c:strCache>
            </c:strRef>
          </c:tx>
          <c:spPr>
            <a:ln w="31750"/>
          </c:spPr>
          <c:marker>
            <c:symbol val="none"/>
          </c:marker>
          <c:val>
            <c:numRef>
              <c:f>'6MSynthDepo_allScenario'!$BQ$6:$BQ$135</c:f>
              <c:numCache>
                <c:formatCode>0.0000%</c:formatCode>
                <c:ptCount val="130"/>
                <c:pt idx="0">
                  <c:v>1.6442179409597816E-3</c:v>
                </c:pt>
                <c:pt idx="1">
                  <c:v>1.6511275102326761E-3</c:v>
                </c:pt>
                <c:pt idx="2">
                  <c:v>1.653418652341973E-3</c:v>
                </c:pt>
                <c:pt idx="3">
                  <c:v>1.6557037941322395E-3</c:v>
                </c:pt>
                <c:pt idx="4">
                  <c:v>1.6579829497065585E-3</c:v>
                </c:pt>
                <c:pt idx="5">
                  <c:v>1.6602561331680124E-3</c:v>
                </c:pt>
                <c:pt idx="6">
                  <c:v>1.6670399919060071E-3</c:v>
                </c:pt>
                <c:pt idx="7">
                  <c:v>1.6692894279468245E-3</c:v>
                </c:pt>
                <c:pt idx="8">
                  <c:v>1.6715329623901889E-3</c:v>
                </c:pt>
                <c:pt idx="9">
                  <c:v>1.6737706093391826E-3</c:v>
                </c:pt>
                <c:pt idx="10">
                  <c:v>1.676002382896888E-3</c:v>
                </c:pt>
                <c:pt idx="11">
                  <c:v>1.6826626042530993E-3</c:v>
                </c:pt>
                <c:pt idx="12">
                  <c:v>1.6848710252764763E-3</c:v>
                </c:pt>
                <c:pt idx="13">
                  <c:v>1.6870736434239769E-3</c:v>
                </c:pt>
                <c:pt idx="14">
                  <c:v>1.6892704727986842E-3</c:v>
                </c:pt>
                <c:pt idx="15">
                  <c:v>1.6914615275036798E-3</c:v>
                </c:pt>
                <c:pt idx="16">
                  <c:v>1.6980001846312247E-3</c:v>
                </c:pt>
                <c:pt idx="17">
                  <c:v>1.7001682816881998E-3</c:v>
                </c:pt>
                <c:pt idx="18">
                  <c:v>1.7023306745908757E-3</c:v>
                </c:pt>
                <c:pt idx="19">
                  <c:v>1.704487377442335E-3</c:v>
                </c:pt>
                <c:pt idx="20">
                  <c:v>1.7066384043456602E-3</c:v>
                </c:pt>
                <c:pt idx="21">
                  <c:v>1.7130575703976538E-3</c:v>
                </c:pt>
                <c:pt idx="22">
                  <c:v>1.715186034539266E-3</c:v>
                </c:pt>
                <c:pt idx="23">
                  <c:v>1.7173088932481561E-3</c:v>
                </c:pt>
                <c:pt idx="24">
                  <c:v>1.7194261606274066E-3</c:v>
                </c:pt>
                <c:pt idx="25">
                  <c:v>1.7215378507800996E-3</c:v>
                </c:pt>
                <c:pt idx="26">
                  <c:v>1.7278395989096592E-3</c:v>
                </c:pt>
                <c:pt idx="27">
                  <c:v>1.7299291211869473E-3</c:v>
                </c:pt>
                <c:pt idx="28">
                  <c:v>1.7320131367530903E-3</c:v>
                </c:pt>
                <c:pt idx="29">
                  <c:v>1.7340916597111703E-3</c:v>
                </c:pt>
                <c:pt idx="30">
                  <c:v>1.7361647041642702E-3</c:v>
                </c:pt>
                <c:pt idx="31">
                  <c:v>1.7423511075245121E-3</c:v>
                </c:pt>
                <c:pt idx="32">
                  <c:v>1.7444023789885148E-3</c:v>
                </c:pt>
                <c:pt idx="33">
                  <c:v>1.7464482424629493E-3</c:v>
                </c:pt>
                <c:pt idx="34">
                  <c:v>1.7484887120508981E-3</c:v>
                </c:pt>
                <c:pt idx="35">
                  <c:v>1.7505238018554435E-3</c:v>
                </c:pt>
                <c:pt idx="36">
                  <c:v>1.756596933599484E-3</c:v>
                </c:pt>
                <c:pt idx="37">
                  <c:v>1.7586106453012405E-3</c:v>
                </c:pt>
                <c:pt idx="38">
                  <c:v>1.7606190477350053E-3</c:v>
                </c:pt>
                <c:pt idx="39">
                  <c:v>1.7626221550038617E-3</c:v>
                </c:pt>
                <c:pt idx="40">
                  <c:v>1.7646199812108914E-3</c:v>
                </c:pt>
                <c:pt idx="41">
                  <c:v>1.7705819144918469E-3</c:v>
                </c:pt>
                <c:pt idx="42">
                  <c:v>1.7725587574823956E-3</c:v>
                </c:pt>
                <c:pt idx="43">
                  <c:v>1.7745303899265297E-3</c:v>
                </c:pt>
                <c:pt idx="44">
                  <c:v>1.7764968259273324E-3</c:v>
                </c:pt>
                <c:pt idx="45">
                  <c:v>1.7784580795878854E-3</c:v>
                </c:pt>
                <c:pt idx="46">
                  <c:v>1.7843108875588724E-3</c:v>
                </c:pt>
                <c:pt idx="47">
                  <c:v>1.7862515528892519E-3</c:v>
                </c:pt>
                <c:pt idx="48">
                  <c:v>1.7881871063947943E-3</c:v>
                </c:pt>
                <c:pt idx="49">
                  <c:v>1.790117562178582E-3</c:v>
                </c:pt>
                <c:pt idx="50">
                  <c:v>1.792042934343697E-3</c:v>
                </c:pt>
                <c:pt idx="51">
                  <c:v>1.797788690157832E-3</c:v>
                </c:pt>
                <c:pt idx="52">
                  <c:v>1.7996938688790815E-3</c:v>
                </c:pt>
                <c:pt idx="53">
                  <c:v>1.8015940344970707E-3</c:v>
                </c:pt>
                <c:pt idx="54">
                  <c:v>1.8034892011148818E-3</c:v>
                </c:pt>
                <c:pt idx="55">
                  <c:v>1.8053793828355978E-3</c:v>
                </c:pt>
                <c:pt idx="56">
                  <c:v>1.8110201596459969E-3</c:v>
                </c:pt>
                <c:pt idx="57">
                  <c:v>1.8128905428091552E-3</c:v>
                </c:pt>
                <c:pt idx="58">
                  <c:v>1.8147560115906302E-3</c:v>
                </c:pt>
                <c:pt idx="59">
                  <c:v>1.8166165800935041E-3</c:v>
                </c:pt>
                <c:pt idx="60">
                  <c:v>1.8240101333806393E-3</c:v>
                </c:pt>
                <c:pt idx="61">
                  <c:v>1.8258464120367449E-3</c:v>
                </c:pt>
                <c:pt idx="62">
                  <c:v>1.8276778750327444E-3</c:v>
                </c:pt>
                <c:pt idx="63">
                  <c:v>1.8295045364717197E-3</c:v>
                </c:pt>
                <c:pt idx="64">
                  <c:v>1.8367634487190306E-3</c:v>
                </c:pt>
                <c:pt idx="65">
                  <c:v>1.8385663139191225E-3</c:v>
                </c:pt>
                <c:pt idx="66">
                  <c:v>1.8403644621806851E-3</c:v>
                </c:pt>
                <c:pt idx="67">
                  <c:v>1.8421579076068008E-3</c:v>
                </c:pt>
                <c:pt idx="68">
                  <c:v>1.8439466643005518E-3</c:v>
                </c:pt>
                <c:pt idx="69">
                  <c:v>1.8492849430184421E-3</c:v>
                </c:pt>
                <c:pt idx="70">
                  <c:v>1.8510550858135593E-3</c:v>
                </c:pt>
                <c:pt idx="71">
                  <c:v>1.8528206103917242E-3</c:v>
                </c:pt>
                <c:pt idx="72">
                  <c:v>1.8545815308560188E-3</c:v>
                </c:pt>
                <c:pt idx="73">
                  <c:v>1.8563378613095259E-3</c:v>
                </c:pt>
                <c:pt idx="74">
                  <c:v>1.8615794536361461E-3</c:v>
                </c:pt>
                <c:pt idx="75">
                  <c:v>1.8633175650773271E-3</c:v>
                </c:pt>
                <c:pt idx="76">
                  <c:v>1.8650511570231329E-3</c:v>
                </c:pt>
                <c:pt idx="77">
                  <c:v>1.8667802435766456E-3</c:v>
                </c:pt>
                <c:pt idx="78">
                  <c:v>1.8685048388409474E-3</c:v>
                </c:pt>
                <c:pt idx="79">
                  <c:v>1.8736518179294137E-3</c:v>
                </c:pt>
                <c:pt idx="80">
                  <c:v>1.8753585890676975E-3</c:v>
                </c:pt>
                <c:pt idx="81">
                  <c:v>1.8770609394321829E-3</c:v>
                </c:pt>
                <c:pt idx="82">
                  <c:v>1.878758883125952E-3</c:v>
                </c:pt>
                <c:pt idx="83">
                  <c:v>1.8804524342520878E-3</c:v>
                </c:pt>
                <c:pt idx="84">
                  <c:v>1.8855068732555168E-3</c:v>
                </c:pt>
                <c:pt idx="85">
                  <c:v>1.8871829951419422E-3</c:v>
                </c:pt>
                <c:pt idx="86">
                  <c:v>1.8888547949761458E-3</c:v>
                </c:pt>
                <c:pt idx="87">
                  <c:v>1.8905222868612105E-3</c:v>
                </c:pt>
                <c:pt idx="88">
                  <c:v>1.8921854849002185E-3</c:v>
                </c:pt>
                <c:pt idx="89">
                  <c:v>1.8971494569717268E-3</c:v>
                </c:pt>
                <c:pt idx="90">
                  <c:v>1.8987956206573324E-3</c:v>
                </c:pt>
                <c:pt idx="91">
                  <c:v>1.9004375610122935E-3</c:v>
                </c:pt>
                <c:pt idx="92">
                  <c:v>1.9020752921396925E-3</c:v>
                </c:pt>
                <c:pt idx="93">
                  <c:v>1.9037088281426114E-3</c:v>
                </c:pt>
                <c:pt idx="94">
                  <c:v>1.9085844064353154E-3</c:v>
                </c:pt>
                <c:pt idx="95">
                  <c:v>1.91020130297114E-3</c:v>
                </c:pt>
                <c:pt idx="96">
                  <c:v>1.9118140748978971E-3</c:v>
                </c:pt>
                <c:pt idx="97">
                  <c:v>1.9134227363186691E-3</c:v>
                </c:pt>
                <c:pt idx="98">
                  <c:v>1.9150273013365383E-3</c:v>
                </c:pt>
                <c:pt idx="99">
                  <c:v>1.9198165590035539E-3</c:v>
                </c:pt>
                <c:pt idx="100">
                  <c:v>1.9214048794406367E-3</c:v>
                </c:pt>
                <c:pt idx="101">
                  <c:v>1.9229891739902286E-3</c:v>
                </c:pt>
                <c:pt idx="102">
                  <c:v>1.9245694567554125E-3</c:v>
                </c:pt>
                <c:pt idx="103">
                  <c:v>1.9261457418392706E-3</c:v>
                </c:pt>
                <c:pt idx="104">
                  <c:v>1.9308507520337146E-3</c:v>
                </c:pt>
                <c:pt idx="105">
                  <c:v>1.932411187423094E-3</c:v>
                </c:pt>
                <c:pt idx="106">
                  <c:v>1.9339676956465596E-3</c:v>
                </c:pt>
                <c:pt idx="107">
                  <c:v>1.9355202908071941E-3</c:v>
                </c:pt>
                <c:pt idx="108">
                  <c:v>1.93706898700808E-3</c:v>
                </c:pt>
                <c:pt idx="109">
                  <c:v>1.9416918228830687E-3</c:v>
                </c:pt>
                <c:pt idx="110">
                  <c:v>1.9432250642757837E-3</c:v>
                </c:pt>
                <c:pt idx="111">
                  <c:v>1.9447544772241616E-3</c:v>
                </c:pt>
                <c:pt idx="112">
                  <c:v>1.9462800758312858E-3</c:v>
                </c:pt>
                <c:pt idx="113">
                  <c:v>1.9478018742002379E-3</c:v>
                </c:pt>
                <c:pt idx="114">
                  <c:v>1.9523446089088877E-3</c:v>
                </c:pt>
                <c:pt idx="115">
                  <c:v>1.9538513473559773E-3</c:v>
                </c:pt>
                <c:pt idx="116">
                  <c:v>1.9553543560803066E-3</c:v>
                </c:pt>
                <c:pt idx="117">
                  <c:v>1.9568536491849585E-3</c:v>
                </c:pt>
                <c:pt idx="118">
                  <c:v>1.958349240773016E-3</c:v>
                </c:pt>
                <c:pt idx="119">
                  <c:v>1.9628139474684434E-3</c:v>
                </c:pt>
                <c:pt idx="120">
                  <c:v>1.964294874020946E-3</c:v>
                </c:pt>
                <c:pt idx="121">
                  <c:v>1.9657721695722661E-3</c:v>
                </c:pt>
                <c:pt idx="122">
                  <c:v>1.9672458482254849E-3</c:v>
                </c:pt>
                <c:pt idx="123">
                  <c:v>1.9745604816279625E-3</c:v>
                </c:pt>
                <c:pt idx="124">
                  <c:v>1.9760127550573102E-3</c:v>
                </c:pt>
                <c:pt idx="125">
                  <c:v>1.9774615103101364E-3</c:v>
                </c:pt>
                <c:pt idx="126">
                  <c:v>1.9789067614895198E-3</c:v>
                </c:pt>
                <c:pt idx="127">
                  <c:v>1.9832216316178521E-3</c:v>
                </c:pt>
                <c:pt idx="128">
                  <c:v>1.9846530075342973E-3</c:v>
                </c:pt>
                <c:pt idx="129">
                  <c:v>1.9860809498927134E-3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0093680"/>
        <c:axId val="720092112"/>
      </c:lineChart>
      <c:dateAx>
        <c:axId val="72009368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720092112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720092112"/>
        <c:scaling>
          <c:orientation val="minMax"/>
          <c:max val="2.2000000000000006E-3"/>
          <c:min val="1.2000000000000003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720093680"/>
        <c:crosses val="autoZero"/>
        <c:crossBetween val="between"/>
        <c:majorUnit val="1.0000000000000003E-4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25707209387432267"/>
          <c:h val="0.3036593347745889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Basis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2709973753280843E-2"/>
          <c:y val="1.8266641777536428E-2"/>
          <c:w val="0.91118569119257442"/>
          <c:h val="0.93730079509660247"/>
        </c:manualLayout>
      </c:layout>
      <c:scatterChart>
        <c:scatterStyle val="lineMarker"/>
        <c:varyColors val="0"/>
        <c:ser>
          <c:idx val="0"/>
          <c:order val="0"/>
          <c:tx>
            <c:v>Basis Fix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'3MSynthDepo_used'!$G$4</c:f>
              <c:numCache>
                <c:formatCode>d\-mmm\-yy</c:formatCode>
                <c:ptCount val="1"/>
                <c:pt idx="0">
                  <c:v>42279</c:v>
                </c:pt>
              </c:numCache>
            </c:numRef>
          </c:xVal>
          <c:yVal>
            <c:numRef>
              <c:f>'3MSynthDepo_used'!$K$4</c:f>
              <c:numCache>
                <c:formatCode>0.0000%</c:formatCode>
                <c:ptCount val="1"/>
                <c:pt idx="0">
                  <c:v>1.035464475435309E-3</c:v>
                </c:pt>
              </c:numCache>
            </c:numRef>
          </c:yVal>
          <c:smooth val="0"/>
        </c:ser>
        <c:ser>
          <c:idx val="1"/>
          <c:order val="1"/>
          <c:tx>
            <c:v>Basis FRA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xVal>
            <c:numRef>
              <c:f>'3MSynthDepo_used'!$G$5:$G$16</c:f>
              <c:numCache>
                <c:formatCode>d\-mmm\-yy</c:formatCode>
                <c:ptCount val="12"/>
                <c:pt idx="0">
                  <c:v>42310</c:v>
                </c:pt>
                <c:pt idx="1">
                  <c:v>42340</c:v>
                </c:pt>
                <c:pt idx="2">
                  <c:v>42373</c:v>
                </c:pt>
                <c:pt idx="3">
                  <c:v>42402</c:v>
                </c:pt>
                <c:pt idx="4">
                  <c:v>42431</c:v>
                </c:pt>
                <c:pt idx="5">
                  <c:v>42464</c:v>
                </c:pt>
                <c:pt idx="6">
                  <c:v>42492</c:v>
                </c:pt>
                <c:pt idx="7">
                  <c:v>42523</c:v>
                </c:pt>
                <c:pt idx="8">
                  <c:v>42555</c:v>
                </c:pt>
                <c:pt idx="9">
                  <c:v>42584</c:v>
                </c:pt>
                <c:pt idx="10">
                  <c:v>42615</c:v>
                </c:pt>
                <c:pt idx="11">
                  <c:v>42646</c:v>
                </c:pt>
              </c:numCache>
            </c:numRef>
          </c:xVal>
          <c:yVal>
            <c:numRef>
              <c:f>'3MSynthDepo_used'!$K$5:$K$16</c:f>
              <c:numCache>
                <c:formatCode>0.0000%</c:formatCode>
                <c:ptCount val="12"/>
                <c:pt idx="0">
                  <c:v>1.0563475713998793E-3</c:v>
                </c:pt>
                <c:pt idx="1">
                  <c:v>1.0810374520171813E-3</c:v>
                </c:pt>
                <c:pt idx="2">
                  <c:v>1.1541354952182095E-3</c:v>
                </c:pt>
                <c:pt idx="3">
                  <c:v>1.1749171019897423E-3</c:v>
                </c:pt>
                <c:pt idx="4">
                  <c:v>1.2096168682845345E-3</c:v>
                </c:pt>
                <c:pt idx="5">
                  <c:v>1.2433021946927423E-3</c:v>
                </c:pt>
                <c:pt idx="6">
                  <c:v>1.2711061142376386E-3</c:v>
                </c:pt>
                <c:pt idx="7">
                  <c:v>1.2808031098183457E-3</c:v>
                </c:pt>
                <c:pt idx="8">
                  <c:v>1.3107248886960066E-3</c:v>
                </c:pt>
                <c:pt idx="9">
                  <c:v>1.3252111840948997E-3</c:v>
                </c:pt>
                <c:pt idx="10">
                  <c:v>1.335420859333409E-3</c:v>
                </c:pt>
                <c:pt idx="11">
                  <c:v>1.3524418537235075E-3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'3MSynthDepo_used'!$S$2</c:f>
              <c:strCache>
                <c:ptCount val="1"/>
                <c:pt idx="0">
                  <c:v>Simple Basis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'3MSynthDepo_used'!$R$3:$R$262</c:f>
              <c:numCache>
                <c:formatCode>d\-mmm\-yy</c:formatCode>
                <c:ptCount val="26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</c:numCache>
            </c:numRef>
          </c:xVal>
          <c:yVal>
            <c:numRef>
              <c:f>'3MSynthDepo_used'!$S$3:$S$262</c:f>
              <c:numCache>
                <c:formatCode>0.0000%</c:formatCode>
                <c:ptCount val="260"/>
                <c:pt idx="0">
                  <c:v>1.0048099786239312E-3</c:v>
                </c:pt>
                <c:pt idx="1">
                  <c:v>1.0099456800360036E-3</c:v>
                </c:pt>
                <c:pt idx="2">
                  <c:v>1.0116464813246194E-3</c:v>
                </c:pt>
                <c:pt idx="3">
                  <c:v>1.0133417511923532E-3</c:v>
                </c:pt>
                <c:pt idx="4">
                  <c:v>1.0150315005412983E-3</c:v>
                </c:pt>
                <c:pt idx="5">
                  <c:v>1.0167157402735478E-3</c:v>
                </c:pt>
                <c:pt idx="6">
                  <c:v>1.0217355107910565E-3</c:v>
                </c:pt>
                <c:pt idx="7">
                  <c:v>1.0233978210774572E-3</c:v>
                </c:pt>
                <c:pt idx="8">
                  <c:v>1.0250546762576283E-3</c:v>
                </c:pt>
                <c:pt idx="9">
                  <c:v>1.0267060872336639E-3</c:v>
                </c:pt>
                <c:pt idx="10">
                  <c:v>1.0283520649076571E-3</c:v>
                </c:pt>
                <c:pt idx="11">
                  <c:v>1.0332575071383139E-3</c:v>
                </c:pt>
                <c:pt idx="12">
                  <c:v>1.0348818606250698E-3</c:v>
                </c:pt>
                <c:pt idx="13">
                  <c:v>1.0365008353202495E-3</c:v>
                </c:pt>
                <c:pt idx="14">
                  <c:v>1.0381144421259462E-3</c:v>
                </c:pt>
                <c:pt idx="15">
                  <c:v>1.0397226919442537E-3</c:v>
                </c:pt>
                <c:pt idx="16">
                  <c:v>1.044515408495771E-3</c:v>
                </c:pt>
                <c:pt idx="17">
                  <c:v>1.0461023393854528E-3</c:v>
                </c:pt>
                <c:pt idx="18">
                  <c:v>1.0476839677982116E-3</c:v>
                </c:pt>
                <c:pt idx="19">
                  <c:v>1.0492603046361403E-3</c:v>
                </c:pt>
                <c:pt idx="20">
                  <c:v>1.0508313608013325E-3</c:v>
                </c:pt>
                <c:pt idx="21">
                  <c:v>1.0555129542814223E-3</c:v>
                </c:pt>
                <c:pt idx="22">
                  <c:v>1.057062996776601E-3</c:v>
                </c:pt>
                <c:pt idx="23">
                  <c:v>1.058607813109509E-3</c:v>
                </c:pt>
                <c:pt idx="24">
                  <c:v>1.0601474141822408E-3</c:v>
                </c:pt>
                <c:pt idx="25">
                  <c:v>1.0616818108968886E-3</c:v>
                </c:pt>
                <c:pt idx="26">
                  <c:v>1.0662538839132625E-3</c:v>
                </c:pt>
                <c:pt idx="27">
                  <c:v>1.0677675722165086E-3</c:v>
                </c:pt>
                <c:pt idx="28">
                  <c:v>1.0692761106721376E-3</c:v>
                </c:pt>
                <c:pt idx="29">
                  <c:v>1.0707795101822424E-3</c:v>
                </c:pt>
                <c:pt idx="30">
                  <c:v>1.0722777816489161E-3</c:v>
                </c:pt>
                <c:pt idx="31">
                  <c:v>1.0767419368092872E-3</c:v>
                </c:pt>
                <c:pt idx="32">
                  <c:v>1.0782198051231715E-3</c:v>
                </c:pt>
                <c:pt idx="33">
                  <c:v>1.079692599904091E-3</c:v>
                </c:pt>
                <c:pt idx="34">
                  <c:v>1.0811603320541399E-3</c:v>
                </c:pt>
                <c:pt idx="35">
                  <c:v>1.0826230124754109E-3</c:v>
                </c:pt>
                <c:pt idx="36">
                  <c:v>1.0869808523874902E-3</c:v>
                </c:pt>
                <c:pt idx="37">
                  <c:v>1.0884234349145833E-3</c:v>
                </c:pt>
                <c:pt idx="38">
                  <c:v>1.089861020223365E-3</c:v>
                </c:pt>
                <c:pt idx="39">
                  <c:v>1.0912936192159284E-3</c:v>
                </c:pt>
                <c:pt idx="40">
                  <c:v>1.0927212427943669E-3</c:v>
                </c:pt>
                <c:pt idx="41">
                  <c:v>1.0969743700658672E-3</c:v>
                </c:pt>
                <c:pt idx="42">
                  <c:v>1.0983822010087393E-3</c:v>
                </c:pt>
                <c:pt idx="43">
                  <c:v>1.0997851110479534E-3</c:v>
                </c:pt>
                <c:pt idx="44">
                  <c:v>1.1011831110856022E-3</c:v>
                </c:pt>
                <c:pt idx="45">
                  <c:v>1.1025762120237795E-3</c:v>
                </c:pt>
                <c:pt idx="46">
                  <c:v>1.1067262292624122E-3</c:v>
                </c:pt>
                <c:pt idx="47">
                  <c:v>1.1080998428236349E-3</c:v>
                </c:pt>
                <c:pt idx="48">
                  <c:v>1.109468611795852E-3</c:v>
                </c:pt>
                <c:pt idx="49">
                  <c:v>1.1108325470811568E-3</c:v>
                </c:pt>
                <c:pt idx="50">
                  <c:v>1.112191659581643E-3</c:v>
                </c:pt>
                <c:pt idx="51">
                  <c:v>1.1162401693951209E-3</c:v>
                </c:pt>
                <c:pt idx="52">
                  <c:v>1.1175800997772641E-3</c:v>
                </c:pt>
                <c:pt idx="53">
                  <c:v>1.1189152618850551E-3</c:v>
                </c:pt>
                <c:pt idx="54">
                  <c:v>1.1202456666205868E-3</c:v>
                </c:pt>
                <c:pt idx="55">
                  <c:v>1.1215713248859524E-3</c:v>
                </c:pt>
                <c:pt idx="56">
                  <c:v>1.1255199298819873E-3</c:v>
                </c:pt>
                <c:pt idx="57">
                  <c:v>1.1268267112876222E-3</c:v>
                </c:pt>
                <c:pt idx="58">
                  <c:v>1.1281288007335575E-3</c:v>
                </c:pt>
                <c:pt idx="59">
                  <c:v>1.1294262091218867E-3</c:v>
                </c:pt>
                <c:pt idx="60">
                  <c:v>1.1345692501410066E-3</c:v>
                </c:pt>
                <c:pt idx="61">
                  <c:v>1.1358434167727039E-3</c:v>
                </c:pt>
                <c:pt idx="62">
                  <c:v>1.1371129677593547E-3</c:v>
                </c:pt>
                <c:pt idx="63">
                  <c:v>1.1383779140030519E-3</c:v>
                </c:pt>
                <c:pt idx="64">
                  <c:v>1.1433918695901739E-3</c:v>
                </c:pt>
                <c:pt idx="65">
                  <c:v>1.1446339556505038E-3</c:v>
                </c:pt>
                <c:pt idx="66">
                  <c:v>1.1458715023804405E-3</c:v>
                </c:pt>
                <c:pt idx="67">
                  <c:v>1.1471045206820766E-3</c:v>
                </c:pt>
                <c:pt idx="68">
                  <c:v>1.1483330214575058E-3</c:v>
                </c:pt>
                <c:pt idx="69">
                  <c:v>1.1519915276474834E-3</c:v>
                </c:pt>
                <c:pt idx="70">
                  <c:v>1.1532020673390173E-3</c:v>
                </c:pt>
                <c:pt idx="71">
                  <c:v>1.1544081440148103E-3</c:v>
                </c:pt>
                <c:pt idx="72">
                  <c:v>1.1556097685769557E-3</c:v>
                </c:pt>
                <c:pt idx="73">
                  <c:v>1.1568069519275474E-3</c:v>
                </c:pt>
                <c:pt idx="74">
                  <c:v>1.1603719637309307E-3</c:v>
                </c:pt>
                <c:pt idx="75">
                  <c:v>1.1615514912562384E-3</c:v>
                </c:pt>
                <c:pt idx="76">
                  <c:v>1.1627266320804589E-3</c:v>
                </c:pt>
                <c:pt idx="77">
                  <c:v>1.1638973971056848E-3</c:v>
                </c:pt>
                <c:pt idx="78">
                  <c:v>1.1650637972340097E-3</c:v>
                </c:pt>
                <c:pt idx="79">
                  <c:v>1.1685369172585098E-3</c:v>
                </c:pt>
                <c:pt idx="80">
                  <c:v>1.1696859668201629E-3</c:v>
                </c:pt>
                <c:pt idx="81">
                  <c:v>1.1708307059953812E-3</c:v>
                </c:pt>
                <c:pt idx="82">
                  <c:v>1.1719711456862577E-3</c:v>
                </c:pt>
                <c:pt idx="83">
                  <c:v>1.1731072967948865E-3</c:v>
                </c:pt>
                <c:pt idx="84">
                  <c:v>1.1764901276482159E-3</c:v>
                </c:pt>
                <c:pt idx="85">
                  <c:v>1.1776092334487846E-3</c:v>
                </c:pt>
                <c:pt idx="86">
                  <c:v>1.1787241051775716E-3</c:v>
                </c:pt>
                <c:pt idx="87">
                  <c:v>1.1798347537366701E-3</c:v>
                </c:pt>
                <c:pt idx="88">
                  <c:v>1.1809411900281731E-3</c:v>
                </c:pt>
                <c:pt idx="89">
                  <c:v>1.1842353343180442E-3</c:v>
                </c:pt>
                <c:pt idx="90">
                  <c:v>1.185325030560099E-3</c:v>
                </c:pt>
                <c:pt idx="91">
                  <c:v>1.1864105690450254E-3</c:v>
                </c:pt>
                <c:pt idx="92">
                  <c:v>1.1874919606749161E-3</c:v>
                </c:pt>
                <c:pt idx="93">
                  <c:v>1.1885692163518646E-3</c:v>
                </c:pt>
                <c:pt idx="94">
                  <c:v>1.1917762766859889E-3</c:v>
                </c:pt>
                <c:pt idx="95">
                  <c:v>1.192837097572101E-3</c:v>
                </c:pt>
                <c:pt idx="96">
                  <c:v>1.1938938370157372E-3</c:v>
                </c:pt>
                <c:pt idx="97">
                  <c:v>1.1949465059189906E-3</c:v>
                </c:pt>
                <c:pt idx="98">
                  <c:v>1.1959951151839551E-3</c:v>
                </c:pt>
                <c:pt idx="99">
                  <c:v>1.1991166941700451E-3</c:v>
                </c:pt>
                <c:pt idx="100">
                  <c:v>1.2001491739027849E-3</c:v>
                </c:pt>
                <c:pt idx="101">
                  <c:v>1.2011776485077019E-3</c:v>
                </c:pt>
                <c:pt idx="102">
                  <c:v>1.2022021288868891E-3</c:v>
                </c:pt>
                <c:pt idx="103">
                  <c:v>1.2032226259424399E-3</c:v>
                </c:pt>
                <c:pt idx="104">
                  <c:v>1.2062603261882075E-3</c:v>
                </c:pt>
                <c:pt idx="105">
                  <c:v>1.207264998970146E-3</c:v>
                </c:pt>
                <c:pt idx="106">
                  <c:v>1.2082657429389144E-3</c:v>
                </c:pt>
                <c:pt idx="107">
                  <c:v>1.2092625689966057E-3</c:v>
                </c:pt>
                <c:pt idx="108">
                  <c:v>1.2102554880453142E-3</c:v>
                </c:pt>
                <c:pt idx="109">
                  <c:v>1.2132109121584711E-3</c:v>
                </c:pt>
                <c:pt idx="110">
                  <c:v>1.2141883121921787E-3</c:v>
                </c:pt>
                <c:pt idx="111">
                  <c:v>1.2151618597273691E-3</c:v>
                </c:pt>
                <c:pt idx="112">
                  <c:v>1.2161315656661357E-3</c:v>
                </c:pt>
                <c:pt idx="113">
                  <c:v>1.217097440910572E-3</c:v>
                </c:pt>
                <c:pt idx="114">
                  <c:v>1.2199721914988311E-3</c:v>
                </c:pt>
                <c:pt idx="115">
                  <c:v>1.2209228529868779E-3</c:v>
                </c:pt>
                <c:pt idx="116">
                  <c:v>1.2218697382910613E-3</c:v>
                </c:pt>
                <c:pt idx="117">
                  <c:v>1.2228128583134737E-3</c:v>
                </c:pt>
                <c:pt idx="118">
                  <c:v>1.2237522239562087E-3</c:v>
                </c:pt>
                <c:pt idx="119">
                  <c:v>1.2265479036272812E-3</c:v>
                </c:pt>
                <c:pt idx="120">
                  <c:v>1.227472360772239E-3</c:v>
                </c:pt>
                <c:pt idx="121">
                  <c:v>1.2283931180479858E-3</c:v>
                </c:pt>
                <c:pt idx="122">
                  <c:v>1.2293101863566143E-3</c:v>
                </c:pt>
                <c:pt idx="123">
                  <c:v>1.2338405749662562E-3</c:v>
                </c:pt>
                <c:pt idx="124">
                  <c:v>1.2347357384161369E-3</c:v>
                </c:pt>
                <c:pt idx="125">
                  <c:v>1.2356272892135528E-3</c:v>
                </c:pt>
                <c:pt idx="126">
                  <c:v>1.2365152382605973E-3</c:v>
                </c:pt>
                <c:pt idx="127">
                  <c:v>1.2391575839204338E-3</c:v>
                </c:pt>
                <c:pt idx="128">
                  <c:v>1.2400312349869244E-3</c:v>
                </c:pt>
                <c:pt idx="129">
                  <c:v>1.2409013388135102E-3</c:v>
                </c:pt>
                <c:pt idx="130">
                  <c:v>1.2417679063022838E-3</c:v>
                </c:pt>
                <c:pt idx="131">
                  <c:v>1.2426309483553389E-3</c:v>
                </c:pt>
                <c:pt idx="132">
                  <c:v>1.2451990309211253E-3</c:v>
                </c:pt>
                <c:pt idx="133">
                  <c:v>1.2460480802522387E-3</c:v>
                </c:pt>
                <c:pt idx="134">
                  <c:v>1.2468936586580999E-3</c:v>
                </c:pt>
                <c:pt idx="135">
                  <c:v>1.2477357770408022E-3</c:v>
                </c:pt>
                <c:pt idx="136">
                  <c:v>1.2485744463024387E-3</c:v>
                </c:pt>
                <c:pt idx="137">
                  <c:v>1.2510698683818871E-3</c:v>
                </c:pt>
                <c:pt idx="138">
                  <c:v>1.2518948501801935E-3</c:v>
                </c:pt>
                <c:pt idx="139">
                  <c:v>1.2527164373679011E-3</c:v>
                </c:pt>
                <c:pt idx="140">
                  <c:v>1.2535346408471025E-3</c:v>
                </c:pt>
                <c:pt idx="141">
                  <c:v>1.2543494715198911E-3</c:v>
                </c:pt>
                <c:pt idx="142">
                  <c:v>1.2567738357207136E-3</c:v>
                </c:pt>
                <c:pt idx="143">
                  <c:v>1.2575752841887842E-3</c:v>
                </c:pt>
                <c:pt idx="144">
                  <c:v>1.2583734143609086E-3</c:v>
                </c:pt>
                <c:pt idx="145">
                  <c:v>1.2591682371391798E-3</c:v>
                </c:pt>
                <c:pt idx="146">
                  <c:v>1.2599597634256913E-3</c:v>
                </c:pt>
                <c:pt idx="147">
                  <c:v>1.2623146723556001E-3</c:v>
                </c:pt>
                <c:pt idx="148">
                  <c:v>1.2630931216960053E-3</c:v>
                </c:pt>
                <c:pt idx="149">
                  <c:v>1.2638683290551172E-3</c:v>
                </c:pt>
                <c:pt idx="150">
                  <c:v>1.264640305335029E-3</c:v>
                </c:pt>
                <c:pt idx="151">
                  <c:v>1.2654090614378339E-3</c:v>
                </c:pt>
                <c:pt idx="152">
                  <c:v>1.2676961177045408E-3</c:v>
                </c:pt>
                <c:pt idx="153">
                  <c:v>1.2684521021198516E-3</c:v>
                </c:pt>
                <c:pt idx="154">
                  <c:v>1.2692049208685217E-3</c:v>
                </c:pt>
                <c:pt idx="155">
                  <c:v>1.2699545848526448E-3</c:v>
                </c:pt>
                <c:pt idx="156">
                  <c:v>1.2707011049743137E-3</c:v>
                </c:pt>
                <c:pt idx="157">
                  <c:v>1.2729219111855309E-3</c:v>
                </c:pt>
                <c:pt idx="158">
                  <c:v>1.2736559648783177E-3</c:v>
                </c:pt>
                <c:pt idx="159">
                  <c:v>1.2743869292191168E-3</c:v>
                </c:pt>
                <c:pt idx="160">
                  <c:v>1.2751148151100219E-3</c:v>
                </c:pt>
                <c:pt idx="161">
                  <c:v>1.2758396334531256E-3</c:v>
                </c:pt>
                <c:pt idx="162">
                  <c:v>1.2779957922165654E-3</c:v>
                </c:pt>
                <c:pt idx="163">
                  <c:v>1.2787084493893985E-3</c:v>
                </c:pt>
                <c:pt idx="164">
                  <c:v>1.2794180935248975E-3</c:v>
                </c:pt>
                <c:pt idx="165">
                  <c:v>1.2801247355251552E-3</c:v>
                </c:pt>
                <c:pt idx="166">
                  <c:v>1.2808283862922648E-3</c:v>
                </c:pt>
                <c:pt idx="167">
                  <c:v>1.2829215002156389E-3</c:v>
                </c:pt>
                <c:pt idx="168">
                  <c:v>1.2836132950710896E-3</c:v>
                </c:pt>
                <c:pt idx="169">
                  <c:v>1.2843021532038586E-3</c:v>
                </c:pt>
                <c:pt idx="170">
                  <c:v>1.2849880855160395E-3</c:v>
                </c:pt>
                <c:pt idx="171">
                  <c:v>1.2856711029097254E-3</c:v>
                </c:pt>
                <c:pt idx="172">
                  <c:v>1.2877027746007461E-3</c:v>
                </c:pt>
                <c:pt idx="173">
                  <c:v>1.2883742413413849E-3</c:v>
                </c:pt>
                <c:pt idx="174">
                  <c:v>1.289042847673995E-3</c:v>
                </c:pt>
                <c:pt idx="175">
                  <c:v>1.2897086045006701E-3</c:v>
                </c:pt>
                <c:pt idx="176">
                  <c:v>1.2903715227235029E-3</c:v>
                </c:pt>
                <c:pt idx="177">
                  <c:v>1.2923433547898822E-3</c:v>
                </c:pt>
                <c:pt idx="178">
                  <c:v>1.2929950276182795E-3</c:v>
                </c:pt>
                <c:pt idx="179">
                  <c:v>1.2936439163533018E-3</c:v>
                </c:pt>
                <c:pt idx="180">
                  <c:v>1.2942900318970412E-3</c:v>
                </c:pt>
                <c:pt idx="181">
                  <c:v>1.2949333851515915E-3</c:v>
                </c:pt>
                <c:pt idx="182">
                  <c:v>1.2968469802010414E-3</c:v>
                </c:pt>
                <c:pt idx="183">
                  <c:v>1.2974793933197685E-3</c:v>
                </c:pt>
                <c:pt idx="184">
                  <c:v>1.2981090986597728E-3</c:v>
                </c:pt>
                <c:pt idx="185">
                  <c:v>1.2987361071231478E-3</c:v>
                </c:pt>
                <c:pt idx="186">
                  <c:v>1.2993604296119869E-3</c:v>
                </c:pt>
                <c:pt idx="187">
                  <c:v>1.3012173902522193E-3</c:v>
                </c:pt>
                <c:pt idx="188">
                  <c:v>1.3018310778638463E-3</c:v>
                </c:pt>
                <c:pt idx="189">
                  <c:v>1.3024421340114038E-3</c:v>
                </c:pt>
                <c:pt idx="190">
                  <c:v>1.3030505695969846E-3</c:v>
                </c:pt>
                <c:pt idx="191">
                  <c:v>1.3036563955226828E-3</c:v>
                </c:pt>
                <c:pt idx="192">
                  <c:v>1.3054583243614099E-3</c:v>
                </c:pt>
                <c:pt idx="193">
                  <c:v>1.3060538206685081E-3</c:v>
                </c:pt>
                <c:pt idx="194">
                  <c:v>1.3066467618261894E-3</c:v>
                </c:pt>
                <c:pt idx="195">
                  <c:v>1.3072371587365471E-3</c:v>
                </c:pt>
                <c:pt idx="196">
                  <c:v>1.3078250223016745E-3</c:v>
                </c:pt>
                <c:pt idx="197">
                  <c:v>1.3095735219466088E-3</c:v>
                </c:pt>
                <c:pt idx="198">
                  <c:v>1.3101513611517485E-3</c:v>
                </c:pt>
                <c:pt idx="199">
                  <c:v>1.3107267215221241E-3</c:v>
                </c:pt>
                <c:pt idx="200">
                  <c:v>1.3112996139598293E-3</c:v>
                </c:pt>
                <c:pt idx="201">
                  <c:v>1.3118700493669573E-3</c:v>
                </c:pt>
                <c:pt idx="202">
                  <c:v>1.3135667224258105E-3</c:v>
                </c:pt>
                <c:pt idx="203">
                  <c:v>1.3141274387315622E-3</c:v>
                </c:pt>
                <c:pt idx="204">
                  <c:v>1.3146857525172032E-3</c:v>
                </c:pt>
                <c:pt idx="205">
                  <c:v>1.3152416746848266E-3</c:v>
                </c:pt>
                <c:pt idx="206">
                  <c:v>1.3157952161365256E-3</c:v>
                </c:pt>
                <c:pt idx="207">
                  <c:v>1.3174416652170097E-3</c:v>
                </c:pt>
                <c:pt idx="208">
                  <c:v>1.3179857928259443E-3</c:v>
                </c:pt>
                <c:pt idx="209">
                  <c:v>1.318527594229421E-3</c:v>
                </c:pt>
                <c:pt idx="210">
                  <c:v>1.3190670803295331E-3</c:v>
                </c:pt>
                <c:pt idx="211">
                  <c:v>1.3196042620283741E-3</c:v>
                </c:pt>
                <c:pt idx="212">
                  <c:v>1.3212020897382013E-3</c:v>
                </c:pt>
                <c:pt idx="213">
                  <c:v>1.3217301628528893E-3</c:v>
                </c:pt>
                <c:pt idx="214">
                  <c:v>1.3222559860767726E-3</c:v>
                </c:pt>
                <c:pt idx="215">
                  <c:v>1.3227795703119444E-3</c:v>
                </c:pt>
                <c:pt idx="216">
                  <c:v>1.3233009264604976E-3</c:v>
                </c:pt>
                <c:pt idx="217">
                  <c:v>1.3248517354073801E-3</c:v>
                </c:pt>
                <c:pt idx="218">
                  <c:v>1.3253642882303926E-3</c:v>
                </c:pt>
                <c:pt idx="219">
                  <c:v>1.3258746674772533E-3</c:v>
                </c:pt>
                <c:pt idx="220">
                  <c:v>1.3263828840500548E-3</c:v>
                </c:pt>
                <c:pt idx="221">
                  <c:v>1.3268889488508913E-3</c:v>
                </c:pt>
                <c:pt idx="222">
                  <c:v>1.328394341642541E-3</c:v>
                </c:pt>
                <c:pt idx="223">
                  <c:v>1.3288919083764485E-3</c:v>
                </c:pt>
                <c:pt idx="224">
                  <c:v>1.329387377848857E-3</c:v>
                </c:pt>
                <c:pt idx="225">
                  <c:v>1.3298807609618596E-3</c:v>
                </c:pt>
                <c:pt idx="226">
                  <c:v>1.33037206861755E-3</c:v>
                </c:pt>
                <c:pt idx="227">
                  <c:v>1.3318336478616787E-3</c:v>
                </c:pt>
                <c:pt idx="228">
                  <c:v>1.3323167627090518E-3</c:v>
                </c:pt>
                <c:pt idx="229">
                  <c:v>1.332797856609579E-3</c:v>
                </c:pt>
                <c:pt idx="230">
                  <c:v>1.3332769404653534E-3</c:v>
                </c:pt>
                <c:pt idx="231">
                  <c:v>1.3337540251784682E-3</c:v>
                </c:pt>
                <c:pt idx="232">
                  <c:v>1.3351733934827881E-3</c:v>
                </c:pt>
                <c:pt idx="233">
                  <c:v>1.3356425906461977E-3</c:v>
                </c:pt>
                <c:pt idx="234">
                  <c:v>1.3361098431774142E-3</c:v>
                </c:pt>
                <c:pt idx="235">
                  <c:v>1.3365751619785309E-3</c:v>
                </c:pt>
                <c:pt idx="236">
                  <c:v>1.3370385579516409E-3</c:v>
                </c:pt>
                <c:pt idx="237">
                  <c:v>1.3384173179238643E-3</c:v>
                </c:pt>
                <c:pt idx="238">
                  <c:v>1.3388731316058807E-3</c:v>
                </c:pt>
                <c:pt idx="239">
                  <c:v>1.3393270769703571E-3</c:v>
                </c:pt>
                <c:pt idx="240">
                  <c:v>1.3397791649193867E-3</c:v>
                </c:pt>
                <c:pt idx="241">
                  <c:v>1.340229406355063E-3</c:v>
                </c:pt>
                <c:pt idx="242">
                  <c:v>1.3415691606029018E-3</c:v>
                </c:pt>
                <c:pt idx="243">
                  <c:v>1.342012125006096E-3</c:v>
                </c:pt>
                <c:pt idx="244">
                  <c:v>1.3424532974064033E-3</c:v>
                </c:pt>
                <c:pt idx="245">
                  <c:v>1.3428926887059161E-3</c:v>
                </c:pt>
                <c:pt idx="246">
                  <c:v>1.3433303098067287E-3</c:v>
                </c:pt>
                <c:pt idx="247">
                  <c:v>1.3446326609378952E-3</c:v>
                </c:pt>
                <c:pt idx="248">
                  <c:v>1.3450633102648382E-3</c:v>
                </c:pt>
                <c:pt idx="249">
                  <c:v>1.3454922439035467E-3</c:v>
                </c:pt>
                <c:pt idx="250">
                  <c:v>1.3459194727561141E-3</c:v>
                </c:pt>
                <c:pt idx="251">
                  <c:v>1.3463450077246337E-3</c:v>
                </c:pt>
                <c:pt idx="252">
                  <c:v>1.34761155834684E-3</c:v>
                </c:pt>
                <c:pt idx="253">
                  <c:v>1.3480304268001018E-3</c:v>
                </c:pt>
                <c:pt idx="254">
                  <c:v>1.3484476558797824E-3</c:v>
                </c:pt>
                <c:pt idx="255">
                  <c:v>1.3488632564879748E-3</c:v>
                </c:pt>
                <c:pt idx="256">
                  <c:v>1.3492772395267728E-3</c:v>
                </c:pt>
                <c:pt idx="257">
                  <c:v>1.3505095922477302E-3</c:v>
                </c:pt>
                <c:pt idx="258">
                  <c:v>1.3509172140298818E-3</c:v>
                </c:pt>
                <c:pt idx="259">
                  <c:v>1.3513232727531052E-3</c:v>
                </c:pt>
              </c:numCache>
            </c:numRef>
          </c:yVal>
          <c:smooth val="0"/>
        </c:ser>
        <c:ser>
          <c:idx val="2"/>
          <c:order val="3"/>
          <c:tx>
            <c:v>Basis Futures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solidFill>
                  <a:schemeClr val="accent3">
                    <a:lumMod val="50000"/>
                  </a:schemeClr>
                </a:solidFill>
              </a:ln>
            </c:spPr>
          </c:marker>
          <c:xVal>
            <c:numRef>
              <c:f>'3MSynthDepo_used'!$G$17:$G$21</c:f>
              <c:numCache>
                <c:formatCode>d\-mmm\-yy</c:formatCode>
                <c:ptCount val="5"/>
                <c:pt idx="0">
                  <c:v>42298</c:v>
                </c:pt>
                <c:pt idx="1">
                  <c:v>42326</c:v>
                </c:pt>
                <c:pt idx="2">
                  <c:v>42354</c:v>
                </c:pt>
                <c:pt idx="3">
                  <c:v>42445</c:v>
                </c:pt>
                <c:pt idx="4">
                  <c:v>42536</c:v>
                </c:pt>
              </c:numCache>
            </c:numRef>
          </c:xVal>
          <c:yVal>
            <c:numRef>
              <c:f>'3MSynthDepo_used'!$K$17:$K$21</c:f>
              <c:numCache>
                <c:formatCode>0.0000%</c:formatCode>
                <c:ptCount val="5"/>
                <c:pt idx="0">
                  <c:v>1.050050552350118E-3</c:v>
                </c:pt>
                <c:pt idx="1">
                  <c:v>1.067432403064105E-3</c:v>
                </c:pt>
                <c:pt idx="2">
                  <c:v>1.1201424550333447E-3</c:v>
                </c:pt>
                <c:pt idx="3">
                  <c:v>1.2326191469251848E-3</c:v>
                </c:pt>
                <c:pt idx="4">
                  <c:v>1.2691215753092629E-3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094072"/>
        <c:axId val="720093288"/>
      </c:scatterChart>
      <c:valAx>
        <c:axId val="72009407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720093288"/>
        <c:crosses val="autoZero"/>
        <c:crossBetween val="midCat"/>
      </c:valAx>
      <c:valAx>
        <c:axId val="720093288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20094072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78579558080808076"/>
          <c:y val="0.5043522222222222"/>
          <c:w val="0.14733816551076812"/>
          <c:h val="0.2263900961418318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Continuous Basis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709973753280843E-2"/>
          <c:y val="1.8266641777536428E-2"/>
          <c:w val="0.91118569119257442"/>
          <c:h val="0.93730079509660247"/>
        </c:manualLayout>
      </c:layout>
      <c:scatterChart>
        <c:scatterStyle val="lineMarker"/>
        <c:varyColors val="0"/>
        <c:ser>
          <c:idx val="4"/>
          <c:order val="0"/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'3MSynthDepo_used'!$R$3:$R$69</c:f>
              <c:numCache>
                <c:formatCode>d\-mmm\-yy</c:formatCode>
                <c:ptCount val="67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</c:numCache>
            </c:numRef>
          </c:xVal>
          <c:yVal>
            <c:numRef>
              <c:f>'3MSynthDepo_used'!$U$3:$U$69</c:f>
              <c:numCache>
                <c:formatCode>0.0000%</c:formatCode>
                <c:ptCount val="67"/>
                <c:pt idx="0">
                  <c:v>9.1861554499729752E-4</c:v>
                </c:pt>
                <c:pt idx="1">
                  <c:v>9.2457066181654123E-4</c:v>
                </c:pt>
                <c:pt idx="2">
                  <c:v>9.2654356254415736E-4</c:v>
                </c:pt>
                <c:pt idx="3">
                  <c:v>9.2851041233586317E-4</c:v>
                </c:pt>
                <c:pt idx="4">
                  <c:v>9.3047122209375191E-4</c:v>
                </c:pt>
                <c:pt idx="5">
                  <c:v>9.3242600271991672E-4</c:v>
                </c:pt>
                <c:pt idx="6">
                  <c:v>9.3825427882900136E-4</c:v>
                </c:pt>
                <c:pt idx="7">
                  <c:v>9.4018505194920369E-4</c:v>
                </c:pt>
                <c:pt idx="8">
                  <c:v>9.4210985044814865E-4</c:v>
                </c:pt>
                <c:pt idx="9">
                  <c:v>9.4402868522792938E-4</c:v>
                </c:pt>
                <c:pt idx="10">
                  <c:v>9.4594156719063924E-4</c:v>
                </c:pt>
                <c:pt idx="11">
                  <c:v>9.516446051972766E-4</c:v>
                </c:pt>
                <c:pt idx="12">
                  <c:v>9.5353378491263587E-4</c:v>
                </c:pt>
                <c:pt idx="13">
                  <c:v>9.5541706632139073E-4</c:v>
                </c:pt>
                <c:pt idx="14">
                  <c:v>9.5729446032563419E-4</c:v>
                </c:pt>
                <c:pt idx="15">
                  <c:v>9.5916597782745984E-4</c:v>
                </c:pt>
                <c:pt idx="16">
                  <c:v>9.6474538033936204E-4</c:v>
                </c:pt>
                <c:pt idx="17">
                  <c:v>9.6659350085244889E-4</c:v>
                </c:pt>
                <c:pt idx="18">
                  <c:v>9.6843579937358417E-4</c:v>
                </c:pt>
                <c:pt idx="19">
                  <c:v>9.7027228680486122E-4</c:v>
                </c:pt>
                <c:pt idx="20">
                  <c:v>9.721029740483734E-4</c:v>
                </c:pt>
                <c:pt idx="21">
                  <c:v>9.7756034367325255E-4</c:v>
                </c:pt>
                <c:pt idx="22">
                  <c:v>9.7936793918663762E-4</c:v>
                </c:pt>
                <c:pt idx="23">
                  <c:v>9.8116978902272394E-4</c:v>
                </c:pt>
                <c:pt idx="24">
                  <c:v>9.8296590408360543E-4</c:v>
                </c:pt>
                <c:pt idx="25">
                  <c:v>9.8475629527137445E-4</c:v>
                </c:pt>
                <c:pt idx="26">
                  <c:v>9.9009323461694268E-4</c:v>
                </c:pt>
                <c:pt idx="27">
                  <c:v>9.918608393331967E-4</c:v>
                </c:pt>
                <c:pt idx="28">
                  <c:v>9.9362277468680515E-4</c:v>
                </c:pt>
                <c:pt idx="29">
                  <c:v>9.9537905157986127E-4</c:v>
                </c:pt>
                <c:pt idx="30">
                  <c:v>9.9712968091445787E-4</c:v>
                </c:pt>
                <c:pt idx="31">
                  <c:v>1.0023477925884274E-3</c:v>
                </c:pt>
                <c:pt idx="32">
                  <c:v>1.0040759407101212E-3</c:v>
                </c:pt>
                <c:pt idx="33">
                  <c:v>1.005798495783822E-3</c:v>
                </c:pt>
                <c:pt idx="34">
                  <c:v>1.0075154687116236E-3</c:v>
                </c:pt>
                <c:pt idx="35">
                  <c:v>1.0092268703956191E-3</c:v>
                </c:pt>
                <c:pt idx="36">
                  <c:v>1.0143277570057016E-3</c:v>
                </c:pt>
                <c:pt idx="37">
                  <c:v>1.0160169827354059E-3</c:v>
                </c:pt>
                <c:pt idx="38">
                  <c:v>1.01770069173177E-3</c:v>
                </c:pt>
                <c:pt idx="39">
                  <c:v>1.0193788948968878E-3</c:v>
                </c:pt>
                <c:pt idx="40">
                  <c:v>1.0210516031328523E-3</c:v>
                </c:pt>
                <c:pt idx="41">
                  <c:v>1.0260368672867601E-3</c:v>
                </c:pt>
                <c:pt idx="42">
                  <c:v>1.027687704827045E-3</c:v>
                </c:pt>
                <c:pt idx="43">
                  <c:v>1.0293331019486432E-3</c:v>
                </c:pt>
                <c:pt idx="44">
                  <c:v>1.0309730695536477E-3</c:v>
                </c:pt>
                <c:pt idx="45">
                  <c:v>1.0326076185441524E-3</c:v>
                </c:pt>
                <c:pt idx="46">
                  <c:v>1.0374788628495976E-3</c:v>
                </c:pt>
                <c:pt idx="47">
                  <c:v>1.0390918464030343E-3</c:v>
                </c:pt>
                <c:pt idx="48">
                  <c:v>1.0406994658524371E-3</c:v>
                </c:pt>
                <c:pt idx="49">
                  <c:v>1.0423017320998994E-3</c:v>
                </c:pt>
                <c:pt idx="50">
                  <c:v>1.0438986560475146E-3</c:v>
                </c:pt>
                <c:pt idx="51">
                  <c:v>1.0486574831122092E-3</c:v>
                </c:pt>
                <c:pt idx="52">
                  <c:v>1.0502331468813682E-3</c:v>
                </c:pt>
                <c:pt idx="53">
                  <c:v>1.0518035228611463E-3</c:v>
                </c:pt>
                <c:pt idx="54">
                  <c:v>1.0533686219536367E-3</c:v>
                </c:pt>
                <c:pt idx="55">
                  <c:v>1.0549284550609328E-3</c:v>
                </c:pt>
                <c:pt idx="56">
                  <c:v>1.0595764674925889E-3</c:v>
                </c:pt>
                <c:pt idx="57">
                  <c:v>1.0611153456800411E-3</c:v>
                </c:pt>
                <c:pt idx="58">
                  <c:v>1.0626490123927653E-3</c:v>
                </c:pt>
                <c:pt idx="59">
                  <c:v>1.0641774785328548E-3</c:v>
                </c:pt>
                <c:pt idx="60">
                  <c:v>1.0702395554087329E-3</c:v>
                </c:pt>
                <c:pt idx="61">
                  <c:v>1.0717421822170486E-3</c:v>
                </c:pt>
                <c:pt idx="62">
                  <c:v>1.0732396738652897E-3</c:v>
                </c:pt>
                <c:pt idx="63">
                  <c:v>1.0747320412555486E-3</c:v>
                </c:pt>
                <c:pt idx="64">
                  <c:v>1.0806504862786346E-3</c:v>
                </c:pt>
                <c:pt idx="65">
                  <c:v>1.0821173959103848E-3</c:v>
                </c:pt>
                <c:pt idx="66">
                  <c:v>1.0835792466967133E-3</c:v>
                </c:pt>
              </c:numCache>
            </c:numRef>
          </c:yVal>
          <c:smooth val="0"/>
        </c:ser>
        <c:ser>
          <c:idx val="0"/>
          <c:order val="1"/>
          <c:marker>
            <c:symbol val="none"/>
          </c:marker>
          <c:xVal>
            <c:numRef>
              <c:f>'3MSynthDepo_used'!$R$70:$R$262</c:f>
              <c:numCache>
                <c:formatCode>d\-mmm\-yy</c:formatCode>
                <c:ptCount val="193"/>
                <c:pt idx="0">
                  <c:v>42376</c:v>
                </c:pt>
                <c:pt idx="1">
                  <c:v>42377</c:v>
                </c:pt>
                <c:pt idx="2">
                  <c:v>42380</c:v>
                </c:pt>
                <c:pt idx="3">
                  <c:v>42381</c:v>
                </c:pt>
                <c:pt idx="4">
                  <c:v>42382</c:v>
                </c:pt>
                <c:pt idx="5">
                  <c:v>42383</c:v>
                </c:pt>
                <c:pt idx="6">
                  <c:v>42384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42394</c:v>
                </c:pt>
                <c:pt idx="13">
                  <c:v>42395</c:v>
                </c:pt>
                <c:pt idx="14">
                  <c:v>42396</c:v>
                </c:pt>
                <c:pt idx="15">
                  <c:v>42397</c:v>
                </c:pt>
                <c:pt idx="16">
                  <c:v>42398</c:v>
                </c:pt>
                <c:pt idx="17">
                  <c:v>42401</c:v>
                </c:pt>
                <c:pt idx="18">
                  <c:v>42402</c:v>
                </c:pt>
                <c:pt idx="19">
                  <c:v>42403</c:v>
                </c:pt>
                <c:pt idx="20">
                  <c:v>42404</c:v>
                </c:pt>
                <c:pt idx="21">
                  <c:v>42405</c:v>
                </c:pt>
                <c:pt idx="22">
                  <c:v>42408</c:v>
                </c:pt>
                <c:pt idx="23">
                  <c:v>42409</c:v>
                </c:pt>
                <c:pt idx="24">
                  <c:v>42410</c:v>
                </c:pt>
                <c:pt idx="25">
                  <c:v>42411</c:v>
                </c:pt>
                <c:pt idx="26">
                  <c:v>42412</c:v>
                </c:pt>
                <c:pt idx="27">
                  <c:v>42415</c:v>
                </c:pt>
                <c:pt idx="28">
                  <c:v>42416</c:v>
                </c:pt>
                <c:pt idx="29">
                  <c:v>42417</c:v>
                </c:pt>
                <c:pt idx="30">
                  <c:v>42418</c:v>
                </c:pt>
                <c:pt idx="31">
                  <c:v>42419</c:v>
                </c:pt>
                <c:pt idx="32">
                  <c:v>42422</c:v>
                </c:pt>
                <c:pt idx="33">
                  <c:v>42423</c:v>
                </c:pt>
                <c:pt idx="34">
                  <c:v>42424</c:v>
                </c:pt>
                <c:pt idx="35">
                  <c:v>42425</c:v>
                </c:pt>
                <c:pt idx="36">
                  <c:v>42426</c:v>
                </c:pt>
                <c:pt idx="37">
                  <c:v>42429</c:v>
                </c:pt>
                <c:pt idx="38">
                  <c:v>42430</c:v>
                </c:pt>
                <c:pt idx="39">
                  <c:v>42431</c:v>
                </c:pt>
                <c:pt idx="40">
                  <c:v>42432</c:v>
                </c:pt>
                <c:pt idx="41">
                  <c:v>42433</c:v>
                </c:pt>
                <c:pt idx="42">
                  <c:v>42436</c:v>
                </c:pt>
                <c:pt idx="43">
                  <c:v>42437</c:v>
                </c:pt>
                <c:pt idx="44">
                  <c:v>42438</c:v>
                </c:pt>
                <c:pt idx="45">
                  <c:v>42439</c:v>
                </c:pt>
                <c:pt idx="46">
                  <c:v>42440</c:v>
                </c:pt>
                <c:pt idx="47">
                  <c:v>42443</c:v>
                </c:pt>
                <c:pt idx="48">
                  <c:v>42444</c:v>
                </c:pt>
                <c:pt idx="49">
                  <c:v>42445</c:v>
                </c:pt>
                <c:pt idx="50">
                  <c:v>42446</c:v>
                </c:pt>
                <c:pt idx="51">
                  <c:v>42447</c:v>
                </c:pt>
                <c:pt idx="52">
                  <c:v>42450</c:v>
                </c:pt>
                <c:pt idx="53">
                  <c:v>42451</c:v>
                </c:pt>
                <c:pt idx="54">
                  <c:v>42452</c:v>
                </c:pt>
                <c:pt idx="55">
                  <c:v>42453</c:v>
                </c:pt>
                <c:pt idx="56">
                  <c:v>42458</c:v>
                </c:pt>
                <c:pt idx="57">
                  <c:v>42459</c:v>
                </c:pt>
                <c:pt idx="58">
                  <c:v>42460</c:v>
                </c:pt>
                <c:pt idx="59">
                  <c:v>42461</c:v>
                </c:pt>
                <c:pt idx="60">
                  <c:v>42464</c:v>
                </c:pt>
                <c:pt idx="61">
                  <c:v>42465</c:v>
                </c:pt>
                <c:pt idx="62">
                  <c:v>42466</c:v>
                </c:pt>
                <c:pt idx="63">
                  <c:v>42467</c:v>
                </c:pt>
                <c:pt idx="64">
                  <c:v>42468</c:v>
                </c:pt>
                <c:pt idx="65">
                  <c:v>42471</c:v>
                </c:pt>
                <c:pt idx="66">
                  <c:v>42472</c:v>
                </c:pt>
                <c:pt idx="67">
                  <c:v>42473</c:v>
                </c:pt>
                <c:pt idx="68">
                  <c:v>42474</c:v>
                </c:pt>
                <c:pt idx="69">
                  <c:v>42475</c:v>
                </c:pt>
                <c:pt idx="70">
                  <c:v>42478</c:v>
                </c:pt>
                <c:pt idx="71">
                  <c:v>42479</c:v>
                </c:pt>
                <c:pt idx="72">
                  <c:v>42480</c:v>
                </c:pt>
                <c:pt idx="73">
                  <c:v>42481</c:v>
                </c:pt>
                <c:pt idx="74">
                  <c:v>42482</c:v>
                </c:pt>
                <c:pt idx="75">
                  <c:v>42485</c:v>
                </c:pt>
                <c:pt idx="76">
                  <c:v>42486</c:v>
                </c:pt>
                <c:pt idx="77">
                  <c:v>42487</c:v>
                </c:pt>
                <c:pt idx="78">
                  <c:v>42488</c:v>
                </c:pt>
                <c:pt idx="79">
                  <c:v>42489</c:v>
                </c:pt>
                <c:pt idx="80">
                  <c:v>42492</c:v>
                </c:pt>
                <c:pt idx="81">
                  <c:v>42493</c:v>
                </c:pt>
                <c:pt idx="82">
                  <c:v>42494</c:v>
                </c:pt>
                <c:pt idx="83">
                  <c:v>42495</c:v>
                </c:pt>
                <c:pt idx="84">
                  <c:v>42496</c:v>
                </c:pt>
                <c:pt idx="85">
                  <c:v>42499</c:v>
                </c:pt>
                <c:pt idx="86">
                  <c:v>42500</c:v>
                </c:pt>
                <c:pt idx="87">
                  <c:v>42501</c:v>
                </c:pt>
                <c:pt idx="88">
                  <c:v>42502</c:v>
                </c:pt>
                <c:pt idx="89">
                  <c:v>42503</c:v>
                </c:pt>
                <c:pt idx="90">
                  <c:v>42506</c:v>
                </c:pt>
                <c:pt idx="91">
                  <c:v>42507</c:v>
                </c:pt>
                <c:pt idx="92">
                  <c:v>42508</c:v>
                </c:pt>
                <c:pt idx="93">
                  <c:v>42509</c:v>
                </c:pt>
                <c:pt idx="94">
                  <c:v>42510</c:v>
                </c:pt>
                <c:pt idx="95">
                  <c:v>42513</c:v>
                </c:pt>
                <c:pt idx="96">
                  <c:v>42514</c:v>
                </c:pt>
                <c:pt idx="97">
                  <c:v>42515</c:v>
                </c:pt>
                <c:pt idx="98">
                  <c:v>42516</c:v>
                </c:pt>
                <c:pt idx="99">
                  <c:v>42517</c:v>
                </c:pt>
                <c:pt idx="100">
                  <c:v>42520</c:v>
                </c:pt>
                <c:pt idx="101">
                  <c:v>42521</c:v>
                </c:pt>
                <c:pt idx="102">
                  <c:v>42522</c:v>
                </c:pt>
                <c:pt idx="103">
                  <c:v>42523</c:v>
                </c:pt>
                <c:pt idx="104">
                  <c:v>42524</c:v>
                </c:pt>
                <c:pt idx="105">
                  <c:v>42527</c:v>
                </c:pt>
                <c:pt idx="106">
                  <c:v>42528</c:v>
                </c:pt>
                <c:pt idx="107">
                  <c:v>42529</c:v>
                </c:pt>
                <c:pt idx="108">
                  <c:v>42530</c:v>
                </c:pt>
                <c:pt idx="109">
                  <c:v>42531</c:v>
                </c:pt>
                <c:pt idx="110">
                  <c:v>42534</c:v>
                </c:pt>
                <c:pt idx="111">
                  <c:v>42535</c:v>
                </c:pt>
                <c:pt idx="112">
                  <c:v>42536</c:v>
                </c:pt>
                <c:pt idx="113">
                  <c:v>42537</c:v>
                </c:pt>
                <c:pt idx="114">
                  <c:v>42538</c:v>
                </c:pt>
                <c:pt idx="115">
                  <c:v>42541</c:v>
                </c:pt>
                <c:pt idx="116">
                  <c:v>42542</c:v>
                </c:pt>
                <c:pt idx="117">
                  <c:v>42543</c:v>
                </c:pt>
                <c:pt idx="118">
                  <c:v>42544</c:v>
                </c:pt>
                <c:pt idx="119">
                  <c:v>42545</c:v>
                </c:pt>
                <c:pt idx="120">
                  <c:v>42548</c:v>
                </c:pt>
                <c:pt idx="121">
                  <c:v>42549</c:v>
                </c:pt>
                <c:pt idx="122">
                  <c:v>42550</c:v>
                </c:pt>
                <c:pt idx="123">
                  <c:v>42551</c:v>
                </c:pt>
                <c:pt idx="124">
                  <c:v>42552</c:v>
                </c:pt>
                <c:pt idx="125">
                  <c:v>42555</c:v>
                </c:pt>
                <c:pt idx="126">
                  <c:v>42556</c:v>
                </c:pt>
                <c:pt idx="127">
                  <c:v>42557</c:v>
                </c:pt>
                <c:pt idx="128">
                  <c:v>42558</c:v>
                </c:pt>
                <c:pt idx="129">
                  <c:v>42559</c:v>
                </c:pt>
                <c:pt idx="130">
                  <c:v>42562</c:v>
                </c:pt>
                <c:pt idx="131">
                  <c:v>42563</c:v>
                </c:pt>
                <c:pt idx="132">
                  <c:v>42564</c:v>
                </c:pt>
                <c:pt idx="133">
                  <c:v>42565</c:v>
                </c:pt>
                <c:pt idx="134">
                  <c:v>42566</c:v>
                </c:pt>
                <c:pt idx="135">
                  <c:v>42569</c:v>
                </c:pt>
                <c:pt idx="136">
                  <c:v>42570</c:v>
                </c:pt>
                <c:pt idx="137">
                  <c:v>42571</c:v>
                </c:pt>
                <c:pt idx="138">
                  <c:v>42572</c:v>
                </c:pt>
                <c:pt idx="139">
                  <c:v>42573</c:v>
                </c:pt>
                <c:pt idx="140">
                  <c:v>42576</c:v>
                </c:pt>
                <c:pt idx="141">
                  <c:v>42577</c:v>
                </c:pt>
                <c:pt idx="142">
                  <c:v>42578</c:v>
                </c:pt>
                <c:pt idx="143">
                  <c:v>42579</c:v>
                </c:pt>
                <c:pt idx="144">
                  <c:v>42580</c:v>
                </c:pt>
                <c:pt idx="145">
                  <c:v>42583</c:v>
                </c:pt>
                <c:pt idx="146">
                  <c:v>42584</c:v>
                </c:pt>
                <c:pt idx="147">
                  <c:v>42585</c:v>
                </c:pt>
                <c:pt idx="148">
                  <c:v>42586</c:v>
                </c:pt>
                <c:pt idx="149">
                  <c:v>42587</c:v>
                </c:pt>
                <c:pt idx="150">
                  <c:v>42590</c:v>
                </c:pt>
                <c:pt idx="151">
                  <c:v>42591</c:v>
                </c:pt>
                <c:pt idx="152">
                  <c:v>42592</c:v>
                </c:pt>
                <c:pt idx="153">
                  <c:v>42593</c:v>
                </c:pt>
                <c:pt idx="154">
                  <c:v>42594</c:v>
                </c:pt>
                <c:pt idx="155">
                  <c:v>42597</c:v>
                </c:pt>
                <c:pt idx="156">
                  <c:v>42598</c:v>
                </c:pt>
                <c:pt idx="157">
                  <c:v>42599</c:v>
                </c:pt>
                <c:pt idx="158">
                  <c:v>42600</c:v>
                </c:pt>
                <c:pt idx="159">
                  <c:v>42601</c:v>
                </c:pt>
                <c:pt idx="160">
                  <c:v>42604</c:v>
                </c:pt>
                <c:pt idx="161">
                  <c:v>42605</c:v>
                </c:pt>
                <c:pt idx="162">
                  <c:v>42606</c:v>
                </c:pt>
                <c:pt idx="163">
                  <c:v>42607</c:v>
                </c:pt>
                <c:pt idx="164">
                  <c:v>42608</c:v>
                </c:pt>
                <c:pt idx="165">
                  <c:v>42611</c:v>
                </c:pt>
                <c:pt idx="166">
                  <c:v>42612</c:v>
                </c:pt>
                <c:pt idx="167">
                  <c:v>42613</c:v>
                </c:pt>
                <c:pt idx="168">
                  <c:v>42614</c:v>
                </c:pt>
                <c:pt idx="169">
                  <c:v>42615</c:v>
                </c:pt>
                <c:pt idx="170">
                  <c:v>42618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</c:numCache>
            </c:numRef>
          </c:xVal>
          <c:yVal>
            <c:numRef>
              <c:f>'3MSynthDepo_used'!$U$70:$U$262</c:f>
              <c:numCache>
                <c:formatCode>0.0000%</c:formatCode>
                <c:ptCount val="193"/>
                <c:pt idx="0">
                  <c:v>1.0850360495397128E-3</c:v>
                </c:pt>
                <c:pt idx="1">
                  <c:v>1.086487815341477E-3</c:v>
                </c:pt>
                <c:pt idx="2">
                  <c:v>1.0908129995202899E-3</c:v>
                </c:pt>
                <c:pt idx="3">
                  <c:v>1.0922447261780452E-3</c:v>
                </c:pt>
                <c:pt idx="4">
                  <c:v>1.0936714703050315E-3</c:v>
                </c:pt>
                <c:pt idx="5">
                  <c:v>1.0950932428033422E-3</c:v>
                </c:pt>
                <c:pt idx="6">
                  <c:v>1.0965100545750706E-3</c:v>
                </c:pt>
                <c:pt idx="7">
                  <c:v>1.1007308345516932E-3</c:v>
                </c:pt>
                <c:pt idx="8">
                  <c:v>1.1021279124380241E-3</c:v>
                </c:pt>
                <c:pt idx="9">
                  <c:v>1.1035200841082392E-3</c:v>
                </c:pt>
                <c:pt idx="10">
                  <c:v>1.1049073604644315E-3</c:v>
                </c:pt>
                <c:pt idx="11">
                  <c:v>1.1062897524086947E-3</c:v>
                </c:pt>
                <c:pt idx="12">
                  <c:v>1.110407730790839E-3</c:v>
                </c:pt>
                <c:pt idx="13">
                  <c:v>1.1117706941083168E-3</c:v>
                </c:pt>
                <c:pt idx="14">
                  <c:v>1.1131288275243313E-3</c:v>
                </c:pt>
                <c:pt idx="15">
                  <c:v>1.1144821419409761E-3</c:v>
                </c:pt>
                <c:pt idx="16">
                  <c:v>1.1158306482603444E-3</c:v>
                </c:pt>
                <c:pt idx="17">
                  <c:v>1.1198474276557227E-3</c:v>
                </c:pt>
                <c:pt idx="18">
                  <c:v>1.1211768106069173E-3</c:v>
                </c:pt>
                <c:pt idx="19">
                  <c:v>1.1225014399713022E-3</c:v>
                </c:pt>
                <c:pt idx="20">
                  <c:v>1.1238213266509701E-3</c:v>
                </c:pt>
                <c:pt idx="21">
                  <c:v>1.1251364815480145E-3</c:v>
                </c:pt>
                <c:pt idx="22">
                  <c:v>1.1290536645643388E-3</c:v>
                </c:pt>
                <c:pt idx="23">
                  <c:v>1.1303500013518217E-3</c:v>
                </c:pt>
                <c:pt idx="24">
                  <c:v>1.1316416608671473E-3</c:v>
                </c:pt>
                <c:pt idx="25">
                  <c:v>1.132928654012409E-3</c:v>
                </c:pt>
                <c:pt idx="26">
                  <c:v>1.1342109916897001E-3</c:v>
                </c:pt>
                <c:pt idx="27">
                  <c:v>1.1380301809346821E-3</c:v>
                </c:pt>
                <c:pt idx="28">
                  <c:v>1.1392940057610235E-3</c:v>
                </c:pt>
                <c:pt idx="29">
                  <c:v>1.1405532296298608E-3</c:v>
                </c:pt>
                <c:pt idx="30">
                  <c:v>1.1418078634432868E-3</c:v>
                </c:pt>
                <c:pt idx="31">
                  <c:v>1.1430579181033954E-3</c:v>
                </c:pt>
                <c:pt idx="32">
                  <c:v>1.1467807161847478E-3</c:v>
                </c:pt>
                <c:pt idx="33">
                  <c:v>1.1480125632525183E-3</c:v>
                </c:pt>
                <c:pt idx="34">
                  <c:v>1.1492398856774377E-3</c:v>
                </c:pt>
                <c:pt idx="35">
                  <c:v>1.1504626943615989E-3</c:v>
                </c:pt>
                <c:pt idx="36">
                  <c:v>1.1516810002070955E-3</c:v>
                </c:pt>
                <c:pt idx="37">
                  <c:v>1.1553090097325301E-3</c:v>
                </c:pt>
                <c:pt idx="38">
                  <c:v>1.1565094132443008E-3</c:v>
                </c:pt>
                <c:pt idx="39">
                  <c:v>1.1577053684278733E-3</c:v>
                </c:pt>
                <c:pt idx="40">
                  <c:v>1.1588968861853401E-3</c:v>
                </c:pt>
                <c:pt idx="41">
                  <c:v>1.1600839774187958E-3</c:v>
                </c:pt>
                <c:pt idx="42">
                  <c:v>1.1636188009960242E-3</c:v>
                </c:pt>
                <c:pt idx="43">
                  <c:v>1.1647882951543655E-3</c:v>
                </c:pt>
                <c:pt idx="44">
                  <c:v>1.1659534172991613E-3</c:v>
                </c:pt>
                <c:pt idx="45">
                  <c:v>1.1671141783325051E-3</c:v>
                </c:pt>
                <c:pt idx="46">
                  <c:v>1.16827058915649E-3</c:v>
                </c:pt>
                <c:pt idx="47">
                  <c:v>1.1717138293932253E-3</c:v>
                </c:pt>
                <c:pt idx="48">
                  <c:v>1.1728529484007078E-3</c:v>
                </c:pt>
                <c:pt idx="49">
                  <c:v>1.1739877717092981E-3</c:v>
                </c:pt>
                <c:pt idx="50">
                  <c:v>1.175118310221089E-3</c:v>
                </c:pt>
                <c:pt idx="51">
                  <c:v>1.1762445748381741E-3</c:v>
                </c:pt>
                <c:pt idx="52">
                  <c:v>1.1795978343421274E-3</c:v>
                </c:pt>
                <c:pt idx="53">
                  <c:v>1.180707112401322E-3</c:v>
                </c:pt>
                <c:pt idx="54">
                  <c:v>1.1818121710762772E-3</c:v>
                </c:pt>
                <c:pt idx="55">
                  <c:v>1.1829130212690862E-3</c:v>
                </c:pt>
                <c:pt idx="56">
                  <c:v>1.1883545265742033E-3</c:v>
                </c:pt>
                <c:pt idx="57">
                  <c:v>1.189430354818094E-3</c:v>
                </c:pt>
                <c:pt idx="58">
                  <c:v>1.1905020508944915E-3</c:v>
                </c:pt>
                <c:pt idx="59">
                  <c:v>1.1915696257054893E-3</c:v>
                </c:pt>
                <c:pt idx="60">
                  <c:v>1.1947477315670154E-3</c:v>
                </c:pt>
                <c:pt idx="61">
                  <c:v>1.1957989303373461E-3</c:v>
                </c:pt>
                <c:pt idx="62">
                  <c:v>1.1968460623527433E-3</c:v>
                </c:pt>
                <c:pt idx="63">
                  <c:v>1.1978891385153003E-3</c:v>
                </c:pt>
                <c:pt idx="64">
                  <c:v>1.1989281697271099E-3</c:v>
                </c:pt>
                <c:pt idx="65">
                  <c:v>1.2020211026789909E-3</c:v>
                </c:pt>
                <c:pt idx="66">
                  <c:v>1.2030440631087456E-3</c:v>
                </c:pt>
                <c:pt idx="67">
                  <c:v>1.2040630330982197E-3</c:v>
                </c:pt>
                <c:pt idx="68">
                  <c:v>1.2050780235495068E-3</c:v>
                </c:pt>
                <c:pt idx="69">
                  <c:v>1.2060890453646997E-3</c:v>
                </c:pt>
                <c:pt idx="70">
                  <c:v>1.2090984080146468E-3</c:v>
                </c:pt>
                <c:pt idx="71">
                  <c:v>1.2100936643063965E-3</c:v>
                </c:pt>
                <c:pt idx="72">
                  <c:v>1.2110850064725185E-3</c:v>
                </c:pt>
                <c:pt idx="73">
                  <c:v>1.2120724454151061E-3</c:v>
                </c:pt>
                <c:pt idx="74">
                  <c:v>1.2130559920362526E-3</c:v>
                </c:pt>
                <c:pt idx="75">
                  <c:v>1.2159833869919787E-3</c:v>
                </c:pt>
                <c:pt idx="76">
                  <c:v>1.2169514733482937E-3</c:v>
                </c:pt>
                <c:pt idx="77">
                  <c:v>1.217915721893634E-3</c:v>
                </c:pt>
                <c:pt idx="78">
                  <c:v>1.218876143530093E-3</c:v>
                </c:pt>
                <c:pt idx="79">
                  <c:v>1.2198327491597639E-3</c:v>
                </c:pt>
                <c:pt idx="80">
                  <c:v>1.2226797790289806E-3</c:v>
                </c:pt>
                <c:pt idx="81">
                  <c:v>1.2236212296524317E-3</c:v>
                </c:pt>
                <c:pt idx="82">
                  <c:v>1.2245589187795613E-3</c:v>
                </c:pt>
                <c:pt idx="83">
                  <c:v>1.2254928573124625E-3</c:v>
                </c:pt>
                <c:pt idx="84">
                  <c:v>1.2264230561532283E-3</c:v>
                </c:pt>
                <c:pt idx="85">
                  <c:v>1.2291913235436477E-3</c:v>
                </c:pt>
                <c:pt idx="86">
                  <c:v>1.2301066726368058E-3</c:v>
                </c:pt>
                <c:pt idx="87">
                  <c:v>1.2310183365482953E-3</c:v>
                </c:pt>
                <c:pt idx="88">
                  <c:v>1.2319263261802091E-3</c:v>
                </c:pt>
                <c:pt idx="89">
                  <c:v>1.2328306524346405E-3</c:v>
                </c:pt>
                <c:pt idx="90">
                  <c:v>1.2355217599539748E-3</c:v>
                </c:pt>
                <c:pt idx="91">
                  <c:v>1.2364115417194104E-3</c:v>
                </c:pt>
                <c:pt idx="92">
                  <c:v>1.2372977146178302E-3</c:v>
                </c:pt>
                <c:pt idx="93">
                  <c:v>1.2381802895513275E-3</c:v>
                </c:pt>
                <c:pt idx="94">
                  <c:v>1.2390592774219956E-3</c:v>
                </c:pt>
                <c:pt idx="95">
                  <c:v>1.2416748276779569E-3</c:v>
                </c:pt>
                <c:pt idx="96">
                  <c:v>1.2425395763182407E-3</c:v>
                </c:pt>
                <c:pt idx="97">
                  <c:v>1.2434007924061617E-3</c:v>
                </c:pt>
                <c:pt idx="98">
                  <c:v>1.2442584868438131E-3</c:v>
                </c:pt>
                <c:pt idx="99">
                  <c:v>1.2451126705332882E-3</c:v>
                </c:pt>
                <c:pt idx="100">
                  <c:v>1.2476542661335884E-3</c:v>
                </c:pt>
                <c:pt idx="101">
                  <c:v>1.2484945158512913E-3</c:v>
                </c:pt>
                <c:pt idx="102">
                  <c:v>1.2493313093312841E-3</c:v>
                </c:pt>
                <c:pt idx="103">
                  <c:v>1.2501646574756605E-3</c:v>
                </c:pt>
                <c:pt idx="104">
                  <c:v>1.2509945711865133E-3</c:v>
                </c:pt>
                <c:pt idx="105">
                  <c:v>1.2534638147388645E-3</c:v>
                </c:pt>
                <c:pt idx="106">
                  <c:v>1.2542800997365571E-3</c:v>
                </c:pt>
                <c:pt idx="107">
                  <c:v>1.2550930048111923E-3</c:v>
                </c:pt>
                <c:pt idx="108">
                  <c:v>1.2559025408648639E-3</c:v>
                </c:pt>
                <c:pt idx="109">
                  <c:v>1.2567087187996654E-3</c:v>
                </c:pt>
                <c:pt idx="110">
                  <c:v>1.25910721291178E-3</c:v>
                </c:pt>
                <c:pt idx="111">
                  <c:v>1.2599000673920325E-3</c:v>
                </c:pt>
                <c:pt idx="112">
                  <c:v>1.2606896182638812E-3</c:v>
                </c:pt>
                <c:pt idx="113">
                  <c:v>1.2614758764294192E-3</c:v>
                </c:pt>
                <c:pt idx="114">
                  <c:v>1.2622588527907395E-3</c:v>
                </c:pt>
                <c:pt idx="115">
                  <c:v>1.2645882000703295E-3</c:v>
                </c:pt>
                <c:pt idx="116">
                  <c:v>1.2653581582357132E-3</c:v>
                </c:pt>
                <c:pt idx="117">
                  <c:v>1.2661248891073457E-3</c:v>
                </c:pt>
                <c:pt idx="118">
                  <c:v>1.2668884035873205E-3</c:v>
                </c:pt>
                <c:pt idx="119">
                  <c:v>1.2676487125777311E-3</c:v>
                </c:pt>
                <c:pt idx="120">
                  <c:v>1.269910515632508E-3</c:v>
                </c:pt>
                <c:pt idx="121">
                  <c:v>1.2706581116855935E-3</c:v>
                </c:pt>
                <c:pt idx="122">
                  <c:v>1.2714025567595805E-3</c:v>
                </c:pt>
                <c:pt idx="123">
                  <c:v>1.2721438617565629E-3</c:v>
                </c:pt>
                <c:pt idx="124">
                  <c:v>1.2728820375786339E-3</c:v>
                </c:pt>
                <c:pt idx="125">
                  <c:v>1.2750778990163103E-3</c:v>
                </c:pt>
                <c:pt idx="126">
                  <c:v>1.2758036671596681E-3</c:v>
                </c:pt>
                <c:pt idx="127">
                  <c:v>1.2765263606385805E-3</c:v>
                </c:pt>
                <c:pt idx="128">
                  <c:v>1.2772459903551412E-3</c:v>
                </c:pt>
                <c:pt idx="129">
                  <c:v>1.2779625672114433E-3</c:v>
                </c:pt>
                <c:pt idx="130">
                  <c:v>1.280094089639731E-3</c:v>
                </c:pt>
                <c:pt idx="131">
                  <c:v>1.2807985640759319E-3</c:v>
                </c:pt>
                <c:pt idx="132">
                  <c:v>1.2815000401623403E-3</c:v>
                </c:pt>
                <c:pt idx="133">
                  <c:v>1.2821985288010501E-3</c:v>
                </c:pt>
                <c:pt idx="134">
                  <c:v>1.2828940408941539E-3</c:v>
                </c:pt>
                <c:pt idx="135">
                  <c:v>1.2849628269207653E-3</c:v>
                </c:pt>
                <c:pt idx="136">
                  <c:v>1.2856465418523797E-3</c:v>
                </c:pt>
                <c:pt idx="137">
                  <c:v>1.2863273347488548E-3</c:v>
                </c:pt>
                <c:pt idx="138">
                  <c:v>1.2870052165122844E-3</c:v>
                </c:pt>
                <c:pt idx="139">
                  <c:v>1.287680198044761E-3</c:v>
                </c:pt>
                <c:pt idx="140">
                  <c:v>1.2896878502774078E-3</c:v>
                </c:pt>
                <c:pt idx="141">
                  <c:v>1.2903513399070067E-3</c:v>
                </c:pt>
                <c:pt idx="142">
                  <c:v>1.2910119838161194E-3</c:v>
                </c:pt>
                <c:pt idx="143">
                  <c:v>1.2916697929068388E-3</c:v>
                </c:pt>
                <c:pt idx="144">
                  <c:v>1.2923247780812588E-3</c:v>
                </c:pt>
                <c:pt idx="145">
                  <c:v>1.2942728991276534E-3</c:v>
                </c:pt>
                <c:pt idx="146">
                  <c:v>1.2949166976578073E-3</c:v>
                </c:pt>
                <c:pt idx="147">
                  <c:v>1.2955577267821281E-3</c:v>
                </c:pt>
                <c:pt idx="148">
                  <c:v>1.2961959974027088E-3</c:v>
                </c:pt>
                <c:pt idx="149">
                  <c:v>1.2968315204216427E-3</c:v>
                </c:pt>
                <c:pt idx="150">
                  <c:v>1.2987217128894969E-3</c:v>
                </c:pt>
                <c:pt idx="151">
                  <c:v>1.2993463545227766E-3</c:v>
                </c:pt>
                <c:pt idx="152">
                  <c:v>1.299968303064876E-3</c:v>
                </c:pt>
                <c:pt idx="153">
                  <c:v>1.3005875694178882E-3</c:v>
                </c:pt>
                <c:pt idx="154">
                  <c:v>1.301204164483907E-3</c:v>
                </c:pt>
                <c:pt idx="155">
                  <c:v>1.3030380309809327E-3</c:v>
                </c:pt>
                <c:pt idx="156">
                  <c:v>1.303644049919909E-3</c:v>
                </c:pt>
                <c:pt idx="157">
                  <c:v>1.304247452082358E-3</c:v>
                </c:pt>
                <c:pt idx="158">
                  <c:v>1.3048482483703728E-3</c:v>
                </c:pt>
                <c:pt idx="159">
                  <c:v>1.3054464496860467E-3</c:v>
                </c:pt>
                <c:pt idx="160">
                  <c:v>1.3072255928199563E-3</c:v>
                </c:pt>
                <c:pt idx="161">
                  <c:v>1.3078135232671997E-3</c:v>
                </c:pt>
                <c:pt idx="162">
                  <c:v>1.308398913252569E-3</c:v>
                </c:pt>
                <c:pt idx="163">
                  <c:v>1.3089817736781566E-3</c:v>
                </c:pt>
                <c:pt idx="164">
                  <c:v>1.3095621154460568E-3</c:v>
                </c:pt>
                <c:pt idx="165">
                  <c:v>1.3112881378245624E-3</c:v>
                </c:pt>
                <c:pt idx="166">
                  <c:v>1.3118585139826437E-3</c:v>
                </c:pt>
                <c:pt idx="167">
                  <c:v>1.3124264259935037E-3</c:v>
                </c:pt>
                <c:pt idx="168">
                  <c:v>1.3129918847592354E-3</c:v>
                </c:pt>
                <c:pt idx="169">
                  <c:v>1.313554901181932E-3</c:v>
                </c:pt>
                <c:pt idx="170">
                  <c:v>1.3152294054127457E-3</c:v>
                </c:pt>
                <c:pt idx="171">
                  <c:v>1.3157827614842356E-3</c:v>
                </c:pt>
                <c:pt idx="172">
                  <c:v>1.3163337297231569E-3</c:v>
                </c:pt>
                <c:pt idx="173">
                  <c:v>1.3168823210316031E-3</c:v>
                </c:pt>
                <c:pt idx="174">
                  <c:v>1.3174285463116672E-3</c:v>
                </c:pt>
                <c:pt idx="175">
                  <c:v>1.3190531350025007E-3</c:v>
                </c:pt>
                <c:pt idx="176">
                  <c:v>1.3195900051899698E-3</c:v>
                </c:pt>
                <c:pt idx="177">
                  <c:v>1.3201245638595235E-3</c:v>
                </c:pt>
                <c:pt idx="178">
                  <c:v>1.3206568219132548E-3</c:v>
                </c:pt>
                <c:pt idx="179">
                  <c:v>1.3211867902532567E-3</c:v>
                </c:pt>
                <c:pt idx="180">
                  <c:v>1.3227630660118228E-3</c:v>
                </c:pt>
                <c:pt idx="181">
                  <c:v>1.3232839845178418E-3</c:v>
                </c:pt>
                <c:pt idx="182">
                  <c:v>1.3238026678205981E-3</c:v>
                </c:pt>
                <c:pt idx="183">
                  <c:v>1.3243191268221854E-3</c:v>
                </c:pt>
                <c:pt idx="184">
                  <c:v>1.3248333724246964E-3</c:v>
                </c:pt>
                <c:pt idx="185">
                  <c:v>1.3263629378587065E-3</c:v>
                </c:pt>
                <c:pt idx="186">
                  <c:v>1.326868438885846E-3</c:v>
                </c:pt>
                <c:pt idx="187">
                  <c:v>1.327371781024376E-3</c:v>
                </c:pt>
                <c:pt idx="188">
                  <c:v>1.3278729751763898E-3</c:v>
                </c:pt>
                <c:pt idx="189">
                  <c:v>1.3283720322439805E-3</c:v>
                </c:pt>
                <c:pt idx="190">
                  <c:v>1.3298564899611464E-3</c:v>
                </c:pt>
                <c:pt idx="191">
                  <c:v>1.3303471077119775E-3</c:v>
                </c:pt>
                <c:pt idx="192">
                  <c:v>1.3308356428888518E-3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972640"/>
        <c:axId val="996971072"/>
      </c:scatterChart>
      <c:valAx>
        <c:axId val="99697264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996971072"/>
        <c:crosses val="autoZero"/>
        <c:crossBetween val="midCat"/>
      </c:valAx>
      <c:valAx>
        <c:axId val="996971072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996972640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74341151726895061"/>
          <c:y val="0.39793589936640678"/>
          <c:w val="0.19328056178408162"/>
          <c:h val="0.11319504807091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Exact Fit </a:t>
            </a:r>
            <a:r>
              <a:rPr lang="en-US" sz="1800" b="1" i="0" u="none" strike="noStrike" baseline="0">
                <a:effectLst/>
              </a:rPr>
              <a:t>Exact Fit (Simple Basis Approx)</a:t>
            </a:r>
            <a:endParaRPr lang="en-US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</c:numCache>
            </c:numRef>
          </c:cat>
          <c:val>
            <c:numRef>
              <c:f>'3MSynthDepo_allScenario'!$BE$6:$BE$135</c:f>
              <c:numCache>
                <c:formatCode>0.0000%</c:formatCode>
                <c:ptCount val="130"/>
                <c:pt idx="0">
                  <c:v>8.9289908572231114E-4</c:v>
                </c:pt>
                <c:pt idx="1">
                  <c:v>9.0004233420539327E-4</c:v>
                </c:pt>
                <c:pt idx="2">
                  <c:v>9.0242341703308728E-4</c:v>
                </c:pt>
                <c:pt idx="3">
                  <c:v>9.0480449986078139E-4</c:v>
                </c:pt>
                <c:pt idx="4">
                  <c:v>9.071855826884754E-4</c:v>
                </c:pt>
                <c:pt idx="5">
                  <c:v>9.0956666551616941E-4</c:v>
                </c:pt>
                <c:pt idx="6">
                  <c:v>9.1670991399925164E-4</c:v>
                </c:pt>
                <c:pt idx="7">
                  <c:v>9.1909099682694565E-4</c:v>
                </c:pt>
                <c:pt idx="8">
                  <c:v>9.2147207965463966E-4</c:v>
                </c:pt>
                <c:pt idx="9">
                  <c:v>9.2385316248233377E-4</c:v>
                </c:pt>
                <c:pt idx="10">
                  <c:v>9.2623424531002778E-4</c:v>
                </c:pt>
                <c:pt idx="11">
                  <c:v>9.3337749379310991E-4</c:v>
                </c:pt>
                <c:pt idx="12">
                  <c:v>9.3575857662080392E-4</c:v>
                </c:pt>
                <c:pt idx="13">
                  <c:v>9.3813965944849803E-4</c:v>
                </c:pt>
                <c:pt idx="14">
                  <c:v>9.4052074227619204E-4</c:v>
                </c:pt>
                <c:pt idx="15">
                  <c:v>9.4290182510388615E-4</c:v>
                </c:pt>
                <c:pt idx="16">
                  <c:v>9.5004507358696817E-4</c:v>
                </c:pt>
                <c:pt idx="17">
                  <c:v>9.5242615641466229E-4</c:v>
                </c:pt>
                <c:pt idx="18">
                  <c:v>9.5480723924235629E-4</c:v>
                </c:pt>
                <c:pt idx="19">
                  <c:v>9.5718832207005041E-4</c:v>
                </c:pt>
                <c:pt idx="20">
                  <c:v>9.5956940489774442E-4</c:v>
                </c:pt>
                <c:pt idx="21">
                  <c:v>9.6671265338082654E-4</c:v>
                </c:pt>
                <c:pt idx="22">
                  <c:v>9.6909373620852055E-4</c:v>
                </c:pt>
                <c:pt idx="23">
                  <c:v>9.7147481903621467E-4</c:v>
                </c:pt>
                <c:pt idx="24">
                  <c:v>9.7385590186390867E-4</c:v>
                </c:pt>
                <c:pt idx="25">
                  <c:v>9.7623698469160268E-4</c:v>
                </c:pt>
                <c:pt idx="26">
                  <c:v>9.8338023317468492E-4</c:v>
                </c:pt>
                <c:pt idx="27">
                  <c:v>9.8576131600237892E-4</c:v>
                </c:pt>
                <c:pt idx="28">
                  <c:v>9.8814239883007293E-4</c:v>
                </c:pt>
                <c:pt idx="29">
                  <c:v>9.9052348165776694E-4</c:v>
                </c:pt>
                <c:pt idx="30">
                  <c:v>9.9290456448546116E-4</c:v>
                </c:pt>
                <c:pt idx="31">
                  <c:v>1.0000478129685432E-3</c:v>
                </c:pt>
                <c:pt idx="32">
                  <c:v>1.0024288957962372E-3</c:v>
                </c:pt>
                <c:pt idx="33">
                  <c:v>1.0048099786239312E-3</c:v>
                </c:pt>
                <c:pt idx="34">
                  <c:v>1.0071910614516252E-3</c:v>
                </c:pt>
                <c:pt idx="35">
                  <c:v>1.0095721442793194E-3</c:v>
                </c:pt>
                <c:pt idx="36">
                  <c:v>1.0167153927624014E-3</c:v>
                </c:pt>
                <c:pt idx="37">
                  <c:v>1.0190964755900957E-3</c:v>
                </c:pt>
                <c:pt idx="38">
                  <c:v>1.0214775584177897E-3</c:v>
                </c:pt>
                <c:pt idx="39">
                  <c:v>1.0238586412454837E-3</c:v>
                </c:pt>
                <c:pt idx="40">
                  <c:v>1.0262397240731777E-3</c:v>
                </c:pt>
                <c:pt idx="41">
                  <c:v>1.0333829725562597E-3</c:v>
                </c:pt>
                <c:pt idx="42">
                  <c:v>1.0357640553839539E-3</c:v>
                </c:pt>
                <c:pt idx="43">
                  <c:v>1.0381451382116479E-3</c:v>
                </c:pt>
                <c:pt idx="44">
                  <c:v>1.0405262210393419E-3</c:v>
                </c:pt>
                <c:pt idx="45">
                  <c:v>1.042907303867036E-3</c:v>
                </c:pt>
                <c:pt idx="46">
                  <c:v>1.0500505523501182E-3</c:v>
                </c:pt>
                <c:pt idx="47">
                  <c:v>1.0524316351778122E-3</c:v>
                </c:pt>
                <c:pt idx="48">
                  <c:v>1.0548127180055062E-3</c:v>
                </c:pt>
                <c:pt idx="49">
                  <c:v>1.0571938008332002E-3</c:v>
                </c:pt>
                <c:pt idx="50">
                  <c:v>1.0595748836608942E-3</c:v>
                </c:pt>
                <c:pt idx="51">
                  <c:v>1.0667181321439765E-3</c:v>
                </c:pt>
                <c:pt idx="52">
                  <c:v>1.0690992149716705E-3</c:v>
                </c:pt>
                <c:pt idx="53">
                  <c:v>1.0714802977993645E-3</c:v>
                </c:pt>
                <c:pt idx="54">
                  <c:v>1.0738613806270587E-3</c:v>
                </c:pt>
                <c:pt idx="55">
                  <c:v>1.0762424634547527E-3</c:v>
                </c:pt>
                <c:pt idx="56">
                  <c:v>1.0833857119378347E-3</c:v>
                </c:pt>
                <c:pt idx="57">
                  <c:v>1.0857667947655287E-3</c:v>
                </c:pt>
                <c:pt idx="58">
                  <c:v>1.0881478775932227E-3</c:v>
                </c:pt>
                <c:pt idx="59">
                  <c:v>1.090528960420917E-3</c:v>
                </c:pt>
                <c:pt idx="60">
                  <c:v>1.1000532917316932E-3</c:v>
                </c:pt>
                <c:pt idx="61">
                  <c:v>1.1024343745593872E-3</c:v>
                </c:pt>
                <c:pt idx="62">
                  <c:v>1.1048154573870812E-3</c:v>
                </c:pt>
                <c:pt idx="63">
                  <c:v>1.1071965402147752E-3</c:v>
                </c:pt>
                <c:pt idx="64">
                  <c:v>1.1167208715255515E-3</c:v>
                </c:pt>
                <c:pt idx="65">
                  <c:v>1.1191019543532455E-3</c:v>
                </c:pt>
                <c:pt idx="66">
                  <c:v>1.1214830371809395E-3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</c:numCache>
            </c:numRef>
          </c:cat>
          <c:val>
            <c:numRef>
              <c:f>'3MSynthDepo_allScenario'!$BF$6:$BF$135</c:f>
              <c:numCache>
                <c:formatCode>0.0000%</c:formatCode>
                <c:ptCount val="130"/>
                <c:pt idx="0">
                  <c:v>8.0429719598804582E-4</c:v>
                </c:pt>
                <c:pt idx="1">
                  <c:v>8.2380001483000113E-4</c:v>
                </c:pt>
                <c:pt idx="2">
                  <c:v>8.3015114146993928E-4</c:v>
                </c:pt>
                <c:pt idx="3">
                  <c:v>8.36427361622854E-4</c:v>
                </c:pt>
                <c:pt idx="4">
                  <c:v>8.4262867528874517E-4</c:v>
                </c:pt>
                <c:pt idx="5">
                  <c:v>8.487550824676129E-4</c:v>
                </c:pt>
                <c:pt idx="6">
                  <c:v>8.6668486508207525E-4</c:v>
                </c:pt>
                <c:pt idx="7">
                  <c:v>8.7251164631284913E-4</c:v>
                </c:pt>
                <c:pt idx="8">
                  <c:v>8.7826352105659956E-4</c:v>
                </c:pt>
                <c:pt idx="9">
                  <c:v>8.8394048931332635E-4</c:v>
                </c:pt>
                <c:pt idx="10">
                  <c:v>8.895425510830298E-4</c:v>
                </c:pt>
                <c:pt idx="11">
                  <c:v>9.058992974699992E-4</c:v>
                </c:pt>
                <c:pt idx="12">
                  <c:v>9.112017332916088E-4</c:v>
                </c:pt>
                <c:pt idx="13">
                  <c:v>9.1642926262619473E-4</c:v>
                </c:pt>
                <c:pt idx="14">
                  <c:v>9.2158188547375734E-4</c:v>
                </c:pt>
                <c:pt idx="15">
                  <c:v>9.2665960183429641E-4</c:v>
                </c:pt>
                <c:pt idx="16">
                  <c:v>9.4144331199377286E-4</c:v>
                </c:pt>
                <c:pt idx="17">
                  <c:v>9.4622140240621807E-4</c:v>
                </c:pt>
                <c:pt idx="18">
                  <c:v>9.5092458633163973E-4</c:v>
                </c:pt>
                <c:pt idx="19">
                  <c:v>9.5555286377003805E-4</c:v>
                </c:pt>
                <c:pt idx="20">
                  <c:v>9.6010623472141295E-4</c:v>
                </c:pt>
                <c:pt idx="21">
                  <c:v>9.7331690865339645E-4</c:v>
                </c:pt>
                <c:pt idx="22">
                  <c:v>9.7757065365667727E-4</c:v>
                </c:pt>
                <c:pt idx="23">
                  <c:v>9.8174949217293465E-4</c:v>
                </c:pt>
                <c:pt idx="24">
                  <c:v>9.8585342420216869E-4</c:v>
                </c:pt>
                <c:pt idx="25">
                  <c:v>9.8988244974437898E-4</c:v>
                </c:pt>
                <c:pt idx="26">
                  <c:v>1.0015200874488696E-3</c:v>
                </c:pt>
                <c:pt idx="27">
                  <c:v>1.005249487042986E-3</c:v>
                </c:pt>
                <c:pt idx="28">
                  <c:v>1.0089039801500794E-3</c:v>
                </c:pt>
                <c:pt idx="29">
                  <c:v>1.0124835667701488E-3</c:v>
                </c:pt>
                <c:pt idx="30">
                  <c:v>1.0159882469031949E-3</c:v>
                </c:pt>
                <c:pt idx="31">
                  <c:v>1.0260528483801924E-3</c:v>
                </c:pt>
                <c:pt idx="32">
                  <c:v>1.0292579025651448E-3</c:v>
                </c:pt>
                <c:pt idx="33">
                  <c:v>1.0323880502630734E-3</c:v>
                </c:pt>
                <c:pt idx="34">
                  <c:v>1.0354432914739787E-3</c:v>
                </c:pt>
                <c:pt idx="35">
                  <c:v>1.0384236261978606E-3</c:v>
                </c:pt>
                <c:pt idx="36">
                  <c:v>1.0469151914473654E-3</c:v>
                </c:pt>
                <c:pt idx="37">
                  <c:v>1.0495959002231534E-3</c:v>
                </c:pt>
                <c:pt idx="38">
                  <c:v>1.0522017025119178E-3</c:v>
                </c:pt>
                <c:pt idx="39">
                  <c:v>1.0547325983136587E-3</c:v>
                </c:pt>
                <c:pt idx="40">
                  <c:v>1.0571885876283762E-3</c:v>
                </c:pt>
                <c:pt idx="41">
                  <c:v>1.064107116650388E-3</c:v>
                </c:pt>
                <c:pt idx="42">
                  <c:v>1.0662634800170114E-3</c:v>
                </c:pt>
                <c:pt idx="43">
                  <c:v>1.0683449368966114E-3</c:v>
                </c:pt>
                <c:pt idx="44">
                  <c:v>1.0703514872891884E-3</c:v>
                </c:pt>
                <c:pt idx="45">
                  <c:v>1.0722831311947415E-3</c:v>
                </c:pt>
                <c:pt idx="46">
                  <c:v>1.0776286239892602E-3</c:v>
                </c:pt>
                <c:pt idx="47">
                  <c:v>1.0792606419467194E-3</c:v>
                </c:pt>
                <c:pt idx="48">
                  <c:v>1.0808177534171552E-3</c:v>
                </c:pt>
                <c:pt idx="49">
                  <c:v>1.0822999584005676E-3</c:v>
                </c:pt>
                <c:pt idx="50">
                  <c:v>1.0837072568969563E-3</c:v>
                </c:pt>
                <c:pt idx="51">
                  <c:v>1.087479713463982E-3</c:v>
                </c:pt>
                <c:pt idx="52">
                  <c:v>1.0885873860122773E-3</c:v>
                </c:pt>
                <c:pt idx="53">
                  <c:v>1.0896201520735488E-3</c:v>
                </c:pt>
                <c:pt idx="54">
                  <c:v>1.0905780116477965E-3</c:v>
                </c:pt>
                <c:pt idx="55">
                  <c:v>1.0914609647350213E-3</c:v>
                </c:pt>
                <c:pt idx="56">
                  <c:v>1.093660385074554E-3</c:v>
                </c:pt>
                <c:pt idx="57">
                  <c:v>1.0942437122136847E-3</c:v>
                </c:pt>
                <c:pt idx="58">
                  <c:v>1.0947521328657918E-3</c:v>
                </c:pt>
                <c:pt idx="59">
                  <c:v>1.0951856470308755E-3</c:v>
                </c:pt>
                <c:pt idx="60">
                  <c:v>1.0961706388209758E-3</c:v>
                </c:pt>
                <c:pt idx="61">
                  <c:v>1.0962296205509418E-3</c:v>
                </c:pt>
                <c:pt idx="62">
                  <c:v>1.0962136957938847E-3</c:v>
                </c:pt>
                <c:pt idx="63">
                  <c:v>1.0961228645498043E-3</c:v>
                </c:pt>
                <c:pt idx="64">
                  <c:v>1.095010474703247E-3</c:v>
                </c:pt>
                <c:pt idx="65">
                  <c:v>1.094545111024049E-3</c:v>
                </c:pt>
                <c:pt idx="66">
                  <c:v>1.0940048408578276E-3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</c:numCache>
            </c:numRef>
          </c:cat>
          <c:val>
            <c:numRef>
              <c:f>'3MSynthDepo_allScenario'!$BG$6:$BG$135</c:f>
              <c:numCache>
                <c:formatCode>0.0000%</c:formatCode>
                <c:ptCount val="130"/>
                <c:pt idx="0">
                  <c:v>1.0090790470957199E-3</c:v>
                </c:pt>
                <c:pt idx="1">
                  <c:v>1.0109413882436471E-3</c:v>
                </c:pt>
                <c:pt idx="2">
                  <c:v>1.0115621686262895E-3</c:v>
                </c:pt>
                <c:pt idx="3">
                  <c:v>1.0121829490089319E-3</c:v>
                </c:pt>
                <c:pt idx="4">
                  <c:v>1.0128037293915743E-3</c:v>
                </c:pt>
                <c:pt idx="5">
                  <c:v>1.0134245097742167E-3</c:v>
                </c:pt>
                <c:pt idx="6">
                  <c:v>1.0152868509221437E-3</c:v>
                </c:pt>
                <c:pt idx="7">
                  <c:v>1.0159076313047861E-3</c:v>
                </c:pt>
                <c:pt idx="8">
                  <c:v>1.0165284116874286E-3</c:v>
                </c:pt>
                <c:pt idx="9">
                  <c:v>1.017149192070071E-3</c:v>
                </c:pt>
                <c:pt idx="10">
                  <c:v>1.0177699724527134E-3</c:v>
                </c:pt>
                <c:pt idx="11">
                  <c:v>1.0196323136006406E-3</c:v>
                </c:pt>
                <c:pt idx="12">
                  <c:v>1.020253093983283E-3</c:v>
                </c:pt>
                <c:pt idx="13">
                  <c:v>1.0208738743659254E-3</c:v>
                </c:pt>
                <c:pt idx="14">
                  <c:v>1.0214946547485678E-3</c:v>
                </c:pt>
                <c:pt idx="15">
                  <c:v>1.0221154351312102E-3</c:v>
                </c:pt>
                <c:pt idx="16">
                  <c:v>1.0239777762791372E-3</c:v>
                </c:pt>
                <c:pt idx="17">
                  <c:v>1.0245985566617797E-3</c:v>
                </c:pt>
                <c:pt idx="18">
                  <c:v>1.0252193370444221E-3</c:v>
                </c:pt>
                <c:pt idx="19">
                  <c:v>1.0258401174270645E-3</c:v>
                </c:pt>
                <c:pt idx="20">
                  <c:v>1.0264608978097069E-3</c:v>
                </c:pt>
                <c:pt idx="21">
                  <c:v>1.0283232389576341E-3</c:v>
                </c:pt>
                <c:pt idx="22">
                  <c:v>1.0289440193402765E-3</c:v>
                </c:pt>
                <c:pt idx="23">
                  <c:v>1.0295647997229189E-3</c:v>
                </c:pt>
                <c:pt idx="24">
                  <c:v>1.0301855801055613E-3</c:v>
                </c:pt>
                <c:pt idx="25">
                  <c:v>1.0308063604882037E-3</c:v>
                </c:pt>
                <c:pt idx="26">
                  <c:v>1.0326687016361307E-3</c:v>
                </c:pt>
                <c:pt idx="27">
                  <c:v>1.0332894820187732E-3</c:v>
                </c:pt>
                <c:pt idx="28">
                  <c:v>1.0339102624014156E-3</c:v>
                </c:pt>
                <c:pt idx="29">
                  <c:v>1.034531042784058E-3</c:v>
                </c:pt>
                <c:pt idx="30">
                  <c:v>1.0351518231667004E-3</c:v>
                </c:pt>
                <c:pt idx="31">
                  <c:v>1.0370141643146276E-3</c:v>
                </c:pt>
                <c:pt idx="32">
                  <c:v>1.03763494469727E-3</c:v>
                </c:pt>
                <c:pt idx="33">
                  <c:v>1.0382557250799124E-3</c:v>
                </c:pt>
                <c:pt idx="34">
                  <c:v>1.0388765054625548E-3</c:v>
                </c:pt>
                <c:pt idx="35">
                  <c:v>1.0394972858451972E-3</c:v>
                </c:pt>
                <c:pt idx="36">
                  <c:v>1.0413596269931245E-3</c:v>
                </c:pt>
                <c:pt idx="37">
                  <c:v>1.0419804073757667E-3</c:v>
                </c:pt>
                <c:pt idx="38">
                  <c:v>1.0426011877584091E-3</c:v>
                </c:pt>
                <c:pt idx="39">
                  <c:v>1.0432219681410515E-3</c:v>
                </c:pt>
                <c:pt idx="40">
                  <c:v>1.0438427485236939E-3</c:v>
                </c:pt>
                <c:pt idx="41">
                  <c:v>1.0457050896716211E-3</c:v>
                </c:pt>
                <c:pt idx="42">
                  <c:v>1.0463258700542635E-3</c:v>
                </c:pt>
                <c:pt idx="43">
                  <c:v>1.0469466504369059E-3</c:v>
                </c:pt>
                <c:pt idx="44">
                  <c:v>1.0475674308195483E-3</c:v>
                </c:pt>
                <c:pt idx="45">
                  <c:v>1.0481882112021907E-3</c:v>
                </c:pt>
                <c:pt idx="46">
                  <c:v>1.050050552350118E-3</c:v>
                </c:pt>
                <c:pt idx="47">
                  <c:v>1.0506713327327604E-3</c:v>
                </c:pt>
                <c:pt idx="48">
                  <c:v>1.0512921131154026E-3</c:v>
                </c:pt>
                <c:pt idx="49">
                  <c:v>1.051912893498045E-3</c:v>
                </c:pt>
                <c:pt idx="50">
                  <c:v>1.0525336738806874E-3</c:v>
                </c:pt>
                <c:pt idx="51">
                  <c:v>1.0543960150286146E-3</c:v>
                </c:pt>
                <c:pt idx="52">
                  <c:v>1.055016795411257E-3</c:v>
                </c:pt>
                <c:pt idx="53">
                  <c:v>1.0556375757938994E-3</c:v>
                </c:pt>
                <c:pt idx="54">
                  <c:v>1.0562583561765418E-3</c:v>
                </c:pt>
                <c:pt idx="55">
                  <c:v>1.0568791365591843E-3</c:v>
                </c:pt>
                <c:pt idx="56">
                  <c:v>1.0587414777071115E-3</c:v>
                </c:pt>
                <c:pt idx="57">
                  <c:v>1.0593622580897539E-3</c:v>
                </c:pt>
                <c:pt idx="58">
                  <c:v>1.0599830384723963E-3</c:v>
                </c:pt>
                <c:pt idx="59">
                  <c:v>1.0606038188550385E-3</c:v>
                </c:pt>
                <c:pt idx="60">
                  <c:v>1.0630869403856081E-3</c:v>
                </c:pt>
                <c:pt idx="61">
                  <c:v>1.0637077207682505E-3</c:v>
                </c:pt>
                <c:pt idx="62">
                  <c:v>1.0643285011508929E-3</c:v>
                </c:pt>
                <c:pt idx="63">
                  <c:v>1.0649492815335353E-3</c:v>
                </c:pt>
                <c:pt idx="64">
                  <c:v>1.067432403064105E-3</c:v>
                </c:pt>
                <c:pt idx="65">
                  <c:v>1.0680531834467474E-3</c:v>
                </c:pt>
                <c:pt idx="66">
                  <c:v>1.0686739638293898E-3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</c:numCache>
            </c:numRef>
          </c:cat>
          <c:val>
            <c:numRef>
              <c:f>'3MSynthDepo_allScenario'!$BH$6:$BH$135</c:f>
              <c:numCache>
                <c:formatCode>0.0000%</c:formatCode>
                <c:ptCount val="130"/>
                <c:pt idx="0">
                  <c:v>1.1322696264303093E-3</c:v>
                </c:pt>
                <c:pt idx="1">
                  <c:v>1.1235199887573029E-3</c:v>
                </c:pt>
                <c:pt idx="2">
                  <c:v>1.1206935658286865E-3</c:v>
                </c:pt>
                <c:pt idx="3">
                  <c:v>1.1179122043812632E-3</c:v>
                </c:pt>
                <c:pt idx="4">
                  <c:v>1.1151759044150326E-3</c:v>
                </c:pt>
                <c:pt idx="5">
                  <c:v>1.1124846659299949E-3</c:v>
                </c:pt>
                <c:pt idx="6">
                  <c:v>1.10468131936204E-3</c:v>
                </c:pt>
                <c:pt idx="7">
                  <c:v>1.1021703268017742E-3</c:v>
                </c:pt>
                <c:pt idx="8">
                  <c:v>1.0997043957227013E-3</c:v>
                </c:pt>
                <c:pt idx="9">
                  <c:v>1.0972835261248213E-3</c:v>
                </c:pt>
                <c:pt idx="10">
                  <c:v>1.0949077180081343E-3</c:v>
                </c:pt>
                <c:pt idx="11">
                  <c:v>1.0880506625452304E-3</c:v>
                </c:pt>
                <c:pt idx="12">
                  <c:v>1.085855100353315E-3</c:v>
                </c:pt>
                <c:pt idx="13">
                  <c:v>1.0837045996425925E-3</c:v>
                </c:pt>
                <c:pt idx="14">
                  <c:v>1.0815991604130632E-3</c:v>
                </c:pt>
                <c:pt idx="15">
                  <c:v>1.0795387826647265E-3</c:v>
                </c:pt>
                <c:pt idx="16">
                  <c:v>1.0736280183068743E-3</c:v>
                </c:pt>
                <c:pt idx="17">
                  <c:v>1.0717478864833093E-3</c:v>
                </c:pt>
                <c:pt idx="18">
                  <c:v>1.0699128161409373E-3</c:v>
                </c:pt>
                <c:pt idx="19">
                  <c:v>1.0681228072797581E-3</c:v>
                </c:pt>
                <c:pt idx="20">
                  <c:v>1.0663778598997721E-3</c:v>
                </c:pt>
                <c:pt idx="21">
                  <c:v>1.0614133866469714E-3</c:v>
                </c:pt>
                <c:pt idx="22">
                  <c:v>1.0598486851917568E-3</c:v>
                </c:pt>
                <c:pt idx="23">
                  <c:v>1.0583290452177354E-3</c:v>
                </c:pt>
                <c:pt idx="24">
                  <c:v>1.0568544667249069E-3</c:v>
                </c:pt>
                <c:pt idx="25">
                  <c:v>1.055424949713271E-3</c:v>
                </c:pt>
                <c:pt idx="26">
                  <c:v>1.0514067675655215E-3</c:v>
                </c:pt>
                <c:pt idx="27">
                  <c:v>1.0501574964786576E-3</c:v>
                </c:pt>
                <c:pt idx="28">
                  <c:v>1.0489532868729866E-3</c:v>
                </c:pt>
                <c:pt idx="29">
                  <c:v>1.0477941387485085E-3</c:v>
                </c:pt>
                <c:pt idx="30">
                  <c:v>1.0466800521052235E-3</c:v>
                </c:pt>
                <c:pt idx="31">
                  <c:v>1.0436081610625254E-3</c:v>
                </c:pt>
                <c:pt idx="32">
                  <c:v>1.0426743203440117E-3</c:v>
                </c:pt>
                <c:pt idx="33">
                  <c:v>1.0417855411066913E-3</c:v>
                </c:pt>
                <c:pt idx="34">
                  <c:v>1.0409418233505636E-3</c:v>
                </c:pt>
                <c:pt idx="35">
                  <c:v>1.0401431670756288E-3</c:v>
                </c:pt>
                <c:pt idx="36">
                  <c:v>1.0380175671379822E-3</c:v>
                </c:pt>
                <c:pt idx="37">
                  <c:v>1.0373991567878191E-3</c:v>
                </c:pt>
                <c:pt idx="38">
                  <c:v>1.0368258079188491E-3</c:v>
                </c:pt>
                <c:pt idx="39">
                  <c:v>1.0362975205310721E-3</c:v>
                </c:pt>
                <c:pt idx="40">
                  <c:v>1.0358142946244877E-3</c:v>
                </c:pt>
                <c:pt idx="41">
                  <c:v>1.0346349857918925E-3</c:v>
                </c:pt>
                <c:pt idx="42">
                  <c:v>1.0343320058100799E-3</c:v>
                </c:pt>
                <c:pt idx="43">
                  <c:v>1.0340740873094603E-3</c:v>
                </c:pt>
                <c:pt idx="44">
                  <c:v>1.0338612302900336E-3</c:v>
                </c:pt>
                <c:pt idx="45">
                  <c:v>1.0336934347517999E-3</c:v>
                </c:pt>
                <c:pt idx="46">
                  <c:v>1.033460417024256E-3</c:v>
                </c:pt>
                <c:pt idx="47">
                  <c:v>1.0334728674107939E-3</c:v>
                </c:pt>
                <c:pt idx="48">
                  <c:v>1.0335303792785248E-3</c:v>
                </c:pt>
                <c:pt idx="49">
                  <c:v>1.0336329526274485E-3</c:v>
                </c:pt>
                <c:pt idx="50">
                  <c:v>1.0337805874575652E-3</c:v>
                </c:pt>
                <c:pt idx="51">
                  <c:v>1.034493860835073E-3</c:v>
                </c:pt>
                <c:pt idx="52">
                  <c:v>1.0348217415899613E-3</c:v>
                </c:pt>
                <c:pt idx="53">
                  <c:v>1.0351946838260426E-3</c:v>
                </c:pt>
                <c:pt idx="54">
                  <c:v>1.0356126875433168E-3</c:v>
                </c:pt>
                <c:pt idx="55">
                  <c:v>1.0360757527417841E-3</c:v>
                </c:pt>
                <c:pt idx="56">
                  <c:v>1.0377353172243431E-3</c:v>
                </c:pt>
                <c:pt idx="57">
                  <c:v>1.0383786283475818E-3</c:v>
                </c:pt>
                <c:pt idx="58">
                  <c:v>1.0390670009520137E-3</c:v>
                </c:pt>
                <c:pt idx="59">
                  <c:v>1.0398004350376385E-3</c:v>
                </c:pt>
                <c:pt idx="60">
                  <c:v>1.0431847861920663E-3</c:v>
                </c:pt>
                <c:pt idx="61">
                  <c:v>1.0441435276836556E-3</c:v>
                </c:pt>
                <c:pt idx="62">
                  <c:v>1.045147330656438E-3</c:v>
                </c:pt>
                <c:pt idx="63">
                  <c:v>1.0461961951104132E-3</c:v>
                </c:pt>
                <c:pt idx="64">
                  <c:v>1.0508422677382432E-3</c:v>
                </c:pt>
                <c:pt idx="65">
                  <c:v>1.052116439598183E-3</c:v>
                </c:pt>
                <c:pt idx="66">
                  <c:v>1.0534356729393157E-3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6970680"/>
        <c:axId val="996971464"/>
      </c:lineChart>
      <c:dateAx>
        <c:axId val="99697068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996971464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99697146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9969706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36684293225888576"/>
          <c:h val="0.368966188745347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Exact Fit (Continuous</a:t>
            </a:r>
            <a:r>
              <a:rPr lang="en-US" baseline="0"/>
              <a:t> Basis Approx)</a:t>
            </a:r>
            <a:endParaRPr lang="en-US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</c:numCache>
            </c:numRef>
          </c:cat>
          <c:val>
            <c:numRef>
              <c:f>'3MSynthDepo_allScenario'!$BI$6:$BI$135</c:f>
              <c:numCache>
                <c:formatCode>0.0000%</c:formatCode>
                <c:ptCount val="130"/>
                <c:pt idx="0">
                  <c:v>8.8690022121310896E-4</c:v>
                </c:pt>
                <c:pt idx="1">
                  <c:v>8.9444200590887014E-4</c:v>
                </c:pt>
                <c:pt idx="2">
                  <c:v>8.969559341407905E-4</c:v>
                </c:pt>
                <c:pt idx="3">
                  <c:v>8.9946986237271086E-4</c:v>
                </c:pt>
                <c:pt idx="4">
                  <c:v>9.0198379060463121E-4</c:v>
                </c:pt>
                <c:pt idx="5">
                  <c:v>9.0449771883655168E-4</c:v>
                </c:pt>
                <c:pt idx="6">
                  <c:v>9.1203950353231276E-4</c:v>
                </c:pt>
                <c:pt idx="7">
                  <c:v>9.1455343176423311E-4</c:v>
                </c:pt>
                <c:pt idx="8">
                  <c:v>9.1706735999615358E-4</c:v>
                </c:pt>
                <c:pt idx="9">
                  <c:v>9.1958128822807394E-4</c:v>
                </c:pt>
                <c:pt idx="10">
                  <c:v>9.220952164599943E-4</c:v>
                </c:pt>
                <c:pt idx="11">
                  <c:v>9.2963700115575548E-4</c:v>
                </c:pt>
                <c:pt idx="12">
                  <c:v>9.3215092938767584E-4</c:v>
                </c:pt>
                <c:pt idx="13">
                  <c:v>9.346648576195962E-4</c:v>
                </c:pt>
                <c:pt idx="14">
                  <c:v>9.3717878585151656E-4</c:v>
                </c:pt>
                <c:pt idx="15">
                  <c:v>9.3969271408343702E-4</c:v>
                </c:pt>
                <c:pt idx="16">
                  <c:v>9.472344987791981E-4</c:v>
                </c:pt>
                <c:pt idx="17">
                  <c:v>9.4974842701111856E-4</c:v>
                </c:pt>
                <c:pt idx="18">
                  <c:v>9.5226235524303892E-4</c:v>
                </c:pt>
                <c:pt idx="19">
                  <c:v>9.5477628347495928E-4</c:v>
                </c:pt>
                <c:pt idx="20">
                  <c:v>9.5729021170687964E-4</c:v>
                </c:pt>
                <c:pt idx="21">
                  <c:v>9.6483199640264082E-4</c:v>
                </c:pt>
                <c:pt idx="22">
                  <c:v>9.6734592463456118E-4</c:v>
                </c:pt>
                <c:pt idx="23">
                  <c:v>9.6985985286648154E-4</c:v>
                </c:pt>
                <c:pt idx="24">
                  <c:v>9.72373781098402E-4</c:v>
                </c:pt>
                <c:pt idx="25">
                  <c:v>9.7488770933032236E-4</c:v>
                </c:pt>
                <c:pt idx="26">
                  <c:v>9.8242949402608344E-4</c:v>
                </c:pt>
                <c:pt idx="27">
                  <c:v>9.849434222580038E-4</c:v>
                </c:pt>
                <c:pt idx="28">
                  <c:v>9.8745735048992415E-4</c:v>
                </c:pt>
                <c:pt idx="29">
                  <c:v>9.8997127872184473E-4</c:v>
                </c:pt>
                <c:pt idx="30">
                  <c:v>9.9248520695376509E-4</c:v>
                </c:pt>
                <c:pt idx="31">
                  <c:v>1.0000269916495262E-3</c:v>
                </c:pt>
                <c:pt idx="32">
                  <c:v>1.0025409198814465E-3</c:v>
                </c:pt>
                <c:pt idx="33">
                  <c:v>1.0050548481133669E-3</c:v>
                </c:pt>
                <c:pt idx="34">
                  <c:v>1.0075687763452872E-3</c:v>
                </c:pt>
                <c:pt idx="35">
                  <c:v>1.0100827045772076E-3</c:v>
                </c:pt>
                <c:pt idx="36">
                  <c:v>1.0176244892729689E-3</c:v>
                </c:pt>
                <c:pt idx="37">
                  <c:v>1.0201384175048892E-3</c:v>
                </c:pt>
                <c:pt idx="38">
                  <c:v>1.0226523457368096E-3</c:v>
                </c:pt>
                <c:pt idx="39">
                  <c:v>1.02516627396873E-3</c:v>
                </c:pt>
                <c:pt idx="40">
                  <c:v>1.0276802022006503E-3</c:v>
                </c:pt>
                <c:pt idx="41">
                  <c:v>1.0352219868964116E-3</c:v>
                </c:pt>
                <c:pt idx="42">
                  <c:v>1.037735915128332E-3</c:v>
                </c:pt>
                <c:pt idx="43">
                  <c:v>1.0402498433602523E-3</c:v>
                </c:pt>
                <c:pt idx="44">
                  <c:v>1.0427637715921727E-3</c:v>
                </c:pt>
                <c:pt idx="45">
                  <c:v>1.045277699824093E-3</c:v>
                </c:pt>
                <c:pt idx="46">
                  <c:v>1.0528194845198541E-3</c:v>
                </c:pt>
                <c:pt idx="47">
                  <c:v>1.0553334127517745E-3</c:v>
                </c:pt>
                <c:pt idx="48">
                  <c:v>1.0578473409836951E-3</c:v>
                </c:pt>
                <c:pt idx="49">
                  <c:v>1.0603612692156154E-3</c:v>
                </c:pt>
                <c:pt idx="50">
                  <c:v>1.0628751974475358E-3</c:v>
                </c:pt>
                <c:pt idx="51">
                  <c:v>1.0704169821432968E-3</c:v>
                </c:pt>
                <c:pt idx="52">
                  <c:v>1.0729309103752172E-3</c:v>
                </c:pt>
                <c:pt idx="53">
                  <c:v>1.0754448386071376E-3</c:v>
                </c:pt>
                <c:pt idx="54">
                  <c:v>1.0779587668390579E-3</c:v>
                </c:pt>
                <c:pt idx="55">
                  <c:v>1.0804726950709785E-3</c:v>
                </c:pt>
                <c:pt idx="56">
                  <c:v>1.0880144797667396E-3</c:v>
                </c:pt>
                <c:pt idx="57">
                  <c:v>1.0905284079986599E-3</c:v>
                </c:pt>
                <c:pt idx="58">
                  <c:v>1.0930423362305803E-3</c:v>
                </c:pt>
                <c:pt idx="59">
                  <c:v>1.0955562644625006E-3</c:v>
                </c:pt>
                <c:pt idx="60">
                  <c:v>1.1056119773901823E-3</c:v>
                </c:pt>
                <c:pt idx="61">
                  <c:v>1.1081259056221027E-3</c:v>
                </c:pt>
                <c:pt idx="62">
                  <c:v>1.110639833854023E-3</c:v>
                </c:pt>
                <c:pt idx="63">
                  <c:v>1.1131537620859434E-3</c:v>
                </c:pt>
                <c:pt idx="64">
                  <c:v>1.1232094750136248E-3</c:v>
                </c:pt>
                <c:pt idx="65">
                  <c:v>1.1257234032455454E-3</c:v>
                </c:pt>
                <c:pt idx="66">
                  <c:v>1.1282373314774657E-3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</c:numCache>
            </c:numRef>
          </c:cat>
          <c:val>
            <c:numRef>
              <c:f>'3MSynthDepo_allScenario'!$BJ$6:$BJ$135</c:f>
              <c:numCache>
                <c:formatCode>0.0000%</c:formatCode>
                <c:ptCount val="130"/>
                <c:pt idx="0">
                  <c:v>7.9816333315840186E-4</c:v>
                </c:pt>
                <c:pt idx="1">
                  <c:v>8.1846742060499888E-4</c:v>
                </c:pt>
                <c:pt idx="2">
                  <c:v>8.2507682973003229E-4</c:v>
                </c:pt>
                <c:pt idx="3">
                  <c:v>8.3160692884314967E-4</c:v>
                </c:pt>
                <c:pt idx="4">
                  <c:v>8.380577179443508E-4</c:v>
                </c:pt>
                <c:pt idx="5">
                  <c:v>8.4442919703363588E-4</c:v>
                </c:pt>
                <c:pt idx="6">
                  <c:v>8.6306777422999437E-4</c:v>
                </c:pt>
                <c:pt idx="7">
                  <c:v>8.6912201327161499E-4</c:v>
                </c:pt>
                <c:pt idx="8">
                  <c:v>8.7509694230131945E-4</c:v>
                </c:pt>
                <c:pt idx="9">
                  <c:v>8.8099256131910777E-4</c:v>
                </c:pt>
                <c:pt idx="10">
                  <c:v>8.8680887032498005E-4</c:v>
                </c:pt>
                <c:pt idx="11">
                  <c:v>9.0378193727110002E-4</c:v>
                </c:pt>
                <c:pt idx="12">
                  <c:v>9.0928100622930782E-4</c:v>
                </c:pt>
                <c:pt idx="13">
                  <c:v>9.1470076517559938E-4</c:v>
                </c:pt>
                <c:pt idx="14">
                  <c:v>9.2004121410997489E-4</c:v>
                </c:pt>
                <c:pt idx="15">
                  <c:v>9.2530235303243426E-4</c:v>
                </c:pt>
                <c:pt idx="16">
                  <c:v>9.4060990972831581E-4</c:v>
                </c:pt>
                <c:pt idx="17">
                  <c:v>9.455538086031107E-4</c:v>
                </c:pt>
                <c:pt idx="18">
                  <c:v>9.5041839746598945E-4</c:v>
                </c:pt>
                <c:pt idx="19">
                  <c:v>9.5520367631695205E-4</c:v>
                </c:pt>
                <c:pt idx="20">
                  <c:v>9.5990964515599861E-4</c:v>
                </c:pt>
                <c:pt idx="21">
                  <c:v>9.7355169160164164E-4</c:v>
                </c:pt>
                <c:pt idx="22">
                  <c:v>9.7794042039302362E-4</c:v>
                </c:pt>
                <c:pt idx="23">
                  <c:v>9.8224983917248967E-4</c:v>
                </c:pt>
                <c:pt idx="24">
                  <c:v>9.8647994794003936E-4</c:v>
                </c:pt>
                <c:pt idx="25">
                  <c:v>9.9063074669567333E-4</c:v>
                </c:pt>
                <c:pt idx="26">
                  <c:v>1.0026072828910777E-3</c:v>
                </c:pt>
                <c:pt idx="27">
                  <c:v>1.0064408415990469E-3</c:v>
                </c:pt>
                <c:pt idx="28">
                  <c:v>1.0101950902950999E-3</c:v>
                </c:pt>
                <c:pt idx="29">
                  <c:v>1.0138700289792368E-3</c:v>
                </c:pt>
                <c:pt idx="30">
                  <c:v>1.017465657651458E-3</c:v>
                </c:pt>
                <c:pt idx="31">
                  <c:v>1.0277766835966237E-3</c:v>
                </c:pt>
                <c:pt idx="32">
                  <c:v>1.0310550722211801E-3</c:v>
                </c:pt>
                <c:pt idx="33">
                  <c:v>1.0342541508338206E-3</c:v>
                </c:pt>
                <c:pt idx="34">
                  <c:v>1.0373739194345444E-3</c:v>
                </c:pt>
                <c:pt idx="35">
                  <c:v>1.0404143780233528E-3</c:v>
                </c:pt>
                <c:pt idx="36">
                  <c:v>1.0490598937182799E-3</c:v>
                </c:pt>
                <c:pt idx="37">
                  <c:v>1.0517831122594235E-3</c:v>
                </c:pt>
                <c:pt idx="38">
                  <c:v>1.0544270207886509E-3</c:v>
                </c:pt>
                <c:pt idx="39">
                  <c:v>1.0569916193059624E-3</c:v>
                </c:pt>
                <c:pt idx="40">
                  <c:v>1.0594769078113575E-3</c:v>
                </c:pt>
                <c:pt idx="41">
                  <c:v>1.0664569132560462E-3</c:v>
                </c:pt>
                <c:pt idx="42">
                  <c:v>1.068624961713777E-3</c:v>
                </c:pt>
                <c:pt idx="43">
                  <c:v>1.0707137001595918E-3</c:v>
                </c:pt>
                <c:pt idx="44">
                  <c:v>1.0727231285934903E-3</c:v>
                </c:pt>
                <c:pt idx="45">
                  <c:v>1.0746532470154726E-3</c:v>
                </c:pt>
                <c:pt idx="46">
                  <c:v>1.0799677422099227E-3</c:v>
                </c:pt>
                <c:pt idx="47">
                  <c:v>1.0815806205842406E-3</c:v>
                </c:pt>
                <c:pt idx="48">
                  <c:v>1.0831141889466427E-3</c:v>
                </c:pt>
                <c:pt idx="49">
                  <c:v>1.0845684472971281E-3</c:v>
                </c:pt>
                <c:pt idx="50">
                  <c:v>1.0859433956356976E-3</c:v>
                </c:pt>
                <c:pt idx="51">
                  <c:v>1.0895923805799095E-3</c:v>
                </c:pt>
                <c:pt idx="52">
                  <c:v>1.0906500888708144E-3</c:v>
                </c:pt>
                <c:pt idx="53">
                  <c:v>1.0916284871498034E-3</c:v>
                </c:pt>
                <c:pt idx="54">
                  <c:v>1.0925275754168763E-3</c:v>
                </c:pt>
                <c:pt idx="55">
                  <c:v>1.0933473536720328E-3</c:v>
                </c:pt>
                <c:pt idx="56">
                  <c:v>1.0953308283660063E-3</c:v>
                </c:pt>
                <c:pt idx="57">
                  <c:v>1.0958333665734982E-3</c:v>
                </c:pt>
                <c:pt idx="58">
                  <c:v>1.0962565947690746E-3</c:v>
                </c:pt>
                <c:pt idx="59">
                  <c:v>1.0966005129527344E-3</c:v>
                </c:pt>
                <c:pt idx="60">
                  <c:v>1.0971830855682132E-3</c:v>
                </c:pt>
                <c:pt idx="61">
                  <c:v>1.0971304536922923E-3</c:v>
                </c:pt>
                <c:pt idx="62">
                  <c:v>1.0969985118044557E-3</c:v>
                </c:pt>
                <c:pt idx="63">
                  <c:v>1.0967872599047027E-3</c:v>
                </c:pt>
                <c:pt idx="64">
                  <c:v>1.09514915218653E-3</c:v>
                </c:pt>
                <c:pt idx="65">
                  <c:v>1.0945413502271965E-3</c:v>
                </c:pt>
                <c:pt idx="66">
                  <c:v>1.0938542382559469E-3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</c:numCache>
            </c:numRef>
          </c:cat>
          <c:val>
            <c:numRef>
              <c:f>'3MSynthDepo_allScenario'!$BK$6:$BK$135</c:f>
              <c:numCache>
                <c:formatCode>0.0000%</c:formatCode>
                <c:ptCount val="130"/>
                <c:pt idx="0">
                  <c:v>1.0099078466391264E-3</c:v>
                </c:pt>
                <c:pt idx="1">
                  <c:v>1.0117723563152251E-3</c:v>
                </c:pt>
                <c:pt idx="2">
                  <c:v>1.0123938595405914E-3</c:v>
                </c:pt>
                <c:pt idx="3">
                  <c:v>1.0130153627659578E-3</c:v>
                </c:pt>
                <c:pt idx="4">
                  <c:v>1.0136368659913241E-3</c:v>
                </c:pt>
                <c:pt idx="5">
                  <c:v>1.0142583692166903E-3</c:v>
                </c:pt>
                <c:pt idx="6">
                  <c:v>1.016122878892789E-3</c:v>
                </c:pt>
                <c:pt idx="7">
                  <c:v>1.0167443821181552E-3</c:v>
                </c:pt>
                <c:pt idx="8">
                  <c:v>1.0173658853435215E-3</c:v>
                </c:pt>
                <c:pt idx="9">
                  <c:v>1.0179873885688877E-3</c:v>
                </c:pt>
                <c:pt idx="10">
                  <c:v>1.0186088917942542E-3</c:v>
                </c:pt>
                <c:pt idx="11">
                  <c:v>1.0204734014703529E-3</c:v>
                </c:pt>
                <c:pt idx="12">
                  <c:v>1.0210949046957191E-3</c:v>
                </c:pt>
                <c:pt idx="13">
                  <c:v>1.0217164079210854E-3</c:v>
                </c:pt>
                <c:pt idx="14">
                  <c:v>1.0223379111464516E-3</c:v>
                </c:pt>
                <c:pt idx="15">
                  <c:v>1.0229594143718178E-3</c:v>
                </c:pt>
                <c:pt idx="16">
                  <c:v>1.0248239240479168E-3</c:v>
                </c:pt>
                <c:pt idx="17">
                  <c:v>1.025445427273283E-3</c:v>
                </c:pt>
                <c:pt idx="18">
                  <c:v>1.0260669304986492E-3</c:v>
                </c:pt>
                <c:pt idx="19">
                  <c:v>1.0266884337240155E-3</c:v>
                </c:pt>
                <c:pt idx="20">
                  <c:v>1.0273099369493817E-3</c:v>
                </c:pt>
                <c:pt idx="21">
                  <c:v>1.0291744466254804E-3</c:v>
                </c:pt>
                <c:pt idx="22">
                  <c:v>1.0297959498508469E-3</c:v>
                </c:pt>
                <c:pt idx="23">
                  <c:v>1.0304174530762131E-3</c:v>
                </c:pt>
                <c:pt idx="24">
                  <c:v>1.0310389563015793E-3</c:v>
                </c:pt>
                <c:pt idx="25">
                  <c:v>1.0316604595269456E-3</c:v>
                </c:pt>
                <c:pt idx="26">
                  <c:v>1.0335249692030443E-3</c:v>
                </c:pt>
                <c:pt idx="27">
                  <c:v>1.0341464724284105E-3</c:v>
                </c:pt>
                <c:pt idx="28">
                  <c:v>1.0347679756537768E-3</c:v>
                </c:pt>
                <c:pt idx="29">
                  <c:v>1.0353894788791432E-3</c:v>
                </c:pt>
                <c:pt idx="30">
                  <c:v>1.0360109821045094E-3</c:v>
                </c:pt>
                <c:pt idx="31">
                  <c:v>1.0378754917806082E-3</c:v>
                </c:pt>
                <c:pt idx="32">
                  <c:v>1.0384969950059744E-3</c:v>
                </c:pt>
                <c:pt idx="33">
                  <c:v>1.0391184982313406E-3</c:v>
                </c:pt>
                <c:pt idx="34">
                  <c:v>1.0397400014567069E-3</c:v>
                </c:pt>
                <c:pt idx="35">
                  <c:v>1.0403615046820731E-3</c:v>
                </c:pt>
                <c:pt idx="36">
                  <c:v>1.042226014358172E-3</c:v>
                </c:pt>
                <c:pt idx="37">
                  <c:v>1.0428475175835383E-3</c:v>
                </c:pt>
                <c:pt idx="38">
                  <c:v>1.0434690208089045E-3</c:v>
                </c:pt>
                <c:pt idx="39">
                  <c:v>1.0440905240342707E-3</c:v>
                </c:pt>
                <c:pt idx="40">
                  <c:v>1.044712027259637E-3</c:v>
                </c:pt>
                <c:pt idx="41">
                  <c:v>1.0465765369357359E-3</c:v>
                </c:pt>
                <c:pt idx="42">
                  <c:v>1.0471980401611021E-3</c:v>
                </c:pt>
                <c:pt idx="43">
                  <c:v>1.0478195433864684E-3</c:v>
                </c:pt>
                <c:pt idx="44">
                  <c:v>1.0484410466118346E-3</c:v>
                </c:pt>
                <c:pt idx="45">
                  <c:v>1.0490625498372009E-3</c:v>
                </c:pt>
                <c:pt idx="46">
                  <c:v>1.0509270595132996E-3</c:v>
                </c:pt>
                <c:pt idx="47">
                  <c:v>1.0515485627386658E-3</c:v>
                </c:pt>
                <c:pt idx="48">
                  <c:v>1.0521700659640323E-3</c:v>
                </c:pt>
                <c:pt idx="49">
                  <c:v>1.0527915691893985E-3</c:v>
                </c:pt>
                <c:pt idx="50">
                  <c:v>1.0534130724147647E-3</c:v>
                </c:pt>
                <c:pt idx="51">
                  <c:v>1.0552775820908634E-3</c:v>
                </c:pt>
                <c:pt idx="52">
                  <c:v>1.0558990853162297E-3</c:v>
                </c:pt>
                <c:pt idx="53">
                  <c:v>1.0565205885415959E-3</c:v>
                </c:pt>
                <c:pt idx="54">
                  <c:v>1.0571420917669621E-3</c:v>
                </c:pt>
                <c:pt idx="55">
                  <c:v>1.0577635949923286E-3</c:v>
                </c:pt>
                <c:pt idx="56">
                  <c:v>1.0596281046684273E-3</c:v>
                </c:pt>
                <c:pt idx="57">
                  <c:v>1.0602496078937935E-3</c:v>
                </c:pt>
                <c:pt idx="58">
                  <c:v>1.0608711111191598E-3</c:v>
                </c:pt>
                <c:pt idx="59">
                  <c:v>1.061492614344526E-3</c:v>
                </c:pt>
                <c:pt idx="60">
                  <c:v>1.0639786272459912E-3</c:v>
                </c:pt>
                <c:pt idx="61">
                  <c:v>1.0646001304713574E-3</c:v>
                </c:pt>
                <c:pt idx="62">
                  <c:v>1.0652216336967237E-3</c:v>
                </c:pt>
                <c:pt idx="63">
                  <c:v>1.0658431369220899E-3</c:v>
                </c:pt>
                <c:pt idx="64">
                  <c:v>1.0683291498235548E-3</c:v>
                </c:pt>
                <c:pt idx="65">
                  <c:v>1.0689506530489213E-3</c:v>
                </c:pt>
                <c:pt idx="66">
                  <c:v>1.0695721562742875E-3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</c:numCache>
            </c:numRef>
          </c:cat>
          <c:val>
            <c:numRef>
              <c:f>'3MSynthDepo_allScenario'!$BL$6:$BL$135</c:f>
              <c:numCache>
                <c:formatCode>0.0000%</c:formatCode>
                <c:ptCount val="130"/>
                <c:pt idx="0">
                  <c:v>1.1358678403055765E-3</c:v>
                </c:pt>
                <c:pt idx="1">
                  <c:v>1.1267632388533464E-3</c:v>
                </c:pt>
                <c:pt idx="2">
                  <c:v>1.1238227296477929E-3</c:v>
                </c:pt>
                <c:pt idx="3">
                  <c:v>1.1209293994148344E-3</c:v>
                </c:pt>
                <c:pt idx="4">
                  <c:v>1.1180832481544709E-3</c:v>
                </c:pt>
                <c:pt idx="5">
                  <c:v>1.1152842758667023E-3</c:v>
                </c:pt>
                <c:pt idx="6">
                  <c:v>1.1071704328389667E-3</c:v>
                </c:pt>
                <c:pt idx="7">
                  <c:v>1.1045601764415778E-3</c:v>
                </c:pt>
                <c:pt idx="8">
                  <c:v>1.1019970990167841E-3</c:v>
                </c:pt>
                <c:pt idx="9">
                  <c:v>1.0994812005645854E-3</c:v>
                </c:pt>
                <c:pt idx="10">
                  <c:v>1.0970124810849816E-3</c:v>
                </c:pt>
                <c:pt idx="11">
                  <c:v>1.0898893964817399E-3</c:v>
                </c:pt>
                <c:pt idx="12">
                  <c:v>1.0876093928925158E-3</c:v>
                </c:pt>
                <c:pt idx="13">
                  <c:v>1.0853765682758869E-3</c:v>
                </c:pt>
                <c:pt idx="14">
                  <c:v>1.0831909226318528E-3</c:v>
                </c:pt>
                <c:pt idx="15">
                  <c:v>1.0810524559604136E-3</c:v>
                </c:pt>
                <c:pt idx="16">
                  <c:v>1.0749201297816664E-3</c:v>
                </c:pt>
                <c:pt idx="17">
                  <c:v>1.0729703790006071E-3</c:v>
                </c:pt>
                <c:pt idx="18">
                  <c:v>1.0710678071921428E-3</c:v>
                </c:pt>
                <c:pt idx="19">
                  <c:v>1.0692124143562736E-3</c:v>
                </c:pt>
                <c:pt idx="20">
                  <c:v>1.0674042004929993E-3</c:v>
                </c:pt>
                <c:pt idx="21">
                  <c:v>1.062262632738746E-3</c:v>
                </c:pt>
                <c:pt idx="22">
                  <c:v>1.0606431347658515E-3</c:v>
                </c:pt>
                <c:pt idx="23">
                  <c:v>1.059070815765552E-3</c:v>
                </c:pt>
                <c:pt idx="24">
                  <c:v>1.0575456757378474E-3</c:v>
                </c:pt>
                <c:pt idx="25">
                  <c:v>1.0560677146827376E-3</c:v>
                </c:pt>
                <c:pt idx="26">
                  <c:v>1.051916905352979E-3</c:v>
                </c:pt>
                <c:pt idx="27">
                  <c:v>1.0506276601882491E-3</c:v>
                </c:pt>
                <c:pt idx="28">
                  <c:v>1.0493855939961141E-3</c:v>
                </c:pt>
                <c:pt idx="29">
                  <c:v>1.0481907067765744E-3</c:v>
                </c:pt>
                <c:pt idx="30">
                  <c:v>1.0470429985296296E-3</c:v>
                </c:pt>
                <c:pt idx="31">
                  <c:v>1.0438829476243647E-3</c:v>
                </c:pt>
                <c:pt idx="32">
                  <c:v>1.0429239552677996E-3</c:v>
                </c:pt>
                <c:pt idx="33">
                  <c:v>1.0420121418838297E-3</c:v>
                </c:pt>
                <c:pt idx="34">
                  <c:v>1.0411475074724545E-3</c:v>
                </c:pt>
                <c:pt idx="35">
                  <c:v>1.0403300520336746E-3</c:v>
                </c:pt>
                <c:pt idx="36">
                  <c:v>1.0381607595529039E-3</c:v>
                </c:pt>
                <c:pt idx="37">
                  <c:v>1.0375320200045036E-3</c:v>
                </c:pt>
                <c:pt idx="38">
                  <c:v>1.0369504594286982E-3</c:v>
                </c:pt>
                <c:pt idx="39">
                  <c:v>1.0364160778254879E-3</c:v>
                </c:pt>
                <c:pt idx="40">
                  <c:v>1.0359288751948725E-3</c:v>
                </c:pt>
                <c:pt idx="41">
                  <c:v>1.034750341138596E-3</c:v>
                </c:pt>
                <c:pt idx="42">
                  <c:v>1.0344518543983605E-3</c:v>
                </c:pt>
                <c:pt idx="43">
                  <c:v>1.0342005466307199E-3</c:v>
                </c:pt>
                <c:pt idx="44">
                  <c:v>1.0339964178356742E-3</c:v>
                </c:pt>
                <c:pt idx="45">
                  <c:v>1.0338394680132236E-3</c:v>
                </c:pt>
                <c:pt idx="46">
                  <c:v>1.0336516923814415E-3</c:v>
                </c:pt>
                <c:pt idx="47">
                  <c:v>1.0336834584493706E-3</c:v>
                </c:pt>
                <c:pt idx="48">
                  <c:v>1.0337624034898948E-3</c:v>
                </c:pt>
                <c:pt idx="49">
                  <c:v>1.0338885275030139E-3</c:v>
                </c:pt>
                <c:pt idx="50">
                  <c:v>1.0340618304887281E-3</c:v>
                </c:pt>
                <c:pt idx="51">
                  <c:v>1.0348648132814399E-3</c:v>
                </c:pt>
                <c:pt idx="52">
                  <c:v>1.0352268321575341E-3</c:v>
                </c:pt>
                <c:pt idx="53">
                  <c:v>1.0356360300062227E-3</c:v>
                </c:pt>
                <c:pt idx="54">
                  <c:v>1.0360924068275068E-3</c:v>
                </c:pt>
                <c:pt idx="55">
                  <c:v>1.0365959626213856E-3</c:v>
                </c:pt>
                <c:pt idx="56">
                  <c:v>1.0383897038385916E-3</c:v>
                </c:pt>
                <c:pt idx="57">
                  <c:v>1.0390819755228503E-3</c:v>
                </c:pt>
                <c:pt idx="58">
                  <c:v>1.039821426179704E-3</c:v>
                </c:pt>
                <c:pt idx="59">
                  <c:v>1.0406080558091526E-3</c:v>
                </c:pt>
                <c:pt idx="60">
                  <c:v>1.0442263640528964E-3</c:v>
                </c:pt>
                <c:pt idx="61">
                  <c:v>1.0452488885453199E-3</c:v>
                </c:pt>
                <c:pt idx="62">
                  <c:v>1.0463185920103384E-3</c:v>
                </c:pt>
                <c:pt idx="63">
                  <c:v>1.0474354744479516E-3</c:v>
                </c:pt>
                <c:pt idx="64">
                  <c:v>1.0523747939243544E-3</c:v>
                </c:pt>
                <c:pt idx="65">
                  <c:v>1.0537275712249427E-3</c:v>
                </c:pt>
                <c:pt idx="66">
                  <c:v>1.0551275274981258E-3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6972248"/>
        <c:axId val="996971856"/>
      </c:lineChart>
      <c:dateAx>
        <c:axId val="99697224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996971856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99697185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9969722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36684293225888576"/>
          <c:h val="0.368966188745347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Fit (Simple</a:t>
            </a:r>
            <a:r>
              <a:rPr lang="en-US" baseline="0"/>
              <a:t> Basis Approx)</a:t>
            </a:r>
            <a:endParaRPr lang="en-US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</c:numCache>
            </c:numRef>
          </c:cat>
          <c:val>
            <c:numRef>
              <c:f>'3MSynthDepo_allScenario'!$BM$6:$BM$135</c:f>
              <c:numCache>
                <c:formatCode>0.0000%</c:formatCode>
                <c:ptCount val="130"/>
                <c:pt idx="0">
                  <c:v>9.4970774549133418E-4</c:v>
                </c:pt>
                <c:pt idx="1">
                  <c:v>9.5367758051253528E-4</c:v>
                </c:pt>
                <c:pt idx="2">
                  <c:v>9.5500085885293572E-4</c:v>
                </c:pt>
                <c:pt idx="3">
                  <c:v>9.5632413719333605E-4</c:v>
                </c:pt>
                <c:pt idx="4">
                  <c:v>9.5764741553373649E-4</c:v>
                </c:pt>
                <c:pt idx="5">
                  <c:v>9.5897069387413682E-4</c:v>
                </c:pt>
                <c:pt idx="6">
                  <c:v>9.6294052889533803E-4</c:v>
                </c:pt>
                <c:pt idx="7">
                  <c:v>9.6426380723573836E-4</c:v>
                </c:pt>
                <c:pt idx="8">
                  <c:v>9.655870855761388E-4</c:v>
                </c:pt>
                <c:pt idx="9">
                  <c:v>9.6691036391653913E-4</c:v>
                </c:pt>
                <c:pt idx="10">
                  <c:v>9.6823364225693956E-4</c:v>
                </c:pt>
                <c:pt idx="11">
                  <c:v>9.7220347727814066E-4</c:v>
                </c:pt>
                <c:pt idx="12">
                  <c:v>9.735267556185411E-4</c:v>
                </c:pt>
                <c:pt idx="13">
                  <c:v>9.7485003395894143E-4</c:v>
                </c:pt>
                <c:pt idx="14">
                  <c:v>9.7617331229934187E-4</c:v>
                </c:pt>
                <c:pt idx="15">
                  <c:v>9.774965906397422E-4</c:v>
                </c:pt>
                <c:pt idx="16">
                  <c:v>9.8146642566094341E-4</c:v>
                </c:pt>
                <c:pt idx="17">
                  <c:v>9.8278970400134374E-4</c:v>
                </c:pt>
                <c:pt idx="18">
                  <c:v>9.8411298234174407E-4</c:v>
                </c:pt>
                <c:pt idx="19">
                  <c:v>9.854362606821444E-4</c:v>
                </c:pt>
                <c:pt idx="20">
                  <c:v>9.8675953902254494E-4</c:v>
                </c:pt>
                <c:pt idx="21">
                  <c:v>9.9072937404374594E-4</c:v>
                </c:pt>
                <c:pt idx="22">
                  <c:v>9.9205265238414648E-4</c:v>
                </c:pt>
                <c:pt idx="23">
                  <c:v>9.9337593072454681E-4</c:v>
                </c:pt>
                <c:pt idx="24">
                  <c:v>9.9469920906494714E-4</c:v>
                </c:pt>
                <c:pt idx="25">
                  <c:v>9.9602248740534747E-4</c:v>
                </c:pt>
                <c:pt idx="26">
                  <c:v>9.9999232242654868E-4</c:v>
                </c:pt>
                <c:pt idx="27">
                  <c:v>1.001315600766949E-3</c:v>
                </c:pt>
                <c:pt idx="28">
                  <c:v>1.0026388791073496E-3</c:v>
                </c:pt>
                <c:pt idx="29">
                  <c:v>1.0039621574477499E-3</c:v>
                </c:pt>
                <c:pt idx="30">
                  <c:v>1.0052854357881502E-3</c:v>
                </c:pt>
                <c:pt idx="31">
                  <c:v>1.0092552708093514E-3</c:v>
                </c:pt>
                <c:pt idx="32">
                  <c:v>1.0105785491497518E-3</c:v>
                </c:pt>
                <c:pt idx="33">
                  <c:v>1.0119018274901521E-3</c:v>
                </c:pt>
                <c:pt idx="34">
                  <c:v>1.0132251058305524E-3</c:v>
                </c:pt>
                <c:pt idx="35">
                  <c:v>1.014548384170953E-3</c:v>
                </c:pt>
                <c:pt idx="36">
                  <c:v>1.018518219192154E-3</c:v>
                </c:pt>
                <c:pt idx="37">
                  <c:v>1.0198414975325545E-3</c:v>
                </c:pt>
                <c:pt idx="38">
                  <c:v>1.0211647758729548E-3</c:v>
                </c:pt>
                <c:pt idx="39">
                  <c:v>1.0224880542133552E-3</c:v>
                </c:pt>
                <c:pt idx="40">
                  <c:v>1.0238113325537555E-3</c:v>
                </c:pt>
                <c:pt idx="41">
                  <c:v>1.0277811675749567E-3</c:v>
                </c:pt>
                <c:pt idx="42">
                  <c:v>1.029104445915357E-3</c:v>
                </c:pt>
                <c:pt idx="43">
                  <c:v>1.0304277242557574E-3</c:v>
                </c:pt>
                <c:pt idx="44">
                  <c:v>1.0317510025961579E-3</c:v>
                </c:pt>
                <c:pt idx="45">
                  <c:v>1.0330742809365582E-3</c:v>
                </c:pt>
                <c:pt idx="46">
                  <c:v>1.0370441159577594E-3</c:v>
                </c:pt>
                <c:pt idx="47">
                  <c:v>1.0383673942981598E-3</c:v>
                </c:pt>
                <c:pt idx="48">
                  <c:v>1.0396906726385601E-3</c:v>
                </c:pt>
                <c:pt idx="49">
                  <c:v>1.0410139509789604E-3</c:v>
                </c:pt>
                <c:pt idx="50">
                  <c:v>1.042337229319361E-3</c:v>
                </c:pt>
                <c:pt idx="51">
                  <c:v>1.046307064340562E-3</c:v>
                </c:pt>
                <c:pt idx="52">
                  <c:v>1.0476303426809625E-3</c:v>
                </c:pt>
                <c:pt idx="53">
                  <c:v>1.0489536210213628E-3</c:v>
                </c:pt>
                <c:pt idx="54">
                  <c:v>1.0502768993617632E-3</c:v>
                </c:pt>
                <c:pt idx="55">
                  <c:v>1.0516001777021635E-3</c:v>
                </c:pt>
                <c:pt idx="56">
                  <c:v>1.0555700127233647E-3</c:v>
                </c:pt>
                <c:pt idx="57">
                  <c:v>1.056893291063765E-3</c:v>
                </c:pt>
                <c:pt idx="58">
                  <c:v>1.0582165694041654E-3</c:v>
                </c:pt>
                <c:pt idx="59">
                  <c:v>1.0595398477445659E-3</c:v>
                </c:pt>
                <c:pt idx="60">
                  <c:v>1.0648329611061675E-3</c:v>
                </c:pt>
                <c:pt idx="61">
                  <c:v>1.0661562394465678E-3</c:v>
                </c:pt>
                <c:pt idx="62">
                  <c:v>1.0674795177869681E-3</c:v>
                </c:pt>
                <c:pt idx="63">
                  <c:v>1.0688027961273684E-3</c:v>
                </c:pt>
                <c:pt idx="64">
                  <c:v>1.07409590948897E-3</c:v>
                </c:pt>
                <c:pt idx="65">
                  <c:v>1.0754191878293705E-3</c:v>
                </c:pt>
                <c:pt idx="66">
                  <c:v>1.0767424661697709E-3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</c:numCache>
            </c:numRef>
          </c:cat>
          <c:val>
            <c:numRef>
              <c:f>'3MSynthDepo_allScenario'!$BN$6:$BN$135</c:f>
              <c:numCache>
                <c:formatCode>0.0000%</c:formatCode>
                <c:ptCount val="130"/>
                <c:pt idx="0">
                  <c:v>9.1705832776514879E-4</c:v>
                </c:pt>
                <c:pt idx="1">
                  <c:v>9.2407932067007877E-4</c:v>
                </c:pt>
                <c:pt idx="2">
                  <c:v>9.2639349461167591E-4</c:v>
                </c:pt>
                <c:pt idx="3">
                  <c:v>9.2869459003991665E-4</c:v>
                </c:pt>
                <c:pt idx="4">
                  <c:v>9.3098260695480078E-4</c:v>
                </c:pt>
                <c:pt idx="5">
                  <c:v>9.3325754535632873E-4</c:v>
                </c:pt>
                <c:pt idx="6">
                  <c:v>9.4000388948077367E-4</c:v>
                </c:pt>
                <c:pt idx="7">
                  <c:v>9.4222651382887582E-4</c:v>
                </c:pt>
                <c:pt idx="8">
                  <c:v>9.4443605966362159E-4</c:v>
                </c:pt>
                <c:pt idx="9">
                  <c:v>9.4663252698501074E-4</c:v>
                </c:pt>
                <c:pt idx="10">
                  <c:v>9.4881591579304371E-4</c:v>
                </c:pt>
                <c:pt idx="11">
                  <c:v>9.5528761113700361E-4</c:v>
                </c:pt>
                <c:pt idx="12">
                  <c:v>9.5741868589161079E-4</c:v>
                </c:pt>
                <c:pt idx="13">
                  <c:v>9.5953668213286146E-4</c:v>
                </c:pt>
                <c:pt idx="14">
                  <c:v>9.6164159986075574E-4</c:v>
                </c:pt>
                <c:pt idx="15">
                  <c:v>9.6373343907529363E-4</c:v>
                </c:pt>
                <c:pt idx="16">
                  <c:v>9.6993048563876849E-4</c:v>
                </c:pt>
                <c:pt idx="17">
                  <c:v>9.7197001079988069E-4</c:v>
                </c:pt>
                <c:pt idx="18">
                  <c:v>9.739964574476365E-4</c:v>
                </c:pt>
                <c:pt idx="19">
                  <c:v>9.7600982558203569E-4</c:v>
                </c:pt>
                <c:pt idx="20">
                  <c:v>9.7801011520307849E-4</c:v>
                </c:pt>
                <c:pt idx="21">
                  <c:v>9.8393251298606863E-4</c:v>
                </c:pt>
                <c:pt idx="22">
                  <c:v>9.8588048855368553E-4</c:v>
                </c:pt>
                <c:pt idx="23">
                  <c:v>9.8781538560794658E-4</c:v>
                </c:pt>
                <c:pt idx="24">
                  <c:v>9.8973720414885068E-4</c:v>
                </c:pt>
                <c:pt idx="25">
                  <c:v>9.9164594417639851E-4</c:v>
                </c:pt>
                <c:pt idx="26">
                  <c:v>9.9729369317890361E-4</c:v>
                </c:pt>
                <c:pt idx="27">
                  <c:v>9.9915011915302564E-4</c:v>
                </c:pt>
                <c:pt idx="28">
                  <c:v>1.0009934666137916E-3</c:v>
                </c:pt>
                <c:pt idx="29">
                  <c:v>1.0028237355612008E-3</c:v>
                </c:pt>
                <c:pt idx="30">
                  <c:v>1.0046409259952536E-3</c:v>
                </c:pt>
                <c:pt idx="31">
                  <c:v>1.0100140262172736E-3</c:v>
                </c:pt>
                <c:pt idx="32">
                  <c:v>1.0117789025979006E-3</c:v>
                </c:pt>
                <c:pt idx="33">
                  <c:v>1.0135307004651714E-3</c:v>
                </c:pt>
                <c:pt idx="34">
                  <c:v>1.0152694198190858E-3</c:v>
                </c:pt>
                <c:pt idx="35">
                  <c:v>1.0169950606596437E-3</c:v>
                </c:pt>
                <c:pt idx="36">
                  <c:v>1.0220935121011787E-3</c:v>
                </c:pt>
                <c:pt idx="37">
                  <c:v>1.0237668388883108E-3</c:v>
                </c:pt>
                <c:pt idx="38">
                  <c:v>1.0254270871620866E-3</c:v>
                </c:pt>
                <c:pt idx="39">
                  <c:v>1.0270742569225058E-3</c:v>
                </c:pt>
                <c:pt idx="40">
                  <c:v>1.0287083481695686E-3</c:v>
                </c:pt>
                <c:pt idx="41">
                  <c:v>1.0335321508306188E-3</c:v>
                </c:pt>
                <c:pt idx="42">
                  <c:v>1.0351139280242558E-3</c:v>
                </c:pt>
                <c:pt idx="43">
                  <c:v>1.0366826267045367E-3</c:v>
                </c:pt>
                <c:pt idx="44">
                  <c:v>1.0382382468714609E-3</c:v>
                </c:pt>
                <c:pt idx="45">
                  <c:v>1.0397807885250288E-3</c:v>
                </c:pt>
                <c:pt idx="46">
                  <c:v>1.0443299424055938E-3</c:v>
                </c:pt>
                <c:pt idx="47">
                  <c:v>1.0458201700057359E-3</c:v>
                </c:pt>
                <c:pt idx="48">
                  <c:v>1.0472973190925215E-3</c:v>
                </c:pt>
                <c:pt idx="49">
                  <c:v>1.048761389665951E-3</c:v>
                </c:pt>
                <c:pt idx="50">
                  <c:v>1.0502123817260239E-3</c:v>
                </c:pt>
                <c:pt idx="51">
                  <c:v>1.054486886826104E-3</c:v>
                </c:pt>
                <c:pt idx="52">
                  <c:v>1.055885564832751E-3</c:v>
                </c:pt>
                <c:pt idx="53">
                  <c:v>1.057271164326042E-3</c:v>
                </c:pt>
                <c:pt idx="54">
                  <c:v>1.0586436853059762E-3</c:v>
                </c:pt>
                <c:pt idx="55">
                  <c:v>1.0600031277725539E-3</c:v>
                </c:pt>
                <c:pt idx="56">
                  <c:v>1.064002984092149E-3</c:v>
                </c:pt>
                <c:pt idx="57">
                  <c:v>1.0653101125053012E-3</c:v>
                </c:pt>
                <c:pt idx="58">
                  <c:v>1.0666041624050968E-3</c:v>
                </c:pt>
                <c:pt idx="59">
                  <c:v>1.0678851337915362E-3</c:v>
                </c:pt>
                <c:pt idx="60">
                  <c:v>1.0728782342037293E-3</c:v>
                </c:pt>
                <c:pt idx="61">
                  <c:v>1.0740938130233864E-3</c:v>
                </c:pt>
                <c:pt idx="62">
                  <c:v>1.0752963133296872E-3</c:v>
                </c:pt>
                <c:pt idx="63">
                  <c:v>1.0764857351226315E-3</c:v>
                </c:pt>
                <c:pt idx="64">
                  <c:v>1.0811126371608444E-3</c:v>
                </c:pt>
                <c:pt idx="65">
                  <c:v>1.0822366663870064E-3</c:v>
                </c:pt>
                <c:pt idx="66">
                  <c:v>1.0833476170998121E-3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</c:numCache>
            </c:numRef>
          </c:cat>
          <c:val>
            <c:numRef>
              <c:f>'3MSynthDepo_allScenario'!$BO$6:$BO$135</c:f>
              <c:numCache>
                <c:formatCode>0.0000%</c:formatCode>
                <c:ptCount val="130"/>
                <c:pt idx="0">
                  <c:v>9.8041221873214433E-4</c:v>
                </c:pt>
                <c:pt idx="1">
                  <c:v>9.8339856937059225E-4</c:v>
                </c:pt>
                <c:pt idx="2">
                  <c:v>9.8439401958340823E-4</c:v>
                </c:pt>
                <c:pt idx="3">
                  <c:v>9.853894697962242E-4</c:v>
                </c:pt>
                <c:pt idx="4">
                  <c:v>9.8638492000904018E-4</c:v>
                </c:pt>
                <c:pt idx="5">
                  <c:v>9.8738037022185615E-4</c:v>
                </c:pt>
                <c:pt idx="6">
                  <c:v>9.9036672086030408E-4</c:v>
                </c:pt>
                <c:pt idx="7">
                  <c:v>9.9136217107312005E-4</c:v>
                </c:pt>
                <c:pt idx="8">
                  <c:v>9.9235762128593603E-4</c:v>
                </c:pt>
                <c:pt idx="9">
                  <c:v>9.93353071498752E-4</c:v>
                </c:pt>
                <c:pt idx="10">
                  <c:v>9.9434852171156798E-4</c:v>
                </c:pt>
                <c:pt idx="11">
                  <c:v>9.973348723500159E-4</c:v>
                </c:pt>
                <c:pt idx="12">
                  <c:v>9.9833032256283166E-4</c:v>
                </c:pt>
                <c:pt idx="13">
                  <c:v>9.9932577277564764E-4</c:v>
                </c:pt>
                <c:pt idx="14">
                  <c:v>1.0003212229884636E-3</c:v>
                </c:pt>
                <c:pt idx="15">
                  <c:v>1.0013166732012796E-3</c:v>
                </c:pt>
                <c:pt idx="16">
                  <c:v>1.0043030238397275E-3</c:v>
                </c:pt>
                <c:pt idx="17">
                  <c:v>1.0052984740525435E-3</c:v>
                </c:pt>
                <c:pt idx="18">
                  <c:v>1.0062939242653595E-3</c:v>
                </c:pt>
                <c:pt idx="19">
                  <c:v>1.0072893744781754E-3</c:v>
                </c:pt>
                <c:pt idx="20">
                  <c:v>1.0082848246909914E-3</c:v>
                </c:pt>
                <c:pt idx="21">
                  <c:v>1.0112711753294393E-3</c:v>
                </c:pt>
                <c:pt idx="22">
                  <c:v>1.0122666255422553E-3</c:v>
                </c:pt>
                <c:pt idx="23">
                  <c:v>1.0132620757550713E-3</c:v>
                </c:pt>
                <c:pt idx="24">
                  <c:v>1.0142575259678873E-3</c:v>
                </c:pt>
                <c:pt idx="25">
                  <c:v>1.0152529761807032E-3</c:v>
                </c:pt>
                <c:pt idx="26">
                  <c:v>1.0182393268191512E-3</c:v>
                </c:pt>
                <c:pt idx="27">
                  <c:v>1.0192347770319671E-3</c:v>
                </c:pt>
                <c:pt idx="28">
                  <c:v>1.0202302272447831E-3</c:v>
                </c:pt>
                <c:pt idx="29">
                  <c:v>1.0212256774575991E-3</c:v>
                </c:pt>
                <c:pt idx="30">
                  <c:v>1.0222211276704151E-3</c:v>
                </c:pt>
                <c:pt idx="31">
                  <c:v>1.025207478308863E-3</c:v>
                </c:pt>
                <c:pt idx="32">
                  <c:v>1.026202928521679E-3</c:v>
                </c:pt>
                <c:pt idx="33">
                  <c:v>1.0271983787344949E-3</c:v>
                </c:pt>
                <c:pt idx="34">
                  <c:v>1.0281938289473109E-3</c:v>
                </c:pt>
                <c:pt idx="35">
                  <c:v>1.0291892791601269E-3</c:v>
                </c:pt>
                <c:pt idx="36">
                  <c:v>1.0321756297985746E-3</c:v>
                </c:pt>
                <c:pt idx="37">
                  <c:v>1.0331710800113906E-3</c:v>
                </c:pt>
                <c:pt idx="38">
                  <c:v>1.0341665302242065E-3</c:v>
                </c:pt>
                <c:pt idx="39">
                  <c:v>1.0351619804370225E-3</c:v>
                </c:pt>
                <c:pt idx="40">
                  <c:v>1.0361574306498385E-3</c:v>
                </c:pt>
                <c:pt idx="41">
                  <c:v>1.0391437812882864E-3</c:v>
                </c:pt>
                <c:pt idx="42">
                  <c:v>1.0401392315011024E-3</c:v>
                </c:pt>
                <c:pt idx="43">
                  <c:v>1.0411346817139184E-3</c:v>
                </c:pt>
                <c:pt idx="44">
                  <c:v>1.0421301319267343E-3</c:v>
                </c:pt>
                <c:pt idx="45">
                  <c:v>1.0431255821395503E-3</c:v>
                </c:pt>
                <c:pt idx="46">
                  <c:v>1.0461119327779982E-3</c:v>
                </c:pt>
                <c:pt idx="47">
                  <c:v>1.0471073829908142E-3</c:v>
                </c:pt>
                <c:pt idx="48">
                  <c:v>1.0481028332036302E-3</c:v>
                </c:pt>
                <c:pt idx="49">
                  <c:v>1.0490982834164462E-3</c:v>
                </c:pt>
                <c:pt idx="50">
                  <c:v>1.0500937336292621E-3</c:v>
                </c:pt>
                <c:pt idx="51">
                  <c:v>1.0530800842677101E-3</c:v>
                </c:pt>
                <c:pt idx="52">
                  <c:v>1.054075534480526E-3</c:v>
                </c:pt>
                <c:pt idx="53">
                  <c:v>1.055070984693342E-3</c:v>
                </c:pt>
                <c:pt idx="54">
                  <c:v>1.056066434906158E-3</c:v>
                </c:pt>
                <c:pt idx="55">
                  <c:v>1.057061885118974E-3</c:v>
                </c:pt>
                <c:pt idx="56">
                  <c:v>1.0600482357574219E-3</c:v>
                </c:pt>
                <c:pt idx="57">
                  <c:v>1.0610436859702379E-3</c:v>
                </c:pt>
                <c:pt idx="58">
                  <c:v>1.0620391361830538E-3</c:v>
                </c:pt>
                <c:pt idx="59">
                  <c:v>1.0630345863958698E-3</c:v>
                </c:pt>
                <c:pt idx="60">
                  <c:v>1.0670163872471337E-3</c:v>
                </c:pt>
                <c:pt idx="61">
                  <c:v>1.0680118374599497E-3</c:v>
                </c:pt>
                <c:pt idx="62">
                  <c:v>1.0690072876727657E-3</c:v>
                </c:pt>
                <c:pt idx="63">
                  <c:v>1.0700027378855814E-3</c:v>
                </c:pt>
                <c:pt idx="64">
                  <c:v>1.0739845387368453E-3</c:v>
                </c:pt>
                <c:pt idx="65">
                  <c:v>1.0749799889496613E-3</c:v>
                </c:pt>
                <c:pt idx="66">
                  <c:v>1.0759754391624773E-3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'3MSynthDepo_allScenario'!$BC$6:$BC$135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</c:numCache>
            </c:numRef>
          </c:cat>
          <c:val>
            <c:numRef>
              <c:f>'3MSynthDepo_allScenario'!$BP$6:$BP$135</c:f>
              <c:numCache>
                <c:formatCode>0.0000%</c:formatCode>
                <c:ptCount val="130"/>
                <c:pt idx="0">
                  <c:v>1.1314021705382219E-3</c:v>
                </c:pt>
                <c:pt idx="1">
                  <c:v>1.1230327454747593E-3</c:v>
                </c:pt>
                <c:pt idx="2">
                  <c:v>1.1203279735152855E-3</c:v>
                </c:pt>
                <c:pt idx="3">
                  <c:v>1.1176657197533189E-3</c:v>
                </c:pt>
                <c:pt idx="4">
                  <c:v>1.1150459841888594E-3</c:v>
                </c:pt>
                <c:pt idx="5">
                  <c:v>1.1124687668219067E-3</c:v>
                </c:pt>
                <c:pt idx="6">
                  <c:v>1.1049922239060907E-3</c:v>
                </c:pt>
                <c:pt idx="7">
                  <c:v>1.102585079329166E-3</c:v>
                </c:pt>
                <c:pt idx="8">
                  <c:v>1.1002204529497481E-3</c:v>
                </c:pt>
                <c:pt idx="9">
                  <c:v>1.0978983447678375E-3</c:v>
                </c:pt>
                <c:pt idx="10">
                  <c:v>1.0956187547834337E-3</c:v>
                </c:pt>
                <c:pt idx="11">
                  <c:v>1.0890350940152642E-3</c:v>
                </c:pt>
                <c:pt idx="12">
                  <c:v>1.0869255768208885E-3</c:v>
                </c:pt>
                <c:pt idx="13">
                  <c:v>1.0848585778240195E-3</c:v>
                </c:pt>
                <c:pt idx="14">
                  <c:v>1.0828340970246576E-3</c:v>
                </c:pt>
                <c:pt idx="15">
                  <c:v>1.0808521344228027E-3</c:v>
                </c:pt>
                <c:pt idx="16">
                  <c:v>1.0751613558022798E-3</c:v>
                </c:pt>
                <c:pt idx="17">
                  <c:v>1.073349465990453E-3</c:v>
                </c:pt>
                <c:pt idx="18">
                  <c:v>1.0715800943761329E-3</c:v>
                </c:pt>
                <c:pt idx="19">
                  <c:v>1.0698532409593199E-3</c:v>
                </c:pt>
                <c:pt idx="20">
                  <c:v>1.0681689057400138E-3</c:v>
                </c:pt>
                <c:pt idx="21">
                  <c:v>1.0633710092671376E-3</c:v>
                </c:pt>
                <c:pt idx="22">
                  <c:v>1.0618567468378595E-3</c:v>
                </c:pt>
                <c:pt idx="23">
                  <c:v>1.0603850026060884E-3</c:v>
                </c:pt>
                <c:pt idx="24">
                  <c:v>1.0589557765718243E-3</c:v>
                </c:pt>
                <c:pt idx="25">
                  <c:v>1.0575690687350671E-3</c:v>
                </c:pt>
                <c:pt idx="26">
                  <c:v>1.0536640544098375E-3</c:v>
                </c:pt>
                <c:pt idx="27">
                  <c:v>1.0524474193631082E-3</c:v>
                </c:pt>
                <c:pt idx="28">
                  <c:v>1.051273302513886E-3</c:v>
                </c:pt>
                <c:pt idx="29">
                  <c:v>1.0501417038621709E-3</c:v>
                </c:pt>
                <c:pt idx="30">
                  <c:v>1.0490526234079626E-3</c:v>
                </c:pt>
                <c:pt idx="31">
                  <c:v>1.0460404912303795E-3</c:v>
                </c:pt>
                <c:pt idx="32">
                  <c:v>1.0451214835661992E-3</c:v>
                </c:pt>
                <c:pt idx="33">
                  <c:v>1.0442449940995257E-3</c:v>
                </c:pt>
                <c:pt idx="34">
                  <c:v>1.0434110228303595E-3</c:v>
                </c:pt>
                <c:pt idx="35">
                  <c:v>1.0426195697586999E-3</c:v>
                </c:pt>
                <c:pt idx="36">
                  <c:v>1.0405003197287636E-3</c:v>
                </c:pt>
                <c:pt idx="37">
                  <c:v>1.0398789394471322E-3</c:v>
                </c:pt>
                <c:pt idx="38">
                  <c:v>1.0393000773630074E-3</c:v>
                </c:pt>
                <c:pt idx="39">
                  <c:v>1.0387637334763901E-3</c:v>
                </c:pt>
                <c:pt idx="40">
                  <c:v>1.0382699077872797E-3</c:v>
                </c:pt>
                <c:pt idx="41">
                  <c:v>1.0370435399049899E-3</c:v>
                </c:pt>
                <c:pt idx="42">
                  <c:v>1.0367197870059072E-3</c:v>
                </c:pt>
                <c:pt idx="43">
                  <c:v>1.0364385523043316E-3</c:v>
                </c:pt>
                <c:pt idx="44">
                  <c:v>1.036199835800263E-3</c:v>
                </c:pt>
                <c:pt idx="45">
                  <c:v>1.0360036374937012E-3</c:v>
                </c:pt>
                <c:pt idx="46">
                  <c:v>1.0356701517590583E-3</c:v>
                </c:pt>
                <c:pt idx="47">
                  <c:v>1.0356440262425243E-3</c:v>
                </c:pt>
                <c:pt idx="48">
                  <c:v>1.0356604189234978E-3</c:v>
                </c:pt>
                <c:pt idx="49">
                  <c:v>1.0357193298019779E-3</c:v>
                </c:pt>
                <c:pt idx="50">
                  <c:v>1.035820758877965E-3</c:v>
                </c:pt>
                <c:pt idx="51">
                  <c:v>1.0363801552909686E-3</c:v>
                </c:pt>
                <c:pt idx="52">
                  <c:v>1.0366516571569838E-3</c:v>
                </c:pt>
                <c:pt idx="53">
                  <c:v>1.0369656772205057E-3</c:v>
                </c:pt>
                <c:pt idx="54">
                  <c:v>1.037322215481535E-3</c:v>
                </c:pt>
                <c:pt idx="55">
                  <c:v>1.0377212719400709E-3</c:v>
                </c:pt>
                <c:pt idx="56">
                  <c:v>1.0391735505007212E-3</c:v>
                </c:pt>
                <c:pt idx="57">
                  <c:v>1.039742679749285E-3</c:v>
                </c:pt>
                <c:pt idx="58">
                  <c:v>1.0403543271953562E-3</c:v>
                </c:pt>
                <c:pt idx="59">
                  <c:v>1.0410084928389341E-3</c:v>
                </c:pt>
                <c:pt idx="60">
                  <c:v>1.0440503373883158E-3</c:v>
                </c:pt>
                <c:pt idx="61">
                  <c:v>1.0449170940194286E-3</c:v>
                </c:pt>
                <c:pt idx="62">
                  <c:v>1.0458263688480486E-3</c:v>
                </c:pt>
                <c:pt idx="63">
                  <c:v>1.0467781618741755E-3</c:v>
                </c:pt>
                <c:pt idx="64">
                  <c:v>1.0510105159537526E-3</c:v>
                </c:pt>
                <c:pt idx="65">
                  <c:v>1.0521748999674143E-3</c:v>
                </c:pt>
                <c:pt idx="66">
                  <c:v>1.053381802178583E-3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'3MSynthDepo_allScenario'!$BQ$5</c:f>
              <c:strCache>
                <c:ptCount val="1"/>
                <c:pt idx="0">
                  <c:v>Contribution</c:v>
                </c:pt>
              </c:strCache>
            </c:strRef>
          </c:tx>
          <c:spPr>
            <a:ln w="31750"/>
          </c:spPr>
          <c:marker>
            <c:symbol val="none"/>
          </c:marker>
          <c:val>
            <c:numRef>
              <c:f>'3MSynthDepo_allScenario'!$BQ$6:$BQ$135</c:f>
              <c:numCache>
                <c:formatCode>0.0000%</c:formatCode>
                <c:ptCount val="130"/>
                <c:pt idx="0">
                  <c:v>9.1861554499729752E-4</c:v>
                </c:pt>
                <c:pt idx="1">
                  <c:v>9.2465298696422723E-4</c:v>
                </c:pt>
                <c:pt idx="2">
                  <c:v>9.2665299062008534E-4</c:v>
                </c:pt>
                <c:pt idx="3">
                  <c:v>9.2864677471385956E-4</c:v>
                </c:pt>
                <c:pt idx="4">
                  <c:v>9.3063435060823587E-4</c:v>
                </c:pt>
                <c:pt idx="5">
                  <c:v>9.3261572966589956E-4</c:v>
                </c:pt>
                <c:pt idx="6">
                  <c:v>9.3852279944546925E-4</c:v>
                </c:pt>
                <c:pt idx="7">
                  <c:v>9.4047950478313676E-4</c:v>
                </c:pt>
                <c:pt idx="8">
                  <c:v>9.4243007009751911E-4</c:v>
                </c:pt>
                <c:pt idx="9">
                  <c:v>9.4437450675130151E-4</c:v>
                </c:pt>
                <c:pt idx="10">
                  <c:v>9.4631282610716937E-4</c:v>
                </c:pt>
                <c:pt idx="11">
                  <c:v>9.5209119401414098E-4</c:v>
                </c:pt>
                <c:pt idx="12">
                  <c:v>9.5400515780520571E-4</c:v>
                </c:pt>
                <c:pt idx="13">
                  <c:v>9.5591306111178324E-4</c:v>
                </c:pt>
                <c:pt idx="14">
                  <c:v>9.5781491529655911E-4</c:v>
                </c:pt>
                <c:pt idx="15">
                  <c:v>9.5971073172221864E-4</c:v>
                </c:pt>
                <c:pt idx="16">
                  <c:v>9.6536206807135443E-4</c:v>
                </c:pt>
                <c:pt idx="17">
                  <c:v>9.6723384708740355E-4</c:v>
                </c:pt>
                <c:pt idx="18">
                  <c:v>9.6909964515776365E-4</c:v>
                </c:pt>
                <c:pt idx="19">
                  <c:v>9.7095947364512027E-4</c:v>
                </c:pt>
                <c:pt idx="20">
                  <c:v>9.7281334391215884E-4</c:v>
                </c:pt>
                <c:pt idx="21">
                  <c:v>9.7833931901822086E-4</c:v>
                </c:pt>
                <c:pt idx="22">
                  <c:v>9.8016947003084164E-4</c:v>
                </c:pt>
                <c:pt idx="23">
                  <c:v>9.819937196365717E-4</c:v>
                </c:pt>
                <c:pt idx="24">
                  <c:v>9.8381207919809679E-4</c:v>
                </c:pt>
                <c:pt idx="25">
                  <c:v>9.8562456007810178E-4</c:v>
                </c:pt>
                <c:pt idx="26">
                  <c:v>9.9102684425585196E-4</c:v>
                </c:pt>
                <c:pt idx="27">
                  <c:v>9.9281592403663191E-4</c:v>
                </c:pt>
                <c:pt idx="28">
                  <c:v>9.9459918194931963E-4</c:v>
                </c:pt>
                <c:pt idx="29">
                  <c:v>9.9637662935660003E-4</c:v>
                </c:pt>
                <c:pt idx="30">
                  <c:v>9.9814827762115862E-4</c:v>
                </c:pt>
                <c:pt idx="31">
                  <c:v>1.0034285411853593E-3</c:v>
                </c:pt>
                <c:pt idx="32">
                  <c:v>1.0051771065058858E-3</c:v>
                </c:pt>
                <c:pt idx="33">
                  <c:v>1.0069199294971184E-3</c:v>
                </c:pt>
                <c:pt idx="34">
                  <c:v>1.0086570215217415E-3</c:v>
                </c:pt>
                <c:pt idx="35">
                  <c:v>1.0103883939424413E-3</c:v>
                </c:pt>
                <c:pt idx="36">
                  <c:v>1.0155483072078547E-3</c:v>
                </c:pt>
                <c:pt idx="37">
                  <c:v>1.0172569148397149E-3</c:v>
                </c:pt>
                <c:pt idx="38">
                  <c:v>1.0189598596810792E-3</c:v>
                </c:pt>
                <c:pt idx="39">
                  <c:v>1.0206571530946328E-3</c:v>
                </c:pt>
                <c:pt idx="40">
                  <c:v>1.0223488064430614E-3</c:v>
                </c:pt>
                <c:pt idx="41">
                  <c:v>1.027390039724449E-3</c:v>
                </c:pt>
                <c:pt idx="42">
                  <c:v>1.0290592464392307E-3</c:v>
                </c:pt>
                <c:pt idx="43">
                  <c:v>1.0307228699023144E-3</c:v>
                </c:pt>
                <c:pt idx="44">
                  <c:v>1.0323809214763859E-3</c:v>
                </c:pt>
                <c:pt idx="45">
                  <c:v>1.03403341252413E-3</c:v>
                </c:pt>
                <c:pt idx="46">
                  <c:v>1.0389576361362544E-3</c:v>
                </c:pt>
                <c:pt idx="47">
                  <c:v>1.0405879987055448E-3</c:v>
                </c:pt>
                <c:pt idx="48">
                  <c:v>1.0422128575619354E-3</c:v>
                </c:pt>
                <c:pt idx="49">
                  <c:v>1.0438322240681119E-3</c:v>
                </c:pt>
                <c:pt idx="50">
                  <c:v>1.0454461095867592E-3</c:v>
                </c:pt>
                <c:pt idx="51">
                  <c:v>1.0502549938443825E-3</c:v>
                </c:pt>
                <c:pt idx="52">
                  <c:v>1.051847069039769E-3</c:v>
                </c:pt>
                <c:pt idx="53">
                  <c:v>1.0534337200610539E-3</c:v>
                </c:pt>
                <c:pt idx="54">
                  <c:v>1.0550149582709222E-3</c:v>
                </c:pt>
                <c:pt idx="55">
                  <c:v>1.0565907950320604E-3</c:v>
                </c:pt>
                <c:pt idx="56">
                  <c:v>1.0612860102499446E-3</c:v>
                </c:pt>
                <c:pt idx="57">
                  <c:v>1.0628403548430141E-3</c:v>
                </c:pt>
                <c:pt idx="58">
                  <c:v>1.064389354800781E-3</c:v>
                </c:pt>
                <c:pt idx="59">
                  <c:v>1.0659330214859294E-3</c:v>
                </c:pt>
                <c:pt idx="60">
                  <c:v>1.0720545827540525E-3</c:v>
                </c:pt>
                <c:pt idx="61">
                  <c:v>1.0735717535163931E-3</c:v>
                </c:pt>
                <c:pt idx="62">
                  <c:v>1.0750836591822282E-3</c:v>
                </c:pt>
                <c:pt idx="63">
                  <c:v>1.0765903111142436E-3</c:v>
                </c:pt>
                <c:pt idx="64">
                  <c:v>1.0825646087578174E-3</c:v>
                </c:pt>
                <c:pt idx="65">
                  <c:v>1.0840451624610161E-3</c:v>
                </c:pt>
                <c:pt idx="66">
                  <c:v>1.0855205306065075E-3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319560"/>
        <c:axId val="315317600"/>
      </c:lineChart>
      <c:dateAx>
        <c:axId val="31531956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315317600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31531760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3153195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25707209387432267"/>
          <c:h val="0.3036593347745889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Basis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2709973753280843E-2"/>
          <c:y val="1.8266641777536428E-2"/>
          <c:w val="0.91118569119257442"/>
          <c:h val="0.93730079509660247"/>
        </c:manualLayout>
      </c:layout>
      <c:scatterChart>
        <c:scatterStyle val="lineMarker"/>
        <c:varyColors val="0"/>
        <c:ser>
          <c:idx val="0"/>
          <c:order val="0"/>
          <c:tx>
            <c:v>Basis Fix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'12MSynthDepo_used'!$G$4</c:f>
              <c:numCache>
                <c:formatCode>d\-mmm\-yy</c:formatCode>
                <c:ptCount val="1"/>
                <c:pt idx="0">
                  <c:v>42279</c:v>
                </c:pt>
              </c:numCache>
            </c:numRef>
          </c:xVal>
          <c:yVal>
            <c:numRef>
              <c:f>'12MSynthDepo_used'!$K$4</c:f>
              <c:numCache>
                <c:formatCode>0.0000%</c:formatCode>
                <c:ptCount val="1"/>
                <c:pt idx="0">
                  <c:v>3.1472616941868132E-3</c:v>
                </c:pt>
              </c:numCache>
            </c:numRef>
          </c:yVal>
          <c:smooth val="0"/>
        </c:ser>
        <c:ser>
          <c:idx val="1"/>
          <c:order val="1"/>
          <c:tx>
            <c:v>Basis FRA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xVal>
            <c:numRef>
              <c:f>'12MSynthDepo_used'!$G$5:$G$16</c:f>
              <c:numCache>
                <c:formatCode>d\-mmm\-yy</c:formatCode>
                <c:ptCount val="12"/>
                <c:pt idx="0">
                  <c:v>42310</c:v>
                </c:pt>
                <c:pt idx="1">
                  <c:v>42340</c:v>
                </c:pt>
                <c:pt idx="2">
                  <c:v>42373</c:v>
                </c:pt>
                <c:pt idx="3">
                  <c:v>42402</c:v>
                </c:pt>
                <c:pt idx="4">
                  <c:v>42431</c:v>
                </c:pt>
                <c:pt idx="5">
                  <c:v>42464</c:v>
                </c:pt>
                <c:pt idx="6">
                  <c:v>42492</c:v>
                </c:pt>
                <c:pt idx="7">
                  <c:v>42523</c:v>
                </c:pt>
                <c:pt idx="8">
                  <c:v>42555</c:v>
                </c:pt>
                <c:pt idx="9">
                  <c:v>42584</c:v>
                </c:pt>
                <c:pt idx="10">
                  <c:v>42615</c:v>
                </c:pt>
                <c:pt idx="11">
                  <c:v>42646</c:v>
                </c:pt>
              </c:numCache>
            </c:numRef>
          </c:xVal>
          <c:yVal>
            <c:numRef>
              <c:f>'12MSynthDepo_used'!$K$5:$K$16</c:f>
              <c:numCache>
                <c:formatCode>0.0000%</c:formatCode>
                <c:ptCount val="12"/>
                <c:pt idx="0">
                  <c:v>3.1759798676635094E-3</c:v>
                </c:pt>
                <c:pt idx="1">
                  <c:v>3.2131920589106139E-3</c:v>
                </c:pt>
                <c:pt idx="2">
                  <c:v>3.2767217092998704E-3</c:v>
                </c:pt>
                <c:pt idx="3">
                  <c:v>3.3363983747233365E-3</c:v>
                </c:pt>
                <c:pt idx="4">
                  <c:v>3.3787401753394694E-3</c:v>
                </c:pt>
                <c:pt idx="5">
                  <c:v>3.4424358551712201E-3</c:v>
                </c:pt>
                <c:pt idx="6">
                  <c:v>3.4966364780331417E-3</c:v>
                </c:pt>
                <c:pt idx="7">
                  <c:v>3.5404693470291186E-3</c:v>
                </c:pt>
                <c:pt idx="8">
                  <c:v>3.5914437202698084E-3</c:v>
                </c:pt>
                <c:pt idx="9">
                  <c:v>3.6348142417614816E-3</c:v>
                </c:pt>
                <c:pt idx="10">
                  <c:v>3.6723443455322817E-3</c:v>
                </c:pt>
                <c:pt idx="11">
                  <c:v>3.7211753911141491E-3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'12MSynthDepo_used'!$S$2</c:f>
              <c:strCache>
                <c:ptCount val="1"/>
                <c:pt idx="0">
                  <c:v>Simple Basis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'12MSynthDepo_used'!$R$3:$R$262</c:f>
              <c:numCache>
                <c:formatCode>d\-mmm\-yy</c:formatCode>
                <c:ptCount val="26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</c:numCache>
            </c:numRef>
          </c:xVal>
          <c:yVal>
            <c:numRef>
              <c:f>'12MSynthDepo_used'!$S$3:$S$262</c:f>
              <c:numCache>
                <c:formatCode>0.0000%</c:formatCode>
                <c:ptCount val="260"/>
                <c:pt idx="0">
                  <c:v>3.1300994073015375E-3</c:v>
                </c:pt>
                <c:pt idx="1">
                  <c:v>3.1350297189625424E-3</c:v>
                </c:pt>
                <c:pt idx="2">
                  <c:v>3.1366740854891781E-3</c:v>
                </c:pt>
                <c:pt idx="3">
                  <c:v>3.138318909271865E-3</c:v>
                </c:pt>
                <c:pt idx="4">
                  <c:v>3.1399641858723434E-3</c:v>
                </c:pt>
                <c:pt idx="5">
                  <c:v>3.1416099108523537E-3</c:v>
                </c:pt>
                <c:pt idx="6">
                  <c:v>3.1465497316869799E-3</c:v>
                </c:pt>
                <c:pt idx="7">
                  <c:v>3.148197205802521E-3</c:v>
                </c:pt>
                <c:pt idx="8">
                  <c:v>3.149845106106297E-3</c:v>
                </c:pt>
                <c:pt idx="9">
                  <c:v>3.1514934281600465E-3</c:v>
                </c:pt>
                <c:pt idx="10">
                  <c:v>3.1531421675255111E-3</c:v>
                </c:pt>
                <c:pt idx="11">
                  <c:v>3.1580908451095957E-3</c:v>
                </c:pt>
                <c:pt idx="12">
                  <c:v>3.1597412093393226E-3</c:v>
                </c:pt>
                <c:pt idx="13">
                  <c:v>3.1613919686894654E-3</c:v>
                </c:pt>
                <c:pt idx="14">
                  <c:v>3.1630431187217663E-3</c:v>
                </c:pt>
                <c:pt idx="15">
                  <c:v>3.1646946549979639E-3</c:v>
                </c:pt>
                <c:pt idx="16">
                  <c:v>3.1696515369073457E-3</c:v>
                </c:pt>
                <c:pt idx="17">
                  <c:v>3.1713045737765369E-3</c:v>
                </c:pt>
                <c:pt idx="18">
                  <c:v>3.1729579746983278E-3</c:v>
                </c:pt>
                <c:pt idx="19">
                  <c:v>3.1746117352344583E-3</c:v>
                </c:pt>
                <c:pt idx="20">
                  <c:v>3.1762658509466688E-3</c:v>
                </c:pt>
                <c:pt idx="21">
                  <c:v>3.1812302847571859E-3</c:v>
                </c:pt>
                <c:pt idx="22">
                  <c:v>3.1828857767911213E-3</c:v>
                </c:pt>
                <c:pt idx="23">
                  <c:v>3.1845416018098384E-3</c:v>
                </c:pt>
                <c:pt idx="24">
                  <c:v>3.1861977553750784E-3</c:v>
                </c:pt>
                <c:pt idx="25">
                  <c:v>3.1878542330485812E-3</c:v>
                </c:pt>
                <c:pt idx="26">
                  <c:v>3.1928255663360716E-3</c:v>
                </c:pt>
                <c:pt idx="27">
                  <c:v>3.1944832960600304E-3</c:v>
                </c:pt>
                <c:pt idx="28">
                  <c:v>3.1961413277009536E-3</c:v>
                </c:pt>
                <c:pt idx="29">
                  <c:v>3.1977996568205826E-3</c:v>
                </c:pt>
                <c:pt idx="30">
                  <c:v>3.1994582789806572E-3</c:v>
                </c:pt>
                <c:pt idx="31">
                  <c:v>3.2044358593209588E-3</c:v>
                </c:pt>
                <c:pt idx="32">
                  <c:v>3.2060956092602204E-3</c:v>
                </c:pt>
                <c:pt idx="33">
                  <c:v>3.2077556300486288E-3</c:v>
                </c:pt>
                <c:pt idx="34">
                  <c:v>3.2094159172479267E-3</c:v>
                </c:pt>
                <c:pt idx="35">
                  <c:v>3.2110764664198517E-3</c:v>
                </c:pt>
                <c:pt idx="36">
                  <c:v>3.2160596413888035E-3</c:v>
                </c:pt>
                <c:pt idx="37">
                  <c:v>3.2177211940686468E-3</c:v>
                </c:pt>
                <c:pt idx="38">
                  <c:v>3.2193829865298207E-3</c:v>
                </c:pt>
                <c:pt idx="39">
                  <c:v>3.2210450143340653E-3</c:v>
                </c:pt>
                <c:pt idx="40">
                  <c:v>3.2227072730431211E-3</c:v>
                </c:pt>
                <c:pt idx="41">
                  <c:v>3.2276953902165601E-3</c:v>
                </c:pt>
                <c:pt idx="42">
                  <c:v>3.2293585281622651E-3</c:v>
                </c:pt>
                <c:pt idx="43">
                  <c:v>3.2310218748214832E-3</c:v>
                </c:pt>
                <c:pt idx="44">
                  <c:v>3.2326854257559551E-3</c:v>
                </c:pt>
                <c:pt idx="45">
                  <c:v>3.2343491765274208E-3</c:v>
                </c:pt>
                <c:pt idx="46">
                  <c:v>3.2393415834811859E-3</c:v>
                </c:pt>
                <c:pt idx="47">
                  <c:v>3.2410060892180317E-3</c:v>
                </c:pt>
                <c:pt idx="48">
                  <c:v>3.2426707726005734E-3</c:v>
                </c:pt>
                <c:pt idx="49">
                  <c:v>3.2443356291905518E-3</c:v>
                </c:pt>
                <c:pt idx="50">
                  <c:v>3.2460006545497067E-3</c:v>
                </c:pt>
                <c:pt idx="51">
                  <c:v>3.2509966988596354E-3</c:v>
                </c:pt>
                <c:pt idx="52">
                  <c:v>3.2526623549129019E-3</c:v>
                </c:pt>
                <c:pt idx="53">
                  <c:v>3.2543281575440463E-3</c:v>
                </c:pt>
                <c:pt idx="54">
                  <c:v>3.2559941023148106E-3</c:v>
                </c:pt>
                <c:pt idx="55">
                  <c:v>3.2576601847869339E-3</c:v>
                </c:pt>
                <c:pt idx="56">
                  <c:v>3.2626592140288656E-3</c:v>
                </c:pt>
                <c:pt idx="57">
                  <c:v>3.2643258029238309E-3</c:v>
                </c:pt>
                <c:pt idx="58">
                  <c:v>3.2659925073288583E-3</c:v>
                </c:pt>
                <c:pt idx="59">
                  <c:v>3.2676593228056871E-3</c:v>
                </c:pt>
                <c:pt idx="60">
                  <c:v>3.2743276066658305E-3</c:v>
                </c:pt>
                <c:pt idx="61">
                  <c:v>3.2759949109277754E-3</c:v>
                </c:pt>
                <c:pt idx="62">
                  <c:v>3.2776622996319644E-3</c:v>
                </c:pt>
                <c:pt idx="63">
                  <c:v>3.2793297683401381E-3</c:v>
                </c:pt>
                <c:pt idx="64">
                  <c:v>3.2860003544474873E-3</c:v>
                </c:pt>
                <c:pt idx="65">
                  <c:v>3.28766815660169E-3</c:v>
                </c:pt>
                <c:pt idx="66">
                  <c:v>3.2893360121303201E-3</c:v>
                </c:pt>
                <c:pt idx="67">
                  <c:v>3.2910039165951173E-3</c:v>
                </c:pt>
                <c:pt idx="68">
                  <c:v>3.2926718655578234E-3</c:v>
                </c:pt>
                <c:pt idx="69">
                  <c:v>3.2976759350507906E-3</c:v>
                </c:pt>
                <c:pt idx="70">
                  <c:v>3.2993440176225311E-3</c:v>
                </c:pt>
                <c:pt idx="71">
                  <c:v>3.3010121225008817E-3</c:v>
                </c:pt>
                <c:pt idx="72">
                  <c:v>3.3026802452475832E-3</c:v>
                </c:pt>
                <c:pt idx="73">
                  <c:v>3.3043483814243742E-3</c:v>
                </c:pt>
                <c:pt idx="74">
                  <c:v>3.3093528261526968E-3</c:v>
                </c:pt>
                <c:pt idx="75">
                  <c:v>3.3110209716672541E-3</c:v>
                </c:pt>
                <c:pt idx="76">
                  <c:v>3.3126891084206051E-3</c:v>
                </c:pt>
                <c:pt idx="77">
                  <c:v>3.3143572319744886E-3</c:v>
                </c:pt>
                <c:pt idx="78">
                  <c:v>3.3160253378906454E-3</c:v>
                </c:pt>
                <c:pt idx="79">
                  <c:v>3.3210295054301609E-3</c:v>
                </c:pt>
                <c:pt idx="80">
                  <c:v>3.3226974964128157E-3</c:v>
                </c:pt>
                <c:pt idx="81">
                  <c:v>3.324365447566445E-3</c:v>
                </c:pt>
                <c:pt idx="82">
                  <c:v>3.3260333544527913E-3</c:v>
                </c:pt>
                <c:pt idx="83">
                  <c:v>3.3277012126335923E-3</c:v>
                </c:pt>
                <c:pt idx="84">
                  <c:v>3.3327044505601397E-3</c:v>
                </c:pt>
                <c:pt idx="85">
                  <c:v>3.3343720695361697E-3</c:v>
                </c:pt>
                <c:pt idx="86">
                  <c:v>3.3360396176153584E-3</c:v>
                </c:pt>
                <c:pt idx="87">
                  <c:v>3.3377070903594453E-3</c:v>
                </c:pt>
                <c:pt idx="88">
                  <c:v>3.3393744833301714E-3</c:v>
                </c:pt>
                <c:pt idx="89">
                  <c:v>3.3443761392195873E-3</c:v>
                </c:pt>
                <c:pt idx="90">
                  <c:v>3.3460431687142734E-3</c:v>
                </c:pt>
                <c:pt idx="91">
                  <c:v>3.3477100962442997E-3</c:v>
                </c:pt>
                <c:pt idx="92">
                  <c:v>3.3493769173714083E-3</c:v>
                </c:pt>
                <c:pt idx="93">
                  <c:v>3.3510436276573377E-3</c:v>
                </c:pt>
                <c:pt idx="94">
                  <c:v>3.3560430490854614E-3</c:v>
                </c:pt>
                <c:pt idx="95">
                  <c:v>3.3577092716240817E-3</c:v>
                </c:pt>
                <c:pt idx="96">
                  <c:v>3.3593753611302255E-3</c:v>
                </c:pt>
                <c:pt idx="97">
                  <c:v>3.361041313165634E-3</c:v>
                </c:pt>
                <c:pt idx="98">
                  <c:v>3.3627071232920462E-3</c:v>
                </c:pt>
                <c:pt idx="99">
                  <c:v>3.3677036578347156E-3</c:v>
                </c:pt>
                <c:pt idx="100">
                  <c:v>3.3693688559425501E-3</c:v>
                </c:pt>
                <c:pt idx="101">
                  <c:v>3.3710338899500913E-3</c:v>
                </c:pt>
                <c:pt idx="102">
                  <c:v>3.3726987554190792E-3</c:v>
                </c:pt>
                <c:pt idx="103">
                  <c:v>3.3743634479112545E-3</c:v>
                </c:pt>
                <c:pt idx="104">
                  <c:v>3.3793564431443073E-3</c:v>
                </c:pt>
                <c:pt idx="105">
                  <c:v>3.381020399346635E-3</c:v>
                </c:pt>
                <c:pt idx="106">
                  <c:v>3.3826841603808522E-3</c:v>
                </c:pt>
                <c:pt idx="107">
                  <c:v>3.3843477218086994E-3</c:v>
                </c:pt>
                <c:pt idx="108">
                  <c:v>3.3860110791919169E-3</c:v>
                </c:pt>
                <c:pt idx="109">
                  <c:v>3.390999882691191E-3</c:v>
                </c:pt>
                <c:pt idx="110">
                  <c:v>3.3926623795132926E-3</c:v>
                </c:pt>
                <c:pt idx="111">
                  <c:v>3.3943246500994654E-3</c:v>
                </c:pt>
                <c:pt idx="112">
                  <c:v>3.39598669001145E-3</c:v>
                </c:pt>
                <c:pt idx="113">
                  <c:v>3.3976484948109883E-3</c:v>
                </c:pt>
                <c:pt idx="114">
                  <c:v>3.4026324541523234E-3</c:v>
                </c:pt>
                <c:pt idx="115">
                  <c:v>3.4042932741194763E-3</c:v>
                </c:pt>
                <c:pt idx="116">
                  <c:v>3.4059538367828849E-3</c:v>
                </c:pt>
                <c:pt idx="117">
                  <c:v>3.4076141377042874E-3</c:v>
                </c:pt>
                <c:pt idx="118">
                  <c:v>3.4092741724454263E-3</c:v>
                </c:pt>
                <c:pt idx="119">
                  <c:v>3.4142526352046597E-3</c:v>
                </c:pt>
                <c:pt idx="120">
                  <c:v>3.4159115608421442E-3</c:v>
                </c:pt>
                <c:pt idx="121">
                  <c:v>3.4175701981080664E-3</c:v>
                </c:pt>
                <c:pt idx="122">
                  <c:v>3.4192285425641671E-3</c:v>
                </c:pt>
                <c:pt idx="123">
                  <c:v>3.4275157173582513E-3</c:v>
                </c:pt>
                <c:pt idx="124">
                  <c:v>3.429172211751967E-3</c:v>
                </c:pt>
                <c:pt idx="125">
                  <c:v>3.4308283822680444E-3</c:v>
                </c:pt>
                <c:pt idx="126">
                  <c:v>3.4324842244682222E-3</c:v>
                </c:pt>
                <c:pt idx="127">
                  <c:v>3.4374497367907664E-3</c:v>
                </c:pt>
                <c:pt idx="128">
                  <c:v>3.4391042213447525E-3</c:v>
                </c:pt>
                <c:pt idx="129">
                  <c:v>3.4407583553915421E-3</c:v>
                </c:pt>
                <c:pt idx="130">
                  <c:v>3.4424121344928745E-3</c:v>
                </c:pt>
                <c:pt idx="131">
                  <c:v>3.4440655542104914E-3</c:v>
                </c:pt>
                <c:pt idx="132">
                  <c:v>3.4490236126784482E-3</c:v>
                </c:pt>
                <c:pt idx="133">
                  <c:v>3.4506755504786044E-3</c:v>
                </c:pt>
                <c:pt idx="134">
                  <c:v>3.4523271067037464E-3</c:v>
                </c:pt>
                <c:pt idx="135">
                  <c:v>3.453978276915614E-3</c:v>
                </c:pt>
                <c:pt idx="136">
                  <c:v>3.4556290566759486E-3</c:v>
                </c:pt>
                <c:pt idx="137">
                  <c:v>3.460579008865157E-3</c:v>
                </c:pt>
                <c:pt idx="138">
                  <c:v>3.4622281824367618E-3</c:v>
                </c:pt>
                <c:pt idx="139">
                  <c:v>3.4638769433655361E-3</c:v>
                </c:pt>
                <c:pt idx="140">
                  <c:v>3.4655252872132186E-3</c:v>
                </c:pt>
                <c:pt idx="141">
                  <c:v>3.4671732095415513E-3</c:v>
                </c:pt>
                <c:pt idx="142">
                  <c:v>3.4721144030278477E-3</c:v>
                </c:pt>
                <c:pt idx="143">
                  <c:v>3.4737605948961816E-3</c:v>
                </c:pt>
                <c:pt idx="144">
                  <c:v>3.4754063430538669E-3</c:v>
                </c:pt>
                <c:pt idx="145">
                  <c:v>3.477051643062644E-3</c:v>
                </c:pt>
                <c:pt idx="146">
                  <c:v>3.4786964904842525E-3</c:v>
                </c:pt>
                <c:pt idx="147">
                  <c:v>3.4836282728434773E-3</c:v>
                </c:pt>
                <c:pt idx="148">
                  <c:v>3.4852712655338187E-3</c:v>
                </c:pt>
                <c:pt idx="149">
                  <c:v>3.4869137834456949E-3</c:v>
                </c:pt>
                <c:pt idx="150">
                  <c:v>3.4885558221408449E-3</c:v>
                </c:pt>
                <c:pt idx="151">
                  <c:v>3.4901973771810104E-3</c:v>
                </c:pt>
                <c:pt idx="152">
                  <c:v>3.4951190959889998E-3</c:v>
                </c:pt>
                <c:pt idx="153">
                  <c:v>3.4967586720266292E-3</c:v>
                </c:pt>
                <c:pt idx="154">
                  <c:v>3.4983977422179749E-3</c:v>
                </c:pt>
                <c:pt idx="155">
                  <c:v>3.5000363021247785E-3</c:v>
                </c:pt>
                <c:pt idx="156">
                  <c:v>3.5016743473087792E-3</c:v>
                </c:pt>
                <c:pt idx="157">
                  <c:v>3.5065853501413725E-3</c:v>
                </c:pt>
                <c:pt idx="158">
                  <c:v>3.508221292051568E-3</c:v>
                </c:pt>
                <c:pt idx="159">
                  <c:v>3.5098566970476635E-3</c:v>
                </c:pt>
                <c:pt idx="160">
                  <c:v>3.511491560691399E-3</c:v>
                </c:pt>
                <c:pt idx="161">
                  <c:v>3.5131258785445151E-3</c:v>
                </c:pt>
                <c:pt idx="162">
                  <c:v>3.5180255129775499E-3</c:v>
                </c:pt>
                <c:pt idx="163">
                  <c:v>3.5196576032855919E-3</c:v>
                </c:pt>
                <c:pt idx="164">
                  <c:v>3.5212891256117163E-3</c:v>
                </c:pt>
                <c:pt idx="165">
                  <c:v>3.5229200755176634E-3</c:v>
                </c:pt>
                <c:pt idx="166">
                  <c:v>3.5245504485651737E-3</c:v>
                </c:pt>
                <c:pt idx="167">
                  <c:v>3.529438062174488E-3</c:v>
                </c:pt>
                <c:pt idx="168">
                  <c:v>3.5310660834056555E-3</c:v>
                </c:pt>
                <c:pt idx="169">
                  <c:v>3.5326935055870886E-3</c:v>
                </c:pt>
                <c:pt idx="170">
                  <c:v>3.5343203242805261E-3</c:v>
                </c:pt>
                <c:pt idx="171">
                  <c:v>3.5359465350477109E-3</c:v>
                </c:pt>
                <c:pt idx="172">
                  <c:v>3.540821475409143E-3</c:v>
                </c:pt>
                <c:pt idx="173">
                  <c:v>3.5424452100887155E-3</c:v>
                </c:pt>
                <c:pt idx="174">
                  <c:v>3.5440683146507352E-3</c:v>
                </c:pt>
                <c:pt idx="175">
                  <c:v>3.5456907846569442E-3</c:v>
                </c:pt>
                <c:pt idx="176">
                  <c:v>3.5473126156690812E-3</c:v>
                </c:pt>
                <c:pt idx="177">
                  <c:v>3.5521742303584705E-3</c:v>
                </c:pt>
                <c:pt idx="178">
                  <c:v>3.5537934610117266E-3</c:v>
                </c:pt>
                <c:pt idx="179">
                  <c:v>3.555412030479614E-3</c:v>
                </c:pt>
                <c:pt idx="180">
                  <c:v>3.5570299343238724E-3</c:v>
                </c:pt>
                <c:pt idx="181">
                  <c:v>3.5586471681062423E-3</c:v>
                </c:pt>
                <c:pt idx="182">
                  <c:v>3.5634948046994255E-3</c:v>
                </c:pt>
                <c:pt idx="183">
                  <c:v>3.5651093138516455E-3</c:v>
                </c:pt>
                <c:pt idx="184">
                  <c:v>3.5667231307506793E-3</c:v>
                </c:pt>
                <c:pt idx="185">
                  <c:v>3.5683362509582664E-3</c:v>
                </c:pt>
                <c:pt idx="186">
                  <c:v>3.5699486700361484E-3</c:v>
                </c:pt>
                <c:pt idx="187">
                  <c:v>3.5747816761089644E-3</c:v>
                </c:pt>
                <c:pt idx="188">
                  <c:v>3.5763912462854269E-3</c:v>
                </c:pt>
                <c:pt idx="189">
                  <c:v>3.5780000931408865E-3</c:v>
                </c:pt>
                <c:pt idx="190">
                  <c:v>3.5796082122370827E-3</c:v>
                </c:pt>
                <c:pt idx="191">
                  <c:v>3.5812155991357562E-3</c:v>
                </c:pt>
                <c:pt idx="192">
                  <c:v>3.586033322264042E-3</c:v>
                </c:pt>
                <c:pt idx="193">
                  <c:v>3.5876377359900275E-3</c:v>
                </c:pt>
                <c:pt idx="194">
                  <c:v>3.5892413953271919E-3</c:v>
                </c:pt>
                <c:pt idx="195">
                  <c:v>3.5908442958372758E-3</c:v>
                </c:pt>
                <c:pt idx="196">
                  <c:v>3.5924464330820199E-3</c:v>
                </c:pt>
                <c:pt idx="197">
                  <c:v>3.5972482208416149E-3</c:v>
                </c:pt>
                <c:pt idx="198">
                  <c:v>3.5988472606424023E-3</c:v>
                </c:pt>
                <c:pt idx="199">
                  <c:v>3.600445514986552E-3</c:v>
                </c:pt>
                <c:pt idx="200">
                  <c:v>3.602042979435803E-3</c:v>
                </c:pt>
                <c:pt idx="201">
                  <c:v>3.6036396495518967E-3</c:v>
                </c:pt>
                <c:pt idx="202">
                  <c:v>3.6084248495186389E-3</c:v>
                </c:pt>
                <c:pt idx="203">
                  <c:v>3.6100182979195068E-3</c:v>
                </c:pt>
                <c:pt idx="204">
                  <c:v>3.6116109297959203E-3</c:v>
                </c:pt>
                <c:pt idx="205">
                  <c:v>3.6132027407096189E-3</c:v>
                </c:pt>
                <c:pt idx="206">
                  <c:v>3.6147937262223421E-3</c:v>
                </c:pt>
                <c:pt idx="207">
                  <c:v>3.6195616859720694E-3</c:v>
                </c:pt>
                <c:pt idx="208">
                  <c:v>3.6211493254982982E-3</c:v>
                </c:pt>
                <c:pt idx="209">
                  <c:v>3.6227361174322546E-3</c:v>
                </c:pt>
                <c:pt idx="210">
                  <c:v>3.6243220573356784E-3</c:v>
                </c:pt>
                <c:pt idx="211">
                  <c:v>3.6259071407703115E-3</c:v>
                </c:pt>
                <c:pt idx="212">
                  <c:v>3.6306572078788611E-3</c:v>
                </c:pt>
                <c:pt idx="213">
                  <c:v>3.6322388210557307E-3</c:v>
                </c:pt>
                <c:pt idx="214">
                  <c:v>3.6338195555725094E-3</c:v>
                </c:pt>
                <c:pt idx="215">
                  <c:v>3.6353994069909393E-3</c:v>
                </c:pt>
                <c:pt idx="216">
                  <c:v>3.6369783708727595E-3</c:v>
                </c:pt>
                <c:pt idx="217">
                  <c:v>3.6417098929159711E-3</c:v>
                </c:pt>
                <c:pt idx="218">
                  <c:v>3.6432852622687597E-3</c:v>
                </c:pt>
                <c:pt idx="219">
                  <c:v>3.6448597218936411E-3</c:v>
                </c:pt>
                <c:pt idx="220">
                  <c:v>3.6464332673523557E-3</c:v>
                </c:pt>
                <c:pt idx="221">
                  <c:v>3.6480058942066438E-3</c:v>
                </c:pt>
                <c:pt idx="222">
                  <c:v>3.6527182187603546E-3</c:v>
                </c:pt>
                <c:pt idx="223">
                  <c:v>3.6542871268143416E-3</c:v>
                </c:pt>
                <c:pt idx="224">
                  <c:v>3.6558550940726047E-3</c:v>
                </c:pt>
                <c:pt idx="225">
                  <c:v>3.6574221160968839E-3</c:v>
                </c:pt>
                <c:pt idx="226">
                  <c:v>3.658988188448919E-3</c:v>
                </c:pt>
                <c:pt idx="227">
                  <c:v>3.6636806630889682E-3</c:v>
                </c:pt>
                <c:pt idx="228">
                  <c:v>3.6652428923694327E-3</c:v>
                </c:pt>
                <c:pt idx="229">
                  <c:v>3.6668041497863561E-3</c:v>
                </c:pt>
                <c:pt idx="230">
                  <c:v>3.6683644309014789E-3</c:v>
                </c:pt>
                <c:pt idx="231">
                  <c:v>3.66992373127654E-3</c:v>
                </c:pt>
                <c:pt idx="232">
                  <c:v>3.6745957035787652E-3</c:v>
                </c:pt>
                <c:pt idx="233">
                  <c:v>3.676151036610988E-3</c:v>
                </c:pt>
                <c:pt idx="234">
                  <c:v>3.6777053667118517E-3</c:v>
                </c:pt>
                <c:pt idx="235">
                  <c:v>3.6792586894430972E-3</c:v>
                </c:pt>
                <c:pt idx="236">
                  <c:v>3.6808110003664646E-3</c:v>
                </c:pt>
                <c:pt idx="237">
                  <c:v>3.6854618179067034E-3</c:v>
                </c:pt>
                <c:pt idx="238">
                  <c:v>3.6870100372159631E-3</c:v>
                </c:pt>
                <c:pt idx="239">
                  <c:v>3.6885572225260469E-3</c:v>
                </c:pt>
                <c:pt idx="240">
                  <c:v>3.6901033693986945E-3</c:v>
                </c:pt>
                <c:pt idx="241">
                  <c:v>3.6916484733956465E-3</c:v>
                </c:pt>
                <c:pt idx="242">
                  <c:v>3.6962774837497377E-3</c:v>
                </c:pt>
                <c:pt idx="243">
                  <c:v>3.6978183718613133E-3</c:v>
                </c:pt>
                <c:pt idx="244">
                  <c:v>3.6993581949058964E-3</c:v>
                </c:pt>
                <c:pt idx="245">
                  <c:v>3.7008969484452255E-3</c:v>
                </c:pt>
                <c:pt idx="246">
                  <c:v>3.7024346280410433E-3</c:v>
                </c:pt>
                <c:pt idx="247">
                  <c:v>3.7070411787848241E-3</c:v>
                </c:pt>
                <c:pt idx="248">
                  <c:v>3.7085745182239959E-3</c:v>
                </c:pt>
                <c:pt idx="249">
                  <c:v>3.7101067615283568E-3</c:v>
                </c:pt>
                <c:pt idx="250">
                  <c:v>3.7116379042596475E-3</c:v>
                </c:pt>
                <c:pt idx="251">
                  <c:v>3.7131679419796088E-3</c:v>
                </c:pt>
                <c:pt idx="252">
                  <c:v>3.7177513806889184E-3</c:v>
                </c:pt>
                <c:pt idx="253">
                  <c:v>3.7192769539809646E-3</c:v>
                </c:pt>
                <c:pt idx="254">
                  <c:v>3.7208014000703836E-3</c:v>
                </c:pt>
                <c:pt idx="255">
                  <c:v>3.7223247145189149E-3</c:v>
                </c:pt>
                <c:pt idx="256">
                  <c:v>3.7238468928882996E-3</c:v>
                </c:pt>
                <c:pt idx="257">
                  <c:v>3.7284065671389756E-3</c:v>
                </c:pt>
                <c:pt idx="258">
                  <c:v>3.7299241568091767E-3</c:v>
                </c:pt>
                <c:pt idx="259">
                  <c:v>3.7314405882089329E-3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9252184"/>
        <c:axId val="939252968"/>
      </c:scatterChart>
      <c:valAx>
        <c:axId val="93925218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939252968"/>
        <c:crosses val="autoZero"/>
        <c:crossBetween val="midCat"/>
      </c:valAx>
      <c:valAx>
        <c:axId val="939252968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939252184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78579558080808076"/>
          <c:y val="0.5043522222222222"/>
          <c:w val="0.13984531312743334"/>
          <c:h val="0.3280346318532488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Continuous Basis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2709973753280843E-2"/>
          <c:y val="1.8266641777536428E-2"/>
          <c:w val="0.91118569119257442"/>
          <c:h val="0.93730079509660247"/>
        </c:manualLayout>
      </c:layout>
      <c:scatterChart>
        <c:scatterStyle val="lineMarker"/>
        <c:varyColors val="0"/>
        <c:ser>
          <c:idx val="4"/>
          <c:order val="0"/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'12MSynthDepo_used'!$R$3:$R$262</c:f>
              <c:numCache>
                <c:formatCode>d\-mmm\-yy</c:formatCode>
                <c:ptCount val="26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</c:numCache>
            </c:numRef>
          </c:xVal>
          <c:yVal>
            <c:numRef>
              <c:f>'12MSynthDepo_used'!$U$3:$U$262</c:f>
              <c:numCache>
                <c:formatCode>0.0000%</c:formatCode>
                <c:ptCount val="260"/>
                <c:pt idx="0">
                  <c:v>2.829952187027222E-3</c:v>
                </c:pt>
                <c:pt idx="1">
                  <c:v>2.8344674638400053E-3</c:v>
                </c:pt>
                <c:pt idx="2">
                  <c:v>2.8359751368813033E-3</c:v>
                </c:pt>
                <c:pt idx="3">
                  <c:v>2.8374840929106882E-3</c:v>
                </c:pt>
                <c:pt idx="4">
                  <c:v>2.8389943274898998E-3</c:v>
                </c:pt>
                <c:pt idx="5">
                  <c:v>2.8405058361806782E-3</c:v>
                </c:pt>
                <c:pt idx="6">
                  <c:v>2.8450479625398198E-3</c:v>
                </c:pt>
                <c:pt idx="7">
                  <c:v>2.8465645232942701E-3</c:v>
                </c:pt>
                <c:pt idx="8">
                  <c:v>2.8480823359689897E-3</c:v>
                </c:pt>
                <c:pt idx="9">
                  <c:v>2.8496013961257188E-3</c:v>
                </c:pt>
                <c:pt idx="10">
                  <c:v>2.8511216993261975E-3</c:v>
                </c:pt>
                <c:pt idx="11">
                  <c:v>2.8556900228075359E-3</c:v>
                </c:pt>
                <c:pt idx="12">
                  <c:v>2.8572152538004179E-3</c:v>
                </c:pt>
                <c:pt idx="13">
                  <c:v>2.8587417056457512E-3</c:v>
                </c:pt>
                <c:pt idx="14">
                  <c:v>2.8602693739052769E-3</c:v>
                </c:pt>
                <c:pt idx="15">
                  <c:v>2.8617982541407345E-3</c:v>
                </c:pt>
                <c:pt idx="16">
                  <c:v>2.8663921223201082E-3</c:v>
                </c:pt>
                <c:pt idx="17">
                  <c:v>2.8679258060767009E-3</c:v>
                </c:pt>
                <c:pt idx="18">
                  <c:v>2.8694606796179274E-3</c:v>
                </c:pt>
                <c:pt idx="19">
                  <c:v>2.8709967385055291E-3</c:v>
                </c:pt>
                <c:pt idx="20">
                  <c:v>2.8725339783012456E-3</c:v>
                </c:pt>
                <c:pt idx="21">
                  <c:v>2.8771527387544934E-3</c:v>
                </c:pt>
                <c:pt idx="22">
                  <c:v>2.878694657800075E-3</c:v>
                </c:pt>
                <c:pt idx="23">
                  <c:v>2.8802377355624745E-3</c:v>
                </c:pt>
                <c:pt idx="24">
                  <c:v>2.8817819676034322E-3</c:v>
                </c:pt>
                <c:pt idx="25">
                  <c:v>2.883327349484687E-3</c:v>
                </c:pt>
                <c:pt idx="26">
                  <c:v>2.8879703497876451E-3</c:v>
                </c:pt>
                <c:pt idx="27">
                  <c:v>2.8895202866474974E-3</c:v>
                </c:pt>
                <c:pt idx="28">
                  <c:v>2.8910713511563486E-3</c:v>
                </c:pt>
                <c:pt idx="29">
                  <c:v>2.8926235388759408E-3</c:v>
                </c:pt>
                <c:pt idx="30">
                  <c:v>2.8941768453680139E-3</c:v>
                </c:pt>
                <c:pt idx="31">
                  <c:v>2.8988434330965217E-3</c:v>
                </c:pt>
                <c:pt idx="32">
                  <c:v>2.9004011702959223E-3</c:v>
                </c:pt>
                <c:pt idx="33">
                  <c:v>2.9019600040765051E-3</c:v>
                </c:pt>
                <c:pt idx="34">
                  <c:v>2.9035199300000117E-3</c:v>
                </c:pt>
                <c:pt idx="35">
                  <c:v>2.9050809436281821E-3</c:v>
                </c:pt>
                <c:pt idx="36">
                  <c:v>2.9097704663580775E-3</c:v>
                </c:pt>
                <c:pt idx="37">
                  <c:v>2.9113357864223059E-3</c:v>
                </c:pt>
                <c:pt idx="38">
                  <c:v>2.9129021719998998E-3</c:v>
                </c:pt>
                <c:pt idx="39">
                  <c:v>2.9144696186525999E-3</c:v>
                </c:pt>
                <c:pt idx="40">
                  <c:v>2.9160381219421462E-3</c:v>
                </c:pt>
                <c:pt idx="41">
                  <c:v>2.9207499272492672E-3</c:v>
                </c:pt>
                <c:pt idx="42">
                  <c:v>2.9223226127036038E-3</c:v>
                </c:pt>
                <c:pt idx="43">
                  <c:v>2.9238963326034878E-3</c:v>
                </c:pt>
                <c:pt idx="44">
                  <c:v>2.9254710825106609E-3</c:v>
                </c:pt>
                <c:pt idx="45">
                  <c:v>2.9270468579868634E-3</c:v>
                </c:pt>
                <c:pt idx="46">
                  <c:v>2.9317802934470489E-3</c:v>
                </c:pt>
                <c:pt idx="47">
                  <c:v>2.9333601268167714E-3</c:v>
                </c:pt>
                <c:pt idx="48">
                  <c:v>2.9349409635642254E-3</c:v>
                </c:pt>
                <c:pt idx="49">
                  <c:v>2.9365227992511509E-3</c:v>
                </c:pt>
                <c:pt idx="50">
                  <c:v>2.9381056294392888E-3</c:v>
                </c:pt>
                <c:pt idx="51">
                  <c:v>2.9428600426283764E-3</c:v>
                </c:pt>
                <c:pt idx="52">
                  <c:v>2.944446806438765E-3</c:v>
                </c:pt>
                <c:pt idx="53">
                  <c:v>2.9460345425590686E-3</c:v>
                </c:pt>
                <c:pt idx="54">
                  <c:v>2.947623246551026E-3</c:v>
                </c:pt>
                <c:pt idx="55">
                  <c:v>2.9492129139763778E-3</c:v>
                </c:pt>
                <c:pt idx="56">
                  <c:v>2.9539876524702063E-3</c:v>
                </c:pt>
                <c:pt idx="57">
                  <c:v>2.9555811292465411E-3</c:v>
                </c:pt>
                <c:pt idx="58">
                  <c:v>2.9571755472649719E-3</c:v>
                </c:pt>
                <c:pt idx="59">
                  <c:v>2.9587709020872403E-3</c:v>
                </c:pt>
                <c:pt idx="60">
                  <c:v>2.9651616006494933E-3</c:v>
                </c:pt>
                <c:pt idx="61">
                  <c:v>2.9667615729170528E-3</c:v>
                </c:pt>
                <c:pt idx="62">
                  <c:v>2.9683624553588925E-3</c:v>
                </c:pt>
                <c:pt idx="63">
                  <c:v>2.9699642435367518E-3</c:v>
                </c:pt>
                <c:pt idx="64">
                  <c:v>2.9763803648431937E-3</c:v>
                </c:pt>
                <c:pt idx="65">
                  <c:v>2.9779866151272583E-3</c:v>
                </c:pt>
                <c:pt idx="66">
                  <c:v>2.9795937445177847E-3</c:v>
                </c:pt>
                <c:pt idx="67">
                  <c:v>2.9812017485765134E-3</c:v>
                </c:pt>
                <c:pt idx="68">
                  <c:v>2.9828106228651859E-3</c:v>
                </c:pt>
                <c:pt idx="69">
                  <c:v>2.9876424227282643E-3</c:v>
                </c:pt>
                <c:pt idx="70">
                  <c:v>2.9892547335541118E-3</c:v>
                </c:pt>
                <c:pt idx="71">
                  <c:v>2.9908678924186051E-3</c:v>
                </c:pt>
                <c:pt idx="72">
                  <c:v>2.9924818948834832E-3</c:v>
                </c:pt>
                <c:pt idx="73">
                  <c:v>2.9940967365104875E-3</c:v>
                </c:pt>
                <c:pt idx="74">
                  <c:v>2.9989462519816588E-3</c:v>
                </c:pt>
                <c:pt idx="75">
                  <c:v>3.0005644058745695E-3</c:v>
                </c:pt>
                <c:pt idx="76">
                  <c:v>3.0021833767383088E-3</c:v>
                </c:pt>
                <c:pt idx="77">
                  <c:v>3.0038031601346163E-3</c:v>
                </c:pt>
                <c:pt idx="78">
                  <c:v>3.0054237516252318E-3</c:v>
                </c:pt>
                <c:pt idx="79">
                  <c:v>3.010290330280334E-3</c:v>
                </c:pt>
                <c:pt idx="80">
                  <c:v>3.0119141097655882E-3</c:v>
                </c:pt>
                <c:pt idx="81">
                  <c:v>3.0135386751538522E-3</c:v>
                </c:pt>
                <c:pt idx="82">
                  <c:v>3.0151640220068675E-3</c:v>
                </c:pt>
                <c:pt idx="83">
                  <c:v>3.0167901458863738E-3</c:v>
                </c:pt>
                <c:pt idx="84">
                  <c:v>3.0216731353012458E-3</c:v>
                </c:pt>
                <c:pt idx="85">
                  <c:v>3.0233023229041213E-3</c:v>
                </c:pt>
                <c:pt idx="86">
                  <c:v>3.0249322653421902E-3</c:v>
                </c:pt>
                <c:pt idx="87">
                  <c:v>3.026562958177193E-3</c:v>
                </c:pt>
                <c:pt idx="88">
                  <c:v>3.0281943969708703E-3</c:v>
                </c:pt>
                <c:pt idx="89">
                  <c:v>3.0330931447213488E-3</c:v>
                </c:pt>
                <c:pt idx="90">
                  <c:v>3.0347275229671259E-3</c:v>
                </c:pt>
                <c:pt idx="91">
                  <c:v>3.0363626249802792E-3</c:v>
                </c:pt>
                <c:pt idx="92">
                  <c:v>3.0379984463225493E-3</c:v>
                </c:pt>
                <c:pt idx="93">
                  <c:v>3.039634982555676E-3</c:v>
                </c:pt>
                <c:pt idx="94">
                  <c:v>3.0445488362176002E-3</c:v>
                </c:pt>
                <c:pt idx="95">
                  <c:v>3.0461881876315583E-3</c:v>
                </c:pt>
                <c:pt idx="96">
                  <c:v>3.0478282317450748E-3</c:v>
                </c:pt>
                <c:pt idx="97">
                  <c:v>3.0494689641198908E-3</c:v>
                </c:pt>
                <c:pt idx="98">
                  <c:v>3.0511103803177462E-3</c:v>
                </c:pt>
                <c:pt idx="99">
                  <c:v>3.056038687466955E-3</c:v>
                </c:pt>
                <c:pt idx="100">
                  <c:v>3.0576827945743728E-3</c:v>
                </c:pt>
                <c:pt idx="101">
                  <c:v>3.0593275633135322E-3</c:v>
                </c:pt>
                <c:pt idx="102">
                  <c:v>3.0609729892461736E-3</c:v>
                </c:pt>
                <c:pt idx="103">
                  <c:v>3.0626190679340381E-3</c:v>
                </c:pt>
                <c:pt idx="104">
                  <c:v>3.0675611761463682E-3</c:v>
                </c:pt>
                <c:pt idx="105">
                  <c:v>3.0692098214725252E-3</c:v>
                </c:pt>
                <c:pt idx="106">
                  <c:v>3.0708590973626076E-3</c:v>
                </c:pt>
                <c:pt idx="107">
                  <c:v>3.0725089993783542E-3</c:v>
                </c:pt>
                <c:pt idx="108">
                  <c:v>3.074159523081506E-3</c:v>
                </c:pt>
                <c:pt idx="109">
                  <c:v>3.0791147799327963E-3</c:v>
                </c:pt>
                <c:pt idx="110">
                  <c:v>3.0807677460029733E-3</c:v>
                </c:pt>
                <c:pt idx="111">
                  <c:v>3.0824213115692566E-3</c:v>
                </c:pt>
                <c:pt idx="112">
                  <c:v>3.0840754721933872E-3</c:v>
                </c:pt>
                <c:pt idx="113">
                  <c:v>3.0857302234371061E-3</c:v>
                </c:pt>
                <c:pt idx="114">
                  <c:v>3.090697976503195E-3</c:v>
                </c:pt>
                <c:pt idx="115">
                  <c:v>3.0923550458426693E-3</c:v>
                </c:pt>
                <c:pt idx="116">
                  <c:v>3.0940126836104345E-3</c:v>
                </c:pt>
                <c:pt idx="117">
                  <c:v>3.0956708853682293E-3</c:v>
                </c:pt>
                <c:pt idx="118">
                  <c:v>3.0973296466777949E-3</c:v>
                </c:pt>
                <c:pt idx="119">
                  <c:v>3.1023092435345195E-3</c:v>
                </c:pt>
                <c:pt idx="120">
                  <c:v>3.1039701986685722E-3</c:v>
                </c:pt>
                <c:pt idx="121">
                  <c:v>3.105631691163097E-3</c:v>
                </c:pt>
                <c:pt idx="122">
                  <c:v>3.1072937165798351E-3</c:v>
                </c:pt>
                <c:pt idx="123">
                  <c:v>3.1156116821576358E-3</c:v>
                </c:pt>
                <c:pt idx="124">
                  <c:v>3.1172768119042001E-3</c:v>
                </c:pt>
                <c:pt idx="125">
                  <c:v>3.118942443505161E-3</c:v>
                </c:pt>
                <c:pt idx="126">
                  <c:v>3.1206085725222579E-3</c:v>
                </c:pt>
                <c:pt idx="127">
                  <c:v>3.1256098996877701E-3</c:v>
                </c:pt>
                <c:pt idx="128">
                  <c:v>3.127277973986816E-3</c:v>
                </c:pt>
                <c:pt idx="129">
                  <c:v>3.1289465235107001E-3</c:v>
                </c:pt>
                <c:pt idx="130">
                  <c:v>3.1306155438211624E-3</c:v>
                </c:pt>
                <c:pt idx="131">
                  <c:v>3.1322850304799444E-3</c:v>
                </c:pt>
                <c:pt idx="132">
                  <c:v>3.1372962441636072E-3</c:v>
                </c:pt>
                <c:pt idx="133">
                  <c:v>3.1389675518330691E-3</c:v>
                </c:pt>
                <c:pt idx="134">
                  <c:v>3.1406393036595517E-3</c:v>
                </c:pt>
                <c:pt idx="135">
                  <c:v>3.1423114952047952E-3</c:v>
                </c:pt>
                <c:pt idx="136">
                  <c:v>3.1439841220305413E-3</c:v>
                </c:pt>
                <c:pt idx="137">
                  <c:v>3.1490045698081932E-3</c:v>
                </c:pt>
                <c:pt idx="138">
                  <c:v>3.1506788933733502E-3</c:v>
                </c:pt>
                <c:pt idx="139">
                  <c:v>3.1523536300277107E-3</c:v>
                </c:pt>
                <c:pt idx="140">
                  <c:v>3.1540287753330154E-3</c:v>
                </c:pt>
                <c:pt idx="141">
                  <c:v>3.1557043248510047E-3</c:v>
                </c:pt>
                <c:pt idx="142">
                  <c:v>3.1607333542984836E-3</c:v>
                </c:pt>
                <c:pt idx="143">
                  <c:v>3.1624104762846151E-3</c:v>
                </c:pt>
                <c:pt idx="144">
                  <c:v>3.1640879802921334E-3</c:v>
                </c:pt>
                <c:pt idx="145">
                  <c:v>3.1657658618827783E-3</c:v>
                </c:pt>
                <c:pt idx="146">
                  <c:v>3.1674441166182903E-3</c:v>
                </c:pt>
                <c:pt idx="147">
                  <c:v>3.1724810753114346E-3</c:v>
                </c:pt>
                <c:pt idx="148">
                  <c:v>3.1741607782438206E-3</c:v>
                </c:pt>
                <c:pt idx="149">
                  <c:v>3.1758408321297749E-3</c:v>
                </c:pt>
                <c:pt idx="150">
                  <c:v>3.1775212325310391E-3</c:v>
                </c:pt>
                <c:pt idx="151">
                  <c:v>3.1792019750093536E-3</c:v>
                </c:pt>
                <c:pt idx="152">
                  <c:v>3.1842462105240018E-3</c:v>
                </c:pt>
                <c:pt idx="153">
                  <c:v>3.1859282769279205E-3</c:v>
                </c:pt>
                <c:pt idx="154">
                  <c:v>3.1876106632175911E-3</c:v>
                </c:pt>
                <c:pt idx="155">
                  <c:v>3.1892933649547545E-3</c:v>
                </c:pt>
                <c:pt idx="156">
                  <c:v>3.1909763777011511E-3</c:v>
                </c:pt>
                <c:pt idx="157">
                  <c:v>3.1960272376131398E-3</c:v>
                </c:pt>
                <c:pt idx="158">
                  <c:v>3.1977114500138714E-3</c:v>
                </c:pt>
                <c:pt idx="159">
                  <c:v>3.1993959512325379E-3</c:v>
                </c:pt>
                <c:pt idx="160">
                  <c:v>3.20108073683088E-3</c:v>
                </c:pt>
                <c:pt idx="161">
                  <c:v>3.2027658023706367E-3</c:v>
                </c:pt>
                <c:pt idx="162">
                  <c:v>3.2078226342558062E-3</c:v>
                </c:pt>
                <c:pt idx="163">
                  <c:v>3.2095087751786299E-3</c:v>
                </c:pt>
                <c:pt idx="164">
                  <c:v>3.2111951738515712E-3</c:v>
                </c:pt>
                <c:pt idx="165">
                  <c:v>3.2128818258363701E-3</c:v>
                </c:pt>
                <c:pt idx="166">
                  <c:v>3.2145687266947678E-3</c:v>
                </c:pt>
                <c:pt idx="167">
                  <c:v>3.2196308781289548E-3</c:v>
                </c:pt>
                <c:pt idx="168">
                  <c:v>3.2213187300991503E-3</c:v>
                </c:pt>
                <c:pt idx="169">
                  <c:v>3.2230068087516456E-3</c:v>
                </c:pt>
                <c:pt idx="170">
                  <c:v>3.2246951096481821E-3</c:v>
                </c:pt>
                <c:pt idx="171">
                  <c:v>3.2263836283504999E-3</c:v>
                </c:pt>
                <c:pt idx="172">
                  <c:v>3.2314504469095427E-3</c:v>
                </c:pt>
                <c:pt idx="173">
                  <c:v>3.2331397924523888E-3</c:v>
                </c:pt>
                <c:pt idx="174">
                  <c:v>3.2348293336097178E-3</c:v>
                </c:pt>
                <c:pt idx="175">
                  <c:v>3.2365190659432706E-3</c:v>
                </c:pt>
                <c:pt idx="176">
                  <c:v>3.238208985014787E-3</c:v>
                </c:pt>
                <c:pt idx="177">
                  <c:v>3.2432798182745249E-3</c:v>
                </c:pt>
                <c:pt idx="178">
                  <c:v>3.244970439915301E-3</c:v>
                </c:pt>
                <c:pt idx="179">
                  <c:v>3.2466612261027434E-3</c:v>
                </c:pt>
                <c:pt idx="180">
                  <c:v>3.2483521723985919E-3</c:v>
                </c:pt>
                <c:pt idx="181">
                  <c:v>3.2500432743645868E-3</c:v>
                </c:pt>
                <c:pt idx="182">
                  <c:v>3.255117469900857E-3</c:v>
                </c:pt>
                <c:pt idx="183">
                  <c:v>3.2568091501648426E-3</c:v>
                </c:pt>
                <c:pt idx="184">
                  <c:v>3.2585009639076777E-3</c:v>
                </c:pt>
                <c:pt idx="185">
                  <c:v>3.2601929066911014E-3</c:v>
                </c:pt>
                <c:pt idx="186">
                  <c:v>3.2618849740768544E-3</c:v>
                </c:pt>
                <c:pt idx="187">
                  <c:v>3.2669618794654949E-3</c:v>
                </c:pt>
                <c:pt idx="188">
                  <c:v>3.2686544008779699E-3</c:v>
                </c:pt>
                <c:pt idx="189">
                  <c:v>3.2703470247014768E-3</c:v>
                </c:pt>
                <c:pt idx="190">
                  <c:v>3.2720397464977547E-3</c:v>
                </c:pt>
                <c:pt idx="191">
                  <c:v>3.2737325618285456E-3</c:v>
                </c:pt>
                <c:pt idx="192">
                  <c:v>3.2788115246453948E-3</c:v>
                </c:pt>
                <c:pt idx="193">
                  <c:v>3.2805046697316378E-3</c:v>
                </c:pt>
                <c:pt idx="194">
                  <c:v>3.2821978861610956E-3</c:v>
                </c:pt>
                <c:pt idx="195">
                  <c:v>3.2838911694955076E-3</c:v>
                </c:pt>
                <c:pt idx="196">
                  <c:v>3.2855845152966151E-3</c:v>
                </c:pt>
                <c:pt idx="197">
                  <c:v>3.290664883117511E-3</c:v>
                </c:pt>
                <c:pt idx="198">
                  <c:v>3.2923584344028024E-3</c:v>
                </c:pt>
                <c:pt idx="199">
                  <c:v>3.2940520259634909E-3</c:v>
                </c:pt>
                <c:pt idx="200">
                  <c:v>3.295745653361317E-3</c:v>
                </c:pt>
                <c:pt idx="201">
                  <c:v>3.2974393121580205E-3</c:v>
                </c:pt>
                <c:pt idx="202">
                  <c:v>3.302520432558801E-3</c:v>
                </c:pt>
                <c:pt idx="203">
                  <c:v>3.3042141725684198E-3</c:v>
                </c:pt>
                <c:pt idx="204">
                  <c:v>3.3059079217856182E-3</c:v>
                </c:pt>
                <c:pt idx="205">
                  <c:v>3.3076016757721365E-3</c:v>
                </c:pt>
                <c:pt idx="206">
                  <c:v>3.3092954300897154E-3</c:v>
                </c:pt>
                <c:pt idx="207">
                  <c:v>3.3143766506462196E-3</c:v>
                </c:pt>
                <c:pt idx="208">
                  <c:v>3.3160703619054448E-3</c:v>
                </c:pt>
                <c:pt idx="209">
                  <c:v>3.317764051304432E-3</c:v>
                </c:pt>
                <c:pt idx="210">
                  <c:v>3.3194577144049224E-3</c:v>
                </c:pt>
                <c:pt idx="211">
                  <c:v>3.3211513467686568E-3</c:v>
                </c:pt>
                <c:pt idx="212">
                  <c:v>3.3262320150567216E-3</c:v>
                </c:pt>
                <c:pt idx="213">
                  <c:v>3.3279254800908332E-3</c:v>
                </c:pt>
                <c:pt idx="214">
                  <c:v>3.3296188921968896E-3</c:v>
                </c:pt>
                <c:pt idx="215">
                  <c:v>3.3313122469366321E-3</c:v>
                </c:pt>
                <c:pt idx="216">
                  <c:v>3.3330055398717996E-3</c:v>
                </c:pt>
                <c:pt idx="217">
                  <c:v>3.3380850034672649E-3</c:v>
                </c:pt>
                <c:pt idx="218">
                  <c:v>3.3397780048015414E-3</c:v>
                </c:pt>
                <c:pt idx="219">
                  <c:v>3.3414709221399456E-3</c:v>
                </c:pt>
                <c:pt idx="220">
                  <c:v>3.3431637510442187E-3</c:v>
                </c:pt>
                <c:pt idx="221">
                  <c:v>3.3448564870761006E-3</c:v>
                </c:pt>
                <c:pt idx="222">
                  <c:v>3.349934093554803E-3</c:v>
                </c:pt>
                <c:pt idx="223">
                  <c:v>3.3516264137145244E-3</c:v>
                </c:pt>
                <c:pt idx="224">
                  <c:v>3.3533186188105563E-3</c:v>
                </c:pt>
                <c:pt idx="225">
                  <c:v>3.3550107044046399E-3</c:v>
                </c:pt>
                <c:pt idx="226">
                  <c:v>3.3567026660585144E-3</c:v>
                </c:pt>
                <c:pt idx="227">
                  <c:v>3.3617777629962927E-3</c:v>
                </c:pt>
                <c:pt idx="228">
                  <c:v>3.363469184506738E-3</c:v>
                </c:pt>
                <c:pt idx="229">
                  <c:v>3.3651604598856767E-3</c:v>
                </c:pt>
                <c:pt idx="230">
                  <c:v>3.3668515846948504E-3</c:v>
                </c:pt>
                <c:pt idx="231">
                  <c:v>3.3685425544959973E-3</c:v>
                </c:pt>
                <c:pt idx="232">
                  <c:v>3.3736144894686896E-3</c:v>
                </c:pt>
                <c:pt idx="233">
                  <c:v>3.3753047948551383E-3</c:v>
                </c:pt>
                <c:pt idx="234">
                  <c:v>3.3769949230422636E-3</c:v>
                </c:pt>
                <c:pt idx="235">
                  <c:v>3.3786848695918055E-3</c:v>
                </c:pt>
                <c:pt idx="236">
                  <c:v>3.3803746300655043E-3</c:v>
                </c:pt>
                <c:pt idx="237">
                  <c:v>3.385442750648949E-3</c:v>
                </c:pt>
                <c:pt idx="238">
                  <c:v>3.387131722436681E-3</c:v>
                </c:pt>
                <c:pt idx="239">
                  <c:v>3.3888204859572721E-3</c:v>
                </c:pt>
                <c:pt idx="240">
                  <c:v>3.3905090367724621E-3</c:v>
                </c:pt>
                <c:pt idx="241">
                  <c:v>3.3921973704439923E-3</c:v>
                </c:pt>
                <c:pt idx="242">
                  <c:v>3.397261024214027E-3</c:v>
                </c:pt>
                <c:pt idx="243">
                  <c:v>3.3989484449283209E-3</c:v>
                </c:pt>
                <c:pt idx="244">
                  <c:v>3.4006356263076576E-3</c:v>
                </c:pt>
                <c:pt idx="245">
                  <c:v>3.4023225639137752E-3</c:v>
                </c:pt>
                <c:pt idx="246">
                  <c:v>3.4040092533084163E-3</c:v>
                </c:pt>
                <c:pt idx="247">
                  <c:v>3.4090677878408793E-3</c:v>
                </c:pt>
                <c:pt idx="248">
                  <c:v>3.4107534400070151E-3</c:v>
                </c:pt>
                <c:pt idx="249">
                  <c:v>3.4124388217703755E-3</c:v>
                </c:pt>
                <c:pt idx="250">
                  <c:v>3.4141239286927007E-3</c:v>
                </c:pt>
                <c:pt idx="251">
                  <c:v>3.4158087563357317E-3</c:v>
                </c:pt>
                <c:pt idx="252">
                  <c:v>3.4208615192064615E-3</c:v>
                </c:pt>
                <c:pt idx="253">
                  <c:v>3.4225451853497181E-3</c:v>
                </c:pt>
                <c:pt idx="254">
                  <c:v>3.4242285500223823E-3</c:v>
                </c:pt>
                <c:pt idx="255">
                  <c:v>3.4259116087861944E-3</c:v>
                </c:pt>
                <c:pt idx="256">
                  <c:v>3.4275943572028948E-3</c:v>
                </c:pt>
                <c:pt idx="257">
                  <c:v>3.4326406959877291E-3</c:v>
                </c:pt>
                <c:pt idx="258">
                  <c:v>3.4343221586333864E-3</c:v>
                </c:pt>
                <c:pt idx="259">
                  <c:v>3.4360032887406342E-3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749496"/>
        <c:axId val="356748320"/>
      </c:scatterChart>
      <c:valAx>
        <c:axId val="35674949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356748320"/>
        <c:crosses val="autoZero"/>
        <c:crossBetween val="midCat"/>
      </c:valAx>
      <c:valAx>
        <c:axId val="356748320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56749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Exact Fit </a:t>
            </a:r>
            <a:r>
              <a:rPr lang="en-US" sz="1800" b="1" i="0" u="none" strike="noStrike" baseline="0">
                <a:effectLst/>
              </a:rPr>
              <a:t>Exact Fit (Simple Basis Approx)</a:t>
            </a:r>
            <a:endParaRPr lang="en-US"/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</c:numCache>
            </c:numRef>
          </c:cat>
          <c:val>
            <c:numRef>
              <c:f>'12MSynthDepo_allScenario'!$BE$6:$BE$264</c:f>
              <c:numCache>
                <c:formatCode>0.0000%</c:formatCode>
                <c:ptCount val="259"/>
                <c:pt idx="0">
                  <c:v>2.8585166822556736E-3</c:v>
                </c:pt>
                <c:pt idx="1">
                  <c:v>2.862956726806832E-3</c:v>
                </c:pt>
                <c:pt idx="2">
                  <c:v>2.8644367416572184E-3</c:v>
                </c:pt>
                <c:pt idx="3">
                  <c:v>2.8659167565076044E-3</c:v>
                </c:pt>
                <c:pt idx="4">
                  <c:v>2.8673967713579909E-3</c:v>
                </c:pt>
                <c:pt idx="5">
                  <c:v>2.8688767862083769E-3</c:v>
                </c:pt>
                <c:pt idx="6">
                  <c:v>2.8733168307595353E-3</c:v>
                </c:pt>
                <c:pt idx="7">
                  <c:v>2.8747968456099217E-3</c:v>
                </c:pt>
                <c:pt idx="8">
                  <c:v>2.8762768604603077E-3</c:v>
                </c:pt>
                <c:pt idx="9">
                  <c:v>2.8777568753106937E-3</c:v>
                </c:pt>
                <c:pt idx="10">
                  <c:v>2.8792368901610801E-3</c:v>
                </c:pt>
                <c:pt idx="11">
                  <c:v>2.8836769347122385E-3</c:v>
                </c:pt>
                <c:pt idx="12">
                  <c:v>2.885156949562625E-3</c:v>
                </c:pt>
                <c:pt idx="13">
                  <c:v>2.886636964413011E-3</c:v>
                </c:pt>
                <c:pt idx="14">
                  <c:v>2.888116979263397E-3</c:v>
                </c:pt>
                <c:pt idx="15">
                  <c:v>2.8895969941137834E-3</c:v>
                </c:pt>
                <c:pt idx="16">
                  <c:v>2.8940370386649418E-3</c:v>
                </c:pt>
                <c:pt idx="17">
                  <c:v>2.8955170535153282E-3</c:v>
                </c:pt>
                <c:pt idx="18">
                  <c:v>2.8969970683657142E-3</c:v>
                </c:pt>
                <c:pt idx="19">
                  <c:v>2.8984770832161002E-3</c:v>
                </c:pt>
                <c:pt idx="20">
                  <c:v>2.8999570980664867E-3</c:v>
                </c:pt>
                <c:pt idx="21">
                  <c:v>2.9043971426176451E-3</c:v>
                </c:pt>
                <c:pt idx="22">
                  <c:v>2.9058771574680315E-3</c:v>
                </c:pt>
                <c:pt idx="23">
                  <c:v>2.9073571723184175E-3</c:v>
                </c:pt>
                <c:pt idx="24">
                  <c:v>2.9088371871688035E-3</c:v>
                </c:pt>
                <c:pt idx="25">
                  <c:v>2.9103172020191899E-3</c:v>
                </c:pt>
                <c:pt idx="26">
                  <c:v>2.9147572465703484E-3</c:v>
                </c:pt>
                <c:pt idx="27">
                  <c:v>2.9162372614207344E-3</c:v>
                </c:pt>
                <c:pt idx="28">
                  <c:v>2.9177172762711208E-3</c:v>
                </c:pt>
                <c:pt idx="29">
                  <c:v>2.9191972911215068E-3</c:v>
                </c:pt>
                <c:pt idx="30">
                  <c:v>2.9206773059718932E-3</c:v>
                </c:pt>
                <c:pt idx="31">
                  <c:v>2.9251173505230516E-3</c:v>
                </c:pt>
                <c:pt idx="32">
                  <c:v>2.9265973653734376E-3</c:v>
                </c:pt>
                <c:pt idx="33">
                  <c:v>2.9280773802238241E-3</c:v>
                </c:pt>
                <c:pt idx="34">
                  <c:v>2.9295573950742101E-3</c:v>
                </c:pt>
                <c:pt idx="35">
                  <c:v>2.9310374099245965E-3</c:v>
                </c:pt>
                <c:pt idx="36">
                  <c:v>2.9354774544757549E-3</c:v>
                </c:pt>
                <c:pt idx="37">
                  <c:v>2.9369574693261409E-3</c:v>
                </c:pt>
                <c:pt idx="38">
                  <c:v>2.9384374841765273E-3</c:v>
                </c:pt>
                <c:pt idx="39">
                  <c:v>2.9399174990269133E-3</c:v>
                </c:pt>
                <c:pt idx="40">
                  <c:v>2.9413975138772998E-3</c:v>
                </c:pt>
                <c:pt idx="41">
                  <c:v>2.9458375584284582E-3</c:v>
                </c:pt>
                <c:pt idx="42">
                  <c:v>2.9473175732788442E-3</c:v>
                </c:pt>
                <c:pt idx="43">
                  <c:v>2.9487975881292306E-3</c:v>
                </c:pt>
                <c:pt idx="44">
                  <c:v>2.9502776029796166E-3</c:v>
                </c:pt>
                <c:pt idx="45">
                  <c:v>2.951757617830003E-3</c:v>
                </c:pt>
                <c:pt idx="46">
                  <c:v>2.9561976623811615E-3</c:v>
                </c:pt>
                <c:pt idx="47">
                  <c:v>2.9576776772315475E-3</c:v>
                </c:pt>
                <c:pt idx="48">
                  <c:v>2.9591576920819339E-3</c:v>
                </c:pt>
                <c:pt idx="49">
                  <c:v>2.9606377069323199E-3</c:v>
                </c:pt>
                <c:pt idx="50">
                  <c:v>2.9621177217827063E-3</c:v>
                </c:pt>
                <c:pt idx="51">
                  <c:v>2.9665577663338647E-3</c:v>
                </c:pt>
                <c:pt idx="52">
                  <c:v>2.9680377811842507E-3</c:v>
                </c:pt>
                <c:pt idx="53">
                  <c:v>2.9695177960346372E-3</c:v>
                </c:pt>
                <c:pt idx="54">
                  <c:v>2.9709978108850232E-3</c:v>
                </c:pt>
                <c:pt idx="55">
                  <c:v>2.9724778257354091E-3</c:v>
                </c:pt>
                <c:pt idx="56">
                  <c:v>2.976917870286568E-3</c:v>
                </c:pt>
                <c:pt idx="57">
                  <c:v>2.978397885136954E-3</c:v>
                </c:pt>
                <c:pt idx="58">
                  <c:v>2.9798778999873404E-3</c:v>
                </c:pt>
                <c:pt idx="59">
                  <c:v>2.9813579148377264E-3</c:v>
                </c:pt>
                <c:pt idx="60">
                  <c:v>2.9872779742392713E-3</c:v>
                </c:pt>
                <c:pt idx="61">
                  <c:v>2.9887579890896573E-3</c:v>
                </c:pt>
                <c:pt idx="62">
                  <c:v>2.9902380039400437E-3</c:v>
                </c:pt>
                <c:pt idx="63">
                  <c:v>2.9917180187904297E-3</c:v>
                </c:pt>
                <c:pt idx="64">
                  <c:v>2.9976380781919745E-3</c:v>
                </c:pt>
                <c:pt idx="65">
                  <c:v>2.9991180930423605E-3</c:v>
                </c:pt>
                <c:pt idx="66">
                  <c:v>3.000598107892747E-3</c:v>
                </c:pt>
                <c:pt idx="67">
                  <c:v>3.002078122743133E-3</c:v>
                </c:pt>
                <c:pt idx="68">
                  <c:v>3.003558137593519E-3</c:v>
                </c:pt>
                <c:pt idx="69">
                  <c:v>3.0079981821446778E-3</c:v>
                </c:pt>
                <c:pt idx="70">
                  <c:v>3.0094781969950638E-3</c:v>
                </c:pt>
                <c:pt idx="71">
                  <c:v>3.0109582118454498E-3</c:v>
                </c:pt>
                <c:pt idx="72">
                  <c:v>3.0124382266958362E-3</c:v>
                </c:pt>
                <c:pt idx="73">
                  <c:v>3.0139182415462222E-3</c:v>
                </c:pt>
                <c:pt idx="74">
                  <c:v>3.0183582860973811E-3</c:v>
                </c:pt>
                <c:pt idx="75">
                  <c:v>3.0198383009477671E-3</c:v>
                </c:pt>
                <c:pt idx="76">
                  <c:v>3.0213183157981535E-3</c:v>
                </c:pt>
                <c:pt idx="77">
                  <c:v>3.0227983306485395E-3</c:v>
                </c:pt>
                <c:pt idx="78">
                  <c:v>3.0242783454989255E-3</c:v>
                </c:pt>
                <c:pt idx="79">
                  <c:v>3.0287183900500839E-3</c:v>
                </c:pt>
                <c:pt idx="80">
                  <c:v>3.0301984049004704E-3</c:v>
                </c:pt>
                <c:pt idx="81">
                  <c:v>3.0316784197508564E-3</c:v>
                </c:pt>
                <c:pt idx="82">
                  <c:v>3.0331584346012428E-3</c:v>
                </c:pt>
                <c:pt idx="83">
                  <c:v>3.0346384494516288E-3</c:v>
                </c:pt>
                <c:pt idx="84">
                  <c:v>3.0390784940027876E-3</c:v>
                </c:pt>
                <c:pt idx="85">
                  <c:v>3.0405585088531736E-3</c:v>
                </c:pt>
                <c:pt idx="86">
                  <c:v>3.0420385237035596E-3</c:v>
                </c:pt>
                <c:pt idx="87">
                  <c:v>3.0435185385539461E-3</c:v>
                </c:pt>
                <c:pt idx="88">
                  <c:v>3.0449985534043321E-3</c:v>
                </c:pt>
                <c:pt idx="89">
                  <c:v>3.0494385979554905E-3</c:v>
                </c:pt>
                <c:pt idx="90">
                  <c:v>3.0509186128058769E-3</c:v>
                </c:pt>
                <c:pt idx="91">
                  <c:v>3.0523986276562629E-3</c:v>
                </c:pt>
                <c:pt idx="92">
                  <c:v>3.0538786425066493E-3</c:v>
                </c:pt>
                <c:pt idx="93">
                  <c:v>3.0553586573570353E-3</c:v>
                </c:pt>
                <c:pt idx="94">
                  <c:v>3.0597987019081938E-3</c:v>
                </c:pt>
                <c:pt idx="95">
                  <c:v>3.0612787167585802E-3</c:v>
                </c:pt>
                <c:pt idx="96">
                  <c:v>3.0627587316089662E-3</c:v>
                </c:pt>
                <c:pt idx="97">
                  <c:v>3.0642387464593526E-3</c:v>
                </c:pt>
                <c:pt idx="98">
                  <c:v>3.0657187613097386E-3</c:v>
                </c:pt>
                <c:pt idx="99">
                  <c:v>3.070158805860897E-3</c:v>
                </c:pt>
                <c:pt idx="100">
                  <c:v>3.0716388207112835E-3</c:v>
                </c:pt>
                <c:pt idx="101">
                  <c:v>3.0731188355616695E-3</c:v>
                </c:pt>
                <c:pt idx="102">
                  <c:v>3.0745988504120559E-3</c:v>
                </c:pt>
                <c:pt idx="103">
                  <c:v>3.0760788652624419E-3</c:v>
                </c:pt>
                <c:pt idx="104">
                  <c:v>3.0805189098136003E-3</c:v>
                </c:pt>
                <c:pt idx="105">
                  <c:v>3.0819989246639867E-3</c:v>
                </c:pt>
                <c:pt idx="106">
                  <c:v>3.0834789395143727E-3</c:v>
                </c:pt>
                <c:pt idx="107">
                  <c:v>3.0849589543647592E-3</c:v>
                </c:pt>
                <c:pt idx="108">
                  <c:v>3.0864389692151451E-3</c:v>
                </c:pt>
                <c:pt idx="109">
                  <c:v>3.0908790137663036E-3</c:v>
                </c:pt>
                <c:pt idx="110">
                  <c:v>3.09235902861669E-3</c:v>
                </c:pt>
                <c:pt idx="111">
                  <c:v>3.093839043467076E-3</c:v>
                </c:pt>
                <c:pt idx="112">
                  <c:v>3.095319058317462E-3</c:v>
                </c:pt>
                <c:pt idx="113">
                  <c:v>3.0967990731678484E-3</c:v>
                </c:pt>
                <c:pt idx="114">
                  <c:v>3.1012391177190068E-3</c:v>
                </c:pt>
                <c:pt idx="115">
                  <c:v>3.1027191325693933E-3</c:v>
                </c:pt>
                <c:pt idx="116">
                  <c:v>3.1041991474197793E-3</c:v>
                </c:pt>
                <c:pt idx="117">
                  <c:v>3.1056791622701653E-3</c:v>
                </c:pt>
                <c:pt idx="118">
                  <c:v>3.1071591771205517E-3</c:v>
                </c:pt>
                <c:pt idx="119">
                  <c:v>3.1115992216717101E-3</c:v>
                </c:pt>
                <c:pt idx="120">
                  <c:v>3.1130792365220965E-3</c:v>
                </c:pt>
                <c:pt idx="121">
                  <c:v>3.1145592513724825E-3</c:v>
                </c:pt>
                <c:pt idx="122">
                  <c:v>3.1160392662228685E-3</c:v>
                </c:pt>
                <c:pt idx="123">
                  <c:v>3.1234393404747998E-3</c:v>
                </c:pt>
                <c:pt idx="124">
                  <c:v>3.1249193553251858E-3</c:v>
                </c:pt>
                <c:pt idx="125">
                  <c:v>3.1263993701755718E-3</c:v>
                </c:pt>
                <c:pt idx="126">
                  <c:v>3.1278793850259582E-3</c:v>
                </c:pt>
                <c:pt idx="127">
                  <c:v>3.1323194295771167E-3</c:v>
                </c:pt>
                <c:pt idx="128">
                  <c:v>3.1337994444275031E-3</c:v>
                </c:pt>
                <c:pt idx="129">
                  <c:v>3.1352794592778891E-3</c:v>
                </c:pt>
                <c:pt idx="130">
                  <c:v>3.1367594741282751E-3</c:v>
                </c:pt>
                <c:pt idx="131">
                  <c:v>3.1382394889786615E-3</c:v>
                </c:pt>
                <c:pt idx="132">
                  <c:v>3.1426795335298199E-3</c:v>
                </c:pt>
                <c:pt idx="133">
                  <c:v>3.1441595483802064E-3</c:v>
                </c:pt>
                <c:pt idx="134">
                  <c:v>3.1456395632305924E-3</c:v>
                </c:pt>
                <c:pt idx="135">
                  <c:v>3.1471195780809784E-3</c:v>
                </c:pt>
                <c:pt idx="136">
                  <c:v>3.1485995929313648E-3</c:v>
                </c:pt>
                <c:pt idx="137">
                  <c:v>3.1530396374825232E-3</c:v>
                </c:pt>
                <c:pt idx="138">
                  <c:v>3.1545196523329096E-3</c:v>
                </c:pt>
                <c:pt idx="139">
                  <c:v>3.1559996671832956E-3</c:v>
                </c:pt>
                <c:pt idx="140">
                  <c:v>3.1574796820336816E-3</c:v>
                </c:pt>
                <c:pt idx="141">
                  <c:v>3.1589596968840681E-3</c:v>
                </c:pt>
                <c:pt idx="142">
                  <c:v>3.1633997414352265E-3</c:v>
                </c:pt>
                <c:pt idx="143">
                  <c:v>3.1648797562856125E-3</c:v>
                </c:pt>
                <c:pt idx="144">
                  <c:v>3.1663597711359989E-3</c:v>
                </c:pt>
                <c:pt idx="145">
                  <c:v>3.1678397859863849E-3</c:v>
                </c:pt>
                <c:pt idx="146">
                  <c:v>3.1693198008367713E-3</c:v>
                </c:pt>
                <c:pt idx="147">
                  <c:v>3.1737598453879298E-3</c:v>
                </c:pt>
                <c:pt idx="148">
                  <c:v>3.1752398602383157E-3</c:v>
                </c:pt>
                <c:pt idx="149">
                  <c:v>3.1767198750887022E-3</c:v>
                </c:pt>
                <c:pt idx="150">
                  <c:v>3.1781998899390882E-3</c:v>
                </c:pt>
                <c:pt idx="151">
                  <c:v>3.1796799047894746E-3</c:v>
                </c:pt>
                <c:pt idx="152">
                  <c:v>3.184119949340633E-3</c:v>
                </c:pt>
                <c:pt idx="153">
                  <c:v>3.185599964191019E-3</c:v>
                </c:pt>
                <c:pt idx="154">
                  <c:v>3.1870799790414055E-3</c:v>
                </c:pt>
                <c:pt idx="155">
                  <c:v>3.1885599938917914E-3</c:v>
                </c:pt>
                <c:pt idx="156">
                  <c:v>3.1900400087421779E-3</c:v>
                </c:pt>
                <c:pt idx="157">
                  <c:v>3.1944800532933363E-3</c:v>
                </c:pt>
                <c:pt idx="158">
                  <c:v>3.1959600681437223E-3</c:v>
                </c:pt>
                <c:pt idx="159">
                  <c:v>3.1974400829941087E-3</c:v>
                </c:pt>
                <c:pt idx="160">
                  <c:v>3.1989200978444947E-3</c:v>
                </c:pt>
                <c:pt idx="161">
                  <c:v>3.2004001126948812E-3</c:v>
                </c:pt>
                <c:pt idx="162">
                  <c:v>3.2048401572460396E-3</c:v>
                </c:pt>
                <c:pt idx="163">
                  <c:v>3.2063201720964256E-3</c:v>
                </c:pt>
                <c:pt idx="164">
                  <c:v>3.207800186946812E-3</c:v>
                </c:pt>
                <c:pt idx="165">
                  <c:v>3.209280201797198E-3</c:v>
                </c:pt>
                <c:pt idx="166">
                  <c:v>3.2107602166475844E-3</c:v>
                </c:pt>
                <c:pt idx="167">
                  <c:v>3.2152002611987428E-3</c:v>
                </c:pt>
                <c:pt idx="168">
                  <c:v>3.2166802760491288E-3</c:v>
                </c:pt>
                <c:pt idx="169">
                  <c:v>3.2181602908995153E-3</c:v>
                </c:pt>
                <c:pt idx="170">
                  <c:v>3.2196403057499013E-3</c:v>
                </c:pt>
                <c:pt idx="171">
                  <c:v>3.2211203206002877E-3</c:v>
                </c:pt>
                <c:pt idx="172">
                  <c:v>3.2255603651514461E-3</c:v>
                </c:pt>
                <c:pt idx="173">
                  <c:v>3.2270403800018321E-3</c:v>
                </c:pt>
                <c:pt idx="174">
                  <c:v>3.2285203948522181E-3</c:v>
                </c:pt>
                <c:pt idx="175">
                  <c:v>3.2300004097026045E-3</c:v>
                </c:pt>
                <c:pt idx="176">
                  <c:v>3.2314804245529905E-3</c:v>
                </c:pt>
                <c:pt idx="177">
                  <c:v>3.2359204691041494E-3</c:v>
                </c:pt>
                <c:pt idx="178">
                  <c:v>3.2374004839545354E-3</c:v>
                </c:pt>
                <c:pt idx="179">
                  <c:v>3.2388804988049214E-3</c:v>
                </c:pt>
                <c:pt idx="180">
                  <c:v>3.2403605136553078E-3</c:v>
                </c:pt>
                <c:pt idx="181">
                  <c:v>3.2418405285056938E-3</c:v>
                </c:pt>
                <c:pt idx="182">
                  <c:v>3.2462805730568527E-3</c:v>
                </c:pt>
                <c:pt idx="183">
                  <c:v>3.2477605879072387E-3</c:v>
                </c:pt>
                <c:pt idx="184">
                  <c:v>3.2492406027576247E-3</c:v>
                </c:pt>
                <c:pt idx="185">
                  <c:v>3.2507206176080111E-3</c:v>
                </c:pt>
                <c:pt idx="186">
                  <c:v>3.2522006324583971E-3</c:v>
                </c:pt>
                <c:pt idx="187">
                  <c:v>3.2566406770095559E-3</c:v>
                </c:pt>
                <c:pt idx="188">
                  <c:v>3.2581206918599419E-3</c:v>
                </c:pt>
                <c:pt idx="189">
                  <c:v>3.2596007067103279E-3</c:v>
                </c:pt>
                <c:pt idx="190">
                  <c:v>3.2610807215607144E-3</c:v>
                </c:pt>
                <c:pt idx="191">
                  <c:v>3.2625607364111004E-3</c:v>
                </c:pt>
                <c:pt idx="192">
                  <c:v>3.2670007809622592E-3</c:v>
                </c:pt>
                <c:pt idx="193">
                  <c:v>3.2684807958126452E-3</c:v>
                </c:pt>
                <c:pt idx="194">
                  <c:v>3.2699608106630312E-3</c:v>
                </c:pt>
                <c:pt idx="195">
                  <c:v>3.2714408255134176E-3</c:v>
                </c:pt>
                <c:pt idx="196">
                  <c:v>3.2729208403638036E-3</c:v>
                </c:pt>
                <c:pt idx="197">
                  <c:v>3.2773608849149625E-3</c:v>
                </c:pt>
                <c:pt idx="198">
                  <c:v>3.2788408997653485E-3</c:v>
                </c:pt>
                <c:pt idx="199">
                  <c:v>3.2803209146157345E-3</c:v>
                </c:pt>
                <c:pt idx="200">
                  <c:v>3.2818009294661209E-3</c:v>
                </c:pt>
                <c:pt idx="201">
                  <c:v>3.2832809443165069E-3</c:v>
                </c:pt>
                <c:pt idx="202">
                  <c:v>3.2877209888676658E-3</c:v>
                </c:pt>
                <c:pt idx="203">
                  <c:v>3.2892010037180518E-3</c:v>
                </c:pt>
                <c:pt idx="204">
                  <c:v>3.2906810185684377E-3</c:v>
                </c:pt>
                <c:pt idx="205">
                  <c:v>3.2921610334188242E-3</c:v>
                </c:pt>
                <c:pt idx="206">
                  <c:v>3.2936410482692102E-3</c:v>
                </c:pt>
                <c:pt idx="207">
                  <c:v>3.2980810928203686E-3</c:v>
                </c:pt>
                <c:pt idx="208">
                  <c:v>3.299561107670755E-3</c:v>
                </c:pt>
                <c:pt idx="209">
                  <c:v>3.301041122521141E-3</c:v>
                </c:pt>
                <c:pt idx="210">
                  <c:v>3.3025211373715275E-3</c:v>
                </c:pt>
                <c:pt idx="211">
                  <c:v>3.3040011522219134E-3</c:v>
                </c:pt>
                <c:pt idx="212">
                  <c:v>3.3084411967730719E-3</c:v>
                </c:pt>
                <c:pt idx="213">
                  <c:v>3.3099212116234583E-3</c:v>
                </c:pt>
                <c:pt idx="214">
                  <c:v>3.3114012264738443E-3</c:v>
                </c:pt>
                <c:pt idx="215">
                  <c:v>3.3128812413242307E-3</c:v>
                </c:pt>
                <c:pt idx="216">
                  <c:v>3.3143612561746167E-3</c:v>
                </c:pt>
                <c:pt idx="217">
                  <c:v>3.3188013007257751E-3</c:v>
                </c:pt>
                <c:pt idx="218">
                  <c:v>3.3202813155761616E-3</c:v>
                </c:pt>
                <c:pt idx="219">
                  <c:v>3.3217613304265476E-3</c:v>
                </c:pt>
                <c:pt idx="220">
                  <c:v>3.323241345276934E-3</c:v>
                </c:pt>
                <c:pt idx="221">
                  <c:v>3.32472136012732E-3</c:v>
                </c:pt>
                <c:pt idx="222">
                  <c:v>3.3291614046784784E-3</c:v>
                </c:pt>
                <c:pt idx="223">
                  <c:v>3.3306414195288648E-3</c:v>
                </c:pt>
                <c:pt idx="224">
                  <c:v>3.3321214343792508E-3</c:v>
                </c:pt>
                <c:pt idx="225">
                  <c:v>3.3336014492296373E-3</c:v>
                </c:pt>
                <c:pt idx="226">
                  <c:v>3.3350814640800233E-3</c:v>
                </c:pt>
                <c:pt idx="227">
                  <c:v>3.3395215086311817E-3</c:v>
                </c:pt>
                <c:pt idx="228">
                  <c:v>3.3410015234815681E-3</c:v>
                </c:pt>
                <c:pt idx="229">
                  <c:v>3.3424815383319541E-3</c:v>
                </c:pt>
                <c:pt idx="230">
                  <c:v>3.3439615531823405E-3</c:v>
                </c:pt>
                <c:pt idx="231">
                  <c:v>3.3454415680327265E-3</c:v>
                </c:pt>
                <c:pt idx="232">
                  <c:v>3.349881612583885E-3</c:v>
                </c:pt>
                <c:pt idx="233">
                  <c:v>3.3513616274342714E-3</c:v>
                </c:pt>
                <c:pt idx="234">
                  <c:v>3.3528416422846574E-3</c:v>
                </c:pt>
                <c:pt idx="235">
                  <c:v>3.3543216571350438E-3</c:v>
                </c:pt>
                <c:pt idx="236">
                  <c:v>3.3558016719854298E-3</c:v>
                </c:pt>
                <c:pt idx="237">
                  <c:v>3.3602417165365882E-3</c:v>
                </c:pt>
                <c:pt idx="238">
                  <c:v>3.3617217313869742E-3</c:v>
                </c:pt>
                <c:pt idx="239">
                  <c:v>3.3632017462373607E-3</c:v>
                </c:pt>
                <c:pt idx="240">
                  <c:v>3.3646817610877467E-3</c:v>
                </c:pt>
                <c:pt idx="241">
                  <c:v>3.3661617759381331E-3</c:v>
                </c:pt>
                <c:pt idx="242">
                  <c:v>3.3706018204892915E-3</c:v>
                </c:pt>
                <c:pt idx="243">
                  <c:v>3.3720818353396775E-3</c:v>
                </c:pt>
                <c:pt idx="244">
                  <c:v>3.3735618501900639E-3</c:v>
                </c:pt>
                <c:pt idx="245">
                  <c:v>3.3750418650404499E-3</c:v>
                </c:pt>
                <c:pt idx="246">
                  <c:v>3.3765218798908364E-3</c:v>
                </c:pt>
                <c:pt idx="247">
                  <c:v>3.3809619244419948E-3</c:v>
                </c:pt>
                <c:pt idx="248">
                  <c:v>3.3824419392923808E-3</c:v>
                </c:pt>
                <c:pt idx="249">
                  <c:v>3.3839219541427672E-3</c:v>
                </c:pt>
                <c:pt idx="250">
                  <c:v>3.3854019689931532E-3</c:v>
                </c:pt>
                <c:pt idx="251">
                  <c:v>3.3868819838435396E-3</c:v>
                </c:pt>
                <c:pt idx="252">
                  <c:v>3.3913220283946981E-3</c:v>
                </c:pt>
                <c:pt idx="253">
                  <c:v>3.392802043245084E-3</c:v>
                </c:pt>
                <c:pt idx="254">
                  <c:v>3.3942820580954705E-3</c:v>
                </c:pt>
                <c:pt idx="255">
                  <c:v>3.3957620729458565E-3</c:v>
                </c:pt>
                <c:pt idx="256">
                  <c:v>3.3972420877962429E-3</c:v>
                </c:pt>
                <c:pt idx="257">
                  <c:v>3.4016821323474013E-3</c:v>
                </c:pt>
                <c:pt idx="258">
                  <c:v>3.4031621471977873E-3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</c:numCache>
            </c:numRef>
          </c:cat>
          <c:val>
            <c:numRef>
              <c:f>'12MSynthDepo_allScenario'!$BF$6:$BF$264</c:f>
              <c:numCache>
                <c:formatCode>0.0000%</c:formatCode>
                <c:ptCount val="259"/>
                <c:pt idx="0">
                  <c:v>2.8941550634723743E-3</c:v>
                </c:pt>
                <c:pt idx="1">
                  <c:v>2.8970941668409076E-3</c:v>
                </c:pt>
                <c:pt idx="2">
                  <c:v>2.8980789344318792E-3</c:v>
                </c:pt>
                <c:pt idx="3">
                  <c:v>2.8990662352569143E-3</c:v>
                </c:pt>
                <c:pt idx="4">
                  <c:v>2.9000560693160132E-3</c:v>
                </c:pt>
                <c:pt idx="5">
                  <c:v>2.9010484366091753E-3</c:v>
                </c:pt>
                <c:pt idx="6">
                  <c:v>2.9040407378930419E-3</c:v>
                </c:pt>
                <c:pt idx="7">
                  <c:v>2.9050432381224583E-3</c:v>
                </c:pt>
                <c:pt idx="8">
                  <c:v>2.9060482715859378E-3</c:v>
                </c:pt>
                <c:pt idx="9">
                  <c:v>2.9070558382834808E-3</c:v>
                </c:pt>
                <c:pt idx="10">
                  <c:v>2.9080659382150877E-3</c:v>
                </c:pt>
                <c:pt idx="11">
                  <c:v>2.911111437414288E-3</c:v>
                </c:pt>
                <c:pt idx="12">
                  <c:v>2.9121316702821489E-3</c:v>
                </c:pt>
                <c:pt idx="13">
                  <c:v>2.9131544363840728E-3</c:v>
                </c:pt>
                <c:pt idx="14">
                  <c:v>2.9141797357200606E-3</c:v>
                </c:pt>
                <c:pt idx="15">
                  <c:v>2.9152075682901111E-3</c:v>
                </c:pt>
                <c:pt idx="16">
                  <c:v>2.9183062654046456E-3</c:v>
                </c:pt>
                <c:pt idx="17">
                  <c:v>2.9193442309109509E-3</c:v>
                </c:pt>
                <c:pt idx="18">
                  <c:v>2.9203847296513197E-3</c:v>
                </c:pt>
                <c:pt idx="19">
                  <c:v>2.9214277616257511E-3</c:v>
                </c:pt>
                <c:pt idx="20">
                  <c:v>2.9224733268342468E-3</c:v>
                </c:pt>
                <c:pt idx="21">
                  <c:v>2.925625221864115E-3</c:v>
                </c:pt>
                <c:pt idx="22">
                  <c:v>2.9266809200088643E-3</c:v>
                </c:pt>
                <c:pt idx="23">
                  <c:v>2.9277391513876771E-3</c:v>
                </c:pt>
                <c:pt idx="24">
                  <c:v>2.9287999160005538E-3</c:v>
                </c:pt>
                <c:pt idx="25">
                  <c:v>2.929863213847494E-3</c:v>
                </c:pt>
                <c:pt idx="26">
                  <c:v>2.9330683067926955E-3</c:v>
                </c:pt>
                <c:pt idx="27">
                  <c:v>2.9341417375758892E-3</c:v>
                </c:pt>
                <c:pt idx="28">
                  <c:v>2.9352177015931472E-3</c:v>
                </c:pt>
                <c:pt idx="29">
                  <c:v>2.9362961988444684E-3</c:v>
                </c:pt>
                <c:pt idx="30">
                  <c:v>2.937377229329853E-3</c:v>
                </c:pt>
                <c:pt idx="31">
                  <c:v>2.9406355201903878E-3</c:v>
                </c:pt>
                <c:pt idx="32">
                  <c:v>2.9417266836120263E-3</c:v>
                </c:pt>
                <c:pt idx="33">
                  <c:v>2.9428203802677284E-3</c:v>
                </c:pt>
                <c:pt idx="34">
                  <c:v>2.943916610157494E-3</c:v>
                </c:pt>
                <c:pt idx="35">
                  <c:v>2.9450153732813234E-3</c:v>
                </c:pt>
                <c:pt idx="36">
                  <c:v>2.9483268620571915E-3</c:v>
                </c:pt>
                <c:pt idx="37">
                  <c:v>2.9494357581172749E-3</c:v>
                </c:pt>
                <c:pt idx="38">
                  <c:v>2.9505471874114214E-3</c:v>
                </c:pt>
                <c:pt idx="39">
                  <c:v>2.9516611499396318E-3</c:v>
                </c:pt>
                <c:pt idx="40">
                  <c:v>2.9527776457019049E-3</c:v>
                </c:pt>
                <c:pt idx="41">
                  <c:v>2.9561423323931071E-3</c:v>
                </c:pt>
                <c:pt idx="42">
                  <c:v>2.957268961091635E-3</c:v>
                </c:pt>
                <c:pt idx="43">
                  <c:v>2.9583981230242259E-3</c:v>
                </c:pt>
                <c:pt idx="44">
                  <c:v>2.9595298181908803E-3</c:v>
                </c:pt>
                <c:pt idx="45">
                  <c:v>2.9606640465915986E-3</c:v>
                </c:pt>
                <c:pt idx="46">
                  <c:v>2.9640819311981341E-3</c:v>
                </c:pt>
                <c:pt idx="47">
                  <c:v>2.9652262925351064E-3</c:v>
                </c:pt>
                <c:pt idx="48">
                  <c:v>2.9663731871061418E-3</c:v>
                </c:pt>
                <c:pt idx="49">
                  <c:v>2.9675226149112411E-3</c:v>
                </c:pt>
                <c:pt idx="50">
                  <c:v>2.9686745759504038E-3</c:v>
                </c:pt>
                <c:pt idx="51">
                  <c:v>2.9721456584722731E-3</c:v>
                </c:pt>
                <c:pt idx="52">
                  <c:v>2.9733077524476893E-3</c:v>
                </c:pt>
                <c:pt idx="53">
                  <c:v>2.9744723796571696E-3</c:v>
                </c:pt>
                <c:pt idx="54">
                  <c:v>2.9756395401007133E-3</c:v>
                </c:pt>
                <c:pt idx="55">
                  <c:v>2.9768092337783205E-3</c:v>
                </c:pt>
                <c:pt idx="56">
                  <c:v>2.980333514215523E-3</c:v>
                </c:pt>
                <c:pt idx="57">
                  <c:v>2.9815133408293841E-3</c:v>
                </c:pt>
                <c:pt idx="58">
                  <c:v>2.9826957006773092E-3</c:v>
                </c:pt>
                <c:pt idx="59">
                  <c:v>2.9838805937592973E-3</c:v>
                </c:pt>
                <c:pt idx="60">
                  <c:v>2.9886454984278852E-3</c:v>
                </c:pt>
                <c:pt idx="61">
                  <c:v>2.9898430576801908E-3</c:v>
                </c:pt>
                <c:pt idx="62">
                  <c:v>2.9910431501665598E-3</c:v>
                </c:pt>
                <c:pt idx="63">
                  <c:v>2.9922457758869928E-3</c:v>
                </c:pt>
                <c:pt idx="64">
                  <c:v>2.9970816111093584E-3</c:v>
                </c:pt>
                <c:pt idx="65">
                  <c:v>2.9982969030001088E-3</c:v>
                </c:pt>
                <c:pt idx="66">
                  <c:v>2.9995147281249228E-3</c:v>
                </c:pt>
                <c:pt idx="67">
                  <c:v>3.0007350864837993E-3</c:v>
                </c:pt>
                <c:pt idx="68">
                  <c:v>3.0019579780767402E-3</c:v>
                </c:pt>
                <c:pt idx="69">
                  <c:v>3.0056418522599439E-3</c:v>
                </c:pt>
                <c:pt idx="70">
                  <c:v>3.0068748767891383E-3</c:v>
                </c:pt>
                <c:pt idx="71">
                  <c:v>3.0081104345523963E-3</c:v>
                </c:pt>
                <c:pt idx="72">
                  <c:v>3.0093485255497181E-3</c:v>
                </c:pt>
                <c:pt idx="73">
                  <c:v>3.0105891497811035E-3</c:v>
                </c:pt>
                <c:pt idx="74">
                  <c:v>3.0143262218796404E-3</c:v>
                </c:pt>
                <c:pt idx="75">
                  <c:v>3.0155769790472793E-3</c:v>
                </c:pt>
                <c:pt idx="76">
                  <c:v>3.0168302694489821E-3</c:v>
                </c:pt>
                <c:pt idx="77">
                  <c:v>3.0180860930847484E-3</c:v>
                </c:pt>
                <c:pt idx="78">
                  <c:v>3.0193444499545786E-3</c:v>
                </c:pt>
                <c:pt idx="79">
                  <c:v>3.0231347199684484E-3</c:v>
                </c:pt>
                <c:pt idx="80">
                  <c:v>3.0244032097745321E-3</c:v>
                </c:pt>
                <c:pt idx="81">
                  <c:v>3.0256742328146798E-3</c:v>
                </c:pt>
                <c:pt idx="82">
                  <c:v>3.0269477890888905E-3</c:v>
                </c:pt>
                <c:pt idx="83">
                  <c:v>3.0282238785971647E-3</c:v>
                </c:pt>
                <c:pt idx="84">
                  <c:v>3.0320673465263682E-3</c:v>
                </c:pt>
                <c:pt idx="85">
                  <c:v>3.0333535689708968E-3</c:v>
                </c:pt>
                <c:pt idx="86">
                  <c:v>3.0346423246494884E-3</c:v>
                </c:pt>
                <c:pt idx="87">
                  <c:v>3.035933613562144E-3</c:v>
                </c:pt>
                <c:pt idx="88">
                  <c:v>3.0372274357088626E-3</c:v>
                </c:pt>
                <c:pt idx="89">
                  <c:v>3.0411241015533999E-3</c:v>
                </c:pt>
                <c:pt idx="90">
                  <c:v>3.0424280566363729E-3</c:v>
                </c:pt>
                <c:pt idx="91">
                  <c:v>3.0437345449534094E-3</c:v>
                </c:pt>
                <c:pt idx="92">
                  <c:v>3.0450435665045085E-3</c:v>
                </c:pt>
                <c:pt idx="93">
                  <c:v>3.046355121289672E-3</c:v>
                </c:pt>
                <c:pt idx="94">
                  <c:v>3.050304985049543E-3</c:v>
                </c:pt>
                <c:pt idx="95">
                  <c:v>3.0516266727709605E-3</c:v>
                </c:pt>
                <c:pt idx="96">
                  <c:v>3.0529508937264414E-3</c:v>
                </c:pt>
                <c:pt idx="97">
                  <c:v>3.0542776479159854E-3</c:v>
                </c:pt>
                <c:pt idx="98">
                  <c:v>3.0556069353395933E-3</c:v>
                </c:pt>
                <c:pt idx="99">
                  <c:v>3.059609997014798E-3</c:v>
                </c:pt>
                <c:pt idx="100">
                  <c:v>3.0609494173746594E-3</c:v>
                </c:pt>
                <c:pt idx="101">
                  <c:v>3.0622913709685848E-3</c:v>
                </c:pt>
                <c:pt idx="102">
                  <c:v>3.0636358577965737E-3</c:v>
                </c:pt>
                <c:pt idx="103">
                  <c:v>3.064982877858626E-3</c:v>
                </c:pt>
                <c:pt idx="104">
                  <c:v>3.069039137449164E-3</c:v>
                </c:pt>
                <c:pt idx="105">
                  <c:v>3.0703962904474703E-3</c:v>
                </c:pt>
                <c:pt idx="106">
                  <c:v>3.0717559766798401E-3</c:v>
                </c:pt>
                <c:pt idx="107">
                  <c:v>3.0731181961462734E-3</c:v>
                </c:pt>
                <c:pt idx="108">
                  <c:v>3.0744829488467706E-3</c:v>
                </c:pt>
                <c:pt idx="109">
                  <c:v>3.0785924063526419E-3</c:v>
                </c:pt>
                <c:pt idx="110">
                  <c:v>3.0799672919893926E-3</c:v>
                </c:pt>
                <c:pt idx="111">
                  <c:v>3.0813447108602073E-3</c:v>
                </c:pt>
                <c:pt idx="112">
                  <c:v>3.082724662965085E-3</c:v>
                </c:pt>
                <c:pt idx="113">
                  <c:v>3.0841071483040266E-3</c:v>
                </c:pt>
                <c:pt idx="114">
                  <c:v>3.0882698037252316E-3</c:v>
                </c:pt>
                <c:pt idx="115">
                  <c:v>3.0896624220004268E-3</c:v>
                </c:pt>
                <c:pt idx="116">
                  <c:v>3.0910575735096858E-3</c:v>
                </c:pt>
                <c:pt idx="117">
                  <c:v>3.0924552582530084E-3</c:v>
                </c:pt>
                <c:pt idx="118">
                  <c:v>3.0938554762303936E-3</c:v>
                </c:pt>
                <c:pt idx="119">
                  <c:v>3.0980713295669328E-3</c:v>
                </c:pt>
                <c:pt idx="120">
                  <c:v>3.0994816804805723E-3</c:v>
                </c:pt>
                <c:pt idx="121">
                  <c:v>3.1008945646282759E-3</c:v>
                </c:pt>
                <c:pt idx="122">
                  <c:v>3.1023099820100424E-3</c:v>
                </c:pt>
                <c:pt idx="123">
                  <c:v>3.1094250674298294E-3</c:v>
                </c:pt>
                <c:pt idx="124">
                  <c:v>3.1108556842159773E-3</c:v>
                </c:pt>
                <c:pt idx="125">
                  <c:v>3.1122888342361888E-3</c:v>
                </c:pt>
                <c:pt idx="126">
                  <c:v>3.1137245174904637E-3</c:v>
                </c:pt>
                <c:pt idx="127">
                  <c:v>3.1180467666576694E-3</c:v>
                </c:pt>
                <c:pt idx="128">
                  <c:v>3.1194925828481983E-3</c:v>
                </c:pt>
                <c:pt idx="129">
                  <c:v>3.1209409322727906E-3</c:v>
                </c:pt>
                <c:pt idx="130">
                  <c:v>3.1223918149314465E-3</c:v>
                </c:pt>
                <c:pt idx="131">
                  <c:v>3.1238452308241663E-3</c:v>
                </c:pt>
                <c:pt idx="132">
                  <c:v>3.1282206779067053E-3</c:v>
                </c:pt>
                <c:pt idx="133">
                  <c:v>3.1296842267356786E-3</c:v>
                </c:pt>
                <c:pt idx="134">
                  <c:v>3.1311503087987158E-3</c:v>
                </c:pt>
                <c:pt idx="135">
                  <c:v>3.1326189240958161E-3</c:v>
                </c:pt>
                <c:pt idx="136">
                  <c:v>3.1340900726269804E-3</c:v>
                </c:pt>
                <c:pt idx="137">
                  <c:v>3.1385187176248526E-3</c:v>
                </c:pt>
                <c:pt idx="138">
                  <c:v>3.1399999990922708E-3</c:v>
                </c:pt>
                <c:pt idx="139">
                  <c:v>3.1414838137937525E-3</c:v>
                </c:pt>
                <c:pt idx="140">
                  <c:v>3.1429701617292972E-3</c:v>
                </c:pt>
                <c:pt idx="141">
                  <c:v>3.1444590428989054E-3</c:v>
                </c:pt>
                <c:pt idx="142">
                  <c:v>3.1489408858121118E-3</c:v>
                </c:pt>
                <c:pt idx="143">
                  <c:v>3.1504398999179744E-3</c:v>
                </c:pt>
                <c:pt idx="144">
                  <c:v>3.1519414472579005E-3</c:v>
                </c:pt>
                <c:pt idx="145">
                  <c:v>3.1534455278318897E-3</c:v>
                </c:pt>
                <c:pt idx="146">
                  <c:v>3.1549521416399428E-3</c:v>
                </c:pt>
                <c:pt idx="147">
                  <c:v>3.1594871824684829E-3</c:v>
                </c:pt>
                <c:pt idx="148">
                  <c:v>3.1610039292127895E-3</c:v>
                </c:pt>
                <c:pt idx="149">
                  <c:v>3.16252320919116E-3</c:v>
                </c:pt>
                <c:pt idx="150">
                  <c:v>3.164045022403594E-3</c:v>
                </c:pt>
                <c:pt idx="151">
                  <c:v>3.1655693688500916E-3</c:v>
                </c:pt>
                <c:pt idx="152">
                  <c:v>3.170157607593965E-3</c:v>
                </c:pt>
                <c:pt idx="153">
                  <c:v>3.171692086976716E-3</c:v>
                </c:pt>
                <c:pt idx="154">
                  <c:v>3.1732290995935314E-3</c:v>
                </c:pt>
                <c:pt idx="155">
                  <c:v>3.1747686454444098E-3</c:v>
                </c:pt>
                <c:pt idx="156">
                  <c:v>3.1763107245293518E-3</c:v>
                </c:pt>
                <c:pt idx="157">
                  <c:v>3.1809521611885585E-3</c:v>
                </c:pt>
                <c:pt idx="158">
                  <c:v>3.1825043732097548E-3</c:v>
                </c:pt>
                <c:pt idx="159">
                  <c:v>3.1840591184650142E-3</c:v>
                </c:pt>
                <c:pt idx="160">
                  <c:v>3.1856163969543371E-3</c:v>
                </c:pt>
                <c:pt idx="161">
                  <c:v>3.1871762086777239E-3</c:v>
                </c:pt>
                <c:pt idx="162">
                  <c:v>3.1918708432522643E-3</c:v>
                </c:pt>
                <c:pt idx="163">
                  <c:v>3.1934407879119046E-3</c:v>
                </c:pt>
                <c:pt idx="164">
                  <c:v>3.1950132658056089E-3</c:v>
                </c:pt>
                <c:pt idx="165">
                  <c:v>3.1965882769333766E-3</c:v>
                </c:pt>
                <c:pt idx="166">
                  <c:v>3.198165821295207E-3</c:v>
                </c:pt>
                <c:pt idx="167">
                  <c:v>3.2029136537850811E-3</c:v>
                </c:pt>
                <c:pt idx="168">
                  <c:v>3.2045013310831663E-3</c:v>
                </c:pt>
                <c:pt idx="169">
                  <c:v>3.206091541615315E-3</c:v>
                </c:pt>
                <c:pt idx="170">
                  <c:v>3.2076842853815267E-3</c:v>
                </c:pt>
                <c:pt idx="171">
                  <c:v>3.2092795623818024E-3</c:v>
                </c:pt>
                <c:pt idx="172">
                  <c:v>3.2140805927870103E-3</c:v>
                </c:pt>
                <c:pt idx="173">
                  <c:v>3.2156860027235399E-3</c:v>
                </c:pt>
                <c:pt idx="174">
                  <c:v>3.2172939458941325E-3</c:v>
                </c:pt>
                <c:pt idx="175">
                  <c:v>3.2189044222987891E-3</c:v>
                </c:pt>
                <c:pt idx="176">
                  <c:v>3.2205174319375092E-3</c:v>
                </c:pt>
                <c:pt idx="177">
                  <c:v>3.2253716602580504E-3</c:v>
                </c:pt>
                <c:pt idx="178">
                  <c:v>3.226994802833024E-3</c:v>
                </c:pt>
                <c:pt idx="179">
                  <c:v>3.2286204786420619E-3</c:v>
                </c:pt>
                <c:pt idx="180">
                  <c:v>3.230248687685163E-3</c:v>
                </c:pt>
                <c:pt idx="181">
                  <c:v>3.2318794299623275E-3</c:v>
                </c:pt>
                <c:pt idx="182">
                  <c:v>3.2367868561982019E-3</c:v>
                </c:pt>
                <c:pt idx="183">
                  <c:v>3.2384277314116204E-3</c:v>
                </c:pt>
                <c:pt idx="184">
                  <c:v>3.2400711398591028E-3</c:v>
                </c:pt>
                <c:pt idx="185">
                  <c:v>3.2417170815406482E-3</c:v>
                </c:pt>
                <c:pt idx="186">
                  <c:v>3.2433655564562576E-3</c:v>
                </c:pt>
                <c:pt idx="187">
                  <c:v>3.2483261806074653E-3</c:v>
                </c:pt>
                <c:pt idx="188">
                  <c:v>3.2499847884593287E-3</c:v>
                </c:pt>
                <c:pt idx="189">
                  <c:v>3.2516459295452555E-3</c:v>
                </c:pt>
                <c:pt idx="190">
                  <c:v>3.2533096038652454E-3</c:v>
                </c:pt>
                <c:pt idx="191">
                  <c:v>3.2549758114192987E-3</c:v>
                </c:pt>
                <c:pt idx="192">
                  <c:v>3.2599896334858406E-3</c:v>
                </c:pt>
                <c:pt idx="193">
                  <c:v>3.2616659739761484E-3</c:v>
                </c:pt>
                <c:pt idx="194">
                  <c:v>3.2633448477005196E-3</c:v>
                </c:pt>
                <c:pt idx="195">
                  <c:v>3.2650262546589544E-3</c:v>
                </c:pt>
                <c:pt idx="196">
                  <c:v>3.2667101948514517E-3</c:v>
                </c:pt>
                <c:pt idx="197">
                  <c:v>3.2717772148333274E-3</c:v>
                </c:pt>
                <c:pt idx="198">
                  <c:v>3.2734712879620791E-3</c:v>
                </c:pt>
                <c:pt idx="199">
                  <c:v>3.2751678943248948E-3</c:v>
                </c:pt>
                <c:pt idx="200">
                  <c:v>3.276867033921774E-3</c:v>
                </c:pt>
                <c:pt idx="201">
                  <c:v>3.2785687067527166E-3</c:v>
                </c:pt>
                <c:pt idx="202">
                  <c:v>3.283688924649926E-3</c:v>
                </c:pt>
                <c:pt idx="203">
                  <c:v>3.2854007304171221E-3</c:v>
                </c:pt>
                <c:pt idx="204">
                  <c:v>3.2871150694183822E-3</c:v>
                </c:pt>
                <c:pt idx="205">
                  <c:v>3.2888319416537058E-3</c:v>
                </c:pt>
                <c:pt idx="206">
                  <c:v>3.2905513471230934E-3</c:v>
                </c:pt>
                <c:pt idx="207">
                  <c:v>3.2957247629356351E-3</c:v>
                </c:pt>
                <c:pt idx="208">
                  <c:v>3.2974543013412766E-3</c:v>
                </c:pt>
                <c:pt idx="209">
                  <c:v>3.2991863729809811E-3</c:v>
                </c:pt>
                <c:pt idx="210">
                  <c:v>3.3009209778547496E-3</c:v>
                </c:pt>
                <c:pt idx="211">
                  <c:v>3.3026581159625811E-3</c:v>
                </c:pt>
                <c:pt idx="212">
                  <c:v>3.307884729690457E-3</c:v>
                </c:pt>
                <c:pt idx="213">
                  <c:v>3.3096320007345425E-3</c:v>
                </c:pt>
                <c:pt idx="214">
                  <c:v>3.3113818050126919E-3</c:v>
                </c:pt>
                <c:pt idx="215">
                  <c:v>3.3131341425249043E-3</c:v>
                </c:pt>
                <c:pt idx="216">
                  <c:v>3.3148890132711803E-3</c:v>
                </c:pt>
                <c:pt idx="217">
                  <c:v>3.3201688249143899E-3</c:v>
                </c:pt>
                <c:pt idx="218">
                  <c:v>3.3219338285969202E-3</c:v>
                </c:pt>
                <c:pt idx="219">
                  <c:v>3.3237013655135141E-3</c:v>
                </c:pt>
                <c:pt idx="220">
                  <c:v>3.3254714356641714E-3</c:v>
                </c:pt>
                <c:pt idx="221">
                  <c:v>3.3272440390488918E-3</c:v>
                </c:pt>
                <c:pt idx="222">
                  <c:v>3.3325770486074347E-3</c:v>
                </c:pt>
                <c:pt idx="223">
                  <c:v>3.3343597849284094E-3</c:v>
                </c:pt>
                <c:pt idx="224">
                  <c:v>3.3361450544834473E-3</c:v>
                </c:pt>
                <c:pt idx="225">
                  <c:v>3.337932857272549E-3</c:v>
                </c:pt>
                <c:pt idx="226">
                  <c:v>3.3397231932957142E-3</c:v>
                </c:pt>
                <c:pt idx="227">
                  <c:v>3.3451094007695913E-3</c:v>
                </c:pt>
                <c:pt idx="228">
                  <c:v>3.3469098697290101E-3</c:v>
                </c:pt>
                <c:pt idx="229">
                  <c:v>3.3487128719224928E-3</c:v>
                </c:pt>
                <c:pt idx="230">
                  <c:v>3.3505184073500389E-3</c:v>
                </c:pt>
                <c:pt idx="231">
                  <c:v>3.3523264760116486E-3</c:v>
                </c:pt>
                <c:pt idx="232">
                  <c:v>3.3577658814008585E-3</c:v>
                </c:pt>
                <c:pt idx="233">
                  <c:v>3.3595840829987226E-3</c:v>
                </c:pt>
                <c:pt idx="234">
                  <c:v>3.3614048178306497E-3</c:v>
                </c:pt>
                <c:pt idx="235">
                  <c:v>3.3632280858966403E-3</c:v>
                </c:pt>
                <c:pt idx="236">
                  <c:v>3.3650538871966948E-3</c:v>
                </c:pt>
                <c:pt idx="237">
                  <c:v>3.370546490501238E-3</c:v>
                </c:pt>
                <c:pt idx="238">
                  <c:v>3.3723824247375465E-3</c:v>
                </c:pt>
                <c:pt idx="239">
                  <c:v>3.3742208922079185E-3</c:v>
                </c:pt>
                <c:pt idx="240">
                  <c:v>3.3760618929123535E-3</c:v>
                </c:pt>
                <c:pt idx="241">
                  <c:v>3.377905426850852E-3</c:v>
                </c:pt>
                <c:pt idx="242">
                  <c:v>3.3834512280707294E-3</c:v>
                </c:pt>
                <c:pt idx="243">
                  <c:v>3.3853048949454823E-3</c:v>
                </c:pt>
                <c:pt idx="244">
                  <c:v>3.3871610950542983E-3</c:v>
                </c:pt>
                <c:pt idx="245">
                  <c:v>3.3890198283971782E-3</c:v>
                </c:pt>
                <c:pt idx="246">
                  <c:v>3.3908810949741211E-3</c:v>
                </c:pt>
                <c:pt idx="247">
                  <c:v>3.3964800941093322E-3</c:v>
                </c:pt>
                <c:pt idx="248">
                  <c:v>3.3983514936225295E-3</c:v>
                </c:pt>
                <c:pt idx="249">
                  <c:v>3.4002254263697899E-3</c:v>
                </c:pt>
                <c:pt idx="250">
                  <c:v>3.4021018923511143E-3</c:v>
                </c:pt>
                <c:pt idx="251">
                  <c:v>3.4039808915665021E-3</c:v>
                </c:pt>
                <c:pt idx="252">
                  <c:v>3.4096330886170464E-3</c:v>
                </c:pt>
                <c:pt idx="253">
                  <c:v>3.4115222207686882E-3</c:v>
                </c:pt>
                <c:pt idx="254">
                  <c:v>3.413413886154393E-3</c:v>
                </c:pt>
                <c:pt idx="255">
                  <c:v>3.4153080847741622E-3</c:v>
                </c:pt>
                <c:pt idx="256">
                  <c:v>3.4172048166279945E-3</c:v>
                </c:pt>
                <c:pt idx="257">
                  <c:v>3.4229102115938721E-3</c:v>
                </c:pt>
                <c:pt idx="258">
                  <c:v>3.4248170763839583E-3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</c:numCache>
            </c:numRef>
          </c:cat>
          <c:val>
            <c:numRef>
              <c:f>'12MSynthDepo_allScenario'!$BG$6:$BG$264</c:f>
              <c:numCache>
                <c:formatCode>0.0000%</c:formatCode>
                <c:ptCount val="259"/>
                <c:pt idx="0">
                  <c:v>2.8329778830444713E-3</c:v>
                </c:pt>
                <c:pt idx="1">
                  <c:v>2.8377751135985835E-3</c:v>
                </c:pt>
                <c:pt idx="2">
                  <c:v>2.8393741904499544E-3</c:v>
                </c:pt>
                <c:pt idx="3">
                  <c:v>2.8409732673013253E-3</c:v>
                </c:pt>
                <c:pt idx="4">
                  <c:v>2.8425723441526962E-3</c:v>
                </c:pt>
                <c:pt idx="5">
                  <c:v>2.8441714210040671E-3</c:v>
                </c:pt>
                <c:pt idx="6">
                  <c:v>2.8489686515581793E-3</c:v>
                </c:pt>
                <c:pt idx="7">
                  <c:v>2.8505677284095502E-3</c:v>
                </c:pt>
                <c:pt idx="8">
                  <c:v>2.852166805260921E-3</c:v>
                </c:pt>
                <c:pt idx="9">
                  <c:v>2.8537658821122919E-3</c:v>
                </c:pt>
                <c:pt idx="10">
                  <c:v>2.8553649589636628E-3</c:v>
                </c:pt>
                <c:pt idx="11">
                  <c:v>2.860162189517775E-3</c:v>
                </c:pt>
                <c:pt idx="12">
                  <c:v>2.8617612663691459E-3</c:v>
                </c:pt>
                <c:pt idx="13">
                  <c:v>2.8633603432205168E-3</c:v>
                </c:pt>
                <c:pt idx="14">
                  <c:v>2.8649594200718873E-3</c:v>
                </c:pt>
                <c:pt idx="15">
                  <c:v>2.8665584969232581E-3</c:v>
                </c:pt>
                <c:pt idx="16">
                  <c:v>2.8713557274773708E-3</c:v>
                </c:pt>
                <c:pt idx="17">
                  <c:v>2.8729548043287417E-3</c:v>
                </c:pt>
                <c:pt idx="18">
                  <c:v>2.8745538811801121E-3</c:v>
                </c:pt>
                <c:pt idx="19">
                  <c:v>2.876152958031483E-3</c:v>
                </c:pt>
                <c:pt idx="20">
                  <c:v>2.8777520348828539E-3</c:v>
                </c:pt>
                <c:pt idx="21">
                  <c:v>2.8825492654369661E-3</c:v>
                </c:pt>
                <c:pt idx="22">
                  <c:v>2.884148342288337E-3</c:v>
                </c:pt>
                <c:pt idx="23">
                  <c:v>2.8857474191397079E-3</c:v>
                </c:pt>
                <c:pt idx="24">
                  <c:v>2.8873464959910788E-3</c:v>
                </c:pt>
                <c:pt idx="25">
                  <c:v>2.8889455728424497E-3</c:v>
                </c:pt>
                <c:pt idx="26">
                  <c:v>2.8937428033965619E-3</c:v>
                </c:pt>
                <c:pt idx="27">
                  <c:v>2.8953418802479328E-3</c:v>
                </c:pt>
                <c:pt idx="28">
                  <c:v>2.8969409570993036E-3</c:v>
                </c:pt>
                <c:pt idx="29">
                  <c:v>2.8985400339506745E-3</c:v>
                </c:pt>
                <c:pt idx="30">
                  <c:v>2.9001391108020454E-3</c:v>
                </c:pt>
                <c:pt idx="31">
                  <c:v>2.9049363413561576E-3</c:v>
                </c:pt>
                <c:pt idx="32">
                  <c:v>2.9065354182075285E-3</c:v>
                </c:pt>
                <c:pt idx="33">
                  <c:v>2.9081344950588994E-3</c:v>
                </c:pt>
                <c:pt idx="34">
                  <c:v>2.9097335719102699E-3</c:v>
                </c:pt>
                <c:pt idx="35">
                  <c:v>2.9113326487616407E-3</c:v>
                </c:pt>
                <c:pt idx="36">
                  <c:v>2.9161298793157534E-3</c:v>
                </c:pt>
                <c:pt idx="37">
                  <c:v>2.9177289561671243E-3</c:v>
                </c:pt>
                <c:pt idx="38">
                  <c:v>2.9193280330184947E-3</c:v>
                </c:pt>
                <c:pt idx="39">
                  <c:v>2.9209271098698656E-3</c:v>
                </c:pt>
                <c:pt idx="40">
                  <c:v>2.9225261867212365E-3</c:v>
                </c:pt>
                <c:pt idx="41">
                  <c:v>2.9273234172753487E-3</c:v>
                </c:pt>
                <c:pt idx="42">
                  <c:v>2.9289224941267196E-3</c:v>
                </c:pt>
                <c:pt idx="43">
                  <c:v>2.9305215709780905E-3</c:v>
                </c:pt>
                <c:pt idx="44">
                  <c:v>2.9321206478294614E-3</c:v>
                </c:pt>
                <c:pt idx="45">
                  <c:v>2.9337197246808323E-3</c:v>
                </c:pt>
                <c:pt idx="46">
                  <c:v>2.9385169552349445E-3</c:v>
                </c:pt>
                <c:pt idx="47">
                  <c:v>2.9401160320863154E-3</c:v>
                </c:pt>
                <c:pt idx="48">
                  <c:v>2.9417151089376863E-3</c:v>
                </c:pt>
                <c:pt idx="49">
                  <c:v>2.9433141857890571E-3</c:v>
                </c:pt>
                <c:pt idx="50">
                  <c:v>2.944913262640428E-3</c:v>
                </c:pt>
                <c:pt idx="51">
                  <c:v>2.9497104931945402E-3</c:v>
                </c:pt>
                <c:pt idx="52">
                  <c:v>2.9513095700459111E-3</c:v>
                </c:pt>
                <c:pt idx="53">
                  <c:v>2.952908646897282E-3</c:v>
                </c:pt>
                <c:pt idx="54">
                  <c:v>2.9545077237486525E-3</c:v>
                </c:pt>
                <c:pt idx="55">
                  <c:v>2.9561068006000234E-3</c:v>
                </c:pt>
                <c:pt idx="56">
                  <c:v>2.960904031154136E-3</c:v>
                </c:pt>
                <c:pt idx="57">
                  <c:v>2.9625031080055069E-3</c:v>
                </c:pt>
                <c:pt idx="58">
                  <c:v>2.9641021848568773E-3</c:v>
                </c:pt>
                <c:pt idx="59">
                  <c:v>2.9657012617082482E-3</c:v>
                </c:pt>
                <c:pt idx="60">
                  <c:v>2.9720975691137318E-3</c:v>
                </c:pt>
                <c:pt idx="61">
                  <c:v>2.9736966459651022E-3</c:v>
                </c:pt>
                <c:pt idx="62">
                  <c:v>2.9752957228164731E-3</c:v>
                </c:pt>
                <c:pt idx="63">
                  <c:v>2.976894799667844E-3</c:v>
                </c:pt>
                <c:pt idx="64">
                  <c:v>2.9832911070733271E-3</c:v>
                </c:pt>
                <c:pt idx="65">
                  <c:v>2.984890183924698E-3</c:v>
                </c:pt>
                <c:pt idx="66">
                  <c:v>2.9864892607760689E-3</c:v>
                </c:pt>
                <c:pt idx="67">
                  <c:v>2.9880883376274398E-3</c:v>
                </c:pt>
                <c:pt idx="68">
                  <c:v>2.9896874144788106E-3</c:v>
                </c:pt>
                <c:pt idx="69">
                  <c:v>2.9944846450329229E-3</c:v>
                </c:pt>
                <c:pt idx="70">
                  <c:v>2.9960837218842937E-3</c:v>
                </c:pt>
                <c:pt idx="71">
                  <c:v>2.9976827987356646E-3</c:v>
                </c:pt>
                <c:pt idx="72">
                  <c:v>2.9992818755870355E-3</c:v>
                </c:pt>
                <c:pt idx="73">
                  <c:v>3.000880952438406E-3</c:v>
                </c:pt>
                <c:pt idx="74">
                  <c:v>3.0056781829925186E-3</c:v>
                </c:pt>
                <c:pt idx="75">
                  <c:v>3.0072772598438895E-3</c:v>
                </c:pt>
                <c:pt idx="76">
                  <c:v>3.00887633669526E-3</c:v>
                </c:pt>
                <c:pt idx="77">
                  <c:v>3.0104754135466308E-3</c:v>
                </c:pt>
                <c:pt idx="78">
                  <c:v>3.0120744903980017E-3</c:v>
                </c:pt>
                <c:pt idx="79">
                  <c:v>3.0168717209521139E-3</c:v>
                </c:pt>
                <c:pt idx="80">
                  <c:v>3.0184707978034848E-3</c:v>
                </c:pt>
                <c:pt idx="81">
                  <c:v>3.0200698746548557E-3</c:v>
                </c:pt>
                <c:pt idx="82">
                  <c:v>3.0216689515062266E-3</c:v>
                </c:pt>
                <c:pt idx="83">
                  <c:v>3.0232680283575975E-3</c:v>
                </c:pt>
                <c:pt idx="84">
                  <c:v>3.0280652589117097E-3</c:v>
                </c:pt>
                <c:pt idx="85">
                  <c:v>3.0296643357630806E-3</c:v>
                </c:pt>
                <c:pt idx="86">
                  <c:v>3.0312634126144515E-3</c:v>
                </c:pt>
                <c:pt idx="87">
                  <c:v>3.0328624894658224E-3</c:v>
                </c:pt>
                <c:pt idx="88">
                  <c:v>3.0344615663171932E-3</c:v>
                </c:pt>
                <c:pt idx="89">
                  <c:v>3.0392587968713055E-3</c:v>
                </c:pt>
                <c:pt idx="90">
                  <c:v>3.0408578737226763E-3</c:v>
                </c:pt>
                <c:pt idx="91">
                  <c:v>3.0424569505740472E-3</c:v>
                </c:pt>
                <c:pt idx="92">
                  <c:v>3.0440560274254177E-3</c:v>
                </c:pt>
                <c:pt idx="93">
                  <c:v>3.0456551042767886E-3</c:v>
                </c:pt>
                <c:pt idx="94">
                  <c:v>3.0504523348309012E-3</c:v>
                </c:pt>
                <c:pt idx="95">
                  <c:v>3.0520514116822721E-3</c:v>
                </c:pt>
                <c:pt idx="96">
                  <c:v>3.053650488533643E-3</c:v>
                </c:pt>
                <c:pt idx="97">
                  <c:v>3.0552495653850134E-3</c:v>
                </c:pt>
                <c:pt idx="98">
                  <c:v>3.0568486422363843E-3</c:v>
                </c:pt>
                <c:pt idx="99">
                  <c:v>3.061645872790497E-3</c:v>
                </c:pt>
                <c:pt idx="100">
                  <c:v>3.0632449496418674E-3</c:v>
                </c:pt>
                <c:pt idx="101">
                  <c:v>3.0648440264932383E-3</c:v>
                </c:pt>
                <c:pt idx="102">
                  <c:v>3.0664431033446092E-3</c:v>
                </c:pt>
                <c:pt idx="103">
                  <c:v>3.0680421801959801E-3</c:v>
                </c:pt>
                <c:pt idx="104">
                  <c:v>3.0728394107500923E-3</c:v>
                </c:pt>
                <c:pt idx="105">
                  <c:v>3.0744384876014632E-3</c:v>
                </c:pt>
                <c:pt idx="106">
                  <c:v>3.0760375644528341E-3</c:v>
                </c:pt>
                <c:pt idx="107">
                  <c:v>3.077636641304205E-3</c:v>
                </c:pt>
                <c:pt idx="108">
                  <c:v>3.0792357181555759E-3</c:v>
                </c:pt>
                <c:pt idx="109">
                  <c:v>3.0840329487096881E-3</c:v>
                </c:pt>
                <c:pt idx="110">
                  <c:v>3.085632025561059E-3</c:v>
                </c:pt>
                <c:pt idx="111">
                  <c:v>3.0872311024124298E-3</c:v>
                </c:pt>
                <c:pt idx="112">
                  <c:v>3.0888301792638007E-3</c:v>
                </c:pt>
                <c:pt idx="113">
                  <c:v>3.0904292561151712E-3</c:v>
                </c:pt>
                <c:pt idx="114">
                  <c:v>3.0952264866692838E-3</c:v>
                </c:pt>
                <c:pt idx="115">
                  <c:v>3.0968255635206547E-3</c:v>
                </c:pt>
                <c:pt idx="116">
                  <c:v>3.0984246403720252E-3</c:v>
                </c:pt>
                <c:pt idx="117">
                  <c:v>3.1000237172233961E-3</c:v>
                </c:pt>
                <c:pt idx="118">
                  <c:v>3.1016227940747669E-3</c:v>
                </c:pt>
                <c:pt idx="119">
                  <c:v>3.1064200246288796E-3</c:v>
                </c:pt>
                <c:pt idx="120">
                  <c:v>3.1080191014802505E-3</c:v>
                </c:pt>
                <c:pt idx="121">
                  <c:v>3.1096181783316209E-3</c:v>
                </c:pt>
                <c:pt idx="122">
                  <c:v>3.1112172551829918E-3</c:v>
                </c:pt>
                <c:pt idx="123">
                  <c:v>3.1192126394398458E-3</c:v>
                </c:pt>
                <c:pt idx="124">
                  <c:v>3.1208117162912167E-3</c:v>
                </c:pt>
                <c:pt idx="125">
                  <c:v>3.1224107931425876E-3</c:v>
                </c:pt>
                <c:pt idx="126">
                  <c:v>3.1240098699939585E-3</c:v>
                </c:pt>
                <c:pt idx="127">
                  <c:v>3.1288071005480707E-3</c:v>
                </c:pt>
                <c:pt idx="128">
                  <c:v>3.1304061773994416E-3</c:v>
                </c:pt>
                <c:pt idx="129">
                  <c:v>3.1320052542508124E-3</c:v>
                </c:pt>
                <c:pt idx="130">
                  <c:v>3.1336043311021833E-3</c:v>
                </c:pt>
                <c:pt idx="131">
                  <c:v>3.1352034079535538E-3</c:v>
                </c:pt>
                <c:pt idx="132">
                  <c:v>3.1400006385076664E-3</c:v>
                </c:pt>
                <c:pt idx="133">
                  <c:v>3.1415997153590373E-3</c:v>
                </c:pt>
                <c:pt idx="134">
                  <c:v>3.1431987922104082E-3</c:v>
                </c:pt>
                <c:pt idx="135">
                  <c:v>3.1447978690617787E-3</c:v>
                </c:pt>
                <c:pt idx="136">
                  <c:v>3.1463969459131495E-3</c:v>
                </c:pt>
                <c:pt idx="137">
                  <c:v>3.1511941764672622E-3</c:v>
                </c:pt>
                <c:pt idx="138">
                  <c:v>3.1527932533186327E-3</c:v>
                </c:pt>
                <c:pt idx="139">
                  <c:v>3.1543923301700035E-3</c:v>
                </c:pt>
                <c:pt idx="140">
                  <c:v>3.1559914070213744E-3</c:v>
                </c:pt>
                <c:pt idx="141">
                  <c:v>3.1575904838727453E-3</c:v>
                </c:pt>
                <c:pt idx="142">
                  <c:v>3.1623877144268575E-3</c:v>
                </c:pt>
                <c:pt idx="143">
                  <c:v>3.1639867912782284E-3</c:v>
                </c:pt>
                <c:pt idx="144">
                  <c:v>3.1655858681295993E-3</c:v>
                </c:pt>
                <c:pt idx="145">
                  <c:v>3.1671849449809702E-3</c:v>
                </c:pt>
                <c:pt idx="146">
                  <c:v>3.1687840218323411E-3</c:v>
                </c:pt>
                <c:pt idx="147">
                  <c:v>3.1735812523864533E-3</c:v>
                </c:pt>
                <c:pt idx="148">
                  <c:v>3.1751803292378242E-3</c:v>
                </c:pt>
                <c:pt idx="149">
                  <c:v>3.1767794060891951E-3</c:v>
                </c:pt>
                <c:pt idx="150">
                  <c:v>3.1783784829405659E-3</c:v>
                </c:pt>
                <c:pt idx="151">
                  <c:v>3.1799775597919364E-3</c:v>
                </c:pt>
                <c:pt idx="152">
                  <c:v>3.184774790346049E-3</c:v>
                </c:pt>
                <c:pt idx="153">
                  <c:v>3.1863738671974199E-3</c:v>
                </c:pt>
                <c:pt idx="154">
                  <c:v>3.1879729440487908E-3</c:v>
                </c:pt>
                <c:pt idx="155">
                  <c:v>3.1895720209001613E-3</c:v>
                </c:pt>
                <c:pt idx="156">
                  <c:v>3.1911710977515322E-3</c:v>
                </c:pt>
                <c:pt idx="157">
                  <c:v>3.1959683283056448E-3</c:v>
                </c:pt>
                <c:pt idx="158">
                  <c:v>3.1975674051570153E-3</c:v>
                </c:pt>
                <c:pt idx="159">
                  <c:v>3.1991664820083861E-3</c:v>
                </c:pt>
                <c:pt idx="160">
                  <c:v>3.200765558859757E-3</c:v>
                </c:pt>
                <c:pt idx="161">
                  <c:v>3.2023646357111279E-3</c:v>
                </c:pt>
                <c:pt idx="162">
                  <c:v>3.2071618662652401E-3</c:v>
                </c:pt>
                <c:pt idx="163">
                  <c:v>3.208760943116611E-3</c:v>
                </c:pt>
                <c:pt idx="164">
                  <c:v>3.2103600199679819E-3</c:v>
                </c:pt>
                <c:pt idx="165">
                  <c:v>3.2119590968193528E-3</c:v>
                </c:pt>
                <c:pt idx="166">
                  <c:v>3.2135581736707237E-3</c:v>
                </c:pt>
                <c:pt idx="167">
                  <c:v>3.2183554042248359E-3</c:v>
                </c:pt>
                <c:pt idx="168">
                  <c:v>3.2199544810762068E-3</c:v>
                </c:pt>
                <c:pt idx="169">
                  <c:v>3.2215535579275777E-3</c:v>
                </c:pt>
                <c:pt idx="170">
                  <c:v>3.2231526347789486E-3</c:v>
                </c:pt>
                <c:pt idx="171">
                  <c:v>3.2247517116303194E-3</c:v>
                </c:pt>
                <c:pt idx="172">
                  <c:v>3.2295489421844317E-3</c:v>
                </c:pt>
                <c:pt idx="173">
                  <c:v>3.2311480190358025E-3</c:v>
                </c:pt>
                <c:pt idx="174">
                  <c:v>3.2327470958871734E-3</c:v>
                </c:pt>
                <c:pt idx="175">
                  <c:v>3.2343461727385439E-3</c:v>
                </c:pt>
                <c:pt idx="176">
                  <c:v>3.2359452495899148E-3</c:v>
                </c:pt>
                <c:pt idx="177">
                  <c:v>3.2407424801440274E-3</c:v>
                </c:pt>
                <c:pt idx="178">
                  <c:v>3.2423415569953979E-3</c:v>
                </c:pt>
                <c:pt idx="179">
                  <c:v>3.2439406338467688E-3</c:v>
                </c:pt>
                <c:pt idx="180">
                  <c:v>3.2455397106981396E-3</c:v>
                </c:pt>
                <c:pt idx="181">
                  <c:v>3.2471387875495105E-3</c:v>
                </c:pt>
                <c:pt idx="182">
                  <c:v>3.2519360181036227E-3</c:v>
                </c:pt>
                <c:pt idx="183">
                  <c:v>3.2535350949549936E-3</c:v>
                </c:pt>
                <c:pt idx="184">
                  <c:v>3.2551341718063645E-3</c:v>
                </c:pt>
                <c:pt idx="185">
                  <c:v>3.2567332486577354E-3</c:v>
                </c:pt>
                <c:pt idx="186">
                  <c:v>3.2583323255091063E-3</c:v>
                </c:pt>
                <c:pt idx="187">
                  <c:v>3.2631295560632185E-3</c:v>
                </c:pt>
                <c:pt idx="188">
                  <c:v>3.2647286329145894E-3</c:v>
                </c:pt>
                <c:pt idx="189">
                  <c:v>3.2663277097659603E-3</c:v>
                </c:pt>
                <c:pt idx="190">
                  <c:v>3.2679267866173312E-3</c:v>
                </c:pt>
                <c:pt idx="191">
                  <c:v>3.2695258634687016E-3</c:v>
                </c:pt>
                <c:pt idx="192">
                  <c:v>3.2743230940228143E-3</c:v>
                </c:pt>
                <c:pt idx="193">
                  <c:v>3.2759221708741851E-3</c:v>
                </c:pt>
                <c:pt idx="194">
                  <c:v>3.277521247725556E-3</c:v>
                </c:pt>
                <c:pt idx="195">
                  <c:v>3.2791203245769265E-3</c:v>
                </c:pt>
                <c:pt idx="196">
                  <c:v>3.2807194014282974E-3</c:v>
                </c:pt>
                <c:pt idx="197">
                  <c:v>3.28551663198241E-3</c:v>
                </c:pt>
                <c:pt idx="198">
                  <c:v>3.2871157088337809E-3</c:v>
                </c:pt>
                <c:pt idx="199">
                  <c:v>3.2887147856851514E-3</c:v>
                </c:pt>
                <c:pt idx="200">
                  <c:v>3.2903138625365222E-3</c:v>
                </c:pt>
                <c:pt idx="201">
                  <c:v>3.2919129393878931E-3</c:v>
                </c:pt>
                <c:pt idx="202">
                  <c:v>3.2967101699420054E-3</c:v>
                </c:pt>
                <c:pt idx="203">
                  <c:v>3.2983092467933762E-3</c:v>
                </c:pt>
                <c:pt idx="204">
                  <c:v>3.2999083236447471E-3</c:v>
                </c:pt>
                <c:pt idx="205">
                  <c:v>3.301507400496118E-3</c:v>
                </c:pt>
                <c:pt idx="206">
                  <c:v>3.3031064773474889E-3</c:v>
                </c:pt>
                <c:pt idx="207">
                  <c:v>3.3079037079016011E-3</c:v>
                </c:pt>
                <c:pt idx="208">
                  <c:v>3.309502784752972E-3</c:v>
                </c:pt>
                <c:pt idx="209">
                  <c:v>3.3111018616043429E-3</c:v>
                </c:pt>
                <c:pt idx="210">
                  <c:v>3.3127009384557138E-3</c:v>
                </c:pt>
                <c:pt idx="211">
                  <c:v>3.3143000153070847E-3</c:v>
                </c:pt>
                <c:pt idx="212">
                  <c:v>3.3190972458611969E-3</c:v>
                </c:pt>
                <c:pt idx="213">
                  <c:v>3.3206963227125678E-3</c:v>
                </c:pt>
                <c:pt idx="214">
                  <c:v>3.3222953995639386E-3</c:v>
                </c:pt>
                <c:pt idx="215">
                  <c:v>3.3238944764153091E-3</c:v>
                </c:pt>
                <c:pt idx="216">
                  <c:v>3.32549355326668E-3</c:v>
                </c:pt>
                <c:pt idx="217">
                  <c:v>3.3302907838207926E-3</c:v>
                </c:pt>
                <c:pt idx="218">
                  <c:v>3.3318898606721631E-3</c:v>
                </c:pt>
                <c:pt idx="219">
                  <c:v>3.3334889375235344E-3</c:v>
                </c:pt>
                <c:pt idx="220">
                  <c:v>3.3350880143749049E-3</c:v>
                </c:pt>
                <c:pt idx="221">
                  <c:v>3.3366870912262757E-3</c:v>
                </c:pt>
                <c:pt idx="222">
                  <c:v>3.3414843217803884E-3</c:v>
                </c:pt>
                <c:pt idx="223">
                  <c:v>3.3430833986317588E-3</c:v>
                </c:pt>
                <c:pt idx="224">
                  <c:v>3.3446824754831297E-3</c:v>
                </c:pt>
                <c:pt idx="225">
                  <c:v>3.3462815523345006E-3</c:v>
                </c:pt>
                <c:pt idx="226">
                  <c:v>3.3478806291858715E-3</c:v>
                </c:pt>
                <c:pt idx="227">
                  <c:v>3.3526778597399837E-3</c:v>
                </c:pt>
                <c:pt idx="228">
                  <c:v>3.3542769365913546E-3</c:v>
                </c:pt>
                <c:pt idx="229">
                  <c:v>3.3558760134427255E-3</c:v>
                </c:pt>
                <c:pt idx="230">
                  <c:v>3.3574750902940964E-3</c:v>
                </c:pt>
                <c:pt idx="231">
                  <c:v>3.3590741671454668E-3</c:v>
                </c:pt>
                <c:pt idx="232">
                  <c:v>3.3638713976995795E-3</c:v>
                </c:pt>
                <c:pt idx="233">
                  <c:v>3.3654704745509504E-3</c:v>
                </c:pt>
                <c:pt idx="234">
                  <c:v>3.3670695514023213E-3</c:v>
                </c:pt>
                <c:pt idx="235">
                  <c:v>3.3686686282536921E-3</c:v>
                </c:pt>
                <c:pt idx="236">
                  <c:v>3.3702677051050626E-3</c:v>
                </c:pt>
                <c:pt idx="237">
                  <c:v>3.3750649356591752E-3</c:v>
                </c:pt>
                <c:pt idx="238">
                  <c:v>3.3766640125105461E-3</c:v>
                </c:pt>
                <c:pt idx="239">
                  <c:v>3.3782630893619166E-3</c:v>
                </c:pt>
                <c:pt idx="240">
                  <c:v>3.3798621662132875E-3</c:v>
                </c:pt>
                <c:pt idx="241">
                  <c:v>3.3814612430646583E-3</c:v>
                </c:pt>
                <c:pt idx="242">
                  <c:v>3.3862584736187706E-3</c:v>
                </c:pt>
                <c:pt idx="243">
                  <c:v>3.3878575504701415E-3</c:v>
                </c:pt>
                <c:pt idx="244">
                  <c:v>3.3894566273215123E-3</c:v>
                </c:pt>
                <c:pt idx="245">
                  <c:v>3.3910557041728832E-3</c:v>
                </c:pt>
                <c:pt idx="246">
                  <c:v>3.3926547810242541E-3</c:v>
                </c:pt>
                <c:pt idx="247">
                  <c:v>3.3974520115783663E-3</c:v>
                </c:pt>
                <c:pt idx="248">
                  <c:v>3.3990510884297372E-3</c:v>
                </c:pt>
                <c:pt idx="249">
                  <c:v>3.4006501652811081E-3</c:v>
                </c:pt>
                <c:pt idx="250">
                  <c:v>3.402249242132479E-3</c:v>
                </c:pt>
                <c:pt idx="251">
                  <c:v>3.4038483189838499E-3</c:v>
                </c:pt>
                <c:pt idx="252">
                  <c:v>3.4086455495379621E-3</c:v>
                </c:pt>
                <c:pt idx="253">
                  <c:v>3.410244626389333E-3</c:v>
                </c:pt>
                <c:pt idx="254">
                  <c:v>3.4118437032407039E-3</c:v>
                </c:pt>
                <c:pt idx="255">
                  <c:v>3.4134427800920743E-3</c:v>
                </c:pt>
                <c:pt idx="256">
                  <c:v>3.4150418569434452E-3</c:v>
                </c:pt>
                <c:pt idx="257">
                  <c:v>3.4198390874975578E-3</c:v>
                </c:pt>
                <c:pt idx="258">
                  <c:v>3.4214381643489283E-3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</c:numCache>
            </c:numRef>
          </c:cat>
          <c:val>
            <c:numRef>
              <c:f>'12MSynthDepo_allScenario'!$BH$6:$BH$264</c:f>
              <c:numCache>
                <c:formatCode>0.0000%</c:formatCode>
                <c:ptCount val="259"/>
                <c:pt idx="0">
                  <c:v>2.9025914143730428E-3</c:v>
                </c:pt>
                <c:pt idx="1">
                  <c:v>2.9052742814644878E-3</c:v>
                </c:pt>
                <c:pt idx="2">
                  <c:v>2.9061743356305187E-3</c:v>
                </c:pt>
                <c:pt idx="3">
                  <c:v>2.9070772723643243E-3</c:v>
                </c:pt>
                <c:pt idx="4">
                  <c:v>2.9079830916659043E-3</c:v>
                </c:pt>
                <c:pt idx="5">
                  <c:v>2.908891793535259E-3</c:v>
                </c:pt>
                <c:pt idx="6">
                  <c:v>2.9116351945499704E-3</c:v>
                </c:pt>
                <c:pt idx="7">
                  <c:v>2.9125554266904233E-3</c:v>
                </c:pt>
                <c:pt idx="8">
                  <c:v>2.9134785413986513E-3</c:v>
                </c:pt>
                <c:pt idx="9">
                  <c:v>2.9144045386746537E-3</c:v>
                </c:pt>
                <c:pt idx="10">
                  <c:v>2.9153334185184304E-3</c:v>
                </c:pt>
                <c:pt idx="11">
                  <c:v>2.9181373534564086E-3</c:v>
                </c:pt>
                <c:pt idx="12">
                  <c:v>2.9190777635712838E-3</c:v>
                </c:pt>
                <c:pt idx="13">
                  <c:v>2.9200210562539334E-3</c:v>
                </c:pt>
                <c:pt idx="14">
                  <c:v>2.9209672315043578E-3</c:v>
                </c:pt>
                <c:pt idx="15">
                  <c:v>2.9219162893225573E-3</c:v>
                </c:pt>
                <c:pt idx="16">
                  <c:v>2.9247807581838014E-3</c:v>
                </c:pt>
                <c:pt idx="17">
                  <c:v>2.9257413462730995E-3</c:v>
                </c:pt>
                <c:pt idx="18">
                  <c:v>2.9267048169301711E-3</c:v>
                </c:pt>
                <c:pt idx="19">
                  <c:v>2.9276711701550179E-3</c:v>
                </c:pt>
                <c:pt idx="20">
                  <c:v>2.9286404059476389E-3</c:v>
                </c:pt>
                <c:pt idx="21">
                  <c:v>2.9315654087321502E-3</c:v>
                </c:pt>
                <c:pt idx="22">
                  <c:v>2.9325461747958699E-3</c:v>
                </c:pt>
                <c:pt idx="23">
                  <c:v>2.9335298234273639E-3</c:v>
                </c:pt>
                <c:pt idx="24">
                  <c:v>2.934516354626633E-3</c:v>
                </c:pt>
                <c:pt idx="25">
                  <c:v>2.9355057683936765E-3</c:v>
                </c:pt>
                <c:pt idx="26">
                  <c:v>2.9384913051014542E-3</c:v>
                </c:pt>
                <c:pt idx="27">
                  <c:v>2.9394922491395963E-3</c:v>
                </c:pt>
                <c:pt idx="28">
                  <c:v>2.9404960757455122E-3</c:v>
                </c:pt>
                <c:pt idx="29">
                  <c:v>2.9415027849192033E-3</c:v>
                </c:pt>
                <c:pt idx="30">
                  <c:v>2.9425123766606688E-3</c:v>
                </c:pt>
                <c:pt idx="31">
                  <c:v>2.9455584472917132E-3</c:v>
                </c:pt>
                <c:pt idx="32">
                  <c:v>2.9465795693042773E-3</c:v>
                </c:pt>
                <c:pt idx="33">
                  <c:v>2.9476035738846161E-3</c:v>
                </c:pt>
                <c:pt idx="34">
                  <c:v>2.9486304610327292E-3</c:v>
                </c:pt>
                <c:pt idx="35">
                  <c:v>2.9496602307486166E-3</c:v>
                </c:pt>
                <c:pt idx="36">
                  <c:v>2.9527668353029279E-3</c:v>
                </c:pt>
                <c:pt idx="37">
                  <c:v>2.9538081352899139E-3</c:v>
                </c:pt>
                <c:pt idx="38">
                  <c:v>2.9548523178446746E-3</c:v>
                </c:pt>
                <c:pt idx="39">
                  <c:v>2.9558993829672097E-3</c:v>
                </c:pt>
                <c:pt idx="40">
                  <c:v>2.95694933065752E-3</c:v>
                </c:pt>
                <c:pt idx="41">
                  <c:v>2.9601164691350971E-3</c:v>
                </c:pt>
                <c:pt idx="42">
                  <c:v>2.9611779470965056E-3</c:v>
                </c:pt>
                <c:pt idx="43">
                  <c:v>2.9622423076256887E-3</c:v>
                </c:pt>
                <c:pt idx="44">
                  <c:v>2.9633095507226462E-3</c:v>
                </c:pt>
                <c:pt idx="45">
                  <c:v>2.9643796763873785E-3</c:v>
                </c:pt>
                <c:pt idx="46">
                  <c:v>2.9676073487882224E-3</c:v>
                </c:pt>
                <c:pt idx="47">
                  <c:v>2.9686890047240528E-3</c:v>
                </c:pt>
                <c:pt idx="48">
                  <c:v>2.9697735432276579E-3</c:v>
                </c:pt>
                <c:pt idx="49">
                  <c:v>2.9708609642990378E-3</c:v>
                </c:pt>
                <c:pt idx="50">
                  <c:v>2.9719512679381921E-3</c:v>
                </c:pt>
                <c:pt idx="51">
                  <c:v>2.9752394742623024E-3</c:v>
                </c:pt>
                <c:pt idx="52">
                  <c:v>2.9763413081725556E-3</c:v>
                </c:pt>
                <c:pt idx="53">
                  <c:v>2.9774460246505827E-3</c:v>
                </c:pt>
                <c:pt idx="54">
                  <c:v>2.9785536236963846E-3</c:v>
                </c:pt>
                <c:pt idx="55">
                  <c:v>2.9796641053099608E-3</c:v>
                </c:pt>
                <c:pt idx="56">
                  <c:v>2.9830128455573383E-3</c:v>
                </c:pt>
                <c:pt idx="57">
                  <c:v>2.9841348574420131E-3</c:v>
                </c:pt>
                <c:pt idx="58">
                  <c:v>2.9852597518944621E-3</c:v>
                </c:pt>
                <c:pt idx="59">
                  <c:v>2.9863875289146869E-3</c:v>
                </c:pt>
                <c:pt idx="60">
                  <c:v>2.9909274626733289E-3</c:v>
                </c:pt>
                <c:pt idx="61">
                  <c:v>2.9920696525324261E-3</c:v>
                </c:pt>
                <c:pt idx="62">
                  <c:v>2.9932147249592976E-3</c:v>
                </c:pt>
                <c:pt idx="63">
                  <c:v>2.9943626799539438E-3</c:v>
                </c:pt>
                <c:pt idx="64">
                  <c:v>2.9989833256102751E-3</c:v>
                </c:pt>
                <c:pt idx="65">
                  <c:v>3.0001456934437942E-3</c:v>
                </c:pt>
                <c:pt idx="66">
                  <c:v>3.0013109438450881E-3</c:v>
                </c:pt>
                <c:pt idx="67">
                  <c:v>3.0024790768141568E-3</c:v>
                </c:pt>
                <c:pt idx="68">
                  <c:v>3.0036500923509997E-3</c:v>
                </c:pt>
                <c:pt idx="69">
                  <c:v>3.0071804343681763E-3</c:v>
                </c:pt>
                <c:pt idx="70">
                  <c:v>3.0083629801761179E-3</c:v>
                </c:pt>
                <c:pt idx="71">
                  <c:v>3.0095484085518338E-3</c:v>
                </c:pt>
                <c:pt idx="72">
                  <c:v>3.0107367194953244E-3</c:v>
                </c:pt>
                <c:pt idx="73">
                  <c:v>3.0119279130065898E-3</c:v>
                </c:pt>
                <c:pt idx="74">
                  <c:v>3.0155187889470327E-3</c:v>
                </c:pt>
                <c:pt idx="75">
                  <c:v>3.0167215127293963E-3</c:v>
                </c:pt>
                <c:pt idx="76">
                  <c:v>3.017927119079535E-3</c:v>
                </c:pt>
                <c:pt idx="77">
                  <c:v>3.0191356079974476E-3</c:v>
                </c:pt>
                <c:pt idx="78">
                  <c:v>3.0203469794831349E-3</c:v>
                </c:pt>
                <c:pt idx="79">
                  <c:v>3.0239983893468451E-3</c:v>
                </c:pt>
                <c:pt idx="80">
                  <c:v>3.0252212911036306E-3</c:v>
                </c:pt>
                <c:pt idx="81">
                  <c:v>3.0264470754281909E-3</c:v>
                </c:pt>
                <c:pt idx="82">
                  <c:v>3.0276757423205263E-3</c:v>
                </c:pt>
                <c:pt idx="83">
                  <c:v>3.0289072917806361E-3</c:v>
                </c:pt>
                <c:pt idx="84">
                  <c:v>3.0326192355676121E-3</c:v>
                </c:pt>
                <c:pt idx="85">
                  <c:v>3.0338623152988205E-3</c:v>
                </c:pt>
                <c:pt idx="86">
                  <c:v>3.0351082775978027E-3</c:v>
                </c:pt>
                <c:pt idx="87">
                  <c:v>3.0363571224645597E-3</c:v>
                </c:pt>
                <c:pt idx="88">
                  <c:v>3.0376088498990914E-3</c:v>
                </c:pt>
                <c:pt idx="89">
                  <c:v>3.0413813276093347E-3</c:v>
                </c:pt>
                <c:pt idx="90">
                  <c:v>3.0426445853149646E-3</c:v>
                </c:pt>
                <c:pt idx="91">
                  <c:v>3.0439107255883693E-3</c:v>
                </c:pt>
                <c:pt idx="92">
                  <c:v>3.0451797484295491E-3</c:v>
                </c:pt>
                <c:pt idx="93">
                  <c:v>3.0464516538385028E-3</c:v>
                </c:pt>
                <c:pt idx="94">
                  <c:v>3.0502846654720125E-3</c:v>
                </c:pt>
                <c:pt idx="95">
                  <c:v>3.0515681011520648E-3</c:v>
                </c:pt>
                <c:pt idx="96">
                  <c:v>3.0528544193998918E-3</c:v>
                </c:pt>
                <c:pt idx="97">
                  <c:v>3.0541436202154932E-3</c:v>
                </c:pt>
                <c:pt idx="98">
                  <c:v>3.0554357035988693E-3</c:v>
                </c:pt>
                <c:pt idx="99">
                  <c:v>3.0593292491556453E-3</c:v>
                </c:pt>
                <c:pt idx="100">
                  <c:v>3.06063286281012E-3</c:v>
                </c:pt>
                <c:pt idx="101">
                  <c:v>3.0619393590323694E-3</c:v>
                </c:pt>
                <c:pt idx="102">
                  <c:v>3.0632487378223928E-3</c:v>
                </c:pt>
                <c:pt idx="103">
                  <c:v>3.0645609991801913E-3</c:v>
                </c:pt>
                <c:pt idx="104">
                  <c:v>3.0685150786602341E-3</c:v>
                </c:pt>
                <c:pt idx="105">
                  <c:v>3.0698388702891303E-3</c:v>
                </c:pt>
                <c:pt idx="106">
                  <c:v>3.0711655444858018E-3</c:v>
                </c:pt>
                <c:pt idx="107">
                  <c:v>3.0724951012502475E-3</c:v>
                </c:pt>
                <c:pt idx="108">
                  <c:v>3.0738275405824684E-3</c:v>
                </c:pt>
                <c:pt idx="109">
                  <c:v>3.0778421539857772E-3</c:v>
                </c:pt>
                <c:pt idx="110">
                  <c:v>3.0791861235890962E-3</c:v>
                </c:pt>
                <c:pt idx="111">
                  <c:v>3.0805329757601901E-3</c:v>
                </c:pt>
                <c:pt idx="112">
                  <c:v>3.0818827104990578E-3</c:v>
                </c:pt>
                <c:pt idx="113">
                  <c:v>3.0832353278057007E-3</c:v>
                </c:pt>
                <c:pt idx="114">
                  <c:v>3.0873104751322762E-3</c:v>
                </c:pt>
                <c:pt idx="115">
                  <c:v>3.0886746227100173E-3</c:v>
                </c:pt>
                <c:pt idx="116">
                  <c:v>3.0900416528555331E-3</c:v>
                </c:pt>
                <c:pt idx="117">
                  <c:v>3.0914115655688236E-3</c:v>
                </c:pt>
                <c:pt idx="118">
                  <c:v>3.0927843608498885E-3</c:v>
                </c:pt>
                <c:pt idx="119">
                  <c:v>3.0969200420997304E-3</c:v>
                </c:pt>
                <c:pt idx="120">
                  <c:v>3.0983043676518938E-3</c:v>
                </c:pt>
                <c:pt idx="121">
                  <c:v>3.0996915757718316E-3</c:v>
                </c:pt>
                <c:pt idx="122">
                  <c:v>3.1010816664595441E-3</c:v>
                </c:pt>
                <c:pt idx="123">
                  <c:v>3.1080753584147255E-3</c:v>
                </c:pt>
                <c:pt idx="124">
                  <c:v>3.1094827445090852E-3</c:v>
                </c:pt>
                <c:pt idx="125">
                  <c:v>3.1108930131712202E-3</c:v>
                </c:pt>
                <c:pt idx="126">
                  <c:v>3.1123061644011294E-3</c:v>
                </c:pt>
                <c:pt idx="127">
                  <c:v>3.1165629134975049E-3</c:v>
                </c:pt>
                <c:pt idx="128">
                  <c:v>3.1179875949985123E-3</c:v>
                </c:pt>
                <c:pt idx="129">
                  <c:v>3.1194151590672944E-3</c:v>
                </c:pt>
                <c:pt idx="130">
                  <c:v>3.1208456057038514E-3</c:v>
                </c:pt>
                <c:pt idx="131">
                  <c:v>3.1222789349081826E-3</c:v>
                </c:pt>
                <c:pt idx="132">
                  <c:v>3.1265962179278248E-3</c:v>
                </c:pt>
                <c:pt idx="133">
                  <c:v>3.1280410774032542E-3</c:v>
                </c:pt>
                <c:pt idx="134">
                  <c:v>3.1294888194464592E-3</c:v>
                </c:pt>
                <c:pt idx="135">
                  <c:v>3.1309394440574381E-3</c:v>
                </c:pt>
                <c:pt idx="136">
                  <c:v>3.1323929512361917E-3</c:v>
                </c:pt>
                <c:pt idx="137">
                  <c:v>3.1367707681791003E-3</c:v>
                </c:pt>
                <c:pt idx="138">
                  <c:v>3.1382358056289521E-3</c:v>
                </c:pt>
                <c:pt idx="139">
                  <c:v>3.1397037256465786E-3</c:v>
                </c:pt>
                <c:pt idx="140">
                  <c:v>3.1411745282319795E-3</c:v>
                </c:pt>
                <c:pt idx="141">
                  <c:v>3.142648213385156E-3</c:v>
                </c:pt>
                <c:pt idx="142">
                  <c:v>3.1470865642513304E-3</c:v>
                </c:pt>
                <c:pt idx="143">
                  <c:v>3.1485717796756046E-3</c:v>
                </c:pt>
                <c:pt idx="144">
                  <c:v>3.1500598776676536E-3</c:v>
                </c:pt>
                <c:pt idx="145">
                  <c:v>3.1515508582274769E-3</c:v>
                </c:pt>
                <c:pt idx="146">
                  <c:v>3.1530447213550749E-3</c:v>
                </c:pt>
                <c:pt idx="147">
                  <c:v>3.1575436061445166E-3</c:v>
                </c:pt>
                <c:pt idx="148">
                  <c:v>3.1590489995432128E-3</c:v>
                </c:pt>
                <c:pt idx="149">
                  <c:v>3.1605572755096837E-3</c:v>
                </c:pt>
                <c:pt idx="150">
                  <c:v>3.1620684340439294E-3</c:v>
                </c:pt>
                <c:pt idx="151">
                  <c:v>3.1635824751459498E-3</c:v>
                </c:pt>
                <c:pt idx="152">
                  <c:v>3.1681418938586574E-3</c:v>
                </c:pt>
                <c:pt idx="153">
                  <c:v>3.1696674652317764E-3</c:v>
                </c:pt>
                <c:pt idx="154">
                  <c:v>3.1711959191726693E-3</c:v>
                </c:pt>
                <c:pt idx="155">
                  <c:v>3.172727255681337E-3</c:v>
                </c:pt>
                <c:pt idx="156">
                  <c:v>3.1742614747577794E-3</c:v>
                </c:pt>
                <c:pt idx="157">
                  <c:v>3.1788814273937538E-3</c:v>
                </c:pt>
                <c:pt idx="158">
                  <c:v>3.1804271767412948E-3</c:v>
                </c:pt>
                <c:pt idx="159">
                  <c:v>3.1819758086566101E-3</c:v>
                </c:pt>
                <c:pt idx="160">
                  <c:v>3.1835273231397001E-3</c:v>
                </c:pt>
                <c:pt idx="161">
                  <c:v>3.1850817201905645E-3</c:v>
                </c:pt>
                <c:pt idx="162">
                  <c:v>3.1897622067498057E-3</c:v>
                </c:pt>
                <c:pt idx="163">
                  <c:v>3.1913281340717687E-3</c:v>
                </c:pt>
                <c:pt idx="164">
                  <c:v>3.1928969439615059E-3</c:v>
                </c:pt>
                <c:pt idx="165">
                  <c:v>3.194468636419018E-3</c:v>
                </c:pt>
                <c:pt idx="166">
                  <c:v>3.1960432114443047E-3</c:v>
                </c:pt>
                <c:pt idx="167">
                  <c:v>3.2007842319268127E-3</c:v>
                </c:pt>
                <c:pt idx="168">
                  <c:v>3.2023703372231977E-3</c:v>
                </c:pt>
                <c:pt idx="169">
                  <c:v>3.2039593250873578E-3</c:v>
                </c:pt>
                <c:pt idx="170">
                  <c:v>3.2055511955192918E-3</c:v>
                </c:pt>
                <c:pt idx="171">
                  <c:v>3.2071459485190005E-3</c:v>
                </c:pt>
                <c:pt idx="172">
                  <c:v>3.2119475029247749E-3</c:v>
                </c:pt>
                <c:pt idx="173">
                  <c:v>3.2135537861955822E-3</c:v>
                </c:pt>
                <c:pt idx="174">
                  <c:v>3.2151629520341639E-3</c:v>
                </c:pt>
                <c:pt idx="175">
                  <c:v>3.2167750004405203E-3</c:v>
                </c:pt>
                <c:pt idx="176">
                  <c:v>3.2183899314146519E-3</c:v>
                </c:pt>
                <c:pt idx="177">
                  <c:v>3.2232520197436926E-3</c:v>
                </c:pt>
                <c:pt idx="178">
                  <c:v>3.2248784809889219E-3</c:v>
                </c:pt>
                <c:pt idx="179">
                  <c:v>3.2265078248019264E-3</c:v>
                </c:pt>
                <c:pt idx="180">
                  <c:v>3.2281400511827048E-3</c:v>
                </c:pt>
                <c:pt idx="181">
                  <c:v>3.2297751601312579E-3</c:v>
                </c:pt>
                <c:pt idx="182">
                  <c:v>3.2346977823835654E-3</c:v>
                </c:pt>
                <c:pt idx="183">
                  <c:v>3.2363444216032171E-3</c:v>
                </c:pt>
                <c:pt idx="184">
                  <c:v>3.2379939433906432E-3</c:v>
                </c:pt>
                <c:pt idx="185">
                  <c:v>3.2396463477458444E-3</c:v>
                </c:pt>
                <c:pt idx="186">
                  <c:v>3.2413016346688195E-3</c:v>
                </c:pt>
                <c:pt idx="187">
                  <c:v>3.2462847908443933E-3</c:v>
                </c:pt>
                <c:pt idx="188">
                  <c:v>3.2479516080384675E-3</c:v>
                </c:pt>
                <c:pt idx="189">
                  <c:v>3.2496213078003159E-3</c:v>
                </c:pt>
                <c:pt idx="190">
                  <c:v>3.2512938901299387E-3</c:v>
                </c:pt>
                <c:pt idx="191">
                  <c:v>3.2529693550273362E-3</c:v>
                </c:pt>
                <c:pt idx="192">
                  <c:v>3.2580130451261768E-3</c:v>
                </c:pt>
                <c:pt idx="193">
                  <c:v>3.2597000402946729E-3</c:v>
                </c:pt>
                <c:pt idx="194">
                  <c:v>3.2613899180309438E-3</c:v>
                </c:pt>
                <c:pt idx="195">
                  <c:v>3.2630826783349889E-3</c:v>
                </c:pt>
                <c:pt idx="196">
                  <c:v>3.2647783212068084E-3</c:v>
                </c:pt>
                <c:pt idx="197">
                  <c:v>3.2698825452289158E-3</c:v>
                </c:pt>
                <c:pt idx="198">
                  <c:v>3.2715897183718339E-3</c:v>
                </c:pt>
                <c:pt idx="199">
                  <c:v>3.2732997740825267E-3</c:v>
                </c:pt>
                <c:pt idx="200">
                  <c:v>3.2750127123609939E-3</c:v>
                </c:pt>
                <c:pt idx="201">
                  <c:v>3.2767285332072358E-3</c:v>
                </c:pt>
                <c:pt idx="202">
                  <c:v>3.2818932911526095E-3</c:v>
                </c:pt>
                <c:pt idx="203">
                  <c:v>3.2836206422699496E-3</c:v>
                </c:pt>
                <c:pt idx="204">
                  <c:v>3.2853508759550652E-3</c:v>
                </c:pt>
                <c:pt idx="205">
                  <c:v>3.2870839922079544E-3</c:v>
                </c:pt>
                <c:pt idx="206">
                  <c:v>3.2888199910286187E-3</c:v>
                </c:pt>
                <c:pt idx="207">
                  <c:v>3.2940452828972588E-3</c:v>
                </c:pt>
                <c:pt idx="208">
                  <c:v>3.2957928119890212E-3</c:v>
                </c:pt>
                <c:pt idx="209">
                  <c:v>3.2975432236485584E-3</c:v>
                </c:pt>
                <c:pt idx="210">
                  <c:v>3.29929651787587E-3</c:v>
                </c:pt>
                <c:pt idx="211">
                  <c:v>3.3010526946709567E-3</c:v>
                </c:pt>
                <c:pt idx="212">
                  <c:v>3.3063385204628632E-3</c:v>
                </c:pt>
                <c:pt idx="213">
                  <c:v>3.3081062275290476E-3</c:v>
                </c:pt>
                <c:pt idx="214">
                  <c:v>3.3098768171630076E-3</c:v>
                </c:pt>
                <c:pt idx="215">
                  <c:v>3.3116502893647411E-3</c:v>
                </c:pt>
                <c:pt idx="216">
                  <c:v>3.3134266441342498E-3</c:v>
                </c:pt>
                <c:pt idx="217">
                  <c:v>3.3187730038494231E-3</c:v>
                </c:pt>
                <c:pt idx="218">
                  <c:v>3.3205608888900299E-3</c:v>
                </c:pt>
                <c:pt idx="219">
                  <c:v>3.3223516564984115E-3</c:v>
                </c:pt>
                <c:pt idx="220">
                  <c:v>3.3241453066745678E-3</c:v>
                </c:pt>
                <c:pt idx="221">
                  <c:v>3.3259418394184985E-3</c:v>
                </c:pt>
                <c:pt idx="222">
                  <c:v>3.3313487330569381E-3</c:v>
                </c:pt>
                <c:pt idx="223">
                  <c:v>3.3331567960719673E-3</c:v>
                </c:pt>
                <c:pt idx="224">
                  <c:v>3.3349677416547709E-3</c:v>
                </c:pt>
                <c:pt idx="225">
                  <c:v>3.3367815698053492E-3</c:v>
                </c:pt>
                <c:pt idx="226">
                  <c:v>3.3385982805237023E-3</c:v>
                </c:pt>
                <c:pt idx="227">
                  <c:v>3.3440657080854087E-3</c:v>
                </c:pt>
                <c:pt idx="228">
                  <c:v>3.3458939490748599E-3</c:v>
                </c:pt>
                <c:pt idx="229">
                  <c:v>3.3477250726320859E-3</c:v>
                </c:pt>
                <c:pt idx="230">
                  <c:v>3.3495590787570861E-3</c:v>
                </c:pt>
                <c:pt idx="231">
                  <c:v>3.3513959674498612E-3</c:v>
                </c:pt>
                <c:pt idx="232">
                  <c:v>3.3569239289348344E-3</c:v>
                </c:pt>
                <c:pt idx="233">
                  <c:v>3.3587723478987076E-3</c:v>
                </c:pt>
                <c:pt idx="234">
                  <c:v>3.3606236494303559E-3</c:v>
                </c:pt>
                <c:pt idx="235">
                  <c:v>3.3624778335297782E-3</c:v>
                </c:pt>
                <c:pt idx="236">
                  <c:v>3.3643349001969756E-3</c:v>
                </c:pt>
                <c:pt idx="237">
                  <c:v>3.3699233956052152E-3</c:v>
                </c:pt>
                <c:pt idx="238">
                  <c:v>3.3717919925435108E-3</c:v>
                </c:pt>
                <c:pt idx="239">
                  <c:v>3.3736634720495811E-3</c:v>
                </c:pt>
                <c:pt idx="240">
                  <c:v>3.3755378341234258E-3</c:v>
                </c:pt>
                <c:pt idx="241">
                  <c:v>3.3774150787650452E-3</c:v>
                </c:pt>
                <c:pt idx="242">
                  <c:v>3.3830641080965515E-3</c:v>
                </c:pt>
                <c:pt idx="243">
                  <c:v>3.3849528830092691E-3</c:v>
                </c:pt>
                <c:pt idx="244">
                  <c:v>3.3868445404897614E-3</c:v>
                </c:pt>
                <c:pt idx="245">
                  <c:v>3.3887390805380285E-3</c:v>
                </c:pt>
                <c:pt idx="246">
                  <c:v>3.3906365031540703E-3</c:v>
                </c:pt>
                <c:pt idx="247">
                  <c:v>3.3963460664088426E-3</c:v>
                </c:pt>
                <c:pt idx="248">
                  <c:v>3.3982550192959825E-3</c:v>
                </c:pt>
                <c:pt idx="249">
                  <c:v>3.4001668547508977E-3</c:v>
                </c:pt>
                <c:pt idx="250">
                  <c:v>3.4020815727735867E-3</c:v>
                </c:pt>
                <c:pt idx="251">
                  <c:v>3.4039991733640505E-3</c:v>
                </c:pt>
                <c:pt idx="252">
                  <c:v>3.4097692705420896E-3</c:v>
                </c:pt>
                <c:pt idx="253">
                  <c:v>3.4116984014036515E-3</c:v>
                </c:pt>
                <c:pt idx="254">
                  <c:v>3.4136304148329882E-3</c:v>
                </c:pt>
                <c:pt idx="255">
                  <c:v>3.4155653108301001E-3</c:v>
                </c:pt>
                <c:pt idx="256">
                  <c:v>3.4175030893949859E-3</c:v>
                </c:pt>
                <c:pt idx="257">
                  <c:v>3.4233337204962913E-3</c:v>
                </c:pt>
                <c:pt idx="258">
                  <c:v>3.4252830293322761E-3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5664472"/>
        <c:axId val="995665256"/>
      </c:lineChart>
      <c:dateAx>
        <c:axId val="99566447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995665256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995665256"/>
        <c:scaling>
          <c:orientation val="minMax"/>
          <c:max val="3.1000000000000008E-3"/>
          <c:min val="2.5000000000000005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9956644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36684293225888576"/>
          <c:h val="0.368966188745347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Exact Fit (Continuous</a:t>
            </a:r>
            <a:r>
              <a:rPr lang="en-US" baseline="0"/>
              <a:t> Basis Approx)</a:t>
            </a:r>
            <a:endParaRPr lang="en-US"/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</c:numCache>
            </c:numRef>
          </c:cat>
          <c:val>
            <c:numRef>
              <c:f>'12MSynthDepo_allScenario'!$BI$6:$BI$264</c:f>
              <c:numCache>
                <c:formatCode>0.0000%</c:formatCode>
                <c:ptCount val="259"/>
                <c:pt idx="0">
                  <c:v>2.8540462449865335E-3</c:v>
                </c:pt>
                <c:pt idx="1">
                  <c:v>2.8585678828759635E-3</c:v>
                </c:pt>
                <c:pt idx="2">
                  <c:v>2.8600750955057735E-3</c:v>
                </c:pt>
                <c:pt idx="3">
                  <c:v>2.8615823081355836E-3</c:v>
                </c:pt>
                <c:pt idx="4">
                  <c:v>2.8630895207653936E-3</c:v>
                </c:pt>
                <c:pt idx="5">
                  <c:v>2.8645967333952036E-3</c:v>
                </c:pt>
                <c:pt idx="6">
                  <c:v>2.8691183712846336E-3</c:v>
                </c:pt>
                <c:pt idx="7">
                  <c:v>2.8706255839144436E-3</c:v>
                </c:pt>
                <c:pt idx="8">
                  <c:v>2.8721327965442532E-3</c:v>
                </c:pt>
                <c:pt idx="9">
                  <c:v>2.8736400091740632E-3</c:v>
                </c:pt>
                <c:pt idx="10">
                  <c:v>2.8751472218038732E-3</c:v>
                </c:pt>
                <c:pt idx="11">
                  <c:v>2.8796688596933032E-3</c:v>
                </c:pt>
                <c:pt idx="12">
                  <c:v>2.8811760723231133E-3</c:v>
                </c:pt>
                <c:pt idx="13">
                  <c:v>2.8826832849529233E-3</c:v>
                </c:pt>
                <c:pt idx="14">
                  <c:v>2.8841904975827333E-3</c:v>
                </c:pt>
                <c:pt idx="15">
                  <c:v>2.8856977102125433E-3</c:v>
                </c:pt>
                <c:pt idx="16">
                  <c:v>2.8902193481019733E-3</c:v>
                </c:pt>
                <c:pt idx="17">
                  <c:v>2.8917265607317833E-3</c:v>
                </c:pt>
                <c:pt idx="18">
                  <c:v>2.8932337733615933E-3</c:v>
                </c:pt>
                <c:pt idx="19">
                  <c:v>2.8947409859914034E-3</c:v>
                </c:pt>
                <c:pt idx="20">
                  <c:v>2.8962481986212134E-3</c:v>
                </c:pt>
                <c:pt idx="21">
                  <c:v>2.9007698365106434E-3</c:v>
                </c:pt>
                <c:pt idx="22">
                  <c:v>2.9022770491404534E-3</c:v>
                </c:pt>
                <c:pt idx="23">
                  <c:v>2.9037842617702634E-3</c:v>
                </c:pt>
                <c:pt idx="24">
                  <c:v>2.905291474400073E-3</c:v>
                </c:pt>
                <c:pt idx="25">
                  <c:v>2.906798687029883E-3</c:v>
                </c:pt>
                <c:pt idx="26">
                  <c:v>2.911320324919313E-3</c:v>
                </c:pt>
                <c:pt idx="27">
                  <c:v>2.912827537549123E-3</c:v>
                </c:pt>
                <c:pt idx="28">
                  <c:v>2.9143347501789331E-3</c:v>
                </c:pt>
                <c:pt idx="29">
                  <c:v>2.9158419628087431E-3</c:v>
                </c:pt>
                <c:pt idx="30">
                  <c:v>2.9173491754385531E-3</c:v>
                </c:pt>
                <c:pt idx="31">
                  <c:v>2.9218708133279831E-3</c:v>
                </c:pt>
                <c:pt idx="32">
                  <c:v>2.9233780259577931E-3</c:v>
                </c:pt>
                <c:pt idx="33">
                  <c:v>2.9248852385876031E-3</c:v>
                </c:pt>
                <c:pt idx="34">
                  <c:v>2.9263924512174131E-3</c:v>
                </c:pt>
                <c:pt idx="35">
                  <c:v>2.9278996638472232E-3</c:v>
                </c:pt>
                <c:pt idx="36">
                  <c:v>2.9324213017366532E-3</c:v>
                </c:pt>
                <c:pt idx="37">
                  <c:v>2.9339285143664632E-3</c:v>
                </c:pt>
                <c:pt idx="38">
                  <c:v>2.9354357269962732E-3</c:v>
                </c:pt>
                <c:pt idx="39">
                  <c:v>2.9369429396260832E-3</c:v>
                </c:pt>
                <c:pt idx="40">
                  <c:v>2.9384501522558932E-3</c:v>
                </c:pt>
                <c:pt idx="41">
                  <c:v>2.9429717901453228E-3</c:v>
                </c:pt>
                <c:pt idx="42">
                  <c:v>2.9444790027751328E-3</c:v>
                </c:pt>
                <c:pt idx="43">
                  <c:v>2.9459862154049428E-3</c:v>
                </c:pt>
                <c:pt idx="44">
                  <c:v>2.9474934280347529E-3</c:v>
                </c:pt>
                <c:pt idx="45">
                  <c:v>2.9490006406645629E-3</c:v>
                </c:pt>
                <c:pt idx="46">
                  <c:v>2.9535222785539929E-3</c:v>
                </c:pt>
                <c:pt idx="47">
                  <c:v>2.9550294911838029E-3</c:v>
                </c:pt>
                <c:pt idx="48">
                  <c:v>2.9565367038136129E-3</c:v>
                </c:pt>
                <c:pt idx="49">
                  <c:v>2.9580439164434229E-3</c:v>
                </c:pt>
                <c:pt idx="50">
                  <c:v>2.9595511290732329E-3</c:v>
                </c:pt>
                <c:pt idx="51">
                  <c:v>2.964072766962663E-3</c:v>
                </c:pt>
                <c:pt idx="52">
                  <c:v>2.965579979592473E-3</c:v>
                </c:pt>
                <c:pt idx="53">
                  <c:v>2.967087192222283E-3</c:v>
                </c:pt>
                <c:pt idx="54">
                  <c:v>2.968594404852093E-3</c:v>
                </c:pt>
                <c:pt idx="55">
                  <c:v>2.970101617481903E-3</c:v>
                </c:pt>
                <c:pt idx="56">
                  <c:v>2.9746232553713326E-3</c:v>
                </c:pt>
                <c:pt idx="57">
                  <c:v>2.9761304680011426E-3</c:v>
                </c:pt>
                <c:pt idx="58">
                  <c:v>2.9776376806309526E-3</c:v>
                </c:pt>
                <c:pt idx="59">
                  <c:v>2.9791448932607626E-3</c:v>
                </c:pt>
                <c:pt idx="60">
                  <c:v>2.9851737437800027E-3</c:v>
                </c:pt>
                <c:pt idx="61">
                  <c:v>2.9866809564098127E-3</c:v>
                </c:pt>
                <c:pt idx="62">
                  <c:v>2.9881881690396227E-3</c:v>
                </c:pt>
                <c:pt idx="63">
                  <c:v>2.9896953816694327E-3</c:v>
                </c:pt>
                <c:pt idx="64">
                  <c:v>2.9957242321886728E-3</c:v>
                </c:pt>
                <c:pt idx="65">
                  <c:v>2.9972314448184828E-3</c:v>
                </c:pt>
                <c:pt idx="66">
                  <c:v>2.9987386574482928E-3</c:v>
                </c:pt>
                <c:pt idx="67">
                  <c:v>3.0002458700781028E-3</c:v>
                </c:pt>
                <c:pt idx="68">
                  <c:v>3.0017530827079128E-3</c:v>
                </c:pt>
                <c:pt idx="69">
                  <c:v>3.0062747205973428E-3</c:v>
                </c:pt>
                <c:pt idx="70">
                  <c:v>3.0077819332271524E-3</c:v>
                </c:pt>
                <c:pt idx="71">
                  <c:v>3.0092891458569624E-3</c:v>
                </c:pt>
                <c:pt idx="72">
                  <c:v>3.0107963584867724E-3</c:v>
                </c:pt>
                <c:pt idx="73">
                  <c:v>3.0123035711165824E-3</c:v>
                </c:pt>
                <c:pt idx="74">
                  <c:v>3.0168252090060125E-3</c:v>
                </c:pt>
                <c:pt idx="75">
                  <c:v>3.0183324216358225E-3</c:v>
                </c:pt>
                <c:pt idx="76">
                  <c:v>3.0198396342656325E-3</c:v>
                </c:pt>
                <c:pt idx="77">
                  <c:v>3.0213468468954425E-3</c:v>
                </c:pt>
                <c:pt idx="78">
                  <c:v>3.0228540595252525E-3</c:v>
                </c:pt>
                <c:pt idx="79">
                  <c:v>3.0273756974146825E-3</c:v>
                </c:pt>
                <c:pt idx="80">
                  <c:v>3.0288829100444926E-3</c:v>
                </c:pt>
                <c:pt idx="81">
                  <c:v>3.0303901226743026E-3</c:v>
                </c:pt>
                <c:pt idx="82">
                  <c:v>3.0318973353041126E-3</c:v>
                </c:pt>
                <c:pt idx="83">
                  <c:v>3.0334045479339226E-3</c:v>
                </c:pt>
                <c:pt idx="84">
                  <c:v>3.0379261858233526E-3</c:v>
                </c:pt>
                <c:pt idx="85">
                  <c:v>3.0394333984531626E-3</c:v>
                </c:pt>
                <c:pt idx="86">
                  <c:v>3.0409406110829722E-3</c:v>
                </c:pt>
                <c:pt idx="87">
                  <c:v>3.0424478237127822E-3</c:v>
                </c:pt>
                <c:pt idx="88">
                  <c:v>3.0439550363425922E-3</c:v>
                </c:pt>
                <c:pt idx="89">
                  <c:v>3.0484766742320223E-3</c:v>
                </c:pt>
                <c:pt idx="90">
                  <c:v>3.0499838868618323E-3</c:v>
                </c:pt>
                <c:pt idx="91">
                  <c:v>3.0514910994916423E-3</c:v>
                </c:pt>
                <c:pt idx="92">
                  <c:v>3.0529983121214523E-3</c:v>
                </c:pt>
                <c:pt idx="93">
                  <c:v>3.0545055247512623E-3</c:v>
                </c:pt>
                <c:pt idx="94">
                  <c:v>3.0590271626406923E-3</c:v>
                </c:pt>
                <c:pt idx="95">
                  <c:v>3.0605343752705023E-3</c:v>
                </c:pt>
                <c:pt idx="96">
                  <c:v>3.0620415879003124E-3</c:v>
                </c:pt>
                <c:pt idx="97">
                  <c:v>3.0635488005301224E-3</c:v>
                </c:pt>
                <c:pt idx="98">
                  <c:v>3.0650560131599324E-3</c:v>
                </c:pt>
                <c:pt idx="99">
                  <c:v>3.0695776510493624E-3</c:v>
                </c:pt>
                <c:pt idx="100">
                  <c:v>3.0710848636791724E-3</c:v>
                </c:pt>
                <c:pt idx="101">
                  <c:v>3.0725920763089824E-3</c:v>
                </c:pt>
                <c:pt idx="102">
                  <c:v>3.0740992889387924E-3</c:v>
                </c:pt>
                <c:pt idx="103">
                  <c:v>3.075606501568602E-3</c:v>
                </c:pt>
                <c:pt idx="104">
                  <c:v>3.080128139458032E-3</c:v>
                </c:pt>
                <c:pt idx="105">
                  <c:v>3.0816353520878421E-3</c:v>
                </c:pt>
                <c:pt idx="106">
                  <c:v>3.0831425647176521E-3</c:v>
                </c:pt>
                <c:pt idx="107">
                  <c:v>3.0846497773474621E-3</c:v>
                </c:pt>
                <c:pt idx="108">
                  <c:v>3.0861569899772721E-3</c:v>
                </c:pt>
                <c:pt idx="109">
                  <c:v>3.0906786278667021E-3</c:v>
                </c:pt>
                <c:pt idx="110">
                  <c:v>3.0921858404965121E-3</c:v>
                </c:pt>
                <c:pt idx="111">
                  <c:v>3.0936930531263221E-3</c:v>
                </c:pt>
                <c:pt idx="112">
                  <c:v>3.0952002657561322E-3</c:v>
                </c:pt>
                <c:pt idx="113">
                  <c:v>3.0967074783859422E-3</c:v>
                </c:pt>
                <c:pt idx="114">
                  <c:v>3.1012291162753722E-3</c:v>
                </c:pt>
                <c:pt idx="115">
                  <c:v>3.1027363289051822E-3</c:v>
                </c:pt>
                <c:pt idx="116">
                  <c:v>3.1042435415349922E-3</c:v>
                </c:pt>
                <c:pt idx="117">
                  <c:v>3.1057507541648022E-3</c:v>
                </c:pt>
                <c:pt idx="118">
                  <c:v>3.1072579667946118E-3</c:v>
                </c:pt>
                <c:pt idx="119">
                  <c:v>3.1117796046840418E-3</c:v>
                </c:pt>
                <c:pt idx="120">
                  <c:v>3.1132868173138518E-3</c:v>
                </c:pt>
                <c:pt idx="121">
                  <c:v>3.1147940299436619E-3</c:v>
                </c:pt>
                <c:pt idx="122">
                  <c:v>3.1163012425734719E-3</c:v>
                </c:pt>
                <c:pt idx="123">
                  <c:v>3.1238373057225219E-3</c:v>
                </c:pt>
                <c:pt idx="124">
                  <c:v>3.1253445183523319E-3</c:v>
                </c:pt>
                <c:pt idx="125">
                  <c:v>3.1268517309821419E-3</c:v>
                </c:pt>
                <c:pt idx="126">
                  <c:v>3.128358943611952E-3</c:v>
                </c:pt>
                <c:pt idx="127">
                  <c:v>3.132880581501382E-3</c:v>
                </c:pt>
                <c:pt idx="128">
                  <c:v>3.134387794131192E-3</c:v>
                </c:pt>
                <c:pt idx="129">
                  <c:v>3.135895006761002E-3</c:v>
                </c:pt>
                <c:pt idx="130">
                  <c:v>3.137402219390812E-3</c:v>
                </c:pt>
                <c:pt idx="131">
                  <c:v>3.138909432020622E-3</c:v>
                </c:pt>
                <c:pt idx="132">
                  <c:v>3.1434310699100521E-3</c:v>
                </c:pt>
                <c:pt idx="133">
                  <c:v>3.1449382825398616E-3</c:v>
                </c:pt>
                <c:pt idx="134">
                  <c:v>3.1464454951696716E-3</c:v>
                </c:pt>
                <c:pt idx="135">
                  <c:v>3.1479527077994817E-3</c:v>
                </c:pt>
                <c:pt idx="136">
                  <c:v>3.1494599204292917E-3</c:v>
                </c:pt>
                <c:pt idx="137">
                  <c:v>3.1539815583187217E-3</c:v>
                </c:pt>
                <c:pt idx="138">
                  <c:v>3.1554887709485317E-3</c:v>
                </c:pt>
                <c:pt idx="139">
                  <c:v>3.1569959835783417E-3</c:v>
                </c:pt>
                <c:pt idx="140">
                  <c:v>3.1585031962081517E-3</c:v>
                </c:pt>
                <c:pt idx="141">
                  <c:v>3.1600104088379617E-3</c:v>
                </c:pt>
                <c:pt idx="142">
                  <c:v>3.1645320467273918E-3</c:v>
                </c:pt>
                <c:pt idx="143">
                  <c:v>3.1660392593572018E-3</c:v>
                </c:pt>
                <c:pt idx="144">
                  <c:v>3.1675464719870118E-3</c:v>
                </c:pt>
                <c:pt idx="145">
                  <c:v>3.1690536846168218E-3</c:v>
                </c:pt>
                <c:pt idx="146">
                  <c:v>3.1705608972466318E-3</c:v>
                </c:pt>
                <c:pt idx="147">
                  <c:v>3.1750825351360614E-3</c:v>
                </c:pt>
                <c:pt idx="148">
                  <c:v>3.1765897477658714E-3</c:v>
                </c:pt>
                <c:pt idx="149">
                  <c:v>3.1780969603956814E-3</c:v>
                </c:pt>
                <c:pt idx="150">
                  <c:v>3.1796041730254914E-3</c:v>
                </c:pt>
                <c:pt idx="151">
                  <c:v>3.1811113856553015E-3</c:v>
                </c:pt>
                <c:pt idx="152">
                  <c:v>3.1856330235447315E-3</c:v>
                </c:pt>
                <c:pt idx="153">
                  <c:v>3.1871402361745415E-3</c:v>
                </c:pt>
                <c:pt idx="154">
                  <c:v>3.1886474488043515E-3</c:v>
                </c:pt>
                <c:pt idx="155">
                  <c:v>3.1901546614341615E-3</c:v>
                </c:pt>
                <c:pt idx="156">
                  <c:v>3.1916618740639715E-3</c:v>
                </c:pt>
                <c:pt idx="157">
                  <c:v>3.1961835119534016E-3</c:v>
                </c:pt>
                <c:pt idx="158">
                  <c:v>3.1976907245832116E-3</c:v>
                </c:pt>
                <c:pt idx="159">
                  <c:v>3.1991979372130216E-3</c:v>
                </c:pt>
                <c:pt idx="160">
                  <c:v>3.2007051498428316E-3</c:v>
                </c:pt>
                <c:pt idx="161">
                  <c:v>3.2022123624726416E-3</c:v>
                </c:pt>
                <c:pt idx="162">
                  <c:v>3.2067340003620716E-3</c:v>
                </c:pt>
                <c:pt idx="163">
                  <c:v>3.2082412129918816E-3</c:v>
                </c:pt>
                <c:pt idx="164">
                  <c:v>3.2097484256216917E-3</c:v>
                </c:pt>
                <c:pt idx="165">
                  <c:v>3.2112556382515017E-3</c:v>
                </c:pt>
                <c:pt idx="166">
                  <c:v>3.2127628508813112E-3</c:v>
                </c:pt>
                <c:pt idx="167">
                  <c:v>3.2172844887707413E-3</c:v>
                </c:pt>
                <c:pt idx="168">
                  <c:v>3.2187917014005513E-3</c:v>
                </c:pt>
                <c:pt idx="169">
                  <c:v>3.2202989140303613E-3</c:v>
                </c:pt>
                <c:pt idx="170">
                  <c:v>3.2218061266601713E-3</c:v>
                </c:pt>
                <c:pt idx="171">
                  <c:v>3.2233133392899813E-3</c:v>
                </c:pt>
                <c:pt idx="172">
                  <c:v>3.2278349771794113E-3</c:v>
                </c:pt>
                <c:pt idx="173">
                  <c:v>3.2293421898092214E-3</c:v>
                </c:pt>
                <c:pt idx="174">
                  <c:v>3.2308494024390314E-3</c:v>
                </c:pt>
                <c:pt idx="175">
                  <c:v>3.2323566150688414E-3</c:v>
                </c:pt>
                <c:pt idx="176">
                  <c:v>3.2338638276986514E-3</c:v>
                </c:pt>
                <c:pt idx="177">
                  <c:v>3.2383854655880814E-3</c:v>
                </c:pt>
                <c:pt idx="178">
                  <c:v>3.2398926782178914E-3</c:v>
                </c:pt>
                <c:pt idx="179">
                  <c:v>3.2413998908477014E-3</c:v>
                </c:pt>
                <c:pt idx="180">
                  <c:v>3.242907103477511E-3</c:v>
                </c:pt>
                <c:pt idx="181">
                  <c:v>3.244414316107321E-3</c:v>
                </c:pt>
                <c:pt idx="182">
                  <c:v>3.2489359539967511E-3</c:v>
                </c:pt>
                <c:pt idx="183">
                  <c:v>3.2504431666265611E-3</c:v>
                </c:pt>
                <c:pt idx="184">
                  <c:v>3.2519503792563711E-3</c:v>
                </c:pt>
                <c:pt idx="185">
                  <c:v>3.2534575918861811E-3</c:v>
                </c:pt>
                <c:pt idx="186">
                  <c:v>3.2549648045159911E-3</c:v>
                </c:pt>
                <c:pt idx="187">
                  <c:v>3.2594864424054211E-3</c:v>
                </c:pt>
                <c:pt idx="188">
                  <c:v>3.2609936550352311E-3</c:v>
                </c:pt>
                <c:pt idx="189">
                  <c:v>3.2625008676650412E-3</c:v>
                </c:pt>
                <c:pt idx="190">
                  <c:v>3.2640080802948512E-3</c:v>
                </c:pt>
                <c:pt idx="191">
                  <c:v>3.2655152929246612E-3</c:v>
                </c:pt>
                <c:pt idx="192">
                  <c:v>3.2700369308140912E-3</c:v>
                </c:pt>
                <c:pt idx="193">
                  <c:v>3.2715441434439012E-3</c:v>
                </c:pt>
                <c:pt idx="194">
                  <c:v>3.2730513560737112E-3</c:v>
                </c:pt>
                <c:pt idx="195">
                  <c:v>3.2745585687035212E-3</c:v>
                </c:pt>
                <c:pt idx="196">
                  <c:v>3.2760657813333312E-3</c:v>
                </c:pt>
                <c:pt idx="197">
                  <c:v>3.2805874192227608E-3</c:v>
                </c:pt>
                <c:pt idx="198">
                  <c:v>3.2820946318525709E-3</c:v>
                </c:pt>
                <c:pt idx="199">
                  <c:v>3.2836018444823809E-3</c:v>
                </c:pt>
                <c:pt idx="200">
                  <c:v>3.2851090571121909E-3</c:v>
                </c:pt>
                <c:pt idx="201">
                  <c:v>3.2866162697420009E-3</c:v>
                </c:pt>
                <c:pt idx="202">
                  <c:v>3.2911379076314309E-3</c:v>
                </c:pt>
                <c:pt idx="203">
                  <c:v>3.2926451202612409E-3</c:v>
                </c:pt>
                <c:pt idx="204">
                  <c:v>3.2941523328910509E-3</c:v>
                </c:pt>
                <c:pt idx="205">
                  <c:v>3.295659545520861E-3</c:v>
                </c:pt>
                <c:pt idx="206">
                  <c:v>3.297166758150671E-3</c:v>
                </c:pt>
                <c:pt idx="207">
                  <c:v>3.301688396040101E-3</c:v>
                </c:pt>
                <c:pt idx="208">
                  <c:v>3.303195608669911E-3</c:v>
                </c:pt>
                <c:pt idx="209">
                  <c:v>3.304702821299721E-3</c:v>
                </c:pt>
                <c:pt idx="210">
                  <c:v>3.306210033929531E-3</c:v>
                </c:pt>
                <c:pt idx="211">
                  <c:v>3.307717246559341E-3</c:v>
                </c:pt>
                <c:pt idx="212">
                  <c:v>3.3122388844487706E-3</c:v>
                </c:pt>
                <c:pt idx="213">
                  <c:v>3.3137460970785806E-3</c:v>
                </c:pt>
                <c:pt idx="214">
                  <c:v>3.3152533097083907E-3</c:v>
                </c:pt>
                <c:pt idx="215">
                  <c:v>3.3167605223382007E-3</c:v>
                </c:pt>
                <c:pt idx="216">
                  <c:v>3.3182677349680107E-3</c:v>
                </c:pt>
                <c:pt idx="217">
                  <c:v>3.3227893728574407E-3</c:v>
                </c:pt>
                <c:pt idx="218">
                  <c:v>3.3242965854872507E-3</c:v>
                </c:pt>
                <c:pt idx="219">
                  <c:v>3.3258037981170607E-3</c:v>
                </c:pt>
                <c:pt idx="220">
                  <c:v>3.3273110107468707E-3</c:v>
                </c:pt>
                <c:pt idx="221">
                  <c:v>3.3288182233766807E-3</c:v>
                </c:pt>
                <c:pt idx="222">
                  <c:v>3.3333398612661108E-3</c:v>
                </c:pt>
                <c:pt idx="223">
                  <c:v>3.3348470738959208E-3</c:v>
                </c:pt>
                <c:pt idx="224">
                  <c:v>3.3363542865257308E-3</c:v>
                </c:pt>
                <c:pt idx="225">
                  <c:v>3.3378614991555408E-3</c:v>
                </c:pt>
                <c:pt idx="226">
                  <c:v>3.3393687117853508E-3</c:v>
                </c:pt>
                <c:pt idx="227">
                  <c:v>3.3438903496747809E-3</c:v>
                </c:pt>
                <c:pt idx="228">
                  <c:v>3.3453975623045909E-3</c:v>
                </c:pt>
                <c:pt idx="229">
                  <c:v>3.3469047749344009E-3</c:v>
                </c:pt>
                <c:pt idx="230">
                  <c:v>3.3484119875642109E-3</c:v>
                </c:pt>
                <c:pt idx="231">
                  <c:v>3.3499192001940205E-3</c:v>
                </c:pt>
                <c:pt idx="232">
                  <c:v>3.3544408380834505E-3</c:v>
                </c:pt>
                <c:pt idx="233">
                  <c:v>3.3559480507132605E-3</c:v>
                </c:pt>
                <c:pt idx="234">
                  <c:v>3.3574552633430705E-3</c:v>
                </c:pt>
                <c:pt idx="235">
                  <c:v>3.3589624759728805E-3</c:v>
                </c:pt>
                <c:pt idx="236">
                  <c:v>3.3604696886026905E-3</c:v>
                </c:pt>
                <c:pt idx="237">
                  <c:v>3.3649913264921206E-3</c:v>
                </c:pt>
                <c:pt idx="238">
                  <c:v>3.3664985391219306E-3</c:v>
                </c:pt>
                <c:pt idx="239">
                  <c:v>3.3680057517517406E-3</c:v>
                </c:pt>
                <c:pt idx="240">
                  <c:v>3.3695129643815506E-3</c:v>
                </c:pt>
                <c:pt idx="241">
                  <c:v>3.3710201770113606E-3</c:v>
                </c:pt>
                <c:pt idx="242">
                  <c:v>3.3755418149007906E-3</c:v>
                </c:pt>
                <c:pt idx="243">
                  <c:v>3.3770490275306002E-3</c:v>
                </c:pt>
                <c:pt idx="244">
                  <c:v>3.3785562401604102E-3</c:v>
                </c:pt>
                <c:pt idx="245">
                  <c:v>3.3800634527902202E-3</c:v>
                </c:pt>
                <c:pt idx="246">
                  <c:v>3.3815706654200303E-3</c:v>
                </c:pt>
                <c:pt idx="247">
                  <c:v>3.3860923033094603E-3</c:v>
                </c:pt>
                <c:pt idx="248">
                  <c:v>3.3875995159392703E-3</c:v>
                </c:pt>
                <c:pt idx="249">
                  <c:v>3.3891067285690803E-3</c:v>
                </c:pt>
                <c:pt idx="250">
                  <c:v>3.3906139411988903E-3</c:v>
                </c:pt>
                <c:pt idx="251">
                  <c:v>3.3921211538287003E-3</c:v>
                </c:pt>
                <c:pt idx="252">
                  <c:v>3.3966427917181304E-3</c:v>
                </c:pt>
                <c:pt idx="253">
                  <c:v>3.3981500043479404E-3</c:v>
                </c:pt>
                <c:pt idx="254">
                  <c:v>3.3996572169777504E-3</c:v>
                </c:pt>
                <c:pt idx="255">
                  <c:v>3.4011644296075604E-3</c:v>
                </c:pt>
                <c:pt idx="256">
                  <c:v>3.4026716422373704E-3</c:v>
                </c:pt>
                <c:pt idx="257">
                  <c:v>3.4071932801268004E-3</c:v>
                </c:pt>
                <c:pt idx="258">
                  <c:v>3.4087004927566104E-3</c:v>
                </c:pt>
              </c:numCache>
            </c:numRef>
          </c:val>
          <c:smooth val="0"/>
        </c:ser>
        <c:ser>
          <c:idx val="1"/>
          <c:order val="1"/>
          <c:spPr>
            <a:ln>
              <a:prstDash val="sysDash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</c:numCache>
            </c:numRef>
          </c:cat>
          <c:val>
            <c:numRef>
              <c:f>'12MSynthDepo_allScenario'!$BJ$6:$BJ$264</c:f>
              <c:numCache>
                <c:formatCode>0.0000%</c:formatCode>
                <c:ptCount val="259"/>
                <c:pt idx="0">
                  <c:v>2.8812246416337201E-3</c:v>
                </c:pt>
                <c:pt idx="1">
                  <c:v>2.8845900176782189E-3</c:v>
                </c:pt>
                <c:pt idx="2">
                  <c:v>2.8857157375737955E-3</c:v>
                </c:pt>
                <c:pt idx="3">
                  <c:v>2.886843421409744E-3</c:v>
                </c:pt>
                <c:pt idx="4">
                  <c:v>2.8879730691860638E-3</c:v>
                </c:pt>
                <c:pt idx="5">
                  <c:v>2.8891046809027552E-3</c:v>
                </c:pt>
                <c:pt idx="6">
                  <c:v>2.8925112996950613E-3</c:v>
                </c:pt>
                <c:pt idx="7">
                  <c:v>2.8936507671732401E-3</c:v>
                </c:pt>
                <c:pt idx="8">
                  <c:v>2.8947921985917903E-3</c:v>
                </c:pt>
                <c:pt idx="9">
                  <c:v>2.8959355939507125E-3</c:v>
                </c:pt>
                <c:pt idx="10">
                  <c:v>2.8970809532500069E-3</c:v>
                </c:pt>
                <c:pt idx="11">
                  <c:v>2.9005288147901194E-3</c:v>
                </c:pt>
                <c:pt idx="12">
                  <c:v>2.9016820298509E-3</c:v>
                </c:pt>
                <c:pt idx="13">
                  <c:v>2.9028372088520525E-3</c:v>
                </c:pt>
                <c:pt idx="14">
                  <c:v>2.9039943517935774E-3</c:v>
                </c:pt>
                <c:pt idx="15">
                  <c:v>2.9051534586754736E-3</c:v>
                </c:pt>
                <c:pt idx="16">
                  <c:v>2.9086425629633928E-3</c:v>
                </c:pt>
                <c:pt idx="17">
                  <c:v>2.9098095256067757E-3</c:v>
                </c:pt>
                <c:pt idx="18">
                  <c:v>2.9109784521905309E-3</c:v>
                </c:pt>
                <c:pt idx="19">
                  <c:v>2.9121493427146576E-3</c:v>
                </c:pt>
                <c:pt idx="20">
                  <c:v>2.9133221971791561E-3</c:v>
                </c:pt>
                <c:pt idx="21">
                  <c:v>2.9168525442148817E-3</c:v>
                </c:pt>
                <c:pt idx="22">
                  <c:v>2.9180332544408677E-3</c:v>
                </c:pt>
                <c:pt idx="23">
                  <c:v>2.9192159286072247E-3</c:v>
                </c:pt>
                <c:pt idx="24">
                  <c:v>2.9204005667139536E-3</c:v>
                </c:pt>
                <c:pt idx="25">
                  <c:v>2.9215871687610544E-3</c:v>
                </c:pt>
                <c:pt idx="26">
                  <c:v>2.9251587585445871E-3</c:v>
                </c:pt>
                <c:pt idx="27">
                  <c:v>2.9263532163531746E-3</c:v>
                </c:pt>
                <c:pt idx="28">
                  <c:v>2.9275496381021338E-3</c:v>
                </c:pt>
                <c:pt idx="29">
                  <c:v>2.9287480237914654E-3</c:v>
                </c:pt>
                <c:pt idx="30">
                  <c:v>2.9299483734211685E-3</c:v>
                </c:pt>
                <c:pt idx="31">
                  <c:v>2.933561205952508E-3</c:v>
                </c:pt>
                <c:pt idx="32">
                  <c:v>2.9347694113436977E-3</c:v>
                </c:pt>
                <c:pt idx="33">
                  <c:v>2.9359795806752596E-3</c:v>
                </c:pt>
                <c:pt idx="34">
                  <c:v>2.9371917139471931E-3</c:v>
                </c:pt>
                <c:pt idx="35">
                  <c:v>2.9384058111594979E-3</c:v>
                </c:pt>
                <c:pt idx="36">
                  <c:v>2.9420598864386442E-3</c:v>
                </c:pt>
                <c:pt idx="37">
                  <c:v>2.9432818394124365E-3</c:v>
                </c:pt>
                <c:pt idx="38">
                  <c:v>2.9445057563266003E-3</c:v>
                </c:pt>
                <c:pt idx="39">
                  <c:v>2.945731637181136E-3</c:v>
                </c:pt>
                <c:pt idx="40">
                  <c:v>2.9469594819760436E-3</c:v>
                </c:pt>
                <c:pt idx="41">
                  <c:v>2.9506548000029966E-3</c:v>
                </c:pt>
                <c:pt idx="42">
                  <c:v>2.9518905005593908E-3</c:v>
                </c:pt>
                <c:pt idx="43">
                  <c:v>2.9531281650561569E-3</c:v>
                </c:pt>
                <c:pt idx="44">
                  <c:v>2.9543677934932952E-3</c:v>
                </c:pt>
                <c:pt idx="45">
                  <c:v>2.9556093858708046E-3</c:v>
                </c:pt>
                <c:pt idx="46">
                  <c:v>2.9593459466455644E-3</c:v>
                </c:pt>
                <c:pt idx="47">
                  <c:v>2.9605953947845608E-3</c:v>
                </c:pt>
                <c:pt idx="48">
                  <c:v>2.9618468068639296E-3</c:v>
                </c:pt>
                <c:pt idx="49">
                  <c:v>2.9631001828836698E-3</c:v>
                </c:pt>
                <c:pt idx="50">
                  <c:v>2.9643555228437814E-3</c:v>
                </c:pt>
                <c:pt idx="51">
                  <c:v>2.9681333263663475E-3</c:v>
                </c:pt>
                <c:pt idx="52">
                  <c:v>2.9693965220879471E-3</c:v>
                </c:pt>
                <c:pt idx="53">
                  <c:v>2.9706616817499177E-3</c:v>
                </c:pt>
                <c:pt idx="54">
                  <c:v>2.9719288053522597E-3</c:v>
                </c:pt>
                <c:pt idx="55">
                  <c:v>2.9731978928949744E-3</c:v>
                </c:pt>
                <c:pt idx="56">
                  <c:v>2.9770169391653474E-3</c:v>
                </c:pt>
                <c:pt idx="57">
                  <c:v>2.9782938824695483E-3</c:v>
                </c:pt>
                <c:pt idx="58">
                  <c:v>2.9795727897141211E-3</c:v>
                </c:pt>
                <c:pt idx="59">
                  <c:v>2.9808536608990663E-3</c:v>
                </c:pt>
                <c:pt idx="60">
                  <c:v>2.9859967850425621E-3</c:v>
                </c:pt>
                <c:pt idx="61">
                  <c:v>2.9872874759293657E-3</c:v>
                </c:pt>
                <c:pt idx="62">
                  <c:v>2.9885801307565408E-3</c:v>
                </c:pt>
                <c:pt idx="63">
                  <c:v>2.9898747495240878E-3</c:v>
                </c:pt>
                <c:pt idx="64">
                  <c:v>2.995072863997993E-3</c:v>
                </c:pt>
                <c:pt idx="65">
                  <c:v>2.9963773024673989E-3</c:v>
                </c:pt>
                <c:pt idx="66">
                  <c:v>2.9976837048771763E-3</c:v>
                </c:pt>
                <c:pt idx="67">
                  <c:v>2.9989920712273251E-3</c:v>
                </c:pt>
                <c:pt idx="68">
                  <c:v>3.0003024015178461E-3</c:v>
                </c:pt>
                <c:pt idx="69">
                  <c:v>3.0042451760316398E-3</c:v>
                </c:pt>
                <c:pt idx="70">
                  <c:v>3.0055633620836475E-3</c:v>
                </c:pt>
                <c:pt idx="71">
                  <c:v>3.0068835120760267E-3</c:v>
                </c:pt>
                <c:pt idx="72">
                  <c:v>3.0082056260087786E-3</c:v>
                </c:pt>
                <c:pt idx="73">
                  <c:v>3.0095297038819015E-3</c:v>
                </c:pt>
                <c:pt idx="74">
                  <c:v>3.0135137211435015E-3</c:v>
                </c:pt>
                <c:pt idx="75">
                  <c:v>3.0148456547781114E-3</c:v>
                </c:pt>
                <c:pt idx="76">
                  <c:v>3.0161795523530937E-3</c:v>
                </c:pt>
                <c:pt idx="77">
                  <c:v>3.0175154138684475E-3</c:v>
                </c:pt>
                <c:pt idx="78">
                  <c:v>3.0188532393241726E-3</c:v>
                </c:pt>
                <c:pt idx="79">
                  <c:v>3.0228784993335794E-3</c:v>
                </c:pt>
                <c:pt idx="80">
                  <c:v>3.024224180550792E-3</c:v>
                </c:pt>
                <c:pt idx="81">
                  <c:v>3.0255718257083761E-3</c:v>
                </c:pt>
                <c:pt idx="82">
                  <c:v>3.0269214348063317E-3</c:v>
                </c:pt>
                <c:pt idx="83">
                  <c:v>3.02827300784466E-3</c:v>
                </c:pt>
                <c:pt idx="84">
                  <c:v>3.0323395106018731E-3</c:v>
                </c:pt>
                <c:pt idx="85">
                  <c:v>3.0336989394016876E-3</c:v>
                </c:pt>
                <c:pt idx="86">
                  <c:v>3.0350603321418739E-3</c:v>
                </c:pt>
                <c:pt idx="87">
                  <c:v>3.0364236888224326E-3</c:v>
                </c:pt>
                <c:pt idx="88">
                  <c:v>3.0377890094433623E-3</c:v>
                </c:pt>
                <c:pt idx="89">
                  <c:v>3.0418967549483826E-3</c:v>
                </c:pt>
                <c:pt idx="90">
                  <c:v>3.0432699313307993E-3</c:v>
                </c:pt>
                <c:pt idx="91">
                  <c:v>3.0446450716535879E-3</c:v>
                </c:pt>
                <c:pt idx="92">
                  <c:v>3.0460221759167484E-3</c:v>
                </c:pt>
                <c:pt idx="93">
                  <c:v>3.0474012441202803E-3</c:v>
                </c:pt>
                <c:pt idx="94">
                  <c:v>3.0515502323731074E-3</c:v>
                </c:pt>
                <c:pt idx="95">
                  <c:v>3.0529371563381268E-3</c:v>
                </c:pt>
                <c:pt idx="96">
                  <c:v>3.0543260442435173E-3</c:v>
                </c:pt>
                <c:pt idx="97">
                  <c:v>3.05571689608928E-3</c:v>
                </c:pt>
                <c:pt idx="98">
                  <c:v>3.0571097118754146E-3</c:v>
                </c:pt>
                <c:pt idx="99">
                  <c:v>3.0612999428760485E-3</c:v>
                </c:pt>
                <c:pt idx="100">
                  <c:v>3.0627006144236697E-3</c:v>
                </c:pt>
                <c:pt idx="101">
                  <c:v>3.0641032499116624E-3</c:v>
                </c:pt>
                <c:pt idx="102">
                  <c:v>3.0655078493400279E-3</c:v>
                </c:pt>
                <c:pt idx="103">
                  <c:v>3.0669144127087643E-3</c:v>
                </c:pt>
                <c:pt idx="104">
                  <c:v>3.0711458864572045E-3</c:v>
                </c:pt>
                <c:pt idx="105">
                  <c:v>3.072560305587428E-3</c:v>
                </c:pt>
                <c:pt idx="106">
                  <c:v>3.0739766886580238E-3</c:v>
                </c:pt>
                <c:pt idx="107">
                  <c:v>3.0753950356689906E-3</c:v>
                </c:pt>
                <c:pt idx="108">
                  <c:v>3.0768153466203293E-3</c:v>
                </c:pt>
                <c:pt idx="109">
                  <c:v>3.0810880631165767E-3</c:v>
                </c:pt>
                <c:pt idx="110">
                  <c:v>3.0825162298294029E-3</c:v>
                </c:pt>
                <c:pt idx="111">
                  <c:v>3.0839463604826005E-3</c:v>
                </c:pt>
                <c:pt idx="112">
                  <c:v>3.0853784550761696E-3</c:v>
                </c:pt>
                <c:pt idx="113">
                  <c:v>3.086812513610111E-3</c:v>
                </c:pt>
                <c:pt idx="114">
                  <c:v>3.0911264728541647E-3</c:v>
                </c:pt>
                <c:pt idx="115">
                  <c:v>3.0925683871495927E-3</c:v>
                </c:pt>
                <c:pt idx="116">
                  <c:v>3.0940122653853926E-3</c:v>
                </c:pt>
                <c:pt idx="117">
                  <c:v>3.0954581075615644E-3</c:v>
                </c:pt>
                <c:pt idx="118">
                  <c:v>3.0969059136781076E-3</c:v>
                </c:pt>
                <c:pt idx="119">
                  <c:v>3.1012611156699685E-3</c:v>
                </c:pt>
                <c:pt idx="120">
                  <c:v>3.1027167775479984E-3</c:v>
                </c:pt>
                <c:pt idx="121">
                  <c:v>3.104174403366401E-3</c:v>
                </c:pt>
                <c:pt idx="122">
                  <c:v>3.1056339931251746E-3</c:v>
                </c:pt>
                <c:pt idx="123">
                  <c:v>3.1129614010246202E-3</c:v>
                </c:pt>
                <c:pt idx="124">
                  <c:v>3.1144327744256246E-3</c:v>
                </c:pt>
                <c:pt idx="125">
                  <c:v>3.1159061117670005E-3</c:v>
                </c:pt>
                <c:pt idx="126">
                  <c:v>3.1173814130487486E-3</c:v>
                </c:pt>
                <c:pt idx="127">
                  <c:v>3.1218191005362226E-3</c:v>
                </c:pt>
                <c:pt idx="128">
                  <c:v>3.1233022575794574E-3</c:v>
                </c:pt>
                <c:pt idx="129">
                  <c:v>3.1247873785630641E-3</c:v>
                </c:pt>
                <c:pt idx="130">
                  <c:v>3.1262744634870426E-3</c:v>
                </c:pt>
                <c:pt idx="131">
                  <c:v>3.1277635123513926E-3</c:v>
                </c:pt>
                <c:pt idx="132">
                  <c:v>3.1322424425866734E-3</c:v>
                </c:pt>
                <c:pt idx="133">
                  <c:v>3.1337393472125104E-3</c:v>
                </c:pt>
                <c:pt idx="134">
                  <c:v>3.1352382157787194E-3</c:v>
                </c:pt>
                <c:pt idx="135">
                  <c:v>3.1367390482853002E-3</c:v>
                </c:pt>
                <c:pt idx="136">
                  <c:v>3.1382418447322524E-3</c:v>
                </c:pt>
                <c:pt idx="137">
                  <c:v>3.1427620177153399E-3</c:v>
                </c:pt>
                <c:pt idx="138">
                  <c:v>3.1442726699237793E-3</c:v>
                </c:pt>
                <c:pt idx="139">
                  <c:v>3.1457852860725904E-3</c:v>
                </c:pt>
                <c:pt idx="140">
                  <c:v>3.1472998661617731E-3</c:v>
                </c:pt>
                <c:pt idx="141">
                  <c:v>3.148816410191328E-3</c:v>
                </c:pt>
                <c:pt idx="142">
                  <c:v>3.1533778259222223E-3</c:v>
                </c:pt>
                <c:pt idx="143">
                  <c:v>3.1549022257132638E-3</c:v>
                </c:pt>
                <c:pt idx="144">
                  <c:v>3.1564285894446768E-3</c:v>
                </c:pt>
                <c:pt idx="145">
                  <c:v>3.1579569171164622E-3</c:v>
                </c:pt>
                <c:pt idx="146">
                  <c:v>3.1594872087286189E-3</c:v>
                </c:pt>
                <c:pt idx="147">
                  <c:v>3.16408986720732E-3</c:v>
                </c:pt>
                <c:pt idx="148">
                  <c:v>3.1656280145809638E-3</c:v>
                </c:pt>
                <c:pt idx="149">
                  <c:v>3.1671681258949795E-3</c:v>
                </c:pt>
                <c:pt idx="150">
                  <c:v>3.1687102011493666E-3</c:v>
                </c:pt>
                <c:pt idx="151">
                  <c:v>3.1702542403441256E-3</c:v>
                </c:pt>
                <c:pt idx="152">
                  <c:v>3.1748981415706335E-3</c:v>
                </c:pt>
                <c:pt idx="153">
                  <c:v>3.17645003652688E-3</c:v>
                </c:pt>
                <c:pt idx="154">
                  <c:v>3.1780038954234975E-3</c:v>
                </c:pt>
                <c:pt idx="155">
                  <c:v>3.1795597182604869E-3</c:v>
                </c:pt>
                <c:pt idx="156">
                  <c:v>3.1811175050378486E-3</c:v>
                </c:pt>
                <c:pt idx="157">
                  <c:v>3.1858026490121632E-3</c:v>
                </c:pt>
                <c:pt idx="158">
                  <c:v>3.1873682915510111E-3</c:v>
                </c:pt>
                <c:pt idx="159">
                  <c:v>3.1889358980302313E-3</c:v>
                </c:pt>
                <c:pt idx="160">
                  <c:v>3.1905054684498234E-3</c:v>
                </c:pt>
                <c:pt idx="161">
                  <c:v>3.1920770028097869E-3</c:v>
                </c:pt>
                <c:pt idx="162">
                  <c:v>3.1968033895319078E-3</c:v>
                </c:pt>
                <c:pt idx="163">
                  <c:v>3.1983827796533584E-3</c:v>
                </c:pt>
                <c:pt idx="164">
                  <c:v>3.1999641337151809E-3</c:v>
                </c:pt>
                <c:pt idx="165">
                  <c:v>3.2015474517173748E-3</c:v>
                </c:pt>
                <c:pt idx="166">
                  <c:v>3.2031327336599406E-3</c:v>
                </c:pt>
                <c:pt idx="167">
                  <c:v>3.2079003631298687E-3</c:v>
                </c:pt>
                <c:pt idx="168">
                  <c:v>3.2094935008339215E-3</c:v>
                </c:pt>
                <c:pt idx="169">
                  <c:v>3.2110886024783463E-3</c:v>
                </c:pt>
                <c:pt idx="170">
                  <c:v>3.2126856680631424E-3</c:v>
                </c:pt>
                <c:pt idx="171">
                  <c:v>3.2142846975883104E-3</c:v>
                </c:pt>
                <c:pt idx="172">
                  <c:v>3.2190935698060454E-3</c:v>
                </c:pt>
                <c:pt idx="173">
                  <c:v>3.2207004550927E-3</c:v>
                </c:pt>
                <c:pt idx="174">
                  <c:v>3.222309304319727E-3</c:v>
                </c:pt>
                <c:pt idx="175">
                  <c:v>3.2239201174871258E-3</c:v>
                </c:pt>
                <c:pt idx="176">
                  <c:v>3.2255328945948961E-3</c:v>
                </c:pt>
                <c:pt idx="177">
                  <c:v>3.2303830095604374E-3</c:v>
                </c:pt>
                <c:pt idx="178">
                  <c:v>3.2320036424296943E-3</c:v>
                </c:pt>
                <c:pt idx="179">
                  <c:v>3.233626239239324E-3</c:v>
                </c:pt>
                <c:pt idx="180">
                  <c:v>3.2352507999893246E-3</c:v>
                </c:pt>
                <c:pt idx="181">
                  <c:v>3.2368773246796967E-3</c:v>
                </c:pt>
                <c:pt idx="182">
                  <c:v>3.2417686823930452E-3</c:v>
                </c:pt>
                <c:pt idx="183">
                  <c:v>3.2434030628449048E-3</c:v>
                </c:pt>
                <c:pt idx="184">
                  <c:v>3.2450394072371363E-3</c:v>
                </c:pt>
                <c:pt idx="185">
                  <c:v>3.2466777155697392E-3</c:v>
                </c:pt>
                <c:pt idx="186">
                  <c:v>3.248317987842714E-3</c:v>
                </c:pt>
                <c:pt idx="187">
                  <c:v>3.2532505883038692E-3</c:v>
                </c:pt>
                <c:pt idx="188">
                  <c:v>3.2548987163383307E-3</c:v>
                </c:pt>
                <c:pt idx="189">
                  <c:v>3.256548808313164E-3</c:v>
                </c:pt>
                <c:pt idx="190">
                  <c:v>3.2582008642283696E-3</c:v>
                </c:pt>
                <c:pt idx="191">
                  <c:v>3.2598548840839466E-3</c:v>
                </c:pt>
                <c:pt idx="192">
                  <c:v>3.2648287272929082E-3</c:v>
                </c:pt>
                <c:pt idx="193">
                  <c:v>3.2664906029099723E-3</c:v>
                </c:pt>
                <c:pt idx="194">
                  <c:v>3.2681544424674083E-3</c:v>
                </c:pt>
                <c:pt idx="195">
                  <c:v>3.2698202459652157E-3</c:v>
                </c:pt>
                <c:pt idx="196">
                  <c:v>3.2714880134033946E-3</c:v>
                </c:pt>
                <c:pt idx="197">
                  <c:v>3.2765030993601629E-3</c:v>
                </c:pt>
                <c:pt idx="198">
                  <c:v>3.2781787225598298E-3</c:v>
                </c:pt>
                <c:pt idx="199">
                  <c:v>3.2798563096998676E-3</c:v>
                </c:pt>
                <c:pt idx="200">
                  <c:v>3.2815358607802773E-3</c:v>
                </c:pt>
                <c:pt idx="201">
                  <c:v>3.2832173758010588E-3</c:v>
                </c:pt>
                <c:pt idx="202">
                  <c:v>3.2882737045056339E-3</c:v>
                </c:pt>
                <c:pt idx="203">
                  <c:v>3.2899630752879026E-3</c:v>
                </c:pt>
                <c:pt idx="204">
                  <c:v>3.2916544100105426E-3</c:v>
                </c:pt>
                <c:pt idx="205">
                  <c:v>3.293347708673555E-3</c:v>
                </c:pt>
                <c:pt idx="206">
                  <c:v>3.2950429712769384E-3</c:v>
                </c:pt>
                <c:pt idx="207">
                  <c:v>3.3001405427293203E-3</c:v>
                </c:pt>
                <c:pt idx="208">
                  <c:v>3.3018436610941912E-3</c:v>
                </c:pt>
                <c:pt idx="209">
                  <c:v>3.3035487433994339E-3</c:v>
                </c:pt>
                <c:pt idx="210">
                  <c:v>3.3052557896450481E-3</c:v>
                </c:pt>
                <c:pt idx="211">
                  <c:v>3.3069647998310338E-3</c:v>
                </c:pt>
                <c:pt idx="212">
                  <c:v>3.3121036140312224E-3</c:v>
                </c:pt>
                <c:pt idx="213">
                  <c:v>3.313820479978696E-3</c:v>
                </c:pt>
                <c:pt idx="214">
                  <c:v>3.3155393098665406E-3</c:v>
                </c:pt>
                <c:pt idx="215">
                  <c:v>3.3172601036947566E-3</c:v>
                </c:pt>
                <c:pt idx="216">
                  <c:v>3.3189828614633454E-3</c:v>
                </c:pt>
                <c:pt idx="217">
                  <c:v>3.3241629184113408E-3</c:v>
                </c:pt>
                <c:pt idx="218">
                  <c:v>3.3258935319414157E-3</c:v>
                </c:pt>
                <c:pt idx="219">
                  <c:v>3.3276261094118626E-3</c:v>
                </c:pt>
                <c:pt idx="220">
                  <c:v>3.3293606508226817E-3</c:v>
                </c:pt>
                <c:pt idx="221">
                  <c:v>3.3310971561738723E-3</c:v>
                </c:pt>
                <c:pt idx="222">
                  <c:v>3.3363184558696741E-3</c:v>
                </c:pt>
                <c:pt idx="223">
                  <c:v>3.3380628169823517E-3</c:v>
                </c:pt>
                <c:pt idx="224">
                  <c:v>3.3398091420354012E-3</c:v>
                </c:pt>
                <c:pt idx="225">
                  <c:v>3.3415574310288218E-3</c:v>
                </c:pt>
                <c:pt idx="226">
                  <c:v>3.3433076839626146E-3</c:v>
                </c:pt>
                <c:pt idx="227">
                  <c:v>3.3485702264062231E-3</c:v>
                </c:pt>
                <c:pt idx="228">
                  <c:v>3.3503283351015035E-3</c:v>
                </c:pt>
                <c:pt idx="229">
                  <c:v>3.3520884077371548E-3</c:v>
                </c:pt>
                <c:pt idx="230">
                  <c:v>3.3538504443131781E-3</c:v>
                </c:pt>
                <c:pt idx="231">
                  <c:v>3.3556144448295732E-3</c:v>
                </c:pt>
                <c:pt idx="232">
                  <c:v>3.3609182300209889E-3</c:v>
                </c:pt>
                <c:pt idx="233">
                  <c:v>3.3626900862988706E-3</c:v>
                </c:pt>
                <c:pt idx="234">
                  <c:v>3.3644639065171242E-3</c:v>
                </c:pt>
                <c:pt idx="235">
                  <c:v>3.3662396906757501E-3</c:v>
                </c:pt>
                <c:pt idx="236">
                  <c:v>3.3680174387747471E-3</c:v>
                </c:pt>
                <c:pt idx="237">
                  <c:v>3.3733624667139691E-3</c:v>
                </c:pt>
                <c:pt idx="238">
                  <c:v>3.3751480705744535E-3</c:v>
                </c:pt>
                <c:pt idx="239">
                  <c:v>3.3769356383753098E-3</c:v>
                </c:pt>
                <c:pt idx="240">
                  <c:v>3.3787251701165371E-3</c:v>
                </c:pt>
                <c:pt idx="241">
                  <c:v>3.3805166657981368E-3</c:v>
                </c:pt>
                <c:pt idx="242">
                  <c:v>3.3859029364851656E-3</c:v>
                </c:pt>
                <c:pt idx="243">
                  <c:v>3.3877022879282522E-3</c:v>
                </c:pt>
                <c:pt idx="244">
                  <c:v>3.3895036033117104E-3</c:v>
                </c:pt>
                <c:pt idx="245">
                  <c:v>3.3913068826355404E-3</c:v>
                </c:pt>
                <c:pt idx="246">
                  <c:v>3.3931121258997422E-3</c:v>
                </c:pt>
                <c:pt idx="247">
                  <c:v>3.3985396393345782E-3</c:v>
                </c:pt>
                <c:pt idx="248">
                  <c:v>3.4003527383602667E-3</c:v>
                </c:pt>
                <c:pt idx="249">
                  <c:v>3.4021678013263271E-3</c:v>
                </c:pt>
                <c:pt idx="250">
                  <c:v>3.4039848282327594E-3</c:v>
                </c:pt>
                <c:pt idx="251">
                  <c:v>3.4058038190795635E-3</c:v>
                </c:pt>
                <c:pt idx="252">
                  <c:v>3.4112725752622058E-3</c:v>
                </c:pt>
                <c:pt idx="253">
                  <c:v>3.4130994218704966E-3</c:v>
                </c:pt>
                <c:pt idx="254">
                  <c:v>3.4149282324191597E-3</c:v>
                </c:pt>
                <c:pt idx="255">
                  <c:v>3.4167590069081942E-3</c:v>
                </c:pt>
                <c:pt idx="256">
                  <c:v>3.4185917453376001E-3</c:v>
                </c:pt>
                <c:pt idx="257">
                  <c:v>3.4241017442680492E-3</c:v>
                </c:pt>
                <c:pt idx="258">
                  <c:v>3.4259423384589427E-3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</c:numCache>
            </c:numRef>
          </c:cat>
          <c:val>
            <c:numRef>
              <c:f>'12MSynthDepo_allScenario'!$BK$6:$BK$264</c:f>
              <c:numCache>
                <c:formatCode>0.0000%</c:formatCode>
                <c:ptCount val="259"/>
                <c:pt idx="0">
                  <c:v>2.8339771461403946E-3</c:v>
                </c:pt>
                <c:pt idx="1">
                  <c:v>2.8387801265370135E-3</c:v>
                </c:pt>
                <c:pt idx="2">
                  <c:v>2.8403811200025529E-3</c:v>
                </c:pt>
                <c:pt idx="3">
                  <c:v>2.8419821134680924E-3</c:v>
                </c:pt>
                <c:pt idx="4">
                  <c:v>2.8435831069336323E-3</c:v>
                </c:pt>
                <c:pt idx="5">
                  <c:v>2.8451841003991718E-3</c:v>
                </c:pt>
                <c:pt idx="6">
                  <c:v>2.8499870807957906E-3</c:v>
                </c:pt>
                <c:pt idx="7">
                  <c:v>2.8515880742613301E-3</c:v>
                </c:pt>
                <c:pt idx="8">
                  <c:v>2.8531890677268696E-3</c:v>
                </c:pt>
                <c:pt idx="9">
                  <c:v>2.8547900611924095E-3</c:v>
                </c:pt>
                <c:pt idx="10">
                  <c:v>2.856391054657949E-3</c:v>
                </c:pt>
                <c:pt idx="11">
                  <c:v>2.8611940350545678E-3</c:v>
                </c:pt>
                <c:pt idx="12">
                  <c:v>2.8627950285201073E-3</c:v>
                </c:pt>
                <c:pt idx="13">
                  <c:v>2.8643960219856468E-3</c:v>
                </c:pt>
                <c:pt idx="14">
                  <c:v>2.8659970154511867E-3</c:v>
                </c:pt>
                <c:pt idx="15">
                  <c:v>2.8675980089167261E-3</c:v>
                </c:pt>
                <c:pt idx="16">
                  <c:v>2.872400989313345E-3</c:v>
                </c:pt>
                <c:pt idx="17">
                  <c:v>2.8740019827788845E-3</c:v>
                </c:pt>
                <c:pt idx="18">
                  <c:v>2.8756029762444244E-3</c:v>
                </c:pt>
                <c:pt idx="19">
                  <c:v>2.8772039697099639E-3</c:v>
                </c:pt>
                <c:pt idx="20">
                  <c:v>2.8788049631755033E-3</c:v>
                </c:pt>
                <c:pt idx="21">
                  <c:v>2.8836079435721222E-3</c:v>
                </c:pt>
                <c:pt idx="22">
                  <c:v>2.8852089370376617E-3</c:v>
                </c:pt>
                <c:pt idx="23">
                  <c:v>2.8868099305032016E-3</c:v>
                </c:pt>
                <c:pt idx="24">
                  <c:v>2.888410923968741E-3</c:v>
                </c:pt>
                <c:pt idx="25">
                  <c:v>2.8900119174342805E-3</c:v>
                </c:pt>
                <c:pt idx="26">
                  <c:v>2.8948148978308994E-3</c:v>
                </c:pt>
                <c:pt idx="27">
                  <c:v>2.8964158912964388E-3</c:v>
                </c:pt>
                <c:pt idx="28">
                  <c:v>2.8980168847619787E-3</c:v>
                </c:pt>
                <c:pt idx="29">
                  <c:v>2.8996178782275182E-3</c:v>
                </c:pt>
                <c:pt idx="30">
                  <c:v>2.9012188716930577E-3</c:v>
                </c:pt>
                <c:pt idx="31">
                  <c:v>2.9060218520896765E-3</c:v>
                </c:pt>
                <c:pt idx="32">
                  <c:v>2.907622845555216E-3</c:v>
                </c:pt>
                <c:pt idx="33">
                  <c:v>2.9092238390207559E-3</c:v>
                </c:pt>
                <c:pt idx="34">
                  <c:v>2.9108248324862954E-3</c:v>
                </c:pt>
                <c:pt idx="35">
                  <c:v>2.9124258259518349E-3</c:v>
                </c:pt>
                <c:pt idx="36">
                  <c:v>2.9172288063484537E-3</c:v>
                </c:pt>
                <c:pt idx="37">
                  <c:v>2.9188297998139932E-3</c:v>
                </c:pt>
                <c:pt idx="38">
                  <c:v>2.9204307932795331E-3</c:v>
                </c:pt>
                <c:pt idx="39">
                  <c:v>2.9220317867450726E-3</c:v>
                </c:pt>
                <c:pt idx="40">
                  <c:v>2.9236327802106121E-3</c:v>
                </c:pt>
                <c:pt idx="41">
                  <c:v>2.9284357606072309E-3</c:v>
                </c:pt>
                <c:pt idx="42">
                  <c:v>2.9300367540727704E-3</c:v>
                </c:pt>
                <c:pt idx="43">
                  <c:v>2.9316377475383103E-3</c:v>
                </c:pt>
                <c:pt idx="44">
                  <c:v>2.9332387410038498E-3</c:v>
                </c:pt>
                <c:pt idx="45">
                  <c:v>2.9348397344693892E-3</c:v>
                </c:pt>
                <c:pt idx="46">
                  <c:v>2.9396427148660081E-3</c:v>
                </c:pt>
                <c:pt idx="47">
                  <c:v>2.9412437083315476E-3</c:v>
                </c:pt>
                <c:pt idx="48">
                  <c:v>2.9428447017970875E-3</c:v>
                </c:pt>
                <c:pt idx="49">
                  <c:v>2.9444456952626269E-3</c:v>
                </c:pt>
                <c:pt idx="50">
                  <c:v>2.9460466887281664E-3</c:v>
                </c:pt>
                <c:pt idx="51">
                  <c:v>2.9508496691247853E-3</c:v>
                </c:pt>
                <c:pt idx="52">
                  <c:v>2.9524506625903247E-3</c:v>
                </c:pt>
                <c:pt idx="53">
                  <c:v>2.9540516560558647E-3</c:v>
                </c:pt>
                <c:pt idx="54">
                  <c:v>2.9556526495214041E-3</c:v>
                </c:pt>
                <c:pt idx="55">
                  <c:v>2.9572536429869436E-3</c:v>
                </c:pt>
                <c:pt idx="56">
                  <c:v>2.9620566233835625E-3</c:v>
                </c:pt>
                <c:pt idx="57">
                  <c:v>2.9636576168491019E-3</c:v>
                </c:pt>
                <c:pt idx="58">
                  <c:v>2.9652586103146418E-3</c:v>
                </c:pt>
                <c:pt idx="59">
                  <c:v>2.9668596037801813E-3</c:v>
                </c:pt>
                <c:pt idx="60">
                  <c:v>2.9732635776423396E-3</c:v>
                </c:pt>
                <c:pt idx="61">
                  <c:v>2.9748645711078791E-3</c:v>
                </c:pt>
                <c:pt idx="62">
                  <c:v>2.976465564573419E-3</c:v>
                </c:pt>
                <c:pt idx="63">
                  <c:v>2.9780665580389585E-3</c:v>
                </c:pt>
                <c:pt idx="64">
                  <c:v>2.9844705319011168E-3</c:v>
                </c:pt>
                <c:pt idx="65">
                  <c:v>2.9860715253666563E-3</c:v>
                </c:pt>
                <c:pt idx="66">
                  <c:v>2.9876725188321962E-3</c:v>
                </c:pt>
                <c:pt idx="67">
                  <c:v>2.9892735122977357E-3</c:v>
                </c:pt>
                <c:pt idx="68">
                  <c:v>2.9908745057632751E-3</c:v>
                </c:pt>
                <c:pt idx="69">
                  <c:v>2.995677486159894E-3</c:v>
                </c:pt>
                <c:pt idx="70">
                  <c:v>2.9972784796254335E-3</c:v>
                </c:pt>
                <c:pt idx="71">
                  <c:v>2.9988794730909734E-3</c:v>
                </c:pt>
                <c:pt idx="72">
                  <c:v>3.0004804665565129E-3</c:v>
                </c:pt>
                <c:pt idx="73">
                  <c:v>3.0020814600220523E-3</c:v>
                </c:pt>
                <c:pt idx="74">
                  <c:v>3.0068844404186712E-3</c:v>
                </c:pt>
                <c:pt idx="75">
                  <c:v>3.0084854338842107E-3</c:v>
                </c:pt>
                <c:pt idx="76">
                  <c:v>3.0100864273497506E-3</c:v>
                </c:pt>
                <c:pt idx="77">
                  <c:v>3.01168742081529E-3</c:v>
                </c:pt>
                <c:pt idx="78">
                  <c:v>3.0132884142808295E-3</c:v>
                </c:pt>
                <c:pt idx="79">
                  <c:v>3.0180913946774484E-3</c:v>
                </c:pt>
                <c:pt idx="80">
                  <c:v>3.0196923881429883E-3</c:v>
                </c:pt>
                <c:pt idx="81">
                  <c:v>3.0212933816085277E-3</c:v>
                </c:pt>
                <c:pt idx="82">
                  <c:v>3.0228943750740672E-3</c:v>
                </c:pt>
                <c:pt idx="83">
                  <c:v>3.0244953685396067E-3</c:v>
                </c:pt>
                <c:pt idx="84">
                  <c:v>3.0292983489362255E-3</c:v>
                </c:pt>
                <c:pt idx="85">
                  <c:v>3.0308993424017655E-3</c:v>
                </c:pt>
                <c:pt idx="86">
                  <c:v>3.0325003358673049E-3</c:v>
                </c:pt>
                <c:pt idx="87">
                  <c:v>3.0341013293328444E-3</c:v>
                </c:pt>
                <c:pt idx="88">
                  <c:v>3.0357023227983839E-3</c:v>
                </c:pt>
                <c:pt idx="89">
                  <c:v>3.0405053031950027E-3</c:v>
                </c:pt>
                <c:pt idx="90">
                  <c:v>3.0421062966605426E-3</c:v>
                </c:pt>
                <c:pt idx="91">
                  <c:v>3.0437072901260821E-3</c:v>
                </c:pt>
                <c:pt idx="92">
                  <c:v>3.0453082835916216E-3</c:v>
                </c:pt>
                <c:pt idx="93">
                  <c:v>3.0469092770571611E-3</c:v>
                </c:pt>
                <c:pt idx="94">
                  <c:v>3.0517122574537799E-3</c:v>
                </c:pt>
                <c:pt idx="95">
                  <c:v>3.0533132509193198E-3</c:v>
                </c:pt>
                <c:pt idx="96">
                  <c:v>3.0549142443848593E-3</c:v>
                </c:pt>
                <c:pt idx="97">
                  <c:v>3.0565152378503988E-3</c:v>
                </c:pt>
                <c:pt idx="98">
                  <c:v>3.0581162313159382E-3</c:v>
                </c:pt>
                <c:pt idx="99">
                  <c:v>3.0629192117125571E-3</c:v>
                </c:pt>
                <c:pt idx="100">
                  <c:v>3.064520205178097E-3</c:v>
                </c:pt>
                <c:pt idx="101">
                  <c:v>3.0661211986436365E-3</c:v>
                </c:pt>
                <c:pt idx="102">
                  <c:v>3.0677221921091759E-3</c:v>
                </c:pt>
                <c:pt idx="103">
                  <c:v>3.0693231855747154E-3</c:v>
                </c:pt>
                <c:pt idx="104">
                  <c:v>3.0741261659713343E-3</c:v>
                </c:pt>
                <c:pt idx="105">
                  <c:v>3.0757271594368742E-3</c:v>
                </c:pt>
                <c:pt idx="106">
                  <c:v>3.0773281529024137E-3</c:v>
                </c:pt>
                <c:pt idx="107">
                  <c:v>3.0789291463679531E-3</c:v>
                </c:pt>
                <c:pt idx="108">
                  <c:v>3.0805301398334926E-3</c:v>
                </c:pt>
                <c:pt idx="109">
                  <c:v>3.0853331202301115E-3</c:v>
                </c:pt>
                <c:pt idx="110">
                  <c:v>3.0869341136956514E-3</c:v>
                </c:pt>
                <c:pt idx="111">
                  <c:v>3.0885351071611908E-3</c:v>
                </c:pt>
                <c:pt idx="112">
                  <c:v>3.0901361006267303E-3</c:v>
                </c:pt>
                <c:pt idx="113">
                  <c:v>3.0917370940922702E-3</c:v>
                </c:pt>
                <c:pt idx="114">
                  <c:v>3.0965400744888886E-3</c:v>
                </c:pt>
                <c:pt idx="115">
                  <c:v>3.0981410679544285E-3</c:v>
                </c:pt>
                <c:pt idx="116">
                  <c:v>3.099742061419968E-3</c:v>
                </c:pt>
                <c:pt idx="117">
                  <c:v>3.1013430548855075E-3</c:v>
                </c:pt>
                <c:pt idx="118">
                  <c:v>3.102944048351047E-3</c:v>
                </c:pt>
                <c:pt idx="119">
                  <c:v>3.1077470287476658E-3</c:v>
                </c:pt>
                <c:pt idx="120">
                  <c:v>3.1093480222132057E-3</c:v>
                </c:pt>
                <c:pt idx="121">
                  <c:v>3.1109490156787452E-3</c:v>
                </c:pt>
                <c:pt idx="122">
                  <c:v>3.1125500091442847E-3</c:v>
                </c:pt>
                <c:pt idx="123">
                  <c:v>3.1205549764719829E-3</c:v>
                </c:pt>
                <c:pt idx="124">
                  <c:v>3.1221559699375224E-3</c:v>
                </c:pt>
                <c:pt idx="125">
                  <c:v>3.1237569634030619E-3</c:v>
                </c:pt>
                <c:pt idx="126">
                  <c:v>3.1253579568686013E-3</c:v>
                </c:pt>
                <c:pt idx="127">
                  <c:v>3.1301609372652202E-3</c:v>
                </c:pt>
                <c:pt idx="128">
                  <c:v>3.1317619307307601E-3</c:v>
                </c:pt>
                <c:pt idx="129">
                  <c:v>3.1333629241962996E-3</c:v>
                </c:pt>
                <c:pt idx="130">
                  <c:v>3.134963917661839E-3</c:v>
                </c:pt>
                <c:pt idx="131">
                  <c:v>3.1365649111273789E-3</c:v>
                </c:pt>
                <c:pt idx="132">
                  <c:v>3.1413678915239978E-3</c:v>
                </c:pt>
                <c:pt idx="133">
                  <c:v>3.1429688849895373E-3</c:v>
                </c:pt>
                <c:pt idx="134">
                  <c:v>3.1445698784550767E-3</c:v>
                </c:pt>
                <c:pt idx="135">
                  <c:v>3.1461708719206162E-3</c:v>
                </c:pt>
                <c:pt idx="136">
                  <c:v>3.1477718653861557E-3</c:v>
                </c:pt>
                <c:pt idx="137">
                  <c:v>3.1525748457827745E-3</c:v>
                </c:pt>
                <c:pt idx="138">
                  <c:v>3.1541758392483145E-3</c:v>
                </c:pt>
                <c:pt idx="139">
                  <c:v>3.1557768327138539E-3</c:v>
                </c:pt>
                <c:pt idx="140">
                  <c:v>3.1573778261793934E-3</c:v>
                </c:pt>
                <c:pt idx="141">
                  <c:v>3.1589788196449333E-3</c:v>
                </c:pt>
                <c:pt idx="142">
                  <c:v>3.1637818000415522E-3</c:v>
                </c:pt>
                <c:pt idx="143">
                  <c:v>3.1653827935070916E-3</c:v>
                </c:pt>
                <c:pt idx="144">
                  <c:v>3.1669837869726311E-3</c:v>
                </c:pt>
                <c:pt idx="145">
                  <c:v>3.168584780438171E-3</c:v>
                </c:pt>
                <c:pt idx="146">
                  <c:v>3.1701857739037105E-3</c:v>
                </c:pt>
                <c:pt idx="147">
                  <c:v>3.1749887543003289E-3</c:v>
                </c:pt>
                <c:pt idx="148">
                  <c:v>3.1765897477658688E-3</c:v>
                </c:pt>
                <c:pt idx="149">
                  <c:v>3.1781907412314083E-3</c:v>
                </c:pt>
                <c:pt idx="150">
                  <c:v>3.1797917346969478E-3</c:v>
                </c:pt>
                <c:pt idx="151">
                  <c:v>3.1813927281624877E-3</c:v>
                </c:pt>
                <c:pt idx="152">
                  <c:v>3.1861957085591065E-3</c:v>
                </c:pt>
                <c:pt idx="153">
                  <c:v>3.187796702024646E-3</c:v>
                </c:pt>
                <c:pt idx="154">
                  <c:v>3.1893976954901855E-3</c:v>
                </c:pt>
                <c:pt idx="155">
                  <c:v>3.1909986889557254E-3</c:v>
                </c:pt>
                <c:pt idx="156">
                  <c:v>3.1925996824212649E-3</c:v>
                </c:pt>
                <c:pt idx="157">
                  <c:v>3.1974026628178833E-3</c:v>
                </c:pt>
                <c:pt idx="158">
                  <c:v>3.1990036562834232E-3</c:v>
                </c:pt>
                <c:pt idx="159">
                  <c:v>3.2006046497489627E-3</c:v>
                </c:pt>
                <c:pt idx="160">
                  <c:v>3.2022056432145021E-3</c:v>
                </c:pt>
                <c:pt idx="161">
                  <c:v>3.203806636680042E-3</c:v>
                </c:pt>
                <c:pt idx="162">
                  <c:v>3.2086096170766609E-3</c:v>
                </c:pt>
                <c:pt idx="163">
                  <c:v>3.2102106105422004E-3</c:v>
                </c:pt>
                <c:pt idx="164">
                  <c:v>3.2118116040077398E-3</c:v>
                </c:pt>
                <c:pt idx="165">
                  <c:v>3.2134125974732797E-3</c:v>
                </c:pt>
                <c:pt idx="166">
                  <c:v>3.2150135909388192E-3</c:v>
                </c:pt>
                <c:pt idx="167">
                  <c:v>3.2198165713354376E-3</c:v>
                </c:pt>
                <c:pt idx="168">
                  <c:v>3.2214175648009775E-3</c:v>
                </c:pt>
                <c:pt idx="169">
                  <c:v>3.223018558266517E-3</c:v>
                </c:pt>
                <c:pt idx="170">
                  <c:v>3.2246195517320565E-3</c:v>
                </c:pt>
                <c:pt idx="171">
                  <c:v>3.2262205451975964E-3</c:v>
                </c:pt>
                <c:pt idx="172">
                  <c:v>3.2310235255942153E-3</c:v>
                </c:pt>
                <c:pt idx="173">
                  <c:v>3.2326245190597547E-3</c:v>
                </c:pt>
                <c:pt idx="174">
                  <c:v>3.2342255125252942E-3</c:v>
                </c:pt>
                <c:pt idx="175">
                  <c:v>3.2358265059908341E-3</c:v>
                </c:pt>
                <c:pt idx="176">
                  <c:v>3.2374274994563736E-3</c:v>
                </c:pt>
                <c:pt idx="177">
                  <c:v>3.2422304798529924E-3</c:v>
                </c:pt>
                <c:pt idx="178">
                  <c:v>3.2438314733185319E-3</c:v>
                </c:pt>
                <c:pt idx="179">
                  <c:v>3.2454324667840714E-3</c:v>
                </c:pt>
                <c:pt idx="180">
                  <c:v>3.2470334602496109E-3</c:v>
                </c:pt>
                <c:pt idx="181">
                  <c:v>3.2486344537151508E-3</c:v>
                </c:pt>
                <c:pt idx="182">
                  <c:v>3.2534374341117696E-3</c:v>
                </c:pt>
                <c:pt idx="183">
                  <c:v>3.2550384275773091E-3</c:v>
                </c:pt>
                <c:pt idx="184">
                  <c:v>3.2566394210428486E-3</c:v>
                </c:pt>
                <c:pt idx="185">
                  <c:v>3.2582404145083885E-3</c:v>
                </c:pt>
                <c:pt idx="186">
                  <c:v>3.2598414079739279E-3</c:v>
                </c:pt>
                <c:pt idx="187">
                  <c:v>3.2646443883705468E-3</c:v>
                </c:pt>
                <c:pt idx="188">
                  <c:v>3.2662453818360863E-3</c:v>
                </c:pt>
                <c:pt idx="189">
                  <c:v>3.2678463753016257E-3</c:v>
                </c:pt>
                <c:pt idx="190">
                  <c:v>3.2694473687671652E-3</c:v>
                </c:pt>
                <c:pt idx="191">
                  <c:v>3.2710483622327051E-3</c:v>
                </c:pt>
                <c:pt idx="192">
                  <c:v>3.275851342629324E-3</c:v>
                </c:pt>
                <c:pt idx="193">
                  <c:v>3.2774523360948635E-3</c:v>
                </c:pt>
                <c:pt idx="194">
                  <c:v>3.2790533295604029E-3</c:v>
                </c:pt>
                <c:pt idx="195">
                  <c:v>3.2806543230259428E-3</c:v>
                </c:pt>
                <c:pt idx="196">
                  <c:v>3.2822553164914823E-3</c:v>
                </c:pt>
                <c:pt idx="197">
                  <c:v>3.2870582968881012E-3</c:v>
                </c:pt>
                <c:pt idx="198">
                  <c:v>3.2886592903536406E-3</c:v>
                </c:pt>
                <c:pt idx="199">
                  <c:v>3.2902602838191801E-3</c:v>
                </c:pt>
                <c:pt idx="200">
                  <c:v>3.2918612772847196E-3</c:v>
                </c:pt>
                <c:pt idx="201">
                  <c:v>3.2934622707502595E-3</c:v>
                </c:pt>
                <c:pt idx="202">
                  <c:v>3.2982652511468783E-3</c:v>
                </c:pt>
                <c:pt idx="203">
                  <c:v>3.2998662446124178E-3</c:v>
                </c:pt>
                <c:pt idx="204">
                  <c:v>3.3014672380779573E-3</c:v>
                </c:pt>
                <c:pt idx="205">
                  <c:v>3.3030682315434972E-3</c:v>
                </c:pt>
                <c:pt idx="206">
                  <c:v>3.3046692250090367E-3</c:v>
                </c:pt>
                <c:pt idx="207">
                  <c:v>3.3094722054056555E-3</c:v>
                </c:pt>
                <c:pt idx="208">
                  <c:v>3.311073198871195E-3</c:v>
                </c:pt>
                <c:pt idx="209">
                  <c:v>3.3126741923367349E-3</c:v>
                </c:pt>
                <c:pt idx="210">
                  <c:v>3.3142751858022744E-3</c:v>
                </c:pt>
                <c:pt idx="211">
                  <c:v>3.3158761792678139E-3</c:v>
                </c:pt>
                <c:pt idx="212">
                  <c:v>3.3206791596644327E-3</c:v>
                </c:pt>
                <c:pt idx="213">
                  <c:v>3.3222801531299722E-3</c:v>
                </c:pt>
                <c:pt idx="214">
                  <c:v>3.3238811465955117E-3</c:v>
                </c:pt>
                <c:pt idx="215">
                  <c:v>3.3254821400610516E-3</c:v>
                </c:pt>
                <c:pt idx="216">
                  <c:v>3.327083133526591E-3</c:v>
                </c:pt>
                <c:pt idx="217">
                  <c:v>3.3318861139232099E-3</c:v>
                </c:pt>
                <c:pt idx="218">
                  <c:v>3.3334871073887494E-3</c:v>
                </c:pt>
                <c:pt idx="219">
                  <c:v>3.3350881008542893E-3</c:v>
                </c:pt>
                <c:pt idx="220">
                  <c:v>3.3366890943198287E-3</c:v>
                </c:pt>
                <c:pt idx="221">
                  <c:v>3.3382900877853682E-3</c:v>
                </c:pt>
                <c:pt idx="222">
                  <c:v>3.3430930681819871E-3</c:v>
                </c:pt>
                <c:pt idx="223">
                  <c:v>3.3446940616475265E-3</c:v>
                </c:pt>
                <c:pt idx="224">
                  <c:v>3.346295055113066E-3</c:v>
                </c:pt>
                <c:pt idx="225">
                  <c:v>3.3478960485786059E-3</c:v>
                </c:pt>
                <c:pt idx="226">
                  <c:v>3.3494970420441454E-3</c:v>
                </c:pt>
                <c:pt idx="227">
                  <c:v>3.3543000224407643E-3</c:v>
                </c:pt>
                <c:pt idx="228">
                  <c:v>3.3559010159063037E-3</c:v>
                </c:pt>
                <c:pt idx="229">
                  <c:v>3.3575020093718436E-3</c:v>
                </c:pt>
                <c:pt idx="230">
                  <c:v>3.3591030028373831E-3</c:v>
                </c:pt>
                <c:pt idx="231">
                  <c:v>3.3607039963029226E-3</c:v>
                </c:pt>
                <c:pt idx="232">
                  <c:v>3.3655069766995414E-3</c:v>
                </c:pt>
                <c:pt idx="233">
                  <c:v>3.3671079701650809E-3</c:v>
                </c:pt>
                <c:pt idx="234">
                  <c:v>3.3687089636306204E-3</c:v>
                </c:pt>
                <c:pt idx="235">
                  <c:v>3.3703099570961603E-3</c:v>
                </c:pt>
                <c:pt idx="236">
                  <c:v>3.3719109505616998E-3</c:v>
                </c:pt>
                <c:pt idx="237">
                  <c:v>3.3767139309583186E-3</c:v>
                </c:pt>
                <c:pt idx="238">
                  <c:v>3.3783149244238581E-3</c:v>
                </c:pt>
                <c:pt idx="239">
                  <c:v>3.379915917889398E-3</c:v>
                </c:pt>
                <c:pt idx="240">
                  <c:v>3.3815169113549375E-3</c:v>
                </c:pt>
                <c:pt idx="241">
                  <c:v>3.3831179048204769E-3</c:v>
                </c:pt>
                <c:pt idx="242">
                  <c:v>3.3879208852170958E-3</c:v>
                </c:pt>
                <c:pt idx="243">
                  <c:v>3.3895218786826353E-3</c:v>
                </c:pt>
                <c:pt idx="244">
                  <c:v>3.3911228721481747E-3</c:v>
                </c:pt>
                <c:pt idx="245">
                  <c:v>3.3927238656137147E-3</c:v>
                </c:pt>
                <c:pt idx="246">
                  <c:v>3.3943248590792541E-3</c:v>
                </c:pt>
                <c:pt idx="247">
                  <c:v>3.399127839475873E-3</c:v>
                </c:pt>
                <c:pt idx="248">
                  <c:v>3.4007288329414125E-3</c:v>
                </c:pt>
                <c:pt idx="249">
                  <c:v>3.4023298264069524E-3</c:v>
                </c:pt>
                <c:pt idx="250">
                  <c:v>3.4039308198724918E-3</c:v>
                </c:pt>
                <c:pt idx="251">
                  <c:v>3.4055318133380313E-3</c:v>
                </c:pt>
                <c:pt idx="252">
                  <c:v>3.4103347937346502E-3</c:v>
                </c:pt>
                <c:pt idx="253">
                  <c:v>3.4119357872001896E-3</c:v>
                </c:pt>
                <c:pt idx="254">
                  <c:v>3.4135367806657291E-3</c:v>
                </c:pt>
                <c:pt idx="255">
                  <c:v>3.415137774131269E-3</c:v>
                </c:pt>
                <c:pt idx="256">
                  <c:v>3.4167387675968085E-3</c:v>
                </c:pt>
                <c:pt idx="257">
                  <c:v>3.4215417479934273E-3</c:v>
                </c:pt>
                <c:pt idx="258">
                  <c:v>3.4231427414589668E-3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</c:numCache>
            </c:numRef>
          </c:cat>
          <c:val>
            <c:numRef>
              <c:f>'12MSynthDepo_allScenario'!$BL$6:$BL$264</c:f>
              <c:numCache>
                <c:formatCode>0.0000%</c:formatCode>
                <c:ptCount val="259"/>
                <c:pt idx="0">
                  <c:v>2.9059706731738837E-3</c:v>
                </c:pt>
                <c:pt idx="1">
                  <c:v>2.9085830991991625E-3</c:v>
                </c:pt>
                <c:pt idx="2">
                  <c:v>2.9094598929954884E-3</c:v>
                </c:pt>
                <c:pt idx="3">
                  <c:v>2.9103396793524316E-3</c:v>
                </c:pt>
                <c:pt idx="4">
                  <c:v>2.9112224582699903E-3</c:v>
                </c:pt>
                <c:pt idx="5">
                  <c:v>2.9121082297481663E-3</c:v>
                </c:pt>
                <c:pt idx="6">
                  <c:v>2.9147834995463936E-3</c:v>
                </c:pt>
                <c:pt idx="7">
                  <c:v>2.9156812412670357E-3</c:v>
                </c:pt>
                <c:pt idx="8">
                  <c:v>2.9165819755482946E-3</c:v>
                </c:pt>
                <c:pt idx="9">
                  <c:v>2.9174857023901695E-3</c:v>
                </c:pt>
                <c:pt idx="10">
                  <c:v>2.9183924217926617E-3</c:v>
                </c:pt>
                <c:pt idx="11">
                  <c:v>2.9211305353638367E-3</c:v>
                </c:pt>
                <c:pt idx="12">
                  <c:v>2.9220492250087954E-3</c:v>
                </c:pt>
                <c:pt idx="13">
                  <c:v>2.9229709072143705E-3</c:v>
                </c:pt>
                <c:pt idx="14">
                  <c:v>2.9238955819805615E-3</c:v>
                </c:pt>
                <c:pt idx="15">
                  <c:v>2.9248232493073699E-3</c:v>
                </c:pt>
                <c:pt idx="16">
                  <c:v>2.927624206651493E-3</c:v>
                </c:pt>
                <c:pt idx="17">
                  <c:v>2.9285638442207679E-3</c:v>
                </c:pt>
                <c:pt idx="18">
                  <c:v>2.9295064743506583E-3</c:v>
                </c:pt>
                <c:pt idx="19">
                  <c:v>2.9304520970411664E-3</c:v>
                </c:pt>
                <c:pt idx="20">
                  <c:v>2.9314007122922905E-3</c:v>
                </c:pt>
                <c:pt idx="21">
                  <c:v>2.9342645134093621E-3</c:v>
                </c:pt>
                <c:pt idx="22">
                  <c:v>2.9352250989029527E-3</c:v>
                </c:pt>
                <c:pt idx="23">
                  <c:v>2.9361886769571598E-3</c:v>
                </c:pt>
                <c:pt idx="24">
                  <c:v>2.9371552475719836E-3</c:v>
                </c:pt>
                <c:pt idx="25">
                  <c:v>2.9381248107474235E-3</c:v>
                </c:pt>
                <c:pt idx="26">
                  <c:v>2.9410514556374437E-3</c:v>
                </c:pt>
                <c:pt idx="27">
                  <c:v>2.9420329890553504E-3</c:v>
                </c:pt>
                <c:pt idx="28">
                  <c:v>2.9430175150338737E-3</c:v>
                </c:pt>
                <c:pt idx="29">
                  <c:v>2.9440050335730133E-3</c:v>
                </c:pt>
                <c:pt idx="30">
                  <c:v>2.9449955446727693E-3</c:v>
                </c:pt>
                <c:pt idx="31">
                  <c:v>2.947985033335738E-3</c:v>
                </c:pt>
                <c:pt idx="32">
                  <c:v>2.948987514677961E-3</c:v>
                </c:pt>
                <c:pt idx="33">
                  <c:v>2.9499929885807999E-3</c:v>
                </c:pt>
                <c:pt idx="34">
                  <c:v>2.9510014550442562E-3</c:v>
                </c:pt>
                <c:pt idx="35">
                  <c:v>2.9520129140683284E-3</c:v>
                </c:pt>
                <c:pt idx="36">
                  <c:v>2.9550652465042452E-3</c:v>
                </c:pt>
                <c:pt idx="37">
                  <c:v>2.9560886757707835E-3</c:v>
                </c:pt>
                <c:pt idx="38">
                  <c:v>2.957115097597939E-3</c:v>
                </c:pt>
                <c:pt idx="39">
                  <c:v>2.9581445119857114E-3</c:v>
                </c:pt>
                <c:pt idx="40">
                  <c:v>2.9591769189340994E-3</c:v>
                </c:pt>
                <c:pt idx="41">
                  <c:v>2.9622920951429647E-3</c:v>
                </c:pt>
                <c:pt idx="42">
                  <c:v>2.9633364723338192E-3</c:v>
                </c:pt>
                <c:pt idx="43">
                  <c:v>2.9643838420852909E-3</c:v>
                </c:pt>
                <c:pt idx="44">
                  <c:v>2.9654342043973787E-3</c:v>
                </c:pt>
                <c:pt idx="45">
                  <c:v>2.9664875592700837E-3</c:v>
                </c:pt>
                <c:pt idx="46">
                  <c:v>2.9696655792518971E-3</c:v>
                </c:pt>
                <c:pt idx="47">
                  <c:v>2.9707309043670678E-3</c:v>
                </c:pt>
                <c:pt idx="48">
                  <c:v>2.9717992220428557E-3</c:v>
                </c:pt>
                <c:pt idx="49">
                  <c:v>2.9728705322792592E-3</c:v>
                </c:pt>
                <c:pt idx="50">
                  <c:v>2.9739448350762803E-3</c:v>
                </c:pt>
                <c:pt idx="51">
                  <c:v>2.9771856988310419E-3</c:v>
                </c:pt>
                <c:pt idx="52">
                  <c:v>2.9782719718705287E-3</c:v>
                </c:pt>
                <c:pt idx="53">
                  <c:v>2.9793612374706328E-3</c:v>
                </c:pt>
                <c:pt idx="54">
                  <c:v>2.9804534956313525E-3</c:v>
                </c:pt>
                <c:pt idx="55">
                  <c:v>2.9815487463526894E-3</c:v>
                </c:pt>
                <c:pt idx="56">
                  <c:v>2.9848524538803991E-3</c:v>
                </c:pt>
                <c:pt idx="57">
                  <c:v>2.9859596748442025E-3</c:v>
                </c:pt>
                <c:pt idx="58">
                  <c:v>2.9870698883686223E-3</c:v>
                </c:pt>
                <c:pt idx="59">
                  <c:v>2.9881830944536586E-3</c:v>
                </c:pt>
                <c:pt idx="60">
                  <c:v>2.9926658443999695E-3</c:v>
                </c:pt>
                <c:pt idx="61">
                  <c:v>2.9937940132880891E-3</c:v>
                </c:pt>
                <c:pt idx="62">
                  <c:v>2.9949251747368247E-3</c:v>
                </c:pt>
                <c:pt idx="63">
                  <c:v>2.9960593287461771E-3</c:v>
                </c:pt>
                <c:pt idx="64">
                  <c:v>3.0006258703897523E-3</c:v>
                </c:pt>
                <c:pt idx="65">
                  <c:v>3.0017749872021881E-3</c:v>
                </c:pt>
                <c:pt idx="66">
                  <c:v>3.0029270965752398E-3</c:v>
                </c:pt>
                <c:pt idx="67">
                  <c:v>3.0040821985089085E-3</c:v>
                </c:pt>
                <c:pt idx="68">
                  <c:v>3.0052402930031931E-3</c:v>
                </c:pt>
                <c:pt idx="69">
                  <c:v>3.0087325318497479E-3</c:v>
                </c:pt>
                <c:pt idx="70">
                  <c:v>3.0099025965864999E-3</c:v>
                </c:pt>
                <c:pt idx="71">
                  <c:v>3.0110756538838674E-3</c:v>
                </c:pt>
                <c:pt idx="72">
                  <c:v>3.0122517037418522E-3</c:v>
                </c:pt>
                <c:pt idx="73">
                  <c:v>3.0134307461604534E-3</c:v>
                </c:pt>
                <c:pt idx="74">
                  <c:v>3.0169858287799564E-3</c:v>
                </c:pt>
                <c:pt idx="75">
                  <c:v>3.0181768414410241E-3</c:v>
                </c:pt>
                <c:pt idx="76">
                  <c:v>3.0193708466627078E-3</c:v>
                </c:pt>
                <c:pt idx="77">
                  <c:v>3.0205678444450088E-3</c:v>
                </c:pt>
                <c:pt idx="78">
                  <c:v>3.0217678347879257E-3</c:v>
                </c:pt>
                <c:pt idx="79">
                  <c:v>3.0253857611803772E-3</c:v>
                </c:pt>
                <c:pt idx="80">
                  <c:v>3.0265977217657607E-3</c:v>
                </c:pt>
                <c:pt idx="81">
                  <c:v>3.027812674911761E-3</c:v>
                </c:pt>
                <c:pt idx="82">
                  <c:v>3.0290306206183781E-3</c:v>
                </c:pt>
                <c:pt idx="83">
                  <c:v>3.0302515588856113E-3</c:v>
                </c:pt>
                <c:pt idx="84">
                  <c:v>3.0339323290510109E-3</c:v>
                </c:pt>
                <c:pt idx="85">
                  <c:v>3.0351652375607105E-3</c:v>
                </c:pt>
                <c:pt idx="86">
                  <c:v>3.036401138631027E-3</c:v>
                </c:pt>
                <c:pt idx="87">
                  <c:v>3.0376400322619595E-3</c:v>
                </c:pt>
                <c:pt idx="88">
                  <c:v>3.0388819184535092E-3</c:v>
                </c:pt>
                <c:pt idx="89">
                  <c:v>3.0426255323918574E-3</c:v>
                </c:pt>
                <c:pt idx="90">
                  <c:v>3.0438793888258727E-3</c:v>
                </c:pt>
                <c:pt idx="91">
                  <c:v>3.0451362378205054E-3</c:v>
                </c:pt>
                <c:pt idx="92">
                  <c:v>3.0463960793757541E-3</c:v>
                </c:pt>
                <c:pt idx="93">
                  <c:v>3.04765891349162E-3</c:v>
                </c:pt>
                <c:pt idx="94">
                  <c:v>3.0514653712029162E-3</c:v>
                </c:pt>
                <c:pt idx="95">
                  <c:v>3.0527401755612478E-3</c:v>
                </c:pt>
                <c:pt idx="96">
                  <c:v>3.0540179724801966E-3</c:v>
                </c:pt>
                <c:pt idx="97">
                  <c:v>3.0552987619597615E-3</c:v>
                </c:pt>
                <c:pt idx="98">
                  <c:v>3.0565825439999431E-3</c:v>
                </c:pt>
                <c:pt idx="99">
                  <c:v>3.0604518454841875E-3</c:v>
                </c:pt>
                <c:pt idx="100">
                  <c:v>3.0617475977668357E-3</c:v>
                </c:pt>
                <c:pt idx="101">
                  <c:v>3.0630463426101003E-3</c:v>
                </c:pt>
                <c:pt idx="102">
                  <c:v>3.0643480800139813E-3</c:v>
                </c:pt>
                <c:pt idx="103">
                  <c:v>3.0656528099784791E-3</c:v>
                </c:pt>
                <c:pt idx="104">
                  <c:v>3.0695849552356716E-3</c:v>
                </c:pt>
                <c:pt idx="105">
                  <c:v>3.0709016554426359E-3</c:v>
                </c:pt>
                <c:pt idx="106">
                  <c:v>3.0722213482102163E-3</c:v>
                </c:pt>
                <c:pt idx="107">
                  <c:v>3.0735440335384139E-3</c:v>
                </c:pt>
                <c:pt idx="108">
                  <c:v>3.0748697114272279E-3</c:v>
                </c:pt>
                <c:pt idx="109">
                  <c:v>3.0788647004573685E-3</c:v>
                </c:pt>
                <c:pt idx="110">
                  <c:v>3.080202348588649E-3</c:v>
                </c:pt>
                <c:pt idx="111">
                  <c:v>3.0815429892805456E-3</c:v>
                </c:pt>
                <c:pt idx="112">
                  <c:v>3.0828866225330589E-3</c:v>
                </c:pt>
                <c:pt idx="113">
                  <c:v>3.0842332483461887E-3</c:v>
                </c:pt>
                <c:pt idx="114">
                  <c:v>3.0882910811492782E-3</c:v>
                </c:pt>
                <c:pt idx="115">
                  <c:v>3.0896496772048749E-3</c:v>
                </c:pt>
                <c:pt idx="116">
                  <c:v>3.0910112658210872E-3</c:v>
                </c:pt>
                <c:pt idx="117">
                  <c:v>3.0923758469979172E-3</c:v>
                </c:pt>
                <c:pt idx="118">
                  <c:v>3.0937434207353627E-3</c:v>
                </c:pt>
                <c:pt idx="119">
                  <c:v>3.0978640973114008E-3</c:v>
                </c:pt>
                <c:pt idx="120">
                  <c:v>3.0992436412913132E-3</c:v>
                </c:pt>
                <c:pt idx="121">
                  <c:v>3.1006261778318417E-3</c:v>
                </c:pt>
                <c:pt idx="122">
                  <c:v>3.1020117069329874E-3</c:v>
                </c:pt>
                <c:pt idx="123">
                  <c:v>3.1089842408479639E-3</c:v>
                </c:pt>
                <c:pt idx="124">
                  <c:v>3.110387725312809E-3</c:v>
                </c:pt>
                <c:pt idx="125">
                  <c:v>3.1117942023382709E-3</c:v>
                </c:pt>
                <c:pt idx="126">
                  <c:v>3.1132036719243488E-3</c:v>
                </c:pt>
                <c:pt idx="127">
                  <c:v>3.1174500360462831E-3</c:v>
                </c:pt>
                <c:pt idx="128">
                  <c:v>3.1188714758748274E-3</c:v>
                </c:pt>
                <c:pt idx="129">
                  <c:v>3.1202959082639887E-3</c:v>
                </c:pt>
                <c:pt idx="130">
                  <c:v>3.1217233332137663E-3</c:v>
                </c:pt>
                <c:pt idx="131">
                  <c:v>3.1231537507241608E-3</c:v>
                </c:pt>
                <c:pt idx="132">
                  <c:v>3.1274629586190432E-3</c:v>
                </c:pt>
                <c:pt idx="133">
                  <c:v>3.1289053463719038E-3</c:v>
                </c:pt>
                <c:pt idx="134">
                  <c:v>3.1303507266853812E-3</c:v>
                </c:pt>
                <c:pt idx="135">
                  <c:v>3.131799099559475E-3</c:v>
                </c:pt>
                <c:pt idx="136">
                  <c:v>3.1332504649941853E-3</c:v>
                </c:pt>
                <c:pt idx="137">
                  <c:v>3.1376225166620162E-3</c:v>
                </c:pt>
                <c:pt idx="138">
                  <c:v>3.1390858523391929E-3</c:v>
                </c:pt>
                <c:pt idx="139">
                  <c:v>3.1405521805769865E-3</c:v>
                </c:pt>
                <c:pt idx="140">
                  <c:v>3.1420215013753961E-3</c:v>
                </c:pt>
                <c:pt idx="141">
                  <c:v>3.143493814734423E-3</c:v>
                </c:pt>
                <c:pt idx="142">
                  <c:v>3.1479287101752016E-3</c:v>
                </c:pt>
                <c:pt idx="143">
                  <c:v>3.1494129937766945E-3</c:v>
                </c:pt>
                <c:pt idx="144">
                  <c:v>3.1509002699388043E-3</c:v>
                </c:pt>
                <c:pt idx="145">
                  <c:v>3.15239053866153E-3</c:v>
                </c:pt>
                <c:pt idx="146">
                  <c:v>3.1538837999448726E-3</c:v>
                </c:pt>
                <c:pt idx="147">
                  <c:v>3.1583815391585997E-3</c:v>
                </c:pt>
                <c:pt idx="148">
                  <c:v>3.1598867706844089E-3</c:v>
                </c:pt>
                <c:pt idx="149">
                  <c:v>3.1613949947708344E-3</c:v>
                </c:pt>
                <c:pt idx="150">
                  <c:v>3.1629062114178763E-3</c:v>
                </c:pt>
                <c:pt idx="151">
                  <c:v>3.1644204206255355E-3</c:v>
                </c:pt>
                <c:pt idx="152">
                  <c:v>3.1689810036122108E-3</c:v>
                </c:pt>
                <c:pt idx="153">
                  <c:v>3.170507183062336E-3</c:v>
                </c:pt>
                <c:pt idx="154">
                  <c:v>3.1720363550730773E-3</c:v>
                </c:pt>
                <c:pt idx="155">
                  <c:v>3.1735685196444359E-3</c:v>
                </c:pt>
                <c:pt idx="156">
                  <c:v>3.1751036767764104E-3</c:v>
                </c:pt>
                <c:pt idx="157">
                  <c:v>3.1797271035360342E-3</c:v>
                </c:pt>
                <c:pt idx="158">
                  <c:v>3.1812742309104756E-3</c:v>
                </c:pt>
                <c:pt idx="159">
                  <c:v>3.1828243508455331E-3</c:v>
                </c:pt>
                <c:pt idx="160">
                  <c:v>3.1843774633412078E-3</c:v>
                </c:pt>
                <c:pt idx="161">
                  <c:v>3.1859335683974985E-3</c:v>
                </c:pt>
                <c:pt idx="162">
                  <c:v>3.1906198389300708E-3</c:v>
                </c:pt>
                <c:pt idx="163">
                  <c:v>3.192187914228828E-3</c:v>
                </c:pt>
                <c:pt idx="164">
                  <c:v>3.1937589820882017E-3</c:v>
                </c:pt>
                <c:pt idx="165">
                  <c:v>3.1953330425081921E-3</c:v>
                </c:pt>
                <c:pt idx="166">
                  <c:v>3.196910095488799E-3</c:v>
                </c:pt>
                <c:pt idx="167">
                  <c:v>3.2016592097943194E-3</c:v>
                </c:pt>
                <c:pt idx="168">
                  <c:v>3.2032482330173928E-3</c:v>
                </c:pt>
                <c:pt idx="169">
                  <c:v>3.2048402488010826E-3</c:v>
                </c:pt>
                <c:pt idx="170">
                  <c:v>3.2064352571453893E-3</c:v>
                </c:pt>
                <c:pt idx="171">
                  <c:v>3.2080332580503123E-3</c:v>
                </c:pt>
                <c:pt idx="172">
                  <c:v>3.2128452161287813E-3</c:v>
                </c:pt>
                <c:pt idx="173">
                  <c:v>3.2144551872761704E-3</c:v>
                </c:pt>
                <c:pt idx="174">
                  <c:v>3.2160681509841764E-3</c:v>
                </c:pt>
                <c:pt idx="175">
                  <c:v>3.2176841072527988E-3</c:v>
                </c:pt>
                <c:pt idx="176">
                  <c:v>3.2193030560820381E-3</c:v>
                </c:pt>
                <c:pt idx="177">
                  <c:v>3.2241778579334556E-3</c:v>
                </c:pt>
                <c:pt idx="178">
                  <c:v>3.2258087770051604E-3</c:v>
                </c:pt>
                <c:pt idx="179">
                  <c:v>3.227442688637483E-3</c:v>
                </c:pt>
                <c:pt idx="180">
                  <c:v>3.2290795928304212E-3</c:v>
                </c:pt>
                <c:pt idx="181">
                  <c:v>3.230719489583977E-3</c:v>
                </c:pt>
                <c:pt idx="182">
                  <c:v>3.2356571352083422E-3</c:v>
                </c:pt>
                <c:pt idx="183">
                  <c:v>3.2373090022043637E-3</c:v>
                </c:pt>
                <c:pt idx="184">
                  <c:v>3.2389638617610021E-3</c:v>
                </c:pt>
                <c:pt idx="185">
                  <c:v>3.2406217138782568E-3</c:v>
                </c:pt>
                <c:pt idx="186">
                  <c:v>3.242282558556128E-3</c:v>
                </c:pt>
                <c:pt idx="187">
                  <c:v>3.2472830479534417E-3</c:v>
                </c:pt>
                <c:pt idx="188">
                  <c:v>3.2489558628737794E-3</c:v>
                </c:pt>
                <c:pt idx="189">
                  <c:v>3.2506316703547339E-3</c:v>
                </c:pt>
                <c:pt idx="190">
                  <c:v>3.2523104703963044E-3</c:v>
                </c:pt>
                <c:pt idx="191">
                  <c:v>3.2539922629984922E-3</c:v>
                </c:pt>
                <c:pt idx="192">
                  <c:v>3.2590555961687535E-3</c:v>
                </c:pt>
                <c:pt idx="193">
                  <c:v>3.2607493590134078E-3</c:v>
                </c:pt>
                <c:pt idx="194">
                  <c:v>3.2624461144186777E-3</c:v>
                </c:pt>
                <c:pt idx="195">
                  <c:v>3.2641458623845652E-3</c:v>
                </c:pt>
                <c:pt idx="196">
                  <c:v>3.2658486029110687E-3</c:v>
                </c:pt>
                <c:pt idx="197">
                  <c:v>3.2709747798542787E-3</c:v>
                </c:pt>
                <c:pt idx="198">
                  <c:v>3.2726894906232487E-3</c:v>
                </c:pt>
                <c:pt idx="199">
                  <c:v>3.2744071939528351E-3</c:v>
                </c:pt>
                <c:pt idx="200">
                  <c:v>3.276127889843038E-3</c:v>
                </c:pt>
                <c:pt idx="201">
                  <c:v>3.2778515782938577E-3</c:v>
                </c:pt>
                <c:pt idx="202">
                  <c:v>3.2830405990100162E-3</c:v>
                </c:pt>
                <c:pt idx="203">
                  <c:v>3.2847762577033024E-3</c:v>
                </c:pt>
                <c:pt idx="204">
                  <c:v>3.2865149089572046E-3</c:v>
                </c:pt>
                <c:pt idx="205">
                  <c:v>3.288256552771724E-3</c:v>
                </c:pt>
                <c:pt idx="206">
                  <c:v>3.2900011891468595E-3</c:v>
                </c:pt>
                <c:pt idx="207">
                  <c:v>3.2952530536359665E-3</c:v>
                </c:pt>
                <c:pt idx="208">
                  <c:v>3.2970096602535689E-3</c:v>
                </c:pt>
                <c:pt idx="209">
                  <c:v>3.2987692594317873E-3</c:v>
                </c:pt>
                <c:pt idx="210">
                  <c:v>3.3005318511706225E-3</c:v>
                </c:pt>
                <c:pt idx="211">
                  <c:v>3.3022974354700741E-3</c:v>
                </c:pt>
                <c:pt idx="212">
                  <c:v>3.3076121437321292E-3</c:v>
                </c:pt>
                <c:pt idx="213">
                  <c:v>3.3093896982740473E-3</c:v>
                </c:pt>
                <c:pt idx="214">
                  <c:v>3.3111702453765823E-3</c:v>
                </c:pt>
                <c:pt idx="215">
                  <c:v>3.3129537850397337E-3</c:v>
                </c:pt>
                <c:pt idx="216">
                  <c:v>3.3147403172635015E-3</c:v>
                </c:pt>
                <c:pt idx="217">
                  <c:v>3.3201178692985052E-3</c:v>
                </c:pt>
                <c:pt idx="218">
                  <c:v>3.3219163717647391E-3</c:v>
                </c:pt>
                <c:pt idx="219">
                  <c:v>3.3237178667915902E-3</c:v>
                </c:pt>
                <c:pt idx="220">
                  <c:v>3.3255223543790574E-3</c:v>
                </c:pt>
                <c:pt idx="221">
                  <c:v>3.3273298345271414E-3</c:v>
                </c:pt>
                <c:pt idx="222">
                  <c:v>3.3327702303350931E-3</c:v>
                </c:pt>
                <c:pt idx="223">
                  <c:v>3.3345896807256432E-3</c:v>
                </c:pt>
                <c:pt idx="224">
                  <c:v>3.3364121236768105E-3</c:v>
                </c:pt>
                <c:pt idx="225">
                  <c:v>3.3382375591885938E-3</c:v>
                </c:pt>
                <c:pt idx="226">
                  <c:v>3.340065987260994E-3</c:v>
                </c:pt>
                <c:pt idx="227">
                  <c:v>3.3455692268418943E-3</c:v>
                </c:pt>
                <c:pt idx="228">
                  <c:v>3.3474096251567605E-3</c:v>
                </c:pt>
                <c:pt idx="229">
                  <c:v>3.3492530160322436E-3</c:v>
                </c:pt>
                <c:pt idx="230">
                  <c:v>3.3510993994683431E-3</c:v>
                </c:pt>
                <c:pt idx="231">
                  <c:v>3.3529487754650595E-3</c:v>
                </c:pt>
                <c:pt idx="232">
                  <c:v>3.3585148588189074E-3</c:v>
                </c:pt>
                <c:pt idx="233">
                  <c:v>3.3603762050580899E-3</c:v>
                </c:pt>
                <c:pt idx="234">
                  <c:v>3.3622405438578896E-3</c:v>
                </c:pt>
                <c:pt idx="235">
                  <c:v>3.3641078752183048E-3</c:v>
                </c:pt>
                <c:pt idx="236">
                  <c:v>3.3659781991393373E-3</c:v>
                </c:pt>
                <c:pt idx="237">
                  <c:v>3.3716071262661334E-3</c:v>
                </c:pt>
                <c:pt idx="238">
                  <c:v>3.3734894204296324E-3</c:v>
                </c:pt>
                <c:pt idx="239">
                  <c:v>3.3753747071537474E-3</c:v>
                </c:pt>
                <c:pt idx="240">
                  <c:v>3.3772629864384793E-3</c:v>
                </c:pt>
                <c:pt idx="241">
                  <c:v>3.379154258283828E-3</c:v>
                </c:pt>
                <c:pt idx="242">
                  <c:v>3.3848460291835726E-3</c:v>
                </c:pt>
                <c:pt idx="243">
                  <c:v>3.3867492712713874E-3</c:v>
                </c:pt>
                <c:pt idx="244">
                  <c:v>3.3886555059198186E-3</c:v>
                </c:pt>
                <c:pt idx="245">
                  <c:v>3.3905647331288666E-3</c:v>
                </c:pt>
                <c:pt idx="246">
                  <c:v>3.3924769528985307E-3</c:v>
                </c:pt>
                <c:pt idx="247">
                  <c:v>3.3982315675712238E-3</c:v>
                </c:pt>
                <c:pt idx="248">
                  <c:v>3.4001557575833552E-3</c:v>
                </c:pt>
                <c:pt idx="249">
                  <c:v>3.4020829401561021E-3</c:v>
                </c:pt>
                <c:pt idx="250">
                  <c:v>3.4040131152894663E-3</c:v>
                </c:pt>
                <c:pt idx="251">
                  <c:v>3.405946282983447E-3</c:v>
                </c:pt>
                <c:pt idx="252">
                  <c:v>3.4117637414290882E-3</c:v>
                </c:pt>
                <c:pt idx="253">
                  <c:v>3.4137088793655354E-3</c:v>
                </c:pt>
                <c:pt idx="254">
                  <c:v>3.4156570098625985E-3</c:v>
                </c:pt>
                <c:pt idx="255">
                  <c:v>3.4176081329202789E-3</c:v>
                </c:pt>
                <c:pt idx="256">
                  <c:v>3.4195622485385753E-3</c:v>
                </c:pt>
                <c:pt idx="257">
                  <c:v>3.425442550757165E-3</c:v>
                </c:pt>
                <c:pt idx="258">
                  <c:v>3.4274086366179279E-3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5664080"/>
        <c:axId val="995664864"/>
      </c:lineChart>
      <c:dateAx>
        <c:axId val="99566408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995664864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995664864"/>
        <c:scaling>
          <c:orientation val="minMax"/>
          <c:max val="3.1000000000000008E-3"/>
          <c:min val="2.5000000000000005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995664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36684293225888576"/>
          <c:h val="0.368966188745347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Fit (Simple</a:t>
            </a:r>
            <a:r>
              <a:rPr lang="en-US" baseline="0"/>
              <a:t> Basis Approx)</a:t>
            </a:r>
            <a:endParaRPr lang="en-US"/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</c:numCache>
            </c:numRef>
          </c:cat>
          <c:val>
            <c:numRef>
              <c:f>'12MSynthDepo_allScenario'!$BM$6:$BM$264</c:f>
              <c:numCache>
                <c:formatCode>0.0000%</c:formatCode>
                <c:ptCount val="259"/>
                <c:pt idx="0">
                  <c:v>2.8123139269060648E-3</c:v>
                </c:pt>
                <c:pt idx="1">
                  <c:v>2.8173821183396196E-3</c:v>
                </c:pt>
                <c:pt idx="2">
                  <c:v>2.8190715154841374E-3</c:v>
                </c:pt>
                <c:pt idx="3">
                  <c:v>2.8207609126286557E-3</c:v>
                </c:pt>
                <c:pt idx="4">
                  <c:v>2.8224503097731739E-3</c:v>
                </c:pt>
                <c:pt idx="5">
                  <c:v>2.8241397069176922E-3</c:v>
                </c:pt>
                <c:pt idx="6">
                  <c:v>2.8292078983512465E-3</c:v>
                </c:pt>
                <c:pt idx="7">
                  <c:v>2.8308972954957648E-3</c:v>
                </c:pt>
                <c:pt idx="8">
                  <c:v>2.832586692640283E-3</c:v>
                </c:pt>
                <c:pt idx="9">
                  <c:v>2.8342760897848013E-3</c:v>
                </c:pt>
                <c:pt idx="10">
                  <c:v>2.8359654869293195E-3</c:v>
                </c:pt>
                <c:pt idx="11">
                  <c:v>2.8410336783628739E-3</c:v>
                </c:pt>
                <c:pt idx="12">
                  <c:v>2.8427230755073921E-3</c:v>
                </c:pt>
                <c:pt idx="13">
                  <c:v>2.8444124726519104E-3</c:v>
                </c:pt>
                <c:pt idx="14">
                  <c:v>2.8461018697964286E-3</c:v>
                </c:pt>
                <c:pt idx="15">
                  <c:v>2.8477912669409469E-3</c:v>
                </c:pt>
                <c:pt idx="16">
                  <c:v>2.8528594583745012E-3</c:v>
                </c:pt>
                <c:pt idx="17">
                  <c:v>2.8545488555190195E-3</c:v>
                </c:pt>
                <c:pt idx="18">
                  <c:v>2.8562382526635378E-3</c:v>
                </c:pt>
                <c:pt idx="19">
                  <c:v>2.857927649808056E-3</c:v>
                </c:pt>
                <c:pt idx="20">
                  <c:v>2.8596170469525743E-3</c:v>
                </c:pt>
                <c:pt idx="21">
                  <c:v>2.8646852383861286E-3</c:v>
                </c:pt>
                <c:pt idx="22">
                  <c:v>2.8663746355306469E-3</c:v>
                </c:pt>
                <c:pt idx="23">
                  <c:v>2.8680640326751651E-3</c:v>
                </c:pt>
                <c:pt idx="24">
                  <c:v>2.8697534298196834E-3</c:v>
                </c:pt>
                <c:pt idx="25">
                  <c:v>2.8714428269642016E-3</c:v>
                </c:pt>
                <c:pt idx="26">
                  <c:v>2.876511018397756E-3</c:v>
                </c:pt>
                <c:pt idx="27">
                  <c:v>2.8782004155422742E-3</c:v>
                </c:pt>
                <c:pt idx="28">
                  <c:v>2.8798898126867925E-3</c:v>
                </c:pt>
                <c:pt idx="29">
                  <c:v>2.8815792098313107E-3</c:v>
                </c:pt>
                <c:pt idx="30">
                  <c:v>2.8832686069758286E-3</c:v>
                </c:pt>
                <c:pt idx="31">
                  <c:v>2.8883367984093833E-3</c:v>
                </c:pt>
                <c:pt idx="32">
                  <c:v>2.8900261955539016E-3</c:v>
                </c:pt>
                <c:pt idx="33">
                  <c:v>2.8917155926984199E-3</c:v>
                </c:pt>
                <c:pt idx="34">
                  <c:v>2.8934049898429377E-3</c:v>
                </c:pt>
                <c:pt idx="35">
                  <c:v>2.8950943869874559E-3</c:v>
                </c:pt>
                <c:pt idx="36">
                  <c:v>2.9001625784210107E-3</c:v>
                </c:pt>
                <c:pt idx="37">
                  <c:v>2.901851975565529E-3</c:v>
                </c:pt>
                <c:pt idx="38">
                  <c:v>2.9035413727100472E-3</c:v>
                </c:pt>
                <c:pt idx="39">
                  <c:v>2.905230769854565E-3</c:v>
                </c:pt>
                <c:pt idx="40">
                  <c:v>2.9069201669990833E-3</c:v>
                </c:pt>
                <c:pt idx="41">
                  <c:v>2.9119883584326381E-3</c:v>
                </c:pt>
                <c:pt idx="42">
                  <c:v>2.9136777555771563E-3</c:v>
                </c:pt>
                <c:pt idx="43">
                  <c:v>2.9153671527216742E-3</c:v>
                </c:pt>
                <c:pt idx="44">
                  <c:v>2.9170565498661924E-3</c:v>
                </c:pt>
                <c:pt idx="45">
                  <c:v>2.9187459470107107E-3</c:v>
                </c:pt>
                <c:pt idx="46">
                  <c:v>2.9238141384442654E-3</c:v>
                </c:pt>
                <c:pt idx="47">
                  <c:v>2.9255035355887837E-3</c:v>
                </c:pt>
                <c:pt idx="48">
                  <c:v>2.9271929327333015E-3</c:v>
                </c:pt>
                <c:pt idx="49">
                  <c:v>2.9288823298778198E-3</c:v>
                </c:pt>
                <c:pt idx="50">
                  <c:v>2.930571727022338E-3</c:v>
                </c:pt>
                <c:pt idx="51">
                  <c:v>2.9356399184558928E-3</c:v>
                </c:pt>
                <c:pt idx="52">
                  <c:v>2.9373293156004106E-3</c:v>
                </c:pt>
                <c:pt idx="53">
                  <c:v>2.9390187127449289E-3</c:v>
                </c:pt>
                <c:pt idx="54">
                  <c:v>2.9407081098894471E-3</c:v>
                </c:pt>
                <c:pt idx="55">
                  <c:v>2.9423975070339654E-3</c:v>
                </c:pt>
                <c:pt idx="56">
                  <c:v>2.9474656984675197E-3</c:v>
                </c:pt>
                <c:pt idx="57">
                  <c:v>2.949155095612038E-3</c:v>
                </c:pt>
                <c:pt idx="58">
                  <c:v>2.9508444927565563E-3</c:v>
                </c:pt>
                <c:pt idx="59">
                  <c:v>2.9525338899010745E-3</c:v>
                </c:pt>
                <c:pt idx="60">
                  <c:v>2.9592914784791471E-3</c:v>
                </c:pt>
                <c:pt idx="61">
                  <c:v>2.9609808756236654E-3</c:v>
                </c:pt>
                <c:pt idx="62">
                  <c:v>2.9626702727681836E-3</c:v>
                </c:pt>
                <c:pt idx="63">
                  <c:v>2.9643596699127019E-3</c:v>
                </c:pt>
                <c:pt idx="64">
                  <c:v>2.9711172584907745E-3</c:v>
                </c:pt>
                <c:pt idx="65">
                  <c:v>2.9728066556352927E-3</c:v>
                </c:pt>
                <c:pt idx="66">
                  <c:v>2.974496052779811E-3</c:v>
                </c:pt>
                <c:pt idx="67">
                  <c:v>2.9761854499243292E-3</c:v>
                </c:pt>
                <c:pt idx="68">
                  <c:v>2.9778748470688475E-3</c:v>
                </c:pt>
                <c:pt idx="69">
                  <c:v>2.9829430385024018E-3</c:v>
                </c:pt>
                <c:pt idx="70">
                  <c:v>2.9846324356469201E-3</c:v>
                </c:pt>
                <c:pt idx="71">
                  <c:v>2.9863218327914384E-3</c:v>
                </c:pt>
                <c:pt idx="72">
                  <c:v>2.9880112299359566E-3</c:v>
                </c:pt>
                <c:pt idx="73">
                  <c:v>2.9897006270804749E-3</c:v>
                </c:pt>
                <c:pt idx="74">
                  <c:v>2.9947688185140292E-3</c:v>
                </c:pt>
                <c:pt idx="75">
                  <c:v>2.9964582156585475E-3</c:v>
                </c:pt>
                <c:pt idx="76">
                  <c:v>2.9981476128030657E-3</c:v>
                </c:pt>
                <c:pt idx="77">
                  <c:v>2.999837009947584E-3</c:v>
                </c:pt>
                <c:pt idx="78">
                  <c:v>3.0015264070921018E-3</c:v>
                </c:pt>
                <c:pt idx="79">
                  <c:v>3.0065945985256566E-3</c:v>
                </c:pt>
                <c:pt idx="80">
                  <c:v>3.0082839956701748E-3</c:v>
                </c:pt>
                <c:pt idx="81">
                  <c:v>3.0099733928146931E-3</c:v>
                </c:pt>
                <c:pt idx="82">
                  <c:v>3.0116627899592109E-3</c:v>
                </c:pt>
                <c:pt idx="83">
                  <c:v>3.0133521871037292E-3</c:v>
                </c:pt>
                <c:pt idx="84">
                  <c:v>3.0184203785372839E-3</c:v>
                </c:pt>
                <c:pt idx="85">
                  <c:v>3.0201097756818022E-3</c:v>
                </c:pt>
                <c:pt idx="86">
                  <c:v>3.0217991728263205E-3</c:v>
                </c:pt>
                <c:pt idx="87">
                  <c:v>3.0234885699708383E-3</c:v>
                </c:pt>
                <c:pt idx="88">
                  <c:v>3.0251779671153565E-3</c:v>
                </c:pt>
                <c:pt idx="89">
                  <c:v>3.0302461585489113E-3</c:v>
                </c:pt>
                <c:pt idx="90">
                  <c:v>3.0319355556934296E-3</c:v>
                </c:pt>
                <c:pt idx="91">
                  <c:v>3.0336249528379474E-3</c:v>
                </c:pt>
                <c:pt idx="92">
                  <c:v>3.0353143499824656E-3</c:v>
                </c:pt>
                <c:pt idx="93">
                  <c:v>3.0370037471269839E-3</c:v>
                </c:pt>
                <c:pt idx="94">
                  <c:v>3.0420719385605387E-3</c:v>
                </c:pt>
                <c:pt idx="95">
                  <c:v>3.0437613357050565E-3</c:v>
                </c:pt>
                <c:pt idx="96">
                  <c:v>3.0454507328495748E-3</c:v>
                </c:pt>
                <c:pt idx="97">
                  <c:v>3.047140129994093E-3</c:v>
                </c:pt>
                <c:pt idx="98">
                  <c:v>3.0488295271386113E-3</c:v>
                </c:pt>
                <c:pt idx="99">
                  <c:v>3.053897718572166E-3</c:v>
                </c:pt>
                <c:pt idx="100">
                  <c:v>3.0555871157166839E-3</c:v>
                </c:pt>
                <c:pt idx="101">
                  <c:v>3.0572765128612021E-3</c:v>
                </c:pt>
                <c:pt idx="102">
                  <c:v>3.0589659100057204E-3</c:v>
                </c:pt>
                <c:pt idx="103">
                  <c:v>3.0606553071502386E-3</c:v>
                </c:pt>
                <c:pt idx="104">
                  <c:v>3.0657234985837934E-3</c:v>
                </c:pt>
                <c:pt idx="105">
                  <c:v>3.0674128957283112E-3</c:v>
                </c:pt>
                <c:pt idx="106">
                  <c:v>3.0691022928728295E-3</c:v>
                </c:pt>
                <c:pt idx="107">
                  <c:v>3.0707916900173477E-3</c:v>
                </c:pt>
                <c:pt idx="108">
                  <c:v>3.072481087161866E-3</c:v>
                </c:pt>
                <c:pt idx="109">
                  <c:v>3.0775492785954203E-3</c:v>
                </c:pt>
                <c:pt idx="110">
                  <c:v>3.0792386757399386E-3</c:v>
                </c:pt>
                <c:pt idx="111">
                  <c:v>3.0809280728844569E-3</c:v>
                </c:pt>
                <c:pt idx="112">
                  <c:v>3.0826174700289751E-3</c:v>
                </c:pt>
                <c:pt idx="113">
                  <c:v>3.0843068671734934E-3</c:v>
                </c:pt>
                <c:pt idx="114">
                  <c:v>3.0893750586070477E-3</c:v>
                </c:pt>
                <c:pt idx="115">
                  <c:v>3.091064455751566E-3</c:v>
                </c:pt>
                <c:pt idx="116">
                  <c:v>3.0927538528960842E-3</c:v>
                </c:pt>
                <c:pt idx="117">
                  <c:v>3.0944432500406025E-3</c:v>
                </c:pt>
                <c:pt idx="118">
                  <c:v>3.0961326471851207E-3</c:v>
                </c:pt>
                <c:pt idx="119">
                  <c:v>3.1012008386186751E-3</c:v>
                </c:pt>
                <c:pt idx="120">
                  <c:v>3.1028902357631933E-3</c:v>
                </c:pt>
                <c:pt idx="121">
                  <c:v>3.1045796329077116E-3</c:v>
                </c:pt>
                <c:pt idx="122">
                  <c:v>3.1062690300522298E-3</c:v>
                </c:pt>
                <c:pt idx="123">
                  <c:v>3.1147160157748207E-3</c:v>
                </c:pt>
                <c:pt idx="124">
                  <c:v>3.116405412919339E-3</c:v>
                </c:pt>
                <c:pt idx="125">
                  <c:v>3.1180948100638572E-3</c:v>
                </c:pt>
                <c:pt idx="126">
                  <c:v>3.119784207208375E-3</c:v>
                </c:pt>
                <c:pt idx="127">
                  <c:v>3.1248523986419298E-3</c:v>
                </c:pt>
                <c:pt idx="128">
                  <c:v>3.1265417957864481E-3</c:v>
                </c:pt>
                <c:pt idx="129">
                  <c:v>3.1282311929309663E-3</c:v>
                </c:pt>
                <c:pt idx="130">
                  <c:v>3.1299205900754846E-3</c:v>
                </c:pt>
                <c:pt idx="131">
                  <c:v>3.1316099872200024E-3</c:v>
                </c:pt>
                <c:pt idx="132">
                  <c:v>3.1366781786535572E-3</c:v>
                </c:pt>
                <c:pt idx="133">
                  <c:v>3.1383675757980754E-3</c:v>
                </c:pt>
                <c:pt idx="134">
                  <c:v>3.1400569729425933E-3</c:v>
                </c:pt>
                <c:pt idx="135">
                  <c:v>3.1417463700871115E-3</c:v>
                </c:pt>
                <c:pt idx="136">
                  <c:v>3.1434357672316298E-3</c:v>
                </c:pt>
                <c:pt idx="137">
                  <c:v>3.1485039586651845E-3</c:v>
                </c:pt>
                <c:pt idx="138">
                  <c:v>3.1501933558097028E-3</c:v>
                </c:pt>
                <c:pt idx="139">
                  <c:v>3.1518827529542206E-3</c:v>
                </c:pt>
                <c:pt idx="140">
                  <c:v>3.1535721500987389E-3</c:v>
                </c:pt>
                <c:pt idx="141">
                  <c:v>3.1552615472432571E-3</c:v>
                </c:pt>
                <c:pt idx="142">
                  <c:v>3.1603297386768119E-3</c:v>
                </c:pt>
                <c:pt idx="143">
                  <c:v>3.1620191358213302E-3</c:v>
                </c:pt>
                <c:pt idx="144">
                  <c:v>3.163708532965848E-3</c:v>
                </c:pt>
                <c:pt idx="145">
                  <c:v>3.1653979301103662E-3</c:v>
                </c:pt>
                <c:pt idx="146">
                  <c:v>3.1670873272548845E-3</c:v>
                </c:pt>
                <c:pt idx="147">
                  <c:v>3.1721555186884393E-3</c:v>
                </c:pt>
                <c:pt idx="148">
                  <c:v>3.1738449158329571E-3</c:v>
                </c:pt>
                <c:pt idx="149">
                  <c:v>3.1755343129774754E-3</c:v>
                </c:pt>
                <c:pt idx="150">
                  <c:v>3.1772237101219936E-3</c:v>
                </c:pt>
                <c:pt idx="151">
                  <c:v>3.1789131072665119E-3</c:v>
                </c:pt>
                <c:pt idx="152">
                  <c:v>3.1839812987000662E-3</c:v>
                </c:pt>
                <c:pt idx="153">
                  <c:v>3.1856706958445845E-3</c:v>
                </c:pt>
                <c:pt idx="154">
                  <c:v>3.1873600929891027E-3</c:v>
                </c:pt>
                <c:pt idx="155">
                  <c:v>3.189049490133621E-3</c:v>
                </c:pt>
                <c:pt idx="156">
                  <c:v>3.1907388872781392E-3</c:v>
                </c:pt>
                <c:pt idx="157">
                  <c:v>3.1958070787116936E-3</c:v>
                </c:pt>
                <c:pt idx="158">
                  <c:v>3.1974964758562118E-3</c:v>
                </c:pt>
                <c:pt idx="159">
                  <c:v>3.1991858730007301E-3</c:v>
                </c:pt>
                <c:pt idx="160">
                  <c:v>3.2008752701452483E-3</c:v>
                </c:pt>
                <c:pt idx="161">
                  <c:v>3.2025646672897666E-3</c:v>
                </c:pt>
                <c:pt idx="162">
                  <c:v>3.2076328587233209E-3</c:v>
                </c:pt>
                <c:pt idx="163">
                  <c:v>3.2093222558678392E-3</c:v>
                </c:pt>
                <c:pt idx="164">
                  <c:v>3.2110116530123575E-3</c:v>
                </c:pt>
                <c:pt idx="165">
                  <c:v>3.2127010501568757E-3</c:v>
                </c:pt>
                <c:pt idx="166">
                  <c:v>3.214390447301394E-3</c:v>
                </c:pt>
                <c:pt idx="167">
                  <c:v>3.2194586387349483E-3</c:v>
                </c:pt>
                <c:pt idx="168">
                  <c:v>3.2211480358794666E-3</c:v>
                </c:pt>
                <c:pt idx="169">
                  <c:v>3.2228374330239848E-3</c:v>
                </c:pt>
                <c:pt idx="170">
                  <c:v>3.2245268301685031E-3</c:v>
                </c:pt>
                <c:pt idx="171">
                  <c:v>3.2262162273130213E-3</c:v>
                </c:pt>
                <c:pt idx="172">
                  <c:v>3.2312844187465757E-3</c:v>
                </c:pt>
                <c:pt idx="173">
                  <c:v>3.2329738158910939E-3</c:v>
                </c:pt>
                <c:pt idx="174">
                  <c:v>3.2346632130356122E-3</c:v>
                </c:pt>
                <c:pt idx="175">
                  <c:v>3.23635261018013E-3</c:v>
                </c:pt>
                <c:pt idx="176">
                  <c:v>3.2380420073246483E-3</c:v>
                </c:pt>
                <c:pt idx="177">
                  <c:v>3.243110198758203E-3</c:v>
                </c:pt>
                <c:pt idx="178">
                  <c:v>3.2447995959027213E-3</c:v>
                </c:pt>
                <c:pt idx="179">
                  <c:v>3.2464889930472396E-3</c:v>
                </c:pt>
                <c:pt idx="180">
                  <c:v>3.2481783901917574E-3</c:v>
                </c:pt>
                <c:pt idx="181">
                  <c:v>3.2498677873362756E-3</c:v>
                </c:pt>
                <c:pt idx="182">
                  <c:v>3.2549359787698304E-3</c:v>
                </c:pt>
                <c:pt idx="183">
                  <c:v>3.2566253759143487E-3</c:v>
                </c:pt>
                <c:pt idx="184">
                  <c:v>3.2583147730588669E-3</c:v>
                </c:pt>
                <c:pt idx="185">
                  <c:v>3.2600041702033847E-3</c:v>
                </c:pt>
                <c:pt idx="186">
                  <c:v>3.261693567347903E-3</c:v>
                </c:pt>
                <c:pt idx="187">
                  <c:v>3.2667617587814578E-3</c:v>
                </c:pt>
                <c:pt idx="188">
                  <c:v>3.268451155925976E-3</c:v>
                </c:pt>
                <c:pt idx="189">
                  <c:v>3.2701405530704943E-3</c:v>
                </c:pt>
                <c:pt idx="190">
                  <c:v>3.2718299502150121E-3</c:v>
                </c:pt>
                <c:pt idx="191">
                  <c:v>3.2735193473595304E-3</c:v>
                </c:pt>
                <c:pt idx="192">
                  <c:v>3.2785875387930851E-3</c:v>
                </c:pt>
                <c:pt idx="193">
                  <c:v>3.2802769359376034E-3</c:v>
                </c:pt>
                <c:pt idx="194">
                  <c:v>3.2819663330821212E-3</c:v>
                </c:pt>
                <c:pt idx="195">
                  <c:v>3.2836557302266395E-3</c:v>
                </c:pt>
                <c:pt idx="196">
                  <c:v>3.2853451273711577E-3</c:v>
                </c:pt>
                <c:pt idx="197">
                  <c:v>3.2904133188047125E-3</c:v>
                </c:pt>
                <c:pt idx="198">
                  <c:v>3.2921027159492303E-3</c:v>
                </c:pt>
                <c:pt idx="199">
                  <c:v>3.2937921130937486E-3</c:v>
                </c:pt>
                <c:pt idx="200">
                  <c:v>3.2954815102382668E-3</c:v>
                </c:pt>
                <c:pt idx="201">
                  <c:v>3.2971709073827851E-3</c:v>
                </c:pt>
                <c:pt idx="202">
                  <c:v>3.3022390988163399E-3</c:v>
                </c:pt>
                <c:pt idx="203">
                  <c:v>3.3039284959608577E-3</c:v>
                </c:pt>
                <c:pt idx="204">
                  <c:v>3.305617893105376E-3</c:v>
                </c:pt>
                <c:pt idx="205">
                  <c:v>3.3073072902498942E-3</c:v>
                </c:pt>
                <c:pt idx="206">
                  <c:v>3.3089966873944125E-3</c:v>
                </c:pt>
                <c:pt idx="207">
                  <c:v>3.3140648788279668E-3</c:v>
                </c:pt>
                <c:pt idx="208">
                  <c:v>3.3157542759724851E-3</c:v>
                </c:pt>
                <c:pt idx="209">
                  <c:v>3.3174436731170033E-3</c:v>
                </c:pt>
                <c:pt idx="210">
                  <c:v>3.3191330702615216E-3</c:v>
                </c:pt>
                <c:pt idx="211">
                  <c:v>3.3208224674060398E-3</c:v>
                </c:pt>
                <c:pt idx="212">
                  <c:v>3.3258906588395942E-3</c:v>
                </c:pt>
                <c:pt idx="213">
                  <c:v>3.3275800559841124E-3</c:v>
                </c:pt>
                <c:pt idx="214">
                  <c:v>3.3292694531286307E-3</c:v>
                </c:pt>
                <c:pt idx="215">
                  <c:v>3.3309588502731489E-3</c:v>
                </c:pt>
                <c:pt idx="216">
                  <c:v>3.3326482474176668E-3</c:v>
                </c:pt>
                <c:pt idx="217">
                  <c:v>3.3377164388512215E-3</c:v>
                </c:pt>
                <c:pt idx="218">
                  <c:v>3.3394058359957398E-3</c:v>
                </c:pt>
                <c:pt idx="219">
                  <c:v>3.3410952331402581E-3</c:v>
                </c:pt>
                <c:pt idx="220">
                  <c:v>3.3427846302847763E-3</c:v>
                </c:pt>
                <c:pt idx="221">
                  <c:v>3.3444740274292941E-3</c:v>
                </c:pt>
                <c:pt idx="222">
                  <c:v>3.3495422188628489E-3</c:v>
                </c:pt>
                <c:pt idx="223">
                  <c:v>3.3512316160073672E-3</c:v>
                </c:pt>
                <c:pt idx="224">
                  <c:v>3.3529210131518854E-3</c:v>
                </c:pt>
                <c:pt idx="225">
                  <c:v>3.3546104102964037E-3</c:v>
                </c:pt>
                <c:pt idx="226">
                  <c:v>3.3562998074409215E-3</c:v>
                </c:pt>
                <c:pt idx="227">
                  <c:v>3.3613679988744763E-3</c:v>
                </c:pt>
                <c:pt idx="228">
                  <c:v>3.3630573960189945E-3</c:v>
                </c:pt>
                <c:pt idx="229">
                  <c:v>3.3647467931635128E-3</c:v>
                </c:pt>
                <c:pt idx="230">
                  <c:v>3.366436190308031E-3</c:v>
                </c:pt>
                <c:pt idx="231">
                  <c:v>3.3681255874525489E-3</c:v>
                </c:pt>
                <c:pt idx="232">
                  <c:v>3.3731937788861036E-3</c:v>
                </c:pt>
                <c:pt idx="233">
                  <c:v>3.3748831760306219E-3</c:v>
                </c:pt>
                <c:pt idx="234">
                  <c:v>3.3765725731751402E-3</c:v>
                </c:pt>
                <c:pt idx="235">
                  <c:v>3.3782619703196584E-3</c:v>
                </c:pt>
                <c:pt idx="236">
                  <c:v>3.3799513674641762E-3</c:v>
                </c:pt>
                <c:pt idx="237">
                  <c:v>3.385019558897731E-3</c:v>
                </c:pt>
                <c:pt idx="238">
                  <c:v>3.3867089560422493E-3</c:v>
                </c:pt>
                <c:pt idx="239">
                  <c:v>3.3883983531867671E-3</c:v>
                </c:pt>
                <c:pt idx="240">
                  <c:v>3.3900877503312853E-3</c:v>
                </c:pt>
                <c:pt idx="241">
                  <c:v>3.3917771474758036E-3</c:v>
                </c:pt>
                <c:pt idx="242">
                  <c:v>3.3968453389093584E-3</c:v>
                </c:pt>
                <c:pt idx="243">
                  <c:v>3.3985347360538766E-3</c:v>
                </c:pt>
                <c:pt idx="244">
                  <c:v>3.4002241331983945E-3</c:v>
                </c:pt>
                <c:pt idx="245">
                  <c:v>3.4019135303429127E-3</c:v>
                </c:pt>
                <c:pt idx="246">
                  <c:v>3.403602927487431E-3</c:v>
                </c:pt>
                <c:pt idx="247">
                  <c:v>3.4086711189209853E-3</c:v>
                </c:pt>
                <c:pt idx="248">
                  <c:v>3.4103605160655036E-3</c:v>
                </c:pt>
                <c:pt idx="249">
                  <c:v>3.4120499132100218E-3</c:v>
                </c:pt>
                <c:pt idx="250">
                  <c:v>3.4137393103545401E-3</c:v>
                </c:pt>
                <c:pt idx="251">
                  <c:v>3.4154287074990583E-3</c:v>
                </c:pt>
                <c:pt idx="252">
                  <c:v>3.4204968989326127E-3</c:v>
                </c:pt>
                <c:pt idx="253">
                  <c:v>3.4221862960771309E-3</c:v>
                </c:pt>
                <c:pt idx="254">
                  <c:v>3.4238756932216492E-3</c:v>
                </c:pt>
                <c:pt idx="255">
                  <c:v>3.4255650903661674E-3</c:v>
                </c:pt>
                <c:pt idx="256">
                  <c:v>3.4272544875106857E-3</c:v>
                </c:pt>
                <c:pt idx="257">
                  <c:v>3.43232267894424E-3</c:v>
                </c:pt>
                <c:pt idx="258">
                  <c:v>3.4340120760887583E-3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</c:numCache>
            </c:numRef>
          </c:cat>
          <c:val>
            <c:numRef>
              <c:f>'12MSynthDepo_allScenario'!$BN$6:$BN$264</c:f>
              <c:numCache>
                <c:formatCode>0.0000%</c:formatCode>
                <c:ptCount val="259"/>
                <c:pt idx="0">
                  <c:v>2.8629271133992027E-3</c:v>
                </c:pt>
                <c:pt idx="1">
                  <c:v>2.8667476030933186E-3</c:v>
                </c:pt>
                <c:pt idx="2">
                  <c:v>2.8680238388843777E-3</c:v>
                </c:pt>
                <c:pt idx="3">
                  <c:v>2.8693014442886132E-3</c:v>
                </c:pt>
                <c:pt idx="4">
                  <c:v>2.8705804193060267E-3</c:v>
                </c:pt>
                <c:pt idx="5">
                  <c:v>2.8718607639366162E-3</c:v>
                </c:pt>
                <c:pt idx="6">
                  <c:v>2.8757100155074474E-3</c:v>
                </c:pt>
                <c:pt idx="7">
                  <c:v>2.8769958385907448E-3</c:v>
                </c:pt>
                <c:pt idx="8">
                  <c:v>2.8782830312872195E-3</c:v>
                </c:pt>
                <c:pt idx="9">
                  <c:v>2.8795715935968705E-3</c:v>
                </c:pt>
                <c:pt idx="10">
                  <c:v>2.8808615255196987E-3</c:v>
                </c:pt>
                <c:pt idx="11">
                  <c:v>2.8847395389672448E-3</c:v>
                </c:pt>
                <c:pt idx="12">
                  <c:v>2.8860349493427806E-3</c:v>
                </c:pt>
                <c:pt idx="13">
                  <c:v>2.887331729331494E-3</c:v>
                </c:pt>
                <c:pt idx="14">
                  <c:v>2.8886298789333833E-3</c:v>
                </c:pt>
                <c:pt idx="15">
                  <c:v>2.8899293981484498E-3</c:v>
                </c:pt>
                <c:pt idx="16">
                  <c:v>2.8938361734727113E-3</c:v>
                </c:pt>
                <c:pt idx="17">
                  <c:v>2.8951411711404858E-3</c:v>
                </c:pt>
                <c:pt idx="18">
                  <c:v>2.8964475384214371E-3</c:v>
                </c:pt>
                <c:pt idx="19">
                  <c:v>2.8977552753155652E-3</c:v>
                </c:pt>
                <c:pt idx="20">
                  <c:v>2.89906438182287E-3</c:v>
                </c:pt>
                <c:pt idx="21">
                  <c:v>2.9029999190238469E-3</c:v>
                </c:pt>
                <c:pt idx="22">
                  <c:v>2.9043145039838593E-3</c:v>
                </c:pt>
                <c:pt idx="23">
                  <c:v>2.9056304585570493E-3</c:v>
                </c:pt>
                <c:pt idx="24">
                  <c:v>2.9069477827434157E-3</c:v>
                </c:pt>
                <c:pt idx="25">
                  <c:v>2.9082664765429592E-3</c:v>
                </c:pt>
                <c:pt idx="26">
                  <c:v>2.9122307756206511E-3</c:v>
                </c:pt>
                <c:pt idx="27">
                  <c:v>2.9135549478729022E-3</c:v>
                </c:pt>
                <c:pt idx="28">
                  <c:v>2.9148804897383305E-3</c:v>
                </c:pt>
                <c:pt idx="29">
                  <c:v>2.9162074012169352E-3</c:v>
                </c:pt>
                <c:pt idx="30">
                  <c:v>2.9175356823087171E-3</c:v>
                </c:pt>
                <c:pt idx="31">
                  <c:v>2.9215287432631243E-3</c:v>
                </c:pt>
                <c:pt idx="32">
                  <c:v>2.9228625028076142E-3</c:v>
                </c:pt>
                <c:pt idx="33">
                  <c:v>2.9241976319652804E-3</c:v>
                </c:pt>
                <c:pt idx="34">
                  <c:v>2.9255341307361233E-3</c:v>
                </c:pt>
                <c:pt idx="35">
                  <c:v>2.9268719991201435E-3</c:v>
                </c:pt>
                <c:pt idx="36">
                  <c:v>2.9308938219512661E-3</c:v>
                </c:pt>
                <c:pt idx="37">
                  <c:v>2.9322371687879943E-3</c:v>
                </c:pt>
                <c:pt idx="38">
                  <c:v>2.9335818852378988E-3</c:v>
                </c:pt>
                <c:pt idx="39">
                  <c:v>2.9349279713009806E-3</c:v>
                </c:pt>
                <c:pt idx="40">
                  <c:v>2.9362754269772391E-3</c:v>
                </c:pt>
                <c:pt idx="41">
                  <c:v>2.940326011685077E-3</c:v>
                </c:pt>
                <c:pt idx="42">
                  <c:v>2.9416789458140435E-3</c:v>
                </c:pt>
                <c:pt idx="43">
                  <c:v>2.9430332495561868E-3</c:v>
                </c:pt>
                <c:pt idx="44">
                  <c:v>2.9443889229115068E-3</c:v>
                </c:pt>
                <c:pt idx="45">
                  <c:v>2.9457459658800041E-3</c:v>
                </c:pt>
                <c:pt idx="46">
                  <c:v>2.9498253124645565E-3</c:v>
                </c:pt>
                <c:pt idx="47">
                  <c:v>2.9511878338857613E-3</c:v>
                </c:pt>
                <c:pt idx="48">
                  <c:v>2.9525517249201429E-3</c:v>
                </c:pt>
                <c:pt idx="49">
                  <c:v>2.9539169855677017E-3</c:v>
                </c:pt>
                <c:pt idx="50">
                  <c:v>2.9552836158284372E-3</c:v>
                </c:pt>
                <c:pt idx="51">
                  <c:v>2.9593917242897055E-3</c:v>
                </c:pt>
                <c:pt idx="52">
                  <c:v>2.9607638330031486E-3</c:v>
                </c:pt>
                <c:pt idx="53">
                  <c:v>2.9621373113297685E-3</c:v>
                </c:pt>
                <c:pt idx="54">
                  <c:v>2.9635121592695652E-3</c:v>
                </c:pt>
                <c:pt idx="55">
                  <c:v>2.9648883768225395E-3</c:v>
                </c:pt>
                <c:pt idx="56">
                  <c:v>2.9690252471605227E-3</c:v>
                </c:pt>
                <c:pt idx="57">
                  <c:v>2.9704069431662041E-3</c:v>
                </c:pt>
                <c:pt idx="58">
                  <c:v>2.9717900087850623E-3</c:v>
                </c:pt>
                <c:pt idx="59">
                  <c:v>2.9731744440170977E-3</c:v>
                </c:pt>
                <c:pt idx="60">
                  <c:v>2.9787258810770089E-3</c:v>
                </c:pt>
                <c:pt idx="61">
                  <c:v>2.9801171643749286E-3</c:v>
                </c:pt>
                <c:pt idx="62">
                  <c:v>2.9815098172860256E-3</c:v>
                </c:pt>
                <c:pt idx="63">
                  <c:v>2.9829038398102997E-3</c:v>
                </c:pt>
                <c:pt idx="64">
                  <c:v>2.9884936260391637E-3</c:v>
                </c:pt>
                <c:pt idx="65">
                  <c:v>2.9898944966293222E-3</c:v>
                </c:pt>
                <c:pt idx="66">
                  <c:v>2.9912967368326574E-3</c:v>
                </c:pt>
                <c:pt idx="67">
                  <c:v>2.9927003466491699E-3</c:v>
                </c:pt>
                <c:pt idx="68">
                  <c:v>2.9941053260788587E-3</c:v>
                </c:pt>
                <c:pt idx="69">
                  <c:v>2.9983284820469876E-3</c:v>
                </c:pt>
                <c:pt idx="70">
                  <c:v>2.9997389399293844E-3</c:v>
                </c:pt>
                <c:pt idx="71">
                  <c:v>3.001150767424958E-3</c:v>
                </c:pt>
                <c:pt idx="72">
                  <c:v>3.0025639645337087E-3</c:v>
                </c:pt>
                <c:pt idx="73">
                  <c:v>3.0039785312556363E-3</c:v>
                </c:pt>
                <c:pt idx="74">
                  <c:v>3.0082304491004805E-3</c:v>
                </c:pt>
                <c:pt idx="75">
                  <c:v>3.0096504942751156E-3</c:v>
                </c:pt>
                <c:pt idx="76">
                  <c:v>3.0110719090629275E-3</c:v>
                </c:pt>
                <c:pt idx="77">
                  <c:v>3.012494693463917E-3</c:v>
                </c:pt>
                <c:pt idx="78">
                  <c:v>3.0139188474780825E-3</c:v>
                </c:pt>
                <c:pt idx="79">
                  <c:v>3.0181995271996421E-3</c:v>
                </c:pt>
                <c:pt idx="80">
                  <c:v>3.0196291596665155E-3</c:v>
                </c:pt>
                <c:pt idx="81">
                  <c:v>3.0210601617465666E-3</c:v>
                </c:pt>
                <c:pt idx="82">
                  <c:v>3.0224925334397935E-3</c:v>
                </c:pt>
                <c:pt idx="83">
                  <c:v>3.0239262747461977E-3</c:v>
                </c:pt>
                <c:pt idx="84">
                  <c:v>3.0282357163444727E-3</c:v>
                </c:pt>
                <c:pt idx="85">
                  <c:v>3.0296749361035844E-3</c:v>
                </c:pt>
                <c:pt idx="86">
                  <c:v>3.0311155254758738E-3</c:v>
                </c:pt>
                <c:pt idx="87">
                  <c:v>3.0325574844613395E-3</c:v>
                </c:pt>
                <c:pt idx="88">
                  <c:v>3.034000813059982E-3</c:v>
                </c:pt>
                <c:pt idx="89">
                  <c:v>3.0383390165349719E-3</c:v>
                </c:pt>
                <c:pt idx="90">
                  <c:v>3.0397878235863219E-3</c:v>
                </c:pt>
                <c:pt idx="91">
                  <c:v>3.0412380002508496E-3</c:v>
                </c:pt>
                <c:pt idx="92">
                  <c:v>3.0426895465285536E-3</c:v>
                </c:pt>
                <c:pt idx="93">
                  <c:v>3.0441424624194349E-3</c:v>
                </c:pt>
                <c:pt idx="94">
                  <c:v>3.0485094277711397E-3</c:v>
                </c:pt>
                <c:pt idx="95">
                  <c:v>3.0499678221147285E-3</c:v>
                </c:pt>
                <c:pt idx="96">
                  <c:v>3.0514275860714945E-3</c:v>
                </c:pt>
                <c:pt idx="97">
                  <c:v>3.0528887196414373E-3</c:v>
                </c:pt>
                <c:pt idx="98">
                  <c:v>3.0543512228245568E-3</c:v>
                </c:pt>
                <c:pt idx="99">
                  <c:v>3.058746950052977E-3</c:v>
                </c:pt>
                <c:pt idx="100">
                  <c:v>3.0602149316888041E-3</c:v>
                </c:pt>
                <c:pt idx="101">
                  <c:v>3.0616842829378084E-3</c:v>
                </c:pt>
                <c:pt idx="102">
                  <c:v>3.0631550037999895E-3</c:v>
                </c:pt>
                <c:pt idx="103">
                  <c:v>3.0646270942753474E-3</c:v>
                </c:pt>
                <c:pt idx="104">
                  <c:v>3.069051583380483E-3</c:v>
                </c:pt>
                <c:pt idx="105">
                  <c:v>3.0705291523085488E-3</c:v>
                </c:pt>
                <c:pt idx="106">
                  <c:v>3.072008090849791E-3</c:v>
                </c:pt>
                <c:pt idx="107">
                  <c:v>3.0734883990042104E-3</c:v>
                </c:pt>
                <c:pt idx="108">
                  <c:v>3.0749700767718066E-3</c:v>
                </c:pt>
                <c:pt idx="109">
                  <c:v>3.0794233277536575E-3</c:v>
                </c:pt>
                <c:pt idx="110">
                  <c:v>3.0809104839739617E-3</c:v>
                </c:pt>
                <c:pt idx="111">
                  <c:v>3.0823990098074426E-3</c:v>
                </c:pt>
                <c:pt idx="112">
                  <c:v>3.0838889052541003E-3</c:v>
                </c:pt>
                <c:pt idx="113">
                  <c:v>3.0853801703139352E-3</c:v>
                </c:pt>
                <c:pt idx="114">
                  <c:v>3.0898621831725011E-3</c:v>
                </c:pt>
                <c:pt idx="115">
                  <c:v>3.0913589266850436E-3</c:v>
                </c:pt>
                <c:pt idx="116">
                  <c:v>3.0928570398107628E-3</c:v>
                </c:pt>
                <c:pt idx="117">
                  <c:v>3.0943565225496593E-3</c:v>
                </c:pt>
                <c:pt idx="118">
                  <c:v>3.0958573749017325E-3</c:v>
                </c:pt>
                <c:pt idx="119">
                  <c:v>3.1003681496370133E-3</c:v>
                </c:pt>
                <c:pt idx="120">
                  <c:v>3.1018744804417945E-3</c:v>
                </c:pt>
                <c:pt idx="121">
                  <c:v>3.1033821808597521E-3</c:v>
                </c:pt>
                <c:pt idx="122">
                  <c:v>3.1048912508908869E-3</c:v>
                </c:pt>
                <c:pt idx="123">
                  <c:v>3.1124571452442141E-3</c:v>
                </c:pt>
                <c:pt idx="124">
                  <c:v>3.1139744329544104E-3</c:v>
                </c:pt>
                <c:pt idx="125">
                  <c:v>3.1154930902777831E-3</c:v>
                </c:pt>
                <c:pt idx="126">
                  <c:v>3.1170131172143338E-3</c:v>
                </c:pt>
                <c:pt idx="127">
                  <c:v>3.1215814157030453E-3</c:v>
                </c:pt>
                <c:pt idx="128">
                  <c:v>3.1231069210923027E-3</c:v>
                </c:pt>
                <c:pt idx="129">
                  <c:v>3.1246337960947374E-3</c:v>
                </c:pt>
                <c:pt idx="130">
                  <c:v>3.1261620407103488E-3</c:v>
                </c:pt>
                <c:pt idx="131">
                  <c:v>3.1276916549391374E-3</c:v>
                </c:pt>
                <c:pt idx="132">
                  <c:v>3.1322887153045643E-3</c:v>
                </c:pt>
                <c:pt idx="133">
                  <c:v>3.13382380798606E-3</c:v>
                </c:pt>
                <c:pt idx="134">
                  <c:v>3.1353602702807329E-3</c:v>
                </c:pt>
                <c:pt idx="135">
                  <c:v>3.1368981021885826E-3</c:v>
                </c:pt>
                <c:pt idx="136">
                  <c:v>3.13843730370961E-3</c:v>
                </c:pt>
                <c:pt idx="137">
                  <c:v>3.1430631259517518E-3</c:v>
                </c:pt>
                <c:pt idx="138">
                  <c:v>3.1446078059254863E-3</c:v>
                </c:pt>
                <c:pt idx="139">
                  <c:v>3.1461538555123975E-3</c:v>
                </c:pt>
                <c:pt idx="140">
                  <c:v>3.1477012747124864E-3</c:v>
                </c:pt>
                <c:pt idx="141">
                  <c:v>3.1492500635257512E-3</c:v>
                </c:pt>
                <c:pt idx="142">
                  <c:v>3.1539046476446084E-3</c:v>
                </c:pt>
                <c:pt idx="143">
                  <c:v>3.1554589149105812E-3</c:v>
                </c:pt>
                <c:pt idx="144">
                  <c:v>3.1570145517897312E-3</c:v>
                </c:pt>
                <c:pt idx="145">
                  <c:v>3.1585715582820579E-3</c:v>
                </c:pt>
                <c:pt idx="146">
                  <c:v>3.1601299343875615E-3</c:v>
                </c:pt>
                <c:pt idx="147">
                  <c:v>3.1648132803831341E-3</c:v>
                </c:pt>
                <c:pt idx="148">
                  <c:v>3.1663771349413452E-3</c:v>
                </c:pt>
                <c:pt idx="149">
                  <c:v>3.1679423591127335E-3</c:v>
                </c:pt>
                <c:pt idx="150">
                  <c:v>3.169508952897299E-3</c:v>
                </c:pt>
                <c:pt idx="151">
                  <c:v>3.1710769162950408E-3</c:v>
                </c:pt>
                <c:pt idx="152">
                  <c:v>3.1757890241673283E-3</c:v>
                </c:pt>
                <c:pt idx="153">
                  <c:v>3.1773624660177782E-3</c:v>
                </c:pt>
                <c:pt idx="154">
                  <c:v>3.1789372774814052E-3</c:v>
                </c:pt>
                <c:pt idx="155">
                  <c:v>3.1805134585582086E-3</c:v>
                </c:pt>
                <c:pt idx="156">
                  <c:v>3.1820910092481888E-3</c:v>
                </c:pt>
                <c:pt idx="157">
                  <c:v>3.1868318789971917E-3</c:v>
                </c:pt>
                <c:pt idx="158">
                  <c:v>3.1884149081398798E-3</c:v>
                </c:pt>
                <c:pt idx="159">
                  <c:v>3.1899993068957447E-3</c:v>
                </c:pt>
                <c:pt idx="160">
                  <c:v>3.1915850752647868E-3</c:v>
                </c:pt>
                <c:pt idx="161">
                  <c:v>3.1931722132470058E-3</c:v>
                </c:pt>
                <c:pt idx="162">
                  <c:v>3.1979418448727236E-3</c:v>
                </c:pt>
                <c:pt idx="163">
                  <c:v>3.19953446130765E-3</c:v>
                </c:pt>
                <c:pt idx="164">
                  <c:v>3.2011284473557537E-3</c:v>
                </c:pt>
                <c:pt idx="165">
                  <c:v>3.2027238030170341E-3</c:v>
                </c:pt>
                <c:pt idx="166">
                  <c:v>3.2043205282914914E-3</c:v>
                </c:pt>
                <c:pt idx="167">
                  <c:v>3.2091189217939246E-3</c:v>
                </c:pt>
                <c:pt idx="168">
                  <c:v>3.2107211255210893E-3</c:v>
                </c:pt>
                <c:pt idx="169">
                  <c:v>3.2123246988614317E-3</c:v>
                </c:pt>
                <c:pt idx="170">
                  <c:v>3.2139296418149505E-3</c:v>
                </c:pt>
                <c:pt idx="171">
                  <c:v>3.215535954381646E-3</c:v>
                </c:pt>
                <c:pt idx="172">
                  <c:v>3.2203631097607946E-3</c:v>
                </c:pt>
                <c:pt idx="173">
                  <c:v>3.2219749007801977E-3</c:v>
                </c:pt>
                <c:pt idx="174">
                  <c:v>3.2235880614127784E-3</c:v>
                </c:pt>
                <c:pt idx="175">
                  <c:v>3.2252025916585355E-3</c:v>
                </c:pt>
                <c:pt idx="176">
                  <c:v>3.2268184915174693E-3</c:v>
                </c:pt>
                <c:pt idx="177">
                  <c:v>3.2316744087733332E-3</c:v>
                </c:pt>
                <c:pt idx="178">
                  <c:v>3.2332957870849751E-3</c:v>
                </c:pt>
                <c:pt idx="179">
                  <c:v>3.2349185350097937E-3</c:v>
                </c:pt>
                <c:pt idx="180">
                  <c:v>3.236542652547789E-3</c:v>
                </c:pt>
                <c:pt idx="181">
                  <c:v>3.2381681396989616E-3</c:v>
                </c:pt>
                <c:pt idx="182">
                  <c:v>3.2430528188315405E-3</c:v>
                </c:pt>
                <c:pt idx="183">
                  <c:v>3.2446837844354206E-3</c:v>
                </c:pt>
                <c:pt idx="184">
                  <c:v>3.246316119652478E-3</c:v>
                </c:pt>
                <c:pt idx="185">
                  <c:v>3.2479498244827117E-3</c:v>
                </c:pt>
                <c:pt idx="186">
                  <c:v>3.2495848989261226E-3</c:v>
                </c:pt>
                <c:pt idx="187">
                  <c:v>3.2544983399354168E-3</c:v>
                </c:pt>
                <c:pt idx="188">
                  <c:v>3.2561388928315357E-3</c:v>
                </c:pt>
                <c:pt idx="189">
                  <c:v>3.2577808153408309E-3</c:v>
                </c:pt>
                <c:pt idx="190">
                  <c:v>3.2594241074633034E-3</c:v>
                </c:pt>
                <c:pt idx="191">
                  <c:v>3.261068769198953E-3</c:v>
                </c:pt>
                <c:pt idx="192">
                  <c:v>3.2660109720849622E-3</c:v>
                </c:pt>
                <c:pt idx="193">
                  <c:v>3.2676611122733194E-3</c:v>
                </c:pt>
                <c:pt idx="194">
                  <c:v>3.2693126220748529E-3</c:v>
                </c:pt>
                <c:pt idx="195">
                  <c:v>3.2709655014895637E-3</c:v>
                </c:pt>
                <c:pt idx="196">
                  <c:v>3.2726197505174512E-3</c:v>
                </c:pt>
                <c:pt idx="197">
                  <c:v>3.2775907152801762E-3</c:v>
                </c:pt>
                <c:pt idx="198">
                  <c:v>3.2792504427607717E-3</c:v>
                </c:pt>
                <c:pt idx="199">
                  <c:v>3.280911539854544E-3</c:v>
                </c:pt>
                <c:pt idx="200">
                  <c:v>3.282574006561493E-3</c:v>
                </c:pt>
                <c:pt idx="201">
                  <c:v>3.2842378428816193E-3</c:v>
                </c:pt>
                <c:pt idx="202">
                  <c:v>3.2892375695210592E-3</c:v>
                </c:pt>
                <c:pt idx="203">
                  <c:v>3.290906884293893E-3</c:v>
                </c:pt>
                <c:pt idx="204">
                  <c:v>3.2925775686799036E-3</c:v>
                </c:pt>
                <c:pt idx="205">
                  <c:v>3.294249622679091E-3</c:v>
                </c:pt>
                <c:pt idx="206">
                  <c:v>3.295923046291456E-3</c:v>
                </c:pt>
                <c:pt idx="207">
                  <c:v>3.3009515348076108E-3</c:v>
                </c:pt>
                <c:pt idx="208">
                  <c:v>3.302630436872683E-3</c:v>
                </c:pt>
                <c:pt idx="209">
                  <c:v>3.3043107085509323E-3</c:v>
                </c:pt>
                <c:pt idx="210">
                  <c:v>3.305992349842358E-3</c:v>
                </c:pt>
                <c:pt idx="211">
                  <c:v>3.3076753607469613E-3</c:v>
                </c:pt>
                <c:pt idx="212">
                  <c:v>3.3127326111398315E-3</c:v>
                </c:pt>
                <c:pt idx="213">
                  <c:v>3.314421100497142E-3</c:v>
                </c:pt>
                <c:pt idx="214">
                  <c:v>3.3161109594676296E-3</c:v>
                </c:pt>
                <c:pt idx="215">
                  <c:v>3.3178021880512945E-3</c:v>
                </c:pt>
                <c:pt idx="216">
                  <c:v>3.3194947862481357E-3</c:v>
                </c:pt>
                <c:pt idx="217">
                  <c:v>3.3245807985177213E-3</c:v>
                </c:pt>
                <c:pt idx="218">
                  <c:v>3.32627887516727E-3</c:v>
                </c:pt>
                <c:pt idx="219">
                  <c:v>3.327978321429996E-3</c:v>
                </c:pt>
                <c:pt idx="220">
                  <c:v>3.3296791373058987E-3</c:v>
                </c:pt>
                <c:pt idx="221">
                  <c:v>3.3313813227949787E-3</c:v>
                </c:pt>
                <c:pt idx="222">
                  <c:v>3.3364960969412792E-3</c:v>
                </c:pt>
                <c:pt idx="223">
                  <c:v>3.3382037608830667E-3</c:v>
                </c:pt>
                <c:pt idx="224">
                  <c:v>3.339912794438031E-3</c:v>
                </c:pt>
                <c:pt idx="225">
                  <c:v>3.3416231976061725E-3</c:v>
                </c:pt>
                <c:pt idx="226">
                  <c:v>3.3433349703874903E-3</c:v>
                </c:pt>
                <c:pt idx="227">
                  <c:v>3.3484785064105066E-3</c:v>
                </c:pt>
                <c:pt idx="228">
                  <c:v>3.3501957576445324E-3</c:v>
                </c:pt>
                <c:pt idx="229">
                  <c:v>3.351914378491735E-3</c:v>
                </c:pt>
                <c:pt idx="230">
                  <c:v>3.3536343689521148E-3</c:v>
                </c:pt>
                <c:pt idx="231">
                  <c:v>3.3553557290256714E-3</c:v>
                </c:pt>
                <c:pt idx="232">
                  <c:v>3.3605280269254027E-3</c:v>
                </c:pt>
                <c:pt idx="233">
                  <c:v>3.3622548654516668E-3</c:v>
                </c:pt>
                <c:pt idx="234">
                  <c:v>3.3639830735911077E-3</c:v>
                </c:pt>
                <c:pt idx="235">
                  <c:v>3.3657126513437262E-3</c:v>
                </c:pt>
                <c:pt idx="236">
                  <c:v>3.3674435987095207E-3</c:v>
                </c:pt>
                <c:pt idx="237">
                  <c:v>3.3726446584859673E-3</c:v>
                </c:pt>
                <c:pt idx="238">
                  <c:v>3.3743810843044697E-3</c:v>
                </c:pt>
                <c:pt idx="239">
                  <c:v>3.3761188797361498E-3</c:v>
                </c:pt>
                <c:pt idx="240">
                  <c:v>3.3778580447810062E-3</c:v>
                </c:pt>
                <c:pt idx="241">
                  <c:v>3.3795985794390394E-3</c:v>
                </c:pt>
                <c:pt idx="242">
                  <c:v>3.384828401092201E-3</c:v>
                </c:pt>
                <c:pt idx="243">
                  <c:v>3.3865744142029422E-3</c:v>
                </c:pt>
                <c:pt idx="244">
                  <c:v>3.3883217969268601E-3</c:v>
                </c:pt>
                <c:pt idx="245">
                  <c:v>3.3900705492639549E-3</c:v>
                </c:pt>
                <c:pt idx="246">
                  <c:v>3.3918206712142268E-3</c:v>
                </c:pt>
                <c:pt idx="247">
                  <c:v>3.3970792547441037E-3</c:v>
                </c:pt>
                <c:pt idx="248">
                  <c:v>3.3988348551470828E-3</c:v>
                </c:pt>
                <c:pt idx="249">
                  <c:v>3.4005918251632395E-3</c:v>
                </c:pt>
                <c:pt idx="250">
                  <c:v>3.402350164792573E-3</c:v>
                </c:pt>
                <c:pt idx="251">
                  <c:v>3.4041098740350828E-3</c:v>
                </c:pt>
                <c:pt idx="252">
                  <c:v>3.4093972194416751E-3</c:v>
                </c:pt>
                <c:pt idx="253">
                  <c:v>3.4111624071368929E-3</c:v>
                </c:pt>
                <c:pt idx="254">
                  <c:v>3.4129289644452879E-3</c:v>
                </c:pt>
                <c:pt idx="255">
                  <c:v>3.4146968913668593E-3</c:v>
                </c:pt>
                <c:pt idx="256">
                  <c:v>3.4164661879016078E-3</c:v>
                </c:pt>
                <c:pt idx="257">
                  <c:v>3.4217822951849151E-3</c:v>
                </c:pt>
                <c:pt idx="258">
                  <c:v>3.4235570701723712E-3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</c:numCache>
            </c:numRef>
          </c:cat>
          <c:val>
            <c:numRef>
              <c:f>'12MSynthDepo_allScenario'!$BO$6:$BO$264</c:f>
              <c:numCache>
                <c:formatCode>0.0000%</c:formatCode>
                <c:ptCount val="259"/>
                <c:pt idx="0">
                  <c:v>2.7975977933832968E-3</c:v>
                </c:pt>
                <c:pt idx="1">
                  <c:v>2.8027983455946939E-3</c:v>
                </c:pt>
                <c:pt idx="2">
                  <c:v>2.8045318629984928E-3</c:v>
                </c:pt>
                <c:pt idx="3">
                  <c:v>2.8062653804022922E-3</c:v>
                </c:pt>
                <c:pt idx="4">
                  <c:v>2.8079988978060911E-3</c:v>
                </c:pt>
                <c:pt idx="5">
                  <c:v>2.8097324152098905E-3</c:v>
                </c:pt>
                <c:pt idx="6">
                  <c:v>2.8149329674212876E-3</c:v>
                </c:pt>
                <c:pt idx="7">
                  <c:v>2.8166664848250865E-3</c:v>
                </c:pt>
                <c:pt idx="8">
                  <c:v>2.8184000022288855E-3</c:v>
                </c:pt>
                <c:pt idx="9">
                  <c:v>2.8201335196326848E-3</c:v>
                </c:pt>
                <c:pt idx="10">
                  <c:v>2.8218670370364837E-3</c:v>
                </c:pt>
                <c:pt idx="11">
                  <c:v>2.8270675892478809E-3</c:v>
                </c:pt>
                <c:pt idx="12">
                  <c:v>2.8288011066516803E-3</c:v>
                </c:pt>
                <c:pt idx="13">
                  <c:v>2.8305346240554792E-3</c:v>
                </c:pt>
                <c:pt idx="14">
                  <c:v>2.8322681414592781E-3</c:v>
                </c:pt>
                <c:pt idx="15">
                  <c:v>2.8340016588630774E-3</c:v>
                </c:pt>
                <c:pt idx="16">
                  <c:v>2.8392022110744746E-3</c:v>
                </c:pt>
                <c:pt idx="17">
                  <c:v>2.8409357284782735E-3</c:v>
                </c:pt>
                <c:pt idx="18">
                  <c:v>2.8426692458820729E-3</c:v>
                </c:pt>
                <c:pt idx="19">
                  <c:v>2.8444027632858718E-3</c:v>
                </c:pt>
                <c:pt idx="20">
                  <c:v>2.8461362806896707E-3</c:v>
                </c:pt>
                <c:pt idx="21">
                  <c:v>2.8513368329010683E-3</c:v>
                </c:pt>
                <c:pt idx="22">
                  <c:v>2.8530703503048672E-3</c:v>
                </c:pt>
                <c:pt idx="23">
                  <c:v>2.8548038677086661E-3</c:v>
                </c:pt>
                <c:pt idx="24">
                  <c:v>2.8565373851124655E-3</c:v>
                </c:pt>
                <c:pt idx="25">
                  <c:v>2.8582709025162644E-3</c:v>
                </c:pt>
                <c:pt idx="26">
                  <c:v>2.8634714547276616E-3</c:v>
                </c:pt>
                <c:pt idx="27">
                  <c:v>2.8652049721314609E-3</c:v>
                </c:pt>
                <c:pt idx="28">
                  <c:v>2.8669384895352598E-3</c:v>
                </c:pt>
                <c:pt idx="29">
                  <c:v>2.8686720069390588E-3</c:v>
                </c:pt>
                <c:pt idx="30">
                  <c:v>2.8704055243428581E-3</c:v>
                </c:pt>
                <c:pt idx="31">
                  <c:v>2.8756060765542553E-3</c:v>
                </c:pt>
                <c:pt idx="32">
                  <c:v>2.8773395939580542E-3</c:v>
                </c:pt>
                <c:pt idx="33">
                  <c:v>2.8790731113618536E-3</c:v>
                </c:pt>
                <c:pt idx="34">
                  <c:v>2.8808066287656525E-3</c:v>
                </c:pt>
                <c:pt idx="35">
                  <c:v>2.8825401461694514E-3</c:v>
                </c:pt>
                <c:pt idx="36">
                  <c:v>2.8877406983808486E-3</c:v>
                </c:pt>
                <c:pt idx="37">
                  <c:v>2.8894742157846479E-3</c:v>
                </c:pt>
                <c:pt idx="38">
                  <c:v>2.8912077331884468E-3</c:v>
                </c:pt>
                <c:pt idx="39">
                  <c:v>2.8929412505922462E-3</c:v>
                </c:pt>
                <c:pt idx="40">
                  <c:v>2.8946747679960451E-3</c:v>
                </c:pt>
                <c:pt idx="41">
                  <c:v>2.8998753202074423E-3</c:v>
                </c:pt>
                <c:pt idx="42">
                  <c:v>2.9016088376112412E-3</c:v>
                </c:pt>
                <c:pt idx="43">
                  <c:v>2.9033423550150405E-3</c:v>
                </c:pt>
                <c:pt idx="44">
                  <c:v>2.9050758724188394E-3</c:v>
                </c:pt>
                <c:pt idx="45">
                  <c:v>2.9068093898226388E-3</c:v>
                </c:pt>
                <c:pt idx="46">
                  <c:v>2.912009942034036E-3</c:v>
                </c:pt>
                <c:pt idx="47">
                  <c:v>2.9137434594378349E-3</c:v>
                </c:pt>
                <c:pt idx="48">
                  <c:v>2.9154769768416338E-3</c:v>
                </c:pt>
                <c:pt idx="49">
                  <c:v>2.9172104942454332E-3</c:v>
                </c:pt>
                <c:pt idx="50">
                  <c:v>2.9189440116492321E-3</c:v>
                </c:pt>
                <c:pt idx="51">
                  <c:v>2.9241445638606292E-3</c:v>
                </c:pt>
                <c:pt idx="52">
                  <c:v>2.9258780812644286E-3</c:v>
                </c:pt>
                <c:pt idx="53">
                  <c:v>2.9276115986682275E-3</c:v>
                </c:pt>
                <c:pt idx="54">
                  <c:v>2.9293451160720264E-3</c:v>
                </c:pt>
                <c:pt idx="55">
                  <c:v>2.9310786334758258E-3</c:v>
                </c:pt>
                <c:pt idx="56">
                  <c:v>2.9362791856872229E-3</c:v>
                </c:pt>
                <c:pt idx="57">
                  <c:v>2.9380127030910219E-3</c:v>
                </c:pt>
                <c:pt idx="58">
                  <c:v>2.9397462204948212E-3</c:v>
                </c:pt>
                <c:pt idx="59">
                  <c:v>2.9414797378986201E-3</c:v>
                </c:pt>
                <c:pt idx="60">
                  <c:v>2.9484138075138167E-3</c:v>
                </c:pt>
                <c:pt idx="61">
                  <c:v>2.9501473249176156E-3</c:v>
                </c:pt>
                <c:pt idx="62">
                  <c:v>2.9518808423214145E-3</c:v>
                </c:pt>
                <c:pt idx="63">
                  <c:v>2.9536143597252138E-3</c:v>
                </c:pt>
                <c:pt idx="64">
                  <c:v>2.9605484293404099E-3</c:v>
                </c:pt>
                <c:pt idx="65">
                  <c:v>2.9622819467442093E-3</c:v>
                </c:pt>
                <c:pt idx="66">
                  <c:v>2.9640154641480082E-3</c:v>
                </c:pt>
                <c:pt idx="67">
                  <c:v>2.9657489815518071E-3</c:v>
                </c:pt>
                <c:pt idx="68">
                  <c:v>2.9674824989556065E-3</c:v>
                </c:pt>
                <c:pt idx="69">
                  <c:v>2.9726830511670036E-3</c:v>
                </c:pt>
                <c:pt idx="70">
                  <c:v>2.9744165685708025E-3</c:v>
                </c:pt>
                <c:pt idx="71">
                  <c:v>2.9761500859746019E-3</c:v>
                </c:pt>
                <c:pt idx="72">
                  <c:v>2.9778836033784008E-3</c:v>
                </c:pt>
                <c:pt idx="73">
                  <c:v>2.9796171207821997E-3</c:v>
                </c:pt>
                <c:pt idx="74">
                  <c:v>2.9848176729935969E-3</c:v>
                </c:pt>
                <c:pt idx="75">
                  <c:v>2.9865511903973962E-3</c:v>
                </c:pt>
                <c:pt idx="76">
                  <c:v>2.9882847078011952E-3</c:v>
                </c:pt>
                <c:pt idx="77">
                  <c:v>2.9900182252049945E-3</c:v>
                </c:pt>
                <c:pt idx="78">
                  <c:v>2.9917517426087934E-3</c:v>
                </c:pt>
                <c:pt idx="79">
                  <c:v>2.9969522948201906E-3</c:v>
                </c:pt>
                <c:pt idx="80">
                  <c:v>2.9986858122239895E-3</c:v>
                </c:pt>
                <c:pt idx="81">
                  <c:v>3.0004193296277889E-3</c:v>
                </c:pt>
                <c:pt idx="82">
                  <c:v>3.0021528470315878E-3</c:v>
                </c:pt>
                <c:pt idx="83">
                  <c:v>3.0038863644353871E-3</c:v>
                </c:pt>
                <c:pt idx="84">
                  <c:v>3.0090869166467843E-3</c:v>
                </c:pt>
                <c:pt idx="85">
                  <c:v>3.0108204340505832E-3</c:v>
                </c:pt>
                <c:pt idx="86">
                  <c:v>3.0125539514543821E-3</c:v>
                </c:pt>
                <c:pt idx="87">
                  <c:v>3.0142874688581815E-3</c:v>
                </c:pt>
                <c:pt idx="88">
                  <c:v>3.0160209862619804E-3</c:v>
                </c:pt>
                <c:pt idx="89">
                  <c:v>3.0212215384733776E-3</c:v>
                </c:pt>
                <c:pt idx="90">
                  <c:v>3.0229550558771769E-3</c:v>
                </c:pt>
                <c:pt idx="91">
                  <c:v>3.0246885732809758E-3</c:v>
                </c:pt>
                <c:pt idx="92">
                  <c:v>3.0264220906847748E-3</c:v>
                </c:pt>
                <c:pt idx="93">
                  <c:v>3.0281556080885741E-3</c:v>
                </c:pt>
                <c:pt idx="94">
                  <c:v>3.0333561602999713E-3</c:v>
                </c:pt>
                <c:pt idx="95">
                  <c:v>3.0350896777037702E-3</c:v>
                </c:pt>
                <c:pt idx="96">
                  <c:v>3.0368231951075696E-3</c:v>
                </c:pt>
                <c:pt idx="97">
                  <c:v>3.0385567125113685E-3</c:v>
                </c:pt>
                <c:pt idx="98">
                  <c:v>3.0402902299151674E-3</c:v>
                </c:pt>
                <c:pt idx="99">
                  <c:v>3.0454907821265646E-3</c:v>
                </c:pt>
                <c:pt idx="100">
                  <c:v>3.0472242995303639E-3</c:v>
                </c:pt>
                <c:pt idx="101">
                  <c:v>3.0489578169341628E-3</c:v>
                </c:pt>
                <c:pt idx="102">
                  <c:v>3.0506913343379622E-3</c:v>
                </c:pt>
                <c:pt idx="103">
                  <c:v>3.0524248517417611E-3</c:v>
                </c:pt>
                <c:pt idx="104">
                  <c:v>3.0576254039531583E-3</c:v>
                </c:pt>
                <c:pt idx="105">
                  <c:v>3.0593589213569576E-3</c:v>
                </c:pt>
                <c:pt idx="106">
                  <c:v>3.0610924387607565E-3</c:v>
                </c:pt>
                <c:pt idx="107">
                  <c:v>3.0628259561645554E-3</c:v>
                </c:pt>
                <c:pt idx="108">
                  <c:v>3.0645594735683548E-3</c:v>
                </c:pt>
                <c:pt idx="109">
                  <c:v>3.069760025779752E-3</c:v>
                </c:pt>
                <c:pt idx="110">
                  <c:v>3.0714935431835509E-3</c:v>
                </c:pt>
                <c:pt idx="111">
                  <c:v>3.0732270605873498E-3</c:v>
                </c:pt>
                <c:pt idx="112">
                  <c:v>3.0749605779911491E-3</c:v>
                </c:pt>
                <c:pt idx="113">
                  <c:v>3.0766940953949481E-3</c:v>
                </c:pt>
                <c:pt idx="114">
                  <c:v>3.0818946476063452E-3</c:v>
                </c:pt>
                <c:pt idx="115">
                  <c:v>3.0836281650101446E-3</c:v>
                </c:pt>
                <c:pt idx="116">
                  <c:v>3.0853616824139435E-3</c:v>
                </c:pt>
                <c:pt idx="117">
                  <c:v>3.0870951998177429E-3</c:v>
                </c:pt>
                <c:pt idx="118">
                  <c:v>3.0888287172215418E-3</c:v>
                </c:pt>
                <c:pt idx="119">
                  <c:v>3.0940292694329389E-3</c:v>
                </c:pt>
                <c:pt idx="120">
                  <c:v>3.0957627868367379E-3</c:v>
                </c:pt>
                <c:pt idx="121">
                  <c:v>3.0974963042405372E-3</c:v>
                </c:pt>
                <c:pt idx="122">
                  <c:v>3.0992298216443361E-3</c:v>
                </c:pt>
                <c:pt idx="123">
                  <c:v>3.1078974086633316E-3</c:v>
                </c:pt>
                <c:pt idx="124">
                  <c:v>3.1096309260671305E-3</c:v>
                </c:pt>
                <c:pt idx="125">
                  <c:v>3.1113644434709298E-3</c:v>
                </c:pt>
                <c:pt idx="126">
                  <c:v>3.1130979608747287E-3</c:v>
                </c:pt>
                <c:pt idx="127">
                  <c:v>3.1182985130861259E-3</c:v>
                </c:pt>
                <c:pt idx="128">
                  <c:v>3.1200320304899253E-3</c:v>
                </c:pt>
                <c:pt idx="129">
                  <c:v>3.1217655478937242E-3</c:v>
                </c:pt>
                <c:pt idx="130">
                  <c:v>3.1234990652975231E-3</c:v>
                </c:pt>
                <c:pt idx="131">
                  <c:v>3.1252325827013224E-3</c:v>
                </c:pt>
                <c:pt idx="132">
                  <c:v>3.1304331349127196E-3</c:v>
                </c:pt>
                <c:pt idx="133">
                  <c:v>3.1321666523165185E-3</c:v>
                </c:pt>
                <c:pt idx="134">
                  <c:v>3.1339001697203179E-3</c:v>
                </c:pt>
                <c:pt idx="135">
                  <c:v>3.1356336871241168E-3</c:v>
                </c:pt>
                <c:pt idx="136">
                  <c:v>3.1373672045279157E-3</c:v>
                </c:pt>
                <c:pt idx="137">
                  <c:v>3.1425677567393133E-3</c:v>
                </c:pt>
                <c:pt idx="138">
                  <c:v>3.1443012741431122E-3</c:v>
                </c:pt>
                <c:pt idx="139">
                  <c:v>3.1460347915469112E-3</c:v>
                </c:pt>
                <c:pt idx="140">
                  <c:v>3.1477683089507105E-3</c:v>
                </c:pt>
                <c:pt idx="141">
                  <c:v>3.1495018263545094E-3</c:v>
                </c:pt>
                <c:pt idx="142">
                  <c:v>3.1547023785659066E-3</c:v>
                </c:pt>
                <c:pt idx="143">
                  <c:v>3.1564358959697055E-3</c:v>
                </c:pt>
                <c:pt idx="144">
                  <c:v>3.1581694133735049E-3</c:v>
                </c:pt>
                <c:pt idx="145">
                  <c:v>3.1599029307773038E-3</c:v>
                </c:pt>
                <c:pt idx="146">
                  <c:v>3.1616364481811031E-3</c:v>
                </c:pt>
                <c:pt idx="147">
                  <c:v>3.1668370003925003E-3</c:v>
                </c:pt>
                <c:pt idx="148">
                  <c:v>3.1685705177962992E-3</c:v>
                </c:pt>
                <c:pt idx="149">
                  <c:v>3.1703040352000986E-3</c:v>
                </c:pt>
                <c:pt idx="150">
                  <c:v>3.1720375526038975E-3</c:v>
                </c:pt>
                <c:pt idx="151">
                  <c:v>3.1737710700076964E-3</c:v>
                </c:pt>
                <c:pt idx="152">
                  <c:v>3.1789716222190936E-3</c:v>
                </c:pt>
                <c:pt idx="153">
                  <c:v>3.1807051396228929E-3</c:v>
                </c:pt>
                <c:pt idx="154">
                  <c:v>3.1824386570266918E-3</c:v>
                </c:pt>
                <c:pt idx="155">
                  <c:v>3.1841721744304908E-3</c:v>
                </c:pt>
                <c:pt idx="156">
                  <c:v>3.1859056918342901E-3</c:v>
                </c:pt>
                <c:pt idx="157">
                  <c:v>3.1911062440456873E-3</c:v>
                </c:pt>
                <c:pt idx="158">
                  <c:v>3.1928397614494862E-3</c:v>
                </c:pt>
                <c:pt idx="159">
                  <c:v>3.1945732788532855E-3</c:v>
                </c:pt>
                <c:pt idx="160">
                  <c:v>3.1963067962570845E-3</c:v>
                </c:pt>
                <c:pt idx="161">
                  <c:v>3.1980403136608838E-3</c:v>
                </c:pt>
                <c:pt idx="162">
                  <c:v>3.203240865872281E-3</c:v>
                </c:pt>
                <c:pt idx="163">
                  <c:v>3.2049743832760799E-3</c:v>
                </c:pt>
                <c:pt idx="164">
                  <c:v>3.2067079006798788E-3</c:v>
                </c:pt>
                <c:pt idx="165">
                  <c:v>3.2084414180836782E-3</c:v>
                </c:pt>
                <c:pt idx="166">
                  <c:v>3.2101749354874771E-3</c:v>
                </c:pt>
                <c:pt idx="167">
                  <c:v>3.2153754876988743E-3</c:v>
                </c:pt>
                <c:pt idx="168">
                  <c:v>3.2171090051026736E-3</c:v>
                </c:pt>
                <c:pt idx="169">
                  <c:v>3.2188425225064725E-3</c:v>
                </c:pt>
                <c:pt idx="170">
                  <c:v>3.2205760399102714E-3</c:v>
                </c:pt>
                <c:pt idx="171">
                  <c:v>3.2223095573140708E-3</c:v>
                </c:pt>
                <c:pt idx="172">
                  <c:v>3.227510109525468E-3</c:v>
                </c:pt>
                <c:pt idx="173">
                  <c:v>3.2292436269292669E-3</c:v>
                </c:pt>
                <c:pt idx="174">
                  <c:v>3.2309771443330658E-3</c:v>
                </c:pt>
                <c:pt idx="175">
                  <c:v>3.2327106617368651E-3</c:v>
                </c:pt>
                <c:pt idx="176">
                  <c:v>3.2344441791406641E-3</c:v>
                </c:pt>
                <c:pt idx="177">
                  <c:v>3.2396447313520612E-3</c:v>
                </c:pt>
                <c:pt idx="178">
                  <c:v>3.2413782487558606E-3</c:v>
                </c:pt>
                <c:pt idx="179">
                  <c:v>3.2431117661596595E-3</c:v>
                </c:pt>
                <c:pt idx="180">
                  <c:v>3.2448452835634588E-3</c:v>
                </c:pt>
                <c:pt idx="181">
                  <c:v>3.2465788009672578E-3</c:v>
                </c:pt>
                <c:pt idx="182">
                  <c:v>3.2517793531786549E-3</c:v>
                </c:pt>
                <c:pt idx="183">
                  <c:v>3.2535128705824539E-3</c:v>
                </c:pt>
                <c:pt idx="184">
                  <c:v>3.2552463879862532E-3</c:v>
                </c:pt>
                <c:pt idx="185">
                  <c:v>3.2569799053900521E-3</c:v>
                </c:pt>
                <c:pt idx="186">
                  <c:v>3.2587134227938515E-3</c:v>
                </c:pt>
                <c:pt idx="187">
                  <c:v>3.2639139750052486E-3</c:v>
                </c:pt>
                <c:pt idx="188">
                  <c:v>3.2656474924090476E-3</c:v>
                </c:pt>
                <c:pt idx="189">
                  <c:v>3.2673810098128465E-3</c:v>
                </c:pt>
                <c:pt idx="190">
                  <c:v>3.2691145272166458E-3</c:v>
                </c:pt>
                <c:pt idx="191">
                  <c:v>3.2708480446204447E-3</c:v>
                </c:pt>
                <c:pt idx="192">
                  <c:v>3.2760485968318419E-3</c:v>
                </c:pt>
                <c:pt idx="193">
                  <c:v>3.2777821142356413E-3</c:v>
                </c:pt>
                <c:pt idx="194">
                  <c:v>3.2795156316394402E-3</c:v>
                </c:pt>
                <c:pt idx="195">
                  <c:v>3.2812491490432395E-3</c:v>
                </c:pt>
                <c:pt idx="196">
                  <c:v>3.2829826664470384E-3</c:v>
                </c:pt>
                <c:pt idx="197">
                  <c:v>3.2881832186584356E-3</c:v>
                </c:pt>
                <c:pt idx="198">
                  <c:v>3.2899167360622345E-3</c:v>
                </c:pt>
                <c:pt idx="199">
                  <c:v>3.2916502534660339E-3</c:v>
                </c:pt>
                <c:pt idx="200">
                  <c:v>3.2933837708698328E-3</c:v>
                </c:pt>
                <c:pt idx="201">
                  <c:v>3.2951172882736317E-3</c:v>
                </c:pt>
                <c:pt idx="202">
                  <c:v>3.3003178404850293E-3</c:v>
                </c:pt>
                <c:pt idx="203">
                  <c:v>3.3020513578888282E-3</c:v>
                </c:pt>
                <c:pt idx="204">
                  <c:v>3.3037848752926272E-3</c:v>
                </c:pt>
                <c:pt idx="205">
                  <c:v>3.3055183926964265E-3</c:v>
                </c:pt>
                <c:pt idx="206">
                  <c:v>3.3072519101002254E-3</c:v>
                </c:pt>
                <c:pt idx="207">
                  <c:v>3.3124524623116226E-3</c:v>
                </c:pt>
                <c:pt idx="208">
                  <c:v>3.3141859797154215E-3</c:v>
                </c:pt>
                <c:pt idx="209">
                  <c:v>3.3159194971192209E-3</c:v>
                </c:pt>
                <c:pt idx="210">
                  <c:v>3.3176530145230198E-3</c:v>
                </c:pt>
                <c:pt idx="211">
                  <c:v>3.3193865319268191E-3</c:v>
                </c:pt>
                <c:pt idx="212">
                  <c:v>3.3245870841382163E-3</c:v>
                </c:pt>
                <c:pt idx="213">
                  <c:v>3.3263206015420152E-3</c:v>
                </c:pt>
                <c:pt idx="214">
                  <c:v>3.3280541189458146E-3</c:v>
                </c:pt>
                <c:pt idx="215">
                  <c:v>3.3297876363496135E-3</c:v>
                </c:pt>
                <c:pt idx="216">
                  <c:v>3.3315211537534124E-3</c:v>
                </c:pt>
                <c:pt idx="217">
                  <c:v>3.33672170596481E-3</c:v>
                </c:pt>
                <c:pt idx="218">
                  <c:v>3.3384552233686089E-3</c:v>
                </c:pt>
                <c:pt idx="219">
                  <c:v>3.3401887407724078E-3</c:v>
                </c:pt>
                <c:pt idx="220">
                  <c:v>3.3419222581762068E-3</c:v>
                </c:pt>
                <c:pt idx="221">
                  <c:v>3.3436557755800061E-3</c:v>
                </c:pt>
                <c:pt idx="222">
                  <c:v>3.3488563277914033E-3</c:v>
                </c:pt>
                <c:pt idx="223">
                  <c:v>3.3505898451952022E-3</c:v>
                </c:pt>
                <c:pt idx="224">
                  <c:v>3.3523233625990015E-3</c:v>
                </c:pt>
                <c:pt idx="225">
                  <c:v>3.3540568800028005E-3</c:v>
                </c:pt>
                <c:pt idx="226">
                  <c:v>3.3557903974065998E-3</c:v>
                </c:pt>
                <c:pt idx="227">
                  <c:v>3.360990949617997E-3</c:v>
                </c:pt>
                <c:pt idx="228">
                  <c:v>3.3627244670217959E-3</c:v>
                </c:pt>
                <c:pt idx="229">
                  <c:v>3.3644579844255952E-3</c:v>
                </c:pt>
                <c:pt idx="230">
                  <c:v>3.3661915018293942E-3</c:v>
                </c:pt>
                <c:pt idx="231">
                  <c:v>3.3679250192331931E-3</c:v>
                </c:pt>
                <c:pt idx="232">
                  <c:v>3.3731255714445903E-3</c:v>
                </c:pt>
                <c:pt idx="233">
                  <c:v>3.3748590888483896E-3</c:v>
                </c:pt>
                <c:pt idx="234">
                  <c:v>3.3765926062521885E-3</c:v>
                </c:pt>
                <c:pt idx="235">
                  <c:v>3.3783261236559874E-3</c:v>
                </c:pt>
                <c:pt idx="236">
                  <c:v>3.3800596410597868E-3</c:v>
                </c:pt>
                <c:pt idx="237">
                  <c:v>3.385260193271184E-3</c:v>
                </c:pt>
                <c:pt idx="238">
                  <c:v>3.3869937106749829E-3</c:v>
                </c:pt>
                <c:pt idx="239">
                  <c:v>3.3887272280787818E-3</c:v>
                </c:pt>
                <c:pt idx="240">
                  <c:v>3.3904607454825811E-3</c:v>
                </c:pt>
                <c:pt idx="241">
                  <c:v>3.3921942628863801E-3</c:v>
                </c:pt>
                <c:pt idx="242">
                  <c:v>3.3973948150977772E-3</c:v>
                </c:pt>
                <c:pt idx="243">
                  <c:v>3.3991283325015766E-3</c:v>
                </c:pt>
                <c:pt idx="244">
                  <c:v>3.4008618499053755E-3</c:v>
                </c:pt>
                <c:pt idx="245">
                  <c:v>3.4025953673091748E-3</c:v>
                </c:pt>
                <c:pt idx="246">
                  <c:v>3.4043288847129738E-3</c:v>
                </c:pt>
                <c:pt idx="247">
                  <c:v>3.4095294369243709E-3</c:v>
                </c:pt>
                <c:pt idx="248">
                  <c:v>3.4112629543281703E-3</c:v>
                </c:pt>
                <c:pt idx="249">
                  <c:v>3.4129964717319692E-3</c:v>
                </c:pt>
                <c:pt idx="250">
                  <c:v>3.4147299891357681E-3</c:v>
                </c:pt>
                <c:pt idx="251">
                  <c:v>3.4164635065395675E-3</c:v>
                </c:pt>
                <c:pt idx="252">
                  <c:v>3.4216640587509646E-3</c:v>
                </c:pt>
                <c:pt idx="253">
                  <c:v>3.4233975761547636E-3</c:v>
                </c:pt>
                <c:pt idx="254">
                  <c:v>3.4251310935585625E-3</c:v>
                </c:pt>
                <c:pt idx="255">
                  <c:v>3.4268646109623618E-3</c:v>
                </c:pt>
                <c:pt idx="256">
                  <c:v>3.4285981283661607E-3</c:v>
                </c:pt>
                <c:pt idx="257">
                  <c:v>3.4337986805775579E-3</c:v>
                </c:pt>
                <c:pt idx="258">
                  <c:v>3.4355321979813573E-3</c:v>
                </c:pt>
              </c:numCache>
            </c:numRef>
          </c:val>
          <c:smooth val="0"/>
        </c:ser>
        <c:ser>
          <c:idx val="3"/>
          <c:order val="3"/>
          <c:spPr>
            <a:ln>
              <a:prstDash val="dash"/>
            </a:ln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</c:numCache>
            </c:numRef>
          </c:cat>
          <c:val>
            <c:numRef>
              <c:f>'12MSynthDepo_allScenario'!$BP$6:$BP$264</c:f>
              <c:numCache>
                <c:formatCode>0.0000%</c:formatCode>
                <c:ptCount val="259"/>
                <c:pt idx="0">
                  <c:v>2.8168693205633771E-3</c:v>
                </c:pt>
                <c:pt idx="1">
                  <c:v>2.8216395775347977E-3</c:v>
                </c:pt>
                <c:pt idx="2">
                  <c:v>2.8232305513948845E-3</c:v>
                </c:pt>
                <c:pt idx="3">
                  <c:v>2.8248219693564449E-3</c:v>
                </c:pt>
                <c:pt idx="4">
                  <c:v>2.8264138314194782E-3</c:v>
                </c:pt>
                <c:pt idx="5">
                  <c:v>2.8280061375839851E-3</c:v>
                </c:pt>
                <c:pt idx="6">
                  <c:v>2.8327857206863452E-3</c:v>
                </c:pt>
                <c:pt idx="7">
                  <c:v>2.8343798032567451E-3</c:v>
                </c:pt>
                <c:pt idx="8">
                  <c:v>2.8359743299286189E-3</c:v>
                </c:pt>
                <c:pt idx="9">
                  <c:v>2.8375693007019654E-3</c:v>
                </c:pt>
                <c:pt idx="10">
                  <c:v>2.8391647155767853E-3</c:v>
                </c:pt>
                <c:pt idx="11">
                  <c:v>2.8439536248100849E-3</c:v>
                </c:pt>
                <c:pt idx="12">
                  <c:v>2.8455508160907983E-3</c:v>
                </c:pt>
                <c:pt idx="13">
                  <c:v>2.8471484514729847E-3</c:v>
                </c:pt>
                <c:pt idx="14">
                  <c:v>2.8487465309566446E-3</c:v>
                </c:pt>
                <c:pt idx="15">
                  <c:v>2.850345054541778E-3</c:v>
                </c:pt>
                <c:pt idx="16">
                  <c:v>2.8551432899060173E-3</c:v>
                </c:pt>
                <c:pt idx="17">
                  <c:v>2.8567435898970437E-3</c:v>
                </c:pt>
                <c:pt idx="18">
                  <c:v>2.8583443339895436E-3</c:v>
                </c:pt>
                <c:pt idx="19">
                  <c:v>2.8599455221835161E-3</c:v>
                </c:pt>
                <c:pt idx="20">
                  <c:v>2.8615471544789629E-3</c:v>
                </c:pt>
                <c:pt idx="21">
                  <c:v>2.8663547159741417E-3</c:v>
                </c:pt>
                <c:pt idx="22">
                  <c:v>2.8679581246754812E-3</c:v>
                </c:pt>
                <c:pt idx="23">
                  <c:v>2.8695619774782941E-3</c:v>
                </c:pt>
                <c:pt idx="24">
                  <c:v>2.8711662743825805E-3</c:v>
                </c:pt>
                <c:pt idx="25">
                  <c:v>2.87277101538834E-3</c:v>
                </c:pt>
                <c:pt idx="26">
                  <c:v>2.8775879030144588E-3</c:v>
                </c:pt>
                <c:pt idx="27">
                  <c:v>2.8791944204261113E-3</c:v>
                </c:pt>
                <c:pt idx="28">
                  <c:v>2.8808013819392377E-3</c:v>
                </c:pt>
                <c:pt idx="29">
                  <c:v>2.8824087875538372E-3</c:v>
                </c:pt>
                <c:pt idx="30">
                  <c:v>2.8840166372699097E-3</c:v>
                </c:pt>
                <c:pt idx="31">
                  <c:v>2.8888428510269676E-3</c:v>
                </c:pt>
                <c:pt idx="32">
                  <c:v>2.8904524771489336E-3</c:v>
                </c:pt>
                <c:pt idx="33">
                  <c:v>2.8920625473723731E-3</c:v>
                </c:pt>
                <c:pt idx="34">
                  <c:v>2.8936730616972856E-3</c:v>
                </c:pt>
                <c:pt idx="35">
                  <c:v>2.8952840201236715E-3</c:v>
                </c:pt>
                <c:pt idx="36">
                  <c:v>2.900119560011669E-3</c:v>
                </c:pt>
                <c:pt idx="37">
                  <c:v>2.9017322948439485E-3</c:v>
                </c:pt>
                <c:pt idx="38">
                  <c:v>2.903345473777701E-3</c:v>
                </c:pt>
                <c:pt idx="39">
                  <c:v>2.9049590968129265E-3</c:v>
                </c:pt>
                <c:pt idx="40">
                  <c:v>2.9065731639496255E-3</c:v>
                </c:pt>
                <c:pt idx="41">
                  <c:v>2.911418029968563E-3</c:v>
                </c:pt>
                <c:pt idx="42">
                  <c:v>2.9130338735111555E-3</c:v>
                </c:pt>
                <c:pt idx="43">
                  <c:v>2.9146501611552211E-3</c:v>
                </c:pt>
                <c:pt idx="44">
                  <c:v>2.9162668929007601E-3</c:v>
                </c:pt>
                <c:pt idx="45">
                  <c:v>2.9178840687477726E-3</c:v>
                </c:pt>
                <c:pt idx="46">
                  <c:v>2.9227382608976492E-3</c:v>
                </c:pt>
                <c:pt idx="47">
                  <c:v>2.9243572131505548E-3</c:v>
                </c:pt>
                <c:pt idx="48">
                  <c:v>2.9259766095049333E-3</c:v>
                </c:pt>
                <c:pt idx="49">
                  <c:v>2.9275964499607858E-3</c:v>
                </c:pt>
                <c:pt idx="50">
                  <c:v>2.9292167345181114E-3</c:v>
                </c:pt>
                <c:pt idx="51">
                  <c:v>2.9340802527989276E-3</c:v>
                </c:pt>
                <c:pt idx="52">
                  <c:v>2.9357023137621466E-3</c:v>
                </c:pt>
                <c:pt idx="53">
                  <c:v>2.9373248188268382E-3</c:v>
                </c:pt>
                <c:pt idx="54">
                  <c:v>2.9389477679930042E-3</c:v>
                </c:pt>
                <c:pt idx="55">
                  <c:v>2.9405711612606423E-3</c:v>
                </c:pt>
                <c:pt idx="56">
                  <c:v>2.9454440056723985E-3</c:v>
                </c:pt>
                <c:pt idx="57">
                  <c:v>2.9470691753459301E-3</c:v>
                </c:pt>
                <c:pt idx="58">
                  <c:v>2.9486947891209357E-3</c:v>
                </c:pt>
                <c:pt idx="59">
                  <c:v>2.9503208469974142E-3</c:v>
                </c:pt>
                <c:pt idx="60">
                  <c:v>2.9568295195180616E-3</c:v>
                </c:pt>
                <c:pt idx="61">
                  <c:v>2.9584577979019067E-3</c:v>
                </c:pt>
                <c:pt idx="62">
                  <c:v>2.9600865203872253E-3</c:v>
                </c:pt>
                <c:pt idx="63">
                  <c:v>2.9617156869740169E-3</c:v>
                </c:pt>
                <c:pt idx="64">
                  <c:v>2.9682367943359169E-3</c:v>
                </c:pt>
                <c:pt idx="65">
                  <c:v>2.9698681814300755E-3</c:v>
                </c:pt>
                <c:pt idx="66">
                  <c:v>2.9715000126257071E-3</c:v>
                </c:pt>
                <c:pt idx="67">
                  <c:v>2.9731322879228118E-3</c:v>
                </c:pt>
                <c:pt idx="68">
                  <c:v>2.9747650073213903E-3</c:v>
                </c:pt>
                <c:pt idx="69">
                  <c:v>2.9796658301259652E-3</c:v>
                </c:pt>
                <c:pt idx="70">
                  <c:v>2.9813003259304364E-3</c:v>
                </c:pt>
                <c:pt idx="71">
                  <c:v>2.982935265836381E-3</c:v>
                </c:pt>
                <c:pt idx="72">
                  <c:v>2.9845706498437992E-3</c:v>
                </c:pt>
                <c:pt idx="73">
                  <c:v>2.9862064779526908E-3</c:v>
                </c:pt>
                <c:pt idx="74">
                  <c:v>2.9911166268882052E-3</c:v>
                </c:pt>
                <c:pt idx="75">
                  <c:v>2.9927542314029899E-3</c:v>
                </c:pt>
                <c:pt idx="76">
                  <c:v>2.9943922800192476E-3</c:v>
                </c:pt>
                <c:pt idx="77">
                  <c:v>2.9960307727369792E-3</c:v>
                </c:pt>
                <c:pt idx="78">
                  <c:v>2.9976697095561839E-3</c:v>
                </c:pt>
                <c:pt idx="79">
                  <c:v>3.0025891846226374E-3</c:v>
                </c:pt>
                <c:pt idx="80">
                  <c:v>3.0042298978477351E-3</c:v>
                </c:pt>
                <c:pt idx="81">
                  <c:v>3.0058710551743068E-3</c:v>
                </c:pt>
                <c:pt idx="82">
                  <c:v>3.007512656602351E-3</c:v>
                </c:pt>
                <c:pt idx="83">
                  <c:v>3.0091547021318687E-3</c:v>
                </c:pt>
                <c:pt idx="84">
                  <c:v>3.0140835033292623E-3</c:v>
                </c:pt>
                <c:pt idx="85">
                  <c:v>3.015727325264673E-3</c:v>
                </c:pt>
                <c:pt idx="86">
                  <c:v>3.0173715913015581E-3</c:v>
                </c:pt>
                <c:pt idx="87">
                  <c:v>3.0190163014399154E-3</c:v>
                </c:pt>
                <c:pt idx="88">
                  <c:v>3.0206614556797465E-3</c:v>
                </c:pt>
                <c:pt idx="89">
                  <c:v>3.0255995830080792E-3</c:v>
                </c:pt>
                <c:pt idx="90">
                  <c:v>3.0272465136538039E-3</c:v>
                </c:pt>
                <c:pt idx="91">
                  <c:v>3.0288938884010012E-3</c:v>
                </c:pt>
                <c:pt idx="92">
                  <c:v>3.0305417072496719E-3</c:v>
                </c:pt>
                <c:pt idx="93">
                  <c:v>3.0321899701998166E-3</c:v>
                </c:pt>
                <c:pt idx="94">
                  <c:v>3.0371374236590892E-3</c:v>
                </c:pt>
                <c:pt idx="95">
                  <c:v>3.0387874630151265E-3</c:v>
                </c:pt>
                <c:pt idx="96">
                  <c:v>3.0404379464726372E-3</c:v>
                </c:pt>
                <c:pt idx="97">
                  <c:v>3.042088874031621E-3</c:v>
                </c:pt>
                <c:pt idx="98">
                  <c:v>3.0437402456920787E-3</c:v>
                </c:pt>
                <c:pt idx="99">
                  <c:v>3.048697025282291E-3</c:v>
                </c:pt>
                <c:pt idx="100">
                  <c:v>3.0503501733486413E-3</c:v>
                </c:pt>
                <c:pt idx="101">
                  <c:v>3.0520037655164651E-3</c:v>
                </c:pt>
                <c:pt idx="102">
                  <c:v>3.0536578017857628E-3</c:v>
                </c:pt>
                <c:pt idx="103">
                  <c:v>3.0553122821565331E-3</c:v>
                </c:pt>
                <c:pt idx="104">
                  <c:v>3.0602783878776849E-3</c:v>
                </c:pt>
                <c:pt idx="105">
                  <c:v>3.0619346446543487E-3</c:v>
                </c:pt>
                <c:pt idx="106">
                  <c:v>3.0635913455324855E-3</c:v>
                </c:pt>
                <c:pt idx="107">
                  <c:v>3.0652484905120962E-3</c:v>
                </c:pt>
                <c:pt idx="108">
                  <c:v>3.06690607959318E-3</c:v>
                </c:pt>
                <c:pt idx="109">
                  <c:v>3.0718815114452714E-3</c:v>
                </c:pt>
                <c:pt idx="110">
                  <c:v>3.0735408769322482E-3</c:v>
                </c:pt>
                <c:pt idx="111">
                  <c:v>3.075200686520699E-3</c:v>
                </c:pt>
                <c:pt idx="112">
                  <c:v>3.0768609402106223E-3</c:v>
                </c:pt>
                <c:pt idx="113">
                  <c:v>3.0785216380020191E-3</c:v>
                </c:pt>
                <c:pt idx="114">
                  <c:v>3.0835063959850501E-3</c:v>
                </c:pt>
                <c:pt idx="115">
                  <c:v>3.0851688701823404E-3</c:v>
                </c:pt>
                <c:pt idx="116">
                  <c:v>3.0868317884811037E-3</c:v>
                </c:pt>
                <c:pt idx="117">
                  <c:v>3.0884951508813405E-3</c:v>
                </c:pt>
                <c:pt idx="118">
                  <c:v>3.0901589573830508E-3</c:v>
                </c:pt>
                <c:pt idx="119">
                  <c:v>3.0951530414970209E-3</c:v>
                </c:pt>
                <c:pt idx="120">
                  <c:v>3.0968186244046247E-3</c:v>
                </c:pt>
                <c:pt idx="121">
                  <c:v>3.0984846514137011E-3</c:v>
                </c:pt>
                <c:pt idx="122">
                  <c:v>3.1001511225242514E-3</c:v>
                </c:pt>
                <c:pt idx="123">
                  <c:v>3.1084901395991012E-3</c:v>
                </c:pt>
                <c:pt idx="124">
                  <c:v>3.110159275318491E-3</c:v>
                </c:pt>
                <c:pt idx="125">
                  <c:v>3.1118288551393539E-3</c:v>
                </c:pt>
                <c:pt idx="126">
                  <c:v>3.1134988790616908E-3</c:v>
                </c:pt>
                <c:pt idx="127">
                  <c:v>3.1185116154375404E-3</c:v>
                </c:pt>
                <c:pt idx="128">
                  <c:v>3.1201834157657702E-3</c:v>
                </c:pt>
                <c:pt idx="129">
                  <c:v>3.1218556601954731E-3</c:v>
                </c:pt>
                <c:pt idx="130">
                  <c:v>3.12352834872665E-3</c:v>
                </c:pt>
                <c:pt idx="131">
                  <c:v>3.1252014813592994E-3</c:v>
                </c:pt>
                <c:pt idx="132">
                  <c:v>3.1302235438660886E-3</c:v>
                </c:pt>
                <c:pt idx="133">
                  <c:v>3.1318984529046315E-3</c:v>
                </c:pt>
                <c:pt idx="134">
                  <c:v>3.1335738060446479E-3</c:v>
                </c:pt>
                <c:pt idx="135">
                  <c:v>3.1352496032861373E-3</c:v>
                </c:pt>
                <c:pt idx="136">
                  <c:v>3.1369258446291002E-3</c:v>
                </c:pt>
                <c:pt idx="137">
                  <c:v>3.1419572332668289E-3</c:v>
                </c:pt>
                <c:pt idx="138">
                  <c:v>3.1436352510156853E-3</c:v>
                </c:pt>
                <c:pt idx="139">
                  <c:v>3.1453137128660148E-3</c:v>
                </c:pt>
                <c:pt idx="140">
                  <c:v>3.1469926188178172E-3</c:v>
                </c:pt>
                <c:pt idx="141">
                  <c:v>3.1486719688710932E-3</c:v>
                </c:pt>
                <c:pt idx="142">
                  <c:v>3.1537126836397615E-3</c:v>
                </c:pt>
                <c:pt idx="143">
                  <c:v>3.1553938100989313E-3</c:v>
                </c:pt>
                <c:pt idx="144">
                  <c:v>3.1570753806595738E-3</c:v>
                </c:pt>
                <c:pt idx="145">
                  <c:v>3.1587573953216898E-3</c:v>
                </c:pt>
                <c:pt idx="146">
                  <c:v>3.1604398540852792E-3</c:v>
                </c:pt>
                <c:pt idx="147">
                  <c:v>3.165489894984887E-3</c:v>
                </c:pt>
                <c:pt idx="148">
                  <c:v>3.1671741301543695E-3</c:v>
                </c:pt>
                <c:pt idx="149">
                  <c:v>3.168858809425325E-3</c:v>
                </c:pt>
                <c:pt idx="150">
                  <c:v>3.170543932797754E-3</c:v>
                </c:pt>
                <c:pt idx="151">
                  <c:v>3.1722295002716569E-3</c:v>
                </c:pt>
                <c:pt idx="152">
                  <c:v>3.1772888673022043E-3</c:v>
                </c:pt>
                <c:pt idx="153">
                  <c:v>3.1789762111819999E-3</c:v>
                </c:pt>
                <c:pt idx="154">
                  <c:v>3.1806639991632689E-3</c:v>
                </c:pt>
                <c:pt idx="155">
                  <c:v>3.1823522312460113E-3</c:v>
                </c:pt>
                <c:pt idx="156">
                  <c:v>3.1840409074302268E-3</c:v>
                </c:pt>
                <c:pt idx="157">
                  <c:v>3.1891096005917138E-3</c:v>
                </c:pt>
                <c:pt idx="158">
                  <c:v>3.1908000531818228E-3</c:v>
                </c:pt>
                <c:pt idx="159">
                  <c:v>3.1924909498734053E-3</c:v>
                </c:pt>
                <c:pt idx="160">
                  <c:v>3.1941822906664608E-3</c:v>
                </c:pt>
                <c:pt idx="161">
                  <c:v>3.1958740755609893E-3</c:v>
                </c:pt>
                <c:pt idx="162">
                  <c:v>3.2009520948534159E-3</c:v>
                </c:pt>
                <c:pt idx="163">
                  <c:v>3.2026456561538384E-3</c:v>
                </c:pt>
                <c:pt idx="164">
                  <c:v>3.2043396615557339E-3</c:v>
                </c:pt>
                <c:pt idx="165">
                  <c:v>3.2060341110591024E-3</c:v>
                </c:pt>
                <c:pt idx="166">
                  <c:v>3.2077290046639445E-3</c:v>
                </c:pt>
                <c:pt idx="167">
                  <c:v>3.2128163500873106E-3</c:v>
                </c:pt>
                <c:pt idx="168">
                  <c:v>3.2145130200980461E-3</c:v>
                </c:pt>
                <c:pt idx="169">
                  <c:v>3.2162101342102546E-3</c:v>
                </c:pt>
                <c:pt idx="170">
                  <c:v>3.2179076924239362E-3</c:v>
                </c:pt>
                <c:pt idx="171">
                  <c:v>3.2196056947390917E-3</c:v>
                </c:pt>
                <c:pt idx="172">
                  <c:v>3.224702366293397E-3</c:v>
                </c:pt>
                <c:pt idx="173">
                  <c:v>3.2264021450144459E-3</c:v>
                </c:pt>
                <c:pt idx="174">
                  <c:v>3.2281023678369675E-3</c:v>
                </c:pt>
                <c:pt idx="175">
                  <c:v>3.2298030347609626E-3</c:v>
                </c:pt>
                <c:pt idx="176">
                  <c:v>3.2315041457864312E-3</c:v>
                </c:pt>
                <c:pt idx="177">
                  <c:v>3.2366101434716764E-3</c:v>
                </c:pt>
                <c:pt idx="178">
                  <c:v>3.238313030903038E-3</c:v>
                </c:pt>
                <c:pt idx="179">
                  <c:v>3.2400163624358731E-3</c:v>
                </c:pt>
                <c:pt idx="180">
                  <c:v>3.2417201380701816E-3</c:v>
                </c:pt>
                <c:pt idx="181">
                  <c:v>3.2434243578059632E-3</c:v>
                </c:pt>
                <c:pt idx="182">
                  <c:v>3.248539681622148E-3</c:v>
                </c:pt>
                <c:pt idx="183">
                  <c:v>3.2502456777638226E-3</c:v>
                </c:pt>
                <c:pt idx="184">
                  <c:v>3.2519521180069707E-3</c:v>
                </c:pt>
                <c:pt idx="185">
                  <c:v>3.2536590023515923E-3</c:v>
                </c:pt>
                <c:pt idx="186">
                  <c:v>3.255366330797687E-3</c:v>
                </c:pt>
                <c:pt idx="187">
                  <c:v>3.2604909807448113E-3</c:v>
                </c:pt>
                <c:pt idx="188">
                  <c:v>3.2622000855967994E-3</c:v>
                </c:pt>
                <c:pt idx="189">
                  <c:v>3.263909634550261E-3</c:v>
                </c:pt>
                <c:pt idx="190">
                  <c:v>3.2656196276051957E-3</c:v>
                </c:pt>
                <c:pt idx="191">
                  <c:v>3.2673300647616033E-3</c:v>
                </c:pt>
                <c:pt idx="192">
                  <c:v>3.2724640408396673E-3</c:v>
                </c:pt>
                <c:pt idx="193">
                  <c:v>3.2741762544019688E-3</c:v>
                </c:pt>
                <c:pt idx="194">
                  <c:v>3.2758889120657435E-3</c:v>
                </c:pt>
                <c:pt idx="195">
                  <c:v>3.2776020138309912E-3</c:v>
                </c:pt>
                <c:pt idx="196">
                  <c:v>3.2793155596977123E-3</c:v>
                </c:pt>
                <c:pt idx="197">
                  <c:v>3.2844588619067158E-3</c:v>
                </c:pt>
                <c:pt idx="198">
                  <c:v>3.2861741841793304E-3</c:v>
                </c:pt>
                <c:pt idx="199">
                  <c:v>3.2878899505534181E-3</c:v>
                </c:pt>
                <c:pt idx="200">
                  <c:v>3.2896061610289793E-3</c:v>
                </c:pt>
                <c:pt idx="201">
                  <c:v>3.2913228156060139E-3</c:v>
                </c:pt>
                <c:pt idx="202">
                  <c:v>3.2964754439459569E-3</c:v>
                </c:pt>
                <c:pt idx="203">
                  <c:v>3.2981938749288842E-3</c:v>
                </c:pt>
                <c:pt idx="204">
                  <c:v>3.2999127500132853E-3</c:v>
                </c:pt>
                <c:pt idx="205">
                  <c:v>3.3016320691991599E-3</c:v>
                </c:pt>
                <c:pt idx="206">
                  <c:v>3.3033518324865072E-3</c:v>
                </c:pt>
                <c:pt idx="207">
                  <c:v>3.3085137869573898E-3</c:v>
                </c:pt>
                <c:pt idx="208">
                  <c:v>3.3102353266506305E-3</c:v>
                </c:pt>
                <c:pt idx="209">
                  <c:v>3.3119573104453451E-3</c:v>
                </c:pt>
                <c:pt idx="210">
                  <c:v>3.3136797383415324E-3</c:v>
                </c:pt>
                <c:pt idx="211">
                  <c:v>3.3154026103391931E-3</c:v>
                </c:pt>
                <c:pt idx="212">
                  <c:v>3.3205738909410152E-3</c:v>
                </c:pt>
                <c:pt idx="213">
                  <c:v>3.322298539344569E-3</c:v>
                </c:pt>
                <c:pt idx="214">
                  <c:v>3.3240236318495967E-3</c:v>
                </c:pt>
                <c:pt idx="215">
                  <c:v>3.3257491684560974E-3</c:v>
                </c:pt>
                <c:pt idx="216">
                  <c:v>3.3274751491640712E-3</c:v>
                </c:pt>
                <c:pt idx="217">
                  <c:v>3.3326557558968329E-3</c:v>
                </c:pt>
                <c:pt idx="218">
                  <c:v>3.3343835130106997E-3</c:v>
                </c:pt>
                <c:pt idx="219">
                  <c:v>3.3361117142260408E-3</c:v>
                </c:pt>
                <c:pt idx="220">
                  <c:v>3.3378403595428546E-3</c:v>
                </c:pt>
                <c:pt idx="221">
                  <c:v>3.3395694489611414E-3</c:v>
                </c:pt>
                <c:pt idx="222">
                  <c:v>3.3447593818248427E-3</c:v>
                </c:pt>
                <c:pt idx="223">
                  <c:v>3.3464902476490234E-3</c:v>
                </c:pt>
                <c:pt idx="224">
                  <c:v>3.3482215575746772E-3</c:v>
                </c:pt>
                <c:pt idx="225">
                  <c:v>3.349953311601804E-3</c:v>
                </c:pt>
                <c:pt idx="226">
                  <c:v>3.3516855097304047E-3</c:v>
                </c:pt>
                <c:pt idx="227">
                  <c:v>3.3568847687250455E-3</c:v>
                </c:pt>
                <c:pt idx="228">
                  <c:v>3.3586187432595388E-3</c:v>
                </c:pt>
                <c:pt idx="229">
                  <c:v>3.3603531618955056E-3</c:v>
                </c:pt>
                <c:pt idx="230">
                  <c:v>3.3620880246329463E-3</c:v>
                </c:pt>
                <c:pt idx="231">
                  <c:v>3.3638233314718597E-3</c:v>
                </c:pt>
                <c:pt idx="232">
                  <c:v>3.3690319165974401E-3</c:v>
                </c:pt>
                <c:pt idx="233">
                  <c:v>3.3707689998422469E-3</c:v>
                </c:pt>
                <c:pt idx="234">
                  <c:v>3.3725065271885271E-3</c:v>
                </c:pt>
                <c:pt idx="235">
                  <c:v>3.3742444986362805E-3</c:v>
                </c:pt>
                <c:pt idx="236">
                  <c:v>3.3759829141855073E-3</c:v>
                </c:pt>
                <c:pt idx="237">
                  <c:v>3.3812008254420272E-3</c:v>
                </c:pt>
                <c:pt idx="238">
                  <c:v>3.3829410173971471E-3</c:v>
                </c:pt>
                <c:pt idx="239">
                  <c:v>3.38468165345374E-3</c:v>
                </c:pt>
                <c:pt idx="240">
                  <c:v>3.3864227336118072E-3</c:v>
                </c:pt>
                <c:pt idx="241">
                  <c:v>3.388164257871347E-3</c:v>
                </c:pt>
                <c:pt idx="242">
                  <c:v>3.3933914952588066E-3</c:v>
                </c:pt>
                <c:pt idx="243">
                  <c:v>3.3951347959242394E-3</c:v>
                </c:pt>
                <c:pt idx="244">
                  <c:v>3.3968785406911462E-3</c:v>
                </c:pt>
                <c:pt idx="245">
                  <c:v>3.3986227295595261E-3</c:v>
                </c:pt>
                <c:pt idx="246">
                  <c:v>3.400367362529379E-3</c:v>
                </c:pt>
                <c:pt idx="247">
                  <c:v>3.4056039260477781E-3</c:v>
                </c:pt>
                <c:pt idx="248">
                  <c:v>3.4073503354235249E-3</c:v>
                </c:pt>
                <c:pt idx="249">
                  <c:v>3.4090971889007443E-3</c:v>
                </c:pt>
                <c:pt idx="250">
                  <c:v>3.4108444864794371E-3</c:v>
                </c:pt>
                <c:pt idx="251">
                  <c:v>3.4125922281596039E-3</c:v>
                </c:pt>
                <c:pt idx="252">
                  <c:v>3.4178381178089426E-3</c:v>
                </c:pt>
                <c:pt idx="253">
                  <c:v>3.419587635895002E-3</c:v>
                </c:pt>
                <c:pt idx="254">
                  <c:v>3.4213375980825344E-3</c:v>
                </c:pt>
                <c:pt idx="255">
                  <c:v>3.4230880043715412E-3</c:v>
                </c:pt>
                <c:pt idx="256">
                  <c:v>3.4248388547620206E-3</c:v>
                </c:pt>
                <c:pt idx="257">
                  <c:v>3.4300940705422984E-3</c:v>
                </c:pt>
                <c:pt idx="258">
                  <c:v>3.4318466973386713E-3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'12MSynthDepo_allScenario'!$BQ$5</c:f>
              <c:strCache>
                <c:ptCount val="1"/>
                <c:pt idx="0">
                  <c:v>Contribution</c:v>
                </c:pt>
              </c:strCache>
            </c:strRef>
          </c:tx>
          <c:spPr>
            <a:ln w="31750"/>
          </c:spPr>
          <c:marker>
            <c:symbol val="none"/>
          </c:marker>
          <c:cat>
            <c:numRef>
              <c:f>'12MSynthDepo_allScenario'!$BC$6:$BC$264</c:f>
              <c:numCache>
                <c:formatCode>d\-mmm\-yy</c:formatCode>
                <c:ptCount val="259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</c:numCache>
            </c:numRef>
          </c:cat>
          <c:val>
            <c:numRef>
              <c:f>'12MSynthDepo_allScenario'!$BQ$6:$BQ$264</c:f>
              <c:numCache>
                <c:formatCode>0.0000%</c:formatCode>
                <c:ptCount val="259"/>
                <c:pt idx="0">
                  <c:v>2.829952187027222E-3</c:v>
                </c:pt>
                <c:pt idx="1">
                  <c:v>2.8345302578770015E-3</c:v>
                </c:pt>
                <c:pt idx="2">
                  <c:v>2.8360589341541549E-3</c:v>
                </c:pt>
                <c:pt idx="3">
                  <c:v>2.8375889290519754E-3</c:v>
                </c:pt>
                <c:pt idx="4">
                  <c:v>2.8391202379446953E-3</c:v>
                </c:pt>
                <c:pt idx="5">
                  <c:v>2.8406528562065487E-3</c:v>
                </c:pt>
                <c:pt idx="6">
                  <c:v>2.8452585209492293E-3</c:v>
                </c:pt>
                <c:pt idx="7">
                  <c:v>2.8467963304299386E-3</c:v>
                </c:pt>
                <c:pt idx="8">
                  <c:v>2.8483354261509435E-3</c:v>
                </c:pt>
                <c:pt idx="9">
                  <c:v>2.8498758034864761E-3</c:v>
                </c:pt>
                <c:pt idx="10">
                  <c:v>2.85141745781077E-3</c:v>
                </c:pt>
                <c:pt idx="11">
                  <c:v>2.8560500364585408E-3</c:v>
                </c:pt>
                <c:pt idx="12">
                  <c:v>2.8575967524802027E-3</c:v>
                </c:pt>
                <c:pt idx="13">
                  <c:v>2.859144722361789E-3</c:v>
                </c:pt>
                <c:pt idx="14">
                  <c:v>2.8606939414775306E-3</c:v>
                </c:pt>
                <c:pt idx="15">
                  <c:v>2.8622444052016625E-3</c:v>
                </c:pt>
                <c:pt idx="16">
                  <c:v>2.8669032177667132E-3</c:v>
                </c:pt>
                <c:pt idx="17">
                  <c:v>2.8684586136667246E-3</c:v>
                </c:pt>
                <c:pt idx="18">
                  <c:v>2.8700152310462889E-3</c:v>
                </c:pt>
                <c:pt idx="19">
                  <c:v>2.8715730652796364E-3</c:v>
                </c:pt>
                <c:pt idx="20">
                  <c:v>2.873132111741001E-3</c:v>
                </c:pt>
                <c:pt idx="21">
                  <c:v>2.8778164782355224E-3</c:v>
                </c:pt>
                <c:pt idx="22">
                  <c:v>2.8793803273512802E-3</c:v>
                </c:pt>
                <c:pt idx="23">
                  <c:v>2.8809453655662177E-3</c:v>
                </c:pt>
                <c:pt idx="24">
                  <c:v>2.8825115882545687E-3</c:v>
                </c:pt>
                <c:pt idx="25">
                  <c:v>2.8840789907905633E-3</c:v>
                </c:pt>
                <c:pt idx="26">
                  <c:v>2.8887882312267446E-3</c:v>
                </c:pt>
                <c:pt idx="27">
                  <c:v>2.8903603068956454E-3</c:v>
                </c:pt>
                <c:pt idx="28">
                  <c:v>2.8919335392833543E-3</c:v>
                </c:pt>
                <c:pt idx="29">
                  <c:v>2.8935079237641034E-3</c:v>
                </c:pt>
                <c:pt idx="30">
                  <c:v>2.8950834557121257E-3</c:v>
                </c:pt>
                <c:pt idx="31">
                  <c:v>2.8998168901021564E-3</c:v>
                </c:pt>
                <c:pt idx="32">
                  <c:v>2.9013969656615972E-3</c:v>
                </c:pt>
                <c:pt idx="33">
                  <c:v>2.9029781655594729E-3</c:v>
                </c:pt>
                <c:pt idx="34">
                  <c:v>2.9045604851700175E-3</c:v>
                </c:pt>
                <c:pt idx="35">
                  <c:v>2.9061439198674638E-3</c:v>
                </c:pt>
                <c:pt idx="36">
                  <c:v>2.910900868223534E-3</c:v>
                </c:pt>
                <c:pt idx="37">
                  <c:v>2.9124887170109107E-3</c:v>
                </c:pt>
                <c:pt idx="38">
                  <c:v>2.9140776577563513E-3</c:v>
                </c:pt>
                <c:pt idx="39">
                  <c:v>2.9156676858340877E-3</c:v>
                </c:pt>
                <c:pt idx="40">
                  <c:v>2.917258796618354E-3</c:v>
                </c:pt>
                <c:pt idx="41">
                  <c:v>2.9220385789526537E-3</c:v>
                </c:pt>
                <c:pt idx="42">
                  <c:v>2.9236339743053627E-3</c:v>
                </c:pt>
                <c:pt idx="43">
                  <c:v>2.9252304292357641E-3</c:v>
                </c:pt>
                <c:pt idx="44">
                  <c:v>2.9268279391180896E-3</c:v>
                </c:pt>
                <c:pt idx="45">
                  <c:v>2.9284264993265732E-3</c:v>
                </c:pt>
                <c:pt idx="46">
                  <c:v>2.9332284356512919E-3</c:v>
                </c:pt>
                <c:pt idx="47">
                  <c:v>2.93483115090673E-3</c:v>
                </c:pt>
                <c:pt idx="48">
                  <c:v>2.9364348933594887E-3</c:v>
                </c:pt>
                <c:pt idx="49">
                  <c:v>2.9380396583837997E-3</c:v>
                </c:pt>
                <c:pt idx="50">
                  <c:v>2.9396454413538964E-3</c:v>
                </c:pt>
                <c:pt idx="51">
                  <c:v>2.9444688516812247E-3</c:v>
                </c:pt>
                <c:pt idx="52">
                  <c:v>2.9460786601767886E-3</c:v>
                </c:pt>
                <c:pt idx="53">
                  <c:v>2.9476894634893011E-3</c:v>
                </c:pt>
                <c:pt idx="54">
                  <c:v>2.9493012569929947E-3</c:v>
                </c:pt>
                <c:pt idx="55">
                  <c:v>2.950914036062101E-3</c:v>
                </c:pt>
                <c:pt idx="56">
                  <c:v>2.9557582404042279E-3</c:v>
                </c:pt>
                <c:pt idx="57">
                  <c:v>2.9573749154773146E-3</c:v>
                </c:pt>
                <c:pt idx="58">
                  <c:v>2.9589925529869775E-3</c:v>
                </c:pt>
                <c:pt idx="59">
                  <c:v>2.9606111483074498E-3</c:v>
                </c:pt>
                <c:pt idx="60">
                  <c:v>2.967095015182079E-3</c:v>
                </c:pt>
                <c:pt idx="61">
                  <c:v>2.9687183301700848E-3</c:v>
                </c:pt>
                <c:pt idx="62">
                  <c:v>2.9703425752142945E-3</c:v>
                </c:pt>
                <c:pt idx="63">
                  <c:v>2.9719677456889419E-3</c:v>
                </c:pt>
                <c:pt idx="64">
                  <c:v>2.9784775893765534E-3</c:v>
                </c:pt>
                <c:pt idx="65">
                  <c:v>2.9801073176168747E-3</c:v>
                </c:pt>
                <c:pt idx="66">
                  <c:v>2.9817379435330285E-3</c:v>
                </c:pt>
                <c:pt idx="67">
                  <c:v>2.9833694624992473E-3</c:v>
                </c:pt>
                <c:pt idx="68">
                  <c:v>2.9850018698897645E-3</c:v>
                </c:pt>
                <c:pt idx="69">
                  <c:v>2.9899043763494271E-3</c:v>
                </c:pt>
                <c:pt idx="70">
                  <c:v>2.9915402911794607E-3</c:v>
                </c:pt>
                <c:pt idx="71">
                  <c:v>2.9931770713049551E-3</c:v>
                </c:pt>
                <c:pt idx="72">
                  <c:v>2.9948147121001425E-3</c:v>
                </c:pt>
                <c:pt idx="73">
                  <c:v>2.9964532089392561E-3</c:v>
                </c:pt>
                <c:pt idx="74">
                  <c:v>3.001373789462477E-3</c:v>
                </c:pt>
                <c:pt idx="75">
                  <c:v>3.0030156642196198E-3</c:v>
                </c:pt>
                <c:pt idx="76">
                  <c:v>3.0046583718918514E-3</c:v>
                </c:pt>
                <c:pt idx="77">
                  <c:v>3.0063019078534039E-3</c:v>
                </c:pt>
                <c:pt idx="78">
                  <c:v>3.0079462674785103E-3</c:v>
                </c:pt>
                <c:pt idx="79">
                  <c:v>3.01288424207748E-3</c:v>
                </c:pt>
                <c:pt idx="80">
                  <c:v>3.0145318500991278E-3</c:v>
                </c:pt>
                <c:pt idx="81">
                  <c:v>3.0161802586554922E-3</c:v>
                </c:pt>
                <c:pt idx="82">
                  <c:v>3.0178294631208074E-3</c:v>
                </c:pt>
                <c:pt idx="83">
                  <c:v>3.0194794588693035E-3</c:v>
                </c:pt>
                <c:pt idx="84">
                  <c:v>3.0244341475562106E-3</c:v>
                </c:pt>
                <c:pt idx="85">
                  <c:v>3.0260872621797608E-3</c:v>
                </c:pt>
                <c:pt idx="86">
                  <c:v>3.0277411449576557E-3</c:v>
                </c:pt>
                <c:pt idx="87">
                  <c:v>3.0293957912641287E-3</c:v>
                </c:pt>
                <c:pt idx="88">
                  <c:v>3.0310511964734112E-3</c:v>
                </c:pt>
                <c:pt idx="89">
                  <c:v>3.0360219192604463E-3</c:v>
                </c:pt>
                <c:pt idx="90">
                  <c:v>3.0376803138232955E-3</c:v>
                </c:pt>
                <c:pt idx="91">
                  <c:v>3.0393394441601174E-3</c:v>
                </c:pt>
                <c:pt idx="92">
                  <c:v>3.040999305645145E-3</c:v>
                </c:pt>
                <c:pt idx="93">
                  <c:v>3.0426598936526108E-3</c:v>
                </c:pt>
                <c:pt idx="94">
                  <c:v>3.0476459705519629E-3</c:v>
                </c:pt>
                <c:pt idx="95">
                  <c:v>3.0493094183915077E-3</c:v>
                </c:pt>
                <c:pt idx="96">
                  <c:v>3.0509735696246532E-3</c:v>
                </c:pt>
                <c:pt idx="97">
                  <c:v>3.0526384196256319E-3</c:v>
                </c:pt>
                <c:pt idx="98">
                  <c:v>3.0543039637686777E-3</c:v>
                </c:pt>
                <c:pt idx="99">
                  <c:v>3.0593047147925378E-3</c:v>
                </c:pt>
                <c:pt idx="100">
                  <c:v>3.0609729892461736E-3</c:v>
                </c:pt>
                <c:pt idx="101">
                  <c:v>3.0626419347130392E-3</c:v>
                </c:pt>
                <c:pt idx="102">
                  <c:v>3.0643115465673666E-3</c:v>
                </c:pt>
                <c:pt idx="103">
                  <c:v>3.0659818201833888E-3</c:v>
                </c:pt>
                <c:pt idx="104">
                  <c:v>3.0709965653439456E-3</c:v>
                </c:pt>
                <c:pt idx="105">
                  <c:v>3.0726694397490702E-3</c:v>
                </c:pt>
                <c:pt idx="106">
                  <c:v>3.0743429527870527E-3</c:v>
                </c:pt>
                <c:pt idx="107">
                  <c:v>3.0760170998321251E-3</c:v>
                </c:pt>
                <c:pt idx="108">
                  <c:v>3.0776918762585193E-3</c:v>
                </c:pt>
                <c:pt idx="109">
                  <c:v>3.0827199355679636E-3</c:v>
                </c:pt>
                <c:pt idx="110">
                  <c:v>3.0843971832619737E-3</c:v>
                </c:pt>
                <c:pt idx="111">
                  <c:v>3.0860750372084696E-3</c:v>
                </c:pt>
                <c:pt idx="112">
                  <c:v>3.087753492781683E-3</c:v>
                </c:pt>
                <c:pt idx="113">
                  <c:v>3.0894325453558469E-3</c:v>
                </c:pt>
                <c:pt idx="114">
                  <c:v>3.0944732388263679E-3</c:v>
                </c:pt>
                <c:pt idx="115">
                  <c:v>3.0961546331466599E-3</c:v>
                </c:pt>
                <c:pt idx="116">
                  <c:v>3.097836601339065E-3</c:v>
                </c:pt>
                <c:pt idx="117">
                  <c:v>3.0995191387778172E-3</c:v>
                </c:pt>
                <c:pt idx="118">
                  <c:v>3.1012022408371471E-3</c:v>
                </c:pt>
                <c:pt idx="119">
                  <c:v>3.1062548884809348E-3</c:v>
                </c:pt>
                <c:pt idx="120">
                  <c:v>3.1079402027649056E-3</c:v>
                </c:pt>
                <c:pt idx="121">
                  <c:v>3.1096260585406175E-3</c:v>
                </c:pt>
                <c:pt idx="122">
                  <c:v>3.1113124511823035E-3</c:v>
                </c:pt>
                <c:pt idx="123">
                  <c:v>3.1197523054784866E-3</c:v>
                </c:pt>
                <c:pt idx="124">
                  <c:v>3.121441822174901E-3</c:v>
                </c:pt>
                <c:pt idx="125">
                  <c:v>3.1231318433569185E-3</c:v>
                </c:pt>
                <c:pt idx="126">
                  <c:v>3.1248223643987709E-3</c:v>
                </c:pt>
                <c:pt idx="127">
                  <c:v>3.1298968804256617E-3</c:v>
                </c:pt>
                <c:pt idx="128">
                  <c:v>3.1315893546491791E-3</c:v>
                </c:pt>
                <c:pt idx="129">
                  <c:v>3.1332823056036941E-3</c:v>
                </c:pt>
                <c:pt idx="130">
                  <c:v>3.1349757286634385E-3</c:v>
                </c:pt>
                <c:pt idx="131">
                  <c:v>3.136669619202647E-3</c:v>
                </c:pt>
                <c:pt idx="132">
                  <c:v>3.1417540494393741E-3</c:v>
                </c:pt>
                <c:pt idx="133">
                  <c:v>3.143449763638759E-3</c:v>
                </c:pt>
                <c:pt idx="134">
                  <c:v>3.1451459221887705E-3</c:v>
                </c:pt>
                <c:pt idx="135">
                  <c:v>3.14684252046364E-3</c:v>
                </c:pt>
                <c:pt idx="136">
                  <c:v>3.1485395538376005E-3</c:v>
                </c:pt>
                <c:pt idx="137">
                  <c:v>3.153633218296354E-3</c:v>
                </c:pt>
                <c:pt idx="138">
                  <c:v>3.1553319458090044E-3</c:v>
                </c:pt>
                <c:pt idx="139">
                  <c:v>3.1570310852919083E-3</c:v>
                </c:pt>
                <c:pt idx="140">
                  <c:v>3.158730632119299E-3</c:v>
                </c:pt>
                <c:pt idx="141">
                  <c:v>3.1604305816654086E-3</c:v>
                </c:pt>
                <c:pt idx="142">
                  <c:v>3.1655328003583785E-3</c:v>
                </c:pt>
                <c:pt idx="143">
                  <c:v>3.1672343145216896E-3</c:v>
                </c:pt>
                <c:pt idx="144">
                  <c:v>3.1689362082748833E-3</c:v>
                </c:pt>
                <c:pt idx="145">
                  <c:v>3.1706384769921918E-3</c:v>
                </c:pt>
                <c:pt idx="146">
                  <c:v>3.1723411160478475E-3</c:v>
                </c:pt>
                <c:pt idx="147">
                  <c:v>3.177451208987222E-3</c:v>
                </c:pt>
                <c:pt idx="148">
                  <c:v>3.1791552831385919E-3</c:v>
                </c:pt>
                <c:pt idx="149">
                  <c:v>3.1808597044994721E-3</c:v>
                </c:pt>
                <c:pt idx="150">
                  <c:v>3.1825644684440949E-3</c:v>
                </c:pt>
                <c:pt idx="151">
                  <c:v>3.1842695703466926E-3</c:v>
                </c:pt>
                <c:pt idx="152">
                  <c:v>3.1893868575446627E-3</c:v>
                </c:pt>
                <c:pt idx="153">
                  <c:v>3.1910932650214877E-3</c:v>
                </c:pt>
                <c:pt idx="154">
                  <c:v>3.1927999873274503E-3</c:v>
                </c:pt>
                <c:pt idx="155">
                  <c:v>3.1945070198367833E-3</c:v>
                </c:pt>
                <c:pt idx="156">
                  <c:v>3.1962143579237203E-3</c:v>
                </c:pt>
                <c:pt idx="157">
                  <c:v>3.2013381593924764E-3</c:v>
                </c:pt>
                <c:pt idx="158">
                  <c:v>3.2030466735321521E-3</c:v>
                </c:pt>
                <c:pt idx="159">
                  <c:v>3.2047554701205945E-3</c:v>
                </c:pt>
                <c:pt idx="160">
                  <c:v>3.2064645445320354E-3</c:v>
                </c:pt>
                <c:pt idx="161">
                  <c:v>3.208173892140708E-3</c:v>
                </c:pt>
                <c:pt idx="162">
                  <c:v>3.2133035278924392E-3</c:v>
                </c:pt>
                <c:pt idx="163">
                  <c:v>3.2150139220323629E-3</c:v>
                </c:pt>
                <c:pt idx="164">
                  <c:v>3.2167245662406813E-3</c:v>
                </c:pt>
                <c:pt idx="165">
                  <c:v>3.2184354558916261E-3</c:v>
                </c:pt>
                <c:pt idx="166">
                  <c:v>3.2201465863594303E-3</c:v>
                </c:pt>
                <c:pt idx="167">
                  <c:v>3.2252813764063271E-3</c:v>
                </c:pt>
                <c:pt idx="168">
                  <c:v>3.2269934238838955E-3</c:v>
                </c:pt>
                <c:pt idx="169">
                  <c:v>3.2287056890494864E-3</c:v>
                </c:pt>
                <c:pt idx="170">
                  <c:v>3.2304181672773323E-3</c:v>
                </c:pt>
                <c:pt idx="171">
                  <c:v>3.2321308539416654E-3</c:v>
                </c:pt>
                <c:pt idx="172">
                  <c:v>3.2372701182959169E-3</c:v>
                </c:pt>
                <c:pt idx="173">
                  <c:v>3.2389835924485264E-3</c:v>
                </c:pt>
                <c:pt idx="174">
                  <c:v>3.2406972519087862E-3</c:v>
                </c:pt>
                <c:pt idx="175">
                  <c:v>3.24241109205093E-3</c:v>
                </c:pt>
                <c:pt idx="176">
                  <c:v>3.2441251082491883E-3</c:v>
                </c:pt>
                <c:pt idx="177">
                  <c:v>3.249268166922985E-3</c:v>
                </c:pt>
                <c:pt idx="178">
                  <c:v>3.2509828410880316E-3</c:v>
                </c:pt>
                <c:pt idx="179">
                  <c:v>3.2526976681803575E-3</c:v>
                </c:pt>
                <c:pt idx="180">
                  <c:v>3.2544126435741952E-3</c:v>
                </c:pt>
                <c:pt idx="181">
                  <c:v>3.256127762643776E-3</c:v>
                </c:pt>
                <c:pt idx="182">
                  <c:v>3.2612739356493066E-3</c:v>
                </c:pt>
                <c:pt idx="183">
                  <c:v>3.2629895831641884E-3</c:v>
                </c:pt>
                <c:pt idx="184">
                  <c:v>3.2647053512259764E-3</c:v>
                </c:pt>
                <c:pt idx="185">
                  <c:v>3.2664212352089047E-3</c:v>
                </c:pt>
                <c:pt idx="186">
                  <c:v>3.2681372304872035E-3</c:v>
                </c:pt>
                <c:pt idx="187">
                  <c:v>3.2732858378366589E-3</c:v>
                </c:pt>
                <c:pt idx="188">
                  <c:v>3.2750022320387718E-3</c:v>
                </c:pt>
                <c:pt idx="189">
                  <c:v>3.2767187144074192E-3</c:v>
                </c:pt>
                <c:pt idx="190">
                  <c:v>3.2784352803168337E-3</c:v>
                </c:pt>
                <c:pt idx="191">
                  <c:v>3.2801519251412486E-3</c:v>
                </c:pt>
                <c:pt idx="192">
                  <c:v>3.2853022868468184E-3</c:v>
                </c:pt>
                <c:pt idx="193">
                  <c:v>3.2870192010735579E-3</c:v>
                </c:pt>
                <c:pt idx="194">
                  <c:v>3.2887361710864618E-3</c:v>
                </c:pt>
                <c:pt idx="195">
                  <c:v>3.2904531922597598E-3</c:v>
                </c:pt>
                <c:pt idx="196">
                  <c:v>3.2921702599676868E-3</c:v>
                </c:pt>
                <c:pt idx="197">
                  <c:v>3.2973216960415605E-3</c:v>
                </c:pt>
                <c:pt idx="198">
                  <c:v>3.2990389036303244E-3</c:v>
                </c:pt>
                <c:pt idx="199">
                  <c:v>3.3007561346248804E-3</c:v>
                </c:pt>
                <c:pt idx="200">
                  <c:v>3.3024733843994591E-3</c:v>
                </c:pt>
                <c:pt idx="201">
                  <c:v>3.3041906483282941E-3</c:v>
                </c:pt>
                <c:pt idx="202">
                  <c:v>3.3093424787826618E-3</c:v>
                </c:pt>
                <c:pt idx="203">
                  <c:v>3.3110597530708469E-3</c:v>
                </c:pt>
                <c:pt idx="204">
                  <c:v>3.3127770183844513E-3</c:v>
                </c:pt>
                <c:pt idx="205">
                  <c:v>3.3144942700977075E-3</c:v>
                </c:pt>
                <c:pt idx="206">
                  <c:v>3.3162115035848473E-3</c:v>
                </c:pt>
                <c:pt idx="207">
                  <c:v>3.321363048431899E-3</c:v>
                </c:pt>
                <c:pt idx="208">
                  <c:v>3.3230801627569017E-3</c:v>
                </c:pt>
                <c:pt idx="209">
                  <c:v>3.3247972357269514E-3</c:v>
                </c:pt>
                <c:pt idx="210">
                  <c:v>3.3265142627162815E-3</c:v>
                </c:pt>
                <c:pt idx="211">
                  <c:v>3.3282312390991234E-3</c:v>
                </c:pt>
                <c:pt idx="212">
                  <c:v>3.3333818183510478E-3</c:v>
                </c:pt>
                <c:pt idx="213">
                  <c:v>3.3350985460502648E-3</c:v>
                </c:pt>
                <c:pt idx="214">
                  <c:v>3.3368152000141571E-3</c:v>
                </c:pt>
                <c:pt idx="215">
                  <c:v>3.3385317756169561E-3</c:v>
                </c:pt>
                <c:pt idx="216">
                  <c:v>3.3402482682328969E-3</c:v>
                </c:pt>
                <c:pt idx="217">
                  <c:v>3.3453972019018854E-3</c:v>
                </c:pt>
                <c:pt idx="218">
                  <c:v>3.3471133163127131E-3</c:v>
                </c:pt>
                <c:pt idx="219">
                  <c:v>3.3488293246078434E-3</c:v>
                </c:pt>
                <c:pt idx="220">
                  <c:v>3.35054522216151E-3</c:v>
                </c:pt>
                <c:pt idx="221">
                  <c:v>3.3522610043479457E-3</c:v>
                </c:pt>
                <c:pt idx="222">
                  <c:v>3.3574076124461877E-3</c:v>
                </c:pt>
                <c:pt idx="223">
                  <c:v>3.3591228869060217E-3</c:v>
                </c:pt>
                <c:pt idx="224">
                  <c:v>3.3608380228697882E-3</c:v>
                </c:pt>
                <c:pt idx="225">
                  <c:v>3.3625530157117183E-3</c:v>
                </c:pt>
                <c:pt idx="226">
                  <c:v>3.3642678608060451E-3</c:v>
                </c:pt>
                <c:pt idx="227">
                  <c:v>3.3694114633457299E-3</c:v>
                </c:pt>
                <c:pt idx="228">
                  <c:v>3.3711256711919683E-3</c:v>
                </c:pt>
                <c:pt idx="229">
                  <c:v>3.3728397081617661E-3</c:v>
                </c:pt>
                <c:pt idx="230">
                  <c:v>3.3745535696293569E-3</c:v>
                </c:pt>
                <c:pt idx="231">
                  <c:v>3.3762672509689718E-3</c:v>
                </c:pt>
                <c:pt idx="232">
                  <c:v>3.3814071679622898E-3</c:v>
                </c:pt>
                <c:pt idx="233">
                  <c:v>3.3831200825323285E-3</c:v>
                </c:pt>
                <c:pt idx="234">
                  <c:v>3.3848327938455556E-3</c:v>
                </c:pt>
                <c:pt idx="235">
                  <c:v>3.3865452972762023E-3</c:v>
                </c:pt>
                <c:pt idx="236">
                  <c:v>3.3882575881985012E-3</c:v>
                </c:pt>
                <c:pt idx="237">
                  <c:v>3.3933931396576428E-3</c:v>
                </c:pt>
                <c:pt idx="238">
                  <c:v>3.3951045342888787E-3</c:v>
                </c:pt>
                <c:pt idx="239">
                  <c:v>3.3968156932829303E-3</c:v>
                </c:pt>
                <c:pt idx="240">
                  <c:v>3.3985266120140304E-3</c:v>
                </c:pt>
                <c:pt idx="241">
                  <c:v>3.4002372858564114E-3</c:v>
                </c:pt>
                <c:pt idx="242">
                  <c:v>3.4053677917935646E-3</c:v>
                </c:pt>
                <c:pt idx="243">
                  <c:v>3.4070774398233953E-3</c:v>
                </c:pt>
                <c:pt idx="244">
                  <c:v>3.4087868198356681E-3</c:v>
                </c:pt>
                <c:pt idx="245">
                  <c:v>3.410495927204619E-3</c:v>
                </c:pt>
                <c:pt idx="246">
                  <c:v>3.4122047573044777E-3</c:v>
                </c:pt>
                <c:pt idx="247">
                  <c:v>3.4173295377318328E-3</c:v>
                </c:pt>
                <c:pt idx="248">
                  <c:v>3.4190372124976538E-3</c:v>
                </c:pt>
                <c:pt idx="249">
                  <c:v>3.4207445868655456E-3</c:v>
                </c:pt>
                <c:pt idx="250">
                  <c:v>3.4224516562097419E-3</c:v>
                </c:pt>
                <c:pt idx="251">
                  <c:v>3.4241584159044759E-3</c:v>
                </c:pt>
                <c:pt idx="252">
                  <c:v>3.4292767908342238E-3</c:v>
                </c:pt>
                <c:pt idx="253">
                  <c:v>3.4309822656734311E-3</c:v>
                </c:pt>
                <c:pt idx="254">
                  <c:v>3.4326874077343383E-3</c:v>
                </c:pt>
                <c:pt idx="255">
                  <c:v>3.4343922123911776E-3</c:v>
                </c:pt>
                <c:pt idx="256">
                  <c:v>3.4360966750181824E-3</c:v>
                </c:pt>
                <c:pt idx="257">
                  <c:v>3.4412079644625128E-3</c:v>
                </c:pt>
                <c:pt idx="258">
                  <c:v>3.4429110127125037E-3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5666040"/>
        <c:axId val="995666432"/>
      </c:lineChart>
      <c:dateAx>
        <c:axId val="99566604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995666432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995666432"/>
        <c:scaling>
          <c:orientation val="minMax"/>
          <c:max val="3.1000000000000008E-3"/>
          <c:min val="2.5000000000000005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995666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25707209387432267"/>
          <c:h val="0.3036593347745889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Basis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2709973753280843E-2"/>
          <c:y val="1.8266641777536428E-2"/>
          <c:w val="0.91118569119257442"/>
          <c:h val="0.93730079509660247"/>
        </c:manualLayout>
      </c:layout>
      <c:scatterChart>
        <c:scatterStyle val="lineMarker"/>
        <c:varyColors val="0"/>
        <c:ser>
          <c:idx val="0"/>
          <c:order val="0"/>
          <c:tx>
            <c:v>Basis Fix</c:v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'1MSynthDepo_used'!$G$4</c:f>
              <c:numCache>
                <c:formatCode>d\-mmm\-yy</c:formatCode>
                <c:ptCount val="1"/>
                <c:pt idx="0">
                  <c:v>42279</c:v>
                </c:pt>
              </c:numCache>
            </c:numRef>
          </c:xVal>
          <c:yVal>
            <c:numRef>
              <c:f>'1MSynthDepo_used'!$K$4</c:f>
              <c:numCache>
                <c:formatCode>0.0000%</c:formatCode>
                <c:ptCount val="1"/>
                <c:pt idx="0">
                  <c:v>2.7000000000401464E-4</c:v>
                </c:pt>
              </c:numCache>
            </c:numRef>
          </c:yVal>
          <c:smooth val="0"/>
        </c:ser>
        <c:ser>
          <c:idx val="1"/>
          <c:order val="1"/>
          <c:tx>
            <c:v>Basis FRA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xVal>
            <c:numRef>
              <c:f>'1MSynthDepo_used'!$G$5:$G$16</c:f>
              <c:numCache>
                <c:formatCode>d\-mmm\-yy</c:formatCode>
                <c:ptCount val="12"/>
                <c:pt idx="0">
                  <c:v>42279</c:v>
                </c:pt>
                <c:pt idx="1">
                  <c:v>42310</c:v>
                </c:pt>
                <c:pt idx="2">
                  <c:v>42340</c:v>
                </c:pt>
                <c:pt idx="3">
                  <c:v>42373</c:v>
                </c:pt>
              </c:numCache>
            </c:numRef>
          </c:xVal>
          <c:yVal>
            <c:numRef>
              <c:f>'1MSynthDepo_used'!$K$5:$K$22</c:f>
              <c:numCache>
                <c:formatCode>0.0000%</c:formatCode>
                <c:ptCount val="18"/>
                <c:pt idx="0">
                  <c:v>2.7000000000401464E-4</c:v>
                </c:pt>
                <c:pt idx="1">
                  <c:v>2.7003491795696277E-4</c:v>
                </c:pt>
                <c:pt idx="2">
                  <c:v>2.2866023760387787E-4</c:v>
                </c:pt>
                <c:pt idx="3">
                  <c:v>3.4675489991622672E-4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'1MSynthDepo_used'!$S$2</c:f>
              <c:strCache>
                <c:ptCount val="1"/>
                <c:pt idx="0">
                  <c:v>Simple Basis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'1MSynthDepo_used'!$R$3:$R$70</c:f>
              <c:numCache>
                <c:formatCode>d\-mmm\-yy</c:formatCode>
                <c:ptCount val="68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</c:numCache>
            </c:numRef>
          </c:xVal>
          <c:yVal>
            <c:numRef>
              <c:f>'1MSynthDepo_used'!$S$3:$S$70</c:f>
              <c:numCache>
                <c:formatCode>0.0000%</c:formatCode>
                <c:ptCount val="68"/>
                <c:pt idx="0">
                  <c:v>2.7000000000292914E-4</c:v>
                </c:pt>
                <c:pt idx="1">
                  <c:v>2.7715562133098862E-4</c:v>
                </c:pt>
                <c:pt idx="2">
                  <c:v>2.7908383235457232E-4</c:v>
                </c:pt>
                <c:pt idx="3">
                  <c:v>2.8079432432834869E-4</c:v>
                </c:pt>
                <c:pt idx="4">
                  <c:v>2.8229356464816403E-4</c:v>
                </c:pt>
                <c:pt idx="5">
                  <c:v>2.835880207098649E-4</c:v>
                </c:pt>
                <c:pt idx="6">
                  <c:v>2.8630735730474392E-4</c:v>
                </c:pt>
                <c:pt idx="7">
                  <c:v>2.8684735029245055E-4</c:v>
                </c:pt>
                <c:pt idx="8">
                  <c:v>2.8721489600127447E-4</c:v>
                </c:pt>
                <c:pt idx="9">
                  <c:v>2.8741646182706235E-4</c:v>
                </c:pt>
                <c:pt idx="10">
                  <c:v>2.8745851516566049E-4</c:v>
                </c:pt>
                <c:pt idx="11">
                  <c:v>2.8669227421678048E-4</c:v>
                </c:pt>
                <c:pt idx="12">
                  <c:v>2.8616095156508371E-4</c:v>
                </c:pt>
                <c:pt idx="13">
                  <c:v>2.8550245340542912E-4</c:v>
                </c:pt>
                <c:pt idx="14">
                  <c:v>2.8472324713366327E-4</c:v>
                </c:pt>
                <c:pt idx="15">
                  <c:v>2.8382980014563246E-4</c:v>
                </c:pt>
                <c:pt idx="16">
                  <c:v>2.8052868884241464E-4</c:v>
                </c:pt>
                <c:pt idx="17">
                  <c:v>2.7924295294778825E-4</c:v>
                </c:pt>
                <c:pt idx="18">
                  <c:v>2.7787531331612887E-4</c:v>
                </c:pt>
                <c:pt idx="19">
                  <c:v>2.7643223734328301E-4</c:v>
                </c:pt>
                <c:pt idx="20">
                  <c:v>2.7492019242509707E-4</c:v>
                </c:pt>
                <c:pt idx="21">
                  <c:v>2.7003491795696283E-4</c:v>
                </c:pt>
                <c:pt idx="22">
                  <c:v>2.6831167121588054E-4</c:v>
                </c:pt>
                <c:pt idx="23">
                  <c:v>2.6655179250869015E-4</c:v>
                </c:pt>
                <c:pt idx="24">
                  <c:v>2.6476174923123811E-4</c:v>
                </c:pt>
                <c:pt idx="25">
                  <c:v>2.6294800877937083E-4</c:v>
                </c:pt>
                <c:pt idx="26">
                  <c:v>2.5742927833574133E-4</c:v>
                </c:pt>
                <c:pt idx="27">
                  <c:v>2.5558542314467697E-4</c:v>
                </c:pt>
                <c:pt idx="28">
                  <c:v>2.5375020775842929E-4</c:v>
                </c:pt>
                <c:pt idx="29">
                  <c:v>2.5193009957284485E-4</c:v>
                </c:pt>
                <c:pt idx="30">
                  <c:v>2.5013156598376995E-4</c:v>
                </c:pt>
                <c:pt idx="31">
                  <c:v>2.4493008675406652E-4</c:v>
                </c:pt>
                <c:pt idx="32">
                  <c:v>2.4328252550949388E-4</c:v>
                </c:pt>
                <c:pt idx="33">
                  <c:v>2.4168887584066268E-4</c:v>
                </c:pt>
                <c:pt idx="34">
                  <c:v>2.4015560514341962E-4</c:v>
                </c:pt>
                <c:pt idx="35">
                  <c:v>2.3868918081361085E-4</c:v>
                </c:pt>
                <c:pt idx="36">
                  <c:v>2.347556599872548E-4</c:v>
                </c:pt>
                <c:pt idx="37">
                  <c:v>2.3362129508564767E-4</c:v>
                </c:pt>
                <c:pt idx="38">
                  <c:v>2.3258611353070679E-4</c:v>
                </c:pt>
                <c:pt idx="39">
                  <c:v>2.3165658271827877E-4</c:v>
                </c:pt>
                <c:pt idx="40">
                  <c:v>2.3083917004420988E-4</c:v>
                </c:pt>
                <c:pt idx="41">
                  <c:v>2.2912431481062268E-4</c:v>
                </c:pt>
                <c:pt idx="42">
                  <c:v>2.2882004864845467E-4</c:v>
                </c:pt>
                <c:pt idx="43">
                  <c:v>2.2866023760387787E-4</c:v>
                </c:pt>
                <c:pt idx="44">
                  <c:v>2.2865134907273872E-4</c:v>
                </c:pt>
                <c:pt idx="45">
                  <c:v>2.2879985045088356E-4</c:v>
                </c:pt>
                <c:pt idx="46">
                  <c:v>2.3025436799948629E-4</c:v>
                </c:pt>
                <c:pt idx="47">
                  <c:v>2.3109710297323127E-4</c:v>
                </c:pt>
                <c:pt idx="48">
                  <c:v>2.3212956483549221E-4</c:v>
                </c:pt>
                <c:pt idx="49">
                  <c:v>2.3335822098211582E-4</c:v>
                </c:pt>
                <c:pt idx="50">
                  <c:v>2.3478953880894804E-4</c:v>
                </c:pt>
                <c:pt idx="51">
                  <c:v>2.4036413632916212E-4</c:v>
                </c:pt>
                <c:pt idx="52">
                  <c:v>2.4267077483529397E-4</c:v>
                </c:pt>
                <c:pt idx="53">
                  <c:v>2.452124120008665E-4</c:v>
                </c:pt>
                <c:pt idx="54">
                  <c:v>2.4799551522172643E-4</c:v>
                </c:pt>
                <c:pt idx="55">
                  <c:v>2.5102655189371986E-4</c:v>
                </c:pt>
                <c:pt idx="56">
                  <c:v>2.6167193657496656E-4</c:v>
                </c:pt>
                <c:pt idx="57">
                  <c:v>2.657593810099589E-4</c:v>
                </c:pt>
                <c:pt idx="58">
                  <c:v>2.701270958753168E-4</c:v>
                </c:pt>
                <c:pt idx="59">
                  <c:v>2.7478154856688689E-4</c:v>
                </c:pt>
                <c:pt idx="60">
                  <c:v>2.96396085512216E-4</c:v>
                </c:pt>
                <c:pt idx="61">
                  <c:v>3.0258123827254255E-4</c:v>
                </c:pt>
                <c:pt idx="62">
                  <c:v>3.0909193323415971E-4</c:v>
                </c:pt>
                <c:pt idx="63">
                  <c:v>3.1593463779291356E-4</c:v>
                </c:pt>
                <c:pt idx="64">
                  <c:v>3.4675489991622661E-4</c:v>
                </c:pt>
                <c:pt idx="65">
                  <c:v>3.5535466339836142E-4</c:v>
                </c:pt>
                <c:pt idx="66">
                  <c:v>3.6432524085271134E-4</c:v>
                </c:pt>
                <c:pt idx="67">
                  <c:v>3.7367309967512301E-4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63688"/>
        <c:axId val="358159928"/>
      </c:scatterChart>
      <c:valAx>
        <c:axId val="99566368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358159928"/>
        <c:crosses val="autoZero"/>
        <c:crossBetween val="midCat"/>
      </c:valAx>
      <c:valAx>
        <c:axId val="358159928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995663688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78579558080808076"/>
          <c:y val="0.5043522222222222"/>
          <c:w val="0.13984531312743334"/>
          <c:h val="0.3280346318532488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Continuous Basis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709973753280843E-2"/>
          <c:y val="1.8266641777536428E-2"/>
          <c:w val="0.91118569119257442"/>
          <c:h val="0.93730079509660247"/>
        </c:manualLayout>
      </c:layout>
      <c:scatterChart>
        <c:scatterStyle val="lineMarker"/>
        <c:varyColors val="0"/>
        <c:ser>
          <c:idx val="4"/>
          <c:order val="0"/>
          <c:tx>
            <c:v>Cont Basis</c:v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'1MSynthDepo_used'!$R$3:$R$70</c:f>
              <c:numCache>
                <c:formatCode>d\-mmm\-yy</c:formatCode>
                <c:ptCount val="68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</c:numCache>
            </c:numRef>
          </c:xVal>
          <c:yVal>
            <c:numRef>
              <c:f>'1MSynthDepo_used'!$U$3:$U$70</c:f>
              <c:numCache>
                <c:formatCode>0.0000%</c:formatCode>
                <c:ptCount val="68"/>
                <c:pt idx="0">
                  <c:v>2.0687314390994393E-4</c:v>
                </c:pt>
                <c:pt idx="1">
                  <c:v>2.2665284065564716E-4</c:v>
                </c:pt>
                <c:pt idx="2">
                  <c:v>2.3258580297399526E-4</c:v>
                </c:pt>
                <c:pt idx="3">
                  <c:v>2.3819940932031096E-4</c:v>
                </c:pt>
                <c:pt idx="4">
                  <c:v>2.4350012709044061E-4</c:v>
                </c:pt>
                <c:pt idx="5">
                  <c:v>2.4849442368023064E-4</c:v>
                </c:pt>
                <c:pt idx="6">
                  <c:v>2.6170346032602682E-4</c:v>
                </c:pt>
                <c:pt idx="7">
                  <c:v>2.655367461529223E-4</c:v>
                </c:pt>
                <c:pt idx="8">
                  <c:v>2.6909594777871007E-4</c:v>
                </c:pt>
                <c:pt idx="9">
                  <c:v>2.7238753259923676E-4</c:v>
                </c:pt>
                <c:pt idx="10">
                  <c:v>2.7541796801034855E-4</c:v>
                </c:pt>
                <c:pt idx="11">
                  <c:v>2.8300705174565902E-4</c:v>
                </c:pt>
                <c:pt idx="12">
                  <c:v>2.850575634775756E-4</c:v>
                </c:pt>
                <c:pt idx="13">
                  <c:v>2.8687926277930936E-4</c:v>
                </c:pt>
                <c:pt idx="14">
                  <c:v>2.884786170467067E-4</c:v>
                </c:pt>
                <c:pt idx="15">
                  <c:v>2.8986209367561403E-4</c:v>
                </c:pt>
                <c:pt idx="16">
                  <c:v>2.9278193168986018E-4</c:v>
                </c:pt>
                <c:pt idx="17">
                  <c:v>2.9336657172327157E-4</c:v>
                </c:pt>
                <c:pt idx="18">
                  <c:v>2.9376767109742493E-4</c:v>
                </c:pt>
                <c:pt idx="19">
                  <c:v>2.9399169720816681E-4</c:v>
                </c:pt>
                <c:pt idx="20">
                  <c:v>2.9404511745134351E-4</c:v>
                </c:pt>
                <c:pt idx="21">
                  <c:v>2.9324641693394651E-4</c:v>
                </c:pt>
                <c:pt idx="22">
                  <c:v>2.926820876653265E-4</c:v>
                </c:pt>
                <c:pt idx="23">
                  <c:v>2.9197948950837344E-4</c:v>
                </c:pt>
                <c:pt idx="24">
                  <c:v>2.9114508985893342E-4</c:v>
                </c:pt>
                <c:pt idx="25">
                  <c:v>2.9018535611285322E-4</c:v>
                </c:pt>
                <c:pt idx="26">
                  <c:v>2.866188242532345E-4</c:v>
                </c:pt>
                <c:pt idx="27">
                  <c:v>2.8522242807905686E-4</c:v>
                </c:pt>
                <c:pt idx="28">
                  <c:v>2.8373303478747096E-4</c:v>
                </c:pt>
                <c:pt idx="29">
                  <c:v>2.8215711177432309E-4</c:v>
                </c:pt>
                <c:pt idx="30">
                  <c:v>2.8050112643545976E-4</c:v>
                </c:pt>
                <c:pt idx="31">
                  <c:v>2.7511747042304044E-4</c:v>
                </c:pt>
                <c:pt idx="32">
                  <c:v>2.73205909739779E-4</c:v>
                </c:pt>
                <c:pt idx="33">
                  <c:v>2.7124662371003408E-4</c:v>
                </c:pt>
                <c:pt idx="34">
                  <c:v>2.6924607972965203E-4</c:v>
                </c:pt>
                <c:pt idx="35">
                  <c:v>2.672107451944793E-4</c:v>
                </c:pt>
                <c:pt idx="36">
                  <c:v>2.6096067221868081E-4</c:v>
                </c:pt>
                <c:pt idx="37">
                  <c:v>2.5885084942280936E-4</c:v>
                </c:pt>
                <c:pt idx="38">
                  <c:v>2.5673857305137909E-4</c:v>
                </c:pt>
                <c:pt idx="39">
                  <c:v>2.5463031050023668E-4</c:v>
                </c:pt>
                <c:pt idx="40">
                  <c:v>2.5253252916522827E-4</c:v>
                </c:pt>
                <c:pt idx="41">
                  <c:v>2.4636674641547189E-4</c:v>
                </c:pt>
                <c:pt idx="42">
                  <c:v>2.4437556390346409E-4</c:v>
                </c:pt>
                <c:pt idx="43">
                  <c:v>2.4242719958682241E-4</c:v>
                </c:pt>
                <c:pt idx="44">
                  <c:v>2.4052812086139327E-4</c:v>
                </c:pt>
                <c:pt idx="45">
                  <c:v>2.3868479512302305E-4</c:v>
                </c:pt>
                <c:pt idx="46">
                  <c:v>2.3355400978873018E-4</c:v>
                </c:pt>
                <c:pt idx="47">
                  <c:v>2.3199836995705975E-4</c:v>
                </c:pt>
                <c:pt idx="48">
                  <c:v>2.3053082009168022E-4</c:v>
                </c:pt>
                <c:pt idx="49">
                  <c:v>2.2915782758843839E-4</c:v>
                </c:pt>
                <c:pt idx="50">
                  <c:v>2.2788585984318005E-4</c:v>
                </c:pt>
                <c:pt idx="51">
                  <c:v>2.2474077911377189E-4</c:v>
                </c:pt>
                <c:pt idx="52">
                  <c:v>2.2393758435891283E-4</c:v>
                </c:pt>
                <c:pt idx="53">
                  <c:v>2.232677513412695E-4</c:v>
                </c:pt>
                <c:pt idx="54">
                  <c:v>2.2273774745668816E-4</c:v>
                </c:pt>
                <c:pt idx="55">
                  <c:v>2.2235404010101563E-4</c:v>
                </c:pt>
                <c:pt idx="56">
                  <c:v>2.2214537116591363E-4</c:v>
                </c:pt>
                <c:pt idx="57">
                  <c:v>2.2241152388433917E-4</c:v>
                </c:pt>
                <c:pt idx="58">
                  <c:v>2.2285631011090582E-4</c:v>
                </c:pt>
                <c:pt idx="59">
                  <c:v>2.2348619724145934E-4</c:v>
                </c:pt>
                <c:pt idx="60">
                  <c:v>2.2798610272047124E-4</c:v>
                </c:pt>
                <c:pt idx="61">
                  <c:v>2.2963850530865592E-4</c:v>
                </c:pt>
                <c:pt idx="62">
                  <c:v>2.31514813175906E-4</c:v>
                </c:pt>
                <c:pt idx="63">
                  <c:v>2.3362149371806767E-4</c:v>
                </c:pt>
                <c:pt idx="64">
                  <c:v>2.4448129055276171E-4</c:v>
                </c:pt>
                <c:pt idx="65">
                  <c:v>2.4783684540717892E-4</c:v>
                </c:pt>
                <c:pt idx="66">
                  <c:v>2.5146157731158615E-4</c:v>
                </c:pt>
                <c:pt idx="67">
                  <c:v>2.5536195366183034E-4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162280"/>
        <c:axId val="358161888"/>
      </c:scatterChart>
      <c:valAx>
        <c:axId val="35816228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358161888"/>
        <c:crosses val="autoZero"/>
        <c:crossBetween val="midCat"/>
      </c:valAx>
      <c:valAx>
        <c:axId val="358161888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58162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Exact Fit </a:t>
            </a:r>
            <a:r>
              <a:rPr lang="en-US" sz="1800" b="1" i="0" u="none" strike="noStrike" baseline="0">
                <a:effectLst/>
              </a:rPr>
              <a:t>Exact Fit (Simple Basis Approx)</a:t>
            </a:r>
            <a:endParaRPr lang="en-US"/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</c:numCache>
            </c:numRef>
          </c:cat>
          <c:val>
            <c:numRef>
              <c:f>'1MSynthDepo_allScenario'!$BE$6:$BE$135</c:f>
              <c:numCache>
                <c:formatCode>0.0000%</c:formatCode>
                <c:ptCount val="130"/>
                <c:pt idx="0">
                  <c:v>2.6998254102591232E-4</c:v>
                </c:pt>
                <c:pt idx="1">
                  <c:v>2.6998592018275431E-4</c:v>
                </c:pt>
                <c:pt idx="2">
                  <c:v>2.6998704656836826E-4</c:v>
                </c:pt>
                <c:pt idx="3">
                  <c:v>2.6998817295398228E-4</c:v>
                </c:pt>
                <c:pt idx="4">
                  <c:v>2.6998929933959623E-4</c:v>
                </c:pt>
                <c:pt idx="5">
                  <c:v>2.6999042572521025E-4</c:v>
                </c:pt>
                <c:pt idx="6">
                  <c:v>2.6999380488205223E-4</c:v>
                </c:pt>
                <c:pt idx="7">
                  <c:v>2.6999493126766619E-4</c:v>
                </c:pt>
                <c:pt idx="8">
                  <c:v>2.699960576532802E-4</c:v>
                </c:pt>
                <c:pt idx="9">
                  <c:v>2.6999718403889416E-4</c:v>
                </c:pt>
                <c:pt idx="10">
                  <c:v>2.6999831042450817E-4</c:v>
                </c:pt>
                <c:pt idx="11">
                  <c:v>2.700016895813501E-4</c:v>
                </c:pt>
                <c:pt idx="12">
                  <c:v>2.7000281596696412E-4</c:v>
                </c:pt>
                <c:pt idx="13">
                  <c:v>2.7000394235257813E-4</c:v>
                </c:pt>
                <c:pt idx="14">
                  <c:v>2.7000506873819209E-4</c:v>
                </c:pt>
                <c:pt idx="15">
                  <c:v>2.700061951238061E-4</c:v>
                </c:pt>
                <c:pt idx="16">
                  <c:v>2.7000957428064803E-4</c:v>
                </c:pt>
                <c:pt idx="17">
                  <c:v>2.7001070066626204E-4</c:v>
                </c:pt>
                <c:pt idx="18">
                  <c:v>2.70011827051876E-4</c:v>
                </c:pt>
                <c:pt idx="19">
                  <c:v>2.7001295343749001E-4</c:v>
                </c:pt>
                <c:pt idx="20">
                  <c:v>2.7001407982310403E-4</c:v>
                </c:pt>
                <c:pt idx="21">
                  <c:v>2.7001745897994596E-4</c:v>
                </c:pt>
                <c:pt idx="22">
                  <c:v>2.7001858536555997E-4</c:v>
                </c:pt>
                <c:pt idx="23">
                  <c:v>2.7001971175117393E-4</c:v>
                </c:pt>
                <c:pt idx="24">
                  <c:v>2.7002083813678794E-4</c:v>
                </c:pt>
                <c:pt idx="25">
                  <c:v>2.700219645224019E-4</c:v>
                </c:pt>
                <c:pt idx="26">
                  <c:v>2.7002534367924388E-4</c:v>
                </c:pt>
                <c:pt idx="27">
                  <c:v>2.7002647006485789E-4</c:v>
                </c:pt>
                <c:pt idx="28">
                  <c:v>2.7002759645047185E-4</c:v>
                </c:pt>
                <c:pt idx="29">
                  <c:v>2.7002872283608587E-4</c:v>
                </c:pt>
                <c:pt idx="30">
                  <c:v>2.7002984922169982E-4</c:v>
                </c:pt>
                <c:pt idx="31">
                  <c:v>2.7003322837854181E-4</c:v>
                </c:pt>
                <c:pt idx="32">
                  <c:v>2.7003435476415582E-4</c:v>
                </c:pt>
                <c:pt idx="33">
                  <c:v>2.7003548114976978E-4</c:v>
                </c:pt>
                <c:pt idx="34">
                  <c:v>2.7003660753538379E-4</c:v>
                </c:pt>
                <c:pt idx="35">
                  <c:v>2.7003773392099775E-4</c:v>
                </c:pt>
                <c:pt idx="36">
                  <c:v>2.7004111307783973E-4</c:v>
                </c:pt>
                <c:pt idx="37">
                  <c:v>2.7004223946345369E-4</c:v>
                </c:pt>
                <c:pt idx="38">
                  <c:v>2.700433658490677E-4</c:v>
                </c:pt>
                <c:pt idx="39">
                  <c:v>2.7004449223468172E-4</c:v>
                </c:pt>
                <c:pt idx="40">
                  <c:v>2.7004561862029568E-4</c:v>
                </c:pt>
                <c:pt idx="41">
                  <c:v>2.7004899777713766E-4</c:v>
                </c:pt>
                <c:pt idx="42">
                  <c:v>2.7005012416275162E-4</c:v>
                </c:pt>
                <c:pt idx="43">
                  <c:v>2.7005125054836563E-4</c:v>
                </c:pt>
                <c:pt idx="44">
                  <c:v>2.7005237693397959E-4</c:v>
                </c:pt>
                <c:pt idx="45">
                  <c:v>2.700535033195936E-4</c:v>
                </c:pt>
                <c:pt idx="46">
                  <c:v>2.7005688247643559E-4</c:v>
                </c:pt>
                <c:pt idx="47">
                  <c:v>2.7005800886204954E-4</c:v>
                </c:pt>
                <c:pt idx="48">
                  <c:v>2.7005913524766356E-4</c:v>
                </c:pt>
                <c:pt idx="49">
                  <c:v>2.7006026163327752E-4</c:v>
                </c:pt>
                <c:pt idx="50">
                  <c:v>2.7006138801889153E-4</c:v>
                </c:pt>
                <c:pt idx="51">
                  <c:v>2.7006476717573351E-4</c:v>
                </c:pt>
                <c:pt idx="52">
                  <c:v>2.7006589356134747E-4</c:v>
                </c:pt>
                <c:pt idx="53">
                  <c:v>2.7006701994696148E-4</c:v>
                </c:pt>
                <c:pt idx="54">
                  <c:v>2.7006814633257544E-4</c:v>
                </c:pt>
                <c:pt idx="55">
                  <c:v>2.7006927271818945E-4</c:v>
                </c:pt>
                <c:pt idx="56">
                  <c:v>2.7007265187503138E-4</c:v>
                </c:pt>
                <c:pt idx="57">
                  <c:v>2.700737782606454E-4</c:v>
                </c:pt>
                <c:pt idx="58">
                  <c:v>2.7007490464625941E-4</c:v>
                </c:pt>
                <c:pt idx="59">
                  <c:v>2.7007603103187337E-4</c:v>
                </c:pt>
                <c:pt idx="60">
                  <c:v>2.7008053657432931E-4</c:v>
                </c:pt>
                <c:pt idx="61">
                  <c:v>2.7008166295994332E-4</c:v>
                </c:pt>
                <c:pt idx="62">
                  <c:v>2.7008278934555728E-4</c:v>
                </c:pt>
                <c:pt idx="63">
                  <c:v>2.7008391573117129E-4</c:v>
                </c:pt>
                <c:pt idx="64">
                  <c:v>2.7008842127362724E-4</c:v>
                </c:pt>
                <c:pt idx="65">
                  <c:v>2.7008954765924125E-4</c:v>
                </c:pt>
                <c:pt idx="66">
                  <c:v>2.7009067404485521E-4</c:v>
                </c:pt>
                <c:pt idx="67">
                  <c:v>2.7009180043046922E-4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</c:numCache>
            </c:numRef>
          </c:cat>
          <c:val>
            <c:numRef>
              <c:f>'1MSynthDepo_allScenario'!$BF$6:$BF$135</c:f>
              <c:numCache>
                <c:formatCode>0.0000%</c:formatCode>
                <c:ptCount val="130"/>
                <c:pt idx="0">
                  <c:v>2.5548580459000488E-4</c:v>
                </c:pt>
                <c:pt idx="1">
                  <c:v>2.5949426545728748E-4</c:v>
                </c:pt>
                <c:pt idx="2">
                  <c:v>2.6073990875857508E-4</c:v>
                </c:pt>
                <c:pt idx="3">
                  <c:v>2.6194029689929275E-4</c:v>
                </c:pt>
                <c:pt idx="4">
                  <c:v>2.6309542987944045E-4</c:v>
                </c:pt>
                <c:pt idx="5">
                  <c:v>2.6420530769901828E-4</c:v>
                </c:pt>
                <c:pt idx="6">
                  <c:v>2.6726341019433185E-4</c:v>
                </c:pt>
                <c:pt idx="7">
                  <c:v>2.6819226737162977E-4</c:v>
                </c:pt>
                <c:pt idx="8">
                  <c:v>2.6907586938835788E-4</c:v>
                </c:pt>
                <c:pt idx="9">
                  <c:v>2.699142162445159E-4</c:v>
                </c:pt>
                <c:pt idx="10">
                  <c:v>2.7070730794010405E-4</c:v>
                </c:pt>
                <c:pt idx="11">
                  <c:v>2.728150520634487E-4</c:v>
                </c:pt>
                <c:pt idx="12">
                  <c:v>2.7342712311675699E-4</c:v>
                </c:pt>
                <c:pt idx="13">
                  <c:v>2.7399393900949537E-4</c:v>
                </c:pt>
                <c:pt idx="14">
                  <c:v>2.7451549974166376E-4</c:v>
                </c:pt>
                <c:pt idx="15">
                  <c:v>2.7499180531326229E-4</c:v>
                </c:pt>
                <c:pt idx="16">
                  <c:v>2.7614919106463796E-4</c:v>
                </c:pt>
                <c:pt idx="17">
                  <c:v>2.7644447599395664E-4</c:v>
                </c:pt>
                <c:pt idx="18">
                  <c:v>2.7669450576270533E-4</c:v>
                </c:pt>
                <c:pt idx="19">
                  <c:v>2.7689928037088411E-4</c:v>
                </c:pt>
                <c:pt idx="20">
                  <c:v>2.7705879981849291E-4</c:v>
                </c:pt>
                <c:pt idx="21">
                  <c:v>2.7726582719789965E-4</c:v>
                </c:pt>
                <c:pt idx="22">
                  <c:v>2.772443260032287E-4</c:v>
                </c:pt>
                <c:pt idx="23">
                  <c:v>2.7717756964798772E-4</c:v>
                </c:pt>
                <c:pt idx="24">
                  <c:v>2.7706555813217682E-4</c:v>
                </c:pt>
                <c:pt idx="25">
                  <c:v>2.7690829145579605E-4</c:v>
                </c:pt>
                <c:pt idx="26">
                  <c:v>2.7616496046323376E-4</c:v>
                </c:pt>
                <c:pt idx="27">
                  <c:v>2.7582667314457313E-4</c:v>
                </c:pt>
                <c:pt idx="28">
                  <c:v>2.7544313066534259E-4</c:v>
                </c:pt>
                <c:pt idx="29">
                  <c:v>2.7501433302554206E-4</c:v>
                </c:pt>
                <c:pt idx="30">
                  <c:v>2.7454028022517156E-4</c:v>
                </c:pt>
                <c:pt idx="31">
                  <c:v>2.728465908606404E-4</c:v>
                </c:pt>
                <c:pt idx="32">
                  <c:v>2.721915174179901E-4</c:v>
                </c:pt>
                <c:pt idx="33">
                  <c:v>2.7149118881476982E-4</c:v>
                </c:pt>
                <c:pt idx="34">
                  <c:v>2.7074560505097967E-4</c:v>
                </c:pt>
                <c:pt idx="35">
                  <c:v>2.6995476612661949E-4</c:v>
                </c:pt>
                <c:pt idx="36">
                  <c:v>2.6731071839011941E-4</c:v>
                </c:pt>
                <c:pt idx="37">
                  <c:v>2.6633885882347948E-4</c:v>
                </c:pt>
                <c:pt idx="38">
                  <c:v>2.6532174409626958E-4</c:v>
                </c:pt>
                <c:pt idx="39">
                  <c:v>2.6425937420848969E-4</c:v>
                </c:pt>
                <c:pt idx="40">
                  <c:v>2.6315174916013994E-4</c:v>
                </c:pt>
                <c:pt idx="41">
                  <c:v>2.5955734305167083E-4</c:v>
                </c:pt>
                <c:pt idx="42">
                  <c:v>2.5826869736104128E-4</c:v>
                </c:pt>
                <c:pt idx="43">
                  <c:v>2.569347965098417E-4</c:v>
                </c:pt>
                <c:pt idx="44">
                  <c:v>2.555556404980722E-4</c:v>
                </c:pt>
                <c:pt idx="45">
                  <c:v>2.5413122932573277E-4</c:v>
                </c:pt>
                <c:pt idx="46">
                  <c:v>2.4958646484529474E-4</c:v>
                </c:pt>
                <c:pt idx="47">
                  <c:v>2.4798103303067545E-4</c:v>
                </c:pt>
                <c:pt idx="48">
                  <c:v>2.463303460554863E-4</c:v>
                </c:pt>
                <c:pt idx="49">
                  <c:v>2.4463440391972712E-4</c:v>
                </c:pt>
                <c:pt idx="50">
                  <c:v>2.4289320662339802E-4</c:v>
                </c:pt>
                <c:pt idx="51">
                  <c:v>2.3739808377099106E-4</c:v>
                </c:pt>
                <c:pt idx="52">
                  <c:v>2.3547586583238215E-4</c:v>
                </c:pt>
                <c:pt idx="53">
                  <c:v>2.3350839273320327E-4</c:v>
                </c:pt>
                <c:pt idx="54">
                  <c:v>2.3149566447345452E-4</c:v>
                </c:pt>
                <c:pt idx="55">
                  <c:v>2.2943768105313571E-4</c:v>
                </c:pt>
                <c:pt idx="56">
                  <c:v>2.2299219982875978E-4</c:v>
                </c:pt>
                <c:pt idx="57">
                  <c:v>2.2075319576616128E-4</c:v>
                </c:pt>
                <c:pt idx="58">
                  <c:v>2.1846893654299277E-4</c:v>
                </c:pt>
                <c:pt idx="59">
                  <c:v>2.1613942215925429E-4</c:v>
                </c:pt>
                <c:pt idx="60">
                  <c:v>2.06368813018601E-4</c:v>
                </c:pt>
                <c:pt idx="61">
                  <c:v>2.0381302283201279E-4</c:v>
                </c:pt>
                <c:pt idx="62">
                  <c:v>2.0121197748485466E-4</c:v>
                </c:pt>
                <c:pt idx="63">
                  <c:v>1.985656769771265E-4</c:v>
                </c:pt>
                <c:pt idx="64">
                  <c:v>1.8752792334051461E-4</c:v>
                </c:pt>
                <c:pt idx="65">
                  <c:v>1.8465534702993673E-4</c:v>
                </c:pt>
                <c:pt idx="66">
                  <c:v>1.8173751555878898E-4</c:v>
                </c:pt>
                <c:pt idx="67">
                  <c:v>1.7877442892707125E-4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</c:numCache>
            </c:numRef>
          </c:cat>
          <c:val>
            <c:numRef>
              <c:f>'1MSynthDepo_allScenario'!$BG$6:$BG$135</c:f>
              <c:numCache>
                <c:formatCode>0.0000%</c:formatCode>
                <c:ptCount val="130"/>
                <c:pt idx="0">
                  <c:v>3.3416567250424439E-4</c:v>
                </c:pt>
                <c:pt idx="1">
                  <c:v>3.3002820446893587E-4</c:v>
                </c:pt>
                <c:pt idx="2">
                  <c:v>3.2864904845716642E-4</c:v>
                </c:pt>
                <c:pt idx="3">
                  <c:v>3.2726989244539692E-4</c:v>
                </c:pt>
                <c:pt idx="4">
                  <c:v>3.2589073643362742E-4</c:v>
                </c:pt>
                <c:pt idx="5">
                  <c:v>3.2451158042185791E-4</c:v>
                </c:pt>
                <c:pt idx="6">
                  <c:v>3.203741123865494E-4</c:v>
                </c:pt>
                <c:pt idx="7">
                  <c:v>3.189949563747799E-4</c:v>
                </c:pt>
                <c:pt idx="8">
                  <c:v>3.1761580036301045E-4</c:v>
                </c:pt>
                <c:pt idx="9">
                  <c:v>3.1623664435124094E-4</c:v>
                </c:pt>
                <c:pt idx="10">
                  <c:v>3.1485748833947144E-4</c:v>
                </c:pt>
                <c:pt idx="11">
                  <c:v>3.1072002030416293E-4</c:v>
                </c:pt>
                <c:pt idx="12">
                  <c:v>3.0934086429239342E-4</c:v>
                </c:pt>
                <c:pt idx="13">
                  <c:v>3.0796170828062397E-4</c:v>
                </c:pt>
                <c:pt idx="14">
                  <c:v>3.0658255226885447E-4</c:v>
                </c:pt>
                <c:pt idx="15">
                  <c:v>3.0520339625708496E-4</c:v>
                </c:pt>
                <c:pt idx="16">
                  <c:v>3.0106592822177645E-4</c:v>
                </c:pt>
                <c:pt idx="17">
                  <c:v>2.9968677221000695E-4</c:v>
                </c:pt>
                <c:pt idx="18">
                  <c:v>2.9830761619823744E-4</c:v>
                </c:pt>
                <c:pt idx="19">
                  <c:v>2.9692846018646799E-4</c:v>
                </c:pt>
                <c:pt idx="20">
                  <c:v>2.9554930417469849E-4</c:v>
                </c:pt>
                <c:pt idx="21">
                  <c:v>2.9141183613938998E-4</c:v>
                </c:pt>
                <c:pt idx="22">
                  <c:v>2.9003268012762047E-4</c:v>
                </c:pt>
                <c:pt idx="23">
                  <c:v>2.8865352411585102E-4</c:v>
                </c:pt>
                <c:pt idx="24">
                  <c:v>2.8727436810408152E-4</c:v>
                </c:pt>
                <c:pt idx="25">
                  <c:v>2.8589521209231201E-4</c:v>
                </c:pt>
                <c:pt idx="26">
                  <c:v>2.817577440570035E-4</c:v>
                </c:pt>
                <c:pt idx="27">
                  <c:v>2.80378588045234E-4</c:v>
                </c:pt>
                <c:pt idx="28">
                  <c:v>2.7899943203346449E-4</c:v>
                </c:pt>
                <c:pt idx="29">
                  <c:v>2.7762027602169499E-4</c:v>
                </c:pt>
                <c:pt idx="30">
                  <c:v>2.7624112000992554E-4</c:v>
                </c:pt>
                <c:pt idx="31">
                  <c:v>2.7210365197461703E-4</c:v>
                </c:pt>
                <c:pt idx="32">
                  <c:v>2.7072449596284752E-4</c:v>
                </c:pt>
                <c:pt idx="33">
                  <c:v>2.6934533995107802E-4</c:v>
                </c:pt>
                <c:pt idx="34">
                  <c:v>2.6796618393930857E-4</c:v>
                </c:pt>
                <c:pt idx="35">
                  <c:v>2.6658702792753907E-4</c:v>
                </c:pt>
                <c:pt idx="36">
                  <c:v>2.6244955989223055E-4</c:v>
                </c:pt>
                <c:pt idx="37">
                  <c:v>2.6107040388046105E-4</c:v>
                </c:pt>
                <c:pt idx="38">
                  <c:v>2.5969124786869155E-4</c:v>
                </c:pt>
                <c:pt idx="39">
                  <c:v>2.5831209185692204E-4</c:v>
                </c:pt>
                <c:pt idx="40">
                  <c:v>2.5693293584515254E-4</c:v>
                </c:pt>
                <c:pt idx="41">
                  <c:v>2.5279546780984408E-4</c:v>
                </c:pt>
                <c:pt idx="42">
                  <c:v>2.5141631179807458E-4</c:v>
                </c:pt>
                <c:pt idx="43">
                  <c:v>2.5003715578630507E-4</c:v>
                </c:pt>
                <c:pt idx="44">
                  <c:v>2.4865799977453557E-4</c:v>
                </c:pt>
                <c:pt idx="45">
                  <c:v>2.4727884376276612E-4</c:v>
                </c:pt>
                <c:pt idx="46">
                  <c:v>2.4314137572745761E-4</c:v>
                </c:pt>
                <c:pt idx="47">
                  <c:v>2.417622197156881E-4</c:v>
                </c:pt>
                <c:pt idx="48">
                  <c:v>2.403830637039186E-4</c:v>
                </c:pt>
                <c:pt idx="49">
                  <c:v>2.3900390769214909E-4</c:v>
                </c:pt>
                <c:pt idx="50">
                  <c:v>2.3762475168037959E-4</c:v>
                </c:pt>
                <c:pt idx="51">
                  <c:v>2.3348728364507113E-4</c:v>
                </c:pt>
                <c:pt idx="52">
                  <c:v>2.3210812763330163E-4</c:v>
                </c:pt>
                <c:pt idx="53">
                  <c:v>2.3072897162153212E-4</c:v>
                </c:pt>
                <c:pt idx="54">
                  <c:v>2.2934981560976262E-4</c:v>
                </c:pt>
                <c:pt idx="55">
                  <c:v>2.2797065959799311E-4</c:v>
                </c:pt>
                <c:pt idx="56">
                  <c:v>2.2383319156268466E-4</c:v>
                </c:pt>
                <c:pt idx="57">
                  <c:v>2.2245403555091515E-4</c:v>
                </c:pt>
                <c:pt idx="58">
                  <c:v>2.2107487953914565E-4</c:v>
                </c:pt>
                <c:pt idx="59">
                  <c:v>2.1969572352737614E-4</c:v>
                </c:pt>
                <c:pt idx="60">
                  <c:v>2.1417909948029816E-4</c:v>
                </c:pt>
                <c:pt idx="61">
                  <c:v>2.1279994346852868E-4</c:v>
                </c:pt>
                <c:pt idx="62">
                  <c:v>2.1142078745675917E-4</c:v>
                </c:pt>
                <c:pt idx="63">
                  <c:v>2.1004163144498967E-4</c:v>
                </c:pt>
                <c:pt idx="64">
                  <c:v>2.0452500739791168E-4</c:v>
                </c:pt>
                <c:pt idx="65">
                  <c:v>2.0314585138614218E-4</c:v>
                </c:pt>
                <c:pt idx="66">
                  <c:v>2.017666953743727E-4</c:v>
                </c:pt>
                <c:pt idx="67">
                  <c:v>2.003875393626032E-4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</c:numCache>
            </c:numRef>
          </c:cat>
          <c:val>
            <c:numRef>
              <c:f>'1MSynthDepo_allScenario'!$BH$6:$BH$135</c:f>
              <c:numCache>
                <c:formatCode>0.0000%</c:formatCode>
                <c:ptCount val="130"/>
                <c:pt idx="0">
                  <c:v>6.0780114562029234E-4</c:v>
                </c:pt>
                <c:pt idx="1">
                  <c:v>5.7533349391385971E-4</c:v>
                </c:pt>
                <c:pt idx="2">
                  <c:v>5.648257231636168E-4</c:v>
                </c:pt>
                <c:pt idx="3">
                  <c:v>5.5447534232265798E-4</c:v>
                </c:pt>
                <c:pt idx="4">
                  <c:v>5.4428235139098325E-4</c:v>
                </c:pt>
                <c:pt idx="5">
                  <c:v>5.342467503685925E-4</c:v>
                </c:pt>
                <c:pt idx="6">
                  <c:v>5.0508428675712428E-4</c:v>
                </c:pt>
                <c:pt idx="7">
                  <c:v>4.9567824537186957E-4</c:v>
                </c:pt>
                <c:pt idx="8">
                  <c:v>4.864295938958989E-4</c:v>
                </c:pt>
                <c:pt idx="9">
                  <c:v>4.7733833232921233E-4</c:v>
                </c:pt>
                <c:pt idx="10">
                  <c:v>4.6840446067180974E-4</c:v>
                </c:pt>
                <c:pt idx="11">
                  <c:v>4.4254718515530602E-4</c:v>
                </c:pt>
                <c:pt idx="12">
                  <c:v>4.3424287313503947E-4</c:v>
                </c:pt>
                <c:pt idx="13">
                  <c:v>4.2609595102405701E-4</c:v>
                </c:pt>
                <c:pt idx="14">
                  <c:v>4.1810641882235853E-4</c:v>
                </c:pt>
                <c:pt idx="15">
                  <c:v>4.1027427652994409E-4</c:v>
                </c:pt>
                <c:pt idx="16">
                  <c:v>3.8772218910840489E-4</c:v>
                </c:pt>
                <c:pt idx="17">
                  <c:v>3.8051960645312655E-4</c:v>
                </c:pt>
                <c:pt idx="18">
                  <c:v>3.7347441370713219E-4</c:v>
                </c:pt>
                <c:pt idx="19">
                  <c:v>3.6658661087042192E-4</c:v>
                </c:pt>
                <c:pt idx="20">
                  <c:v>3.5985619794299563E-4</c:v>
                </c:pt>
                <c:pt idx="21">
                  <c:v>3.4060929861642089E-4</c:v>
                </c:pt>
                <c:pt idx="22">
                  <c:v>3.3450844532613075E-4</c:v>
                </c:pt>
                <c:pt idx="23">
                  <c:v>3.2856498194512454E-4</c:v>
                </c:pt>
                <c:pt idx="24">
                  <c:v>3.2277890847340243E-4</c:v>
                </c:pt>
                <c:pt idx="25">
                  <c:v>3.1715022491096429E-4</c:v>
                </c:pt>
                <c:pt idx="26">
                  <c:v>3.0120851367935406E-4</c:v>
                </c:pt>
                <c:pt idx="27">
                  <c:v>2.9620938975405208E-4</c:v>
                </c:pt>
                <c:pt idx="28">
                  <c:v>2.9136765573803408E-4</c:v>
                </c:pt>
                <c:pt idx="29">
                  <c:v>2.8668331163130006E-4</c:v>
                </c:pt>
                <c:pt idx="30">
                  <c:v>2.8215635743385014E-4</c:v>
                </c:pt>
                <c:pt idx="31">
                  <c:v>2.6951983429720442E-4</c:v>
                </c:pt>
                <c:pt idx="32">
                  <c:v>2.6562243973689054E-4</c:v>
                </c:pt>
                <c:pt idx="33">
                  <c:v>2.6188243508586063E-4</c:v>
                </c:pt>
                <c:pt idx="34">
                  <c:v>2.5829982034411493E-4</c:v>
                </c:pt>
                <c:pt idx="35">
                  <c:v>2.5487459551165311E-4</c:v>
                </c:pt>
                <c:pt idx="36">
                  <c:v>2.4554326046997185E-4</c:v>
                </c:pt>
                <c:pt idx="37">
                  <c:v>2.427475952746462E-4</c:v>
                </c:pt>
                <c:pt idx="38">
                  <c:v>2.401093199886045E-4</c:v>
                </c:pt>
                <c:pt idx="39">
                  <c:v>2.3762843461184679E-4</c:v>
                </c:pt>
                <c:pt idx="40">
                  <c:v>2.3530493914437314E-4</c:v>
                </c:pt>
                <c:pt idx="41">
                  <c:v>2.2927879219765646E-4</c:v>
                </c:pt>
                <c:pt idx="42">
                  <c:v>2.2758485636731893E-4</c:v>
                </c:pt>
                <c:pt idx="43">
                  <c:v>2.2604831044626534E-4</c:v>
                </c:pt>
                <c:pt idx="44">
                  <c:v>2.2466915443449583E-4</c:v>
                </c:pt>
                <c:pt idx="45">
                  <c:v>2.2344738833201047E-4</c:v>
                </c:pt>
                <c:pt idx="46">
                  <c:v>2.2072642948025813E-4</c:v>
                </c:pt>
                <c:pt idx="47">
                  <c:v>2.2013422301490876E-4</c:v>
                </c:pt>
                <c:pt idx="48">
                  <c:v>2.1969940645884348E-4</c:v>
                </c:pt>
                <c:pt idx="49">
                  <c:v>2.1942197981206213E-4</c:v>
                </c:pt>
                <c:pt idx="50">
                  <c:v>2.1930194307456482E-4</c:v>
                </c:pt>
                <c:pt idx="51">
                  <c:v>2.1988617231777716E-4</c:v>
                </c:pt>
                <c:pt idx="52">
                  <c:v>2.2039569521741588E-4</c:v>
                </c:pt>
                <c:pt idx="53">
                  <c:v>2.210626080263387E-4</c:v>
                </c:pt>
                <c:pt idx="54">
                  <c:v>2.2188691074454545E-4</c:v>
                </c:pt>
                <c:pt idx="55">
                  <c:v>2.2286860337203634E-4</c:v>
                </c:pt>
                <c:pt idx="56">
                  <c:v>2.2675802071021314E-4</c:v>
                </c:pt>
                <c:pt idx="57">
                  <c:v>2.2836927297484007E-4</c:v>
                </c:pt>
                <c:pt idx="58">
                  <c:v>2.3013791514875099E-4</c:v>
                </c:pt>
                <c:pt idx="59">
                  <c:v>2.3206394723194611E-4</c:v>
                </c:pt>
                <c:pt idx="60">
                  <c:v>2.4134197465756619E-4</c:v>
                </c:pt>
                <c:pt idx="61">
                  <c:v>2.4405495628718145E-4</c:v>
                </c:pt>
                <c:pt idx="62">
                  <c:v>2.4692532782608046E-4</c:v>
                </c:pt>
                <c:pt idx="63">
                  <c:v>2.4995308927426368E-4</c:v>
                </c:pt>
                <c:pt idx="64">
                  <c:v>2.6363803415983659E-4</c:v>
                </c:pt>
                <c:pt idx="65">
                  <c:v>2.6745274515443983E-4</c:v>
                </c:pt>
                <c:pt idx="66">
                  <c:v>2.7142484605832727E-4</c:v>
                </c:pt>
                <c:pt idx="67">
                  <c:v>2.7555433687149837E-4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160320"/>
        <c:axId val="358163456"/>
      </c:lineChart>
      <c:dateAx>
        <c:axId val="35816032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358163456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35816345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358160320"/>
        <c:crosses val="autoZero"/>
        <c:crossBetween val="between"/>
        <c:majorUnit val="1.0000000000000003E-4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36684293225888576"/>
          <c:h val="0.368966188745347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Exact Fit (Continuous</a:t>
            </a:r>
            <a:r>
              <a:rPr lang="en-US" baseline="0"/>
              <a:t> Basis Approx)</a:t>
            </a:r>
            <a:endParaRPr lang="en-US"/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</c:numCache>
            </c:numRef>
          </c:cat>
          <c:val>
            <c:numRef>
              <c:f>'1MSynthDepo_allScenario'!$BI$6:$BI$135</c:f>
              <c:numCache>
                <c:formatCode>0.0000%</c:formatCode>
                <c:ptCount val="130"/>
                <c:pt idx="0">
                  <c:v>2.7001098488800557E-4</c:v>
                </c:pt>
                <c:pt idx="1">
                  <c:v>2.7001455190375724E-4</c:v>
                </c:pt>
                <c:pt idx="2">
                  <c:v>2.7001574090900783E-4</c:v>
                </c:pt>
                <c:pt idx="3">
                  <c:v>2.7001692991425837E-4</c:v>
                </c:pt>
                <c:pt idx="4">
                  <c:v>2.7001811891950897E-4</c:v>
                </c:pt>
                <c:pt idx="5">
                  <c:v>2.7001930792475951E-4</c:v>
                </c:pt>
                <c:pt idx="6">
                  <c:v>2.7002287494051118E-4</c:v>
                </c:pt>
                <c:pt idx="7">
                  <c:v>2.7002406394576177E-4</c:v>
                </c:pt>
                <c:pt idx="8">
                  <c:v>2.7002525295101231E-4</c:v>
                </c:pt>
                <c:pt idx="9">
                  <c:v>2.7002644195626291E-4</c:v>
                </c:pt>
                <c:pt idx="10">
                  <c:v>2.7002763096151345E-4</c:v>
                </c:pt>
                <c:pt idx="11">
                  <c:v>2.7003119797726517E-4</c:v>
                </c:pt>
                <c:pt idx="12">
                  <c:v>2.7003238698251571E-4</c:v>
                </c:pt>
                <c:pt idx="13">
                  <c:v>2.7003357598776625E-4</c:v>
                </c:pt>
                <c:pt idx="14">
                  <c:v>2.7003476499301685E-4</c:v>
                </c:pt>
                <c:pt idx="15">
                  <c:v>2.7003595399826739E-4</c:v>
                </c:pt>
                <c:pt idx="16">
                  <c:v>2.7003952101401911E-4</c:v>
                </c:pt>
                <c:pt idx="17">
                  <c:v>2.7004071001926965E-4</c:v>
                </c:pt>
                <c:pt idx="18">
                  <c:v>2.7004189902452025E-4</c:v>
                </c:pt>
                <c:pt idx="19">
                  <c:v>2.7004308802977079E-4</c:v>
                </c:pt>
                <c:pt idx="20">
                  <c:v>2.7004427703502133E-4</c:v>
                </c:pt>
                <c:pt idx="21">
                  <c:v>2.7004784405077305E-4</c:v>
                </c:pt>
                <c:pt idx="22">
                  <c:v>2.7004903305602359E-4</c:v>
                </c:pt>
                <c:pt idx="23">
                  <c:v>2.7005022206127419E-4</c:v>
                </c:pt>
                <c:pt idx="24">
                  <c:v>2.7005141106652473E-4</c:v>
                </c:pt>
                <c:pt idx="25">
                  <c:v>2.7005260007177532E-4</c:v>
                </c:pt>
                <c:pt idx="26">
                  <c:v>2.7005616708752699E-4</c:v>
                </c:pt>
                <c:pt idx="27">
                  <c:v>2.7005735609277753E-4</c:v>
                </c:pt>
                <c:pt idx="28">
                  <c:v>2.7005854509802813E-4</c:v>
                </c:pt>
                <c:pt idx="29">
                  <c:v>2.7005973410327866E-4</c:v>
                </c:pt>
                <c:pt idx="30">
                  <c:v>2.7006092310852926E-4</c:v>
                </c:pt>
                <c:pt idx="31">
                  <c:v>2.7006449012428093E-4</c:v>
                </c:pt>
                <c:pt idx="32">
                  <c:v>2.7006567912953147E-4</c:v>
                </c:pt>
                <c:pt idx="33">
                  <c:v>2.7006686813478206E-4</c:v>
                </c:pt>
                <c:pt idx="34">
                  <c:v>2.700680571400326E-4</c:v>
                </c:pt>
                <c:pt idx="35">
                  <c:v>2.700692461452832E-4</c:v>
                </c:pt>
                <c:pt idx="36">
                  <c:v>2.7007281316103487E-4</c:v>
                </c:pt>
                <c:pt idx="37">
                  <c:v>2.7007400216628546E-4</c:v>
                </c:pt>
                <c:pt idx="38">
                  <c:v>2.70075191171536E-4</c:v>
                </c:pt>
                <c:pt idx="39">
                  <c:v>2.7007638017678654E-4</c:v>
                </c:pt>
                <c:pt idx="40">
                  <c:v>2.7007756918203714E-4</c:v>
                </c:pt>
                <c:pt idx="41">
                  <c:v>2.7008113619778881E-4</c:v>
                </c:pt>
                <c:pt idx="42">
                  <c:v>2.700823252030394E-4</c:v>
                </c:pt>
                <c:pt idx="43">
                  <c:v>2.7008351420828994E-4</c:v>
                </c:pt>
                <c:pt idx="44">
                  <c:v>2.7008470321354054E-4</c:v>
                </c:pt>
                <c:pt idx="45">
                  <c:v>2.7008589221879108E-4</c:v>
                </c:pt>
                <c:pt idx="46">
                  <c:v>2.7008945923454275E-4</c:v>
                </c:pt>
                <c:pt idx="47">
                  <c:v>2.7009064823979334E-4</c:v>
                </c:pt>
                <c:pt idx="48">
                  <c:v>2.7009183724504388E-4</c:v>
                </c:pt>
                <c:pt idx="49">
                  <c:v>2.7009302625029448E-4</c:v>
                </c:pt>
                <c:pt idx="50">
                  <c:v>2.7009421525554502E-4</c:v>
                </c:pt>
                <c:pt idx="51">
                  <c:v>2.7009778227129669E-4</c:v>
                </c:pt>
                <c:pt idx="52">
                  <c:v>2.7009897127654728E-4</c:v>
                </c:pt>
                <c:pt idx="53">
                  <c:v>2.7010016028179782E-4</c:v>
                </c:pt>
                <c:pt idx="54">
                  <c:v>2.7010134928704842E-4</c:v>
                </c:pt>
                <c:pt idx="55">
                  <c:v>2.7010253829229896E-4</c:v>
                </c:pt>
                <c:pt idx="56">
                  <c:v>2.7010610530805068E-4</c:v>
                </c:pt>
                <c:pt idx="57">
                  <c:v>2.7010729431330122E-4</c:v>
                </c:pt>
                <c:pt idx="58">
                  <c:v>2.7010848331855176E-4</c:v>
                </c:pt>
                <c:pt idx="59">
                  <c:v>2.7010967232380236E-4</c:v>
                </c:pt>
                <c:pt idx="60">
                  <c:v>2.7011442834480462E-4</c:v>
                </c:pt>
                <c:pt idx="61">
                  <c:v>2.7011561735005516E-4</c:v>
                </c:pt>
                <c:pt idx="62">
                  <c:v>2.7011680635530576E-4</c:v>
                </c:pt>
                <c:pt idx="63">
                  <c:v>2.701179953605563E-4</c:v>
                </c:pt>
                <c:pt idx="64">
                  <c:v>2.7012275138155856E-4</c:v>
                </c:pt>
                <c:pt idx="65">
                  <c:v>2.701239403868091E-4</c:v>
                </c:pt>
                <c:pt idx="66">
                  <c:v>2.701251293920597E-4</c:v>
                </c:pt>
                <c:pt idx="67">
                  <c:v>2.7012631839731023E-4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</c:numCache>
            </c:numRef>
          </c:cat>
          <c:val>
            <c:numRef>
              <c:f>'1MSynthDepo_allScenario'!$BJ$6:$BJ$135</c:f>
              <c:numCache>
                <c:formatCode>0.0000%</c:formatCode>
                <c:ptCount val="130"/>
                <c:pt idx="0">
                  <c:v>2.5678619680661295E-4</c:v>
                </c:pt>
                <c:pt idx="1">
                  <c:v>2.6046137341661694E-4</c:v>
                </c:pt>
                <c:pt idx="2">
                  <c:v>2.6160250978160679E-4</c:v>
                </c:pt>
                <c:pt idx="3">
                  <c:v>2.6270168489409094E-4</c:v>
                </c:pt>
                <c:pt idx="4">
                  <c:v>2.6375889875406927E-4</c:v>
                </c:pt>
                <c:pt idx="5">
                  <c:v>2.6477415136154191E-4</c:v>
                </c:pt>
                <c:pt idx="6">
                  <c:v>2.6756814166892538E-4</c:v>
                </c:pt>
                <c:pt idx="7">
                  <c:v>2.6841554926637504E-4</c:v>
                </c:pt>
                <c:pt idx="8">
                  <c:v>2.6922099561131895E-4</c:v>
                </c:pt>
                <c:pt idx="9">
                  <c:v>2.6998448070375715E-4</c:v>
                </c:pt>
                <c:pt idx="10">
                  <c:v>2.707060045436896E-4</c:v>
                </c:pt>
                <c:pt idx="11">
                  <c:v>2.726188085484525E-4</c:v>
                </c:pt>
                <c:pt idx="12">
                  <c:v>2.7317248737836197E-4</c:v>
                </c:pt>
                <c:pt idx="13">
                  <c:v>2.7368420495576574E-4</c:v>
                </c:pt>
                <c:pt idx="14">
                  <c:v>2.741539612806637E-4</c:v>
                </c:pt>
                <c:pt idx="15">
                  <c:v>2.7458175635305601E-4</c:v>
                </c:pt>
                <c:pt idx="16">
                  <c:v>2.7561337405519829E-4</c:v>
                </c:pt>
                <c:pt idx="17">
                  <c:v>2.7587332411756768E-4</c:v>
                </c:pt>
                <c:pt idx="18">
                  <c:v>2.7609131292743116E-4</c:v>
                </c:pt>
                <c:pt idx="19">
                  <c:v>2.7626734048478903E-4</c:v>
                </c:pt>
                <c:pt idx="20">
                  <c:v>2.764014067896411E-4</c:v>
                </c:pt>
                <c:pt idx="21">
                  <c:v>2.7655183818916292E-4</c:v>
                </c:pt>
                <c:pt idx="22">
                  <c:v>2.7651805948399202E-4</c:v>
                </c:pt>
                <c:pt idx="23">
                  <c:v>2.7644231952631541E-4</c:v>
                </c:pt>
                <c:pt idx="24">
                  <c:v>2.7632461831613304E-4</c:v>
                </c:pt>
                <c:pt idx="25">
                  <c:v>2.7616495585344492E-4</c:v>
                </c:pt>
                <c:pt idx="26">
                  <c:v>2.7543420095034612E-4</c:v>
                </c:pt>
                <c:pt idx="27">
                  <c:v>2.7510669347763508E-4</c:v>
                </c:pt>
                <c:pt idx="28">
                  <c:v>2.7473722475241822E-4</c:v>
                </c:pt>
                <c:pt idx="29">
                  <c:v>2.7432579477469567E-4</c:v>
                </c:pt>
                <c:pt idx="30">
                  <c:v>2.7387240354446741E-4</c:v>
                </c:pt>
                <c:pt idx="31">
                  <c:v>2.722604623387481E-4</c:v>
                </c:pt>
                <c:pt idx="32">
                  <c:v>2.7163922609849681E-4</c:v>
                </c:pt>
                <c:pt idx="33">
                  <c:v>2.7097602860573982E-4</c:v>
                </c:pt>
                <c:pt idx="34">
                  <c:v>2.7027086986047708E-4</c:v>
                </c:pt>
                <c:pt idx="35">
                  <c:v>2.6952374986270858E-4</c:v>
                </c:pt>
                <c:pt idx="36">
                  <c:v>2.6703062235436869E-4</c:v>
                </c:pt>
                <c:pt idx="37">
                  <c:v>2.6611565734657727E-4</c:v>
                </c:pt>
                <c:pt idx="38">
                  <c:v>2.6515873108628009E-4</c:v>
                </c:pt>
                <c:pt idx="39">
                  <c:v>2.6415984357347716E-4</c:v>
                </c:pt>
                <c:pt idx="40">
                  <c:v>2.6311899480816847E-4</c:v>
                </c:pt>
                <c:pt idx="41">
                  <c:v>2.5974468099720807E-4</c:v>
                </c:pt>
                <c:pt idx="42">
                  <c:v>2.5853598722187641E-4</c:v>
                </c:pt>
                <c:pt idx="43">
                  <c:v>2.5728533219403904E-4</c:v>
                </c:pt>
                <c:pt idx="44">
                  <c:v>2.5599271591369597E-4</c:v>
                </c:pt>
                <c:pt idx="45">
                  <c:v>2.5465813838084709E-4</c:v>
                </c:pt>
                <c:pt idx="46">
                  <c:v>2.5040263826726613E-4</c:v>
                </c:pt>
                <c:pt idx="47">
                  <c:v>2.4890021572439427E-4</c:v>
                </c:pt>
                <c:pt idx="48">
                  <c:v>2.4735583192901677E-4</c:v>
                </c:pt>
                <c:pt idx="49">
                  <c:v>2.4576948688113346E-4</c:v>
                </c:pt>
                <c:pt idx="50">
                  <c:v>2.4414118058074444E-4</c:v>
                </c:pt>
                <c:pt idx="51">
                  <c:v>2.3900449416454291E-4</c:v>
                </c:pt>
                <c:pt idx="52">
                  <c:v>2.3720834285413092E-4</c:v>
                </c:pt>
                <c:pt idx="53">
                  <c:v>2.3537023029121315E-4</c:v>
                </c:pt>
                <c:pt idx="54">
                  <c:v>2.3349015647578967E-4</c:v>
                </c:pt>
                <c:pt idx="55">
                  <c:v>2.3156812140786041E-4</c:v>
                </c:pt>
                <c:pt idx="56">
                  <c:v>2.2555024868903836E-4</c:v>
                </c:pt>
                <c:pt idx="57">
                  <c:v>2.2346036861108616E-4</c:v>
                </c:pt>
                <c:pt idx="58">
                  <c:v>2.2132852728062825E-4</c:v>
                </c:pt>
                <c:pt idx="59">
                  <c:v>2.1915472469766456E-4</c:v>
                </c:pt>
                <c:pt idx="60">
                  <c:v>2.1003990184075252E-4</c:v>
                </c:pt>
                <c:pt idx="61">
                  <c:v>2.0765629299526015E-4</c:v>
                </c:pt>
                <c:pt idx="62">
                  <c:v>2.05230722897262E-4</c:v>
                </c:pt>
                <c:pt idx="63">
                  <c:v>2.0276319154675817E-4</c:v>
                </c:pt>
                <c:pt idx="64">
                  <c:v>1.9247345361968532E-4</c:v>
                </c:pt>
                <c:pt idx="65">
                  <c:v>1.8979611600665279E-4</c:v>
                </c:pt>
                <c:pt idx="66">
                  <c:v>1.8707681714111451E-4</c:v>
                </c:pt>
                <c:pt idx="67">
                  <c:v>1.8431555702307052E-4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</c:numCache>
            </c:numRef>
          </c:cat>
          <c:val>
            <c:numRef>
              <c:f>'1MSynthDepo_allScenario'!$BK$6:$BK$135</c:f>
              <c:numCache>
                <c:formatCode>0.0000%</c:formatCode>
                <c:ptCount val="130"/>
                <c:pt idx="0">
                  <c:v>3.3049113683294675E-4</c:v>
                </c:pt>
                <c:pt idx="1">
                  <c:v>3.265503461131588E-4</c:v>
                </c:pt>
                <c:pt idx="2">
                  <c:v>3.252367492065628E-4</c:v>
                </c:pt>
                <c:pt idx="3">
                  <c:v>3.2392315229996685E-4</c:v>
                </c:pt>
                <c:pt idx="4">
                  <c:v>3.2260955539337085E-4</c:v>
                </c:pt>
                <c:pt idx="5">
                  <c:v>3.2129595848677485E-4</c:v>
                </c:pt>
                <c:pt idx="6">
                  <c:v>3.1735516776698689E-4</c:v>
                </c:pt>
                <c:pt idx="7">
                  <c:v>3.1604157086039089E-4</c:v>
                </c:pt>
                <c:pt idx="8">
                  <c:v>3.1472797395379494E-4</c:v>
                </c:pt>
                <c:pt idx="9">
                  <c:v>3.1341437704719894E-4</c:v>
                </c:pt>
                <c:pt idx="10">
                  <c:v>3.1210078014060294E-4</c:v>
                </c:pt>
                <c:pt idx="11">
                  <c:v>3.0815998942081499E-4</c:v>
                </c:pt>
                <c:pt idx="12">
                  <c:v>3.0684639251421904E-4</c:v>
                </c:pt>
                <c:pt idx="13">
                  <c:v>3.0553279560762304E-4</c:v>
                </c:pt>
                <c:pt idx="14">
                  <c:v>3.0421919870102704E-4</c:v>
                </c:pt>
                <c:pt idx="15">
                  <c:v>3.0290560179443103E-4</c:v>
                </c:pt>
                <c:pt idx="16">
                  <c:v>2.9896481107464308E-4</c:v>
                </c:pt>
                <c:pt idx="17">
                  <c:v>2.9765121416804713E-4</c:v>
                </c:pt>
                <c:pt idx="18">
                  <c:v>2.9633761726145113E-4</c:v>
                </c:pt>
                <c:pt idx="19">
                  <c:v>2.9502402035485513E-4</c:v>
                </c:pt>
                <c:pt idx="20">
                  <c:v>2.9371042344825918E-4</c:v>
                </c:pt>
                <c:pt idx="21">
                  <c:v>2.8976963272847123E-4</c:v>
                </c:pt>
                <c:pt idx="22">
                  <c:v>2.8845603582187523E-4</c:v>
                </c:pt>
                <c:pt idx="23">
                  <c:v>2.8714243891527923E-4</c:v>
                </c:pt>
                <c:pt idx="24">
                  <c:v>2.8582884200868328E-4</c:v>
                </c:pt>
                <c:pt idx="25">
                  <c:v>2.8451524510208728E-4</c:v>
                </c:pt>
                <c:pt idx="26">
                  <c:v>2.8057445438229932E-4</c:v>
                </c:pt>
                <c:pt idx="27">
                  <c:v>2.7926085747570332E-4</c:v>
                </c:pt>
                <c:pt idx="28">
                  <c:v>2.7794726056910737E-4</c:v>
                </c:pt>
                <c:pt idx="29">
                  <c:v>2.7663366366251137E-4</c:v>
                </c:pt>
                <c:pt idx="30">
                  <c:v>2.7532006675591537E-4</c:v>
                </c:pt>
                <c:pt idx="31">
                  <c:v>2.7137927603612742E-4</c:v>
                </c:pt>
                <c:pt idx="32">
                  <c:v>2.7006567912953142E-4</c:v>
                </c:pt>
                <c:pt idx="33">
                  <c:v>2.6875208222293541E-4</c:v>
                </c:pt>
                <c:pt idx="34">
                  <c:v>2.6743848531633947E-4</c:v>
                </c:pt>
                <c:pt idx="35">
                  <c:v>2.6612488840974346E-4</c:v>
                </c:pt>
                <c:pt idx="36">
                  <c:v>2.6218409768995551E-4</c:v>
                </c:pt>
                <c:pt idx="37">
                  <c:v>2.6087050078335951E-4</c:v>
                </c:pt>
                <c:pt idx="38">
                  <c:v>2.5955690387676356E-4</c:v>
                </c:pt>
                <c:pt idx="39">
                  <c:v>2.5824330697016756E-4</c:v>
                </c:pt>
                <c:pt idx="40">
                  <c:v>2.5692971006357156E-4</c:v>
                </c:pt>
                <c:pt idx="41">
                  <c:v>2.5298891934378361E-4</c:v>
                </c:pt>
                <c:pt idx="42">
                  <c:v>2.5167532243718766E-4</c:v>
                </c:pt>
                <c:pt idx="43">
                  <c:v>2.5036172553059166E-4</c:v>
                </c:pt>
                <c:pt idx="44">
                  <c:v>2.4904812862399566E-4</c:v>
                </c:pt>
                <c:pt idx="45">
                  <c:v>2.4773453171739971E-4</c:v>
                </c:pt>
                <c:pt idx="46">
                  <c:v>2.4379374099761176E-4</c:v>
                </c:pt>
                <c:pt idx="47">
                  <c:v>2.4248014409101575E-4</c:v>
                </c:pt>
                <c:pt idx="48">
                  <c:v>2.4116654718441975E-4</c:v>
                </c:pt>
                <c:pt idx="49">
                  <c:v>2.3985295027782375E-4</c:v>
                </c:pt>
                <c:pt idx="50">
                  <c:v>2.385393533712278E-4</c:v>
                </c:pt>
                <c:pt idx="51">
                  <c:v>2.3459856265143985E-4</c:v>
                </c:pt>
                <c:pt idx="52">
                  <c:v>2.3328496574484385E-4</c:v>
                </c:pt>
                <c:pt idx="53">
                  <c:v>2.3197136883824785E-4</c:v>
                </c:pt>
                <c:pt idx="54">
                  <c:v>2.306577719316519E-4</c:v>
                </c:pt>
                <c:pt idx="55">
                  <c:v>2.293441750250559E-4</c:v>
                </c:pt>
                <c:pt idx="56">
                  <c:v>2.2540338430526794E-4</c:v>
                </c:pt>
                <c:pt idx="57">
                  <c:v>2.2408978739867194E-4</c:v>
                </c:pt>
                <c:pt idx="58">
                  <c:v>2.2277619049207597E-4</c:v>
                </c:pt>
                <c:pt idx="59">
                  <c:v>2.2146259358547999E-4</c:v>
                </c:pt>
                <c:pt idx="60">
                  <c:v>2.1620820595909604E-4</c:v>
                </c:pt>
                <c:pt idx="61">
                  <c:v>2.1489460905250006E-4</c:v>
                </c:pt>
                <c:pt idx="62">
                  <c:v>2.1358101214590406E-4</c:v>
                </c:pt>
                <c:pt idx="63">
                  <c:v>2.1226741523930809E-4</c:v>
                </c:pt>
                <c:pt idx="64">
                  <c:v>2.0701302761292413E-4</c:v>
                </c:pt>
                <c:pt idx="65">
                  <c:v>2.0569943070632816E-4</c:v>
                </c:pt>
                <c:pt idx="66">
                  <c:v>2.0438583379973218E-4</c:v>
                </c:pt>
                <c:pt idx="67">
                  <c:v>2.0307223689313621E-4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</c:numCache>
            </c:numRef>
          </c:cat>
          <c:val>
            <c:numRef>
              <c:f>'1MSynthDepo_allScenario'!$BL$6:$BL$135</c:f>
              <c:numCache>
                <c:formatCode>0.0000%</c:formatCode>
                <c:ptCount val="130"/>
                <c:pt idx="0">
                  <c:v>6.1104098199966602E-4</c:v>
                </c:pt>
                <c:pt idx="1">
                  <c:v>5.7811083921739052E-4</c:v>
                </c:pt>
                <c:pt idx="2">
                  <c:v>5.6745356685263719E-4</c:v>
                </c:pt>
                <c:pt idx="3">
                  <c:v>5.5695601543588678E-4</c:v>
                </c:pt>
                <c:pt idx="4">
                  <c:v>5.4661818496713895E-4</c:v>
                </c:pt>
                <c:pt idx="5">
                  <c:v>5.3644007544639393E-4</c:v>
                </c:pt>
                <c:pt idx="6">
                  <c:v>5.0686407257217471E-4</c:v>
                </c:pt>
                <c:pt idx="7">
                  <c:v>4.9732484684344037E-4</c:v>
                </c:pt>
                <c:pt idx="8">
                  <c:v>4.8794534206270872E-4</c:v>
                </c:pt>
                <c:pt idx="9">
                  <c:v>4.7872555822997976E-4</c:v>
                </c:pt>
                <c:pt idx="10">
                  <c:v>4.6966549534525345E-4</c:v>
                </c:pt>
                <c:pt idx="11">
                  <c:v>4.4344363237909073E-4</c:v>
                </c:pt>
                <c:pt idx="12">
                  <c:v>4.3502245328637515E-4</c:v>
                </c:pt>
                <c:pt idx="13">
                  <c:v>4.2676099514166231E-4</c:v>
                </c:pt>
                <c:pt idx="14">
                  <c:v>4.1865925794495212E-4</c:v>
                </c:pt>
                <c:pt idx="15">
                  <c:v>4.1071724169624467E-4</c:v>
                </c:pt>
                <c:pt idx="16">
                  <c:v>3.878495186381383E-4</c:v>
                </c:pt>
                <c:pt idx="17">
                  <c:v>3.8054638618144153E-4</c:v>
                </c:pt>
                <c:pt idx="18">
                  <c:v>3.7340297467274751E-4</c:v>
                </c:pt>
                <c:pt idx="19">
                  <c:v>3.6641928411205614E-4</c:v>
                </c:pt>
                <c:pt idx="20">
                  <c:v>3.5959531449936746E-4</c:v>
                </c:pt>
                <c:pt idx="21">
                  <c:v>3.4008173134931753E-4</c:v>
                </c:pt>
                <c:pt idx="22">
                  <c:v>3.3389664552863963E-4</c:v>
                </c:pt>
                <c:pt idx="23">
                  <c:v>3.2787128065596438E-4</c:v>
                </c:pt>
                <c:pt idx="24">
                  <c:v>3.2200563673129181E-4</c:v>
                </c:pt>
                <c:pt idx="25">
                  <c:v>3.1629971375462195E-4</c:v>
                </c:pt>
                <c:pt idx="26">
                  <c:v>3.0014027051262842E-4</c:v>
                </c:pt>
                <c:pt idx="27">
                  <c:v>2.9507323132796934E-4</c:v>
                </c:pt>
                <c:pt idx="28">
                  <c:v>2.901659130913129E-4</c:v>
                </c:pt>
                <c:pt idx="29">
                  <c:v>2.854183158026591E-4</c:v>
                </c:pt>
                <c:pt idx="30">
                  <c:v>2.8083043946200805E-4</c:v>
                </c:pt>
                <c:pt idx="31">
                  <c:v>2.6802513612807097E-4</c:v>
                </c:pt>
                <c:pt idx="32">
                  <c:v>2.640761435794306E-4</c:v>
                </c:pt>
                <c:pt idx="33">
                  <c:v>2.6028687197879297E-4</c:v>
                </c:pt>
                <c:pt idx="34">
                  <c:v>2.5665732132615815E-4</c:v>
                </c:pt>
                <c:pt idx="35">
                  <c:v>2.5318749162152586E-4</c:v>
                </c:pt>
                <c:pt idx="36">
                  <c:v>2.4373632819564513E-4</c:v>
                </c:pt>
                <c:pt idx="37">
                  <c:v>2.409053822830237E-4</c:v>
                </c:pt>
                <c:pt idx="38">
                  <c:v>2.3823415731840484E-4</c:v>
                </c:pt>
                <c:pt idx="39">
                  <c:v>2.3572265330178865E-4</c:v>
                </c:pt>
                <c:pt idx="40">
                  <c:v>2.3337087023317518E-4</c:v>
                </c:pt>
                <c:pt idx="41">
                  <c:v>2.2727384671535099E-4</c:v>
                </c:pt>
                <c:pt idx="42">
                  <c:v>2.2556094743874831E-4</c:v>
                </c:pt>
                <c:pt idx="43">
                  <c:v>2.2400776911014821E-4</c:v>
                </c:pt>
                <c:pt idx="44">
                  <c:v>2.2261431172955086E-4</c:v>
                </c:pt>
                <c:pt idx="45">
                  <c:v>2.2138057529695631E-4</c:v>
                </c:pt>
                <c:pt idx="46">
                  <c:v>2.1863769168718842E-4</c:v>
                </c:pt>
                <c:pt idx="47">
                  <c:v>2.1804283904660449E-4</c:v>
                </c:pt>
                <c:pt idx="48">
                  <c:v>2.1760770735402337E-4</c:v>
                </c:pt>
                <c:pt idx="49">
                  <c:v>2.1733229660944484E-4</c:v>
                </c:pt>
                <c:pt idx="50">
                  <c:v>2.1721660681286894E-4</c:v>
                </c:pt>
                <c:pt idx="51">
                  <c:v>2.1782786311115766E-4</c:v>
                </c:pt>
                <c:pt idx="52">
                  <c:v>2.183510571065925E-4</c:v>
                </c:pt>
                <c:pt idx="53">
                  <c:v>2.1903397205003008E-4</c:v>
                </c:pt>
                <c:pt idx="54">
                  <c:v>2.1987660794147031E-4</c:v>
                </c:pt>
                <c:pt idx="55">
                  <c:v>2.2087896478091329E-4</c:v>
                </c:pt>
                <c:pt idx="56">
                  <c:v>2.248443609872584E-4</c:v>
                </c:pt>
                <c:pt idx="57">
                  <c:v>2.26485601618712E-4</c:v>
                </c:pt>
                <c:pt idx="58">
                  <c:v>2.282865631981684E-4</c:v>
                </c:pt>
                <c:pt idx="59">
                  <c:v>2.3024724572562761E-4</c:v>
                </c:pt>
                <c:pt idx="60">
                  <c:v>2.3968718531549064E-4</c:v>
                </c:pt>
                <c:pt idx="61">
                  <c:v>2.4244647258296322E-4</c:v>
                </c:pt>
                <c:pt idx="62">
                  <c:v>2.4536548079843838E-4</c:v>
                </c:pt>
                <c:pt idx="63">
                  <c:v>2.4844420996191635E-4</c:v>
                </c:pt>
                <c:pt idx="64">
                  <c:v>2.6235633609585475E-4</c:v>
                </c:pt>
                <c:pt idx="65">
                  <c:v>2.6623366999934609E-4</c:v>
                </c:pt>
                <c:pt idx="66">
                  <c:v>2.7027072485084024E-4</c:v>
                </c:pt>
                <c:pt idx="67">
                  <c:v>2.7446750065033664E-4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161496"/>
        <c:axId val="358160712"/>
      </c:lineChart>
      <c:dateAx>
        <c:axId val="35816149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358160712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35816071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358161496"/>
        <c:crosses val="autoZero"/>
        <c:crossBetween val="between"/>
        <c:majorUnit val="1.0000000000000003E-4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36684293225888576"/>
          <c:h val="0.368966188745347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Fit (Simple</a:t>
            </a:r>
            <a:r>
              <a:rPr lang="en-US" baseline="0"/>
              <a:t> Basis Approx)</a:t>
            </a:r>
            <a:endParaRPr lang="en-US"/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1578419754386889"/>
          <c:y val="6.3011620476003422E-2"/>
          <c:w val="0.84239222605535513"/>
          <c:h val="0.77407071390760485"/>
        </c:manualLayout>
      </c:layout>
      <c:lineChart>
        <c:grouping val="standard"/>
        <c:varyColors val="0"/>
        <c:ser>
          <c:idx val="0"/>
          <c:order val="0"/>
          <c:tx>
            <c:v>Linear with 0x6</c:v>
          </c:tx>
          <c:spPr>
            <a:ln>
              <a:prstDash val="sysDot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</c:numCache>
            </c:numRef>
          </c:cat>
          <c:val>
            <c:numRef>
              <c:f>'1MSynthDepo_allScenario'!$BM$6:$BM$135</c:f>
              <c:numCache>
                <c:formatCode>0.0000%</c:formatCode>
                <c:ptCount val="130"/>
                <c:pt idx="0">
                  <c:v>2.4007730606420642E-4</c:v>
                </c:pt>
                <c:pt idx="1">
                  <c:v>2.4195400966764698E-4</c:v>
                </c:pt>
                <c:pt idx="2">
                  <c:v>2.4257957753546049E-4</c:v>
                </c:pt>
                <c:pt idx="3">
                  <c:v>2.43205145403274E-4</c:v>
                </c:pt>
                <c:pt idx="4">
                  <c:v>2.4383071327108754E-4</c:v>
                </c:pt>
                <c:pt idx="5">
                  <c:v>2.4445628113890105E-4</c:v>
                </c:pt>
                <c:pt idx="6">
                  <c:v>2.4633298474234158E-4</c:v>
                </c:pt>
                <c:pt idx="7">
                  <c:v>2.4695855261015515E-4</c:v>
                </c:pt>
                <c:pt idx="8">
                  <c:v>2.4758412047796866E-4</c:v>
                </c:pt>
                <c:pt idx="9">
                  <c:v>2.4820968834578217E-4</c:v>
                </c:pt>
                <c:pt idx="10">
                  <c:v>2.4883525621359568E-4</c:v>
                </c:pt>
                <c:pt idx="11">
                  <c:v>2.5071195981703621E-4</c:v>
                </c:pt>
                <c:pt idx="12">
                  <c:v>2.5133752768484978E-4</c:v>
                </c:pt>
                <c:pt idx="13">
                  <c:v>2.5196309555266329E-4</c:v>
                </c:pt>
                <c:pt idx="14">
                  <c:v>2.525886634204768E-4</c:v>
                </c:pt>
                <c:pt idx="15">
                  <c:v>2.5321423128829031E-4</c:v>
                </c:pt>
                <c:pt idx="16">
                  <c:v>2.550909348917309E-4</c:v>
                </c:pt>
                <c:pt idx="17">
                  <c:v>2.5571650275954441E-4</c:v>
                </c:pt>
                <c:pt idx="18">
                  <c:v>2.5634207062735792E-4</c:v>
                </c:pt>
                <c:pt idx="19">
                  <c:v>2.5696763849517143E-4</c:v>
                </c:pt>
                <c:pt idx="20">
                  <c:v>2.5759320636298494E-4</c:v>
                </c:pt>
                <c:pt idx="21">
                  <c:v>2.5946990996642547E-4</c:v>
                </c:pt>
                <c:pt idx="22">
                  <c:v>2.6009547783423904E-4</c:v>
                </c:pt>
                <c:pt idx="23">
                  <c:v>2.6072104570205255E-4</c:v>
                </c:pt>
                <c:pt idx="24">
                  <c:v>2.6134661356986606E-4</c:v>
                </c:pt>
                <c:pt idx="25">
                  <c:v>2.6197218143767957E-4</c:v>
                </c:pt>
                <c:pt idx="26">
                  <c:v>2.6384888504112016E-4</c:v>
                </c:pt>
                <c:pt idx="27">
                  <c:v>2.6447445290893367E-4</c:v>
                </c:pt>
                <c:pt idx="28">
                  <c:v>2.6510002077674718E-4</c:v>
                </c:pt>
                <c:pt idx="29">
                  <c:v>2.6572558864456069E-4</c:v>
                </c:pt>
                <c:pt idx="30">
                  <c:v>2.663511565123742E-4</c:v>
                </c:pt>
                <c:pt idx="31">
                  <c:v>2.6822786011581479E-4</c:v>
                </c:pt>
                <c:pt idx="32">
                  <c:v>2.688534279836283E-4</c:v>
                </c:pt>
                <c:pt idx="33">
                  <c:v>2.6947899585144181E-4</c:v>
                </c:pt>
                <c:pt idx="34">
                  <c:v>2.7010456371925532E-4</c:v>
                </c:pt>
                <c:pt idx="35">
                  <c:v>2.7073013158706883E-4</c:v>
                </c:pt>
                <c:pt idx="36">
                  <c:v>2.7260683519050942E-4</c:v>
                </c:pt>
                <c:pt idx="37">
                  <c:v>2.7323240305832293E-4</c:v>
                </c:pt>
                <c:pt idx="38">
                  <c:v>2.7385797092613644E-4</c:v>
                </c:pt>
                <c:pt idx="39">
                  <c:v>2.7448353879394995E-4</c:v>
                </c:pt>
                <c:pt idx="40">
                  <c:v>2.7510910666176346E-4</c:v>
                </c:pt>
                <c:pt idx="41">
                  <c:v>2.7698581026520404E-4</c:v>
                </c:pt>
                <c:pt idx="42">
                  <c:v>2.7761137813301756E-4</c:v>
                </c:pt>
                <c:pt idx="43">
                  <c:v>2.7823694600083107E-4</c:v>
                </c:pt>
                <c:pt idx="44">
                  <c:v>2.7886251386864458E-4</c:v>
                </c:pt>
                <c:pt idx="45">
                  <c:v>2.7948808173645809E-4</c:v>
                </c:pt>
                <c:pt idx="46">
                  <c:v>2.8136478533989867E-4</c:v>
                </c:pt>
                <c:pt idx="47">
                  <c:v>2.8199035320771219E-4</c:v>
                </c:pt>
                <c:pt idx="48">
                  <c:v>2.826159210755257E-4</c:v>
                </c:pt>
                <c:pt idx="49">
                  <c:v>2.8324148894333921E-4</c:v>
                </c:pt>
                <c:pt idx="50">
                  <c:v>2.8386705681115272E-4</c:v>
                </c:pt>
                <c:pt idx="51">
                  <c:v>2.857437604145933E-4</c:v>
                </c:pt>
                <c:pt idx="52">
                  <c:v>2.8636932828240681E-4</c:v>
                </c:pt>
                <c:pt idx="53">
                  <c:v>2.8699489615022033E-4</c:v>
                </c:pt>
                <c:pt idx="54">
                  <c:v>2.8762046401803384E-4</c:v>
                </c:pt>
                <c:pt idx="55">
                  <c:v>2.8824603188584735E-4</c:v>
                </c:pt>
                <c:pt idx="56">
                  <c:v>2.9012273548928793E-4</c:v>
                </c:pt>
                <c:pt idx="57">
                  <c:v>2.9074830335710144E-4</c:v>
                </c:pt>
                <c:pt idx="58">
                  <c:v>2.9137387122491496E-4</c:v>
                </c:pt>
                <c:pt idx="59">
                  <c:v>2.9199943909272847E-4</c:v>
                </c:pt>
                <c:pt idx="60">
                  <c:v>2.9450171056398256E-4</c:v>
                </c:pt>
                <c:pt idx="61">
                  <c:v>2.9512727843179607E-4</c:v>
                </c:pt>
                <c:pt idx="62">
                  <c:v>2.9575284629960958E-4</c:v>
                </c:pt>
                <c:pt idx="63">
                  <c:v>2.963784141674231E-4</c:v>
                </c:pt>
                <c:pt idx="64">
                  <c:v>2.9888068563867719E-4</c:v>
                </c:pt>
                <c:pt idx="65">
                  <c:v>2.995062535064907E-4</c:v>
                </c:pt>
                <c:pt idx="66">
                  <c:v>3.0013182137430421E-4</c:v>
                </c:pt>
                <c:pt idx="67">
                  <c:v>3.0075738924211773E-4</c:v>
                </c:pt>
              </c:numCache>
            </c:numRef>
          </c:val>
          <c:smooth val="0"/>
        </c:ser>
        <c:ser>
          <c:idx val="1"/>
          <c:order val="1"/>
          <c:tx>
            <c:v>Quadratic with 0x6</c:v>
          </c:tx>
          <c:spPr>
            <a:ln>
              <a:prstDash val="sysDash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</c:numCache>
            </c:numRef>
          </c:cat>
          <c:val>
            <c:numRef>
              <c:f>'1MSynthDepo_allScenario'!$BN$6:$BN$135</c:f>
              <c:numCache>
                <c:formatCode>0.0000%</c:formatCode>
                <c:ptCount val="130"/>
                <c:pt idx="0">
                  <c:v>3.1848739450824666E-4</c:v>
                </c:pt>
                <c:pt idx="1">
                  <c:v>3.0940093945335375E-4</c:v>
                </c:pt>
                <c:pt idx="2">
                  <c:v>3.0649171899530252E-4</c:v>
                </c:pt>
                <c:pt idx="3">
                  <c:v>3.0364229748404127E-4</c:v>
                </c:pt>
                <c:pt idx="4">
                  <c:v>3.0085267491956988E-4</c:v>
                </c:pt>
                <c:pt idx="5">
                  <c:v>2.9812285130188841E-4</c:v>
                </c:pt>
                <c:pt idx="6">
                  <c:v>2.902921741295833E-4</c:v>
                </c:pt>
                <c:pt idx="7">
                  <c:v>2.8780154629906129E-4</c:v>
                </c:pt>
                <c:pt idx="8">
                  <c:v>2.8537071741532931E-4</c:v>
                </c:pt>
                <c:pt idx="9">
                  <c:v>2.8299968747838718E-4</c:v>
                </c:pt>
                <c:pt idx="10">
                  <c:v>2.8068845648823493E-4</c:v>
                </c:pt>
                <c:pt idx="11">
                  <c:v>2.7411355719851761E-4</c:v>
                </c:pt>
                <c:pt idx="12">
                  <c:v>2.7204152199552492E-4</c:v>
                </c:pt>
                <c:pt idx="13">
                  <c:v>2.7002928573932215E-4</c:v>
                </c:pt>
                <c:pt idx="14">
                  <c:v>2.6807684842990929E-4</c:v>
                </c:pt>
                <c:pt idx="15">
                  <c:v>2.661842100672863E-4</c:v>
                </c:pt>
                <c:pt idx="16">
                  <c:v>2.6086508866015673E-4</c:v>
                </c:pt>
                <c:pt idx="17">
                  <c:v>2.5921164608469331E-4</c:v>
                </c:pt>
                <c:pt idx="18">
                  <c:v>2.576180024560198E-4</c:v>
                </c:pt>
                <c:pt idx="19">
                  <c:v>2.5608415777413621E-4</c:v>
                </c:pt>
                <c:pt idx="20">
                  <c:v>2.5461011203904249E-4</c:v>
                </c:pt>
                <c:pt idx="21">
                  <c:v>2.5054676851450066E-4</c:v>
                </c:pt>
                <c:pt idx="22">
                  <c:v>2.493119185665665E-4</c:v>
                </c:pt>
                <c:pt idx="23">
                  <c:v>2.4813686756542226E-4</c:v>
                </c:pt>
                <c:pt idx="24">
                  <c:v>2.4702161551106794E-4</c:v>
                </c:pt>
                <c:pt idx="25">
                  <c:v>2.4596616240350348E-4</c:v>
                </c:pt>
                <c:pt idx="26">
                  <c:v>2.4315859676154946E-4</c:v>
                </c:pt>
                <c:pt idx="27">
                  <c:v>2.4234233944114456E-4</c:v>
                </c:pt>
                <c:pt idx="28">
                  <c:v>2.4158588106752959E-4</c:v>
                </c:pt>
                <c:pt idx="29">
                  <c:v>2.4088922164070448E-4</c:v>
                </c:pt>
                <c:pt idx="30">
                  <c:v>2.4025236116066929E-4</c:v>
                </c:pt>
                <c:pt idx="31">
                  <c:v>2.3870057340130303E-4</c:v>
                </c:pt>
                <c:pt idx="32">
                  <c:v>2.383029087084274E-4</c:v>
                </c:pt>
                <c:pt idx="33">
                  <c:v>2.3796504296234167E-4</c:v>
                </c:pt>
                <c:pt idx="34">
                  <c:v>2.3768697616304582E-4</c:v>
                </c:pt>
                <c:pt idx="35">
                  <c:v>2.374687083105399E-4</c:v>
                </c:pt>
                <c:pt idx="36">
                  <c:v>2.3717269843376144E-4</c:v>
                </c:pt>
                <c:pt idx="37">
                  <c:v>2.3719362636841508E-4</c:v>
                </c:pt>
                <c:pt idx="38">
                  <c:v>2.3727435324985861E-4</c:v>
                </c:pt>
                <c:pt idx="39">
                  <c:v>2.3741487907809203E-4</c:v>
                </c:pt>
                <c:pt idx="40">
                  <c:v>2.3761520385311532E-4</c:v>
                </c:pt>
                <c:pt idx="41">
                  <c:v>2.3857497185892463E-4</c:v>
                </c:pt>
                <c:pt idx="42">
                  <c:v>2.3901449242110754E-4</c:v>
                </c:pt>
                <c:pt idx="43">
                  <c:v>2.3951381193008031E-4</c:v>
                </c:pt>
                <c:pt idx="44">
                  <c:v>2.4007293038584299E-4</c:v>
                </c:pt>
                <c:pt idx="45">
                  <c:v>2.4069184778839555E-4</c:v>
                </c:pt>
                <c:pt idx="46">
                  <c:v>2.4290739367679263E-4</c:v>
                </c:pt>
                <c:pt idx="47">
                  <c:v>2.437655068665048E-4</c:v>
                </c:pt>
                <c:pt idx="48">
                  <c:v>2.4468341900300687E-4</c:v>
                </c:pt>
                <c:pt idx="49">
                  <c:v>2.4566113008629882E-4</c:v>
                </c:pt>
                <c:pt idx="50">
                  <c:v>2.4669864011638064E-4</c:v>
                </c:pt>
                <c:pt idx="51">
                  <c:v>2.501699638873655E-4</c:v>
                </c:pt>
                <c:pt idx="52">
                  <c:v>2.5144666970460688E-4</c:v>
                </c:pt>
                <c:pt idx="53">
                  <c:v>2.5278317446863824E-4</c:v>
                </c:pt>
                <c:pt idx="54">
                  <c:v>2.541794781794594E-4</c:v>
                </c:pt>
                <c:pt idx="55">
                  <c:v>2.5563558083707054E-4</c:v>
                </c:pt>
                <c:pt idx="56">
                  <c:v>2.603626824906432E-4</c:v>
                </c:pt>
                <c:pt idx="57">
                  <c:v>2.6205798093541384E-4</c:v>
                </c:pt>
                <c:pt idx="58">
                  <c:v>2.6381307832697436E-4</c:v>
                </c:pt>
                <c:pt idx="59">
                  <c:v>2.6562797466532484E-4</c:v>
                </c:pt>
                <c:pt idx="60">
                  <c:v>2.7348554948662559E-4</c:v>
                </c:pt>
                <c:pt idx="61">
                  <c:v>2.7559944055892556E-4</c:v>
                </c:pt>
                <c:pt idx="62">
                  <c:v>2.777731305780154E-4</c:v>
                </c:pt>
                <c:pt idx="63">
                  <c:v>2.800066195438951E-4</c:v>
                </c:pt>
                <c:pt idx="64">
                  <c:v>2.8953856487531291E-4</c:v>
                </c:pt>
                <c:pt idx="65">
                  <c:v>2.9207104857514209E-4</c:v>
                </c:pt>
                <c:pt idx="66">
                  <c:v>2.9466333122176119E-4</c:v>
                </c:pt>
                <c:pt idx="67">
                  <c:v>2.973154128151701E-4</c:v>
                </c:pt>
              </c:numCache>
            </c:numRef>
          </c:val>
          <c:smooth val="0"/>
        </c:ser>
        <c:ser>
          <c:idx val="2"/>
          <c:order val="2"/>
          <c:tx>
            <c:v>Linear without 0x6</c:v>
          </c:tx>
          <c:spPr>
            <a:ln>
              <a:prstDash val="lgDashDot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</c:numCache>
            </c:numRef>
          </c:cat>
          <c:val>
            <c:numRef>
              <c:f>'1MSynthDepo_allScenario'!$BO$6:$BO$135</c:f>
              <c:numCache>
                <c:formatCode>0.0000%</c:formatCode>
                <c:ptCount val="130"/>
                <c:pt idx="0">
                  <c:v>1.8439871286026486E-4</c:v>
                </c:pt>
                <c:pt idx="1">
                  <c:v>1.8816973114279596E-4</c:v>
                </c:pt>
                <c:pt idx="2">
                  <c:v>1.8942673723697299E-4</c:v>
                </c:pt>
                <c:pt idx="3">
                  <c:v>1.9068374333115003E-4</c:v>
                </c:pt>
                <c:pt idx="4">
                  <c:v>1.9194074942532706E-4</c:v>
                </c:pt>
                <c:pt idx="5">
                  <c:v>1.931977555195041E-4</c:v>
                </c:pt>
                <c:pt idx="6">
                  <c:v>1.969687738020352E-4</c:v>
                </c:pt>
                <c:pt idx="7">
                  <c:v>1.9822577989621223E-4</c:v>
                </c:pt>
                <c:pt idx="8">
                  <c:v>1.9948278599038924E-4</c:v>
                </c:pt>
                <c:pt idx="9">
                  <c:v>2.0073979208456628E-4</c:v>
                </c:pt>
                <c:pt idx="10">
                  <c:v>2.0199679817874331E-4</c:v>
                </c:pt>
                <c:pt idx="11">
                  <c:v>2.0576781646127441E-4</c:v>
                </c:pt>
                <c:pt idx="12">
                  <c:v>2.0702482255545145E-4</c:v>
                </c:pt>
                <c:pt idx="13">
                  <c:v>2.0828182864962848E-4</c:v>
                </c:pt>
                <c:pt idx="14">
                  <c:v>2.0953883474380552E-4</c:v>
                </c:pt>
                <c:pt idx="15">
                  <c:v>2.1079584083798255E-4</c:v>
                </c:pt>
                <c:pt idx="16">
                  <c:v>2.1456685912051365E-4</c:v>
                </c:pt>
                <c:pt idx="17">
                  <c:v>2.1582386521469069E-4</c:v>
                </c:pt>
                <c:pt idx="18">
                  <c:v>2.1708087130886772E-4</c:v>
                </c:pt>
                <c:pt idx="19">
                  <c:v>2.1833787740304476E-4</c:v>
                </c:pt>
                <c:pt idx="20">
                  <c:v>2.1959488349722179E-4</c:v>
                </c:pt>
                <c:pt idx="21">
                  <c:v>2.2336590177975287E-4</c:v>
                </c:pt>
                <c:pt idx="22">
                  <c:v>2.2462290787392993E-4</c:v>
                </c:pt>
                <c:pt idx="23">
                  <c:v>2.2587991396810694E-4</c:v>
                </c:pt>
                <c:pt idx="24">
                  <c:v>2.2713692006228397E-4</c:v>
                </c:pt>
                <c:pt idx="25">
                  <c:v>2.2839392615646101E-4</c:v>
                </c:pt>
                <c:pt idx="26">
                  <c:v>2.3216494443899211E-4</c:v>
                </c:pt>
                <c:pt idx="27">
                  <c:v>2.3342195053316914E-4</c:v>
                </c:pt>
                <c:pt idx="28">
                  <c:v>2.3467895662734618E-4</c:v>
                </c:pt>
                <c:pt idx="29">
                  <c:v>2.3593596272152321E-4</c:v>
                </c:pt>
                <c:pt idx="30">
                  <c:v>2.3719296881570025E-4</c:v>
                </c:pt>
                <c:pt idx="31">
                  <c:v>2.4096398709823135E-4</c:v>
                </c:pt>
                <c:pt idx="32">
                  <c:v>2.4222099319240838E-4</c:v>
                </c:pt>
                <c:pt idx="33">
                  <c:v>2.4347799928658542E-4</c:v>
                </c:pt>
                <c:pt idx="34">
                  <c:v>2.4473500538076245E-4</c:v>
                </c:pt>
                <c:pt idx="35">
                  <c:v>2.4599201147493949E-4</c:v>
                </c:pt>
                <c:pt idx="36">
                  <c:v>2.4976302975747059E-4</c:v>
                </c:pt>
                <c:pt idx="37">
                  <c:v>2.5102003585164762E-4</c:v>
                </c:pt>
                <c:pt idx="38">
                  <c:v>2.5227704194582466E-4</c:v>
                </c:pt>
                <c:pt idx="39">
                  <c:v>2.5353404804000169E-4</c:v>
                </c:pt>
                <c:pt idx="40">
                  <c:v>2.5479105413417873E-4</c:v>
                </c:pt>
                <c:pt idx="41">
                  <c:v>2.5856207241670983E-4</c:v>
                </c:pt>
                <c:pt idx="42">
                  <c:v>2.5981907851088681E-4</c:v>
                </c:pt>
                <c:pt idx="43">
                  <c:v>2.610760846050639E-4</c:v>
                </c:pt>
                <c:pt idx="44">
                  <c:v>2.6233309069924088E-4</c:v>
                </c:pt>
                <c:pt idx="45">
                  <c:v>2.6359009679341797E-4</c:v>
                </c:pt>
                <c:pt idx="46">
                  <c:v>2.6736111507594902E-4</c:v>
                </c:pt>
                <c:pt idx="47">
                  <c:v>2.6861812117012611E-4</c:v>
                </c:pt>
                <c:pt idx="48">
                  <c:v>2.6987512726430309E-4</c:v>
                </c:pt>
                <c:pt idx="49">
                  <c:v>2.7113213335848018E-4</c:v>
                </c:pt>
                <c:pt idx="50">
                  <c:v>2.7238913945265716E-4</c:v>
                </c:pt>
                <c:pt idx="51">
                  <c:v>2.7616015773518831E-4</c:v>
                </c:pt>
                <c:pt idx="52">
                  <c:v>2.7741716382936529E-4</c:v>
                </c:pt>
                <c:pt idx="53">
                  <c:v>2.7867416992354238E-4</c:v>
                </c:pt>
                <c:pt idx="54">
                  <c:v>2.7993117601771936E-4</c:v>
                </c:pt>
                <c:pt idx="55">
                  <c:v>2.811881821118964E-4</c:v>
                </c:pt>
                <c:pt idx="56">
                  <c:v>2.849592003944275E-4</c:v>
                </c:pt>
                <c:pt idx="57">
                  <c:v>2.8621620648860453E-4</c:v>
                </c:pt>
                <c:pt idx="58">
                  <c:v>2.8747321258278157E-4</c:v>
                </c:pt>
                <c:pt idx="59">
                  <c:v>2.887302186769586E-4</c:v>
                </c:pt>
                <c:pt idx="60">
                  <c:v>2.9375824305366674E-4</c:v>
                </c:pt>
                <c:pt idx="61">
                  <c:v>2.9501524914784377E-4</c:v>
                </c:pt>
                <c:pt idx="62">
                  <c:v>2.9627225524202081E-4</c:v>
                </c:pt>
                <c:pt idx="63">
                  <c:v>2.9752926133619784E-4</c:v>
                </c:pt>
                <c:pt idx="64">
                  <c:v>3.0255728571290598E-4</c:v>
                </c:pt>
                <c:pt idx="65">
                  <c:v>3.0381429180708302E-4</c:v>
                </c:pt>
                <c:pt idx="66">
                  <c:v>3.0507129790126005E-4</c:v>
                </c:pt>
                <c:pt idx="67">
                  <c:v>3.0632830399543708E-4</c:v>
                </c:pt>
              </c:numCache>
            </c:numRef>
          </c:val>
          <c:smooth val="0"/>
        </c:ser>
        <c:ser>
          <c:idx val="3"/>
          <c:order val="3"/>
          <c:tx>
            <c:v>Quadratic without 0x6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'1MSynthDepo_allScenario'!$BC$6:$BC$135</c:f>
              <c:numCache>
                <c:formatCode>d\-mmm\-yy</c:formatCode>
                <c:ptCount val="130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</c:numCache>
            </c:numRef>
          </c:cat>
          <c:val>
            <c:numRef>
              <c:f>'1MSynthDepo_allScenario'!$BP$6:$BP$135</c:f>
              <c:numCache>
                <c:formatCode>0.0000%</c:formatCode>
                <c:ptCount val="130"/>
                <c:pt idx="0">
                  <c:v>6.0780114562029213E-4</c:v>
                </c:pt>
                <c:pt idx="1">
                  <c:v>5.7533349391385949E-4</c:v>
                </c:pt>
                <c:pt idx="2">
                  <c:v>5.6482572316361669E-4</c:v>
                </c:pt>
                <c:pt idx="3">
                  <c:v>5.5447534232265787E-4</c:v>
                </c:pt>
                <c:pt idx="4">
                  <c:v>5.4428235139098314E-4</c:v>
                </c:pt>
                <c:pt idx="5">
                  <c:v>5.3424675036859229E-4</c:v>
                </c:pt>
                <c:pt idx="6">
                  <c:v>5.0508428675712406E-4</c:v>
                </c:pt>
                <c:pt idx="7">
                  <c:v>4.9567824537186946E-4</c:v>
                </c:pt>
                <c:pt idx="8">
                  <c:v>4.864295938958988E-4</c:v>
                </c:pt>
                <c:pt idx="9">
                  <c:v>4.7733833232921217E-4</c:v>
                </c:pt>
                <c:pt idx="10">
                  <c:v>4.6840446067180957E-4</c:v>
                </c:pt>
                <c:pt idx="11">
                  <c:v>4.4254718515530591E-4</c:v>
                </c:pt>
                <c:pt idx="12">
                  <c:v>4.3424287313503936E-4</c:v>
                </c:pt>
                <c:pt idx="13">
                  <c:v>4.2609595102405685E-4</c:v>
                </c:pt>
                <c:pt idx="14">
                  <c:v>4.1810641882235842E-4</c:v>
                </c:pt>
                <c:pt idx="15">
                  <c:v>4.1027427652994399E-4</c:v>
                </c:pt>
                <c:pt idx="16">
                  <c:v>3.8772218910840484E-4</c:v>
                </c:pt>
                <c:pt idx="17">
                  <c:v>3.8051960645312644E-4</c:v>
                </c:pt>
                <c:pt idx="18">
                  <c:v>3.7347441370713219E-4</c:v>
                </c:pt>
                <c:pt idx="19">
                  <c:v>3.6658661087042181E-4</c:v>
                </c:pt>
                <c:pt idx="20">
                  <c:v>3.5985619794299552E-4</c:v>
                </c:pt>
                <c:pt idx="21">
                  <c:v>3.4060929861642089E-4</c:v>
                </c:pt>
                <c:pt idx="22">
                  <c:v>3.3450844532613064E-4</c:v>
                </c:pt>
                <c:pt idx="23">
                  <c:v>3.2856498194512454E-4</c:v>
                </c:pt>
                <c:pt idx="24">
                  <c:v>3.2277890847340237E-4</c:v>
                </c:pt>
                <c:pt idx="25">
                  <c:v>3.1715022491096429E-4</c:v>
                </c:pt>
                <c:pt idx="26">
                  <c:v>3.0120851367935401E-4</c:v>
                </c:pt>
                <c:pt idx="27">
                  <c:v>2.9620938975405203E-4</c:v>
                </c:pt>
                <c:pt idx="28">
                  <c:v>2.9136765573803403E-4</c:v>
                </c:pt>
                <c:pt idx="29">
                  <c:v>2.8668331163130006E-4</c:v>
                </c:pt>
                <c:pt idx="30">
                  <c:v>2.8215635743385008E-4</c:v>
                </c:pt>
                <c:pt idx="31">
                  <c:v>2.6951983429720437E-4</c:v>
                </c:pt>
                <c:pt idx="32">
                  <c:v>2.6562243973689048E-4</c:v>
                </c:pt>
                <c:pt idx="33">
                  <c:v>2.6188243508586074E-4</c:v>
                </c:pt>
                <c:pt idx="34">
                  <c:v>2.5829982034411488E-4</c:v>
                </c:pt>
                <c:pt idx="35">
                  <c:v>2.5487459551165311E-4</c:v>
                </c:pt>
                <c:pt idx="36">
                  <c:v>2.4554326046997185E-4</c:v>
                </c:pt>
                <c:pt idx="37">
                  <c:v>2.4274759527464612E-4</c:v>
                </c:pt>
                <c:pt idx="38">
                  <c:v>2.4010931998860442E-4</c:v>
                </c:pt>
                <c:pt idx="39">
                  <c:v>2.3762843461184682E-4</c:v>
                </c:pt>
                <c:pt idx="40">
                  <c:v>2.3530493914437314E-4</c:v>
                </c:pt>
                <c:pt idx="41">
                  <c:v>2.2927879219765646E-4</c:v>
                </c:pt>
                <c:pt idx="42">
                  <c:v>2.2758485636731888E-4</c:v>
                </c:pt>
                <c:pt idx="43">
                  <c:v>2.2604831044626534E-4</c:v>
                </c:pt>
                <c:pt idx="44">
                  <c:v>2.2466915443449594E-4</c:v>
                </c:pt>
                <c:pt idx="45">
                  <c:v>2.2344738833201042E-4</c:v>
                </c:pt>
                <c:pt idx="46">
                  <c:v>2.2072642948025819E-4</c:v>
                </c:pt>
                <c:pt idx="47">
                  <c:v>2.2013422301490876E-4</c:v>
                </c:pt>
                <c:pt idx="48">
                  <c:v>2.1969940645884337E-4</c:v>
                </c:pt>
                <c:pt idx="49">
                  <c:v>2.1942197981206202E-4</c:v>
                </c:pt>
                <c:pt idx="50">
                  <c:v>2.1930194307456482E-4</c:v>
                </c:pt>
                <c:pt idx="51">
                  <c:v>2.1988617231777699E-4</c:v>
                </c:pt>
                <c:pt idx="52">
                  <c:v>2.2039569521741583E-4</c:v>
                </c:pt>
                <c:pt idx="53">
                  <c:v>2.2106260802633865E-4</c:v>
                </c:pt>
                <c:pt idx="54">
                  <c:v>2.218869107445454E-4</c:v>
                </c:pt>
                <c:pt idx="55">
                  <c:v>2.2286860337203634E-4</c:v>
                </c:pt>
                <c:pt idx="56">
                  <c:v>2.2675802071021303E-4</c:v>
                </c:pt>
                <c:pt idx="57">
                  <c:v>2.2836927297484007E-4</c:v>
                </c:pt>
                <c:pt idx="58">
                  <c:v>2.3013791514875099E-4</c:v>
                </c:pt>
                <c:pt idx="59">
                  <c:v>2.3206394723194589E-4</c:v>
                </c:pt>
                <c:pt idx="60">
                  <c:v>2.4134197465756609E-4</c:v>
                </c:pt>
                <c:pt idx="61">
                  <c:v>2.4405495628718123E-4</c:v>
                </c:pt>
                <c:pt idx="62">
                  <c:v>2.4692532782608035E-4</c:v>
                </c:pt>
                <c:pt idx="63">
                  <c:v>2.4995308927426357E-4</c:v>
                </c:pt>
                <c:pt idx="64">
                  <c:v>2.6363803415983659E-4</c:v>
                </c:pt>
                <c:pt idx="65">
                  <c:v>2.6745274515443973E-4</c:v>
                </c:pt>
                <c:pt idx="66">
                  <c:v>2.7142484605832706E-4</c:v>
                </c:pt>
                <c:pt idx="67">
                  <c:v>2.7555433687149816E-4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'1MSynthDepo_allScenario'!$BQ$5</c:f>
              <c:strCache>
                <c:ptCount val="1"/>
                <c:pt idx="0">
                  <c:v>Contribution</c:v>
                </c:pt>
              </c:strCache>
            </c:strRef>
          </c:tx>
          <c:spPr>
            <a:ln w="31750"/>
          </c:spPr>
          <c:marker>
            <c:symbol val="none"/>
          </c:marker>
          <c:val>
            <c:numRef>
              <c:f>'1MSynthDepo_allScenario'!$BQ$6:$BQ$135</c:f>
              <c:numCache>
                <c:formatCode>0.0000%</c:formatCode>
                <c:ptCount val="130"/>
                <c:pt idx="0">
                  <c:v>2.0687314390994393E-4</c:v>
                </c:pt>
                <c:pt idx="1">
                  <c:v>2.269065077384597E-4</c:v>
                </c:pt>
                <c:pt idx="2">
                  <c:v>2.3290598846069808E-4</c:v>
                </c:pt>
                <c:pt idx="3">
                  <c:v>2.3857754995714738E-4</c:v>
                </c:pt>
                <c:pt idx="4">
                  <c:v>2.4392793285851419E-4</c:v>
                </c:pt>
                <c:pt idx="5">
                  <c:v>2.4896387779550517E-4</c:v>
                </c:pt>
                <c:pt idx="6">
                  <c:v>2.6225249112728888E-4</c:v>
                </c:pt>
                <c:pt idx="7">
                  <c:v>2.660980905138425E-4</c:v>
                </c:pt>
                <c:pt idx="8">
                  <c:v>2.6966295508955323E-4</c:v>
                </c:pt>
                <c:pt idx="9">
                  <c:v>2.7295382548512772E-4</c:v>
                </c:pt>
                <c:pt idx="10">
                  <c:v>2.7597744233127269E-4</c:v>
                </c:pt>
                <c:pt idx="11">
                  <c:v>2.8351217788019579E-4</c:v>
                </c:pt>
                <c:pt idx="12">
                  <c:v>2.8553418683568841E-4</c:v>
                </c:pt>
                <c:pt idx="13">
                  <c:v>2.8732264539528443E-4</c:v>
                </c:pt>
                <c:pt idx="14">
                  <c:v>2.8888429418969045E-4</c:v>
                </c:pt>
                <c:pt idx="15">
                  <c:v>2.9022587384961319E-4</c:v>
                </c:pt>
                <c:pt idx="16">
                  <c:v>2.9299760432954737E-4</c:v>
                </c:pt>
                <c:pt idx="17">
                  <c:v>2.9352631375860271E-4</c:v>
                </c:pt>
                <c:pt idx="18">
                  <c:v>2.9386865720670786E-4</c:v>
                </c:pt>
                <c:pt idx="19">
                  <c:v>2.9403137530456921E-4</c:v>
                </c:pt>
                <c:pt idx="20">
                  <c:v>2.9402120868289355E-4</c:v>
                </c:pt>
                <c:pt idx="21">
                  <c:v>2.9302080680771017E-4</c:v>
                </c:pt>
                <c:pt idx="22">
                  <c:v>2.923865076149523E-4</c:v>
                </c:pt>
                <c:pt idx="23">
                  <c:v>2.9161302685619026E-4</c:v>
                </c:pt>
                <c:pt idx="24">
                  <c:v>2.9070710516213092E-4</c:v>
                </c:pt>
                <c:pt idx="25">
                  <c:v>2.8967548316348067E-4</c:v>
                </c:pt>
                <c:pt idx="26">
                  <c:v>2.8589382164705113E-4</c:v>
                </c:pt>
                <c:pt idx="27">
                  <c:v>2.8442680473710373E-4</c:v>
                </c:pt>
                <c:pt idx="28">
                  <c:v>2.828677906760985E-4</c:v>
                </c:pt>
                <c:pt idx="29">
                  <c:v>2.8122352009474216E-4</c:v>
                </c:pt>
                <c:pt idx="30">
                  <c:v>2.7950073362374131E-4</c:v>
                </c:pt>
                <c:pt idx="31">
                  <c:v>2.739286851799372E-4</c:v>
                </c:pt>
                <c:pt idx="32">
                  <c:v>2.7195924145742415E-4</c:v>
                </c:pt>
                <c:pt idx="33">
                  <c:v>2.6994498499879947E-4</c:v>
                </c:pt>
                <c:pt idx="34">
                  <c:v>2.6789265643476997E-4</c:v>
                </c:pt>
                <c:pt idx="35">
                  <c:v>2.6580899639604214E-4</c:v>
                </c:pt>
                <c:pt idx="36">
                  <c:v>2.5943743373873498E-4</c:v>
                </c:pt>
                <c:pt idx="37">
                  <c:v>2.5729585410828003E-4</c:v>
                </c:pt>
                <c:pt idx="38">
                  <c:v>2.5515664615665984E-4</c:v>
                </c:pt>
                <c:pt idx="39">
                  <c:v>2.5302655051458108E-4</c:v>
                </c:pt>
                <c:pt idx="40">
                  <c:v>2.5091230781275022E-4</c:v>
                </c:pt>
                <c:pt idx="41">
                  <c:v>2.4473210365581153E-4</c:v>
                </c:pt>
                <c:pt idx="42">
                  <c:v>2.4274867902203854E-4</c:v>
                </c:pt>
                <c:pt idx="43">
                  <c:v>2.4081481048204655E-4</c:v>
                </c:pt>
                <c:pt idx="44">
                  <c:v>2.3893723866654225E-4</c:v>
                </c:pt>
                <c:pt idx="45">
                  <c:v>2.371227042062321E-4</c:v>
                </c:pt>
                <c:pt idx="46">
                  <c:v>2.3212473126353334E-4</c:v>
                </c:pt>
                <c:pt idx="47">
                  <c:v>2.3062975253106626E-4</c:v>
                </c:pt>
                <c:pt idx="48">
                  <c:v>2.2923151430732642E-4</c:v>
                </c:pt>
                <c:pt idx="49">
                  <c:v>2.2793675722302038E-4</c:v>
                </c:pt>
                <c:pt idx="50">
                  <c:v>2.2675222190885499E-4</c:v>
                </c:pt>
                <c:pt idx="51">
                  <c:v>2.2392735289426748E-4</c:v>
                </c:pt>
                <c:pt idx="52">
                  <c:v>2.2325111096773012E-4</c:v>
                </c:pt>
                <c:pt idx="53">
                  <c:v>2.2271879396486613E-4</c:v>
                </c:pt>
                <c:pt idx="54">
                  <c:v>2.2233714251638234E-4</c:v>
                </c:pt>
                <c:pt idx="55">
                  <c:v>2.2211289725298535E-4</c:v>
                </c:pt>
                <c:pt idx="56">
                  <c:v>2.2245200488038065E-4</c:v>
                </c:pt>
                <c:pt idx="57">
                  <c:v>2.229247906643968E-4</c:v>
                </c:pt>
                <c:pt idx="58">
                  <c:v>2.2358868578703246E-4</c:v>
                </c:pt>
                <c:pt idx="59">
                  <c:v>2.2445043087899487E-4</c:v>
                </c:pt>
                <c:pt idx="60">
                  <c:v>2.3001072355423985E-4</c:v>
                </c:pt>
                <c:pt idx="61">
                  <c:v>2.319628279534333E-4</c:v>
                </c:pt>
                <c:pt idx="62">
                  <c:v>2.3415322610619265E-4</c:v>
                </c:pt>
                <c:pt idx="63">
                  <c:v>2.3658865864322463E-4</c:v>
                </c:pt>
                <c:pt idx="64">
                  <c:v>2.4891554524821176E-4</c:v>
                </c:pt>
                <c:pt idx="65">
                  <c:v>2.5267725916720612E-4</c:v>
                </c:pt>
                <c:pt idx="66">
                  <c:v>2.5672445125471302E-4</c:v>
                </c:pt>
                <c:pt idx="67">
                  <c:v>2.6106386214143882E-4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764584"/>
        <c:axId val="414768112"/>
      </c:lineChart>
      <c:dateAx>
        <c:axId val="41476458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414768112"/>
        <c:crosses val="autoZero"/>
        <c:auto val="1"/>
        <c:lblOffset val="100"/>
        <c:baseTimeUnit val="days"/>
        <c:majorUnit val="30"/>
        <c:majorTimeUnit val="days"/>
        <c:minorUnit val="30"/>
        <c:minorTimeUnit val="days"/>
      </c:dateAx>
      <c:valAx>
        <c:axId val="41476811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4147645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9302328847690022"/>
          <c:y val="0.48000632663926546"/>
          <c:w val="0.25707209387432267"/>
          <c:h val="0.3036593347745889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22</xdr:row>
      <xdr:rowOff>57149</xdr:rowOff>
    </xdr:from>
    <xdr:to>
      <xdr:col>15</xdr:col>
      <xdr:colOff>104775</xdr:colOff>
      <xdr:row>50</xdr:row>
      <xdr:rowOff>114300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51</xdr:row>
      <xdr:rowOff>38100</xdr:rowOff>
    </xdr:from>
    <xdr:to>
      <xdr:col>15</xdr:col>
      <xdr:colOff>104775</xdr:colOff>
      <xdr:row>79</xdr:row>
      <xdr:rowOff>95251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60</xdr:row>
      <xdr:rowOff>66675</xdr:rowOff>
    </xdr:from>
    <xdr:to>
      <xdr:col>18</xdr:col>
      <xdr:colOff>429450</xdr:colOff>
      <xdr:row>86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18</xdr:col>
      <xdr:colOff>476250</xdr:colOff>
      <xdr:row>60</xdr:row>
      <xdr:rowOff>66675</xdr:rowOff>
    </xdr:from>
    <xdr:to>
      <xdr:col>26</xdr:col>
      <xdr:colOff>48450</xdr:colOff>
      <xdr:row>86</xdr:row>
      <xdr:rowOff>133350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26</xdr:col>
      <xdr:colOff>114300</xdr:colOff>
      <xdr:row>60</xdr:row>
      <xdr:rowOff>76200</xdr:rowOff>
    </xdr:from>
    <xdr:to>
      <xdr:col>43</xdr:col>
      <xdr:colOff>19050</xdr:colOff>
      <xdr:row>87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28</xdr:row>
      <xdr:rowOff>57149</xdr:rowOff>
    </xdr:from>
    <xdr:to>
      <xdr:col>15</xdr:col>
      <xdr:colOff>104775</xdr:colOff>
      <xdr:row>56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57</xdr:row>
      <xdr:rowOff>38100</xdr:rowOff>
    </xdr:from>
    <xdr:to>
      <xdr:col>15</xdr:col>
      <xdr:colOff>104775</xdr:colOff>
      <xdr:row>85</xdr:row>
      <xdr:rowOff>95251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63</xdr:row>
      <xdr:rowOff>76200</xdr:rowOff>
    </xdr:from>
    <xdr:to>
      <xdr:col>18</xdr:col>
      <xdr:colOff>429450</xdr:colOff>
      <xdr:row>90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18</xdr:col>
      <xdr:colOff>504825</xdr:colOff>
      <xdr:row>63</xdr:row>
      <xdr:rowOff>76200</xdr:rowOff>
    </xdr:from>
    <xdr:to>
      <xdr:col>26</xdr:col>
      <xdr:colOff>77025</xdr:colOff>
      <xdr:row>90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26</xdr:col>
      <xdr:colOff>114300</xdr:colOff>
      <xdr:row>63</xdr:row>
      <xdr:rowOff>95250</xdr:rowOff>
    </xdr:from>
    <xdr:to>
      <xdr:col>43</xdr:col>
      <xdr:colOff>19050</xdr:colOff>
      <xdr:row>90</xdr:row>
      <xdr:rowOff>19050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95249</xdr:rowOff>
    </xdr:from>
    <xdr:to>
      <xdr:col>15</xdr:col>
      <xdr:colOff>104775</xdr:colOff>
      <xdr:row>48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48</xdr:row>
      <xdr:rowOff>57150</xdr:rowOff>
    </xdr:from>
    <xdr:to>
      <xdr:col>15</xdr:col>
      <xdr:colOff>104775</xdr:colOff>
      <xdr:row>76</xdr:row>
      <xdr:rowOff>114301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78</xdr:row>
      <xdr:rowOff>19050</xdr:rowOff>
    </xdr:from>
    <xdr:to>
      <xdr:col>18</xdr:col>
      <xdr:colOff>429450</xdr:colOff>
      <xdr:row>104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18</xdr:col>
      <xdr:colOff>438150</xdr:colOff>
      <xdr:row>78</xdr:row>
      <xdr:rowOff>19050</xdr:rowOff>
    </xdr:from>
    <xdr:to>
      <xdr:col>26</xdr:col>
      <xdr:colOff>10350</xdr:colOff>
      <xdr:row>104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26</xdr:col>
      <xdr:colOff>28575</xdr:colOff>
      <xdr:row>78</xdr:row>
      <xdr:rowOff>9525</xdr:rowOff>
    </xdr:from>
    <xdr:to>
      <xdr:col>42</xdr:col>
      <xdr:colOff>266700</xdr:colOff>
      <xdr:row>104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18</xdr:row>
      <xdr:rowOff>57149</xdr:rowOff>
    </xdr:from>
    <xdr:to>
      <xdr:col>15</xdr:col>
      <xdr:colOff>38100</xdr:colOff>
      <xdr:row>46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46</xdr:row>
      <xdr:rowOff>114300</xdr:rowOff>
    </xdr:from>
    <xdr:to>
      <xdr:col>15</xdr:col>
      <xdr:colOff>38100</xdr:colOff>
      <xdr:row>75</xdr:row>
      <xdr:rowOff>28576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46</xdr:row>
      <xdr:rowOff>76200</xdr:rowOff>
    </xdr:from>
    <xdr:to>
      <xdr:col>18</xdr:col>
      <xdr:colOff>429450</xdr:colOff>
      <xdr:row>73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18</xdr:col>
      <xdr:colOff>466725</xdr:colOff>
      <xdr:row>46</xdr:row>
      <xdr:rowOff>85725</xdr:rowOff>
    </xdr:from>
    <xdr:to>
      <xdr:col>26</xdr:col>
      <xdr:colOff>38925</xdr:colOff>
      <xdr:row>73</xdr:row>
      <xdr:rowOff>9525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26</xdr:col>
      <xdr:colOff>95250</xdr:colOff>
      <xdr:row>46</xdr:row>
      <xdr:rowOff>95250</xdr:rowOff>
    </xdr:from>
    <xdr:to>
      <xdr:col>43</xdr:col>
      <xdr:colOff>0</xdr:colOff>
      <xdr:row>73</xdr:row>
      <xdr:rowOff>19050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UR_SynthQuotesFe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EuriborSwapIsdaFixA"/>
      <sheetName val="Deposits"/>
      <sheetName val="FRA"/>
      <sheetName val="OIS"/>
      <sheetName val="ECB OIS"/>
      <sheetName val="IMM OIS"/>
      <sheetName val="Futures3M"/>
      <sheetName val="FuturesHWConvAdj"/>
      <sheetName val="BasisSwapEON3M"/>
      <sheetName val="BasisSwap1MxM"/>
      <sheetName val="BasisSwap3M6M"/>
      <sheetName val="BasisSwapxM12M"/>
      <sheetName val="Swaps1M(&lt;1Y)"/>
      <sheetName val="Swap1M"/>
      <sheetName val="Swap3M"/>
      <sheetName val="Swap6M"/>
      <sheetName val="ForwardSwap6M"/>
      <sheetName val="SwapsIMMDated"/>
      <sheetName val="ImmFra6M "/>
      <sheetName val="ON Basis Swap"/>
      <sheetName val="1M Basis Swap"/>
      <sheetName val="3M Basis Swap"/>
      <sheetName val="6M Basis Swap"/>
      <sheetName val="1Y Basis Swap"/>
      <sheetName val="Euribor 3M Time Series"/>
      <sheetName val="Euribor 6M Time Series"/>
      <sheetName val="EuriborSwapIsdaFixA1Y"/>
    </sheetNames>
    <definedNames>
      <definedName name="LastFixingsTrigger" refersTo="='General Settings'!$D$8"/>
      <definedName name="TriggerCounter" refersTo="='General Settings'!$D$7"/>
    </definedNames>
    <sheetDataSet>
      <sheetData sheetId="0">
        <row r="7">
          <cell r="D7">
            <v>2</v>
          </cell>
        </row>
        <row r="8">
          <cell r="D8">
            <v>1</v>
          </cell>
        </row>
      </sheetData>
      <sheetData sheetId="1">
        <row r="7">
          <cell r="D7" t="str">
            <v>EUR1M#0001</v>
          </cell>
        </row>
      </sheetData>
      <sheetData sheetId="2">
        <row r="7">
          <cell r="D7" t="str">
            <v>EUR6M#0001</v>
          </cell>
        </row>
        <row r="8">
          <cell r="D8" t="str">
            <v>EUR6M#0001</v>
          </cell>
        </row>
      </sheetData>
      <sheetData sheetId="3">
        <row r="7">
          <cell r="D7" t="str">
            <v>D</v>
          </cell>
        </row>
        <row r="8">
          <cell r="D8" t="str">
            <v>D</v>
          </cell>
        </row>
      </sheetData>
      <sheetData sheetId="4">
        <row r="7">
          <cell r="D7" t="str">
            <v>6F</v>
          </cell>
        </row>
        <row r="8">
          <cell r="D8" t="str">
            <v>7F</v>
          </cell>
        </row>
      </sheetData>
      <sheetData sheetId="5"/>
      <sheetData sheetId="6">
        <row r="7">
          <cell r="D7" t="str">
            <v>OIS</v>
          </cell>
        </row>
        <row r="8">
          <cell r="D8" t="str">
            <v>OIS</v>
          </cell>
        </row>
      </sheetData>
      <sheetData sheetId="7">
        <row r="7">
          <cell r="D7" t="str">
            <v>M6</v>
          </cell>
        </row>
        <row r="8">
          <cell r="D8" t="str">
            <v>U6</v>
          </cell>
        </row>
      </sheetData>
      <sheetData sheetId="8">
        <row r="7">
          <cell r="D7" t="str">
            <v>Z5</v>
          </cell>
        </row>
        <row r="8">
          <cell r="D8" t="str">
            <v>F6</v>
          </cell>
        </row>
      </sheetData>
      <sheetData sheetId="9"/>
      <sheetData sheetId="10">
        <row r="7">
          <cell r="D7" t="str">
            <v>3E</v>
          </cell>
        </row>
        <row r="8">
          <cell r="D8" t="str">
            <v>3E</v>
          </cell>
        </row>
      </sheetData>
      <sheetData sheetId="11">
        <row r="7">
          <cell r="D7" t="str">
            <v>6E</v>
          </cell>
        </row>
        <row r="8">
          <cell r="D8" t="str">
            <v>6E</v>
          </cell>
        </row>
      </sheetData>
      <sheetData sheetId="12">
        <row r="7">
          <cell r="D7" t="str">
            <v>6E</v>
          </cell>
        </row>
        <row r="8">
          <cell r="D8" t="str">
            <v>6E</v>
          </cell>
        </row>
      </sheetData>
      <sheetData sheetId="13">
        <row r="7">
          <cell r="D7" t="str">
            <v>12E</v>
          </cell>
        </row>
        <row r="8">
          <cell r="D8" t="str">
            <v>12E</v>
          </cell>
        </row>
      </sheetData>
      <sheetData sheetId="14">
        <row r="7">
          <cell r="D7" t="str">
            <v>X1S</v>
          </cell>
        </row>
        <row r="8">
          <cell r="D8" t="str">
            <v>X1S</v>
          </cell>
        </row>
      </sheetData>
      <sheetData sheetId="15">
        <row r="7">
          <cell r="D7" t="str">
            <v>1E</v>
          </cell>
        </row>
        <row r="8">
          <cell r="D8" t="str">
            <v>1E</v>
          </cell>
        </row>
      </sheetData>
      <sheetData sheetId="16">
        <row r="7">
          <cell r="D7" t="str">
            <v>3E</v>
          </cell>
        </row>
        <row r="8">
          <cell r="D8" t="str">
            <v>3E</v>
          </cell>
        </row>
      </sheetData>
      <sheetData sheetId="17">
        <row r="7">
          <cell r="D7" t="str">
            <v>6E</v>
          </cell>
        </row>
        <row r="8">
          <cell r="D8" t="str">
            <v>6E</v>
          </cell>
        </row>
      </sheetData>
      <sheetData sheetId="18">
        <row r="7">
          <cell r="D7" t="str">
            <v>EUR1F3Y_Quote</v>
          </cell>
        </row>
        <row r="8">
          <cell r="D8" t="str">
            <v>EUR1F4Y_Quote</v>
          </cell>
        </row>
      </sheetData>
      <sheetData sheetId="19">
        <row r="7">
          <cell r="D7">
            <v>12</v>
          </cell>
        </row>
        <row r="8">
          <cell r="D8">
            <v>12</v>
          </cell>
        </row>
      </sheetData>
      <sheetData sheetId="20">
        <row r="7">
          <cell r="D7" t="str">
            <v>Z5</v>
          </cell>
        </row>
        <row r="8">
          <cell r="D8" t="str">
            <v>F6</v>
          </cell>
        </row>
      </sheetData>
      <sheetData sheetId="21">
        <row r="7">
          <cell r="D7" t="str">
            <v>3E</v>
          </cell>
        </row>
        <row r="8">
          <cell r="D8" t="str">
            <v>3E</v>
          </cell>
        </row>
      </sheetData>
      <sheetData sheetId="22">
        <row r="7">
          <cell r="D7" t="str">
            <v>1E</v>
          </cell>
        </row>
        <row r="8">
          <cell r="D8" t="str">
            <v>1E</v>
          </cell>
        </row>
      </sheetData>
      <sheetData sheetId="23">
        <row r="7">
          <cell r="D7" t="str">
            <v>3E</v>
          </cell>
        </row>
        <row r="8">
          <cell r="D8" t="str">
            <v>3E</v>
          </cell>
        </row>
      </sheetData>
      <sheetData sheetId="24">
        <row r="7">
          <cell r="D7" t="str">
            <v>6E</v>
          </cell>
        </row>
        <row r="8">
          <cell r="D8" t="str">
            <v>6E</v>
          </cell>
        </row>
      </sheetData>
      <sheetData sheetId="25">
        <row r="7">
          <cell r="D7" t="str">
            <v>12E</v>
          </cell>
        </row>
        <row r="8">
          <cell r="D8" t="str">
            <v>12E</v>
          </cell>
        </row>
      </sheetData>
      <sheetData sheetId="26">
        <row r="7">
          <cell r="D7">
            <v>42275</v>
          </cell>
        </row>
        <row r="8">
          <cell r="D8">
            <v>42272</v>
          </cell>
        </row>
      </sheetData>
      <sheetData sheetId="27">
        <row r="7">
          <cell r="D7">
            <v>42275</v>
          </cell>
        </row>
        <row r="8">
          <cell r="D8">
            <v>42272</v>
          </cell>
        </row>
      </sheetData>
      <sheetData sheetId="28">
        <row r="7">
          <cell r="D7">
            <v>42276</v>
          </cell>
        </row>
        <row r="8">
          <cell r="D8">
            <v>42275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1MSynthDepo"/>
      <sheetName val="3MSynthDepo"/>
      <sheetName val="6MSynthDepo"/>
      <sheetName val="1YSynthDepo"/>
      <sheetName val="SynthFra"/>
      <sheetName val="Contribution"/>
    </sheetNames>
    <definedNames>
      <definedName name="iborindex1M" refersTo="='General Settings'!$D$28"/>
      <definedName name="TenorBasis12M" refersTo="='1YSynthDepo'!$R$18"/>
      <definedName name="TenorBasis1M" refersTo="='1MSynthDepo'!$AE$18"/>
      <definedName name="TenorBasis3M" refersTo="='3MSynthDepo'!$R$19"/>
      <definedName name="TenorBasis6M" refersTo="='6MSynthDepo'!$R$18"/>
    </definedNames>
    <sheetDataSet>
      <sheetData sheetId="0">
        <row r="28">
          <cell r="D28" t="str">
            <v>obj_0048f#0002</v>
          </cell>
        </row>
      </sheetData>
      <sheetData sheetId="1">
        <row r="18">
          <cell r="AE18" t="str">
            <v>obj_00599#0000</v>
          </cell>
        </row>
      </sheetData>
      <sheetData sheetId="2">
        <row r="18">
          <cell r="R18" t="e">
            <v>#N/A</v>
          </cell>
        </row>
        <row r="19">
          <cell r="R19" t="str">
            <v>obj_0059a#0000</v>
          </cell>
        </row>
        <row r="28">
          <cell r="D28" t="str">
            <v>EURFUT3MH8_Quote</v>
          </cell>
        </row>
      </sheetData>
      <sheetData sheetId="3">
        <row r="18">
          <cell r="R18" t="str">
            <v>obj_00598#0000</v>
          </cell>
        </row>
      </sheetData>
      <sheetData sheetId="4">
        <row r="18">
          <cell r="R18" t="str">
            <v>obj_00597#0000</v>
          </cell>
        </row>
      </sheetData>
      <sheetData sheetId="5"/>
      <sheetData sheetId="6">
        <row r="28">
          <cell r="D28" t="str">
            <v>EUR3WD_SYNTH1Y_Quote#0002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20"/>
  <sheetViews>
    <sheetView tabSelected="1" workbookViewId="0">
      <selection activeCell="D15" sqref="D15"/>
    </sheetView>
  </sheetViews>
  <sheetFormatPr defaultColWidth="10.6640625" defaultRowHeight="11.25" x14ac:dyDescent="0.2"/>
  <cols>
    <col min="1" max="2" width="2.83203125" style="15" customWidth="1"/>
    <col min="3" max="3" width="27.5" style="15" bestFit="1" customWidth="1"/>
    <col min="4" max="4" width="35.83203125" style="15" customWidth="1"/>
    <col min="5" max="7" width="2.83203125" style="15" customWidth="1"/>
    <col min="8" max="8" width="27.5" style="15" bestFit="1" customWidth="1"/>
    <col min="9" max="9" width="39.33203125" style="15" bestFit="1" customWidth="1"/>
    <col min="10" max="10" width="2.83203125" style="15" customWidth="1"/>
    <col min="11" max="16384" width="10.6640625" style="15"/>
  </cols>
  <sheetData>
    <row r="1" spans="1:34" x14ac:dyDescent="0.2">
      <c r="B1" s="15" t="str">
        <f>_xll.qlxlVersion(TRUE,EvaluationDate)</f>
        <v>QuantLibXL 1.7.0 - MS VC++ (version unknown) - Multithreaded Dynamic Runtime library - Release Configuration - Nov 27 2015 23:13:07</v>
      </c>
    </row>
    <row r="2" spans="1:34" ht="19.5" thickBot="1" x14ac:dyDescent="0.25">
      <c r="B2" s="68" t="s">
        <v>0</v>
      </c>
      <c r="C2" s="69"/>
      <c r="D2" s="69"/>
      <c r="E2" s="70"/>
      <c r="G2" s="68" t="s">
        <v>54</v>
      </c>
      <c r="H2" s="69"/>
      <c r="I2" s="69"/>
      <c r="J2" s="70"/>
    </row>
    <row r="3" spans="1:34" x14ac:dyDescent="0.2">
      <c r="B3" s="71"/>
      <c r="C3" s="1"/>
      <c r="D3" s="1"/>
      <c r="E3" s="72"/>
      <c r="G3" s="77"/>
      <c r="H3" s="5"/>
      <c r="I3" s="5"/>
      <c r="J3" s="78"/>
    </row>
    <row r="4" spans="1:34" x14ac:dyDescent="0.2">
      <c r="B4" s="71"/>
      <c r="C4" s="2" t="s">
        <v>1</v>
      </c>
      <c r="D4" s="3" t="s">
        <v>2</v>
      </c>
      <c r="E4" s="72"/>
      <c r="G4" s="77"/>
      <c r="H4" s="7" t="s">
        <v>8</v>
      </c>
      <c r="I4" s="17" t="b">
        <v>1</v>
      </c>
      <c r="J4" s="79"/>
    </row>
    <row r="5" spans="1:34" s="16" customFormat="1" x14ac:dyDescent="0.2">
      <c r="A5" s="15"/>
      <c r="B5" s="71"/>
      <c r="C5" s="2" t="s">
        <v>3</v>
      </c>
      <c r="D5" s="4" t="s">
        <v>4</v>
      </c>
      <c r="E5" s="72"/>
      <c r="F5" s="15"/>
      <c r="G5" s="77"/>
      <c r="H5" s="7" t="s">
        <v>9</v>
      </c>
      <c r="I5" s="17" t="b">
        <v>1</v>
      </c>
      <c r="J5" s="79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</row>
    <row r="6" spans="1:34" s="16" customFormat="1" x14ac:dyDescent="0.2">
      <c r="A6" s="15"/>
      <c r="B6" s="71"/>
      <c r="C6" s="2" t="s">
        <v>5</v>
      </c>
      <c r="D6" s="4" t="str">
        <f>IF(UPPER(Currency)&lt;&gt;"EUR","L","")&amp;"ibor"</f>
        <v>ibor</v>
      </c>
      <c r="E6" s="72"/>
      <c r="F6" s="15"/>
      <c r="G6" s="77"/>
      <c r="H6" s="7" t="s">
        <v>12</v>
      </c>
      <c r="I6" s="18" t="s">
        <v>13</v>
      </c>
      <c r="J6" s="79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</row>
    <row r="7" spans="1:34" x14ac:dyDescent="0.2">
      <c r="B7" s="71"/>
      <c r="C7" s="2" t="s">
        <v>6</v>
      </c>
      <c r="D7" s="6" t="s">
        <v>7</v>
      </c>
      <c r="E7" s="72"/>
      <c r="G7" s="80"/>
      <c r="H7" s="81"/>
      <c r="I7" s="81"/>
      <c r="J7" s="301"/>
    </row>
    <row r="8" spans="1:34" x14ac:dyDescent="0.2">
      <c r="B8" s="71"/>
      <c r="C8" s="2" t="s">
        <v>51</v>
      </c>
      <c r="D8" s="9" t="s">
        <v>52</v>
      </c>
      <c r="E8" s="72"/>
    </row>
    <row r="9" spans="1:34" x14ac:dyDescent="0.2">
      <c r="B9" s="71"/>
      <c r="C9" s="2" t="s">
        <v>58</v>
      </c>
      <c r="D9" s="9" t="s">
        <v>11</v>
      </c>
      <c r="E9" s="72"/>
    </row>
    <row r="10" spans="1:34" x14ac:dyDescent="0.2">
      <c r="B10" s="73"/>
      <c r="C10" s="11" t="s">
        <v>10</v>
      </c>
      <c r="D10" s="8">
        <f>_xll.qlCalendarAdvance(Calendar,_xll.qlCalendarAdjust(Calendar,EvaluationDate,"f",Trigger),"2D","f")</f>
        <v>42279</v>
      </c>
      <c r="E10" s="72"/>
    </row>
    <row r="11" spans="1:34" x14ac:dyDescent="0.2">
      <c r="B11" s="74"/>
      <c r="C11" s="75"/>
      <c r="D11" s="302"/>
      <c r="E11" s="76"/>
    </row>
    <row r="13" spans="1:34" ht="18.75" x14ac:dyDescent="0.2">
      <c r="B13" s="84" t="s">
        <v>40</v>
      </c>
      <c r="C13" s="85"/>
      <c r="D13" s="85"/>
      <c r="E13" s="86"/>
    </row>
    <row r="14" spans="1:34" x14ac:dyDescent="0.2">
      <c r="B14" s="82"/>
      <c r="C14" s="10"/>
      <c r="D14" s="10"/>
      <c r="E14" s="57"/>
    </row>
    <row r="15" spans="1:34" x14ac:dyDescent="0.2">
      <c r="B15" s="82"/>
      <c r="C15" s="2" t="s">
        <v>14</v>
      </c>
      <c r="D15" s="87">
        <v>42337.89770833333</v>
      </c>
      <c r="E15" s="57"/>
    </row>
    <row r="16" spans="1:34" x14ac:dyDescent="0.2">
      <c r="B16" s="82"/>
      <c r="C16" s="2" t="s">
        <v>15</v>
      </c>
      <c r="D16" s="12">
        <f>_xll.qlSettingsEvaluationDate(Trigger)</f>
        <v>42277</v>
      </c>
      <c r="E16" s="57"/>
    </row>
    <row r="17" spans="2:5" x14ac:dyDescent="0.2">
      <c r="B17" s="82"/>
      <c r="C17" s="2" t="s">
        <v>16</v>
      </c>
      <c r="D17" s="13">
        <f>[1]!TriggerCounter</f>
        <v>2</v>
      </c>
      <c r="E17" s="57"/>
    </row>
    <row r="18" spans="2:5" x14ac:dyDescent="0.2">
      <c r="B18" s="82"/>
      <c r="C18" s="2" t="s">
        <v>17</v>
      </c>
      <c r="D18" s="14">
        <f>[1]!LastFixingsTrigger</f>
        <v>1</v>
      </c>
      <c r="E18" s="57"/>
    </row>
    <row r="19" spans="2:5" x14ac:dyDescent="0.2">
      <c r="B19" s="82"/>
      <c r="C19" s="2" t="s">
        <v>19</v>
      </c>
      <c r="D19" s="3">
        <v>0</v>
      </c>
      <c r="E19" s="57"/>
    </row>
    <row r="20" spans="2:5" x14ac:dyDescent="0.2">
      <c r="B20" s="83"/>
      <c r="C20" s="58"/>
      <c r="D20" s="58"/>
      <c r="E20" s="59"/>
    </row>
  </sheetData>
  <dataValidations count="3">
    <dataValidation type="list" allowBlank="1" showInputMessage="1" showErrorMessage="1" sqref="D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384"/>
  <sheetViews>
    <sheetView workbookViewId="0">
      <selection activeCell="H1" sqref="H1"/>
    </sheetView>
  </sheetViews>
  <sheetFormatPr defaultRowHeight="11.25" outlineLevelCol="1" x14ac:dyDescent="0.2"/>
  <cols>
    <col min="1" max="1" width="3.1640625" style="19" customWidth="1"/>
    <col min="2" max="2" width="2.33203125" style="19" customWidth="1"/>
    <col min="3" max="3" width="3.1640625" style="19" customWidth="1"/>
    <col min="4" max="4" width="23.1640625" style="19" customWidth="1"/>
    <col min="5" max="5" width="34.83203125" style="19" hidden="1" customWidth="1" outlineLevel="1"/>
    <col min="6" max="6" width="9.33203125" style="19" hidden="1" customWidth="1" outlineLevel="1"/>
    <col min="7" max="7" width="12.83203125" style="19" bestFit="1" customWidth="1" collapsed="1"/>
    <col min="8" max="8" width="12.83203125" style="19" customWidth="1"/>
    <col min="9" max="10" width="11.33203125" style="19" customWidth="1"/>
    <col min="11" max="12" width="9.33203125" style="19" bestFit="1" customWidth="1"/>
    <col min="13" max="13" width="8.1640625" style="19" bestFit="1" customWidth="1"/>
    <col min="14" max="14" width="2.83203125" style="19" customWidth="1"/>
    <col min="15" max="15" width="14.1640625" style="19" bestFit="1" customWidth="1"/>
    <col min="16" max="16" width="17.83203125" style="19" bestFit="1" customWidth="1"/>
    <col min="17" max="17" width="2.83203125" style="19" customWidth="1"/>
    <col min="18" max="18" width="12.83203125" style="19" bestFit="1" customWidth="1"/>
    <col min="19" max="19" width="9.33203125" style="19"/>
    <col min="20" max="20" width="0" style="19" hidden="1" customWidth="1" outlineLevel="1"/>
    <col min="21" max="21" width="9.33203125" style="19" collapsed="1"/>
    <col min="22" max="22" width="3.5" style="19" bestFit="1" customWidth="1"/>
    <col min="23" max="24" width="9.33203125" style="19"/>
    <col min="25" max="25" width="12.83203125" style="19" bestFit="1" customWidth="1"/>
    <col min="26" max="26" width="16.5" style="19" bestFit="1" customWidth="1"/>
    <col min="27" max="16384" width="9.33203125" style="19"/>
  </cols>
  <sheetData>
    <row r="1" spans="1:27" x14ac:dyDescent="0.2">
      <c r="F1" s="19">
        <f>_xll.ohTrigger(F3:F22)</f>
        <v>3</v>
      </c>
      <c r="G1" s="126" t="s">
        <v>49</v>
      </c>
      <c r="H1" s="127" t="s">
        <v>24</v>
      </c>
    </row>
    <row r="2" spans="1:27" ht="26.25" customHeight="1" x14ac:dyDescent="0.2">
      <c r="D2" s="36" t="str">
        <f>H1&amp;" Instruments"</f>
        <v>6M Instruments</v>
      </c>
      <c r="E2" s="36" t="s">
        <v>84</v>
      </c>
      <c r="F2" s="36" t="s">
        <v>85</v>
      </c>
      <c r="G2" s="36" t="s">
        <v>50</v>
      </c>
      <c r="H2" s="36" t="s">
        <v>96</v>
      </c>
      <c r="I2" s="36" t="str">
        <f>"F "&amp;H1</f>
        <v>F 6M</v>
      </c>
      <c r="J2" s="36" t="s">
        <v>56</v>
      </c>
      <c r="K2" s="36" t="s">
        <v>61</v>
      </c>
      <c r="L2" s="36" t="s">
        <v>83</v>
      </c>
      <c r="M2" s="36" t="s">
        <v>63</v>
      </c>
      <c r="N2" s="21"/>
      <c r="R2" s="36" t="s">
        <v>71</v>
      </c>
      <c r="S2" s="36" t="s">
        <v>98</v>
      </c>
      <c r="T2" s="36" t="s">
        <v>89</v>
      </c>
      <c r="U2" s="36" t="s">
        <v>97</v>
      </c>
    </row>
    <row r="3" spans="1:27" ht="11.25" customHeight="1" x14ac:dyDescent="0.2">
      <c r="A3" s="104">
        <v>0</v>
      </c>
      <c r="B3" s="105" t="s">
        <v>20</v>
      </c>
      <c r="C3" s="106" t="str">
        <f>SUBSTITUTE($H$1,"M","")</f>
        <v>6</v>
      </c>
      <c r="D3" s="108" t="str">
        <f>Currency&amp;A3&amp;B3&amp;C3&amp;"F"&amp;"_Estimated"</f>
        <v>EUR0x6F_Estimated</v>
      </c>
      <c r="E3" s="108" t="str">
        <f>_xll.qlSimpleQuote(UPPER("B"&amp;$H$1&amp;"_"&amp;A3&amp;B3&amp;C3&amp;"Estimated"),,,Permanent,Trigger,ObjectOverwrite)</f>
        <v>B6M_0X6ESTIMATED#0007</v>
      </c>
      <c r="F3" s="197" t="e">
        <f>_xll.qlSimpleQuoteSetValue(E3,L3,AllTriggers)</f>
        <v>#N/A</v>
      </c>
      <c r="G3" s="210">
        <f>SettlementDate</f>
        <v>42279</v>
      </c>
      <c r="H3" s="210">
        <f>_xll.qlInterestRateIndexMaturity(PROPER(Currency)&amp;"ibor"&amp;$H$1,G3)</f>
        <v>42464</v>
      </c>
      <c r="I3" s="107">
        <f>L3+$J$4</f>
        <v>2.6980021422014092E-4</v>
      </c>
      <c r="J3" s="89"/>
      <c r="K3" s="89"/>
      <c r="L3" s="66">
        <f>_xll.qlTenorBasisValue($P$3,G3,Trigger)</f>
        <v>1.8272734459687102E-3</v>
      </c>
      <c r="M3" s="89"/>
      <c r="N3" s="21"/>
      <c r="O3" s="192" t="s">
        <v>82</v>
      </c>
      <c r="P3" s="66" t="str">
        <f>[2]!TenorBasis6M</f>
        <v>obj_00598#0000</v>
      </c>
      <c r="R3" s="211">
        <f>SettlementDate</f>
        <v>42279</v>
      </c>
      <c r="S3" s="52">
        <f>_xll.qlTenorBasisValue($P$3,R3,AllTriggers)</f>
        <v>1.8272734459687102E-3</v>
      </c>
      <c r="T3" s="46">
        <f>_xll.qlDayCounterYearFraction("actual/365 (fixed)",SettlementDate,R3,,,Trigger)</f>
        <v>0</v>
      </c>
      <c r="U3" s="52">
        <f>_xll.qlPolynomialFunctionValue($P$18,T3,AllTriggers)</f>
        <v>1.6442179409597816E-3</v>
      </c>
    </row>
    <row r="4" spans="1:27" ht="11.25" customHeight="1" x14ac:dyDescent="0.2">
      <c r="A4" s="104">
        <v>0</v>
      </c>
      <c r="B4" s="105" t="s">
        <v>20</v>
      </c>
      <c r="C4" s="106">
        <v>6</v>
      </c>
      <c r="D4" s="97" t="str">
        <f>PROPER(Currency&amp;IborType)&amp;H1&amp;"LastFixing"&amp;QuoteSuffix</f>
        <v>Euribor6MLastFixing_Quote</v>
      </c>
      <c r="E4" s="97" t="str">
        <f>_xll.qlSimpleQuote(UPPER("B"&amp;$H$1&amp;"_"&amp;A4&amp;B4&amp;C4&amp;"FIXING"),,,Permanent,Trigger,ObjectOverwrite)</f>
        <v>B6M_0X6FIXING#0007</v>
      </c>
      <c r="F4" s="198" t="e">
        <f>_xll.qlSimpleQuoteSetValue(E4,K4,AllTriggers)</f>
        <v>#N/A</v>
      </c>
      <c r="G4" s="210">
        <f>SettlementDate</f>
        <v>42279</v>
      </c>
      <c r="H4" s="210">
        <f>_xll.qlInterestRateIndexMaturity(ON_6M_index,G4)</f>
        <v>42464</v>
      </c>
      <c r="I4" s="66">
        <f>_xll.qlQuoteValue(D4,LastFixingsTrigger)</f>
        <v>2.9E-4</v>
      </c>
      <c r="J4" s="66">
        <f>_xll.qlIndexFixing(ON_6M_index,_xll.qlInterestRateIndexFixingDate(ON_6M_index,G4),,AllTriggers)</f>
        <v>-1.5574732317485693E-3</v>
      </c>
      <c r="K4" s="107">
        <f t="shared" ref="K4:K22" si="0">I4-J4</f>
        <v>1.8474732317485692E-3</v>
      </c>
      <c r="L4" s="62">
        <f>_xll.qlTenorBasisValue($P$3,G4,Trigger)</f>
        <v>1.8272734459687102E-3</v>
      </c>
      <c r="M4" s="63">
        <f>(K4-L4)*10000</f>
        <v>0.20199785779858975</v>
      </c>
      <c r="N4" s="21"/>
      <c r="R4" s="212">
        <f>_xll.qlCalendarAdvance(Calendar,R3,"1D","f")</f>
        <v>42282</v>
      </c>
      <c r="S4" s="47">
        <f>_xll.qlTenorBasisValue($P$3,R4,AllTriggers)</f>
        <v>1.8326747547347979E-3</v>
      </c>
      <c r="T4" s="41">
        <f>_xll.qlDayCounterYearFraction("actual/365 (fixed)",SettlementDate,R4,,,Trigger)</f>
        <v>8.21917808219178E-3</v>
      </c>
      <c r="U4" s="47">
        <f>_xll.qlPolynomialFunctionValue($P$18,T4,AllTriggers)</f>
        <v>1.6510332251412588E-3</v>
      </c>
    </row>
    <row r="5" spans="1:27" ht="11.25" customHeight="1" x14ac:dyDescent="0.2">
      <c r="A5" s="94">
        <v>1</v>
      </c>
      <c r="B5" s="21" t="s">
        <v>20</v>
      </c>
      <c r="C5" s="101">
        <f t="shared" ref="C5:C22" si="1">A5+SUBSTITUTE($H$1,"M","")</f>
        <v>7</v>
      </c>
      <c r="D5" s="98" t="str">
        <f t="shared" ref="D5:D22" si="2">Currency&amp;A5&amp;B5&amp;C5&amp;"F"&amp;QuoteSuffix</f>
        <v>EUR1x7F_Quote</v>
      </c>
      <c r="E5" s="98" t="str">
        <f>_xll.qlSimpleQuote(UPPER("B"&amp;$H$1&amp;"_"&amp;A5&amp;B5&amp;C5),,,Permanent,Trigger,ObjectOverwrite)</f>
        <v>B6M_1X7#0007</v>
      </c>
      <c r="F5" s="199" t="e">
        <f>_xll.qlSimpleQuoteSetValue(E5,K5,AllTriggers)</f>
        <v>#N/A</v>
      </c>
      <c r="G5" s="211">
        <f>_xll.qlCalendarAdvance("target",SettlementDate,A5&amp;"M","mf",,Trigger)</f>
        <v>42310</v>
      </c>
      <c r="H5" s="211">
        <f>_xll.qlInterestRateIndexMaturity(ON_6M_index,G5)</f>
        <v>42492</v>
      </c>
      <c r="I5" s="52">
        <f>_xll.qlQuoteValue(D5,AllTriggers)</f>
        <v>2.5000000000000001E-4</v>
      </c>
      <c r="J5" s="52">
        <f>_xll.qlIndexFixing(ON_6M_index,_xll.qlInterestRateIndexFixingDate(ON_6M_index,G5),,AllTriggers)</f>
        <v>-1.6191558107094683E-3</v>
      </c>
      <c r="K5" s="193">
        <f t="shared" si="0"/>
        <v>1.8691558107094683E-3</v>
      </c>
      <c r="L5" s="52">
        <f>_xll.qlTenorBasisValue($P$3,G5,Trigger)</f>
        <v>1.8811471917404845E-3</v>
      </c>
      <c r="M5" s="91">
        <f t="shared" ref="M5:M22" si="3">(K5-L5)*10000</f>
        <v>-0.11991381031016242</v>
      </c>
      <c r="N5" s="21"/>
      <c r="O5" s="119" t="s">
        <v>94</v>
      </c>
      <c r="P5" s="120"/>
      <c r="Q5" s="20"/>
      <c r="R5" s="212">
        <f>_xll.qlCalendarAdvance(Calendar,R4,"1D","f")</f>
        <v>42283</v>
      </c>
      <c r="S5" s="47">
        <f>_xll.qlTenorBasisValue($P$3,R5,AllTriggers)</f>
        <v>1.8344660083550466E-3</v>
      </c>
      <c r="T5" s="41">
        <f>_xll.qlDayCounterYearFraction("actual/365 (fixed)",SettlementDate,R5,,,Trigger)</f>
        <v>1.0958904109589041E-2</v>
      </c>
      <c r="U5" s="47">
        <f>_xll.qlPolynomialFunctionValue($P$18,T5,AllTriggers)</f>
        <v>1.6532932658214999E-3</v>
      </c>
    </row>
    <row r="6" spans="1:27" ht="11.25" customHeight="1" x14ac:dyDescent="0.2">
      <c r="A6" s="94">
        <v>2</v>
      </c>
      <c r="B6" s="21" t="s">
        <v>20</v>
      </c>
      <c r="C6" s="101">
        <f t="shared" si="1"/>
        <v>8</v>
      </c>
      <c r="D6" s="99" t="str">
        <f t="shared" si="2"/>
        <v>EUR2x8F_Quote</v>
      </c>
      <c r="E6" s="99" t="str">
        <f>_xll.qlSimpleQuote(UPPER("B"&amp;$H$1&amp;"_"&amp;A6&amp;B6&amp;C6),,,Permanent,Trigger,ObjectOverwrite)</f>
        <v>B6M_2X8#0007</v>
      </c>
      <c r="F6" s="200" t="e">
        <f>_xll.qlSimpleQuoteSetValue(E6,K6,AllTriggers)</f>
        <v>#N/A</v>
      </c>
      <c r="G6" s="212">
        <f>_xll.qlCalendarAdvance("target",SettlementDate,A6&amp;"M","mf",,Trigger)</f>
        <v>42340</v>
      </c>
      <c r="H6" s="212">
        <f>_xll.qlInterestRateIndexMaturity(ON_6M_index,G6)</f>
        <v>42523</v>
      </c>
      <c r="I6" s="47">
        <f>_xll.qlQuoteValue(D6,AllTriggers)</f>
        <v>2.3000000000000001E-4</v>
      </c>
      <c r="J6" s="47">
        <f>_xll.qlIndexFixing(ON_6M_index,_xll.qlInterestRateIndexFixingDate(ON_6M_index,G6),,AllTriggers)</f>
        <v>-1.6755417546055465E-3</v>
      </c>
      <c r="K6" s="128">
        <f t="shared" si="0"/>
        <v>1.9055417546055464E-3</v>
      </c>
      <c r="L6" s="47">
        <f>_xll.qlTenorBasisValue($P$3,G6,Trigger)</f>
        <v>1.9294328209040715E-3</v>
      </c>
      <c r="M6" s="64">
        <f t="shared" si="3"/>
        <v>-0.23891066298525107</v>
      </c>
      <c r="N6" s="21"/>
      <c r="O6" s="192" t="s">
        <v>77</v>
      </c>
      <c r="P6" s="66">
        <f t="array" ref="P6:P10">_xll.qlTenorBasisCoefficients(P3)</f>
        <v>1.8272734459687102E-3</v>
      </c>
      <c r="Q6" s="20"/>
      <c r="R6" s="212">
        <f>_xll.qlCalendarAdvance(Calendar,R5,"1D","f")</f>
        <v>42284</v>
      </c>
      <c r="S6" s="47">
        <f>_xll.qlTenorBasisValue($P$3,R6,AllTriggers)</f>
        <v>1.8362526932100829E-3</v>
      </c>
      <c r="T6" s="41">
        <f>_xll.qlDayCounterYearFraction("actual/365 (fixed)",SettlementDate,R6,,,Trigger)</f>
        <v>1.3698630136986301E-2</v>
      </c>
      <c r="U6" s="47">
        <f>_xll.qlPolynomialFunctionValue($P$18,T6,AllTriggers)</f>
        <v>1.6555474686972944E-3</v>
      </c>
    </row>
    <row r="7" spans="1:27" ht="11.25" customHeight="1" x14ac:dyDescent="0.2">
      <c r="A7" s="94">
        <f>A6+1</f>
        <v>3</v>
      </c>
      <c r="B7" s="21" t="s">
        <v>20</v>
      </c>
      <c r="C7" s="101">
        <f t="shared" si="1"/>
        <v>9</v>
      </c>
      <c r="D7" s="99" t="str">
        <f t="shared" si="2"/>
        <v>EUR3x9F_Quote</v>
      </c>
      <c r="E7" s="99" t="str">
        <f>_xll.qlSimpleQuote(UPPER("B"&amp;$H$1&amp;"_"&amp;A7&amp;B7&amp;C7),,,Permanent,Trigger,ObjectOverwrite)</f>
        <v>B6M_3X9#0007</v>
      </c>
      <c r="F7" s="200" t="e">
        <f>_xll.qlSimpleQuoteSetValue(E7,K7,AllTriggers)</f>
        <v>#N/A</v>
      </c>
      <c r="G7" s="212">
        <f>_xll.qlCalendarAdvance("target",SettlementDate,A7&amp;"M","mf",,Trigger)</f>
        <v>42373</v>
      </c>
      <c r="H7" s="212">
        <f>_xll.qlInterestRateIndexMaturity(ON_6M_index,G7)</f>
        <v>42555</v>
      </c>
      <c r="I7" s="47">
        <f>_xll.qlQuoteValue(D7,AllTriggers)</f>
        <v>2.1999999999999998E-4</v>
      </c>
      <c r="J7" s="47">
        <f>_xll.qlIndexFixing(ON_6M_index,_xll.qlInterestRateIndexFixingDate(ON_6M_index,G7),,AllTriggers)</f>
        <v>-1.7633264869979235E-3</v>
      </c>
      <c r="K7" s="128">
        <f t="shared" si="0"/>
        <v>1.9833264869979234E-3</v>
      </c>
      <c r="L7" s="47">
        <f>_xll.qlTenorBasisValue($P$3,G7,Trigger)</f>
        <v>1.9786136035979426E-3</v>
      </c>
      <c r="M7" s="64">
        <f t="shared" si="3"/>
        <v>4.712883399980803E-2</v>
      </c>
      <c r="N7" s="21"/>
      <c r="O7" s="192" t="s">
        <v>78</v>
      </c>
      <c r="P7" s="66">
        <v>6.5968285749678558E-4</v>
      </c>
      <c r="Q7" s="20"/>
      <c r="R7" s="212">
        <f>_xll.qlCalendarAdvance(Calendar,R6,"1D","f")</f>
        <v>42285</v>
      </c>
      <c r="S7" s="47">
        <f>_xll.qlTenorBasisValue($P$3,R7,AllTriggers)</f>
        <v>1.838034822831314E-3</v>
      </c>
      <c r="T7" s="41">
        <f>_xll.qlDayCounterYearFraction("actual/365 (fixed)",SettlementDate,R7,,,Trigger)</f>
        <v>1.643835616438356E-2</v>
      </c>
      <c r="U7" s="47">
        <f>_xll.qlPolynomialFunctionValue($P$18,T7,AllTriggers)</f>
        <v>1.6577958473000477E-3</v>
      </c>
    </row>
    <row r="8" spans="1:27" ht="11.25" customHeight="1" x14ac:dyDescent="0.2">
      <c r="A8" s="94">
        <f t="shared" ref="A8:A22" si="4">A7+1</f>
        <v>4</v>
      </c>
      <c r="B8" s="21" t="s">
        <v>20</v>
      </c>
      <c r="C8" s="101">
        <f t="shared" si="1"/>
        <v>10</v>
      </c>
      <c r="D8" s="99" t="str">
        <f t="shared" si="2"/>
        <v>EUR4x10F_Quote</v>
      </c>
      <c r="E8" s="99" t="str">
        <f>_xll.qlSimpleQuote(UPPER("B"&amp;$H$1&amp;"_"&amp;A8&amp;B8&amp;C8),,,Permanent,Trigger,ObjectOverwrite)</f>
        <v>B6M_4X10#0007</v>
      </c>
      <c r="F8" s="200" t="e">
        <f>_xll.qlSimpleQuoteSetValue(E8,K8,AllTriggers)</f>
        <v>#N/A</v>
      </c>
      <c r="G8" s="212">
        <f>_xll.qlCalendarAdvance("target",SettlementDate,A8&amp;"M","mf",,Trigger)</f>
        <v>42402</v>
      </c>
      <c r="H8" s="212">
        <f>_xll.qlInterestRateIndexMaturity(ON_6M_index,G8)</f>
        <v>42584</v>
      </c>
      <c r="I8" s="47">
        <f>_xll.qlQuoteValue(D8,AllTriggers)</f>
        <v>2.0999999999999998E-4</v>
      </c>
      <c r="J8" s="47">
        <f>_xll.qlIndexFixing(ON_6M_index,_xll.qlInterestRateIndexFixingDate(ON_6M_index,G8),,AllTriggers)</f>
        <v>-1.8085125036239036E-3</v>
      </c>
      <c r="K8" s="128">
        <f t="shared" si="0"/>
        <v>2.0185125036239035E-3</v>
      </c>
      <c r="L8" s="47">
        <f>_xll.qlTenorBasisValue($P$3,G8,Trigger)</f>
        <v>2.018804365856859E-3</v>
      </c>
      <c r="M8" s="64">
        <f t="shared" si="3"/>
        <v>-2.9186223295552677E-3</v>
      </c>
      <c r="N8" s="21"/>
      <c r="O8" s="192" t="s">
        <v>79</v>
      </c>
      <c r="P8" s="66">
        <v>-3.0794231605800384E-4</v>
      </c>
      <c r="Q8" s="20"/>
      <c r="R8" s="212">
        <f>_xll.qlCalendarAdvance(Calendar,R7,"1D","f")</f>
        <v>42286</v>
      </c>
      <c r="S8" s="47">
        <f>_xll.qlTenorBasisValue($P$3,R8,AllTriggers)</f>
        <v>1.8398124107501469E-3</v>
      </c>
      <c r="T8" s="41">
        <f>_xll.qlDayCounterYearFraction("actual/365 (fixed)",SettlementDate,R8,,,Trigger)</f>
        <v>1.9178082191780823E-2</v>
      </c>
      <c r="U8" s="47">
        <f>_xll.qlPolynomialFunctionValue($P$18,T8,AllTriggers)</f>
        <v>1.660038415161168E-3</v>
      </c>
    </row>
    <row r="9" spans="1:27" ht="11.25" customHeight="1" x14ac:dyDescent="0.2">
      <c r="A9" s="94">
        <f t="shared" si="4"/>
        <v>5</v>
      </c>
      <c r="B9" s="21" t="s">
        <v>20</v>
      </c>
      <c r="C9" s="101">
        <f t="shared" si="1"/>
        <v>11</v>
      </c>
      <c r="D9" s="99" t="str">
        <f t="shared" si="2"/>
        <v>EUR5x11F_Quote</v>
      </c>
      <c r="E9" s="99" t="str">
        <f>_xll.qlSimpleQuote(UPPER("B"&amp;$H$1&amp;"_"&amp;A9&amp;B9&amp;C9),,,Permanent,Trigger,ObjectOverwrite)</f>
        <v>B6M_5X11#0007</v>
      </c>
      <c r="F9" s="200" t="e">
        <f>_xll.qlSimpleQuoteSetValue(E9,K9,AllTriggers)</f>
        <v>#N/A</v>
      </c>
      <c r="G9" s="212">
        <f>_xll.qlCalendarAdvance("target",SettlementDate,A9&amp;"M","mf",,Trigger)</f>
        <v>42431</v>
      </c>
      <c r="H9" s="212">
        <f>_xll.qlInterestRateIndexMaturity(ON_6M_index,G9)</f>
        <v>42615</v>
      </c>
      <c r="I9" s="47">
        <f>_xll.qlQuoteValue(D9,AllTriggers)</f>
        <v>2.0000000000000001E-4</v>
      </c>
      <c r="J9" s="47">
        <f>_xll.qlIndexFixing(ON_6M_index,_xll.qlInterestRateIndexFixingDate(ON_6M_index,G9),,AllTriggers)</f>
        <v>-1.8547709331345995E-3</v>
      </c>
      <c r="K9" s="128">
        <f t="shared" si="0"/>
        <v>2.0547709331345996E-3</v>
      </c>
      <c r="L9" s="47">
        <f>_xll.qlTenorBasisValue($P$3,G9,Trigger)</f>
        <v>2.0565070062411113E-3</v>
      </c>
      <c r="M9" s="64">
        <f t="shared" si="3"/>
        <v>-1.7360731065117416E-2</v>
      </c>
      <c r="N9" s="21"/>
      <c r="O9" s="192" t="s">
        <v>80</v>
      </c>
      <c r="P9" s="66">
        <v>1.0966556893320198E-4</v>
      </c>
      <c r="Q9" s="20"/>
      <c r="R9" s="212">
        <f>_xll.qlCalendarAdvance(Calendar,R8,"1D","f")</f>
        <v>42289</v>
      </c>
      <c r="S9" s="47">
        <f>_xll.qlTenorBasisValue($P$3,R9,AllTriggers)</f>
        <v>1.8451180596063231E-3</v>
      </c>
      <c r="T9" s="41">
        <f>_xll.qlDayCounterYearFraction("actual/365 (fixed)",SettlementDate,R9,,,Trigger)</f>
        <v>2.7397260273972601E-2</v>
      </c>
      <c r="U9" s="47">
        <f>_xll.qlPolynomialFunctionValue($P$18,T9,AllTriggers)</f>
        <v>1.6667313896087954E-3</v>
      </c>
    </row>
    <row r="10" spans="1:27" ht="11.25" customHeight="1" x14ac:dyDescent="0.2">
      <c r="A10" s="94">
        <f t="shared" si="4"/>
        <v>6</v>
      </c>
      <c r="B10" s="21" t="s">
        <v>20</v>
      </c>
      <c r="C10" s="101">
        <f t="shared" si="1"/>
        <v>12</v>
      </c>
      <c r="D10" s="99" t="str">
        <f t="shared" si="2"/>
        <v>EUR6x12F_Quote</v>
      </c>
      <c r="E10" s="99" t="str">
        <f>_xll.qlSimpleQuote(UPPER("B"&amp;$H$1&amp;"_"&amp;A10&amp;B10&amp;C10),,,Permanent,Trigger,ObjectOverwrite)</f>
        <v>B6M_6X12#0007</v>
      </c>
      <c r="F10" s="200" t="e">
        <f>_xll.qlSimpleQuoteSetValue(E10,K10,AllTriggers)</f>
        <v>#N/A</v>
      </c>
      <c r="G10" s="212">
        <f>_xll.qlCalendarAdvance("target",SettlementDate,A10&amp;"M","mf",,Trigger)</f>
        <v>42464</v>
      </c>
      <c r="H10" s="212">
        <f>_xll.qlInterestRateIndexMaturity(ON_6M_index,G10)</f>
        <v>42647</v>
      </c>
      <c r="I10" s="47">
        <f>_xll.qlQuoteValue(D10,AllTriggers)</f>
        <v>2.0000000000000001E-4</v>
      </c>
      <c r="J10" s="47">
        <f>_xll.qlIndexFixing(ON_6M_index,_xll.qlInterestRateIndexFixingDate(ON_6M_index,G10),,AllTriggers)</f>
        <v>-1.9018750767799632E-3</v>
      </c>
      <c r="K10" s="128">
        <f t="shared" si="0"/>
        <v>2.101875076779963E-3</v>
      </c>
      <c r="L10" s="47">
        <f>_xll.qlTenorBasisValue($P$3,G10,Trigger)</f>
        <v>2.0968033299699198E-3</v>
      </c>
      <c r="M10" s="64">
        <f t="shared" si="3"/>
        <v>5.071746810043215E-2</v>
      </c>
      <c r="N10" s="21"/>
      <c r="O10" s="192" t="s">
        <v>81</v>
      </c>
      <c r="P10" s="66" t="e">
        <v>#N/A</v>
      </c>
      <c r="Q10" s="20"/>
      <c r="R10" s="212">
        <f>_xll.qlCalendarAdvance(Calendar,R9,"1D","f")</f>
        <v>42290</v>
      </c>
      <c r="S10" s="47">
        <f>_xll.qlTenorBasisValue($P$3,R10,AllTriggers)</f>
        <v>1.8468776160296312E-3</v>
      </c>
      <c r="T10" s="41">
        <f>_xll.qlDayCounterYearFraction("actual/365 (fixed)",SettlementDate,R10,,,Trigger)</f>
        <v>3.0136986301369864E-2</v>
      </c>
      <c r="U10" s="47">
        <f>_xll.qlPolynomialFunctionValue($P$18,T10,AllTriggers)</f>
        <v>1.6689508498174499E-3</v>
      </c>
    </row>
    <row r="11" spans="1:27" ht="11.25" customHeight="1" x14ac:dyDescent="0.2">
      <c r="A11" s="92">
        <f t="shared" si="4"/>
        <v>7</v>
      </c>
      <c r="B11" s="93" t="s">
        <v>20</v>
      </c>
      <c r="C11" s="102">
        <f t="shared" si="1"/>
        <v>13</v>
      </c>
      <c r="D11" s="98" t="str">
        <f t="shared" si="2"/>
        <v>EUR7x13F_Quote</v>
      </c>
      <c r="E11" s="98" t="str">
        <f>_xll.qlSimpleQuote(UPPER("B"&amp;$H$1&amp;"_"&amp;A11&amp;B11&amp;C11),,,Permanent,Trigger,ObjectOverwrite)</f>
        <v>B6M_7X13#0007</v>
      </c>
      <c r="F11" s="199" t="e">
        <f>_xll.qlSimpleQuoteSetValue(E11,K11,AllTriggers)</f>
        <v>#N/A</v>
      </c>
      <c r="G11" s="211">
        <f>_xll.qlCalendarAdvance("target",SettlementDate,A11&amp;"M","mf",,Trigger)</f>
        <v>42492</v>
      </c>
      <c r="H11" s="211">
        <f>_xll.qlInterestRateIndexMaturity(ON_6M_index,G11)</f>
        <v>42676</v>
      </c>
      <c r="I11" s="52">
        <f>_xll.qlQuoteValue(D11,AllTriggers)</f>
        <v>2.0999999999999998E-4</v>
      </c>
      <c r="J11" s="52">
        <f>_xll.qlIndexFixing(ON_6M_index,_xll.qlInterestRateIndexFixingDate(ON_6M_index,G11),,AllTriggers)</f>
        <v>-1.932681356495231E-3</v>
      </c>
      <c r="K11" s="193">
        <f t="shared" si="0"/>
        <v>2.1426813564952309E-3</v>
      </c>
      <c r="L11" s="52">
        <f>_xll.qlTenorBasisValue($P$3,G11,Trigger)</f>
        <v>2.1291647685963005E-3</v>
      </c>
      <c r="M11" s="91">
        <f t="shared" si="3"/>
        <v>0.13516587898930368</v>
      </c>
      <c r="N11" s="21"/>
      <c r="Q11" s="20"/>
      <c r="R11" s="212">
        <f>_xll.qlCalendarAdvance(Calendar,R10,"1D","f")</f>
        <v>42291</v>
      </c>
      <c r="S11" s="47">
        <f>_xll.qlTenorBasisValue($P$3,R11,AllTriggers)</f>
        <v>1.8486326984075746E-3</v>
      </c>
      <c r="T11" s="41">
        <f>_xll.qlDayCounterYearFraction("actual/365 (fixed)",SettlementDate,R11,,,Trigger)</f>
        <v>3.287671232876712E-2</v>
      </c>
      <c r="U11" s="47">
        <f>_xll.qlPolynomialFunctionValue($P$18,T11,AllTriggers)</f>
        <v>1.6711645669415047E-3</v>
      </c>
    </row>
    <row r="12" spans="1:27" ht="11.25" customHeight="1" x14ac:dyDescent="0.2">
      <c r="A12" s="94">
        <f t="shared" si="4"/>
        <v>8</v>
      </c>
      <c r="B12" s="21" t="s">
        <v>20</v>
      </c>
      <c r="C12" s="101">
        <f t="shared" si="1"/>
        <v>14</v>
      </c>
      <c r="D12" s="99" t="str">
        <f t="shared" si="2"/>
        <v>EUR8x14F_Quote</v>
      </c>
      <c r="E12" s="99" t="str">
        <f>_xll.qlSimpleQuote(UPPER("B"&amp;$H$1&amp;"_"&amp;A12&amp;B12&amp;C12),,,Permanent,Trigger,ObjectOverwrite)</f>
        <v>B6M_8X14#0007</v>
      </c>
      <c r="F12" s="200" t="e">
        <f>_xll.qlSimpleQuoteSetValue(E12,K12,AllTriggers)</f>
        <v>#N/A</v>
      </c>
      <c r="G12" s="212">
        <f>_xll.qlCalendarAdvance("target",SettlementDate,A12&amp;"M","mf",,Trigger)</f>
        <v>42523</v>
      </c>
      <c r="H12" s="212">
        <f>_xll.qlInterestRateIndexMaturity(ON_6M_index,G12)</f>
        <v>42706</v>
      </c>
      <c r="I12" s="47">
        <f>_xll.qlQuoteValue(D12,AllTriggers)</f>
        <v>2.0999999999999998E-4</v>
      </c>
      <c r="J12" s="47">
        <f>_xll.qlIndexFixing(ON_6M_index,_xll.qlInterestRateIndexFixingDate(ON_6M_index,G12),,AllTriggers)</f>
        <v>-1.952505377894871E-3</v>
      </c>
      <c r="K12" s="128">
        <f t="shared" si="0"/>
        <v>2.1625053778948711E-3</v>
      </c>
      <c r="L12" s="47">
        <f>_xll.qlTenorBasisValue($P$3,G12,Trigger)</f>
        <v>2.1634140074653914E-3</v>
      </c>
      <c r="M12" s="64">
        <f t="shared" si="3"/>
        <v>-9.0862957052026752E-3</v>
      </c>
      <c r="N12" s="21"/>
      <c r="O12" s="119" t="s">
        <v>95</v>
      </c>
      <c r="P12" s="120"/>
      <c r="Q12" s="20"/>
      <c r="R12" s="212">
        <f>_xll.qlCalendarAdvance(Calendar,R11,"1D","f")</f>
        <v>42292</v>
      </c>
      <c r="S12" s="47">
        <f>_xll.qlTenorBasisValue($P$3,R12,AllTriggers)</f>
        <v>1.8503833202715612E-3</v>
      </c>
      <c r="T12" s="41">
        <f>_xll.qlDayCounterYearFraction("actual/365 (fixed)",SettlementDate,R12,,,Trigger)</f>
        <v>3.5616438356164383E-2</v>
      </c>
      <c r="U12" s="47">
        <f>_xll.qlPolynomialFunctionValue($P$18,T12,AllTriggers)</f>
        <v>1.6733725545123679E-3</v>
      </c>
    </row>
    <row r="13" spans="1:27" ht="11.25" customHeight="1" x14ac:dyDescent="0.2">
      <c r="A13" s="94">
        <f t="shared" si="4"/>
        <v>9</v>
      </c>
      <c r="B13" s="21" t="s">
        <v>20</v>
      </c>
      <c r="C13" s="101">
        <f t="shared" si="1"/>
        <v>15</v>
      </c>
      <c r="D13" s="99" t="str">
        <f t="shared" si="2"/>
        <v>EUR9x15F_Quote</v>
      </c>
      <c r="E13" s="99" t="str">
        <f>_xll.qlSimpleQuote(UPPER("B"&amp;$H$1&amp;"_"&amp;A13&amp;B13&amp;C13),,,Permanent,Trigger,ObjectOverwrite)</f>
        <v>B6M_9X15#0007</v>
      </c>
      <c r="F13" s="200" t="e">
        <f>_xll.qlSimpleQuoteSetValue(E13,K13,AllTriggers)</f>
        <v>#N/A</v>
      </c>
      <c r="G13" s="212">
        <f>_xll.qlCalendarAdvance("target",SettlementDate,A13&amp;"M","mf",,Trigger)</f>
        <v>42555</v>
      </c>
      <c r="H13" s="212">
        <f>_xll.qlInterestRateIndexMaturity(ON_6M_index,G13)</f>
        <v>42739</v>
      </c>
      <c r="I13" s="47">
        <f>_xll.qlQuoteValue(D13,AllTriggers)</f>
        <v>2.5000000000000001E-4</v>
      </c>
      <c r="J13" s="47">
        <f>_xll.qlIndexFixing(ON_6M_index,_xll.qlInterestRateIndexFixingDate(ON_6M_index,G13),,AllTriggers)</f>
        <v>-1.9508408617647415E-3</v>
      </c>
      <c r="K13" s="128">
        <f t="shared" si="0"/>
        <v>2.2008408617647415E-3</v>
      </c>
      <c r="L13" s="47">
        <f>_xll.qlTenorBasisValue($P$3,G13,Trigger)</f>
        <v>2.1974408096619024E-3</v>
      </c>
      <c r="M13" s="64">
        <f t="shared" si="3"/>
        <v>3.4000521028391614E-2</v>
      </c>
      <c r="N13" s="21"/>
      <c r="O13" s="192" t="s">
        <v>77</v>
      </c>
      <c r="P13" s="66">
        <f t="array" ref="P13:P17">_xll.qlTenorInstCoefficients(P3)</f>
        <v>1.6442179409597816E-3</v>
      </c>
      <c r="Q13" s="20"/>
      <c r="R13" s="212">
        <f>_xll.qlCalendarAdvance(Calendar,R12,"1D","f")</f>
        <v>42293</v>
      </c>
      <c r="S13" s="47">
        <f>_xll.qlTenorBasisValue($P$3,R13,AllTriggers)</f>
        <v>1.8521294951529977E-3</v>
      </c>
      <c r="T13" s="41">
        <f>_xll.qlDayCounterYearFraction("actual/365 (fixed)",SettlementDate,R13,,,Trigger)</f>
        <v>3.8356164383561646E-2</v>
      </c>
      <c r="U13" s="47">
        <f>_xll.qlPolynomialFunctionValue($P$18,T13,AllTriggers)</f>
        <v>1.6755748260614454E-3</v>
      </c>
    </row>
    <row r="14" spans="1:27" ht="11.25" customHeight="1" thickBot="1" x14ac:dyDescent="0.25">
      <c r="A14" s="94">
        <f t="shared" si="4"/>
        <v>10</v>
      </c>
      <c r="B14" s="21" t="s">
        <v>20</v>
      </c>
      <c r="C14" s="101">
        <f t="shared" si="1"/>
        <v>16</v>
      </c>
      <c r="D14" s="99" t="str">
        <f t="shared" si="2"/>
        <v>EUR10x16F_Quote</v>
      </c>
      <c r="E14" s="99" t="str">
        <f>_xll.qlSimpleQuote(UPPER("B"&amp;$H$1&amp;"_"&amp;A14&amp;B14&amp;C14),,,Permanent,Trigger,ObjectOverwrite)</f>
        <v>B6M_10X16#0007</v>
      </c>
      <c r="F14" s="200" t="e">
        <f>_xll.qlSimpleQuoteSetValue(E14,K14,AllTriggers)</f>
        <v>#N/A</v>
      </c>
      <c r="G14" s="212">
        <f>_xll.qlCalendarAdvance("target",SettlementDate,A14&amp;"M","mf",,Trigger)</f>
        <v>42584</v>
      </c>
      <c r="H14" s="212">
        <f>_xll.qlInterestRateIndexMaturity(ON_6M_index,G14)</f>
        <v>42768</v>
      </c>
      <c r="I14" s="47">
        <f>_xll.qlQuoteValue(D14,AllTriggers)</f>
        <v>2.9000000000000006E-4</v>
      </c>
      <c r="J14" s="47">
        <f>_xll.qlIndexFixing(ON_6M_index,_xll.qlInterestRateIndexFixingDate(ON_6M_index,G14),,AllTriggers)</f>
        <v>-1.945324973436044E-3</v>
      </c>
      <c r="K14" s="128">
        <f t="shared" si="0"/>
        <v>2.2353249734360439E-3</v>
      </c>
      <c r="L14" s="47">
        <f>_xll.qlTenorBasisValue($P$3,G14,Trigger)</f>
        <v>2.2274799977848674E-3</v>
      </c>
      <c r="M14" s="64">
        <f t="shared" si="3"/>
        <v>7.8449756511765084E-2</v>
      </c>
      <c r="N14" s="21"/>
      <c r="O14" s="192" t="s">
        <v>78</v>
      </c>
      <c r="P14" s="66">
        <v>8.3241133201709776E-4</v>
      </c>
      <c r="Q14" s="20"/>
      <c r="R14" s="212">
        <f>_xll.qlCalendarAdvance(Calendar,R13,"1D","f")</f>
        <v>42296</v>
      </c>
      <c r="S14" s="47">
        <f>_xll.qlTenorBasisValue($P$3,R14,AllTriggers)</f>
        <v>1.8573414732160737E-3</v>
      </c>
      <c r="T14" s="41">
        <f>_xll.qlDayCounterYearFraction("actual/365 (fixed)",SettlementDate,R14,,,Trigger)</f>
        <v>4.6575342465753428E-2</v>
      </c>
      <c r="U14" s="47">
        <f>_xll.qlPolynomialFunctionValue($P$18,T14,AllTriggers)</f>
        <v>1.682147479892034E-3</v>
      </c>
      <c r="W14" s="36"/>
      <c r="X14" s="36" t="s">
        <v>49</v>
      </c>
      <c r="Y14" s="36" t="s">
        <v>38</v>
      </c>
      <c r="Z14" s="36" t="s">
        <v>39</v>
      </c>
      <c r="AA14" s="204" t="s">
        <v>93</v>
      </c>
    </row>
    <row r="15" spans="1:27" ht="11.25" customHeight="1" x14ac:dyDescent="0.2">
      <c r="A15" s="94">
        <f t="shared" si="4"/>
        <v>11</v>
      </c>
      <c r="B15" s="21" t="s">
        <v>20</v>
      </c>
      <c r="C15" s="101">
        <f t="shared" si="1"/>
        <v>17</v>
      </c>
      <c r="D15" s="99" t="str">
        <f t="shared" si="2"/>
        <v>EUR11x17F_Quote</v>
      </c>
      <c r="E15" s="99" t="str">
        <f>_xll.qlSimpleQuote(UPPER("B"&amp;$H$1&amp;"_"&amp;A15&amp;B15&amp;C15),,,Permanent,Trigger,ObjectOverwrite)</f>
        <v>B6M_11X17#0007</v>
      </c>
      <c r="F15" s="200" t="e">
        <f>_xll.qlSimpleQuoteSetValue(E15,K15,AllTriggers)</f>
        <v>#N/A</v>
      </c>
      <c r="G15" s="212">
        <f>_xll.qlCalendarAdvance("target",SettlementDate,A15&amp;"M","mf",,Trigger)</f>
        <v>42615</v>
      </c>
      <c r="H15" s="212">
        <f>_xll.qlInterestRateIndexMaturity(ON_6M_index,G15)</f>
        <v>42796</v>
      </c>
      <c r="I15" s="47">
        <f>_xll.qlQuoteValue(D15,AllTriggers)</f>
        <v>3.3E-4</v>
      </c>
      <c r="J15" s="47">
        <f>_xll.qlIndexFixing(ON_6M_index,_xll.qlInterestRateIndexFixingDate(ON_6M_index,G15),,AllTriggers)</f>
        <v>-1.9250974245285243E-3</v>
      </c>
      <c r="K15" s="128">
        <f t="shared" si="0"/>
        <v>2.2550974245285245E-3</v>
      </c>
      <c r="L15" s="47">
        <f>_xll.qlTenorBasisValue($P$3,G15,Trigger)</f>
        <v>2.2591381386060671E-3</v>
      </c>
      <c r="M15" s="64">
        <f t="shared" si="3"/>
        <v>-4.0407140775426155E-2</v>
      </c>
      <c r="N15" s="21"/>
      <c r="O15" s="192" t="s">
        <v>79</v>
      </c>
      <c r="P15" s="66">
        <v>-3.9247619211068028E-4</v>
      </c>
      <c r="Q15" s="20"/>
      <c r="R15" s="212">
        <f>_xll.qlCalendarAdvance(Calendar,R14,"1D","f")</f>
        <v>42297</v>
      </c>
      <c r="S15" s="47">
        <f>_xll.qlTenorBasisValue($P$3,R15,AllTriggers)</f>
        <v>1.8590699954813778E-3</v>
      </c>
      <c r="T15" s="41">
        <f>_xll.qlDayCounterYearFraction("actual/365 (fixed)",SettlementDate,R15,,,Trigger)</f>
        <v>4.9315068493150684E-2</v>
      </c>
      <c r="U15" s="47">
        <f>_xll.qlPolynomialFunctionValue($P$18,T15,AllTriggers)</f>
        <v>1.6843270226680382E-3</v>
      </c>
      <c r="W15" s="45">
        <v>0</v>
      </c>
      <c r="X15" s="45" t="s">
        <v>25</v>
      </c>
      <c r="Y15" s="175">
        <f>_xll.qlCalendarAdvance(Calendar,SettlementDate,W15&amp;"M","mf",TRUE,Trigger)</f>
        <v>42279</v>
      </c>
      <c r="Z15" s="176">
        <f>_xll.qlCalendarAdvance(Calendar,SettlementDate,X15,"Following",,Trigger)</f>
        <v>42282</v>
      </c>
      <c r="AA15" s="205">
        <f>_xll.qlTenorBasisForwardRate2(TenorBasis6M,Y15,Z15,AllTriggers)</f>
        <v>2.6499467479013106E-4</v>
      </c>
    </row>
    <row r="16" spans="1:27" ht="11.25" customHeight="1" x14ac:dyDescent="0.2">
      <c r="A16" s="94">
        <f t="shared" si="4"/>
        <v>12</v>
      </c>
      <c r="B16" s="21" t="s">
        <v>20</v>
      </c>
      <c r="C16" s="101">
        <f t="shared" si="1"/>
        <v>18</v>
      </c>
      <c r="D16" s="99" t="str">
        <f t="shared" si="2"/>
        <v>EUR12x18F_Quote</v>
      </c>
      <c r="E16" s="99" t="str">
        <f>_xll.qlSimpleQuote(UPPER("B"&amp;$H$1&amp;"_"&amp;A16&amp;B16&amp;C16),,,Permanent,Trigger,ObjectOverwrite)</f>
        <v>B6M_12X18#0007</v>
      </c>
      <c r="F16" s="200" t="e">
        <f>_xll.qlSimpleQuoteSetValue(E16,K16,AllTriggers)</f>
        <v>#N/A</v>
      </c>
      <c r="G16" s="212">
        <f>_xll.qlCalendarAdvance("target",SettlementDate,A16&amp;"M","mf",,Trigger)</f>
        <v>42646</v>
      </c>
      <c r="H16" s="212">
        <f>_xll.qlInterestRateIndexMaturity(ON_6M_index,G16)</f>
        <v>42828</v>
      </c>
      <c r="I16" s="47">
        <f>_xll.qlQuoteValue(D16,AllTriggers)</f>
        <v>3.8999999999999999E-4</v>
      </c>
      <c r="J16" s="47">
        <f>_xll.qlIndexFixing(ON_6M_index,_xll.qlInterestRateIndexFixingDate(ON_6M_index,G16),,AllTriggers)</f>
        <v>-1.8862043216986599E-3</v>
      </c>
      <c r="K16" s="128">
        <f t="shared" si="0"/>
        <v>2.2762043216986599E-3</v>
      </c>
      <c r="L16" s="47">
        <f>_xll.qlTenorBasisValue($P$3,G16,Trigger)</f>
        <v>2.290722918485063E-3</v>
      </c>
      <c r="M16" s="64">
        <f t="shared" si="3"/>
        <v>-0.14518596786403104</v>
      </c>
      <c r="N16" s="21"/>
      <c r="O16" s="192" t="s">
        <v>80</v>
      </c>
      <c r="P16" s="66">
        <v>1.0966556893320197E-4</v>
      </c>
      <c r="Q16" s="20"/>
      <c r="R16" s="212">
        <f>_xll.qlCalendarAdvance(Calendar,R15,"1D","f")</f>
        <v>42298</v>
      </c>
      <c r="S16" s="47">
        <f>_xll.qlTenorBasisValue($P$3,R16,AllTriggers)</f>
        <v>1.8607941384211656E-3</v>
      </c>
      <c r="T16" s="41">
        <f>_xll.qlDayCounterYearFraction("actual/365 (fixed)",SettlementDate,R16,,,Trigger)</f>
        <v>5.2054794520547946E-2</v>
      </c>
      <c r="U16" s="47">
        <f>_xll.qlPolynomialFunctionValue($P$18,T16,AllTriggers)</f>
        <v>1.6865009170792917E-3</v>
      </c>
      <c r="W16" s="48">
        <v>0</v>
      </c>
      <c r="X16" s="48" t="s">
        <v>26</v>
      </c>
      <c r="Y16" s="177">
        <f>_xll.qlCalendarAdvance(Calendar,SettlementDate,W16&amp;"M","mf",TRUE,Trigger)</f>
        <v>42279</v>
      </c>
      <c r="Z16" s="178">
        <f>_xll.qlCalendarAdvance(Calendar,SettlementDate,X16,"Following",,Trigger)</f>
        <v>42286</v>
      </c>
      <c r="AA16" s="206">
        <f>_xll.qlTenorBasisForwardRate2(TenorBasis6M,Y16,Z16,AllTriggers)</f>
        <v>1.9950032922798146E-4</v>
      </c>
    </row>
    <row r="17" spans="1:27" ht="11.25" customHeight="1" x14ac:dyDescent="0.2">
      <c r="A17" s="94">
        <f t="shared" si="4"/>
        <v>13</v>
      </c>
      <c r="B17" s="21" t="s">
        <v>20</v>
      </c>
      <c r="C17" s="101">
        <f t="shared" si="1"/>
        <v>19</v>
      </c>
      <c r="D17" s="99" t="str">
        <f t="shared" si="2"/>
        <v>EUR13x19F_Quote</v>
      </c>
      <c r="E17" s="99" t="str">
        <f>_xll.qlSimpleQuote(UPPER("B"&amp;$H$1&amp;"_"&amp;A17&amp;B17&amp;C17),,,Permanent,Trigger,ObjectOverwrite)</f>
        <v>B6M_13X19#0007</v>
      </c>
      <c r="F17" s="200" t="e">
        <f>_xll.qlSimpleQuoteSetValue(E17,K17,AllTriggers)</f>
        <v>#N/A</v>
      </c>
      <c r="G17" s="212">
        <f>_xll.qlCalendarAdvance("target",SettlementDate,A17&amp;"M","mf",,Trigger)</f>
        <v>42676</v>
      </c>
      <c r="H17" s="212">
        <f>_xll.qlInterestRateIndexMaturity(ON_6M_index,G17)</f>
        <v>42857</v>
      </c>
      <c r="I17" s="47">
        <f>_xll.qlQuoteValue(D17,AllTriggers)</f>
        <v>4.8000000000000001E-4</v>
      </c>
      <c r="J17" s="47">
        <f>_xll.qlIndexFixing(ON_6M_index,_xll.qlInterestRateIndexFixingDate(ON_6M_index,G17),,AllTriggers)</f>
        <v>-1.8416476317897629E-3</v>
      </c>
      <c r="K17" s="128">
        <f t="shared" si="0"/>
        <v>2.3216476317897629E-3</v>
      </c>
      <c r="L17" s="47">
        <f>_xll.qlTenorBasisValue($P$3,G17,Trigger)</f>
        <v>2.3215986763856855E-3</v>
      </c>
      <c r="M17" s="64">
        <f t="shared" si="3"/>
        <v>4.8955404077354742E-4</v>
      </c>
      <c r="N17" s="21"/>
      <c r="O17" s="192" t="s">
        <v>81</v>
      </c>
      <c r="P17" s="66" t="e">
        <v>#N/A</v>
      </c>
      <c r="Q17" s="20"/>
      <c r="R17" s="212">
        <f>_xll.qlCalendarAdvance(Calendar,R16,"1D","f")</f>
        <v>42299</v>
      </c>
      <c r="S17" s="47">
        <f>_xll.qlTenorBasisValue($P$3,R17,AllTriggers)</f>
        <v>1.8625139155668447E-3</v>
      </c>
      <c r="T17" s="41">
        <f>_xll.qlDayCounterYearFraction("actual/365 (fixed)",SettlementDate,R17,,,Trigger)</f>
        <v>5.4794520547945202E-2</v>
      </c>
      <c r="U17" s="47">
        <f>_xll.qlPolynomialFunctionValue($P$18,T17,AllTriggers)</f>
        <v>1.6886691766572007E-3</v>
      </c>
      <c r="W17" s="48">
        <v>0</v>
      </c>
      <c r="X17" s="48" t="s">
        <v>27</v>
      </c>
      <c r="Y17" s="177">
        <f>_xll.qlCalendarAdvance(Calendar,SettlementDate,W17&amp;"M","mf",TRUE,Trigger)</f>
        <v>42279</v>
      </c>
      <c r="Z17" s="178">
        <f>_xll.qlCalendarAdvance(Calendar,SettlementDate,X17,"Following",,Trigger)</f>
        <v>42293</v>
      </c>
      <c r="AA17" s="206">
        <f>_xll.qlTenorBasisForwardRate2(TenorBasis6M,Y17,Z17,AllTriggers)</f>
        <v>2.0721253829363611E-4</v>
      </c>
    </row>
    <row r="18" spans="1:27" ht="11.25" customHeight="1" x14ac:dyDescent="0.2">
      <c r="A18" s="94">
        <f t="shared" si="4"/>
        <v>14</v>
      </c>
      <c r="B18" s="21" t="s">
        <v>20</v>
      </c>
      <c r="C18" s="101">
        <f t="shared" si="1"/>
        <v>20</v>
      </c>
      <c r="D18" s="99" t="str">
        <f t="shared" si="2"/>
        <v>EUR14x20F_Quote</v>
      </c>
      <c r="E18" s="99" t="str">
        <f>_xll.qlSimpleQuote(UPPER("B"&amp;$H$1&amp;"_"&amp;A18&amp;B18&amp;C18),,,Permanent,Trigger,ObjectOverwrite)</f>
        <v>B6M_14X20#0007</v>
      </c>
      <c r="F18" s="200" t="e">
        <f>_xll.qlSimpleQuoteSetValue(E18,K18,AllTriggers)</f>
        <v>#N/A</v>
      </c>
      <c r="G18" s="212">
        <f>_xll.qlCalendarAdvance("target",SettlementDate,A18&amp;"M","mf",,Trigger)</f>
        <v>42706</v>
      </c>
      <c r="H18" s="212">
        <f>_xll.qlInterestRateIndexMaturity(ON_6M_index,G18)</f>
        <v>42888</v>
      </c>
      <c r="I18" s="47">
        <f>_xll.qlQuoteValue(D18,AllTriggers)</f>
        <v>5.5999999999999995E-4</v>
      </c>
      <c r="J18" s="47">
        <f>_xll.qlIndexFixing(ON_6M_index,_xll.qlInterestRateIndexFixingDate(ON_6M_index,G18),,AllTriggers)</f>
        <v>-1.7897589466750066E-3</v>
      </c>
      <c r="K18" s="128">
        <f t="shared" si="0"/>
        <v>2.3497589466750066E-3</v>
      </c>
      <c r="L18" s="47">
        <f>_xll.qlTenorBasisValue($P$3,G18,Trigger)</f>
        <v>2.3531486042074963E-3</v>
      </c>
      <c r="M18" s="64">
        <f t="shared" si="3"/>
        <v>-3.3896575324897371E-2</v>
      </c>
      <c r="N18" s="21"/>
      <c r="O18" s="192" t="s">
        <v>99</v>
      </c>
      <c r="P18" s="66" t="str">
        <f>_xll.qlPolynomialFunction(,_xll.ohPack(P13:P17),,Trigger)</f>
        <v>obj_005e4#0009</v>
      </c>
      <c r="Q18" s="20"/>
      <c r="R18" s="212">
        <f>_xll.qlCalendarAdvance(Calendar,R17,"1D","f")</f>
        <v>42300</v>
      </c>
      <c r="S18" s="47">
        <f>_xll.qlTenorBasisValue($P$3,R18,AllTriggers)</f>
        <v>1.8642293404498216E-3</v>
      </c>
      <c r="T18" s="41">
        <f>_xll.qlDayCounterYearFraction("actual/365 (fixed)",SettlementDate,R18,,,Trigger)</f>
        <v>5.7534246575342465E-2</v>
      </c>
      <c r="U18" s="47">
        <f>_xll.qlPolynomialFunctionValue($P$18,T18,AllTriggers)</f>
        <v>1.6908318149331724E-3</v>
      </c>
      <c r="W18" s="48">
        <v>0</v>
      </c>
      <c r="X18" s="48" t="s">
        <v>28</v>
      </c>
      <c r="Y18" s="177">
        <f>_xll.qlCalendarAdvance(Calendar,SettlementDate,W18&amp;"M","mf",TRUE,Trigger)</f>
        <v>42279</v>
      </c>
      <c r="Z18" s="178">
        <f>_xll.qlCalendarAdvance(Calendar,SettlementDate,X18,"Following",,Trigger)</f>
        <v>42300</v>
      </c>
      <c r="AA18" s="206">
        <f>_xll.qlTenorBasisForwardRate2(TenorBasis6M,Y18,Z18,AllTriggers)</f>
        <v>2.148321835093725E-4</v>
      </c>
    </row>
    <row r="19" spans="1:27" ht="11.25" customHeight="1" x14ac:dyDescent="0.2">
      <c r="A19" s="94">
        <f t="shared" si="4"/>
        <v>15</v>
      </c>
      <c r="B19" s="21" t="s">
        <v>20</v>
      </c>
      <c r="C19" s="101">
        <f t="shared" si="1"/>
        <v>21</v>
      </c>
      <c r="D19" s="99" t="str">
        <f t="shared" si="2"/>
        <v>EUR15x21F_Quote</v>
      </c>
      <c r="E19" s="99" t="str">
        <f>_xll.qlSimpleQuote(UPPER("B"&amp;$H$1&amp;"_"&amp;A19&amp;B19&amp;C19),,,Permanent,Trigger,ObjectOverwrite)</f>
        <v>B6M_15X21#0007</v>
      </c>
      <c r="F19" s="200" t="e">
        <f>_xll.qlSimpleQuoteSetValue(E19,K19,AllTriggers)</f>
        <v>#N/A</v>
      </c>
      <c r="G19" s="212">
        <f>_xll.qlCalendarAdvance("target",SettlementDate,A19&amp;"M","mf",,Trigger)</f>
        <v>42737</v>
      </c>
      <c r="H19" s="212">
        <f>_xll.qlInterestRateIndexMaturity(ON_6M_index,G19)</f>
        <v>42919</v>
      </c>
      <c r="I19" s="47">
        <f>_xll.qlQuoteValue(D19,AllTriggers)</f>
        <v>6.6E-4</v>
      </c>
      <c r="J19" s="47">
        <f>_xll.qlIndexFixing(ON_6M_index,_xll.qlInterestRateIndexFixingDate(ON_6M_index,G19),,AllTriggers)</f>
        <v>-1.7354856451233815E-3</v>
      </c>
      <c r="K19" s="128">
        <f t="shared" si="0"/>
        <v>2.3954856451233815E-3</v>
      </c>
      <c r="L19" s="47">
        <f>_xll.qlTenorBasisValue($P$3,G19,Trigger)</f>
        <v>2.3868465322505745E-3</v>
      </c>
      <c r="M19" s="64">
        <f t="shared" si="3"/>
        <v>8.6391128728069769E-2</v>
      </c>
      <c r="N19" s="21"/>
      <c r="Q19" s="20"/>
      <c r="R19" s="212">
        <f>_xll.qlCalendarAdvance(Calendar,R18,"1D","f")</f>
        <v>42303</v>
      </c>
      <c r="S19" s="47">
        <f>_xll.qlTenorBasisValue($P$3,R19,AllTriggers)</f>
        <v>1.8693496368366079E-3</v>
      </c>
      <c r="T19" s="41">
        <f>_xll.qlDayCounterYearFraction("actual/365 (fixed)",SettlementDate,R19,,,Trigger)</f>
        <v>6.575342465753424E-2</v>
      </c>
      <c r="U19" s="47">
        <f>_xll.qlPolynomialFunctionValue($P$18,T19,AllTriggers)</f>
        <v>1.6972861372635329E-3</v>
      </c>
      <c r="W19" s="129">
        <v>0</v>
      </c>
      <c r="X19" s="129" t="s">
        <v>22</v>
      </c>
      <c r="Y19" s="179">
        <f>_xll.qlCalendarAdvance(Calendar,SettlementDate,W19&amp;"M","mf",TRUE,Trigger)</f>
        <v>42279</v>
      </c>
      <c r="Z19" s="180">
        <f>_xll.qlCalendarAdvance(Calendar,SettlementDate,X19,"mf",TRUE,Trigger)</f>
        <v>42310</v>
      </c>
      <c r="AA19" s="207">
        <f>_xll.qlTenorBasisForwardRate2(TenorBasis6M,Y19,Z19,AllTriggers)</f>
        <v>2.5556336852943445E-4</v>
      </c>
    </row>
    <row r="20" spans="1:27" ht="11.25" customHeight="1" x14ac:dyDescent="0.2">
      <c r="A20" s="94">
        <f t="shared" si="4"/>
        <v>16</v>
      </c>
      <c r="B20" s="21" t="s">
        <v>20</v>
      </c>
      <c r="C20" s="101">
        <f t="shared" si="1"/>
        <v>22</v>
      </c>
      <c r="D20" s="99" t="str">
        <f t="shared" si="2"/>
        <v>EUR16x22F_Quote</v>
      </c>
      <c r="E20" s="99" t="str">
        <f>_xll.qlSimpleQuote(UPPER("B"&amp;$H$1&amp;"_"&amp;A20&amp;B20&amp;C20),,,Permanent,Trigger,ObjectOverwrite)</f>
        <v>B6M_16X22#0007</v>
      </c>
      <c r="F20" s="200" t="e">
        <f>_xll.qlSimpleQuoteSetValue(E20,K20,AllTriggers)</f>
        <v>#N/A</v>
      </c>
      <c r="G20" s="212">
        <f>_xll.qlCalendarAdvance("target",SettlementDate,A20&amp;"M","mf",,Trigger)</f>
        <v>42768</v>
      </c>
      <c r="H20" s="212">
        <f>_xll.qlInterestRateIndexMaturity(ON_6M_index,G20)</f>
        <v>42949</v>
      </c>
      <c r="I20" s="47">
        <f>_xll.qlQuoteValue(D20,AllTriggers)</f>
        <v>7.7000000000000018E-4</v>
      </c>
      <c r="J20" s="47">
        <f>_xll.qlIndexFixing(ON_6M_index,_xll.qlInterestRateIndexFixingDate(ON_6M_index,G20),,AllTriggers)</f>
        <v>-1.6636287110431271E-3</v>
      </c>
      <c r="K20" s="128">
        <f t="shared" si="0"/>
        <v>2.4336287110431273E-3</v>
      </c>
      <c r="L20" s="47">
        <f>_xll.qlTenorBasisValue($P$3,G20,Trigger)</f>
        <v>2.4220575485564395E-3</v>
      </c>
      <c r="M20" s="64">
        <f t="shared" si="3"/>
        <v>0.11571162486687883</v>
      </c>
      <c r="N20" s="21"/>
      <c r="Q20" s="20"/>
      <c r="R20" s="212">
        <f>_xll.qlCalendarAdvance(Calendar,R19,"1D","f")</f>
        <v>42304</v>
      </c>
      <c r="S20" s="47">
        <f>_xll.qlTenorBasisValue($P$3,R20,AllTriggers)</f>
        <v>1.871047787982845E-3</v>
      </c>
      <c r="T20" s="41">
        <f>_xll.qlDayCounterYearFraction("actual/365 (fixed)",SettlementDate,R20,,,Trigger)</f>
        <v>6.8493150684931503E-2</v>
      </c>
      <c r="U20" s="47">
        <f>_xll.qlPolynomialFunctionValue($P$18,T20,AllTriggers)</f>
        <v>1.6994264256458243E-3</v>
      </c>
      <c r="W20" s="48">
        <v>0</v>
      </c>
      <c r="X20" s="48" t="s">
        <v>29</v>
      </c>
      <c r="Y20" s="177">
        <f>_xll.qlCalendarAdvance(Calendar,SettlementDate,W20&amp;"M","mf",TRUE,Trigger)</f>
        <v>42279</v>
      </c>
      <c r="Z20" s="178">
        <f>_xll.qlCalendarAdvance(Calendar,SettlementDate,X20,"mf",TRUE,Trigger)</f>
        <v>42340</v>
      </c>
      <c r="AA20" s="206">
        <f>_xll.qlTenorBasisForwardRate2(TenorBasis6M,Y20,Z20,AllTriggers)</f>
        <v>2.3664810563085427E-4</v>
      </c>
    </row>
    <row r="21" spans="1:27" ht="11.25" customHeight="1" x14ac:dyDescent="0.2">
      <c r="A21" s="94">
        <f t="shared" si="4"/>
        <v>17</v>
      </c>
      <c r="B21" s="21" t="s">
        <v>20</v>
      </c>
      <c r="C21" s="101">
        <f t="shared" si="1"/>
        <v>23</v>
      </c>
      <c r="D21" s="99" t="str">
        <f t="shared" si="2"/>
        <v>EUR17x23F_Quote</v>
      </c>
      <c r="E21" s="99" t="str">
        <f>_xll.qlSimpleQuote(UPPER("B"&amp;$H$1&amp;"_"&amp;A21&amp;B21&amp;C21),,,Permanent,Trigger,ObjectOverwrite)</f>
        <v>B6M_17X23#0007</v>
      </c>
      <c r="F21" s="200" t="e">
        <f>_xll.qlSimpleQuoteSetValue(E21,K21,AllTriggers)</f>
        <v>#N/A</v>
      </c>
      <c r="G21" s="212">
        <f>_xll.qlCalendarAdvance("target",SettlementDate,A21&amp;"M","mf",,Trigger)</f>
        <v>42796</v>
      </c>
      <c r="H21" s="212">
        <f>_xll.qlInterestRateIndexMaturity(ON_6M_index,G21)</f>
        <v>42982</v>
      </c>
      <c r="I21" s="47">
        <f>_xll.qlQuoteValue(D21,AllTriggers)</f>
        <v>8.7999999999999992E-4</v>
      </c>
      <c r="J21" s="47">
        <f>_xll.qlIndexFixing(ON_6M_index,_xll.qlInterestRateIndexFixingDate(ON_6M_index,G21),,AllTriggers)</f>
        <v>-1.5857700273006372E-3</v>
      </c>
      <c r="K21" s="128">
        <f t="shared" si="0"/>
        <v>2.4657700273006374E-3</v>
      </c>
      <c r="L21" s="47">
        <f>_xll.qlTenorBasisValue($P$3,G21,Trigger)</f>
        <v>2.4554968870566614E-3</v>
      </c>
      <c r="M21" s="64">
        <f t="shared" si="3"/>
        <v>0.10273140243976034</v>
      </c>
      <c r="N21" s="21"/>
      <c r="Q21" s="20"/>
      <c r="R21" s="212">
        <f>_xll.qlCalendarAdvance(Calendar,R20,"1D","f")</f>
        <v>42305</v>
      </c>
      <c r="S21" s="47">
        <f>_xll.qlTenorBasisValue($P$3,R21,AllTriggers)</f>
        <v>1.8727416545234142E-3</v>
      </c>
      <c r="T21" s="41">
        <f>_xll.qlDayCounterYearFraction("actual/365 (fixed)",SettlementDate,R21,,,Trigger)</f>
        <v>7.1232876712328766E-2</v>
      </c>
      <c r="U21" s="47">
        <f>_xll.qlPolynomialFunctionValue($P$18,T21,AllTriggers)</f>
        <v>1.7015611603832127E-3</v>
      </c>
      <c r="W21" s="48">
        <v>0</v>
      </c>
      <c r="X21" s="48" t="s">
        <v>23</v>
      </c>
      <c r="Y21" s="177">
        <f>_xll.qlCalendarAdvance(Calendar,SettlementDate,W21&amp;"M","mf",TRUE,Trigger)</f>
        <v>42279</v>
      </c>
      <c r="Z21" s="178">
        <f>_xll.qlCalendarAdvance(Calendar,SettlementDate,X21,"mf",TRUE,Trigger)</f>
        <v>42373</v>
      </c>
      <c r="AA21" s="206">
        <f>_xll.qlTenorBasisForwardRate2(TenorBasis6M,Y21,Z21,AllTriggers)</f>
        <v>2.8359412905085087E-4</v>
      </c>
    </row>
    <row r="22" spans="1:27" ht="11.25" customHeight="1" x14ac:dyDescent="0.2">
      <c r="A22" s="95">
        <f t="shared" si="4"/>
        <v>18</v>
      </c>
      <c r="B22" s="96" t="s">
        <v>20</v>
      </c>
      <c r="C22" s="103">
        <f t="shared" si="1"/>
        <v>24</v>
      </c>
      <c r="D22" s="100" t="str">
        <f t="shared" si="2"/>
        <v>EUR18x24F_Quote</v>
      </c>
      <c r="E22" s="100" t="str">
        <f>_xll.qlSimpleQuote(UPPER("B"&amp;$H$1&amp;"_"&amp;A22&amp;B22&amp;C22),,,Permanent,Trigger,ObjectOverwrite)</f>
        <v>B6M_18X24#0007</v>
      </c>
      <c r="F22" s="201" t="e">
        <f>_xll.qlSimpleQuoteSetValue(E22,K22,AllTriggers)</f>
        <v>#N/A</v>
      </c>
      <c r="G22" s="213">
        <f>_xll.qlCalendarAdvance("target",SettlementDate,A22&amp;"M","mf",,Trigger)</f>
        <v>42828</v>
      </c>
      <c r="H22" s="213">
        <f>_xll.qlInterestRateIndexMaturity(ON_6M_index,G22)</f>
        <v>43011</v>
      </c>
      <c r="I22" s="50">
        <f>_xll.qlQuoteValue(D22,AllTriggers)</f>
        <v>1E-3</v>
      </c>
      <c r="J22" s="50">
        <f>_xll.qlIndexFixing(ON_6M_index,_xll.qlInterestRateIndexFixingDate(ON_6M_index,G22),,AllTriggers)</f>
        <v>-1.4986412683407923E-3</v>
      </c>
      <c r="K22" s="115">
        <f t="shared" si="0"/>
        <v>2.4986412683407925E-3</v>
      </c>
      <c r="L22" s="50">
        <f>_xll.qlTenorBasisValue($P$3,G22,Trigger)</f>
        <v>2.4960085267696098E-3</v>
      </c>
      <c r="M22" s="65">
        <f t="shared" si="3"/>
        <v>2.6327415711827409E-2</v>
      </c>
      <c r="N22" s="21"/>
      <c r="Q22" s="20"/>
      <c r="R22" s="212">
        <f>_xll.qlCalendarAdvance(Calendar,R21,"1D","f")</f>
        <v>42306</v>
      </c>
      <c r="S22" s="47">
        <f>_xll.qlTenorBasisValue($P$3,R22,AllTriggers)</f>
        <v>1.8744312499897225E-3</v>
      </c>
      <c r="T22" s="41">
        <f>_xll.qlDayCounterYearFraction("actual/365 (fixed)",SettlementDate,R22,,,Trigger)</f>
        <v>7.3972602739726029E-2</v>
      </c>
      <c r="U22" s="47">
        <f>_xll.qlPolynomialFunctionValue($P$18,T22,AllTriggers)</f>
        <v>1.7036903550071046E-3</v>
      </c>
      <c r="W22" s="48">
        <v>0</v>
      </c>
      <c r="X22" s="48" t="s">
        <v>30</v>
      </c>
      <c r="Y22" s="177">
        <f>_xll.qlCalendarAdvance(Calendar,SettlementDate,W22&amp;"M","mf",TRUE,Trigger)</f>
        <v>42279</v>
      </c>
      <c r="Z22" s="178">
        <f>_xll.qlCalendarAdvance(Calendar,SettlementDate,X22,"mf",TRUE,Trigger)</f>
        <v>42402</v>
      </c>
      <c r="AA22" s="206">
        <f>_xll.qlTenorBasisForwardRate2(TenorBasis6M,Y22,Z22,AllTriggers)</f>
        <v>2.5915671097759681E-4</v>
      </c>
    </row>
    <row r="23" spans="1:27" ht="11.25" customHeight="1" x14ac:dyDescent="0.2">
      <c r="G23" s="60"/>
      <c r="H23" s="60"/>
      <c r="I23" s="35"/>
      <c r="J23" s="35"/>
      <c r="K23" s="35"/>
      <c r="L23" s="21"/>
      <c r="M23" s="21"/>
      <c r="N23" s="21"/>
      <c r="Q23" s="20"/>
      <c r="R23" s="212">
        <f>_xll.qlCalendarAdvance(Calendar,R22,"1D","f")</f>
        <v>42307</v>
      </c>
      <c r="S23" s="47">
        <f>_xll.qlTenorBasisValue($P$3,R23,AllTriggers)</f>
        <v>1.8761165879131768E-3</v>
      </c>
      <c r="T23" s="41">
        <f>_xll.qlDayCounterYearFraction("actual/365 (fixed)",SettlementDate,R23,,,Trigger)</f>
        <v>7.6712328767123292E-2</v>
      </c>
      <c r="U23" s="47">
        <f>_xll.qlPolynomialFunctionValue($P$18,T23,AllTriggers)</f>
        <v>1.7058140230489078E-3</v>
      </c>
      <c r="W23" s="49">
        <v>0</v>
      </c>
      <c r="X23" s="49" t="s">
        <v>31</v>
      </c>
      <c r="Y23" s="181">
        <f>_xll.qlCalendarAdvance(Calendar,SettlementDate,W23&amp;"M","mf",TRUE,Trigger)</f>
        <v>42279</v>
      </c>
      <c r="Z23" s="182">
        <f>_xll.qlCalendarAdvance(Calendar,SettlementDate,X23,"mf",TRUE,Trigger)</f>
        <v>42431</v>
      </c>
      <c r="AA23" s="208">
        <f>_xll.qlTenorBasisForwardRate2(TenorBasis6M,Y23,Z23,AllTriggers)</f>
        <v>2.4951153325826844E-4</v>
      </c>
    </row>
    <row r="24" spans="1:27" ht="11.25" customHeight="1" thickBot="1" x14ac:dyDescent="0.25">
      <c r="G24" s="60"/>
      <c r="H24" s="60"/>
      <c r="I24" s="35"/>
      <c r="J24" s="35"/>
      <c r="K24" s="35"/>
      <c r="Q24" s="20"/>
      <c r="R24" s="212">
        <f>_xll.qlCalendarAdvance(Calendar,R23,"1D","f")</f>
        <v>42310</v>
      </c>
      <c r="S24" s="47">
        <f>_xll.qlTenorBasisValue($P$3,R24,AllTriggers)</f>
        <v>1.8811471917404845E-3</v>
      </c>
      <c r="T24" s="41">
        <f>_xll.qlDayCounterYearFraction("actual/365 (fixed)",SettlementDate,R24,,,Trigger)</f>
        <v>8.4931506849315067E-2</v>
      </c>
      <c r="U24" s="47">
        <f>_xll.qlPolynomialFunctionValue($P$18,T24,AllTriggers)</f>
        <v>1.712152002995851E-3</v>
      </c>
      <c r="W24" s="127">
        <v>0</v>
      </c>
      <c r="X24" s="127" t="s">
        <v>24</v>
      </c>
      <c r="Y24" s="183">
        <f>_xll.qlCalendarAdvance(Calendar,SettlementDate,W24&amp;"M","mf",TRUE,Trigger)</f>
        <v>42279</v>
      </c>
      <c r="Z24" s="184">
        <f>_xll.qlCalendarAdvance(Calendar,SettlementDate,X24,"mf",TRUE,Trigger)</f>
        <v>42464</v>
      </c>
      <c r="AA24" s="209">
        <f>_xll.qlTenorBasisForwardRate2(TenorBasis6M,Y24,Z24,AllTriggers)</f>
        <v>2.4204916456760375E-4</v>
      </c>
    </row>
    <row r="25" spans="1:27" ht="11.25" customHeight="1" x14ac:dyDescent="0.2">
      <c r="G25" s="60"/>
      <c r="H25" s="60"/>
      <c r="I25" s="35"/>
      <c r="J25" s="35"/>
      <c r="K25" s="35"/>
      <c r="R25" s="212">
        <f>_xll.qlCalendarAdvance(Calendar,R24,"1D","f")</f>
        <v>42311</v>
      </c>
      <c r="S25" s="47">
        <f>_xll.qlTenorBasisValue($P$3,R25,AllTriggers)</f>
        <v>1.8828156348065913E-3</v>
      </c>
      <c r="T25" s="41">
        <f>_xll.qlDayCounterYearFraction("actual/365 (fixed)",SettlementDate,R25,,,Trigger)</f>
        <v>8.7671232876712329E-2</v>
      </c>
      <c r="U25" s="47">
        <f>_xll.qlPolynomialFunctionValue($P$18,T25,AllTriggers)</f>
        <v>1.7142537000233661E-3</v>
      </c>
      <c r="W25" s="45">
        <v>1</v>
      </c>
      <c r="X25" s="45" t="str">
        <f t="shared" ref="X25:X30" si="5">W25+SUBSTITUTE($H$1,"M","")&amp;"M"</f>
        <v>7M</v>
      </c>
      <c r="Y25" s="175">
        <f>_xll.qlCalendarAdvance(Calendar,SettlementDate,W25&amp;"M","mf",TRUE,Trigger)</f>
        <v>42310</v>
      </c>
      <c r="Z25" s="175">
        <f>_xll.qlCalendarAdvance(Calendar,SettlementDate,X25,"mf",TRUE,Trigger)</f>
        <v>42492</v>
      </c>
      <c r="AA25" s="151">
        <f>_xll.qlTenorBasisTenorForwardRate(TenorBasis6M,Y25,AllTriggers)</f>
        <v>2.6199138103101625E-4</v>
      </c>
    </row>
    <row r="26" spans="1:27" ht="11.25" customHeight="1" x14ac:dyDescent="0.2">
      <c r="R26" s="212">
        <f>_xll.qlCalendarAdvance(Calendar,R25,"1D","f")</f>
        <v>42312</v>
      </c>
      <c r="S26" s="47">
        <f>_xll.qlTenorBasisValue($P$3,R26,AllTriggers)</f>
        <v>1.884479887986879E-3</v>
      </c>
      <c r="T26" s="41">
        <f>_xll.qlDayCounterYearFraction("actual/365 (fixed)",SettlementDate,R26,,,Trigger)</f>
        <v>9.0410958904109592E-2</v>
      </c>
      <c r="U26" s="47">
        <f>_xll.qlPolynomialFunctionValue($P$18,T26,AllTriggers)</f>
        <v>1.7163499381258264E-3</v>
      </c>
      <c r="W26" s="48">
        <v>2</v>
      </c>
      <c r="X26" s="48" t="str">
        <f t="shared" si="5"/>
        <v>8M</v>
      </c>
      <c r="Y26" s="177">
        <f>_xll.qlCalendarAdvance(Calendar,SettlementDate,W26&amp;"M","mf",TRUE,Trigger)</f>
        <v>42340</v>
      </c>
      <c r="Z26" s="177">
        <f>_xll.qlCalendarAdvance(Calendar,SettlementDate,X26,"mf",TRUE,Trigger)</f>
        <v>42523</v>
      </c>
      <c r="AA26" s="47">
        <f>_xll.qlTenorBasisTenorForwardRate(TenorBasis6M,Y26,AllTriggers)</f>
        <v>2.5389106629852506E-4</v>
      </c>
    </row>
    <row r="27" spans="1:27" ht="11.25" customHeight="1" x14ac:dyDescent="0.2">
      <c r="R27" s="212">
        <f>_xll.qlCalendarAdvance(Calendar,R26,"1D","f")</f>
        <v>42313</v>
      </c>
      <c r="S27" s="47">
        <f>_xll.qlTenorBasisValue($P$3,R27,AllTriggers)</f>
        <v>1.8861399648127536E-3</v>
      </c>
      <c r="T27" s="41">
        <f>_xll.qlDayCounterYearFraction("actual/365 (fixed)",SettlementDate,R27,,,Trigger)</f>
        <v>9.3150684931506855E-2</v>
      </c>
      <c r="U27" s="47">
        <f>_xll.qlPolynomialFunctionValue($P$18,T27,AllTriggers)</f>
        <v>1.7184407308346388E-3</v>
      </c>
      <c r="W27" s="48">
        <v>3</v>
      </c>
      <c r="X27" s="48" t="str">
        <f t="shared" si="5"/>
        <v>9M</v>
      </c>
      <c r="Y27" s="177">
        <f>_xll.qlCalendarAdvance(Calendar,SettlementDate,W27&amp;"M","mf",TRUE,Trigger)</f>
        <v>42373</v>
      </c>
      <c r="Z27" s="177">
        <f>_xll.qlCalendarAdvance(Calendar,SettlementDate,X27,"mf",TRUE,Trigger)</f>
        <v>42555</v>
      </c>
      <c r="AA27" s="47">
        <f>_xll.qlTenorBasisTenorForwardRate(TenorBasis6M,Y27,AllTriggers)</f>
        <v>2.1528711660001912E-4</v>
      </c>
    </row>
    <row r="28" spans="1:27" ht="11.25" customHeight="1" x14ac:dyDescent="0.2">
      <c r="R28" s="212">
        <f>_xll.qlCalendarAdvance(Calendar,R27,"1D","f")</f>
        <v>42314</v>
      </c>
      <c r="S28" s="47">
        <f>_xll.qlTenorBasisValue($P$3,R28,AllTriggers)</f>
        <v>1.8877958788156225E-3</v>
      </c>
      <c r="T28" s="41">
        <f>_xll.qlDayCounterYearFraction("actual/365 (fixed)",SettlementDate,R28,,,Trigger)</f>
        <v>9.5890410958904104E-2</v>
      </c>
      <c r="U28" s="47">
        <f>_xll.qlPolynomialFunctionValue($P$18,T28,AllTriggers)</f>
        <v>1.7205260916812104E-3</v>
      </c>
      <c r="W28" s="48">
        <v>4</v>
      </c>
      <c r="X28" s="48" t="str">
        <f t="shared" si="5"/>
        <v>10M</v>
      </c>
      <c r="Y28" s="177">
        <f>_xll.qlCalendarAdvance(Calendar,SettlementDate,W28&amp;"M","mf",TRUE,Trigger)</f>
        <v>42402</v>
      </c>
      <c r="Z28" s="177">
        <f>_xll.qlCalendarAdvance(Calendar,SettlementDate,X28,"mf",TRUE,Trigger)</f>
        <v>42584</v>
      </c>
      <c r="AA28" s="47">
        <f>_xll.qlTenorBasisTenorForwardRate(TenorBasis6M,Y28,AllTriggers)</f>
        <v>2.1029186223295543E-4</v>
      </c>
    </row>
    <row r="29" spans="1:27" ht="11.25" customHeight="1" x14ac:dyDescent="0.2">
      <c r="R29" s="212">
        <f>_xll.qlCalendarAdvance(Calendar,R28,"1D","f")</f>
        <v>42317</v>
      </c>
      <c r="S29" s="47">
        <f>_xll.qlTenorBasisValue($P$3,R29,AllTriggers)</f>
        <v>1.8927387792002622E-3</v>
      </c>
      <c r="T29" s="41">
        <f>_xll.qlDayCounterYearFraction("actual/365 (fixed)",SettlementDate,R29,,,Trigger)</f>
        <v>0.10410958904109589</v>
      </c>
      <c r="U29" s="47">
        <f>_xll.qlPolynomialFunctionValue($P$18,T29,AllTriggers)</f>
        <v>1.7267497183615468E-3</v>
      </c>
      <c r="W29" s="48">
        <v>5</v>
      </c>
      <c r="X29" s="48" t="str">
        <f t="shared" si="5"/>
        <v>11M</v>
      </c>
      <c r="Y29" s="177">
        <f>_xll.qlCalendarAdvance(Calendar,SettlementDate,W29&amp;"M","mf",TRUE,Trigger)</f>
        <v>42431</v>
      </c>
      <c r="Z29" s="177">
        <f>_xll.qlCalendarAdvance(Calendar,SettlementDate,X29,"mf",TRUE,Trigger)</f>
        <v>42615</v>
      </c>
      <c r="AA29" s="47">
        <f>_xll.qlTenorBasisTenorForwardRate(TenorBasis6M,Y29,AllTriggers)</f>
        <v>2.0173607310651183E-4</v>
      </c>
    </row>
    <row r="30" spans="1:27" ht="11.25" customHeight="1" x14ac:dyDescent="0.2">
      <c r="R30" s="212">
        <f>_xll.qlCalendarAdvance(Calendar,R29,"1D","f")</f>
        <v>42318</v>
      </c>
      <c r="S30" s="47">
        <f>_xll.qlTenorBasisValue($P$3,R30,AllTriggers)</f>
        <v>1.8943781772251761E-3</v>
      </c>
      <c r="T30" s="41">
        <f>_xll.qlDayCounterYearFraction("actual/365 (fixed)",SettlementDate,R30,,,Trigger)</f>
        <v>0.10684931506849316</v>
      </c>
      <c r="U30" s="47">
        <f>_xll.qlPolynomialFunctionValue($P$18,T30,AllTriggers)</f>
        <v>1.7288134870732227E-3</v>
      </c>
      <c r="W30" s="162">
        <v>6</v>
      </c>
      <c r="X30" s="162" t="str">
        <f t="shared" si="5"/>
        <v>12M</v>
      </c>
      <c r="Y30" s="185">
        <f>_xll.qlCalendarAdvance(Calendar,SettlementDate,W30&amp;"M","mf",TRUE,Trigger)</f>
        <v>42464</v>
      </c>
      <c r="Z30" s="185">
        <f>_xll.qlCalendarAdvance(Calendar,SettlementDate,X30,"mf",TRUE,Trigger)</f>
        <v>42646</v>
      </c>
      <c r="AA30" s="159">
        <f>_xll.qlTenorBasisTenorForwardRate(TenorBasis6M,Y30,AllTriggers)</f>
        <v>1.9492825318995666E-4</v>
      </c>
    </row>
    <row r="31" spans="1:27" ht="11.25" customHeight="1" x14ac:dyDescent="0.2">
      <c r="R31" s="212">
        <f>_xll.qlCalendarAdvance(Calendar,R30,"1D","f")</f>
        <v>42319</v>
      </c>
      <c r="S31" s="47">
        <f>_xll.qlTenorBasisValue($P$3,R31,AllTriggers)</f>
        <v>1.8960134800841185E-3</v>
      </c>
      <c r="T31" s="41">
        <f>_xll.qlDayCounterYearFraction("actual/365 (fixed)",SettlementDate,R31,,,Trigger)</f>
        <v>0.1095890410958904</v>
      </c>
      <c r="U31" s="47">
        <f>_xll.qlPolynomialFunctionValue($P$18,T31,AllTriggers)</f>
        <v>1.7308718915796919E-3</v>
      </c>
    </row>
    <row r="32" spans="1:27" ht="11.25" customHeight="1" x14ac:dyDescent="0.2">
      <c r="R32" s="212">
        <f>_xll.qlCalendarAdvance(Calendar,R31,"1D","f")</f>
        <v>42320</v>
      </c>
      <c r="S32" s="47">
        <f>_xll.qlTenorBasisValue($P$3,R32,AllTriggers)</f>
        <v>1.8976447013084963E-3</v>
      </c>
      <c r="T32" s="41">
        <f>_xll.qlDayCounterYearFraction("actual/365 (fixed)",SettlementDate,R32,,,Trigger)</f>
        <v>0.11232876712328767</v>
      </c>
      <c r="U32" s="47">
        <f>_xll.qlPolynomialFunctionValue($P$18,T32,AllTriggers)</f>
        <v>1.7329249454123613E-3</v>
      </c>
    </row>
    <row r="33" spans="7:21" ht="11.25" customHeight="1" x14ac:dyDescent="0.2">
      <c r="R33" s="212">
        <f>_xll.qlCalendarAdvance(Calendar,R32,"1D","f")</f>
        <v>42321</v>
      </c>
      <c r="S33" s="47">
        <f>_xll.qlTenorBasisValue($P$3,R33,AllTriggers)</f>
        <v>1.8992718544297166E-3</v>
      </c>
      <c r="T33" s="41">
        <f>_xll.qlDayCounterYearFraction("actual/365 (fixed)",SettlementDate,R33,,,Trigger)</f>
        <v>0.11506849315068493</v>
      </c>
      <c r="U33" s="47">
        <f>_xll.qlPolynomialFunctionValue($P$18,T33,AllTriggers)</f>
        <v>1.7349726621026379E-3</v>
      </c>
    </row>
    <row r="34" spans="7:21" ht="11.25" customHeight="1" x14ac:dyDescent="0.2">
      <c r="R34" s="212">
        <f>_xll.qlCalendarAdvance(Calendar,R33,"1D","f")</f>
        <v>42324</v>
      </c>
      <c r="S34" s="47">
        <f>_xll.qlTenorBasisValue($P$3,R34,AllTriggers)</f>
        <v>1.9041290404884989E-3</v>
      </c>
      <c r="T34" s="41">
        <f>_xll.qlDayCounterYearFraction("actual/365 (fixed)",SettlementDate,R34,,,Trigger)</f>
        <v>0.12328767123287671</v>
      </c>
      <c r="U34" s="47">
        <f>_xll.qlPolynomialFunctionValue($P$18,T34,AllTriggers)</f>
        <v>1.7410839246331784E-3</v>
      </c>
    </row>
    <row r="35" spans="7:21" ht="11.25" customHeight="1" x14ac:dyDescent="0.2">
      <c r="R35" s="212">
        <f>_xll.qlCalendarAdvance(Calendar,R34,"1D","f")</f>
        <v>42325</v>
      </c>
      <c r="S35" s="47">
        <f>_xll.qlTenorBasisValue($P$3,R35,AllTriggers)</f>
        <v>1.9057400565111568E-3</v>
      </c>
      <c r="T35" s="41">
        <f>_xll.qlDayCounterYearFraction("actual/365 (fixed)",SettlementDate,R35,,,Trigger)</f>
        <v>0.12602739726027398</v>
      </c>
      <c r="U35" s="47">
        <f>_xll.qlPolynomialFunctionValue($P$18,T35,AllTriggers)</f>
        <v>1.7431104280679522E-3</v>
      </c>
    </row>
    <row r="36" spans="7:21" ht="11.25" customHeight="1" x14ac:dyDescent="0.2">
      <c r="R36" s="212">
        <f>_xll.qlCalendarAdvance(Calendar,R35,"1D","f")</f>
        <v>42326</v>
      </c>
      <c r="S36" s="47">
        <f>_xll.qlTenorBasisValue($P$3,R36,AllTriggers)</f>
        <v>1.9073470720876913E-3</v>
      </c>
      <c r="T36" s="41">
        <f>_xll.qlDayCounterYearFraction("actual/365 (fixed)",SettlementDate,R36,,,Trigger)</f>
        <v>0.12876712328767123</v>
      </c>
      <c r="U36" s="47">
        <f>_xll.qlPolynomialFunctionValue($P$18,T36,AllTriggers)</f>
        <v>1.7451316620173672E-3</v>
      </c>
    </row>
    <row r="37" spans="7:21" ht="11.25" customHeight="1" x14ac:dyDescent="0.2">
      <c r="R37" s="212">
        <f>_xll.qlCalendarAdvance(Calendar,R36,"1D","f")</f>
        <v>42327</v>
      </c>
      <c r="S37" s="47">
        <f>_xll.qlTenorBasisValue($P$3,R37,AllTriggers)</f>
        <v>1.9089501007495094E-3</v>
      </c>
      <c r="T37" s="41">
        <f>_xll.qlDayCounterYearFraction("actual/365 (fixed)",SettlementDate,R37,,,Trigger)</f>
        <v>0.13150684931506848</v>
      </c>
      <c r="U37" s="47">
        <f>_xll.qlPolynomialFunctionValue($P$18,T37,AllTriggers)</f>
        <v>1.7471476400128306E-3</v>
      </c>
    </row>
    <row r="38" spans="7:21" ht="11.25" customHeight="1" x14ac:dyDescent="0.2">
      <c r="R38" s="212">
        <f>_xll.qlCalendarAdvance(Calendar,R37,"1D","f")</f>
        <v>42328</v>
      </c>
      <c r="S38" s="47">
        <f>_xll.qlTenorBasisValue($P$3,R38,AllTriggers)</f>
        <v>1.9105491560280179E-3</v>
      </c>
      <c r="T38" s="41">
        <f>_xll.qlDayCounterYearFraction("actual/365 (fixed)",SettlementDate,R38,,,Trigger)</f>
        <v>0.13424657534246576</v>
      </c>
      <c r="U38" s="47">
        <f>_xll.qlPolynomialFunctionValue($P$18,T38,AllTriggers)</f>
        <v>1.7491583755857494E-3</v>
      </c>
    </row>
    <row r="39" spans="7:21" ht="11.25" customHeight="1" x14ac:dyDescent="0.2">
      <c r="R39" s="212">
        <f>_xll.qlCalendarAdvance(Calendar,R38,"1D","f")</f>
        <v>42331</v>
      </c>
      <c r="S39" s="47">
        <f>_xll.qlTenorBasisValue($P$3,R39,AllTriggers)</f>
        <v>1.9153226168777541E-3</v>
      </c>
      <c r="T39" s="41">
        <f>_xll.qlDayCounterYearFraction("actual/365 (fixed)",SettlementDate,R39,,,Trigger)</f>
        <v>0.14246575342465753</v>
      </c>
      <c r="U39" s="47">
        <f>_xll.qlPolynomialFunctionValue($P$18,T39,AllTriggers)</f>
        <v>1.7551592630833052E-3</v>
      </c>
    </row>
    <row r="40" spans="7:21" ht="11.25" customHeight="1" x14ac:dyDescent="0.2">
      <c r="R40" s="212">
        <f>_xll.qlCalendarAdvance(Calendar,R39,"1D","f")</f>
        <v>42332</v>
      </c>
      <c r="S40" s="47">
        <f>_xll.qlTenorBasisValue($P$3,R40,AllTriggers)</f>
        <v>1.9169059139370927E-3</v>
      </c>
      <c r="T40" s="41">
        <f>_xll.qlDayCounterYearFraction("actual/365 (fixed)",SettlementDate,R40,,,Trigger)</f>
        <v>0.14520547945205478</v>
      </c>
      <c r="U40" s="47">
        <f>_xll.qlPolynomialFunctionValue($P$18,T40,AllTriggers)</f>
        <v>1.7571491642801133E-3</v>
      </c>
    </row>
    <row r="41" spans="7:21" ht="11.25" customHeight="1" x14ac:dyDescent="0.2">
      <c r="R41" s="212">
        <f>_xll.qlCalendarAdvance(Calendar,R40,"1D","f")</f>
        <v>42333</v>
      </c>
      <c r="S41" s="47">
        <f>_xll.qlTenorBasisValue($P$3,R41,AllTriggers)</f>
        <v>1.9184853052701563E-3</v>
      </c>
      <c r="T41" s="41">
        <f>_xll.qlDayCounterYearFraction("actual/365 (fixed)",SettlementDate,R41,,,Trigger)</f>
        <v>0.14794520547945206</v>
      </c>
      <c r="U41" s="47">
        <f>_xll.qlPolynomialFunctionValue($P$18,T41,AllTriggers)</f>
        <v>1.7591338907114113E-3</v>
      </c>
    </row>
    <row r="42" spans="7:21" ht="11.25" customHeight="1" x14ac:dyDescent="0.2">
      <c r="R42" s="212">
        <f>_xll.qlCalendarAdvance(Calendar,R41,"1D","f")</f>
        <v>42334</v>
      </c>
      <c r="S42" s="47">
        <f>_xll.qlTenorBasisValue($P$3,R42,AllTriggers)</f>
        <v>1.9200608044083513E-3</v>
      </c>
      <c r="T42" s="41">
        <f>_xll.qlDayCounterYearFraction("actual/365 (fixed)",SettlementDate,R42,,,Trigger)</f>
        <v>0.15068493150684931</v>
      </c>
      <c r="U42" s="47">
        <f>_xll.qlPolynomialFunctionValue($P$18,T42,AllTriggers)</f>
        <v>1.7611134559086057E-3</v>
      </c>
    </row>
    <row r="43" spans="7:21" ht="11.25" customHeight="1" x14ac:dyDescent="0.2">
      <c r="G43" s="60"/>
      <c r="H43" s="60"/>
      <c r="I43" s="35"/>
      <c r="J43" s="35"/>
      <c r="K43" s="35"/>
      <c r="R43" s="212">
        <f>_xll.qlCalendarAdvance(Calendar,R42,"1D","f")</f>
        <v>42335</v>
      </c>
      <c r="S43" s="47">
        <f>_xll.qlTenorBasisValue($P$3,R43,AllTriggers)</f>
        <v>1.9216324248830848E-3</v>
      </c>
      <c r="T43" s="41">
        <f>_xll.qlDayCounterYearFraction("actual/365 (fixed)",SettlementDate,R43,,,Trigger)</f>
        <v>0.15342465753424658</v>
      </c>
      <c r="U43" s="47">
        <f>_xll.qlPolynomialFunctionValue($P$18,T43,AllTriggers)</f>
        <v>1.7630878734031033E-3</v>
      </c>
    </row>
    <row r="44" spans="7:21" ht="11.25" customHeight="1" x14ac:dyDescent="0.2">
      <c r="G44" s="60"/>
      <c r="H44" s="60"/>
      <c r="I44" s="35"/>
      <c r="J44" s="35"/>
      <c r="K44" s="35"/>
      <c r="R44" s="212">
        <f>_xll.qlCalendarAdvance(Calendar,R43,"1D","f")</f>
        <v>42338</v>
      </c>
      <c r="S44" s="47">
        <f>_xll.qlTenorBasisValue($P$3,R44,AllTriggers)</f>
        <v>1.9263241496405856E-3</v>
      </c>
      <c r="T44" s="41">
        <f>_xll.qlDayCounterYearFraction("actual/365 (fixed)",SettlementDate,R44,,,Trigger)</f>
        <v>0.16164383561643836</v>
      </c>
      <c r="U44" s="47">
        <f>_xll.qlPolynomialFunctionValue($P$18,T44,AllTriggers)</f>
        <v>1.7689803749844852E-3</v>
      </c>
    </row>
    <row r="45" spans="7:21" ht="11.25" customHeight="1" x14ac:dyDescent="0.2">
      <c r="G45" s="60"/>
      <c r="H45" s="60"/>
      <c r="I45" s="35"/>
      <c r="J45" s="35"/>
      <c r="K45" s="35"/>
      <c r="R45" s="212">
        <f>_xll.qlCalendarAdvance(Calendar,R44,"1D","f")</f>
        <v>42339</v>
      </c>
      <c r="S45" s="47">
        <f>_xll.qlTenorBasisValue($P$3,R45,AllTriggers)</f>
        <v>1.927880390775542E-3</v>
      </c>
      <c r="T45" s="41">
        <f>_xll.qlDayCounterYearFraction("actual/365 (fixed)",SettlementDate,R45,,,Trigger)</f>
        <v>0.16438356164383561</v>
      </c>
      <c r="U45" s="47">
        <f>_xll.qlPolynomialFunctionValue($P$18,T45,AllTriggers)</f>
        <v>1.7709343369822648E-3</v>
      </c>
    </row>
    <row r="46" spans="7:21" ht="11.25" customHeight="1" x14ac:dyDescent="0.2">
      <c r="G46" s="60"/>
      <c r="H46" s="60"/>
      <c r="I46" s="35"/>
      <c r="J46" s="35"/>
      <c r="K46" s="35"/>
      <c r="R46" s="212">
        <f>_xll.qlCalendarAdvance(Calendar,R45,"1D","f")</f>
        <v>42340</v>
      </c>
      <c r="S46" s="47">
        <f>_xll.qlTenorBasisValue($P$3,R46,AllTriggers)</f>
        <v>1.9294328209040715E-3</v>
      </c>
      <c r="T46" s="41">
        <f>_xll.qlDayCounterYearFraction("actual/365 (fixed)",SettlementDate,R46,,,Trigger)</f>
        <v>0.16712328767123288</v>
      </c>
      <c r="U46" s="47">
        <f>_xll.qlPolynomialFunctionValue($P$18,T46,AllTriggers)</f>
        <v>1.7728832189343826E-3</v>
      </c>
    </row>
    <row r="47" spans="7:21" ht="11.25" customHeight="1" x14ac:dyDescent="0.2">
      <c r="G47" s="60"/>
      <c r="H47" s="60"/>
      <c r="I47" s="35"/>
      <c r="J47" s="35"/>
      <c r="K47" s="35"/>
      <c r="R47" s="212">
        <f>_xll.qlCalendarAdvance(Calendar,R46,"1D","f")</f>
        <v>42341</v>
      </c>
      <c r="S47" s="47">
        <f>_xll.qlTenorBasisValue($P$3,R47,AllTriggers)</f>
        <v>1.9309814535575806E-3</v>
      </c>
      <c r="T47" s="41">
        <f>_xll.qlDayCounterYearFraction("actual/365 (fixed)",SettlementDate,R47,,,Trigger)</f>
        <v>0.16986301369863013</v>
      </c>
      <c r="U47" s="47">
        <f>_xll.qlPolynomialFunctionValue($P$18,T47,AllTriggers)</f>
        <v>1.7748270343722449E-3</v>
      </c>
    </row>
    <row r="48" spans="7:21" ht="11.25" customHeight="1" x14ac:dyDescent="0.2">
      <c r="G48" s="60"/>
      <c r="H48" s="60"/>
      <c r="I48" s="35"/>
      <c r="J48" s="35"/>
      <c r="K48" s="35"/>
      <c r="R48" s="212">
        <f>_xll.qlCalendarAdvance(Calendar,R47,"1D","f")</f>
        <v>42342</v>
      </c>
      <c r="S48" s="47">
        <f>_xll.qlTenorBasisValue($P$3,R48,AllTriggers)</f>
        <v>1.9325263022674762E-3</v>
      </c>
      <c r="T48" s="41">
        <f>_xll.qlDayCounterYearFraction("actual/365 (fixed)",SettlementDate,R48,,,Trigger)</f>
        <v>0.17260273972602741</v>
      </c>
      <c r="U48" s="47">
        <f>_xll.qlPolynomialFunctionValue($P$18,T48,AllTriggers)</f>
        <v>1.7767657968272585E-3</v>
      </c>
    </row>
    <row r="49" spans="7:21" ht="11.25" customHeight="1" x14ac:dyDescent="0.2">
      <c r="G49" s="60"/>
      <c r="H49" s="60"/>
      <c r="I49" s="35"/>
      <c r="J49" s="35"/>
      <c r="K49" s="35"/>
      <c r="R49" s="212">
        <f>_xll.qlCalendarAdvance(Calendar,R48,"1D","f")</f>
        <v>42345</v>
      </c>
      <c r="S49" s="47">
        <f>_xll.qlTenorBasisValue($P$3,R49,AllTriggers)</f>
        <v>1.9371382800495523E-3</v>
      </c>
      <c r="T49" s="41">
        <f>_xll.qlDayCounterYearFraction("actual/365 (fixed)",SettlementDate,R49,,,Trigger)</f>
        <v>0.18082191780821918</v>
      </c>
      <c r="U49" s="47">
        <f>_xll.qlPolynomialFunctionValue($P$18,T49,AllTriggers)</f>
        <v>1.7825519016092771E-3</v>
      </c>
    </row>
    <row r="50" spans="7:21" ht="11.25" customHeight="1" x14ac:dyDescent="0.2">
      <c r="G50" s="60"/>
      <c r="H50" s="60"/>
      <c r="I50" s="35"/>
      <c r="J50" s="35"/>
      <c r="K50" s="35"/>
      <c r="R50" s="212">
        <f>_xll.qlCalendarAdvance(Calendar,R49,"1D","f")</f>
        <v>42346</v>
      </c>
      <c r="S50" s="47">
        <f>_xll.qlTenorBasisValue($P$3,R50,AllTriggers)</f>
        <v>1.9386681282990636E-3</v>
      </c>
      <c r="T50" s="41">
        <f>_xll.qlDayCounterYearFraction("actual/365 (fixed)",SettlementDate,R50,,,Trigger)</f>
        <v>0.18356164383561643</v>
      </c>
      <c r="U50" s="47">
        <f>_xll.qlPolynomialFunctionValue($P$18,T50,AllTriggers)</f>
        <v>1.7844705874469654E-3</v>
      </c>
    </row>
    <row r="51" spans="7:21" ht="11.25" customHeight="1" x14ac:dyDescent="0.2">
      <c r="G51" s="60"/>
      <c r="H51" s="60"/>
      <c r="I51" s="35"/>
      <c r="J51" s="35"/>
      <c r="K51" s="35"/>
      <c r="R51" s="212">
        <f>_xll.qlCalendarAdvance(Calendar,R50,"1D","f")</f>
        <v>42347</v>
      </c>
      <c r="S51" s="47">
        <f>_xll.qlTenorBasisValue($P$3,R51,AllTriggers)</f>
        <v>1.9401942602619957E-3</v>
      </c>
      <c r="T51" s="41">
        <f>_xll.qlDayCounterYearFraction("actual/365 (fixed)",SettlementDate,R51,,,Trigger)</f>
        <v>0.18630136986301371</v>
      </c>
      <c r="U51" s="47">
        <f>_xll.qlPolynomialFunctionValue($P$18,T51,AllTriggers)</f>
        <v>1.7863842879588397E-3</v>
      </c>
    </row>
    <row r="52" spans="7:21" ht="11.25" customHeight="1" x14ac:dyDescent="0.2">
      <c r="G52" s="60"/>
      <c r="H52" s="60"/>
      <c r="I52" s="35"/>
      <c r="J52" s="35"/>
      <c r="K52" s="35"/>
      <c r="R52" s="212">
        <f>_xll.qlCalendarAdvance(Calendar,R51,"1D","f")</f>
        <v>42348</v>
      </c>
      <c r="S52" s="47">
        <f>_xll.qlTenorBasisValue($P$3,R52,AllTriggers)</f>
        <v>1.9417166894697558E-3</v>
      </c>
      <c r="T52" s="41">
        <f>_xll.qlDayCounterYearFraction("actual/365 (fixed)",SettlementDate,R52,,,Trigger)</f>
        <v>0.18904109589041096</v>
      </c>
      <c r="U52" s="47">
        <f>_xll.qlPolynomialFunctionValue($P$18,T52,AllTriggers)</f>
        <v>1.7882930166763066E-3</v>
      </c>
    </row>
    <row r="53" spans="7:21" ht="11.25" customHeight="1" x14ac:dyDescent="0.2">
      <c r="G53" s="60"/>
      <c r="H53" s="60"/>
      <c r="I53" s="35"/>
      <c r="J53" s="35"/>
      <c r="K53" s="35"/>
      <c r="R53" s="212">
        <f>_xll.qlCalendarAdvance(Calendar,R52,"1D","f")</f>
        <v>42349</v>
      </c>
      <c r="S53" s="47">
        <f>_xll.qlTenorBasisValue($P$3,R53,AllTriggers)</f>
        <v>1.9432354294537507E-3</v>
      </c>
      <c r="T53" s="41">
        <f>_xll.qlDayCounterYearFraction("actual/365 (fixed)",SettlementDate,R53,,,Trigger)</f>
        <v>0.19178082191780821</v>
      </c>
      <c r="U53" s="47">
        <f>_xll.qlPolynomialFunctionValue($P$18,T53,AllTriggers)</f>
        <v>1.7901967871307733E-3</v>
      </c>
    </row>
    <row r="54" spans="7:21" x14ac:dyDescent="0.2">
      <c r="R54" s="212">
        <f>_xll.qlCalendarAdvance(Calendar,R53,"1D","f")</f>
        <v>42352</v>
      </c>
      <c r="S54" s="47">
        <f>_xll.qlTenorBasisValue($P$3,R54,AllTriggers)</f>
        <v>1.9477696493772126E-3</v>
      </c>
      <c r="T54" s="41">
        <f>_xll.qlDayCounterYearFraction("actual/365 (fixed)",SettlementDate,R54,,,Trigger)</f>
        <v>0.2</v>
      </c>
      <c r="U54" s="47">
        <f>_xll.qlPolynomialFunctionValue($P$18,T54,AllTriggers)</f>
        <v>1.7958784842302396E-3</v>
      </c>
    </row>
    <row r="55" spans="7:21" x14ac:dyDescent="0.2">
      <c r="R55" s="212">
        <f>_xll.qlCalendarAdvance(Calendar,R54,"1D","f")</f>
        <v>42353</v>
      </c>
      <c r="S55" s="47">
        <f>_xll.qlTenorBasisValue($P$3,R55,AllTriggers)</f>
        <v>1.9492737677802153E-3</v>
      </c>
      <c r="T55" s="41">
        <f>_xll.qlDayCounterYearFraction("actual/365 (fixed)",SettlementDate,R55,,,Trigger)</f>
        <v>0.20273972602739726</v>
      </c>
      <c r="U55" s="47">
        <f>_xll.qlPolynomialFunctionValue($P$18,T55,AllTriggers)</f>
        <v>1.7977625569467735E-3</v>
      </c>
    </row>
    <row r="56" spans="7:21" x14ac:dyDescent="0.2">
      <c r="R56" s="212">
        <f>_xll.qlCalendarAdvance(Calendar,R55,"1D","f")</f>
        <v>42354</v>
      </c>
      <c r="S56" s="47">
        <f>_xll.qlTenorBasisValue($P$3,R56,AllTriggers)</f>
        <v>1.9507742646164877E-3</v>
      </c>
      <c r="T56" s="41">
        <f>_xll.qlDayCounterYearFraction("actual/365 (fixed)",SettlementDate,R56,,,Trigger)</f>
        <v>0.20547945205479451</v>
      </c>
      <c r="U56" s="47">
        <f>_xll.qlPolynomialFunctionValue($P$18,T56,AllTriggers)</f>
        <v>1.7996417390573412E-3</v>
      </c>
    </row>
    <row r="57" spans="7:21" x14ac:dyDescent="0.2">
      <c r="R57" s="212">
        <f>_xll.qlCalendarAdvance(Calendar,R56,"1D","f")</f>
        <v>42355</v>
      </c>
      <c r="S57" s="47">
        <f>_xll.qlTenorBasisValue($P$3,R57,AllTriggers)</f>
        <v>1.9522711534174357E-3</v>
      </c>
      <c r="T57" s="41">
        <f>_xll.qlDayCounterYearFraction("actual/365 (fixed)",SettlementDate,R57,,,Trigger)</f>
        <v>0.20821917808219179</v>
      </c>
      <c r="U57" s="47">
        <f>_xll.qlPolynomialFunctionValue($P$18,T57,AllTriggers)</f>
        <v>1.8015160440933498E-3</v>
      </c>
    </row>
    <row r="58" spans="7:21" x14ac:dyDescent="0.2">
      <c r="R58" s="212">
        <f>_xll.qlCalendarAdvance(Calendar,R57,"1D","f")</f>
        <v>42356</v>
      </c>
      <c r="S58" s="47">
        <f>_xll.qlTenorBasisValue($P$3,R58,AllTriggers)</f>
        <v>1.9537644477144664E-3</v>
      </c>
      <c r="T58" s="41">
        <f>_xll.qlDayCounterYearFraction("actual/365 (fixed)",SettlementDate,R58,,,Trigger)</f>
        <v>0.21095890410958903</v>
      </c>
      <c r="U58" s="47">
        <f>_xll.qlPolynomialFunctionValue($P$18,T58,AllTriggers)</f>
        <v>1.8033854855862062E-3</v>
      </c>
    </row>
    <row r="59" spans="7:21" x14ac:dyDescent="0.2">
      <c r="R59" s="212">
        <f>_xll.qlCalendarAdvance(Calendar,R58,"1D","f")</f>
        <v>42359</v>
      </c>
      <c r="S59" s="47">
        <f>_xll.qlTenorBasisValue($P$3,R59,AllTriggers)</f>
        <v>1.9582228988961259E-3</v>
      </c>
      <c r="T59" s="41">
        <f>_xll.qlDayCounterYearFraction("actual/365 (fixed)",SettlementDate,R59,,,Trigger)</f>
        <v>0.21917808219178081</v>
      </c>
      <c r="U59" s="47">
        <f>_xll.qlPolynomialFunctionValue($P$18,T59,AllTriggers)</f>
        <v>1.8089647641199311E-3</v>
      </c>
    </row>
    <row r="60" spans="7:21" x14ac:dyDescent="0.2">
      <c r="R60" s="212">
        <f>_xll.qlCalendarAdvance(Calendar,R59,"1D","f")</f>
        <v>42360</v>
      </c>
      <c r="S60" s="47">
        <f>_xll.qlTenorBasisValue($P$3,R60,AllTriggers)</f>
        <v>1.9597019504915569E-3</v>
      </c>
      <c r="T60" s="41">
        <f>_xll.qlDayCounterYearFraction("actual/365 (fixed)",SettlementDate,R60,,,Trigger)</f>
        <v>0.22191780821917809</v>
      </c>
      <c r="U60" s="47">
        <f>_xll.qlPolynomialFunctionValue($P$18,T60,AllTriggers)</f>
        <v>1.8108148867542473E-3</v>
      </c>
    </row>
    <row r="61" spans="7:21" x14ac:dyDescent="0.2">
      <c r="R61" s="212">
        <f>_xll.qlCalendarAdvance(Calendar,R60,"1D","f")</f>
        <v>42361</v>
      </c>
      <c r="S61" s="47">
        <f>_xll.qlTenorBasisValue($P$3,R61,AllTriggers)</f>
        <v>1.9611774752401057E-3</v>
      </c>
      <c r="T61" s="41">
        <f>_xll.qlDayCounterYearFraction("actual/365 (fixed)",SettlementDate,R61,,,Trigger)</f>
        <v>0.22465753424657534</v>
      </c>
      <c r="U61" s="47">
        <f>_xll.qlPolynomialFunctionValue($P$18,T61,AllTriggers)</f>
        <v>1.8126602135024453E-3</v>
      </c>
    </row>
    <row r="62" spans="7:21" x14ac:dyDescent="0.2">
      <c r="R62" s="212">
        <f>_xll.qlCalendarAdvance(Calendar,R61,"1D","f")</f>
        <v>42362</v>
      </c>
      <c r="S62" s="47">
        <f>_xll.qlTenorBasisValue($P$3,R62,AllTriggers)</f>
        <v>1.9626494866731782E-3</v>
      </c>
      <c r="T62" s="41">
        <f>_xll.qlDayCounterYearFraction("actual/365 (fixed)",SettlementDate,R62,,,Trigger)</f>
        <v>0.22739726027397261</v>
      </c>
      <c r="U62" s="47">
        <f>_xll.qlPolynomialFunctionValue($P$18,T62,AllTriggers)</f>
        <v>1.8145007578959328E-3</v>
      </c>
    </row>
    <row r="63" spans="7:21" x14ac:dyDescent="0.2">
      <c r="R63" s="212">
        <f>_xll.qlCalendarAdvance(Calendar,R62,"1D","f")</f>
        <v>42366</v>
      </c>
      <c r="S63" s="47">
        <f>_xll.qlTenorBasisValue($P$3,R63,AllTriggers)</f>
        <v>1.968502669878849E-3</v>
      </c>
      <c r="T63" s="41">
        <f>_xll.qlDayCounterYearFraction("actual/365 (fixed)",SettlementDate,R63,,,Trigger)</f>
        <v>0.23835616438356164</v>
      </c>
      <c r="U63" s="47">
        <f>_xll.qlPolynomialFunctionValue($P$18,T63,AllTriggers)</f>
        <v>1.8218153825509101E-3</v>
      </c>
    </row>
    <row r="64" spans="7:21" x14ac:dyDescent="0.2">
      <c r="R64" s="212">
        <f>_xll.qlCalendarAdvance(Calendar,R63,"1D","f")</f>
        <v>42367</v>
      </c>
      <c r="S64" s="47">
        <f>_xll.qlTenorBasisValue($P$3,R64,AllTriggers)</f>
        <v>1.9699573177056461E-3</v>
      </c>
      <c r="T64" s="41">
        <f>_xll.qlDayCounterYearFraction("actual/365 (fixed)",SettlementDate,R64,,,Trigger)</f>
        <v>0.24109589041095891</v>
      </c>
      <c r="U64" s="47">
        <f>_xll.qlPolynomialFunctionValue($P$18,T64,AllTriggers)</f>
        <v>1.8236322181419454E-3</v>
      </c>
    </row>
    <row r="65" spans="18:21" x14ac:dyDescent="0.2">
      <c r="R65" s="212">
        <f>_xll.qlCalendarAdvance(Calendar,R64,"1D","f")</f>
        <v>42368</v>
      </c>
      <c r="S65" s="47">
        <f>_xll.qlTenorBasisValue($P$3,R65,AllTriggers)</f>
        <v>1.9714085334054088E-3</v>
      </c>
      <c r="T65" s="41">
        <f>_xll.qlDayCounterYearFraction("actual/365 (fixed)",SettlementDate,R65,,,Trigger)</f>
        <v>0.24383561643835616</v>
      </c>
      <c r="U65" s="47">
        <f>_xll.qlPolynomialFunctionValue($P$18,T65,AllTriggers)</f>
        <v>1.8254443525667111E-3</v>
      </c>
    </row>
    <row r="66" spans="18:21" x14ac:dyDescent="0.2">
      <c r="R66" s="212">
        <f>_xll.qlCalendarAdvance(Calendar,R65,"1D","f")</f>
        <v>42369</v>
      </c>
      <c r="S66" s="47">
        <f>_xll.qlTenorBasisValue($P$3,R66,AllTriggers)</f>
        <v>1.9728563305095432E-3</v>
      </c>
      <c r="T66" s="41">
        <f>_xll.qlDayCounterYearFraction("actual/365 (fixed)",SettlementDate,R66,,,Trigger)</f>
        <v>0.24657534246575341</v>
      </c>
      <c r="U66" s="47">
        <f>_xll.qlPolynomialFunctionValue($P$18,T66,AllTriggers)</f>
        <v>1.8272517993566141E-3</v>
      </c>
    </row>
    <row r="67" spans="18:21" x14ac:dyDescent="0.2">
      <c r="R67" s="212">
        <f>_xll.qlCalendarAdvance(Calendar,R66,"1D","f")</f>
        <v>42373</v>
      </c>
      <c r="S67" s="47">
        <f>_xll.qlTenorBasisValue($P$3,R67,AllTriggers)</f>
        <v>1.9786136035979426E-3</v>
      </c>
      <c r="T67" s="41">
        <f>_xll.qlDayCounterYearFraction("actual/365 (fixed)",SettlementDate,R67,,,Trigger)</f>
        <v>0.25753424657534246</v>
      </c>
      <c r="U67" s="47">
        <f>_xll.qlPolynomialFunctionValue($P$18,T67,AllTriggers)</f>
        <v>1.8344349807957352E-3</v>
      </c>
    </row>
    <row r="68" spans="18:21" x14ac:dyDescent="0.2">
      <c r="R68" s="212">
        <f>_xll.qlCalendarAdvance(Calendar,R67,"1D","f")</f>
        <v>42374</v>
      </c>
      <c r="S68" s="47">
        <f>_xll.qlTenorBasisValue($P$3,R68,AllTriggers)</f>
        <v>1.9800445106950421E-3</v>
      </c>
      <c r="T68" s="41">
        <f>_xll.qlDayCounterYearFraction("actual/365 (fixed)",SettlementDate,R68,,,Trigger)</f>
        <v>0.26027397260273971</v>
      </c>
      <c r="U68" s="47">
        <f>_xll.qlPolynomialFunctionValue($P$18,T68,AllTriggers)</f>
        <v>1.8362191923824271E-3</v>
      </c>
    </row>
    <row r="69" spans="18:21" x14ac:dyDescent="0.2">
      <c r="R69" s="212">
        <f>_xll.qlCalendarAdvance(Calendar,R68,"1D","f")</f>
        <v>42375</v>
      </c>
      <c r="S69" s="47">
        <f>_xll.qlTenorBasisValue($P$3,R69,AllTriggers)</f>
        <v>1.9814720803849545E-3</v>
      </c>
      <c r="T69" s="41">
        <f>_xll.qlDayCounterYearFraction("actual/365 (fixed)",SettlementDate,R69,,,Trigger)</f>
        <v>0.26301369863013696</v>
      </c>
      <c r="U69" s="47">
        <f>_xll.qlPolynomialFunctionValue($P$18,T69,AllTriggers)</f>
        <v>1.8379987975226972E-3</v>
      </c>
    </row>
    <row r="70" spans="18:21" x14ac:dyDescent="0.2">
      <c r="R70" s="212">
        <f>_xll.qlCalendarAdvance(Calendar,R69,"1D","f")</f>
        <v>42376</v>
      </c>
      <c r="S70" s="47">
        <f>_xll.qlTenorBasisValue($P$3,R70,AllTriggers)</f>
        <v>1.9828963261990878E-3</v>
      </c>
      <c r="T70" s="41">
        <f>_xll.qlDayCounterYearFraction("actual/365 (fixed)",SettlementDate,R70,,,Trigger)</f>
        <v>0.26575342465753427</v>
      </c>
      <c r="U70" s="47">
        <f>_xll.qlPolynomialFunctionValue($P$18,T70,AllTriggers)</f>
        <v>1.8397738097479528E-3</v>
      </c>
    </row>
    <row r="71" spans="18:21" x14ac:dyDescent="0.2">
      <c r="R71" s="212">
        <f>_xll.qlCalendarAdvance(Calendar,R70,"1D","f")</f>
        <v>42377</v>
      </c>
      <c r="S71" s="47">
        <f>_xll.qlTenorBasisValue($P$3,R71,AllTriggers)</f>
        <v>1.9843172616688491E-3</v>
      </c>
      <c r="T71" s="41">
        <f>_xll.qlDayCounterYearFraction("actual/365 (fixed)",SettlementDate,R71,,,Trigger)</f>
        <v>0.26849315068493151</v>
      </c>
      <c r="U71" s="47">
        <f>_xll.qlPolynomialFunctionValue($P$18,T71,AllTriggers)</f>
        <v>1.8415442425896002E-3</v>
      </c>
    </row>
    <row r="72" spans="18:21" x14ac:dyDescent="0.2">
      <c r="R72" s="212">
        <f>_xll.qlCalendarAdvance(Calendar,R71,"1D","f")</f>
        <v>42380</v>
      </c>
      <c r="S72" s="47">
        <f>_xll.qlTenorBasisValue($P$3,R72,AllTriggers)</f>
        <v>1.9885603413259635E-3</v>
      </c>
      <c r="T72" s="41">
        <f>_xll.qlDayCounterYearFraction("actual/365 (fixed)",SettlementDate,R72,,,Trigger)</f>
        <v>0.27671232876712326</v>
      </c>
      <c r="U72" s="47">
        <f>_xll.qlPolynomialFunctionValue($P$18,T72,AllTriggers)</f>
        <v>1.8468282001269649E-3</v>
      </c>
    </row>
    <row r="73" spans="18:21" x14ac:dyDescent="0.2">
      <c r="R73" s="212">
        <f>_xll.qlCalendarAdvance(Calendar,R72,"1D","f")</f>
        <v>42381</v>
      </c>
      <c r="S73" s="47">
        <f>_xll.qlTenorBasisValue($P$3,R73,AllTriggers)</f>
        <v>1.9899681707323019E-3</v>
      </c>
      <c r="T73" s="41">
        <f>_xll.qlDayCounterYearFraction("actual/365 (fixed)",SettlementDate,R73,,,Trigger)</f>
        <v>0.27945205479452057</v>
      </c>
      <c r="U73" s="47">
        <f>_xll.qlPolynomialFunctionValue($P$18,T73,AllTriggers)</f>
        <v>1.8485804507482502E-3</v>
      </c>
    </row>
    <row r="74" spans="18:21" x14ac:dyDescent="0.2">
      <c r="R74" s="212">
        <f>_xll.qlCalendarAdvance(Calendar,R73,"1D","f")</f>
        <v>42382</v>
      </c>
      <c r="S74" s="47">
        <f>_xll.qlTenorBasisValue($P$3,R74,AllTriggers)</f>
        <v>1.9913727574513026E-3</v>
      </c>
      <c r="T74" s="41">
        <f>_xll.qlDayCounterYearFraction("actual/365 (fixed)",SettlementDate,R74,,,Trigger)</f>
        <v>0.28219178082191781</v>
      </c>
      <c r="U74" s="47">
        <f>_xll.qlPolynomialFunctionValue($P$18,T74,AllTriggers)</f>
        <v>1.8503281896429615E-3</v>
      </c>
    </row>
    <row r="75" spans="18:21" x14ac:dyDescent="0.2">
      <c r="R75" s="212">
        <f>_xll.qlCalendarAdvance(Calendar,R74,"1D","f")</f>
        <v>42383</v>
      </c>
      <c r="S75" s="47">
        <f>_xll.qlTenorBasisValue($P$3,R75,AllTriggers)</f>
        <v>1.9927741150143718E-3</v>
      </c>
      <c r="T75" s="41">
        <f>_xll.qlDayCounterYearFraction("actual/365 (fixed)",SettlementDate,R75,,,Trigger)</f>
        <v>0.28493150684931506</v>
      </c>
      <c r="U75" s="47">
        <f>_xll.qlPolynomialFunctionValue($P$18,T75,AllTriggers)</f>
        <v>1.8520714303425069E-3</v>
      </c>
    </row>
    <row r="76" spans="18:21" x14ac:dyDescent="0.2">
      <c r="R76" s="212">
        <f>_xll.qlCalendarAdvance(Calendar,R75,"1D","f")</f>
        <v>42384</v>
      </c>
      <c r="S76" s="47">
        <f>_xll.qlTenorBasisValue($P$3,R76,AllTriggers)</f>
        <v>1.9941722569529162E-3</v>
      </c>
      <c r="T76" s="41">
        <f>_xll.qlDayCounterYearFraction("actual/365 (fixed)",SettlementDate,R76,,,Trigger)</f>
        <v>0.28767123287671231</v>
      </c>
      <c r="U76" s="47">
        <f>_xll.qlPolynomialFunctionValue($P$18,T76,AllTriggers)</f>
        <v>1.8538101863782919E-3</v>
      </c>
    </row>
    <row r="77" spans="18:21" x14ac:dyDescent="0.2">
      <c r="R77" s="212">
        <f>_xll.qlCalendarAdvance(Calendar,R76,"1D","f")</f>
        <v>42387</v>
      </c>
      <c r="S77" s="47">
        <f>_xll.qlTenorBasisValue($P$3,R77,AllTriggers)</f>
        <v>1.998347524335471E-3</v>
      </c>
      <c r="T77" s="41">
        <f>_xll.qlDayCounterYearFraction("actual/365 (fixed)",SettlementDate,R77,,,Trigger)</f>
        <v>0.29589041095890412</v>
      </c>
      <c r="U77" s="47">
        <f>_xll.qlPolynomialFunctionValue($P$18,T77,AllTriggers)</f>
        <v>1.8589996818171584E-3</v>
      </c>
    </row>
    <row r="78" spans="18:21" x14ac:dyDescent="0.2">
      <c r="R78" s="212">
        <f>_xll.qlCalendarAdvance(Calendar,R77,"1D","f")</f>
        <v>42388</v>
      </c>
      <c r="S78" s="47">
        <f>_xll.qlTenorBasisValue($P$3,R78,AllTriggers)</f>
        <v>1.9997329390899865E-3</v>
      </c>
      <c r="T78" s="41">
        <f>_xll.qlDayCounterYearFraction("actual/365 (fixed)",SettlementDate,R78,,,Trigger)</f>
        <v>0.29863013698630136</v>
      </c>
      <c r="U78" s="47">
        <f>_xll.qlPolynomialFunctionValue($P$18,T78,AllTriggers)</f>
        <v>1.8607206345119735E-3</v>
      </c>
    </row>
    <row r="79" spans="18:21" x14ac:dyDescent="0.2">
      <c r="R79" s="212">
        <f>_xll.qlCalendarAdvance(Calendar,R78,"1D","f")</f>
        <v>42389</v>
      </c>
      <c r="S79" s="47">
        <f>_xll.qlTenorBasisValue($P$3,R79,AllTriggers)</f>
        <v>2.0011152058770111E-3</v>
      </c>
      <c r="T79" s="41">
        <f>_xll.qlDayCounterYearFraction("actual/365 (fixed)",SettlementDate,R79,,,Trigger)</f>
        <v>0.30136986301369861</v>
      </c>
      <c r="U79" s="47">
        <f>_xll.qlPolynomialFunctionValue($P$18,T79,AllTriggers)</f>
        <v>1.8624371702000635E-3</v>
      </c>
    </row>
    <row r="80" spans="18:21" x14ac:dyDescent="0.2">
      <c r="R80" s="212">
        <f>_xll.qlCalendarAdvance(Calendar,R79,"1D","f")</f>
        <v>42390</v>
      </c>
      <c r="S80" s="47">
        <f>_xll.qlTenorBasisValue($P$3,R80,AllTriggers)</f>
        <v>2.0024943382279527E-3</v>
      </c>
      <c r="T80" s="41">
        <f>_xll.qlDayCounterYearFraction("actual/365 (fixed)",SettlementDate,R80,,,Trigger)</f>
        <v>0.30410958904109592</v>
      </c>
      <c r="U80" s="47">
        <f>_xll.qlPolynomialFunctionValue($P$18,T80,AllTriggers)</f>
        <v>1.8641493024128348E-3</v>
      </c>
    </row>
    <row r="81" spans="18:21" x14ac:dyDescent="0.2">
      <c r="R81" s="212">
        <f>_xll.qlCalendarAdvance(Calendar,R80,"1D","f")</f>
        <v>42391</v>
      </c>
      <c r="S81" s="47">
        <f>_xll.qlTenorBasisValue($P$3,R81,AllTriggers)</f>
        <v>2.003870349674218E-3</v>
      </c>
      <c r="T81" s="41">
        <f>_xll.qlDayCounterYearFraction("actual/365 (fixed)",SettlementDate,R81,,,Trigger)</f>
        <v>0.30684931506849317</v>
      </c>
      <c r="U81" s="47">
        <f>_xll.qlPolynomialFunctionValue($P$18,T81,AllTriggers)</f>
        <v>1.8658570446816946E-3</v>
      </c>
    </row>
    <row r="82" spans="18:21" x14ac:dyDescent="0.2">
      <c r="R82" s="212">
        <f>_xll.qlCalendarAdvance(Calendar,R81,"1D","f")</f>
        <v>42394</v>
      </c>
      <c r="S82" s="47">
        <f>_xll.qlTenorBasisValue($P$3,R82,AllTriggers)</f>
        <v>2.0079797938990238E-3</v>
      </c>
      <c r="T82" s="41">
        <f>_xll.qlDayCounterYearFraction("actual/365 (fixed)",SettlementDate,R82,,,Trigger)</f>
        <v>0.31506849315068491</v>
      </c>
      <c r="U82" s="47">
        <f>_xll.qlPolynomialFunctionValue($P$18,T82,AllTriggers)</f>
        <v>1.8709540671388734E-3</v>
      </c>
    </row>
    <row r="83" spans="18:21" x14ac:dyDescent="0.2">
      <c r="R83" s="212">
        <f>_xll.qlCalendarAdvance(Calendar,R82,"1D","f")</f>
        <v>42395</v>
      </c>
      <c r="S83" s="47">
        <f>_xll.qlTenorBasisValue($P$3,R83,AllTriggers)</f>
        <v>2.0093434570406521E-3</v>
      </c>
      <c r="T83" s="41">
        <f>_xll.qlDayCounterYearFraction("actual/365 (fixed)",SettlementDate,R83,,,Trigger)</f>
        <v>0.31780821917808222</v>
      </c>
      <c r="U83" s="47">
        <f>_xll.qlPolynomialFunctionValue($P$18,T83,AllTriggers)</f>
        <v>1.8726443849461556E-3</v>
      </c>
    </row>
    <row r="84" spans="18:21" x14ac:dyDescent="0.2">
      <c r="R84" s="212">
        <f>_xll.qlCalendarAdvance(Calendar,R83,"1D","f")</f>
        <v>42396</v>
      </c>
      <c r="S84" s="47">
        <f>_xll.qlTenorBasisValue($P$3,R84,AllTriggers)</f>
        <v>2.0107040669346387E-3</v>
      </c>
      <c r="T84" s="41">
        <f>_xll.qlDayCounterYearFraction("actual/365 (fixed)",SettlementDate,R84,,,Trigger)</f>
        <v>0.32054794520547947</v>
      </c>
      <c r="U84" s="47">
        <f>_xll.qlPolynomialFunctionValue($P$18,T84,AllTriggers)</f>
        <v>1.8743303804665608E-3</v>
      </c>
    </row>
    <row r="85" spans="18:21" x14ac:dyDescent="0.2">
      <c r="R85" s="212">
        <f>_xll.qlCalendarAdvance(Calendar,R84,"1D","f")</f>
        <v>42397</v>
      </c>
      <c r="S85" s="47">
        <f>_xll.qlTenorBasisValue($P$3,R85,AllTriggers)</f>
        <v>2.0120616371123901E-3</v>
      </c>
      <c r="T85" s="41">
        <f>_xll.qlDayCounterYearFraction("actual/365 (fixed)",SettlementDate,R85,,,Trigger)</f>
        <v>0.32328767123287672</v>
      </c>
      <c r="U85" s="47">
        <f>_xll.qlPolynomialFunctionValue($P$18,T85,AllTriggers)</f>
        <v>1.8760120672314956E-3</v>
      </c>
    </row>
    <row r="86" spans="18:21" x14ac:dyDescent="0.2">
      <c r="R86" s="212">
        <f>_xll.qlCalendarAdvance(Calendar,R85,"1D","f")</f>
        <v>42398</v>
      </c>
      <c r="S86" s="47">
        <f>_xll.qlTenorBasisValue($P$3,R86,AllTriggers)</f>
        <v>2.0134161811053127E-3</v>
      </c>
      <c r="T86" s="41">
        <f>_xll.qlDayCounterYearFraction("actual/365 (fixed)",SettlementDate,R86,,,Trigger)</f>
        <v>0.32602739726027397</v>
      </c>
      <c r="U86" s="47">
        <f>_xll.qlPolynomialFunctionValue($P$18,T86,AllTriggers)</f>
        <v>1.8776894587723668E-3</v>
      </c>
    </row>
    <row r="87" spans="18:21" x14ac:dyDescent="0.2">
      <c r="R87" s="212">
        <f>_xll.qlCalendarAdvance(Calendar,R86,"1D","f")</f>
        <v>42401</v>
      </c>
      <c r="S87" s="47">
        <f>_xll.qlTenorBasisValue($P$3,R87,AllTriggers)</f>
        <v>2.0174617912891804E-3</v>
      </c>
      <c r="T87" s="41">
        <f>_xll.qlDayCounterYearFraction("actual/365 (fixed)",SettlementDate,R87,,,Trigger)</f>
        <v>0.33424657534246577</v>
      </c>
      <c r="U87" s="47">
        <f>_xll.qlPolynomialFunctionValue($P$18,T87,AllTriggers)</f>
        <v>1.8826959973646689E-3</v>
      </c>
    </row>
    <row r="88" spans="18:21" x14ac:dyDescent="0.2">
      <c r="R88" s="212">
        <f>_xll.qlCalendarAdvance(Calendar,R87,"1D","f")</f>
        <v>42402</v>
      </c>
      <c r="S88" s="47">
        <f>_xll.qlTenorBasisValue($P$3,R88,AllTriggers)</f>
        <v>2.018804365856859E-3</v>
      </c>
      <c r="T88" s="41">
        <f>_xll.qlDayCounterYearFraction("actual/365 (fixed)",SettlementDate,R88,,,Trigger)</f>
        <v>0.33698630136986302</v>
      </c>
      <c r="U88" s="47">
        <f>_xll.qlPolynomialFunctionValue($P$18,T88,AllTriggers)</f>
        <v>1.8843563433233552E-3</v>
      </c>
    </row>
    <row r="89" spans="18:21" x14ac:dyDescent="0.2">
      <c r="R89" s="212">
        <f>_xll.qlCalendarAdvance(Calendar,R88,"1D","f")</f>
        <v>42403</v>
      </c>
      <c r="S89" s="47">
        <f>_xll.qlTenorBasisValue($P$3,R89,AllTriggers)</f>
        <v>2.0201439818967435E-3</v>
      </c>
      <c r="T89" s="41">
        <f>_xll.qlDayCounterYearFraction("actual/365 (fixed)",SettlementDate,R89,,,Trigger)</f>
        <v>0.33972602739726027</v>
      </c>
      <c r="U89" s="47">
        <f>_xll.qlPolynomialFunctionValue($P$18,T89,AllTriggers)</f>
        <v>1.8860124617150124E-3</v>
      </c>
    </row>
    <row r="90" spans="18:21" x14ac:dyDescent="0.2">
      <c r="R90" s="212">
        <f>_xll.qlCalendarAdvance(Calendar,R89,"1D","f")</f>
        <v>42404</v>
      </c>
      <c r="S90" s="47">
        <f>_xll.qlTenorBasisValue($P$3,R90,AllTriggers)</f>
        <v>2.0214806529402409E-3</v>
      </c>
      <c r="T90" s="41">
        <f>_xll.qlDayCounterYearFraction("actual/365 (fixed)",SettlementDate,R90,,,Trigger)</f>
        <v>0.34246575342465752</v>
      </c>
      <c r="U90" s="47">
        <f>_xll.qlPolynomialFunctionValue($P$18,T90,AllTriggers)</f>
        <v>1.8876643660710477E-3</v>
      </c>
    </row>
    <row r="91" spans="18:21" x14ac:dyDescent="0.2">
      <c r="R91" s="212">
        <f>_xll.qlCalendarAdvance(Calendar,R90,"1D","f")</f>
        <v>42405</v>
      </c>
      <c r="S91" s="47">
        <f>_xll.qlTenorBasisValue($P$3,R91,AllTriggers)</f>
        <v>2.0228143925187583E-3</v>
      </c>
      <c r="T91" s="41">
        <f>_xll.qlDayCounterYearFraction("actual/365 (fixed)",SettlementDate,R91,,,Trigger)</f>
        <v>0.34520547945205482</v>
      </c>
      <c r="U91" s="47">
        <f>_xll.qlPolynomialFunctionValue($P$18,T91,AllTriggers)</f>
        <v>1.8893120699228674E-3</v>
      </c>
    </row>
    <row r="92" spans="18:21" x14ac:dyDescent="0.2">
      <c r="R92" s="212">
        <f>_xll.qlCalendarAdvance(Calendar,R91,"1D","f")</f>
        <v>42408</v>
      </c>
      <c r="S92" s="47">
        <f>_xll.qlTenorBasisValue($P$3,R92,AllTriggers)</f>
        <v>2.0267981577784993E-3</v>
      </c>
      <c r="T92" s="41">
        <f>_xll.qlDayCounterYearFraction("actual/365 (fixed)",SettlementDate,R92,,,Trigger)</f>
        <v>0.35342465753424657</v>
      </c>
      <c r="U92" s="47">
        <f>_xll.qlPolynomialFunctionValue($P$18,T92,AllTriggers)</f>
        <v>1.8942301137671032E-3</v>
      </c>
    </row>
    <row r="93" spans="18:21" x14ac:dyDescent="0.2">
      <c r="R93" s="212">
        <f>_xll.qlCalendarAdvance(Calendar,R92,"1D","f")</f>
        <v>42409</v>
      </c>
      <c r="S93" s="47">
        <f>_xll.qlTenorBasisValue($P$3,R93,AllTriggers)</f>
        <v>2.0281203068111646E-3</v>
      </c>
      <c r="T93" s="41">
        <f>_xll.qlDayCounterYearFraction("actual/365 (fixed)",SettlementDate,R93,,,Trigger)</f>
        <v>0.35616438356164382</v>
      </c>
      <c r="U93" s="47">
        <f>_xll.qlPolynomialFunctionValue($P$18,T93,AllTriggers)</f>
        <v>1.8958611509161307E-3</v>
      </c>
    </row>
    <row r="94" spans="18:21" x14ac:dyDescent="0.2">
      <c r="R94" s="212">
        <f>_xll.qlCalendarAdvance(Calendar,R93,"1D","f")</f>
        <v>42410</v>
      </c>
      <c r="S94" s="47">
        <f>_xll.qlTenorBasisValue($P$3,R94,AllTriggers)</f>
        <v>2.0294395920358848E-3</v>
      </c>
      <c r="T94" s="41">
        <f>_xll.qlDayCounterYearFraction("actual/365 (fixed)",SettlementDate,R94,,,Trigger)</f>
        <v>0.35890410958904112</v>
      </c>
      <c r="U94" s="47">
        <f>_xll.qlPolynomialFunctionValue($P$18,T94,AllTriggers)</f>
        <v>1.897488055217977E-3</v>
      </c>
    </row>
    <row r="95" spans="18:21" x14ac:dyDescent="0.2">
      <c r="R95" s="212">
        <f>_xll.qlCalendarAdvance(Calendar,R94,"1D","f")</f>
        <v>42411</v>
      </c>
      <c r="S95" s="47">
        <f>_xll.qlTenorBasisValue($P$3,R95,AllTriggers)</f>
        <v>2.0307560269840663E-3</v>
      </c>
      <c r="T95" s="41">
        <f>_xll.qlDayCounterYearFraction("actual/365 (fixed)",SettlementDate,R95,,,Trigger)</f>
        <v>0.36164383561643837</v>
      </c>
      <c r="U95" s="47">
        <f>_xll.qlPolynomialFunctionValue($P$18,T95,AllTriggers)</f>
        <v>1.8991108402040492E-3</v>
      </c>
    </row>
    <row r="96" spans="18:21" x14ac:dyDescent="0.2">
      <c r="R96" s="212">
        <f>_xll.qlCalendarAdvance(Calendar,R95,"1D","f")</f>
        <v>42412</v>
      </c>
      <c r="S96" s="47">
        <f>_xll.qlTenorBasisValue($P$3,R96,AllTriggers)</f>
        <v>2.0320696251871152E-3</v>
      </c>
      <c r="T96" s="41">
        <f>_xll.qlDayCounterYearFraction("actual/365 (fixed)",SettlementDate,R96,,,Trigger)</f>
        <v>0.36438356164383562</v>
      </c>
      <c r="U96" s="47">
        <f>_xll.qlPolynomialFunctionValue($P$18,T96,AllTriggers)</f>
        <v>1.9007295194057544E-3</v>
      </c>
    </row>
    <row r="97" spans="18:21" x14ac:dyDescent="0.2">
      <c r="R97" s="212">
        <f>_xll.qlCalendarAdvance(Calendar,R96,"1D","f")</f>
        <v>42415</v>
      </c>
      <c r="S97" s="47">
        <f>_xll.qlTenorBasisValue($P$3,R97,AllTriggers)</f>
        <v>2.0359935346395391E-3</v>
      </c>
      <c r="T97" s="41">
        <f>_xll.qlDayCounterYearFraction("actual/365 (fixed)",SettlementDate,R97,,,Trigger)</f>
        <v>0.37260273972602742</v>
      </c>
      <c r="U97" s="47">
        <f>_xll.qlPolynomialFunctionValue($P$18,T97,AllTriggers)</f>
        <v>1.9055610576187358E-3</v>
      </c>
    </row>
    <row r="98" spans="18:21" x14ac:dyDescent="0.2">
      <c r="R98" s="212">
        <f>_xll.qlCalendarAdvance(Calendar,R97,"1D","f")</f>
        <v>42416</v>
      </c>
      <c r="S98" s="47">
        <f>_xll.qlTenorBasisValue($P$3,R98,AllTriggers)</f>
        <v>2.037295921176129E-3</v>
      </c>
      <c r="T98" s="41">
        <f>_xll.qlDayCounterYearFraction("actual/365 (fixed)",SettlementDate,R98,,,Trigger)</f>
        <v>0.37534246575342467</v>
      </c>
      <c r="U98" s="47">
        <f>_xll.qlPolynomialFunctionValue($P$18,T98,AllTriggers)</f>
        <v>1.9071634489970406E-3</v>
      </c>
    </row>
    <row r="99" spans="18:21" x14ac:dyDescent="0.2">
      <c r="R99" s="212">
        <f>_xll.qlCalendarAdvance(Calendar,R98,"1D","f")</f>
        <v>42417</v>
      </c>
      <c r="S99" s="47">
        <f>_xll.qlTenorBasisValue($P$3,R99,AllTriggers)</f>
        <v>2.0385955386246209E-3</v>
      </c>
      <c r="T99" s="41">
        <f>_xll.qlDayCounterYearFraction("actual/365 (fixed)",SettlementDate,R99,,,Trigger)</f>
        <v>0.37808219178082192</v>
      </c>
      <c r="U99" s="47">
        <f>_xll.qlPolynomialFunctionValue($P$18,T99,AllTriggers)</f>
        <v>1.9087618022480134E-3</v>
      </c>
    </row>
    <row r="100" spans="18:21" x14ac:dyDescent="0.2">
      <c r="R100" s="212">
        <f>_xll.qlCalendarAdvance(Calendar,R99,"1D","f")</f>
        <v>42418</v>
      </c>
      <c r="S100" s="47">
        <f>_xll.qlTenorBasisValue($P$3,R100,AllTriggers)</f>
        <v>2.0398924005164223E-3</v>
      </c>
      <c r="T100" s="41">
        <f>_xll.qlDayCounterYearFraction("actual/365 (fixed)",SettlementDate,R100,,,Trigger)</f>
        <v>0.38082191780821917</v>
      </c>
      <c r="U100" s="47">
        <f>_xll.qlPolynomialFunctionValue($P$18,T100,AllTriggers)</f>
        <v>1.9103561309030596E-3</v>
      </c>
    </row>
    <row r="101" spans="18:21" x14ac:dyDescent="0.2">
      <c r="R101" s="212">
        <f>_xll.qlCalendarAdvance(Calendar,R100,"1D","f")</f>
        <v>42419</v>
      </c>
      <c r="S101" s="47">
        <f>_xll.qlTenorBasisValue($P$3,R101,AllTriggers)</f>
        <v>2.0411865203829394E-3</v>
      </c>
      <c r="T101" s="41">
        <f>_xll.qlDayCounterYearFraction("actual/365 (fixed)",SettlementDate,R101,,,Trigger)</f>
        <v>0.38356164383561642</v>
      </c>
      <c r="U101" s="47">
        <f>_xll.qlPolynomialFunctionValue($P$18,T101,AllTriggers)</f>
        <v>1.9119464484935872E-3</v>
      </c>
    </row>
    <row r="102" spans="18:21" x14ac:dyDescent="0.2">
      <c r="R102" s="212">
        <f>_xll.qlCalendarAdvance(Calendar,R101,"1D","f")</f>
        <v>42422</v>
      </c>
      <c r="S102" s="47">
        <f>_xll.qlTenorBasisValue($P$3,R102,AllTriggers)</f>
        <v>2.0450525631448579E-3</v>
      </c>
      <c r="T102" s="41">
        <f>_xll.qlDayCounterYearFraction("actual/365 (fixed)",SettlementDate,R102,,,Trigger)</f>
        <v>0.39178082191780822</v>
      </c>
      <c r="U102" s="47">
        <f>_xll.qlPolynomialFunctionValue($P$18,T102,AllTriggers)</f>
        <v>1.9166934701921239E-3</v>
      </c>
    </row>
    <row r="103" spans="18:21" x14ac:dyDescent="0.2">
      <c r="R103" s="212">
        <f>_xll.qlCalendarAdvance(Calendar,R102,"1D","f")</f>
        <v>42423</v>
      </c>
      <c r="S103" s="47">
        <f>_xll.qlTenorBasisValue($P$3,R103,AllTriggers)</f>
        <v>2.0463358502243087E-3</v>
      </c>
      <c r="T103" s="41">
        <f>_xll.qlDayCounterYearFraction("actual/365 (fixed)",SettlementDate,R103,,,Trigger)</f>
        <v>0.39452054794520547</v>
      </c>
      <c r="U103" s="47">
        <f>_xll.qlPolynomialFunctionValue($P$18,T103,AllTriggers)</f>
        <v>1.9182678788386438E-3</v>
      </c>
    </row>
    <row r="104" spans="18:21" x14ac:dyDescent="0.2">
      <c r="R104" s="212">
        <f>_xll.qlCalendarAdvance(Calendar,R103,"1D","f")</f>
        <v>42424</v>
      </c>
      <c r="S104" s="47">
        <f>_xll.qlTenorBasisValue($P$3,R104,AllTriggers)</f>
        <v>2.0476164629355097E-3</v>
      </c>
      <c r="T104" s="41">
        <f>_xll.qlDayCounterYearFraction("actual/365 (fixed)",SettlementDate,R104,,,Trigger)</f>
        <v>0.39726027397260272</v>
      </c>
      <c r="U104" s="47">
        <f>_xll.qlPolynomialFunctionValue($P$18,T104,AllTriggers)</f>
        <v>1.9198383440776794E-3</v>
      </c>
    </row>
    <row r="105" spans="18:21" x14ac:dyDescent="0.2">
      <c r="R105" s="212">
        <f>_xll.qlCalendarAdvance(Calendar,R104,"1D","f")</f>
        <v>42425</v>
      </c>
      <c r="S105" s="47">
        <f>_xll.qlTenorBasisValue($P$3,R105,AllTriggers)</f>
        <v>2.0488944148098686E-3</v>
      </c>
      <c r="T105" s="41">
        <f>_xll.qlDayCounterYearFraction("actual/365 (fixed)",SettlementDate,R105,,,Trigger)</f>
        <v>0.4</v>
      </c>
      <c r="U105" s="47">
        <f>_xll.qlPolynomialFunctionValue($P$18,T105,AllTriggers)</f>
        <v>1.9214048794406367E-3</v>
      </c>
    </row>
    <row r="106" spans="18:21" x14ac:dyDescent="0.2">
      <c r="R106" s="212">
        <f>_xll.qlCalendarAdvance(Calendar,R105,"1D","f")</f>
        <v>42426</v>
      </c>
      <c r="S106" s="47">
        <f>_xll.qlTenorBasisValue($P$3,R106,AllTriggers)</f>
        <v>2.0501697193787919E-3</v>
      </c>
      <c r="T106" s="41">
        <f>_xll.qlDayCounterYearFraction("actual/365 (fixed)",SettlementDate,R106,,,Trigger)</f>
        <v>0.40273972602739727</v>
      </c>
      <c r="U106" s="47">
        <f>_xll.qlPolynomialFunctionValue($P$18,T106,AllTriggers)</f>
        <v>1.9229674984589237E-3</v>
      </c>
    </row>
    <row r="107" spans="18:21" x14ac:dyDescent="0.2">
      <c r="R107" s="212">
        <f>_xll.qlCalendarAdvance(Calendar,R106,"1D","f")</f>
        <v>42429</v>
      </c>
      <c r="S107" s="47">
        <f>_xll.qlTenorBasisValue($P$3,R107,AllTriggers)</f>
        <v>2.0539798845670147E-3</v>
      </c>
      <c r="T107" s="41">
        <f>_xll.qlDayCounterYearFraction("actual/365 (fixed)",SettlementDate,R107,,,Trigger)</f>
        <v>0.41095890410958902</v>
      </c>
      <c r="U107" s="47">
        <f>_xll.qlPolynomialFunctionValue($P$18,T107,AllTriggers)</f>
        <v>1.9276319927598268E-3</v>
      </c>
    </row>
    <row r="108" spans="18:21" x14ac:dyDescent="0.2">
      <c r="R108" s="212">
        <f>_xll.qlCalendarAdvance(Calendar,R107,"1D","f")</f>
        <v>42430</v>
      </c>
      <c r="S108" s="47">
        <f>_xll.qlTenorBasisValue($P$3,R108,AllTriggers)</f>
        <v>2.0552447352282636E-3</v>
      </c>
      <c r="T108" s="41">
        <f>_xll.qlDayCounterYearFraction("actual/365 (fixed)",SettlementDate,R108,,,Trigger)</f>
        <v>0.41369863013698632</v>
      </c>
      <c r="U108" s="47">
        <f>_xll.qlPolynomialFunctionValue($P$18,T108,AllTriggers)</f>
        <v>1.9291790817134984E-3</v>
      </c>
    </row>
    <row r="109" spans="18:21" x14ac:dyDescent="0.2">
      <c r="R109" s="212">
        <f>_xll.qlCalendarAdvance(Calendar,R108,"1D","f")</f>
        <v>42431</v>
      </c>
      <c r="S109" s="47">
        <f>_xll.qlTenorBasisValue($P$3,R109,AllTriggers)</f>
        <v>2.0565070062411113E-3</v>
      </c>
      <c r="T109" s="41">
        <f>_xll.qlDayCounterYearFraction("actual/365 (fixed)",SettlementDate,R109,,,Trigger)</f>
        <v>0.41643835616438357</v>
      </c>
      <c r="U109" s="47">
        <f>_xll.qlPolynomialFunctionValue($P$18,T109,AllTriggers)</f>
        <v>1.9307223219795339E-3</v>
      </c>
    </row>
    <row r="110" spans="18:21" x14ac:dyDescent="0.2">
      <c r="R110" s="212">
        <f>_xll.qlCalendarAdvance(Calendar,R109,"1D","f")</f>
        <v>42432</v>
      </c>
      <c r="S110" s="47">
        <f>_xll.qlTenorBasisValue($P$3,R110,AllTriggers)</f>
        <v>2.0577667111369644E-3</v>
      </c>
      <c r="T110" s="41">
        <f>_xll.qlDayCounterYearFraction("actual/365 (fixed)",SettlementDate,R110,,,Trigger)</f>
        <v>0.41917808219178082</v>
      </c>
      <c r="U110" s="47">
        <f>_xll.qlPolynomialFunctionValue($P$18,T110,AllTriggers)</f>
        <v>1.9322617270893395E-3</v>
      </c>
    </row>
    <row r="111" spans="18:21" x14ac:dyDescent="0.2">
      <c r="R111" s="212">
        <f>_xll.qlCalendarAdvance(Calendar,R110,"1D","f")</f>
        <v>42433</v>
      </c>
      <c r="S111" s="47">
        <f>_xll.qlTenorBasisValue($P$3,R111,AllTriggers)</f>
        <v>2.0590238634472292E-3</v>
      </c>
      <c r="T111" s="41">
        <f>_xll.qlDayCounterYearFraction("actual/365 (fixed)",SettlementDate,R111,,,Trigger)</f>
        <v>0.42191780821917807</v>
      </c>
      <c r="U111" s="47">
        <f>_xll.qlPolynomialFunctionValue($P$18,T111,AllTriggers)</f>
        <v>1.9337973105743227E-3</v>
      </c>
    </row>
    <row r="112" spans="18:21" x14ac:dyDescent="0.2">
      <c r="R112" s="212">
        <f>_xll.qlCalendarAdvance(Calendar,R111,"1D","f")</f>
        <v>42436</v>
      </c>
      <c r="S112" s="47">
        <f>_xll.qlTenorBasisValue($P$3,R112,AllTriggers)</f>
        <v>2.0627801401785686E-3</v>
      </c>
      <c r="T112" s="41">
        <f>_xll.qlDayCounterYearFraction("actual/365 (fixed)",SettlementDate,R112,,,Trigger)</f>
        <v>0.43013698630136987</v>
      </c>
      <c r="U112" s="47">
        <f>_xll.qlPolynomialFunctionValue($P$18,T112,AllTriggers)</f>
        <v>1.9383812665944031E-3</v>
      </c>
    </row>
    <row r="113" spans="18:21" x14ac:dyDescent="0.2">
      <c r="R113" s="212">
        <f>_xll.qlCalendarAdvance(Calendar,R112,"1D","f")</f>
        <v>42437</v>
      </c>
      <c r="S113" s="47">
        <f>_xll.qlTenorBasisValue($P$3,R113,AllTriggers)</f>
        <v>2.0640272174605521E-3</v>
      </c>
      <c r="T113" s="41">
        <f>_xll.qlDayCounterYearFraction("actual/365 (fixed)",SettlementDate,R113,,,Trigger)</f>
        <v>0.43287671232876712</v>
      </c>
      <c r="U113" s="47">
        <f>_xll.qlPolynomialFunctionValue($P$18,T113,AllTriggers)</f>
        <v>1.9399016988941634E-3</v>
      </c>
    </row>
    <row r="114" spans="18:21" x14ac:dyDescent="0.2">
      <c r="R114" s="212">
        <f>_xll.qlCalendarAdvance(Calendar,R113,"1D","f")</f>
        <v>42438</v>
      </c>
      <c r="S114" s="47">
        <f>_xll.qlTenorBasisValue($P$3,R114,AllTriggers)</f>
        <v>2.0652718098139828E-3</v>
      </c>
      <c r="T114" s="41">
        <f>_xll.qlDayCounterYearFraction("actual/365 (fixed)",SettlementDate,R114,,,Trigger)</f>
        <v>0.43561643835616437</v>
      </c>
      <c r="U114" s="47">
        <f>_xll.qlPolynomialFunctionValue($P$18,T114,AllTriggers)</f>
        <v>1.9414183772261356E-3</v>
      </c>
    </row>
    <row r="115" spans="18:21" x14ac:dyDescent="0.2">
      <c r="R115" s="212">
        <f>_xll.qlCalendarAdvance(Calendar,R114,"1D","f")</f>
        <v>42439</v>
      </c>
      <c r="S115" s="47">
        <f>_xll.qlTenorBasisValue($P$3,R115,AllTriggers)</f>
        <v>2.0665139307702667E-3</v>
      </c>
      <c r="T115" s="41">
        <f>_xll.qlDayCounterYearFraction("actual/365 (fixed)",SettlementDate,R115,,,Trigger)</f>
        <v>0.43835616438356162</v>
      </c>
      <c r="U115" s="47">
        <f>_xll.qlPolynomialFunctionValue($P$18,T115,AllTriggers)</f>
        <v>1.9429313151217262E-3</v>
      </c>
    </row>
    <row r="116" spans="18:21" x14ac:dyDescent="0.2">
      <c r="R116" s="212">
        <f>_xll.qlCalendarAdvance(Calendar,R115,"1D","f")</f>
        <v>42440</v>
      </c>
      <c r="S116" s="47">
        <f>_xll.qlTenorBasisValue($P$3,R116,AllTriggers)</f>
        <v>2.0677535938608115E-3</v>
      </c>
      <c r="T116" s="41">
        <f>_xll.qlDayCounterYearFraction("actual/365 (fixed)",SettlementDate,R116,,,Trigger)</f>
        <v>0.44109589041095892</v>
      </c>
      <c r="U116" s="47">
        <f>_xll.qlPolynomialFunctionValue($P$18,T116,AllTriggers)</f>
        <v>1.9444405261123422E-3</v>
      </c>
    </row>
    <row r="117" spans="18:21" x14ac:dyDescent="0.2">
      <c r="R117" s="212">
        <f>_xll.qlCalendarAdvance(Calendar,R116,"1D","f")</f>
        <v>42443</v>
      </c>
      <c r="S117" s="47">
        <f>_xll.qlTenorBasisValue($P$3,R117,AllTriggers)</f>
        <v>2.0714579712520771E-3</v>
      </c>
      <c r="T117" s="41">
        <f>_xll.qlDayCounterYearFraction("actual/365 (fixed)",SettlementDate,R117,,,Trigger)</f>
        <v>0.44931506849315067</v>
      </c>
      <c r="U117" s="47">
        <f>_xll.qlPolynomialFunctionValue($P$18,T117,AllTriggers)</f>
        <v>1.9489459329684112E-3</v>
      </c>
    </row>
    <row r="118" spans="18:21" x14ac:dyDescent="0.2">
      <c r="R118" s="212">
        <f>_xll.qlCalendarAdvance(Calendar,R117,"1D","f")</f>
        <v>42444</v>
      </c>
      <c r="S118" s="47">
        <f>_xll.qlTenorBasisValue($P$3,R118,AllTriggers)</f>
        <v>2.0726879381937329E-3</v>
      </c>
      <c r="T118" s="41">
        <f>_xll.qlDayCounterYearFraction("actual/365 (fixed)",SettlementDate,R118,,,Trigger)</f>
        <v>0.45205479452054792</v>
      </c>
      <c r="U118" s="47">
        <f>_xll.qlPolynomialFunctionValue($P$18,T118,AllTriggers)</f>
        <v>1.950440371653197E-3</v>
      </c>
    </row>
    <row r="119" spans="18:21" x14ac:dyDescent="0.2">
      <c r="R119" s="212">
        <f>_xll.qlCalendarAdvance(Calendar,R118,"1D","f")</f>
        <v>42445</v>
      </c>
      <c r="S119" s="47">
        <f>_xll.qlTenorBasisValue($P$3,R119,AllTriggers)</f>
        <v>2.0739155149266829E-3</v>
      </c>
      <c r="T119" s="41">
        <f>_xll.qlDayCounterYearFraction("actual/365 (fixed)",SettlementDate,R119,,,Trigger)</f>
        <v>0.45479452054794522</v>
      </c>
      <c r="U119" s="47">
        <f>_xll.qlPolynomialFunctionValue($P$18,T119,AllTriggers)</f>
        <v>1.9519311510900433E-3</v>
      </c>
    </row>
    <row r="120" spans="18:21" x14ac:dyDescent="0.2">
      <c r="R120" s="212">
        <f>_xll.qlCalendarAdvance(Calendar,R119,"1D","f")</f>
        <v>42446</v>
      </c>
      <c r="S120" s="47">
        <f>_xll.qlTenorBasisValue($P$3,R120,AllTriggers)</f>
        <v>2.0751407149823351E-3</v>
      </c>
      <c r="T120" s="41">
        <f>_xll.qlDayCounterYearFraction("actual/365 (fixed)",SettlementDate,R120,,,Trigger)</f>
        <v>0.45753424657534247</v>
      </c>
      <c r="U120" s="47">
        <f>_xll.qlPolynomialFunctionValue($P$18,T120,AllTriggers)</f>
        <v>1.9534182848103556E-3</v>
      </c>
    </row>
    <row r="121" spans="18:21" x14ac:dyDescent="0.2">
      <c r="R121" s="212">
        <f>_xll.qlCalendarAdvance(Calendar,R120,"1D","f")</f>
        <v>42447</v>
      </c>
      <c r="S121" s="47">
        <f>_xll.qlTenorBasisValue($P$3,R121,AllTriggers)</f>
        <v>2.0763635518920962E-3</v>
      </c>
      <c r="T121" s="41">
        <f>_xll.qlDayCounterYearFraction("actual/365 (fixed)",SettlementDate,R121,,,Trigger)</f>
        <v>0.46027397260273972</v>
      </c>
      <c r="U121" s="47">
        <f>_xll.qlPolynomialFunctionValue($P$18,T121,AllTriggers)</f>
        <v>1.9549017863455418E-3</v>
      </c>
    </row>
    <row r="122" spans="18:21" x14ac:dyDescent="0.2">
      <c r="R122" s="212">
        <f>_xll.qlCalendarAdvance(Calendar,R121,"1D","f")</f>
        <v>42450</v>
      </c>
      <c r="S122" s="47">
        <f>_xll.qlTenorBasisValue($P$3,R122,AllTriggers)</f>
        <v>2.0800180190600993E-3</v>
      </c>
      <c r="T122" s="41">
        <f>_xll.qlDayCounterYearFraction("actual/365 (fixed)",SettlementDate,R122,,,Trigger)</f>
        <v>0.46849315068493153</v>
      </c>
      <c r="U122" s="47">
        <f>_xll.qlPolynomialFunctionValue($P$18,T122,AllTriggers)</f>
        <v>1.9593306331544096E-3</v>
      </c>
    </row>
    <row r="123" spans="18:21" x14ac:dyDescent="0.2">
      <c r="R123" s="212">
        <f>_xll.qlCalendarAdvance(Calendar,R122,"1D","f")</f>
        <v>42451</v>
      </c>
      <c r="S123" s="47">
        <f>_xll.qlTenorBasisValue($P$3,R123,AllTriggers)</f>
        <v>2.0812315387003636E-3</v>
      </c>
      <c r="T123" s="41">
        <f>_xll.qlDayCounterYearFraction("actual/365 (fixed)",SettlementDate,R123,,,Trigger)</f>
        <v>0.47123287671232877</v>
      </c>
      <c r="U123" s="47">
        <f>_xll.qlPolynomialFunctionValue($P$18,T123,AllTriggers)</f>
        <v>1.9607997412631585E-3</v>
      </c>
    </row>
    <row r="124" spans="18:21" x14ac:dyDescent="0.2">
      <c r="R124" s="212">
        <f>_xll.qlCalendarAdvance(Calendar,R123,"1D","f")</f>
        <v>42452</v>
      </c>
      <c r="S124" s="47">
        <f>_xll.qlTenorBasisValue($P$3,R124,AllTriggers)</f>
        <v>2.0824427628517712E-3</v>
      </c>
      <c r="T124" s="41">
        <f>_xll.qlDayCounterYearFraction("actual/365 (fixed)",SettlementDate,R124,,,Trigger)</f>
        <v>0.47397260273972602</v>
      </c>
      <c r="U124" s="47">
        <f>_xll.qlPolynomialFunctionValue($P$18,T124,AllTriggers)</f>
        <v>1.9622652848438151E-3</v>
      </c>
    </row>
    <row r="125" spans="18:21" x14ac:dyDescent="0.2">
      <c r="R125" s="212">
        <f>_xll.qlCalendarAdvance(Calendar,R124,"1D","f")</f>
        <v>42453</v>
      </c>
      <c r="S125" s="47">
        <f>_xll.qlTenorBasisValue($P$3,R125,AllTriggers)</f>
        <v>2.0836517050457286E-3</v>
      </c>
      <c r="T125" s="41">
        <f>_xll.qlDayCounterYearFraction("actual/365 (fixed)",SettlementDate,R125,,,Trigger)</f>
        <v>0.47671232876712327</v>
      </c>
      <c r="U125" s="47">
        <f>_xll.qlPolynomialFunctionValue($P$18,T125,AllTriggers)</f>
        <v>1.9637272774277862E-3</v>
      </c>
    </row>
    <row r="126" spans="18:21" x14ac:dyDescent="0.2">
      <c r="R126" s="212">
        <f>_xll.qlCalendarAdvance(Calendar,R125,"1D","f")</f>
        <v>42458</v>
      </c>
      <c r="S126" s="47">
        <f>_xll.qlTenorBasisValue($P$3,R126,AllTriggers)</f>
        <v>2.0896626602530037E-3</v>
      </c>
      <c r="T126" s="41">
        <f>_xll.qlDayCounterYearFraction("actual/365 (fixed)",SettlementDate,R126,,,Trigger)</f>
        <v>0.49041095890410957</v>
      </c>
      <c r="U126" s="47">
        <f>_xll.qlPolynomialFunctionValue($P$18,T126,AllTriggers)</f>
        <v>1.9709844489966054E-3</v>
      </c>
    </row>
    <row r="127" spans="18:21" x14ac:dyDescent="0.2">
      <c r="R127" s="212">
        <f>_xll.qlCalendarAdvance(Calendar,R126,"1D","f")</f>
        <v>42459</v>
      </c>
      <c r="S127" s="47">
        <f>_xll.qlTenorBasisValue($P$3,R127,AllTriggers)</f>
        <v>2.0908581948618056E-3</v>
      </c>
      <c r="T127" s="41">
        <f>_xll.qlDayCounterYearFraction("actual/365 (fixed)",SettlementDate,R127,,,Trigger)</f>
        <v>0.49315068493150682</v>
      </c>
      <c r="U127" s="47">
        <f>_xll.qlPolynomialFunctionValue($P$18,T127,AllTriggers)</f>
        <v>1.9724254197600096E-3</v>
      </c>
    </row>
    <row r="128" spans="18:21" x14ac:dyDescent="0.2">
      <c r="R128" s="212">
        <f>_xll.qlCalendarAdvance(Calendar,R127,"1D","f")</f>
        <v>42460</v>
      </c>
      <c r="S128" s="47">
        <f>_xll.qlTenorBasisValue($P$3,R128,AllTriggers)</f>
        <v>2.0920515422330043E-3</v>
      </c>
      <c r="T128" s="41">
        <f>_xll.qlDayCounterYearFraction("actual/365 (fixed)",SettlementDate,R128,,,Trigger)</f>
        <v>0.49589041095890413</v>
      </c>
      <c r="U128" s="47">
        <f>_xll.qlPolynomialFunctionValue($P$18,T128,AllTriggers)</f>
        <v>1.9738629342465766E-3</v>
      </c>
    </row>
    <row r="129" spans="18:21" x14ac:dyDescent="0.2">
      <c r="R129" s="212">
        <f>_xll.qlCalendarAdvance(Calendar,R128,"1D","f")</f>
        <v>42461</v>
      </c>
      <c r="S129" s="47">
        <f>_xll.qlTenorBasisValue($P$3,R129,AllTriggers)</f>
        <v>2.0932427158980088E-3</v>
      </c>
      <c r="T129" s="41">
        <f>_xll.qlDayCounterYearFraction("actual/365 (fixed)",SettlementDate,R129,,,Trigger)</f>
        <v>0.49863013698630138</v>
      </c>
      <c r="U129" s="47">
        <f>_xll.qlPolynomialFunctionValue($P$18,T129,AllTriggers)</f>
        <v>1.9752970059877138E-3</v>
      </c>
    </row>
    <row r="130" spans="18:21" x14ac:dyDescent="0.2">
      <c r="R130" s="212">
        <f>_xll.qlCalendarAdvance(Calendar,R129,"1D","f")</f>
        <v>42464</v>
      </c>
      <c r="S130" s="47">
        <f>_xll.qlTenorBasisValue($P$3,R130,AllTriggers)</f>
        <v>2.0968033299699198E-3</v>
      </c>
      <c r="T130" s="41">
        <f>_xll.qlDayCounterYearFraction("actual/365 (fixed)",SettlementDate,R130,,,Trigger)</f>
        <v>0.50684931506849318</v>
      </c>
      <c r="U130" s="47">
        <f>_xll.qlPolynomialFunctionValue($P$18,T130,AllTriggers)</f>
        <v>1.9795787000526123E-3</v>
      </c>
    </row>
    <row r="131" spans="18:21" x14ac:dyDescent="0.2">
      <c r="R131" s="212">
        <f>_xll.qlCalendarAdvance(Calendar,R130,"1D","f")</f>
        <v>42465</v>
      </c>
      <c r="S131" s="47">
        <f>_xll.qlTenorBasisValue($P$3,R131,AllTriggers)</f>
        <v>2.0979859441242121E-3</v>
      </c>
      <c r="T131" s="41">
        <f>_xll.qlDayCounterYearFraction("actual/365 (fixed)",SettlementDate,R131,,,Trigger)</f>
        <v>0.50958904109589043</v>
      </c>
      <c r="U131" s="47">
        <f>_xll.qlPolynomialFunctionValue($P$18,T131,AllTriggers)</f>
        <v>1.9809991361260972E-3</v>
      </c>
    </row>
    <row r="132" spans="18:21" x14ac:dyDescent="0.2">
      <c r="R132" s="212">
        <f>_xll.qlCalendarAdvance(Calendar,R131,"1D","f")</f>
        <v>42466</v>
      </c>
      <c r="S132" s="47">
        <f>_xll.qlTenorBasisValue($P$3,R132,AllTriggers)</f>
        <v>2.0991664522293438E-3</v>
      </c>
      <c r="T132" s="41">
        <f>_xll.qlDayCounterYearFraction("actual/365 (fixed)",SettlementDate,R132,,,Trigger)</f>
        <v>0.51232876712328768</v>
      </c>
      <c r="U132" s="47">
        <f>_xll.qlPolynomialFunctionValue($P$18,T132,AllTriggers)</f>
        <v>1.9824161971111857E-3</v>
      </c>
    </row>
    <row r="133" spans="18:21" x14ac:dyDescent="0.2">
      <c r="R133" s="213">
        <f>_xll.qlCalendarAdvance(Calendar,R132,"1D","f")</f>
        <v>42467</v>
      </c>
      <c r="S133" s="50">
        <f>_xll.qlTenorBasisValue($P$3,R133,AllTriggers)</f>
        <v>2.1003448678167222E-3</v>
      </c>
      <c r="T133" s="44">
        <f>_xll.qlDayCounterYearFraction("actual/365 (fixed)",SettlementDate,R133,,,Trigger)</f>
        <v>0.51506849315068493</v>
      </c>
      <c r="U133" s="50">
        <f>_xll.qlPolynomialFunctionValue($P$18,T133,AllTriggers)</f>
        <v>1.9838298965392854E-3</v>
      </c>
    </row>
    <row r="134" spans="18:21" x14ac:dyDescent="0.2">
      <c r="R134" s="211">
        <f>_xll.qlCalendarAdvance(Calendar,R133,"1D","f")</f>
        <v>42468</v>
      </c>
      <c r="S134" s="52">
        <f>_xll.qlTenorBasisValue($P$3,R134,AllTriggers)</f>
        <v>2.1015212044177538E-3</v>
      </c>
      <c r="T134" s="46">
        <f>_xll.qlDayCounterYearFraction("actual/365 (fixed)",SettlementDate,R134,,,Trigger)</f>
        <v>0.51780821917808217</v>
      </c>
      <c r="U134" s="52">
        <f>_xll.qlPolynomialFunctionValue($P$18,T134,AllTriggers)</f>
        <v>1.9852402479418039E-3</v>
      </c>
    </row>
    <row r="135" spans="18:21" x14ac:dyDescent="0.2">
      <c r="R135" s="212">
        <f>_xll.qlCalendarAdvance(Calendar,R134,"1D","f")</f>
        <v>42471</v>
      </c>
      <c r="S135" s="47">
        <f>_xll.qlTenorBasisValue($P$3,R135,AllTriggers)</f>
        <v>2.105037875616834E-3</v>
      </c>
      <c r="T135" s="41">
        <f>_xll.qlDayCounterYearFraction("actual/365 (fixed)",SettlementDate,R135,,,Trigger)</f>
        <v>0.52602739726027392</v>
      </c>
      <c r="U135" s="47">
        <f>_xll.qlPolynomialFunctionValue($P$18,T135,AllTriggers)</f>
        <v>1.9894513493099331E-3</v>
      </c>
    </row>
    <row r="136" spans="18:21" x14ac:dyDescent="0.2">
      <c r="R136" s="212">
        <f>_xll.qlCalendarAdvance(Calendar,R135,"1D","f")</f>
        <v>42472</v>
      </c>
      <c r="S136" s="47">
        <f>_xll.qlTenorBasisValue($P$3,R136,AllTriggers)</f>
        <v>2.106206031586547E-3</v>
      </c>
      <c r="T136" s="41">
        <f>_xll.qlDayCounterYearFraction("actual/365 (fixed)",SettlementDate,R136,,,Trigger)</f>
        <v>0.52876712328767128</v>
      </c>
      <c r="U136" s="47">
        <f>_xll.qlPolynomialFunctionValue($P$18,T136,AllTriggers)</f>
        <v>1.9908484439241916E-3</v>
      </c>
    </row>
    <row r="137" spans="18:21" x14ac:dyDescent="0.2">
      <c r="R137" s="212">
        <f>_xll.qlCalendarAdvance(Calendar,R136,"1D","f")</f>
        <v>42473</v>
      </c>
      <c r="S137" s="47">
        <f>_xll.qlTenorBasisValue($P$3,R137,AllTriggers)</f>
        <v>2.1073721762269464E-3</v>
      </c>
      <c r="T137" s="41">
        <f>_xll.qlDayCounterYearFraction("actual/365 (fixed)",SettlementDate,R137,,,Trigger)</f>
        <v>0.53150684931506853</v>
      </c>
      <c r="U137" s="47">
        <f>_xll.qlPolynomialFunctionValue($P$18,T137,AllTriggers)</f>
        <v>1.9922422581699017E-3</v>
      </c>
    </row>
    <row r="138" spans="18:21" x14ac:dyDescent="0.2">
      <c r="R138" s="212">
        <f>_xll.qlCalendarAdvance(Calendar,R137,"1D","f")</f>
        <v>42474</v>
      </c>
      <c r="S138" s="47">
        <f>_xll.qlTenorBasisValue($P$3,R138,AllTriggers)</f>
        <v>2.1085363230694404E-3</v>
      </c>
      <c r="T138" s="41">
        <f>_xll.qlDayCounterYearFraction("actual/365 (fixed)",SettlementDate,R138,,,Trigger)</f>
        <v>0.53424657534246578</v>
      </c>
      <c r="U138" s="47">
        <f>_xll.qlPolynomialFunctionValue($P$18,T138,AllTriggers)</f>
        <v>1.9936328055784711E-3</v>
      </c>
    </row>
    <row r="139" spans="18:21" x14ac:dyDescent="0.2">
      <c r="R139" s="212">
        <f>_xll.qlCalendarAdvance(Calendar,R138,"1D","f")</f>
        <v>42475</v>
      </c>
      <c r="S139" s="47">
        <f>_xll.qlTenorBasisValue($P$3,R139,AllTriggers)</f>
        <v>2.1096984856454355E-3</v>
      </c>
      <c r="T139" s="41">
        <f>_xll.qlDayCounterYearFraction("actual/365 (fixed)",SettlementDate,R139,,,Trigger)</f>
        <v>0.53698630136986303</v>
      </c>
      <c r="U139" s="47">
        <f>_xll.qlPolynomialFunctionValue($P$18,T139,AllTriggers)</f>
        <v>1.9950200996813072E-3</v>
      </c>
    </row>
    <row r="140" spans="18:21" x14ac:dyDescent="0.2">
      <c r="R140" s="212">
        <f>_xll.qlCalendarAdvance(Calendar,R139,"1D","f")</f>
        <v>42478</v>
      </c>
      <c r="S140" s="47">
        <f>_xll.qlTenorBasisValue($P$3,R140,AllTriggers)</f>
        <v>2.1131732030884973E-3</v>
      </c>
      <c r="T140" s="41">
        <f>_xll.qlDayCounterYearFraction("actual/365 (fixed)",SettlementDate,R140,,,Trigger)</f>
        <v>0.54520547945205478</v>
      </c>
      <c r="U140" s="47">
        <f>_xll.qlPolynomialFunctionValue($P$18,T140,AllTriggers)</f>
        <v>1.9991625974694789E-3</v>
      </c>
    </row>
    <row r="141" spans="18:21" x14ac:dyDescent="0.2">
      <c r="R141" s="212">
        <f>_xll.qlCalendarAdvance(Calendar,R140,"1D","f")</f>
        <v>42479</v>
      </c>
      <c r="S141" s="47">
        <f>_xll.qlTenorBasisValue($P$3,R141,AllTriggers)</f>
        <v>2.114327563912566E-3</v>
      </c>
      <c r="T141" s="41">
        <f>_xll.qlDayCounterYearFraction("actual/365 (fixed)",SettlementDate,R141,,,Trigger)</f>
        <v>0.54794520547945202</v>
      </c>
      <c r="U141" s="47">
        <f>_xll.qlPolynomialFunctionValue($P$18,T141,AllTriggers)</f>
        <v>2.0005370136634477E-3</v>
      </c>
    </row>
    <row r="142" spans="18:21" x14ac:dyDescent="0.2">
      <c r="R142" s="212">
        <f>_xll.qlCalendarAdvance(Calendar,R141,"1D","f")</f>
        <v>42480</v>
      </c>
      <c r="S142" s="47">
        <f>_xll.qlTenorBasisValue($P$3,R142,AllTriggers)</f>
        <v>2.1154800081271703E-3</v>
      </c>
      <c r="T142" s="41">
        <f>_xll.qlDayCounterYearFraction("actual/365 (fixed)",SettlementDate,R142,,,Trigger)</f>
        <v>0.55068493150684927</v>
      </c>
      <c r="U142" s="47">
        <f>_xll.qlPolynomialFunctionValue($P$18,T142,AllTriggers)</f>
        <v>2.0019082442087163E-3</v>
      </c>
    </row>
    <row r="143" spans="18:21" x14ac:dyDescent="0.2">
      <c r="R143" s="212">
        <f>_xll.qlCalendarAdvance(Calendar,R142,"1D","f")</f>
        <v>42481</v>
      </c>
      <c r="S143" s="47">
        <f>_xll.qlTenorBasisValue($P$3,R143,AllTriggers)</f>
        <v>2.116630549263717E-3</v>
      </c>
      <c r="T143" s="41">
        <f>_xll.qlDayCounterYearFraction("actual/365 (fixed)",SettlementDate,R143,,,Trigger)</f>
        <v>0.55342465753424652</v>
      </c>
      <c r="U143" s="47">
        <f>_xll.qlPolynomialFunctionValue($P$18,T143,AllTriggers)</f>
        <v>2.0032763026366922E-3</v>
      </c>
    </row>
    <row r="144" spans="18:21" x14ac:dyDescent="0.2">
      <c r="R144" s="212">
        <f>_xll.qlCalendarAdvance(Calendar,R143,"1D","f")</f>
        <v>42482</v>
      </c>
      <c r="S144" s="47">
        <f>_xll.qlTenorBasisValue($P$3,R144,AllTriggers)</f>
        <v>2.1177792008536134E-3</v>
      </c>
      <c r="T144" s="41">
        <f>_xll.qlDayCounterYearFraction("actual/365 (fixed)",SettlementDate,R144,,,Trigger)</f>
        <v>0.55616438356164388</v>
      </c>
      <c r="U144" s="47">
        <f>_xll.qlPolynomialFunctionValue($P$18,T144,AllTriggers)</f>
        <v>2.0046412024787835E-3</v>
      </c>
    </row>
    <row r="145" spans="18:21" x14ac:dyDescent="0.2">
      <c r="R145" s="212">
        <f>_xll.qlCalendarAdvance(Calendar,R144,"1D","f")</f>
        <v>42485</v>
      </c>
      <c r="S145" s="47">
        <f>_xll.qlTenorBasisValue($P$3,R145,AllTriggers)</f>
        <v>2.1212139536574666E-3</v>
      </c>
      <c r="T145" s="41">
        <f>_xll.qlDayCounterYearFraction("actual/365 (fixed)",SettlementDate,R145,,,Trigger)</f>
        <v>0.56438356164383563</v>
      </c>
      <c r="U145" s="47">
        <f>_xll.qlPolynomialFunctionValue($P$18,T145,AllTriggers)</f>
        <v>2.0087170858038082E-3</v>
      </c>
    </row>
    <row r="146" spans="18:21" x14ac:dyDescent="0.2">
      <c r="R146" s="212">
        <f>_xll.qlCalendarAdvance(Calendar,R145,"1D","f")</f>
        <v>42486</v>
      </c>
      <c r="S146" s="47">
        <f>_xll.qlTenorBasisValue($P$3,R146,AllTriggers)</f>
        <v>2.1223551823748282E-3</v>
      </c>
      <c r="T146" s="41">
        <f>_xll.qlDayCounterYearFraction("actual/365 (fixed)",SettlementDate,R146,,,Trigger)</f>
        <v>0.56712328767123288</v>
      </c>
      <c r="U146" s="47">
        <f>_xll.qlPolynomialFunctionValue($P$18,T146,AllTriggers)</f>
        <v>2.010069486616424E-3</v>
      </c>
    </row>
    <row r="147" spans="18:21" x14ac:dyDescent="0.2">
      <c r="R147" s="212">
        <f>_xll.qlCalendarAdvance(Calendar,R146,"1D","f")</f>
        <v>42487</v>
      </c>
      <c r="S147" s="47">
        <f>_xll.qlTenorBasisValue($P$3,R147,AllTriggers)</f>
        <v>2.1234945892025748E-3</v>
      </c>
      <c r="T147" s="41">
        <f>_xll.qlDayCounterYearFraction("actual/365 (fixed)",SettlementDate,R147,,,Trigger)</f>
        <v>0.56986301369863013</v>
      </c>
      <c r="U147" s="47">
        <f>_xll.qlPolynomialFunctionValue($P$18,T147,AllTriggers)</f>
        <v>2.0114187965001883E-3</v>
      </c>
    </row>
    <row r="148" spans="18:21" x14ac:dyDescent="0.2">
      <c r="R148" s="212">
        <f>_xll.qlCalendarAdvance(Calendar,R147,"1D","f")</f>
        <v>42488</v>
      </c>
      <c r="S148" s="47">
        <f>_xll.qlTenorBasisValue($P$3,R148,AllTriggers)</f>
        <v>2.1246321876721114E-3</v>
      </c>
      <c r="T148" s="41">
        <f>_xll.qlDayCounterYearFraction("actual/365 (fixed)",SettlementDate,R148,,,Trigger)</f>
        <v>0.57260273972602738</v>
      </c>
      <c r="U148" s="47">
        <f>_xll.qlPolynomialFunctionValue($P$18,T148,AllTriggers)</f>
        <v>2.0127650289865078E-3</v>
      </c>
    </row>
    <row r="149" spans="18:21" x14ac:dyDescent="0.2">
      <c r="R149" s="212">
        <f>_xll.qlCalendarAdvance(Calendar,R148,"1D","f")</f>
        <v>42489</v>
      </c>
      <c r="S149" s="47">
        <f>_xll.qlTenorBasisValue($P$3,R149,AllTriggers)</f>
        <v>2.1257679913148451E-3</v>
      </c>
      <c r="T149" s="41">
        <f>_xll.qlDayCounterYearFraction("actual/365 (fixed)",SettlementDate,R149,,,Trigger)</f>
        <v>0.57534246575342463</v>
      </c>
      <c r="U149" s="47">
        <f>_xll.qlPolynomialFunctionValue($P$18,T149,AllTriggers)</f>
        <v>2.0141081976067904E-3</v>
      </c>
    </row>
    <row r="150" spans="18:21" x14ac:dyDescent="0.2">
      <c r="R150" s="212">
        <f>_xll.qlCalendarAdvance(Calendar,R149,"1D","f")</f>
        <v>42492</v>
      </c>
      <c r="S150" s="47">
        <f>_xll.qlTenorBasisValue($P$3,R150,AllTriggers)</f>
        <v>2.1291647685963005E-3</v>
      </c>
      <c r="T150" s="41">
        <f>_xll.qlDayCounterYearFraction("actual/365 (fixed)",SettlementDate,R150,,,Trigger)</f>
        <v>0.58356164383561648</v>
      </c>
      <c r="U150" s="47">
        <f>_xll.qlPolynomialFunctionValue($P$18,T150,AllTriggers)</f>
        <v>2.0181194555854787E-3</v>
      </c>
    </row>
    <row r="151" spans="18:21" x14ac:dyDescent="0.2">
      <c r="R151" s="212">
        <f>_xll.qlCalendarAdvance(Calendar,R150,"1D","f")</f>
        <v>42493</v>
      </c>
      <c r="S151" s="47">
        <f>_xll.qlTenorBasisValue($P$3,R151,AllTriggers)</f>
        <v>2.1302935282458933E-3</v>
      </c>
      <c r="T151" s="41">
        <f>_xll.qlDayCounterYearFraction("actual/365 (fixed)",SettlementDate,R151,,,Trigger)</f>
        <v>0.58630136986301373</v>
      </c>
      <c r="U151" s="47">
        <f>_xll.qlPolynomialFunctionValue($P$18,T151,AllTriggers)</f>
        <v>2.019450504055679E-3</v>
      </c>
    </row>
    <row r="152" spans="18:21" x14ac:dyDescent="0.2">
      <c r="R152" s="212">
        <f>_xll.qlCalendarAdvance(Calendar,R151,"1D","f")</f>
        <v>42494</v>
      </c>
      <c r="S152" s="47">
        <f>_xll.qlTenorBasisValue($P$3,R152,AllTriggers)</f>
        <v>2.1314205607257178E-3</v>
      </c>
      <c r="T152" s="41">
        <f>_xll.qlDayCounterYearFraction("actual/365 (fixed)",SettlementDate,R152,,,Trigger)</f>
        <v>0.58904109589041098</v>
      </c>
      <c r="U152" s="47">
        <f>_xll.qlPolynomialFunctionValue($P$18,T152,AllTriggers)</f>
        <v>2.0207785563168758E-3</v>
      </c>
    </row>
    <row r="153" spans="18:21" x14ac:dyDescent="0.2">
      <c r="R153" s="212">
        <f>_xll.qlCalendarAdvance(Calendar,R152,"1D","f")</f>
        <v>42495</v>
      </c>
      <c r="S153" s="47">
        <f>_xll.qlTenorBasisValue($P$3,R153,AllTriggers)</f>
        <v>2.1325458795671808E-3</v>
      </c>
      <c r="T153" s="41">
        <f>_xll.qlDayCounterYearFraction("actual/365 (fixed)",SettlementDate,R153,,,Trigger)</f>
        <v>0.59178082191780823</v>
      </c>
      <c r="U153" s="47">
        <f>_xll.qlPolynomialFunctionValue($P$18,T153,AllTriggers)</f>
        <v>2.0221036259004755E-3</v>
      </c>
    </row>
    <row r="154" spans="18:21" x14ac:dyDescent="0.2">
      <c r="R154" s="212">
        <f>_xll.qlCalendarAdvance(Calendar,R153,"1D","f")</f>
        <v>42496</v>
      </c>
      <c r="S154" s="47">
        <f>_xll.qlTenorBasisValue($P$3,R154,AllTriggers)</f>
        <v>2.1336694983016898E-3</v>
      </c>
      <c r="T154" s="41">
        <f>_xll.qlDayCounterYearFraction("actual/365 (fixed)",SettlementDate,R154,,,Trigger)</f>
        <v>0.59452054794520548</v>
      </c>
      <c r="U154" s="47">
        <f>_xll.qlPolynomialFunctionValue($P$18,T154,AllTriggers)</f>
        <v>2.0234257263378871E-3</v>
      </c>
    </row>
    <row r="155" spans="18:21" x14ac:dyDescent="0.2">
      <c r="R155" s="212">
        <f>_xll.qlCalendarAdvance(Calendar,R154,"1D","f")</f>
        <v>42499</v>
      </c>
      <c r="S155" s="47">
        <f>_xll.qlTenorBasisValue($P$3,R155,AllTriggers)</f>
        <v>2.1370302891775589E-3</v>
      </c>
      <c r="T155" s="41">
        <f>_xll.qlDayCounterYearFraction("actual/365 (fixed)",SettlementDate,R155,,,Trigger)</f>
        <v>0.60273972602739723</v>
      </c>
      <c r="U155" s="47">
        <f>_xll.qlPolynomialFunctionValue($P$18,T155,AllTriggers)</f>
        <v>2.0273743480870503E-3</v>
      </c>
    </row>
    <row r="156" spans="18:21" x14ac:dyDescent="0.2">
      <c r="R156" s="212">
        <f>_xll.qlCalendarAdvance(Calendar,R155,"1D","f")</f>
        <v>42500</v>
      </c>
      <c r="S156" s="47">
        <f>_xll.qlTenorBasisValue($P$3,R156,AllTriggers)</f>
        <v>2.1381472427983187E-3</v>
      </c>
      <c r="T156" s="41">
        <f>_xll.qlDayCounterYearFraction("actual/365 (fixed)",SettlementDate,R156,,,Trigger)</f>
        <v>0.60547945205479448</v>
      </c>
      <c r="U156" s="47">
        <f>_xll.qlPolynomialFunctionValue($P$18,T156,AllTriggers)</f>
        <v>2.0286847072537718E-3</v>
      </c>
    </row>
    <row r="157" spans="18:21" x14ac:dyDescent="0.2">
      <c r="R157" s="212">
        <f>_xll.qlCalendarAdvance(Calendar,R156,"1D","f")</f>
        <v>42501</v>
      </c>
      <c r="S157" s="47">
        <f>_xll.qlTenorBasisValue($P$3,R157,AllTriggers)</f>
        <v>2.139262563969159E-3</v>
      </c>
      <c r="T157" s="41">
        <f>_xll.qlDayCounterYearFraction("actual/365 (fixed)",SettlementDate,R157,,,Trigger)</f>
        <v>0.60821917808219184</v>
      </c>
      <c r="U157" s="47">
        <f>_xll.qlPolynomialFunctionValue($P$18,T157,AllTriggers)</f>
        <v>2.0299921649313377E-3</v>
      </c>
    </row>
    <row r="158" spans="18:21" x14ac:dyDescent="0.2">
      <c r="R158" s="212">
        <f>_xll.qlCalendarAdvance(Calendar,R157,"1D","f")</f>
        <v>42502</v>
      </c>
      <c r="S158" s="47">
        <f>_xll.qlTenorBasisValue($P$3,R158,AllTriggers)</f>
        <v>2.1403762662214852E-3</v>
      </c>
      <c r="T158" s="41">
        <f>_xll.qlDayCounterYearFraction("actual/365 (fixed)",SettlementDate,R158,,,Trigger)</f>
        <v>0.61095890410958908</v>
      </c>
      <c r="U158" s="47">
        <f>_xll.qlPolynomialFunctionValue($P$18,T158,AllTriggers)</f>
        <v>2.0312967346511552E-3</v>
      </c>
    </row>
    <row r="159" spans="18:21" x14ac:dyDescent="0.2">
      <c r="R159" s="212">
        <f>_xll.qlCalendarAdvance(Calendar,R158,"1D","f")</f>
        <v>42503</v>
      </c>
      <c r="S159" s="47">
        <f>_xll.qlTenorBasisValue($P$3,R159,AllTriggers)</f>
        <v>2.1414883630867061E-3</v>
      </c>
      <c r="T159" s="41">
        <f>_xll.qlDayCounterYearFraction("actual/365 (fixed)",SettlementDate,R159,,,Trigger)</f>
        <v>0.61369863013698633</v>
      </c>
      <c r="U159" s="47">
        <f>_xll.qlPolynomialFunctionValue($P$18,T159,AllTriggers)</f>
        <v>2.0325984299446312E-3</v>
      </c>
    </row>
    <row r="160" spans="18:21" x14ac:dyDescent="0.2">
      <c r="R160" s="212">
        <f>_xll.qlCalendarAdvance(Calendar,R159,"1D","f")</f>
        <v>42506</v>
      </c>
      <c r="S160" s="47">
        <f>_xll.qlTenorBasisValue($P$3,R160,AllTriggers)</f>
        <v>2.1448151566737989E-3</v>
      </c>
      <c r="T160" s="41">
        <f>_xll.qlDayCounterYearFraction("actual/365 (fixed)",SettlementDate,R160,,,Trigger)</f>
        <v>0.62191780821917808</v>
      </c>
      <c r="U160" s="47">
        <f>_xll.qlPolynomialFunctionValue($P$18,T160,AllTriggers)</f>
        <v>2.0364864045810801E-3</v>
      </c>
    </row>
    <row r="161" spans="18:21" x14ac:dyDescent="0.2">
      <c r="R161" s="212">
        <f>_xll.qlCalendarAdvance(Calendar,R160,"1D","f")</f>
        <v>42507</v>
      </c>
      <c r="S161" s="47">
        <f>_xll.qlTenorBasisValue($P$3,R161,AllTriggers)</f>
        <v>2.145920967304663E-3</v>
      </c>
      <c r="T161" s="41">
        <f>_xll.qlDayCounterYearFraction("actual/365 (fixed)",SettlementDate,R161,,,Trigger)</f>
        <v>0.62465753424657533</v>
      </c>
      <c r="U161" s="47">
        <f>_xll.qlPolynomialFunctionValue($P$18,T161,AllTriggers)</f>
        <v>2.0377767374832596E-3</v>
      </c>
    </row>
    <row r="162" spans="18:21" x14ac:dyDescent="0.2">
      <c r="R162" s="212">
        <f>_xll.qlCalendarAdvance(Calendar,R161,"1D","f")</f>
        <v>42508</v>
      </c>
      <c r="S162" s="47">
        <f>_xll.qlTenorBasisValue($P$3,R162,AllTriggers)</f>
        <v>2.1470252402054557E-3</v>
      </c>
      <c r="T162" s="41">
        <f>_xll.qlDayCounterYearFraction("actual/365 (fixed)",SettlementDate,R162,,,Trigger)</f>
        <v>0.62739726027397258</v>
      </c>
      <c r="U162" s="47">
        <f>_xll.qlPolynomialFunctionValue($P$18,T162,AllTriggers)</f>
        <v>2.0390642636161317E-3</v>
      </c>
    </row>
    <row r="163" spans="18:21" x14ac:dyDescent="0.2">
      <c r="R163" s="212">
        <f>_xll.qlCalendarAdvance(Calendar,R162,"1D","f")</f>
        <v>42509</v>
      </c>
      <c r="S163" s="47">
        <f>_xll.qlTenorBasisValue($P$3,R163,AllTriggers)</f>
        <v>2.1481279889075831E-3</v>
      </c>
      <c r="T163" s="41">
        <f>_xll.qlDayCounterYearFraction("actual/365 (fixed)",SettlementDate,R163,,,Trigger)</f>
        <v>0.63013698630136983</v>
      </c>
      <c r="U163" s="47">
        <f>_xll.qlPolynomialFunctionValue($P$18,T163,AllTriggers)</f>
        <v>2.0403489965111041E-3</v>
      </c>
    </row>
    <row r="164" spans="18:21" x14ac:dyDescent="0.2">
      <c r="R164" s="212">
        <f>_xll.qlCalendarAdvance(Calendar,R163,"1D","f")</f>
        <v>42510</v>
      </c>
      <c r="S164" s="47">
        <f>_xll.qlTenorBasisValue($P$3,R164,AllTriggers)</f>
        <v>2.1492292269424521E-3</v>
      </c>
      <c r="T164" s="41">
        <f>_xll.qlDayCounterYearFraction("actual/365 (fixed)",SettlementDate,R164,,,Trigger)</f>
        <v>0.63287671232876708</v>
      </c>
      <c r="U164" s="47">
        <f>_xll.qlPolynomialFunctionValue($P$18,T164,AllTriggers)</f>
        <v>2.0416309496995829E-3</v>
      </c>
    </row>
    <row r="165" spans="18:21" x14ac:dyDescent="0.2">
      <c r="R165" s="212">
        <f>_xll.qlCalendarAdvance(Calendar,R164,"1D","f")</f>
        <v>42513</v>
      </c>
      <c r="S165" s="47">
        <f>_xll.qlTenorBasisValue($P$3,R165,AllTriggers)</f>
        <v>2.1525240123575801E-3</v>
      </c>
      <c r="T165" s="41">
        <f>_xll.qlDayCounterYearFraction("actual/365 (fixed)",SettlementDate,R165,,,Trigger)</f>
        <v>0.64109589041095894</v>
      </c>
      <c r="U165" s="47">
        <f>_xll.qlPolynomialFunctionValue($P$18,T165,AllTriggers)</f>
        <v>2.0454602663401282E-3</v>
      </c>
    </row>
    <row r="166" spans="18:21" x14ac:dyDescent="0.2">
      <c r="R166" s="212">
        <f>_xll.qlCalendarAdvance(Calendar,R165,"1D","f")</f>
        <v>42514</v>
      </c>
      <c r="S166" s="47">
        <f>_xll.qlTenorBasisValue($P$3,R166,AllTriggers)</f>
        <v>2.1536193430374854E-3</v>
      </c>
      <c r="T166" s="41">
        <f>_xll.qlDayCounterYearFraction("actual/365 (fixed)",SettlementDate,R166,,,Trigger)</f>
        <v>0.64383561643835618</v>
      </c>
      <c r="U166" s="47">
        <f>_xll.qlPolynomialFunctionValue($P$18,T166,AllTriggers)</f>
        <v>2.0467312360167027E-3</v>
      </c>
    </row>
    <row r="167" spans="18:21" x14ac:dyDescent="0.2">
      <c r="R167" s="212">
        <f>_xll.qlCalendarAdvance(Calendar,R166,"1D","f")</f>
        <v>42515</v>
      </c>
      <c r="S167" s="47">
        <f>_xll.qlTenorBasisValue($P$3,R167,AllTriggers)</f>
        <v>2.1547132307071673E-3</v>
      </c>
      <c r="T167" s="41">
        <f>_xll.qlDayCounterYearFraction("actual/365 (fixed)",SettlementDate,R167,,,Trigger)</f>
        <v>0.64657534246575343</v>
      </c>
      <c r="U167" s="47">
        <f>_xll.qlPolynomialFunctionValue($P$18,T167,AllTriggers)</f>
        <v>2.0479994936438181E-3</v>
      </c>
    </row>
    <row r="168" spans="18:21" x14ac:dyDescent="0.2">
      <c r="R168" s="212">
        <f>_xll.qlCalendarAdvance(Calendar,R167,"1D","f")</f>
        <v>42516</v>
      </c>
      <c r="S168" s="47">
        <f>_xll.qlTenorBasisValue($P$3,R168,AllTriggers)</f>
        <v>2.1558056888980322E-3</v>
      </c>
      <c r="T168" s="41">
        <f>_xll.qlDayCounterYearFraction("actual/365 (fixed)",SettlementDate,R168,,,Trigger)</f>
        <v>0.64931506849315068</v>
      </c>
      <c r="U168" s="47">
        <f>_xll.qlPolynomialFunctionValue($P$18,T168,AllTriggers)</f>
        <v>2.0492650527528813E-3</v>
      </c>
    </row>
    <row r="169" spans="18:21" x14ac:dyDescent="0.2">
      <c r="R169" s="212">
        <f>_xll.qlCalendarAdvance(Calendar,R168,"1D","f")</f>
        <v>42517</v>
      </c>
      <c r="S169" s="47">
        <f>_xll.qlTenorBasisValue($P$3,R169,AllTriggers)</f>
        <v>2.1568967311414869E-3</v>
      </c>
      <c r="T169" s="41">
        <f>_xll.qlDayCounterYearFraction("actual/365 (fixed)",SettlementDate,R169,,,Trigger)</f>
        <v>0.65205479452054793</v>
      </c>
      <c r="U169" s="47">
        <f>_xll.qlPolynomialFunctionValue($P$18,T169,AllTriggers)</f>
        <v>2.0505279268752995E-3</v>
      </c>
    </row>
    <row r="170" spans="18:21" x14ac:dyDescent="0.2">
      <c r="R170" s="212">
        <f>_xll.qlCalendarAdvance(Calendar,R169,"1D","f")</f>
        <v>42520</v>
      </c>
      <c r="S170" s="47">
        <f>_xll.qlTenorBasisValue($P$3,R170,AllTriggers)</f>
        <v>2.1601614975014605E-3</v>
      </c>
      <c r="T170" s="41">
        <f>_xll.qlDayCounterYearFraction("actual/365 (fixed)",SettlementDate,R170,,,Trigger)</f>
        <v>0.66027397260273968</v>
      </c>
      <c r="U170" s="47">
        <f>_xll.qlPolynomialFunctionValue($P$18,T170,AllTriggers)</f>
        <v>2.0543005746367516E-3</v>
      </c>
    </row>
    <row r="171" spans="18:21" x14ac:dyDescent="0.2">
      <c r="R171" s="212">
        <f>_xll.qlCalendarAdvance(Calendar,R170,"1D","f")</f>
        <v>42521</v>
      </c>
      <c r="S171" s="47">
        <f>_xll.qlTenorBasisValue($P$3,R171,AllTriggers)</f>
        <v>2.1612470112693442E-3</v>
      </c>
      <c r="T171" s="41">
        <f>_xll.qlDayCounterYearFraction("actual/365 (fixed)",SettlementDate,R171,,,Trigger)</f>
        <v>0.66301369863013704</v>
      </c>
      <c r="U171" s="47">
        <f>_xll.qlPolynomialFunctionValue($P$18,T171,AllTriggers)</f>
        <v>2.0555528441266583E-3</v>
      </c>
    </row>
    <row r="172" spans="18:21" x14ac:dyDescent="0.2">
      <c r="R172" s="212">
        <f>_xll.qlCalendarAdvance(Calendar,R171,"1D","f")</f>
        <v>42522</v>
      </c>
      <c r="S172" s="47">
        <f>_xll.qlTenorBasisValue($P$3,R172,AllTriggers)</f>
        <v>2.1623311767468519E-3</v>
      </c>
      <c r="T172" s="41">
        <f>_xll.qlDayCounterYearFraction("actual/365 (fixed)",SettlementDate,R172,,,Trigger)</f>
        <v>0.66575342465753429</v>
      </c>
      <c r="U172" s="47">
        <f>_xll.qlPolynomialFunctionValue($P$18,T172,AllTriggers)</f>
        <v>2.0568024962869542E-3</v>
      </c>
    </row>
    <row r="173" spans="18:21" x14ac:dyDescent="0.2">
      <c r="R173" s="212">
        <f>_xll.qlCalendarAdvance(Calendar,R172,"1D","f")</f>
        <v>42523</v>
      </c>
      <c r="S173" s="47">
        <f>_xll.qlTenorBasisValue($P$3,R173,AllTriggers)</f>
        <v>2.1634140074653914E-3</v>
      </c>
      <c r="T173" s="41">
        <f>_xll.qlDayCounterYearFraction("actual/365 (fixed)",SettlementDate,R173,,,Trigger)</f>
        <v>0.66849315068493154</v>
      </c>
      <c r="U173" s="47">
        <f>_xll.qlPolynomialFunctionValue($P$18,T173,AllTriggers)</f>
        <v>2.0580495446490456E-3</v>
      </c>
    </row>
    <row r="174" spans="18:21" x14ac:dyDescent="0.2">
      <c r="R174" s="212">
        <f>_xll.qlCalendarAdvance(Calendar,R173,"1D","f")</f>
        <v>42524</v>
      </c>
      <c r="S174" s="47">
        <f>_xll.qlTenorBasisValue($P$3,R174,AllTriggers)</f>
        <v>2.1644955169563686E-3</v>
      </c>
      <c r="T174" s="41">
        <f>_xll.qlDayCounterYearFraction("actual/365 (fixed)",SettlementDate,R174,,,Trigger)</f>
        <v>0.67123287671232879</v>
      </c>
      <c r="U174" s="47">
        <f>_xll.qlPolynomialFunctionValue($P$18,T174,AllTriggers)</f>
        <v>2.0592940027443401E-3</v>
      </c>
    </row>
    <row r="175" spans="18:21" x14ac:dyDescent="0.2">
      <c r="R175" s="212">
        <f>_xll.qlCalendarAdvance(Calendar,R174,"1D","f")</f>
        <v>42527</v>
      </c>
      <c r="S175" s="47">
        <f>_xll.qlTenorBasisValue($P$3,R175,AllTriggers)</f>
        <v>2.1677322533779986E-3</v>
      </c>
      <c r="T175" s="41">
        <f>_xll.qlDayCounterYearFraction("actual/365 (fixed)",SettlementDate,R175,,,Trigger)</f>
        <v>0.67945205479452053</v>
      </c>
      <c r="U175" s="47">
        <f>_xll.qlPolynomialFunctionValue($P$18,T175,AllTriggers)</f>
        <v>2.0630119707435103E-3</v>
      </c>
    </row>
    <row r="176" spans="18:21" x14ac:dyDescent="0.2">
      <c r="R176" s="212">
        <f>_xll.qlCalendarAdvance(Calendar,R175,"1D","f")</f>
        <v>42528</v>
      </c>
      <c r="S176" s="47">
        <f>_xll.qlTenorBasisValue($P$3,R176,AllTriggers)</f>
        <v>2.1688086132727971E-3</v>
      </c>
      <c r="T176" s="41">
        <f>_xll.qlDayCounterYearFraction("actual/365 (fixed)",SettlementDate,R176,,,Trigger)</f>
        <v>0.68219178082191778</v>
      </c>
      <c r="U176" s="47">
        <f>_xll.qlPolynomialFunctionValue($P$18,T176,AllTriggers)</f>
        <v>2.0642462030856855E-3</v>
      </c>
    </row>
    <row r="177" spans="18:21" x14ac:dyDescent="0.2">
      <c r="R177" s="212">
        <f>_xll.qlCalendarAdvance(Calendar,R176,"1D","f")</f>
        <v>42529</v>
      </c>
      <c r="S177" s="47">
        <f>_xll.qlTenorBasisValue($P$3,R177,AllTriggers)</f>
        <v>2.1698837195970686E-3</v>
      </c>
      <c r="T177" s="41">
        <f>_xll.qlDayCounterYearFraction("actual/365 (fixed)",SettlementDate,R177,,,Trigger)</f>
        <v>0.68493150684931503</v>
      </c>
      <c r="U177" s="47">
        <f>_xll.qlPolynomialFunctionValue($P$18,T177,AllTriggers)</f>
        <v>2.065477912818098E-3</v>
      </c>
    </row>
    <row r="178" spans="18:21" x14ac:dyDescent="0.2">
      <c r="R178" s="212">
        <f>_xll.qlCalendarAdvance(Calendar,R177,"1D","f")</f>
        <v>42530</v>
      </c>
      <c r="S178" s="47">
        <f>_xll.qlTenorBasisValue($P$3,R178,AllTriggers)</f>
        <v>2.1709575858822193E-3</v>
      </c>
      <c r="T178" s="41">
        <f>_xll.qlDayCounterYearFraction("actual/365 (fixed)",SettlementDate,R178,,,Trigger)</f>
        <v>0.68767123287671228</v>
      </c>
      <c r="U178" s="47">
        <f>_xll.qlPolynomialFunctionValue($P$18,T178,AllTriggers)</f>
        <v>2.0667071134721554E-3</v>
      </c>
    </row>
    <row r="179" spans="18:21" x14ac:dyDescent="0.2">
      <c r="R179" s="212">
        <f>_xll.qlCalendarAdvance(Calendar,R178,"1D","f")</f>
        <v>42531</v>
      </c>
      <c r="S179" s="47">
        <f>_xll.qlTenorBasisValue($P$3,R179,AllTriggers)</f>
        <v>2.1720302256596565E-3</v>
      </c>
      <c r="T179" s="41">
        <f>_xll.qlDayCounterYearFraction("actual/365 (fixed)",SettlementDate,R179,,,Trigger)</f>
        <v>0.69041095890410964</v>
      </c>
      <c r="U179" s="47">
        <f>_xll.qlPolynomialFunctionValue($P$18,T179,AllTriggers)</f>
        <v>2.0679338185792631E-3</v>
      </c>
    </row>
    <row r="180" spans="18:21" x14ac:dyDescent="0.2">
      <c r="R180" s="212">
        <f>_xll.qlCalendarAdvance(Calendar,R179,"1D","f")</f>
        <v>42534</v>
      </c>
      <c r="S180" s="47">
        <f>_xll.qlTenorBasisValue($P$3,R180,AllTriggers)</f>
        <v>2.1752409212597531E-3</v>
      </c>
      <c r="T180" s="41">
        <f>_xll.qlDayCounterYearFraction("actual/365 (fixed)",SettlementDate,R180,,,Trigger)</f>
        <v>0.69863013698630139</v>
      </c>
      <c r="U180" s="47">
        <f>_xll.qlPolynomialFunctionValue($P$18,T180,AllTriggers)</f>
        <v>2.071599095932962E-3</v>
      </c>
    </row>
    <row r="181" spans="18:21" x14ac:dyDescent="0.2">
      <c r="R181" s="212">
        <f>_xll.qlCalendarAdvance(Calendar,R180,"1D","f")</f>
        <v>42535</v>
      </c>
      <c r="S181" s="47">
        <f>_xll.qlTenorBasisValue($P$3,R181,AllTriggers)</f>
        <v>2.1763087903204042E-3</v>
      </c>
      <c r="T181" s="41">
        <f>_xll.qlDayCounterYearFraction("actual/365 (fixed)",SettlementDate,R181,,,Trigger)</f>
        <v>0.70136986301369864</v>
      </c>
      <c r="U181" s="47">
        <f>_xll.qlPolynomialFunctionValue($P$18,T181,AllTriggers)</f>
        <v>2.0728159541663431E-3</v>
      </c>
    </row>
    <row r="182" spans="18:21" x14ac:dyDescent="0.2">
      <c r="R182" s="212">
        <f>_xll.qlCalendarAdvance(Calendar,R181,"1D","f")</f>
        <v>42536</v>
      </c>
      <c r="S182" s="47">
        <f>_xll.qlTenorBasisValue($P$3,R182,AllTriggers)</f>
        <v>2.1773755005303759E-3</v>
      </c>
      <c r="T182" s="41">
        <f>_xll.qlDayCounterYearFraction("actual/365 (fixed)",SettlementDate,R182,,,Trigger)</f>
        <v>0.70410958904109588</v>
      </c>
      <c r="U182" s="47">
        <f>_xll.qlPolynomialFunctionValue($P$18,T182,AllTriggers)</f>
        <v>2.0740303845098104E-3</v>
      </c>
    </row>
    <row r="183" spans="18:21" x14ac:dyDescent="0.2">
      <c r="R183" s="212">
        <f>_xll.qlCalendarAdvance(Calendar,R182,"1D","f")</f>
        <v>42537</v>
      </c>
      <c r="S183" s="47">
        <f>_xll.qlTenorBasisValue($P$3,R183,AllTriggers)</f>
        <v>2.1784410654210745E-3</v>
      </c>
      <c r="T183" s="41">
        <f>_xll.qlDayCounterYearFraction("actual/365 (fixed)",SettlementDate,R183,,,Trigger)</f>
        <v>0.70684931506849313</v>
      </c>
      <c r="U183" s="47">
        <f>_xll.qlPolynomialFunctionValue($P$18,T183,AllTriggers)</f>
        <v>2.075242400494769E-3</v>
      </c>
    </row>
    <row r="184" spans="18:21" x14ac:dyDescent="0.2">
      <c r="R184" s="212">
        <f>_xll.qlCalendarAdvance(Calendar,R183,"1D","f")</f>
        <v>42538</v>
      </c>
      <c r="S184" s="47">
        <f>_xll.qlTenorBasisValue($P$3,R184,AllTriggers)</f>
        <v>2.1795054985239075E-3</v>
      </c>
      <c r="T184" s="41">
        <f>_xll.qlDayCounterYearFraction("actual/365 (fixed)",SettlementDate,R184,,,Trigger)</f>
        <v>0.70958904109589038</v>
      </c>
      <c r="U184" s="47">
        <f>_xll.qlPolynomialFunctionValue($P$18,T184,AllTriggers)</f>
        <v>2.0764520156526267E-3</v>
      </c>
    </row>
    <row r="185" spans="18:21" x14ac:dyDescent="0.2">
      <c r="R185" s="212">
        <f>_xll.qlCalendarAdvance(Calendar,R184,"1D","f")</f>
        <v>42541</v>
      </c>
      <c r="S185" s="47">
        <f>_xll.qlTenorBasisValue($P$3,R185,AllTriggers)</f>
        <v>2.1826921424192834E-3</v>
      </c>
      <c r="T185" s="41">
        <f>_xll.qlDayCounterYearFraction("actual/365 (fixed)",SettlementDate,R185,,,Trigger)</f>
        <v>0.71780821917808224</v>
      </c>
      <c r="U185" s="47">
        <f>_xll.qlPolynomialFunctionValue($P$18,T185,AllTriggers)</f>
        <v>2.0800665914776661E-3</v>
      </c>
    </row>
    <row r="186" spans="18:21" x14ac:dyDescent="0.2">
      <c r="R186" s="212">
        <f>_xll.qlCalendarAdvance(Calendar,R185,"1D","f")</f>
        <v>42542</v>
      </c>
      <c r="S186" s="47">
        <f>_xll.qlTenorBasisValue($P$3,R186,AllTriggers)</f>
        <v>2.183752183684723E-3</v>
      </c>
      <c r="T186" s="41">
        <f>_xll.qlDayCounterYearFraction("actual/365 (fixed)",SettlementDate,R186,,,Trigger)</f>
        <v>0.72054794520547949</v>
      </c>
      <c r="U186" s="47">
        <f>_xll.qlPolynomialFunctionValue($P$18,T186,AllTriggers)</f>
        <v>2.0812667386411895E-3</v>
      </c>
    </row>
    <row r="187" spans="18:21" x14ac:dyDescent="0.2">
      <c r="R187" s="212">
        <f>_xll.qlCalendarAdvance(Calendar,R186,"1D","f")</f>
        <v>42543</v>
      </c>
      <c r="S187" s="47">
        <f>_xll.qlTenorBasisValue($P$3,R187,AllTriggers)</f>
        <v>2.184811160819331E-3</v>
      </c>
      <c r="T187" s="41">
        <f>_xll.qlDayCounterYearFraction("actual/365 (fixed)",SettlementDate,R187,,,Trigger)</f>
        <v>0.72328767123287674</v>
      </c>
      <c r="U187" s="47">
        <f>_xll.qlPolynomialFunctionValue($P$18,T187,AllTriggers)</f>
        <v>2.0824645526346468E-3</v>
      </c>
    </row>
    <row r="188" spans="18:21" x14ac:dyDescent="0.2">
      <c r="R188" s="212">
        <f>_xll.qlCalendarAdvance(Calendar,R187,"1D","f")</f>
        <v>42544</v>
      </c>
      <c r="S188" s="47">
        <f>_xll.qlTenorBasisValue($P$3,R188,AllTriggers)</f>
        <v>2.1858690873545156E-3</v>
      </c>
      <c r="T188" s="41">
        <f>_xll.qlDayCounterYearFraction("actual/365 (fixed)",SettlementDate,R188,,,Trigger)</f>
        <v>0.72602739726027399</v>
      </c>
      <c r="U188" s="47">
        <f>_xll.qlPolynomialFunctionValue($P$18,T188,AllTriggers)</f>
        <v>2.0836600469894451E-3</v>
      </c>
    </row>
    <row r="189" spans="18:21" x14ac:dyDescent="0.2">
      <c r="R189" s="212">
        <f>_xll.qlCalendarAdvance(Calendar,R188,"1D","f")</f>
        <v>42545</v>
      </c>
      <c r="S189" s="47">
        <f>_xll.qlTenorBasisValue($P$3,R189,AllTriggers)</f>
        <v>2.1869259768216823E-3</v>
      </c>
      <c r="T189" s="41">
        <f>_xll.qlDayCounterYearFraction("actual/365 (fixed)",SettlementDate,R189,,,Trigger)</f>
        <v>0.72876712328767124</v>
      </c>
      <c r="U189" s="47">
        <f>_xll.qlPolynomialFunctionValue($P$18,T189,AllTriggers)</f>
        <v>2.0848532352369903E-3</v>
      </c>
    </row>
    <row r="190" spans="18:21" x14ac:dyDescent="0.2">
      <c r="R190" s="212">
        <f>_xll.qlCalendarAdvance(Calendar,R189,"1D","f")</f>
        <v>42548</v>
      </c>
      <c r="S190" s="47">
        <f>_xll.qlTenorBasisValue($P$3,R190,AllTriggers)</f>
        <v>2.1900905581291462E-3</v>
      </c>
      <c r="T190" s="41">
        <f>_xll.qlDayCounterYearFraction("actual/365 (fixed)",SettlementDate,R190,,,Trigger)</f>
        <v>0.73698630136986298</v>
      </c>
      <c r="U190" s="47">
        <f>_xll.qlPolynomialFunctionValue($P$18,T190,AllTriggers)</f>
        <v>2.0884190986501794E-3</v>
      </c>
    </row>
    <row r="191" spans="18:21" x14ac:dyDescent="0.2">
      <c r="R191" s="212">
        <f>_xll.qlCalendarAdvance(Calendar,R190,"1D","f")</f>
        <v>42549</v>
      </c>
      <c r="S191" s="47">
        <f>_xll.qlTenorBasisValue($P$3,R191,AllTriggers)</f>
        <v>2.1911434346383123E-3</v>
      </c>
      <c r="T191" s="41">
        <f>_xll.qlDayCounterYearFraction("actual/365 (fixed)",SettlementDate,R191,,,Trigger)</f>
        <v>0.73972602739726023</v>
      </c>
      <c r="U191" s="47">
        <f>_xll.qlPolynomialFunctionValue($P$18,T191,AllTriggers)</f>
        <v>2.089603197782783E-3</v>
      </c>
    </row>
    <row r="192" spans="18:21" x14ac:dyDescent="0.2">
      <c r="R192" s="212">
        <f>_xll.qlCalendarAdvance(Calendar,R191,"1D","f")</f>
        <v>42550</v>
      </c>
      <c r="S192" s="47">
        <f>_xll.qlTenorBasisValue($P$3,R192,AllTriggers)</f>
        <v>2.1921953417364947E-3</v>
      </c>
      <c r="T192" s="41">
        <f>_xll.qlDayCounterYearFraction("actual/365 (fixed)",SettlementDate,R192,,,Trigger)</f>
        <v>0.74246575342465748</v>
      </c>
      <c r="U192" s="47">
        <f>_xll.qlPolynomialFunctionValue($P$18,T192,AllTriggers)</f>
        <v>2.0907850584651684E-3</v>
      </c>
    </row>
    <row r="193" spans="18:21" x14ac:dyDescent="0.2">
      <c r="R193" s="212">
        <f>_xll.qlCalendarAdvance(Calendar,R192,"1D","f")</f>
        <v>42551</v>
      </c>
      <c r="S193" s="47">
        <f>_xll.qlTenorBasisValue($P$3,R193,AllTriggers)</f>
        <v>2.193246292955101E-3</v>
      </c>
      <c r="T193" s="41">
        <f>_xll.qlDayCounterYearFraction("actual/365 (fixed)",SettlementDate,R193,,,Trigger)</f>
        <v>0.74520547945205484</v>
      </c>
      <c r="U193" s="47">
        <f>_xll.qlPolynomialFunctionValue($P$18,T193,AllTriggers)</f>
        <v>2.0919646942287422E-3</v>
      </c>
    </row>
    <row r="194" spans="18:21" x14ac:dyDescent="0.2">
      <c r="R194" s="212">
        <f>_xll.qlCalendarAdvance(Calendar,R193,"1D","f")</f>
        <v>42552</v>
      </c>
      <c r="S194" s="47">
        <f>_xll.qlTenorBasisValue($P$3,R194,AllTriggers)</f>
        <v>2.1942963018255382E-3</v>
      </c>
      <c r="T194" s="41">
        <f>_xll.qlDayCounterYearFraction("actual/365 (fixed)",SettlementDate,R194,,,Trigger)</f>
        <v>0.74794520547945209</v>
      </c>
      <c r="U194" s="47">
        <f>_xll.qlPolynomialFunctionValue($P$18,T194,AllTriggers)</f>
        <v>2.093142118604912E-3</v>
      </c>
    </row>
    <row r="195" spans="18:21" x14ac:dyDescent="0.2">
      <c r="R195" s="212">
        <f>_xll.qlCalendarAdvance(Calendar,R194,"1D","f")</f>
        <v>42555</v>
      </c>
      <c r="S195" s="47">
        <f>_xll.qlTenorBasisValue($P$3,R195,AllTriggers)</f>
        <v>2.1974408096619024E-3</v>
      </c>
      <c r="T195" s="41">
        <f>_xll.qlDayCounterYearFraction("actual/365 (fixed)",SettlementDate,R195,,,Trigger)</f>
        <v>0.75616438356164384</v>
      </c>
      <c r="U195" s="47">
        <f>_xll.qlPolynomialFunctionValue($P$18,T195,AllTriggers)</f>
        <v>2.0966612587230622E-3</v>
      </c>
    </row>
    <row r="196" spans="18:21" x14ac:dyDescent="0.2">
      <c r="R196" s="212">
        <f>_xll.qlCalendarAdvance(Calendar,R195,"1D","f")</f>
        <v>42556</v>
      </c>
      <c r="S196" s="47">
        <f>_xll.qlTenorBasisValue($P$3,R196,AllTriggers)</f>
        <v>2.1984871844537308E-3</v>
      </c>
      <c r="T196" s="41">
        <f>_xll.qlDayCounterYearFraction("actual/365 (fixed)",SettlementDate,R196,,,Trigger)</f>
        <v>0.75890410958904109</v>
      </c>
      <c r="U196" s="47">
        <f>_xll.qlPolynomialFunctionValue($P$18,T196,AllTriggers)</f>
        <v>2.0978299728636822E-3</v>
      </c>
    </row>
    <row r="197" spans="18:21" x14ac:dyDescent="0.2">
      <c r="R197" s="212">
        <f>_xll.qlCalendarAdvance(Calendar,R196,"1D","f")</f>
        <v>42557</v>
      </c>
      <c r="S197" s="47">
        <f>_xll.qlTenorBasisValue($P$3,R197,AllTriggers)</f>
        <v>2.1995326845544241E-3</v>
      </c>
      <c r="T197" s="41">
        <f>_xll.qlDayCounterYearFraction("actual/365 (fixed)",SettlementDate,R197,,,Trigger)</f>
        <v>0.76164383561643834</v>
      </c>
      <c r="U197" s="47">
        <f>_xll.qlPolynomialFunctionValue($P$18,T197,AllTriggers)</f>
        <v>2.0989965432739329E-3</v>
      </c>
    </row>
    <row r="198" spans="18:21" x14ac:dyDescent="0.2">
      <c r="R198" s="212">
        <f>_xll.qlCalendarAdvance(Calendar,R197,"1D","f")</f>
        <v>42558</v>
      </c>
      <c r="S198" s="47">
        <f>_xll.qlTenorBasisValue($P$3,R198,AllTriggers)</f>
        <v>2.2005773234953898E-3</v>
      </c>
      <c r="T198" s="41">
        <f>_xll.qlDayCounterYearFraction("actual/365 (fixed)",SettlementDate,R198,,,Trigger)</f>
        <v>0.76438356164383559</v>
      </c>
      <c r="U198" s="47">
        <f>_xll.qlPolynomialFunctionValue($P$18,T198,AllTriggers)</f>
        <v>2.1001609834852193E-3</v>
      </c>
    </row>
    <row r="199" spans="18:21" x14ac:dyDescent="0.2">
      <c r="R199" s="212">
        <f>_xll.qlCalendarAdvance(Calendar,R198,"1D","f")</f>
        <v>42559</v>
      </c>
      <c r="S199" s="47">
        <f>_xll.qlTenorBasisValue($P$3,R199,AllTriggers)</f>
        <v>2.2016211148080341E-3</v>
      </c>
      <c r="T199" s="41">
        <f>_xll.qlDayCounterYearFraction("actual/365 (fixed)",SettlementDate,R199,,,Trigger)</f>
        <v>0.76712328767123283</v>
      </c>
      <c r="U199" s="47">
        <f>_xll.qlPolynomialFunctionValue($P$18,T199,AllTriggers)</f>
        <v>2.10132330702895E-3</v>
      </c>
    </row>
    <row r="200" spans="18:21" x14ac:dyDescent="0.2">
      <c r="R200" s="212">
        <f>_xll.qlCalendarAdvance(Calendar,R199,"1D","f")</f>
        <v>42562</v>
      </c>
      <c r="S200" s="47">
        <f>_xll.qlTenorBasisValue($P$3,R200,AllTriggers)</f>
        <v>2.2047475382901086E-3</v>
      </c>
      <c r="T200" s="41">
        <f>_xll.qlDayCounterYearFraction("actual/365 (fixed)",SettlementDate,R200,,,Trigger)</f>
        <v>0.77534246575342469</v>
      </c>
      <c r="U200" s="47">
        <f>_xll.qlPolynomialFunctionValue($P$18,T200,AllTriggers)</f>
        <v>2.1047977129688726E-3</v>
      </c>
    </row>
    <row r="201" spans="18:21" x14ac:dyDescent="0.2">
      <c r="R201" s="212">
        <f>_xll.qlCalendarAdvance(Calendar,R200,"1D","f")</f>
        <v>42563</v>
      </c>
      <c r="S201" s="47">
        <f>_xll.qlTenorBasisValue($P$3,R201,AllTriggers)</f>
        <v>2.2057880744035365E-3</v>
      </c>
      <c r="T201" s="41">
        <f>_xll.qlDayCounterYearFraction("actual/365 (fixed)",SettlementDate,R201,,,Trigger)</f>
        <v>0.77808219178082194</v>
      </c>
      <c r="U201" s="47">
        <f>_xll.qlPolynomialFunctionValue($P$18,T201,AllTriggers)</f>
        <v>2.1059517051564463E-3</v>
      </c>
    </row>
    <row r="202" spans="18:21" x14ac:dyDescent="0.2">
      <c r="R202" s="212">
        <f>_xll.qlCalendarAdvance(Calendar,R201,"1D","f")</f>
        <v>42564</v>
      </c>
      <c r="S202" s="47">
        <f>_xll.qlTenorBasisValue($P$3,R202,AllTriggers)</f>
        <v>2.2068278305456784E-3</v>
      </c>
      <c r="T202" s="41">
        <f>_xll.qlDayCounterYearFraction("actual/365 (fixed)",SettlementDate,R202,,,Trigger)</f>
        <v>0.78082191780821919</v>
      </c>
      <c r="U202" s="47">
        <f>_xll.qlPolynomialFunctionValue($P$18,T202,AllTriggers)</f>
        <v>2.1071036483334984E-3</v>
      </c>
    </row>
    <row r="203" spans="18:21" x14ac:dyDescent="0.2">
      <c r="R203" s="212">
        <f>_xll.qlCalendarAdvance(Calendar,R202,"1D","f")</f>
        <v>42565</v>
      </c>
      <c r="S203" s="47">
        <f>_xll.qlTenorBasisValue($P$3,R203,AllTriggers)</f>
        <v>2.2078668202479396E-3</v>
      </c>
      <c r="T203" s="41">
        <f>_xll.qlDayCounterYearFraction("actual/365 (fixed)",SettlementDate,R203,,,Trigger)</f>
        <v>0.78356164383561644</v>
      </c>
      <c r="U203" s="47">
        <f>_xll.qlPolynomialFunctionValue($P$18,T203,AllTriggers)</f>
        <v>2.1082535560314349E-3</v>
      </c>
    </row>
    <row r="204" spans="18:21" x14ac:dyDescent="0.2">
      <c r="R204" s="212">
        <f>_xll.qlCalendarAdvance(Calendar,R203,"1D","f")</f>
        <v>42566</v>
      </c>
      <c r="S204" s="47">
        <f>_xll.qlTenorBasisValue($P$3,R204,AllTriggers)</f>
        <v>2.2089050570417283E-3</v>
      </c>
      <c r="T204" s="41">
        <f>_xll.qlDayCounterYearFraction("actual/365 (fixed)",SettlementDate,R204,,,Trigger)</f>
        <v>0.78630136986301369</v>
      </c>
      <c r="U204" s="47">
        <f>_xll.qlPolynomialFunctionValue($P$18,T204,AllTriggers)</f>
        <v>2.1094014417816632E-3</v>
      </c>
    </row>
    <row r="205" spans="18:21" x14ac:dyDescent="0.2">
      <c r="R205" s="212">
        <f>_xll.qlCalendarAdvance(Calendar,R204,"1D","f")</f>
        <v>42569</v>
      </c>
      <c r="S205" s="47">
        <f>_xll.qlTenorBasisValue($P$3,R205,AllTriggers)</f>
        <v>2.2120153852863244E-3</v>
      </c>
      <c r="T205" s="41">
        <f>_xll.qlDayCounterYearFraction("actual/365 (fixed)",SettlementDate,R205,,,Trigger)</f>
        <v>0.79452054794520544</v>
      </c>
      <c r="U205" s="47">
        <f>_xll.qlPolynomialFunctionValue($P$18,T205,AllTriggers)</f>
        <v>2.1128331026601692E-3</v>
      </c>
    </row>
    <row r="206" spans="18:21" x14ac:dyDescent="0.2">
      <c r="R206" s="212">
        <f>_xll.qlCalendarAdvance(Calendar,R205,"1D","f")</f>
        <v>42570</v>
      </c>
      <c r="S206" s="47">
        <f>_xll.qlTenorBasisValue($P$3,R206,AllTriggers)</f>
        <v>2.2130507457602893E-3</v>
      </c>
      <c r="T206" s="41">
        <f>_xll.qlDayCounterYearFraction("actual/365 (fixed)",SettlementDate,R206,,,Trigger)</f>
        <v>0.79726027397260268</v>
      </c>
      <c r="U206" s="47">
        <f>_xll.qlPolynomialFunctionValue($P$18,T206,AllTriggers)</f>
        <v>2.1139730359336331E-3</v>
      </c>
    </row>
    <row r="207" spans="18:21" x14ac:dyDescent="0.2">
      <c r="R207" s="212">
        <f>_xll.qlCalendarAdvance(Calendar,R206,"1D","f")</f>
        <v>42571</v>
      </c>
      <c r="S207" s="47">
        <f>_xll.qlTenorBasisValue($P$3,R207,AllTriggers)</f>
        <v>2.2140854209828156E-3</v>
      </c>
      <c r="T207" s="41">
        <f>_xll.qlDayCounterYearFraction("actual/365 (fixed)",SettlementDate,R207,,,Trigger)</f>
        <v>0.8</v>
      </c>
      <c r="U207" s="47">
        <f>_xll.qlPolynomialFunctionValue($P$18,T207,AllTriggers)</f>
        <v>2.1151110149164238E-3</v>
      </c>
    </row>
    <row r="208" spans="18:21" x14ac:dyDescent="0.2">
      <c r="R208" s="212">
        <f>_xll.qlCalendarAdvance(Calendar,R207,"1D","f")</f>
        <v>42572</v>
      </c>
      <c r="S208" s="47">
        <f>_xll.qlTenorBasisValue($P$3,R208,AllTriggers)</f>
        <v>2.21511942448531E-3</v>
      </c>
      <c r="T208" s="41">
        <f>_xll.qlDayCounterYearFraction("actual/365 (fixed)",SettlementDate,R208,,,Trigger)</f>
        <v>0.80273972602739729</v>
      </c>
      <c r="U208" s="47">
        <f>_xll.qlPolynomialFunctionValue($P$18,T208,AllTriggers)</f>
        <v>2.1162470531399472E-3</v>
      </c>
    </row>
    <row r="209" spans="18:21" x14ac:dyDescent="0.2">
      <c r="R209" s="212">
        <f>_xll.qlCalendarAdvance(Calendar,R208,"1D","f")</f>
        <v>42573</v>
      </c>
      <c r="S209" s="47">
        <f>_xll.qlTenorBasisValue($P$3,R209,AllTriggers)</f>
        <v>2.2161527697991796E-3</v>
      </c>
      <c r="T209" s="41">
        <f>_xll.qlDayCounterYearFraction("actual/365 (fixed)",SettlementDate,R209,,,Trigger)</f>
        <v>0.80547945205479454</v>
      </c>
      <c r="U209" s="47">
        <f>_xll.qlPolynomialFunctionValue($P$18,T209,AllTriggers)</f>
        <v>2.1173811641356107E-3</v>
      </c>
    </row>
    <row r="210" spans="18:21" x14ac:dyDescent="0.2">
      <c r="R210" s="212">
        <f>_xll.qlCalendarAdvance(Calendar,R209,"1D","f")</f>
        <v>42576</v>
      </c>
      <c r="S210" s="47">
        <f>_xll.qlTenorBasisValue($P$3,R210,AllTriggers)</f>
        <v>2.2192489919231075E-3</v>
      </c>
      <c r="T210" s="41">
        <f>_xll.qlDayCounterYearFraction("actual/365 (fixed)",SettlementDate,R210,,,Trigger)</f>
        <v>0.81369863013698629</v>
      </c>
      <c r="U210" s="47">
        <f>_xll.qlPolynomialFunctionValue($P$18,T210,AllTriggers)</f>
        <v>2.1207720690695096E-3</v>
      </c>
    </row>
    <row r="211" spans="18:21" x14ac:dyDescent="0.2">
      <c r="R211" s="212">
        <f>_xll.qlCalendarAdvance(Calendar,R210,"1D","f")</f>
        <v>42577</v>
      </c>
      <c r="S211" s="47">
        <f>_xll.qlTenorBasisValue($P$3,R211,AllTriggers)</f>
        <v>2.2202798397965465E-3</v>
      </c>
      <c r="T211" s="41">
        <f>_xll.qlDayCounterYearFraction("actual/365 (fixed)",SettlementDate,R211,,,Trigger)</f>
        <v>0.81643835616438354</v>
      </c>
      <c r="U211" s="47">
        <f>_xll.qlPolynomialFunctionValue($P$18,T211,AllTriggers)</f>
        <v>2.1218986064678014E-3</v>
      </c>
    </row>
    <row r="212" spans="18:21" x14ac:dyDescent="0.2">
      <c r="R212" s="212">
        <f>_xll.qlCalendarAdvance(Calendar,R211,"1D","f")</f>
        <v>42578</v>
      </c>
      <c r="S212" s="47">
        <f>_xll.qlTenorBasisValue($P$3,R212,AllTriggers)</f>
        <v>2.2213100971383952E-3</v>
      </c>
      <c r="T212" s="41">
        <f>_xll.qlDayCounterYearFraction("actual/365 (fixed)",SettlementDate,R212,,,Trigger)</f>
        <v>0.81917808219178079</v>
      </c>
      <c r="U212" s="47">
        <f>_xll.qlPolynomialFunctionValue($P$18,T212,AllTriggers)</f>
        <v>2.1230232842952682E-3</v>
      </c>
    </row>
    <row r="213" spans="18:21" x14ac:dyDescent="0.2">
      <c r="R213" s="212">
        <f>_xll.qlCalendarAdvance(Calendar,R212,"1D","f")</f>
        <v>42579</v>
      </c>
      <c r="S213" s="47">
        <f>_xll.qlTenorBasisValue($P$3,R213,AllTriggers)</f>
        <v>2.2223397774800593E-3</v>
      </c>
      <c r="T213" s="41">
        <f>_xll.qlDayCounterYearFraction("actual/365 (fixed)",SettlementDate,R213,,,Trigger)</f>
        <v>0.82191780821917804</v>
      </c>
      <c r="U213" s="47">
        <f>_xll.qlPolynomialFunctionValue($P$18,T213,AllTriggers)</f>
        <v>2.1241461160833152E-3</v>
      </c>
    </row>
    <row r="214" spans="18:21" x14ac:dyDescent="0.2">
      <c r="R214" s="212">
        <f>_xll.qlCalendarAdvance(Calendar,R213,"1D","f")</f>
        <v>42580</v>
      </c>
      <c r="S214" s="47">
        <f>_xll.qlTenorBasisValue($P$3,R214,AllTriggers)</f>
        <v>2.223368894352947E-3</v>
      </c>
      <c r="T214" s="41">
        <f>_xll.qlDayCounterYearFraction("actual/365 (fixed)",SettlementDate,R214,,,Trigger)</f>
        <v>0.8246575342465754</v>
      </c>
      <c r="U214" s="47">
        <f>_xll.qlPolynomialFunctionValue($P$18,T214,AllTriggers)</f>
        <v>2.1252671153633509E-3</v>
      </c>
    </row>
    <row r="215" spans="18:21" x14ac:dyDescent="0.2">
      <c r="R215" s="212">
        <f>_xll.qlCalendarAdvance(Calendar,R214,"1D","f")</f>
        <v>42583</v>
      </c>
      <c r="S215" s="47">
        <f>_xll.qlTenorBasisValue($P$3,R215,AllTriggers)</f>
        <v>2.2264529994730181E-3</v>
      </c>
      <c r="T215" s="41">
        <f>_xll.qlDayCounterYearFraction("actual/365 (fixed)",SettlementDate,R215,,,Trigger)</f>
        <v>0.83287671232876714</v>
      </c>
      <c r="U215" s="47">
        <f>_xll.qlPolynomialFunctionValue($P$18,T215,AllTriggers)</f>
        <v>2.1286192534694538E-3</v>
      </c>
    </row>
    <row r="216" spans="18:21" x14ac:dyDescent="0.2">
      <c r="R216" s="212">
        <f>_xll.qlCalendarAdvance(Calendar,R215,"1D","f")</f>
        <v>42584</v>
      </c>
      <c r="S216" s="47">
        <f>_xll.qlTenorBasisValue($P$3,R216,AllTriggers)</f>
        <v>2.2274799977848674E-3</v>
      </c>
      <c r="T216" s="41">
        <f>_xll.qlDayCounterYearFraction("actual/365 (fixed)",SettlementDate,R216,,,Trigger)</f>
        <v>0.83561643835616439</v>
      </c>
      <c r="U216" s="47">
        <f>_xll.qlPolynomialFunctionValue($P$18,T216,AllTriggers)</f>
        <v>2.1297330580315101E-3</v>
      </c>
    </row>
    <row r="217" spans="18:21" x14ac:dyDescent="0.2">
      <c r="R217" s="212">
        <f>_xll.qlCalendarAdvance(Calendar,R216,"1D","f")</f>
        <v>42585</v>
      </c>
      <c r="S217" s="47">
        <f>_xll.qlTenorBasisValue($P$3,R217,AllTriggers)</f>
        <v>2.2285065002849739E-3</v>
      </c>
      <c r="T217" s="41">
        <f>_xll.qlDayCounterYearFraction("actual/365 (fixed)",SettlementDate,R217,,,Trigger)</f>
        <v>0.83835616438356164</v>
      </c>
      <c r="U217" s="47">
        <f>_xll.qlPolynomialFunctionValue($P$18,T217,AllTriggers)</f>
        <v>2.1308450977425889E-3</v>
      </c>
    </row>
    <row r="218" spans="18:21" x14ac:dyDescent="0.2">
      <c r="R218" s="212">
        <f>_xll.qlCalendarAdvance(Calendar,R217,"1D","f")</f>
        <v>42586</v>
      </c>
      <c r="S218" s="47">
        <f>_xll.qlTenorBasisValue($P$3,R218,AllTriggers)</f>
        <v>2.2295325205047454E-3</v>
      </c>
      <c r="T218" s="41">
        <f>_xll.qlDayCounterYearFraction("actual/365 (fixed)",SettlementDate,R218,,,Trigger)</f>
        <v>0.84109589041095889</v>
      </c>
      <c r="U218" s="47">
        <f>_xll.qlPolynomialFunctionValue($P$18,T218,AllTriggers)</f>
        <v>2.131955386134097E-3</v>
      </c>
    </row>
    <row r="219" spans="18:21" x14ac:dyDescent="0.2">
      <c r="R219" s="212">
        <f>_xll.qlCalendarAdvance(Calendar,R218,"1D","f")</f>
        <v>42587</v>
      </c>
      <c r="S219" s="47">
        <f>_xll.qlTenorBasisValue($P$3,R219,AllTriggers)</f>
        <v>2.2305580719755884E-3</v>
      </c>
      <c r="T219" s="41">
        <f>_xll.qlDayCounterYearFraction("actual/365 (fixed)",SettlementDate,R219,,,Trigger)</f>
        <v>0.84383561643835614</v>
      </c>
      <c r="U219" s="47">
        <f>_xll.qlPolynomialFunctionValue($P$18,T219,AllTriggers)</f>
        <v>2.1330639367374408E-3</v>
      </c>
    </row>
    <row r="220" spans="18:21" x14ac:dyDescent="0.2">
      <c r="R220" s="212">
        <f>_xll.qlCalendarAdvance(Calendar,R219,"1D","f")</f>
        <v>42590</v>
      </c>
      <c r="S220" s="47">
        <f>_xll.qlTenorBasisValue($P$3,R220,AllTriggers)</f>
        <v>2.2336320492086126E-3</v>
      </c>
      <c r="T220" s="41">
        <f>_xll.qlDayCounterYearFraction("actual/365 (fixed)",SettlementDate,R220,,,Trigger)</f>
        <v>0.852054794520548</v>
      </c>
      <c r="U220" s="47">
        <f>_xll.qlPolynomialFunctionValue($P$18,T220,AllTriggers)</f>
        <v>2.1363792971325598E-3</v>
      </c>
    </row>
    <row r="221" spans="18:21" x14ac:dyDescent="0.2">
      <c r="R221" s="212">
        <f>_xll.qlCalendarAdvance(Calendar,R220,"1D","f")</f>
        <v>42591</v>
      </c>
      <c r="S221" s="47">
        <f>_xll.qlTenorBasisValue($P$3,R221,AllTriggers)</f>
        <v>2.2346558609978094E-3</v>
      </c>
      <c r="T221" s="41">
        <f>_xll.qlDayCounterYearFraction("actual/365 (fixed)",SettlementDate,R221,,,Trigger)</f>
        <v>0.85479452054794525</v>
      </c>
      <c r="U221" s="47">
        <f>_xll.qlPolynomialFunctionValue($P$18,T221,AllTriggers)</f>
        <v>2.1374810318973169E-3</v>
      </c>
    </row>
    <row r="222" spans="18:21" x14ac:dyDescent="0.2">
      <c r="R222" s="212">
        <f>_xll.qlCalendarAdvance(Calendar,R221,"1D","f")</f>
        <v>42592</v>
      </c>
      <c r="S222" s="47">
        <f>_xll.qlTenorBasisValue($P$3,R222,AllTriggers)</f>
        <v>2.2356792716951126E-3</v>
      </c>
      <c r="T222" s="41">
        <f>_xll.qlDayCounterYearFraction("actual/365 (fixed)",SettlementDate,R222,,,Trigger)</f>
        <v>0.8575342465753425</v>
      </c>
      <c r="U222" s="47">
        <f>_xll.qlPolynomialFunctionValue($P$18,T222,AllTriggers)</f>
        <v>2.1385810965309456E-3</v>
      </c>
    </row>
    <row r="223" spans="18:21" x14ac:dyDescent="0.2">
      <c r="R223" s="212">
        <f>_xll.qlCalendarAdvance(Calendar,R222,"1D","f")</f>
        <v>42593</v>
      </c>
      <c r="S223" s="47">
        <f>_xll.qlTenorBasisValue($P$3,R223,AllTriggers)</f>
        <v>2.2367022948319277E-3</v>
      </c>
      <c r="T223" s="41">
        <f>_xll.qlDayCounterYearFraction("actual/365 (fixed)",SettlementDate,R223,,,Trigger)</f>
        <v>0.86027397260273974</v>
      </c>
      <c r="U223" s="47">
        <f>_xll.qlPolynomialFunctionValue($P$18,T223,AllTriggers)</f>
        <v>2.1396795045648511E-3</v>
      </c>
    </row>
    <row r="224" spans="18:21" x14ac:dyDescent="0.2">
      <c r="R224" s="212">
        <f>_xll.qlCalendarAdvance(Calendar,R223,"1D","f")</f>
        <v>42594</v>
      </c>
      <c r="S224" s="47">
        <f>_xll.qlTenorBasisValue($P$3,R224,AllTriggers)</f>
        <v>2.2377249439396625E-3</v>
      </c>
      <c r="T224" s="41">
        <f>_xll.qlDayCounterYearFraction("actual/365 (fixed)",SettlementDate,R224,,,Trigger)</f>
        <v>0.86301369863013699</v>
      </c>
      <c r="U224" s="47">
        <f>_xll.qlPolynomialFunctionValue($P$18,T224,AllTriggers)</f>
        <v>2.1407762695304414E-3</v>
      </c>
    </row>
    <row r="225" spans="18:21" x14ac:dyDescent="0.2">
      <c r="R225" s="212">
        <f>_xll.qlCalendarAdvance(Calendar,R224,"1D","f")</f>
        <v>42597</v>
      </c>
      <c r="S225" s="47">
        <f>_xll.qlTenorBasisValue($P$3,R225,AllTriggers)</f>
        <v>2.2407907824024522E-3</v>
      </c>
      <c r="T225" s="41">
        <f>_xll.qlDayCounterYearFraction("actual/365 (fixed)",SettlementDate,R225,,,Trigger)</f>
        <v>0.87123287671232874</v>
      </c>
      <c r="U225" s="47">
        <f>_xll.qlPolynomialFunctionValue($P$18,T225,AllTriggers)</f>
        <v>2.1440568413313862E-3</v>
      </c>
    </row>
    <row r="226" spans="18:21" x14ac:dyDescent="0.2">
      <c r="R226" s="212">
        <f>_xll.qlCalendarAdvance(Calendar,R225,"1D","f")</f>
        <v>42598</v>
      </c>
      <c r="S226" s="47">
        <f>_xll.qlTenorBasisValue($P$3,R226,AllTriggers)</f>
        <v>2.2418120707079331E-3</v>
      </c>
      <c r="T226" s="41">
        <f>_xll.qlDayCounterYearFraction("actual/365 (fixed)",SettlementDate,R226,,,Trigger)</f>
        <v>0.87397260273972599</v>
      </c>
      <c r="U226" s="47">
        <f>_xll.qlPolynomialFunctionValue($P$18,T226,AllTriggers)</f>
        <v>2.1451471693377817E-3</v>
      </c>
    </row>
    <row r="227" spans="18:21" x14ac:dyDescent="0.2">
      <c r="R227" s="212">
        <f>_xll.qlCalendarAdvance(Calendar,R226,"1D","f")</f>
        <v>42599</v>
      </c>
      <c r="S227" s="47">
        <f>_xll.qlTenorBasisValue($P$3,R227,AllTriggers)</f>
        <v>2.2428330526413683E-3</v>
      </c>
      <c r="T227" s="41">
        <f>_xll.qlDayCounterYearFraction("actual/365 (fixed)",SettlementDate,R227,,,Trigger)</f>
        <v>0.87671232876712324</v>
      </c>
      <c r="U227" s="47">
        <f>_xll.qlPolynomialFunctionValue($P$18,T227,AllTriggers)</f>
        <v>2.1462359219328966E-3</v>
      </c>
    </row>
    <row r="228" spans="18:21" x14ac:dyDescent="0.2">
      <c r="R228" s="212">
        <f>_xll.qlCalendarAdvance(Calendar,R227,"1D","f")</f>
        <v>42600</v>
      </c>
      <c r="S228" s="47">
        <f>_xll.qlTenorBasisValue($P$3,R228,AllTriggers)</f>
        <v>2.2438537417341638E-3</v>
      </c>
      <c r="T228" s="41">
        <f>_xll.qlDayCounterYearFraction("actual/365 (fixed)",SettlementDate,R228,,,Trigger)</f>
        <v>0.8794520547945206</v>
      </c>
      <c r="U228" s="47">
        <f>_xll.qlPolynomialFunctionValue($P$18,T228,AllTriggers)</f>
        <v>2.1473231126481369E-3</v>
      </c>
    </row>
    <row r="229" spans="18:21" x14ac:dyDescent="0.2">
      <c r="R229" s="212">
        <f>_xll.qlCalendarAdvance(Calendar,R228,"1D","f")</f>
        <v>42601</v>
      </c>
      <c r="S229" s="47">
        <f>_xll.qlTenorBasisValue($P$3,R229,AllTriggers)</f>
        <v>2.2448741515177276E-3</v>
      </c>
      <c r="T229" s="41">
        <f>_xll.qlDayCounterYearFraction("actual/365 (fixed)",SettlementDate,R229,,,Trigger)</f>
        <v>0.88219178082191785</v>
      </c>
      <c r="U229" s="47">
        <f>_xll.qlPolynomialFunctionValue($P$18,T229,AllTriggers)</f>
        <v>2.1484087550149096E-3</v>
      </c>
    </row>
    <row r="230" spans="18:21" x14ac:dyDescent="0.2">
      <c r="R230" s="212">
        <f>_xll.qlCalendarAdvance(Calendar,R229,"1D","f")</f>
        <v>42604</v>
      </c>
      <c r="S230" s="47">
        <f>_xll.qlTenorBasisValue($P$3,R230,AllTriggers)</f>
        <v>2.2479338403270923E-3</v>
      </c>
      <c r="T230" s="41">
        <f>_xll.qlDayCounterYearFraction("actual/365 (fixed)",SettlementDate,R230,,,Trigger)</f>
        <v>0.8904109589041096</v>
      </c>
      <c r="U230" s="47">
        <f>_xll.qlPolynomialFunctionValue($P$18,T230,AllTriggers)</f>
        <v>2.1516565273384911E-3</v>
      </c>
    </row>
    <row r="231" spans="18:21" x14ac:dyDescent="0.2">
      <c r="R231" s="212">
        <f>_xll.qlCalendarAdvance(Calendar,R230,"1D","f")</f>
        <v>42605</v>
      </c>
      <c r="S231" s="47">
        <f>_xll.qlTenorBasisValue($P$3,R231,AllTriggers)</f>
        <v>2.2489532681877955E-3</v>
      </c>
      <c r="T231" s="41">
        <f>_xll.qlDayCounterYearFraction("actual/365 (fixed)",SettlementDate,R231,,,Trigger)</f>
        <v>0.89315068493150684</v>
      </c>
      <c r="U231" s="47">
        <f>_xll.qlPolynomialFunctionValue($P$18,T231,AllTriggers)</f>
        <v>2.1527361116254621E-3</v>
      </c>
    </row>
    <row r="232" spans="18:21" x14ac:dyDescent="0.2">
      <c r="R232" s="212">
        <f>_xll.qlCalendarAdvance(Calendar,R231,"1D","f")</f>
        <v>42606</v>
      </c>
      <c r="S232" s="47">
        <f>_xll.qlTenorBasisValue($P$3,R232,AllTriggers)</f>
        <v>2.2499724843963002E-3</v>
      </c>
      <c r="T232" s="41">
        <f>_xll.qlDayCounterYearFraction("actual/365 (fixed)",SettlementDate,R232,,,Trigger)</f>
        <v>0.89589041095890409</v>
      </c>
      <c r="U232" s="47">
        <f>_xll.qlPolynomialFunctionValue($P$18,T232,AllTriggers)</f>
        <v>2.1538142152210003E-3</v>
      </c>
    </row>
    <row r="233" spans="18:21" x14ac:dyDescent="0.2">
      <c r="R233" s="212">
        <f>_xll.qlCalendarAdvance(Calendar,R232,"1D","f")</f>
        <v>42607</v>
      </c>
      <c r="S233" s="47">
        <f>_xll.qlTenorBasisValue($P$3,R233,AllTriggers)</f>
        <v>2.2509915024840135E-3</v>
      </c>
      <c r="T233" s="41">
        <f>_xll.qlDayCounterYearFraction("actual/365 (fixed)",SettlementDate,R233,,,Trigger)</f>
        <v>0.89863013698630134</v>
      </c>
      <c r="U233" s="47">
        <f>_xll.qlPolynomialFunctionValue($P$18,T233,AllTriggers)</f>
        <v>2.1548908516565118E-3</v>
      </c>
    </row>
    <row r="234" spans="18:21" x14ac:dyDescent="0.2">
      <c r="R234" s="212">
        <f>_xll.qlCalendarAdvance(Calendar,R233,"1D","f")</f>
        <v>42608</v>
      </c>
      <c r="S234" s="47">
        <f>_xll.qlTenorBasisValue($P$3,R234,AllTriggers)</f>
        <v>2.2520103359823431E-3</v>
      </c>
      <c r="T234" s="41">
        <f>_xll.qlDayCounterYearFraction("actual/365 (fixed)",SettlementDate,R234,,,Trigger)</f>
        <v>0.90136986301369859</v>
      </c>
      <c r="U234" s="47">
        <f>_xll.qlPolynomialFunctionValue($P$18,T234,AllTriggers)</f>
        <v>2.1559660344634044E-3</v>
      </c>
    </row>
    <row r="235" spans="18:21" x14ac:dyDescent="0.2">
      <c r="R235" s="212">
        <f>_xll.qlCalendarAdvance(Calendar,R234,"1D","f")</f>
        <v>42611</v>
      </c>
      <c r="S235" s="47">
        <f>_xll.qlTenorBasisValue($P$3,R235,AllTriggers)</f>
        <v>2.2550658642550942E-3</v>
      </c>
      <c r="T235" s="41">
        <f>_xll.qlDayCounterYearFraction("actual/365 (fixed)",SettlementDate,R235,,,Trigger)</f>
        <v>0.90958904109589045</v>
      </c>
      <c r="U235" s="47">
        <f>_xll.qlPolynomialFunctionValue($P$18,T235,AllTriggers)</f>
        <v>2.1591829964264335E-3</v>
      </c>
    </row>
    <row r="236" spans="18:21" x14ac:dyDescent="0.2">
      <c r="R236" s="212">
        <f>_xll.qlCalendarAdvance(Calendar,R235,"1D","f")</f>
        <v>42612</v>
      </c>
      <c r="S236" s="47">
        <f>_xll.qlTenorBasisValue($P$3,R236,AllTriggers)</f>
        <v>2.2560840947099554E-3</v>
      </c>
      <c r="T236" s="41">
        <f>_xll.qlDayCounterYearFraction("actual/365 (fixed)",SettlementDate,R236,,,Trigger)</f>
        <v>0.9123287671232877</v>
      </c>
      <c r="U236" s="47">
        <f>_xll.qlPolynomialFunctionValue($P$18,T236,AllTriggers)</f>
        <v>2.1602525000329166E-3</v>
      </c>
    </row>
    <row r="237" spans="18:21" x14ac:dyDescent="0.2">
      <c r="R237" s="212">
        <f>_xll.qlCalendarAdvance(Calendar,R236,"1D","f")</f>
        <v>42613</v>
      </c>
      <c r="S237" s="47">
        <f>_xll.qlTenorBasisValue($P$3,R237,AllTriggers)</f>
        <v>2.2571022082324664E-3</v>
      </c>
      <c r="T237" s="41">
        <f>_xll.qlDayCounterYearFraction("actual/365 (fixed)",SettlementDate,R237,,,Trigger)</f>
        <v>0.91506849315068495</v>
      </c>
      <c r="U237" s="47">
        <f>_xll.qlPolynomialFunctionValue($P$18,T237,AllTriggers)</f>
        <v>2.1613206176678153E-3</v>
      </c>
    </row>
    <row r="238" spans="18:21" x14ac:dyDescent="0.2">
      <c r="R238" s="212">
        <f>_xll.qlCalendarAdvance(Calendar,R237,"1D","f")</f>
        <v>42614</v>
      </c>
      <c r="S238" s="47">
        <f>_xll.qlTenorBasisValue($P$3,R238,AllTriggers)</f>
        <v>2.2581202183540347E-3</v>
      </c>
      <c r="T238" s="41">
        <f>_xll.qlDayCounterYearFraction("actual/365 (fixed)",SettlementDate,R238,,,Trigger)</f>
        <v>0.9178082191780822</v>
      </c>
      <c r="U238" s="47">
        <f>_xll.qlPolynomialFunctionValue($P$18,T238,AllTriggers)</f>
        <v>2.162387362862536E-3</v>
      </c>
    </row>
    <row r="239" spans="18:21" x14ac:dyDescent="0.2">
      <c r="R239" s="212">
        <f>_xll.qlCalendarAdvance(Calendar,R238,"1D","f")</f>
        <v>42615</v>
      </c>
      <c r="S239" s="47">
        <f>_xll.qlTenorBasisValue($P$3,R239,AllTriggers)</f>
        <v>2.2591381386060671E-3</v>
      </c>
      <c r="T239" s="41">
        <f>_xll.qlDayCounterYearFraction("actual/365 (fixed)",SettlementDate,R239,,,Trigger)</f>
        <v>0.92054794520547945</v>
      </c>
      <c r="U239" s="47">
        <f>_xll.qlPolynomialFunctionValue($P$18,T239,AllTriggers)</f>
        <v>2.1634527491484847E-3</v>
      </c>
    </row>
    <row r="240" spans="18:21" x14ac:dyDescent="0.2">
      <c r="R240" s="212">
        <f>_xll.qlCalendarAdvance(Calendar,R239,"1D","f")</f>
        <v>42618</v>
      </c>
      <c r="S240" s="47">
        <f>_xll.qlTenorBasisValue($P$3,R240,AllTriggers)</f>
        <v>2.2621914954590152E-3</v>
      </c>
      <c r="T240" s="41">
        <f>_xll.qlDayCounterYearFraction("actual/365 (fixed)",SettlementDate,R240,,,Trigger)</f>
        <v>0.92876712328767119</v>
      </c>
      <c r="U240" s="47">
        <f>_xll.qlPolynomialFunctionValue($P$18,T240,AllTriggers)</f>
        <v>2.166640889867772E-3</v>
      </c>
    </row>
    <row r="241" spans="18:21" x14ac:dyDescent="0.2">
      <c r="R241" s="212">
        <f>_xll.qlCalendarAdvance(Calendar,R240,"1D","f")</f>
        <v>42619</v>
      </c>
      <c r="S241" s="47">
        <f>_xll.qlTenorBasisValue($P$3,R241,AllTriggers)</f>
        <v>2.263209191546971E-3</v>
      </c>
      <c r="T241" s="41">
        <f>_xll.qlDayCounterYearFraction("actual/365 (fixed)",SettlementDate,R241,,,Trigger)</f>
        <v>0.93150684931506844</v>
      </c>
      <c r="U241" s="47">
        <f>_xll.qlPolynomialFunctionValue($P$18,T241,AllTriggers)</f>
        <v>2.1677009758327044E-3</v>
      </c>
    </row>
    <row r="242" spans="18:21" x14ac:dyDescent="0.2">
      <c r="R242" s="212">
        <f>_xll.qlCalendarAdvance(Calendar,R241,"1D","f")</f>
        <v>42620</v>
      </c>
      <c r="S242" s="47">
        <f>_xll.qlTenorBasisValue($P$3,R242,AllTriggers)</f>
        <v>2.2642268654224258E-3</v>
      </c>
      <c r="T242" s="41">
        <f>_xll.qlDayCounterYearFraction("actual/365 (fixed)",SettlementDate,R242,,,Trigger)</f>
        <v>0.9342465753424658</v>
      </c>
      <c r="U242" s="47">
        <f>_xll.qlPolynomialFunctionValue($P$18,T242,AllTriggers)</f>
        <v>2.1687597705459007E-3</v>
      </c>
    </row>
    <row r="243" spans="18:21" x14ac:dyDescent="0.2">
      <c r="R243" s="212">
        <f>_xll.qlCalendarAdvance(Calendar,R242,"1D","f")</f>
        <v>42621</v>
      </c>
      <c r="S243" s="47">
        <f>_xll.qlTenorBasisValue($P$3,R243,AllTriggers)</f>
        <v>2.2652445306167858E-3</v>
      </c>
      <c r="T243" s="41">
        <f>_xll.qlDayCounterYearFraction("actual/365 (fixed)",SettlementDate,R243,,,Trigger)</f>
        <v>0.93698630136986305</v>
      </c>
      <c r="U243" s="47">
        <f>_xll.qlPolynomialFunctionValue($P$18,T243,AllTriggers)</f>
        <v>2.1698172875387663E-3</v>
      </c>
    </row>
    <row r="244" spans="18:21" x14ac:dyDescent="0.2">
      <c r="R244" s="212">
        <f>_xll.qlCalendarAdvance(Calendar,R243,"1D","f")</f>
        <v>42622</v>
      </c>
      <c r="S244" s="47">
        <f>_xll.qlTenorBasisValue($P$3,R244,AllTriggers)</f>
        <v>2.2662622006614573E-3</v>
      </c>
      <c r="T244" s="41">
        <f>_xll.qlDayCounterYearFraction("actual/365 (fixed)",SettlementDate,R244,,,Trigger)</f>
        <v>0.9397260273972603</v>
      </c>
      <c r="U244" s="47">
        <f>_xll.qlPolynomialFunctionValue($P$18,T244,AllTriggers)</f>
        <v>2.1708735403427083E-3</v>
      </c>
    </row>
    <row r="245" spans="18:21" x14ac:dyDescent="0.2">
      <c r="R245" s="212">
        <f>_xll.qlCalendarAdvance(Calendar,R244,"1D","f")</f>
        <v>42625</v>
      </c>
      <c r="S245" s="47">
        <f>_xll.qlTenorBasisValue($P$3,R245,AllTriggers)</f>
        <v>2.2693153752114141E-3</v>
      </c>
      <c r="T245" s="41">
        <f>_xll.qlDayCounterYearFraction("actual/365 (fixed)",SettlementDate,R245,,,Trigger)</f>
        <v>0.94794520547945205</v>
      </c>
      <c r="U245" s="47">
        <f>_xll.qlPolynomialFunctionValue($P$18,T245,AllTriggers)</f>
        <v>2.1740348489350655E-3</v>
      </c>
    </row>
    <row r="246" spans="18:21" x14ac:dyDescent="0.2">
      <c r="R246" s="212">
        <f>_xll.qlCalendarAdvance(Calendar,R245,"1D","f")</f>
        <v>42626</v>
      </c>
      <c r="S246" s="47">
        <f>_xll.qlTenorBasisValue($P$3,R246,AllTriggers)</f>
        <v>2.2703331999714025E-3</v>
      </c>
      <c r="T246" s="41">
        <f>_xll.qlDayCounterYearFraction("actual/365 (fixed)",SettlementDate,R246,,,Trigger)</f>
        <v>0.9506849315068493</v>
      </c>
      <c r="U246" s="47">
        <f>_xll.qlPolynomialFunctionValue($P$18,T246,AllTriggers)</f>
        <v>2.1750861802973839E-3</v>
      </c>
    </row>
    <row r="247" spans="18:21" x14ac:dyDescent="0.2">
      <c r="R247" s="212">
        <f>_xll.qlCalendarAdvance(Calendar,R246,"1D","f")</f>
        <v>42627</v>
      </c>
      <c r="S247" s="47">
        <f>_xll.qlTenorBasisValue($P$3,R247,AllTriggers)</f>
        <v>2.2713510972387375E-3</v>
      </c>
      <c r="T247" s="41">
        <f>_xll.qlDayCounterYearFraction("actual/365 (fixed)",SettlementDate,R247,,,Trigger)</f>
        <v>0.95342465753424654</v>
      </c>
      <c r="U247" s="47">
        <f>_xll.qlPolynomialFunctionValue($P$18,T247,AllTriggers)</f>
        <v>2.1761363151278136E-3</v>
      </c>
    </row>
    <row r="248" spans="18:21" x14ac:dyDescent="0.2">
      <c r="R248" s="212">
        <f>_xll.qlCalendarAdvance(Calendar,R247,"1D","f")</f>
        <v>42628</v>
      </c>
      <c r="S248" s="47">
        <f>_xll.qlTenorBasisValue($P$3,R248,AllTriggers)</f>
        <v>2.2723690805448258E-3</v>
      </c>
      <c r="T248" s="41">
        <f>_xll.qlDayCounterYearFraction("actual/365 (fixed)",SettlementDate,R248,,,Trigger)</f>
        <v>0.95616438356164379</v>
      </c>
      <c r="U248" s="47">
        <f>_xll.qlPolynomialFunctionValue($P$18,T248,AllTriggers)</f>
        <v>2.1771852669577618E-3</v>
      </c>
    </row>
    <row r="249" spans="18:21" x14ac:dyDescent="0.2">
      <c r="R249" s="212">
        <f>_xll.qlCalendarAdvance(Calendar,R248,"1D","f")</f>
        <v>42629</v>
      </c>
      <c r="S249" s="47">
        <f>_xll.qlTenorBasisValue($P$3,R249,AllTriggers)</f>
        <v>2.273387163421074E-3</v>
      </c>
      <c r="T249" s="41">
        <f>_xll.qlDayCounterYearFraction("actual/365 (fixed)",SettlementDate,R249,,,Trigger)</f>
        <v>0.95890410958904104</v>
      </c>
      <c r="U249" s="47">
        <f>_xll.qlPolynomialFunctionValue($P$18,T249,AllTriggers)</f>
        <v>2.1782330493186346E-3</v>
      </c>
    </row>
    <row r="250" spans="18:21" x14ac:dyDescent="0.2">
      <c r="R250" s="212">
        <f>_xll.qlCalendarAdvance(Calendar,R249,"1D","f")</f>
        <v>42632</v>
      </c>
      <c r="S250" s="47">
        <f>_xll.qlTenorBasisValue($P$3,R250,AllTriggers)</f>
        <v>2.2764421447848491E-3</v>
      </c>
      <c r="T250" s="41">
        <f>_xll.qlDayCounterYearFraction("actual/365 (fixed)",SettlementDate,R250,,,Trigger)</f>
        <v>0.9671232876712329</v>
      </c>
      <c r="U250" s="47">
        <f>_xll.qlPolynomialFunctionValue($P$18,T250,AllTriggers)</f>
        <v>2.1813695149008718E-3</v>
      </c>
    </row>
    <row r="251" spans="18:21" x14ac:dyDescent="0.2">
      <c r="R251" s="212">
        <f>_xll.qlCalendarAdvance(Calendar,R250,"1D","f")</f>
        <v>42633</v>
      </c>
      <c r="S251" s="47">
        <f>_xll.qlTenorBasisValue($P$3,R251,AllTriggers)</f>
        <v>2.2774607612558069E-3</v>
      </c>
      <c r="T251" s="41">
        <f>_xll.qlDayCounterYearFraction("actual/365 (fixed)",SettlementDate,R251,,,Trigger)</f>
        <v>0.96986301369863015</v>
      </c>
      <c r="U251" s="47">
        <f>_xll.qlPolynomialFunctionValue($P$18,T251,AllTriggers)</f>
        <v>2.1824127546995137E-3</v>
      </c>
    </row>
    <row r="252" spans="18:21" x14ac:dyDescent="0.2">
      <c r="R252" s="212">
        <f>_xll.qlCalendarAdvance(Calendar,R251,"1D","f")</f>
        <v>42634</v>
      </c>
      <c r="S252" s="47">
        <f>_xll.qlTenorBasisValue($P$3,R252,AllTriggers)</f>
        <v>2.278479544953959E-3</v>
      </c>
      <c r="T252" s="41">
        <f>_xll.qlDayCounterYearFraction("actual/365 (fixed)",SettlementDate,R252,,,Trigger)</f>
        <v>0.9726027397260274</v>
      </c>
      <c r="U252" s="47">
        <f>_xll.qlPolynomialFunctionValue($P$18,T252,AllTriggers)</f>
        <v>2.1834548926861143E-3</v>
      </c>
    </row>
    <row r="253" spans="18:21" x14ac:dyDescent="0.2">
      <c r="R253" s="212">
        <f>_xll.qlCalendarAdvance(Calendar,R252,"1D","f")</f>
        <v>42635</v>
      </c>
      <c r="S253" s="47">
        <f>_xll.qlTenorBasisValue($P$3,R253,AllTriggers)</f>
        <v>2.2794985094107129E-3</v>
      </c>
      <c r="T253" s="41">
        <f>_xll.qlDayCounterYearFraction("actual/365 (fixed)",SettlementDate,R253,,,Trigger)</f>
        <v>0.97534246575342465</v>
      </c>
      <c r="U253" s="47">
        <f>_xll.qlPolynomialFunctionValue($P$18,T253,AllTriggers)</f>
        <v>2.1844959423920817E-3</v>
      </c>
    </row>
    <row r="254" spans="18:21" x14ac:dyDescent="0.2">
      <c r="R254" s="212">
        <f>_xll.qlCalendarAdvance(Calendar,R253,"1D","f")</f>
        <v>42636</v>
      </c>
      <c r="S254" s="47">
        <f>_xll.qlTenorBasisValue($P$3,R254,AllTriggers)</f>
        <v>2.2805176681574748E-3</v>
      </c>
      <c r="T254" s="41">
        <f>_xll.qlDayCounterYearFraction("actual/365 (fixed)",SettlementDate,R254,,,Trigger)</f>
        <v>0.9780821917808219</v>
      </c>
      <c r="U254" s="47">
        <f>_xll.qlPolynomialFunctionValue($P$18,T254,AllTriggers)</f>
        <v>2.1855359173488216E-3</v>
      </c>
    </row>
    <row r="255" spans="18:21" x14ac:dyDescent="0.2">
      <c r="R255" s="212">
        <f>_xll.qlCalendarAdvance(Calendar,R254,"1D","f")</f>
        <v>42639</v>
      </c>
      <c r="S255" s="47">
        <f>_xll.qlTenorBasisValue($P$3,R255,AllTriggers)</f>
        <v>2.2835764454518788E-3</v>
      </c>
      <c r="T255" s="41">
        <f>_xll.qlDayCounterYearFraction("actual/365 (fixed)",SettlementDate,R255,,,Trigger)</f>
        <v>0.98630136986301364</v>
      </c>
      <c r="U255" s="47">
        <f>_xll.qlPolynomialFunctionValue($P$18,T255,AllTriggers)</f>
        <v>2.1886495290377498E-3</v>
      </c>
    </row>
    <row r="256" spans="18:21" x14ac:dyDescent="0.2">
      <c r="R256" s="212">
        <f>_xll.qlCalendarAdvance(Calendar,R255,"1D","f")</f>
        <v>42640</v>
      </c>
      <c r="S256" s="47">
        <f>_xll.qlTenorBasisValue($P$3,R256,AllTriggers)</f>
        <v>2.2845965166727431E-3</v>
      </c>
      <c r="T256" s="41">
        <f>_xll.qlDayCounterYearFraction("actual/365 (fixed)",SettlementDate,R256,,,Trigger)</f>
        <v>0.989041095890411</v>
      </c>
      <c r="U256" s="47">
        <f>_xll.qlPolynomialFunctionValue($P$18,T256,AllTriggers)</f>
        <v>2.1896853403116515E-3</v>
      </c>
    </row>
    <row r="257" spans="18:21" x14ac:dyDescent="0.2">
      <c r="R257" s="212">
        <f>_xll.qlCalendarAdvance(Calendar,R256,"1D","f")</f>
        <v>42641</v>
      </c>
      <c r="S257" s="47">
        <f>_xll.qlTenorBasisValue($P$3,R257,AllTriggers)</f>
        <v>2.2856168498406495E-3</v>
      </c>
      <c r="T257" s="41">
        <f>_xll.qlDayCounterYearFraction("actual/365 (fixed)",SettlementDate,R257,,,Trigger)</f>
        <v>0.99178082191780825</v>
      </c>
      <c r="U257" s="47">
        <f>_xll.qlPolynomialFunctionValue($P$18,T257,AllTriggers)</f>
        <v>2.1907201444933602E-3</v>
      </c>
    </row>
    <row r="258" spans="18:21" x14ac:dyDescent="0.2">
      <c r="R258" s="212">
        <f>_xll.qlCalendarAdvance(Calendar,R257,"1D","f")</f>
        <v>42642</v>
      </c>
      <c r="S258" s="47">
        <f>_xll.qlTenorBasisValue($P$3,R258,AllTriggers)</f>
        <v>2.2866374584870055E-3</v>
      </c>
      <c r="T258" s="41">
        <f>_xll.qlDayCounterYearFraction("actual/365 (fixed)",SettlementDate,R258,,,Trigger)</f>
        <v>0.9945205479452055</v>
      </c>
      <c r="U258" s="47">
        <f>_xll.qlPolynomialFunctionValue($P$18,T258,AllTriggers)</f>
        <v>2.1917539551142839E-3</v>
      </c>
    </row>
    <row r="259" spans="18:21" x14ac:dyDescent="0.2">
      <c r="R259" s="212">
        <f>_xll.qlCalendarAdvance(Calendar,R258,"1D","f")</f>
        <v>42643</v>
      </c>
      <c r="S259" s="47">
        <f>_xll.qlTenorBasisValue($P$3,R259,AllTriggers)</f>
        <v>2.2876583561432184E-3</v>
      </c>
      <c r="T259" s="41">
        <f>_xll.qlDayCounterYearFraction("actual/365 (fixed)",SettlementDate,R259,,,Trigger)</f>
        <v>0.99726027397260275</v>
      </c>
      <c r="U259" s="47">
        <f>_xll.qlPolynomialFunctionValue($P$18,T259,AllTriggers)</f>
        <v>2.1927867857058285E-3</v>
      </c>
    </row>
    <row r="260" spans="18:21" x14ac:dyDescent="0.2">
      <c r="R260" s="212">
        <f>_xll.qlCalendarAdvance(Calendar,R259,"1D","f")</f>
        <v>42646</v>
      </c>
      <c r="S260" s="47">
        <f>_xll.qlTenorBasisValue($P$3,R260,AllTriggers)</f>
        <v>2.290722918485063E-3</v>
      </c>
      <c r="T260" s="41">
        <f>_xll.qlDayCounterYearFraction("actual/365 (fixed)",SettlementDate,R260,,,Trigger)</f>
        <v>1.0054794520547945</v>
      </c>
      <c r="U260" s="47">
        <f>_xll.qlPolynomialFunctionValue($P$18,T260,AllTriggers)</f>
        <v>2.1958795326182581E-3</v>
      </c>
    </row>
    <row r="261" spans="18:21" x14ac:dyDescent="0.2">
      <c r="R261" s="212">
        <f>_xll.qlCalendarAdvance(Calendar,R260,"1D","f")</f>
        <v>42647</v>
      </c>
      <c r="S261" s="47">
        <f>_xll.qlTenorBasisValue($P$3,R261,AllTriggers)</f>
        <v>2.29174510749477E-3</v>
      </c>
      <c r="T261" s="41">
        <f>_xll.qlDayCounterYearFraction("actual/365 (fixed)",SettlementDate,R261,,,Trigger)</f>
        <v>1.0082191780821919</v>
      </c>
      <c r="U261" s="47">
        <f>_xll.qlPolynomialFunctionValue($P$18,T261,AllTriggers)</f>
        <v>2.1969085784063567E-3</v>
      </c>
    </row>
    <row r="262" spans="18:21" x14ac:dyDescent="0.2">
      <c r="R262" s="213">
        <f>_xll.qlCalendarAdvance(Calendar,R261,"1D","f")</f>
        <v>42648</v>
      </c>
      <c r="S262" s="50">
        <f>_xll.qlTenorBasisValue($P$3,R262,AllTriggers)</f>
        <v>2.2927676531713675E-3</v>
      </c>
      <c r="T262" s="44">
        <f>_xll.qlDayCounterYearFraction("actual/365 (fixed)",SettlementDate,R262,,,Trigger)</f>
        <v>1.010958904109589</v>
      </c>
      <c r="U262" s="50">
        <f>_xll.qlPolynomialFunctionValue($P$18,T262,AllTriggers)</f>
        <v>2.1979367118221105E-3</v>
      </c>
    </row>
    <row r="263" spans="18:21" x14ac:dyDescent="0.2">
      <c r="R263" s="61"/>
    </row>
    <row r="264" spans="18:21" x14ac:dyDescent="0.2">
      <c r="R264" s="61"/>
    </row>
    <row r="265" spans="18:21" x14ac:dyDescent="0.2">
      <c r="R265" s="61"/>
    </row>
    <row r="266" spans="18:21" x14ac:dyDescent="0.2">
      <c r="R266" s="61"/>
    </row>
    <row r="267" spans="18:21" x14ac:dyDescent="0.2">
      <c r="R267" s="61"/>
    </row>
    <row r="268" spans="18:21" x14ac:dyDescent="0.2">
      <c r="R268" s="61"/>
    </row>
    <row r="269" spans="18:21" x14ac:dyDescent="0.2">
      <c r="R269" s="61"/>
    </row>
    <row r="270" spans="18:21" x14ac:dyDescent="0.2">
      <c r="R270" s="61"/>
    </row>
    <row r="271" spans="18:21" x14ac:dyDescent="0.2">
      <c r="R271" s="61"/>
    </row>
    <row r="272" spans="18:21" x14ac:dyDescent="0.2">
      <c r="R272" s="61"/>
    </row>
    <row r="273" spans="18:18" x14ac:dyDescent="0.2">
      <c r="R273" s="61"/>
    </row>
    <row r="274" spans="18:18" x14ac:dyDescent="0.2">
      <c r="R274" s="61"/>
    </row>
    <row r="275" spans="18:18" x14ac:dyDescent="0.2">
      <c r="R275" s="61"/>
    </row>
    <row r="276" spans="18:18" x14ac:dyDescent="0.2">
      <c r="R276" s="61"/>
    </row>
    <row r="277" spans="18:18" x14ac:dyDescent="0.2">
      <c r="R277" s="61"/>
    </row>
    <row r="278" spans="18:18" x14ac:dyDescent="0.2">
      <c r="R278" s="61"/>
    </row>
    <row r="279" spans="18:18" x14ac:dyDescent="0.2">
      <c r="R279" s="61"/>
    </row>
    <row r="280" spans="18:18" x14ac:dyDescent="0.2">
      <c r="R280" s="61"/>
    </row>
    <row r="281" spans="18:18" x14ac:dyDescent="0.2">
      <c r="R281" s="61"/>
    </row>
    <row r="282" spans="18:18" x14ac:dyDescent="0.2">
      <c r="R282" s="61"/>
    </row>
    <row r="283" spans="18:18" x14ac:dyDescent="0.2">
      <c r="R283" s="61"/>
    </row>
    <row r="284" spans="18:18" x14ac:dyDescent="0.2">
      <c r="R284" s="61"/>
    </row>
    <row r="285" spans="18:18" x14ac:dyDescent="0.2">
      <c r="R285" s="61"/>
    </row>
    <row r="286" spans="18:18" x14ac:dyDescent="0.2">
      <c r="R286" s="61"/>
    </row>
    <row r="287" spans="18:18" x14ac:dyDescent="0.2">
      <c r="R287" s="61"/>
    </row>
    <row r="288" spans="18:18" x14ac:dyDescent="0.2">
      <c r="R288" s="61"/>
    </row>
    <row r="289" spans="18:18" x14ac:dyDescent="0.2">
      <c r="R289" s="61"/>
    </row>
    <row r="290" spans="18:18" x14ac:dyDescent="0.2">
      <c r="R290" s="61"/>
    </row>
    <row r="291" spans="18:18" x14ac:dyDescent="0.2">
      <c r="R291" s="61"/>
    </row>
    <row r="292" spans="18:18" x14ac:dyDescent="0.2">
      <c r="R292" s="61"/>
    </row>
    <row r="293" spans="18:18" x14ac:dyDescent="0.2">
      <c r="R293" s="61"/>
    </row>
    <row r="294" spans="18:18" x14ac:dyDescent="0.2">
      <c r="R294" s="61"/>
    </row>
    <row r="295" spans="18:18" x14ac:dyDescent="0.2">
      <c r="R295" s="61"/>
    </row>
    <row r="296" spans="18:18" x14ac:dyDescent="0.2">
      <c r="R296" s="61"/>
    </row>
    <row r="297" spans="18:18" x14ac:dyDescent="0.2">
      <c r="R297" s="61"/>
    </row>
    <row r="298" spans="18:18" x14ac:dyDescent="0.2">
      <c r="R298" s="61"/>
    </row>
    <row r="299" spans="18:18" x14ac:dyDescent="0.2">
      <c r="R299" s="61"/>
    </row>
    <row r="300" spans="18:18" x14ac:dyDescent="0.2">
      <c r="R300" s="61"/>
    </row>
    <row r="301" spans="18:18" x14ac:dyDescent="0.2">
      <c r="R301" s="61"/>
    </row>
    <row r="302" spans="18:18" x14ac:dyDescent="0.2">
      <c r="R302" s="61"/>
    </row>
    <row r="303" spans="18:18" x14ac:dyDescent="0.2">
      <c r="R303" s="61"/>
    </row>
    <row r="304" spans="18:18" x14ac:dyDescent="0.2">
      <c r="R304" s="61"/>
    </row>
    <row r="305" spans="18:18" x14ac:dyDescent="0.2">
      <c r="R305" s="61"/>
    </row>
    <row r="306" spans="18:18" x14ac:dyDescent="0.2">
      <c r="R306" s="61"/>
    </row>
    <row r="307" spans="18:18" x14ac:dyDescent="0.2">
      <c r="R307" s="61"/>
    </row>
    <row r="308" spans="18:18" x14ac:dyDescent="0.2">
      <c r="R308" s="61"/>
    </row>
    <row r="309" spans="18:18" x14ac:dyDescent="0.2">
      <c r="R309" s="61"/>
    </row>
    <row r="310" spans="18:18" x14ac:dyDescent="0.2">
      <c r="R310" s="61"/>
    </row>
    <row r="311" spans="18:18" x14ac:dyDescent="0.2">
      <c r="R311" s="61"/>
    </row>
    <row r="312" spans="18:18" x14ac:dyDescent="0.2">
      <c r="R312" s="61"/>
    </row>
    <row r="313" spans="18:18" x14ac:dyDescent="0.2">
      <c r="R313" s="61"/>
    </row>
    <row r="314" spans="18:18" x14ac:dyDescent="0.2">
      <c r="R314" s="61"/>
    </row>
    <row r="315" spans="18:18" x14ac:dyDescent="0.2">
      <c r="R315" s="61"/>
    </row>
    <row r="316" spans="18:18" x14ac:dyDescent="0.2">
      <c r="R316" s="61"/>
    </row>
    <row r="317" spans="18:18" x14ac:dyDescent="0.2">
      <c r="R317" s="61"/>
    </row>
    <row r="318" spans="18:18" x14ac:dyDescent="0.2">
      <c r="R318" s="61"/>
    </row>
    <row r="319" spans="18:18" x14ac:dyDescent="0.2">
      <c r="R319" s="61"/>
    </row>
    <row r="320" spans="18:18" x14ac:dyDescent="0.2">
      <c r="R320" s="61"/>
    </row>
    <row r="321" spans="18:18" x14ac:dyDescent="0.2">
      <c r="R321" s="61"/>
    </row>
    <row r="322" spans="18:18" x14ac:dyDescent="0.2">
      <c r="R322" s="61"/>
    </row>
    <row r="323" spans="18:18" x14ac:dyDescent="0.2">
      <c r="R323" s="61"/>
    </row>
    <row r="324" spans="18:18" x14ac:dyDescent="0.2">
      <c r="R324" s="61"/>
    </row>
    <row r="325" spans="18:18" x14ac:dyDescent="0.2">
      <c r="R325" s="61"/>
    </row>
    <row r="326" spans="18:18" x14ac:dyDescent="0.2">
      <c r="R326" s="61"/>
    </row>
    <row r="327" spans="18:18" x14ac:dyDescent="0.2">
      <c r="R327" s="61"/>
    </row>
    <row r="328" spans="18:18" x14ac:dyDescent="0.2">
      <c r="R328" s="61"/>
    </row>
    <row r="329" spans="18:18" x14ac:dyDescent="0.2">
      <c r="R329" s="61"/>
    </row>
    <row r="330" spans="18:18" x14ac:dyDescent="0.2">
      <c r="R330" s="61"/>
    </row>
    <row r="331" spans="18:18" x14ac:dyDescent="0.2">
      <c r="R331" s="61"/>
    </row>
    <row r="332" spans="18:18" x14ac:dyDescent="0.2">
      <c r="R332" s="61"/>
    </row>
    <row r="333" spans="18:18" x14ac:dyDescent="0.2">
      <c r="R333" s="61"/>
    </row>
    <row r="334" spans="18:18" x14ac:dyDescent="0.2">
      <c r="R334" s="61"/>
    </row>
    <row r="335" spans="18:18" x14ac:dyDescent="0.2">
      <c r="R335" s="61"/>
    </row>
    <row r="336" spans="18:18" x14ac:dyDescent="0.2">
      <c r="R336" s="61"/>
    </row>
    <row r="337" spans="18:18" x14ac:dyDescent="0.2">
      <c r="R337" s="61"/>
    </row>
    <row r="338" spans="18:18" x14ac:dyDescent="0.2">
      <c r="R338" s="61"/>
    </row>
    <row r="339" spans="18:18" x14ac:dyDescent="0.2">
      <c r="R339" s="61"/>
    </row>
    <row r="340" spans="18:18" x14ac:dyDescent="0.2">
      <c r="R340" s="61"/>
    </row>
    <row r="341" spans="18:18" x14ac:dyDescent="0.2">
      <c r="R341" s="61"/>
    </row>
    <row r="342" spans="18:18" x14ac:dyDescent="0.2">
      <c r="R342" s="61"/>
    </row>
    <row r="343" spans="18:18" x14ac:dyDescent="0.2">
      <c r="R343" s="61"/>
    </row>
    <row r="344" spans="18:18" x14ac:dyDescent="0.2">
      <c r="R344" s="61"/>
    </row>
    <row r="345" spans="18:18" x14ac:dyDescent="0.2">
      <c r="R345" s="61"/>
    </row>
    <row r="346" spans="18:18" x14ac:dyDescent="0.2">
      <c r="R346" s="61"/>
    </row>
    <row r="347" spans="18:18" x14ac:dyDescent="0.2">
      <c r="R347" s="61"/>
    </row>
    <row r="348" spans="18:18" x14ac:dyDescent="0.2">
      <c r="R348" s="61"/>
    </row>
    <row r="349" spans="18:18" x14ac:dyDescent="0.2">
      <c r="R349" s="61"/>
    </row>
    <row r="350" spans="18:18" x14ac:dyDescent="0.2">
      <c r="R350" s="61"/>
    </row>
    <row r="351" spans="18:18" x14ac:dyDescent="0.2">
      <c r="R351" s="61"/>
    </row>
    <row r="352" spans="18:18" x14ac:dyDescent="0.2">
      <c r="R352" s="61"/>
    </row>
    <row r="353" spans="18:18" x14ac:dyDescent="0.2">
      <c r="R353" s="61"/>
    </row>
    <row r="354" spans="18:18" x14ac:dyDescent="0.2">
      <c r="R354" s="61"/>
    </row>
    <row r="355" spans="18:18" x14ac:dyDescent="0.2">
      <c r="R355" s="61"/>
    </row>
    <row r="356" spans="18:18" x14ac:dyDescent="0.2">
      <c r="R356" s="61"/>
    </row>
    <row r="357" spans="18:18" x14ac:dyDescent="0.2">
      <c r="R357" s="61"/>
    </row>
    <row r="358" spans="18:18" x14ac:dyDescent="0.2">
      <c r="R358" s="61"/>
    </row>
    <row r="359" spans="18:18" x14ac:dyDescent="0.2">
      <c r="R359" s="61"/>
    </row>
    <row r="360" spans="18:18" x14ac:dyDescent="0.2">
      <c r="R360" s="61"/>
    </row>
    <row r="361" spans="18:18" x14ac:dyDescent="0.2">
      <c r="R361" s="61"/>
    </row>
    <row r="362" spans="18:18" x14ac:dyDescent="0.2">
      <c r="R362" s="61"/>
    </row>
    <row r="363" spans="18:18" x14ac:dyDescent="0.2">
      <c r="R363" s="61"/>
    </row>
    <row r="364" spans="18:18" x14ac:dyDescent="0.2">
      <c r="R364" s="61"/>
    </row>
    <row r="365" spans="18:18" x14ac:dyDescent="0.2">
      <c r="R365" s="61"/>
    </row>
    <row r="366" spans="18:18" x14ac:dyDescent="0.2">
      <c r="R366" s="61"/>
    </row>
    <row r="367" spans="18:18" x14ac:dyDescent="0.2">
      <c r="R367" s="61"/>
    </row>
    <row r="368" spans="18:18" x14ac:dyDescent="0.2">
      <c r="R368" s="61"/>
    </row>
    <row r="369" spans="18:18" x14ac:dyDescent="0.2">
      <c r="R369" s="61"/>
    </row>
    <row r="370" spans="18:18" x14ac:dyDescent="0.2">
      <c r="R370" s="61"/>
    </row>
    <row r="371" spans="18:18" x14ac:dyDescent="0.2">
      <c r="R371" s="61"/>
    </row>
    <row r="372" spans="18:18" x14ac:dyDescent="0.2">
      <c r="R372" s="61"/>
    </row>
    <row r="373" spans="18:18" x14ac:dyDescent="0.2">
      <c r="R373" s="61"/>
    </row>
    <row r="374" spans="18:18" x14ac:dyDescent="0.2">
      <c r="R374" s="61"/>
    </row>
    <row r="375" spans="18:18" x14ac:dyDescent="0.2">
      <c r="R375" s="61"/>
    </row>
    <row r="376" spans="18:18" x14ac:dyDescent="0.2">
      <c r="R376" s="61"/>
    </row>
    <row r="377" spans="18:18" x14ac:dyDescent="0.2">
      <c r="R377" s="61"/>
    </row>
    <row r="378" spans="18:18" x14ac:dyDescent="0.2">
      <c r="R378" s="61"/>
    </row>
    <row r="379" spans="18:18" x14ac:dyDescent="0.2">
      <c r="R379" s="61"/>
    </row>
    <row r="380" spans="18:18" x14ac:dyDescent="0.2">
      <c r="R380" s="61"/>
    </row>
    <row r="381" spans="18:18" x14ac:dyDescent="0.2">
      <c r="R381" s="61"/>
    </row>
    <row r="382" spans="18:18" x14ac:dyDescent="0.2">
      <c r="R382" s="61"/>
    </row>
    <row r="383" spans="18:18" x14ac:dyDescent="0.2">
      <c r="R383" s="61"/>
    </row>
    <row r="384" spans="18:18" x14ac:dyDescent="0.2">
      <c r="R384" s="6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Q154"/>
  <sheetViews>
    <sheetView workbookViewId="0"/>
  </sheetViews>
  <sheetFormatPr defaultColWidth="9.5" defaultRowHeight="11.25" outlineLevelCol="1" x14ac:dyDescent="0.2"/>
  <cols>
    <col min="1" max="2" width="3.5" style="19" customWidth="1"/>
    <col min="3" max="3" width="19.5" style="19" customWidth="1"/>
    <col min="4" max="4" width="17.83203125" style="19" bestFit="1" customWidth="1"/>
    <col min="5" max="5" width="12.83203125" style="19" bestFit="1" customWidth="1"/>
    <col min="6" max="6" width="16.83203125" style="19" customWidth="1"/>
    <col min="7" max="8" width="14.83203125" style="19" customWidth="1"/>
    <col min="9" max="18" width="14.83203125" style="19" hidden="1" customWidth="1" outlineLevel="1"/>
    <col min="19" max="19" width="14.83203125" style="19" customWidth="1" collapsed="1"/>
    <col min="20" max="30" width="14.83203125" style="19" customWidth="1"/>
    <col min="31" max="33" width="5.83203125" style="19" bestFit="1" customWidth="1"/>
    <col min="34" max="34" width="2.33203125" style="19" bestFit="1" customWidth="1"/>
    <col min="35" max="35" width="10.5" style="19" bestFit="1" customWidth="1"/>
    <col min="36" max="36" width="2.33203125" style="19" bestFit="1" customWidth="1" collapsed="1"/>
    <col min="37" max="37" width="9.33203125" style="19" bestFit="1" customWidth="1"/>
    <col min="38" max="38" width="8.1640625" style="19" hidden="1" customWidth="1" outlineLevel="1"/>
    <col min="39" max="39" width="9.33203125" style="19" hidden="1" customWidth="1" outlineLevel="1"/>
    <col min="40" max="40" width="8.1640625" style="19" hidden="1" customWidth="1" outlineLevel="1"/>
    <col min="41" max="41" width="2.83203125" style="19" customWidth="1" collapsed="1"/>
    <col min="42" max="42" width="2.83203125" style="19" customWidth="1"/>
    <col min="43" max="45" width="5.83203125" style="19" bestFit="1" customWidth="1"/>
    <col min="46" max="46" width="2.33203125" style="19" bestFit="1" customWidth="1"/>
    <col min="47" max="47" width="10.5" style="19" bestFit="1" customWidth="1"/>
    <col min="48" max="48" width="2.33203125" style="19" bestFit="1" customWidth="1"/>
    <col min="49" max="49" width="9.33203125" style="19" bestFit="1" customWidth="1"/>
    <col min="50" max="52" width="9.33203125" style="19" hidden="1" customWidth="1" outlineLevel="1"/>
    <col min="53" max="53" width="2.83203125" style="19" customWidth="1" collapsed="1"/>
    <col min="54" max="54" width="2.83203125" style="19" customWidth="1"/>
    <col min="55" max="55" width="12.83203125" style="19" bestFit="1" customWidth="1"/>
    <col min="56" max="56" width="8.1640625" style="19" bestFit="1" customWidth="1"/>
    <col min="57" max="69" width="14.83203125" style="19" customWidth="1"/>
    <col min="70" max="16384" width="9.5" style="19"/>
  </cols>
  <sheetData>
    <row r="1" spans="1:69" x14ac:dyDescent="0.2">
      <c r="C1" s="116" t="s">
        <v>66</v>
      </c>
      <c r="D1" s="117"/>
      <c r="E1" s="117"/>
      <c r="F1" s="117"/>
      <c r="G1" s="117"/>
      <c r="H1" s="117"/>
      <c r="I1" s="117"/>
      <c r="J1" s="117"/>
      <c r="K1" s="117"/>
      <c r="L1" s="117"/>
      <c r="M1" s="223"/>
      <c r="N1" s="223"/>
      <c r="O1" s="223"/>
      <c r="P1" s="223"/>
      <c r="Q1" s="223"/>
      <c r="R1" s="223"/>
      <c r="S1" s="116" t="str">
        <f>"with 0X"&amp;SUBSTITUTE($D$24,"M","")</f>
        <v>with 0X6</v>
      </c>
      <c r="T1" s="118"/>
      <c r="U1" s="117" t="str">
        <f>"without 0X"&amp;SUBSTITUTE($D$24,"M","")</f>
        <v>without 0X6</v>
      </c>
      <c r="V1" s="118"/>
      <c r="AG1" s="88"/>
      <c r="AH1" s="88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E1" s="19" t="str">
        <f>_xll.qlPolynomialFunction(,_xll.qlTenorInstCoefficients(G$27),,_xll.ohTrigger(Trigger,G$28:G$31))</f>
        <v>obj_005ef#0004</v>
      </c>
      <c r="BF1" s="19" t="str">
        <f>_xll.qlPolynomialFunction(,_xll.qlTenorInstCoefficients(H$27),,_xll.ohTrigger(Trigger,H$28:H$31))</f>
        <v>obj_005f5#0004</v>
      </c>
      <c r="BG1" s="19" t="str">
        <f>_xll.qlPolynomialFunction(,_xll.qlTenorInstCoefficients(S$27),,_xll.ohTrigger(Trigger,S$28:S$31))</f>
        <v>obj_005e9#0006</v>
      </c>
      <c r="BH1" s="19" t="str">
        <f>_xll.qlPolynomialFunction(,_xll.qlTenorInstCoefficients(T$27),,_xll.ohTrigger(Trigger,T$28:T$31))</f>
        <v>obj_005ed#0005</v>
      </c>
      <c r="BI1" s="19" t="str">
        <f>_xll.qlPolynomialFunction(,U$28:U$31,,_xll.ohTrigger(Trigger,G$28:G$31))</f>
        <v>obj_005f2#0004</v>
      </c>
      <c r="BJ1" s="19" t="str">
        <f>_xll.qlPolynomialFunction(,V$28:V$31,,_xll.ohTrigger(Trigger,H$28:H$31))</f>
        <v>obj_005f3#0004</v>
      </c>
      <c r="BK1" s="19" t="str">
        <f>_xll.qlPolynomialFunction(,W$28:W$31,,_xll.ohTrigger(Trigger,S$28:S$31))</f>
        <v>obj_005e7#0006</v>
      </c>
      <c r="BL1" s="19" t="str">
        <f>_xll.qlPolynomialFunction(,X$28:X$31,,_xll.ohTrigger(Trigger,T$28:T$31))</f>
        <v>obj_005ec#0005</v>
      </c>
      <c r="BM1" s="19" t="str">
        <f>_xll.qlPolynomialFunction(,_xll.qlTenorInstCoefficients(Y$27),,_xll.ohTrigger(Trigger,G$28:G$31))</f>
        <v>obj_00601#0003</v>
      </c>
      <c r="BN1" s="19" t="str">
        <f>_xll.qlPolynomialFunction(,_xll.qlTenorInstCoefficients(Z$27),,_xll.ohTrigger(Trigger,H$28:H$31))</f>
        <v>obj_005fe#0003</v>
      </c>
      <c r="BO1" s="19" t="str">
        <f>_xll.qlPolynomialFunction(,_xll.qlTenorInstCoefficients(AA$27),,_xll.ohTrigger(Trigger,S$28:S$31))</f>
        <v>obj_00600#0003</v>
      </c>
      <c r="BP1" s="19" t="str">
        <f>_xll.qlPolynomialFunction(,_xll.qlTenorInstCoefficients(AB$27),,_xll.ohTrigger(Trigger,T$28:T$31))</f>
        <v>obj_005ff#0003</v>
      </c>
    </row>
    <row r="2" spans="1:69" ht="21.75" customHeight="1" x14ac:dyDescent="0.2">
      <c r="C2" s="36" t="s">
        <v>43</v>
      </c>
      <c r="D2" s="36" t="s">
        <v>101</v>
      </c>
      <c r="E2" s="36" t="s">
        <v>102</v>
      </c>
      <c r="F2" s="36" t="s">
        <v>56</v>
      </c>
      <c r="G2" s="36" t="str">
        <f>"F "&amp;$D$24</f>
        <v>F 6M</v>
      </c>
      <c r="H2" s="36" t="str">
        <f>"B "&amp;$D$24</f>
        <v>B 6M</v>
      </c>
      <c r="I2" s="36" t="s">
        <v>89</v>
      </c>
      <c r="J2" s="36" t="s">
        <v>46</v>
      </c>
      <c r="K2" s="37" t="s">
        <v>47</v>
      </c>
      <c r="L2" s="36" t="s">
        <v>48</v>
      </c>
      <c r="M2" s="36" t="s">
        <v>57</v>
      </c>
      <c r="N2" s="36" t="s">
        <v>59</v>
      </c>
      <c r="O2" s="36" t="s">
        <v>60</v>
      </c>
      <c r="P2" s="36" t="s">
        <v>46</v>
      </c>
      <c r="Q2" s="37" t="s">
        <v>47</v>
      </c>
      <c r="R2" s="36" t="s">
        <v>48</v>
      </c>
      <c r="S2" s="36" t="s">
        <v>41</v>
      </c>
      <c r="T2" s="36" t="s">
        <v>42</v>
      </c>
      <c r="U2" s="36" t="s">
        <v>41</v>
      </c>
      <c r="V2" s="36" t="s">
        <v>42</v>
      </c>
      <c r="AD2" s="19" t="s">
        <v>103</v>
      </c>
      <c r="AP2" s="19" t="s">
        <v>100</v>
      </c>
      <c r="BE2" s="125" t="s">
        <v>66</v>
      </c>
      <c r="BF2" s="121"/>
      <c r="BG2" s="121"/>
      <c r="BH2" s="120"/>
      <c r="BI2" s="121"/>
      <c r="BJ2" s="121"/>
      <c r="BK2" s="121"/>
      <c r="BL2" s="121"/>
      <c r="BM2" s="125" t="s">
        <v>67</v>
      </c>
      <c r="BN2" s="121"/>
      <c r="BO2" s="121"/>
      <c r="BP2" s="120"/>
    </row>
    <row r="3" spans="1:69" ht="12" customHeight="1" x14ac:dyDescent="0.2">
      <c r="A3" s="21">
        <f>'6MSynthDepo_used'!A3</f>
        <v>0</v>
      </c>
      <c r="B3" s="55">
        <f t="shared" ref="B3:B9" si="0">A3+SUBSTITUTE($D$24,"M","")</f>
        <v>6</v>
      </c>
      <c r="C3" s="171" t="str">
        <f>"B"&amp;$D$24&amp;"_"&amp;A3&amp;"X"&amp;B3&amp;$D$27</f>
        <v>B6M_0X6ESTIMATED</v>
      </c>
      <c r="D3" s="186">
        <f>SettlementDate</f>
        <v>42279</v>
      </c>
      <c r="E3" s="186">
        <f>_xll.qlInterestRateIndexMaturity($D$25,D3)</f>
        <v>42464</v>
      </c>
      <c r="F3" s="172">
        <f>_xll.qlIndexFixing(ON_6M_index,_xll.qlInterestRateIndexFixingDate(ON_6M_index,D3,Trigger),,AllTriggers)</f>
        <v>-1.5574732317485693E-3</v>
      </c>
      <c r="G3" s="172">
        <f>H3+F3</f>
        <v>2.6980021422014092E-4</v>
      </c>
      <c r="H3" s="226">
        <f>_xll.qlQuoteValue(C3,_xll.ohTrigger(InterestRatesTrigger,'6MSynthDepo_used'!$F$1))</f>
        <v>1.8272734459687102E-3</v>
      </c>
      <c r="I3" s="173">
        <f>_xll.qlDayCounterYearFraction(DayCounter,SettlementDate,D3,,,Trigger)</f>
        <v>0</v>
      </c>
      <c r="J3" s="173">
        <f>1</f>
        <v>1</v>
      </c>
      <c r="K3" s="173">
        <f t="shared" ref="K3:K9" si="1">I3</f>
        <v>0</v>
      </c>
      <c r="L3" s="173">
        <f t="shared" ref="L3:L9" si="2">I3^2</f>
        <v>0</v>
      </c>
      <c r="M3" s="217">
        <f>LN((1+G3*_xll.qlDayCounterYearFraction(DayCounter,D3,E3,,,Trigger))/(1+F3*_xll.qlDayCounterYearFraction(DayCounter,D3,E3,,,Trigger)))</f>
        <v>9.3932637581558935E-4</v>
      </c>
      <c r="N3" s="173">
        <f>_xll.qlDayCounterYearFraction(DayCounter,SettlementDate,D3,,,Trigger)</f>
        <v>0</v>
      </c>
      <c r="O3" s="173">
        <f>_xll.qlDayCounterYearFraction(DayCounter,SettlementDate,E3,,,Trigger)</f>
        <v>0.51388888888888884</v>
      </c>
      <c r="P3" s="173">
        <f>O3-N3</f>
        <v>0.51388888888888884</v>
      </c>
      <c r="Q3" s="173">
        <f>(O3^2-N3^2)/2</f>
        <v>0.13204089506172836</v>
      </c>
      <c r="R3" s="173">
        <f>(O3^3-N3^3)/3</f>
        <v>4.5236232567443968E-2</v>
      </c>
      <c r="S3" s="174" t="b">
        <v>1</v>
      </c>
      <c r="T3" s="174" t="b">
        <v>1</v>
      </c>
      <c r="U3" s="174" t="b">
        <v>0</v>
      </c>
      <c r="V3" s="174" t="b">
        <v>0</v>
      </c>
      <c r="AD3" s="219" t="s">
        <v>41</v>
      </c>
      <c r="AE3" s="220"/>
      <c r="AF3" s="220"/>
      <c r="AG3" s="220"/>
      <c r="AH3" s="220"/>
      <c r="AI3" s="220"/>
      <c r="AJ3" s="220"/>
      <c r="AK3" s="220"/>
      <c r="AL3" s="220"/>
      <c r="AM3" s="221"/>
      <c r="AN3" s="221"/>
      <c r="AO3" s="222"/>
      <c r="AP3" s="219"/>
      <c r="AQ3" s="220"/>
      <c r="AR3" s="220"/>
      <c r="AS3" s="220"/>
      <c r="AT3" s="220"/>
      <c r="AU3" s="220"/>
      <c r="AV3" s="220"/>
      <c r="AW3" s="220"/>
      <c r="AX3" s="220"/>
      <c r="AY3" s="221"/>
      <c r="AZ3" s="221"/>
      <c r="BA3" s="222"/>
      <c r="BE3" s="125" t="s">
        <v>109</v>
      </c>
      <c r="BF3" s="121"/>
      <c r="BG3" s="121"/>
      <c r="BH3" s="120"/>
      <c r="BI3" s="125" t="s">
        <v>108</v>
      </c>
      <c r="BJ3" s="121"/>
      <c r="BK3" s="121"/>
      <c r="BL3" s="120"/>
      <c r="BM3" s="125" t="s">
        <v>109</v>
      </c>
      <c r="BN3" s="121"/>
      <c r="BO3" s="121"/>
      <c r="BP3" s="120"/>
    </row>
    <row r="4" spans="1:69" ht="12" customHeight="1" x14ac:dyDescent="0.2">
      <c r="A4" s="21">
        <f>'6MSynthDepo_used'!A5</f>
        <v>1</v>
      </c>
      <c r="B4" s="55">
        <f t="shared" si="0"/>
        <v>7</v>
      </c>
      <c r="C4" s="39" t="str">
        <f t="shared" ref="C4:C9" si="3">"B"&amp;$D$24&amp;"_"&amp;A4&amp;"X"&amp;B4</f>
        <v>B6M_1X7</v>
      </c>
      <c r="D4" s="177">
        <f>_xll.qlCalendarAdvance(Calendar,SettlementDate,A4&amp;"M","mf")</f>
        <v>42310</v>
      </c>
      <c r="E4" s="177">
        <f>_xll.qlInterestRateIndexMaturity($D$25,D4)</f>
        <v>42492</v>
      </c>
      <c r="F4" s="53">
        <f>_xll.qlIndexFixing(ON_6M_index,_xll.qlInterestRateIndexFixingDate(ON_6M_index,D4,Trigger),,AllTriggers)</f>
        <v>-1.6191558107094683E-3</v>
      </c>
      <c r="G4" s="53">
        <f t="shared" ref="G4:G9" si="4">H4+F4</f>
        <v>2.5000000000000001E-4</v>
      </c>
      <c r="H4" s="202">
        <f>_xll.qlQuoteValue(C4,_xll.ohTrigger(InterestRatesTrigger,'6MSynthDepo_used'!$F$1))</f>
        <v>1.8691558107094683E-3</v>
      </c>
      <c r="I4" s="41">
        <f>_xll.qlDayCounterYearFraction(DayCounter,SettlementDate,D4,,,Trigger)</f>
        <v>8.611111111111111E-2</v>
      </c>
      <c r="J4" s="41">
        <f>1</f>
        <v>1</v>
      </c>
      <c r="K4" s="41">
        <f t="shared" si="1"/>
        <v>8.611111111111111E-2</v>
      </c>
      <c r="L4" s="41">
        <f t="shared" si="2"/>
        <v>7.4151234567901231E-3</v>
      </c>
      <c r="M4" s="40">
        <f>LN((1+G4*_xll.qlDayCounterYearFraction(DayCounter,D4,E4,,,Trigger))/(1+F4*_xll.qlDayCounterYearFraction(DayCounter,D4,E4,,,Trigger)))</f>
        <v>9.4528933189889116E-4</v>
      </c>
      <c r="N4" s="41">
        <f>_xll.qlDayCounterYearFraction(DayCounter,SettlementDate,D4,,,Trigger)</f>
        <v>8.611111111111111E-2</v>
      </c>
      <c r="O4" s="41">
        <f>_xll.qlDayCounterYearFraction(DayCounter,SettlementDate,E4,,,Trigger)</f>
        <v>0.59166666666666667</v>
      </c>
      <c r="P4" s="41">
        <f t="shared" ref="P4:P9" si="5">O4-N4</f>
        <v>0.50555555555555554</v>
      </c>
      <c r="Q4" s="41">
        <f t="shared" ref="Q4:Q9" si="6">(O4^2-N4^2)/2</f>
        <v>0.17132716049382715</v>
      </c>
      <c r="R4" s="41">
        <f t="shared" ref="R4:R9" si="7">(O4^3-N4^3)/3</f>
        <v>6.8828632258802008E-2</v>
      </c>
      <c r="S4" s="114" t="b">
        <v>1</v>
      </c>
      <c r="T4" s="114" t="b">
        <v>1</v>
      </c>
      <c r="U4" s="114" t="b">
        <v>1</v>
      </c>
      <c r="V4" s="114" t="b">
        <v>1</v>
      </c>
      <c r="AD4" s="94" t="s">
        <v>64</v>
      </c>
      <c r="AE4" s="21"/>
      <c r="AF4" s="21"/>
      <c r="AG4" s="21"/>
      <c r="AH4" s="21"/>
      <c r="AI4" s="112" t="s">
        <v>45</v>
      </c>
      <c r="AJ4" s="33"/>
      <c r="AK4" s="22"/>
      <c r="AL4" s="21"/>
      <c r="AM4" s="21"/>
      <c r="AN4" s="21"/>
      <c r="AO4" s="101"/>
      <c r="AP4" s="94"/>
      <c r="AQ4" s="21"/>
      <c r="AR4" s="21"/>
      <c r="AS4" s="21"/>
      <c r="AT4" s="21"/>
      <c r="AU4" s="112" t="s">
        <v>45</v>
      </c>
      <c r="AV4" s="33"/>
      <c r="AW4" s="22"/>
      <c r="AX4" s="21"/>
      <c r="AY4" s="21"/>
      <c r="AZ4" s="21"/>
      <c r="BA4" s="101"/>
      <c r="BE4" s="116" t="str">
        <f>G34</f>
        <v>with 0X6</v>
      </c>
      <c r="BF4" s="118"/>
      <c r="BG4" s="117" t="str">
        <f>S34</f>
        <v>without 0X6</v>
      </c>
      <c r="BH4" s="118"/>
      <c r="BI4" s="116" t="str">
        <f>U34</f>
        <v>with 0X6</v>
      </c>
      <c r="BJ4" s="118"/>
      <c r="BK4" s="117" t="str">
        <f>W34</f>
        <v>without 0X6</v>
      </c>
      <c r="BL4" s="118"/>
      <c r="BM4" s="116" t="str">
        <f>Y34</f>
        <v>with 0X6</v>
      </c>
      <c r="BN4" s="118"/>
      <c r="BO4" s="117" t="str">
        <f>AA34</f>
        <v>without 0X6</v>
      </c>
      <c r="BP4" s="118"/>
    </row>
    <row r="5" spans="1:69" ht="12" customHeight="1" x14ac:dyDescent="0.2">
      <c r="A5" s="21">
        <f>'6MSynthDepo_used'!A6</f>
        <v>2</v>
      </c>
      <c r="B5" s="55">
        <f t="shared" si="0"/>
        <v>8</v>
      </c>
      <c r="C5" s="39" t="str">
        <f t="shared" si="3"/>
        <v>B6M_2X8</v>
      </c>
      <c r="D5" s="177">
        <f>_xll.qlCalendarAdvance(Calendar,SettlementDate,A5&amp;"M","mf")</f>
        <v>42340</v>
      </c>
      <c r="E5" s="177">
        <f>_xll.qlInterestRateIndexMaturity($D$25,D5)</f>
        <v>42523</v>
      </c>
      <c r="F5" s="53">
        <f>_xll.qlIndexFixing(ON_6M_index,_xll.qlInterestRateIndexFixingDate(ON_6M_index,D5,Trigger),,AllTriggers)</f>
        <v>-1.6755417546055465E-3</v>
      </c>
      <c r="G5" s="53">
        <f t="shared" si="4"/>
        <v>2.2999999999999995E-4</v>
      </c>
      <c r="H5" s="202">
        <f>_xll.qlQuoteValue(C5,_xll.ohTrigger(InterestRatesTrigger,'6MSynthDepo_used'!$F$1))</f>
        <v>1.9055417546055464E-3</v>
      </c>
      <c r="I5" s="41">
        <f>_xll.qlDayCounterYearFraction(DayCounter,SettlementDate,D5,,,Trigger)</f>
        <v>0.16944444444444445</v>
      </c>
      <c r="J5" s="41">
        <f>1</f>
        <v>1</v>
      </c>
      <c r="K5" s="41">
        <f t="shared" si="1"/>
        <v>0.16944444444444445</v>
      </c>
      <c r="L5" s="41">
        <f t="shared" si="2"/>
        <v>2.8711419753086422E-2</v>
      </c>
      <c r="M5" s="40">
        <f>LN((1+G5*_xll.qlDayCounterYearFraction(DayCounter,D5,E5,,,Trigger))/(1+F5*_xll.qlDayCounterYearFraction(DayCounter,D5,E5,,,Trigger)))</f>
        <v>9.6900648896809573E-4</v>
      </c>
      <c r="N5" s="41">
        <f>_xll.qlDayCounterYearFraction(DayCounter,SettlementDate,D5,,,Trigger)</f>
        <v>0.16944444444444445</v>
      </c>
      <c r="O5" s="41">
        <f>_xll.qlDayCounterYearFraction(DayCounter,SettlementDate,E5,,,Trigger)</f>
        <v>0.67777777777777781</v>
      </c>
      <c r="P5" s="41">
        <f t="shared" si="5"/>
        <v>0.5083333333333333</v>
      </c>
      <c r="Q5" s="41">
        <f t="shared" si="6"/>
        <v>0.21533564814814815</v>
      </c>
      <c r="R5" s="41">
        <f t="shared" si="7"/>
        <v>0.10216480195473253</v>
      </c>
      <c r="S5" s="114" t="b">
        <v>1</v>
      </c>
      <c r="T5" s="114" t="b">
        <v>1</v>
      </c>
      <c r="U5" s="114" t="b">
        <v>1</v>
      </c>
      <c r="V5" s="114" t="b">
        <v>1</v>
      </c>
      <c r="AD5" s="94"/>
      <c r="AE5" s="124"/>
      <c r="AF5" s="27">
        <f t="array" ref="AF5:AF6">_xll.ohFilter(K3:K9,S3:S9)</f>
        <v>0</v>
      </c>
      <c r="AG5" s="28">
        <f t="array" ref="AG5:AG6">_xll.ohFilter(J3:J9,S3:S9)</f>
        <v>1</v>
      </c>
      <c r="AH5" s="303" t="s">
        <v>20</v>
      </c>
      <c r="AI5" s="29">
        <f t="array" ref="AI5:AI6">MMULT(AL5:AM6,AK5:AK6)</f>
        <v>4.8637584860234881E-4</v>
      </c>
      <c r="AJ5" s="303" t="s">
        <v>21</v>
      </c>
      <c r="AK5" s="30">
        <f t="array" ref="AK5:AK6">_xll.ohFilter(H3:H9,S3:S9)</f>
        <v>1.8272734459687102E-3</v>
      </c>
      <c r="AL5" s="27">
        <f t="array" ref="AL5:AM6">MINVERSE(AF5:AG6)</f>
        <v>-11.612903225806452</v>
      </c>
      <c r="AM5" s="28">
        <v>11.612903225806452</v>
      </c>
      <c r="AN5" s="21"/>
      <c r="AO5" s="101"/>
      <c r="AP5" s="94"/>
      <c r="AQ5" s="124"/>
      <c r="AR5" s="27">
        <f t="array" ref="AR5:AR6">_xll.ohFilter(Q3:Q9,S3:S9)</f>
        <v>0.13204089506172836</v>
      </c>
      <c r="AS5" s="28">
        <f t="array" ref="AS5:AS6">_xll.ohFilter(P3:P9,S3:S9)</f>
        <v>0.51388888888888884</v>
      </c>
      <c r="AT5" s="303" t="s">
        <v>20</v>
      </c>
      <c r="AU5" s="29">
        <f t="array" ref="AU5:AU6">MMULT(AX5:AY6,AW5:AW6)</f>
        <v>5.1162371569555068E-4</v>
      </c>
      <c r="AV5" s="303" t="s">
        <v>21</v>
      </c>
      <c r="AW5" s="56">
        <f t="array" ref="AW5:AW6">_xll.ohFilter(M3:M9,S3:S9)</f>
        <v>9.3932637581558935E-4</v>
      </c>
      <c r="AX5" s="27">
        <f t="array" ref="AX5:AY6">MINVERSE(AR5:AS6)</f>
        <v>-23.747136967475949</v>
      </c>
      <c r="AY5" s="28">
        <v>24.138573291115659</v>
      </c>
      <c r="AZ5" s="21"/>
      <c r="BA5" s="101"/>
      <c r="BC5" s="36" t="s">
        <v>38</v>
      </c>
      <c r="BD5" s="36" t="s">
        <v>55</v>
      </c>
      <c r="BE5" s="36" t="str">
        <f>G35</f>
        <v>Linear</v>
      </c>
      <c r="BF5" s="36" t="str">
        <f>H35</f>
        <v>Quadratic</v>
      </c>
      <c r="BG5" s="36" t="str">
        <f>S35</f>
        <v>Linear</v>
      </c>
      <c r="BH5" s="36" t="str">
        <f>T35</f>
        <v>Quadratic</v>
      </c>
      <c r="BI5" s="36" t="str">
        <f>U35</f>
        <v>Linear</v>
      </c>
      <c r="BJ5" s="36" t="str">
        <f>V35</f>
        <v>Quadratic</v>
      </c>
      <c r="BK5" s="36" t="str">
        <f>W35</f>
        <v>Linear</v>
      </c>
      <c r="BL5" s="36" t="str">
        <f>X35</f>
        <v>Quadratic</v>
      </c>
      <c r="BM5" s="36" t="str">
        <f>Y35</f>
        <v>Linear</v>
      </c>
      <c r="BN5" s="36" t="str">
        <f>Z35</f>
        <v>Quadratic</v>
      </c>
      <c r="BO5" s="36" t="str">
        <f>AA35</f>
        <v>Linear</v>
      </c>
      <c r="BP5" s="36" t="str">
        <f>AB35</f>
        <v>Quadratic</v>
      </c>
      <c r="BQ5" s="36" t="s">
        <v>105</v>
      </c>
    </row>
    <row r="6" spans="1:69" ht="12" customHeight="1" x14ac:dyDescent="0.2">
      <c r="A6" s="21">
        <f>'6MSynthDepo_used'!A7</f>
        <v>3</v>
      </c>
      <c r="B6" s="55">
        <f t="shared" si="0"/>
        <v>9</v>
      </c>
      <c r="C6" s="39" t="str">
        <f t="shared" si="3"/>
        <v>B6M_3X9</v>
      </c>
      <c r="D6" s="177">
        <f>_xll.qlCalendarAdvance(Calendar,SettlementDate,A6&amp;"M","mf")</f>
        <v>42373</v>
      </c>
      <c r="E6" s="177">
        <f>_xll.qlInterestRateIndexMaturity($D$25,D6)</f>
        <v>42555</v>
      </c>
      <c r="F6" s="53">
        <f>_xll.qlIndexFixing(ON_6M_index,_xll.qlInterestRateIndexFixingDate(ON_6M_index,D6,Trigger),,AllTriggers)</f>
        <v>-1.7633264869979235E-3</v>
      </c>
      <c r="G6" s="53">
        <f t="shared" si="4"/>
        <v>2.1999999999999993E-4</v>
      </c>
      <c r="H6" s="202">
        <f>_xll.qlQuoteValue(C6,_xll.ohTrigger(InterestRatesTrigger,'6MSynthDepo_used'!$F$1))</f>
        <v>1.9833264869979234E-3</v>
      </c>
      <c r="I6" s="41">
        <f>_xll.qlDayCounterYearFraction(DayCounter,SettlementDate,D6,,,Trigger)</f>
        <v>0.26111111111111113</v>
      </c>
      <c r="J6" s="41">
        <f>1</f>
        <v>1</v>
      </c>
      <c r="K6" s="41">
        <f t="shared" si="1"/>
        <v>0.26111111111111113</v>
      </c>
      <c r="L6" s="41">
        <f t="shared" si="2"/>
        <v>6.8179012345679024E-2</v>
      </c>
      <c r="M6" s="40">
        <f>LN((1+G6*_xll.qlDayCounterYearFraction(DayCounter,D6,E6,,,Trigger))/(1+F6*_xll.qlDayCounterYearFraction(DayCounter,D6,E6,,,Trigger)))</f>
        <v>1.0030731255767018E-3</v>
      </c>
      <c r="N6" s="41">
        <f>_xll.qlDayCounterYearFraction(DayCounter,SettlementDate,D6,,,Trigger)</f>
        <v>0.26111111111111113</v>
      </c>
      <c r="O6" s="41">
        <f>_xll.qlDayCounterYearFraction(DayCounter,SettlementDate,E6,,,Trigger)</f>
        <v>0.76666666666666672</v>
      </c>
      <c r="P6" s="41">
        <f t="shared" si="5"/>
        <v>0.50555555555555554</v>
      </c>
      <c r="Q6" s="41">
        <f t="shared" si="6"/>
        <v>0.25979938271604941</v>
      </c>
      <c r="R6" s="41">
        <f t="shared" si="7"/>
        <v>0.14427577732053043</v>
      </c>
      <c r="S6" s="114" t="b">
        <v>0</v>
      </c>
      <c r="T6" s="114" t="b">
        <v>0</v>
      </c>
      <c r="U6" s="114" t="b">
        <v>1</v>
      </c>
      <c r="V6" s="114" t="b">
        <v>1</v>
      </c>
      <c r="AD6" s="94"/>
      <c r="AE6" s="21"/>
      <c r="AF6" s="27">
        <v>8.611111111111111E-2</v>
      </c>
      <c r="AG6" s="28">
        <v>1</v>
      </c>
      <c r="AH6" s="303"/>
      <c r="AI6" s="29">
        <v>1.8272734459687102E-3</v>
      </c>
      <c r="AJ6" s="303"/>
      <c r="AK6" s="30">
        <v>1.8691558107094683E-3</v>
      </c>
      <c r="AL6" s="27">
        <v>1</v>
      </c>
      <c r="AM6" s="28">
        <v>0</v>
      </c>
      <c r="AN6" s="21"/>
      <c r="AO6" s="101"/>
      <c r="AP6" s="94"/>
      <c r="AQ6" s="21"/>
      <c r="AR6" s="27">
        <v>0.17132716049382715</v>
      </c>
      <c r="AS6" s="28">
        <v>0.50555555555555554</v>
      </c>
      <c r="AT6" s="303"/>
      <c r="AU6" s="29">
        <v>1.6964194815444486E-3</v>
      </c>
      <c r="AV6" s="303"/>
      <c r="AW6" s="56">
        <v>9.4528933189889116E-4</v>
      </c>
      <c r="AX6" s="27">
        <v>8.0476408612001826</v>
      </c>
      <c r="AY6" s="28">
        <v>-6.2022723039672174</v>
      </c>
      <c r="AZ6" s="21"/>
      <c r="BA6" s="101"/>
      <c r="BC6" s="176">
        <f>SettlementDate</f>
        <v>42279</v>
      </c>
      <c r="BD6" s="41">
        <f>_xll.qlDayCounterYearFraction(DayCounter,SettlementDate,BC6,,,Trigger)</f>
        <v>0</v>
      </c>
      <c r="BE6" s="47">
        <f>_xll.qlPolynomialFunctionValue(BE$1,$BD6,AllTriggers)</f>
        <v>1.7023018737583845E-3</v>
      </c>
      <c r="BF6" s="52">
        <f>_xll.qlPolynomialFunctionValue(BF$1,$BD6,AllTriggers)</f>
        <v>1.6828850495422647E-3</v>
      </c>
      <c r="BG6" s="47">
        <f>_xll.qlPolynomialFunctionValue(BG$1,$BD6,AllTriggers)</f>
        <v>1.7193670083372797E-3</v>
      </c>
      <c r="BH6" s="52">
        <f>_xll.qlPolynomialFunctionValue(BH$1,$BD6,AllTriggers)</f>
        <v>2.0118798604074838E-3</v>
      </c>
      <c r="BI6" s="52">
        <f>_xll.qlPolynomialFunctionValue(BI$1,$BD6,AllTriggers)</f>
        <v>1.6964194815444486E-3</v>
      </c>
      <c r="BJ6" s="52">
        <f>_xll.qlPolynomialFunctionValue(BJ$1,$BD6,AllTriggers)</f>
        <v>1.6676477895482319E-3</v>
      </c>
      <c r="BK6" s="52">
        <f>_xll.qlPolynomialFunctionValue(BK$1,$BD6,AllTriggers)</f>
        <v>1.7240462769091526E-3</v>
      </c>
      <c r="BL6" s="52">
        <f>_xll.qlPolynomialFunctionValue(BL$1,$BD6,AllTriggers)</f>
        <v>2.0380337319299766E-3</v>
      </c>
      <c r="BM6" s="52">
        <f>_xll.qlPolynomialFunctionValue(BM$1,$BD6,AllTriggers)</f>
        <v>1.678702412913013E-3</v>
      </c>
      <c r="BN6" s="52">
        <f>_xll.qlPolynomialFunctionValue(BN$1,$BD6,AllTriggers)</f>
        <v>1.7001587678347188E-3</v>
      </c>
      <c r="BO6" s="52">
        <f>_xll.qlPolynomialFunctionValue(BO$1,$BD6,AllTriggers)</f>
        <v>1.6640054121332295E-3</v>
      </c>
      <c r="BP6" s="52">
        <f>_xll.qlPolynomialFunctionValue(BP$1,$BD6,AllTriggers)</f>
        <v>1.6331208263572026E-3</v>
      </c>
      <c r="BQ6" s="52">
        <f>_xll.qlPolynomialFunctionValue('6MSynthDepo_used'!$P$18,BD6,AllTriggers)</f>
        <v>1.6442179409597816E-3</v>
      </c>
    </row>
    <row r="7" spans="1:69" ht="12" customHeight="1" x14ac:dyDescent="0.2">
      <c r="A7" s="21">
        <f>'6MSynthDepo_used'!A8</f>
        <v>4</v>
      </c>
      <c r="B7" s="55">
        <f t="shared" si="0"/>
        <v>10</v>
      </c>
      <c r="C7" s="39" t="str">
        <f t="shared" si="3"/>
        <v>B6M_4X10</v>
      </c>
      <c r="D7" s="177">
        <f>_xll.qlCalendarAdvance(Calendar,SettlementDate,A7&amp;"M","mf")</f>
        <v>42402</v>
      </c>
      <c r="E7" s="177">
        <f>_xll.qlInterestRateIndexMaturity($D$25,D7)</f>
        <v>42584</v>
      </c>
      <c r="F7" s="53">
        <f>_xll.qlIndexFixing(ON_6M_index,_xll.qlInterestRateIndexFixingDate(ON_6M_index,D7,Trigger),,AllTriggers)</f>
        <v>-1.8085125036239036E-3</v>
      </c>
      <c r="G7" s="53">
        <f t="shared" si="4"/>
        <v>2.099999999999999E-4</v>
      </c>
      <c r="H7" s="202">
        <f>_xll.qlQuoteValue(C7,_xll.ohTrigger(InterestRatesTrigger,'6MSynthDepo_used'!$F$1))</f>
        <v>2.0185125036239035E-3</v>
      </c>
      <c r="I7" s="41">
        <f>_xll.qlDayCounterYearFraction(DayCounter,SettlementDate,D7,,,Trigger)</f>
        <v>0.34166666666666667</v>
      </c>
      <c r="J7" s="41">
        <f>1</f>
        <v>1</v>
      </c>
      <c r="K7" s="41">
        <f t="shared" si="1"/>
        <v>0.34166666666666667</v>
      </c>
      <c r="L7" s="41">
        <f t="shared" si="2"/>
        <v>0.11673611111111111</v>
      </c>
      <c r="M7" s="40">
        <f>LN((1+G7*_xll.qlDayCounterYearFraction(DayCounter,D7,E7,,,Trigger))/(1+F7*_xll.qlDayCounterYearFraction(DayCounter,D7,E7,,,Trigger)))</f>
        <v>1.0208828053143533E-3</v>
      </c>
      <c r="N7" s="41">
        <f>_xll.qlDayCounterYearFraction(DayCounter,SettlementDate,D7,,,Trigger)</f>
        <v>0.34166666666666667</v>
      </c>
      <c r="O7" s="41">
        <f>_xll.qlDayCounterYearFraction(DayCounter,SettlementDate,E7,,,Trigger)</f>
        <v>0.84722222222222221</v>
      </c>
      <c r="P7" s="41">
        <f t="shared" si="5"/>
        <v>0.50555555555555554</v>
      </c>
      <c r="Q7" s="41">
        <f t="shared" si="6"/>
        <v>0.30052469135802468</v>
      </c>
      <c r="R7" s="41">
        <f t="shared" si="7"/>
        <v>0.18941299439871973</v>
      </c>
      <c r="S7" s="114" t="b">
        <v>0</v>
      </c>
      <c r="T7" s="114" t="b">
        <v>0</v>
      </c>
      <c r="U7" s="114" t="b">
        <v>0</v>
      </c>
      <c r="V7" s="114" t="b">
        <v>0</v>
      </c>
      <c r="AD7" s="94"/>
      <c r="AE7" s="21"/>
      <c r="AF7" s="21"/>
      <c r="AG7" s="21"/>
      <c r="AH7" s="21"/>
      <c r="AI7" s="111"/>
      <c r="AJ7" s="33"/>
      <c r="AK7" s="22"/>
      <c r="AL7" s="21"/>
      <c r="AM7" s="21"/>
      <c r="AN7" s="21"/>
      <c r="AO7" s="101"/>
      <c r="AP7" s="94"/>
      <c r="AQ7" s="21"/>
      <c r="AR7" s="21"/>
      <c r="AS7" s="21"/>
      <c r="AT7" s="21"/>
      <c r="AU7" s="111"/>
      <c r="AV7" s="33"/>
      <c r="AW7" s="218"/>
      <c r="AX7" s="21"/>
      <c r="AY7" s="21"/>
      <c r="AZ7" s="21"/>
      <c r="BA7" s="101"/>
      <c r="BC7" s="178">
        <f>_xll.qlCalendarAdvance(Calendar,BC6,"1d","mf",,Trigger)</f>
        <v>42282</v>
      </c>
      <c r="BD7" s="41">
        <f>_xll.qlDayCounterYearFraction(DayCounter,SettlementDate,BC7,,,Trigger)</f>
        <v>8.3333333333333332E-3</v>
      </c>
      <c r="BE7" s="47">
        <f>_xll.qlPolynomialFunctionValue(BE$1,$BD7,AllTriggers)</f>
        <v>1.7063550058300707E-3</v>
      </c>
      <c r="BF7" s="47">
        <f>_xll.qlPolynomialFunctionValue(BF$1,$BD7,AllTriggers)</f>
        <v>1.6883856656513725E-3</v>
      </c>
      <c r="BG7" s="47">
        <f>_xll.qlPolynomialFunctionValue(BG$1,$BD7,AllTriggers)</f>
        <v>1.7230056027268876E-3</v>
      </c>
      <c r="BH7" s="47">
        <f>_xll.qlPolynomialFunctionValue(BH$1,$BD7,AllTriggers)</f>
        <v>2.0005887388010834E-3</v>
      </c>
      <c r="BI7" s="47">
        <f>_xll.qlPolynomialFunctionValue(BI$1,$BD7,AllTriggers)</f>
        <v>1.7006830125085783E-3</v>
      </c>
      <c r="BJ7" s="47">
        <f>_xll.qlPolynomialFunctionValue(BJ$1,$BD7,AllTriggers)</f>
        <v>1.6741196305188062E-3</v>
      </c>
      <c r="BK7" s="47">
        <f>_xll.qlPolynomialFunctionValue(BK$1,$BD7,AllTriggers)</f>
        <v>1.7276304604462813E-3</v>
      </c>
      <c r="BL7" s="47">
        <f>_xll.qlPolynomialFunctionValue(BL$1,$BD7,AllTriggers)</f>
        <v>2.0255414522333099E-3</v>
      </c>
      <c r="BM7" s="47">
        <f>_xll.qlPolynomialFunctionValue(BM$1,$BD7,AllTriggers)</f>
        <v>1.6833881547205713E-3</v>
      </c>
      <c r="BN7" s="47">
        <f>_xll.qlPolynomialFunctionValue(BN$1,$BD7,AllTriggers)</f>
        <v>1.7038197007907805E-3</v>
      </c>
      <c r="BO7" s="47">
        <f>_xll.qlPolynomialFunctionValue(BO$1,$BD7,AllTriggers)</f>
        <v>1.6689290232271713E-3</v>
      </c>
      <c r="BP7" s="47">
        <f>_xll.qlPolynomialFunctionValue(BP$1,$BD7,AllTriggers)</f>
        <v>1.6392687089876808E-3</v>
      </c>
      <c r="BQ7" s="47">
        <f>_xll.qlPolynomialFunctionValue('6MSynthDepo_used'!$P$18,BD7,AllTriggers)</f>
        <v>1.6511275102326761E-3</v>
      </c>
    </row>
    <row r="8" spans="1:69" ht="12" customHeight="1" x14ac:dyDescent="0.2">
      <c r="A8" s="21">
        <f>'6MSynthDepo_used'!A9</f>
        <v>5</v>
      </c>
      <c r="B8" s="55">
        <f t="shared" si="0"/>
        <v>11</v>
      </c>
      <c r="C8" s="39" t="str">
        <f t="shared" si="3"/>
        <v>B6M_5X11</v>
      </c>
      <c r="D8" s="177">
        <f>_xll.qlCalendarAdvance(Calendar,SettlementDate,A8&amp;"M","mf")</f>
        <v>42431</v>
      </c>
      <c r="E8" s="177">
        <f>_xll.qlInterestRateIndexMaturity($D$25,D8)</f>
        <v>42615</v>
      </c>
      <c r="F8" s="53">
        <f>_xll.qlIndexFixing(ON_6M_index,_xll.qlInterestRateIndexFixingDate(ON_6M_index,D8,Trigger),,AllTriggers)</f>
        <v>-1.8547709331345995E-3</v>
      </c>
      <c r="G8" s="53">
        <f t="shared" si="4"/>
        <v>2.0000000000000009E-4</v>
      </c>
      <c r="H8" s="202">
        <f>_xll.qlQuoteValue(C8,_xll.ohTrigger(InterestRatesTrigger,'6MSynthDepo_used'!$F$1))</f>
        <v>2.0547709331345996E-3</v>
      </c>
      <c r="I8" s="41">
        <f>_xll.qlDayCounterYearFraction(DayCounter,SettlementDate,D8,,,Trigger)</f>
        <v>0.42222222222222222</v>
      </c>
      <c r="J8" s="41">
        <f>1</f>
        <v>1</v>
      </c>
      <c r="K8" s="41">
        <f t="shared" si="1"/>
        <v>0.42222222222222222</v>
      </c>
      <c r="L8" s="41">
        <f t="shared" si="2"/>
        <v>0.1782716049382716</v>
      </c>
      <c r="M8" s="40">
        <f>LN((1+G8*_xll.qlDayCounterYearFraction(DayCounter,D8,E8,,,Trigger))/(1+F8*_xll.qlDayCounterYearFraction(DayCounter,D8,E8,,,Trigger)))</f>
        <v>1.0506606609078811E-3</v>
      </c>
      <c r="N8" s="41">
        <f>_xll.qlDayCounterYearFraction(DayCounter,SettlementDate,D8,,,Trigger)</f>
        <v>0.42222222222222222</v>
      </c>
      <c r="O8" s="41">
        <f>_xll.qlDayCounterYearFraction(DayCounter,SettlementDate,E8,,,Trigger)</f>
        <v>0.93333333333333335</v>
      </c>
      <c r="P8" s="41">
        <f t="shared" si="5"/>
        <v>0.51111111111111107</v>
      </c>
      <c r="Q8" s="41">
        <f t="shared" si="6"/>
        <v>0.34641975308641981</v>
      </c>
      <c r="R8" s="41">
        <f t="shared" si="7"/>
        <v>0.24592226794695934</v>
      </c>
      <c r="S8" s="114" t="b">
        <v>0</v>
      </c>
      <c r="T8" s="114" t="b">
        <v>0</v>
      </c>
      <c r="U8" s="114" t="b">
        <v>0</v>
      </c>
      <c r="V8" s="114" t="b">
        <v>0</v>
      </c>
      <c r="AD8" s="94" t="s">
        <v>65</v>
      </c>
      <c r="AE8" s="21"/>
      <c r="AF8" s="21"/>
      <c r="AG8" s="21"/>
      <c r="AH8" s="21"/>
      <c r="AI8" s="112" t="s">
        <v>45</v>
      </c>
      <c r="AJ8" s="33"/>
      <c r="AK8" s="22"/>
      <c r="AL8" s="21"/>
      <c r="AM8" s="21"/>
      <c r="AN8" s="21"/>
      <c r="AO8" s="101"/>
      <c r="AP8" s="94"/>
      <c r="AQ8" s="21"/>
      <c r="AR8" s="21"/>
      <c r="AS8" s="21"/>
      <c r="AT8" s="21"/>
      <c r="AU8" s="112" t="s">
        <v>45</v>
      </c>
      <c r="AV8" s="33"/>
      <c r="AW8" s="218"/>
      <c r="AX8" s="21"/>
      <c r="AY8" s="21"/>
      <c r="AZ8" s="21"/>
      <c r="BA8" s="101"/>
      <c r="BC8" s="178">
        <f>_xll.qlCalendarAdvance(Calendar,BC7,"1d","mf",,Trigger)</f>
        <v>42283</v>
      </c>
      <c r="BD8" s="41">
        <f>_xll.qlDayCounterYearFraction(DayCounter,SettlementDate,BC8,,,Trigger)</f>
        <v>1.1111111111111112E-2</v>
      </c>
      <c r="BE8" s="47">
        <f>_xll.qlPolynomialFunctionValue(BE$1,$BD8,AllTriggers)</f>
        <v>1.707706049853966E-3</v>
      </c>
      <c r="BF8" s="47">
        <f>_xll.qlPolynomialFunctionValue(BF$1,$BD8,AllTriggers)</f>
        <v>1.6902101434214669E-3</v>
      </c>
      <c r="BG8" s="47">
        <f>_xll.qlPolynomialFunctionValue(BG$1,$BD8,AllTriggers)</f>
        <v>1.7242184675234234E-3</v>
      </c>
      <c r="BH8" s="47">
        <f>_xll.qlPolynomialFunctionValue(BH$1,$BD8,AllTriggers)</f>
        <v>1.9968976822850619E-3</v>
      </c>
      <c r="BI8" s="47">
        <f>_xll.qlPolynomialFunctionValue(BI$1,$BD8,AllTriggers)</f>
        <v>1.7021041894966214E-3</v>
      </c>
      <c r="BJ8" s="47">
        <f>_xll.qlPolynomialFunctionValue(BJ$1,$BD8,AllTriggers)</f>
        <v>1.6762627814899786E-3</v>
      </c>
      <c r="BK8" s="47">
        <f>_xll.qlPolynomialFunctionValue(BK$1,$BD8,AllTriggers)</f>
        <v>1.728825188291991E-3</v>
      </c>
      <c r="BL8" s="47">
        <f>_xll.qlPolynomialFunctionValue(BL$1,$BD8,AllTriggers)</f>
        <v>2.0214560213836063E-3</v>
      </c>
      <c r="BM8" s="47">
        <f>_xll.qlPolynomialFunctionValue(BM$1,$BD8,AllTriggers)</f>
        <v>1.684950068656424E-3</v>
      </c>
      <c r="BN8" s="47">
        <f>_xll.qlPolynomialFunctionValue(BN$1,$BD8,AllTriggers)</f>
        <v>1.7050444001746538E-3</v>
      </c>
      <c r="BO8" s="47">
        <f>_xll.qlPolynomialFunctionValue(BO$1,$BD8,AllTriggers)</f>
        <v>1.6705702269251518E-3</v>
      </c>
      <c r="BP8" s="47">
        <f>_xll.qlPolynomialFunctionValue(BP$1,$BD8,AllTriggers)</f>
        <v>1.6413133112383408E-3</v>
      </c>
      <c r="BQ8" s="47">
        <f>_xll.qlPolynomialFunctionValue('6MSynthDepo_used'!$P$18,BD8,AllTriggers)</f>
        <v>1.653418652341973E-3</v>
      </c>
    </row>
    <row r="9" spans="1:69" ht="12" customHeight="1" x14ac:dyDescent="0.2">
      <c r="A9" s="21">
        <f>'6MSynthDepo_used'!A10</f>
        <v>6</v>
      </c>
      <c r="B9" s="55">
        <f t="shared" si="0"/>
        <v>12</v>
      </c>
      <c r="C9" s="42" t="str">
        <f t="shared" si="3"/>
        <v>B6M_6X12</v>
      </c>
      <c r="D9" s="181">
        <f>_xll.qlCalendarAdvance(Calendar,SettlementDate,A9&amp;"M","mf")</f>
        <v>42464</v>
      </c>
      <c r="E9" s="181">
        <f>_xll.qlInterestRateIndexMaturity($D$25,D9)</f>
        <v>42647</v>
      </c>
      <c r="F9" s="54">
        <f>_xll.qlIndexFixing(ON_6M_index,_xll.qlInterestRateIndexFixingDate(ON_6M_index,D9,Trigger),,AllTriggers)</f>
        <v>-1.9018750767799632E-3</v>
      </c>
      <c r="G9" s="54">
        <f t="shared" si="4"/>
        <v>1.9999999999999987E-4</v>
      </c>
      <c r="H9" s="203">
        <f>_xll.qlQuoteValue(C9,_xll.ohTrigger(InterestRatesTrigger,'6MSynthDepo_used'!$F$1))</f>
        <v>2.101875076779963E-3</v>
      </c>
      <c r="I9" s="44">
        <f>_xll.qlDayCounterYearFraction(DayCounter,SettlementDate,D9,,,Trigger)</f>
        <v>0.51388888888888884</v>
      </c>
      <c r="J9" s="44">
        <f>1</f>
        <v>1</v>
      </c>
      <c r="K9" s="44">
        <f t="shared" si="1"/>
        <v>0.51388888888888884</v>
      </c>
      <c r="L9" s="44">
        <f t="shared" si="2"/>
        <v>0.26408179012345673</v>
      </c>
      <c r="M9" s="43">
        <f>LN((1+G9*_xll.qlDayCounterYearFraction(DayCounter,D9,E9,,,Trigger))/(1+F9*_xll.qlDayCounterYearFraction(DayCounter,D9,E9,,,Trigger)))</f>
        <v>1.0689156358194862E-3</v>
      </c>
      <c r="N9" s="44">
        <f>_xll.qlDayCounterYearFraction(DayCounter,SettlementDate,D9,,,Trigger)</f>
        <v>0.51388888888888884</v>
      </c>
      <c r="O9" s="44">
        <f>_xll.qlDayCounterYearFraction(DayCounter,SettlementDate,E9,,,Trigger)</f>
        <v>1.0222222222222221</v>
      </c>
      <c r="P9" s="44">
        <f t="shared" si="5"/>
        <v>0.5083333333333333</v>
      </c>
      <c r="Q9" s="44">
        <f t="shared" si="6"/>
        <v>0.39042824074074067</v>
      </c>
      <c r="R9" s="44">
        <f t="shared" si="7"/>
        <v>0.31081680812757195</v>
      </c>
      <c r="S9" s="150" t="b">
        <v>0</v>
      </c>
      <c r="T9" s="150" t="b">
        <v>0</v>
      </c>
      <c r="U9" s="150" t="b">
        <v>0</v>
      </c>
      <c r="V9" s="150" t="b">
        <v>0</v>
      </c>
      <c r="AD9" s="94"/>
      <c r="AE9" s="32"/>
      <c r="AF9" s="27">
        <f t="array" ref="AF9:AF10">_xll.ohFilter(K3:K9,U3:U9)</f>
        <v>8.611111111111111E-2</v>
      </c>
      <c r="AG9" s="28">
        <f t="array" ref="AG9:AG10">_xll.ohFilter(J3:J9,U3:U9)</f>
        <v>1</v>
      </c>
      <c r="AH9" s="303" t="s">
        <v>20</v>
      </c>
      <c r="AI9" s="29">
        <f t="array" ref="AI9:AI10">MMULT(AL9:AM10,AK9:AK10)</f>
        <v>4.3663132675293703E-4</v>
      </c>
      <c r="AJ9" s="303" t="s">
        <v>21</v>
      </c>
      <c r="AK9" s="30">
        <f t="array" ref="AK9:AK10">_xll.ohFilter(H3:H9,U3:U9)</f>
        <v>1.8691558107094683E-3</v>
      </c>
      <c r="AL9" s="27">
        <f t="array" ref="AL9:AM10">MINVERSE(AF9:AG10)</f>
        <v>-11.999999999999998</v>
      </c>
      <c r="AM9" s="28">
        <v>11.999999999999998</v>
      </c>
      <c r="AN9" s="21"/>
      <c r="AO9" s="101"/>
      <c r="AP9" s="94"/>
      <c r="AQ9" s="32"/>
      <c r="AR9" s="27">
        <f t="array" ref="AR9:AR10">_xll.ohFilter(Q3:Q9,U3:U9)</f>
        <v>0.17132716049382715</v>
      </c>
      <c r="AS9" s="28">
        <f t="array" ref="AS9:AS10">_xll.ohFilter(P3:P9,U3:U9)</f>
        <v>0.50555555555555554</v>
      </c>
      <c r="AT9" s="303" t="s">
        <v>20</v>
      </c>
      <c r="AU9" s="29">
        <f t="array" ref="AU9:AU10">MMULT(AX9:AY10,AW9:AW10)</f>
        <v>4.3010202445544279E-4</v>
      </c>
      <c r="AV9" s="303" t="s">
        <v>21</v>
      </c>
      <c r="AW9" s="56">
        <f t="array" ref="AW9:AW10">_xll.ohFilter(M3:M9,U3:U9)</f>
        <v>9.4528933189889116E-4</v>
      </c>
      <c r="AX9" s="27">
        <f t="array" ref="AX9:AY10">MINVERSE(AR9:AS10)</f>
        <v>-23.34714465862006</v>
      </c>
      <c r="AY9" s="28">
        <v>23.21956463316312</v>
      </c>
      <c r="AZ9" s="21"/>
      <c r="BA9" s="101"/>
      <c r="BC9" s="178">
        <f>_xll.qlCalendarAdvance(Calendar,BC8,"1d","mf",,Trigger)</f>
        <v>42284</v>
      </c>
      <c r="BD9" s="41">
        <f>_xll.qlDayCounterYearFraction(DayCounter,SettlementDate,BC9,,,Trigger)</f>
        <v>1.3888888888888888E-2</v>
      </c>
      <c r="BE9" s="47">
        <f>_xll.qlPolynomialFunctionValue(BE$1,$BD9,AllTriggers)</f>
        <v>1.7090570938778616E-3</v>
      </c>
      <c r="BF9" s="47">
        <f>_xll.qlPolynomialFunctionValue(BF$1,$BD9,AllTriggers)</f>
        <v>1.6920300907250906E-3</v>
      </c>
      <c r="BG9" s="47">
        <f>_xll.qlPolynomialFunctionValue(BG$1,$BD9,AllTriggers)</f>
        <v>1.7254313323199595E-3</v>
      </c>
      <c r="BH9" s="47">
        <f>_xll.qlPolynomialFunctionValue(BH$1,$BD9,AllTriggers)</f>
        <v>1.9932429511120967E-3</v>
      </c>
      <c r="BI9" s="47">
        <f>_xll.qlPolynomialFunctionValue(BI$1,$BD9,AllTriggers)</f>
        <v>1.7035253664846647E-3</v>
      </c>
      <c r="BJ9" s="47">
        <f>_xll.qlPolynomialFunctionValue(BJ$1,$BD9,AllTriggers)</f>
        <v>1.6783988677849747E-3</v>
      </c>
      <c r="BK9" s="47">
        <f>_xll.qlPolynomialFunctionValue(BK$1,$BD9,AllTriggers)</f>
        <v>1.7300199161377004E-3</v>
      </c>
      <c r="BL9" s="47">
        <f>_xll.qlPolynomialFunctionValue(BL$1,$BD9,AllTriggers)</f>
        <v>2.0174099217251619E-3</v>
      </c>
      <c r="BM9" s="47">
        <f>_xll.qlPolynomialFunctionValue(BM$1,$BD9,AllTriggers)</f>
        <v>1.6865119825922768E-3</v>
      </c>
      <c r="BN9" s="47">
        <f>_xll.qlPolynomialFunctionValue(BN$1,$BD9,AllTriggers)</f>
        <v>1.7062712937577873E-3</v>
      </c>
      <c r="BO9" s="47">
        <f>_xll.qlPolynomialFunctionValue(BO$1,$BD9,AllTriggers)</f>
        <v>1.6722114306231323E-3</v>
      </c>
      <c r="BP9" s="47">
        <f>_xll.qlPolynomialFunctionValue(BP$1,$BD9,AllTriggers)</f>
        <v>1.643355567509251E-3</v>
      </c>
      <c r="BQ9" s="47">
        <f>_xll.qlPolynomialFunctionValue('6MSynthDepo_used'!$P$18,BD9,AllTriggers)</f>
        <v>1.6557037941322395E-3</v>
      </c>
    </row>
    <row r="10" spans="1:69" ht="12" customHeight="1" x14ac:dyDescent="0.2">
      <c r="A10" s="21"/>
      <c r="B10" s="55"/>
      <c r="C10" s="22"/>
      <c r="D10" s="23"/>
      <c r="E10" s="23"/>
      <c r="F10" s="122"/>
      <c r="G10" s="122"/>
      <c r="H10" s="123"/>
      <c r="I10" s="24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6"/>
      <c r="U10" s="26"/>
      <c r="V10" s="26"/>
      <c r="W10" s="26"/>
      <c r="AD10" s="94"/>
      <c r="AE10" s="32"/>
      <c r="AF10" s="27">
        <v>0.16944444444444445</v>
      </c>
      <c r="AG10" s="28">
        <v>1</v>
      </c>
      <c r="AH10" s="303"/>
      <c r="AI10" s="29">
        <v>1.8315570020168538E-3</v>
      </c>
      <c r="AJ10" s="303"/>
      <c r="AK10" s="30">
        <v>1.9055417546055464E-3</v>
      </c>
      <c r="AL10" s="27">
        <v>2.0333333333333332</v>
      </c>
      <c r="AM10" s="28">
        <v>-1.0333333333333334</v>
      </c>
      <c r="AN10" s="21"/>
      <c r="AO10" s="101"/>
      <c r="AP10" s="94"/>
      <c r="AQ10" s="32"/>
      <c r="AR10" s="27">
        <v>0.21533564814814815</v>
      </c>
      <c r="AS10" s="28">
        <v>0.5083333333333333</v>
      </c>
      <c r="AT10" s="303"/>
      <c r="AU10" s="29">
        <v>1.7240462769091526E-3</v>
      </c>
      <c r="AV10" s="303"/>
      <c r="AW10" s="56">
        <v>9.6900648896809573E-4</v>
      </c>
      <c r="AX10" s="27">
        <v>9.8901098901098869</v>
      </c>
      <c r="AY10" s="28">
        <v>-7.8688524590163897</v>
      </c>
      <c r="AZ10" s="21"/>
      <c r="BA10" s="101"/>
      <c r="BC10" s="178">
        <f>_xll.qlCalendarAdvance(Calendar,BC9,"1d","mf",,Trigger)</f>
        <v>42285</v>
      </c>
      <c r="BD10" s="41">
        <f>_xll.qlDayCounterYearFraction(DayCounter,SettlementDate,BC10,,,Trigger)</f>
        <v>1.6666666666666666E-2</v>
      </c>
      <c r="BE10" s="47">
        <f>_xll.qlPolynomialFunctionValue(BE$1,$BD10,AllTriggers)</f>
        <v>1.7104081379017569E-3</v>
      </c>
      <c r="BF10" s="47">
        <f>_xll.qlPolynomialFunctionValue(BF$1,$BD10,AllTriggers)</f>
        <v>1.6938455075622433E-3</v>
      </c>
      <c r="BG10" s="47">
        <f>_xll.qlPolynomialFunctionValue(BG$1,$BD10,AllTriggers)</f>
        <v>1.7266441971164953E-3</v>
      </c>
      <c r="BH10" s="47">
        <f>_xll.qlPolynomialFunctionValue(BH$1,$BD10,AllTriggers)</f>
        <v>1.9896245452821872E-3</v>
      </c>
      <c r="BI10" s="47">
        <f>_xll.qlPolynomialFunctionValue(BI$1,$BD10,AllTriggers)</f>
        <v>1.7049465434727077E-3</v>
      </c>
      <c r="BJ10" s="47">
        <f>_xll.qlPolynomialFunctionValue(BJ$1,$BD10,AllTriggers)</f>
        <v>1.6805278894037943E-3</v>
      </c>
      <c r="BK10" s="47">
        <f>_xll.qlPolynomialFunctionValue(BK$1,$BD10,AllTriggers)</f>
        <v>1.73121464398341E-3</v>
      </c>
      <c r="BL10" s="47">
        <f>_xll.qlPolynomialFunctionValue(BL$1,$BD10,AllTriggers)</f>
        <v>2.0134031532579762E-3</v>
      </c>
      <c r="BM10" s="47">
        <f>_xll.qlPolynomialFunctionValue(BM$1,$BD10,AllTriggers)</f>
        <v>1.6880738965281293E-3</v>
      </c>
      <c r="BN10" s="47">
        <f>_xll.qlPolynomialFunctionValue(BN$1,$BD10,AllTriggers)</f>
        <v>1.7075003815401803E-3</v>
      </c>
      <c r="BO10" s="47">
        <f>_xll.qlPolynomialFunctionValue(BO$1,$BD10,AllTriggers)</f>
        <v>1.6738526343211128E-3</v>
      </c>
      <c r="BP10" s="47">
        <f>_xll.qlPolynomialFunctionValue(BP$1,$BD10,AllTriggers)</f>
        <v>1.6453954778004112E-3</v>
      </c>
      <c r="BQ10" s="47">
        <f>_xll.qlPolynomialFunctionValue('6MSynthDepo_used'!$P$18,BD10,AllTriggers)</f>
        <v>1.6579829497065585E-3</v>
      </c>
    </row>
    <row r="11" spans="1:69" ht="12" customHeight="1" x14ac:dyDescent="0.2">
      <c r="A11" s="21"/>
      <c r="B11" s="55"/>
      <c r="C11" s="21"/>
      <c r="D11" s="21"/>
      <c r="E11" s="21"/>
      <c r="F11" s="21"/>
      <c r="G11" s="21"/>
      <c r="AD11" s="94"/>
      <c r="AE11" s="21"/>
      <c r="AF11" s="21"/>
      <c r="AG11" s="21"/>
      <c r="AH11" s="21"/>
      <c r="AI11" s="111"/>
      <c r="AJ11" s="33"/>
      <c r="AK11" s="22"/>
      <c r="AL11" s="21"/>
      <c r="AM11" s="21"/>
      <c r="AN11" s="21"/>
      <c r="AO11" s="101"/>
      <c r="AP11" s="94"/>
      <c r="AQ11" s="21"/>
      <c r="AR11" s="21"/>
      <c r="AS11" s="21"/>
      <c r="AT11" s="21"/>
      <c r="AU11" s="111"/>
      <c r="AV11" s="33"/>
      <c r="AW11" s="22"/>
      <c r="AX11" s="21"/>
      <c r="AY11" s="21"/>
      <c r="AZ11" s="21"/>
      <c r="BA11" s="101"/>
      <c r="BC11" s="178">
        <f>_xll.qlCalendarAdvance(Calendar,BC10,"1d","mf",,Trigger)</f>
        <v>42286</v>
      </c>
      <c r="BD11" s="41">
        <f>_xll.qlDayCounterYearFraction(DayCounter,SettlementDate,BC11,,,Trigger)</f>
        <v>1.9444444444444445E-2</v>
      </c>
      <c r="BE11" s="47">
        <f>_xll.qlPolynomialFunctionValue(BE$1,$BD11,AllTriggers)</f>
        <v>1.7117591819256523E-3</v>
      </c>
      <c r="BF11" s="47">
        <f>_xll.qlPolynomialFunctionValue(BF$1,$BD11,AllTriggers)</f>
        <v>1.6956563939329254E-3</v>
      </c>
      <c r="BG11" s="47">
        <f>_xll.qlPolynomialFunctionValue(BG$1,$BD11,AllTriggers)</f>
        <v>1.7278570619130313E-3</v>
      </c>
      <c r="BH11" s="47">
        <f>_xll.qlPolynomialFunctionValue(BH$1,$BD11,AllTriggers)</f>
        <v>1.9860424647953337E-3</v>
      </c>
      <c r="BI11" s="47">
        <f>_xll.qlPolynomialFunctionValue(BI$1,$BD11,AllTriggers)</f>
        <v>1.706367720460751E-3</v>
      </c>
      <c r="BJ11" s="47">
        <f>_xll.qlPolynomialFunctionValue(BJ$1,$BD11,AllTriggers)</f>
        <v>1.6826498463464381E-3</v>
      </c>
      <c r="BK11" s="47">
        <f>_xll.qlPolynomialFunctionValue(BK$1,$BD11,AllTriggers)</f>
        <v>1.7324093718291197E-3</v>
      </c>
      <c r="BL11" s="47">
        <f>_xll.qlPolynomialFunctionValue(BL$1,$BD11,AllTriggers)</f>
        <v>2.0094357159820501E-3</v>
      </c>
      <c r="BM11" s="47">
        <f>_xll.qlPolynomialFunctionValue(BM$1,$BD11,AllTriggers)</f>
        <v>1.689635810463982E-3</v>
      </c>
      <c r="BN11" s="47">
        <f>_xll.qlPolynomialFunctionValue(BN$1,$BD11,AllTriggers)</f>
        <v>1.7087316635218332E-3</v>
      </c>
      <c r="BO11" s="47">
        <f>_xll.qlPolynomialFunctionValue(BO$1,$BD11,AllTriggers)</f>
        <v>1.6754938380190935E-3</v>
      </c>
      <c r="BP11" s="47">
        <f>_xll.qlPolynomialFunctionValue(BP$1,$BD11,AllTriggers)</f>
        <v>1.6474330421118216E-3</v>
      </c>
      <c r="BQ11" s="47">
        <f>_xll.qlPolynomialFunctionValue('6MSynthDepo_used'!$P$18,BD11,AllTriggers)</f>
        <v>1.6602561331680124E-3</v>
      </c>
    </row>
    <row r="12" spans="1:69" ht="12" customHeight="1" x14ac:dyDescent="0.2">
      <c r="B12" s="21"/>
      <c r="C12" s="116" t="s">
        <v>67</v>
      </c>
      <c r="D12" s="117"/>
      <c r="E12" s="117"/>
      <c r="F12" s="117"/>
      <c r="G12" s="117"/>
      <c r="H12" s="117"/>
      <c r="I12" s="116"/>
      <c r="J12" s="116"/>
      <c r="P12" s="55"/>
      <c r="Q12" s="55"/>
      <c r="R12" s="55"/>
      <c r="S12" s="116" t="str">
        <f>"with 0X"&amp;SUBSTITUTE($D$24,"M","")</f>
        <v>with 0X6</v>
      </c>
      <c r="T12" s="118"/>
      <c r="U12" s="117" t="str">
        <f>"without 0X"&amp;SUBSTITUTE($D$24,"M","")</f>
        <v>without 0X6</v>
      </c>
      <c r="V12" s="118"/>
      <c r="AD12" s="219" t="s">
        <v>42</v>
      </c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2"/>
      <c r="AP12" s="219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2"/>
      <c r="BC12" s="178">
        <f>_xll.qlCalendarAdvance(Calendar,BC11,"1d","mf",,Trigger)</f>
        <v>42289</v>
      </c>
      <c r="BD12" s="41">
        <f>_xll.qlDayCounterYearFraction(DayCounter,SettlementDate,BC12,,,Trigger)</f>
        <v>2.7777777777777776E-2</v>
      </c>
      <c r="BE12" s="47">
        <f>_xll.qlPolynomialFunctionValue(BE$1,$BD12,AllTriggers)</f>
        <v>1.7158123139973387E-3</v>
      </c>
      <c r="BF12" s="47">
        <f>_xll.qlPolynomialFunctionValue(BF$1,$BD12,AllTriggers)</f>
        <v>1.7010618702461464E-3</v>
      </c>
      <c r="BG12" s="47">
        <f>_xll.qlPolynomialFunctionValue(BG$1,$BD12,AllTriggers)</f>
        <v>1.7314956563026392E-3</v>
      </c>
      <c r="BH12" s="47">
        <f>_xll.qlPolynomialFunctionValue(BH$1,$BD12,AllTriggers)</f>
        <v>1.9755141753931087E-3</v>
      </c>
      <c r="BI12" s="47">
        <f>_xll.qlPolynomialFunctionValue(BI$1,$BD12,AllTriggers)</f>
        <v>1.7106312514248807E-3</v>
      </c>
      <c r="BJ12" s="47">
        <f>_xll.qlPolynomialFunctionValue(BJ$1,$BD12,AllTriggers)</f>
        <v>1.6889733291173114E-3</v>
      </c>
      <c r="BK12" s="47">
        <f>_xll.qlPolynomialFunctionValue(BK$1,$BD12,AllTriggers)</f>
        <v>1.7359935553662483E-3</v>
      </c>
      <c r="BL12" s="47">
        <f>_xll.qlPolynomialFunctionValue(BL$1,$BD12,AllTriggers)</f>
        <v>1.9977693913018268E-3</v>
      </c>
      <c r="BM12" s="47">
        <f>_xll.qlPolynomialFunctionValue(BM$1,$BD12,AllTriggers)</f>
        <v>1.6943215522715403E-3</v>
      </c>
      <c r="BN12" s="47">
        <f>_xll.qlPolynomialFunctionValue(BN$1,$BD12,AllTriggers)</f>
        <v>1.7124386746623509E-3</v>
      </c>
      <c r="BO12" s="47">
        <f>_xll.qlPolynomialFunctionValue(BO$1,$BD12,AllTriggers)</f>
        <v>1.680417449113035E-3</v>
      </c>
      <c r="BP12" s="47">
        <f>_xll.qlPolynomialFunctionValue(BP$1,$BD12,AllTriggers)</f>
        <v>1.6535316591675541E-3</v>
      </c>
      <c r="BQ12" s="47">
        <f>_xll.qlPolynomialFunctionValue('6MSynthDepo_used'!$P$18,BD12,AllTriggers)</f>
        <v>1.6670399919060071E-3</v>
      </c>
    </row>
    <row r="13" spans="1:69" ht="22.5" customHeight="1" x14ac:dyDescent="0.2">
      <c r="C13" s="36" t="s">
        <v>43</v>
      </c>
      <c r="D13" s="36" t="s">
        <v>101</v>
      </c>
      <c r="E13" s="36" t="s">
        <v>102</v>
      </c>
      <c r="F13" s="36" t="s">
        <v>56</v>
      </c>
      <c r="G13" s="36" t="str">
        <f>"F "&amp;$D$24</f>
        <v>F 6M</v>
      </c>
      <c r="H13" s="36" t="str">
        <f>"B "&amp;$D$24</f>
        <v>B 6M</v>
      </c>
      <c r="I13" s="36" t="s">
        <v>89</v>
      </c>
      <c r="J13" s="36" t="s">
        <v>104</v>
      </c>
      <c r="P13" s="55"/>
      <c r="Q13" s="55"/>
      <c r="R13" s="55"/>
      <c r="S13" s="36" t="s">
        <v>41</v>
      </c>
      <c r="T13" s="36" t="s">
        <v>42</v>
      </c>
      <c r="U13" s="36" t="s">
        <v>41</v>
      </c>
      <c r="V13" s="36" t="s">
        <v>42</v>
      </c>
      <c r="AD13" s="94" t="s">
        <v>64</v>
      </c>
      <c r="AE13" s="21"/>
      <c r="AF13" s="21"/>
      <c r="AG13" s="21"/>
      <c r="AH13" s="21"/>
      <c r="AI13" s="113" t="s">
        <v>44</v>
      </c>
      <c r="AJ13" s="21"/>
      <c r="AK13" s="21"/>
      <c r="AL13" s="21"/>
      <c r="AM13" s="21"/>
      <c r="AN13" s="21"/>
      <c r="AO13" s="101"/>
      <c r="AP13" s="94"/>
      <c r="AQ13" s="21"/>
      <c r="AR13" s="21"/>
      <c r="AS13" s="21"/>
      <c r="AT13" s="21"/>
      <c r="AU13" s="113" t="s">
        <v>44</v>
      </c>
      <c r="AV13" s="21"/>
      <c r="AW13" s="21"/>
      <c r="AX13" s="21"/>
      <c r="AY13" s="21"/>
      <c r="AZ13" s="21"/>
      <c r="BA13" s="101"/>
      <c r="BC13" s="178">
        <f>_xll.qlCalendarAdvance(Calendar,BC12,"1d","mf",,Trigger)</f>
        <v>42290</v>
      </c>
      <c r="BD13" s="41">
        <f>_xll.qlDayCounterYearFraction(DayCounter,SettlementDate,BC13,,,Trigger)</f>
        <v>3.0555555555555555E-2</v>
      </c>
      <c r="BE13" s="47">
        <f>_xll.qlPolynomialFunctionValue(BE$1,$BD13,AllTriggers)</f>
        <v>1.717163358021234E-3</v>
      </c>
      <c r="BF13" s="47">
        <f>_xll.qlPolynomialFunctionValue(BF$1,$BD13,AllTriggers)</f>
        <v>1.7028546347509451E-3</v>
      </c>
      <c r="BG13" s="47">
        <f>_xll.qlPolynomialFunctionValue(BG$1,$BD13,AllTriggers)</f>
        <v>1.732708521099175E-3</v>
      </c>
      <c r="BH13" s="47">
        <f>_xll.qlPolynomialFunctionValue(BH$1,$BD13,AllTriggers)</f>
        <v>1.9720773962784797E-3</v>
      </c>
      <c r="BI13" s="47">
        <f>_xll.qlPolynomialFunctionValue(BI$1,$BD13,AllTriggers)</f>
        <v>1.7120524284129238E-3</v>
      </c>
      <c r="BJ13" s="47">
        <f>_xll.qlPolynomialFunctionValue(BJ$1,$BD13,AllTriggers)</f>
        <v>1.6910670273552501E-3</v>
      </c>
      <c r="BK13" s="47">
        <f>_xll.qlPolynomialFunctionValue(BK$1,$BD13,AllTriggers)</f>
        <v>1.7371882832119578E-3</v>
      </c>
      <c r="BL13" s="47">
        <f>_xll.qlPolynomialFunctionValue(BL$1,$BD13,AllTriggers)</f>
        <v>1.9939592787909378E-3</v>
      </c>
      <c r="BM13" s="47">
        <f>_xll.qlPolynomialFunctionValue(BM$1,$BD13,AllTriggers)</f>
        <v>1.695883466207393E-3</v>
      </c>
      <c r="BN13" s="47">
        <f>_xll.qlPolynomialFunctionValue(BN$1,$BD13,AllTriggers)</f>
        <v>1.7136787334410433E-3</v>
      </c>
      <c r="BO13" s="47">
        <f>_xll.qlPolynomialFunctionValue(BO$1,$BD13,AllTriggers)</f>
        <v>1.6820586528110155E-3</v>
      </c>
      <c r="BP13" s="47">
        <f>_xll.qlPolynomialFunctionValue(BP$1,$BD13,AllTriggers)</f>
        <v>1.6555598395599652E-3</v>
      </c>
      <c r="BQ13" s="47">
        <f>_xll.qlPolynomialFunctionValue('6MSynthDepo_used'!$P$18,BD13,AllTriggers)</f>
        <v>1.6692894279468245E-3</v>
      </c>
    </row>
    <row r="14" spans="1:69" ht="12" customHeight="1" x14ac:dyDescent="0.2">
      <c r="A14" s="19">
        <f>A3</f>
        <v>0</v>
      </c>
      <c r="B14" s="55">
        <f t="shared" ref="B14:B20" si="8">A14+SUBSTITUTE($D$24,"M","")</f>
        <v>6</v>
      </c>
      <c r="C14" s="171" t="str">
        <f>"B"&amp;$D$24&amp;"_"&amp;A14&amp;"X"&amp;B14&amp;$D$28</f>
        <v>B6M_0X6ESTIMATED</v>
      </c>
      <c r="D14" s="186">
        <f>SettlementDate</f>
        <v>42279</v>
      </c>
      <c r="E14" s="186">
        <f>_xll.qlInterestRateIndexMaturity($D$25,D14)</f>
        <v>42464</v>
      </c>
      <c r="F14" s="172">
        <f>_xll.qlIndexFixing(ON_6M_index,_xll.qlInterestRateIndexFixingDate(ON_6M_index,D14,Trigger),,AllTriggers)</f>
        <v>-1.5574732317485693E-3</v>
      </c>
      <c r="G14" s="172">
        <f>H14+F14</f>
        <v>2.6980021422014092E-4</v>
      </c>
      <c r="H14" s="226">
        <f>_xll.qlQuoteValue(C14,_xll.ohTrigger(InterestRatesTrigger,'6MSynthDepo_used'!$F$1,Trigger))</f>
        <v>1.8272734459687102E-3</v>
      </c>
      <c r="I14" s="173">
        <f>_xll.qlDayCounterYearFraction(DayCounter,SettlementDate,D14,,,Trigger)</f>
        <v>0</v>
      </c>
      <c r="J14" s="244">
        <f t="shared" ref="J14:J20" si="9">IF(($E$14-SettlementDate)-($D14-SettlementDate)&lt;0,0,($E$14-SettlementDate)-($D14-SettlementDate))</f>
        <v>185</v>
      </c>
      <c r="P14" s="55"/>
      <c r="Q14" s="55"/>
      <c r="R14" s="55"/>
      <c r="S14" s="174" t="b">
        <v>1</v>
      </c>
      <c r="T14" s="174" t="b">
        <v>1</v>
      </c>
      <c r="U14" s="174" t="b">
        <v>0</v>
      </c>
      <c r="V14" s="174" t="b">
        <v>0</v>
      </c>
      <c r="AD14" s="94"/>
      <c r="AE14" s="27">
        <f t="array" ref="AE14:AE16">_xll.ohFilter(L3:L9,T3:T9)</f>
        <v>0</v>
      </c>
      <c r="AF14" s="31">
        <f t="array" ref="AF14:AF16">_xll.ohFilter(K3:K9,T3:T9)</f>
        <v>0</v>
      </c>
      <c r="AG14" s="28">
        <f t="array" ref="AG14:AG16">_xll.ohFilter(J3:J9,T3:T9)</f>
        <v>1</v>
      </c>
      <c r="AH14" s="303" t="s">
        <v>20</v>
      </c>
      <c r="AI14" s="29">
        <f t="array" ref="AI14:AI16">MMULT(AL14:AN16,AK14:AK16)</f>
        <v>-2.9357422730805216E-4</v>
      </c>
      <c r="AJ14" s="303" t="s">
        <v>21</v>
      </c>
      <c r="AK14" s="56">
        <f t="array" ref="AK14:AK16">_xll.ohFilter(H3:H9,T3:T9)</f>
        <v>1.8272734459687102E-3</v>
      </c>
      <c r="AL14" s="27">
        <f t="array" ref="AL14:AN16">MINVERSE(AE14:AG16)</f>
        <v>68.535166578529882</v>
      </c>
      <c r="AM14" s="31">
        <v>-139.35483870967741</v>
      </c>
      <c r="AN14" s="28">
        <v>70.819672131147527</v>
      </c>
      <c r="AO14" s="101"/>
      <c r="AP14" s="94"/>
      <c r="AQ14" s="27">
        <f t="array" ref="AQ14:AQ16">_xll.ohFilter(R3:R9,T3:T9)</f>
        <v>4.5236232567443968E-2</v>
      </c>
      <c r="AR14" s="31">
        <f t="array" ref="AR14:AR16">_xll.ohFilter(Q3:Q9,T3:T9)</f>
        <v>0.13204089506172836</v>
      </c>
      <c r="AS14" s="28">
        <f t="array" ref="AS14:AS16">_xll.ohFilter(P3:P9,T3:T9)</f>
        <v>0.51388888888888884</v>
      </c>
      <c r="AT14" s="303" t="s">
        <v>20</v>
      </c>
      <c r="AU14" s="29">
        <f t="array" ref="AU14:AU16">MMULT(AX14:AZ16,AW14:AW16)</f>
        <v>-4.5779101622003826E-4</v>
      </c>
      <c r="AV14" s="303" t="s">
        <v>21</v>
      </c>
      <c r="AW14" s="56">
        <f t="array" ref="AW14:AW16">_xll.ohFilter(M3:M9,T3:T9)</f>
        <v>9.3932637581558935E-4</v>
      </c>
      <c r="AX14" s="27">
        <f t="array" ref="AX14:AZ16">MINVERSE(AQ14:AS16)</f>
        <v>133.35378350576903</v>
      </c>
      <c r="AY14" s="31">
        <v>-266.65952025113256</v>
      </c>
      <c r="AZ14" s="28">
        <v>130.39116249802655</v>
      </c>
      <c r="BA14" s="101"/>
      <c r="BC14" s="178">
        <f>_xll.qlCalendarAdvance(Calendar,BC13,"1d","mf",,Trigger)</f>
        <v>42291</v>
      </c>
      <c r="BD14" s="41">
        <f>_xll.qlDayCounterYearFraction(DayCounter,SettlementDate,BC14,,,Trigger)</f>
        <v>3.3333333333333333E-2</v>
      </c>
      <c r="BE14" s="47">
        <f>_xll.qlPolynomialFunctionValue(BE$1,$BD14,AllTriggers)</f>
        <v>1.7185144020451294E-3</v>
      </c>
      <c r="BF14" s="47">
        <f>_xll.qlPolynomialFunctionValue(BF$1,$BD14,AllTriggers)</f>
        <v>1.7046428687892731E-3</v>
      </c>
      <c r="BG14" s="47">
        <f>_xll.qlPolynomialFunctionValue(BG$1,$BD14,AllTriggers)</f>
        <v>1.733921385895711E-3</v>
      </c>
      <c r="BH14" s="47">
        <f>_xll.qlPolynomialFunctionValue(BH$1,$BD14,AllTriggers)</f>
        <v>1.9686769425069058E-3</v>
      </c>
      <c r="BI14" s="47">
        <f>_xll.qlPolynomialFunctionValue(BI$1,$BD14,AllTriggers)</f>
        <v>1.7134736054009671E-3</v>
      </c>
      <c r="BJ14" s="47">
        <f>_xll.qlPolynomialFunctionValue(BJ$1,$BD14,AllTriggers)</f>
        <v>1.6931536609170125E-3</v>
      </c>
      <c r="BK14" s="47">
        <f>_xll.qlPolynomialFunctionValue(BK$1,$BD14,AllTriggers)</f>
        <v>1.7383830110576674E-3</v>
      </c>
      <c r="BL14" s="47">
        <f>_xll.qlPolynomialFunctionValue(BL$1,$BD14,AllTriggers)</f>
        <v>1.9901884974713076E-3</v>
      </c>
      <c r="BM14" s="47">
        <f>_xll.qlPolynomialFunctionValue(BM$1,$BD14,AllTriggers)</f>
        <v>1.6974453801432458E-3</v>
      </c>
      <c r="BN14" s="47">
        <f>_xll.qlPolynomialFunctionValue(BN$1,$BD14,AllTriggers)</f>
        <v>1.7149209864189951E-3</v>
      </c>
      <c r="BO14" s="47">
        <f>_xll.qlPolynomialFunctionValue(BO$1,$BD14,AllTriggers)</f>
        <v>1.6836998565089962E-3</v>
      </c>
      <c r="BP14" s="47">
        <f>_xll.qlPolynomialFunctionValue(BP$1,$BD14,AllTriggers)</f>
        <v>1.6575856739726267E-3</v>
      </c>
      <c r="BQ14" s="47">
        <f>_xll.qlPolynomialFunctionValue('6MSynthDepo_used'!$P$18,BD14,AllTriggers)</f>
        <v>1.6715329623901889E-3</v>
      </c>
    </row>
    <row r="15" spans="1:69" ht="12" customHeight="1" x14ac:dyDescent="0.2">
      <c r="A15" s="21">
        <f t="shared" ref="A15:A20" si="10">A4</f>
        <v>1</v>
      </c>
      <c r="B15" s="55">
        <f t="shared" si="8"/>
        <v>7</v>
      </c>
      <c r="C15" s="39" t="str">
        <f t="shared" ref="C15:C20" si="11">"B"&amp;$D$24&amp;"_"&amp;A15&amp;"X"&amp;B15</f>
        <v>B6M_1X7</v>
      </c>
      <c r="D15" s="177">
        <f>_xll.qlCalendarAdvance(Calendar,SettlementDate,A15&amp;"M","mf")</f>
        <v>42310</v>
      </c>
      <c r="E15" s="177">
        <f>_xll.qlInterestRateIndexMaturity($D$25,D15)</f>
        <v>42492</v>
      </c>
      <c r="F15" s="53">
        <f>_xll.qlIndexFixing(ON_6M_index,_xll.qlInterestRateIndexFixingDate(ON_6M_index,D15,Trigger),,AllTriggers)</f>
        <v>-1.6191558107094683E-3</v>
      </c>
      <c r="G15" s="53">
        <f t="shared" ref="G15:G20" si="12">H15+F15</f>
        <v>2.5000000000000001E-4</v>
      </c>
      <c r="H15" s="202">
        <f>_xll.qlQuoteValue(C15,_xll.ohTrigger(InterestRatesTrigger,'6MSynthDepo_used'!$F$1,Trigger))</f>
        <v>1.8691558107094683E-3</v>
      </c>
      <c r="I15" s="41">
        <f>_xll.qlDayCounterYearFraction(DayCounter,SettlementDate,D15,,,Trigger)</f>
        <v>8.611111111111111E-2</v>
      </c>
      <c r="J15" s="242">
        <f t="shared" si="9"/>
        <v>154</v>
      </c>
      <c r="P15" s="55"/>
      <c r="Q15" s="55"/>
      <c r="R15" s="55"/>
      <c r="S15" s="114" t="b">
        <v>1</v>
      </c>
      <c r="T15" s="114" t="b">
        <v>1</v>
      </c>
      <c r="U15" s="114" t="b">
        <v>1</v>
      </c>
      <c r="V15" s="114" t="b">
        <v>1</v>
      </c>
      <c r="AD15" s="94"/>
      <c r="AE15" s="27">
        <v>7.4151234567901231E-3</v>
      </c>
      <c r="AF15" s="31">
        <v>8.611111111111111E-2</v>
      </c>
      <c r="AG15" s="28">
        <v>1</v>
      </c>
      <c r="AH15" s="303"/>
      <c r="AI15" s="29">
        <v>5.116558515094391E-4</v>
      </c>
      <c r="AJ15" s="303"/>
      <c r="AK15" s="56">
        <v>1.8691558107094683E-3</v>
      </c>
      <c r="AL15" s="27">
        <v>-17.514542570068745</v>
      </c>
      <c r="AM15" s="31">
        <v>23.612903225806452</v>
      </c>
      <c r="AN15" s="28">
        <v>-6.0983606557377046</v>
      </c>
      <c r="AO15" s="101"/>
      <c r="AP15" s="94"/>
      <c r="AQ15" s="27">
        <v>6.8828632258802008E-2</v>
      </c>
      <c r="AR15" s="31">
        <v>0.17132716049382715</v>
      </c>
      <c r="AS15" s="28">
        <v>0.50555555555555554</v>
      </c>
      <c r="AT15" s="303"/>
      <c r="AU15" s="29">
        <v>7.8043584160408797E-4</v>
      </c>
      <c r="AV15" s="303"/>
      <c r="AW15" s="56">
        <v>9.4528933189889116E-4</v>
      </c>
      <c r="AX15" s="27">
        <v>-102.05167500344348</v>
      </c>
      <c r="AY15" s="31">
        <v>180.71943659488798</v>
      </c>
      <c r="AZ15" s="28">
        <v>-76.564904834057742</v>
      </c>
      <c r="BA15" s="101"/>
      <c r="BC15" s="178">
        <f>_xll.qlCalendarAdvance(Calendar,BC14,"1d","mf",,Trigger)</f>
        <v>42292</v>
      </c>
      <c r="BD15" s="41">
        <f>_xll.qlDayCounterYearFraction(DayCounter,SettlementDate,BC15,,,Trigger)</f>
        <v>3.6111111111111108E-2</v>
      </c>
      <c r="BE15" s="47">
        <f>_xll.qlPolynomialFunctionValue(BE$1,$BD15,AllTriggers)</f>
        <v>1.7198654460690249E-3</v>
      </c>
      <c r="BF15" s="47">
        <f>_xll.qlPolynomialFunctionValue(BF$1,$BD15,AllTriggers)</f>
        <v>1.7064265723611303E-3</v>
      </c>
      <c r="BG15" s="47">
        <f>_xll.qlPolynomialFunctionValue(BG$1,$BD15,AllTriggers)</f>
        <v>1.7351342506922468E-3</v>
      </c>
      <c r="BH15" s="47">
        <f>_xll.qlPolynomialFunctionValue(BH$1,$BD15,AllTriggers)</f>
        <v>1.9653128140783883E-3</v>
      </c>
      <c r="BI15" s="47">
        <f>_xll.qlPolynomialFunctionValue(BI$1,$BD15,AllTriggers)</f>
        <v>1.7148947823890101E-3</v>
      </c>
      <c r="BJ15" s="47">
        <f>_xll.qlPolynomialFunctionValue(BJ$1,$BD15,AllTriggers)</f>
        <v>1.6952332298025988E-3</v>
      </c>
      <c r="BK15" s="47">
        <f>_xll.qlPolynomialFunctionValue(BK$1,$BD15,AllTriggers)</f>
        <v>1.739577738903377E-3</v>
      </c>
      <c r="BL15" s="47">
        <f>_xll.qlPolynomialFunctionValue(BL$1,$BD15,AllTriggers)</f>
        <v>1.9864570473429365E-3</v>
      </c>
      <c r="BM15" s="47">
        <f>_xll.qlPolynomialFunctionValue(BM$1,$BD15,AllTriggers)</f>
        <v>1.6990072940790985E-3</v>
      </c>
      <c r="BN15" s="47">
        <f>_xll.qlPolynomialFunctionValue(BN$1,$BD15,AllTriggers)</f>
        <v>1.7161654335962071E-3</v>
      </c>
      <c r="BO15" s="47">
        <f>_xll.qlPolynomialFunctionValue(BO$1,$BD15,AllTriggers)</f>
        <v>1.6853410602069767E-3</v>
      </c>
      <c r="BP15" s="47">
        <f>_xll.qlPolynomialFunctionValue(BP$1,$BD15,AllTriggers)</f>
        <v>1.6596091624055385E-3</v>
      </c>
      <c r="BQ15" s="47">
        <f>_xll.qlPolynomialFunctionValue('6MSynthDepo_used'!$P$18,BD15,AllTriggers)</f>
        <v>1.6737706093391826E-3</v>
      </c>
    </row>
    <row r="16" spans="1:69" ht="12" customHeight="1" x14ac:dyDescent="0.2">
      <c r="A16" s="21">
        <f t="shared" si="10"/>
        <v>2</v>
      </c>
      <c r="B16" s="55">
        <f t="shared" si="8"/>
        <v>8</v>
      </c>
      <c r="C16" s="39" t="str">
        <f t="shared" si="11"/>
        <v>B6M_2X8</v>
      </c>
      <c r="D16" s="177">
        <f>_xll.qlCalendarAdvance(Calendar,SettlementDate,A16&amp;"M","mf")</f>
        <v>42340</v>
      </c>
      <c r="E16" s="177">
        <f>_xll.qlInterestRateIndexMaturity($D$25,D16)</f>
        <v>42523</v>
      </c>
      <c r="F16" s="53">
        <f>_xll.qlIndexFixing(ON_6M_index,_xll.qlInterestRateIndexFixingDate(ON_6M_index,D16,Trigger),,AllTriggers)</f>
        <v>-1.6755417546055465E-3</v>
      </c>
      <c r="G16" s="53">
        <f t="shared" si="12"/>
        <v>2.2999999999999995E-4</v>
      </c>
      <c r="H16" s="202">
        <f>_xll.qlQuoteValue(C16,_xll.ohTrigger(InterestRatesTrigger,'6MSynthDepo_used'!$F$1,Trigger))</f>
        <v>1.9055417546055464E-3</v>
      </c>
      <c r="I16" s="41">
        <f>_xll.qlDayCounterYearFraction(DayCounter,SettlementDate,D16,,,Trigger)</f>
        <v>0.16944444444444445</v>
      </c>
      <c r="J16" s="242">
        <f t="shared" si="9"/>
        <v>124</v>
      </c>
      <c r="P16" s="55"/>
      <c r="Q16" s="55"/>
      <c r="R16" s="55"/>
      <c r="S16" s="114" t="b">
        <v>1</v>
      </c>
      <c r="T16" s="114" t="b">
        <v>1</v>
      </c>
      <c r="U16" s="114" t="b">
        <v>1</v>
      </c>
      <c r="V16" s="114" t="b">
        <v>1</v>
      </c>
      <c r="AD16" s="94"/>
      <c r="AE16" s="27">
        <v>2.8711419753086422E-2</v>
      </c>
      <c r="AF16" s="31">
        <v>0.16944444444444445</v>
      </c>
      <c r="AG16" s="28">
        <v>1</v>
      </c>
      <c r="AH16" s="303"/>
      <c r="AI16" s="29">
        <v>1.8272734459687102E-3</v>
      </c>
      <c r="AJ16" s="303"/>
      <c r="AK16" s="56">
        <v>1.9055417546055464E-3</v>
      </c>
      <c r="AL16" s="27">
        <v>1</v>
      </c>
      <c r="AM16" s="31">
        <v>0</v>
      </c>
      <c r="AN16" s="28">
        <v>0</v>
      </c>
      <c r="AO16" s="101"/>
      <c r="AP16" s="94"/>
      <c r="AQ16" s="27">
        <v>0.10216480195473253</v>
      </c>
      <c r="AR16" s="31">
        <v>0.21533564814814815</v>
      </c>
      <c r="AS16" s="28">
        <v>0.5083333333333333</v>
      </c>
      <c r="AT16" s="303"/>
      <c r="AU16" s="29">
        <v>1.6676477895482319E-3</v>
      </c>
      <c r="AV16" s="303"/>
      <c r="AW16" s="56">
        <v>9.6900648896809573E-4</v>
      </c>
      <c r="AX16" s="27">
        <v>16.428788261684264</v>
      </c>
      <c r="AY16" s="31">
        <v>-22.96154741572607</v>
      </c>
      <c r="AZ16" s="28">
        <v>8.1949497336095938</v>
      </c>
      <c r="BA16" s="101"/>
      <c r="BC16" s="178">
        <f>_xll.qlCalendarAdvance(Calendar,BC15,"1d","mf",,Trigger)</f>
        <v>42293</v>
      </c>
      <c r="BD16" s="41">
        <f>_xll.qlDayCounterYearFraction(DayCounter,SettlementDate,BC16,,,Trigger)</f>
        <v>3.888888888888889E-2</v>
      </c>
      <c r="BE16" s="47">
        <f>_xll.qlPolynomialFunctionValue(BE$1,$BD16,AllTriggers)</f>
        <v>1.7212164900929203E-3</v>
      </c>
      <c r="BF16" s="47">
        <f>_xll.qlPolynomialFunctionValue(BF$1,$BD16,AllTriggers)</f>
        <v>1.7082057454665166E-3</v>
      </c>
      <c r="BG16" s="47">
        <f>_xll.qlPolynomialFunctionValue(BG$1,$BD16,AllTriggers)</f>
        <v>1.7363471154887829E-3</v>
      </c>
      <c r="BH16" s="47">
        <f>_xll.qlPolynomialFunctionValue(BH$1,$BD16,AllTriggers)</f>
        <v>1.9619850109929265E-3</v>
      </c>
      <c r="BI16" s="47">
        <f>_xll.qlPolynomialFunctionValue(BI$1,$BD16,AllTriggers)</f>
        <v>1.7163159593770534E-3</v>
      </c>
      <c r="BJ16" s="47">
        <f>_xll.qlPolynomialFunctionValue(BJ$1,$BD16,AllTriggers)</f>
        <v>1.6973057340120086E-3</v>
      </c>
      <c r="BK16" s="47">
        <f>_xll.qlPolynomialFunctionValue(BK$1,$BD16,AllTriggers)</f>
        <v>1.7407724667490865E-3</v>
      </c>
      <c r="BL16" s="47">
        <f>_xll.qlPolynomialFunctionValue(BL$1,$BD16,AllTriggers)</f>
        <v>1.982764928405825E-3</v>
      </c>
      <c r="BM16" s="47">
        <f>_xll.qlPolynomialFunctionValue(BM$1,$BD16,AllTriggers)</f>
        <v>1.7005692080149513E-3</v>
      </c>
      <c r="BN16" s="47">
        <f>_xll.qlPolynomialFunctionValue(BN$1,$BD16,AllTriggers)</f>
        <v>1.7174120749726789E-3</v>
      </c>
      <c r="BO16" s="47">
        <f>_xll.qlPolynomialFunctionValue(BO$1,$BD16,AllTriggers)</f>
        <v>1.6869822639049572E-3</v>
      </c>
      <c r="BP16" s="47">
        <f>_xll.qlPolynomialFunctionValue(BP$1,$BD16,AllTriggers)</f>
        <v>1.6616303048587004E-3</v>
      </c>
      <c r="BQ16" s="47">
        <f>_xll.qlPolynomialFunctionValue('6MSynthDepo_used'!$P$18,BD16,AllTriggers)</f>
        <v>1.676002382896888E-3</v>
      </c>
    </row>
    <row r="17" spans="1:69" ht="12" customHeight="1" x14ac:dyDescent="0.2">
      <c r="A17" s="21">
        <f t="shared" si="10"/>
        <v>3</v>
      </c>
      <c r="B17" s="55">
        <f t="shared" si="8"/>
        <v>9</v>
      </c>
      <c r="C17" s="39" t="str">
        <f t="shared" si="11"/>
        <v>B6M_3X9</v>
      </c>
      <c r="D17" s="177">
        <f>_xll.qlCalendarAdvance(Calendar,SettlementDate,A17&amp;"M","mf")</f>
        <v>42373</v>
      </c>
      <c r="E17" s="177">
        <f>_xll.qlInterestRateIndexMaturity($D$25,D17)</f>
        <v>42555</v>
      </c>
      <c r="F17" s="53">
        <f>_xll.qlIndexFixing(ON_6M_index,_xll.qlInterestRateIndexFixingDate(ON_6M_index,D17,Trigger),,AllTriggers)</f>
        <v>-1.7633264869979235E-3</v>
      </c>
      <c r="G17" s="53">
        <f t="shared" si="12"/>
        <v>2.1999999999999993E-4</v>
      </c>
      <c r="H17" s="202">
        <f>_xll.qlQuoteValue(C17,_xll.ohTrigger(InterestRatesTrigger,'6MSynthDepo_used'!$F$1,Trigger))</f>
        <v>1.9833264869979234E-3</v>
      </c>
      <c r="I17" s="41">
        <f>_xll.qlDayCounterYearFraction(DayCounter,SettlementDate,D17,,,Trigger)</f>
        <v>0.26111111111111113</v>
      </c>
      <c r="J17" s="242">
        <f t="shared" si="9"/>
        <v>91</v>
      </c>
      <c r="P17" s="55"/>
      <c r="Q17" s="55"/>
      <c r="R17" s="55"/>
      <c r="S17" s="114" t="b">
        <v>1</v>
      </c>
      <c r="T17" s="114" t="b">
        <v>1</v>
      </c>
      <c r="U17" s="114" t="b">
        <v>1</v>
      </c>
      <c r="V17" s="114" t="b">
        <v>1</v>
      </c>
      <c r="AD17" s="94"/>
      <c r="AE17" s="21"/>
      <c r="AF17" s="21"/>
      <c r="AG17" s="21"/>
      <c r="AH17" s="21"/>
      <c r="AI17" s="111"/>
      <c r="AJ17" s="33"/>
      <c r="AK17" s="22"/>
      <c r="AL17" s="21"/>
      <c r="AM17" s="21"/>
      <c r="AN17" s="21"/>
      <c r="AO17" s="101"/>
      <c r="AP17" s="94"/>
      <c r="AQ17" s="21"/>
      <c r="AR17" s="21"/>
      <c r="AS17" s="21"/>
      <c r="AT17" s="21"/>
      <c r="AU17" s="111"/>
      <c r="AV17" s="33"/>
      <c r="AW17" s="22"/>
      <c r="AX17" s="21"/>
      <c r="AY17" s="21"/>
      <c r="AZ17" s="21"/>
      <c r="BA17" s="101"/>
      <c r="BC17" s="178">
        <f>_xll.qlCalendarAdvance(Calendar,BC16,"1d","mf",,Trigger)</f>
        <v>42296</v>
      </c>
      <c r="BD17" s="41">
        <f>_xll.qlDayCounterYearFraction(DayCounter,SettlementDate,BC17,,,Trigger)</f>
        <v>4.7222222222222221E-2</v>
      </c>
      <c r="BE17" s="47">
        <f>_xll.qlPolynomialFunctionValue(BE$1,$BD17,AllTriggers)</f>
        <v>1.7252696221646065E-3</v>
      </c>
      <c r="BF17" s="47">
        <f>_xll.qlPolynomialFunctionValue(BF$1,$BD17,AllTriggers)</f>
        <v>1.7135160819838507E-3</v>
      </c>
      <c r="BG17" s="47">
        <f>_xll.qlPolynomialFunctionValue(BG$1,$BD17,AllTriggers)</f>
        <v>1.7399857098783905E-3</v>
      </c>
      <c r="BH17" s="47">
        <f>_xll.qlPolynomialFunctionValue(BH$1,$BD17,AllTriggers)</f>
        <v>1.9522195537948776E-3</v>
      </c>
      <c r="BI17" s="47">
        <f>_xll.qlPolynomialFunctionValue(BI$1,$BD17,AllTriggers)</f>
        <v>1.7205794903411829E-3</v>
      </c>
      <c r="BJ17" s="47">
        <f>_xll.qlPolynomialFunctionValue(BJ$1,$BD17,AllTriggers)</f>
        <v>1.7034808585831812E-3</v>
      </c>
      <c r="BK17" s="47">
        <f>_xll.qlPolynomialFunctionValue(BK$1,$BD17,AllTriggers)</f>
        <v>1.7443566502862151E-3</v>
      </c>
      <c r="BL17" s="47">
        <f>_xll.qlPolynomialFunctionValue(BL$1,$BD17,AllTriggers)</f>
        <v>1.9719245587420452E-3</v>
      </c>
      <c r="BM17" s="47">
        <f>_xll.qlPolynomialFunctionValue(BM$1,$BD17,AllTriggers)</f>
        <v>1.7052549498225095E-3</v>
      </c>
      <c r="BN17" s="47">
        <f>_xll.qlPolynomialFunctionValue(BN$1,$BD17,AllTriggers)</f>
        <v>1.7211651642976525E-3</v>
      </c>
      <c r="BO17" s="47">
        <f>_xll.qlPolynomialFunctionValue(BO$1,$BD17,AllTriggers)</f>
        <v>1.6919058749988989E-3</v>
      </c>
      <c r="BP17" s="47">
        <f>_xll.qlPolynomialFunctionValue(BP$1,$BD17,AllTriggers)</f>
        <v>1.6676796563396871E-3</v>
      </c>
      <c r="BQ17" s="47">
        <f>_xll.qlPolynomialFunctionValue('6MSynthDepo_used'!$P$18,BD17,AllTriggers)</f>
        <v>1.6826626042530993E-3</v>
      </c>
    </row>
    <row r="18" spans="1:69" ht="12" customHeight="1" x14ac:dyDescent="0.2">
      <c r="A18" s="21">
        <f t="shared" si="10"/>
        <v>4</v>
      </c>
      <c r="B18" s="55">
        <f t="shared" si="8"/>
        <v>10</v>
      </c>
      <c r="C18" s="39" t="str">
        <f t="shared" si="11"/>
        <v>B6M_4X10</v>
      </c>
      <c r="D18" s="177">
        <f>_xll.qlCalendarAdvance(Calendar,SettlementDate,A18&amp;"M","mf")</f>
        <v>42402</v>
      </c>
      <c r="E18" s="177">
        <f>_xll.qlInterestRateIndexMaturity($D$25,D18)</f>
        <v>42584</v>
      </c>
      <c r="F18" s="53">
        <f>_xll.qlIndexFixing(ON_6M_index,_xll.qlInterestRateIndexFixingDate(ON_6M_index,D18,Trigger),,AllTriggers)</f>
        <v>-1.8085125036239036E-3</v>
      </c>
      <c r="G18" s="53">
        <f t="shared" si="12"/>
        <v>2.099999999999999E-4</v>
      </c>
      <c r="H18" s="202">
        <f>_xll.qlQuoteValue(C18,_xll.ohTrigger(InterestRatesTrigger,'6MSynthDepo_used'!$F$1,Trigger))</f>
        <v>2.0185125036239035E-3</v>
      </c>
      <c r="I18" s="41">
        <f>_xll.qlDayCounterYearFraction(DayCounter,SettlementDate,D18,,,Trigger)</f>
        <v>0.34166666666666667</v>
      </c>
      <c r="J18" s="242">
        <f t="shared" si="9"/>
        <v>62</v>
      </c>
      <c r="P18" s="55"/>
      <c r="Q18" s="55"/>
      <c r="R18" s="55"/>
      <c r="S18" s="114" t="b">
        <v>1</v>
      </c>
      <c r="T18" s="114" t="b">
        <v>1</v>
      </c>
      <c r="U18" s="114" t="b">
        <v>1</v>
      </c>
      <c r="V18" s="114" t="b">
        <v>1</v>
      </c>
      <c r="AD18" s="94" t="s">
        <v>65</v>
      </c>
      <c r="AE18" s="21"/>
      <c r="AF18" s="21"/>
      <c r="AG18" s="21"/>
      <c r="AH18" s="21"/>
      <c r="AI18" s="113" t="s">
        <v>44</v>
      </c>
      <c r="AJ18" s="21"/>
      <c r="AK18" s="21"/>
      <c r="AL18" s="21"/>
      <c r="AM18" s="21"/>
      <c r="AN18" s="21"/>
      <c r="AO18" s="101"/>
      <c r="AP18" s="94"/>
      <c r="AQ18" s="21"/>
      <c r="AR18" s="21"/>
      <c r="AS18" s="21"/>
      <c r="AT18" s="21"/>
      <c r="AU18" s="113" t="s">
        <v>44</v>
      </c>
      <c r="AV18" s="21"/>
      <c r="AW18" s="21"/>
      <c r="AX18" s="21"/>
      <c r="AY18" s="21"/>
      <c r="AZ18" s="21"/>
      <c r="BA18" s="101"/>
      <c r="BC18" s="178">
        <f>_xll.qlCalendarAdvance(Calendar,BC17,"1d","mf",,Trigger)</f>
        <v>42297</v>
      </c>
      <c r="BD18" s="41">
        <f>_xll.qlDayCounterYearFraction(DayCounter,SettlementDate,BC18,,,Trigger)</f>
        <v>0.05</v>
      </c>
      <c r="BE18" s="47">
        <f>_xll.qlPolynomialFunctionValue(BE$1,$BD18,AllTriggers)</f>
        <v>1.7266206661885018E-3</v>
      </c>
      <c r="BF18" s="47">
        <f>_xll.qlPolynomialFunctionValue(BF$1,$BD18,AllTriggers)</f>
        <v>1.7152771332233539E-3</v>
      </c>
      <c r="BG18" s="47">
        <f>_xll.qlPolynomialFunctionValue(BG$1,$BD18,AllTriggers)</f>
        <v>1.7411985746749266E-3</v>
      </c>
      <c r="BH18" s="47">
        <f>_xll.qlPolynomialFunctionValue(BH$1,$BD18,AllTriggers)</f>
        <v>1.9490370520816398E-3</v>
      </c>
      <c r="BI18" s="47">
        <f>_xll.qlPolynomialFunctionValue(BI$1,$BD18,AllTriggers)</f>
        <v>1.7220006673292262E-3</v>
      </c>
      <c r="BJ18" s="47">
        <f>_xll.qlPolynomialFunctionValue(BJ$1,$BD18,AllTriggers)</f>
        <v>1.7055251040878861E-3</v>
      </c>
      <c r="BK18" s="47">
        <f>_xll.qlPolynomialFunctionValue(BK$1,$BD18,AllTriggers)</f>
        <v>1.7455513781319248E-3</v>
      </c>
      <c r="BL18" s="47">
        <f>_xll.qlPolynomialFunctionValue(BL$1,$BD18,AllTriggers)</f>
        <v>1.9683897645699703E-3</v>
      </c>
      <c r="BM18" s="47">
        <f>_xll.qlPolynomialFunctionValue(BM$1,$BD18,AllTriggers)</f>
        <v>1.706816863758362E-3</v>
      </c>
      <c r="BN18" s="47">
        <f>_xll.qlPolynomialFunctionValue(BN$1,$BD18,AllTriggers)</f>
        <v>1.7224205824711634E-3</v>
      </c>
      <c r="BO18" s="47">
        <f>_xll.qlPolynomialFunctionValue(BO$1,$BD18,AllTriggers)</f>
        <v>1.6935470786968794E-3</v>
      </c>
      <c r="BP18" s="47">
        <f>_xll.qlPolynomialFunctionValue(BP$1,$BD18,AllTriggers)</f>
        <v>1.6696914148738495E-3</v>
      </c>
      <c r="BQ18" s="47">
        <f>_xll.qlPolynomialFunctionValue('6MSynthDepo_used'!$P$18,BD18,AllTriggers)</f>
        <v>1.6848710252764763E-3</v>
      </c>
    </row>
    <row r="19" spans="1:69" ht="12" customHeight="1" x14ac:dyDescent="0.2">
      <c r="A19" s="21">
        <f t="shared" si="10"/>
        <v>5</v>
      </c>
      <c r="B19" s="55">
        <f t="shared" si="8"/>
        <v>11</v>
      </c>
      <c r="C19" s="39" t="str">
        <f t="shared" si="11"/>
        <v>B6M_5X11</v>
      </c>
      <c r="D19" s="177">
        <f>_xll.qlCalendarAdvance(Calendar,SettlementDate,A19&amp;"M","mf")</f>
        <v>42431</v>
      </c>
      <c r="E19" s="177">
        <f>_xll.qlInterestRateIndexMaturity($D$25,D19)</f>
        <v>42615</v>
      </c>
      <c r="F19" s="53">
        <f>_xll.qlIndexFixing(ON_6M_index,_xll.qlInterestRateIndexFixingDate(ON_6M_index,D19,Trigger),,AllTriggers)</f>
        <v>-1.8547709331345995E-3</v>
      </c>
      <c r="G19" s="53">
        <f t="shared" si="12"/>
        <v>2.0000000000000009E-4</v>
      </c>
      <c r="H19" s="202">
        <f>_xll.qlQuoteValue(C19,_xll.ohTrigger(InterestRatesTrigger,'6MSynthDepo_used'!$F$1,Trigger))</f>
        <v>2.0547709331345996E-3</v>
      </c>
      <c r="I19" s="41">
        <f>_xll.qlDayCounterYearFraction(DayCounter,SettlementDate,D19,,,Trigger)</f>
        <v>0.42222222222222222</v>
      </c>
      <c r="J19" s="242">
        <f t="shared" si="9"/>
        <v>33</v>
      </c>
      <c r="P19" s="55"/>
      <c r="Q19" s="55"/>
      <c r="R19" s="55"/>
      <c r="S19" s="114" t="b">
        <v>1</v>
      </c>
      <c r="T19" s="114" t="b">
        <v>1</v>
      </c>
      <c r="U19" s="114" t="b">
        <v>1</v>
      </c>
      <c r="V19" s="114" t="b">
        <v>1</v>
      </c>
      <c r="AD19" s="94"/>
      <c r="AE19" s="27">
        <f t="array" ref="AE19:AE21">_xll.ohFilter(L3:L9,V3:V9)</f>
        <v>7.4151234567901231E-3</v>
      </c>
      <c r="AF19" s="31">
        <f t="array" ref="AF19:AF21">_xll.ohFilter(K3:K9,V3:V9)</f>
        <v>8.611111111111111E-2</v>
      </c>
      <c r="AG19" s="28">
        <f t="array" ref="AG19:AG21">_xll.ohFilter(J3:J9,V3:V9)</f>
        <v>1</v>
      </c>
      <c r="AH19" s="303" t="s">
        <v>20</v>
      </c>
      <c r="AI19" s="29">
        <f t="array" ref="AI19:AI21">MMULT(AL19:AN21,AK19:AK21)</f>
        <v>2.353882230027568E-3</v>
      </c>
      <c r="AJ19" s="303" t="s">
        <v>21</v>
      </c>
      <c r="AK19" s="56">
        <f t="array" ref="AK19:AK21">_xll.ohFilter(H3:H9,V3:V9)</f>
        <v>1.8691558107094683E-3</v>
      </c>
      <c r="AL19" s="27">
        <f t="array" ref="AL19:AN21">MINVERSE(AE19:AG21)</f>
        <v>68.571428571428513</v>
      </c>
      <c r="AM19" s="31">
        <v>-130.90909090909076</v>
      </c>
      <c r="AN19" s="28">
        <v>62.33766233766228</v>
      </c>
      <c r="AO19" s="101"/>
      <c r="AP19" s="94"/>
      <c r="AQ19" s="27">
        <f t="array" ref="AQ19:AQ21">_xll.ohFilter(R3:R9,V3:V9)</f>
        <v>6.8828632258802008E-2</v>
      </c>
      <c r="AR19" s="31">
        <f t="array" ref="AR19:AR21">_xll.ohFilter(Q3:Q9,V3:V9)</f>
        <v>0.17132716049382715</v>
      </c>
      <c r="AS19" s="28">
        <f t="array" ref="AS19:AS21">_xll.ohFilter(P3:P9,V3:V9)</f>
        <v>0.50555555555555554</v>
      </c>
      <c r="AT19" s="303" t="s">
        <v>20</v>
      </c>
      <c r="AU19" s="29">
        <f t="array" ref="AU19:AU21">MMULT(AX19:AZ21,AW19:AW21)</f>
        <v>2.5486611935968961E-3</v>
      </c>
      <c r="AV19" s="303" t="s">
        <v>21</v>
      </c>
      <c r="AW19" s="56">
        <f t="array" ref="AW19:AW21">_xll.ohFilter(M3:M9,V3:V9)</f>
        <v>9.4528933189889116E-4</v>
      </c>
      <c r="AX19" s="27">
        <f t="array" ref="AX19:AZ21">MINVERSE(AQ19:AS21)</f>
        <v>137.63562667044371</v>
      </c>
      <c r="AY19" s="31">
        <v>-265.34343764662577</v>
      </c>
      <c r="AZ19" s="28">
        <v>129.16574195226247</v>
      </c>
      <c r="BA19" s="101"/>
      <c r="BC19" s="178">
        <f>_xll.qlCalendarAdvance(Calendar,BC18,"1d","mf",,Trigger)</f>
        <v>42298</v>
      </c>
      <c r="BD19" s="41">
        <f>_xll.qlDayCounterYearFraction(DayCounter,SettlementDate,BC19,,,Trigger)</f>
        <v>5.2777777777777778E-2</v>
      </c>
      <c r="BE19" s="47">
        <f>_xll.qlPolynomialFunctionValue(BE$1,$BD19,AllTriggers)</f>
        <v>1.7279717102123974E-3</v>
      </c>
      <c r="BF19" s="47">
        <f>_xll.qlPolynomialFunctionValue(BF$1,$BD19,AllTriggers)</f>
        <v>1.7170336539963861E-3</v>
      </c>
      <c r="BG19" s="47">
        <f>_xll.qlPolynomialFunctionValue(BG$1,$BD19,AllTriggers)</f>
        <v>1.7424114394714626E-3</v>
      </c>
      <c r="BH19" s="47">
        <f>_xll.qlPolynomialFunctionValue(BH$1,$BD19,AllTriggers)</f>
        <v>1.945890875711458E-3</v>
      </c>
      <c r="BI19" s="47">
        <f>_xll.qlPolynomialFunctionValue(BI$1,$BD19,AllTriggers)</f>
        <v>1.7234218443172695E-3</v>
      </c>
      <c r="BJ19" s="47">
        <f>_xll.qlPolynomialFunctionValue(BJ$1,$BD19,AllTriggers)</f>
        <v>1.707562284916415E-3</v>
      </c>
      <c r="BK19" s="47">
        <f>_xll.qlPolynomialFunctionValue(BK$1,$BD19,AllTriggers)</f>
        <v>1.7467461059776344E-3</v>
      </c>
      <c r="BL19" s="47">
        <f>_xll.qlPolynomialFunctionValue(BL$1,$BD19,AllTriggers)</f>
        <v>1.9648943015891547E-3</v>
      </c>
      <c r="BM19" s="47">
        <f>_xll.qlPolynomialFunctionValue(BM$1,$BD19,AllTriggers)</f>
        <v>1.7083787776942148E-3</v>
      </c>
      <c r="BN19" s="47">
        <f>_xll.qlPolynomialFunctionValue(BN$1,$BD19,AllTriggers)</f>
        <v>1.7236781948439341E-3</v>
      </c>
      <c r="BO19" s="47">
        <f>_xll.qlPolynomialFunctionValue(BO$1,$BD19,AllTriggers)</f>
        <v>1.6951882823948599E-3</v>
      </c>
      <c r="BP19" s="47">
        <f>_xll.qlPolynomialFunctionValue(BP$1,$BD19,AllTriggers)</f>
        <v>1.6717008274282623E-3</v>
      </c>
      <c r="BQ19" s="47">
        <f>_xll.qlPolynomialFunctionValue('6MSynthDepo_used'!$P$18,BD19,AllTriggers)</f>
        <v>1.6870736434239769E-3</v>
      </c>
    </row>
    <row r="20" spans="1:69" ht="12" customHeight="1" x14ac:dyDescent="0.2">
      <c r="A20" s="21">
        <f t="shared" si="10"/>
        <v>6</v>
      </c>
      <c r="B20" s="55">
        <f t="shared" si="8"/>
        <v>12</v>
      </c>
      <c r="C20" s="42" t="str">
        <f t="shared" si="11"/>
        <v>B6M_6X12</v>
      </c>
      <c r="D20" s="181">
        <f>_xll.qlCalendarAdvance(Calendar,SettlementDate,A20&amp;"M","mf")</f>
        <v>42464</v>
      </c>
      <c r="E20" s="181">
        <f>_xll.qlInterestRateIndexMaturity($D$25,D20)</f>
        <v>42647</v>
      </c>
      <c r="F20" s="54">
        <f>_xll.qlIndexFixing(ON_6M_index,_xll.qlInterestRateIndexFixingDate(ON_6M_index,D20,Trigger),,AllTriggers)</f>
        <v>-1.9018750767799632E-3</v>
      </c>
      <c r="G20" s="54">
        <f t="shared" si="12"/>
        <v>1.9999999999999987E-4</v>
      </c>
      <c r="H20" s="203">
        <f>_xll.qlQuoteValue(C20,_xll.ohTrigger(InterestRatesTrigger,'6MSynthDepo_used'!$F$1,Trigger))</f>
        <v>2.101875076779963E-3</v>
      </c>
      <c r="I20" s="44">
        <f>_xll.qlDayCounterYearFraction(DayCounter,SettlementDate,D20,,,Trigger)</f>
        <v>0.51388888888888884</v>
      </c>
      <c r="J20" s="243">
        <f t="shared" si="9"/>
        <v>0</v>
      </c>
      <c r="P20" s="55"/>
      <c r="Q20" s="55"/>
      <c r="R20" s="55"/>
      <c r="S20" s="150" t="b">
        <v>1</v>
      </c>
      <c r="T20" s="150" t="b">
        <v>1</v>
      </c>
      <c r="U20" s="150" t="b">
        <v>1</v>
      </c>
      <c r="V20" s="150" t="b">
        <v>1</v>
      </c>
      <c r="AD20" s="94"/>
      <c r="AE20" s="27">
        <v>2.8711419753086422E-2</v>
      </c>
      <c r="AF20" s="31">
        <v>0.16944444444444445</v>
      </c>
      <c r="AG20" s="28">
        <v>1</v>
      </c>
      <c r="AH20" s="303"/>
      <c r="AI20" s="29">
        <v>-1.649163542540924E-4</v>
      </c>
      <c r="AJ20" s="303"/>
      <c r="AK20" s="56">
        <v>1.9055417546055464E-3</v>
      </c>
      <c r="AL20" s="27">
        <v>-29.523809523809504</v>
      </c>
      <c r="AM20" s="31">
        <v>45.454545454545418</v>
      </c>
      <c r="AN20" s="28">
        <v>-15.930735930735915</v>
      </c>
      <c r="AO20" s="101"/>
      <c r="AP20" s="94"/>
      <c r="AQ20" s="27">
        <v>0.10216480195473253</v>
      </c>
      <c r="AR20" s="31">
        <v>0.21533564814814815</v>
      </c>
      <c r="AS20" s="28">
        <v>0.5083333333333333</v>
      </c>
      <c r="AT20" s="303"/>
      <c r="AU20" s="29">
        <v>-1.52031240687997E-3</v>
      </c>
      <c r="AV20" s="303"/>
      <c r="AW20" s="56">
        <v>9.6900648896809573E-4</v>
      </c>
      <c r="AX20" s="27">
        <v>-128.67558658662696</v>
      </c>
      <c r="AY20" s="31">
        <v>226.27898710420587</v>
      </c>
      <c r="AZ20" s="28">
        <v>-98.846691655514093</v>
      </c>
      <c r="BA20" s="101"/>
      <c r="BC20" s="178">
        <f>_xll.qlCalendarAdvance(Calendar,BC19,"1d","mf",,Trigger)</f>
        <v>42299</v>
      </c>
      <c r="BD20" s="41">
        <f>_xll.qlDayCounterYearFraction(DayCounter,SettlementDate,BC20,,,Trigger)</f>
        <v>5.5555555555555552E-2</v>
      </c>
      <c r="BE20" s="47">
        <f>_xll.qlPolynomialFunctionValue(BE$1,$BD20,AllTriggers)</f>
        <v>1.7293227542362927E-3</v>
      </c>
      <c r="BF20" s="47">
        <f>_xll.qlPolynomialFunctionValue(BF$1,$BD20,AllTriggers)</f>
        <v>1.7187856443029476E-3</v>
      </c>
      <c r="BG20" s="47">
        <f>_xll.qlPolynomialFunctionValue(BG$1,$BD20,AllTriggers)</f>
        <v>1.7436243042679984E-3</v>
      </c>
      <c r="BH20" s="47">
        <f>_xll.qlPolynomialFunctionValue(BH$1,$BD20,AllTriggers)</f>
        <v>1.9427810246843322E-3</v>
      </c>
      <c r="BI20" s="47">
        <f>_xll.qlPolynomialFunctionValue(BI$1,$BD20,AllTriggers)</f>
        <v>1.7248430213053125E-3</v>
      </c>
      <c r="BJ20" s="47">
        <f>_xll.qlPolynomialFunctionValue(BJ$1,$BD20,AllTriggers)</f>
        <v>1.7095924010687676E-3</v>
      </c>
      <c r="BK20" s="47">
        <f>_xll.qlPolynomialFunctionValue(BK$1,$BD20,AllTriggers)</f>
        <v>1.7479408338233438E-3</v>
      </c>
      <c r="BL20" s="47">
        <f>_xll.qlPolynomialFunctionValue(BL$1,$BD20,AllTriggers)</f>
        <v>1.9614381697995982E-3</v>
      </c>
      <c r="BM20" s="47">
        <f>_xll.qlPolynomialFunctionValue(BM$1,$BD20,AllTriggers)</f>
        <v>1.7099406916300675E-3</v>
      </c>
      <c r="BN20" s="47">
        <f>_xll.qlPolynomialFunctionValue(BN$1,$BD20,AllTriggers)</f>
        <v>1.7249380014159646E-3</v>
      </c>
      <c r="BO20" s="47">
        <f>_xll.qlPolynomialFunctionValue(BO$1,$BD20,AllTriggers)</f>
        <v>1.6968294860928404E-3</v>
      </c>
      <c r="BP20" s="47">
        <f>_xll.qlPolynomialFunctionValue(BP$1,$BD20,AllTriggers)</f>
        <v>1.6737078940029253E-3</v>
      </c>
      <c r="BQ20" s="47">
        <f>_xll.qlPolynomialFunctionValue('6MSynthDepo_used'!$P$18,BD20,AllTriggers)</f>
        <v>1.6892704727986842E-3</v>
      </c>
    </row>
    <row r="21" spans="1:69" ht="12" customHeight="1" x14ac:dyDescent="0.2">
      <c r="A21" s="21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W21" s="55"/>
      <c r="AD21" s="94"/>
      <c r="AE21" s="27">
        <v>6.8179012345679024E-2</v>
      </c>
      <c r="AF21" s="31">
        <v>0.26111111111111113</v>
      </c>
      <c r="AG21" s="28">
        <v>1</v>
      </c>
      <c r="AH21" s="303"/>
      <c r="AI21" s="29">
        <v>1.8659026138762836E-3</v>
      </c>
      <c r="AJ21" s="303"/>
      <c r="AK21" s="56">
        <v>1.9833264869979234E-3</v>
      </c>
      <c r="AL21" s="27">
        <v>3.0338624338624327</v>
      </c>
      <c r="AM21" s="31">
        <v>-2.9434343434343413</v>
      </c>
      <c r="AN21" s="28">
        <v>0.9095719095719087</v>
      </c>
      <c r="AO21" s="101"/>
      <c r="AP21" s="94"/>
      <c r="AQ21" s="27">
        <v>0.14427577732053043</v>
      </c>
      <c r="AR21" s="31">
        <v>0.25979938271604941</v>
      </c>
      <c r="AS21" s="28">
        <v>0.50555555555555554</v>
      </c>
      <c r="AT21" s="303"/>
      <c r="AU21" s="29">
        <v>2.0380337319299766E-3</v>
      </c>
      <c r="AV21" s="303"/>
      <c r="AW21" s="56">
        <v>1.0030731255767018E-3</v>
      </c>
      <c r="AX21" s="27">
        <v>26.84640845463559</v>
      </c>
      <c r="AY21" s="31">
        <v>-40.558372314561012</v>
      </c>
      <c r="AZ21" s="28">
        <v>15.912834037477955</v>
      </c>
      <c r="BA21" s="101"/>
      <c r="BC21" s="178">
        <f>_xll.qlCalendarAdvance(Calendar,BC20,"1d","mf",,Trigger)</f>
        <v>42300</v>
      </c>
      <c r="BD21" s="41">
        <f>_xll.qlDayCounterYearFraction(DayCounter,SettlementDate,BC21,,,Trigger)</f>
        <v>5.8333333333333334E-2</v>
      </c>
      <c r="BE21" s="47">
        <f>_xll.qlPolynomialFunctionValue(BE$1,$BD21,AllTriggers)</f>
        <v>1.730673798260188E-3</v>
      </c>
      <c r="BF21" s="47">
        <f>_xll.qlPolynomialFunctionValue(BF$1,$BD21,AllTriggers)</f>
        <v>1.7205331041430384E-3</v>
      </c>
      <c r="BG21" s="47">
        <f>_xll.qlPolynomialFunctionValue(BG$1,$BD21,AllTriggers)</f>
        <v>1.7448371690645345E-3</v>
      </c>
      <c r="BH21" s="47">
        <f>_xll.qlPolynomialFunctionValue(BH$1,$BD21,AllTriggers)</f>
        <v>1.9397074990002625E-3</v>
      </c>
      <c r="BI21" s="47">
        <f>_xll.qlPolynomialFunctionValue(BI$1,$BD21,AllTriggers)</f>
        <v>1.7262641982933558E-3</v>
      </c>
      <c r="BJ21" s="47">
        <f>_xll.qlPolynomialFunctionValue(BJ$1,$BD21,AllTriggers)</f>
        <v>1.7116154525449437E-3</v>
      </c>
      <c r="BK21" s="47">
        <f>_xll.qlPolynomialFunctionValue(BK$1,$BD21,AllTriggers)</f>
        <v>1.7491355616690535E-3</v>
      </c>
      <c r="BL21" s="47">
        <f>_xll.qlPolynomialFunctionValue(BL$1,$BD21,AllTriggers)</f>
        <v>1.9580213692013009E-3</v>
      </c>
      <c r="BM21" s="47">
        <f>_xll.qlPolynomialFunctionValue(BM$1,$BD21,AllTriggers)</f>
        <v>1.7115026055659203E-3</v>
      </c>
      <c r="BN21" s="47">
        <f>_xll.qlPolynomialFunctionValue(BN$1,$BD21,AllTriggers)</f>
        <v>1.7262000021872549E-3</v>
      </c>
      <c r="BO21" s="47">
        <f>_xll.qlPolynomialFunctionValue(BO$1,$BD21,AllTriggers)</f>
        <v>1.6984706897908209E-3</v>
      </c>
      <c r="BP21" s="47">
        <f>_xll.qlPolynomialFunctionValue(BP$1,$BD21,AllTriggers)</f>
        <v>1.6757126145978385E-3</v>
      </c>
      <c r="BQ21" s="47">
        <f>_xll.qlPolynomialFunctionValue('6MSynthDepo_used'!$P$18,BD21,AllTriggers)</f>
        <v>1.6914615275036798E-3</v>
      </c>
    </row>
    <row r="22" spans="1:69" ht="12" customHeight="1" x14ac:dyDescent="0.2">
      <c r="H22" s="21"/>
      <c r="I22" s="21"/>
      <c r="J22" s="21"/>
      <c r="L22" s="21"/>
      <c r="M22" s="21"/>
      <c r="N22" s="21"/>
      <c r="P22" s="21"/>
      <c r="Q22" s="21"/>
      <c r="R22" s="21"/>
      <c r="X22" s="21"/>
      <c r="Y22" s="21"/>
      <c r="Z22" s="21"/>
      <c r="AA22" s="21"/>
      <c r="AB22" s="21"/>
      <c r="AC22" s="21"/>
      <c r="AD22" s="95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103"/>
      <c r="AP22" s="95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103"/>
      <c r="BC22" s="178">
        <f>_xll.qlCalendarAdvance(Calendar,BC21,"1d","mf",,Trigger)</f>
        <v>42303</v>
      </c>
      <c r="BD22" s="41">
        <f>_xll.qlDayCounterYearFraction(DayCounter,SettlementDate,BC22,,,Trigger)</f>
        <v>6.6666666666666666E-2</v>
      </c>
      <c r="BE22" s="47">
        <f>_xll.qlPolynomialFunctionValue(BE$1,$BD22,AllTriggers)</f>
        <v>1.7347269303318745E-3</v>
      </c>
      <c r="BF22" s="47">
        <f>_xll.qlPolynomialFunctionValue(BF$1,$BD22,AllTriggers)</f>
        <v>1.7257483008644859E-3</v>
      </c>
      <c r="BG22" s="47">
        <f>_xll.qlPolynomialFunctionValue(BG$1,$BD22,AllTriggers)</f>
        <v>1.7484757634541421E-3</v>
      </c>
      <c r="BH22" s="47">
        <f>_xll.qlPolynomialFunctionValue(BH$1,$BD22,AllTriggers)</f>
        <v>1.9307048740063891E-3</v>
      </c>
      <c r="BI22" s="47">
        <f>_xll.qlPolynomialFunctionValue(BI$1,$BD22,AllTriggers)</f>
        <v>1.7305277292574853E-3</v>
      </c>
      <c r="BJ22" s="47">
        <f>_xll.qlPolynomialFunctionValue(BJ$1,$BD22,AllTriggers)</f>
        <v>1.7176422189164155E-3</v>
      </c>
      <c r="BK22" s="47">
        <f>_xll.qlPolynomialFunctionValue(BK$1,$BD22,AllTriggers)</f>
        <v>1.7527197452061822E-3</v>
      </c>
      <c r="BL22" s="47">
        <f>_xll.qlPolynomialFunctionValue(BL$1,$BD22,AllTriggers)</f>
        <v>1.9480069545539647E-3</v>
      </c>
      <c r="BM22" s="47">
        <f>_xll.qlPolynomialFunctionValue(BM$1,$BD22,AllTriggers)</f>
        <v>1.7161883473734785E-3</v>
      </c>
      <c r="BN22" s="47">
        <f>_xll.qlPolynomialFunctionValue(BN$1,$BD22,AllTriggers)</f>
        <v>1.7299991696966849E-3</v>
      </c>
      <c r="BO22" s="47">
        <f>_xll.qlPolynomialFunctionValue(BO$1,$BD22,AllTriggers)</f>
        <v>1.7033943008847626E-3</v>
      </c>
      <c r="BP22" s="47">
        <f>_xll.qlPolynomialFunctionValue(BP$1,$BD22,AllTriggers)</f>
        <v>1.6817127005040796E-3</v>
      </c>
      <c r="BQ22" s="47">
        <f>_xll.qlPolynomialFunctionValue('6MSynthDepo_used'!$P$18,BD22,AllTriggers)</f>
        <v>1.6980001846312247E-3</v>
      </c>
    </row>
    <row r="23" spans="1:69" ht="12" customHeight="1" x14ac:dyDescent="0.2">
      <c r="W23" s="21"/>
      <c r="X23" s="21"/>
      <c r="Y23" s="21"/>
      <c r="Z23" s="21"/>
      <c r="AA23" s="21"/>
      <c r="AB23" s="21"/>
      <c r="AC23" s="21"/>
      <c r="AD23" s="93"/>
      <c r="AE23" s="93"/>
      <c r="AF23" s="93"/>
      <c r="AG23" s="93"/>
      <c r="AH23" s="93"/>
      <c r="BC23" s="178">
        <f>_xll.qlCalendarAdvance(Calendar,BC22,"1d","mf",,Trigger)</f>
        <v>42304</v>
      </c>
      <c r="BD23" s="41">
        <f>_xll.qlDayCounterYearFraction(DayCounter,SettlementDate,BC23,,,Trigger)</f>
        <v>6.9444444444444448E-2</v>
      </c>
      <c r="BE23" s="47">
        <f>_xll.qlPolynomialFunctionValue(BE$1,$BD23,AllTriggers)</f>
        <v>1.7360779743557698E-3</v>
      </c>
      <c r="BF23" s="47">
        <f>_xll.qlPolynomialFunctionValue(BF$1,$BD23,AllTriggers)</f>
        <v>1.7274776388386934E-3</v>
      </c>
      <c r="BG23" s="47">
        <f>_xll.qlPolynomialFunctionValue(BG$1,$BD23,AllTriggers)</f>
        <v>1.7496886282506782E-3</v>
      </c>
      <c r="BH23" s="47">
        <f>_xll.qlPolynomialFunctionValue(BH$1,$BD23,AllTriggers)</f>
        <v>1.9277766496945431E-3</v>
      </c>
      <c r="BI23" s="47">
        <f>_xll.qlPolynomialFunctionValue(BI$1,$BD23,AllTriggers)</f>
        <v>1.7319489062455286E-3</v>
      </c>
      <c r="BJ23" s="47">
        <f>_xll.qlPolynomialFunctionValue(BJ$1,$BD23,AllTriggers)</f>
        <v>1.7196370116878868E-3</v>
      </c>
      <c r="BK23" s="47">
        <f>_xll.qlPolynomialFunctionValue(BK$1,$BD23,AllTriggers)</f>
        <v>1.7539144730518918E-3</v>
      </c>
      <c r="BL23" s="47">
        <f>_xll.qlPolynomialFunctionValue(BL$1,$BD23,AllTriggers)</f>
        <v>1.9447474787207045E-3</v>
      </c>
      <c r="BM23" s="47">
        <f>_xll.qlPolynomialFunctionValue(BM$1,$BD23,AllTriggers)</f>
        <v>1.7177502613093313E-3</v>
      </c>
      <c r="BN23" s="47">
        <f>_xll.qlPolynomialFunctionValue(BN$1,$BD23,AllTriggers)</f>
        <v>1.7312699472650144E-3</v>
      </c>
      <c r="BO23" s="47">
        <f>_xll.qlPolynomialFunctionValue(BO$1,$BD23,AllTriggers)</f>
        <v>1.7050355045827431E-3</v>
      </c>
      <c r="BP23" s="47">
        <f>_xll.qlPolynomialFunctionValue(BP$1,$BD23,AllTriggers)</f>
        <v>1.6837080371799936E-3</v>
      </c>
      <c r="BQ23" s="47">
        <f>_xll.qlPolynomialFunctionValue('6MSynthDepo_used'!$P$18,BD23,AllTriggers)</f>
        <v>1.7001682816881998E-3</v>
      </c>
    </row>
    <row r="24" spans="1:69" ht="12" customHeight="1" x14ac:dyDescent="0.2">
      <c r="A24" s="21"/>
      <c r="B24" s="55"/>
      <c r="C24" s="36" t="s">
        <v>62</v>
      </c>
      <c r="D24" s="51" t="s">
        <v>24</v>
      </c>
      <c r="F24" s="187" t="s">
        <v>90</v>
      </c>
      <c r="G24" s="188" t="b">
        <v>1</v>
      </c>
      <c r="H24" s="235"/>
      <c r="S24" s="236"/>
      <c r="T24" s="237"/>
      <c r="U24" s="188" t="b">
        <v>0</v>
      </c>
      <c r="V24" s="235"/>
      <c r="W24" s="236"/>
      <c r="X24" s="237"/>
      <c r="Y24" s="188" t="b">
        <v>1</v>
      </c>
      <c r="Z24" s="235"/>
      <c r="AA24" s="236"/>
      <c r="AB24" s="236"/>
      <c r="BC24" s="178">
        <f>_xll.qlCalendarAdvance(Calendar,BC23,"1d","mf",,Trigger)</f>
        <v>42305</v>
      </c>
      <c r="BD24" s="41">
        <f>_xll.qlDayCounterYearFraction(DayCounter,SettlementDate,BC24,,,Trigger)</f>
        <v>7.2222222222222215E-2</v>
      </c>
      <c r="BE24" s="47">
        <f>_xll.qlPolynomialFunctionValue(BE$1,$BD24,AllTriggers)</f>
        <v>1.7374290183796652E-3</v>
      </c>
      <c r="BF24" s="47">
        <f>_xll.qlPolynomialFunctionValue(BF$1,$BD24,AllTriggers)</f>
        <v>1.7292024463464301E-3</v>
      </c>
      <c r="BG24" s="47">
        <f>_xll.qlPolynomialFunctionValue(BG$1,$BD24,AllTriggers)</f>
        <v>1.750901493047214E-3</v>
      </c>
      <c r="BH24" s="47">
        <f>_xll.qlPolynomialFunctionValue(BH$1,$BD24,AllTriggers)</f>
        <v>1.9248847507257535E-3</v>
      </c>
      <c r="BI24" s="47">
        <f>_xll.qlPolynomialFunctionValue(BI$1,$BD24,AllTriggers)</f>
        <v>1.7333700832335716E-3</v>
      </c>
      <c r="BJ24" s="47">
        <f>_xll.qlPolynomialFunctionValue(BJ$1,$BD24,AllTriggers)</f>
        <v>1.7216247397831819E-3</v>
      </c>
      <c r="BK24" s="47">
        <f>_xll.qlPolynomialFunctionValue(BK$1,$BD24,AllTriggers)</f>
        <v>1.7551092008976012E-3</v>
      </c>
      <c r="BL24" s="47">
        <f>_xll.qlPolynomialFunctionValue(BL$1,$BD24,AllTriggers)</f>
        <v>1.9415273340787033E-3</v>
      </c>
      <c r="BM24" s="47">
        <f>_xll.qlPolynomialFunctionValue(BM$1,$BD24,AllTriggers)</f>
        <v>1.719312175245184E-3</v>
      </c>
      <c r="BN24" s="47">
        <f>_xll.qlPolynomialFunctionValue(BN$1,$BD24,AllTriggers)</f>
        <v>1.732542919032604E-3</v>
      </c>
      <c r="BO24" s="47">
        <f>_xll.qlPolynomialFunctionValue(BO$1,$BD24,AllTriggers)</f>
        <v>1.7066767082807239E-3</v>
      </c>
      <c r="BP24" s="47">
        <f>_xll.qlPolynomialFunctionValue(BP$1,$BD24,AllTriggers)</f>
        <v>1.6857010278761577E-3</v>
      </c>
      <c r="BQ24" s="47">
        <f>_xll.qlPolynomialFunctionValue('6MSynthDepo_used'!$P$18,BD24,AllTriggers)</f>
        <v>1.7023306745908757E-3</v>
      </c>
    </row>
    <row r="25" spans="1:69" ht="12" customHeight="1" x14ac:dyDescent="0.2">
      <c r="A25" s="21"/>
      <c r="B25" s="55"/>
      <c r="C25" s="36" t="s">
        <v>53</v>
      </c>
      <c r="D25" s="51" t="str">
        <f>PROPER(Currency)&amp;IborType&amp;$D$24</f>
        <v>Euribor6M</v>
      </c>
      <c r="E25" s="23"/>
      <c r="F25" s="187" t="s">
        <v>91</v>
      </c>
      <c r="G25" s="89"/>
      <c r="H25" s="89"/>
      <c r="S25" s="89"/>
      <c r="T25" s="89"/>
      <c r="U25" s="89"/>
      <c r="V25" s="89"/>
      <c r="W25" s="89"/>
      <c r="X25" s="238"/>
      <c r="Y25" s="228" t="str">
        <f>_xll.qlPolynomialCalibration(,_xll.ohFilter($I$14:$I$20,$S$14:$S$20),_xll.ohFilter($H$14:$H$20,$S$14:$S$20),_xll.ohFilter($J$14:$J$20,$S$14:$S$20),G$28:G$29,,,,,Trigger)</f>
        <v>obj_005f7#0003</v>
      </c>
      <c r="Z25" s="188" t="str">
        <f>_xll.qlPolynomialCalibration(,_xll.ohFilter($I$14:$I$20,$T$14:$T$20),_xll.ohFilter($H$14:$H$20,$T$14:$T$20),_xll.ohFilter($J$14:$J$20,$T$14:$T$20),H$28:H$30,,,,,Trigger)</f>
        <v>obj_005f8#0003</v>
      </c>
      <c r="AA25" s="188" t="str">
        <f>_xll.qlPolynomialCalibration(,_xll.ohFilter($I$14:$I$20,$U$14:$U$20),_xll.ohFilter($H$14:$H$20,$U$14:$U$20),_xll.ohFilter($J$14:$J$20,$U$14:$U$20),S$28:S$29,,,,,Trigger)</f>
        <v>obj_005f9#0003</v>
      </c>
      <c r="AB25" s="188" t="str">
        <f>_xll.qlPolynomialCalibration(,_xll.ohFilter($I$14:$I$20,$V$14:$V$20),_xll.ohFilter($H$14:$H$20,$V$14:$V$20),_xll.ohFilter($J$14:$J$20,$V$14:$V$20),T$28:T$30,,,,,Trigger)</f>
        <v>obj_005f6#0003</v>
      </c>
      <c r="AC25" s="19" t="s">
        <v>70</v>
      </c>
      <c r="BC25" s="178">
        <f>_xll.qlCalendarAdvance(Calendar,BC24,"1d","mf",,Trigger)</f>
        <v>42306</v>
      </c>
      <c r="BD25" s="41">
        <f>_xll.qlDayCounterYearFraction(DayCounter,SettlementDate,BC25,,,Trigger)</f>
        <v>7.4999999999999997E-2</v>
      </c>
      <c r="BE25" s="47">
        <f>_xll.qlPolynomialFunctionValue(BE$1,$BD25,AllTriggers)</f>
        <v>1.7387800624035607E-3</v>
      </c>
      <c r="BF25" s="47">
        <f>_xll.qlPolynomialFunctionValue(BF$1,$BD25,AllTriggers)</f>
        <v>1.7309227233876961E-3</v>
      </c>
      <c r="BG25" s="47">
        <f>_xll.qlPolynomialFunctionValue(BG$1,$BD25,AllTriggers)</f>
        <v>1.75211435784375E-3</v>
      </c>
      <c r="BH25" s="47">
        <f>_xll.qlPolynomialFunctionValue(BH$1,$BD25,AllTriggers)</f>
        <v>1.9220291771000196E-3</v>
      </c>
      <c r="BI25" s="47">
        <f>_xll.qlPolynomialFunctionValue(BI$1,$BD25,AllTriggers)</f>
        <v>1.7347912602216149E-3</v>
      </c>
      <c r="BJ25" s="47">
        <f>_xll.qlPolynomialFunctionValue(BJ$1,$BD25,AllTriggers)</f>
        <v>1.7236054032023008E-3</v>
      </c>
      <c r="BK25" s="47">
        <f>_xll.qlPolynomialFunctionValue(BK$1,$BD25,AllTriggers)</f>
        <v>1.7563039287433108E-3</v>
      </c>
      <c r="BL25" s="47">
        <f>_xll.qlPolynomialFunctionValue(BL$1,$BD25,AllTriggers)</f>
        <v>1.9383465206279612E-3</v>
      </c>
      <c r="BM25" s="47">
        <f>_xll.qlPolynomialFunctionValue(BM$1,$BD25,AllTriggers)</f>
        <v>1.7208740891810367E-3</v>
      </c>
      <c r="BN25" s="47">
        <f>_xll.qlPolynomialFunctionValue(BN$1,$BD25,AllTriggers)</f>
        <v>1.733818084999453E-3</v>
      </c>
      <c r="BO25" s="47">
        <f>_xll.qlPolynomialFunctionValue(BO$1,$BD25,AllTriggers)</f>
        <v>1.7083179119787044E-3</v>
      </c>
      <c r="BP25" s="47">
        <f>_xll.qlPolynomialFunctionValue(BP$1,$BD25,AllTriggers)</f>
        <v>1.687691672592572E-3</v>
      </c>
      <c r="BQ25" s="47">
        <f>_xll.qlPolynomialFunctionValue('6MSynthDepo_used'!$P$18,BD25,AllTriggers)</f>
        <v>1.704487377442335E-3</v>
      </c>
    </row>
    <row r="26" spans="1:69" ht="12" customHeight="1" x14ac:dyDescent="0.2">
      <c r="A26" s="21"/>
      <c r="B26" s="55"/>
      <c r="C26" s="36" t="s">
        <v>72</v>
      </c>
      <c r="D26" s="51" t="str">
        <f>_xll.qlIborIndex(,,'6MSynthDepo_allScenario'!D24,2,Currency,Calendar,"mf",TRUE,DayCounter,Discounting,,Trigger)</f>
        <v>obj_005bf#0007</v>
      </c>
      <c r="E26" s="23"/>
      <c r="F26" s="187" t="s">
        <v>92</v>
      </c>
      <c r="G26" s="89"/>
      <c r="H26" s="89"/>
      <c r="S26" s="89"/>
      <c r="T26" s="89"/>
      <c r="U26" s="89"/>
      <c r="V26" s="89"/>
      <c r="W26" s="89"/>
      <c r="X26" s="238"/>
      <c r="Y26" s="239" t="b">
        <f>_xll.qlPolynomialCalibrationCompute(Y$25,AllTriggers)</f>
        <v>1</v>
      </c>
      <c r="Z26" s="188" t="b">
        <f>_xll.qlPolynomialCalibrationCompute(Z$25,AllTriggers)</f>
        <v>1</v>
      </c>
      <c r="AA26" s="188" t="b">
        <f>_xll.qlPolynomialCalibrationCompute(AA$25,AllTriggers)</f>
        <v>1</v>
      </c>
      <c r="AB26" s="188" t="b">
        <f>_xll.qlPolynomialCalibrationCompute(AB$25,AllTriggers)</f>
        <v>1</v>
      </c>
      <c r="AC26" s="19" t="s">
        <v>70</v>
      </c>
      <c r="BC26" s="178">
        <f>_xll.qlCalendarAdvance(Calendar,BC25,"1d","mf",,Trigger)</f>
        <v>42307</v>
      </c>
      <c r="BD26" s="41">
        <f>_xll.qlDayCounterYearFraction(DayCounter,SettlementDate,BC26,,,Trigger)</f>
        <v>7.7777777777777779E-2</v>
      </c>
      <c r="BE26" s="47">
        <f>_xll.qlPolynomialFunctionValue(BE$1,$BD26,AllTriggers)</f>
        <v>1.7401311064274561E-3</v>
      </c>
      <c r="BF26" s="47">
        <f>_xll.qlPolynomialFunctionValue(BF$1,$BD26,AllTriggers)</f>
        <v>1.7326384699624911E-3</v>
      </c>
      <c r="BG26" s="47">
        <f>_xll.qlPolynomialFunctionValue(BG$1,$BD26,AllTriggers)</f>
        <v>1.753327222640286E-3</v>
      </c>
      <c r="BH26" s="47">
        <f>_xll.qlPolynomialFunctionValue(BH$1,$BD26,AllTriggers)</f>
        <v>1.9192099288173417E-3</v>
      </c>
      <c r="BI26" s="47">
        <f>_xll.qlPolynomialFunctionValue(BI$1,$BD26,AllTriggers)</f>
        <v>1.7362124372096582E-3</v>
      </c>
      <c r="BJ26" s="47">
        <f>_xll.qlPolynomialFunctionValue(BJ$1,$BD26,AllTriggers)</f>
        <v>1.7255790019452435E-3</v>
      </c>
      <c r="BK26" s="47">
        <f>_xll.qlPolynomialFunctionValue(BK$1,$BD26,AllTriggers)</f>
        <v>1.7574986565890205E-3</v>
      </c>
      <c r="BL26" s="47">
        <f>_xll.qlPolynomialFunctionValue(BL$1,$BD26,AllTriggers)</f>
        <v>1.9352050383684787E-3</v>
      </c>
      <c r="BM26" s="47">
        <f>_xll.qlPolynomialFunctionValue(BM$1,$BD26,AllTriggers)</f>
        <v>1.7224360031168895E-3</v>
      </c>
      <c r="BN26" s="47">
        <f>_xll.qlPolynomialFunctionValue(BN$1,$BD26,AllTriggers)</f>
        <v>1.7350954451655623E-3</v>
      </c>
      <c r="BO26" s="47">
        <f>_xll.qlPolynomialFunctionValue(BO$1,$BD26,AllTriggers)</f>
        <v>1.7099591156766849E-3</v>
      </c>
      <c r="BP26" s="47">
        <f>_xll.qlPolynomialFunctionValue(BP$1,$BD26,AllTriggers)</f>
        <v>1.6896799713292366E-3</v>
      </c>
      <c r="BQ26" s="47">
        <f>_xll.qlPolynomialFunctionValue('6MSynthDepo_used'!$P$18,BD26,AllTriggers)</f>
        <v>1.7066384043456602E-3</v>
      </c>
    </row>
    <row r="27" spans="1:69" ht="12" customHeight="1" x14ac:dyDescent="0.2">
      <c r="B27" s="22"/>
      <c r="C27" s="36" t="s">
        <v>87</v>
      </c>
      <c r="D27" s="51" t="s">
        <v>86</v>
      </c>
      <c r="E27" s="23"/>
      <c r="F27" s="187" t="s">
        <v>82</v>
      </c>
      <c r="G27" s="188" t="str">
        <f>_xll.qlPolynomialTenorBasis(,$D$25,Discounting,SettlementDate,IsSimple,G$28:G$31,,Trigger)</f>
        <v>obj_005ee#0004</v>
      </c>
      <c r="H27" s="188" t="str">
        <f>_xll.qlPolynomialTenorBasis(,$D$25,Discounting,SettlementDate,IsSimple,H$28:H$31,,Trigger)</f>
        <v>obj_005f4#0004</v>
      </c>
      <c r="S27" s="188" t="str">
        <f>_xll.qlPolynomialTenorBasis(,$D$25,Discounting,SettlementDate,IsSimple,S$28:S$31,,Trigger)</f>
        <v>obj_005e8#0006</v>
      </c>
      <c r="T27" s="188" t="str">
        <f>_xll.qlPolynomialTenorBasis(,$D$25,Discounting,SettlementDate,IsSimple,T$28:T$31,,Trigger)</f>
        <v>obj_005eb#0005</v>
      </c>
      <c r="U27" s="188" t="str">
        <f>_xll.qlPolynomialTenorBasis(,$D$25,Discounting,SettlementDate,$U$24,U$28:U$31,,Trigger)</f>
        <v>obj_005f1#0004</v>
      </c>
      <c r="V27" s="188" t="str">
        <f>_xll.qlPolynomialTenorBasis(,$D$25,Discounting,SettlementDate,$U$24,V$28:V$31,,Trigger)</f>
        <v>obj_005f0#0004</v>
      </c>
      <c r="W27" s="188" t="str">
        <f>_xll.qlPolynomialTenorBasis(,$D$25,Discounting,SettlementDate,$U$24,W$28:W$31,,Trigger)</f>
        <v>obj_005e6#0006</v>
      </c>
      <c r="X27" s="227" t="str">
        <f>_xll.qlPolynomialTenorBasis(,$D$25,Discounting,SettlementDate,$U$24,X$28:X$31,,Trigger)</f>
        <v>obj_005ea#0005</v>
      </c>
      <c r="Y27" s="228" t="str">
        <f>_xll.qlPolynomialTenorBasis(,$D$25,Discounting,SettlementDate,$Y$24,Y$28:Y$31,,Trigger)</f>
        <v>obj_005fa#0003</v>
      </c>
      <c r="Z27" s="188" t="str">
        <f>_xll.qlPolynomialTenorBasis(,$D$25,Discounting,SettlementDate,$Y$24,Z$28:Z$31,,Trigger)</f>
        <v>obj_005fd#0003</v>
      </c>
      <c r="AA27" s="188" t="str">
        <f>_xll.qlPolynomialTenorBasis(,$D$25,Discounting,SettlementDate,$Y$24,AA$28:AA$31,,Trigger)</f>
        <v>obj_005fc#0003</v>
      </c>
      <c r="AB27" s="188" t="str">
        <f>_xll.qlPolynomialTenorBasis(,$D$25,Discounting,SettlementDate,$Y$24,AB$28:AB$31,,Trigger)</f>
        <v>obj_005fb#0003</v>
      </c>
      <c r="AC27" s="19" t="s">
        <v>70</v>
      </c>
      <c r="BC27" s="178">
        <f>_xll.qlCalendarAdvance(Calendar,BC26,"1d","mf",,Trigger)</f>
        <v>42310</v>
      </c>
      <c r="BD27" s="41">
        <f>_xll.qlDayCounterYearFraction(DayCounter,SettlementDate,BC27,,,Trigger)</f>
        <v>8.611111111111111E-2</v>
      </c>
      <c r="BE27" s="47">
        <f>_xll.qlPolynomialFunctionValue(BE$1,$BD27,AllTriggers)</f>
        <v>1.7441842384991423E-3</v>
      </c>
      <c r="BF27" s="47">
        <f>_xll.qlPolynomialFunctionValue(BF$1,$BD27,AllTriggers)</f>
        <v>1.7377585268880515E-3</v>
      </c>
      <c r="BG27" s="47">
        <f>_xll.qlPolynomialFunctionValue(BG$1,$BD27,AllTriggers)</f>
        <v>1.7569658170298937E-3</v>
      </c>
      <c r="BH27" s="47">
        <f>_xll.qlPolynomialFunctionValue(BH$1,$BD27,AllTriggers)</f>
        <v>1.9109701360276437E-3</v>
      </c>
      <c r="BI27" s="47">
        <f>_xll.qlPolynomialFunctionValue(BI$1,$BD27,AllTriggers)</f>
        <v>1.7404759681737877E-3</v>
      </c>
      <c r="BJ27" s="47">
        <f>_xll.qlPolynomialFunctionValue(BJ$1,$BD27,AllTriggers)</f>
        <v>1.7314574101170142E-3</v>
      </c>
      <c r="BK27" s="47">
        <f>_xll.qlPolynomialFunctionValue(BK$1,$BD27,AllTriggers)</f>
        <v>1.7610828401261492E-3</v>
      </c>
      <c r="BL27" s="47">
        <f>_xll.qlPolynomialFunctionValue(BL$1,$BD27,AllTriggers)</f>
        <v>1.9260165787375856E-3</v>
      </c>
      <c r="BM27" s="47">
        <f>_xll.qlPolynomialFunctionValue(BM$1,$BD27,AllTriggers)</f>
        <v>1.7271217449244475E-3</v>
      </c>
      <c r="BN27" s="47">
        <f>_xll.qlPolynomialFunctionValue(BN$1,$BD27,AllTriggers)</f>
        <v>1.7389406908594482E-3</v>
      </c>
      <c r="BO27" s="47">
        <f>_xll.qlPolynomialFunctionValue(BO$1,$BD27,AllTriggers)</f>
        <v>1.7148827267706266E-3</v>
      </c>
      <c r="BP27" s="47">
        <f>_xll.qlPolynomialFunctionValue(BP$1,$BD27,AllTriggers)</f>
        <v>1.6956307916607318E-3</v>
      </c>
      <c r="BQ27" s="47">
        <f>_xll.qlPolynomialFunctionValue('6MSynthDepo_used'!$P$18,BD27,AllTriggers)</f>
        <v>1.7130575703976538E-3</v>
      </c>
    </row>
    <row r="28" spans="1:69" ht="12" customHeight="1" x14ac:dyDescent="0.2">
      <c r="C28" s="36" t="s">
        <v>88</v>
      </c>
      <c r="D28" s="51" t="s">
        <v>86</v>
      </c>
      <c r="E28" s="35"/>
      <c r="F28" s="133" t="s">
        <v>73</v>
      </c>
      <c r="G28" s="90">
        <f>AI6</f>
        <v>1.8272734459687102E-3</v>
      </c>
      <c r="H28" s="90">
        <f>AI16</f>
        <v>1.8272734459687102E-3</v>
      </c>
      <c r="S28" s="90">
        <f>AI10</f>
        <v>1.8315570020168538E-3</v>
      </c>
      <c r="T28" s="90">
        <f>AI21</f>
        <v>1.8659026138762836E-3</v>
      </c>
      <c r="U28" s="90">
        <f>AU6</f>
        <v>1.6964194815444486E-3</v>
      </c>
      <c r="V28" s="90">
        <f>AU16</f>
        <v>1.6676477895482319E-3</v>
      </c>
      <c r="W28" s="90">
        <f>AU10</f>
        <v>1.7240462769091526E-3</v>
      </c>
      <c r="X28" s="229">
        <f>AU21</f>
        <v>2.0380337319299766E-3</v>
      </c>
      <c r="Y28" s="230">
        <f t="array" ref="Y28:Y29">_xll.qlPolynomialCalibrationCoefficients($Y$25,$Y$26)</f>
        <v>1.8231794519793902E-3</v>
      </c>
      <c r="Z28" s="90">
        <f t="array" ref="Z28:Z30">_xll.qlPolynomialCalibrationCoefficients($Z$25,$Z$26)</f>
        <v>1.82524916711051E-3</v>
      </c>
      <c r="AA28" s="90">
        <f t="array" ref="AA28:AA29">_xll.qlPolynomialCalibrationCoefficients($AA$25,$AA$26)</f>
        <v>1.81581675419643E-3</v>
      </c>
      <c r="AB28" s="90">
        <f t="array" ref="AB28:AB30">_xll.qlPolynomialCalibrationCoefficients($AB$25,$AB$26)</f>
        <v>1.8096241859977395E-3</v>
      </c>
      <c r="AC28" s="19" t="s">
        <v>70</v>
      </c>
      <c r="BC28" s="178">
        <f>_xll.qlCalendarAdvance(Calendar,BC27,"1d","mf",,Trigger)</f>
        <v>42311</v>
      </c>
      <c r="BD28" s="41">
        <f>_xll.qlDayCounterYearFraction(DayCounter,SettlementDate,BC28,,,Trigger)</f>
        <v>8.8888888888888892E-2</v>
      </c>
      <c r="BE28" s="47">
        <f>_xll.qlPolynomialFunctionValue(BE$1,$BD28,AllTriggers)</f>
        <v>1.7455352825230376E-3</v>
      </c>
      <c r="BF28" s="47">
        <f>_xll.qlPolynomialFunctionValue(BF$1,$BD28,AllTriggers)</f>
        <v>1.7394561515969634E-3</v>
      </c>
      <c r="BG28" s="47">
        <f>_xll.qlPolynomialFunctionValue(BG$1,$BD28,AllTriggers)</f>
        <v>1.7581786818264297E-3</v>
      </c>
      <c r="BH28" s="47">
        <f>_xll.qlPolynomialFunctionValue(BH$1,$BD28,AllTriggers)</f>
        <v>1.9082961891171897E-3</v>
      </c>
      <c r="BI28" s="47">
        <f>_xll.qlPolynomialFunctionValue(BI$1,$BD28,AllTriggers)</f>
        <v>1.741897145161831E-3</v>
      </c>
      <c r="BJ28" s="47">
        <f>_xll.qlPolynomialFunctionValue(BJ$1,$BD28,AllTriggers)</f>
        <v>1.7334027501552519E-3</v>
      </c>
      <c r="BK28" s="47">
        <f>_xll.qlPolynomialFunctionValue(BK$1,$BD28,AllTriggers)</f>
        <v>1.7622775679718586E-3</v>
      </c>
      <c r="BL28" s="47">
        <f>_xll.qlPolynomialFunctionValue(BL$1,$BD28,AllTriggers)</f>
        <v>1.9230324212431401E-3</v>
      </c>
      <c r="BM28" s="47">
        <f>_xll.qlPolynomialFunctionValue(BM$1,$BD28,AllTriggers)</f>
        <v>1.7286836588603003E-3</v>
      </c>
      <c r="BN28" s="47">
        <f>_xll.qlPolynomialFunctionValue(BN$1,$BD28,AllTriggers)</f>
        <v>1.7402268278225964E-3</v>
      </c>
      <c r="BO28" s="47">
        <f>_xll.qlPolynomialFunctionValue(BO$1,$BD28,AllTriggers)</f>
        <v>1.7165239304686071E-3</v>
      </c>
      <c r="BP28" s="47">
        <f>_xll.qlPolynomialFunctionValue(BP$1,$BD28,AllTriggers)</f>
        <v>1.6976097064783971E-3</v>
      </c>
      <c r="BQ28" s="47">
        <f>_xll.qlPolynomialFunctionValue('6MSynthDepo_used'!$P$18,BD28,AllTriggers)</f>
        <v>1.715186034539266E-3</v>
      </c>
    </row>
    <row r="29" spans="1:69" ht="12" customHeight="1" x14ac:dyDescent="0.2">
      <c r="E29" s="35"/>
      <c r="F29" s="133" t="s">
        <v>74</v>
      </c>
      <c r="G29" s="90">
        <f>AI5</f>
        <v>4.8637584860234881E-4</v>
      </c>
      <c r="H29" s="90">
        <f>AI15</f>
        <v>5.116558515094391E-4</v>
      </c>
      <c r="S29" s="90">
        <f>AI9</f>
        <v>4.3663132675293703E-4</v>
      </c>
      <c r="T29" s="90">
        <f>AI20</f>
        <v>-1.649163542540924E-4</v>
      </c>
      <c r="U29" s="90">
        <f>AU5</f>
        <v>5.1162371569555068E-4</v>
      </c>
      <c r="V29" s="90">
        <f>AU15</f>
        <v>7.8043584160408797E-4</v>
      </c>
      <c r="W29" s="90">
        <f>AU9</f>
        <v>4.3010202445544279E-4</v>
      </c>
      <c r="X29" s="229">
        <f>AU20</f>
        <v>-1.52031240687997E-3</v>
      </c>
      <c r="Y29" s="230">
        <v>5.6228901690698178E-4</v>
      </c>
      <c r="Z29" s="90">
        <v>5.1119392247890984E-4</v>
      </c>
      <c r="AA29" s="90">
        <v>5.9083333127299702E-4</v>
      </c>
      <c r="AB29" s="90">
        <v>6.6089161905387613E-4</v>
      </c>
      <c r="AC29" s="19" t="s">
        <v>70</v>
      </c>
      <c r="BC29" s="178">
        <f>_xll.qlCalendarAdvance(Calendar,BC28,"1d","mf",,Trigger)</f>
        <v>42312</v>
      </c>
      <c r="BD29" s="41">
        <f>_xll.qlDayCounterYearFraction(DayCounter,SettlementDate,BC29,,,Trigger)</f>
        <v>9.166666666666666E-2</v>
      </c>
      <c r="BE29" s="47">
        <f>_xll.qlPolynomialFunctionValue(BE$1,$BD29,AllTriggers)</f>
        <v>1.7468863265469332E-3</v>
      </c>
      <c r="BF29" s="47">
        <f>_xll.qlPolynomialFunctionValue(BF$1,$BD29,AllTriggers)</f>
        <v>1.7411492458394044E-3</v>
      </c>
      <c r="BG29" s="47">
        <f>_xll.qlPolynomialFunctionValue(BG$1,$BD29,AllTriggers)</f>
        <v>1.7593915466229655E-3</v>
      </c>
      <c r="BH29" s="47">
        <f>_xll.qlPolynomialFunctionValue(BH$1,$BD29,AllTriggers)</f>
        <v>1.9056585675497916E-3</v>
      </c>
      <c r="BI29" s="47">
        <f>_xll.qlPolynomialFunctionValue(BI$1,$BD29,AllTriggers)</f>
        <v>1.743318322149874E-3</v>
      </c>
      <c r="BJ29" s="47">
        <f>_xll.qlPolynomialFunctionValue(BJ$1,$BD29,AllTriggers)</f>
        <v>1.7353410255173131E-3</v>
      </c>
      <c r="BK29" s="47">
        <f>_xll.qlPolynomialFunctionValue(BK$1,$BD29,AllTriggers)</f>
        <v>1.7634722958175682E-3</v>
      </c>
      <c r="BL29" s="47">
        <f>_xll.qlPolynomialFunctionValue(BL$1,$BD29,AllTriggers)</f>
        <v>1.9200875949399532E-3</v>
      </c>
      <c r="BM29" s="47">
        <f>_xll.qlPolynomialFunctionValue(BM$1,$BD29,AllTriggers)</f>
        <v>1.730245572796153E-3</v>
      </c>
      <c r="BN29" s="47">
        <f>_xll.qlPolynomialFunctionValue(BN$1,$BD29,AllTriggers)</f>
        <v>1.7415151589850045E-3</v>
      </c>
      <c r="BO29" s="47">
        <f>_xll.qlPolynomialFunctionValue(BO$1,$BD29,AllTriggers)</f>
        <v>1.7181651341665876E-3</v>
      </c>
      <c r="BP29" s="47">
        <f>_xll.qlPolynomialFunctionValue(BP$1,$BD29,AllTriggers)</f>
        <v>1.6995862753163126E-3</v>
      </c>
      <c r="BQ29" s="47">
        <f>_xll.qlPolynomialFunctionValue('6MSynthDepo_used'!$P$18,BD29,AllTriggers)</f>
        <v>1.7173088932481561E-3</v>
      </c>
    </row>
    <row r="30" spans="1:69" ht="12" customHeight="1" x14ac:dyDescent="0.2">
      <c r="F30" s="133" t="s">
        <v>75</v>
      </c>
      <c r="G30" s="89"/>
      <c r="H30" s="90">
        <f>AI14</f>
        <v>-2.9357422730805216E-4</v>
      </c>
      <c r="S30" s="89"/>
      <c r="T30" s="90">
        <f>AI19</f>
        <v>2.353882230027568E-3</v>
      </c>
      <c r="U30" s="89"/>
      <c r="V30" s="90">
        <f>AU14</f>
        <v>-4.5779101622003826E-4</v>
      </c>
      <c r="W30" s="89"/>
      <c r="X30" s="229">
        <f>AU19</f>
        <v>2.5486611935968961E-3</v>
      </c>
      <c r="Y30" s="231"/>
      <c r="Z30" s="90">
        <v>1.4218411203596531E-4</v>
      </c>
      <c r="AA30" s="89"/>
      <c r="AB30" s="90">
        <v>-1.5201948778720449E-4</v>
      </c>
      <c r="AC30" s="19" t="s">
        <v>70</v>
      </c>
      <c r="BC30" s="178">
        <f>_xll.qlCalendarAdvance(Calendar,BC29,"1d","mf",,Trigger)</f>
        <v>42313</v>
      </c>
      <c r="BD30" s="41">
        <f>_xll.qlDayCounterYearFraction(DayCounter,SettlementDate,BC30,,,Trigger)</f>
        <v>9.4444444444444442E-2</v>
      </c>
      <c r="BE30" s="47">
        <f>_xll.qlPolynomialFunctionValue(BE$1,$BD30,AllTriggers)</f>
        <v>1.7482373705708285E-3</v>
      </c>
      <c r="BF30" s="47">
        <f>_xll.qlPolynomialFunctionValue(BF$1,$BD30,AllTriggers)</f>
        <v>1.7428378096153746E-3</v>
      </c>
      <c r="BG30" s="47">
        <f>_xll.qlPolynomialFunctionValue(BG$1,$BD30,AllTriggers)</f>
        <v>1.7606044114195016E-3</v>
      </c>
      <c r="BH30" s="47">
        <f>_xll.qlPolynomialFunctionValue(BH$1,$BD30,AllTriggers)</f>
        <v>1.9030572713254496E-3</v>
      </c>
      <c r="BI30" s="47">
        <f>_xll.qlPolynomialFunctionValue(BI$1,$BD30,AllTriggers)</f>
        <v>1.7447394991379173E-3</v>
      </c>
      <c r="BJ30" s="47">
        <f>_xll.qlPolynomialFunctionValue(BJ$1,$BD30,AllTriggers)</f>
        <v>1.7372722362031985E-3</v>
      </c>
      <c r="BK30" s="47">
        <f>_xll.qlPolynomialFunctionValue(BK$1,$BD30,AllTriggers)</f>
        <v>1.7646670236632779E-3</v>
      </c>
      <c r="BL30" s="47">
        <f>_xll.qlPolynomialFunctionValue(BL$1,$BD30,AllTriggers)</f>
        <v>1.9171820998280258E-3</v>
      </c>
      <c r="BM30" s="47">
        <f>_xll.qlPolynomialFunctionValue(BM$1,$BD30,AllTriggers)</f>
        <v>1.7318074867320057E-3</v>
      </c>
      <c r="BN30" s="47">
        <f>_xll.qlPolynomialFunctionValue(BN$1,$BD30,AllTriggers)</f>
        <v>1.7428056843466727E-3</v>
      </c>
      <c r="BO30" s="47">
        <f>_xll.qlPolynomialFunctionValue(BO$1,$BD30,AllTriggers)</f>
        <v>1.7198063378645681E-3</v>
      </c>
      <c r="BP30" s="47">
        <f>_xll.qlPolynomialFunctionValue(BP$1,$BD30,AllTriggers)</f>
        <v>1.7015604981744784E-3</v>
      </c>
      <c r="BQ30" s="47">
        <f>_xll.qlPolynomialFunctionValue('6MSynthDepo_used'!$P$18,BD30,AllTriggers)</f>
        <v>1.7194261606274066E-3</v>
      </c>
    </row>
    <row r="31" spans="1:69" ht="12" customHeight="1" thickBot="1" x14ac:dyDescent="0.25">
      <c r="F31" s="133" t="s">
        <v>76</v>
      </c>
      <c r="G31" s="89"/>
      <c r="H31" s="89"/>
      <c r="S31" s="89"/>
      <c r="T31" s="89"/>
      <c r="U31" s="89"/>
      <c r="V31" s="89"/>
      <c r="W31" s="89"/>
      <c r="X31" s="232"/>
      <c r="Y31" s="233"/>
      <c r="Z31" s="89"/>
      <c r="AA31" s="89"/>
      <c r="AB31" s="234"/>
      <c r="BC31" s="178">
        <f>_xll.qlCalendarAdvance(Calendar,BC30,"1d","mf",,Trigger)</f>
        <v>42314</v>
      </c>
      <c r="BD31" s="41">
        <f>_xll.qlDayCounterYearFraction(DayCounter,SettlementDate,BC31,,,Trigger)</f>
        <v>9.7222222222222224E-2</v>
      </c>
      <c r="BE31" s="47">
        <f>_xll.qlPolynomialFunctionValue(BE$1,$BD31,AllTriggers)</f>
        <v>1.7495884145947238E-3</v>
      </c>
      <c r="BF31" s="47">
        <f>_xll.qlPolynomialFunctionValue(BF$1,$BD31,AllTriggers)</f>
        <v>1.7445218429248744E-3</v>
      </c>
      <c r="BG31" s="47">
        <f>_xll.qlPolynomialFunctionValue(BG$1,$BD31,AllTriggers)</f>
        <v>1.7618172762160374E-3</v>
      </c>
      <c r="BH31" s="47">
        <f>_xll.qlPolynomialFunctionValue(BH$1,$BD31,AllTriggers)</f>
        <v>1.9004923004441636E-3</v>
      </c>
      <c r="BI31" s="47">
        <f>_xll.qlPolynomialFunctionValue(BI$1,$BD31,AllTriggers)</f>
        <v>1.7461606761259604E-3</v>
      </c>
      <c r="BJ31" s="47">
        <f>_xll.qlPolynomialFunctionValue(BJ$1,$BD31,AllTriggers)</f>
        <v>1.7391963822129075E-3</v>
      </c>
      <c r="BK31" s="47">
        <f>_xll.qlPolynomialFunctionValue(BK$1,$BD31,AllTriggers)</f>
        <v>1.7658617515089873E-3</v>
      </c>
      <c r="BL31" s="47">
        <f>_xll.qlPolynomialFunctionValue(BL$1,$BD31,AllTriggers)</f>
        <v>1.9143159359073577E-3</v>
      </c>
      <c r="BM31" s="47">
        <f>_xll.qlPolynomialFunctionValue(BM$1,$BD31,AllTriggers)</f>
        <v>1.7333694006678585E-3</v>
      </c>
      <c r="BN31" s="47">
        <f>_xll.qlPolynomialFunctionValue(BN$1,$BD31,AllTriggers)</f>
        <v>1.7440984039076002E-3</v>
      </c>
      <c r="BO31" s="47">
        <f>_xll.qlPolynomialFunctionValue(BO$1,$BD31,AllTriggers)</f>
        <v>1.7214475415625488E-3</v>
      </c>
      <c r="BP31" s="47">
        <f>_xll.qlPolynomialFunctionValue(BP$1,$BD31,AllTriggers)</f>
        <v>1.7035323750528943E-3</v>
      </c>
      <c r="BQ31" s="47">
        <f>_xll.qlPolynomialFunctionValue('6MSynthDepo_used'!$P$18,BD31,AllTriggers)</f>
        <v>1.7215378507800996E-3</v>
      </c>
    </row>
    <row r="32" spans="1:69" ht="12" customHeight="1" x14ac:dyDescent="0.2">
      <c r="G32" s="147" t="s">
        <v>66</v>
      </c>
      <c r="H32" s="148"/>
      <c r="S32" s="148"/>
      <c r="T32" s="148"/>
      <c r="U32" s="148"/>
      <c r="V32" s="148"/>
      <c r="W32" s="148"/>
      <c r="X32" s="149"/>
      <c r="Y32" s="147" t="s">
        <v>67</v>
      </c>
      <c r="Z32" s="148"/>
      <c r="AA32" s="148"/>
      <c r="AB32" s="149"/>
      <c r="BC32" s="178">
        <f>_xll.qlCalendarAdvance(Calendar,BC31,"1d","mf",,Trigger)</f>
        <v>42317</v>
      </c>
      <c r="BD32" s="41">
        <f>_xll.qlDayCounterYearFraction(DayCounter,SettlementDate,BC32,,,Trigger)</f>
        <v>0.10555555555555556</v>
      </c>
      <c r="BE32" s="47">
        <f>_xll.qlPolynomialFunctionValue(BE$1,$BD32,AllTriggers)</f>
        <v>1.7536415466664103E-3</v>
      </c>
      <c r="BF32" s="47">
        <f>_xll.qlPolynomialFunctionValue(BF$1,$BD32,AllTriggers)</f>
        <v>1.749546760054548E-3</v>
      </c>
      <c r="BG32" s="47">
        <f>_xll.qlPolynomialFunctionValue(BG$1,$BD32,AllTriggers)</f>
        <v>1.7654558706056453E-3</v>
      </c>
      <c r="BH32" s="47">
        <f>_xll.qlPolynomialFunctionValue(BH$1,$BD32,AllTriggers)</f>
        <v>1.8930153398586415E-3</v>
      </c>
      <c r="BI32" s="47">
        <f>_xll.qlPolynomialFunctionValue(BI$1,$BD32,AllTriggers)</f>
        <v>1.7504242070900901E-3</v>
      </c>
      <c r="BJ32" s="47">
        <f>_xll.qlPolynomialFunctionValue(BJ$1,$BD32,AllTriggers)</f>
        <v>1.7449264321849772E-3</v>
      </c>
      <c r="BK32" s="47">
        <f>_xll.qlPolynomialFunctionValue(BK$1,$BD32,AllTriggers)</f>
        <v>1.769445935046116E-3</v>
      </c>
      <c r="BL32" s="47">
        <f>_xll.qlPolynomialFunctionValue(BL$1,$BD32,AllTriggers)</f>
        <v>1.905953431292908E-3</v>
      </c>
      <c r="BM32" s="47">
        <f>_xll.qlPolynomialFunctionValue(BM$1,$BD32,AllTriggers)</f>
        <v>1.7380551424754167E-3</v>
      </c>
      <c r="BN32" s="47">
        <f>_xll.qlPolynomialFunctionValue(BN$1,$BD32,AllTriggers)</f>
        <v>1.7479897277859423E-3</v>
      </c>
      <c r="BO32" s="47">
        <f>_xll.qlPolynomialFunctionValue(BO$1,$BD32,AllTriggers)</f>
        <v>1.7263711526564903E-3</v>
      </c>
      <c r="BP32" s="47">
        <f>_xll.qlPolynomialFunctionValue(BP$1,$BD32,AllTriggers)</f>
        <v>1.7094339298096436E-3</v>
      </c>
      <c r="BQ32" s="47">
        <f>_xll.qlPolynomialFunctionValue('6MSynthDepo_used'!$P$18,BD32,AllTriggers)</f>
        <v>1.7278395989096592E-3</v>
      </c>
    </row>
    <row r="33" spans="3:69" ht="12" customHeight="1" x14ac:dyDescent="0.2">
      <c r="G33" s="214" t="s">
        <v>106</v>
      </c>
      <c r="H33" s="215"/>
      <c r="S33" s="215"/>
      <c r="T33" s="216"/>
      <c r="U33" s="214" t="s">
        <v>107</v>
      </c>
      <c r="V33" s="215"/>
      <c r="W33" s="215"/>
      <c r="X33" s="216"/>
      <c r="Y33" s="214" t="s">
        <v>106</v>
      </c>
      <c r="Z33" s="215"/>
      <c r="AA33" s="215"/>
      <c r="AB33" s="216"/>
      <c r="BC33" s="178">
        <f>_xll.qlCalendarAdvance(Calendar,BC32,"1d","mf",,Trigger)</f>
        <v>42318</v>
      </c>
      <c r="BD33" s="41">
        <f>_xll.qlDayCounterYearFraction(DayCounter,SettlementDate,BC33,,,Trigger)</f>
        <v>0.10833333333333334</v>
      </c>
      <c r="BE33" s="47">
        <f>_xll.qlPolynomialFunctionValue(BE$1,$BD33,AllTriggers)</f>
        <v>1.7549925906903056E-3</v>
      </c>
      <c r="BF33" s="47">
        <f>_xll.qlPolynomialFunctionValue(BF$1,$BD33,AllTriggers)</f>
        <v>1.7512126714981642E-3</v>
      </c>
      <c r="BG33" s="47">
        <f>_xll.qlPolynomialFunctionValue(BG$1,$BD33,AllTriggers)</f>
        <v>1.7666687354021813E-3</v>
      </c>
      <c r="BH33" s="47">
        <f>_xll.qlPolynomialFunctionValue(BH$1,$BD33,AllTriggers)</f>
        <v>1.8905956703495794E-3</v>
      </c>
      <c r="BI33" s="47">
        <f>_xll.qlPolynomialFunctionValue(BI$1,$BD33,AllTriggers)</f>
        <v>1.7518453840781334E-3</v>
      </c>
      <c r="BJ33" s="47">
        <f>_xll.qlPolynomialFunctionValue(BJ$1,$BD33,AllTriggers)</f>
        <v>1.7468223194899814E-3</v>
      </c>
      <c r="BK33" s="47">
        <f>_xll.qlPolynomialFunctionValue(BK$1,$BD33,AllTriggers)</f>
        <v>1.7706406628918256E-3</v>
      </c>
      <c r="BL33" s="47">
        <f>_xll.qlPolynomialFunctionValue(BL$1,$BD33,AllTriggers)</f>
        <v>1.9032445921372768E-3</v>
      </c>
      <c r="BM33" s="47">
        <f>_xll.qlPolynomialFunctionValue(BM$1,$BD33,AllTriggers)</f>
        <v>1.7396170564112695E-3</v>
      </c>
      <c r="BN33" s="47">
        <f>_xll.qlPolynomialFunctionValue(BN$1,$BD33,AllTriggers)</f>
        <v>1.7492912241439094E-3</v>
      </c>
      <c r="BO33" s="47">
        <f>_xll.qlPolynomialFunctionValue(BO$1,$BD33,AllTriggers)</f>
        <v>1.7280123563544708E-3</v>
      </c>
      <c r="BP33" s="47">
        <f>_xll.qlPolynomialFunctionValue(BP$1,$BD33,AllTriggers)</f>
        <v>1.7113964227690604E-3</v>
      </c>
      <c r="BQ33" s="47">
        <f>_xll.qlPolynomialFunctionValue('6MSynthDepo_used'!$P$18,BD33,AllTriggers)</f>
        <v>1.7299291211869473E-3</v>
      </c>
    </row>
    <row r="34" spans="3:69" ht="12" customHeight="1" thickBot="1" x14ac:dyDescent="0.25">
      <c r="G34" s="134" t="str">
        <f>"with 0X"&amp;SUBSTITUTE($D$24,"M","")</f>
        <v>with 0X6</v>
      </c>
      <c r="H34" s="110"/>
      <c r="S34" s="109" t="str">
        <f>"without 0X"&amp;SUBSTITUTE($D$24,"M","")</f>
        <v>without 0X6</v>
      </c>
      <c r="T34" s="135"/>
      <c r="U34" s="134" t="str">
        <f>"with 0X"&amp;SUBSTITUTE($D$24,"M","")</f>
        <v>with 0X6</v>
      </c>
      <c r="V34" s="110"/>
      <c r="W34" s="109" t="str">
        <f>"without 0X"&amp;SUBSTITUTE($D$24,"M","")</f>
        <v>without 0X6</v>
      </c>
      <c r="X34" s="135"/>
      <c r="Y34" s="134" t="str">
        <f>"with 0X"&amp;SUBSTITUTE($D$24,"M","")</f>
        <v>with 0X6</v>
      </c>
      <c r="Z34" s="110"/>
      <c r="AA34" s="109" t="str">
        <f>"without 0X"&amp;SUBSTITUTE($D$24,"M","")</f>
        <v>without 0X6</v>
      </c>
      <c r="AB34" s="135"/>
      <c r="BC34" s="178">
        <f>_xll.qlCalendarAdvance(Calendar,BC33,"1d","mf",,Trigger)</f>
        <v>42319</v>
      </c>
      <c r="BD34" s="41">
        <f>_xll.qlDayCounterYearFraction(DayCounter,SettlementDate,BC34,,,Trigger)</f>
        <v>0.1111111111111111</v>
      </c>
      <c r="BE34" s="47">
        <f>_xll.qlPolynomialFunctionValue(BE$1,$BD34,AllTriggers)</f>
        <v>1.756343634714201E-3</v>
      </c>
      <c r="BF34" s="47">
        <f>_xll.qlPolynomialFunctionValue(BF$1,$BD34,AllTriggers)</f>
        <v>1.7528740524753097E-3</v>
      </c>
      <c r="BG34" s="47">
        <f>_xll.qlPolynomialFunctionValue(BG$1,$BD34,AllTriggers)</f>
        <v>1.7678816001987171E-3</v>
      </c>
      <c r="BH34" s="47">
        <f>_xll.qlPolynomialFunctionValue(BH$1,$BD34,AllTriggers)</f>
        <v>1.8882123261835732E-3</v>
      </c>
      <c r="BI34" s="47">
        <f>_xll.qlPolynomialFunctionValue(BI$1,$BD34,AllTriggers)</f>
        <v>1.7532665610661764E-3</v>
      </c>
      <c r="BJ34" s="47">
        <f>_xll.qlPolynomialFunctionValue(BJ$1,$BD34,AllTriggers)</f>
        <v>1.7487111421188089E-3</v>
      </c>
      <c r="BK34" s="47">
        <f>_xll.qlPolynomialFunctionValue(BK$1,$BD34,AllTriggers)</f>
        <v>1.7718353907375352E-3</v>
      </c>
      <c r="BL34" s="47">
        <f>_xll.qlPolynomialFunctionValue(BL$1,$BD34,AllTriggers)</f>
        <v>1.9005750841729046E-3</v>
      </c>
      <c r="BM34" s="47">
        <f>_xll.qlPolynomialFunctionValue(BM$1,$BD34,AllTriggers)</f>
        <v>1.741178970347122E-3</v>
      </c>
      <c r="BN34" s="47">
        <f>_xll.qlPolynomialFunctionValue(BN$1,$BD34,AllTriggers)</f>
        <v>1.7505949147011361E-3</v>
      </c>
      <c r="BO34" s="47">
        <f>_xll.qlPolynomialFunctionValue(BO$1,$BD34,AllTriggers)</f>
        <v>1.7296535600524515E-3</v>
      </c>
      <c r="BP34" s="47">
        <f>_xll.qlPolynomialFunctionValue(BP$1,$BD34,AllTriggers)</f>
        <v>1.7133565697487272E-3</v>
      </c>
      <c r="BQ34" s="47">
        <f>_xll.qlPolynomialFunctionValue('6MSynthDepo_used'!$P$18,BD34,AllTriggers)</f>
        <v>1.7320131367530903E-3</v>
      </c>
    </row>
    <row r="35" spans="3:69" ht="12" customHeight="1" x14ac:dyDescent="0.2">
      <c r="D35" s="36" t="s">
        <v>49</v>
      </c>
      <c r="E35" s="36" t="s">
        <v>38</v>
      </c>
      <c r="F35" s="36" t="s">
        <v>39</v>
      </c>
      <c r="G35" s="136" t="str">
        <f>IF(COUNT(G$28:G$31)=2,"Linear","Quadratic")</f>
        <v>Linear</v>
      </c>
      <c r="H35" s="38" t="str">
        <f>IF(COUNT(H$28:H$31)=2,"Linear","Quadratic")</f>
        <v>Quadratic</v>
      </c>
      <c r="S35" s="38" t="str">
        <f t="shared" ref="S35:AB35" si="13">IF(COUNT(S$28:S$31)=2,"Linear","Quadratic")</f>
        <v>Linear</v>
      </c>
      <c r="T35" s="137" t="str">
        <f t="shared" si="13"/>
        <v>Quadratic</v>
      </c>
      <c r="U35" s="136" t="str">
        <f t="shared" si="13"/>
        <v>Linear</v>
      </c>
      <c r="V35" s="38" t="str">
        <f t="shared" si="13"/>
        <v>Quadratic</v>
      </c>
      <c r="W35" s="38" t="str">
        <f t="shared" si="13"/>
        <v>Linear</v>
      </c>
      <c r="X35" s="137" t="str">
        <f t="shared" si="13"/>
        <v>Quadratic</v>
      </c>
      <c r="Y35" s="136" t="str">
        <f t="shared" si="13"/>
        <v>Linear</v>
      </c>
      <c r="Z35" s="38" t="str">
        <f t="shared" si="13"/>
        <v>Quadratic</v>
      </c>
      <c r="AA35" s="38" t="str">
        <f t="shared" si="13"/>
        <v>Linear</v>
      </c>
      <c r="AB35" s="137" t="str">
        <f t="shared" si="13"/>
        <v>Quadratic</v>
      </c>
      <c r="AC35" s="255" t="s">
        <v>105</v>
      </c>
      <c r="BC35" s="178">
        <f>_xll.qlCalendarAdvance(Calendar,BC34,"1d","mf",,Trigger)</f>
        <v>42320</v>
      </c>
      <c r="BD35" s="41">
        <f>_xll.qlDayCounterYearFraction(DayCounter,SettlementDate,BC35,,,Trigger)</f>
        <v>0.11388888888888889</v>
      </c>
      <c r="BE35" s="47">
        <f>_xll.qlPolynomialFunctionValue(BE$1,$BD35,AllTriggers)</f>
        <v>1.7576946787380965E-3</v>
      </c>
      <c r="BF35" s="47">
        <f>_xll.qlPolynomialFunctionValue(BF$1,$BD35,AllTriggers)</f>
        <v>1.7545309029859842E-3</v>
      </c>
      <c r="BG35" s="47">
        <f>_xll.qlPolynomialFunctionValue(BG$1,$BD35,AllTriggers)</f>
        <v>1.7690944649952532E-3</v>
      </c>
      <c r="BH35" s="47">
        <f>_xll.qlPolynomialFunctionValue(BH$1,$BD35,AllTriggers)</f>
        <v>1.8858653073606229E-3</v>
      </c>
      <c r="BI35" s="47">
        <f>_xll.qlPolynomialFunctionValue(BI$1,$BD35,AllTriggers)</f>
        <v>1.7546877380542197E-3</v>
      </c>
      <c r="BJ35" s="47">
        <f>_xll.qlPolynomialFunctionValue(BJ$1,$BD35,AllTriggers)</f>
        <v>1.7505929000714608E-3</v>
      </c>
      <c r="BK35" s="47">
        <f>_xll.qlPolynomialFunctionValue(BK$1,$BD35,AllTriggers)</f>
        <v>1.7730301185832447E-3</v>
      </c>
      <c r="BL35" s="47">
        <f>_xll.qlPolynomialFunctionValue(BL$1,$BD35,AllTriggers)</f>
        <v>1.8979449073997915E-3</v>
      </c>
      <c r="BM35" s="47">
        <f>_xll.qlPolynomialFunctionValue(BM$1,$BD35,AllTriggers)</f>
        <v>1.7427408842829748E-3</v>
      </c>
      <c r="BN35" s="47">
        <f>_xll.qlPolynomialFunctionValue(BN$1,$BD35,AllTriggers)</f>
        <v>1.751900799457623E-3</v>
      </c>
      <c r="BO35" s="47">
        <f>_xll.qlPolynomialFunctionValue(BO$1,$BD35,AllTriggers)</f>
        <v>1.731294763750432E-3</v>
      </c>
      <c r="BP35" s="47">
        <f>_xll.qlPolynomialFunctionValue(BP$1,$BD35,AllTriggers)</f>
        <v>1.7153143707486446E-3</v>
      </c>
      <c r="BQ35" s="47">
        <f>_xll.qlPolynomialFunctionValue('6MSynthDepo_used'!$P$18,BD35,AllTriggers)</f>
        <v>1.7340916597111703E-3</v>
      </c>
    </row>
    <row r="36" spans="3:69" ht="12" customHeight="1" x14ac:dyDescent="0.2">
      <c r="C36" s="19">
        <v>0</v>
      </c>
      <c r="D36" s="45" t="s">
        <v>25</v>
      </c>
      <c r="E36" s="175">
        <f>_xll.qlCalendarAdvance(Calendar,SettlementDate,C36&amp;"M","mf",TRUE,Trigger)</f>
        <v>42279</v>
      </c>
      <c r="F36" s="245">
        <f>_xll.qlCalendarAdvance(Calendar,SettlementDate,D36,"Following",,Trigger)</f>
        <v>42282</v>
      </c>
      <c r="G36" s="253">
        <f>_xll.qlTenorBasisForwardRate2(G$27,$E36,$F36,InterestRatesTrigger)</f>
        <v>3.2088919223127732E-4</v>
      </c>
      <c r="H36" s="193">
        <f>_xll.qlTenorBasisForwardRate2(H$27,$E36,$F36,InterestRatesTrigger)</f>
        <v>3.0244574924509493E-4</v>
      </c>
      <c r="S36" s="193">
        <f>_xll.qlTenorBasisForwardRate2(S$27,$E36,$F36,InterestRatesTrigger)</f>
        <v>3.3751897434264322E-4</v>
      </c>
      <c r="T36" s="254">
        <f>_xll.qlTenorBasisForwardRate2(T$27,$E36,$F36,InterestRatesTrigger)</f>
        <v>6.1873695055503219E-4</v>
      </c>
      <c r="U36" s="253">
        <f>_xll.qlTenorBasisForwardRate2(U$27,$E36,$F36,InterestRatesTrigger)</f>
        <v>3.1518970263100243E-4</v>
      </c>
      <c r="V36" s="193">
        <f>_xll.qlTenorBasisForwardRate2(V$27,$E36,$F36,InterestRatesTrigger)</f>
        <v>2.8789148174723778E-4</v>
      </c>
      <c r="W36" s="193">
        <f>_xll.qlTenorBasisForwardRate2(W$27,$E36,$F36,InterestRatesTrigger)</f>
        <v>3.4210769113585116E-4</v>
      </c>
      <c r="X36" s="254">
        <f>_xll.qlTenorBasisForwardRate2(X$27,$E36,$F36,InterestRatesTrigger)</f>
        <v>6.4394619183616442E-4</v>
      </c>
      <c r="Y36" s="253">
        <f>_xll.qlTenorBasisForwardRate2(Y$27,$E36,$F36,InterestRatesTrigger)</f>
        <v>2.9792065078915186E-4</v>
      </c>
      <c r="Z36" s="193">
        <f>_xll.qlTenorBasisForwardRate2(Z$27,$E36,$F36,InterestRatesTrigger)</f>
        <v>3.185830292906644E-4</v>
      </c>
      <c r="AA36" s="193">
        <f>_xll.qlTenorBasisForwardRate2(AA$27,$E36,$F36,InterestRatesTrigger)</f>
        <v>2.8354064240510013E-4</v>
      </c>
      <c r="AB36" s="254">
        <f>_xll.qlTenorBasisForwardRate2(AB$27,$E36,$F36,InterestRatesTrigger)</f>
        <v>2.5367630462902468E-4</v>
      </c>
      <c r="AC36" s="254">
        <f>'6MSynthDepo_used'!AA15</f>
        <v>2.6499467479013106E-4</v>
      </c>
      <c r="BC36" s="178">
        <f>_xll.qlCalendarAdvance(Calendar,BC35,"1d","mf",,Trigger)</f>
        <v>42321</v>
      </c>
      <c r="BD36" s="41">
        <f>_xll.qlDayCounterYearFraction(DayCounter,SettlementDate,BC36,,,Trigger)</f>
        <v>0.11666666666666667</v>
      </c>
      <c r="BE36" s="47">
        <f>_xll.qlPolynomialFunctionValue(BE$1,$BD36,AllTriggers)</f>
        <v>1.7590457227619918E-3</v>
      </c>
      <c r="BF36" s="47">
        <f>_xll.qlPolynomialFunctionValue(BF$1,$BD36,AllTriggers)</f>
        <v>1.7561832230301882E-3</v>
      </c>
      <c r="BG36" s="47">
        <f>_xll.qlPolynomialFunctionValue(BG$1,$BD36,AllTriggers)</f>
        <v>1.770307329791789E-3</v>
      </c>
      <c r="BH36" s="47">
        <f>_xll.qlPolynomialFunctionValue(BH$1,$BD36,AllTriggers)</f>
        <v>1.8835546138807288E-3</v>
      </c>
      <c r="BI36" s="47">
        <f>_xll.qlPolynomialFunctionValue(BI$1,$BD36,AllTriggers)</f>
        <v>1.7561089150422628E-3</v>
      </c>
      <c r="BJ36" s="47">
        <f>_xll.qlPolynomialFunctionValue(BJ$1,$BD36,AllTriggers)</f>
        <v>1.7524675933479361E-3</v>
      </c>
      <c r="BK36" s="47">
        <f>_xll.qlPolynomialFunctionValue(BK$1,$BD36,AllTriggers)</f>
        <v>1.7742248464289543E-3</v>
      </c>
      <c r="BL36" s="47">
        <f>_xll.qlPolynomialFunctionValue(BL$1,$BD36,AllTriggers)</f>
        <v>1.8953540618179378E-3</v>
      </c>
      <c r="BM36" s="47">
        <f>_xll.qlPolynomialFunctionValue(BM$1,$BD36,AllTriggers)</f>
        <v>1.7443027982188275E-3</v>
      </c>
      <c r="BN36" s="47">
        <f>_xll.qlPolynomialFunctionValue(BN$1,$BD36,AllTriggers)</f>
        <v>1.7532088784133694E-3</v>
      </c>
      <c r="BO36" s="47">
        <f>_xll.qlPolynomialFunctionValue(BO$1,$BD36,AllTriggers)</f>
        <v>1.7329359674484125E-3</v>
      </c>
      <c r="BP36" s="47">
        <f>_xll.qlPolynomialFunctionValue(BP$1,$BD36,AllTriggers)</f>
        <v>1.7172698257688118E-3</v>
      </c>
      <c r="BQ36" s="47">
        <f>_xll.qlPolynomialFunctionValue('6MSynthDepo_used'!$P$18,BD36,AllTriggers)</f>
        <v>1.7361647041642702E-3</v>
      </c>
    </row>
    <row r="37" spans="3:69" ht="12" customHeight="1" x14ac:dyDescent="0.2">
      <c r="C37" s="19">
        <v>0</v>
      </c>
      <c r="D37" s="48" t="s">
        <v>26</v>
      </c>
      <c r="E37" s="177">
        <f>_xll.qlCalendarAdvance(Calendar,SettlementDate,C37&amp;"M","mf",TRUE,Trigger)</f>
        <v>42279</v>
      </c>
      <c r="F37" s="246">
        <f>_xll.qlCalendarAdvance(Calendar,SettlementDate,D37,"Following",,Trigger)</f>
        <v>42286</v>
      </c>
      <c r="G37" s="138">
        <f>_xll.qlTenorBasisForwardRate2(G$27,$E37,$F37,InterestRatesTrigger)</f>
        <v>2.5356340301715567E-4</v>
      </c>
      <c r="H37" s="128">
        <f>_xll.qlTenorBasisForwardRate2(H$27,$E37,$F37,InterestRatesTrigger)</f>
        <v>2.3604289967187647E-4</v>
      </c>
      <c r="S37" s="128">
        <f>_xll.qlTenorBasisForwardRate2(S$27,$E37,$F37,InterestRatesTrigger)</f>
        <v>2.6992438390724009E-4</v>
      </c>
      <c r="T37" s="139">
        <f>_xll.qlTenorBasisForwardRate2(T$27,$E37,$F37,InterestRatesTrigger)</f>
        <v>5.4158740180554332E-4</v>
      </c>
      <c r="U37" s="138">
        <f>_xll.qlTenorBasisForwardRate2(U$27,$E37,$F37,InterestRatesTrigger)</f>
        <v>2.4800035074688608E-4</v>
      </c>
      <c r="V37" s="128">
        <f>_xll.qlTenorBasisForwardRate2(V$27,$E37,$F37,InterestRatesTrigger)</f>
        <v>2.2210965724919367E-4</v>
      </c>
      <c r="W37" s="128">
        <f>_xll.qlTenorBasisForwardRate2(W$27,$E37,$F37,InterestRatesTrigger)</f>
        <v>2.7447782492576574E-4</v>
      </c>
      <c r="X37" s="139">
        <f>_xll.qlTenorBasisForwardRate2(X$27,$E37,$F37,InterestRatesTrigger)</f>
        <v>5.6602824480072352E-4</v>
      </c>
      <c r="Y37" s="138">
        <f>_xll.qlTenorBasisForwardRate2(Y$27,$E37,$F37,InterestRatesTrigger)</f>
        <v>2.3100507896270779E-4</v>
      </c>
      <c r="Z37" s="128">
        <f>_xll.qlTenorBasisForwardRate2(Z$27,$E37,$F37,InterestRatesTrigger)</f>
        <v>2.5101051355161781E-4</v>
      </c>
      <c r="AA37" s="128">
        <f>_xll.qlTenorBasisForwardRate2(AA$27,$E37,$F37,InterestRatesTrigger)</f>
        <v>2.1677930814994234E-4</v>
      </c>
      <c r="AB37" s="139">
        <f>_xll.qlTenorBasisForwardRate2(AB$27,$E37,$F37,InterestRatesTrigger)</f>
        <v>1.8770073643941437E-4</v>
      </c>
      <c r="AC37" s="139">
        <f>'6MSynthDepo_used'!AA16</f>
        <v>1.9950032922798146E-4</v>
      </c>
      <c r="BC37" s="178">
        <f>_xll.qlCalendarAdvance(Calendar,BC36,"1d","mf",,Trigger)</f>
        <v>42324</v>
      </c>
      <c r="BD37" s="41">
        <f>_xll.qlDayCounterYearFraction(DayCounter,SettlementDate,BC37,,,Trigger)</f>
        <v>0.125</v>
      </c>
      <c r="BE37" s="47">
        <f>_xll.qlPolynomialFunctionValue(BE$1,$BD37,AllTriggers)</f>
        <v>1.7630988548336781E-3</v>
      </c>
      <c r="BF37" s="47">
        <f>_xll.qlPolynomialFunctionValue(BF$1,$BD37,AllTriggers)</f>
        <v>1.7611130003639748E-3</v>
      </c>
      <c r="BG37" s="47">
        <f>_xll.qlPolynomialFunctionValue(BG$1,$BD37,AllTriggers)</f>
        <v>1.7739459241813969E-3</v>
      </c>
      <c r="BH37" s="47">
        <f>_xll.qlPolynomialFunctionValue(BH$1,$BD37,AllTriggers)</f>
        <v>1.8768404854993821E-3</v>
      </c>
      <c r="BI37" s="47">
        <f>_xll.qlPolynomialFunctionValue(BI$1,$BD37,AllTriggers)</f>
        <v>1.7603724460063925E-3</v>
      </c>
      <c r="BJ37" s="47">
        <f>_xll.qlPolynomialFunctionValue(BJ$1,$BD37,AllTriggers)</f>
        <v>1.7580492851203048E-3</v>
      </c>
      <c r="BK37" s="47">
        <f>_xll.qlPolynomialFunctionValue(BK$1,$BD37,AllTriggers)</f>
        <v>1.777809029966083E-3</v>
      </c>
      <c r="BL37" s="47">
        <f>_xll.qlPolynomialFunctionValue(BL$1,$BD37,AllTriggers)</f>
        <v>1.8878175122199318E-3</v>
      </c>
      <c r="BM37" s="47">
        <f>_xll.qlPolynomialFunctionValue(BM$1,$BD37,AllTriggers)</f>
        <v>1.7489885400263857E-3</v>
      </c>
      <c r="BN37" s="47">
        <f>_xll.qlPolynomialFunctionValue(BN$1,$BD37,AllTriggers)</f>
        <v>1.7571462804761675E-3</v>
      </c>
      <c r="BO37" s="47">
        <f>_xll.qlPolynomialFunctionValue(BO$1,$BD37,AllTriggers)</f>
        <v>1.7378595785423542E-3</v>
      </c>
      <c r="BP37" s="47">
        <f>_xll.qlPolynomialFunctionValue(BP$1,$BD37,AllTriggers)</f>
        <v>1.723122114950815E-3</v>
      </c>
      <c r="BQ37" s="47">
        <f>_xll.qlPolynomialFunctionValue('6MSynthDepo_used'!$P$18,BD37,AllTriggers)</f>
        <v>1.7423511075245121E-3</v>
      </c>
    </row>
    <row r="38" spans="3:69" ht="12" customHeight="1" x14ac:dyDescent="0.2">
      <c r="C38" s="19">
        <v>0</v>
      </c>
      <c r="D38" s="48" t="s">
        <v>27</v>
      </c>
      <c r="E38" s="177">
        <f>_xll.qlCalendarAdvance(Calendar,SettlementDate,C38&amp;"M","mf",TRUE,Trigger)</f>
        <v>42279</v>
      </c>
      <c r="F38" s="246">
        <f>_xll.qlCalendarAdvance(Calendar,SettlementDate,D38,"Following",,Trigger)</f>
        <v>42293</v>
      </c>
      <c r="G38" s="138">
        <f>_xll.qlTenorBasisForwardRate2(G$27,$E38,$F38,InterestRatesTrigger)</f>
        <v>2.581441801176508E-4</v>
      </c>
      <c r="H38" s="128">
        <f>_xll.qlTenorBasisForwardRate2(H$27,$E38,$F38,InterestRatesTrigger)</f>
        <v>2.4218302719829815E-4</v>
      </c>
      <c r="S38" s="128">
        <f>_xll.qlTenorBasisForwardRate2(S$27,$E38,$F38,InterestRatesTrigger)</f>
        <v>2.7403477418681225E-4</v>
      </c>
      <c r="T38" s="139">
        <f>_xll.qlTenorBasisForwardRate2(T$27,$E38,$F38,InterestRatesTrigger)</f>
        <v>5.2942395013109793E-4</v>
      </c>
      <c r="U38" s="138">
        <f>_xll.qlTenorBasisForwardRate2(U$27,$E38,$F38,InterestRatesTrigger)</f>
        <v>2.5281988843582425E-4</v>
      </c>
      <c r="V38" s="128">
        <f>_xll.qlTenorBasisForwardRate2(V$27,$E38,$F38,InterestRatesTrigger)</f>
        <v>2.293053645934557E-4</v>
      </c>
      <c r="W38" s="128">
        <f>_xll.qlTenorBasisForwardRate2(W$27,$E38,$F38,InterestRatesTrigger)</f>
        <v>2.7852648729112924E-4</v>
      </c>
      <c r="X38" s="139">
        <f>_xll.qlTenorBasisForwardRate2(X$27,$E38,$F38,InterestRatesTrigger)</f>
        <v>5.5255710251904996E-4</v>
      </c>
      <c r="Y38" s="138">
        <f>_xll.qlTenorBasisForwardRate2(Y$27,$E38,$F38,InterestRatesTrigger)</f>
        <v>2.363037151496629E-4</v>
      </c>
      <c r="Z38" s="128">
        <f>_xll.qlTenorBasisForwardRate2(Z$27,$E38,$F38,InterestRatesTrigger)</f>
        <v>2.5518653087784415E-4</v>
      </c>
      <c r="AA38" s="128">
        <f>_xll.qlTenorBasisForwardRate2(AA$27,$E38,$F38,InterestRatesTrigger)</f>
        <v>2.223478449187815E-4</v>
      </c>
      <c r="AB38" s="139">
        <f>_xll.qlTenorBasisForwardRate2(AB$27,$E38,$F38,InterestRatesTrigger)</f>
        <v>1.9461545017814989E-4</v>
      </c>
      <c r="AC38" s="139">
        <f>'6MSynthDepo_used'!AA17</f>
        <v>2.0721253829363611E-4</v>
      </c>
      <c r="BC38" s="178">
        <f>_xll.qlCalendarAdvance(Calendar,BC37,"1d","mf",,Trigger)</f>
        <v>42325</v>
      </c>
      <c r="BD38" s="41">
        <f>_xll.qlDayCounterYearFraction(DayCounter,SettlementDate,BC38,,,Trigger)</f>
        <v>0.12777777777777777</v>
      </c>
      <c r="BE38" s="47">
        <f>_xll.qlPolynomialFunctionValue(BE$1,$BD38,AllTriggers)</f>
        <v>1.7644498988575734E-3</v>
      </c>
      <c r="BF38" s="47">
        <f>_xll.qlPolynomialFunctionValue(BF$1,$BD38,AllTriggers)</f>
        <v>1.7627471985422955E-3</v>
      </c>
      <c r="BG38" s="47">
        <f>_xll.qlPolynomialFunctionValue(BG$1,$BD38,AllTriggers)</f>
        <v>1.7751587889779329E-3</v>
      </c>
      <c r="BH38" s="47">
        <f>_xll.qlPolynomialFunctionValue(BH$1,$BD38,AllTriggers)</f>
        <v>1.8746750933917118E-3</v>
      </c>
      <c r="BI38" s="47">
        <f>_xll.qlPolynomialFunctionValue(BI$1,$BD38,AllTriggers)</f>
        <v>1.7617936229944358E-3</v>
      </c>
      <c r="BJ38" s="47">
        <f>_xll.qlPolynomialFunctionValue(BJ$1,$BD38,AllTriggers)</f>
        <v>1.7598957196920753E-3</v>
      </c>
      <c r="BK38" s="47">
        <f>_xll.qlPolynomialFunctionValue(BK$1,$BD38,AllTriggers)</f>
        <v>1.7790037578117926E-3</v>
      </c>
      <c r="BL38" s="47">
        <f>_xll.qlPolynomialFunctionValue(BL$1,$BD38,AllTriggers)</f>
        <v>1.885383991403115E-3</v>
      </c>
      <c r="BM38" s="47">
        <f>_xll.qlPolynomialFunctionValue(BM$1,$BD38,AllTriggers)</f>
        <v>1.7505504539622385E-3</v>
      </c>
      <c r="BN38" s="47">
        <f>_xll.qlPolynomialFunctionValue(BN$1,$BD38,AllTriggers)</f>
        <v>1.7584631362289533E-3</v>
      </c>
      <c r="BO38" s="47">
        <f>_xll.qlPolynomialFunctionValue(BO$1,$BD38,AllTriggers)</f>
        <v>1.7395007822403347E-3</v>
      </c>
      <c r="BP38" s="47">
        <f>_xll.qlPolynomialFunctionValue(BP$1,$BD38,AllTriggers)</f>
        <v>1.7250681860519832E-3</v>
      </c>
      <c r="BQ38" s="47">
        <f>_xll.qlPolynomialFunctionValue('6MSynthDepo_used'!$P$18,BD38,AllTriggers)</f>
        <v>1.7444023789885148E-3</v>
      </c>
    </row>
    <row r="39" spans="3:69" x14ac:dyDescent="0.2">
      <c r="C39" s="19">
        <v>0</v>
      </c>
      <c r="D39" s="48" t="s">
        <v>28</v>
      </c>
      <c r="E39" s="177">
        <f>_xll.qlCalendarAdvance(Calendar,SettlementDate,C39&amp;"M","mf",TRUE,Trigger)</f>
        <v>42279</v>
      </c>
      <c r="F39" s="246">
        <f>_xll.qlCalendarAdvance(Calendar,SettlementDate,D39,"Following",,Trigger)</f>
        <v>42300</v>
      </c>
      <c r="G39" s="138">
        <f>_xll.qlTenorBasisForwardRate2(G$27,$E39,$F39,InterestRatesTrigger)</f>
        <v>2.6272500459738931E-4</v>
      </c>
      <c r="H39" s="128">
        <f>_xll.qlTenorBasisForwardRate2(H$27,$E39,$F39,InterestRatesTrigger)</f>
        <v>2.4825221547024919E-4</v>
      </c>
      <c r="S39" s="128">
        <f>_xll.qlTenorBasisForwardRate2(S$27,$E39,$F39,InterestRatesTrigger)</f>
        <v>2.781452095008368E-4</v>
      </c>
      <c r="T39" s="139">
        <f>_xll.qlTenorBasisForwardRate2(T$27,$E39,$F39,InterestRatesTrigger)</f>
        <v>5.1782953516773687E-4</v>
      </c>
      <c r="U39" s="138">
        <f>_xll.qlTenorBasisForwardRate2(U$27,$E39,$F39,InterestRatesTrigger)</f>
        <v>2.5763947498472613E-4</v>
      </c>
      <c r="V39" s="128">
        <f>_xll.qlTenorBasisForwardRate2(V$27,$E39,$F39,InterestRatesTrigger)</f>
        <v>2.363904248157768E-4</v>
      </c>
      <c r="W39" s="128">
        <f>_xll.qlTenorBasisForwardRate2(W$27,$E39,$F39,InterestRatesTrigger)</f>
        <v>2.8257519471378397E-4</v>
      </c>
      <c r="X39" s="139">
        <f>_xll.qlTenorBasisForwardRate2(X$27,$E39,$F39,InterestRatesTrigger)</f>
        <v>5.3970206682407706E-4</v>
      </c>
      <c r="Y39" s="138">
        <f>_xll.qlTenorBasisForwardRate2(Y$27,$E39,$F39,InterestRatesTrigger)</f>
        <v>2.4160240169252792E-4</v>
      </c>
      <c r="Z39" s="128">
        <f>_xll.qlTenorBasisForwardRate2(Z$27,$E39,$F39,InterestRatesTrigger)</f>
        <v>2.5939697727318995E-4</v>
      </c>
      <c r="AA39" s="128">
        <f>_xll.qlTenorBasisForwardRate2(AA$27,$E39,$F39,InterestRatesTrigger)</f>
        <v>2.2791643162101138E-4</v>
      </c>
      <c r="AB39" s="139">
        <f>_xll.qlTenorBasisForwardRate2(AB$27,$E39,$F39,InterestRatesTrigger)</f>
        <v>2.0149345380384074E-4</v>
      </c>
      <c r="AC39" s="139">
        <f>'6MSynthDepo_used'!AA18</f>
        <v>2.148321835093725E-4</v>
      </c>
      <c r="BC39" s="178">
        <f>_xll.qlCalendarAdvance(Calendar,BC38,"1d","mf",,Trigger)</f>
        <v>42326</v>
      </c>
      <c r="BD39" s="41">
        <f>_xll.qlDayCounterYearFraction(DayCounter,SettlementDate,BC39,,,Trigger)</f>
        <v>0.13055555555555556</v>
      </c>
      <c r="BE39" s="47">
        <f>_xll.qlPolynomialFunctionValue(BE$1,$BD39,AllTriggers)</f>
        <v>1.765800942881469E-3</v>
      </c>
      <c r="BF39" s="47">
        <f>_xll.qlPolynomialFunctionValue(BF$1,$BD39,AllTriggers)</f>
        <v>1.7643768662541452E-3</v>
      </c>
      <c r="BG39" s="47">
        <f>_xll.qlPolynomialFunctionValue(BG$1,$BD39,AllTriggers)</f>
        <v>1.7763716537744687E-3</v>
      </c>
      <c r="BH39" s="47">
        <f>_xll.qlPolynomialFunctionValue(BH$1,$BD39,AllTriggers)</f>
        <v>1.8725460266270976E-3</v>
      </c>
      <c r="BI39" s="47">
        <f>_xll.qlPolynomialFunctionValue(BI$1,$BD39,AllTriggers)</f>
        <v>1.7632147999824788E-3</v>
      </c>
      <c r="BJ39" s="47">
        <f>_xll.qlPolynomialFunctionValue(BJ$1,$BD39,AllTriggers)</f>
        <v>1.7617350895876695E-3</v>
      </c>
      <c r="BK39" s="47">
        <f>_xll.qlPolynomialFunctionValue(BK$1,$BD39,AllTriggers)</f>
        <v>1.780198485657502E-3</v>
      </c>
      <c r="BL39" s="47">
        <f>_xll.qlPolynomialFunctionValue(BL$1,$BD39,AllTriggers)</f>
        <v>1.8829898017775572E-3</v>
      </c>
      <c r="BM39" s="47">
        <f>_xll.qlPolynomialFunctionValue(BM$1,$BD39,AllTriggers)</f>
        <v>1.7521123678980912E-3</v>
      </c>
      <c r="BN39" s="47">
        <f>_xll.qlPolynomialFunctionValue(BN$1,$BD39,AllTriggers)</f>
        <v>1.7597821861809989E-3</v>
      </c>
      <c r="BO39" s="47">
        <f>_xll.qlPolynomialFunctionValue(BO$1,$BD39,AllTriggers)</f>
        <v>1.7411419859383152E-3</v>
      </c>
      <c r="BP39" s="47">
        <f>_xll.qlPolynomialFunctionValue(BP$1,$BD39,AllTriggers)</f>
        <v>1.7270119111734016E-3</v>
      </c>
      <c r="BQ39" s="47">
        <f>_xll.qlPolynomialFunctionValue('6MSynthDepo_used'!$P$18,BD39,AllTriggers)</f>
        <v>1.7464482424629493E-3</v>
      </c>
    </row>
    <row r="40" spans="3:69" x14ac:dyDescent="0.2">
      <c r="C40" s="19">
        <v>0</v>
      </c>
      <c r="D40" s="129" t="s">
        <v>22</v>
      </c>
      <c r="E40" s="179">
        <f>_xll.qlCalendarAdvance(Calendar,SettlementDate,C40&amp;"M","mf",TRUE,Trigger)</f>
        <v>42279</v>
      </c>
      <c r="F40" s="247">
        <f>_xll.qlCalendarAdvance(Calendar,SettlementDate,D40,"mf",TRUE,Trigger)</f>
        <v>42310</v>
      </c>
      <c r="G40" s="140">
        <f>_xll.qlTenorBasisForwardRate2(G$27,$E40,$F40,InterestRatesTrigger)</f>
        <v>2.9927351153129358E-4</v>
      </c>
      <c r="H40" s="131">
        <f>_xll.qlTenorBasisForwardRate2(H$27,$E40,$F40,InterestRatesTrigger)</f>
        <v>2.868037837931669E-4</v>
      </c>
      <c r="S40" s="131">
        <f>_xll.qlTenorBasisForwardRate2(S$27,$E40,$F40,InterestRatesTrigger)</f>
        <v>3.1402176548873457E-4</v>
      </c>
      <c r="T40" s="141">
        <f>_xll.qlTenorBasisForwardRate2(T$27,$E40,$F40,InterestRatesTrigger)</f>
        <v>5.3225822684267417E-4</v>
      </c>
      <c r="U40" s="140">
        <f>_xll.qlTenorBasisForwardRate2(U$27,$E40,$F40,InterestRatesTrigger)</f>
        <v>2.9452906117870406E-4</v>
      </c>
      <c r="V40" s="131">
        <f>_xll.qlTenorBasisForwardRate2(V$27,$E40,$F40,InterestRatesTrigger)</f>
        <v>2.7632433119973235E-4</v>
      </c>
      <c r="W40" s="131">
        <f>_xll.qlTenorBasisForwardRate2(W$27,$E40,$F40,InterestRatesTrigger)</f>
        <v>3.183635792076127E-4</v>
      </c>
      <c r="X40" s="141">
        <f>_xll.qlTenorBasisForwardRate2(X$27,$E40,$F40,InterestRatesTrigger)</f>
        <v>5.5241158320705789E-4</v>
      </c>
      <c r="Y40" s="140">
        <f>_xll.qlTenorBasisForwardRate2(Y$27,$E40,$F40,InterestRatesTrigger)</f>
        <v>2.7917637993368771E-4</v>
      </c>
      <c r="Z40" s="131">
        <f>_xll.qlTenorBasisForwardRate2(Z$27,$E40,$F40,InterestRatesTrigger)</f>
        <v>2.9547600525540427E-4</v>
      </c>
      <c r="AA40" s="131">
        <f>_xll.qlTenorBasisForwardRate2(AA$27,$E40,$F40,InterestRatesTrigger)</f>
        <v>2.6587594675306272E-4</v>
      </c>
      <c r="AB40" s="141">
        <f>_xll.qlTenorBasisForwardRate2(AB$27,$E40,$F40,InterestRatesTrigger)</f>
        <v>2.4125973449222953E-4</v>
      </c>
      <c r="AC40" s="141">
        <f>'6MSynthDepo_used'!AA19</f>
        <v>2.5556336852943445E-4</v>
      </c>
      <c r="BC40" s="178">
        <f>_xll.qlCalendarAdvance(Calendar,BC39,"1d","mf",,Trigger)</f>
        <v>42327</v>
      </c>
      <c r="BD40" s="41">
        <f>_xll.qlDayCounterYearFraction(DayCounter,SettlementDate,BC40,,,Trigger)</f>
        <v>0.13333333333333333</v>
      </c>
      <c r="BE40" s="47">
        <f>_xll.qlPolynomialFunctionValue(BE$1,$BD40,AllTriggers)</f>
        <v>1.7671519869053643E-3</v>
      </c>
      <c r="BF40" s="47">
        <f>_xll.qlPolynomialFunctionValue(BF$1,$BD40,AllTriggers)</f>
        <v>1.7660020034995243E-3</v>
      </c>
      <c r="BG40" s="47">
        <f>_xll.qlPolynomialFunctionValue(BG$1,$BD40,AllTriggers)</f>
        <v>1.7775845185710047E-3</v>
      </c>
      <c r="BH40" s="47">
        <f>_xll.qlPolynomialFunctionValue(BH$1,$BD40,AllTriggers)</f>
        <v>1.8704532852055393E-3</v>
      </c>
      <c r="BI40" s="47">
        <f>_xll.qlPolynomialFunctionValue(BI$1,$BD40,AllTriggers)</f>
        <v>1.7646359769705221E-3</v>
      </c>
      <c r="BJ40" s="47">
        <f>_xll.qlPolynomialFunctionValue(BJ$1,$BD40,AllTriggers)</f>
        <v>1.7635673948070874E-3</v>
      </c>
      <c r="BK40" s="47">
        <f>_xll.qlPolynomialFunctionValue(BK$1,$BD40,AllTriggers)</f>
        <v>1.7813932135032117E-3</v>
      </c>
      <c r="BL40" s="47">
        <f>_xll.qlPolynomialFunctionValue(BL$1,$BD40,AllTriggers)</f>
        <v>1.8806349433432587E-3</v>
      </c>
      <c r="BM40" s="47">
        <f>_xll.qlPolynomialFunctionValue(BM$1,$BD40,AllTriggers)</f>
        <v>1.753674281833944E-3</v>
      </c>
      <c r="BN40" s="47">
        <f>_xll.qlPolynomialFunctionValue(BN$1,$BD40,AllTriggers)</f>
        <v>1.7611034303323041E-3</v>
      </c>
      <c r="BO40" s="47">
        <f>_xll.qlPolynomialFunctionValue(BO$1,$BD40,AllTriggers)</f>
        <v>1.7427831896362957E-3</v>
      </c>
      <c r="BP40" s="47">
        <f>_xll.qlPolynomialFunctionValue(BP$1,$BD40,AllTriggers)</f>
        <v>1.7289532903150702E-3</v>
      </c>
      <c r="BQ40" s="47">
        <f>_xll.qlPolynomialFunctionValue('6MSynthDepo_used'!$P$18,BD40,AllTriggers)</f>
        <v>1.7484887120508981E-3</v>
      </c>
    </row>
    <row r="41" spans="3:69" x14ac:dyDescent="0.2">
      <c r="C41" s="19">
        <v>0</v>
      </c>
      <c r="D41" s="48" t="s">
        <v>29</v>
      </c>
      <c r="E41" s="177">
        <f>_xll.qlCalendarAdvance(Calendar,SettlementDate,C41&amp;"M","mf",TRUE,Trigger)</f>
        <v>42279</v>
      </c>
      <c r="F41" s="246">
        <f>_xll.qlCalendarAdvance(Calendar,SettlementDate,D41,"mf",TRUE,Trigger)</f>
        <v>42340</v>
      </c>
      <c r="G41" s="138">
        <f>_xll.qlTenorBasisForwardRate2(G$27,$E41,$F41,InterestRatesTrigger)</f>
        <v>2.688962587243118E-4</v>
      </c>
      <c r="H41" s="128">
        <f>_xll.qlTenorBasisForwardRate2(H$27,$E41,$F41,InterestRatesTrigger)</f>
        <v>2.6156663294062062E-4</v>
      </c>
      <c r="S41" s="128">
        <f>_xll.qlTenorBasisForwardRate2(S$27,$E41,$F41,InterestRatesTrigger)</f>
        <v>2.8162842570274087E-4</v>
      </c>
      <c r="T41" s="139">
        <f>_xll.qlTenorBasisForwardRate2(T$27,$E41,$F41,InterestRatesTrigger)</f>
        <v>4.4248662403402537E-4</v>
      </c>
      <c r="U41" s="138">
        <f>_xll.qlTenorBasisForwardRate2(U$27,$E41,$F41,InterestRatesTrigger)</f>
        <v>2.651751314085225E-4</v>
      </c>
      <c r="V41" s="128">
        <f>_xll.qlTenorBasisForwardRate2(V$27,$E41,$F41,InterestRatesTrigger)</f>
        <v>2.5474811272528945E-4</v>
      </c>
      <c r="W41" s="128">
        <f>_xll.qlTenorBasisForwardRate2(W$27,$E41,$F41,InterestRatesTrigger)</f>
        <v>2.8570566540008061E-4</v>
      </c>
      <c r="X41" s="139">
        <f>_xll.qlTenorBasisForwardRate2(X$27,$E41,$F41,InterestRatesTrigger)</f>
        <v>4.5805870278836099E-4</v>
      </c>
      <c r="Y41" s="138">
        <f>_xll.qlTenorBasisForwardRate2(Y$27,$E41,$F41,InterestRatesTrigger)</f>
        <v>2.5187586008365977E-4</v>
      </c>
      <c r="Z41" s="128">
        <f>_xll.qlTenorBasisForwardRate2(Z$27,$E41,$F41,InterestRatesTrigger)</f>
        <v>2.6411138770032213E-4</v>
      </c>
      <c r="AA41" s="128">
        <f>_xll.qlTenorBasisForwardRate2(AA$27,$E41,$F41,InterestRatesTrigger)</f>
        <v>2.3973221804155634E-4</v>
      </c>
      <c r="AB41" s="139">
        <f>_xll.qlTenorBasisForwardRate2(AB$27,$E41,$F41,InterestRatesTrigger)</f>
        <v>2.2008651742902406E-4</v>
      </c>
      <c r="AC41" s="139">
        <f>'6MSynthDepo_used'!AA20</f>
        <v>2.3664810563085427E-4</v>
      </c>
      <c r="AD41" s="21"/>
      <c r="BC41" s="178">
        <f>_xll.qlCalendarAdvance(Calendar,BC40,"1d","mf",,Trigger)</f>
        <v>42328</v>
      </c>
      <c r="BD41" s="41">
        <f>_xll.qlDayCounterYearFraction(DayCounter,SettlementDate,BC41,,,Trigger)</f>
        <v>0.1361111111111111</v>
      </c>
      <c r="BE41" s="47">
        <f>_xll.qlPolynomialFunctionValue(BE$1,$BD41,AllTriggers)</f>
        <v>1.7685030309292596E-3</v>
      </c>
      <c r="BF41" s="47">
        <f>_xll.qlPolynomialFunctionValue(BF$1,$BD41,AllTriggers)</f>
        <v>1.7676226102784325E-3</v>
      </c>
      <c r="BG41" s="47">
        <f>_xll.qlPolynomialFunctionValue(BG$1,$BD41,AllTriggers)</f>
        <v>1.7787973833675406E-3</v>
      </c>
      <c r="BH41" s="47">
        <f>_xll.qlPolynomialFunctionValue(BH$1,$BD41,AllTriggers)</f>
        <v>1.8683968691270371E-3</v>
      </c>
      <c r="BI41" s="47">
        <f>_xll.qlPolynomialFunctionValue(BI$1,$BD41,AllTriggers)</f>
        <v>1.7660571539585652E-3</v>
      </c>
      <c r="BJ41" s="47">
        <f>_xll.qlPolynomialFunctionValue(BJ$1,$BD41,AllTriggers)</f>
        <v>1.7653926353503292E-3</v>
      </c>
      <c r="BK41" s="47">
        <f>_xll.qlPolynomialFunctionValue(BK$1,$BD41,AllTriggers)</f>
        <v>1.7825879413489213E-3</v>
      </c>
      <c r="BL41" s="47">
        <f>_xll.qlPolynomialFunctionValue(BL$1,$BD41,AllTriggers)</f>
        <v>1.8783194161002194E-3</v>
      </c>
      <c r="BM41" s="47">
        <f>_xll.qlPolynomialFunctionValue(BM$1,$BD41,AllTriggers)</f>
        <v>1.7552361957697967E-3</v>
      </c>
      <c r="BN41" s="47">
        <f>_xll.qlPolynomialFunctionValue(BN$1,$BD41,AllTriggers)</f>
        <v>1.7624268686828692E-3</v>
      </c>
      <c r="BO41" s="47">
        <f>_xll.qlPolynomialFunctionValue(BO$1,$BD41,AllTriggers)</f>
        <v>1.7444243933342762E-3</v>
      </c>
      <c r="BP41" s="47">
        <f>_xll.qlPolynomialFunctionValue(BP$1,$BD41,AllTriggers)</f>
        <v>1.7308923234769888E-3</v>
      </c>
      <c r="BQ41" s="47">
        <f>_xll.qlPolynomialFunctionValue('6MSynthDepo_used'!$P$18,BD41,AllTriggers)</f>
        <v>1.7505238018554435E-3</v>
      </c>
    </row>
    <row r="42" spans="3:69" x14ac:dyDescent="0.2">
      <c r="C42" s="19">
        <v>0</v>
      </c>
      <c r="D42" s="48" t="s">
        <v>23</v>
      </c>
      <c r="E42" s="177">
        <f>_xll.qlCalendarAdvance(Calendar,SettlementDate,C42&amp;"M","mf",TRUE,Trigger)</f>
        <v>42279</v>
      </c>
      <c r="F42" s="246">
        <f>_xll.qlCalendarAdvance(Calendar,SettlementDate,D42,"mf",TRUE,Trigger)</f>
        <v>42373</v>
      </c>
      <c r="G42" s="138">
        <f>_xll.qlTenorBasisForwardRate2(G$27,$E42,$F42,InterestRatesTrigger)</f>
        <v>3.0503254123761912E-4</v>
      </c>
      <c r="H42" s="128">
        <f>_xll.qlTenorBasisForwardRate2(H$27,$E42,$F42,InterestRatesTrigger)</f>
        <v>3.0185094742027997E-4</v>
      </c>
      <c r="S42" s="128">
        <f>_xll.qlTenorBasisForwardRate2(S$27,$E42,$F42,InterestRatesTrigger)</f>
        <v>3.1554704570301457E-4</v>
      </c>
      <c r="T42" s="139">
        <f>_xll.qlTenorBasisForwardRate2(T$27,$E42,$F42,InterestRatesTrigger)</f>
        <v>4.2536432253003709E-4</v>
      </c>
      <c r="U42" s="138">
        <f>_xll.qlTenorBasisForwardRate2(U$27,$E42,$F42,InterestRatesTrigger)</f>
        <v>3.024370835769119E-4</v>
      </c>
      <c r="V42" s="128">
        <f>_xll.qlTenorBasisForwardRate2(V$27,$E42,$F42,InterestRatesTrigger)</f>
        <v>2.9821700570847989E-4</v>
      </c>
      <c r="W42" s="128">
        <f>_xll.qlTenorBasisForwardRate2(W$27,$E42,$F42,InterestRatesTrigger)</f>
        <v>3.193332862896028E-4</v>
      </c>
      <c r="X42" s="139">
        <f>_xll.qlTenorBasisForwardRate2(X$27,$E42,$F42,InterestRatesTrigger)</f>
        <v>4.3689614199278145E-4</v>
      </c>
      <c r="Y42" s="138">
        <f>_xll.qlTenorBasisForwardRate2(Y$27,$E42,$F42,InterestRatesTrigger)</f>
        <v>2.9139651350682146E-4</v>
      </c>
      <c r="Z42" s="128">
        <f>_xll.qlTenorBasisForwardRate2(Z$27,$E42,$F42,InterestRatesTrigger)</f>
        <v>2.9989098103534522E-4</v>
      </c>
      <c r="AA42" s="128">
        <f>_xll.qlTenorBasisForwardRate2(AA$27,$E42,$F42,InterestRatesTrigger)</f>
        <v>2.8052524881836023E-4</v>
      </c>
      <c r="AB42" s="139">
        <f>_xll.qlTenorBasisForwardRate2(AB$27,$E42,$F42,InterestRatesTrigger)</f>
        <v>2.6556712915631057E-4</v>
      </c>
      <c r="AC42" s="139">
        <f>'6MSynthDepo_used'!AA21</f>
        <v>2.8359412905085087E-4</v>
      </c>
      <c r="AD42" s="21"/>
      <c r="BC42" s="178">
        <f>_xll.qlCalendarAdvance(Calendar,BC41,"1d","mf",,Trigger)</f>
        <v>42331</v>
      </c>
      <c r="BD42" s="41">
        <f>_xll.qlDayCounterYearFraction(DayCounter,SettlementDate,BC42,,,Trigger)</f>
        <v>0.14444444444444443</v>
      </c>
      <c r="BE42" s="47">
        <f>_xll.qlPolynomialFunctionValue(BE$1,$BD42,AllTriggers)</f>
        <v>1.7725561630009459E-3</v>
      </c>
      <c r="BF42" s="47">
        <f>_xll.qlPolynomialFunctionValue(BF$1,$BD42,AllTriggers)</f>
        <v>1.7724572478163326E-3</v>
      </c>
      <c r="BG42" s="47">
        <f>_xll.qlPolynomialFunctionValue(BG$1,$BD42,AllTriggers)</f>
        <v>1.7824359777571484E-3</v>
      </c>
      <c r="BH42" s="47">
        <f>_xll.qlPolynomialFunctionValue(BH$1,$BD42,AllTriggers)</f>
        <v>1.8624455729498661E-3</v>
      </c>
      <c r="BI42" s="47">
        <f>_xll.qlPolynomialFunctionValue(BI$1,$BD42,AllTriggers)</f>
        <v>1.7703206849226949E-3</v>
      </c>
      <c r="BJ42" s="47">
        <f>_xll.qlPolynomialFunctionValue(BJ$1,$BD42,AllTriggers)</f>
        <v>1.7708259689229969E-3</v>
      </c>
      <c r="BK42" s="47">
        <f>_xll.qlPolynomialFunctionValue(BK$1,$BD42,AllTriggers)</f>
        <v>1.78617212488605E-3</v>
      </c>
      <c r="BL42" s="47">
        <f>_xll.qlPolynomialFunctionValue(BL$1,$BD42,AllTriggers)</f>
        <v>1.8716088215186568E-3</v>
      </c>
      <c r="BM42" s="47">
        <f>_xll.qlPolynomialFunctionValue(BM$1,$BD42,AllTriggers)</f>
        <v>1.7599219375773547E-3</v>
      </c>
      <c r="BN42" s="47">
        <f>_xll.qlPolynomialFunctionValue(BN$1,$BD42,AllTriggers)</f>
        <v>1.7664103489301237E-3</v>
      </c>
      <c r="BO42" s="47">
        <f>_xll.qlPolynomialFunctionValue(BO$1,$BD42,AllTriggers)</f>
        <v>1.749348004428218E-3</v>
      </c>
      <c r="BP42" s="47">
        <f>_xll.qlPolynomialFunctionValue(BP$1,$BD42,AllTriggers)</f>
        <v>1.7366953470842462E-3</v>
      </c>
      <c r="BQ42" s="47">
        <f>_xll.qlPolynomialFunctionValue('6MSynthDepo_used'!$P$18,BD42,AllTriggers)</f>
        <v>1.756596933599484E-3</v>
      </c>
    </row>
    <row r="43" spans="3:69" ht="11.25" customHeight="1" x14ac:dyDescent="0.2">
      <c r="C43" s="19">
        <v>0</v>
      </c>
      <c r="D43" s="48" t="s">
        <v>30</v>
      </c>
      <c r="E43" s="177">
        <f>_xll.qlCalendarAdvance(Calendar,SettlementDate,C43&amp;"M","mf",TRUE,Trigger)</f>
        <v>42279</v>
      </c>
      <c r="F43" s="246">
        <f>_xll.qlCalendarAdvance(Calendar,SettlementDate,D43,"mf",TRUE,Trigger)</f>
        <v>42402</v>
      </c>
      <c r="G43" s="138">
        <f>_xll.qlTenorBasisForwardRate2(G$27,$E43,$F43,InterestRatesTrigger)</f>
        <v>2.7255846245722291E-4</v>
      </c>
      <c r="H43" s="128">
        <f>_xll.qlTenorBasisForwardRate2(H$27,$E43,$F43,InterestRatesTrigger)</f>
        <v>2.717196173922683E-4</v>
      </c>
      <c r="S43" s="128">
        <f>_xll.qlTenorBasisForwardRate2(S$27,$E43,$F43,InterestRatesTrigger)</f>
        <v>2.8112384354584937E-4</v>
      </c>
      <c r="T43" s="139">
        <f>_xll.qlTenorBasisForwardRate2(T$27,$E43,$F43,InterestRatesTrigger)</f>
        <v>3.5652815174423735E-4</v>
      </c>
      <c r="U43" s="138">
        <f>_xll.qlTenorBasisForwardRate2(U$27,$E43,$F43,InterestRatesTrigger)</f>
        <v>2.7095231927519209E-4</v>
      </c>
      <c r="V43" s="128">
        <f>_xll.qlTenorBasisForwardRate2(V$27,$E43,$F43,InterestRatesTrigger)</f>
        <v>2.7015573786817667E-4</v>
      </c>
      <c r="W43" s="128">
        <f>_xll.qlTenorBasisForwardRate2(W$27,$E43,$F43,InterestRatesTrigger)</f>
        <v>2.8465428147809085E-4</v>
      </c>
      <c r="X43" s="139">
        <f>_xll.qlTenorBasisForwardRate2(X$27,$E43,$F43,InterestRatesTrigger)</f>
        <v>3.6537337635877693E-4</v>
      </c>
      <c r="Y43" s="138">
        <f>_xll.qlTenorBasisForwardRate2(Y$27,$E43,$F43,InterestRatesTrigger)</f>
        <v>2.6189694035758711E-4</v>
      </c>
      <c r="Z43" s="128">
        <f>_xll.qlTenorBasisForwardRate2(Z$27,$E43,$F43,InterestRatesTrigger)</f>
        <v>2.6773445101520944E-4</v>
      </c>
      <c r="AA43" s="128">
        <f>_xll.qlTenorBasisForwardRate2(AA$27,$E43,$F43,InterestRatesTrigger)</f>
        <v>2.5214404958292874E-4</v>
      </c>
      <c r="AB43" s="139">
        <f>_xll.qlTenorBasisForwardRate2(AB$27,$E43,$F43,InterestRatesTrigger)</f>
        <v>2.406311660921515E-4</v>
      </c>
      <c r="AC43" s="139">
        <f>'6MSynthDepo_used'!AA22</f>
        <v>2.5915671097759681E-4</v>
      </c>
      <c r="AD43" s="21"/>
      <c r="BC43" s="178">
        <f>_xll.qlCalendarAdvance(Calendar,BC42,"1d","mf",,Trigger)</f>
        <v>42332</v>
      </c>
      <c r="BD43" s="41">
        <f>_xll.qlDayCounterYearFraction(DayCounter,SettlementDate,BC43,,,Trigger)</f>
        <v>0.14722222222222223</v>
      </c>
      <c r="BE43" s="47">
        <f>_xll.qlPolynomialFunctionValue(BE$1,$BD43,AllTriggers)</f>
        <v>1.7739072070248414E-3</v>
      </c>
      <c r="BF43" s="47">
        <f>_xll.qlPolynomialFunctionValue(BF$1,$BD43,AllTriggers)</f>
        <v>1.7740597327293576E-3</v>
      </c>
      <c r="BG43" s="47">
        <f>_xll.qlPolynomialFunctionValue(BG$1,$BD43,AllTriggers)</f>
        <v>1.7836488425536842E-3</v>
      </c>
      <c r="BH43" s="47">
        <f>_xll.qlPolynomialFunctionValue(BH$1,$BD43,AllTriggers)</f>
        <v>1.8605344582435877E-3</v>
      </c>
      <c r="BI43" s="47">
        <f>_xll.qlPolynomialFunctionValue(BI$1,$BD43,AllTriggers)</f>
        <v>1.7717418619107379E-3</v>
      </c>
      <c r="BJ43" s="47">
        <f>_xll.qlPolynomialFunctionValue(BJ$1,$BD43,AllTriggers)</f>
        <v>1.7726229507615337E-3</v>
      </c>
      <c r="BK43" s="47">
        <f>_xll.qlPolynomialFunctionValue(BK$1,$BD43,AllTriggers)</f>
        <v>1.7873668527317594E-3</v>
      </c>
      <c r="BL43" s="47">
        <f>_xll.qlPolynomialFunctionValue(BL$1,$BD43,AllTriggers)</f>
        <v>1.8694506190406544E-3</v>
      </c>
      <c r="BM43" s="47">
        <f>_xll.qlPolynomialFunctionValue(BM$1,$BD43,AllTriggers)</f>
        <v>1.7614838515132075E-3</v>
      </c>
      <c r="BN43" s="47">
        <f>_xll.qlPolynomialFunctionValue(BN$1,$BD43,AllTriggers)</f>
        <v>1.767742564077728E-3</v>
      </c>
      <c r="BO43" s="47">
        <f>_xll.qlPolynomialFunctionValue(BO$1,$BD43,AllTriggers)</f>
        <v>1.7509892081261985E-3</v>
      </c>
      <c r="BP43" s="47">
        <f>_xll.qlPolynomialFunctionValue(BP$1,$BD43,AllTriggers)</f>
        <v>1.7386249963271658E-3</v>
      </c>
      <c r="BQ43" s="47">
        <f>_xll.qlPolynomialFunctionValue('6MSynthDepo_used'!$P$18,BD43,AllTriggers)</f>
        <v>1.7586106453012405E-3</v>
      </c>
    </row>
    <row r="44" spans="3:69" x14ac:dyDescent="0.2">
      <c r="C44" s="19">
        <v>0</v>
      </c>
      <c r="D44" s="49" t="s">
        <v>31</v>
      </c>
      <c r="E44" s="181">
        <f>_xll.qlCalendarAdvance(Calendar,SettlementDate,C44&amp;"M","mf",TRUE,Trigger)</f>
        <v>42279</v>
      </c>
      <c r="F44" s="248">
        <f>_xll.qlCalendarAdvance(Calendar,SettlementDate,D44,"mf",TRUE,Trigger)</f>
        <v>42431</v>
      </c>
      <c r="G44" s="142">
        <f>_xll.qlTenorBasisForwardRate2(G$27,$E44,$F44,InterestRatesTrigger)</f>
        <v>2.5616048624066998E-4</v>
      </c>
      <c r="H44" s="115">
        <f>_xll.qlTenorBasisForwardRate2(H$27,$E44,$F44,InterestRatesTrigger)</f>
        <v>2.5644576568599985E-4</v>
      </c>
      <c r="S44" s="115">
        <f>_xll.qlTenorBasisForwardRate2(S$27,$E44,$F44,InterestRatesTrigger)</f>
        <v>2.6277670031885227E-4</v>
      </c>
      <c r="T44" s="143">
        <f>_xll.qlTenorBasisForwardRate2(T$27,$E44,$F44,InterestRatesTrigger)</f>
        <v>3.13538833852831E-4</v>
      </c>
      <c r="U44" s="142">
        <f>_xll.qlTenorBasisForwardRate2(U$27,$E44,$F44,InterestRatesTrigger)</f>
        <v>2.5554368331930018E-4</v>
      </c>
      <c r="V44" s="115">
        <f>_xll.qlTenorBasisForwardRate2(V$27,$E44,$F44,InterestRatesTrigger)</f>
        <v>2.5627030812120689E-4</v>
      </c>
      <c r="W44" s="115">
        <f>_xll.qlTenorBasisForwardRate2(W$27,$E44,$F44,InterestRatesTrigger)</f>
        <v>2.6605133255054375E-4</v>
      </c>
      <c r="X44" s="143">
        <f>_xll.qlTenorBasisForwardRate2(X$27,$E44,$F44,InterestRatesTrigger)</f>
        <v>3.2050599533004956E-4</v>
      </c>
      <c r="Y44" s="142">
        <f>_xll.qlTenorBasisForwardRate2(Y$27,$E44,$F44,InterestRatesTrigger)</f>
        <v>2.4847353589862423E-4</v>
      </c>
      <c r="Z44" s="115">
        <f>_xll.qlTenorBasisForwardRate2(Z$27,$E44,$F44,InterestRatesTrigger)</f>
        <v>2.5224426119115729E-4</v>
      </c>
      <c r="AA44" s="115">
        <f>_xll.qlTenorBasisForwardRate2(AA$27,$E44,$F44,InterestRatesTrigger)</f>
        <v>2.398390301014262E-4</v>
      </c>
      <c r="AB44" s="143">
        <f>_xll.qlTenorBasisForwardRate2(AB$27,$E44,$F44,InterestRatesTrigger)</f>
        <v>2.3114039190904427E-4</v>
      </c>
      <c r="AC44" s="143">
        <f>'6MSynthDepo_used'!AA23</f>
        <v>2.4951153325826844E-4</v>
      </c>
      <c r="AD44" s="132" t="str">
        <f>"Fixing "&amp;DAY(_xll.qlInterestRateIndexFixingDate($D$25,'6MSynthDepo_used'!G4))&amp;"/"&amp;MONTH(_xll.qlInterestRateIndexFixingDate($D$25,'6MSynthDepo_used'!G4))</f>
        <v>Fixing 30/9</v>
      </c>
      <c r="BC44" s="178">
        <f>_xll.qlCalendarAdvance(Calendar,BC43,"1d","mf",,Trigger)</f>
        <v>42333</v>
      </c>
      <c r="BD44" s="41">
        <f>_xll.qlDayCounterYearFraction(DayCounter,SettlementDate,BC44,,,Trigger)</f>
        <v>0.15</v>
      </c>
      <c r="BE44" s="47">
        <f>_xll.qlPolynomialFunctionValue(BE$1,$BD44,AllTriggers)</f>
        <v>1.7752582510487367E-3</v>
      </c>
      <c r="BF44" s="47">
        <f>_xll.qlPolynomialFunctionValue(BF$1,$BD44,AllTriggers)</f>
        <v>1.7756576871759118E-3</v>
      </c>
      <c r="BG44" s="47">
        <f>_xll.qlPolynomialFunctionValue(BG$1,$BD44,AllTriggers)</f>
        <v>1.7848617073502203E-3</v>
      </c>
      <c r="BH44" s="47">
        <f>_xll.qlPolynomialFunctionValue(BH$1,$BD44,AllTriggers)</f>
        <v>1.8586596688803651E-3</v>
      </c>
      <c r="BI44" s="47">
        <f>_xll.qlPolynomialFunctionValue(BI$1,$BD44,AllTriggers)</f>
        <v>1.7731630388987812E-3</v>
      </c>
      <c r="BJ44" s="47">
        <f>_xll.qlPolynomialFunctionValue(BJ$1,$BD44,AllTriggers)</f>
        <v>1.7744128679238944E-3</v>
      </c>
      <c r="BK44" s="47">
        <f>_xll.qlPolynomialFunctionValue(BK$1,$BD44,AllTriggers)</f>
        <v>1.7885615805774691E-3</v>
      </c>
      <c r="BL44" s="47">
        <f>_xll.qlPolynomialFunctionValue(BL$1,$BD44,AllTriggers)</f>
        <v>1.8673317477539112E-3</v>
      </c>
      <c r="BM44" s="47">
        <f>_xll.qlPolynomialFunctionValue(BM$1,$BD44,AllTriggers)</f>
        <v>1.7630457654490602E-3</v>
      </c>
      <c r="BN44" s="47">
        <f>_xll.qlPolynomialFunctionValue(BN$1,$BD44,AllTriggers)</f>
        <v>1.7690769734245921E-3</v>
      </c>
      <c r="BO44" s="47">
        <f>_xll.qlPolynomialFunctionValue(BO$1,$BD44,AllTriggers)</f>
        <v>1.7526304118241792E-3</v>
      </c>
      <c r="BP44" s="47">
        <f>_xll.qlPolynomialFunctionValue(BP$1,$BD44,AllTriggers)</f>
        <v>1.7405522995903354E-3</v>
      </c>
      <c r="BQ44" s="47">
        <f>_xll.qlPolynomialFunctionValue('6MSynthDepo_used'!$P$18,BD44,AllTriggers)</f>
        <v>1.7606190477350053E-3</v>
      </c>
    </row>
    <row r="45" spans="3:69" ht="12" thickBot="1" x14ac:dyDescent="0.25">
      <c r="C45" s="19">
        <v>0</v>
      </c>
      <c r="D45" s="127" t="s">
        <v>24</v>
      </c>
      <c r="E45" s="183">
        <f>_xll.qlCalendarAdvance(Calendar,SettlementDate,C45&amp;"M","mf",TRUE,Trigger)</f>
        <v>42279</v>
      </c>
      <c r="F45" s="249">
        <f>_xll.qlCalendarAdvance(Calendar,SettlementDate,D45,"mf",TRUE,Trigger)</f>
        <v>42464</v>
      </c>
      <c r="G45" s="144">
        <f>_xll.qlTenorBasisForwardRate2(G$27,$E45,$F45,InterestRatesTrigger)</f>
        <v>2.4247207942706064E-4</v>
      </c>
      <c r="H45" s="145">
        <f>_xll.qlTenorBasisForwardRate(H$27,$E45,InterestRatesTrigger)</f>
        <v>2.4255412431167654E-4</v>
      </c>
      <c r="S45" s="145">
        <f>_xll.qlTenorBasisForwardRate(S$27,$E45,InterestRatesTrigger)</f>
        <v>2.4687020117061586E-4</v>
      </c>
      <c r="T45" s="146">
        <f>_xll.qlTenorBasisForwardRate(T$27,$E45,InterestRatesTrigger)</f>
        <v>2.8147691139501774E-4</v>
      </c>
      <c r="U45" s="145">
        <f>_xll.qlTenorBasisForwardRate(U$27,$E45,InterestRatesTrigger)</f>
        <v>2.4298111373236236E-4</v>
      </c>
      <c r="V45" s="145">
        <f>_xll.qlTenorBasisForwardRate(V$27,$E45,InterestRatesTrigger)</f>
        <v>2.431294067163089E-4</v>
      </c>
      <c r="W45" s="145">
        <f>_xll.qlTenorBasisForwardRate(W$27,$E45,InterestRatesTrigger)</f>
        <v>2.4985373164928881E-4</v>
      </c>
      <c r="X45" s="146">
        <f>_xll.qlTenorBasisForwardRate(X$27,$E45,InterestRatesTrigger)</f>
        <v>2.8729050922216009E-4</v>
      </c>
      <c r="Y45" s="144">
        <f>_xll.qlTenorBasisTenorForwardRate(Y$27,$E45,InterestRatesTrigger)</f>
        <v>2.6570622023082088E-4</v>
      </c>
      <c r="Z45" s="145">
        <f>_xll.qlTenorBasisTenorForwardRate(Z$27,$E45,InterestRatesTrigger)</f>
        <v>2.6777593536194072E-4</v>
      </c>
      <c r="AA45" s="145">
        <f>_xll.qlTenorBasisTenorForwardRate(AA$27,$E45,InterestRatesTrigger)</f>
        <v>2.5834352244786065E-4</v>
      </c>
      <c r="AB45" s="146">
        <f>_xll.qlTenorBasisTenorForwardRate(AB$27,$E45,InterestRatesTrigger)</f>
        <v>2.5215095424917016E-4</v>
      </c>
      <c r="AC45" s="146">
        <f>'6MSynthDepo_used'!AA24</f>
        <v>2.4204916456760375E-4</v>
      </c>
      <c r="AD45" s="144">
        <f>'6MSynthDepo_used'!$I$4</f>
        <v>2.9E-4</v>
      </c>
      <c r="BC45" s="178">
        <f>_xll.qlCalendarAdvance(Calendar,BC44,"1d","mf",,Trigger)</f>
        <v>42334</v>
      </c>
      <c r="BD45" s="41">
        <f>_xll.qlDayCounterYearFraction(DayCounter,SettlementDate,BC45,,,Trigger)</f>
        <v>0.15277777777777779</v>
      </c>
      <c r="BE45" s="47">
        <f>_xll.qlPolynomialFunctionValue(BE$1,$BD45,AllTriggers)</f>
        <v>1.7766092950726323E-3</v>
      </c>
      <c r="BF45" s="47">
        <f>_xll.qlPolynomialFunctionValue(BF$1,$BD45,AllTriggers)</f>
        <v>1.7772511111559951E-3</v>
      </c>
      <c r="BG45" s="47">
        <f>_xll.qlPolynomialFunctionValue(BG$1,$BD45,AllTriggers)</f>
        <v>1.7860745721467563E-3</v>
      </c>
      <c r="BH45" s="47">
        <f>_xll.qlPolynomialFunctionValue(BH$1,$BD45,AllTriggers)</f>
        <v>1.8568212048601987E-3</v>
      </c>
      <c r="BI45" s="47">
        <f>_xll.qlPolynomialFunctionValue(BI$1,$BD45,AllTriggers)</f>
        <v>1.7745842158868245E-3</v>
      </c>
      <c r="BJ45" s="47">
        <f>_xll.qlPolynomialFunctionValue(BJ$1,$BD45,AllTriggers)</f>
        <v>1.7761957204100785E-3</v>
      </c>
      <c r="BK45" s="47">
        <f>_xll.qlPolynomialFunctionValue(BK$1,$BD45,AllTriggers)</f>
        <v>1.7897563084231787E-3</v>
      </c>
      <c r="BL45" s="47">
        <f>_xll.qlPolynomialFunctionValue(BL$1,$BD45,AllTriggers)</f>
        <v>1.8652522076584271E-3</v>
      </c>
      <c r="BM45" s="47">
        <f>_xll.qlPolynomialFunctionValue(BM$1,$BD45,AllTriggers)</f>
        <v>1.764607679384913E-3</v>
      </c>
      <c r="BN45" s="47">
        <f>_xll.qlPolynomialFunctionValue(BN$1,$BD45,AllTriggers)</f>
        <v>1.770413576970716E-3</v>
      </c>
      <c r="BO45" s="47">
        <f>_xll.qlPolynomialFunctionValue(BO$1,$BD45,AllTriggers)</f>
        <v>1.7542716155221597E-3</v>
      </c>
      <c r="BP45" s="47">
        <f>_xll.qlPolynomialFunctionValue(BP$1,$BD45,AllTriggers)</f>
        <v>1.7424772568737556E-3</v>
      </c>
      <c r="BQ45" s="47">
        <f>_xll.qlPolynomialFunctionValue('6MSynthDepo_used'!$P$18,BD45,AllTriggers)</f>
        <v>1.7626221550038617E-3</v>
      </c>
    </row>
    <row r="46" spans="3:69" x14ac:dyDescent="0.2">
      <c r="C46" s="19">
        <v>1</v>
      </c>
      <c r="D46" s="45" t="str">
        <f t="shared" ref="D46:D51" si="14">C46+SUBSTITUTE($D$24,"M","")&amp;"M"</f>
        <v>7M</v>
      </c>
      <c r="E46" s="175">
        <f>_xll.qlCalendarAdvance(Calendar,SettlementDate,C46&amp;"M","mf",TRUE,Trigger)</f>
        <v>42310</v>
      </c>
      <c r="F46" s="250">
        <f>_xll.qlInterestRateIndexMaturity($D$25,E46,Trigger)</f>
        <v>42492</v>
      </c>
      <c r="G46" s="153">
        <f>_xll.qlTenorBasisForwardRate2(G$27,$E46,$F46,InterestRatesTrigger)</f>
        <v>2.1951846148354588E-4</v>
      </c>
      <c r="H46" s="151">
        <f>_xll.qlTenorBasisTenorForwardRate(H$27,$E46,InterestRatesTrigger)</f>
        <v>2.494556808767031E-4</v>
      </c>
      <c r="S46" s="151">
        <f>_xll.qlTenorBasisTenorForwardRate(S$27,$E46,InterestRatesTrigger)</f>
        <v>2.4948494782612825E-4</v>
      </c>
      <c r="T46" s="152">
        <f>_xll.qlTenorBasisTenorForwardRate(T$27,$E46,InterestRatesTrigger)</f>
        <v>2.497196106329173E-4</v>
      </c>
      <c r="U46" s="151">
        <f>_xll.qlTenorBasisTenorForwardRate(U$27,$E46,InterestRatesTrigger)</f>
        <v>2.5217551534284467E-4</v>
      </c>
      <c r="V46" s="151">
        <f>_xll.qlTenorBasisTenorForwardRate(V$27,$E46,InterestRatesTrigger)</f>
        <v>2.5172346981057318E-4</v>
      </c>
      <c r="W46" s="151">
        <f>_xll.qlTenorBasisTenorForwardRate(W$27,$E46,InterestRatesTrigger)</f>
        <v>2.5193200496376081E-4</v>
      </c>
      <c r="X46" s="152">
        <f>_xll.qlTenorBasisTenorForwardRate(X$27,$E46,InterestRatesTrigger)</f>
        <v>2.5309298330023974E-4</v>
      </c>
      <c r="Y46" s="153">
        <f>_xll.qlTenorBasisTenorForwardRate(Y$27,$E46,InterestRatesTrigger)</f>
        <v>2.5177969476065194E-4</v>
      </c>
      <c r="Z46" s="151">
        <f>_xll.qlTenorBasisTenorForwardRate(Z$27,$E46,InterestRatesTrigger)</f>
        <v>2.5053545183744948E-4</v>
      </c>
      <c r="AA46" s="151">
        <f>_xll.qlTenorBasisTenorForwardRate(AA$27,$E46,InterestRatesTrigger)</f>
        <v>2.4684130860877789E-4</v>
      </c>
      <c r="AB46" s="151">
        <f>_xll.qlTenorBasisTenorForwardRate(AB$27,$E46,InterestRatesTrigger)</f>
        <v>2.4550232493609331E-4</v>
      </c>
      <c r="AC46" s="152">
        <f>'6MSynthDepo_used'!AA25</f>
        <v>2.6199138103101625E-4</v>
      </c>
      <c r="AD46" s="200">
        <f>'6MSynthDepo_used'!I5</f>
        <v>2.5000000000000001E-4</v>
      </c>
      <c r="BC46" s="178">
        <f>_xll.qlCalendarAdvance(Calendar,BC45,"1d","mf",,Trigger)</f>
        <v>42335</v>
      </c>
      <c r="BD46" s="41">
        <f>_xll.qlDayCounterYearFraction(DayCounter,SettlementDate,BC46,,,Trigger)</f>
        <v>0.15555555555555556</v>
      </c>
      <c r="BE46" s="47">
        <f>_xll.qlPolynomialFunctionValue(BE$1,$BD46,AllTriggers)</f>
        <v>1.7779603390965276E-3</v>
      </c>
      <c r="BF46" s="47">
        <f>_xll.qlPolynomialFunctionValue(BF$1,$BD46,AllTriggers)</f>
        <v>1.7788400046696076E-3</v>
      </c>
      <c r="BG46" s="47">
        <f>_xll.qlPolynomialFunctionValue(BG$1,$BD46,AllTriggers)</f>
        <v>1.7872874369432921E-3</v>
      </c>
      <c r="BH46" s="47">
        <f>_xll.qlPolynomialFunctionValue(BH$1,$BD46,AllTriggers)</f>
        <v>1.8550190661830882E-3</v>
      </c>
      <c r="BI46" s="47">
        <f>_xll.qlPolynomialFunctionValue(BI$1,$BD46,AllTriggers)</f>
        <v>1.7760053928748676E-3</v>
      </c>
      <c r="BJ46" s="47">
        <f>_xll.qlPolynomialFunctionValue(BJ$1,$BD46,AllTriggers)</f>
        <v>1.7779715082200866E-3</v>
      </c>
      <c r="BK46" s="47">
        <f>_xll.qlPolynomialFunctionValue(BK$1,$BD46,AllTriggers)</f>
        <v>1.7909510362688881E-3</v>
      </c>
      <c r="BL46" s="47">
        <f>_xll.qlPolynomialFunctionValue(BL$1,$BD46,AllTriggers)</f>
        <v>1.8632119987542024E-3</v>
      </c>
      <c r="BM46" s="47">
        <f>_xll.qlPolynomialFunctionValue(BM$1,$BD46,AllTriggers)</f>
        <v>1.7661695933207657E-3</v>
      </c>
      <c r="BN46" s="47">
        <f>_xll.qlPolynomialFunctionValue(BN$1,$BD46,AllTriggers)</f>
        <v>1.7717523747161001E-3</v>
      </c>
      <c r="BO46" s="47">
        <f>_xll.qlPolynomialFunctionValue(BO$1,$BD46,AllTriggers)</f>
        <v>1.7559128192201402E-3</v>
      </c>
      <c r="BP46" s="47">
        <f>_xll.qlPolynomialFunctionValue(BP$1,$BD46,AllTriggers)</f>
        <v>1.7443998681774258E-3</v>
      </c>
      <c r="BQ46" s="47">
        <f>_xll.qlPolynomialFunctionValue('6MSynthDepo_used'!$P$18,BD46,AllTriggers)</f>
        <v>1.7646199812108914E-3</v>
      </c>
    </row>
    <row r="47" spans="3:69" x14ac:dyDescent="0.2">
      <c r="C47" s="19">
        <v>2</v>
      </c>
      <c r="D47" s="48" t="str">
        <f t="shared" si="14"/>
        <v>8M</v>
      </c>
      <c r="E47" s="177">
        <f>_xll.qlCalendarAdvance(Calendar,SettlementDate,C47&amp;"M","mf",TRUE,Trigger)</f>
        <v>42340</v>
      </c>
      <c r="F47" s="251">
        <f>_xll.qlInterestRateIndexMaturity($D$25,E47,Trigger)</f>
        <v>42523</v>
      </c>
      <c r="G47" s="155">
        <f>_xll.qlTenorBasisForwardRate2(G$27,$E47,$F47,InterestRatesTrigger)</f>
        <v>2.0316554607706941E-4</v>
      </c>
      <c r="H47" s="47">
        <f>_xll.qlTenorBasisTenorForwardRate(H$27,$E47,InterestRatesTrigger)</f>
        <v>2.2904171451230537E-4</v>
      </c>
      <c r="S47" s="47">
        <f>_xll.qlTenorBasisTenorForwardRate(S$27,$E47,InterestRatesTrigger)</f>
        <v>2.2898651023851055E-4</v>
      </c>
      <c r="T47" s="154">
        <f>_xll.qlTenorBasisTenorForwardRate(T$27,$E47,InterestRatesTrigger)</f>
        <v>2.2854388160487276E-4</v>
      </c>
      <c r="U47" s="47">
        <f>_xll.qlTenorBasisTenorForwardRate(U$27,$E47,InterestRatesTrigger)</f>
        <v>2.3784083575051048E-4</v>
      </c>
      <c r="V47" s="47">
        <f>_xll.qlTenorBasisTenorForwardRate(V$27,$E47,InterestRatesTrigger)</f>
        <v>2.3066303586590019E-4</v>
      </c>
      <c r="W47" s="47">
        <f>_xll.qlTenorBasisTenorForwardRate(W$27,$E47,InterestRatesTrigger)</f>
        <v>2.3089691239278737E-4</v>
      </c>
      <c r="X47" s="154">
        <f>_xll.qlTenorBasisTenorForwardRate(X$27,$E47,InterestRatesTrigger)</f>
        <v>2.3219897382933908E-4</v>
      </c>
      <c r="Y47" s="155">
        <f>_xll.qlTenorBasisTenorForwardRate(Y$27,$E47,InterestRatesTrigger)</f>
        <v>2.4160928650076392E-4</v>
      </c>
      <c r="Z47" s="47">
        <f>_xll.qlTenorBasisTenorForwardRate(Z$27,$E47,InterestRatesTrigger)</f>
        <v>2.3911105119799221E-4</v>
      </c>
      <c r="AA47" s="47">
        <f>_xll.qlTenorBasisTenorForwardRate(AA$27,$E47,InterestRatesTrigger)</f>
        <v>2.3901700837897352E-4</v>
      </c>
      <c r="AB47" s="47">
        <f>_xll.qlTenorBasisTenorForwardRate(AB$27,$E47,InterestRatesTrigger)</f>
        <v>2.402868778863072E-4</v>
      </c>
      <c r="AC47" s="154">
        <f>'6MSynthDepo_used'!AA26</f>
        <v>2.5389106629852506E-4</v>
      </c>
      <c r="AD47" s="200">
        <f>'6MSynthDepo_used'!I6</f>
        <v>2.3000000000000001E-4</v>
      </c>
      <c r="BC47" s="178">
        <f>_xll.qlCalendarAdvance(Calendar,BC46,"1d","mf",,Trigger)</f>
        <v>42338</v>
      </c>
      <c r="BD47" s="41">
        <f>_xll.qlDayCounterYearFraction(DayCounter,SettlementDate,BC47,,,Trigger)</f>
        <v>0.16388888888888889</v>
      </c>
      <c r="BE47" s="47">
        <f>_xll.qlPolynomialFunctionValue(BE$1,$BD47,AllTriggers)</f>
        <v>1.7820134711682139E-3</v>
      </c>
      <c r="BF47" s="47">
        <f>_xll.qlPolynomialFunctionValue(BF$1,$BD47,AllTriggers)</f>
        <v>1.7835795024116208E-3</v>
      </c>
      <c r="BG47" s="47">
        <f>_xll.qlPolynomialFunctionValue(BG$1,$BD47,AllTriggers)</f>
        <v>1.7909260313329E-3</v>
      </c>
      <c r="BH47" s="47">
        <f>_xll.qlPolynomialFunctionValue(BH$1,$BD47,AllTriggers)</f>
        <v>1.849830602210093E-3</v>
      </c>
      <c r="BI47" s="47">
        <f>_xll.qlPolynomialFunctionValue(BI$1,$BD47,AllTriggers)</f>
        <v>1.7802689238389973E-3</v>
      </c>
      <c r="BJ47" s="47">
        <f>_xll.qlPolynomialFunctionValue(BJ$1,$BD47,AllTriggers)</f>
        <v>1.7832564835930534E-3</v>
      </c>
      <c r="BK47" s="47">
        <f>_xll.qlPolynomialFunctionValue(BK$1,$BD47,AllTriggers)</f>
        <v>1.7945352198060168E-3</v>
      </c>
      <c r="BL47" s="47">
        <f>_xll.qlPolynomialFunctionValue(BL$1,$BD47,AllTriggers)</f>
        <v>1.8573273591890832E-3</v>
      </c>
      <c r="BM47" s="47">
        <f>_xll.qlPolynomialFunctionValue(BM$1,$BD47,AllTriggers)</f>
        <v>1.770855335128324E-3</v>
      </c>
      <c r="BN47" s="47">
        <f>_xll.qlPolynomialFunctionValue(BN$1,$BD47,AllTriggers)</f>
        <v>1.7757819331478105E-3</v>
      </c>
      <c r="BO47" s="47">
        <f>_xll.qlPolynomialFunctionValue(BO$1,$BD47,AllTriggers)</f>
        <v>1.7608364303140819E-3</v>
      </c>
      <c r="BP47" s="47">
        <f>_xll.qlPolynomialFunctionValue(BP$1,$BD47,AllTriggers)</f>
        <v>1.7501536262099372E-3</v>
      </c>
      <c r="BQ47" s="47">
        <f>_xll.qlPolynomialFunctionValue('6MSynthDepo_used'!$P$18,BD47,AllTriggers)</f>
        <v>1.7705819144918469E-3</v>
      </c>
    </row>
    <row r="48" spans="3:69" x14ac:dyDescent="0.2">
      <c r="C48" s="19">
        <v>3</v>
      </c>
      <c r="D48" s="48" t="str">
        <f t="shared" si="14"/>
        <v>9M</v>
      </c>
      <c r="E48" s="177">
        <f>_xll.qlCalendarAdvance(Calendar,SettlementDate,C48&amp;"M","mf",TRUE,Trigger)</f>
        <v>42373</v>
      </c>
      <c r="F48" s="251">
        <f>_xll.qlInterestRateIndexMaturity($D$25,E48,Trigger)</f>
        <v>42555</v>
      </c>
      <c r="G48" s="155">
        <f>_xll.qlTenorBasisForwardRate2(G$27,$E48,$F48,InterestRatesTrigger)</f>
        <v>1.5801834947833974E-4</v>
      </c>
      <c r="H48" s="47">
        <f>_xll.qlTenorBasisTenorForwardRate(H$27,$E48,InterestRatesTrigger)</f>
        <v>1.7624487897675324E-4</v>
      </c>
      <c r="S48" s="47">
        <f>_xll.qlTenorBasisTenorForwardRate(S$27,$E48,InterestRatesTrigger)</f>
        <v>1.8067803478544024E-4</v>
      </c>
      <c r="T48" s="154">
        <f>_xll.qlTenorBasisTenorForwardRate(T$27,$E48,InterestRatesTrigger)</f>
        <v>2.1622313960169043E-4</v>
      </c>
      <c r="U48" s="47">
        <f>_xll.qlTenorBasisTenorForwardRate(U$27,$E48,InterestRatesTrigger)</f>
        <v>1.9631249409225184E-4</v>
      </c>
      <c r="V48" s="47">
        <f>_xll.qlTenorBasisTenorForwardRate(V$27,$E48,InterestRatesTrigger)</f>
        <v>1.7459245357209405E-4</v>
      </c>
      <c r="W48" s="47">
        <f>_xll.qlTenorBasisTenorForwardRate(W$27,$E48,InterestRatesTrigger)</f>
        <v>1.8199811645802579E-4</v>
      </c>
      <c r="X48" s="154">
        <f>_xll.qlTenorBasisTenorForwardRate(X$27,$E48,InterestRatesTrigger)</f>
        <v>2.2322768397148415E-4</v>
      </c>
      <c r="Y48" s="155">
        <f>_xll.qlTenorBasisTenorForwardRate(Y$27,$E48,InterestRatesTrigger)</f>
        <v>2.0466164330819607E-4</v>
      </c>
      <c r="Z48" s="47">
        <f>_xll.qlTenorBasisTenorForwardRate(Z$27,$E48,InterestRatesTrigger)</f>
        <v>2.0300282493676525E-4</v>
      </c>
      <c r="AA48" s="47">
        <f>_xll.qlTenorBasisTenorForwardRate(AA$27,$E48,InterestRatesTrigger)</f>
        <v>2.0465008401949754E-4</v>
      </c>
      <c r="AB48" s="47">
        <f>_xll.qlTenorBasisTenorForwardRate(AB$27,$E48,InterestRatesTrigger)</f>
        <v>2.0641740067480776E-4</v>
      </c>
      <c r="AC48" s="154">
        <f>'6MSynthDepo_used'!AA27</f>
        <v>2.1528711660001912E-4</v>
      </c>
      <c r="AD48" s="200">
        <f>'6MSynthDepo_used'!I7</f>
        <v>2.1999999999999998E-4</v>
      </c>
      <c r="BC48" s="178">
        <f>_xll.qlCalendarAdvance(Calendar,BC47,"1d","mf",,Trigger)</f>
        <v>42339</v>
      </c>
      <c r="BD48" s="41">
        <f>_xll.qlDayCounterYearFraction(DayCounter,SettlementDate,BC48,,,Trigger)</f>
        <v>0.16666666666666666</v>
      </c>
      <c r="BE48" s="47">
        <f>_xll.qlPolynomialFunctionValue(BE$1,$BD48,AllTriggers)</f>
        <v>1.7833645151921092E-3</v>
      </c>
      <c r="BF48" s="47">
        <f>_xll.qlPolynomialFunctionValue(BF$1,$BD48,AllTriggers)</f>
        <v>1.78515027405935E-3</v>
      </c>
      <c r="BG48" s="47">
        <f>_xll.qlPolynomialFunctionValue(BG$1,$BD48,AllTriggers)</f>
        <v>1.7921388961294358E-3</v>
      </c>
      <c r="BH48" s="47">
        <f>_xll.qlPolynomialFunctionValue(BH$1,$BD48,AllTriggers)</f>
        <v>1.8481737649052065E-3</v>
      </c>
      <c r="BI48" s="47">
        <f>_xll.qlPolynomialFunctionValue(BI$1,$BD48,AllTriggers)</f>
        <v>1.7816901008270403E-3</v>
      </c>
      <c r="BJ48" s="47">
        <f>_xll.qlPolynomialFunctionValue(BJ$1,$BD48,AllTriggers)</f>
        <v>1.7850040126983567E-3</v>
      </c>
      <c r="BK48" s="47">
        <f>_xll.qlPolynomialFunctionValue(BK$1,$BD48,AllTriggers)</f>
        <v>1.7957299476517264E-3</v>
      </c>
      <c r="BL48" s="47">
        <f>_xll.qlPolynomialFunctionValue(BL$1,$BD48,AllTriggers)</f>
        <v>1.8554444750498954E-3</v>
      </c>
      <c r="BM48" s="47">
        <f>_xll.qlPolynomialFunctionValue(BM$1,$BD48,AllTriggers)</f>
        <v>1.7724172490641767E-3</v>
      </c>
      <c r="BN48" s="47">
        <f>_xll.qlPolynomialFunctionValue(BN$1,$BD48,AllTriggers)</f>
        <v>1.7771295076902335E-3</v>
      </c>
      <c r="BO48" s="47">
        <f>_xll.qlPolynomialFunctionValue(BO$1,$BD48,AllTriggers)</f>
        <v>1.7624776340120624E-3</v>
      </c>
      <c r="BP48" s="47">
        <f>_xll.qlPolynomialFunctionValue(BP$1,$BD48,AllTriggers)</f>
        <v>1.752066853594608E-3</v>
      </c>
      <c r="BQ48" s="47">
        <f>_xll.qlPolynomialFunctionValue('6MSynthDepo_used'!$P$18,BD48,AllTriggers)</f>
        <v>1.7725587574823956E-3</v>
      </c>
    </row>
    <row r="49" spans="3:69" x14ac:dyDescent="0.2">
      <c r="C49" s="19">
        <v>4</v>
      </c>
      <c r="D49" s="48" t="str">
        <f t="shared" si="14"/>
        <v>10M</v>
      </c>
      <c r="E49" s="177">
        <f>_xll.qlCalendarAdvance(Calendar,SettlementDate,C49&amp;"M","mf",TRUE,Trigger)</f>
        <v>42402</v>
      </c>
      <c r="F49" s="251">
        <f>_xll.qlInterestRateIndexMaturity($D$25,E49,Trigger)</f>
        <v>42584</v>
      </c>
      <c r="G49" s="155">
        <f>_xll.qlTenorBasisForwardRate2(G$27,$E49,$F49,InterestRatesTrigger)</f>
        <v>1.5090513967210936E-4</v>
      </c>
      <c r="H49" s="47">
        <f>_xll.qlTenorBasisTenorForwardRate(H$27,$E49,InterestRatesTrigger)</f>
        <v>1.5784373437762876E-4</v>
      </c>
      <c r="S49" s="47">
        <f>_xll.qlTenorBasisTenorForwardRate(S$27,$E49,InterestRatesTrigger)</f>
        <v>1.7018327425763848E-4</v>
      </c>
      <c r="T49" s="154">
        <f>_xll.qlTenorBasisTenorForwardRate(T$27,$E49,InterestRatesTrigger)</f>
        <v>2.691218763161789E-4</v>
      </c>
      <c r="U49" s="47">
        <f>_xll.qlTenorBasisTenorForwardRate(U$27,$E49,InterestRatesTrigger)</f>
        <v>1.9177603295989052E-4</v>
      </c>
      <c r="V49" s="47">
        <f>_xll.qlTenorBasisTenorForwardRate(V$27,$E49,InterestRatesTrigger)</f>
        <v>1.5109811589052451E-4</v>
      </c>
      <c r="W49" s="47">
        <f>_xll.qlTenorBasisTenorForwardRate(W$27,$E49,InterestRatesTrigger)</f>
        <v>1.7098458944631392E-4</v>
      </c>
      <c r="X49" s="154">
        <f>_xll.qlTenorBasisTenorForwardRate(X$27,$E49,InterestRatesTrigger)</f>
        <v>2.816986087988587E-4</v>
      </c>
      <c r="Y49" s="155">
        <f>_xll.qlTenorBasisTenorForwardRate(Y$27,$E49,InterestRatesTrigger)</f>
        <v>2.0415064446386677E-4</v>
      </c>
      <c r="Z49" s="47">
        <f>_xll.qlTenorBasisTenorForwardRate(Z$27,$E49,InterestRatesTrigger)</f>
        <v>2.0514840738364358E-4</v>
      </c>
      <c r="AA49" s="47">
        <f>_xll.qlTenorBasisTenorForwardRate(AA$27,$E49,InterestRatesTrigger)</f>
        <v>2.0640698960424871E-4</v>
      </c>
      <c r="AB49" s="47">
        <f>_xll.qlTenorBasisTenorForwardRate(AB$27,$E49,InterestRatesTrigger)</f>
        <v>2.0655980702529862E-4</v>
      </c>
      <c r="AC49" s="154">
        <f>'6MSynthDepo_used'!AA28</f>
        <v>2.1029186223295543E-4</v>
      </c>
      <c r="AD49" s="200">
        <f>'6MSynthDepo_used'!I8</f>
        <v>2.0999999999999998E-4</v>
      </c>
      <c r="BC49" s="178">
        <f>_xll.qlCalendarAdvance(Calendar,BC48,"1d","mf",,Trigger)</f>
        <v>42340</v>
      </c>
      <c r="BD49" s="41">
        <f>_xll.qlDayCounterYearFraction(DayCounter,SettlementDate,BC49,,,Trigger)</f>
        <v>0.16944444444444445</v>
      </c>
      <c r="BE49" s="47">
        <f>_xll.qlPolynomialFunctionValue(BE$1,$BD49,AllTriggers)</f>
        <v>1.7847155592160048E-3</v>
      </c>
      <c r="BF49" s="47">
        <f>_xll.qlPolynomialFunctionValue(BF$1,$BD49,AllTriggers)</f>
        <v>1.7867165152406087E-3</v>
      </c>
      <c r="BG49" s="47">
        <f>_xll.qlPolynomialFunctionValue(BG$1,$BD49,AllTriggers)</f>
        <v>1.7933517609259719E-3</v>
      </c>
      <c r="BH49" s="47">
        <f>_xll.qlPolynomialFunctionValue(BH$1,$BD49,AllTriggers)</f>
        <v>1.8465532529433758E-3</v>
      </c>
      <c r="BI49" s="47">
        <f>_xll.qlPolynomialFunctionValue(BI$1,$BD49,AllTriggers)</f>
        <v>1.7831112778150836E-3</v>
      </c>
      <c r="BJ49" s="47">
        <f>_xll.qlPolynomialFunctionValue(BJ$1,$BD49,AllTriggers)</f>
        <v>1.7867444771274836E-3</v>
      </c>
      <c r="BK49" s="47">
        <f>_xll.qlPolynomialFunctionValue(BK$1,$BD49,AllTriggers)</f>
        <v>1.7969246754974361E-3</v>
      </c>
      <c r="BL49" s="47">
        <f>_xll.qlPolynomialFunctionValue(BL$1,$BD49,AllTriggers)</f>
        <v>1.8536009221019666E-3</v>
      </c>
      <c r="BM49" s="47">
        <f>_xll.qlPolynomialFunctionValue(BM$1,$BD49,AllTriggers)</f>
        <v>1.7739791630000295E-3</v>
      </c>
      <c r="BN49" s="47">
        <f>_xll.qlPolynomialFunctionValue(BN$1,$BD49,AllTriggers)</f>
        <v>1.7784792764319163E-3</v>
      </c>
      <c r="BO49" s="47">
        <f>_xll.qlPolynomialFunctionValue(BO$1,$BD49,AllTriggers)</f>
        <v>1.7641188377100429E-3</v>
      </c>
      <c r="BP49" s="47">
        <f>_xll.qlPolynomialFunctionValue(BP$1,$BD49,AllTriggers)</f>
        <v>1.7539777349995292E-3</v>
      </c>
      <c r="BQ49" s="47">
        <f>_xll.qlPolynomialFunctionValue('6MSynthDepo_used'!$P$18,BD49,AllTriggers)</f>
        <v>1.7745303899265297E-3</v>
      </c>
    </row>
    <row r="50" spans="3:69" x14ac:dyDescent="0.2">
      <c r="C50" s="19">
        <v>5</v>
      </c>
      <c r="D50" s="48" t="str">
        <f t="shared" si="14"/>
        <v>11M</v>
      </c>
      <c r="E50" s="177">
        <f>_xll.qlCalendarAdvance(Calendar,SettlementDate,C50&amp;"M","mf",TRUE,Trigger)</f>
        <v>42431</v>
      </c>
      <c r="F50" s="251">
        <f>_xll.qlInterestRateIndexMaturity($D$25,E50,Trigger)</f>
        <v>42615</v>
      </c>
      <c r="G50" s="155">
        <f>_xll.qlTenorBasisForwardRate2(G$27,$E50,$F50,InterestRatesTrigger)</f>
        <v>1.4402229114133779E-4</v>
      </c>
      <c r="H50" s="47">
        <f>_xll.qlTenorBasisTenorForwardRate(H$27,$E50,InterestRatesTrigger)</f>
        <v>1.3466372652537343E-4</v>
      </c>
      <c r="S50" s="47">
        <f>_xll.qlTenorBasisTenorForwardRate(S$27,$E50,InterestRatesTrigger)</f>
        <v>1.5861610084512119E-4</v>
      </c>
      <c r="T50" s="154">
        <f>_xll.qlTenorBasisTenorForwardRate(T$27,$E50,InterestRatesTrigger)</f>
        <v>3.5066657065378672E-4</v>
      </c>
      <c r="U50" s="47">
        <f>_xll.qlTenorBasisTenorForwardRate(U$27,$E50,InterestRatesTrigger)</f>
        <v>1.8616715894281387E-4</v>
      </c>
      <c r="V50" s="47">
        <f>_xll.qlTenorBasisTenorForwardRate(V$27,$E50,InterestRatesTrigger)</f>
        <v>1.2075163562424258E-4</v>
      </c>
      <c r="W50" s="47">
        <f>_xll.qlTenorBasisTenorForwardRate(W$27,$E50,InterestRatesTrigger)</f>
        <v>1.5889864954988587E-4</v>
      </c>
      <c r="X50" s="154">
        <f>_xll.qlTenorBasisTenorForwardRate(X$27,$E50,InterestRatesTrigger)</f>
        <v>3.7127462592170205E-4</v>
      </c>
      <c r="Y50" s="155">
        <f>_xll.qlTenorBasisTenorForwardRate(Y$27,$E50,InterestRatesTrigger)</f>
        <v>2.0256723273482128E-4</v>
      </c>
      <c r="Z50" s="47">
        <f>_xll.qlTenorBasisTenorForwardRate(Z$27,$E50,InterestRatesTrigger)</f>
        <v>2.0801668804690948E-4</v>
      </c>
      <c r="AA50" s="47">
        <f>_xll.qlTenorBasisTenorForwardRate(AA$27,$E50,InterestRatesTrigger)</f>
        <v>2.0709148230428414E-4</v>
      </c>
      <c r="AB50" s="47">
        <f>_xll.qlTenorBasisTenorForwardRate(AB$27,$E50,InterestRatesTrigger)</f>
        <v>2.03710515233367E-4</v>
      </c>
      <c r="AC50" s="154">
        <f>'6MSynthDepo_used'!AA29</f>
        <v>2.0173607310651183E-4</v>
      </c>
      <c r="AD50" s="200">
        <f>'6MSynthDepo_used'!I9</f>
        <v>2.0000000000000001E-4</v>
      </c>
      <c r="BC50" s="178">
        <f>_xll.qlCalendarAdvance(Calendar,BC49,"1d","mf",,Trigger)</f>
        <v>42341</v>
      </c>
      <c r="BD50" s="41">
        <f>_xll.qlDayCounterYearFraction(DayCounter,SettlementDate,BC50,,,Trigger)</f>
        <v>0.17222222222222222</v>
      </c>
      <c r="BE50" s="47">
        <f>_xll.qlPolynomialFunctionValue(BE$1,$BD50,AllTriggers)</f>
        <v>1.7860666032399001E-3</v>
      </c>
      <c r="BF50" s="47">
        <f>_xll.qlPolynomialFunctionValue(BF$1,$BD50,AllTriggers)</f>
        <v>1.7882782259553965E-3</v>
      </c>
      <c r="BG50" s="47">
        <f>_xll.qlPolynomialFunctionValue(BG$1,$BD50,AllTriggers)</f>
        <v>1.7945646257225077E-3</v>
      </c>
      <c r="BH50" s="47">
        <f>_xll.qlPolynomialFunctionValue(BH$1,$BD50,AllTriggers)</f>
        <v>1.8449690663246013E-3</v>
      </c>
      <c r="BI50" s="47">
        <f>_xll.qlPolynomialFunctionValue(BI$1,$BD50,AllTriggers)</f>
        <v>1.7845324548031267E-3</v>
      </c>
      <c r="BJ50" s="47">
        <f>_xll.qlPolynomialFunctionValue(BJ$1,$BD50,AllTriggers)</f>
        <v>1.7884778768804343E-3</v>
      </c>
      <c r="BK50" s="47">
        <f>_xll.qlPolynomialFunctionValue(BK$1,$BD50,AllTriggers)</f>
        <v>1.7981194033431455E-3</v>
      </c>
      <c r="BL50" s="47">
        <f>_xll.qlPolynomialFunctionValue(BL$1,$BD50,AllTriggers)</f>
        <v>1.8517967003452971E-3</v>
      </c>
      <c r="BM50" s="47">
        <f>_xll.qlPolynomialFunctionValue(BM$1,$BD50,AllTriggers)</f>
        <v>1.7755410769358822E-3</v>
      </c>
      <c r="BN50" s="47">
        <f>_xll.qlPolynomialFunctionValue(BN$1,$BD50,AllTriggers)</f>
        <v>1.7798312393728592E-3</v>
      </c>
      <c r="BO50" s="47">
        <f>_xll.qlPolynomialFunctionValue(BO$1,$BD50,AllTriggers)</f>
        <v>1.7657600414080234E-3</v>
      </c>
      <c r="BP50" s="47">
        <f>_xll.qlPolynomialFunctionValue(BP$1,$BD50,AllTriggers)</f>
        <v>1.7558862704247005E-3</v>
      </c>
      <c r="BQ50" s="47">
        <f>_xll.qlPolynomialFunctionValue('6MSynthDepo_used'!$P$18,BD50,AllTriggers)</f>
        <v>1.7764968259273324E-3</v>
      </c>
    </row>
    <row r="51" spans="3:69" x14ac:dyDescent="0.2">
      <c r="C51" s="19">
        <v>6</v>
      </c>
      <c r="D51" s="162" t="str">
        <f t="shared" si="14"/>
        <v>12M</v>
      </c>
      <c r="E51" s="185">
        <f>_xll.qlCalendarAdvance(Calendar,SettlementDate,C51&amp;"M","mf",TRUE,Trigger)</f>
        <v>42464</v>
      </c>
      <c r="F51" s="252">
        <f>_xll.qlInterestRateIndexMaturity($D$25,E51,Trigger)</f>
        <v>42647</v>
      </c>
      <c r="G51" s="161">
        <f>_xll.qlTenorBasisForwardRate2(G$27,$E51,$F51,InterestRatesTrigger)</f>
        <v>1.3959175068621349E-4</v>
      </c>
      <c r="H51" s="159">
        <f>_xll.qlTenorBasisTenorForwardRate(H$27,$E51,InterestRatesTrigger)</f>
        <v>1.0931267538921122E-4</v>
      </c>
      <c r="S51" s="159">
        <f>_xll.qlTenorBasisTenorForwardRate(S$27,$E51,InterestRatesTrigger)</f>
        <v>1.5098821413906424E-4</v>
      </c>
      <c r="T51" s="160">
        <f>_xll.qlTenorBasisTenorForwardRate(T$27,$E51,InterestRatesTrigger)</f>
        <v>4.8514326238576259E-4</v>
      </c>
      <c r="U51" s="159">
        <f>_xll.qlTenorBasisTenorForwardRate(U$27,$E51,InterestRatesTrigger)</f>
        <v>1.8531940603156859E-4</v>
      </c>
      <c r="V51" s="159">
        <f>_xll.qlTenorBasisTenorForwardRate(V$27,$E51,InterestRatesTrigger)</f>
        <v>8.472367740552174E-5</v>
      </c>
      <c r="W51" s="159">
        <f>_xll.qlTenorBasisTenorForwardRate(W$27,$E51,InterestRatesTrigger)</f>
        <v>1.5068044236213785E-4</v>
      </c>
      <c r="X51" s="160">
        <f>_xll.qlTenorBasisTenorForwardRate(X$27,$E51,InterestRatesTrigger)</f>
        <v>5.1788172273724742E-4</v>
      </c>
      <c r="Y51" s="161">
        <f>_xll.qlTenorBasisTenorForwardRate(Y$27,$E51,InterestRatesTrigger)</f>
        <v>2.0630017828926722E-4</v>
      </c>
      <c r="Z51" s="159">
        <f>_xll.qlTenorBasisTenorForwardRate(Z$27,$E51,InterestRatesTrigger)</f>
        <v>2.1899894189608888E-4</v>
      </c>
      <c r="AA51" s="159">
        <f>_xll.qlTenorBasisTenorForwardRate(AA$27,$E51,InterestRatesTrigger)</f>
        <v>2.1340514669182151E-4</v>
      </c>
      <c r="AB51" s="159">
        <f>_xll.qlTenorBasisTenorForwardRate(AB$27,$E51,InterestRatesTrigger)</f>
        <v>2.0366834064653133E-4</v>
      </c>
      <c r="AC51" s="160">
        <f>'6MSynthDepo_used'!AA30</f>
        <v>1.9492825318995666E-4</v>
      </c>
      <c r="AD51" s="241">
        <f>'6MSynthDepo_used'!I10</f>
        <v>2.0000000000000001E-4</v>
      </c>
      <c r="BC51" s="178">
        <f>_xll.qlCalendarAdvance(Calendar,BC50,"1d","mf",,Trigger)</f>
        <v>42342</v>
      </c>
      <c r="BD51" s="41">
        <f>_xll.qlDayCounterYearFraction(DayCounter,SettlementDate,BC51,,,Trigger)</f>
        <v>0.17499999999999999</v>
      </c>
      <c r="BE51" s="47">
        <f>_xll.qlPolynomialFunctionValue(BE$1,$BD51,AllTriggers)</f>
        <v>1.7874176472637954E-3</v>
      </c>
      <c r="BF51" s="47">
        <f>_xll.qlPolynomialFunctionValue(BF$1,$BD51,AllTriggers)</f>
        <v>1.7898354062037133E-3</v>
      </c>
      <c r="BG51" s="47">
        <f>_xll.qlPolynomialFunctionValue(BG$1,$BD51,AllTriggers)</f>
        <v>1.7957774905190437E-3</v>
      </c>
      <c r="BH51" s="47">
        <f>_xll.qlPolynomialFunctionValue(BH$1,$BD51,AllTriggers)</f>
        <v>1.8434212050488826E-3</v>
      </c>
      <c r="BI51" s="47">
        <f>_xll.qlPolynomialFunctionValue(BI$1,$BD51,AllTriggers)</f>
        <v>1.78595363179117E-3</v>
      </c>
      <c r="BJ51" s="47">
        <f>_xll.qlPolynomialFunctionValue(BJ$1,$BD51,AllTriggers)</f>
        <v>1.7902042119572086E-3</v>
      </c>
      <c r="BK51" s="47">
        <f>_xll.qlPolynomialFunctionValue(BK$1,$BD51,AllTriggers)</f>
        <v>1.7993141311888551E-3</v>
      </c>
      <c r="BL51" s="47">
        <f>_xll.qlPolynomialFunctionValue(BL$1,$BD51,AllTriggers)</f>
        <v>1.8500318097798868E-3</v>
      </c>
      <c r="BM51" s="47">
        <f>_xll.qlPolynomialFunctionValue(BM$1,$BD51,AllTriggers)</f>
        <v>1.7771029908717347E-3</v>
      </c>
      <c r="BN51" s="47">
        <f>_xll.qlPolynomialFunctionValue(BN$1,$BD51,AllTriggers)</f>
        <v>1.7811853965130616E-3</v>
      </c>
      <c r="BO51" s="47">
        <f>_xll.qlPolynomialFunctionValue(BO$1,$BD51,AllTriggers)</f>
        <v>1.7674012451060039E-3</v>
      </c>
      <c r="BP51" s="47">
        <f>_xll.qlPolynomialFunctionValue(BP$1,$BD51,AllTriggers)</f>
        <v>1.757792459870122E-3</v>
      </c>
      <c r="BQ51" s="47">
        <f>_xll.qlPolynomialFunctionValue('6MSynthDepo_used'!$P$18,BD51,AllTriggers)</f>
        <v>1.7784580795878854E-3</v>
      </c>
    </row>
    <row r="52" spans="3:69" x14ac:dyDescent="0.2">
      <c r="BC52" s="178">
        <f>_xll.qlCalendarAdvance(Calendar,BC51,"1d","mf",,Trigger)</f>
        <v>42345</v>
      </c>
      <c r="BD52" s="41">
        <f>_xll.qlDayCounterYearFraction(DayCounter,SettlementDate,BC52,,,Trigger)</f>
        <v>0.18333333333333332</v>
      </c>
      <c r="BE52" s="47">
        <f>_xll.qlPolynomialFunctionValue(BE$1,$BD52,AllTriggers)</f>
        <v>1.7914707793354817E-3</v>
      </c>
      <c r="BF52" s="47">
        <f>_xll.qlPolynomialFunctionValue(BF$1,$BD52,AllTriggers)</f>
        <v>1.7944797641498396E-3</v>
      </c>
      <c r="BG52" s="47">
        <f>_xll.qlPolynomialFunctionValue(BG$1,$BD52,AllTriggers)</f>
        <v>1.7994160849086516E-3</v>
      </c>
      <c r="BH52" s="47">
        <f>_xll.qlPolynomialFunctionValue(BH$1,$BD52,AllTriggers)</f>
        <v>1.8389955732800627E-3</v>
      </c>
      <c r="BI52" s="47">
        <f>_xll.qlPolynomialFunctionValue(BI$1,$BD52,AllTriggers)</f>
        <v>1.7902171627552997E-3</v>
      </c>
      <c r="BJ52" s="47">
        <f>_xll.qlPolynomialFunctionValue(BJ$1,$BD52,AllTriggers)</f>
        <v>1.7953408291304744E-3</v>
      </c>
      <c r="BK52" s="47">
        <f>_xll.qlPolynomialFunctionValue(BK$1,$BD52,AllTriggers)</f>
        <v>1.8028983147259838E-3</v>
      </c>
      <c r="BL52" s="47">
        <f>_xll.qlPolynomialFunctionValue(BL$1,$BD52,AllTriggers)</f>
        <v>1.844973125231211E-3</v>
      </c>
      <c r="BM52" s="47">
        <f>_xll.qlPolynomialFunctionValue(BM$1,$BD52,AllTriggers)</f>
        <v>1.781788732679293E-3</v>
      </c>
      <c r="BN52" s="47">
        <f>_xll.qlPolynomialFunctionValue(BN$1,$BD52,AllTriggers)</f>
        <v>1.7852610331292281E-3</v>
      </c>
      <c r="BO52" s="47">
        <f>_xll.qlPolynomialFunctionValue(BO$1,$BD52,AllTriggers)</f>
        <v>1.7723248561999456E-3</v>
      </c>
      <c r="BP52" s="47">
        <f>_xll.qlPolynomialFunctionValue(BP$1,$BD52,AllTriggers)</f>
        <v>1.7634969523278878E-3</v>
      </c>
      <c r="BQ52" s="47">
        <f>_xll.qlPolynomialFunctionValue('6MSynthDepo_used'!$P$18,BD52,AllTriggers)</f>
        <v>1.7843108875588724E-3</v>
      </c>
    </row>
    <row r="53" spans="3:69" x14ac:dyDescent="0.2">
      <c r="F53" s="125" t="s">
        <v>69</v>
      </c>
      <c r="G53" s="125" t="s">
        <v>68</v>
      </c>
      <c r="H53" s="121"/>
      <c r="S53" s="121"/>
      <c r="T53" s="121"/>
      <c r="U53" s="121"/>
      <c r="V53" s="121"/>
      <c r="W53" s="121"/>
      <c r="X53" s="121"/>
      <c r="Y53" s="121"/>
      <c r="Z53" s="121"/>
      <c r="AA53" s="121"/>
      <c r="AB53" s="120"/>
      <c r="AC53" s="256"/>
      <c r="BC53" s="178">
        <f>_xll.qlCalendarAdvance(Calendar,BC52,"1d","mf",,Trigger)</f>
        <v>42346</v>
      </c>
      <c r="BD53" s="41">
        <f>_xll.qlDayCounterYearFraction(DayCounter,SettlementDate,BC53,,,Trigger)</f>
        <v>0.18611111111111112</v>
      </c>
      <c r="BE53" s="47">
        <f>_xll.qlPolynomialFunctionValue(BE$1,$BD53,AllTriggers)</f>
        <v>1.7928218233593772E-3</v>
      </c>
      <c r="BF53" s="47">
        <f>_xll.qlPolynomialFunctionValue(BF$1,$BD53,AllTriggers)</f>
        <v>1.7960188225322735E-3</v>
      </c>
      <c r="BG53" s="47">
        <f>_xll.qlPolynomialFunctionValue(BG$1,$BD53,AllTriggers)</f>
        <v>1.8006289497051874E-3</v>
      </c>
      <c r="BH53" s="47">
        <f>_xll.qlPolynomialFunctionValue(BH$1,$BD53,AllTriggers)</f>
        <v>1.8375930133765681E-3</v>
      </c>
      <c r="BI53" s="47">
        <f>_xll.qlPolynomialFunctionValue(BI$1,$BD53,AllTriggers)</f>
        <v>1.7916383397433427E-3</v>
      </c>
      <c r="BJ53" s="47">
        <f>_xll.qlPolynomialFunctionValue(BJ$1,$BD53,AllTriggers)</f>
        <v>1.797038905502544E-3</v>
      </c>
      <c r="BK53" s="47">
        <f>_xll.qlPolynomialFunctionValue(BK$1,$BD53,AllTriggers)</f>
        <v>1.8040930425716935E-3</v>
      </c>
      <c r="BL53" s="47">
        <f>_xll.qlPolynomialFunctionValue(BL$1,$BD53,AllTriggers)</f>
        <v>1.8433655594308376E-3</v>
      </c>
      <c r="BM53" s="47">
        <f>_xll.qlPolynomialFunctionValue(BM$1,$BD53,AllTriggers)</f>
        <v>1.7833506466151457E-3</v>
      </c>
      <c r="BN53" s="47">
        <f>_xll.qlPolynomialFunctionValue(BN$1,$BD53,AllTriggers)</f>
        <v>1.7866239670664701E-3</v>
      </c>
      <c r="BO53" s="47">
        <f>_xll.qlPolynomialFunctionValue(BO$1,$BD53,AllTriggers)</f>
        <v>1.7739660598979261E-3</v>
      </c>
      <c r="BP53" s="47">
        <f>_xll.qlPolynomialFunctionValue(BP$1,$BD53,AllTriggers)</f>
        <v>1.76539375785431E-3</v>
      </c>
      <c r="BQ53" s="47">
        <f>_xll.qlPolynomialFunctionValue('6MSynthDepo_used'!$P$18,BD53,AllTriggers)</f>
        <v>1.7862515528892519E-3</v>
      </c>
    </row>
    <row r="54" spans="3:69" x14ac:dyDescent="0.2">
      <c r="F54" s="189" t="str">
        <f t="shared" ref="F54:F60" si="15">C45&amp;"x"&amp;C45+SUBSTITUTE($D$24,"M","")&amp;"F"</f>
        <v>0x6F</v>
      </c>
      <c r="G54" s="156">
        <f t="shared" ref="G54:H60" si="16">$AD45-G45</f>
        <v>4.7527920572939365E-5</v>
      </c>
      <c r="H54" s="156">
        <f t="shared" si="16"/>
        <v>4.7445875688323467E-5</v>
      </c>
      <c r="S54" s="156">
        <f t="shared" ref="S54:AC54" si="17">$AD45-S45</f>
        <v>4.3129798829384138E-5</v>
      </c>
      <c r="T54" s="157">
        <f t="shared" si="17"/>
        <v>8.5230886049822647E-6</v>
      </c>
      <c r="U54" s="158">
        <f t="shared" si="17"/>
        <v>4.7018886267637637E-5</v>
      </c>
      <c r="V54" s="156">
        <f t="shared" si="17"/>
        <v>4.6870593283691099E-5</v>
      </c>
      <c r="W54" s="156">
        <f t="shared" si="17"/>
        <v>4.0146268350711191E-5</v>
      </c>
      <c r="X54" s="157">
        <f t="shared" si="17"/>
        <v>2.7094907778399077E-6</v>
      </c>
      <c r="Y54" s="158">
        <f t="shared" si="17"/>
        <v>2.4293779769179124E-5</v>
      </c>
      <c r="Z54" s="240">
        <f t="shared" si="17"/>
        <v>2.2224064638059278E-5</v>
      </c>
      <c r="AA54" s="156">
        <f t="shared" si="17"/>
        <v>3.165647755213935E-5</v>
      </c>
      <c r="AB54" s="156">
        <f t="shared" si="17"/>
        <v>3.7849045750829838E-5</v>
      </c>
      <c r="AC54" s="156">
        <f t="shared" si="17"/>
        <v>4.7950835432396249E-5</v>
      </c>
      <c r="BC54" s="178">
        <f>_xll.qlCalendarAdvance(Calendar,BC53,"1d","mf",,Trigger)</f>
        <v>42347</v>
      </c>
      <c r="BD54" s="41">
        <f>_xll.qlDayCounterYearFraction(DayCounter,SettlementDate,BC54,,,Trigger)</f>
        <v>0.18888888888888888</v>
      </c>
      <c r="BE54" s="47">
        <f>_xll.qlPolynomialFunctionValue(BE$1,$BD54,AllTriggers)</f>
        <v>1.7941728673832725E-3</v>
      </c>
      <c r="BF54" s="47">
        <f>_xll.qlPolynomialFunctionValue(BF$1,$BD54,AllTriggers)</f>
        <v>1.7975533504482363E-3</v>
      </c>
      <c r="BG54" s="47">
        <f>_xll.qlPolynomialFunctionValue(BG$1,$BD54,AllTriggers)</f>
        <v>1.8018418145017234E-3</v>
      </c>
      <c r="BH54" s="47">
        <f>_xll.qlPolynomialFunctionValue(BH$1,$BD54,AllTriggers)</f>
        <v>1.8362267788161297E-3</v>
      </c>
      <c r="BI54" s="47">
        <f>_xll.qlPolynomialFunctionValue(BI$1,$BD54,AllTriggers)</f>
        <v>1.793059516731386E-3</v>
      </c>
      <c r="BJ54" s="47">
        <f>_xll.qlPolynomialFunctionValue(BJ$1,$BD54,AllTriggers)</f>
        <v>1.7987299171984372E-3</v>
      </c>
      <c r="BK54" s="47">
        <f>_xll.qlPolynomialFunctionValue(BK$1,$BD54,AllTriggers)</f>
        <v>1.8052877704174029E-3</v>
      </c>
      <c r="BL54" s="47">
        <f>_xll.qlPolynomialFunctionValue(BL$1,$BD54,AllTriggers)</f>
        <v>1.8417973248217234E-3</v>
      </c>
      <c r="BM54" s="47">
        <f>_xll.qlPolynomialFunctionValue(BM$1,$BD54,AllTriggers)</f>
        <v>1.7849125605509985E-3</v>
      </c>
      <c r="BN54" s="47">
        <f>_xll.qlPolynomialFunctionValue(BN$1,$BD54,AllTriggers)</f>
        <v>1.7879890952029716E-3</v>
      </c>
      <c r="BO54" s="47">
        <f>_xll.qlPolynomialFunctionValue(BO$1,$BD54,AllTriggers)</f>
        <v>1.7756072635959066E-3</v>
      </c>
      <c r="BP54" s="47">
        <f>_xll.qlPolynomialFunctionValue(BP$1,$BD54,AllTriggers)</f>
        <v>1.7672882174009825E-3</v>
      </c>
      <c r="BQ54" s="47">
        <f>_xll.qlPolynomialFunctionValue('6MSynthDepo_used'!$P$18,BD54,AllTriggers)</f>
        <v>1.7881871063947943E-3</v>
      </c>
    </row>
    <row r="55" spans="3:69" x14ac:dyDescent="0.2">
      <c r="F55" s="190" t="str">
        <f t="shared" si="15"/>
        <v>1x7F</v>
      </c>
      <c r="G55" s="47">
        <f t="shared" si="16"/>
        <v>3.0481538516454121E-5</v>
      </c>
      <c r="H55" s="47">
        <f t="shared" si="16"/>
        <v>5.4431912329690711E-7</v>
      </c>
      <c r="S55" s="47">
        <f t="shared" ref="S55:AC55" si="18">$AD46-S46</f>
        <v>5.1505217387175402E-7</v>
      </c>
      <c r="T55" s="154">
        <f t="shared" si="18"/>
        <v>2.8038936708270172E-7</v>
      </c>
      <c r="U55" s="155">
        <f t="shared" si="18"/>
        <v>-2.1755153428446635E-6</v>
      </c>
      <c r="V55" s="47">
        <f t="shared" si="18"/>
        <v>-1.7234698105731729E-6</v>
      </c>
      <c r="W55" s="47">
        <f t="shared" si="18"/>
        <v>-1.9320049637608014E-6</v>
      </c>
      <c r="X55" s="154">
        <f t="shared" si="18"/>
        <v>-3.0929833002397381E-6</v>
      </c>
      <c r="Y55" s="155">
        <f t="shared" si="18"/>
        <v>-1.7796947606519339E-6</v>
      </c>
      <c r="Z55" s="200">
        <f t="shared" si="18"/>
        <v>-5.3545183744947537E-7</v>
      </c>
      <c r="AA55" s="47">
        <f t="shared" si="18"/>
        <v>3.1586913912221189E-6</v>
      </c>
      <c r="AB55" s="47">
        <f t="shared" si="18"/>
        <v>4.497675063906692E-6</v>
      </c>
      <c r="AC55" s="47">
        <f t="shared" si="18"/>
        <v>-1.1991381031016242E-5</v>
      </c>
      <c r="BC55" s="178">
        <f>_xll.qlCalendarAdvance(Calendar,BC54,"1d","mf",,Trigger)</f>
        <v>42348</v>
      </c>
      <c r="BD55" s="41">
        <f>_xll.qlDayCounterYearFraction(DayCounter,SettlementDate,BC55,,,Trigger)</f>
        <v>0.19166666666666668</v>
      </c>
      <c r="BE55" s="47">
        <f>_xll.qlPolynomialFunctionValue(BE$1,$BD55,AllTriggers)</f>
        <v>1.7955239114071681E-3</v>
      </c>
      <c r="BF55" s="47">
        <f>_xll.qlPolynomialFunctionValue(BF$1,$BD55,AllTriggers)</f>
        <v>1.7990833478977286E-3</v>
      </c>
      <c r="BG55" s="47">
        <f>_xll.qlPolynomialFunctionValue(BG$1,$BD55,AllTriggers)</f>
        <v>1.8030546792982593E-3</v>
      </c>
      <c r="BH55" s="47">
        <f>_xll.qlPolynomialFunctionValue(BH$1,$BD55,AllTriggers)</f>
        <v>1.8348968695987469E-3</v>
      </c>
      <c r="BI55" s="47">
        <f>_xll.qlPolynomialFunctionValue(BI$1,$BD55,AllTriggers)</f>
        <v>1.7944806937194291E-3</v>
      </c>
      <c r="BJ55" s="47">
        <f>_xll.qlPolynomialFunctionValue(BJ$1,$BD55,AllTriggers)</f>
        <v>1.8004138642181543E-3</v>
      </c>
      <c r="BK55" s="47">
        <f>_xll.qlPolynomialFunctionValue(BK$1,$BD55,AllTriggers)</f>
        <v>1.8064824982631125E-3</v>
      </c>
      <c r="BL55" s="47">
        <f>_xll.qlPolynomialFunctionValue(BL$1,$BD55,AllTriggers)</f>
        <v>1.8402684214038683E-3</v>
      </c>
      <c r="BM55" s="47">
        <f>_xll.qlPolynomialFunctionValue(BM$1,$BD55,AllTriggers)</f>
        <v>1.7864744744868512E-3</v>
      </c>
      <c r="BN55" s="47">
        <f>_xll.qlPolynomialFunctionValue(BN$1,$BD55,AllTriggers)</f>
        <v>1.7893564175387332E-3</v>
      </c>
      <c r="BO55" s="47">
        <f>_xll.qlPolynomialFunctionValue(BO$1,$BD55,AllTriggers)</f>
        <v>1.7772484672938873E-3</v>
      </c>
      <c r="BP55" s="47">
        <f>_xll.qlPolynomialFunctionValue(BP$1,$BD55,AllTriggers)</f>
        <v>1.7691803309679052E-3</v>
      </c>
      <c r="BQ55" s="47">
        <f>_xll.qlPolynomialFunctionValue('6MSynthDepo_used'!$P$18,BD55,AllTriggers)</f>
        <v>1.790117562178582E-3</v>
      </c>
    </row>
    <row r="56" spans="3:69" x14ac:dyDescent="0.2">
      <c r="F56" s="190" t="str">
        <f t="shared" si="15"/>
        <v>2x8F</v>
      </c>
      <c r="G56" s="47">
        <f t="shared" si="16"/>
        <v>2.6834453922930596E-5</v>
      </c>
      <c r="H56" s="47">
        <f t="shared" si="16"/>
        <v>9.5828548769464174E-7</v>
      </c>
      <c r="S56" s="47">
        <f t="shared" ref="S56:AC56" si="19">$AD47-S47</f>
        <v>1.0134897614894598E-6</v>
      </c>
      <c r="T56" s="154">
        <f t="shared" si="19"/>
        <v>1.4561183951272466E-6</v>
      </c>
      <c r="U56" s="155">
        <f t="shared" si="19"/>
        <v>-7.8408357505104702E-6</v>
      </c>
      <c r="V56" s="47">
        <f t="shared" si="19"/>
        <v>-6.6303586590017857E-7</v>
      </c>
      <c r="W56" s="47">
        <f t="shared" si="19"/>
        <v>-8.9691239278736614E-7</v>
      </c>
      <c r="X56" s="154">
        <f t="shared" si="19"/>
        <v>-2.198973829339076E-6</v>
      </c>
      <c r="Y56" s="155">
        <f t="shared" si="19"/>
        <v>-1.1609286500763912E-5</v>
      </c>
      <c r="Z56" s="200">
        <f t="shared" si="19"/>
        <v>-9.111051197992204E-6</v>
      </c>
      <c r="AA56" s="47">
        <f t="shared" si="19"/>
        <v>-9.0170083789735118E-6</v>
      </c>
      <c r="AB56" s="47">
        <f t="shared" si="19"/>
        <v>-1.028687788630719E-5</v>
      </c>
      <c r="AC56" s="47">
        <f t="shared" si="19"/>
        <v>-2.3891066298525052E-5</v>
      </c>
      <c r="BC56" s="178">
        <f>_xll.qlCalendarAdvance(Calendar,BC55,"1d","mf",,Trigger)</f>
        <v>42349</v>
      </c>
      <c r="BD56" s="41">
        <f>_xll.qlDayCounterYearFraction(DayCounter,SettlementDate,BC56,,,Trigger)</f>
        <v>0.19444444444444445</v>
      </c>
      <c r="BE56" s="47">
        <f>_xll.qlPolynomialFunctionValue(BE$1,$BD56,AllTriggers)</f>
        <v>1.7968749554310634E-3</v>
      </c>
      <c r="BF56" s="47">
        <f>_xll.qlPolynomialFunctionValue(BF$1,$BD56,AllTriggers)</f>
        <v>1.8006088148807499E-3</v>
      </c>
      <c r="BG56" s="47">
        <f>_xll.qlPolynomialFunctionValue(BG$1,$BD56,AllTriggers)</f>
        <v>1.8042675440947953E-3</v>
      </c>
      <c r="BH56" s="47">
        <f>_xll.qlPolynomialFunctionValue(BH$1,$BD56,AllTriggers)</f>
        <v>1.8336032857244201E-3</v>
      </c>
      <c r="BI56" s="47">
        <f>_xll.qlPolynomialFunctionValue(BI$1,$BD56,AllTriggers)</f>
        <v>1.7959018707074724E-3</v>
      </c>
      <c r="BJ56" s="47">
        <f>_xll.qlPolynomialFunctionValue(BJ$1,$BD56,AllTriggers)</f>
        <v>1.802090746561695E-3</v>
      </c>
      <c r="BK56" s="47">
        <f>_xll.qlPolynomialFunctionValue(BK$1,$BD56,AllTriggers)</f>
        <v>1.8076772261088221E-3</v>
      </c>
      <c r="BL56" s="47">
        <f>_xll.qlPolynomialFunctionValue(BL$1,$BD56,AllTriggers)</f>
        <v>1.8387788491772725E-3</v>
      </c>
      <c r="BM56" s="47">
        <f>_xll.qlPolynomialFunctionValue(BM$1,$BD56,AllTriggers)</f>
        <v>1.7880363884227039E-3</v>
      </c>
      <c r="BN56" s="47">
        <f>_xll.qlPolynomialFunctionValue(BN$1,$BD56,AllTriggers)</f>
        <v>1.7907259340737545E-3</v>
      </c>
      <c r="BO56" s="47">
        <f>_xll.qlPolynomialFunctionValue(BO$1,$BD56,AllTriggers)</f>
        <v>1.7788896709918678E-3</v>
      </c>
      <c r="BP56" s="47">
        <f>_xll.qlPolynomialFunctionValue(BP$1,$BD56,AllTriggers)</f>
        <v>1.7710700985550782E-3</v>
      </c>
      <c r="BQ56" s="47">
        <f>_xll.qlPolynomialFunctionValue('6MSynthDepo_used'!$P$18,BD56,AllTriggers)</f>
        <v>1.792042934343697E-3</v>
      </c>
    </row>
    <row r="57" spans="3:69" x14ac:dyDescent="0.2">
      <c r="F57" s="190" t="str">
        <f t="shared" si="15"/>
        <v>3x9F</v>
      </c>
      <c r="G57" s="47">
        <f t="shared" si="16"/>
        <v>6.1981650521660236E-5</v>
      </c>
      <c r="H57" s="47">
        <f t="shared" si="16"/>
        <v>4.3755121023246739E-5</v>
      </c>
      <c r="S57" s="47">
        <f t="shared" ref="S57:AC57" si="20">$AD48-S48</f>
        <v>3.9321965214559739E-5</v>
      </c>
      <c r="T57" s="154">
        <f t="shared" si="20"/>
        <v>3.7768603983095506E-6</v>
      </c>
      <c r="U57" s="155">
        <f t="shared" si="20"/>
        <v>2.368750590774814E-5</v>
      </c>
      <c r="V57" s="47">
        <f t="shared" si="20"/>
        <v>4.5407546427905928E-5</v>
      </c>
      <c r="W57" s="47">
        <f t="shared" si="20"/>
        <v>3.8001883541974194E-5</v>
      </c>
      <c r="X57" s="154">
        <f t="shared" si="20"/>
        <v>-3.2276839714841742E-6</v>
      </c>
      <c r="Y57" s="155">
        <f t="shared" si="20"/>
        <v>1.5338356691803909E-5</v>
      </c>
      <c r="Z57" s="200">
        <f t="shared" si="20"/>
        <v>1.6997175063234728E-5</v>
      </c>
      <c r="AA57" s="47">
        <f t="shared" si="20"/>
        <v>1.5349915980502444E-5</v>
      </c>
      <c r="AB57" s="47">
        <f t="shared" si="20"/>
        <v>1.3582599325192223E-5</v>
      </c>
      <c r="AC57" s="47">
        <f t="shared" si="20"/>
        <v>4.7128833999808572E-6</v>
      </c>
      <c r="BC57" s="178">
        <f>_xll.qlCalendarAdvance(Calendar,BC56,"1d","mf",,Trigger)</f>
        <v>42352</v>
      </c>
      <c r="BD57" s="41">
        <f>_xll.qlDayCounterYearFraction(DayCounter,SettlementDate,BC57,,,Trigger)</f>
        <v>0.20277777777777778</v>
      </c>
      <c r="BE57" s="47">
        <f>_xll.qlPolynomialFunctionValue(BE$1,$BD57,AllTriggers)</f>
        <v>1.8009280875027497E-3</v>
      </c>
      <c r="BF57" s="47">
        <f>_xll.qlPolynomialFunctionValue(BF$1,$BD57,AllTriggers)</f>
        <v>1.805158033030989E-3</v>
      </c>
      <c r="BG57" s="47">
        <f>_xll.qlPolynomialFunctionValue(BG$1,$BD57,AllTriggers)</f>
        <v>1.8079061384844032E-3</v>
      </c>
      <c r="BH57" s="47">
        <f>_xll.qlPolynomialFunctionValue(BH$1,$BD57,AllTriggers)</f>
        <v>1.8299404861597758E-3</v>
      </c>
      <c r="BI57" s="47">
        <f>_xll.qlPolynomialFunctionValue(BI$1,$BD57,AllTriggers)</f>
        <v>1.8001654016716021E-3</v>
      </c>
      <c r="BJ57" s="47">
        <f>_xll.qlPolynomialFunctionValue(BJ$1,$BD57,AllTriggers)</f>
        <v>1.8070790055352598E-3</v>
      </c>
      <c r="BK57" s="47">
        <f>_xll.qlPolynomialFunctionValue(BK$1,$BD57,AllTriggers)</f>
        <v>1.8112614096459508E-3</v>
      </c>
      <c r="BL57" s="47">
        <f>_xll.qlPolynomialFunctionValue(BL$1,$BD57,AllTriggers)</f>
        <v>1.8345461196450402E-3</v>
      </c>
      <c r="BM57" s="47">
        <f>_xll.qlPolynomialFunctionValue(BM$1,$BD57,AllTriggers)</f>
        <v>1.7927221302302622E-3</v>
      </c>
      <c r="BN57" s="47">
        <f>_xll.qlPolynomialFunctionValue(BN$1,$BD57,AllTriggers)</f>
        <v>1.7948476488743768E-3</v>
      </c>
      <c r="BO57" s="47">
        <f>_xll.qlPolynomialFunctionValue(BO$1,$BD57,AllTriggers)</f>
        <v>1.7838132820858096E-3</v>
      </c>
      <c r="BP57" s="47">
        <f>_xll.qlPolynomialFunctionValue(BP$1,$BD57,AllTriggers)</f>
        <v>1.7767253254380982E-3</v>
      </c>
      <c r="BQ57" s="47">
        <f>_xll.qlPolynomialFunctionValue('6MSynthDepo_used'!$P$18,BD57,AllTriggers)</f>
        <v>1.797788690157832E-3</v>
      </c>
    </row>
    <row r="58" spans="3:69" x14ac:dyDescent="0.2">
      <c r="F58" s="190" t="str">
        <f t="shared" si="15"/>
        <v>4x10F</v>
      </c>
      <c r="G58" s="47">
        <f t="shared" si="16"/>
        <v>5.9094860327890621E-5</v>
      </c>
      <c r="H58" s="47">
        <f t="shared" si="16"/>
        <v>5.2156265622371219E-5</v>
      </c>
      <c r="S58" s="47">
        <f t="shared" ref="S58:AC58" si="21">$AD49-S49</f>
        <v>3.9816725742361497E-5</v>
      </c>
      <c r="T58" s="154">
        <f t="shared" si="21"/>
        <v>-5.9121876316178915E-5</v>
      </c>
      <c r="U58" s="155">
        <f t="shared" si="21"/>
        <v>1.8223967040109467E-5</v>
      </c>
      <c r="V58" s="47">
        <f t="shared" si="21"/>
        <v>5.8901884109475473E-5</v>
      </c>
      <c r="W58" s="47">
        <f t="shared" si="21"/>
        <v>3.9015410553686064E-5</v>
      </c>
      <c r="X58" s="154">
        <f t="shared" si="21"/>
        <v>-7.1698608798858714E-5</v>
      </c>
      <c r="Y58" s="155">
        <f t="shared" si="21"/>
        <v>5.8493555361332128E-6</v>
      </c>
      <c r="Z58" s="200">
        <f t="shared" si="21"/>
        <v>4.8515926163564033E-6</v>
      </c>
      <c r="AA58" s="47">
        <f t="shared" si="21"/>
        <v>3.5930103957512673E-6</v>
      </c>
      <c r="AB58" s="47">
        <f t="shared" si="21"/>
        <v>3.4401929747013575E-6</v>
      </c>
      <c r="AC58" s="47">
        <f t="shared" si="21"/>
        <v>-2.9186223295544545E-7</v>
      </c>
      <c r="BC58" s="178">
        <f>_xll.qlCalendarAdvance(Calendar,BC57,"1d","mf",,Trigger)</f>
        <v>42353</v>
      </c>
      <c r="BD58" s="41">
        <f>_xll.qlDayCounterYearFraction(DayCounter,SettlementDate,BC58,,,Trigger)</f>
        <v>0.20555555555555555</v>
      </c>
      <c r="BE58" s="47">
        <f>_xll.qlPolynomialFunctionValue(BE$1,$BD58,AllTriggers)</f>
        <v>1.802279131526645E-3</v>
      </c>
      <c r="BF58" s="47">
        <f>_xll.qlPolynomialFunctionValue(BF$1,$BD58,AllTriggers)</f>
        <v>1.8066653781481272E-3</v>
      </c>
      <c r="BG58" s="47">
        <f>_xll.qlPolynomialFunctionValue(BG$1,$BD58,AllTriggers)</f>
        <v>1.809119003280939E-3</v>
      </c>
      <c r="BH58" s="47">
        <f>_xll.qlPolynomialFunctionValue(BH$1,$BD58,AllTriggers)</f>
        <v>1.8287922036576731E-3</v>
      </c>
      <c r="BI58" s="47">
        <f>_xll.qlPolynomialFunctionValue(BI$1,$BD58,AllTriggers)</f>
        <v>1.8015865786596451E-3</v>
      </c>
      <c r="BJ58" s="47">
        <f>_xll.qlPolynomialFunctionValue(BJ$1,$BD58,AllTriggers)</f>
        <v>1.8087276291740958E-3</v>
      </c>
      <c r="BK58" s="47">
        <f>_xll.qlPolynomialFunctionValue(BK$1,$BD58,AllTriggers)</f>
        <v>1.8124561374916603E-3</v>
      </c>
      <c r="BL58" s="47">
        <f>_xll.qlPolynomialFunctionValue(BL$1,$BD58,AllTriggers)</f>
        <v>1.833213872183481E-3</v>
      </c>
      <c r="BM58" s="47">
        <f>_xll.qlPolynomialFunctionValue(BM$1,$BD58,AllTriggers)</f>
        <v>1.7942840441661149E-3</v>
      </c>
      <c r="BN58" s="47">
        <f>_xll.qlPolynomialFunctionValue(BN$1,$BD58,AllTriggers)</f>
        <v>1.7962259422064375E-3</v>
      </c>
      <c r="BO58" s="47">
        <f>_xll.qlPolynomialFunctionValue(BO$1,$BD58,AllTriggers)</f>
        <v>1.7854544857837901E-3</v>
      </c>
      <c r="BP58" s="47">
        <f>_xll.qlPolynomialFunctionValue(BP$1,$BD58,AllTriggers)</f>
        <v>1.7786057091062717E-3</v>
      </c>
      <c r="BQ58" s="47">
        <f>_xll.qlPolynomialFunctionValue('6MSynthDepo_used'!$P$18,BD58,AllTriggers)</f>
        <v>1.7996938688790815E-3</v>
      </c>
    </row>
    <row r="59" spans="3:69" x14ac:dyDescent="0.2">
      <c r="F59" s="190" t="str">
        <f t="shared" si="15"/>
        <v>5x11F</v>
      </c>
      <c r="G59" s="47">
        <f t="shared" si="16"/>
        <v>5.5977708858662221E-5</v>
      </c>
      <c r="H59" s="47">
        <f t="shared" si="16"/>
        <v>6.5336273474626583E-5</v>
      </c>
      <c r="S59" s="47">
        <f t="shared" ref="S59:AC59" si="22">$AD50-S50</f>
        <v>4.1383899154878815E-5</v>
      </c>
      <c r="T59" s="154">
        <f t="shared" si="22"/>
        <v>-1.5066657065378671E-4</v>
      </c>
      <c r="U59" s="155">
        <f t="shared" si="22"/>
        <v>1.3832841057186135E-5</v>
      </c>
      <c r="V59" s="47">
        <f t="shared" si="22"/>
        <v>7.9248364375757429E-5</v>
      </c>
      <c r="W59" s="47">
        <f t="shared" si="22"/>
        <v>4.1101350450114144E-5</v>
      </c>
      <c r="X59" s="154">
        <f t="shared" si="22"/>
        <v>-1.7127462592170204E-4</v>
      </c>
      <c r="Y59" s="155">
        <f t="shared" si="22"/>
        <v>-2.5672327348212739E-6</v>
      </c>
      <c r="Z59" s="200">
        <f t="shared" si="22"/>
        <v>-8.0166880469094719E-6</v>
      </c>
      <c r="AA59" s="47">
        <f t="shared" si="22"/>
        <v>-7.0914823042841338E-6</v>
      </c>
      <c r="AB59" s="47">
        <f t="shared" si="22"/>
        <v>-3.710515233366988E-6</v>
      </c>
      <c r="AC59" s="47">
        <f t="shared" si="22"/>
        <v>-1.7360731065118229E-6</v>
      </c>
      <c r="BC59" s="178">
        <f>_xll.qlCalendarAdvance(Calendar,BC58,"1d","mf",,Trigger)</f>
        <v>42354</v>
      </c>
      <c r="BD59" s="41">
        <f>_xll.qlDayCounterYearFraction(DayCounter,SettlementDate,BC59,,,Trigger)</f>
        <v>0.20833333333333334</v>
      </c>
      <c r="BE59" s="47">
        <f>_xll.qlPolynomialFunctionValue(BE$1,$BD59,AllTriggers)</f>
        <v>1.8036301755505405E-3</v>
      </c>
      <c r="BF59" s="47">
        <f>_xll.qlPolynomialFunctionValue(BF$1,$BD59,AllTriggers)</f>
        <v>1.8081681927987945E-3</v>
      </c>
      <c r="BG59" s="47">
        <f>_xll.qlPolynomialFunctionValue(BG$1,$BD59,AllTriggers)</f>
        <v>1.810331868077475E-3</v>
      </c>
      <c r="BH59" s="47">
        <f>_xll.qlPolynomialFunctionValue(BH$1,$BD59,AllTriggers)</f>
        <v>1.8276802464986263E-3</v>
      </c>
      <c r="BI59" s="47">
        <f>_xll.qlPolynomialFunctionValue(BI$1,$BD59,AllTriggers)</f>
        <v>1.8030077556476884E-3</v>
      </c>
      <c r="BJ59" s="47">
        <f>_xll.qlPolynomialFunctionValue(BJ$1,$BD59,AllTriggers)</f>
        <v>1.8103691881367556E-3</v>
      </c>
      <c r="BK59" s="47">
        <f>_xll.qlPolynomialFunctionValue(BK$1,$BD59,AllTriggers)</f>
        <v>1.8136508653373699E-3</v>
      </c>
      <c r="BL59" s="47">
        <f>_xll.qlPolynomialFunctionValue(BL$1,$BD59,AllTriggers)</f>
        <v>1.8319209559131812E-3</v>
      </c>
      <c r="BM59" s="47">
        <f>_xll.qlPolynomialFunctionValue(BM$1,$BD59,AllTriggers)</f>
        <v>1.7958459581019675E-3</v>
      </c>
      <c r="BN59" s="47">
        <f>_xll.qlPolynomialFunctionValue(BN$1,$BD59,AllTriggers)</f>
        <v>1.7976064297377577E-3</v>
      </c>
      <c r="BO59" s="47">
        <f>_xll.qlPolynomialFunctionValue(BO$1,$BD59,AllTriggers)</f>
        <v>1.7870956894817706E-3</v>
      </c>
      <c r="BP59" s="47">
        <f>_xll.qlPolynomialFunctionValue(BP$1,$BD59,AllTriggers)</f>
        <v>1.7804837467946955E-3</v>
      </c>
      <c r="BQ59" s="47">
        <f>_xll.qlPolynomialFunctionValue('6MSynthDepo_used'!$P$18,BD59,AllTriggers)</f>
        <v>1.8015940344970707E-3</v>
      </c>
    </row>
    <row r="60" spans="3:69" x14ac:dyDescent="0.2">
      <c r="F60" s="191" t="str">
        <f t="shared" si="15"/>
        <v>6x12F</v>
      </c>
      <c r="G60" s="159">
        <f t="shared" si="16"/>
        <v>6.0408249313786516E-5</v>
      </c>
      <c r="H60" s="159">
        <f t="shared" si="16"/>
        <v>9.0687324610788791E-5</v>
      </c>
      <c r="K60" s="55"/>
      <c r="L60" s="55"/>
      <c r="M60" s="55"/>
      <c r="N60" s="55"/>
      <c r="S60" s="159">
        <f t="shared" ref="S60:AC60" si="23">$AD51-S51</f>
        <v>4.9011785860935769E-5</v>
      </c>
      <c r="T60" s="160">
        <f t="shared" si="23"/>
        <v>-2.851432623857626E-4</v>
      </c>
      <c r="U60" s="161">
        <f t="shared" si="23"/>
        <v>1.4680593968431421E-5</v>
      </c>
      <c r="V60" s="159">
        <f t="shared" si="23"/>
        <v>1.1527632259447827E-4</v>
      </c>
      <c r="W60" s="159">
        <f t="shared" si="23"/>
        <v>4.9319557637862163E-5</v>
      </c>
      <c r="X60" s="160">
        <f t="shared" si="23"/>
        <v>-3.1788172273724744E-4</v>
      </c>
      <c r="Y60" s="161">
        <f t="shared" si="23"/>
        <v>-6.3001782892672107E-6</v>
      </c>
      <c r="Z60" s="241">
        <f t="shared" si="23"/>
        <v>-1.8998941896088871E-5</v>
      </c>
      <c r="AA60" s="159">
        <f t="shared" si="23"/>
        <v>-1.3405146691821502E-5</v>
      </c>
      <c r="AB60" s="159">
        <f t="shared" si="23"/>
        <v>-3.6683406465313204E-6</v>
      </c>
      <c r="AC60" s="159">
        <f t="shared" si="23"/>
        <v>5.0717468100433506E-6</v>
      </c>
      <c r="BC60" s="178">
        <f>_xll.qlCalendarAdvance(Calendar,BC59,"1d","mf",,Trigger)</f>
        <v>42355</v>
      </c>
      <c r="BD60" s="41">
        <f>_xll.qlDayCounterYearFraction(DayCounter,SettlementDate,BC60,,,Trigger)</f>
        <v>0.21111111111111111</v>
      </c>
      <c r="BE60" s="47">
        <f>_xll.qlPolynomialFunctionValue(BE$1,$BD60,AllTriggers)</f>
        <v>1.8049812195744359E-3</v>
      </c>
      <c r="BF60" s="47">
        <f>_xll.qlPolynomialFunctionValue(BF$1,$BD60,AllTriggers)</f>
        <v>1.809666476982991E-3</v>
      </c>
      <c r="BG60" s="47">
        <f>_xll.qlPolynomialFunctionValue(BG$1,$BD60,AllTriggers)</f>
        <v>1.8115447328740108E-3</v>
      </c>
      <c r="BH60" s="47">
        <f>_xll.qlPolynomialFunctionValue(BH$1,$BD60,AllTriggers)</f>
        <v>1.8266046146826356E-3</v>
      </c>
      <c r="BI60" s="47">
        <f>_xll.qlPolynomialFunctionValue(BI$1,$BD60,AllTriggers)</f>
        <v>1.8044289326357315E-3</v>
      </c>
      <c r="BJ60" s="47">
        <f>_xll.qlPolynomialFunctionValue(BJ$1,$BD60,AllTriggers)</f>
        <v>1.812003682423239E-3</v>
      </c>
      <c r="BK60" s="47">
        <f>_xll.qlPolynomialFunctionValue(BK$1,$BD60,AllTriggers)</f>
        <v>1.8148455931830795E-3</v>
      </c>
      <c r="BL60" s="47">
        <f>_xll.qlPolynomialFunctionValue(BL$1,$BD60,AllTriggers)</f>
        <v>1.8306673708341408E-3</v>
      </c>
      <c r="BM60" s="47">
        <f>_xll.qlPolynomialFunctionValue(BM$1,$BD60,AllTriggers)</f>
        <v>1.7974078720378202E-3</v>
      </c>
      <c r="BN60" s="47">
        <f>_xll.qlPolynomialFunctionValue(BN$1,$BD60,AllTriggers)</f>
        <v>1.7989891114683378E-3</v>
      </c>
      <c r="BO60" s="47">
        <f>_xll.qlPolynomialFunctionValue(BO$1,$BD60,AllTriggers)</f>
        <v>1.7887368931797511E-3</v>
      </c>
      <c r="BP60" s="47">
        <f>_xll.qlPolynomialFunctionValue(BP$1,$BD60,AllTriggers)</f>
        <v>1.7823594385033698E-3</v>
      </c>
      <c r="BQ60" s="47">
        <f>_xll.qlPolynomialFunctionValue('6MSynthDepo_used'!$P$18,BD60,AllTriggers)</f>
        <v>1.8034892011148818E-3</v>
      </c>
    </row>
    <row r="61" spans="3:69" x14ac:dyDescent="0.2">
      <c r="K61" s="55"/>
      <c r="L61" s="55"/>
      <c r="M61" s="55"/>
      <c r="N61" s="55"/>
      <c r="BC61" s="178">
        <f>_xll.qlCalendarAdvance(Calendar,BC60,"1d","mf",,Trigger)</f>
        <v>42356</v>
      </c>
      <c r="BD61" s="41">
        <f>_xll.qlDayCounterYearFraction(DayCounter,SettlementDate,BC61,,,Trigger)</f>
        <v>0.21388888888888888</v>
      </c>
      <c r="BE61" s="47">
        <f>_xll.qlPolynomialFunctionValue(BE$1,$BD61,AllTriggers)</f>
        <v>1.8063322635983312E-3</v>
      </c>
      <c r="BF61" s="47">
        <f>_xll.qlPolynomialFunctionValue(BF$1,$BD61,AllTriggers)</f>
        <v>1.8111602307007168E-3</v>
      </c>
      <c r="BG61" s="47">
        <f>_xll.qlPolynomialFunctionValue(BG$1,$BD61,AllTriggers)</f>
        <v>1.8127575976705469E-3</v>
      </c>
      <c r="BH61" s="47">
        <f>_xll.qlPolynomialFunctionValue(BH$1,$BD61,AllTriggers)</f>
        <v>1.8255653082097007E-3</v>
      </c>
      <c r="BI61" s="47">
        <f>_xll.qlPolynomialFunctionValue(BI$1,$BD61,AllTriggers)</f>
        <v>1.8058501096237748E-3</v>
      </c>
      <c r="BJ61" s="47">
        <f>_xll.qlPolynomialFunctionValue(BJ$1,$BD61,AllTriggers)</f>
        <v>1.8136311120335459E-3</v>
      </c>
      <c r="BK61" s="47">
        <f>_xll.qlPolynomialFunctionValue(BK$1,$BD61,AllTriggers)</f>
        <v>1.8160403210287889E-3</v>
      </c>
      <c r="BL61" s="47">
        <f>_xll.qlPolynomialFunctionValue(BL$1,$BD61,AllTriggers)</f>
        <v>1.8294531169463595E-3</v>
      </c>
      <c r="BM61" s="47">
        <f>_xll.qlPolynomialFunctionValue(BM$1,$BD61,AllTriggers)</f>
        <v>1.798969785973673E-3</v>
      </c>
      <c r="BN61" s="47">
        <f>_xll.qlPolynomialFunctionValue(BN$1,$BD61,AllTriggers)</f>
        <v>1.8003739873981778E-3</v>
      </c>
      <c r="BO61" s="47">
        <f>_xll.qlPolynomialFunctionValue(BO$1,$BD61,AllTriggers)</f>
        <v>1.7903780968777316E-3</v>
      </c>
      <c r="BP61" s="47">
        <f>_xll.qlPolynomialFunctionValue(BP$1,$BD61,AllTriggers)</f>
        <v>1.7842327842322939E-3</v>
      </c>
      <c r="BQ61" s="47">
        <f>_xll.qlPolynomialFunctionValue('6MSynthDepo_used'!$P$18,BD61,AllTriggers)</f>
        <v>1.8053793828355978E-3</v>
      </c>
    </row>
    <row r="62" spans="3:69" x14ac:dyDescent="0.2">
      <c r="K62" s="55"/>
      <c r="L62" s="55"/>
      <c r="M62" s="55"/>
      <c r="N62" s="55"/>
      <c r="BC62" s="178">
        <f>_xll.qlCalendarAdvance(Calendar,BC61,"1d","mf",,Trigger)</f>
        <v>42359</v>
      </c>
      <c r="BD62" s="41">
        <f>_xll.qlDayCounterYearFraction(DayCounter,SettlementDate,BC62,,,Trigger)</f>
        <v>0.22222222222222221</v>
      </c>
      <c r="BE62" s="47">
        <f>_xll.qlPolynomialFunctionValue(BE$1,$BD62,AllTriggers)</f>
        <v>1.8103853956700174E-3</v>
      </c>
      <c r="BF62" s="47">
        <f>_xll.qlPolynomialFunctionValue(BF$1,$BD62,AllTriggers)</f>
        <v>1.8156143090550694E-3</v>
      </c>
      <c r="BG62" s="47">
        <f>_xll.qlPolynomialFunctionValue(BG$1,$BD62,AllTriggers)</f>
        <v>1.8163961920601545E-3</v>
      </c>
      <c r="BH62" s="47">
        <f>_xll.qlPolynomialFunctionValue(BH$1,$BD62,AllTriggers)</f>
        <v>1.8226653408492321E-3</v>
      </c>
      <c r="BI62" s="47">
        <f>_xll.qlPolynomialFunctionValue(BI$1,$BD62,AllTriggers)</f>
        <v>1.8101136405879042E-3</v>
      </c>
      <c r="BJ62" s="47">
        <f>_xll.qlPolynomialFunctionValue(BJ$1,$BD62,AllTriggers)</f>
        <v>1.8184710128074102E-3</v>
      </c>
      <c r="BK62" s="47">
        <f>_xll.qlPolynomialFunctionValue(BK$1,$BD62,AllTriggers)</f>
        <v>1.8196245045659176E-3</v>
      </c>
      <c r="BL62" s="47">
        <f>_xll.qlPolynomialFunctionValue(BL$1,$BD62,AllTriggers)</f>
        <v>1.8260463424305707E-3</v>
      </c>
      <c r="BM62" s="47">
        <f>_xll.qlPolynomialFunctionValue(BM$1,$BD62,AllTriggers)</f>
        <v>1.8036555277812312E-3</v>
      </c>
      <c r="BN62" s="47">
        <f>_xll.qlPolynomialFunctionValue(BN$1,$BD62,AllTriggers)</f>
        <v>1.8045417803832567E-3</v>
      </c>
      <c r="BO62" s="47">
        <f>_xll.qlPolynomialFunctionValue(BO$1,$BD62,AllTriggers)</f>
        <v>1.7953017079716733E-3</v>
      </c>
      <c r="BP62" s="47">
        <f>_xll.qlPolynomialFunctionValue(BP$1,$BD62,AllTriggers)</f>
        <v>1.7898387455405678E-3</v>
      </c>
      <c r="BQ62" s="47">
        <f>_xll.qlPolynomialFunctionValue('6MSynthDepo_used'!$P$18,BD62,AllTriggers)</f>
        <v>1.8110201596459969E-3</v>
      </c>
    </row>
    <row r="63" spans="3:69" x14ac:dyDescent="0.2">
      <c r="C63" s="194"/>
      <c r="D63" s="194"/>
      <c r="E63" s="195"/>
      <c r="H63" s="35"/>
      <c r="K63" s="55"/>
      <c r="L63" s="55"/>
      <c r="M63" s="55"/>
      <c r="N63" s="55"/>
      <c r="P63" s="35"/>
      <c r="Q63" s="35"/>
      <c r="R63" s="34"/>
      <c r="S63" s="34"/>
      <c r="BC63" s="178">
        <f>_xll.qlCalendarAdvance(Calendar,BC62,"1d","mf",,Trigger)</f>
        <v>42360</v>
      </c>
      <c r="BD63" s="41">
        <f>_xll.qlDayCounterYearFraction(DayCounter,SettlementDate,BC63,,,Trigger)</f>
        <v>0.22500000000000001</v>
      </c>
      <c r="BE63" s="47">
        <f>_xll.qlPolynomialFunctionValue(BE$1,$BD63,AllTriggers)</f>
        <v>1.811736439693913E-3</v>
      </c>
      <c r="BF63" s="47">
        <f>_xll.qlPolynomialFunctionValue(BF$1,$BD63,AllTriggers)</f>
        <v>1.8170899409069119E-3</v>
      </c>
      <c r="BG63" s="47">
        <f>_xll.qlPolynomialFunctionValue(BG$1,$BD63,AllTriggers)</f>
        <v>1.8176090568566906E-3</v>
      </c>
      <c r="BH63" s="47">
        <f>_xll.qlPolynomialFunctionValue(BH$1,$BD63,AllTriggers)</f>
        <v>1.8217713357485212E-3</v>
      </c>
      <c r="BI63" s="47">
        <f>_xll.qlPolynomialFunctionValue(BI$1,$BD63,AllTriggers)</f>
        <v>1.8115348175759475E-3</v>
      </c>
      <c r="BJ63" s="47">
        <f>_xll.qlPolynomialFunctionValue(BJ$1,$BD63,AllTriggers)</f>
        <v>1.8200701837130121E-3</v>
      </c>
      <c r="BK63" s="47">
        <f>_xll.qlPolynomialFunctionValue(BK$1,$BD63,AllTriggers)</f>
        <v>1.8208192324116273E-3</v>
      </c>
      <c r="BL63" s="47">
        <f>_xll.qlPolynomialFunctionValue(BL$1,$BD63,AllTriggers)</f>
        <v>1.8249894133078261E-3</v>
      </c>
      <c r="BM63" s="47">
        <f>_xll.qlPolynomialFunctionValue(BM$1,$BD63,AllTriggers)</f>
        <v>1.8052174417170839E-3</v>
      </c>
      <c r="BN63" s="47">
        <f>_xll.qlPolynomialFunctionValue(BN$1,$BD63,AllTriggers)</f>
        <v>1.8059354331101357E-3</v>
      </c>
      <c r="BO63" s="47">
        <f>_xll.qlPolynomialFunctionValue(BO$1,$BD63,AllTriggers)</f>
        <v>1.7969429116696538E-3</v>
      </c>
      <c r="BP63" s="47">
        <f>_xll.qlPolynomialFunctionValue(BP$1,$BD63,AllTriggers)</f>
        <v>1.7917027073504931E-3</v>
      </c>
      <c r="BQ63" s="47">
        <f>_xll.qlPolynomialFunctionValue('6MSynthDepo_used'!$P$18,BD63,AllTriggers)</f>
        <v>1.8128905428091552E-3</v>
      </c>
    </row>
    <row r="64" spans="3:69" x14ac:dyDescent="0.2">
      <c r="C64" s="194"/>
      <c r="D64" s="194"/>
      <c r="E64" s="195"/>
      <c r="H64" s="35"/>
      <c r="K64" s="55"/>
      <c r="L64" s="55"/>
      <c r="M64" s="55"/>
      <c r="N64" s="55"/>
      <c r="P64" s="35"/>
      <c r="Q64" s="35"/>
      <c r="R64" s="35"/>
      <c r="S64" s="35"/>
      <c r="BC64" s="178">
        <f>_xll.qlCalendarAdvance(Calendar,BC63,"1d","mf",,Trigger)</f>
        <v>42361</v>
      </c>
      <c r="BD64" s="41">
        <f>_xll.qlDayCounterYearFraction(DayCounter,SettlementDate,BC64,,,Trigger)</f>
        <v>0.22777777777777777</v>
      </c>
      <c r="BE64" s="47">
        <f>_xll.qlPolynomialFunctionValue(BE$1,$BD64,AllTriggers)</f>
        <v>1.8130874837178083E-3</v>
      </c>
      <c r="BF64" s="47">
        <f>_xll.qlPolynomialFunctionValue(BF$1,$BD64,AllTriggers)</f>
        <v>1.8185610422922836E-3</v>
      </c>
      <c r="BG64" s="47">
        <f>_xll.qlPolynomialFunctionValue(BG$1,$BD64,AllTriggers)</f>
        <v>1.8188219216532266E-3</v>
      </c>
      <c r="BH64" s="47">
        <f>_xll.qlPolynomialFunctionValue(BH$1,$BD64,AllTriggers)</f>
        <v>1.8209136559908662E-3</v>
      </c>
      <c r="BI64" s="47">
        <f>_xll.qlPolynomialFunctionValue(BI$1,$BD64,AllTriggers)</f>
        <v>1.8129559945639908E-3</v>
      </c>
      <c r="BJ64" s="47">
        <f>_xll.qlPolynomialFunctionValue(BJ$1,$BD64,AllTriggers)</f>
        <v>1.8216622899424383E-3</v>
      </c>
      <c r="BK64" s="47">
        <f>_xll.qlPolynomialFunctionValue(BK$1,$BD64,AllTriggers)</f>
        <v>1.8220139602573369E-3</v>
      </c>
      <c r="BL64" s="47">
        <f>_xll.qlPolynomialFunctionValue(BL$1,$BD64,AllTriggers)</f>
        <v>1.8239718153763409E-3</v>
      </c>
      <c r="BM64" s="47">
        <f>_xll.qlPolynomialFunctionValue(BM$1,$BD64,AllTriggers)</f>
        <v>1.8067793556529367E-3</v>
      </c>
      <c r="BN64" s="47">
        <f>_xll.qlPolynomialFunctionValue(BN$1,$BD64,AllTriggers)</f>
        <v>1.8073312800362747E-3</v>
      </c>
      <c r="BO64" s="47">
        <f>_xll.qlPolynomialFunctionValue(BO$1,$BD64,AllTriggers)</f>
        <v>1.7985841153676345E-3</v>
      </c>
      <c r="BP64" s="47">
        <f>_xll.qlPolynomialFunctionValue(BP$1,$BD64,AllTriggers)</f>
        <v>1.7935643231806683E-3</v>
      </c>
      <c r="BQ64" s="47">
        <f>_xll.qlPolynomialFunctionValue('6MSynthDepo_used'!$P$18,BD64,AllTriggers)</f>
        <v>1.8147560115906302E-3</v>
      </c>
    </row>
    <row r="65" spans="3:69" x14ac:dyDescent="0.2">
      <c r="C65" s="194"/>
      <c r="D65" s="194"/>
      <c r="E65" s="195"/>
      <c r="H65" s="35"/>
      <c r="K65" s="55"/>
      <c r="L65" s="55"/>
      <c r="M65" s="55"/>
      <c r="N65" s="55"/>
      <c r="P65" s="35"/>
      <c r="Q65" s="35"/>
      <c r="R65" s="35"/>
      <c r="S65" s="35"/>
      <c r="BC65" s="178">
        <f>_xll.qlCalendarAdvance(Calendar,BC64,"1d","mf",,Trigger)</f>
        <v>42362</v>
      </c>
      <c r="BD65" s="41">
        <f>_xll.qlDayCounterYearFraction(DayCounter,SettlementDate,BC65,,,Trigger)</f>
        <v>0.23055555555555557</v>
      </c>
      <c r="BE65" s="47">
        <f>_xll.qlPolynomialFunctionValue(BE$1,$BD65,AllTriggers)</f>
        <v>1.8144385277417039E-3</v>
      </c>
      <c r="BF65" s="47">
        <f>_xll.qlPolynomialFunctionValue(BF$1,$BD65,AllTriggers)</f>
        <v>1.8200276132111844E-3</v>
      </c>
      <c r="BG65" s="47">
        <f>_xll.qlPolynomialFunctionValue(BG$1,$BD65,AllTriggers)</f>
        <v>1.8200347864497624E-3</v>
      </c>
      <c r="BH65" s="47">
        <f>_xll.qlPolynomialFunctionValue(BH$1,$BD65,AllTriggers)</f>
        <v>1.8200923015762671E-3</v>
      </c>
      <c r="BI65" s="47">
        <f>_xll.qlPolynomialFunctionValue(BI$1,$BD65,AllTriggers)</f>
        <v>1.8143771715520339E-3</v>
      </c>
      <c r="BJ65" s="47">
        <f>_xll.qlPolynomialFunctionValue(BJ$1,$BD65,AllTriggers)</f>
        <v>1.8232473314956879E-3</v>
      </c>
      <c r="BK65" s="47">
        <f>_xll.qlPolynomialFunctionValue(BK$1,$BD65,AllTriggers)</f>
        <v>1.8232086881030463E-3</v>
      </c>
      <c r="BL65" s="47">
        <f>_xll.qlPolynomialFunctionValue(BL$1,$BD65,AllTriggers)</f>
        <v>1.8229935486361148E-3</v>
      </c>
      <c r="BM65" s="47">
        <f>_xll.qlPolynomialFunctionValue(BM$1,$BD65,AllTriggers)</f>
        <v>1.8083412695887894E-3</v>
      </c>
      <c r="BN65" s="47">
        <f>_xll.qlPolynomialFunctionValue(BN$1,$BD65,AllTriggers)</f>
        <v>1.8087293211616737E-3</v>
      </c>
      <c r="BO65" s="47">
        <f>_xll.qlPolynomialFunctionValue(BO$1,$BD65,AllTriggers)</f>
        <v>1.800225319065615E-3</v>
      </c>
      <c r="BP65" s="47">
        <f>_xll.qlPolynomialFunctionValue(BP$1,$BD65,AllTriggers)</f>
        <v>1.7954235930310938E-3</v>
      </c>
      <c r="BQ65" s="47">
        <f>_xll.qlPolynomialFunctionValue('6MSynthDepo_used'!$P$18,BD65,AllTriggers)</f>
        <v>1.8166165800935041E-3</v>
      </c>
    </row>
    <row r="66" spans="3:69" x14ac:dyDescent="0.2">
      <c r="C66" s="194"/>
      <c r="D66" s="194"/>
      <c r="E66" s="195"/>
      <c r="H66" s="35"/>
      <c r="K66" s="55"/>
      <c r="L66" s="55"/>
      <c r="M66" s="55"/>
      <c r="N66" s="55"/>
      <c r="P66" s="35"/>
      <c r="Q66" s="35"/>
      <c r="R66" s="35"/>
      <c r="S66" s="35"/>
      <c r="BC66" s="178">
        <f>_xll.qlCalendarAdvance(Calendar,BC65,"1d","mf",,Trigger)</f>
        <v>42366</v>
      </c>
      <c r="BD66" s="41">
        <f>_xll.qlDayCounterYearFraction(DayCounter,SettlementDate,BC66,,,Trigger)</f>
        <v>0.24166666666666667</v>
      </c>
      <c r="BE66" s="47">
        <f>_xll.qlPolynomialFunctionValue(BE$1,$BD66,AllTriggers)</f>
        <v>1.8198427038372854E-3</v>
      </c>
      <c r="BF66" s="47">
        <f>_xll.qlPolynomialFunctionValue(BF$1,$BD66,AllTriggers)</f>
        <v>1.8258485922220801E-3</v>
      </c>
      <c r="BG66" s="47">
        <f>_xll.qlPolynomialFunctionValue(BG$1,$BD66,AllTriggers)</f>
        <v>1.8248862456359061E-3</v>
      </c>
      <c r="BH66" s="47">
        <f>_xll.qlPolynomialFunctionValue(BH$1,$BD66,AllTriggers)</f>
        <v>1.8171701373484311E-3</v>
      </c>
      <c r="BI66" s="47">
        <f>_xll.qlPolynomialFunctionValue(BI$1,$BD66,AllTriggers)</f>
        <v>1.8200618795042066E-3</v>
      </c>
      <c r="BJ66" s="47">
        <f>_xll.qlPolynomialFunctionValue(BJ$1,$BD66,AllTriggers)</f>
        <v>1.8295168509469245E-3</v>
      </c>
      <c r="BK66" s="47">
        <f>_xll.qlPolynomialFunctionValue(BK$1,$BD66,AllTriggers)</f>
        <v>1.8279875994858846E-3</v>
      </c>
      <c r="BL66" s="47">
        <f>_xll.qlPolynomialFunctionValue(BL$1,$BD66,AllTriggers)</f>
        <v>1.8194737935878025E-3</v>
      </c>
      <c r="BM66" s="47">
        <f>_xll.qlPolynomialFunctionValue(BM$1,$BD66,AllTriggers)</f>
        <v>1.8145889253322002E-3</v>
      </c>
      <c r="BN66" s="47">
        <f>_xll.qlPolynomialFunctionValue(BN$1,$BD66,AllTriggers)</f>
        <v>1.814343427655867E-3</v>
      </c>
      <c r="BO66" s="47">
        <f>_xll.qlPolynomialFunctionValue(BO$1,$BD66,AllTriggers)</f>
        <v>1.8067901338575372E-3</v>
      </c>
      <c r="BP66" s="47">
        <f>_xll.qlPolynomialFunctionValue(BP$1,$BD66,AllTriggers)</f>
        <v>1.8028372126352974E-3</v>
      </c>
      <c r="BQ66" s="47">
        <f>_xll.qlPolynomialFunctionValue('6MSynthDepo_used'!$P$18,BD66,AllTriggers)</f>
        <v>1.8240101333806393E-3</v>
      </c>
    </row>
    <row r="67" spans="3:69" x14ac:dyDescent="0.2">
      <c r="C67" s="194"/>
      <c r="D67" s="194"/>
      <c r="E67" s="195"/>
      <c r="H67" s="35"/>
      <c r="K67" s="55"/>
      <c r="L67" s="55"/>
      <c r="M67" s="55"/>
      <c r="N67" s="55"/>
      <c r="P67" s="35"/>
      <c r="Q67" s="35"/>
      <c r="R67" s="35"/>
      <c r="S67" s="35"/>
      <c r="BC67" s="178">
        <f>_xll.qlCalendarAdvance(Calendar,BC66,"1d","mf",,Trigger)</f>
        <v>42367</v>
      </c>
      <c r="BD67" s="41">
        <f>_xll.qlDayCounterYearFraction(DayCounter,SettlementDate,BC67,,,Trigger)</f>
        <v>0.24444444444444444</v>
      </c>
      <c r="BE67" s="47">
        <f>_xll.qlPolynomialFunctionValue(BE$1,$BD67,AllTriggers)</f>
        <v>1.8211937478611808E-3</v>
      </c>
      <c r="BF67" s="47">
        <f>_xll.qlPolynomialFunctionValue(BF$1,$BD67,AllTriggers)</f>
        <v>1.8272925108086271E-3</v>
      </c>
      <c r="BG67" s="47">
        <f>_xll.qlPolynomialFunctionValue(BG$1,$BD67,AllTriggers)</f>
        <v>1.8260991104324421E-3</v>
      </c>
      <c r="BH67" s="47">
        <f>_xll.qlPolynomialFunctionValue(BH$1,$BD67,AllTriggers)</f>
        <v>1.816530409649112E-3</v>
      </c>
      <c r="BI67" s="47">
        <f>_xll.qlPolynomialFunctionValue(BI$1,$BD67,AllTriggers)</f>
        <v>1.8214830564922499E-3</v>
      </c>
      <c r="BJ67" s="47">
        <f>_xll.qlPolynomialFunctionValue(BJ$1,$BD67,AllTriggers)</f>
        <v>1.831066569119293E-3</v>
      </c>
      <c r="BK67" s="47">
        <f>_xll.qlPolynomialFunctionValue(BK$1,$BD67,AllTriggers)</f>
        <v>1.8291823273315943E-3</v>
      </c>
      <c r="BL67" s="47">
        <f>_xll.qlPolynomialFunctionValue(BL$1,$BD67,AllTriggers)</f>
        <v>1.8186921828038725E-3</v>
      </c>
      <c r="BM67" s="47">
        <f>_xll.qlPolynomialFunctionValue(BM$1,$BD67,AllTriggers)</f>
        <v>1.8161508392680529E-3</v>
      </c>
      <c r="BN67" s="47">
        <f>_xll.qlPolynomialFunctionValue(BN$1,$BD67,AllTriggers)</f>
        <v>1.815752439777565E-3</v>
      </c>
      <c r="BO67" s="47">
        <f>_xll.qlPolynomialFunctionValue(BO$1,$BD67,AllTriggers)</f>
        <v>1.8084313375555177E-3</v>
      </c>
      <c r="BP67" s="47">
        <f>_xll.qlPolynomialFunctionValue(BP$1,$BD67,AllTriggers)</f>
        <v>1.8046847525869738E-3</v>
      </c>
      <c r="BQ67" s="47">
        <f>_xll.qlPolynomialFunctionValue('6MSynthDepo_used'!$P$18,BD67,AllTriggers)</f>
        <v>1.8258464120367449E-3</v>
      </c>
    </row>
    <row r="68" spans="3:69" x14ac:dyDescent="0.2">
      <c r="C68" s="194"/>
      <c r="D68" s="194"/>
      <c r="E68" s="195"/>
      <c r="H68" s="35"/>
      <c r="K68" s="55"/>
      <c r="L68" s="55"/>
      <c r="M68" s="55"/>
      <c r="N68" s="55"/>
      <c r="P68" s="35"/>
      <c r="Q68" s="35"/>
      <c r="R68" s="35"/>
      <c r="S68" s="35"/>
      <c r="BC68" s="178">
        <f>_xll.qlCalendarAdvance(Calendar,BC67,"1d","mf",,Trigger)</f>
        <v>42368</v>
      </c>
      <c r="BD68" s="41">
        <f>_xll.qlDayCounterYearFraction(DayCounter,SettlementDate,BC68,,,Trigger)</f>
        <v>0.24722222222222223</v>
      </c>
      <c r="BE68" s="47">
        <f>_xll.qlPolynomialFunctionValue(BE$1,$BD68,AllTriggers)</f>
        <v>1.8225447918850763E-3</v>
      </c>
      <c r="BF68" s="47">
        <f>_xll.qlPolynomialFunctionValue(BF$1,$BD68,AllTriggers)</f>
        <v>1.8287318989287031E-3</v>
      </c>
      <c r="BG68" s="47">
        <f>_xll.qlPolynomialFunctionValue(BG$1,$BD68,AllTriggers)</f>
        <v>1.827311975228978E-3</v>
      </c>
      <c r="BH68" s="47">
        <f>_xll.qlPolynomialFunctionValue(BH$1,$BD68,AllTriggers)</f>
        <v>1.815927007292849E-3</v>
      </c>
      <c r="BI68" s="47">
        <f>_xll.qlPolynomialFunctionValue(BI$1,$BD68,AllTriggers)</f>
        <v>1.822904233480293E-3</v>
      </c>
      <c r="BJ68" s="47">
        <f>_xll.qlPolynomialFunctionValue(BJ$1,$BD68,AllTriggers)</f>
        <v>1.8326092226154853E-3</v>
      </c>
      <c r="BK68" s="47">
        <f>_xll.qlPolynomialFunctionValue(BK$1,$BD68,AllTriggers)</f>
        <v>1.8303770551773037E-3</v>
      </c>
      <c r="BL68" s="47">
        <f>_xll.qlPolynomialFunctionValue(BL$1,$BD68,AllTriggers)</f>
        <v>1.8179499032112015E-3</v>
      </c>
      <c r="BM68" s="47">
        <f>_xll.qlPolynomialFunctionValue(BM$1,$BD68,AllTriggers)</f>
        <v>1.8177127532039057E-3</v>
      </c>
      <c r="BN68" s="47">
        <f>_xll.qlPolynomialFunctionValue(BN$1,$BD68,AllTriggers)</f>
        <v>1.8171636460985227E-3</v>
      </c>
      <c r="BO68" s="47">
        <f>_xll.qlPolynomialFunctionValue(BO$1,$BD68,AllTriggers)</f>
        <v>1.8100725412534982E-3</v>
      </c>
      <c r="BP68" s="47">
        <f>_xll.qlPolynomialFunctionValue(BP$1,$BD68,AllTriggers)</f>
        <v>1.8065299465589008E-3</v>
      </c>
      <c r="BQ68" s="47">
        <f>_xll.qlPolynomialFunctionValue('6MSynthDepo_used'!$P$18,BD68,AllTriggers)</f>
        <v>1.8276778750327444E-3</v>
      </c>
    </row>
    <row r="69" spans="3:69" x14ac:dyDescent="0.2">
      <c r="C69" s="194"/>
      <c r="D69" s="194"/>
      <c r="E69" s="195"/>
      <c r="G69" s="196"/>
      <c r="H69" s="35"/>
      <c r="J69" s="196"/>
      <c r="K69" s="55"/>
      <c r="L69" s="55"/>
      <c r="M69" s="55"/>
      <c r="N69" s="55"/>
      <c r="P69" s="35"/>
      <c r="Q69" s="35"/>
      <c r="R69" s="35"/>
      <c r="S69" s="35"/>
      <c r="BC69" s="178">
        <f>_xll.qlCalendarAdvance(Calendar,BC68,"1d","mf",,Trigger)</f>
        <v>42369</v>
      </c>
      <c r="BD69" s="41">
        <f>_xll.qlDayCounterYearFraction(DayCounter,SettlementDate,BC69,,,Trigger)</f>
        <v>0.25</v>
      </c>
      <c r="BE69" s="47">
        <f>_xll.qlPolynomialFunctionValue(BE$1,$BD69,AllTriggers)</f>
        <v>1.8238958359089717E-3</v>
      </c>
      <c r="BF69" s="47">
        <f>_xll.qlPolynomialFunctionValue(BF$1,$BD69,AllTriggers)</f>
        <v>1.8301667565823083E-3</v>
      </c>
      <c r="BG69" s="47">
        <f>_xll.qlPolynomialFunctionValue(BG$1,$BD69,AllTriggers)</f>
        <v>1.828524840025514E-3</v>
      </c>
      <c r="BH69" s="47">
        <f>_xll.qlPolynomialFunctionValue(BH$1,$BD69,AllTriggers)</f>
        <v>1.8153599302796421E-3</v>
      </c>
      <c r="BI69" s="47">
        <f>_xll.qlPolynomialFunctionValue(BI$1,$BD69,AllTriggers)</f>
        <v>1.8243254104683363E-3</v>
      </c>
      <c r="BJ69" s="47">
        <f>_xll.qlPolynomialFunctionValue(BJ$1,$BD69,AllTriggers)</f>
        <v>1.8341448114355015E-3</v>
      </c>
      <c r="BK69" s="47">
        <f>_xll.qlPolynomialFunctionValue(BK$1,$BD69,AllTriggers)</f>
        <v>1.8315717830230133E-3</v>
      </c>
      <c r="BL69" s="47">
        <f>_xll.qlPolynomialFunctionValue(BL$1,$BD69,AllTriggers)</f>
        <v>1.8172469548097901E-3</v>
      </c>
      <c r="BM69" s="47">
        <f>_xll.qlPolynomialFunctionValue(BM$1,$BD69,AllTriggers)</f>
        <v>1.8192746671397584E-3</v>
      </c>
      <c r="BN69" s="47">
        <f>_xll.qlPolynomialFunctionValue(BN$1,$BD69,AllTriggers)</f>
        <v>1.8185770466187402E-3</v>
      </c>
      <c r="BO69" s="47">
        <f>_xll.qlPolynomialFunctionValue(BO$1,$BD69,AllTriggers)</f>
        <v>1.8117137449514787E-3</v>
      </c>
      <c r="BP69" s="47">
        <f>_xll.qlPolynomialFunctionValue(BP$1,$BD69,AllTriggers)</f>
        <v>1.8083727945510776E-3</v>
      </c>
      <c r="BQ69" s="47">
        <f>_xll.qlPolynomialFunctionValue('6MSynthDepo_used'!$P$18,BD69,AllTriggers)</f>
        <v>1.8295045364717197E-3</v>
      </c>
    </row>
    <row r="70" spans="3:69" x14ac:dyDescent="0.2">
      <c r="C70" s="194"/>
      <c r="D70" s="194"/>
      <c r="E70" s="195"/>
      <c r="H70" s="35"/>
      <c r="K70" s="55"/>
      <c r="L70" s="55"/>
      <c r="M70" s="55"/>
      <c r="N70" s="55"/>
      <c r="P70" s="35"/>
      <c r="Q70" s="35"/>
      <c r="R70" s="35"/>
      <c r="S70" s="35"/>
      <c r="T70" s="35"/>
      <c r="BC70" s="178">
        <f>_xll.qlCalendarAdvance(Calendar,BC69,"1d","mf",,Trigger)</f>
        <v>42373</v>
      </c>
      <c r="BD70" s="41">
        <f>_xll.qlDayCounterYearFraction(DayCounter,SettlementDate,BC70,,,Trigger)</f>
        <v>0.26111111111111113</v>
      </c>
      <c r="BE70" s="47">
        <f>_xll.qlPolynomialFunctionValue(BE$1,$BD70,AllTriggers)</f>
        <v>1.8293000120045535E-3</v>
      </c>
      <c r="BF70" s="47">
        <f>_xll.qlPolynomialFunctionValue(BF$1,$BD70,AllTriggers)</f>
        <v>1.8358608825320216E-3</v>
      </c>
      <c r="BG70" s="47">
        <f>_xll.qlPolynomialFunctionValue(BG$1,$BD70,AllTriggers)</f>
        <v>1.8333762992116577E-3</v>
      </c>
      <c r="BH70" s="47">
        <f>_xll.qlPolynomialFunctionValue(BH$1,$BD70,AllTriggers)</f>
        <v>1.8134548756573734E-3</v>
      </c>
      <c r="BI70" s="47">
        <f>_xll.qlPolynomialFunctionValue(BI$1,$BD70,AllTriggers)</f>
        <v>1.830010118420509E-3</v>
      </c>
      <c r="BJ70" s="47">
        <f>_xll.qlPolynomialFunctionValue(BJ$1,$BD70,AllTriggers)</f>
        <v>1.8402165199538035E-3</v>
      </c>
      <c r="BK70" s="47">
        <f>_xll.qlPolynomialFunctionValue(BK$1,$BD70,AllTriggers)</f>
        <v>1.8363506944058517E-3</v>
      </c>
      <c r="BL70" s="47">
        <f>_xll.qlPolynomialFunctionValue(BL$1,$BD70,AllTriggers)</f>
        <v>1.8148284731167358E-3</v>
      </c>
      <c r="BM70" s="47">
        <f>_xll.qlPolynomialFunctionValue(BM$1,$BD70,AllTriggers)</f>
        <v>1.8255223228831694E-3</v>
      </c>
      <c r="BN70" s="47">
        <f>_xll.qlPolynomialFunctionValue(BN$1,$BD70,AllTriggers)</f>
        <v>1.8242525906922084E-3</v>
      </c>
      <c r="BO70" s="47">
        <f>_xll.qlPolynomialFunctionValue(BO$1,$BD70,AllTriggers)</f>
        <v>1.8182785597434009E-3</v>
      </c>
      <c r="BP70" s="47">
        <f>_xll.qlPolynomialFunctionValue(BP$1,$BD70,AllTriggers)</f>
        <v>1.8157207267222868E-3</v>
      </c>
      <c r="BQ70" s="47">
        <f>_xll.qlPolynomialFunctionValue('6MSynthDepo_used'!$P$18,BD70,AllTriggers)</f>
        <v>1.8367634487190306E-3</v>
      </c>
    </row>
    <row r="71" spans="3:69" x14ac:dyDescent="0.2">
      <c r="C71" s="194"/>
      <c r="D71" s="194"/>
      <c r="K71" s="55"/>
      <c r="L71" s="55"/>
      <c r="M71" s="55"/>
      <c r="N71" s="55"/>
      <c r="S71" s="35"/>
      <c r="T71" s="35"/>
      <c r="BC71" s="178">
        <f>_xll.qlCalendarAdvance(Calendar,BC70,"1d","mf",,Trigger)</f>
        <v>42374</v>
      </c>
      <c r="BD71" s="41">
        <f>_xll.qlDayCounterYearFraction(DayCounter,SettlementDate,BC71,,,Trigger)</f>
        <v>0.2638888888888889</v>
      </c>
      <c r="BE71" s="47">
        <f>_xll.qlPolynomialFunctionValue(BE$1,$BD71,AllTriggers)</f>
        <v>1.8306510560284488E-3</v>
      </c>
      <c r="BF71" s="47">
        <f>_xll.qlPolynomialFunctionValue(BF$1,$BD71,AllTriggers)</f>
        <v>1.837273087853273E-3</v>
      </c>
      <c r="BG71" s="47">
        <f>_xll.qlPolynomialFunctionValue(BG$1,$BD71,AllTriggers)</f>
        <v>1.8345891640081937E-3</v>
      </c>
      <c r="BH71" s="47">
        <f>_xll.qlPolynomialFunctionValue(BH$1,$BD71,AllTriggers)</f>
        <v>1.8130694253594463E-3</v>
      </c>
      <c r="BI71" s="47">
        <f>_xll.qlPolynomialFunctionValue(BI$1,$BD71,AllTriggers)</f>
        <v>1.8314312954085523E-3</v>
      </c>
      <c r="BJ71" s="47">
        <f>_xll.qlPolynomialFunctionValue(BJ$1,$BD71,AllTriggers)</f>
        <v>1.8417167853929384E-3</v>
      </c>
      <c r="BK71" s="47">
        <f>_xll.qlPolynomialFunctionValue(BK$1,$BD71,AllTriggers)</f>
        <v>1.8375454222515611E-3</v>
      </c>
      <c r="BL71" s="47">
        <f>_xll.qlPolynomialFunctionValue(BL$1,$BD71,AllTriggers)</f>
        <v>1.8143221806716202E-3</v>
      </c>
      <c r="BM71" s="47">
        <f>_xll.qlPolynomialFunctionValue(BM$1,$BD71,AllTriggers)</f>
        <v>1.8270842368190222E-3</v>
      </c>
      <c r="BN71" s="47">
        <f>_xll.qlPolynomialFunctionValue(BN$1,$BD71,AllTriggers)</f>
        <v>1.8256769622087251E-3</v>
      </c>
      <c r="BO71" s="47">
        <f>_xll.qlPolynomialFunctionValue(BO$1,$BD71,AllTriggers)</f>
        <v>1.8199197634413814E-3</v>
      </c>
      <c r="BP71" s="47">
        <f>_xll.qlPolynomialFunctionValue(BP$1,$BD71,AllTriggers)</f>
        <v>1.8175518448157145E-3</v>
      </c>
      <c r="BQ71" s="47">
        <f>_xll.qlPolynomialFunctionValue('6MSynthDepo_used'!$P$18,BD71,AllTriggers)</f>
        <v>1.8385663139191225E-3</v>
      </c>
    </row>
    <row r="72" spans="3:69" x14ac:dyDescent="0.2">
      <c r="C72" s="194"/>
      <c r="D72" s="194"/>
      <c r="K72" s="55"/>
      <c r="L72" s="55"/>
      <c r="M72" s="55"/>
      <c r="N72" s="55"/>
      <c r="S72" s="35"/>
      <c r="T72" s="35"/>
      <c r="BC72" s="178">
        <f>_xll.qlCalendarAdvance(Calendar,BC71,"1d","mf",,Trigger)</f>
        <v>42375</v>
      </c>
      <c r="BD72" s="41">
        <f>_xll.qlDayCounterYearFraction(DayCounter,SettlementDate,BC72,,,Trigger)</f>
        <v>0.26666666666666666</v>
      </c>
      <c r="BE72" s="47">
        <f>_xll.qlPolynomialFunctionValue(BE$1,$BD72,AllTriggers)</f>
        <v>1.8320021000523441E-3</v>
      </c>
      <c r="BF72" s="47">
        <f>_xll.qlPolynomialFunctionValue(BF$1,$BD72,AllTriggers)</f>
        <v>1.8386807627080535E-3</v>
      </c>
      <c r="BG72" s="47">
        <f>_xll.qlPolynomialFunctionValue(BG$1,$BD72,AllTriggers)</f>
        <v>1.8358020288047295E-3</v>
      </c>
      <c r="BH72" s="47">
        <f>_xll.qlPolynomialFunctionValue(BH$1,$BD72,AllTriggers)</f>
        <v>1.812720300404575E-3</v>
      </c>
      <c r="BI72" s="47">
        <f>_xll.qlPolynomialFunctionValue(BI$1,$BD72,AllTriggers)</f>
        <v>1.8328524723965954E-3</v>
      </c>
      <c r="BJ72" s="47">
        <f>_xll.qlPolynomialFunctionValue(BJ$1,$BD72,AllTriggers)</f>
        <v>1.8432099861558969E-3</v>
      </c>
      <c r="BK72" s="47">
        <f>_xll.qlPolynomialFunctionValue(BK$1,$BD72,AllTriggers)</f>
        <v>1.8387401500972707E-3</v>
      </c>
      <c r="BL72" s="47">
        <f>_xll.qlPolynomialFunctionValue(BL$1,$BD72,AllTriggers)</f>
        <v>1.8138552194177638E-3</v>
      </c>
      <c r="BM72" s="47">
        <f>_xll.qlPolynomialFunctionValue(BM$1,$BD72,AllTriggers)</f>
        <v>1.8286461507548749E-3</v>
      </c>
      <c r="BN72" s="47">
        <f>_xll.qlPolynomialFunctionValue(BN$1,$BD72,AllTriggers)</f>
        <v>1.8271035279245015E-3</v>
      </c>
      <c r="BO72" s="47">
        <f>_xll.qlPolynomialFunctionValue(BO$1,$BD72,AllTriggers)</f>
        <v>1.8215609671393619E-3</v>
      </c>
      <c r="BP72" s="47">
        <f>_xll.qlPolynomialFunctionValue(BP$1,$BD72,AllTriggers)</f>
        <v>1.8193806169293926E-3</v>
      </c>
      <c r="BQ72" s="47">
        <f>_xll.qlPolynomialFunctionValue('6MSynthDepo_used'!$P$18,BD72,AllTriggers)</f>
        <v>1.8403644621806851E-3</v>
      </c>
    </row>
    <row r="73" spans="3:69" ht="11.25" customHeight="1" x14ac:dyDescent="0.2">
      <c r="C73" s="194"/>
      <c r="D73" s="194"/>
      <c r="K73" s="55"/>
      <c r="L73" s="55"/>
      <c r="M73" s="55"/>
      <c r="N73" s="55"/>
      <c r="S73" s="35"/>
      <c r="T73" s="35"/>
      <c r="BC73" s="178">
        <f>_xll.qlCalendarAdvance(Calendar,BC72,"1d","mf",,Trigger)</f>
        <v>42376</v>
      </c>
      <c r="BD73" s="41">
        <f>_xll.qlDayCounterYearFraction(DayCounter,SettlementDate,BC73,,,Trigger)</f>
        <v>0.26944444444444443</v>
      </c>
      <c r="BE73" s="47">
        <f>_xll.qlPolynomialFunctionValue(BE$1,$BD73,AllTriggers)</f>
        <v>1.8333531440762395E-3</v>
      </c>
      <c r="BF73" s="47">
        <f>_xll.qlPolynomialFunctionValue(BF$1,$BD73,AllTriggers)</f>
        <v>1.840083907096363E-3</v>
      </c>
      <c r="BG73" s="47">
        <f>_xll.qlPolynomialFunctionValue(BG$1,$BD73,AllTriggers)</f>
        <v>1.8370148936012656E-3</v>
      </c>
      <c r="BH73" s="47">
        <f>_xll.qlPolynomialFunctionValue(BH$1,$BD73,AllTriggers)</f>
        <v>1.8124075007927599E-3</v>
      </c>
      <c r="BI73" s="47">
        <f>_xll.qlPolynomialFunctionValue(BI$1,$BD73,AllTriggers)</f>
        <v>1.8342736493846387E-3</v>
      </c>
      <c r="BJ73" s="47">
        <f>_xll.qlPolynomialFunctionValue(BJ$1,$BD73,AllTriggers)</f>
        <v>1.8446961222426796E-3</v>
      </c>
      <c r="BK73" s="47">
        <f>_xll.qlPolynomialFunctionValue(BK$1,$BD73,AllTriggers)</f>
        <v>1.8399348779429804E-3</v>
      </c>
      <c r="BL73" s="47">
        <f>_xll.qlPolynomialFunctionValue(BL$1,$BD73,AllTriggers)</f>
        <v>1.8134275893551667E-3</v>
      </c>
      <c r="BM73" s="47">
        <f>_xll.qlPolynomialFunctionValue(BM$1,$BD73,AllTriggers)</f>
        <v>1.8302080646907274E-3</v>
      </c>
      <c r="BN73" s="47">
        <f>_xll.qlPolynomialFunctionValue(BN$1,$BD73,AllTriggers)</f>
        <v>1.8285322878395377E-3</v>
      </c>
      <c r="BO73" s="47">
        <f>_xll.qlPolynomialFunctionValue(BO$1,$BD73,AllTriggers)</f>
        <v>1.8232021708373426E-3</v>
      </c>
      <c r="BP73" s="47">
        <f>_xll.qlPolynomialFunctionValue(BP$1,$BD73,AllTriggers)</f>
        <v>1.8212070430633207E-3</v>
      </c>
      <c r="BQ73" s="47">
        <f>_xll.qlPolynomialFunctionValue('6MSynthDepo_used'!$P$18,BD73,AllTriggers)</f>
        <v>1.8421579076068008E-3</v>
      </c>
    </row>
    <row r="74" spans="3:69" x14ac:dyDescent="0.2">
      <c r="C74" s="194"/>
      <c r="D74" s="194"/>
      <c r="K74" s="55"/>
      <c r="L74" s="55"/>
      <c r="M74" s="55"/>
      <c r="N74" s="55"/>
      <c r="S74" s="35"/>
      <c r="T74" s="35"/>
      <c r="BC74" s="178">
        <f>_xll.qlCalendarAdvance(Calendar,BC73,"1d","mf",,Trigger)</f>
        <v>42377</v>
      </c>
      <c r="BD74" s="41">
        <f>_xll.qlDayCounterYearFraction(DayCounter,SettlementDate,BC74,,,Trigger)</f>
        <v>0.2722222222222222</v>
      </c>
      <c r="BE74" s="47">
        <f>_xll.qlPolynomialFunctionValue(BE$1,$BD74,AllTriggers)</f>
        <v>1.834704188100135E-3</v>
      </c>
      <c r="BF74" s="47">
        <f>_xll.qlPolynomialFunctionValue(BF$1,$BD74,AllTriggers)</f>
        <v>1.8414825210182019E-3</v>
      </c>
      <c r="BG74" s="47">
        <f>_xll.qlPolynomialFunctionValue(BG$1,$BD74,AllTriggers)</f>
        <v>1.8382277583978014E-3</v>
      </c>
      <c r="BH74" s="47">
        <f>_xll.qlPolynomialFunctionValue(BH$1,$BD74,AllTriggers)</f>
        <v>1.8121310265240007E-3</v>
      </c>
      <c r="BI74" s="47">
        <f>_xll.qlPolynomialFunctionValue(BI$1,$BD74,AllTriggers)</f>
        <v>1.8356948263726818E-3</v>
      </c>
      <c r="BJ74" s="47">
        <f>_xll.qlPolynomialFunctionValue(BJ$1,$BD74,AllTriggers)</f>
        <v>1.8461751936532857E-3</v>
      </c>
      <c r="BK74" s="47">
        <f>_xll.qlPolynomialFunctionValue(BK$1,$BD74,AllTriggers)</f>
        <v>1.8411296057886898E-3</v>
      </c>
      <c r="BL74" s="47">
        <f>_xll.qlPolynomialFunctionValue(BL$1,$BD74,AllTriggers)</f>
        <v>1.8130392904838288E-3</v>
      </c>
      <c r="BM74" s="47">
        <f>_xll.qlPolynomialFunctionValue(BM$1,$BD74,AllTriggers)</f>
        <v>1.8317699786265802E-3</v>
      </c>
      <c r="BN74" s="47">
        <f>_xll.qlPolynomialFunctionValue(BN$1,$BD74,AllTriggers)</f>
        <v>1.8299632419538339E-3</v>
      </c>
      <c r="BO74" s="47">
        <f>_xll.qlPolynomialFunctionValue(BO$1,$BD74,AllTriggers)</f>
        <v>1.8248433745353231E-3</v>
      </c>
      <c r="BP74" s="47">
        <f>_xll.qlPolynomialFunctionValue(BP$1,$BD74,AllTriggers)</f>
        <v>1.8230311232174993E-3</v>
      </c>
      <c r="BQ74" s="47">
        <f>_xll.qlPolynomialFunctionValue('6MSynthDepo_used'!$P$18,BD74,AllTriggers)</f>
        <v>1.8439466643005518E-3</v>
      </c>
    </row>
    <row r="75" spans="3:69" x14ac:dyDescent="0.2">
      <c r="C75" s="194"/>
      <c r="D75" s="194"/>
      <c r="K75" s="55"/>
      <c r="L75" s="55"/>
      <c r="M75" s="55"/>
      <c r="N75" s="55"/>
      <c r="S75" s="35"/>
      <c r="T75" s="35"/>
      <c r="BC75" s="178">
        <f>_xll.qlCalendarAdvance(Calendar,BC74,"1d","mf",,Trigger)</f>
        <v>42380</v>
      </c>
      <c r="BD75" s="41">
        <f>_xll.qlDayCounterYearFraction(DayCounter,SettlementDate,BC75,,,Trigger)</f>
        <v>0.28055555555555556</v>
      </c>
      <c r="BE75" s="47">
        <f>_xll.qlPolynomialFunctionValue(BE$1,$BD75,AllTriggers)</f>
        <v>1.8387573201718212E-3</v>
      </c>
      <c r="BF75" s="47">
        <f>_xll.qlPolynomialFunctionValue(BF$1,$BD75,AllTriggers)</f>
        <v>1.8456511799848935E-3</v>
      </c>
      <c r="BG75" s="47">
        <f>_xll.qlPolynomialFunctionValue(BG$1,$BD75,AllTriggers)</f>
        <v>1.8418663527874093E-3</v>
      </c>
      <c r="BH75" s="47">
        <f>_xll.qlPolynomialFunctionValue(BH$1,$BD75,AllTriggers)</f>
        <v>1.8115195557760588E-3</v>
      </c>
      <c r="BI75" s="47">
        <f>_xll.qlPolynomialFunctionValue(BI$1,$BD75,AllTriggers)</f>
        <v>1.8399583573368114E-3</v>
      </c>
      <c r="BJ75" s="47">
        <f>_xll.qlPolynomialFunctionValue(BJ$1,$BD75,AllTriggers)</f>
        <v>1.8505700198280469E-3</v>
      </c>
      <c r="BK75" s="47">
        <f>_xll.qlPolynomialFunctionValue(BK$1,$BD75,AllTriggers)</f>
        <v>1.8447137893258185E-3</v>
      </c>
      <c r="BL75" s="47">
        <f>_xll.qlPolynomialFunctionValue(BL$1,$BD75,AllTriggers)</f>
        <v>1.8121103810173705E-3</v>
      </c>
      <c r="BM75" s="47">
        <f>_xll.qlPolynomialFunctionValue(BM$1,$BD75,AllTriggers)</f>
        <v>1.8364557204341384E-3</v>
      </c>
      <c r="BN75" s="47">
        <f>_xll.qlPolynomialFunctionValue(BN$1,$BD75,AllTriggers)</f>
        <v>1.8342692694922806E-3</v>
      </c>
      <c r="BO75" s="47">
        <f>_xll.qlPolynomialFunctionValue(BO$1,$BD75,AllTriggers)</f>
        <v>1.8297669856292649E-3</v>
      </c>
      <c r="BP75" s="47">
        <f>_xll.qlPolynomialFunctionValue(BP$1,$BD75,AllTriggers)</f>
        <v>1.8284892878015358E-3</v>
      </c>
      <c r="BQ75" s="47">
        <f>_xll.qlPolynomialFunctionValue('6MSynthDepo_used'!$P$18,BD75,AllTriggers)</f>
        <v>1.8492849430184421E-3</v>
      </c>
    </row>
    <row r="76" spans="3:69" x14ac:dyDescent="0.2">
      <c r="C76" s="194"/>
      <c r="D76" s="194"/>
      <c r="K76" s="55"/>
      <c r="L76" s="55"/>
      <c r="M76" s="55"/>
      <c r="N76" s="55"/>
      <c r="S76" s="35"/>
      <c r="BC76" s="178">
        <f>_xll.qlCalendarAdvance(Calendar,BC75,"1d","mf",,Trigger)</f>
        <v>42381</v>
      </c>
      <c r="BD76" s="41">
        <f>_xll.qlDayCounterYearFraction(DayCounter,SettlementDate,BC76,,,Trigger)</f>
        <v>0.28333333333333333</v>
      </c>
      <c r="BE76" s="47">
        <f>_xll.qlPolynomialFunctionValue(BE$1,$BD76,AllTriggers)</f>
        <v>1.8401083641957166E-3</v>
      </c>
      <c r="BF76" s="47">
        <f>_xll.qlPolynomialFunctionValue(BF$1,$BD76,AllTriggers)</f>
        <v>1.8470316720408492E-3</v>
      </c>
      <c r="BG76" s="47">
        <f>_xll.qlPolynomialFunctionValue(BG$1,$BD76,AllTriggers)</f>
        <v>1.8430792175839453E-3</v>
      </c>
      <c r="BH76" s="47">
        <f>_xll.qlPolynomialFunctionValue(BH$1,$BD76,AllTriggers)</f>
        <v>1.8113883828795234E-3</v>
      </c>
      <c r="BI76" s="47">
        <f>_xll.qlPolynomialFunctionValue(BI$1,$BD76,AllTriggers)</f>
        <v>1.8413795343248547E-3</v>
      </c>
      <c r="BJ76" s="47">
        <f>_xll.qlPolynomialFunctionValue(BJ$1,$BD76,AllTriggers)</f>
        <v>1.8520208325339483E-3</v>
      </c>
      <c r="BK76" s="47">
        <f>_xll.qlPolynomialFunctionValue(BK$1,$BD76,AllTriggers)</f>
        <v>1.8459085171715281E-3</v>
      </c>
      <c r="BL76" s="47">
        <f>_xll.qlPolynomialFunctionValue(BL$1,$BD76,AllTriggers)</f>
        <v>1.8118794069110693E-3</v>
      </c>
      <c r="BM76" s="47">
        <f>_xll.qlPolynomialFunctionValue(BM$1,$BD76,AllTriggers)</f>
        <v>1.8380176343699912E-3</v>
      </c>
      <c r="BN76" s="47">
        <f>_xll.qlPolynomialFunctionValue(BN$1,$BD76,AllTriggers)</f>
        <v>1.835709000403616E-3</v>
      </c>
      <c r="BO76" s="47">
        <f>_xll.qlPolynomialFunctionValue(BO$1,$BD76,AllTriggers)</f>
        <v>1.8314081893272454E-3</v>
      </c>
      <c r="BP76" s="47">
        <f>_xll.qlPolynomialFunctionValue(BP$1,$BD76,AllTriggers)</f>
        <v>1.8303039840367149E-3</v>
      </c>
      <c r="BQ76" s="47">
        <f>_xll.qlPolynomialFunctionValue('6MSynthDepo_used'!$P$18,BD76,AllTriggers)</f>
        <v>1.8510550858135593E-3</v>
      </c>
    </row>
    <row r="77" spans="3:69" x14ac:dyDescent="0.2">
      <c r="K77" s="55"/>
      <c r="L77" s="55"/>
      <c r="M77" s="55"/>
      <c r="N77" s="55"/>
      <c r="S77" s="35"/>
      <c r="BC77" s="178">
        <f>_xll.qlCalendarAdvance(Calendar,BC76,"1d","mf",,Trigger)</f>
        <v>42382</v>
      </c>
      <c r="BD77" s="41">
        <f>_xll.qlDayCounterYearFraction(DayCounter,SettlementDate,BC77,,,Trigger)</f>
        <v>0.28611111111111109</v>
      </c>
      <c r="BE77" s="47">
        <f>_xll.qlPolynomialFunctionValue(BE$1,$BD77,AllTriggers)</f>
        <v>1.8414594082196121E-3</v>
      </c>
      <c r="BF77" s="47">
        <f>_xll.qlPolynomialFunctionValue(BF$1,$BD77,AllTriggers)</f>
        <v>1.8484076336303342E-3</v>
      </c>
      <c r="BG77" s="47">
        <f>_xll.qlPolynomialFunctionValue(BG$1,$BD77,AllTriggers)</f>
        <v>1.8442920823804811E-3</v>
      </c>
      <c r="BH77" s="47">
        <f>_xll.qlPolynomialFunctionValue(BH$1,$BD77,AllTriggers)</f>
        <v>1.811293535326044E-3</v>
      </c>
      <c r="BI77" s="47">
        <f>_xll.qlPolynomialFunctionValue(BI$1,$BD77,AllTriggers)</f>
        <v>1.8428007113128978E-3</v>
      </c>
      <c r="BJ77" s="47">
        <f>_xll.qlPolynomialFunctionValue(BJ$1,$BD77,AllTriggers)</f>
        <v>1.8534645805636731E-3</v>
      </c>
      <c r="BK77" s="47">
        <f>_xll.qlPolynomialFunctionValue(BK$1,$BD77,AllTriggers)</f>
        <v>1.8471032450172377E-3</v>
      </c>
      <c r="BL77" s="47">
        <f>_xll.qlPolynomialFunctionValue(BL$1,$BD77,AllTriggers)</f>
        <v>1.8116877639960272E-3</v>
      </c>
      <c r="BM77" s="47">
        <f>_xll.qlPolynomialFunctionValue(BM$1,$BD77,AllTriggers)</f>
        <v>1.8395795483058439E-3</v>
      </c>
      <c r="BN77" s="47">
        <f>_xll.qlPolynomialFunctionValue(BN$1,$BD77,AllTriggers)</f>
        <v>1.8371509255142113E-3</v>
      </c>
      <c r="BO77" s="47">
        <f>_xll.qlPolynomialFunctionValue(BO$1,$BD77,AllTriggers)</f>
        <v>1.8330493930252259E-3</v>
      </c>
      <c r="BP77" s="47">
        <f>_xll.qlPolynomialFunctionValue(BP$1,$BD77,AllTriggers)</f>
        <v>1.8321163342921443E-3</v>
      </c>
      <c r="BQ77" s="47">
        <f>_xll.qlPolynomialFunctionValue('6MSynthDepo_used'!$P$18,BD77,AllTriggers)</f>
        <v>1.8528206103917242E-3</v>
      </c>
    </row>
    <row r="78" spans="3:69" x14ac:dyDescent="0.2">
      <c r="K78" s="55"/>
      <c r="L78" s="55"/>
      <c r="M78" s="55"/>
      <c r="N78" s="55"/>
      <c r="BC78" s="178">
        <f>_xll.qlCalendarAdvance(Calendar,BC77,"1d","mf",,Trigger)</f>
        <v>42383</v>
      </c>
      <c r="BD78" s="41">
        <f>_xll.qlDayCounterYearFraction(DayCounter,SettlementDate,BC78,,,Trigger)</f>
        <v>0.28888888888888886</v>
      </c>
      <c r="BE78" s="47">
        <f>_xll.qlPolynomialFunctionValue(BE$1,$BD78,AllTriggers)</f>
        <v>1.8428104522435075E-3</v>
      </c>
      <c r="BF78" s="47">
        <f>_xll.qlPolynomialFunctionValue(BF$1,$BD78,AllTriggers)</f>
        <v>1.8497790647533483E-3</v>
      </c>
      <c r="BG78" s="47">
        <f>_xll.qlPolynomialFunctionValue(BG$1,$BD78,AllTriggers)</f>
        <v>1.8455049471770171E-3</v>
      </c>
      <c r="BH78" s="47">
        <f>_xll.qlPolynomialFunctionValue(BH$1,$BD78,AllTriggers)</f>
        <v>1.8112350131156206E-3</v>
      </c>
      <c r="BI78" s="47">
        <f>_xll.qlPolynomialFunctionValue(BI$1,$BD78,AllTriggers)</f>
        <v>1.8442218883009411E-3</v>
      </c>
      <c r="BJ78" s="47">
        <f>_xll.qlPolynomialFunctionValue(BJ$1,$BD78,AllTriggers)</f>
        <v>1.854901263917222E-3</v>
      </c>
      <c r="BK78" s="47">
        <f>_xll.qlPolynomialFunctionValue(BK$1,$BD78,AllTriggers)</f>
        <v>1.8482979728629472E-3</v>
      </c>
      <c r="BL78" s="47">
        <f>_xll.qlPolynomialFunctionValue(BL$1,$BD78,AllTriggers)</f>
        <v>1.8115354522722446E-3</v>
      </c>
      <c r="BM78" s="47">
        <f>_xll.qlPolynomialFunctionValue(BM$1,$BD78,AllTriggers)</f>
        <v>1.8411414622416967E-3</v>
      </c>
      <c r="BN78" s="47">
        <f>_xll.qlPolynomialFunctionValue(BN$1,$BD78,AllTriggers)</f>
        <v>1.8385950448240661E-3</v>
      </c>
      <c r="BO78" s="47">
        <f>_xll.qlPolynomialFunctionValue(BO$1,$BD78,AllTriggers)</f>
        <v>1.8346905967232064E-3</v>
      </c>
      <c r="BP78" s="47">
        <f>_xll.qlPolynomialFunctionValue(BP$1,$BD78,AllTriggers)</f>
        <v>1.833926338567824E-3</v>
      </c>
      <c r="BQ78" s="47">
        <f>_xll.qlPolynomialFunctionValue('6MSynthDepo_used'!$P$18,BD78,AllTriggers)</f>
        <v>1.8545815308560188E-3</v>
      </c>
    </row>
    <row r="79" spans="3:69" x14ac:dyDescent="0.2">
      <c r="K79" s="55"/>
      <c r="L79" s="55"/>
      <c r="M79" s="55"/>
      <c r="N79" s="55"/>
      <c r="BC79" s="178">
        <f>_xll.qlCalendarAdvance(Calendar,BC78,"1d","mf",,Trigger)</f>
        <v>42384</v>
      </c>
      <c r="BD79" s="41">
        <f>_xll.qlDayCounterYearFraction(DayCounter,SettlementDate,BC79,,,Trigger)</f>
        <v>0.29166666666666669</v>
      </c>
      <c r="BE79" s="47">
        <f>_xll.qlPolynomialFunctionValue(BE$1,$BD79,AllTriggers)</f>
        <v>1.8441614962674028E-3</v>
      </c>
      <c r="BF79" s="47">
        <f>_xll.qlPolynomialFunctionValue(BF$1,$BD79,AllTriggers)</f>
        <v>1.8511459654098914E-3</v>
      </c>
      <c r="BG79" s="47">
        <f>_xll.qlPolynomialFunctionValue(BG$1,$BD79,AllTriggers)</f>
        <v>1.846717811973553E-3</v>
      </c>
      <c r="BH79" s="47">
        <f>_xll.qlPolynomialFunctionValue(BH$1,$BD79,AllTriggers)</f>
        <v>1.8112128162482534E-3</v>
      </c>
      <c r="BI79" s="47">
        <f>_xll.qlPolynomialFunctionValue(BI$1,$BD79,AllTriggers)</f>
        <v>1.8456430652889842E-3</v>
      </c>
      <c r="BJ79" s="47">
        <f>_xll.qlPolynomialFunctionValue(BJ$1,$BD79,AllTriggers)</f>
        <v>1.8563308825945946E-3</v>
      </c>
      <c r="BK79" s="47">
        <f>_xll.qlPolynomialFunctionValue(BK$1,$BD79,AllTriggers)</f>
        <v>1.8494927007086568E-3</v>
      </c>
      <c r="BL79" s="47">
        <f>_xll.qlPolynomialFunctionValue(BL$1,$BD79,AllTriggers)</f>
        <v>1.8114224717397211E-3</v>
      </c>
      <c r="BM79" s="47">
        <f>_xll.qlPolynomialFunctionValue(BM$1,$BD79,AllTriggers)</f>
        <v>1.8427033761775494E-3</v>
      </c>
      <c r="BN79" s="47">
        <f>_xll.qlPolynomialFunctionValue(BN$1,$BD79,AllTriggers)</f>
        <v>1.8400413583331808E-3</v>
      </c>
      <c r="BO79" s="47">
        <f>_xll.qlPolynomialFunctionValue(BO$1,$BD79,AllTriggers)</f>
        <v>1.8363318004211869E-3</v>
      </c>
      <c r="BP79" s="47">
        <f>_xll.qlPolynomialFunctionValue(BP$1,$BD79,AllTriggers)</f>
        <v>1.8357339968637539E-3</v>
      </c>
      <c r="BQ79" s="47">
        <f>_xll.qlPolynomialFunctionValue('6MSynthDepo_used'!$P$18,BD79,AllTriggers)</f>
        <v>1.8563378613095259E-3</v>
      </c>
    </row>
    <row r="80" spans="3:69" x14ac:dyDescent="0.2">
      <c r="K80" s="55"/>
      <c r="L80" s="55"/>
      <c r="M80" s="55"/>
      <c r="N80" s="55"/>
      <c r="R80" s="34"/>
      <c r="BC80" s="178">
        <f>_xll.qlCalendarAdvance(Calendar,BC79,"1d","mf",,Trigger)</f>
        <v>42387</v>
      </c>
      <c r="BD80" s="41">
        <f>_xll.qlDayCounterYearFraction(DayCounter,SettlementDate,BC80,,,Trigger)</f>
        <v>0.3</v>
      </c>
      <c r="BE80" s="47">
        <f>_xll.qlPolynomialFunctionValue(BE$1,$BD80,AllTriggers)</f>
        <v>1.848214628339089E-3</v>
      </c>
      <c r="BF80" s="47">
        <f>_xll.qlPolynomialFunctionValue(BF$1,$BD80,AllTriggers)</f>
        <v>1.8552194845806965E-3</v>
      </c>
      <c r="BG80" s="47">
        <f>_xll.qlPolynomialFunctionValue(BG$1,$BD80,AllTriggers)</f>
        <v>1.8503564063631608E-3</v>
      </c>
      <c r="BH80" s="47">
        <f>_xll.qlPolynomialFunctionValue(BH$1,$BD80,AllTriggers)</f>
        <v>1.811364177704487E-3</v>
      </c>
      <c r="BI80" s="47">
        <f>_xll.qlPolynomialFunctionValue(BI$1,$BD80,AllTriggers)</f>
        <v>1.8499065962531138E-3</v>
      </c>
      <c r="BJ80" s="47">
        <f>_xll.qlPolynomialFunctionValue(BJ$1,$BD80,AllTriggers)</f>
        <v>1.8605773505696549E-3</v>
      </c>
      <c r="BK80" s="47">
        <f>_xll.qlPolynomialFunctionValue(BK$1,$BD80,AllTriggers)</f>
        <v>1.8530768842457855E-3</v>
      </c>
      <c r="BL80" s="47">
        <f>_xll.qlPolynomialFunctionValue(BL$1,$BD80,AllTriggers)</f>
        <v>1.8113195172897063E-3</v>
      </c>
      <c r="BM80" s="47">
        <f>_xll.qlPolynomialFunctionValue(BM$1,$BD80,AllTriggers)</f>
        <v>1.8473891179851074E-3</v>
      </c>
      <c r="BN80" s="47">
        <f>_xll.qlPolynomialFunctionValue(BN$1,$BD80,AllTriggers)</f>
        <v>1.8443934640560841E-3</v>
      </c>
      <c r="BO80" s="47">
        <f>_xll.qlPolynomialFunctionValue(BO$1,$BD80,AllTriggers)</f>
        <v>1.8412554115151286E-3</v>
      </c>
      <c r="BP80" s="47">
        <f>_xll.qlPolynomialFunctionValue(BP$1,$BD80,AllTriggers)</f>
        <v>1.8411428958730444E-3</v>
      </c>
      <c r="BQ80" s="47">
        <f>_xll.qlPolynomialFunctionValue('6MSynthDepo_used'!$P$18,BD80,AllTriggers)</f>
        <v>1.8615794536361461E-3</v>
      </c>
    </row>
    <row r="81" spans="8:69" x14ac:dyDescent="0.2">
      <c r="K81" s="55"/>
      <c r="L81" s="55"/>
      <c r="M81" s="55"/>
      <c r="N81" s="55"/>
      <c r="R81" s="34"/>
      <c r="BC81" s="178">
        <f>_xll.qlCalendarAdvance(Calendar,BC80,"1d","mf",,Trigger)</f>
        <v>42388</v>
      </c>
      <c r="BD81" s="41">
        <f>_xll.qlDayCounterYearFraction(DayCounter,SettlementDate,BC81,,,Trigger)</f>
        <v>0.30277777777777776</v>
      </c>
      <c r="BE81" s="47">
        <f>_xll.qlPolynomialFunctionValue(BE$1,$BD81,AllTriggers)</f>
        <v>1.8495656723629846E-3</v>
      </c>
      <c r="BF81" s="47">
        <f>_xll.qlPolynomialFunctionValue(BF$1,$BD81,AllTriggers)</f>
        <v>1.8565682633713565E-3</v>
      </c>
      <c r="BG81" s="47">
        <f>_xll.qlPolynomialFunctionValue(BG$1,$BD81,AllTriggers)</f>
        <v>1.8515692711596967E-3</v>
      </c>
      <c r="BH81" s="47">
        <f>_xll.qlPolynomialFunctionValue(BH$1,$BD81,AllTriggers)</f>
        <v>1.8114872822093436E-3</v>
      </c>
      <c r="BI81" s="47">
        <f>_xll.qlPolynomialFunctionValue(BI$1,$BD81,AllTriggers)</f>
        <v>1.8513277732411571E-3</v>
      </c>
      <c r="BJ81" s="47">
        <f>_xll.qlPolynomialFunctionValue(BJ$1,$BD81,AllTriggers)</f>
        <v>1.8619787105423225E-3</v>
      </c>
      <c r="BK81" s="47">
        <f>_xll.qlPolynomialFunctionValue(BK$1,$BD81,AllTriggers)</f>
        <v>1.8542716120914951E-3</v>
      </c>
      <c r="BL81" s="47">
        <f>_xll.qlPolynomialFunctionValue(BL$1,$BD81,AllTriggers)</f>
        <v>1.8113638615222195E-3</v>
      </c>
      <c r="BM81" s="47">
        <f>_xll.qlPolynomialFunctionValue(BM$1,$BD81,AllTriggers)</f>
        <v>1.8489510319209602E-3</v>
      </c>
      <c r="BN81" s="47">
        <f>_xll.qlPolynomialFunctionValue(BN$1,$BD81,AllTriggers)</f>
        <v>1.8458485543622379E-3</v>
      </c>
      <c r="BO81" s="47">
        <f>_xll.qlPolynomialFunctionValue(BO$1,$BD81,AllTriggers)</f>
        <v>1.8428966152131091E-3</v>
      </c>
      <c r="BP81" s="47">
        <f>_xll.qlPolynomialFunctionValue(BP$1,$BD81,AllTriggers)</f>
        <v>1.842941170249975E-3</v>
      </c>
      <c r="BQ81" s="47">
        <f>_xll.qlPolynomialFunctionValue('6MSynthDepo_used'!$P$18,BD81,AllTriggers)</f>
        <v>1.8633175650773271E-3</v>
      </c>
    </row>
    <row r="82" spans="8:69" x14ac:dyDescent="0.2">
      <c r="K82" s="55"/>
      <c r="L82" s="55"/>
      <c r="M82" s="55"/>
      <c r="N82" s="55"/>
      <c r="R82" s="34"/>
      <c r="BC82" s="178">
        <f>_xll.qlCalendarAdvance(Calendar,BC81,"1d","mf",,Trigger)</f>
        <v>42389</v>
      </c>
      <c r="BD82" s="41">
        <f>_xll.qlDayCounterYearFraction(DayCounter,SettlementDate,BC82,,,Trigger)</f>
        <v>0.30555555555555558</v>
      </c>
      <c r="BE82" s="47">
        <f>_xll.qlPolynomialFunctionValue(BE$1,$BD82,AllTriggers)</f>
        <v>1.8509167163868799E-3</v>
      </c>
      <c r="BF82" s="47">
        <f>_xll.qlPolynomialFunctionValue(BF$1,$BD82,AllTriggers)</f>
        <v>1.8579125116955457E-3</v>
      </c>
      <c r="BG82" s="47">
        <f>_xll.qlPolynomialFunctionValue(BG$1,$BD82,AllTriggers)</f>
        <v>1.8527821359562327E-3</v>
      </c>
      <c r="BH82" s="47">
        <f>_xll.qlPolynomialFunctionValue(BH$1,$BD82,AllTriggers)</f>
        <v>1.8116467120572561E-3</v>
      </c>
      <c r="BI82" s="47">
        <f>_xll.qlPolynomialFunctionValue(BI$1,$BD82,AllTriggers)</f>
        <v>1.8527489502292002E-3</v>
      </c>
      <c r="BJ82" s="47">
        <f>_xll.qlPolynomialFunctionValue(BJ$1,$BD82,AllTriggers)</f>
        <v>1.863373005838814E-3</v>
      </c>
      <c r="BK82" s="47">
        <f>_xll.qlPolynomialFunctionValue(BK$1,$BD82,AllTriggers)</f>
        <v>1.8554663399372045E-3</v>
      </c>
      <c r="BL82" s="47">
        <f>_xll.qlPolynomialFunctionValue(BL$1,$BD82,AllTriggers)</f>
        <v>1.8114475369459921E-3</v>
      </c>
      <c r="BM82" s="47">
        <f>_xll.qlPolynomialFunctionValue(BM$1,$BD82,AllTriggers)</f>
        <v>1.8505129458568129E-3</v>
      </c>
      <c r="BN82" s="47">
        <f>_xll.qlPolynomialFunctionValue(BN$1,$BD82,AllTriggers)</f>
        <v>1.8473058388676518E-3</v>
      </c>
      <c r="BO82" s="47">
        <f>_xll.qlPolynomialFunctionValue(BO$1,$BD82,AllTriggers)</f>
        <v>1.8445378189110898E-3</v>
      </c>
      <c r="BP82" s="47">
        <f>_xll.qlPolynomialFunctionValue(BP$1,$BD82,AllTriggers)</f>
        <v>1.8447370986471557E-3</v>
      </c>
      <c r="BQ82" s="47">
        <f>_xll.qlPolynomialFunctionValue('6MSynthDepo_used'!$P$18,BD82,AllTriggers)</f>
        <v>1.8650511570231329E-3</v>
      </c>
    </row>
    <row r="83" spans="8:69" x14ac:dyDescent="0.2">
      <c r="K83" s="55"/>
      <c r="L83" s="55"/>
      <c r="M83" s="55"/>
      <c r="N83" s="55"/>
      <c r="R83" s="34"/>
      <c r="BC83" s="178">
        <f>_xll.qlCalendarAdvance(Calendar,BC82,"1d","mf",,Trigger)</f>
        <v>42390</v>
      </c>
      <c r="BD83" s="41">
        <f>_xll.qlDayCounterYearFraction(DayCounter,SettlementDate,BC83,,,Trigger)</f>
        <v>0.30833333333333335</v>
      </c>
      <c r="BE83" s="47">
        <f>_xll.qlPolynomialFunctionValue(BE$1,$BD83,AllTriggers)</f>
        <v>1.8522677604107755E-3</v>
      </c>
      <c r="BF83" s="47">
        <f>_xll.qlPolynomialFunctionValue(BF$1,$BD83,AllTriggers)</f>
        <v>1.859252229553264E-3</v>
      </c>
      <c r="BG83" s="47">
        <f>_xll.qlPolynomialFunctionValue(BG$1,$BD83,AllTriggers)</f>
        <v>1.8539950007527687E-3</v>
      </c>
      <c r="BH83" s="47">
        <f>_xll.qlPolynomialFunctionValue(BH$1,$BD83,AllTriggers)</f>
        <v>1.8118424672482248E-3</v>
      </c>
      <c r="BI83" s="47">
        <f>_xll.qlPolynomialFunctionValue(BI$1,$BD83,AllTriggers)</f>
        <v>1.8541701272172435E-3</v>
      </c>
      <c r="BJ83" s="47">
        <f>_xll.qlPolynomialFunctionValue(BJ$1,$BD83,AllTriggers)</f>
        <v>1.8647602364591288E-3</v>
      </c>
      <c r="BK83" s="47">
        <f>_xll.qlPolynomialFunctionValue(BK$1,$BD83,AllTriggers)</f>
        <v>1.8566610677829142E-3</v>
      </c>
      <c r="BL83" s="47">
        <f>_xll.qlPolynomialFunctionValue(BL$1,$BD83,AllTriggers)</f>
        <v>1.8115705435610241E-3</v>
      </c>
      <c r="BM83" s="47">
        <f>_xll.qlPolynomialFunctionValue(BM$1,$BD83,AllTriggers)</f>
        <v>1.8520748597926657E-3</v>
      </c>
      <c r="BN83" s="47">
        <f>_xll.qlPolynomialFunctionValue(BN$1,$BD83,AllTriggers)</f>
        <v>1.8487653175723253E-3</v>
      </c>
      <c r="BO83" s="47">
        <f>_xll.qlPolynomialFunctionValue(BO$1,$BD83,AllTriggers)</f>
        <v>1.8461790226090703E-3</v>
      </c>
      <c r="BP83" s="47">
        <f>_xll.qlPolynomialFunctionValue(BP$1,$BD83,AllTriggers)</f>
        <v>1.8465306810645868E-3</v>
      </c>
      <c r="BQ83" s="47">
        <f>_xll.qlPolynomialFunctionValue('6MSynthDepo_used'!$P$18,BD83,AllTriggers)</f>
        <v>1.8667802435766456E-3</v>
      </c>
    </row>
    <row r="84" spans="8:69" x14ac:dyDescent="0.2">
      <c r="H84" s="35"/>
      <c r="K84" s="55"/>
      <c r="L84" s="55"/>
      <c r="M84" s="55"/>
      <c r="N84" s="55"/>
      <c r="R84" s="34"/>
      <c r="BC84" s="178">
        <f>_xll.qlCalendarAdvance(Calendar,BC83,"1d","mf",,Trigger)</f>
        <v>42391</v>
      </c>
      <c r="BD84" s="41">
        <f>_xll.qlDayCounterYearFraction(DayCounter,SettlementDate,BC84,,,Trigger)</f>
        <v>0.31111111111111112</v>
      </c>
      <c r="BE84" s="47">
        <f>_xll.qlPolynomialFunctionValue(BE$1,$BD84,AllTriggers)</f>
        <v>1.8536188044346708E-3</v>
      </c>
      <c r="BF84" s="47">
        <f>_xll.qlPolynomialFunctionValue(BF$1,$BD84,AllTriggers)</f>
        <v>1.8605874169445118E-3</v>
      </c>
      <c r="BG84" s="47">
        <f>_xll.qlPolynomialFunctionValue(BG$1,$BD84,AllTriggers)</f>
        <v>1.8552078655493045E-3</v>
      </c>
      <c r="BH84" s="47">
        <f>_xll.qlPolynomialFunctionValue(BH$1,$BD84,AllTriggers)</f>
        <v>1.8120745477822491E-3</v>
      </c>
      <c r="BI84" s="47">
        <f>_xll.qlPolynomialFunctionValue(BI$1,$BD84,AllTriggers)</f>
        <v>1.8555913042052866E-3</v>
      </c>
      <c r="BJ84" s="47">
        <f>_xll.qlPolynomialFunctionValue(BJ$1,$BD84,AllTriggers)</f>
        <v>1.8661404024032679E-3</v>
      </c>
      <c r="BK84" s="47">
        <f>_xll.qlPolynomialFunctionValue(BK$1,$BD84,AllTriggers)</f>
        <v>1.8578557956286238E-3</v>
      </c>
      <c r="BL84" s="47">
        <f>_xll.qlPolynomialFunctionValue(BL$1,$BD84,AllTriggers)</f>
        <v>1.811732881367315E-3</v>
      </c>
      <c r="BM84" s="47">
        <f>_xll.qlPolynomialFunctionValue(BM$1,$BD84,AllTriggers)</f>
        <v>1.8536367737285184E-3</v>
      </c>
      <c r="BN84" s="47">
        <f>_xll.qlPolynomialFunctionValue(BN$1,$BD84,AllTriggers)</f>
        <v>1.8502269904762589E-3</v>
      </c>
      <c r="BO84" s="47">
        <f>_xll.qlPolynomialFunctionValue(BO$1,$BD84,AllTriggers)</f>
        <v>1.8478202263070508E-3</v>
      </c>
      <c r="BP84" s="47">
        <f>_xll.qlPolynomialFunctionValue(BP$1,$BD84,AllTriggers)</f>
        <v>1.8483219175022679E-3</v>
      </c>
      <c r="BQ84" s="47">
        <f>_xll.qlPolynomialFunctionValue('6MSynthDepo_used'!$P$18,BD84,AllTriggers)</f>
        <v>1.8685048388409474E-3</v>
      </c>
    </row>
    <row r="85" spans="8:69" x14ac:dyDescent="0.2">
      <c r="K85" s="55"/>
      <c r="L85" s="55"/>
      <c r="M85" s="55"/>
      <c r="N85" s="55"/>
      <c r="R85" s="34"/>
      <c r="BC85" s="178">
        <f>_xll.qlCalendarAdvance(Calendar,BC84,"1d","mf",,Trigger)</f>
        <v>42394</v>
      </c>
      <c r="BD85" s="41">
        <f>_xll.qlDayCounterYearFraction(DayCounter,SettlementDate,BC85,,,Trigger)</f>
        <v>0.31944444444444442</v>
      </c>
      <c r="BE85" s="47">
        <f>_xll.qlPolynomialFunctionValue(BE$1,$BD85,AllTriggers)</f>
        <v>1.857671936506357E-3</v>
      </c>
      <c r="BF85" s="47">
        <f>_xll.qlPolynomialFunctionValue(BF$1,$BD85,AllTriggers)</f>
        <v>1.8645657963194298E-3</v>
      </c>
      <c r="BG85" s="47">
        <f>_xll.qlPolynomialFunctionValue(BG$1,$BD85,AllTriggers)</f>
        <v>1.8588464599389124E-3</v>
      </c>
      <c r="BH85" s="47">
        <f>_xll.qlPolynomialFunctionValue(BH$1,$BD85,AllTriggers)</f>
        <v>1.8129887414426585E-3</v>
      </c>
      <c r="BI85" s="47">
        <f>_xll.qlPolynomialFunctionValue(BI$1,$BD85,AllTriggers)</f>
        <v>1.8598548351694162E-3</v>
      </c>
      <c r="BJ85" s="47">
        <f>_xll.qlPolynomialFunctionValue(BJ$1,$BD85,AllTriggers)</f>
        <v>1.8702385121786272E-3</v>
      </c>
      <c r="BK85" s="47">
        <f>_xll.qlPolynomialFunctionValue(BK$1,$BD85,AllTriggers)</f>
        <v>1.8614399791657525E-3</v>
      </c>
      <c r="BL85" s="47">
        <f>_xll.qlPolynomialFunctionValue(BL$1,$BD85,AllTriggers)</f>
        <v>1.8124558819337436E-3</v>
      </c>
      <c r="BM85" s="47">
        <f>_xll.qlPolynomialFunctionValue(BM$1,$BD85,AllTriggers)</f>
        <v>1.8583225155360766E-3</v>
      </c>
      <c r="BN85" s="47">
        <f>_xll.qlPolynomialFunctionValue(BN$1,$BD85,AllTriggers)</f>
        <v>1.8546251743836182E-3</v>
      </c>
      <c r="BO85" s="47">
        <f>_xll.qlPolynomialFunctionValue(BO$1,$BD85,AllTriggers)</f>
        <v>1.8527438374009923E-3</v>
      </c>
      <c r="BP85" s="47">
        <f>_xll.qlPolynomialFunctionValue(BP$1,$BD85,AllTriggers)</f>
        <v>1.8536815509368125E-3</v>
      </c>
      <c r="BQ85" s="47">
        <f>_xll.qlPolynomialFunctionValue('6MSynthDepo_used'!$P$18,BD85,AllTriggers)</f>
        <v>1.8736518179294137E-3</v>
      </c>
    </row>
    <row r="86" spans="8:69" x14ac:dyDescent="0.2">
      <c r="K86" s="55"/>
      <c r="L86" s="55"/>
      <c r="M86" s="55"/>
      <c r="N86" s="55"/>
      <c r="R86" s="34"/>
      <c r="S86" s="34"/>
      <c r="BC86" s="178">
        <f>_xll.qlCalendarAdvance(Calendar,BC85,"1d","mf",,Trigger)</f>
        <v>42395</v>
      </c>
      <c r="BD86" s="41">
        <f>_xll.qlDayCounterYearFraction(DayCounter,SettlementDate,BC86,,,Trigger)</f>
        <v>0.32222222222222224</v>
      </c>
      <c r="BE86" s="47">
        <f>_xll.qlPolynomialFunctionValue(BE$1,$BD86,AllTriggers)</f>
        <v>1.8590229805302524E-3</v>
      </c>
      <c r="BF86" s="47">
        <f>_xll.qlPolynomialFunctionValue(BF$1,$BD86,AllTriggers)</f>
        <v>1.8658828618447942E-3</v>
      </c>
      <c r="BG86" s="47">
        <f>_xll.qlPolynomialFunctionValue(BG$1,$BD86,AllTriggers)</f>
        <v>1.8600593247354484E-3</v>
      </c>
      <c r="BH86" s="47">
        <f>_xll.qlPolynomialFunctionValue(BH$1,$BD86,AllTriggers)</f>
        <v>1.8133661233489069E-3</v>
      </c>
      <c r="BI86" s="47">
        <f>_xll.qlPolynomialFunctionValue(BI$1,$BD86,AllTriggers)</f>
        <v>1.8612760121574593E-3</v>
      </c>
      <c r="BJ86" s="47">
        <f>_xll.qlPolynomialFunctionValue(BJ$1,$BD86,AllTriggers)</f>
        <v>1.8715904194180613E-3</v>
      </c>
      <c r="BK86" s="47">
        <f>_xll.qlPolynomialFunctionValue(BK$1,$BD86,AllTriggers)</f>
        <v>1.8626347070114619E-3</v>
      </c>
      <c r="BL86" s="47">
        <f>_xll.qlPolynomialFunctionValue(BL$1,$BD86,AllTriggers)</f>
        <v>1.8127755445050714E-3</v>
      </c>
      <c r="BM86" s="47">
        <f>_xll.qlPolynomialFunctionValue(BM$1,$BD86,AllTriggers)</f>
        <v>1.8598844294719294E-3</v>
      </c>
      <c r="BN86" s="47">
        <f>_xll.qlPolynomialFunctionValue(BN$1,$BD86,AllTriggers)</f>
        <v>1.856095624084591E-3</v>
      </c>
      <c r="BO86" s="47">
        <f>_xll.qlPolynomialFunctionValue(BO$1,$BD86,AllTriggers)</f>
        <v>1.854385041098973E-3</v>
      </c>
      <c r="BP86" s="47">
        <f>_xll.qlPolynomialFunctionValue(BP$1,$BD86,AllTriggers)</f>
        <v>1.8554634034554946E-3</v>
      </c>
      <c r="BQ86" s="47">
        <f>_xll.qlPolynomialFunctionValue('6MSynthDepo_used'!$P$18,BD86,AllTriggers)</f>
        <v>1.8753585890676975E-3</v>
      </c>
    </row>
    <row r="87" spans="8:69" x14ac:dyDescent="0.2">
      <c r="K87" s="55"/>
      <c r="L87" s="55"/>
      <c r="M87" s="55"/>
      <c r="N87" s="55"/>
      <c r="R87" s="34"/>
      <c r="S87" s="34"/>
      <c r="BC87" s="178">
        <f>_xll.qlCalendarAdvance(Calendar,BC86,"1d","mf",,Trigger)</f>
        <v>42396</v>
      </c>
      <c r="BD87" s="41">
        <f>_xll.qlDayCounterYearFraction(DayCounter,SettlementDate,BC87,,,Trigger)</f>
        <v>0.32500000000000001</v>
      </c>
      <c r="BE87" s="47">
        <f>_xll.qlPolynomialFunctionValue(BE$1,$BD87,AllTriggers)</f>
        <v>1.8603740245541479E-3</v>
      </c>
      <c r="BF87" s="47">
        <f>_xll.qlPolynomialFunctionValue(BF$1,$BD87,AllTriggers)</f>
        <v>1.8671953969036877E-3</v>
      </c>
      <c r="BG87" s="47">
        <f>_xll.qlPolynomialFunctionValue(BG$1,$BD87,AllTriggers)</f>
        <v>1.8612721895319843E-3</v>
      </c>
      <c r="BH87" s="47">
        <f>_xll.qlPolynomialFunctionValue(BH$1,$BD87,AllTriggers)</f>
        <v>1.8137798305982113E-3</v>
      </c>
      <c r="BI87" s="47">
        <f>_xll.qlPolynomialFunctionValue(BI$1,$BD87,AllTriggers)</f>
        <v>1.8626971891455026E-3</v>
      </c>
      <c r="BJ87" s="47">
        <f>_xll.qlPolynomialFunctionValue(BJ$1,$BD87,AllTriggers)</f>
        <v>1.8729352619813191E-3</v>
      </c>
      <c r="BK87" s="47">
        <f>_xll.qlPolynomialFunctionValue(BK$1,$BD87,AllTriggers)</f>
        <v>1.8638294348571715E-3</v>
      </c>
      <c r="BL87" s="47">
        <f>_xll.qlPolynomialFunctionValue(BL$1,$BD87,AllTriggers)</f>
        <v>1.8131345382676584E-3</v>
      </c>
      <c r="BM87" s="47">
        <f>_xll.qlPolynomialFunctionValue(BM$1,$BD87,AllTriggers)</f>
        <v>1.8614463434077821E-3</v>
      </c>
      <c r="BN87" s="47">
        <f>_xll.qlPolynomialFunctionValue(BN$1,$BD87,AllTriggers)</f>
        <v>1.8575682679848233E-3</v>
      </c>
      <c r="BO87" s="47">
        <f>_xll.qlPolynomialFunctionValue(BO$1,$BD87,AllTriggers)</f>
        <v>1.8560262447969535E-3</v>
      </c>
      <c r="BP87" s="47">
        <f>_xll.qlPolynomialFunctionValue(BP$1,$BD87,AllTriggers)</f>
        <v>1.8572429099944269E-3</v>
      </c>
      <c r="BQ87" s="47">
        <f>_xll.qlPolynomialFunctionValue('6MSynthDepo_used'!$P$18,BD87,AllTriggers)</f>
        <v>1.8770609394321829E-3</v>
      </c>
    </row>
    <row r="88" spans="8:69" x14ac:dyDescent="0.2">
      <c r="K88" s="55"/>
      <c r="L88" s="55"/>
      <c r="M88" s="55"/>
      <c r="N88" s="55"/>
      <c r="R88" s="34"/>
      <c r="S88" s="34"/>
      <c r="BC88" s="178">
        <f>_xll.qlCalendarAdvance(Calendar,BC87,"1d","mf",,Trigger)</f>
        <v>42397</v>
      </c>
      <c r="BD88" s="41">
        <f>_xll.qlDayCounterYearFraction(DayCounter,SettlementDate,BC88,,,Trigger)</f>
        <v>0.32777777777777778</v>
      </c>
      <c r="BE88" s="47">
        <f>_xll.qlPolynomialFunctionValue(BE$1,$BD88,AllTriggers)</f>
        <v>1.8617250685780433E-3</v>
      </c>
      <c r="BF88" s="47">
        <f>_xll.qlPolynomialFunctionValue(BF$1,$BD88,AllTriggers)</f>
        <v>1.8685034014961105E-3</v>
      </c>
      <c r="BG88" s="47">
        <f>_xll.qlPolynomialFunctionValue(BG$1,$BD88,AllTriggers)</f>
        <v>1.8624850543285201E-3</v>
      </c>
      <c r="BH88" s="47">
        <f>_xll.qlPolynomialFunctionValue(BH$1,$BD88,AllTriggers)</f>
        <v>1.8142298631905719E-3</v>
      </c>
      <c r="BI88" s="47">
        <f>_xll.qlPolynomialFunctionValue(BI$1,$BD88,AllTriggers)</f>
        <v>1.8641183661335459E-3</v>
      </c>
      <c r="BJ88" s="47">
        <f>_xll.qlPolynomialFunctionValue(BJ$1,$BD88,AllTriggers)</f>
        <v>1.8742730398684003E-3</v>
      </c>
      <c r="BK88" s="47">
        <f>_xll.qlPolynomialFunctionValue(BK$1,$BD88,AllTriggers)</f>
        <v>1.8650241627028812E-3</v>
      </c>
      <c r="BL88" s="47">
        <f>_xll.qlPolynomialFunctionValue(BL$1,$BD88,AllTriggers)</f>
        <v>1.8135328632215048E-3</v>
      </c>
      <c r="BM88" s="47">
        <f>_xll.qlPolynomialFunctionValue(BM$1,$BD88,AllTriggers)</f>
        <v>1.8630082573436349E-3</v>
      </c>
      <c r="BN88" s="47">
        <f>_xll.qlPolynomialFunctionValue(BN$1,$BD88,AllTriggers)</f>
        <v>1.8590431060843157E-3</v>
      </c>
      <c r="BO88" s="47">
        <f>_xll.qlPolynomialFunctionValue(BO$1,$BD88,AllTriggers)</f>
        <v>1.857667448494934E-3</v>
      </c>
      <c r="BP88" s="47">
        <f>_xll.qlPolynomialFunctionValue(BP$1,$BD88,AllTriggers)</f>
        <v>1.8590200705536093E-3</v>
      </c>
      <c r="BQ88" s="47">
        <f>_xll.qlPolynomialFunctionValue('6MSynthDepo_used'!$P$18,BD88,AllTriggers)</f>
        <v>1.878758883125952E-3</v>
      </c>
    </row>
    <row r="89" spans="8:69" x14ac:dyDescent="0.2">
      <c r="K89" s="55"/>
      <c r="L89" s="55"/>
      <c r="M89" s="55"/>
      <c r="N89" s="55"/>
      <c r="R89" s="34"/>
      <c r="S89" s="34"/>
      <c r="BC89" s="178">
        <f>_xll.qlCalendarAdvance(Calendar,BC88,"1d","mf",,Trigger)</f>
        <v>42398</v>
      </c>
      <c r="BD89" s="41">
        <f>_xll.qlDayCounterYearFraction(DayCounter,SettlementDate,BC89,,,Trigger)</f>
        <v>0.33055555555555555</v>
      </c>
      <c r="BE89" s="47">
        <f>_xll.qlPolynomialFunctionValue(BE$1,$BD89,AllTriggers)</f>
        <v>1.8630761126019386E-3</v>
      </c>
      <c r="BF89" s="47">
        <f>_xll.qlPolynomialFunctionValue(BF$1,$BD89,AllTriggers)</f>
        <v>1.8698068756220626E-3</v>
      </c>
      <c r="BG89" s="47">
        <f>_xll.qlPolynomialFunctionValue(BG$1,$BD89,AllTriggers)</f>
        <v>1.8636979191250561E-3</v>
      </c>
      <c r="BH89" s="47">
        <f>_xll.qlPolynomialFunctionValue(BH$1,$BD89,AllTriggers)</f>
        <v>1.8147162211259883E-3</v>
      </c>
      <c r="BI89" s="47">
        <f>_xll.qlPolynomialFunctionValue(BI$1,$BD89,AllTriggers)</f>
        <v>1.865539543121589E-3</v>
      </c>
      <c r="BJ89" s="47">
        <f>_xll.qlPolynomialFunctionValue(BJ$1,$BD89,AllTriggers)</f>
        <v>1.8756037530793057E-3</v>
      </c>
      <c r="BK89" s="47">
        <f>_xll.qlPolynomialFunctionValue(BK$1,$BD89,AllTriggers)</f>
        <v>1.8662188905485906E-3</v>
      </c>
      <c r="BL89" s="47">
        <f>_xll.qlPolynomialFunctionValue(BL$1,$BD89,AllTriggers)</f>
        <v>1.8139705193666103E-3</v>
      </c>
      <c r="BM89" s="47">
        <f>_xll.qlPolynomialFunctionValue(BM$1,$BD89,AllTriggers)</f>
        <v>1.8645701712794876E-3</v>
      </c>
      <c r="BN89" s="47">
        <f>_xll.qlPolynomialFunctionValue(BN$1,$BD89,AllTriggers)</f>
        <v>1.8605201383830676E-3</v>
      </c>
      <c r="BO89" s="47">
        <f>_xll.qlPolynomialFunctionValue(BO$1,$BD89,AllTriggers)</f>
        <v>1.8593086521929145E-3</v>
      </c>
      <c r="BP89" s="47">
        <f>_xll.qlPolynomialFunctionValue(BP$1,$BD89,AllTriggers)</f>
        <v>1.8607948851330418E-3</v>
      </c>
      <c r="BQ89" s="47">
        <f>_xll.qlPolynomialFunctionValue('6MSynthDepo_used'!$P$18,BD89,AllTriggers)</f>
        <v>1.8804524342520878E-3</v>
      </c>
    </row>
    <row r="90" spans="8:69" x14ac:dyDescent="0.2">
      <c r="K90" s="55"/>
      <c r="L90" s="55"/>
      <c r="M90" s="55"/>
      <c r="N90" s="55"/>
      <c r="R90" s="34"/>
      <c r="S90" s="34"/>
      <c r="BC90" s="178">
        <f>_xll.qlCalendarAdvance(Calendar,BC89,"1d","mf",,Trigger)</f>
        <v>42401</v>
      </c>
      <c r="BD90" s="41">
        <f>_xll.qlDayCounterYearFraction(DayCounter,SettlementDate,BC90,,,Trigger)</f>
        <v>0.33888888888888891</v>
      </c>
      <c r="BE90" s="47">
        <f>_xll.qlPolynomialFunctionValue(BE$1,$BD90,AllTriggers)</f>
        <v>1.8671292446736248E-3</v>
      </c>
      <c r="BF90" s="47">
        <f>_xll.qlPolynomialFunctionValue(BF$1,$BD90,AllTriggers)</f>
        <v>1.8736901152010938E-3</v>
      </c>
      <c r="BG90" s="47">
        <f>_xll.qlPolynomialFunctionValue(BG$1,$BD90,AllTriggers)</f>
        <v>1.867336513514664E-3</v>
      </c>
      <c r="BH90" s="47">
        <f>_xll.qlPolynomialFunctionValue(BH$1,$BD90,AllTriggers)</f>
        <v>1.8163932469905731E-3</v>
      </c>
      <c r="BI90" s="47">
        <f>_xll.qlPolynomialFunctionValue(BI$1,$BD90,AllTriggers)</f>
        <v>1.8698030740857186E-3</v>
      </c>
      <c r="BJ90" s="47">
        <f>_xll.qlPolynomialFunctionValue(BJ$1,$BD90,AllTriggers)</f>
        <v>1.8795535046549643E-3</v>
      </c>
      <c r="BK90" s="47">
        <f>_xll.qlPolynomialFunctionValue(BK$1,$BD90,AllTriggers)</f>
        <v>1.8698030740857193E-3</v>
      </c>
      <c r="BL90" s="47">
        <f>_xll.qlPolynomialFunctionValue(BL$1,$BD90,AllTriggers)</f>
        <v>1.8155194749494823E-3</v>
      </c>
      <c r="BM90" s="47">
        <f>_xll.qlPolynomialFunctionValue(BM$1,$BD90,AllTriggers)</f>
        <v>1.8692559130870456E-3</v>
      </c>
      <c r="BN90" s="47">
        <f>_xll.qlPolynomialFunctionValue(BN$1,$BD90,AllTriggers)</f>
        <v>1.8649644004748831E-3</v>
      </c>
      <c r="BO90" s="47">
        <f>_xll.qlPolynomialFunctionValue(BO$1,$BD90,AllTriggers)</f>
        <v>1.8642322632868562E-3</v>
      </c>
      <c r="BP90" s="47">
        <f>_xll.qlPolynomialFunctionValue(BP$1,$BD90,AllTriggers)</f>
        <v>1.8661052529928407E-3</v>
      </c>
      <c r="BQ90" s="47">
        <f>_xll.qlPolynomialFunctionValue('6MSynthDepo_used'!$P$18,BD90,AllTriggers)</f>
        <v>1.8855068732555168E-3</v>
      </c>
    </row>
    <row r="91" spans="8:69" x14ac:dyDescent="0.2">
      <c r="K91" s="55"/>
      <c r="L91" s="55"/>
      <c r="M91" s="55"/>
      <c r="N91" s="55"/>
      <c r="R91" s="34"/>
      <c r="S91" s="34"/>
      <c r="BC91" s="178">
        <f>_xll.qlCalendarAdvance(Calendar,BC90,"1d","mf",,Trigger)</f>
        <v>42402</v>
      </c>
      <c r="BD91" s="41">
        <f>_xll.qlDayCounterYearFraction(DayCounter,SettlementDate,BC91,,,Trigger)</f>
        <v>0.34166666666666667</v>
      </c>
      <c r="BE91" s="47">
        <f>_xll.qlPolynomialFunctionValue(BE$1,$BD91,AllTriggers)</f>
        <v>1.8684802886975204E-3</v>
      </c>
      <c r="BF91" s="47">
        <f>_xll.qlPolynomialFunctionValue(BF$1,$BD91,AllTriggers)</f>
        <v>1.8749754674611625E-3</v>
      </c>
      <c r="BG91" s="47">
        <f>_xll.qlPolynomialFunctionValue(BG$1,$BD91,AllTriggers)</f>
        <v>1.8685493783111998E-3</v>
      </c>
      <c r="BH91" s="47">
        <f>_xll.qlPolynomialFunctionValue(BH$1,$BD91,AllTriggers)</f>
        <v>1.8170249062982133E-3</v>
      </c>
      <c r="BI91" s="47">
        <f>_xll.qlPolynomialFunctionValue(BI$1,$BD91,AllTriggers)</f>
        <v>1.8712242510737617E-3</v>
      </c>
      <c r="BJ91" s="47">
        <f>_xll.qlPolynomialFunctionValue(BJ$1,$BD91,AllTriggers)</f>
        <v>1.8808559591611644E-3</v>
      </c>
      <c r="BK91" s="47">
        <f>_xll.qlPolynomialFunctionValue(BK$1,$BD91,AllTriggers)</f>
        <v>1.8709978019314289E-3</v>
      </c>
      <c r="BL91" s="47">
        <f>_xll.qlPolynomialFunctionValue(BL$1,$BD91,AllTriggers)</f>
        <v>1.8161144558596245E-3</v>
      </c>
      <c r="BM91" s="47">
        <f>_xll.qlPolynomialFunctionValue(BM$1,$BD91,AllTriggers)</f>
        <v>1.8708178270228984E-3</v>
      </c>
      <c r="BN91" s="47">
        <f>_xll.qlPolynomialFunctionValue(BN$1,$BD91,AllTriggers)</f>
        <v>1.8664502095706746E-3</v>
      </c>
      <c r="BO91" s="47">
        <f>_xll.qlPolynomialFunctionValue(BO$1,$BD91,AllTriggers)</f>
        <v>1.8658734669848367E-3</v>
      </c>
      <c r="BP91" s="47">
        <f>_xll.qlPolynomialFunctionValue(BP$1,$BD91,AllTriggers)</f>
        <v>1.8678706836532742E-3</v>
      </c>
      <c r="BQ91" s="47">
        <f>_xll.qlPolynomialFunctionValue('6MSynthDepo_used'!$P$18,BD91,AllTriggers)</f>
        <v>1.8871829951419422E-3</v>
      </c>
    </row>
    <row r="92" spans="8:69" x14ac:dyDescent="0.2">
      <c r="K92" s="55"/>
      <c r="L92" s="55"/>
      <c r="M92" s="55"/>
      <c r="N92" s="55"/>
      <c r="R92" s="34"/>
      <c r="S92" s="34"/>
      <c r="BC92" s="178">
        <f>_xll.qlCalendarAdvance(Calendar,BC91,"1d","mf",,Trigger)</f>
        <v>42403</v>
      </c>
      <c r="BD92" s="41">
        <f>_xll.qlDayCounterYearFraction(DayCounter,SettlementDate,BC92,,,Trigger)</f>
        <v>0.34444444444444444</v>
      </c>
      <c r="BE92" s="47">
        <f>_xll.qlPolynomialFunctionValue(BE$1,$BD92,AllTriggers)</f>
        <v>1.8698313327214157E-3</v>
      </c>
      <c r="BF92" s="47">
        <f>_xll.qlPolynomialFunctionValue(BF$1,$BD92,AllTriggers)</f>
        <v>1.8762562892547605E-3</v>
      </c>
      <c r="BG92" s="47">
        <f>_xll.qlPolynomialFunctionValue(BG$1,$BD92,AllTriggers)</f>
        <v>1.8697622431077358E-3</v>
      </c>
      <c r="BH92" s="47">
        <f>_xll.qlPolynomialFunctionValue(BH$1,$BD92,AllTriggers)</f>
        <v>1.8176928909489096E-3</v>
      </c>
      <c r="BI92" s="47">
        <f>_xll.qlPolynomialFunctionValue(BI$1,$BD92,AllTriggers)</f>
        <v>1.872645428061805E-3</v>
      </c>
      <c r="BJ92" s="47">
        <f>_xll.qlPolynomialFunctionValue(BJ$1,$BD92,AllTriggers)</f>
        <v>1.8821513489911885E-3</v>
      </c>
      <c r="BK92" s="47">
        <f>_xll.qlPolynomialFunctionValue(BK$1,$BD92,AllTriggers)</f>
        <v>1.8721925297771386E-3</v>
      </c>
      <c r="BL92" s="47">
        <f>_xll.qlPolynomialFunctionValue(BL$1,$BD92,AllTriggers)</f>
        <v>1.8167487679610259E-3</v>
      </c>
      <c r="BM92" s="47">
        <f>_xll.qlPolynomialFunctionValue(BM$1,$BD92,AllTriggers)</f>
        <v>1.8723797409587511E-3</v>
      </c>
      <c r="BN92" s="47">
        <f>_xll.qlPolynomialFunctionValue(BN$1,$BD92,AllTriggers)</f>
        <v>1.8679382128657257E-3</v>
      </c>
      <c r="BO92" s="47">
        <f>_xll.qlPolynomialFunctionValue(BO$1,$BD92,AllTriggers)</f>
        <v>1.8675146706828172E-3</v>
      </c>
      <c r="BP92" s="47">
        <f>_xll.qlPolynomialFunctionValue(BP$1,$BD92,AllTriggers)</f>
        <v>1.8696337683339575E-3</v>
      </c>
      <c r="BQ92" s="47">
        <f>_xll.qlPolynomialFunctionValue('6MSynthDepo_used'!$P$18,BD92,AllTriggers)</f>
        <v>1.8888547949761458E-3</v>
      </c>
    </row>
    <row r="93" spans="8:69" x14ac:dyDescent="0.2">
      <c r="K93" s="55"/>
      <c r="L93" s="55"/>
      <c r="M93" s="55"/>
      <c r="N93" s="55"/>
      <c r="R93" s="34"/>
      <c r="S93" s="34"/>
      <c r="BC93" s="178">
        <f>_xll.qlCalendarAdvance(Calendar,BC92,"1d","mf",,Trigger)</f>
        <v>42404</v>
      </c>
      <c r="BD93" s="41">
        <f>_xll.qlDayCounterYearFraction(DayCounter,SettlementDate,BC93,,,Trigger)</f>
        <v>0.34722222222222221</v>
      </c>
      <c r="BE93" s="47">
        <f>_xll.qlPolynomialFunctionValue(BE$1,$BD93,AllTriggers)</f>
        <v>1.871182376745311E-3</v>
      </c>
      <c r="BF93" s="47">
        <f>_xll.qlPolynomialFunctionValue(BF$1,$BD93,AllTriggers)</f>
        <v>1.8775325805818878E-3</v>
      </c>
      <c r="BG93" s="47">
        <f>_xll.qlPolynomialFunctionValue(BG$1,$BD93,AllTriggers)</f>
        <v>1.8709751079042717E-3</v>
      </c>
      <c r="BH93" s="47">
        <f>_xll.qlPolynomialFunctionValue(BH$1,$BD93,AllTriggers)</f>
        <v>1.8183972009426618E-3</v>
      </c>
      <c r="BI93" s="47">
        <f>_xll.qlPolynomialFunctionValue(BI$1,$BD93,AllTriggers)</f>
        <v>1.8740666050498481E-3</v>
      </c>
      <c r="BJ93" s="47">
        <f>_xll.qlPolynomialFunctionValue(BJ$1,$BD93,AllTriggers)</f>
        <v>1.8834396741450362E-3</v>
      </c>
      <c r="BK93" s="47">
        <f>_xll.qlPolynomialFunctionValue(BK$1,$BD93,AllTriggers)</f>
        <v>1.873387257622848E-3</v>
      </c>
      <c r="BL93" s="47">
        <f>_xll.qlPolynomialFunctionValue(BL$1,$BD93,AllTriggers)</f>
        <v>1.8174224112536869E-3</v>
      </c>
      <c r="BM93" s="47">
        <f>_xll.qlPolynomialFunctionValue(BM$1,$BD93,AllTriggers)</f>
        <v>1.8739416548946039E-3</v>
      </c>
      <c r="BN93" s="47">
        <f>_xll.qlPolynomialFunctionValue(BN$1,$BD93,AllTriggers)</f>
        <v>1.8694284103600368E-3</v>
      </c>
      <c r="BO93" s="47">
        <f>_xll.qlPolynomialFunctionValue(BO$1,$BD93,AllTriggers)</f>
        <v>1.869155874380798E-3</v>
      </c>
      <c r="BP93" s="47">
        <f>_xll.qlPolynomialFunctionValue(BP$1,$BD93,AllTriggers)</f>
        <v>1.8713945070348913E-3</v>
      </c>
      <c r="BQ93" s="47">
        <f>_xll.qlPolynomialFunctionValue('6MSynthDepo_used'!$P$18,BD93,AllTriggers)</f>
        <v>1.8905222868612105E-3</v>
      </c>
    </row>
    <row r="94" spans="8:69" x14ac:dyDescent="0.2">
      <c r="K94" s="55"/>
      <c r="L94" s="55"/>
      <c r="M94" s="55"/>
      <c r="N94" s="55"/>
      <c r="R94" s="34"/>
      <c r="S94" s="34"/>
      <c r="BC94" s="178">
        <f>_xll.qlCalendarAdvance(Calendar,BC93,"1d","mf",,Trigger)</f>
        <v>42405</v>
      </c>
      <c r="BD94" s="41">
        <f>_xll.qlDayCounterYearFraction(DayCounter,SettlementDate,BC94,,,Trigger)</f>
        <v>0.35</v>
      </c>
      <c r="BE94" s="47">
        <f>_xll.qlPolynomialFunctionValue(BE$1,$BD94,AllTriggers)</f>
        <v>1.8725334207692066E-3</v>
      </c>
      <c r="BF94" s="47">
        <f>_xll.qlPolynomialFunctionValue(BF$1,$BD94,AllTriggers)</f>
        <v>1.8788043414425441E-3</v>
      </c>
      <c r="BG94" s="47">
        <f>_xll.qlPolynomialFunctionValue(BG$1,$BD94,AllTriggers)</f>
        <v>1.8721879727008077E-3</v>
      </c>
      <c r="BH94" s="47">
        <f>_xll.qlPolynomialFunctionValue(BH$1,$BD94,AllTriggers)</f>
        <v>1.8191378362794699E-3</v>
      </c>
      <c r="BI94" s="47">
        <f>_xll.qlPolynomialFunctionValue(BI$1,$BD94,AllTriggers)</f>
        <v>1.8754877820378914E-3</v>
      </c>
      <c r="BJ94" s="47">
        <f>_xll.qlPolynomialFunctionValue(BJ$1,$BD94,AllTriggers)</f>
        <v>1.8847209346227079E-3</v>
      </c>
      <c r="BK94" s="47">
        <f>_xll.qlPolynomialFunctionValue(BK$1,$BD94,AllTriggers)</f>
        <v>1.8745819854685576E-3</v>
      </c>
      <c r="BL94" s="47">
        <f>_xll.qlPolynomialFunctionValue(BL$1,$BD94,AllTriggers)</f>
        <v>1.818135385737607E-3</v>
      </c>
      <c r="BM94" s="47">
        <f>_xll.qlPolynomialFunctionValue(BM$1,$BD94,AllTriggers)</f>
        <v>1.8755035688304566E-3</v>
      </c>
      <c r="BN94" s="47">
        <f>_xll.qlPolynomialFunctionValue(BN$1,$BD94,AllTriggers)</f>
        <v>1.8709208020536076E-3</v>
      </c>
      <c r="BO94" s="47">
        <f>_xll.qlPolynomialFunctionValue(BO$1,$BD94,AllTriggers)</f>
        <v>1.8707970780787785E-3</v>
      </c>
      <c r="BP94" s="47">
        <f>_xll.qlPolynomialFunctionValue(BP$1,$BD94,AllTriggers)</f>
        <v>1.8731528997560753E-3</v>
      </c>
      <c r="BQ94" s="47">
        <f>_xll.qlPolynomialFunctionValue('6MSynthDepo_used'!$P$18,BD94,AllTriggers)</f>
        <v>1.8921854849002185E-3</v>
      </c>
    </row>
    <row r="95" spans="8:69" x14ac:dyDescent="0.2">
      <c r="K95" s="55"/>
      <c r="L95" s="55"/>
      <c r="M95" s="55"/>
      <c r="N95" s="55"/>
      <c r="R95" s="34"/>
      <c r="S95" s="34"/>
      <c r="BC95" s="178">
        <f>_xll.qlCalendarAdvance(Calendar,BC94,"1d","mf",,Trigger)</f>
        <v>42408</v>
      </c>
      <c r="BD95" s="41">
        <f>_xll.qlDayCounterYearFraction(DayCounter,SettlementDate,BC95,,,Trigger)</f>
        <v>0.35833333333333334</v>
      </c>
      <c r="BE95" s="47">
        <f>_xll.qlPolynomialFunctionValue(BE$1,$BD95,AllTriggers)</f>
        <v>1.8765865528408928E-3</v>
      </c>
      <c r="BF95" s="47">
        <f>_xll.qlPolynomialFunctionValue(BF$1,$BD95,AllTriggers)</f>
        <v>1.8825924412256884E-3</v>
      </c>
      <c r="BG95" s="47">
        <f>_xll.qlPolynomialFunctionValue(BG$1,$BD95,AllTriggers)</f>
        <v>1.8758265670904156E-3</v>
      </c>
      <c r="BH95" s="47">
        <f>_xll.qlPolynomialFunctionValue(BH$1,$BD95,AllTriggers)</f>
        <v>1.8215776943482306E-3</v>
      </c>
      <c r="BI95" s="47">
        <f>_xll.qlPolynomialFunctionValue(BI$1,$BD95,AllTriggers)</f>
        <v>1.879751313002021E-3</v>
      </c>
      <c r="BJ95" s="47">
        <f>_xll.qlPolynomialFunctionValue(BJ$1,$BD95,AllTriggers)</f>
        <v>1.8885223279986655E-3</v>
      </c>
      <c r="BK95" s="47">
        <f>_xll.qlPolynomialFunctionValue(BK$1,$BD95,AllTriggers)</f>
        <v>1.8781661690056863E-3</v>
      </c>
      <c r="BL95" s="47">
        <f>_xll.qlPolynomialFunctionValue(BL$1,$BD95,AllTriggers)</f>
        <v>1.8205102963369222E-3</v>
      </c>
      <c r="BM95" s="47">
        <f>_xll.qlPolynomialFunctionValue(BM$1,$BD95,AllTriggers)</f>
        <v>1.8801893106380149E-3</v>
      </c>
      <c r="BN95" s="47">
        <f>_xll.qlPolynomialFunctionValue(BN$1,$BD95,AllTriggers)</f>
        <v>1.875411142329879E-3</v>
      </c>
      <c r="BO95" s="47">
        <f>_xll.qlPolynomialFunctionValue(BO$1,$BD95,AllTriggers)</f>
        <v>1.8757206891727202E-3</v>
      </c>
      <c r="BP95" s="47">
        <f>_xll.qlPolynomialFunctionValue(BP$1,$BD95,AllTriggers)</f>
        <v>1.8784140020411282E-3</v>
      </c>
      <c r="BQ95" s="47">
        <f>_xll.qlPolynomialFunctionValue('6MSynthDepo_used'!$P$18,BD95,AllTriggers)</f>
        <v>1.8971494569717268E-3</v>
      </c>
    </row>
    <row r="96" spans="8:69" x14ac:dyDescent="0.2">
      <c r="K96" s="55"/>
      <c r="L96" s="55"/>
      <c r="M96" s="55"/>
      <c r="N96" s="55"/>
      <c r="R96" s="34"/>
      <c r="S96" s="34"/>
      <c r="BC96" s="178">
        <f>_xll.qlCalendarAdvance(Calendar,BC95,"1d","mf",,Trigger)</f>
        <v>42409</v>
      </c>
      <c r="BD96" s="41">
        <f>_xll.qlDayCounterYearFraction(DayCounter,SettlementDate,BC96,,,Trigger)</f>
        <v>0.3611111111111111</v>
      </c>
      <c r="BE96" s="47">
        <f>_xll.qlPolynomialFunctionValue(BE$1,$BD96,AllTriggers)</f>
        <v>1.8779375968647882E-3</v>
      </c>
      <c r="BF96" s="47">
        <f>_xll.qlPolynomialFunctionValue(BF$1,$BD96,AllTriggers)</f>
        <v>1.8838460802204616E-3</v>
      </c>
      <c r="BG96" s="47">
        <f>_xll.qlPolynomialFunctionValue(BG$1,$BD96,AllTriggers)</f>
        <v>1.8770394318869514E-3</v>
      </c>
      <c r="BH96" s="47">
        <f>_xll.qlPolynomialFunctionValue(BH$1,$BD96,AllTriggers)</f>
        <v>1.8224636310572627E-3</v>
      </c>
      <c r="BI96" s="47">
        <f>_xll.qlPolynomialFunctionValue(BI$1,$BD96,AllTriggers)</f>
        <v>1.8811724899900641E-3</v>
      </c>
      <c r="BJ96" s="47">
        <f>_xll.qlPolynomialFunctionValue(BJ$1,$BD96,AllTriggers)</f>
        <v>1.8897753297716321E-3</v>
      </c>
      <c r="BK96" s="47">
        <f>_xll.qlPolynomialFunctionValue(BK$1,$BD96,AllTriggers)</f>
        <v>1.8793608968513959E-3</v>
      </c>
      <c r="BL96" s="47">
        <f>_xll.qlPolynomialFunctionValue(BL$1,$BD96,AllTriggers)</f>
        <v>1.8213805955858788E-3</v>
      </c>
      <c r="BM96" s="47">
        <f>_xll.qlPolynomialFunctionValue(BM$1,$BD96,AllTriggers)</f>
        <v>1.8817512245738676E-3</v>
      </c>
      <c r="BN96" s="47">
        <f>_xll.qlPolynomialFunctionValue(BN$1,$BD96,AllTriggers)</f>
        <v>1.876912310820489E-3</v>
      </c>
      <c r="BO96" s="47">
        <f>_xll.qlPolynomialFunctionValue(BO$1,$BD96,AllTriggers)</f>
        <v>1.8773618928707007E-3</v>
      </c>
      <c r="BP96" s="47">
        <f>_xll.qlPolynomialFunctionValue(BP$1,$BD96,AllTriggers)</f>
        <v>1.880163010843313E-3</v>
      </c>
      <c r="BQ96" s="47">
        <f>_xll.qlPolynomialFunctionValue('6MSynthDepo_used'!$P$18,BD96,AllTriggers)</f>
        <v>1.8987956206573324E-3</v>
      </c>
    </row>
    <row r="97" spans="11:69" x14ac:dyDescent="0.2">
      <c r="K97" s="55"/>
      <c r="L97" s="55"/>
      <c r="M97" s="55"/>
      <c r="N97" s="55"/>
      <c r="R97" s="34"/>
      <c r="S97" s="34"/>
      <c r="BC97" s="178">
        <f>_xll.qlCalendarAdvance(Calendar,BC96,"1d","mf",,Trigger)</f>
        <v>42410</v>
      </c>
      <c r="BD97" s="41">
        <f>_xll.qlDayCounterYearFraction(DayCounter,SettlementDate,BC97,,,Trigger)</f>
        <v>0.36388888888888887</v>
      </c>
      <c r="BE97" s="47">
        <f>_xll.qlPolynomialFunctionValue(BE$1,$BD97,AllTriggers)</f>
        <v>1.8792886408886835E-3</v>
      </c>
      <c r="BF97" s="47">
        <f>_xll.qlPolynomialFunctionValue(BF$1,$BD97,AllTriggers)</f>
        <v>1.8850951887487638E-3</v>
      </c>
      <c r="BG97" s="47">
        <f>_xll.qlPolynomialFunctionValue(BG$1,$BD97,AllTriggers)</f>
        <v>1.8782522966834874E-3</v>
      </c>
      <c r="BH97" s="47">
        <f>_xll.qlPolynomialFunctionValue(BH$1,$BD97,AllTriggers)</f>
        <v>1.8233858931093511E-3</v>
      </c>
      <c r="BI97" s="47">
        <f>_xll.qlPolynomialFunctionValue(BI$1,$BD97,AllTriggers)</f>
        <v>1.8825936669781074E-3</v>
      </c>
      <c r="BJ97" s="47">
        <f>_xll.qlPolynomialFunctionValue(BJ$1,$BD97,AllTriggers)</f>
        <v>1.8910212668684227E-3</v>
      </c>
      <c r="BK97" s="47">
        <f>_xll.qlPolynomialFunctionValue(BK$1,$BD97,AllTriggers)</f>
        <v>1.8805556246971054E-3</v>
      </c>
      <c r="BL97" s="47">
        <f>_xll.qlPolynomialFunctionValue(BL$1,$BD97,AllTriggers)</f>
        <v>1.8222902260260948E-3</v>
      </c>
      <c r="BM97" s="47">
        <f>_xll.qlPolynomialFunctionValue(BM$1,$BD97,AllTriggers)</f>
        <v>1.8833131385097204E-3</v>
      </c>
      <c r="BN97" s="47">
        <f>_xll.qlPolynomialFunctionValue(BN$1,$BD97,AllTriggers)</f>
        <v>1.8784156735103591E-3</v>
      </c>
      <c r="BO97" s="47">
        <f>_xll.qlPolynomialFunctionValue(BO$1,$BD97,AllTriggers)</f>
        <v>1.8790030965686812E-3</v>
      </c>
      <c r="BP97" s="47">
        <f>_xll.qlPolynomialFunctionValue(BP$1,$BD97,AllTriggers)</f>
        <v>1.8819096736657479E-3</v>
      </c>
      <c r="BQ97" s="47">
        <f>_xll.qlPolynomialFunctionValue('6MSynthDepo_used'!$P$18,BD97,AllTriggers)</f>
        <v>1.9004375610122935E-3</v>
      </c>
    </row>
    <row r="98" spans="11:69" x14ac:dyDescent="0.2">
      <c r="K98" s="55"/>
      <c r="L98" s="55"/>
      <c r="M98" s="55"/>
      <c r="N98" s="55"/>
      <c r="R98" s="34"/>
      <c r="S98" s="34"/>
      <c r="BC98" s="178">
        <f>_xll.qlCalendarAdvance(Calendar,BC97,"1d","mf",,Trigger)</f>
        <v>42411</v>
      </c>
      <c r="BD98" s="41">
        <f>_xll.qlDayCounterYearFraction(DayCounter,SettlementDate,BC98,,,Trigger)</f>
        <v>0.36666666666666664</v>
      </c>
      <c r="BE98" s="47">
        <f>_xll.qlPolynomialFunctionValue(BE$1,$BD98,AllTriggers)</f>
        <v>1.880639684912579E-3</v>
      </c>
      <c r="BF98" s="47">
        <f>_xll.qlPolynomialFunctionValue(BF$1,$BD98,AllTriggers)</f>
        <v>1.8863397668105954E-3</v>
      </c>
      <c r="BG98" s="47">
        <f>_xll.qlPolynomialFunctionValue(BG$1,$BD98,AllTriggers)</f>
        <v>1.8794651614800232E-3</v>
      </c>
      <c r="BH98" s="47">
        <f>_xll.qlPolynomialFunctionValue(BH$1,$BD98,AllTriggers)</f>
        <v>1.824344480504495E-3</v>
      </c>
      <c r="BI98" s="47">
        <f>_xll.qlPolynomialFunctionValue(BI$1,$BD98,AllTriggers)</f>
        <v>1.8840148439661505E-3</v>
      </c>
      <c r="BJ98" s="47">
        <f>_xll.qlPolynomialFunctionValue(BJ$1,$BD98,AllTriggers)</f>
        <v>1.8922601392890367E-3</v>
      </c>
      <c r="BK98" s="47">
        <f>_xll.qlPolynomialFunctionValue(BK$1,$BD98,AllTriggers)</f>
        <v>1.881750352542815E-3</v>
      </c>
      <c r="BL98" s="47">
        <f>_xll.qlPolynomialFunctionValue(BL$1,$BD98,AllTriggers)</f>
        <v>1.8232391876575702E-3</v>
      </c>
      <c r="BM98" s="47">
        <f>_xll.qlPolynomialFunctionValue(BM$1,$BD98,AllTriggers)</f>
        <v>1.8848750524455729E-3</v>
      </c>
      <c r="BN98" s="47">
        <f>_xll.qlPolynomialFunctionValue(BN$1,$BD98,AllTriggers)</f>
        <v>1.8799212303994887E-3</v>
      </c>
      <c r="BO98" s="47">
        <f>_xll.qlPolynomialFunctionValue(BO$1,$BD98,AllTriggers)</f>
        <v>1.8806443002666617E-3</v>
      </c>
      <c r="BP98" s="47">
        <f>_xll.qlPolynomialFunctionValue(BP$1,$BD98,AllTriggers)</f>
        <v>1.883653990508433E-3</v>
      </c>
      <c r="BQ98" s="47">
        <f>_xll.qlPolynomialFunctionValue('6MSynthDepo_used'!$P$18,BD98,AllTriggers)</f>
        <v>1.9020752921396925E-3</v>
      </c>
    </row>
    <row r="99" spans="11:69" x14ac:dyDescent="0.2">
      <c r="K99" s="55"/>
      <c r="L99" s="55"/>
      <c r="M99" s="55"/>
      <c r="N99" s="55"/>
      <c r="R99" s="34"/>
      <c r="S99" s="34"/>
      <c r="BC99" s="178">
        <f>_xll.qlCalendarAdvance(Calendar,BC98,"1d","mf",,Trigger)</f>
        <v>42412</v>
      </c>
      <c r="BD99" s="41">
        <f>_xll.qlDayCounterYearFraction(DayCounter,SettlementDate,BC99,,,Trigger)</f>
        <v>0.36944444444444446</v>
      </c>
      <c r="BE99" s="47">
        <f>_xll.qlPolynomialFunctionValue(BE$1,$BD99,AllTriggers)</f>
        <v>1.8819907289364744E-3</v>
      </c>
      <c r="BF99" s="47">
        <f>_xll.qlPolynomialFunctionValue(BF$1,$BD99,AllTriggers)</f>
        <v>1.8875798144059562E-3</v>
      </c>
      <c r="BG99" s="47">
        <f>_xll.qlPolynomialFunctionValue(BG$1,$BD99,AllTriggers)</f>
        <v>1.8806780262765593E-3</v>
      </c>
      <c r="BH99" s="47">
        <f>_xll.qlPolynomialFunctionValue(BH$1,$BD99,AllTriggers)</f>
        <v>1.8253393932426952E-3</v>
      </c>
      <c r="BI99" s="47">
        <f>_xll.qlPolynomialFunctionValue(BI$1,$BD99,AllTriggers)</f>
        <v>1.8854360209541938E-3</v>
      </c>
      <c r="BJ99" s="47">
        <f>_xll.qlPolynomialFunctionValue(BJ$1,$BD99,AllTriggers)</f>
        <v>1.8934919470334746E-3</v>
      </c>
      <c r="BK99" s="47">
        <f>_xll.qlPolynomialFunctionValue(BK$1,$BD99,AllTriggers)</f>
        <v>1.8829450803885246E-3</v>
      </c>
      <c r="BL99" s="47">
        <f>_xll.qlPolynomialFunctionValue(BL$1,$BD99,AllTriggers)</f>
        <v>1.8242274804803047E-3</v>
      </c>
      <c r="BM99" s="47">
        <f>_xll.qlPolynomialFunctionValue(BM$1,$BD99,AllTriggers)</f>
        <v>1.8864369663814256E-3</v>
      </c>
      <c r="BN99" s="47">
        <f>_xll.qlPolynomialFunctionValue(BN$1,$BD99,AllTriggers)</f>
        <v>1.8814289814878783E-3</v>
      </c>
      <c r="BO99" s="47">
        <f>_xll.qlPolynomialFunctionValue(BO$1,$BD99,AllTriggers)</f>
        <v>1.8822855039646422E-3</v>
      </c>
      <c r="BP99" s="47">
        <f>_xll.qlPolynomialFunctionValue(BP$1,$BD99,AllTriggers)</f>
        <v>1.8853959613713686E-3</v>
      </c>
      <c r="BQ99" s="47">
        <f>_xll.qlPolynomialFunctionValue('6MSynthDepo_used'!$P$18,BD99,AllTriggers)</f>
        <v>1.9037088281426114E-3</v>
      </c>
    </row>
    <row r="100" spans="11:69" x14ac:dyDescent="0.2">
      <c r="K100" s="55"/>
      <c r="L100" s="55"/>
      <c r="M100" s="55"/>
      <c r="N100" s="55"/>
      <c r="R100" s="34"/>
      <c r="S100" s="34"/>
      <c r="BC100" s="178">
        <f>_xll.qlCalendarAdvance(Calendar,BC99,"1d","mf",,Trigger)</f>
        <v>42415</v>
      </c>
      <c r="BD100" s="41">
        <f>_xll.qlDayCounterYearFraction(DayCounter,SettlementDate,BC100,,,Trigger)</f>
        <v>0.37777777777777777</v>
      </c>
      <c r="BE100" s="47">
        <f>_xll.qlPolynomialFunctionValue(BE$1,$BD100,AllTriggers)</f>
        <v>1.8860438610081606E-3</v>
      </c>
      <c r="BF100" s="47">
        <f>_xll.qlPolynomialFunctionValue(BF$1,$BD100,AllTriggers)</f>
        <v>1.8912727743932139E-3</v>
      </c>
      <c r="BG100" s="47">
        <f>_xll.qlPolynomialFunctionValue(BG$1,$BD100,AllTriggers)</f>
        <v>1.8843166206661669E-3</v>
      </c>
      <c r="BH100" s="47">
        <f>_xll.qlPolynomialFunctionValue(BH$1,$BD100,AllTriggers)</f>
        <v>1.8285420835156315E-3</v>
      </c>
      <c r="BI100" s="47">
        <f>_xll.qlPolynomialFunctionValue(BI$1,$BD100,AllTriggers)</f>
        <v>1.8896995519183234E-3</v>
      </c>
      <c r="BJ100" s="47">
        <f>_xll.qlPolynomialFunctionValue(BJ$1,$BD100,AllTriggers)</f>
        <v>1.8971449822097314E-3</v>
      </c>
      <c r="BK100" s="47">
        <f>_xll.qlPolynomialFunctionValue(BK$1,$BD100,AllTriggers)</f>
        <v>1.8865292639256533E-3</v>
      </c>
      <c r="BL100" s="47">
        <f>_xll.qlPolynomialFunctionValue(BL$1,$BD100,AllTriggers)</f>
        <v>1.8274283460960636E-3</v>
      </c>
      <c r="BM100" s="47">
        <f>_xll.qlPolynomialFunctionValue(BM$1,$BD100,AllTriggers)</f>
        <v>1.8911227081889839E-3</v>
      </c>
      <c r="BN100" s="47">
        <f>_xll.qlPolynomialFunctionValue(BN$1,$BD100,AllTriggers)</f>
        <v>1.8859653999486058E-3</v>
      </c>
      <c r="BO100" s="47">
        <f>_xll.qlPolynomialFunctionValue(BO$1,$BD100,AllTriggers)</f>
        <v>1.8872091150585839E-3</v>
      </c>
      <c r="BP100" s="47">
        <f>_xll.qlPolynomialFunctionValue(BP$1,$BD100,AllTriggers)</f>
        <v>1.8906077980816757E-3</v>
      </c>
      <c r="BQ100" s="47">
        <f>_xll.qlPolynomialFunctionValue('6MSynthDepo_used'!$P$18,BD100,AllTriggers)</f>
        <v>1.9085844064353154E-3</v>
      </c>
    </row>
    <row r="101" spans="11:69" x14ac:dyDescent="0.2">
      <c r="K101" s="55"/>
      <c r="L101" s="55"/>
      <c r="M101" s="55"/>
      <c r="N101" s="55"/>
      <c r="R101" s="34"/>
      <c r="S101" s="34"/>
      <c r="BC101" s="178">
        <f>_xll.qlCalendarAdvance(Calendar,BC100,"1d","mf",,Trigger)</f>
        <v>42416</v>
      </c>
      <c r="BD101" s="41">
        <f>_xll.qlDayCounterYearFraction(DayCounter,SettlementDate,BC101,,,Trigger)</f>
        <v>0.38055555555555554</v>
      </c>
      <c r="BE101" s="47">
        <f>_xll.qlPolynomialFunctionValue(BE$1,$BD101,AllTriggers)</f>
        <v>1.8873949050320562E-3</v>
      </c>
      <c r="BF101" s="47">
        <f>_xll.qlPolynomialFunctionValue(BF$1,$BD101,AllTriggers)</f>
        <v>1.8924947001226914E-3</v>
      </c>
      <c r="BG101" s="47">
        <f>_xll.qlPolynomialFunctionValue(BG$1,$BD101,AllTriggers)</f>
        <v>1.885529485462703E-3</v>
      </c>
      <c r="BH101" s="47">
        <f>_xll.qlPolynomialFunctionValue(BH$1,$BD101,AllTriggers)</f>
        <v>1.8296822976260555E-3</v>
      </c>
      <c r="BI101" s="47">
        <f>_xll.qlPolynomialFunctionValue(BI$1,$BD101,AllTriggers)</f>
        <v>1.8911207289063665E-3</v>
      </c>
      <c r="BJ101" s="47">
        <f>_xll.qlPolynomialFunctionValue(BJ$1,$BD101,AllTriggers)</f>
        <v>1.8983485312494643E-3</v>
      </c>
      <c r="BK101" s="47">
        <f>_xll.qlPolynomialFunctionValue(BK$1,$BD101,AllTriggers)</f>
        <v>1.8877239917713627E-3</v>
      </c>
      <c r="BL101" s="47">
        <f>_xll.qlPolynomialFunctionValue(BL$1,$BD101,AllTriggers)</f>
        <v>1.8285739636838348E-3</v>
      </c>
      <c r="BM101" s="47">
        <f>_xll.qlPolynomialFunctionValue(BM$1,$BD101,AllTriggers)</f>
        <v>1.8926846221248366E-3</v>
      </c>
      <c r="BN101" s="47">
        <f>_xll.qlPolynomialFunctionValue(BN$1,$BD101,AllTriggers)</f>
        <v>1.8874819278340345E-3</v>
      </c>
      <c r="BO101" s="47">
        <f>_xll.qlPolynomialFunctionValue(BO$1,$BD101,AllTriggers)</f>
        <v>1.8888503187565644E-3</v>
      </c>
      <c r="BP101" s="47">
        <f>_xll.qlPolynomialFunctionValue(BP$1,$BD101,AllTriggers)</f>
        <v>1.8923403850256116E-3</v>
      </c>
      <c r="BQ101" s="47">
        <f>_xll.qlPolynomialFunctionValue('6MSynthDepo_used'!$P$18,BD101,AllTriggers)</f>
        <v>1.91020130297114E-3</v>
      </c>
    </row>
    <row r="102" spans="11:69" x14ac:dyDescent="0.2">
      <c r="K102" s="55"/>
      <c r="L102" s="55"/>
      <c r="M102" s="55"/>
      <c r="N102" s="55"/>
      <c r="R102" s="34"/>
      <c r="S102" s="34"/>
      <c r="BC102" s="178">
        <f>_xll.qlCalendarAdvance(Calendar,BC101,"1d","mf",,Trigger)</f>
        <v>42417</v>
      </c>
      <c r="BD102" s="41">
        <f>_xll.qlDayCounterYearFraction(DayCounter,SettlementDate,BC102,,,Trigger)</f>
        <v>0.38333333333333336</v>
      </c>
      <c r="BE102" s="47">
        <f>_xll.qlPolynomialFunctionValue(BE$1,$BD102,AllTriggers)</f>
        <v>1.8887459490559515E-3</v>
      </c>
      <c r="BF102" s="47">
        <f>_xll.qlPolynomialFunctionValue(BF$1,$BD102,AllTriggers)</f>
        <v>1.8937120953856981E-3</v>
      </c>
      <c r="BG102" s="47">
        <f>_xll.qlPolynomialFunctionValue(BG$1,$BD102,AllTriggers)</f>
        <v>1.886742350259239E-3</v>
      </c>
      <c r="BH102" s="47">
        <f>_xll.qlPolynomialFunctionValue(BH$1,$BD102,AllTriggers)</f>
        <v>1.8308588370795356E-3</v>
      </c>
      <c r="BI102" s="47">
        <f>_xll.qlPolynomialFunctionValue(BI$1,$BD102,AllTriggers)</f>
        <v>1.8925419058944098E-3</v>
      </c>
      <c r="BJ102" s="47">
        <f>_xll.qlPolynomialFunctionValue(BJ$1,$BD102,AllTriggers)</f>
        <v>1.8995450156130212E-3</v>
      </c>
      <c r="BK102" s="47">
        <f>_xll.qlPolynomialFunctionValue(BK$1,$BD102,AllTriggers)</f>
        <v>1.8889187196170724E-3</v>
      </c>
      <c r="BL102" s="47">
        <f>_xll.qlPolynomialFunctionValue(BL$1,$BD102,AllTriggers)</f>
        <v>1.8297589124628652E-3</v>
      </c>
      <c r="BM102" s="47">
        <f>_xll.qlPolynomialFunctionValue(BM$1,$BD102,AllTriggers)</f>
        <v>1.8942465360606894E-3</v>
      </c>
      <c r="BN102" s="47">
        <f>_xll.qlPolynomialFunctionValue(BN$1,$BD102,AllTriggers)</f>
        <v>1.8890006499187233E-3</v>
      </c>
      <c r="BO102" s="47">
        <f>_xll.qlPolynomialFunctionValue(BO$1,$BD102,AllTriggers)</f>
        <v>1.8904915224545451E-3</v>
      </c>
      <c r="BP102" s="47">
        <f>_xll.qlPolynomialFunctionValue(BP$1,$BD102,AllTriggers)</f>
        <v>1.8940706259897983E-3</v>
      </c>
      <c r="BQ102" s="47">
        <f>_xll.qlPolynomialFunctionValue('6MSynthDepo_used'!$P$18,BD102,AllTriggers)</f>
        <v>1.9118140748978971E-3</v>
      </c>
    </row>
    <row r="103" spans="11:69" x14ac:dyDescent="0.2">
      <c r="K103" s="55"/>
      <c r="L103" s="55"/>
      <c r="M103" s="55"/>
      <c r="N103" s="55"/>
      <c r="R103" s="34"/>
      <c r="S103" s="34"/>
      <c r="BC103" s="178">
        <f>_xll.qlCalendarAdvance(Calendar,BC102,"1d","mf",,Trigger)</f>
        <v>42418</v>
      </c>
      <c r="BD103" s="41">
        <f>_xll.qlDayCounterYearFraction(DayCounter,SettlementDate,BC103,,,Trigger)</f>
        <v>0.38611111111111113</v>
      </c>
      <c r="BE103" s="47">
        <f>_xll.qlPolynomialFunctionValue(BE$1,$BD103,AllTriggers)</f>
        <v>1.8900969930798471E-3</v>
      </c>
      <c r="BF103" s="47">
        <f>_xll.qlPolynomialFunctionValue(BF$1,$BD103,AllTriggers)</f>
        <v>1.8949249601822339E-3</v>
      </c>
      <c r="BG103" s="47">
        <f>_xll.qlPolynomialFunctionValue(BG$1,$BD103,AllTriggers)</f>
        <v>1.8879552150557748E-3</v>
      </c>
      <c r="BH103" s="47">
        <f>_xll.qlPolynomialFunctionValue(BH$1,$BD103,AllTriggers)</f>
        <v>1.8320717018760714E-3</v>
      </c>
      <c r="BI103" s="47">
        <f>_xll.qlPolynomialFunctionValue(BI$1,$BD103,AllTriggers)</f>
        <v>1.8939630828824529E-3</v>
      </c>
      <c r="BJ103" s="47">
        <f>_xll.qlPolynomialFunctionValue(BJ$1,$BD103,AllTriggers)</f>
        <v>1.9007344353004019E-3</v>
      </c>
      <c r="BK103" s="47">
        <f>_xll.qlPolynomialFunctionValue(BK$1,$BD103,AllTriggers)</f>
        <v>1.890113447462782E-3</v>
      </c>
      <c r="BL103" s="47">
        <f>_xll.qlPolynomialFunctionValue(BL$1,$BD103,AllTriggers)</f>
        <v>1.8309831924331551E-3</v>
      </c>
      <c r="BM103" s="47">
        <f>_xll.qlPolynomialFunctionValue(BM$1,$BD103,AllTriggers)</f>
        <v>1.8958084499965421E-3</v>
      </c>
      <c r="BN103" s="47">
        <f>_xll.qlPolynomialFunctionValue(BN$1,$BD103,AllTriggers)</f>
        <v>1.8905215662026716E-3</v>
      </c>
      <c r="BO103" s="47">
        <f>_xll.qlPolynomialFunctionValue(BO$1,$BD103,AllTriggers)</f>
        <v>1.8921327261525256E-3</v>
      </c>
      <c r="BP103" s="47">
        <f>_xll.qlPolynomialFunctionValue(BP$1,$BD103,AllTriggers)</f>
        <v>1.8957985209742346E-3</v>
      </c>
      <c r="BQ103" s="47">
        <f>_xll.qlPolynomialFunctionValue('6MSynthDepo_used'!$P$18,BD103,AllTriggers)</f>
        <v>1.9134227363186691E-3</v>
      </c>
    </row>
    <row r="104" spans="11:69" x14ac:dyDescent="0.2">
      <c r="K104" s="55"/>
      <c r="L104" s="55"/>
      <c r="M104" s="55"/>
      <c r="N104" s="55"/>
      <c r="R104" s="34"/>
      <c r="S104" s="34"/>
      <c r="BC104" s="178">
        <f>_xll.qlCalendarAdvance(Calendar,BC103,"1d","mf",,Trigger)</f>
        <v>42419</v>
      </c>
      <c r="BD104" s="41">
        <f>_xll.qlDayCounterYearFraction(DayCounter,SettlementDate,BC104,,,Trigger)</f>
        <v>0.3888888888888889</v>
      </c>
      <c r="BE104" s="47">
        <f>_xll.qlPolynomialFunctionValue(BE$1,$BD104,AllTriggers)</f>
        <v>1.8914480371037424E-3</v>
      </c>
      <c r="BF104" s="47">
        <f>_xll.qlPolynomialFunctionValue(BF$1,$BD104,AllTriggers)</f>
        <v>1.896133294512299E-3</v>
      </c>
      <c r="BG104" s="47">
        <f>_xll.qlPolynomialFunctionValue(BG$1,$BD104,AllTriggers)</f>
        <v>1.8891680798523108E-3</v>
      </c>
      <c r="BH104" s="47">
        <f>_xll.qlPolynomialFunctionValue(BH$1,$BD104,AllTriggers)</f>
        <v>1.8333208920156634E-3</v>
      </c>
      <c r="BI104" s="47">
        <f>_xll.qlPolynomialFunctionValue(BI$1,$BD104,AllTriggers)</f>
        <v>1.8953842598704962E-3</v>
      </c>
      <c r="BJ104" s="47">
        <f>_xll.qlPolynomialFunctionValue(BJ$1,$BD104,AllTriggers)</f>
        <v>1.9019167903116059E-3</v>
      </c>
      <c r="BK104" s="47">
        <f>_xll.qlPolynomialFunctionValue(BK$1,$BD104,AllTriggers)</f>
        <v>1.8913081753084914E-3</v>
      </c>
      <c r="BL104" s="47">
        <f>_xll.qlPolynomialFunctionValue(BL$1,$BD104,AllTriggers)</f>
        <v>1.8322468035947038E-3</v>
      </c>
      <c r="BM104" s="47">
        <f>_xll.qlPolynomialFunctionValue(BM$1,$BD104,AllTriggers)</f>
        <v>1.8973703639323949E-3</v>
      </c>
      <c r="BN104" s="47">
        <f>_xll.qlPolynomialFunctionValue(BN$1,$BD104,AllTriggers)</f>
        <v>1.8920446766858799E-3</v>
      </c>
      <c r="BO104" s="47">
        <f>_xll.qlPolynomialFunctionValue(BO$1,$BD104,AllTriggers)</f>
        <v>1.8937739298505061E-3</v>
      </c>
      <c r="BP104" s="47">
        <f>_xll.qlPolynomialFunctionValue(BP$1,$BD104,AllTriggers)</f>
        <v>1.8975240699789214E-3</v>
      </c>
      <c r="BQ104" s="47">
        <f>_xll.qlPolynomialFunctionValue('6MSynthDepo_used'!$P$18,BD104,AllTriggers)</f>
        <v>1.9150273013365383E-3</v>
      </c>
    </row>
    <row r="105" spans="11:69" x14ac:dyDescent="0.2">
      <c r="R105" s="34"/>
      <c r="S105" s="34"/>
      <c r="BC105" s="178">
        <f>_xll.qlCalendarAdvance(Calendar,BC104,"1d","mf",,Trigger)</f>
        <v>42422</v>
      </c>
      <c r="BD105" s="41">
        <f>_xll.qlDayCounterYearFraction(DayCounter,SettlementDate,BC105,,,Trigger)</f>
        <v>0.3972222222222222</v>
      </c>
      <c r="BE105" s="47">
        <f>_xll.qlPolynomialFunctionValue(BE$1,$BD105,AllTriggers)</f>
        <v>1.8955011691754286E-3</v>
      </c>
      <c r="BF105" s="47">
        <f>_xll.qlPolynomialFunctionValue(BF$1,$BD105,AllTriggers)</f>
        <v>1.8997311147036695E-3</v>
      </c>
      <c r="BG105" s="47">
        <f>_xll.qlPolynomialFunctionValue(BG$1,$BD105,AllTriggers)</f>
        <v>1.8928066742419185E-3</v>
      </c>
      <c r="BH105" s="47">
        <f>_xll.qlPolynomialFunctionValue(BH$1,$BD105,AllTriggers)</f>
        <v>1.837286414492775E-3</v>
      </c>
      <c r="BI105" s="47">
        <f>_xll.qlPolynomialFunctionValue(BI$1,$BD105,AllTriggers)</f>
        <v>1.8996477908346256E-3</v>
      </c>
      <c r="BJ105" s="47">
        <f>_xll.qlPolynomialFunctionValue(BJ$1,$BD105,AllTriggers)</f>
        <v>1.9054214672881615E-3</v>
      </c>
      <c r="BK105" s="47">
        <f>_xll.qlPolynomialFunctionValue(BK$1,$BD105,AllTriggers)</f>
        <v>1.8948923588456201E-3</v>
      </c>
      <c r="BL105" s="47">
        <f>_xll.qlPolynomialFunctionValue(BL$1,$BD105,AllTriggers)</f>
        <v>1.8362736242269061E-3</v>
      </c>
      <c r="BM105" s="47">
        <f>_xll.qlPolynomialFunctionValue(BM$1,$BD105,AllTriggers)</f>
        <v>1.9020561057399529E-3</v>
      </c>
      <c r="BN105" s="47">
        <f>_xll.qlPolynomialFunctionValue(BN$1,$BD105,AllTriggers)</f>
        <v>1.8966271733310634E-3</v>
      </c>
      <c r="BO105" s="47">
        <f>_xll.qlPolynomialFunctionValue(BO$1,$BD105,AllTriggers)</f>
        <v>1.8986975409444476E-3</v>
      </c>
      <c r="BP105" s="47">
        <f>_xll.qlPolynomialFunctionValue(BP$1,$BD105,AllTriggers)</f>
        <v>1.9026866411144827E-3</v>
      </c>
      <c r="BQ105" s="47">
        <f>_xll.qlPolynomialFunctionValue('6MSynthDepo_used'!$P$18,BD105,AllTriggers)</f>
        <v>1.9198165590035539E-3</v>
      </c>
    </row>
    <row r="106" spans="11:69" x14ac:dyDescent="0.2">
      <c r="R106" s="34"/>
      <c r="S106" s="34"/>
      <c r="BC106" s="178">
        <f>_xll.qlCalendarAdvance(Calendar,BC105,"1d","mf",,Trigger)</f>
        <v>42423</v>
      </c>
      <c r="BD106" s="41">
        <f>_xll.qlDayCounterYearFraction(DayCounter,SettlementDate,BC106,,,Trigger)</f>
        <v>0.4</v>
      </c>
      <c r="BE106" s="47">
        <f>_xll.qlPolynomialFunctionValue(BE$1,$BD106,AllTriggers)</f>
        <v>1.896852213199324E-3</v>
      </c>
      <c r="BF106" s="47">
        <f>_xll.qlPolynomialFunctionValue(BF$1,$BD106,AllTriggers)</f>
        <v>1.9009213271678515E-3</v>
      </c>
      <c r="BG106" s="47">
        <f>_xll.qlPolynomialFunctionValue(BG$1,$BD106,AllTriggers)</f>
        <v>1.8940195390384545E-3</v>
      </c>
      <c r="BH106" s="47">
        <f>_xll.qlPolynomialFunctionValue(BH$1,$BD106,AllTriggers)</f>
        <v>1.8386809060045909E-3</v>
      </c>
      <c r="BI106" s="47">
        <f>_xll.qlPolynomialFunctionValue(BI$1,$BD106,AllTriggers)</f>
        <v>1.9010689678226689E-3</v>
      </c>
      <c r="BJ106" s="47">
        <f>_xll.qlPolynomialFunctionValue(BJ$1,$BD106,AllTriggers)</f>
        <v>1.9065755635946609E-3</v>
      </c>
      <c r="BK106" s="47">
        <f>_xll.qlPolynomialFunctionValue(BK$1,$BD106,AllTriggers)</f>
        <v>1.8960870866913298E-3</v>
      </c>
      <c r="BL106" s="47">
        <f>_xll.qlPolynomialFunctionValue(BL$1,$BD106,AllTriggers)</f>
        <v>1.8376945601534917E-3</v>
      </c>
      <c r="BM106" s="47">
        <f>_xll.qlPolynomialFunctionValue(BM$1,$BD106,AllTriggers)</f>
        <v>1.9036180196758058E-3</v>
      </c>
      <c r="BN106" s="47">
        <f>_xll.qlPolynomialFunctionValue(BN$1,$BD106,AllTriggers)</f>
        <v>1.8981590606113111E-3</v>
      </c>
      <c r="BO106" s="47">
        <f>_xll.qlPolynomialFunctionValue(BO$1,$BD106,AllTriggers)</f>
        <v>1.9003387446424283E-3</v>
      </c>
      <c r="BP106" s="47">
        <f>_xll.qlPolynomialFunctionValue(BP$1,$BD106,AllTriggers)</f>
        <v>1.9044028062001701E-3</v>
      </c>
      <c r="BQ106" s="47">
        <f>_xll.qlPolynomialFunctionValue('6MSynthDepo_used'!$P$18,BD106,AllTriggers)</f>
        <v>1.9214048794406367E-3</v>
      </c>
    </row>
    <row r="107" spans="11:69" x14ac:dyDescent="0.2">
      <c r="R107" s="34"/>
      <c r="S107" s="34"/>
      <c r="BC107" s="178">
        <f>_xll.qlCalendarAdvance(Calendar,BC106,"1d","mf",,Trigger)</f>
        <v>42424</v>
      </c>
      <c r="BD107" s="41">
        <f>_xll.qlDayCounterYearFraction(DayCounter,SettlementDate,BC107,,,Trigger)</f>
        <v>0.40277777777777779</v>
      </c>
      <c r="BE107" s="47">
        <f>_xll.qlPolynomialFunctionValue(BE$1,$BD107,AllTriggers)</f>
        <v>1.8982032572232195E-3</v>
      </c>
      <c r="BF107" s="47">
        <f>_xll.qlPolynomialFunctionValue(BF$1,$BD107,AllTriggers)</f>
        <v>1.9021070091655625E-3</v>
      </c>
      <c r="BG107" s="47">
        <f>_xll.qlPolynomialFunctionValue(BG$1,$BD107,AllTriggers)</f>
        <v>1.8952324038349906E-3</v>
      </c>
      <c r="BH107" s="47">
        <f>_xll.qlPolynomialFunctionValue(BH$1,$BD107,AllTriggers)</f>
        <v>1.8401117228594628E-3</v>
      </c>
      <c r="BI107" s="47">
        <f>_xll.qlPolynomialFunctionValue(BI$1,$BD107,AllTriggers)</f>
        <v>1.9024901448107122E-3</v>
      </c>
      <c r="BJ107" s="47">
        <f>_xll.qlPolynomialFunctionValue(BJ$1,$BD107,AllTriggers)</f>
        <v>1.9077225952249843E-3</v>
      </c>
      <c r="BK107" s="47">
        <f>_xll.qlPolynomialFunctionValue(BK$1,$BD107,AllTriggers)</f>
        <v>1.8972818145370394E-3</v>
      </c>
      <c r="BL107" s="47">
        <f>_xll.qlPolynomialFunctionValue(BL$1,$BD107,AllTriggers)</f>
        <v>1.8391548272713369E-3</v>
      </c>
      <c r="BM107" s="47">
        <f>_xll.qlPolynomialFunctionValue(BM$1,$BD107,AllTriggers)</f>
        <v>1.9051799336116584E-3</v>
      </c>
      <c r="BN107" s="47">
        <f>_xll.qlPolynomialFunctionValue(BN$1,$BD107,AllTriggers)</f>
        <v>1.8996931420908183E-3</v>
      </c>
      <c r="BO107" s="47">
        <f>_xll.qlPolynomialFunctionValue(BO$1,$BD107,AllTriggers)</f>
        <v>1.9019799483404088E-3</v>
      </c>
      <c r="BP107" s="47">
        <f>_xll.qlPolynomialFunctionValue(BP$1,$BD107,AllTriggers)</f>
        <v>1.9061166253061077E-3</v>
      </c>
      <c r="BQ107" s="47">
        <f>_xll.qlPolynomialFunctionValue('6MSynthDepo_used'!$P$18,BD107,AllTriggers)</f>
        <v>1.9229891739902286E-3</v>
      </c>
    </row>
    <row r="108" spans="11:69" x14ac:dyDescent="0.2">
      <c r="R108" s="34"/>
      <c r="S108" s="34"/>
      <c r="BC108" s="178">
        <f>_xll.qlCalendarAdvance(Calendar,BC107,"1d","mf",,Trigger)</f>
        <v>42425</v>
      </c>
      <c r="BD108" s="41">
        <f>_xll.qlDayCounterYearFraction(DayCounter,SettlementDate,BC108,,,Trigger)</f>
        <v>0.40555555555555556</v>
      </c>
      <c r="BE108" s="47">
        <f>_xll.qlPolynomialFunctionValue(BE$1,$BD108,AllTriggers)</f>
        <v>1.8995543012471148E-3</v>
      </c>
      <c r="BF108" s="47">
        <f>_xll.qlPolynomialFunctionValue(BF$1,$BD108,AllTriggers)</f>
        <v>1.9032881606968028E-3</v>
      </c>
      <c r="BG108" s="47">
        <f>_xll.qlPolynomialFunctionValue(BG$1,$BD108,AllTriggers)</f>
        <v>1.8964452686315264E-3</v>
      </c>
      <c r="BH108" s="47">
        <f>_xll.qlPolynomialFunctionValue(BH$1,$BD108,AllTriggers)</f>
        <v>1.8415788650573907E-3</v>
      </c>
      <c r="BI108" s="47">
        <f>_xll.qlPolynomialFunctionValue(BI$1,$BD108,AllTriggers)</f>
        <v>1.9039113217987553E-3</v>
      </c>
      <c r="BJ108" s="47">
        <f>_xll.qlPolynomialFunctionValue(BJ$1,$BD108,AllTriggers)</f>
        <v>1.9088625621791308E-3</v>
      </c>
      <c r="BK108" s="47">
        <f>_xll.qlPolynomialFunctionValue(BK$1,$BD108,AllTriggers)</f>
        <v>1.8984765423827488E-3</v>
      </c>
      <c r="BL108" s="47">
        <f>_xll.qlPolynomialFunctionValue(BL$1,$BD108,AllTriggers)</f>
        <v>1.8406544255804413E-3</v>
      </c>
      <c r="BM108" s="47">
        <f>_xll.qlPolynomialFunctionValue(BM$1,$BD108,AllTriggers)</f>
        <v>1.9067418475475111E-3</v>
      </c>
      <c r="BN108" s="47">
        <f>_xll.qlPolynomialFunctionValue(BN$1,$BD108,AllTriggers)</f>
        <v>1.9012294177695854E-3</v>
      </c>
      <c r="BO108" s="47">
        <f>_xll.qlPolynomialFunctionValue(BO$1,$BD108,AllTriggers)</f>
        <v>1.9036211520383893E-3</v>
      </c>
      <c r="BP108" s="47">
        <f>_xll.qlPolynomialFunctionValue(BP$1,$BD108,AllTriggers)</f>
        <v>1.9078280984322956E-3</v>
      </c>
      <c r="BQ108" s="47">
        <f>_xll.qlPolynomialFunctionValue('6MSynthDepo_used'!$P$18,BD108,AllTriggers)</f>
        <v>1.9245694567554125E-3</v>
      </c>
    </row>
    <row r="109" spans="11:69" x14ac:dyDescent="0.2">
      <c r="R109" s="34"/>
      <c r="S109" s="34"/>
      <c r="BC109" s="178">
        <f>_xll.qlCalendarAdvance(Calendar,BC108,"1d","mf",,Trigger)</f>
        <v>42426</v>
      </c>
      <c r="BD109" s="41">
        <f>_xll.qlDayCounterYearFraction(DayCounter,SettlementDate,BC109,,,Trigger)</f>
        <v>0.40833333333333333</v>
      </c>
      <c r="BE109" s="47">
        <f>_xll.qlPolynomialFunctionValue(BE$1,$BD109,AllTriggers)</f>
        <v>1.9009053452710102E-3</v>
      </c>
      <c r="BF109" s="47">
        <f>_xll.qlPolynomialFunctionValue(BF$1,$BD109,AllTriggers)</f>
        <v>1.9044647817615726E-3</v>
      </c>
      <c r="BG109" s="47">
        <f>_xll.qlPolynomialFunctionValue(BG$1,$BD109,AllTriggers)</f>
        <v>1.8976581334280624E-3</v>
      </c>
      <c r="BH109" s="47">
        <f>_xll.qlPolynomialFunctionValue(BH$1,$BD109,AllTriggers)</f>
        <v>1.8430823325983744E-3</v>
      </c>
      <c r="BI109" s="47">
        <f>_xll.qlPolynomialFunctionValue(BI$1,$BD109,AllTriggers)</f>
        <v>1.9053324987867986E-3</v>
      </c>
      <c r="BJ109" s="47">
        <f>_xll.qlPolynomialFunctionValue(BJ$1,$BD109,AllTriggers)</f>
        <v>1.9099954644571015E-3</v>
      </c>
      <c r="BK109" s="47">
        <f>_xll.qlPolynomialFunctionValue(BK$1,$BD109,AllTriggers)</f>
        <v>1.8996712702284584E-3</v>
      </c>
      <c r="BL109" s="47">
        <f>_xll.qlPolynomialFunctionValue(BL$1,$BD109,AllTriggers)</f>
        <v>1.8421933550808046E-3</v>
      </c>
      <c r="BM109" s="47">
        <f>_xll.qlPolynomialFunctionValue(BM$1,$BD109,AllTriggers)</f>
        <v>1.9083037614833639E-3</v>
      </c>
      <c r="BN109" s="47">
        <f>_xll.qlPolynomialFunctionValue(BN$1,$BD109,AllTriggers)</f>
        <v>1.9027678876476122E-3</v>
      </c>
      <c r="BO109" s="47">
        <f>_xll.qlPolynomialFunctionValue(BO$1,$BD109,AllTriggers)</f>
        <v>1.9052623557363698E-3</v>
      </c>
      <c r="BP109" s="47">
        <f>_xll.qlPolynomialFunctionValue(BP$1,$BD109,AllTriggers)</f>
        <v>1.9095372255787336E-3</v>
      </c>
      <c r="BQ109" s="47">
        <f>_xll.qlPolynomialFunctionValue('6MSynthDepo_used'!$P$18,BD109,AllTriggers)</f>
        <v>1.9261457418392706E-3</v>
      </c>
    </row>
    <row r="110" spans="11:69" x14ac:dyDescent="0.2">
      <c r="R110" s="34"/>
      <c r="S110" s="34"/>
      <c r="BC110" s="178">
        <f>_xll.qlCalendarAdvance(Calendar,BC109,"1d","mf",,Trigger)</f>
        <v>42429</v>
      </c>
      <c r="BD110" s="41">
        <f>_xll.qlDayCounterYearFraction(DayCounter,SettlementDate,BC110,,,Trigger)</f>
        <v>0.41666666666666669</v>
      </c>
      <c r="BE110" s="47">
        <f>_xll.qlPolynomialFunctionValue(BE$1,$BD110,AllTriggers)</f>
        <v>1.9049584773426964E-3</v>
      </c>
      <c r="BF110" s="47">
        <f>_xll.qlPolynomialFunctionValue(BF$1,$BD110,AllTriggers)</f>
        <v>1.9079674621570561E-3</v>
      </c>
      <c r="BG110" s="47">
        <f>_xll.qlPolynomialFunctionValue(BG$1,$BD110,AllTriggers)</f>
        <v>1.9012967278176701E-3</v>
      </c>
      <c r="BH110" s="47">
        <f>_xll.qlPolynomialFunctionValue(BH$1,$BD110,AllTriggers)</f>
        <v>1.8478106872796616E-3</v>
      </c>
      <c r="BI110" s="47">
        <f>_xll.qlPolynomialFunctionValue(BI$1,$BD110,AllTriggers)</f>
        <v>1.909596029750928E-3</v>
      </c>
      <c r="BJ110" s="47">
        <f>_xll.qlPolynomialFunctionValue(BJ$1,$BD110,AllTriggers)</f>
        <v>1.9133517832339564E-3</v>
      </c>
      <c r="BK110" s="47">
        <f>_xll.qlPolynomialFunctionValue(BK$1,$BD110,AllTriggers)</f>
        <v>1.9032554537655871E-3</v>
      </c>
      <c r="BL110" s="47">
        <f>_xll.qlPolynomialFunctionValue(BL$1,$BD110,AllTriggers)</f>
        <v>1.84704613072945E-3</v>
      </c>
      <c r="BM110" s="47">
        <f>_xll.qlPolynomialFunctionValue(BM$1,$BD110,AllTriggers)</f>
        <v>1.9129895032909221E-3</v>
      </c>
      <c r="BN110" s="47">
        <f>_xll.qlPolynomialFunctionValue(BN$1,$BD110,AllTriggers)</f>
        <v>1.907396462477252E-3</v>
      </c>
      <c r="BO110" s="47">
        <f>_xll.qlPolynomialFunctionValue(BO$1,$BD110,AllTriggers)</f>
        <v>1.9101859668303116E-3</v>
      </c>
      <c r="BP110" s="47">
        <f>_xll.qlPolynomialFunctionValue(BP$1,$BD110,AllTriggers)</f>
        <v>1.9146505311395494E-3</v>
      </c>
      <c r="BQ110" s="47">
        <f>_xll.qlPolynomialFunctionValue('6MSynthDepo_used'!$P$18,BD110,AllTriggers)</f>
        <v>1.9308507520337146E-3</v>
      </c>
    </row>
    <row r="111" spans="11:69" x14ac:dyDescent="0.2">
      <c r="R111" s="34"/>
      <c r="S111" s="34"/>
      <c r="BC111" s="178">
        <f>_xll.qlCalendarAdvance(Calendar,BC110,"1d","mf",,Trigger)</f>
        <v>42430</v>
      </c>
      <c r="BD111" s="41">
        <f>_xll.qlDayCounterYearFraction(DayCounter,SettlementDate,BC111,,,Trigger)</f>
        <v>0.41944444444444445</v>
      </c>
      <c r="BE111" s="47">
        <f>_xll.qlPolynomialFunctionValue(BE$1,$BD111,AllTriggers)</f>
        <v>1.906309521366592E-3</v>
      </c>
      <c r="BF111" s="47">
        <f>_xll.qlPolynomialFunctionValue(BF$1,$BD111,AllTriggers)</f>
        <v>1.9091259613559426E-3</v>
      </c>
      <c r="BG111" s="47">
        <f>_xll.qlPolynomialFunctionValue(BG$1,$BD111,AllTriggers)</f>
        <v>1.9025095926142061E-3</v>
      </c>
      <c r="BH111" s="47">
        <f>_xll.qlPolynomialFunctionValue(BH$1,$BD111,AllTriggers)</f>
        <v>1.8494594561928694E-3</v>
      </c>
      <c r="BI111" s="47">
        <f>_xll.qlPolynomialFunctionValue(BI$1,$BD111,AllTriggers)</f>
        <v>1.9110172067389713E-3</v>
      </c>
      <c r="BJ111" s="47">
        <f>_xll.qlPolynomialFunctionValue(BJ$1,$BD111,AllTriggers)</f>
        <v>1.9144564268072221E-3</v>
      </c>
      <c r="BK111" s="47">
        <f>_xll.qlPolynomialFunctionValue(BK$1,$BD111,AllTriggers)</f>
        <v>1.9044501816112968E-3</v>
      </c>
      <c r="BL111" s="47">
        <f>_xll.qlPolynomialFunctionValue(BL$1,$BD111,AllTriggers)</f>
        <v>1.8487423849948502E-3</v>
      </c>
      <c r="BM111" s="47">
        <f>_xll.qlPolynomialFunctionValue(BM$1,$BD111,AllTriggers)</f>
        <v>1.9145514172267748E-3</v>
      </c>
      <c r="BN111" s="47">
        <f>_xll.qlPolynomialFunctionValue(BN$1,$BD111,AllTriggers)</f>
        <v>1.9089437091523182E-3</v>
      </c>
      <c r="BO111" s="47">
        <f>_xll.qlPolynomialFunctionValue(BO$1,$BD111,AllTriggers)</f>
        <v>1.9118271705282921E-3</v>
      </c>
      <c r="BP111" s="47">
        <f>_xll.qlPolynomialFunctionValue(BP$1,$BD111,AllTriggers)</f>
        <v>1.9163502743669882E-3</v>
      </c>
      <c r="BQ111" s="47">
        <f>_xll.qlPolynomialFunctionValue('6MSynthDepo_used'!$P$18,BD111,AllTriggers)</f>
        <v>1.932411187423094E-3</v>
      </c>
    </row>
    <row r="112" spans="11:69" x14ac:dyDescent="0.2">
      <c r="R112" s="34"/>
      <c r="S112" s="34"/>
      <c r="BC112" s="178">
        <f>_xll.qlCalendarAdvance(Calendar,BC111,"1d","mf",,Trigger)</f>
        <v>42431</v>
      </c>
      <c r="BD112" s="41">
        <f>_xll.qlDayCounterYearFraction(DayCounter,SettlementDate,BC112,,,Trigger)</f>
        <v>0.42222222222222222</v>
      </c>
      <c r="BE112" s="47">
        <f>_xll.qlPolynomialFunctionValue(BE$1,$BD112,AllTriggers)</f>
        <v>1.9076605653904873E-3</v>
      </c>
      <c r="BF112" s="47">
        <f>_xll.qlPolynomialFunctionValue(BF$1,$BD112,AllTriggers)</f>
        <v>1.9102799300883579E-3</v>
      </c>
      <c r="BG112" s="47">
        <f>_xll.qlPolynomialFunctionValue(BG$1,$BD112,AllTriggers)</f>
        <v>1.9037224574107421E-3</v>
      </c>
      <c r="BH112" s="47">
        <f>_xll.qlPolynomialFunctionValue(BH$1,$BD112,AllTriggers)</f>
        <v>1.8511445504491334E-3</v>
      </c>
      <c r="BI112" s="47">
        <f>_xll.qlPolynomialFunctionValue(BI$1,$BD112,AllTriggers)</f>
        <v>1.9124383837270144E-3</v>
      </c>
      <c r="BJ112" s="47">
        <f>_xll.qlPolynomialFunctionValue(BJ$1,$BD112,AllTriggers)</f>
        <v>1.9155540057043117E-3</v>
      </c>
      <c r="BK112" s="47">
        <f>_xll.qlPolynomialFunctionValue(BK$1,$BD112,AllTriggers)</f>
        <v>1.9056449094570062E-3</v>
      </c>
      <c r="BL112" s="47">
        <f>_xll.qlPolynomialFunctionValue(BL$1,$BD112,AllTriggers)</f>
        <v>1.8504779704515098E-3</v>
      </c>
      <c r="BM112" s="47">
        <f>_xll.qlPolynomialFunctionValue(BM$1,$BD112,AllTriggers)</f>
        <v>1.9161133311626276E-3</v>
      </c>
      <c r="BN112" s="47">
        <f>_xll.qlPolynomialFunctionValue(BN$1,$BD112,AllTriggers)</f>
        <v>1.9104931500266442E-3</v>
      </c>
      <c r="BO112" s="47">
        <f>_xll.qlPolynomialFunctionValue(BO$1,$BD112,AllTriggers)</f>
        <v>1.9134683742262726E-3</v>
      </c>
      <c r="BP112" s="47">
        <f>_xll.qlPolynomialFunctionValue(BP$1,$BD112,AllTriggers)</f>
        <v>1.9180476716146773E-3</v>
      </c>
      <c r="BQ112" s="47">
        <f>_xll.qlPolynomialFunctionValue('6MSynthDepo_used'!$P$18,BD112,AllTriggers)</f>
        <v>1.9339676956465596E-3</v>
      </c>
    </row>
    <row r="113" spans="18:69" x14ac:dyDescent="0.2">
      <c r="R113" s="34"/>
      <c r="S113" s="34"/>
      <c r="BC113" s="178">
        <f>_xll.qlCalendarAdvance(Calendar,BC112,"1d","mf",,Trigger)</f>
        <v>42432</v>
      </c>
      <c r="BD113" s="41">
        <f>_xll.qlDayCounterYearFraction(DayCounter,SettlementDate,BC113,,,Trigger)</f>
        <v>0.42499999999999999</v>
      </c>
      <c r="BE113" s="47">
        <f>_xll.qlPolynomialFunctionValue(BE$1,$BD113,AllTriggers)</f>
        <v>1.9090116094143826E-3</v>
      </c>
      <c r="BF113" s="47">
        <f>_xll.qlPolynomialFunctionValue(BF$1,$BD113,AllTriggers)</f>
        <v>1.9114293683543027E-3</v>
      </c>
      <c r="BG113" s="47">
        <f>_xll.qlPolynomialFunctionValue(BG$1,$BD113,AllTriggers)</f>
        <v>1.904935322207278E-3</v>
      </c>
      <c r="BH113" s="47">
        <f>_xll.qlPolynomialFunctionValue(BH$1,$BD113,AllTriggers)</f>
        <v>1.852865970048453E-3</v>
      </c>
      <c r="BI113" s="47">
        <f>_xll.qlPolynomialFunctionValue(BI$1,$BD113,AllTriggers)</f>
        <v>1.9138595607150577E-3</v>
      </c>
      <c r="BJ113" s="47">
        <f>_xll.qlPolynomialFunctionValue(BJ$1,$BD113,AllTriggers)</f>
        <v>1.916644519925225E-3</v>
      </c>
      <c r="BK113" s="47">
        <f>_xll.qlPolynomialFunctionValue(BK$1,$BD113,AllTriggers)</f>
        <v>1.9068396373027158E-3</v>
      </c>
      <c r="BL113" s="47">
        <f>_xll.qlPolynomialFunctionValue(BL$1,$BD113,AllTriggers)</f>
        <v>1.8522528870994286E-3</v>
      </c>
      <c r="BM113" s="47">
        <f>_xll.qlPolynomialFunctionValue(BM$1,$BD113,AllTriggers)</f>
        <v>1.9176752450984803E-3</v>
      </c>
      <c r="BN113" s="47">
        <f>_xll.qlPolynomialFunctionValue(BN$1,$BD113,AllTriggers)</f>
        <v>1.9120447851002302E-3</v>
      </c>
      <c r="BO113" s="47">
        <f>_xll.qlPolynomialFunctionValue(BO$1,$BD113,AllTriggers)</f>
        <v>1.9151095779242533E-3</v>
      </c>
      <c r="BP113" s="47">
        <f>_xll.qlPolynomialFunctionValue(BP$1,$BD113,AllTriggers)</f>
        <v>1.9197427228826165E-3</v>
      </c>
      <c r="BQ113" s="47">
        <f>_xll.qlPolynomialFunctionValue('6MSynthDepo_used'!$P$18,BD113,AllTriggers)</f>
        <v>1.9355202908071941E-3</v>
      </c>
    </row>
    <row r="114" spans="18:69" x14ac:dyDescent="0.2">
      <c r="R114" s="34"/>
      <c r="S114" s="34"/>
      <c r="BC114" s="178">
        <f>_xll.qlCalendarAdvance(Calendar,BC113,"1d","mf",,Trigger)</f>
        <v>42433</v>
      </c>
      <c r="BD114" s="41">
        <f>_xll.qlDayCounterYearFraction(DayCounter,SettlementDate,BC114,,,Trigger)</f>
        <v>0.42777777777777776</v>
      </c>
      <c r="BE114" s="47">
        <f>_xll.qlPolynomialFunctionValue(BE$1,$BD114,AllTriggers)</f>
        <v>1.9103626534382782E-3</v>
      </c>
      <c r="BF114" s="47">
        <f>_xll.qlPolynomialFunctionValue(BF$1,$BD114,AllTriggers)</f>
        <v>1.9125742761537763E-3</v>
      </c>
      <c r="BG114" s="47">
        <f>_xll.qlPolynomialFunctionValue(BG$1,$BD114,AllTriggers)</f>
        <v>1.9061481870038138E-3</v>
      </c>
      <c r="BH114" s="47">
        <f>_xll.qlPolynomialFunctionValue(BH$1,$BD114,AllTriggers)</f>
        <v>1.8546237149908288E-3</v>
      </c>
      <c r="BI114" s="47">
        <f>_xll.qlPolynomialFunctionValue(BI$1,$BD114,AllTriggers)</f>
        <v>1.915280737703101E-3</v>
      </c>
      <c r="BJ114" s="47">
        <f>_xll.qlPolynomialFunctionValue(BJ$1,$BD114,AllTriggers)</f>
        <v>1.9177279694699617E-3</v>
      </c>
      <c r="BK114" s="47">
        <f>_xll.qlPolynomialFunctionValue(BK$1,$BD114,AllTriggers)</f>
        <v>1.9080343651484255E-3</v>
      </c>
      <c r="BL114" s="47">
        <f>_xll.qlPolynomialFunctionValue(BL$1,$BD114,AllTriggers)</f>
        <v>1.8540671349386066E-3</v>
      </c>
      <c r="BM114" s="47">
        <f>_xll.qlPolynomialFunctionValue(BM$1,$BD114,AllTriggers)</f>
        <v>1.9192371590343329E-3</v>
      </c>
      <c r="BN114" s="47">
        <f>_xll.qlPolynomialFunctionValue(BN$1,$BD114,AllTriggers)</f>
        <v>1.9135986143730757E-3</v>
      </c>
      <c r="BO114" s="47">
        <f>_xll.qlPolynomialFunctionValue(BO$1,$BD114,AllTriggers)</f>
        <v>1.9167507816222338E-3</v>
      </c>
      <c r="BP114" s="47">
        <f>_xll.qlPolynomialFunctionValue(BP$1,$BD114,AllTriggers)</f>
        <v>1.9214354281708061E-3</v>
      </c>
      <c r="BQ114" s="47">
        <f>_xll.qlPolynomialFunctionValue('6MSynthDepo_used'!$P$18,BD114,AllTriggers)</f>
        <v>1.93706898700808E-3</v>
      </c>
    </row>
    <row r="115" spans="18:69" x14ac:dyDescent="0.2">
      <c r="R115" s="34"/>
      <c r="S115" s="34"/>
      <c r="BC115" s="178">
        <f>_xll.qlCalendarAdvance(Calendar,BC114,"1d","mf",,Trigger)</f>
        <v>42436</v>
      </c>
      <c r="BD115" s="41">
        <f>_xll.qlDayCounterYearFraction(DayCounter,SettlementDate,BC115,,,Trigger)</f>
        <v>0.43611111111111112</v>
      </c>
      <c r="BE115" s="47">
        <f>_xll.qlPolynomialFunctionValue(BE$1,$BD115,AllTriggers)</f>
        <v>1.9144157855099644E-3</v>
      </c>
      <c r="BF115" s="47">
        <f>_xll.qlPolynomialFunctionValue(BF$1,$BD115,AllTriggers)</f>
        <v>1.9159818167533735E-3</v>
      </c>
      <c r="BG115" s="47">
        <f>_xll.qlPolynomialFunctionValue(BG$1,$BD115,AllTriggers)</f>
        <v>1.9097867813934217E-3</v>
      </c>
      <c r="BH115" s="47">
        <f>_xll.qlPolynomialFunctionValue(BH$1,$BD115,AllTriggers)</f>
        <v>1.8601149018762917E-3</v>
      </c>
      <c r="BI115" s="47">
        <f>_xll.qlPolynomialFunctionValue(BI$1,$BD115,AllTriggers)</f>
        <v>1.9195442686672304E-3</v>
      </c>
      <c r="BJ115" s="47">
        <f>_xll.qlPolynomialFunctionValue(BJ$1,$BD115,AllTriggers)</f>
        <v>1.9209359300471156E-3</v>
      </c>
      <c r="BK115" s="47">
        <f>_xll.qlPolynomialFunctionValue(BK$1,$BD115,AllTriggers)</f>
        <v>1.9116185486855542E-3</v>
      </c>
      <c r="BL115" s="47">
        <f>_xll.qlPolynomialFunctionValue(BL$1,$BD115,AllTriggers)</f>
        <v>1.8597458656036958E-3</v>
      </c>
      <c r="BM115" s="47">
        <f>_xll.qlPolynomialFunctionValue(BM$1,$BD115,AllTriggers)</f>
        <v>1.9239229008418911E-3</v>
      </c>
      <c r="BN115" s="47">
        <f>_xll.qlPolynomialFunctionValue(BN$1,$BD115,AllTriggers)</f>
        <v>1.9182732673871715E-3</v>
      </c>
      <c r="BO115" s="47">
        <f>_xll.qlPolynomialFunctionValue(BO$1,$BD115,AllTriggers)</f>
        <v>1.9216743927161755E-3</v>
      </c>
      <c r="BP115" s="47">
        <f>_xll.qlPolynomialFunctionValue(BP$1,$BD115,AllTriggers)</f>
        <v>1.9264994681568758E-3</v>
      </c>
      <c r="BQ115" s="47">
        <f>_xll.qlPolynomialFunctionValue('6MSynthDepo_used'!$P$18,BD115,AllTriggers)</f>
        <v>1.9416918228830687E-3</v>
      </c>
    </row>
    <row r="116" spans="18:69" x14ac:dyDescent="0.2">
      <c r="R116" s="34"/>
      <c r="S116" s="34"/>
      <c r="BC116" s="178">
        <f>_xll.qlCalendarAdvance(Calendar,BC115,"1d","mf",,Trigger)</f>
        <v>42437</v>
      </c>
      <c r="BD116" s="41">
        <f>_xll.qlDayCounterYearFraction(DayCounter,SettlementDate,BC116,,,Trigger)</f>
        <v>0.43888888888888888</v>
      </c>
      <c r="BE116" s="47">
        <f>_xll.qlPolynomialFunctionValue(BE$1,$BD116,AllTriggers)</f>
        <v>1.9157668295338597E-3</v>
      </c>
      <c r="BF116" s="47">
        <f>_xll.qlPolynomialFunctionValue(BF$1,$BD116,AllTriggers)</f>
        <v>1.9171086026869642E-3</v>
      </c>
      <c r="BG116" s="47">
        <f>_xll.qlPolynomialFunctionValue(BG$1,$BD116,AllTriggers)</f>
        <v>1.9109996461899577E-3</v>
      </c>
      <c r="BH116" s="47">
        <f>_xll.qlPolynomialFunctionValue(BH$1,$BD116,AllTriggers)</f>
        <v>1.8620179481908914E-3</v>
      </c>
      <c r="BI116" s="47">
        <f>_xll.qlPolynomialFunctionValue(BI$1,$BD116,AllTriggers)</f>
        <v>1.9209654456552737E-3</v>
      </c>
      <c r="BJ116" s="47">
        <f>_xll.qlPolynomialFunctionValue(BJ$1,$BD116,AllTriggers)</f>
        <v>1.9219911208871478E-3</v>
      </c>
      <c r="BK116" s="47">
        <f>_xll.qlPolynomialFunctionValue(BK$1,$BD116,AllTriggers)</f>
        <v>1.9128132765312636E-3</v>
      </c>
      <c r="BL116" s="47">
        <f>_xll.qlPolynomialFunctionValue(BL$1,$BD116,AllTriggers)</f>
        <v>1.8617174382079102E-3</v>
      </c>
      <c r="BM116" s="47">
        <f>_xll.qlPolynomialFunctionValue(BM$1,$BD116,AllTriggers)</f>
        <v>1.9254848147777438E-3</v>
      </c>
      <c r="BN116" s="47">
        <f>_xll.qlPolynomialFunctionValue(BN$1,$BD116,AllTriggers)</f>
        <v>1.9198358734570564E-3</v>
      </c>
      <c r="BO116" s="47">
        <f>_xll.qlPolynomialFunctionValue(BO$1,$BD116,AllTriggers)</f>
        <v>1.923315596414156E-3</v>
      </c>
      <c r="BP116" s="47">
        <f>_xll.qlPolynomialFunctionValue(BP$1,$BD116,AllTriggers)</f>
        <v>1.9281827895260659E-3</v>
      </c>
      <c r="BQ116" s="47">
        <f>_xll.qlPolynomialFunctionValue('6MSynthDepo_used'!$P$18,BD116,AllTriggers)</f>
        <v>1.9432250642757837E-3</v>
      </c>
    </row>
    <row r="117" spans="18:69" x14ac:dyDescent="0.2">
      <c r="R117" s="34"/>
      <c r="S117" s="34"/>
      <c r="BC117" s="178">
        <f>_xll.qlCalendarAdvance(Calendar,BC116,"1d","mf",,Trigger)</f>
        <v>42438</v>
      </c>
      <c r="BD117" s="41">
        <f>_xll.qlDayCounterYearFraction(DayCounter,SettlementDate,BC117,,,Trigger)</f>
        <v>0.44166666666666665</v>
      </c>
      <c r="BE117" s="47">
        <f>_xll.qlPolynomialFunctionValue(BE$1,$BD117,AllTriggers)</f>
        <v>1.9171178735577551E-3</v>
      </c>
      <c r="BF117" s="47">
        <f>_xll.qlPolynomialFunctionValue(BF$1,$BD117,AllTriggers)</f>
        <v>1.918230858154084E-3</v>
      </c>
      <c r="BG117" s="47">
        <f>_xll.qlPolynomialFunctionValue(BG$1,$BD117,AllTriggers)</f>
        <v>1.9122125109864935E-3</v>
      </c>
      <c r="BH117" s="47">
        <f>_xll.qlPolynomialFunctionValue(BH$1,$BD117,AllTriggers)</f>
        <v>1.863957319848547E-3</v>
      </c>
      <c r="BI117" s="47">
        <f>_xll.qlPolynomialFunctionValue(BI$1,$BD117,AllTriggers)</f>
        <v>1.9223866226433168E-3</v>
      </c>
      <c r="BJ117" s="47">
        <f>_xll.qlPolynomialFunctionValue(BJ$1,$BD117,AllTriggers)</f>
        <v>1.9230392470510037E-3</v>
      </c>
      <c r="BK117" s="47">
        <f>_xll.qlPolynomialFunctionValue(BK$1,$BD117,AllTriggers)</f>
        <v>1.9140080043769732E-3</v>
      </c>
      <c r="BL117" s="47">
        <f>_xll.qlPolynomialFunctionValue(BL$1,$BD117,AllTriggers)</f>
        <v>1.8637283420033842E-3</v>
      </c>
      <c r="BM117" s="47">
        <f>_xll.qlPolynomialFunctionValue(BM$1,$BD117,AllTriggers)</f>
        <v>1.9270467287135966E-3</v>
      </c>
      <c r="BN117" s="47">
        <f>_xll.qlPolynomialFunctionValue(BN$1,$BD117,AllTriggers)</f>
        <v>1.9214006737262013E-3</v>
      </c>
      <c r="BO117" s="47">
        <f>_xll.qlPolynomialFunctionValue(BO$1,$BD117,AllTriggers)</f>
        <v>1.9249568001121365E-3</v>
      </c>
      <c r="BP117" s="47">
        <f>_xll.qlPolynomialFunctionValue(BP$1,$BD117,AllTriggers)</f>
        <v>1.9298637649155063E-3</v>
      </c>
      <c r="BQ117" s="47">
        <f>_xll.qlPolynomialFunctionValue('6MSynthDepo_used'!$P$18,BD117,AllTriggers)</f>
        <v>1.9447544772241616E-3</v>
      </c>
    </row>
    <row r="118" spans="18:69" x14ac:dyDescent="0.2">
      <c r="R118" s="34"/>
      <c r="S118" s="34"/>
      <c r="BC118" s="178">
        <f>_xll.qlCalendarAdvance(Calendar,BC117,"1d","mf",,Trigger)</f>
        <v>42439</v>
      </c>
      <c r="BD118" s="41">
        <f>_xll.qlDayCounterYearFraction(DayCounter,SettlementDate,BC118,,,Trigger)</f>
        <v>0.44444444444444442</v>
      </c>
      <c r="BE118" s="47">
        <f>_xll.qlPolynomialFunctionValue(BE$1,$BD118,AllTriggers)</f>
        <v>1.9184689175816506E-3</v>
      </c>
      <c r="BF118" s="47">
        <f>_xll.qlPolynomialFunctionValue(BF$1,$BD118,AllTriggers)</f>
        <v>1.9193485831547332E-3</v>
      </c>
      <c r="BG118" s="47">
        <f>_xll.qlPolynomialFunctionValue(BG$1,$BD118,AllTriggers)</f>
        <v>1.9134253757830295E-3</v>
      </c>
      <c r="BH118" s="47">
        <f>_xll.qlPolynomialFunctionValue(BH$1,$BD118,AllTriggers)</f>
        <v>1.8659330168492585E-3</v>
      </c>
      <c r="BI118" s="47">
        <f>_xll.qlPolynomialFunctionValue(BI$1,$BD118,AllTriggers)</f>
        <v>1.9238077996313601E-3</v>
      </c>
      <c r="BJ118" s="47">
        <f>_xll.qlPolynomialFunctionValue(BJ$1,$BD118,AllTriggers)</f>
        <v>1.9240803085386834E-3</v>
      </c>
      <c r="BK118" s="47">
        <f>_xll.qlPolynomialFunctionValue(BK$1,$BD118,AllTriggers)</f>
        <v>1.9152027322226828E-3</v>
      </c>
      <c r="BL118" s="47">
        <f>_xll.qlPolynomialFunctionValue(BL$1,$BD118,AllTriggers)</f>
        <v>1.8657785769901176E-3</v>
      </c>
      <c r="BM118" s="47">
        <f>_xll.qlPolynomialFunctionValue(BM$1,$BD118,AllTriggers)</f>
        <v>1.9286086426494493E-3</v>
      </c>
      <c r="BN118" s="47">
        <f>_xll.qlPolynomialFunctionValue(BN$1,$BD118,AllTriggers)</f>
        <v>1.9229676681946056E-3</v>
      </c>
      <c r="BO118" s="47">
        <f>_xll.qlPolynomialFunctionValue(BO$1,$BD118,AllTriggers)</f>
        <v>1.926598003810117E-3</v>
      </c>
      <c r="BP118" s="47">
        <f>_xll.qlPolynomialFunctionValue(BP$1,$BD118,AllTriggers)</f>
        <v>1.9315423943251971E-3</v>
      </c>
      <c r="BQ118" s="47">
        <f>_xll.qlPolynomialFunctionValue('6MSynthDepo_used'!$P$18,BD118,AllTriggers)</f>
        <v>1.9462800758312858E-3</v>
      </c>
    </row>
    <row r="119" spans="18:69" x14ac:dyDescent="0.2">
      <c r="R119" s="34"/>
      <c r="S119" s="34"/>
      <c r="BC119" s="178">
        <f>_xll.qlCalendarAdvance(Calendar,BC118,"1d","mf",,Trigger)</f>
        <v>42440</v>
      </c>
      <c r="BD119" s="41">
        <f>_xll.qlDayCounterYearFraction(DayCounter,SettlementDate,BC119,,,Trigger)</f>
        <v>0.44722222222222224</v>
      </c>
      <c r="BE119" s="47">
        <f>_xll.qlPolynomialFunctionValue(BE$1,$BD119,AllTriggers)</f>
        <v>1.919819961605546E-3</v>
      </c>
      <c r="BF119" s="47">
        <f>_xll.qlPolynomialFunctionValue(BF$1,$BD119,AllTriggers)</f>
        <v>1.9204617776889111E-3</v>
      </c>
      <c r="BG119" s="47">
        <f>_xll.qlPolynomialFunctionValue(BG$1,$BD119,AllTriggers)</f>
        <v>1.9146382405795656E-3</v>
      </c>
      <c r="BH119" s="47">
        <f>_xll.qlPolynomialFunctionValue(BH$1,$BD119,AllTriggers)</f>
        <v>1.8679450391930262E-3</v>
      </c>
      <c r="BI119" s="47">
        <f>_xll.qlPolynomialFunctionValue(BI$1,$BD119,AllTriggers)</f>
        <v>1.9252289766194032E-3</v>
      </c>
      <c r="BJ119" s="47">
        <f>_xll.qlPolynomialFunctionValue(BJ$1,$BD119,AllTriggers)</f>
        <v>1.9251143053501867E-3</v>
      </c>
      <c r="BK119" s="47">
        <f>_xll.qlPolynomialFunctionValue(BK$1,$BD119,AllTriggers)</f>
        <v>1.9163974600683923E-3</v>
      </c>
      <c r="BL119" s="47">
        <f>_xll.qlPolynomialFunctionValue(BL$1,$BD119,AllTriggers)</f>
        <v>1.8678681431681099E-3</v>
      </c>
      <c r="BM119" s="47">
        <f>_xll.qlPolynomialFunctionValue(BM$1,$BD119,AllTriggers)</f>
        <v>1.9301705565853021E-3</v>
      </c>
      <c r="BN119" s="47">
        <f>_xll.qlPolynomialFunctionValue(BN$1,$BD119,AllTriggers)</f>
        <v>1.9245368568622701E-3</v>
      </c>
      <c r="BO119" s="47">
        <f>_xll.qlPolynomialFunctionValue(BO$1,$BD119,AllTriggers)</f>
        <v>1.9282392075080975E-3</v>
      </c>
      <c r="BP119" s="47">
        <f>_xll.qlPolynomialFunctionValue(BP$1,$BD119,AllTriggers)</f>
        <v>1.9332186777551378E-3</v>
      </c>
      <c r="BQ119" s="47">
        <f>_xll.qlPolynomialFunctionValue('6MSynthDepo_used'!$P$18,BD119,AllTriggers)</f>
        <v>1.9478018742002379E-3</v>
      </c>
    </row>
    <row r="120" spans="18:69" x14ac:dyDescent="0.2">
      <c r="R120" s="34"/>
      <c r="S120" s="34"/>
      <c r="BC120" s="178">
        <f>_xll.qlCalendarAdvance(Calendar,BC119,"1d","mf",,Trigger)</f>
        <v>42443</v>
      </c>
      <c r="BD120" s="41">
        <f>_xll.qlDayCounterYearFraction(DayCounter,SettlementDate,BC120,,,Trigger)</f>
        <v>0.45555555555555555</v>
      </c>
      <c r="BE120" s="47">
        <f>_xll.qlPolynomialFunctionValue(BE$1,$BD120,AllTriggers)</f>
        <v>1.9238730936772322E-3</v>
      </c>
      <c r="BF120" s="47">
        <f>_xll.qlPolynomialFunctionValue(BF$1,$BD120,AllTriggers)</f>
        <v>1.9237741784926213E-3</v>
      </c>
      <c r="BG120" s="47">
        <f>_xll.qlPolynomialFunctionValue(BG$1,$BD120,AllTriggers)</f>
        <v>1.9182768349691732E-3</v>
      </c>
      <c r="BH120" s="47">
        <f>_xll.qlPolynomialFunctionValue(BH$1,$BD120,AllTriggers)</f>
        <v>1.8741990582826647E-3</v>
      </c>
      <c r="BI120" s="47">
        <f>_xll.qlPolynomialFunctionValue(BI$1,$BD120,AllTriggers)</f>
        <v>1.9294925075835328E-3</v>
      </c>
      <c r="BJ120" s="47">
        <f>_xll.qlPolynomialFunctionValue(BJ$1,$BD120,AllTriggers)</f>
        <v>1.9281739077276392E-3</v>
      </c>
      <c r="BK120" s="47">
        <f>_xll.qlPolynomialFunctionValue(BK$1,$BD120,AllTriggers)</f>
        <v>1.9199816436055209E-3</v>
      </c>
      <c r="BL120" s="47">
        <f>_xll.qlPolynomialFunctionValue(BL$1,$BD120,AllTriggers)</f>
        <v>1.8743728288496426E-3</v>
      </c>
      <c r="BM120" s="47">
        <f>_xll.qlPolynomialFunctionValue(BM$1,$BD120,AllTriggers)</f>
        <v>1.9348562983928603E-3</v>
      </c>
      <c r="BN120" s="47">
        <f>_xll.qlPolynomialFunctionValue(BN$1,$BD120,AllTriggers)</f>
        <v>1.929257588060822E-3</v>
      </c>
      <c r="BO120" s="47">
        <f>_xll.qlPolynomialFunctionValue(BO$1,$BD120,AllTriggers)</f>
        <v>1.9331628186020392E-3</v>
      </c>
      <c r="BP120" s="47">
        <f>_xll.qlPolynomialFunctionValue(BP$1,$BD120,AllTriggers)</f>
        <v>1.9382334521664615E-3</v>
      </c>
      <c r="BQ120" s="47">
        <f>_xll.qlPolynomialFunctionValue('6MSynthDepo_used'!$P$18,BD120,AllTriggers)</f>
        <v>1.9523446089088877E-3</v>
      </c>
    </row>
    <row r="121" spans="18:69" x14ac:dyDescent="0.2">
      <c r="R121" s="34"/>
      <c r="S121" s="34"/>
      <c r="BC121" s="178">
        <f>_xll.qlCalendarAdvance(Calendar,BC120,"1d","mf",,Trigger)</f>
        <v>42444</v>
      </c>
      <c r="BD121" s="41">
        <f>_xll.qlDayCounterYearFraction(DayCounter,SettlementDate,BC121,,,Trigger)</f>
        <v>0.45833333333333331</v>
      </c>
      <c r="BE121" s="47">
        <f>_xll.qlPolynomialFunctionValue(BE$1,$BD121,AllTriggers)</f>
        <v>1.9252241377011277E-3</v>
      </c>
      <c r="BF121" s="47">
        <f>_xll.qlPolynomialFunctionValue(BF$1,$BD121,AllTriggers)</f>
        <v>1.9248692511609161E-3</v>
      </c>
      <c r="BG121" s="47">
        <f>_xll.qlPolynomialFunctionValue(BG$1,$BD121,AllTriggers)</f>
        <v>1.9194896997657093E-3</v>
      </c>
      <c r="BH121" s="47">
        <f>_xll.qlPolynomialFunctionValue(BH$1,$BD121,AllTriggers)</f>
        <v>1.876356381998656E-3</v>
      </c>
      <c r="BI121" s="47">
        <f>_xll.qlPolynomialFunctionValue(BI$1,$BD121,AllTriggers)</f>
        <v>1.9309136845715761E-3</v>
      </c>
      <c r="BJ121" s="47">
        <f>_xll.qlPolynomialFunctionValue(BJ$1,$BD121,AllTriggers)</f>
        <v>1.9291796458344378E-3</v>
      </c>
      <c r="BK121" s="47">
        <f>_xll.qlPolynomialFunctionValue(BK$1,$BD121,AllTriggers)</f>
        <v>1.9211763714512306E-3</v>
      </c>
      <c r="BL121" s="47">
        <f>_xll.qlPolynomialFunctionValue(BL$1,$BD121,AllTriggers)</f>
        <v>1.8766197197926716E-3</v>
      </c>
      <c r="BM121" s="47">
        <f>_xll.qlPolynomialFunctionValue(BM$1,$BD121,AllTriggers)</f>
        <v>1.9364182123287129E-3</v>
      </c>
      <c r="BN121" s="47">
        <f>_xll.qlPolynomialFunctionValue(BN$1,$BD121,AllTriggers)</f>
        <v>1.9308355535255254E-3</v>
      </c>
      <c r="BO121" s="47">
        <f>_xll.qlPolynomialFunctionValue(BO$1,$BD121,AllTriggers)</f>
        <v>1.9348040223000197E-3</v>
      </c>
      <c r="BP121" s="47">
        <f>_xll.qlPolynomialFunctionValue(BP$1,$BD121,AllTriggers)</f>
        <v>1.9399003516774032E-3</v>
      </c>
      <c r="BQ121" s="47">
        <f>_xll.qlPolynomialFunctionValue('6MSynthDepo_used'!$P$18,BD121,AllTriggers)</f>
        <v>1.9538513473559773E-3</v>
      </c>
    </row>
    <row r="122" spans="18:69" x14ac:dyDescent="0.2">
      <c r="R122" s="34"/>
      <c r="S122" s="34"/>
      <c r="BC122" s="178">
        <f>_xll.qlCalendarAdvance(Calendar,BC121,"1d","mf",,Trigger)</f>
        <v>42445</v>
      </c>
      <c r="BD122" s="41">
        <f>_xll.qlDayCounterYearFraction(DayCounter,SettlementDate,BC122,,,Trigger)</f>
        <v>0.46111111111111114</v>
      </c>
      <c r="BE122" s="47">
        <f>_xll.qlPolynomialFunctionValue(BE$1,$BD122,AllTriggers)</f>
        <v>1.9265751817250231E-3</v>
      </c>
      <c r="BF122" s="47">
        <f>_xll.qlPolynomialFunctionValue(BF$1,$BD122,AllTriggers)</f>
        <v>1.9259597933627406E-3</v>
      </c>
      <c r="BG122" s="47">
        <f>_xll.qlPolynomialFunctionValue(BG$1,$BD122,AllTriggers)</f>
        <v>1.9207025645622451E-3</v>
      </c>
      <c r="BH122" s="47">
        <f>_xll.qlPolynomialFunctionValue(BH$1,$BD122,AllTriggers)</f>
        <v>1.8785500310577036E-3</v>
      </c>
      <c r="BI122" s="47">
        <f>_xll.qlPolynomialFunctionValue(BI$1,$BD122,AllTriggers)</f>
        <v>1.9323348615596192E-3</v>
      </c>
      <c r="BJ122" s="47">
        <f>_xll.qlPolynomialFunctionValue(BJ$1,$BD122,AllTriggers)</f>
        <v>1.93017831926506E-3</v>
      </c>
      <c r="BK122" s="47">
        <f>_xll.qlPolynomialFunctionValue(BK$1,$BD122,AllTriggers)</f>
        <v>1.9223710992969402E-3</v>
      </c>
      <c r="BL122" s="47">
        <f>_xll.qlPolynomialFunctionValue(BL$1,$BD122,AllTriggers)</f>
        <v>1.8789059419269602E-3</v>
      </c>
      <c r="BM122" s="47">
        <f>_xll.qlPolynomialFunctionValue(BM$1,$BD122,AllTriggers)</f>
        <v>1.9379801262645658E-3</v>
      </c>
      <c r="BN122" s="47">
        <f>_xll.qlPolynomialFunctionValue(BN$1,$BD122,AllTriggers)</f>
        <v>1.9324157131894891E-3</v>
      </c>
      <c r="BO122" s="47">
        <f>_xll.qlPolynomialFunctionValue(BO$1,$BD122,AllTriggers)</f>
        <v>1.9364452259980004E-3</v>
      </c>
      <c r="BP122" s="47">
        <f>_xll.qlPolynomialFunctionValue(BP$1,$BD122,AllTriggers)</f>
        <v>1.9415649052085949E-3</v>
      </c>
      <c r="BQ122" s="47">
        <f>_xll.qlPolynomialFunctionValue('6MSynthDepo_used'!$P$18,BD122,AllTriggers)</f>
        <v>1.9553543560803066E-3</v>
      </c>
    </row>
    <row r="123" spans="18:69" x14ac:dyDescent="0.2">
      <c r="R123" s="34"/>
      <c r="S123" s="34"/>
      <c r="BC123" s="178">
        <f>_xll.qlCalendarAdvance(Calendar,BC122,"1d","mf",,Trigger)</f>
        <v>42446</v>
      </c>
      <c r="BD123" s="41">
        <f>_xll.qlDayCounterYearFraction(DayCounter,SettlementDate,BC123,,,Trigger)</f>
        <v>0.46388888888888891</v>
      </c>
      <c r="BE123" s="47">
        <f>_xll.qlPolynomialFunctionValue(BE$1,$BD123,AllTriggers)</f>
        <v>1.9279262257489184E-3</v>
      </c>
      <c r="BF123" s="47">
        <f>_xll.qlPolynomialFunctionValue(BF$1,$BD123,AllTriggers)</f>
        <v>1.9270458050980942E-3</v>
      </c>
      <c r="BG123" s="47">
        <f>_xll.qlPolynomialFunctionValue(BG$1,$BD123,AllTriggers)</f>
        <v>1.9219154293587811E-3</v>
      </c>
      <c r="BH123" s="47">
        <f>_xll.qlPolynomialFunctionValue(BH$1,$BD123,AllTriggers)</f>
        <v>1.880780005459807E-3</v>
      </c>
      <c r="BI123" s="47">
        <f>_xll.qlPolynomialFunctionValue(BI$1,$BD123,AllTriggers)</f>
        <v>1.9337560385476625E-3</v>
      </c>
      <c r="BJ123" s="47">
        <f>_xll.qlPolynomialFunctionValue(BJ$1,$BD123,AllTriggers)</f>
        <v>1.931169928019506E-3</v>
      </c>
      <c r="BK123" s="47">
        <f>_xll.qlPolynomialFunctionValue(BK$1,$BD123,AllTriggers)</f>
        <v>1.9235658271426496E-3</v>
      </c>
      <c r="BL123" s="47">
        <f>_xll.qlPolynomialFunctionValue(BL$1,$BD123,AllTriggers)</f>
        <v>1.881231495252508E-3</v>
      </c>
      <c r="BM123" s="47">
        <f>_xll.qlPolynomialFunctionValue(BM$1,$BD123,AllTriggers)</f>
        <v>1.9395420402004183E-3</v>
      </c>
      <c r="BN123" s="47">
        <f>_xll.qlPolynomialFunctionValue(BN$1,$BD123,AllTriggers)</f>
        <v>1.9339980670527123E-3</v>
      </c>
      <c r="BO123" s="47">
        <f>_xll.qlPolynomialFunctionValue(BO$1,$BD123,AllTriggers)</f>
        <v>1.9380864296959809E-3</v>
      </c>
      <c r="BP123" s="47">
        <f>_xll.qlPolynomialFunctionValue(BP$1,$BD123,AllTriggers)</f>
        <v>1.943227112760037E-3</v>
      </c>
      <c r="BQ123" s="47">
        <f>_xll.qlPolynomialFunctionValue('6MSynthDepo_used'!$P$18,BD123,AllTriggers)</f>
        <v>1.9568536491849585E-3</v>
      </c>
    </row>
    <row r="124" spans="18:69" x14ac:dyDescent="0.2">
      <c r="R124" s="34"/>
      <c r="S124" s="34"/>
      <c r="BC124" s="178">
        <f>_xll.qlCalendarAdvance(Calendar,BC123,"1d","mf",,Trigger)</f>
        <v>42447</v>
      </c>
      <c r="BD124" s="41">
        <f>_xll.qlDayCounterYearFraction(DayCounter,SettlementDate,BC124,,,Trigger)</f>
        <v>0.46666666666666667</v>
      </c>
      <c r="BE124" s="47">
        <f>_xll.qlPolynomialFunctionValue(BE$1,$BD124,AllTriggers)</f>
        <v>1.929277269772814E-3</v>
      </c>
      <c r="BF124" s="47">
        <f>_xll.qlPolynomialFunctionValue(BF$1,$BD124,AllTriggers)</f>
        <v>1.9281272863669765E-3</v>
      </c>
      <c r="BG124" s="47">
        <f>_xll.qlPolynomialFunctionValue(BG$1,$BD124,AllTriggers)</f>
        <v>1.9231282941553169E-3</v>
      </c>
      <c r="BH124" s="47">
        <f>_xll.qlPolynomialFunctionValue(BH$1,$BD124,AllTriggers)</f>
        <v>1.8830463052049665E-3</v>
      </c>
      <c r="BI124" s="47">
        <f>_xll.qlPolynomialFunctionValue(BI$1,$BD124,AllTriggers)</f>
        <v>1.9351772155357056E-3</v>
      </c>
      <c r="BJ124" s="47">
        <f>_xll.qlPolynomialFunctionValue(BJ$1,$BD124,AllTriggers)</f>
        <v>1.932154472097776E-3</v>
      </c>
      <c r="BK124" s="47">
        <f>_xll.qlPolynomialFunctionValue(BK$1,$BD124,AllTriggers)</f>
        <v>1.9247605549883593E-3</v>
      </c>
      <c r="BL124" s="47">
        <f>_xll.qlPolynomialFunctionValue(BL$1,$BD124,AllTriggers)</f>
        <v>1.8835963797693145E-3</v>
      </c>
      <c r="BM124" s="47">
        <f>_xll.qlPolynomialFunctionValue(BM$1,$BD124,AllTriggers)</f>
        <v>1.9411039541362711E-3</v>
      </c>
      <c r="BN124" s="47">
        <f>_xll.qlPolynomialFunctionValue(BN$1,$BD124,AllTriggers)</f>
        <v>1.9355826151151953E-3</v>
      </c>
      <c r="BO124" s="47">
        <f>_xll.qlPolynomialFunctionValue(BO$1,$BD124,AllTriggers)</f>
        <v>1.9397276333939614E-3</v>
      </c>
      <c r="BP124" s="47">
        <f>_xll.qlPolynomialFunctionValue(BP$1,$BD124,AllTriggers)</f>
        <v>1.9448869743317293E-3</v>
      </c>
      <c r="BQ124" s="47">
        <f>_xll.qlPolynomialFunctionValue('6MSynthDepo_used'!$P$18,BD124,AllTriggers)</f>
        <v>1.958349240773016E-3</v>
      </c>
    </row>
    <row r="125" spans="18:69" x14ac:dyDescent="0.2">
      <c r="R125" s="34"/>
      <c r="S125" s="34"/>
      <c r="BC125" s="178">
        <f>_xll.qlCalendarAdvance(Calendar,BC124,"1d","mf",,Trigger)</f>
        <v>42450</v>
      </c>
      <c r="BD125" s="41">
        <f>_xll.qlDayCounterYearFraction(DayCounter,SettlementDate,BC125,,,Trigger)</f>
        <v>0.47499999999999998</v>
      </c>
      <c r="BE125" s="47">
        <f>_xll.qlPolynomialFunctionValue(BE$1,$BD125,AllTriggers)</f>
        <v>1.9333304018445002E-3</v>
      </c>
      <c r="BF125" s="47">
        <f>_xll.qlPolynomialFunctionValue(BF$1,$BD125,AllTriggers)</f>
        <v>1.9313445473748E-3</v>
      </c>
      <c r="BG125" s="47">
        <f>_xll.qlPolynomialFunctionValue(BG$1,$BD125,AllTriggers)</f>
        <v>1.9267668885449248E-3</v>
      </c>
      <c r="BH125" s="47">
        <f>_xll.qlPolynomialFunctionValue(BH$1,$BD125,AllTriggers)</f>
        <v>1.8900631564987807E-3</v>
      </c>
      <c r="BI125" s="47">
        <f>_xll.qlPolynomialFunctionValue(BI$1,$BD125,AllTriggers)</f>
        <v>1.9394407464998352E-3</v>
      </c>
      <c r="BJ125" s="47">
        <f>_xll.qlPolynomialFunctionValue(BJ$1,$BD125,AllTriggers)</f>
        <v>1.9350657162755275E-3</v>
      </c>
      <c r="BK125" s="47">
        <f>_xll.qlPolynomialFunctionValue(BK$1,$BD125,AllTriggers)</f>
        <v>1.928344738525488E-3</v>
      </c>
      <c r="BL125" s="47">
        <f>_xll.qlPolynomialFunctionValue(BL$1,$BD125,AllTriggers)</f>
        <v>1.8909270204672908E-3</v>
      </c>
      <c r="BM125" s="47">
        <f>_xll.qlPolynomialFunctionValue(BM$1,$BD125,AllTriggers)</f>
        <v>1.9457896959438293E-3</v>
      </c>
      <c r="BN125" s="47">
        <f>_xll.qlPolynomialFunctionValue(BN$1,$BD125,AllTriggers)</f>
        <v>1.9403494244982031E-3</v>
      </c>
      <c r="BO125" s="47">
        <f>_xll.qlPolynomialFunctionValue(BO$1,$BD125,AllTriggers)</f>
        <v>1.9446512444879029E-3</v>
      </c>
      <c r="BP125" s="47">
        <f>_xll.qlPolynomialFunctionValue(BP$1,$BD125,AllTriggers)</f>
        <v>1.9498524831683076E-3</v>
      </c>
      <c r="BQ125" s="47">
        <f>_xll.qlPolynomialFunctionValue('6MSynthDepo_used'!$P$18,BD125,AllTriggers)</f>
        <v>1.9628139474684434E-3</v>
      </c>
    </row>
    <row r="126" spans="18:69" x14ac:dyDescent="0.2">
      <c r="R126" s="34"/>
      <c r="S126" s="34"/>
      <c r="BC126" s="178">
        <f>_xll.qlCalendarAdvance(Calendar,BC125,"1d","mf",,Trigger)</f>
        <v>42451</v>
      </c>
      <c r="BD126" s="41">
        <f>_xll.qlDayCounterYearFraction(DayCounter,SettlementDate,BC126,,,Trigger)</f>
        <v>0.4777777777777778</v>
      </c>
      <c r="BE126" s="47">
        <f>_xll.qlPolynomialFunctionValue(BE$1,$BD126,AllTriggers)</f>
        <v>1.9346814458683955E-3</v>
      </c>
      <c r="BF126" s="47">
        <f>_xll.qlPolynomialFunctionValue(BF$1,$BD126,AllTriggers)</f>
        <v>1.932407906777799E-3</v>
      </c>
      <c r="BG126" s="47">
        <f>_xll.qlPolynomialFunctionValue(BG$1,$BD126,AllTriggers)</f>
        <v>1.9279797533414608E-3</v>
      </c>
      <c r="BH126" s="47">
        <f>_xll.qlPolynomialFunctionValue(BH$1,$BD126,AllTriggers)</f>
        <v>1.8924747576161637E-3</v>
      </c>
      <c r="BI126" s="47">
        <f>_xll.qlPolynomialFunctionValue(BI$1,$BD126,AllTriggers)</f>
        <v>1.9408619234878785E-3</v>
      </c>
      <c r="BJ126" s="47">
        <f>_xll.qlPolynomialFunctionValue(BJ$1,$BD126,AllTriggers)</f>
        <v>1.9360220016490922E-3</v>
      </c>
      <c r="BK126" s="47">
        <f>_xll.qlPolynomialFunctionValue(BK$1,$BD126,AllTriggers)</f>
        <v>1.9295394663711976E-3</v>
      </c>
      <c r="BL126" s="47">
        <f>_xll.qlPolynomialFunctionValue(BL$1,$BD126,AllTriggers)</f>
        <v>1.893449229749134E-3</v>
      </c>
      <c r="BM126" s="47">
        <f>_xll.qlPolynomialFunctionValue(BM$1,$BD126,AllTriggers)</f>
        <v>1.9473516098796821E-3</v>
      </c>
      <c r="BN126" s="47">
        <f>_xll.qlPolynomialFunctionValue(BN$1,$BD126,AllTriggers)</f>
        <v>1.9419427493577257E-3</v>
      </c>
      <c r="BO126" s="47">
        <f>_xll.qlPolynomialFunctionValue(BO$1,$BD126,AllTriggers)</f>
        <v>1.9462924481858837E-3</v>
      </c>
      <c r="BP126" s="47">
        <f>_xll.qlPolynomialFunctionValue(BP$1,$BD126,AllTriggers)</f>
        <v>1.9515029608210006E-3</v>
      </c>
      <c r="BQ126" s="47">
        <f>_xll.qlPolynomialFunctionValue('6MSynthDepo_used'!$P$18,BD126,AllTriggers)</f>
        <v>1.964294874020946E-3</v>
      </c>
    </row>
    <row r="127" spans="18:69" x14ac:dyDescent="0.2">
      <c r="R127" s="34"/>
      <c r="S127" s="34"/>
      <c r="BC127" s="178">
        <f>_xll.qlCalendarAdvance(Calendar,BC126,"1d","mf",,Trigger)</f>
        <v>42452</v>
      </c>
      <c r="BD127" s="41">
        <f>_xll.qlDayCounterYearFraction(DayCounter,SettlementDate,BC127,,,Trigger)</f>
        <v>0.48055555555555557</v>
      </c>
      <c r="BE127" s="47">
        <f>_xll.qlPolynomialFunctionValue(BE$1,$BD127,AllTriggers)</f>
        <v>1.9360324898922911E-3</v>
      </c>
      <c r="BF127" s="47">
        <f>_xll.qlPolynomialFunctionValue(BF$1,$BD127,AllTriggers)</f>
        <v>1.933466735714328E-3</v>
      </c>
      <c r="BG127" s="47">
        <f>_xll.qlPolynomialFunctionValue(BG$1,$BD127,AllTriggers)</f>
        <v>1.9291926181379967E-3</v>
      </c>
      <c r="BH127" s="47">
        <f>_xll.qlPolynomialFunctionValue(BH$1,$BD127,AllTriggers)</f>
        <v>1.8949226840766031E-3</v>
      </c>
      <c r="BI127" s="47">
        <f>_xll.qlPolynomialFunctionValue(BI$1,$BD127,AllTriggers)</f>
        <v>1.9422831004759216E-3</v>
      </c>
      <c r="BJ127" s="47">
        <f>_xll.qlPolynomialFunctionValue(BJ$1,$BD127,AllTriggers)</f>
        <v>1.9369712223464809E-3</v>
      </c>
      <c r="BK127" s="47">
        <f>_xll.qlPolynomialFunctionValue(BK$1,$BD127,AllTriggers)</f>
        <v>1.930734194216907E-3</v>
      </c>
      <c r="BL127" s="47">
        <f>_xll.qlPolynomialFunctionValue(BL$1,$BD127,AllTriggers)</f>
        <v>1.8960107702222372E-3</v>
      </c>
      <c r="BM127" s="47">
        <f>_xll.qlPolynomialFunctionValue(BM$1,$BD127,AllTriggers)</f>
        <v>1.9489135238155348E-3</v>
      </c>
      <c r="BN127" s="47">
        <f>_xll.qlPolynomialFunctionValue(BN$1,$BD127,AllTriggers)</f>
        <v>1.9435382684165076E-3</v>
      </c>
      <c r="BO127" s="47">
        <f>_xll.qlPolynomialFunctionValue(BO$1,$BD127,AllTriggers)</f>
        <v>1.9479336518838642E-3</v>
      </c>
      <c r="BP127" s="47">
        <f>_xll.qlPolynomialFunctionValue(BP$1,$BD127,AllTriggers)</f>
        <v>1.9531510924939437E-3</v>
      </c>
      <c r="BQ127" s="47">
        <f>_xll.qlPolynomialFunctionValue('6MSynthDepo_used'!$P$18,BD127,AllTriggers)</f>
        <v>1.9657721695722661E-3</v>
      </c>
    </row>
    <row r="128" spans="18:69" x14ac:dyDescent="0.2">
      <c r="R128" s="34"/>
      <c r="S128" s="34"/>
      <c r="BC128" s="178">
        <f>_xll.qlCalendarAdvance(Calendar,BC127,"1d","mf",,Trigger)</f>
        <v>42453</v>
      </c>
      <c r="BD128" s="41">
        <f>_xll.qlDayCounterYearFraction(DayCounter,SettlementDate,BC128,,,Trigger)</f>
        <v>0.48333333333333334</v>
      </c>
      <c r="BE128" s="47">
        <f>_xll.qlPolynomialFunctionValue(BE$1,$BD128,AllTriggers)</f>
        <v>1.9373835339161864E-3</v>
      </c>
      <c r="BF128" s="47">
        <f>_xll.qlPolynomialFunctionValue(BF$1,$BD128,AllTriggers)</f>
        <v>1.9345210341843856E-3</v>
      </c>
      <c r="BG128" s="47">
        <f>_xll.qlPolynomialFunctionValue(BG$1,$BD128,AllTriggers)</f>
        <v>1.9304054829345327E-3</v>
      </c>
      <c r="BH128" s="47">
        <f>_xll.qlPolynomialFunctionValue(BH$1,$BD128,AllTriggers)</f>
        <v>1.8974069358800986E-3</v>
      </c>
      <c r="BI128" s="47">
        <f>_xll.qlPolynomialFunctionValue(BI$1,$BD128,AllTriggers)</f>
        <v>1.9437042774639649E-3</v>
      </c>
      <c r="BJ128" s="47">
        <f>_xll.qlPolynomialFunctionValue(BJ$1,$BD128,AllTriggers)</f>
        <v>1.9379133783676934E-3</v>
      </c>
      <c r="BK128" s="47">
        <f>_xll.qlPolynomialFunctionValue(BK$1,$BD128,AllTriggers)</f>
        <v>1.9319289220626167E-3</v>
      </c>
      <c r="BL128" s="47">
        <f>_xll.qlPolynomialFunctionValue(BL$1,$BD128,AllTriggers)</f>
        <v>1.8986116418865993E-3</v>
      </c>
      <c r="BM128" s="47">
        <f>_xll.qlPolynomialFunctionValue(BM$1,$BD128,AllTriggers)</f>
        <v>1.9504754377513876E-3</v>
      </c>
      <c r="BN128" s="47">
        <f>_xll.qlPolynomialFunctionValue(BN$1,$BD128,AllTriggers)</f>
        <v>1.9451359816745496E-3</v>
      </c>
      <c r="BO128" s="47">
        <f>_xll.qlPolynomialFunctionValue(BO$1,$BD128,AllTriggers)</f>
        <v>1.9495748555818447E-3</v>
      </c>
      <c r="BP128" s="47">
        <f>_xll.qlPolynomialFunctionValue(BP$1,$BD128,AllTriggers)</f>
        <v>1.9547968781871371E-3</v>
      </c>
      <c r="BQ128" s="47">
        <f>_xll.qlPolynomialFunctionValue('6MSynthDepo_used'!$P$18,BD128,AllTriggers)</f>
        <v>1.9672458482254849E-3</v>
      </c>
    </row>
    <row r="129" spans="18:69" x14ac:dyDescent="0.2">
      <c r="R129" s="34"/>
      <c r="S129" s="34"/>
      <c r="BC129" s="178">
        <f>_xll.qlCalendarAdvance(Calendar,BC128,"1d","mf",,Trigger)</f>
        <v>42458</v>
      </c>
      <c r="BD129" s="41">
        <f>_xll.qlDayCounterYearFraction(DayCounter,SettlementDate,BC129,,,Trigger)</f>
        <v>0.49722222222222223</v>
      </c>
      <c r="BE129" s="47">
        <f>_xll.qlPolynomialFunctionValue(BE$1,$BD129,AllTriggers)</f>
        <v>1.9441387540356635E-3</v>
      </c>
      <c r="BF129" s="47">
        <f>_xll.qlPolynomialFunctionValue(BF$1,$BD129,AllTriggers)</f>
        <v>1.9397245695376127E-3</v>
      </c>
      <c r="BG129" s="47">
        <f>_xll.qlPolynomialFunctionValue(BG$1,$BD129,AllTriggers)</f>
        <v>1.9364698069172124E-3</v>
      </c>
      <c r="BH129" s="47">
        <f>_xll.qlPolynomialFunctionValue(BH$1,$BD129,AllTriggers)</f>
        <v>1.910373075043415E-3</v>
      </c>
      <c r="BI129" s="47">
        <f>_xll.qlPolynomialFunctionValue(BI$1,$BD129,AllTriggers)</f>
        <v>1.9508101624041807E-3</v>
      </c>
      <c r="BJ129" s="47">
        <f>_xll.qlPolynomialFunctionValue(BJ$1,$BD129,AllTriggers)</f>
        <v>1.9425181883311114E-3</v>
      </c>
      <c r="BK129" s="47">
        <f>_xll.qlPolynomialFunctionValue(BK$1,$BD129,AllTriggers)</f>
        <v>1.9379025612911644E-3</v>
      </c>
      <c r="BL129" s="47">
        <f>_xll.qlPolynomialFunctionValue(BL$1,$BD129,AllTriggers)</f>
        <v>1.9122059680772982E-3</v>
      </c>
      <c r="BM129" s="47">
        <f>_xll.qlPolynomialFunctionValue(BM$1,$BD129,AllTriggers)</f>
        <v>1.9582850074306513E-3</v>
      </c>
      <c r="BN129" s="47">
        <f>_xll.qlPolynomialFunctionValue(BN$1,$BD129,AllTriggers)</f>
        <v>1.9531574609536564E-3</v>
      </c>
      <c r="BO129" s="47">
        <f>_xll.qlPolynomialFunctionValue(BO$1,$BD129,AllTriggers)</f>
        <v>1.9577808740717474E-3</v>
      </c>
      <c r="BP129" s="47">
        <f>_xll.qlPolynomialFunctionValue(BP$1,$BD129,AllTriggers)</f>
        <v>1.9629906169568571E-3</v>
      </c>
      <c r="BQ129" s="47">
        <f>_xll.qlPolynomialFunctionValue('6MSynthDepo_used'!$P$18,BD129,AllTriggers)</f>
        <v>1.9745604816279625E-3</v>
      </c>
    </row>
    <row r="130" spans="18:69" x14ac:dyDescent="0.2">
      <c r="R130" s="34"/>
      <c r="S130" s="34"/>
      <c r="BC130" s="178">
        <f>_xll.qlCalendarAdvance(Calendar,BC129,"1d","mf",,Trigger)</f>
        <v>42459</v>
      </c>
      <c r="BD130" s="41">
        <f>_xll.qlDayCounterYearFraction(DayCounter,SettlementDate,BC130,,,Trigger)</f>
        <v>0.5</v>
      </c>
      <c r="BE130" s="47">
        <f>_xll.qlPolynomialFunctionValue(BE$1,$BD130,AllTriggers)</f>
        <v>1.9454897980595589E-3</v>
      </c>
      <c r="BF130" s="47">
        <f>_xll.qlPolynomialFunctionValue(BF$1,$BD130,AllTriggers)</f>
        <v>1.9407516852088455E-3</v>
      </c>
      <c r="BG130" s="47">
        <f>_xll.qlPolynomialFunctionValue(BG$1,$BD130,AllTriggers)</f>
        <v>1.9376826717137482E-3</v>
      </c>
      <c r="BH130" s="47">
        <f>_xll.qlPolynomialFunctionValue(BH$1,$BD130,AllTriggers)</f>
        <v>1.9130752789052463E-3</v>
      </c>
      <c r="BI130" s="47">
        <f>_xll.qlPolynomialFunctionValue(BI$1,$BD130,AllTriggers)</f>
        <v>1.952231339392224E-3</v>
      </c>
      <c r="BJ130" s="47">
        <f>_xll.qlPolynomialFunctionValue(BJ$1,$BD130,AllTriggers)</f>
        <v>1.9434179562952663E-3</v>
      </c>
      <c r="BK130" s="47">
        <f>_xll.qlPolynomialFunctionValue(BK$1,$BD130,AllTriggers)</f>
        <v>1.939097289136874E-3</v>
      </c>
      <c r="BL130" s="47">
        <f>_xll.qlPolynomialFunctionValue(BL$1,$BD130,AllTriggers)</f>
        <v>1.9150428268892156E-3</v>
      </c>
      <c r="BM130" s="47">
        <f>_xll.qlPolynomialFunctionValue(BM$1,$BD130,AllTriggers)</f>
        <v>1.9598469213665038E-3</v>
      </c>
      <c r="BN130" s="47">
        <f>_xll.qlPolynomialFunctionValue(BN$1,$BD130,AllTriggers)</f>
        <v>1.9547683394072575E-3</v>
      </c>
      <c r="BO130" s="47">
        <f>_xll.qlPolynomialFunctionValue(BO$1,$BD130,AllTriggers)</f>
        <v>1.9594220777697279E-3</v>
      </c>
      <c r="BP130" s="47">
        <f>_xll.qlPolynomialFunctionValue(BP$1,$BD130,AllTriggers)</f>
        <v>1.9646223267715517E-3</v>
      </c>
      <c r="BQ130" s="47">
        <f>_xll.qlPolynomialFunctionValue('6MSynthDepo_used'!$P$18,BD130,AllTriggers)</f>
        <v>1.9760127550573102E-3</v>
      </c>
    </row>
    <row r="131" spans="18:69" x14ac:dyDescent="0.2">
      <c r="R131" s="34"/>
      <c r="S131" s="34"/>
      <c r="BC131" s="178">
        <f>_xll.qlCalendarAdvance(Calendar,BC130,"1d","mf",,Trigger)</f>
        <v>42460</v>
      </c>
      <c r="BD131" s="41">
        <f>_xll.qlDayCounterYearFraction(DayCounter,SettlementDate,BC131,,,Trigger)</f>
        <v>0.50277777777777777</v>
      </c>
      <c r="BE131" s="47">
        <f>_xll.qlPolynomialFunctionValue(BE$1,$BD131,AllTriggers)</f>
        <v>1.9468408420834542E-3</v>
      </c>
      <c r="BF131" s="47">
        <f>_xll.qlPolynomialFunctionValue(BF$1,$BD131,AllTriggers)</f>
        <v>1.941774270413608E-3</v>
      </c>
      <c r="BG131" s="47">
        <f>_xll.qlPolynomialFunctionValue(BG$1,$BD131,AllTriggers)</f>
        <v>1.9388955365102841E-3</v>
      </c>
      <c r="BH131" s="47">
        <f>_xll.qlPolynomialFunctionValue(BH$1,$BD131,AllTriggers)</f>
        <v>1.9158138081101332E-3</v>
      </c>
      <c r="BI131" s="47">
        <f>_xll.qlPolynomialFunctionValue(BI$1,$BD131,AllTriggers)</f>
        <v>1.9536525163802673E-3</v>
      </c>
      <c r="BJ131" s="47">
        <f>_xll.qlPolynomialFunctionValue(BJ$1,$BD131,AllTriggers)</f>
        <v>1.9443106595832451E-3</v>
      </c>
      <c r="BK131" s="47">
        <f>_xll.qlPolynomialFunctionValue(BK$1,$BD131,AllTriggers)</f>
        <v>1.9402920169825837E-3</v>
      </c>
      <c r="BL131" s="47">
        <f>_xll.qlPolynomialFunctionValue(BL$1,$BD131,AllTriggers)</f>
        <v>1.9179190168923921E-3</v>
      </c>
      <c r="BM131" s="47">
        <f>_xll.qlPolynomialFunctionValue(BM$1,$BD131,AllTriggers)</f>
        <v>1.9614088353023568E-3</v>
      </c>
      <c r="BN131" s="47">
        <f>_xll.qlPolynomialFunctionValue(BN$1,$BD131,AllTriggers)</f>
        <v>1.9563814120601179E-3</v>
      </c>
      <c r="BO131" s="47">
        <f>_xll.qlPolynomialFunctionValue(BO$1,$BD131,AllTriggers)</f>
        <v>1.9610632814677084E-3</v>
      </c>
      <c r="BP131" s="47">
        <f>_xll.qlPolynomialFunctionValue(BP$1,$BD131,AllTriggers)</f>
        <v>1.9662516906064965E-3</v>
      </c>
      <c r="BQ131" s="47">
        <f>_xll.qlPolynomialFunctionValue('6MSynthDepo_used'!$P$18,BD131,AllTriggers)</f>
        <v>1.9774615103101364E-3</v>
      </c>
    </row>
    <row r="132" spans="18:69" x14ac:dyDescent="0.2">
      <c r="R132" s="34"/>
      <c r="S132" s="34"/>
      <c r="BC132" s="178">
        <f>_xll.qlCalendarAdvance(Calendar,BC131,"1d","mf",,Trigger)</f>
        <v>42461</v>
      </c>
      <c r="BD132" s="41">
        <f>_xll.qlDayCounterYearFraction(DayCounter,SettlementDate,BC132,,,Trigger)</f>
        <v>0.50555555555555554</v>
      </c>
      <c r="BE132" s="47">
        <f>_xll.qlPolynomialFunctionValue(BE$1,$BD132,AllTriggers)</f>
        <v>1.9481918861073498E-3</v>
      </c>
      <c r="BF132" s="47">
        <f>_xll.qlPolynomialFunctionValue(BF$1,$BD132,AllTriggers)</f>
        <v>1.9427923251518992E-3</v>
      </c>
      <c r="BG132" s="47">
        <f>_xll.qlPolynomialFunctionValue(BG$1,$BD132,AllTriggers)</f>
        <v>1.9401084013068201E-3</v>
      </c>
      <c r="BH132" s="47">
        <f>_xll.qlPolynomialFunctionValue(BH$1,$BD132,AllTriggers)</f>
        <v>1.9185886626580766E-3</v>
      </c>
      <c r="BI132" s="47">
        <f>_xll.qlPolynomialFunctionValue(BI$1,$BD132,AllTriggers)</f>
        <v>1.9550736933683106E-3</v>
      </c>
      <c r="BJ132" s="47">
        <f>_xll.qlPolynomialFunctionValue(BJ$1,$BD132,AllTriggers)</f>
        <v>1.9451962981950476E-3</v>
      </c>
      <c r="BK132" s="47">
        <f>_xll.qlPolynomialFunctionValue(BK$1,$BD132,AllTriggers)</f>
        <v>1.9414867448282931E-3</v>
      </c>
      <c r="BL132" s="47">
        <f>_xll.qlPolynomialFunctionValue(BL$1,$BD132,AllTriggers)</f>
        <v>1.9208345380868279E-3</v>
      </c>
      <c r="BM132" s="47">
        <f>_xll.qlPolynomialFunctionValue(BM$1,$BD132,AllTriggers)</f>
        <v>1.9629707492382093E-3</v>
      </c>
      <c r="BN132" s="47">
        <f>_xll.qlPolynomialFunctionValue(BN$1,$BD132,AllTriggers)</f>
        <v>1.9579966789122385E-3</v>
      </c>
      <c r="BO132" s="47">
        <f>_xll.qlPolynomialFunctionValue(BO$1,$BD132,AllTriggers)</f>
        <v>1.9627044851656889E-3</v>
      </c>
      <c r="BP132" s="47">
        <f>_xll.qlPolynomialFunctionValue(BP$1,$BD132,AllTriggers)</f>
        <v>1.9678787084616914E-3</v>
      </c>
      <c r="BQ132" s="47">
        <f>_xll.qlPolynomialFunctionValue('6MSynthDepo_used'!$P$18,BD132,AllTriggers)</f>
        <v>1.9789067614895198E-3</v>
      </c>
    </row>
    <row r="133" spans="18:69" x14ac:dyDescent="0.2">
      <c r="R133" s="35"/>
      <c r="S133" s="34"/>
      <c r="BC133" s="178">
        <f>_xll.qlCalendarAdvance(Calendar,BC132,"1d","mf",,Trigger)</f>
        <v>42464</v>
      </c>
      <c r="BD133" s="41">
        <f>_xll.qlDayCounterYearFraction(DayCounter,SettlementDate,BC133,,,Trigger)</f>
        <v>0.51388888888888884</v>
      </c>
      <c r="BE133" s="47">
        <f>_xll.qlPolynomialFunctionValue(BE$1,$BD133,AllTriggers)</f>
        <v>1.952245018179036E-3</v>
      </c>
      <c r="BF133" s="47">
        <f>_xll.qlPolynomialFunctionValue(BF$1,$BD133,AllTriggers)</f>
        <v>1.9458193065679487E-3</v>
      </c>
      <c r="BG133" s="47">
        <f>_xll.qlPolynomialFunctionValue(BG$1,$BD133,AllTriggers)</f>
        <v>1.943746995696428E-3</v>
      </c>
      <c r="BH133" s="47">
        <f>_xll.qlPolynomialFunctionValue(BH$1,$BD133,AllTriggers)</f>
        <v>1.9271311783602416E-3</v>
      </c>
      <c r="BI133" s="47">
        <f>_xll.qlPolynomialFunctionValue(BI$1,$BD133,AllTriggers)</f>
        <v>1.95933722433244E-3</v>
      </c>
      <c r="BJ133" s="47">
        <f>_xll.qlPolynomialFunctionValue(BJ$1,$BD133,AllTriggers)</f>
        <v>1.9478108259733972E-3</v>
      </c>
      <c r="BK133" s="47">
        <f>_xll.qlPolynomialFunctionValue(BK$1,$BD133,AllTriggers)</f>
        <v>1.9450709283654218E-3</v>
      </c>
      <c r="BL133" s="47">
        <f>_xll.qlPolynomialFunctionValue(BL$1,$BD133,AllTriggers)</f>
        <v>1.929817088817691E-3</v>
      </c>
      <c r="BM133" s="47">
        <f>_xll.qlPolynomialFunctionValue(BM$1,$BD133,AllTriggers)</f>
        <v>1.9676564910457673E-3</v>
      </c>
      <c r="BN133" s="47">
        <f>_xll.qlPolynomialFunctionValue(BN$1,$BD133,AllTriggers)</f>
        <v>1.9628556446641588E-3</v>
      </c>
      <c r="BO133" s="47">
        <f>_xll.qlPolynomialFunctionValue(BO$1,$BD133,AllTriggers)</f>
        <v>1.9676280962596308E-3</v>
      </c>
      <c r="BP133" s="47">
        <f>_xll.qlPolynomialFunctionValue(BP$1,$BD133,AllTriggers)</f>
        <v>1.9727456861487777E-3</v>
      </c>
      <c r="BQ133" s="47">
        <f>_xll.qlPolynomialFunctionValue('6MSynthDepo_used'!$P$18,BD133,AllTriggers)</f>
        <v>1.9832216316178521E-3</v>
      </c>
    </row>
    <row r="134" spans="18:69" x14ac:dyDescent="0.2">
      <c r="R134" s="35"/>
      <c r="S134" s="34"/>
      <c r="BC134" s="178">
        <f>_xll.qlCalendarAdvance(Calendar,BC133,"1d","mf",,Trigger)</f>
        <v>42465</v>
      </c>
      <c r="BD134" s="41">
        <f>_xll.qlDayCounterYearFraction(DayCounter,SettlementDate,BC134,,,Trigger)</f>
        <v>0.51666666666666672</v>
      </c>
      <c r="BE134" s="47">
        <f>_xll.qlPolynomialFunctionValue(BE$1,$BD134,AllTriggers)</f>
        <v>1.9535960622029313E-3</v>
      </c>
      <c r="BF134" s="47">
        <f>_xll.qlPolynomialFunctionValue(BF$1,$BD134,AllTriggers)</f>
        <v>1.9468192394403569E-3</v>
      </c>
      <c r="BG134" s="47">
        <f>_xll.qlPolynomialFunctionValue(BG$1,$BD134,AllTriggers)</f>
        <v>1.9449598604929638E-3</v>
      </c>
      <c r="BH134" s="47">
        <f>_xll.qlPolynomialFunctionValue(BH$1,$BD134,AllTriggers)</f>
        <v>1.9300513342804088E-3</v>
      </c>
      <c r="BI134" s="47">
        <f>_xll.qlPolynomialFunctionValue(BI$1,$BD134,AllTriggers)</f>
        <v>1.9607584013204833E-3</v>
      </c>
      <c r="BJ134" s="47">
        <f>_xll.qlPolynomialFunctionValue(BJ$1,$BD134,AllTriggers)</f>
        <v>1.9486682058804947E-3</v>
      </c>
      <c r="BK134" s="47">
        <f>_xll.qlPolynomialFunctionValue(BK$1,$BD134,AllTriggers)</f>
        <v>1.9462656562111314E-3</v>
      </c>
      <c r="BL134" s="47">
        <f>_xll.qlPolynomialFunctionValue(BL$1,$BD134,AllTriggers)</f>
        <v>1.9328899347771634E-3</v>
      </c>
      <c r="BM134" s="47">
        <f>_xll.qlPolynomialFunctionValue(BM$1,$BD134,AllTriggers)</f>
        <v>1.9692184049816203E-3</v>
      </c>
      <c r="BN134" s="47">
        <f>_xll.qlPolynomialFunctionValue(BN$1,$BD134,AllTriggers)</f>
        <v>1.9644796883133181E-3</v>
      </c>
      <c r="BO134" s="47">
        <f>_xll.qlPolynomialFunctionValue(BO$1,$BD134,AllTriggers)</f>
        <v>1.9692692999576113E-3</v>
      </c>
      <c r="BP134" s="47">
        <f>_xll.qlPolynomialFunctionValue(BP$1,$BD134,AllTriggers)</f>
        <v>1.974363320084974E-3</v>
      </c>
      <c r="BQ134" s="47">
        <f>_xll.qlPolynomialFunctionValue('6MSynthDepo_used'!$P$18,BD134,AllTriggers)</f>
        <v>1.9846530075342973E-3</v>
      </c>
    </row>
    <row r="135" spans="18:69" x14ac:dyDescent="0.2">
      <c r="R135" s="35"/>
      <c r="S135" s="34"/>
      <c r="BC135" s="182">
        <f>_xll.qlCalendarAdvance(Calendar,BC134,"1d","mf",,Trigger)</f>
        <v>42466</v>
      </c>
      <c r="BD135" s="44">
        <f>_xll.qlDayCounterYearFraction(DayCounter,SettlementDate,BC135,,,Trigger)</f>
        <v>0.51944444444444449</v>
      </c>
      <c r="BE135" s="50">
        <f>_xll.qlPolynomialFunctionValue(BE$1,$BD135,AllTriggers)</f>
        <v>1.9549471062268267E-3</v>
      </c>
      <c r="BF135" s="50">
        <f>_xll.qlPolynomialFunctionValue(BF$1,$BD135,AllTriggers)</f>
        <v>1.9478146418462942E-3</v>
      </c>
      <c r="BG135" s="50">
        <f>_xll.qlPolynomialFunctionValue(BG$1,$BD135,AllTriggers)</f>
        <v>1.9461727252894998E-3</v>
      </c>
      <c r="BH135" s="50">
        <f>_xll.qlPolynomialFunctionValue(BH$1,$BD135,AllTriggers)</f>
        <v>1.933007815543632E-3</v>
      </c>
      <c r="BI135" s="50">
        <f>_xll.qlPolynomialFunctionValue(BI$1,$BD135,AllTriggers)</f>
        <v>1.9621795783085266E-3</v>
      </c>
      <c r="BJ135" s="50">
        <f>_xll.qlPolynomialFunctionValue(BJ$1,$BD135,AllTriggers)</f>
        <v>1.9495185211114161E-3</v>
      </c>
      <c r="BK135" s="50">
        <f>_xll.qlPolynomialFunctionValue(BK$1,$BD135,AllTriggers)</f>
        <v>1.9474603840568411E-3</v>
      </c>
      <c r="BL135" s="50">
        <f>_xll.qlPolynomialFunctionValue(BL$1,$BD135,AllTriggers)</f>
        <v>1.9360021119278954E-3</v>
      </c>
      <c r="BM135" s="50">
        <f>_xll.qlPolynomialFunctionValue(BM$1,$BD135,AllTriggers)</f>
        <v>1.9707803189174728E-3</v>
      </c>
      <c r="BN135" s="50">
        <f>_xll.qlPolynomialFunctionValue(BN$1,$BD135,AllTriggers)</f>
        <v>1.9661059261617377E-3</v>
      </c>
      <c r="BO135" s="50">
        <f>_xll.qlPolynomialFunctionValue(BO$1,$BD135,AllTriggers)</f>
        <v>1.9709105036555918E-3</v>
      </c>
      <c r="BP135" s="50">
        <f>_xll.qlPolynomialFunctionValue(BP$1,$BD135,AllTriggers)</f>
        <v>1.9759786080414199E-3</v>
      </c>
      <c r="BQ135" s="50">
        <f>_xll.qlPolynomialFunctionValue('6MSynthDepo_used'!$P$18,BD135,AllTriggers)</f>
        <v>1.9860809498927134E-3</v>
      </c>
    </row>
    <row r="136" spans="18:69" x14ac:dyDescent="0.2">
      <c r="R136" s="35"/>
      <c r="S136" s="34"/>
    </row>
    <row r="137" spans="18:69" x14ac:dyDescent="0.2">
      <c r="R137" s="35"/>
      <c r="S137" s="34"/>
    </row>
    <row r="138" spans="18:69" x14ac:dyDescent="0.2">
      <c r="R138" s="35"/>
      <c r="S138" s="34"/>
    </row>
    <row r="139" spans="18:69" x14ac:dyDescent="0.2">
      <c r="R139" s="35"/>
      <c r="S139" s="35"/>
    </row>
    <row r="140" spans="18:69" x14ac:dyDescent="0.2">
      <c r="R140" s="35"/>
      <c r="S140" s="35"/>
    </row>
    <row r="141" spans="18:69" x14ac:dyDescent="0.2">
      <c r="R141" s="35"/>
      <c r="S141" s="35"/>
    </row>
    <row r="142" spans="18:69" x14ac:dyDescent="0.2">
      <c r="R142" s="35"/>
      <c r="S142" s="35"/>
    </row>
    <row r="143" spans="18:69" x14ac:dyDescent="0.2">
      <c r="R143" s="35"/>
      <c r="S143" s="35"/>
    </row>
    <row r="144" spans="18:69" x14ac:dyDescent="0.2">
      <c r="R144" s="35"/>
      <c r="S144" s="35"/>
    </row>
    <row r="145" spans="18:19" x14ac:dyDescent="0.2">
      <c r="R145" s="35"/>
      <c r="S145" s="35"/>
    </row>
    <row r="146" spans="18:19" x14ac:dyDescent="0.2">
      <c r="R146" s="35"/>
      <c r="S146" s="35"/>
    </row>
    <row r="147" spans="18:19" x14ac:dyDescent="0.2">
      <c r="R147" s="35"/>
      <c r="S147" s="35"/>
    </row>
    <row r="148" spans="18:19" x14ac:dyDescent="0.2">
      <c r="R148" s="35"/>
      <c r="S148" s="35"/>
    </row>
    <row r="149" spans="18:19" x14ac:dyDescent="0.2">
      <c r="S149" s="35"/>
    </row>
    <row r="150" spans="18:19" x14ac:dyDescent="0.2">
      <c r="S150" s="35"/>
    </row>
    <row r="151" spans="18:19" x14ac:dyDescent="0.2">
      <c r="S151" s="35"/>
    </row>
    <row r="152" spans="18:19" x14ac:dyDescent="0.2">
      <c r="S152" s="35"/>
    </row>
    <row r="153" spans="18:19" x14ac:dyDescent="0.2">
      <c r="S153" s="35"/>
    </row>
    <row r="154" spans="18:19" x14ac:dyDescent="0.2">
      <c r="S154" s="35"/>
    </row>
  </sheetData>
  <mergeCells count="16">
    <mergeCell ref="AH19:AH21"/>
    <mergeCell ref="AJ19:AJ21"/>
    <mergeCell ref="AJ14:AJ16"/>
    <mergeCell ref="AT5:AT6"/>
    <mergeCell ref="AV5:AV6"/>
    <mergeCell ref="AT9:AT10"/>
    <mergeCell ref="AV9:AV10"/>
    <mergeCell ref="AT14:AT16"/>
    <mergeCell ref="AV14:AV16"/>
    <mergeCell ref="AT19:AT21"/>
    <mergeCell ref="AV19:AV21"/>
    <mergeCell ref="AH5:AH6"/>
    <mergeCell ref="AH9:AH10"/>
    <mergeCell ref="AJ5:AJ6"/>
    <mergeCell ref="AJ9:AJ10"/>
    <mergeCell ref="AH14:AH16"/>
  </mergeCells>
  <dataValidations disablePrompts="1" count="4">
    <dataValidation type="list" allowBlank="1" showInputMessage="1" showErrorMessage="1" sqref="S3:T3 S14:T14">
      <formula1>"TRUE"</formula1>
    </dataValidation>
    <dataValidation type="list" allowBlank="1" showInputMessage="1" showErrorMessage="1" sqref="U3:V3 U14:V14">
      <formula1>"False"</formula1>
    </dataValidation>
    <dataValidation type="list" allowBlank="1" showInputMessage="1" showErrorMessage="1" sqref="S15:V20 S4:V9 T10:W10">
      <formula1>"TRUE,FALSE"</formula1>
    </dataValidation>
    <dataValidation type="list" allowBlank="1" showInputMessage="1" showErrorMessage="1" sqref="D27:D28">
      <formula1>"FIXING,ESTIMATED"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A384"/>
  <sheetViews>
    <sheetView workbookViewId="0">
      <selection activeCell="H1" sqref="H1"/>
    </sheetView>
  </sheetViews>
  <sheetFormatPr defaultRowHeight="11.25" outlineLevelCol="1" x14ac:dyDescent="0.2"/>
  <cols>
    <col min="1" max="1" width="3.1640625" style="19" customWidth="1"/>
    <col min="2" max="2" width="2.33203125" style="19" customWidth="1"/>
    <col min="3" max="3" width="3.1640625" style="19" customWidth="1"/>
    <col min="4" max="4" width="23.1640625" style="19" customWidth="1"/>
    <col min="5" max="5" width="34.83203125" style="19" hidden="1" customWidth="1" outlineLevel="1"/>
    <col min="6" max="6" width="9.33203125" style="19" hidden="1" customWidth="1" outlineLevel="1"/>
    <col min="7" max="7" width="12.83203125" style="19" bestFit="1" customWidth="1" collapsed="1"/>
    <col min="8" max="8" width="12.83203125" style="19" customWidth="1"/>
    <col min="9" max="10" width="11.33203125" style="19" customWidth="1"/>
    <col min="11" max="12" width="9.33203125" style="19" bestFit="1" customWidth="1"/>
    <col min="13" max="13" width="8.1640625" style="19" bestFit="1" customWidth="1"/>
    <col min="14" max="14" width="2.83203125" style="19" customWidth="1"/>
    <col min="15" max="15" width="14.1640625" style="19" bestFit="1" customWidth="1"/>
    <col min="16" max="16" width="17.83203125" style="19" bestFit="1" customWidth="1"/>
    <col min="17" max="17" width="2.83203125" style="19" customWidth="1"/>
    <col min="18" max="18" width="12.83203125" style="19" bestFit="1" customWidth="1"/>
    <col min="19" max="19" width="9.33203125" style="19"/>
    <col min="20" max="20" width="0" style="19" hidden="1" customWidth="1" outlineLevel="1"/>
    <col min="21" max="21" width="9.33203125" style="19" collapsed="1"/>
    <col min="22" max="22" width="3.5" style="19" bestFit="1" customWidth="1"/>
    <col min="23" max="24" width="9.33203125" style="19"/>
    <col min="25" max="25" width="12.83203125" style="19" bestFit="1" customWidth="1"/>
    <col min="26" max="26" width="16.5" style="19" bestFit="1" customWidth="1"/>
    <col min="27" max="27" width="12.83203125" style="19" bestFit="1" customWidth="1"/>
    <col min="28" max="16384" width="9.33203125" style="19"/>
  </cols>
  <sheetData>
    <row r="1" spans="1:27" x14ac:dyDescent="0.2">
      <c r="F1" s="19">
        <f>_xll.ohTrigger(F3:F28)</f>
        <v>0</v>
      </c>
      <c r="G1" s="126" t="s">
        <v>49</v>
      </c>
      <c r="H1" s="127" t="s">
        <v>23</v>
      </c>
    </row>
    <row r="2" spans="1:27" ht="26.25" customHeight="1" x14ac:dyDescent="0.2">
      <c r="D2" s="36" t="str">
        <f>H1&amp;" Instruments"</f>
        <v>3M Instruments</v>
      </c>
      <c r="E2" s="36" t="s">
        <v>84</v>
      </c>
      <c r="F2" s="36" t="s">
        <v>85</v>
      </c>
      <c r="G2" s="36" t="s">
        <v>50</v>
      </c>
      <c r="H2" s="36" t="s">
        <v>96</v>
      </c>
      <c r="I2" s="36" t="str">
        <f>"F "&amp;H1</f>
        <v>F 3M</v>
      </c>
      <c r="J2" s="36" t="s">
        <v>56</v>
      </c>
      <c r="K2" s="36" t="s">
        <v>61</v>
      </c>
      <c r="L2" s="36" t="s">
        <v>83</v>
      </c>
      <c r="M2" s="36" t="s">
        <v>63</v>
      </c>
      <c r="N2" s="21"/>
      <c r="R2" s="36" t="s">
        <v>71</v>
      </c>
      <c r="S2" s="36" t="s">
        <v>98</v>
      </c>
      <c r="T2" s="36" t="s">
        <v>89</v>
      </c>
      <c r="U2" s="36" t="s">
        <v>97</v>
      </c>
    </row>
    <row r="3" spans="1:27" ht="11.25" customHeight="1" x14ac:dyDescent="0.2">
      <c r="A3" s="104">
        <v>0</v>
      </c>
      <c r="B3" s="105" t="s">
        <v>20</v>
      </c>
      <c r="C3" s="106" t="str">
        <f>SUBSTITUTE($H$1,"M","")</f>
        <v>3</v>
      </c>
      <c r="D3" s="108" t="str">
        <f>Currency&amp;A3&amp;B3&amp;C3&amp;"F"&amp;"_Estimated"</f>
        <v>EUR0x3F_Estimated</v>
      </c>
      <c r="E3" s="108" t="str">
        <f>_xll.qlSimpleQuote(UPPER("B"&amp;$H$1&amp;"_"&amp;A3&amp;B3&amp;C3&amp;"Estimated"),,,Permanent,Trigger,ObjectOverwrite)</f>
        <v>B3M_0X3ESTIMATED#0007</v>
      </c>
      <c r="F3" s="197" t="e">
        <f>_xll.qlSimpleQuoteSetValue(E3,L3,AllTriggers)</f>
        <v>#N/A</v>
      </c>
      <c r="G3" s="210">
        <f>SettlementDate</f>
        <v>42279</v>
      </c>
      <c r="H3" s="210">
        <f>_xll.qlInterestRateIndexMaturity(PROPER(Currency)&amp;"ibor"&amp;$H$1,G3)</f>
        <v>42373</v>
      </c>
      <c r="I3" s="107">
        <f>L3+$J$4</f>
        <v>-4.3065449681137778E-4</v>
      </c>
      <c r="J3" s="89"/>
      <c r="K3" s="89"/>
      <c r="L3" s="66">
        <f>_xll.qlTenorBasisValue($P$3,G3,Trigger)</f>
        <v>1.0048099786239312E-3</v>
      </c>
      <c r="M3" s="89"/>
      <c r="N3" s="21"/>
      <c r="O3" s="192" t="s">
        <v>82</v>
      </c>
      <c r="P3" s="66" t="str">
        <f>'[2]3MSynthDepo'!TenorBasis3M</f>
        <v>obj_0059a#0000</v>
      </c>
      <c r="R3" s="211">
        <f>SettlementDate</f>
        <v>42279</v>
      </c>
      <c r="S3" s="52">
        <f>_xll.qlTenorBasisValue($P$3,R3,AllTriggers)</f>
        <v>1.0048099786239312E-3</v>
      </c>
      <c r="T3" s="46">
        <f>_xll.qlDayCounterYearFraction("actual/365 (fixed)",SettlementDate,R3,,,Trigger)</f>
        <v>0</v>
      </c>
      <c r="U3" s="52">
        <f>_xll.qlPolynomialFunctionValue($P$18,T3,AllTriggers)</f>
        <v>9.1861554499729752E-4</v>
      </c>
    </row>
    <row r="4" spans="1:27" ht="11.25" customHeight="1" x14ac:dyDescent="0.2">
      <c r="A4" s="104">
        <v>0</v>
      </c>
      <c r="B4" s="105" t="s">
        <v>20</v>
      </c>
      <c r="C4" s="106">
        <v>6</v>
      </c>
      <c r="D4" s="97" t="str">
        <f>PROPER(Currency&amp;IborType)&amp;H1&amp;"LastFixing"&amp;QuoteSuffix</f>
        <v>Euribor3MLastFixing_Quote</v>
      </c>
      <c r="E4" s="97" t="str">
        <f>_xll.qlSimpleQuote(UPPER("B"&amp;$H$1&amp;"_"&amp;A4&amp;B4&amp;C4&amp;"FIXING"),,,Permanent,Trigger,ObjectOverwrite)</f>
        <v>B3M_0X6FIXING#0007</v>
      </c>
      <c r="F4" s="198" t="e">
        <f>_xll.qlSimpleQuoteSetValue(E4,K4,AllTriggers)</f>
        <v>#N/A</v>
      </c>
      <c r="G4" s="210">
        <f>SettlementDate</f>
        <v>42279</v>
      </c>
      <c r="H4" s="210">
        <f>_xll.qlInterestRateIndexMaturity(ON_6M_index,G4)</f>
        <v>42464</v>
      </c>
      <c r="I4" s="66">
        <f>_xll.qlQuoteValue(D4,LastFixingsTrigger)</f>
        <v>-4.0000000000000002E-4</v>
      </c>
      <c r="J4" s="66">
        <f>_xll.qlIndexFixing(ON_3M_index,_xll.qlInterestRateIndexFixingDate(ON_6M_index,G4),,AllTriggers)</f>
        <v>-1.435464475435309E-3</v>
      </c>
      <c r="K4" s="107">
        <f t="shared" ref="K4:K28" si="0">I4-J4</f>
        <v>1.035464475435309E-3</v>
      </c>
      <c r="L4" s="62">
        <f>_xll.qlTenorBasisValue($P$3,G4,Trigger)</f>
        <v>1.0048099786239312E-3</v>
      </c>
      <c r="M4" s="63">
        <f>(K4-L4)*10000</f>
        <v>0.30654496811377813</v>
      </c>
      <c r="N4" s="21"/>
      <c r="R4" s="212">
        <f>_xll.qlCalendarAdvance(Calendar,R3,"1D","f")</f>
        <v>42282</v>
      </c>
      <c r="S4" s="47">
        <f>_xll.qlTenorBasisValue($P$3,R4,AllTriggers)</f>
        <v>1.0099456800360036E-3</v>
      </c>
      <c r="T4" s="41">
        <f>_xll.qlDayCounterYearFraction("actual/365 (fixed)",SettlementDate,R4,,,Trigger)</f>
        <v>8.21917808219178E-3</v>
      </c>
      <c r="U4" s="47">
        <f>_xll.qlPolynomialFunctionValue($P$18,T4,AllTriggers)</f>
        <v>9.2457066181654123E-4</v>
      </c>
    </row>
    <row r="5" spans="1:27" ht="11.25" customHeight="1" x14ac:dyDescent="0.2">
      <c r="A5" s="94">
        <v>1</v>
      </c>
      <c r="B5" s="21" t="s">
        <v>20</v>
      </c>
      <c r="C5" s="101">
        <f t="shared" ref="C5:C9" si="1">A5+SUBSTITUTE($H$1,"M","")</f>
        <v>4</v>
      </c>
      <c r="D5" s="98" t="str">
        <f t="shared" ref="D5:D9" si="2">Currency&amp;A5&amp;B5&amp;C5&amp;"F"&amp;QuoteSuffix</f>
        <v>EUR1x4F_Quote</v>
      </c>
      <c r="E5" s="98" t="str">
        <f>_xll.qlSimpleQuote(UPPER("B"&amp;$H$1&amp;"_"&amp;A5&amp;B5&amp;C5),,,Permanent,Trigger,ObjectOverwrite)</f>
        <v>B3M_1X4#0007</v>
      </c>
      <c r="F5" s="199" t="e">
        <f>_xll.qlSimpleQuoteSetValue(E5,K5,AllTriggers)</f>
        <v>#N/A</v>
      </c>
      <c r="G5" s="211">
        <f>_xll.qlCalendarAdvance("target",SettlementDate,A5&amp;"M","mf",,Trigger)</f>
        <v>42310</v>
      </c>
      <c r="H5" s="211">
        <f>_xll.qlInterestRateIndexMaturity(ON_6M_index,G5)</f>
        <v>42492</v>
      </c>
      <c r="I5" s="52">
        <f>_xll.qlQuoteValue(D5,AllTriggers)</f>
        <v>-4.6000000000000001E-4</v>
      </c>
      <c r="J5" s="52">
        <f>_xll.qlIndexFixing(ON_3M_index,_xll.qlInterestRateIndexFixingDate(ON_6M_index,G5),,AllTriggers)</f>
        <v>-1.5163475713998792E-3</v>
      </c>
      <c r="K5" s="193">
        <f t="shared" si="0"/>
        <v>1.0563475713998793E-3</v>
      </c>
      <c r="L5" s="52">
        <f>_xll.qlTenorBasisValue($P$3,G5,Trigger)</f>
        <v>1.0555129542814223E-3</v>
      </c>
      <c r="M5" s="91">
        <f t="shared" ref="M5:M28" si="3">(K5-L5)*10000</f>
        <v>8.3461711845693454E-3</v>
      </c>
      <c r="N5" s="21"/>
      <c r="O5" s="119" t="s">
        <v>94</v>
      </c>
      <c r="P5" s="120"/>
      <c r="Q5" s="20"/>
      <c r="R5" s="212">
        <f>_xll.qlCalendarAdvance(Calendar,R4,"1D","f")</f>
        <v>42283</v>
      </c>
      <c r="S5" s="47">
        <f>_xll.qlTenorBasisValue($P$3,R5,AllTriggers)</f>
        <v>1.0116464813246194E-3</v>
      </c>
      <c r="T5" s="41">
        <f>_xll.qlDayCounterYearFraction("actual/365 (fixed)",SettlementDate,R5,,,Trigger)</f>
        <v>1.0958904109589041E-2</v>
      </c>
      <c r="U5" s="47">
        <f>_xll.qlPolynomialFunctionValue($P$18,T5,AllTriggers)</f>
        <v>9.2654356254415736E-4</v>
      </c>
    </row>
    <row r="6" spans="1:27" ht="11.25" customHeight="1" x14ac:dyDescent="0.2">
      <c r="A6" s="94">
        <v>2</v>
      </c>
      <c r="B6" s="21" t="s">
        <v>20</v>
      </c>
      <c r="C6" s="101">
        <f t="shared" si="1"/>
        <v>5</v>
      </c>
      <c r="D6" s="99" t="str">
        <f t="shared" si="2"/>
        <v>EUR2x5F_Quote</v>
      </c>
      <c r="E6" s="99" t="str">
        <f>_xll.qlSimpleQuote(UPPER("B"&amp;$H$1&amp;"_"&amp;A6&amp;B6&amp;C6),,,Permanent,Trigger,ObjectOverwrite)</f>
        <v>B3M_2X5#0007</v>
      </c>
      <c r="F6" s="200" t="e">
        <f>_xll.qlSimpleQuoteSetValue(E6,K6,AllTriggers)</f>
        <v>#N/A</v>
      </c>
      <c r="G6" s="212">
        <f>_xll.qlCalendarAdvance("target",SettlementDate,A6&amp;"M","mf",,Trigger)</f>
        <v>42340</v>
      </c>
      <c r="H6" s="212">
        <f>_xll.qlInterestRateIndexMaturity(ON_6M_index,G6)</f>
        <v>42523</v>
      </c>
      <c r="I6" s="47">
        <f>_xll.qlQuoteValue(D6,AllTriggers)</f>
        <v>-4.8999999999999998E-4</v>
      </c>
      <c r="J6" s="47">
        <f>_xll.qlIndexFixing(ON_3M_index,_xll.qlInterestRateIndexFixingDate(ON_6M_index,G6),,AllTriggers)</f>
        <v>-1.5710374520171812E-3</v>
      </c>
      <c r="K6" s="128">
        <f t="shared" si="0"/>
        <v>1.0810374520171813E-3</v>
      </c>
      <c r="L6" s="47">
        <f>_xll.qlTenorBasisValue($P$3,G6,Trigger)</f>
        <v>1.0997851110479534E-3</v>
      </c>
      <c r="M6" s="64">
        <f t="shared" si="3"/>
        <v>-0.18747659030772176</v>
      </c>
      <c r="N6" s="21"/>
      <c r="O6" s="192" t="s">
        <v>77</v>
      </c>
      <c r="P6" s="66">
        <f t="array" ref="P6:P10">_xll.qlTenorBasisCoefficients(P3)</f>
        <v>1.0048099786239312E-3</v>
      </c>
      <c r="Q6" s="20"/>
      <c r="R6" s="212">
        <f>_xll.qlCalendarAdvance(Calendar,R5,"1D","f")</f>
        <v>42284</v>
      </c>
      <c r="S6" s="47">
        <f>_xll.qlTenorBasisValue($P$3,R6,AllTriggers)</f>
        <v>1.0133417511923532E-3</v>
      </c>
      <c r="T6" s="41">
        <f>_xll.qlDayCounterYearFraction("actual/365 (fixed)",SettlementDate,R6,,,Trigger)</f>
        <v>1.3698630136986301E-2</v>
      </c>
      <c r="U6" s="47">
        <f>_xll.qlPolynomialFunctionValue($P$18,T6,AllTriggers)</f>
        <v>9.2851041233586317E-4</v>
      </c>
    </row>
    <row r="7" spans="1:27" ht="11.25" customHeight="1" x14ac:dyDescent="0.2">
      <c r="A7" s="94">
        <f>A6+1</f>
        <v>3</v>
      </c>
      <c r="B7" s="21" t="s">
        <v>20</v>
      </c>
      <c r="C7" s="101">
        <f t="shared" si="1"/>
        <v>6</v>
      </c>
      <c r="D7" s="99" t="str">
        <f t="shared" si="2"/>
        <v>EUR3x6F_Quote</v>
      </c>
      <c r="E7" s="99" t="str">
        <f>_xll.qlSimpleQuote(UPPER("B"&amp;$H$1&amp;"_"&amp;A7&amp;B7&amp;C7),,,Permanent,Trigger,ObjectOverwrite)</f>
        <v>B3M_3X6#0007</v>
      </c>
      <c r="F7" s="200" t="e">
        <f>_xll.qlSimpleQuoteSetValue(E7,K7,AllTriggers)</f>
        <v>#N/A</v>
      </c>
      <c r="G7" s="212">
        <f>_xll.qlCalendarAdvance("target",SettlementDate,A7&amp;"M","mf",,Trigger)</f>
        <v>42373</v>
      </c>
      <c r="H7" s="212">
        <f>_xll.qlInterestRateIndexMaturity(ON_6M_index,G7)</f>
        <v>42555</v>
      </c>
      <c r="I7" s="47">
        <f>_xll.qlQuoteValue(D7,AllTriggers)</f>
        <v>-5.2999999999999998E-4</v>
      </c>
      <c r="J7" s="47">
        <f>_xll.qlIndexFixing(ON_3M_index,_xll.qlInterestRateIndexFixingDate(ON_6M_index,G7),,AllTriggers)</f>
        <v>-1.6841354952182096E-3</v>
      </c>
      <c r="K7" s="128">
        <f t="shared" si="0"/>
        <v>1.1541354952182095E-3</v>
      </c>
      <c r="L7" s="47">
        <f>_xll.qlTenorBasisValue($P$3,G7,Trigger)</f>
        <v>1.1433918695901739E-3</v>
      </c>
      <c r="M7" s="64">
        <f t="shared" si="3"/>
        <v>0.10743625628035613</v>
      </c>
      <c r="N7" s="21"/>
      <c r="O7" s="192" t="s">
        <v>78</v>
      </c>
      <c r="P7" s="66">
        <v>6.2789003142326772E-4</v>
      </c>
      <c r="Q7" s="20"/>
      <c r="R7" s="212">
        <f>_xll.qlCalendarAdvance(Calendar,R6,"1D","f")</f>
        <v>42285</v>
      </c>
      <c r="S7" s="47">
        <f>_xll.qlTenorBasisValue($P$3,R7,AllTriggers)</f>
        <v>1.0150315005412983E-3</v>
      </c>
      <c r="T7" s="41">
        <f>_xll.qlDayCounterYearFraction("actual/365 (fixed)",SettlementDate,R7,,,Trigger)</f>
        <v>1.643835616438356E-2</v>
      </c>
      <c r="U7" s="47">
        <f>_xll.qlPolynomialFunctionValue($P$18,T7,AllTriggers)</f>
        <v>9.3047122209375191E-4</v>
      </c>
    </row>
    <row r="8" spans="1:27" ht="11.25" customHeight="1" x14ac:dyDescent="0.2">
      <c r="A8" s="94">
        <f t="shared" ref="A8:A16" si="4">A7+1</f>
        <v>4</v>
      </c>
      <c r="B8" s="21" t="s">
        <v>20</v>
      </c>
      <c r="C8" s="101">
        <f t="shared" si="1"/>
        <v>7</v>
      </c>
      <c r="D8" s="99" t="str">
        <f t="shared" si="2"/>
        <v>EUR4x7F_Quote</v>
      </c>
      <c r="E8" s="99" t="str">
        <f>_xll.qlSimpleQuote(UPPER("B"&amp;$H$1&amp;"_"&amp;A8&amp;B8&amp;C8),,,Permanent,Trigger,ObjectOverwrite)</f>
        <v>B3M_4X7#0007</v>
      </c>
      <c r="F8" s="200" t="e">
        <f>_xll.qlSimpleQuoteSetValue(E8,K8,AllTriggers)</f>
        <v>#N/A</v>
      </c>
      <c r="G8" s="212">
        <f>_xll.qlCalendarAdvance("target",SettlementDate,A8&amp;"M","mf",,Trigger)</f>
        <v>42402</v>
      </c>
      <c r="H8" s="212">
        <f>_xll.qlInterestRateIndexMaturity(ON_6M_index,G8)</f>
        <v>42584</v>
      </c>
      <c r="I8" s="47">
        <f>_xll.qlQuoteValue(D8,AllTriggers)</f>
        <v>-5.5000000000000003E-4</v>
      </c>
      <c r="J8" s="47">
        <f>_xll.qlIndexFixing(ON_3M_index,_xll.qlInterestRateIndexFixingDate(ON_6M_index,G8),,AllTriggers)</f>
        <v>-1.7249171019897425E-3</v>
      </c>
      <c r="K8" s="128">
        <f t="shared" si="0"/>
        <v>1.1749171019897423E-3</v>
      </c>
      <c r="L8" s="47">
        <f>_xll.qlTenorBasisValue($P$3,G8,Trigger)</f>
        <v>1.1776092334487846E-3</v>
      </c>
      <c r="M8" s="64">
        <f t="shared" si="3"/>
        <v>-2.6921314590423219E-2</v>
      </c>
      <c r="N8" s="21"/>
      <c r="O8" s="192" t="s">
        <v>79</v>
      </c>
      <c r="P8" s="66">
        <v>-3.7136663625851667E-4</v>
      </c>
      <c r="Q8" s="20"/>
      <c r="R8" s="212">
        <f>_xll.qlCalendarAdvance(Calendar,R7,"1D","f")</f>
        <v>42286</v>
      </c>
      <c r="S8" s="47">
        <f>_xll.qlTenorBasisValue($P$3,R8,AllTriggers)</f>
        <v>1.0167157402735478E-3</v>
      </c>
      <c r="T8" s="41">
        <f>_xll.qlDayCounterYearFraction("actual/365 (fixed)",SettlementDate,R8,,,Trigger)</f>
        <v>1.9178082191780823E-2</v>
      </c>
      <c r="U8" s="47">
        <f>_xll.qlPolynomialFunctionValue($P$18,T8,AllTriggers)</f>
        <v>9.3242600271991672E-4</v>
      </c>
    </row>
    <row r="9" spans="1:27" ht="11.25" customHeight="1" x14ac:dyDescent="0.2">
      <c r="A9" s="94">
        <f t="shared" si="4"/>
        <v>5</v>
      </c>
      <c r="B9" s="21" t="s">
        <v>20</v>
      </c>
      <c r="C9" s="101">
        <f t="shared" si="1"/>
        <v>8</v>
      </c>
      <c r="D9" s="99" t="str">
        <f t="shared" si="2"/>
        <v>EUR5x8F_Quote</v>
      </c>
      <c r="E9" s="99" t="str">
        <f>_xll.qlSimpleQuote(UPPER("B"&amp;$H$1&amp;"_"&amp;A9&amp;B9&amp;C9),,,Permanent,Trigger,ObjectOverwrite)</f>
        <v>B3M_5X8#0007</v>
      </c>
      <c r="F9" s="200" t="e">
        <f>_xll.qlSimpleQuoteSetValue(E9,K9,AllTriggers)</f>
        <v>#N/A</v>
      </c>
      <c r="G9" s="212">
        <f>_xll.qlCalendarAdvance("target",SettlementDate,A9&amp;"M","mf",,Trigger)</f>
        <v>42431</v>
      </c>
      <c r="H9" s="212">
        <f>_xll.qlInterestRateIndexMaturity(ON_6M_index,G9)</f>
        <v>42615</v>
      </c>
      <c r="I9" s="47">
        <f>_xll.qlQuoteValue(D9,AllTriggers)</f>
        <v>-5.6999999999999998E-4</v>
      </c>
      <c r="J9" s="47">
        <f>_xll.qlIndexFixing(ON_3M_index,_xll.qlInterestRateIndexFixingDate(ON_6M_index,G9),,AllTriggers)</f>
        <v>-1.7796168682845345E-3</v>
      </c>
      <c r="K9" s="128">
        <f t="shared" si="0"/>
        <v>1.2096168682845345E-3</v>
      </c>
      <c r="L9" s="47">
        <f>_xll.qlTenorBasisValue($P$3,G9,Trigger)</f>
        <v>1.2082657429389144E-3</v>
      </c>
      <c r="M9" s="64">
        <f t="shared" si="3"/>
        <v>1.3511253456200811E-2</v>
      </c>
      <c r="N9" s="21"/>
      <c r="O9" s="192" t="s">
        <v>80</v>
      </c>
      <c r="P9" s="66">
        <v>8.8356242109586657E-5</v>
      </c>
      <c r="Q9" s="20"/>
      <c r="R9" s="212">
        <f>_xll.qlCalendarAdvance(Calendar,R8,"1D","f")</f>
        <v>42289</v>
      </c>
      <c r="S9" s="47">
        <f>_xll.qlTenorBasisValue($P$3,R9,AllTriggers)</f>
        <v>1.0217355107910565E-3</v>
      </c>
      <c r="T9" s="41">
        <f>_xll.qlDayCounterYearFraction("actual/365 (fixed)",SettlementDate,R9,,,Trigger)</f>
        <v>2.7397260273972601E-2</v>
      </c>
      <c r="U9" s="47">
        <f>_xll.qlPolynomialFunctionValue($P$18,T9,AllTriggers)</f>
        <v>9.3825427882900136E-4</v>
      </c>
    </row>
    <row r="10" spans="1:27" ht="11.25" customHeight="1" x14ac:dyDescent="0.2">
      <c r="A10" s="94">
        <f t="shared" si="4"/>
        <v>6</v>
      </c>
      <c r="B10" s="21" t="s">
        <v>20</v>
      </c>
      <c r="C10" s="101">
        <f t="shared" ref="C10:C16" si="5">A10+SUBSTITUTE($H$1,"M","")</f>
        <v>9</v>
      </c>
      <c r="D10" s="99" t="str">
        <f t="shared" ref="D10:D16" si="6">Currency&amp;A10&amp;B10&amp;C10&amp;"F"&amp;QuoteSuffix</f>
        <v>EUR6x9F_Quote</v>
      </c>
      <c r="E10" s="99" t="str">
        <f>_xll.qlSimpleQuote(UPPER("B"&amp;$H$1&amp;"_"&amp;A10&amp;B10&amp;C10),,,Permanent,Trigger,ObjectOverwrite)</f>
        <v>B3M_6X9#0007</v>
      </c>
      <c r="F10" s="200" t="e">
        <f>_xll.qlSimpleQuoteSetValue(E10,K10,AllTriggers)</f>
        <v>#N/A</v>
      </c>
      <c r="G10" s="212">
        <f>_xll.qlCalendarAdvance("target",SettlementDate,A10&amp;"M","mf",,Trigger)</f>
        <v>42464</v>
      </c>
      <c r="H10" s="212">
        <f>_xll.qlInterestRateIndexMaturity(ON_6M_index,G10)</f>
        <v>42647</v>
      </c>
      <c r="I10" s="47">
        <f>_xll.qlQuoteValue(D10,AllTriggers)</f>
        <v>-5.9999999999999995E-4</v>
      </c>
      <c r="J10" s="47">
        <f>_xll.qlIndexFixing(ON_3M_index,_xll.qlInterestRateIndexFixingDate(ON_6M_index,G10),,AllTriggers)</f>
        <v>-1.8433021946927422E-3</v>
      </c>
      <c r="K10" s="128">
        <f t="shared" ref="K10:K16" si="7">I10-J10</f>
        <v>1.2433021946927423E-3</v>
      </c>
      <c r="L10" s="47">
        <f>_xll.qlTenorBasisValue($P$3,G10,Trigger)</f>
        <v>1.2391575839204338E-3</v>
      </c>
      <c r="M10" s="64">
        <f t="shared" ref="M10:M16" si="8">(K10-L10)*10000</f>
        <v>4.1446107723085768E-2</v>
      </c>
      <c r="N10" s="21"/>
      <c r="O10" s="192" t="s">
        <v>81</v>
      </c>
      <c r="P10" s="66" t="e">
        <v>#N/A</v>
      </c>
      <c r="Q10" s="20"/>
      <c r="R10" s="212">
        <f>_xll.qlCalendarAdvance(Calendar,R9,"1D","f")</f>
        <v>42290</v>
      </c>
      <c r="S10" s="47">
        <f>_xll.qlTenorBasisValue($P$3,R10,AllTriggers)</f>
        <v>1.0233978210774572E-3</v>
      </c>
      <c r="T10" s="41">
        <f>_xll.qlDayCounterYearFraction("actual/365 (fixed)",SettlementDate,R10,,,Trigger)</f>
        <v>3.0136986301369864E-2</v>
      </c>
      <c r="U10" s="47">
        <f>_xll.qlPolynomialFunctionValue($P$18,T10,AllTriggers)</f>
        <v>9.4018505194920369E-4</v>
      </c>
    </row>
    <row r="11" spans="1:27" ht="11.25" customHeight="1" x14ac:dyDescent="0.2">
      <c r="A11" s="94">
        <f t="shared" si="4"/>
        <v>7</v>
      </c>
      <c r="B11" s="21" t="s">
        <v>20</v>
      </c>
      <c r="C11" s="101">
        <f t="shared" si="5"/>
        <v>10</v>
      </c>
      <c r="D11" s="99" t="str">
        <f t="shared" si="6"/>
        <v>EUR7x10F_Quote</v>
      </c>
      <c r="E11" s="99" t="str">
        <f>_xll.qlSimpleQuote(UPPER("B"&amp;$H$1&amp;"_"&amp;A11&amp;B11&amp;C11),,,Permanent,Trigger,ObjectOverwrite)</f>
        <v>B3M_7X10#0007</v>
      </c>
      <c r="F11" s="200" t="e">
        <f>_xll.qlSimpleQuoteSetValue(E11,K11,AllTriggers)</f>
        <v>#N/A</v>
      </c>
      <c r="G11" s="212">
        <f>_xll.qlCalendarAdvance("target",SettlementDate,A11&amp;"M","mf",,Trigger)</f>
        <v>42492</v>
      </c>
      <c r="H11" s="212">
        <f>_xll.qlInterestRateIndexMaturity(ON_6M_index,G11)</f>
        <v>42676</v>
      </c>
      <c r="I11" s="47">
        <f>_xll.qlQuoteValue(D11,AllTriggers)</f>
        <v>-6.2E-4</v>
      </c>
      <c r="J11" s="47">
        <f>_xll.qlIndexFixing(ON_3M_index,_xll.qlInterestRateIndexFixingDate(ON_6M_index,G11),,AllTriggers)</f>
        <v>-1.8911061142376387E-3</v>
      </c>
      <c r="K11" s="128">
        <f t="shared" si="7"/>
        <v>1.2711061142376386E-3</v>
      </c>
      <c r="L11" s="47">
        <f>_xll.qlTenorBasisValue($P$3,G11,Trigger)</f>
        <v>1.2623146723556001E-3</v>
      </c>
      <c r="M11" s="64">
        <f t="shared" si="8"/>
        <v>8.7914418820385198E-2</v>
      </c>
      <c r="N11" s="21"/>
      <c r="Q11" s="20"/>
      <c r="R11" s="212">
        <f>_xll.qlCalendarAdvance(Calendar,R10,"1D","f")</f>
        <v>42291</v>
      </c>
      <c r="S11" s="47">
        <f>_xll.qlTenorBasisValue($P$3,R11,AllTriggers)</f>
        <v>1.0250546762576283E-3</v>
      </c>
      <c r="T11" s="41">
        <f>_xll.qlDayCounterYearFraction("actual/365 (fixed)",SettlementDate,R11,,,Trigger)</f>
        <v>3.287671232876712E-2</v>
      </c>
      <c r="U11" s="47">
        <f>_xll.qlPolynomialFunctionValue($P$18,T11,AllTriggers)</f>
        <v>9.4210985044814865E-4</v>
      </c>
    </row>
    <row r="12" spans="1:27" ht="11.25" customHeight="1" x14ac:dyDescent="0.2">
      <c r="A12" s="94">
        <f t="shared" si="4"/>
        <v>8</v>
      </c>
      <c r="B12" s="21" t="s">
        <v>20</v>
      </c>
      <c r="C12" s="101">
        <f t="shared" si="5"/>
        <v>11</v>
      </c>
      <c r="D12" s="99" t="str">
        <f t="shared" si="6"/>
        <v>EUR8x11F_Quote</v>
      </c>
      <c r="E12" s="99" t="str">
        <f>_xll.qlSimpleQuote(UPPER("B"&amp;$H$1&amp;"_"&amp;A12&amp;B12&amp;C12),,,Permanent,Trigger,ObjectOverwrite)</f>
        <v>B3M_8X11#0007</v>
      </c>
      <c r="F12" s="200" t="e">
        <f>_xll.qlSimpleQuoteSetValue(E12,K12,AllTriggers)</f>
        <v>#N/A</v>
      </c>
      <c r="G12" s="212">
        <f>_xll.qlCalendarAdvance("target",SettlementDate,A12&amp;"M","mf",,Trigger)</f>
        <v>42523</v>
      </c>
      <c r="H12" s="212">
        <f>_xll.qlInterestRateIndexMaturity(ON_6M_index,G12)</f>
        <v>42706</v>
      </c>
      <c r="I12" s="47">
        <f>_xll.qlQuoteValue(D12,AllTriggers)</f>
        <v>-6.4999999999999997E-4</v>
      </c>
      <c r="J12" s="47">
        <f>_xll.qlIndexFixing(ON_3M_index,_xll.qlInterestRateIndexFixingDate(ON_6M_index,G12),,AllTriggers)</f>
        <v>-1.9308031098183456E-3</v>
      </c>
      <c r="K12" s="128">
        <f t="shared" si="7"/>
        <v>1.2808031098183457E-3</v>
      </c>
      <c r="L12" s="47">
        <f>_xll.qlTenorBasisValue($P$3,G12,Trigger)</f>
        <v>1.2849880855160395E-3</v>
      </c>
      <c r="M12" s="64">
        <f t="shared" si="8"/>
        <v>-4.1849756976938213E-2</v>
      </c>
      <c r="N12" s="21"/>
      <c r="O12" s="119" t="s">
        <v>95</v>
      </c>
      <c r="P12" s="120"/>
      <c r="Q12" s="20"/>
      <c r="R12" s="212">
        <f>_xll.qlCalendarAdvance(Calendar,R11,"1D","f")</f>
        <v>42292</v>
      </c>
      <c r="S12" s="47">
        <f>_xll.qlTenorBasisValue($P$3,R12,AllTriggers)</f>
        <v>1.0267060872336639E-3</v>
      </c>
      <c r="T12" s="41">
        <f>_xll.qlDayCounterYearFraction("actual/365 (fixed)",SettlementDate,R12,,,Trigger)</f>
        <v>3.5616438356164383E-2</v>
      </c>
      <c r="U12" s="47">
        <f>_xll.qlPolynomialFunctionValue($P$18,T12,AllTriggers)</f>
        <v>9.4402868522792938E-4</v>
      </c>
    </row>
    <row r="13" spans="1:27" ht="11.25" customHeight="1" x14ac:dyDescent="0.2">
      <c r="A13" s="94">
        <f t="shared" si="4"/>
        <v>9</v>
      </c>
      <c r="B13" s="21" t="s">
        <v>20</v>
      </c>
      <c r="C13" s="101">
        <f t="shared" si="5"/>
        <v>12</v>
      </c>
      <c r="D13" s="99" t="str">
        <f t="shared" si="6"/>
        <v>EUR9x12F_Quote</v>
      </c>
      <c r="E13" s="99" t="str">
        <f>_xll.qlSimpleQuote(UPPER("B"&amp;$H$1&amp;"_"&amp;A13&amp;B13&amp;C13),,,Permanent,Trigger,ObjectOverwrite)</f>
        <v>B3M_9X12#0007</v>
      </c>
      <c r="F13" s="200" t="e">
        <f>_xll.qlSimpleQuoteSetValue(E13,K13,AllTriggers)</f>
        <v>#N/A</v>
      </c>
      <c r="G13" s="212">
        <f>_xll.qlCalendarAdvance("target",SettlementDate,A13&amp;"M","mf",,Trigger)</f>
        <v>42555</v>
      </c>
      <c r="H13" s="212">
        <f>_xll.qlInterestRateIndexMaturity(ON_6M_index,G13)</f>
        <v>42739</v>
      </c>
      <c r="I13" s="47">
        <f>_xll.qlQuoteValue(D13,AllTriggers)</f>
        <v>-6.4999999999999997E-4</v>
      </c>
      <c r="J13" s="47">
        <f>_xll.qlIndexFixing(ON_3M_index,_xll.qlInterestRateIndexFixingDate(ON_6M_index,G13),,AllTriggers)</f>
        <v>-1.9607248886960066E-3</v>
      </c>
      <c r="K13" s="128">
        <f t="shared" si="7"/>
        <v>1.3107248886960066E-3</v>
      </c>
      <c r="L13" s="47">
        <f>_xll.qlTenorBasisValue($P$3,G13,Trigger)</f>
        <v>1.3054583243614099E-3</v>
      </c>
      <c r="M13" s="64">
        <f t="shared" si="8"/>
        <v>5.2665643345967128E-2</v>
      </c>
      <c r="N13" s="21"/>
      <c r="O13" s="192" t="s">
        <v>77</v>
      </c>
      <c r="P13" s="66">
        <f t="array" ref="P13:P17">_xll.qlTenorInstCoefficients(P3)</f>
        <v>9.1861554499729752E-4</v>
      </c>
      <c r="Q13" s="20"/>
      <c r="R13" s="212">
        <f>_xll.qlCalendarAdvance(Calendar,R12,"1D","f")</f>
        <v>42293</v>
      </c>
      <c r="S13" s="47">
        <f>_xll.qlTenorBasisValue($P$3,R13,AllTriggers)</f>
        <v>1.0283520649076571E-3</v>
      </c>
      <c r="T13" s="41">
        <f>_xll.qlDayCounterYearFraction("actual/365 (fixed)",SettlementDate,R13,,,Trigger)</f>
        <v>3.8356164383561646E-2</v>
      </c>
      <c r="U13" s="47">
        <f>_xll.qlPolynomialFunctionValue($P$18,T13,AllTriggers)</f>
        <v>9.4594156719063924E-4</v>
      </c>
    </row>
    <row r="14" spans="1:27" ht="11.25" customHeight="1" thickBot="1" x14ac:dyDescent="0.25">
      <c r="A14" s="94">
        <f t="shared" si="4"/>
        <v>10</v>
      </c>
      <c r="B14" s="21" t="s">
        <v>20</v>
      </c>
      <c r="C14" s="101">
        <f t="shared" si="5"/>
        <v>13</v>
      </c>
      <c r="D14" s="99" t="str">
        <f t="shared" si="6"/>
        <v>EUR10x13F_Quote</v>
      </c>
      <c r="E14" s="99" t="str">
        <f>_xll.qlSimpleQuote(UPPER("B"&amp;$H$1&amp;"_"&amp;A14&amp;B14&amp;C14),,,Permanent,Trigger,ObjectOverwrite)</f>
        <v>B3M_10X13#0007</v>
      </c>
      <c r="F14" s="200" t="e">
        <f>_xll.qlSimpleQuoteSetValue(E14,K14,AllTriggers)</f>
        <v>#N/A</v>
      </c>
      <c r="G14" s="212">
        <f>_xll.qlCalendarAdvance("target",SettlementDate,A14&amp;"M","mf",,Trigger)</f>
        <v>42584</v>
      </c>
      <c r="H14" s="212">
        <f>_xll.qlInterestRateIndexMaturity(ON_6M_index,G14)</f>
        <v>42768</v>
      </c>
      <c r="I14" s="47">
        <f>_xll.qlQuoteValue(D14,AllTriggers)</f>
        <v>-6.4999999999999997E-4</v>
      </c>
      <c r="J14" s="47">
        <f>_xll.qlIndexFixing(ON_3M_index,_xll.qlInterestRateIndexFixingDate(ON_6M_index,G14),,AllTriggers)</f>
        <v>-1.9752111840948996E-3</v>
      </c>
      <c r="K14" s="128">
        <f t="shared" si="7"/>
        <v>1.3252111840948997E-3</v>
      </c>
      <c r="L14" s="47">
        <f>_xll.qlTenorBasisValue($P$3,G14,Trigger)</f>
        <v>1.3217301628528893E-3</v>
      </c>
      <c r="M14" s="64">
        <f t="shared" si="8"/>
        <v>3.4810212420103778E-2</v>
      </c>
      <c r="N14" s="21"/>
      <c r="O14" s="192" t="s">
        <v>78</v>
      </c>
      <c r="P14" s="66">
        <v>7.2787000710712851E-4</v>
      </c>
      <c r="Q14" s="20"/>
      <c r="R14" s="212">
        <f>_xll.qlCalendarAdvance(Calendar,R13,"1D","f")</f>
        <v>42296</v>
      </c>
      <c r="S14" s="47">
        <f>_xll.qlTenorBasisValue($P$3,R14,AllTriggers)</f>
        <v>1.0332575071383139E-3</v>
      </c>
      <c r="T14" s="41">
        <f>_xll.qlDayCounterYearFraction("actual/365 (fixed)",SettlementDate,R14,,,Trigger)</f>
        <v>4.6575342465753428E-2</v>
      </c>
      <c r="U14" s="47">
        <f>_xll.qlPolynomialFunctionValue($P$18,T14,AllTriggers)</f>
        <v>9.516446051972766E-4</v>
      </c>
      <c r="W14" s="36"/>
      <c r="X14" s="36" t="s">
        <v>49</v>
      </c>
      <c r="Y14" s="36" t="s">
        <v>38</v>
      </c>
      <c r="Z14" s="36" t="s">
        <v>39</v>
      </c>
      <c r="AA14" s="204" t="s">
        <v>93</v>
      </c>
    </row>
    <row r="15" spans="1:27" ht="11.25" customHeight="1" x14ac:dyDescent="0.2">
      <c r="A15" s="94">
        <f t="shared" si="4"/>
        <v>11</v>
      </c>
      <c r="B15" s="21" t="s">
        <v>20</v>
      </c>
      <c r="C15" s="101">
        <f t="shared" si="5"/>
        <v>14</v>
      </c>
      <c r="D15" s="99" t="str">
        <f t="shared" si="6"/>
        <v>EUR11x14F_Quote</v>
      </c>
      <c r="E15" s="99" t="str">
        <f>_xll.qlSimpleQuote(UPPER("B"&amp;$H$1&amp;"_"&amp;A15&amp;B15&amp;C15),,,Permanent,Trigger,ObjectOverwrite)</f>
        <v>B3M_11X14#0007</v>
      </c>
      <c r="F15" s="200" t="e">
        <f>_xll.qlSimpleQuoteSetValue(E15,K15,AllTriggers)</f>
        <v>#N/A</v>
      </c>
      <c r="G15" s="212">
        <f>_xll.qlCalendarAdvance("target",SettlementDate,A15&amp;"M","mf",,Trigger)</f>
        <v>42615</v>
      </c>
      <c r="H15" s="212">
        <f>_xll.qlInterestRateIndexMaturity(ON_6M_index,G15)</f>
        <v>42796</v>
      </c>
      <c r="I15" s="47">
        <f>_xll.qlQuoteValue(D15,AllTriggers)</f>
        <v>-6.4000000000000005E-4</v>
      </c>
      <c r="J15" s="47">
        <f>_xll.qlIndexFixing(ON_3M_index,_xll.qlInterestRateIndexFixingDate(ON_6M_index,G15),,AllTriggers)</f>
        <v>-1.975420859333409E-3</v>
      </c>
      <c r="K15" s="128">
        <f t="shared" si="7"/>
        <v>1.335420859333409E-3</v>
      </c>
      <c r="L15" s="47">
        <f>_xll.qlTenorBasisValue($P$3,G15,Trigger)</f>
        <v>1.3370385579516409E-3</v>
      </c>
      <c r="M15" s="64">
        <f t="shared" si="8"/>
        <v>-1.6176986182318224E-2</v>
      </c>
      <c r="N15" s="21"/>
      <c r="O15" s="192" t="s">
        <v>79</v>
      </c>
      <c r="P15" s="66">
        <v>-4.0597283108477147E-4</v>
      </c>
      <c r="Q15" s="20"/>
      <c r="R15" s="212">
        <f>_xll.qlCalendarAdvance(Calendar,R14,"1D","f")</f>
        <v>42297</v>
      </c>
      <c r="S15" s="47">
        <f>_xll.qlTenorBasisValue($P$3,R15,AllTriggers)</f>
        <v>1.0348818606250698E-3</v>
      </c>
      <c r="T15" s="41">
        <f>_xll.qlDayCounterYearFraction("actual/365 (fixed)",SettlementDate,R15,,,Trigger)</f>
        <v>4.9315068493150684E-2</v>
      </c>
      <c r="U15" s="47">
        <f>_xll.qlPolynomialFunctionValue($P$18,T15,AllTriggers)</f>
        <v>9.5353378491263587E-4</v>
      </c>
      <c r="W15" s="45">
        <v>0</v>
      </c>
      <c r="X15" s="45" t="s">
        <v>25</v>
      </c>
      <c r="Y15" s="175">
        <f>_xll.qlCalendarAdvance(Calendar,SettlementDate,W15&amp;"M","mf",TRUE,Trigger)</f>
        <v>42279</v>
      </c>
      <c r="Z15" s="176">
        <f>_xll.qlCalendarAdvance(Calendar,SettlementDate,X15,"Following",,Trigger)</f>
        <v>42282</v>
      </c>
      <c r="AA15" s="205">
        <f>_xll.qlTenorBasisForwardRate2(TenorBasis6M,Y15,Z15,AllTriggers)</f>
        <v>-4.5109144639621235E-4</v>
      </c>
    </row>
    <row r="16" spans="1:27" ht="11.25" customHeight="1" x14ac:dyDescent="0.2">
      <c r="A16" s="94">
        <f t="shared" si="4"/>
        <v>12</v>
      </c>
      <c r="B16" s="21" t="s">
        <v>20</v>
      </c>
      <c r="C16" s="101">
        <f t="shared" si="5"/>
        <v>15</v>
      </c>
      <c r="D16" s="99" t="str">
        <f t="shared" si="6"/>
        <v>EUR12x15F_Quote</v>
      </c>
      <c r="E16" s="99" t="str">
        <f>_xll.qlSimpleQuote(UPPER("B"&amp;$H$1&amp;"_"&amp;A16&amp;B16&amp;C16),,,Permanent,Trigger,ObjectOverwrite)</f>
        <v>B3M_12X15#0007</v>
      </c>
      <c r="F16" s="200" t="e">
        <f>_xll.qlSimpleQuoteSetValue(E16,K16,AllTriggers)</f>
        <v>#N/A</v>
      </c>
      <c r="G16" s="212">
        <f>_xll.qlCalendarAdvance("target",SettlementDate,A16&amp;"M","mf",,Trigger)</f>
        <v>42646</v>
      </c>
      <c r="H16" s="212">
        <f>_xll.qlInterestRateIndexMaturity(ON_6M_index,G16)</f>
        <v>42828</v>
      </c>
      <c r="I16" s="47">
        <f>_xll.qlQuoteValue(D16,AllTriggers)</f>
        <v>-5.8999999999999992E-4</v>
      </c>
      <c r="J16" s="47">
        <f>_xll.qlIndexFixing(ON_3M_index,_xll.qlInterestRateIndexFixingDate(ON_6M_index,G16),,AllTriggers)</f>
        <v>-1.9424418537235075E-3</v>
      </c>
      <c r="K16" s="128">
        <f t="shared" si="7"/>
        <v>1.3524418537235075E-3</v>
      </c>
      <c r="L16" s="47">
        <f>_xll.qlTenorBasisValue($P$3,G16,Trigger)</f>
        <v>1.3505095922477302E-3</v>
      </c>
      <c r="M16" s="64">
        <f t="shared" si="8"/>
        <v>1.9322614757772902E-2</v>
      </c>
      <c r="N16" s="21"/>
      <c r="O16" s="192" t="s">
        <v>80</v>
      </c>
      <c r="P16" s="66">
        <v>8.8356242109586657E-5</v>
      </c>
      <c r="Q16" s="20"/>
      <c r="R16" s="212">
        <f>_xll.qlCalendarAdvance(Calendar,R15,"1D","f")</f>
        <v>42298</v>
      </c>
      <c r="S16" s="47">
        <f>_xll.qlTenorBasisValue($P$3,R16,AllTriggers)</f>
        <v>1.0365008353202495E-3</v>
      </c>
      <c r="T16" s="41">
        <f>_xll.qlDayCounterYearFraction("actual/365 (fixed)",SettlementDate,R16,,,Trigger)</f>
        <v>5.2054794520547946E-2</v>
      </c>
      <c r="U16" s="47">
        <f>_xll.qlPolynomialFunctionValue($P$18,T16,AllTriggers)</f>
        <v>9.5541706632139073E-4</v>
      </c>
      <c r="W16" s="48">
        <v>0</v>
      </c>
      <c r="X16" s="48" t="s">
        <v>26</v>
      </c>
      <c r="Y16" s="177">
        <f>_xll.qlCalendarAdvance(Calendar,SettlementDate,W16&amp;"M","mf",TRUE,Trigger)</f>
        <v>42279</v>
      </c>
      <c r="Z16" s="178">
        <f>_xll.qlCalendarAdvance(Calendar,SettlementDate,X16,"Following",,Trigger)</f>
        <v>42286</v>
      </c>
      <c r="AA16" s="206">
        <f>_xll.qlTenorBasisForwardRate2(TenorBasis6M,Y16,Z16,AllTriggers)</f>
        <v>-5.1715048259737273E-4</v>
      </c>
    </row>
    <row r="17" spans="1:27" ht="11.25" customHeight="1" x14ac:dyDescent="0.2">
      <c r="A17" s="257" t="b">
        <v>0</v>
      </c>
      <c r="B17" s="258"/>
      <c r="C17" s="102" t="str">
        <f>_xll.qlIMMNextCode(SettlementDate,A17)</f>
        <v>V5</v>
      </c>
      <c r="D17" s="98" t="str">
        <f t="shared" ref="D17:D28" si="9">Currency&amp;"FUT"&amp;"3M"&amp;C17&amp;QuoteSuffix</f>
        <v>EURFUT3MV5_Quote</v>
      </c>
      <c r="E17" s="98" t="str">
        <f>_xll.qlSimpleQuote(UPPER("B"&amp;$H$1&amp;"_FUT"&amp;C17),,,Permanent,Trigger,ObjectOverwrite)</f>
        <v>B3M_FUTV5#0007</v>
      </c>
      <c r="F17" s="199" t="e">
        <f>_xll.qlSimpleQuoteSetValue(E17,K17,AllTriggers)</f>
        <v>#N/A</v>
      </c>
      <c r="G17" s="211">
        <f>_xll.qlIMMdate(C17,SettlementDate,Trigger)</f>
        <v>42298</v>
      </c>
      <c r="H17" s="211">
        <f>_xll.qlInterestRateIndexMaturity(ON_6M_index,G17)</f>
        <v>42481</v>
      </c>
      <c r="I17" s="52">
        <f>1-_xll.qlQuoteValue(D17,AllTriggers)/100-_xll.qlQuoteValue(Currency&amp;"FUT"&amp;"3M"&amp;C17&amp;"ConvAdj_Quote")</f>
        <v>-4.2500000000011973E-4</v>
      </c>
      <c r="J17" s="52">
        <f>_xll.qlIndexFixing(ON_3M_index,_xll.qlInterestRateIndexFixingDate(ON_6M_index,G17),,AllTriggers)</f>
        <v>-1.4750505523502377E-3</v>
      </c>
      <c r="K17" s="193">
        <f t="shared" si="0"/>
        <v>1.050050552350118E-3</v>
      </c>
      <c r="L17" s="52">
        <f>_xll.qlTenorBasisValue($P$3,G17,Trigger)</f>
        <v>1.0365008353202495E-3</v>
      </c>
      <c r="M17" s="91">
        <f t="shared" si="3"/>
        <v>0.13549717029868491</v>
      </c>
      <c r="N17" s="21"/>
      <c r="O17" s="192" t="s">
        <v>81</v>
      </c>
      <c r="P17" s="66" t="e">
        <v>#N/A</v>
      </c>
      <c r="Q17" s="20"/>
      <c r="R17" s="212">
        <f>_xll.qlCalendarAdvance(Calendar,R16,"1D","f")</f>
        <v>42299</v>
      </c>
      <c r="S17" s="47">
        <f>_xll.qlTenorBasisValue($P$3,R17,AllTriggers)</f>
        <v>1.0381144421259462E-3</v>
      </c>
      <c r="T17" s="41">
        <f>_xll.qlDayCounterYearFraction("actual/365 (fixed)",SettlementDate,R17,,,Trigger)</f>
        <v>5.4794520547945202E-2</v>
      </c>
      <c r="U17" s="47">
        <f>_xll.qlPolynomialFunctionValue($P$18,T17,AllTriggers)</f>
        <v>9.5729446032563419E-4</v>
      </c>
      <c r="W17" s="48">
        <v>0</v>
      </c>
      <c r="X17" s="48" t="s">
        <v>27</v>
      </c>
      <c r="Y17" s="177">
        <f>_xll.qlCalendarAdvance(Calendar,SettlementDate,W17&amp;"M","mf",TRUE,Trigger)</f>
        <v>42279</v>
      </c>
      <c r="Z17" s="178">
        <f>_xll.qlCalendarAdvance(Calendar,SettlementDate,X17,"Following",,Trigger)</f>
        <v>42293</v>
      </c>
      <c r="AA17" s="206">
        <f>_xll.qlTenorBasisForwardRate2(TenorBasis6M,Y17,Z17,AllTriggers)</f>
        <v>-5.1043012987163545E-4</v>
      </c>
    </row>
    <row r="18" spans="1:27" ht="11.25" customHeight="1" x14ac:dyDescent="0.2">
      <c r="A18" s="259" t="b">
        <v>0</v>
      </c>
      <c r="B18" s="260"/>
      <c r="C18" s="101" t="str">
        <f>_xll.qlIMMNextCode(C17,A18)</f>
        <v>X5</v>
      </c>
      <c r="D18" s="99" t="str">
        <f t="shared" si="9"/>
        <v>EURFUT3MX5_Quote</v>
      </c>
      <c r="E18" s="99" t="str">
        <f>_xll.qlSimpleQuote(UPPER("B"&amp;$H$1&amp;"_FUT"&amp;C18),,,Permanent,Trigger,ObjectOverwrite)</f>
        <v>B3M_FUTX5#0007</v>
      </c>
      <c r="F18" s="200" t="e">
        <f>_xll.qlSimpleQuoteSetValue(E18,K18,AllTriggers)</f>
        <v>#N/A</v>
      </c>
      <c r="G18" s="212">
        <f>_xll.qlIMMdate(C18,SettlementDate,Trigger)</f>
        <v>42326</v>
      </c>
      <c r="H18" s="212">
        <f>_xll.qlInterestRateIndexMaturity(ON_6M_index,G18)</f>
        <v>42508</v>
      </c>
      <c r="I18" s="47">
        <f>1-_xll.qlQuoteValue(D18,AllTriggers)/100-_xll.qlQuoteValue(Currency&amp;"FUT"&amp;"3M"&amp;C18&amp;"ConvAdj_Quote")</f>
        <v>-4.750000000000032E-4</v>
      </c>
      <c r="J18" s="47">
        <f>_xll.qlIndexFixing(ON_3M_index,_xll.qlInterestRateIndexFixingDate(ON_6M_index,G18),,AllTriggers)</f>
        <v>-1.5424324030641082E-3</v>
      </c>
      <c r="K18" s="128">
        <f t="shared" si="0"/>
        <v>1.067432403064105E-3</v>
      </c>
      <c r="L18" s="47">
        <f>_xll.qlTenorBasisValue($P$3,G18,Trigger)</f>
        <v>1.079692599904091E-3</v>
      </c>
      <c r="M18" s="64">
        <f t="shared" si="3"/>
        <v>-0.12260196839985983</v>
      </c>
      <c r="N18" s="21"/>
      <c r="O18" s="192" t="s">
        <v>99</v>
      </c>
      <c r="P18" s="66" t="str">
        <f>_xll.qlPolynomialFunction(,_xll.ohPack(P13:P17),,Trigger)</f>
        <v>obj_005e2#0009</v>
      </c>
      <c r="Q18" s="20"/>
      <c r="R18" s="212">
        <f>_xll.qlCalendarAdvance(Calendar,R17,"1D","f")</f>
        <v>42300</v>
      </c>
      <c r="S18" s="47">
        <f>_xll.qlTenorBasisValue($P$3,R18,AllTriggers)</f>
        <v>1.0397226919442537E-3</v>
      </c>
      <c r="T18" s="41">
        <f>_xll.qlDayCounterYearFraction("actual/365 (fixed)",SettlementDate,R18,,,Trigger)</f>
        <v>5.7534246575342465E-2</v>
      </c>
      <c r="U18" s="47">
        <f>_xll.qlPolynomialFunctionValue($P$18,T18,AllTriggers)</f>
        <v>9.5916597782745984E-4</v>
      </c>
      <c r="W18" s="48">
        <v>0</v>
      </c>
      <c r="X18" s="48" t="s">
        <v>28</v>
      </c>
      <c r="Y18" s="177">
        <f>_xll.qlCalendarAdvance(Calendar,SettlementDate,W18&amp;"M","mf",TRUE,Trigger)</f>
        <v>42279</v>
      </c>
      <c r="Z18" s="178">
        <f>_xll.qlCalendarAdvance(Calendar,SettlementDate,X18,"Following",,Trigger)</f>
        <v>42300</v>
      </c>
      <c r="AA18" s="206">
        <f>_xll.qlTenorBasisForwardRate2(TenorBasis6M,Y18,Z18,AllTriggers)</f>
        <v>-5.0380624186211311E-4</v>
      </c>
    </row>
    <row r="19" spans="1:27" ht="11.25" customHeight="1" x14ac:dyDescent="0.2">
      <c r="A19" s="259" t="b">
        <v>1</v>
      </c>
      <c r="B19" s="260"/>
      <c r="C19" s="101" t="str">
        <f>_xll.qlIMMNextCode(C18,A19)</f>
        <v>Z5</v>
      </c>
      <c r="D19" s="99" t="str">
        <f t="shared" si="9"/>
        <v>EURFUT3MZ5_Quote</v>
      </c>
      <c r="E19" s="99" t="str">
        <f>_xll.qlSimpleQuote(UPPER("B"&amp;$H$1&amp;"_FUT"&amp;C19),,,Permanent,Trigger,ObjectOverwrite)</f>
        <v>B3M_FUTZ5#0007</v>
      </c>
      <c r="F19" s="200" t="e">
        <f>_xll.qlSimpleQuoteSetValue(E19,K19,AllTriggers)</f>
        <v>#N/A</v>
      </c>
      <c r="G19" s="212">
        <f>_xll.qlIMMdate(C19,SettlementDate,Trigger)</f>
        <v>42354</v>
      </c>
      <c r="H19" s="212">
        <f>_xll.qlInterestRateIndexMaturity(ON_6M_index,G19)</f>
        <v>42537</v>
      </c>
      <c r="I19" s="47">
        <f>1-_xll.qlQuoteValue(D19,AllTriggers)/100-_xll.qlQuoteValue(Currency&amp;"FUT"&amp;"3M"&amp;C19&amp;"ConvAdj_Quote")</f>
        <v>-5.0000000000016698E-4</v>
      </c>
      <c r="J19" s="47">
        <f>_xll.qlIndexFixing(ON_3M_index,_xll.qlInterestRateIndexFixingDate(ON_6M_index,G19),,AllTriggers)</f>
        <v>-1.6201424550335117E-3</v>
      </c>
      <c r="K19" s="128">
        <f t="shared" si="0"/>
        <v>1.1201424550333447E-3</v>
      </c>
      <c r="L19" s="47">
        <f>_xll.qlTenorBasisValue($P$3,G19,Trigger)</f>
        <v>1.1189152618850551E-3</v>
      </c>
      <c r="M19" s="64">
        <f t="shared" si="3"/>
        <v>1.2271931482895921E-2</v>
      </c>
      <c r="N19" s="21"/>
      <c r="Q19" s="20"/>
      <c r="R19" s="212">
        <f>_xll.qlCalendarAdvance(Calendar,R18,"1D","f")</f>
        <v>42303</v>
      </c>
      <c r="S19" s="47">
        <f>_xll.qlTenorBasisValue($P$3,R19,AllTriggers)</f>
        <v>1.044515408495771E-3</v>
      </c>
      <c r="T19" s="41">
        <f>_xll.qlDayCounterYearFraction("actual/365 (fixed)",SettlementDate,R19,,,Trigger)</f>
        <v>6.575342465753424E-2</v>
      </c>
      <c r="U19" s="47">
        <f>_xll.qlPolynomialFunctionValue($P$18,T19,AllTriggers)</f>
        <v>9.6474538033936204E-4</v>
      </c>
      <c r="W19" s="129">
        <v>0</v>
      </c>
      <c r="X19" s="129" t="s">
        <v>22</v>
      </c>
      <c r="Y19" s="179">
        <f>_xll.qlCalendarAdvance(Calendar,SettlementDate,W19&amp;"M","mf",TRUE,Trigger)</f>
        <v>42279</v>
      </c>
      <c r="Z19" s="180">
        <f>_xll.qlCalendarAdvance(Calendar,SettlementDate,X19,"mf",TRUE,Trigger)</f>
        <v>42310</v>
      </c>
      <c r="AA19" s="207">
        <f>_xll.qlTenorBasisForwardRate2(TenorBasis6M,Y19,Z19,AllTriggers)</f>
        <v>-4.6450662902420084E-4</v>
      </c>
    </row>
    <row r="20" spans="1:27" ht="11.25" customHeight="1" x14ac:dyDescent="0.2">
      <c r="A20" s="259" t="b">
        <v>1</v>
      </c>
      <c r="B20" s="260"/>
      <c r="C20" s="101" t="str">
        <f>_xll.qlIMMNextCode(C19,A20)</f>
        <v>H6</v>
      </c>
      <c r="D20" s="99" t="str">
        <f t="shared" si="9"/>
        <v>EURFUT3MH6_Quote</v>
      </c>
      <c r="E20" s="99" t="str">
        <f>_xll.qlSimpleQuote(UPPER("B"&amp;$H$1&amp;"_FUT"&amp;C20),,,Permanent,Trigger,ObjectOverwrite)</f>
        <v>B3M_FUTH6#0007</v>
      </c>
      <c r="F20" s="200" t="e">
        <f>_xll.qlSimpleQuoteSetValue(E20,K20,AllTriggers)</f>
        <v>#N/A</v>
      </c>
      <c r="G20" s="212">
        <f>_xll.qlIMMdate(C20,SettlementDate,Trigger)</f>
        <v>42445</v>
      </c>
      <c r="H20" s="212">
        <f>_xll.qlInterestRateIndexMaturity(ON_6M_index,G20)</f>
        <v>42629</v>
      </c>
      <c r="I20" s="47">
        <f>1-_xll.qlQuoteValue(D20,AllTriggers)/100-_xll.qlQuoteValue(Currency&amp;"FUT"&amp;"3M"&amp;C20&amp;"ConvAdj_Quote")</f>
        <v>-5.7499999999999218E-4</v>
      </c>
      <c r="J20" s="47">
        <f>_xll.qlIndexFixing(ON_3M_index,_xll.qlInterestRateIndexFixingDate(ON_6M_index,G20),,AllTriggers)</f>
        <v>-1.807619146925177E-3</v>
      </c>
      <c r="K20" s="128">
        <f t="shared" si="0"/>
        <v>1.2326191469251848E-3</v>
      </c>
      <c r="L20" s="47">
        <f>_xll.qlTenorBasisValue($P$3,G20,Trigger)</f>
        <v>1.2218697382910613E-3</v>
      </c>
      <c r="M20" s="64">
        <f t="shared" si="3"/>
        <v>0.10749408634123503</v>
      </c>
      <c r="N20" s="21"/>
      <c r="Q20" s="20"/>
      <c r="R20" s="212">
        <f>_xll.qlCalendarAdvance(Calendar,R19,"1D","f")</f>
        <v>42304</v>
      </c>
      <c r="S20" s="47">
        <f>_xll.qlTenorBasisValue($P$3,R20,AllTriggers)</f>
        <v>1.0461023393854528E-3</v>
      </c>
      <c r="T20" s="41">
        <f>_xll.qlDayCounterYearFraction("actual/365 (fixed)",SettlementDate,R20,,,Trigger)</f>
        <v>6.8493150684931503E-2</v>
      </c>
      <c r="U20" s="47">
        <f>_xll.qlPolynomialFunctionValue($P$18,T20,AllTriggers)</f>
        <v>9.6659350085244889E-4</v>
      </c>
      <c r="W20" s="48">
        <v>0</v>
      </c>
      <c r="X20" s="48" t="s">
        <v>29</v>
      </c>
      <c r="Y20" s="177">
        <f>_xll.qlCalendarAdvance(Calendar,SettlementDate,W20&amp;"M","mf",TRUE,Trigger)</f>
        <v>42279</v>
      </c>
      <c r="Z20" s="178">
        <f>_xll.qlCalendarAdvance(Calendar,SettlementDate,X20,"mf",TRUE,Trigger)</f>
        <v>42340</v>
      </c>
      <c r="AA20" s="206">
        <f>_xll.qlTenorBasisForwardRate2(TenorBasis6M,Y20,Z20,AllTriggers)</f>
        <v>-4.8776355641701798E-4</v>
      </c>
    </row>
    <row r="21" spans="1:27" ht="11.25" customHeight="1" x14ac:dyDescent="0.2">
      <c r="A21" s="259" t="b">
        <v>1</v>
      </c>
      <c r="B21" s="260"/>
      <c r="C21" s="101" t="str">
        <f>_xll.qlIMMNextCode(C20,A21)</f>
        <v>M6</v>
      </c>
      <c r="D21" s="99" t="str">
        <f t="shared" si="9"/>
        <v>EURFUT3MM6_Quote</v>
      </c>
      <c r="E21" s="99" t="str">
        <f>_xll.qlSimpleQuote(UPPER("B"&amp;$H$1&amp;"_FUT"&amp;C21),,,Permanent,Trigger,ObjectOverwrite)</f>
        <v>B3M_FUTM6#0007</v>
      </c>
      <c r="F21" s="200" t="e">
        <f>_xll.qlSimpleQuoteSetValue(E21,K21,AllTriggers)</f>
        <v>#N/A</v>
      </c>
      <c r="G21" s="212">
        <f>_xll.qlIMMdate(C21,SettlementDate,Trigger)</f>
        <v>42536</v>
      </c>
      <c r="H21" s="212">
        <f>_xll.qlInterestRateIndexMaturity(ON_6M_index,G21)</f>
        <v>42719</v>
      </c>
      <c r="I21" s="47">
        <f>1-_xll.qlQuoteValue(D21,AllTriggers)/100-_xll.qlQuoteValue(Currency&amp;"FUT"&amp;"3M"&amp;C21&amp;"ConvAdj_Quote")</f>
        <v>-6.7499999999998117E-4</v>
      </c>
      <c r="J21" s="47">
        <f>_xll.qlIndexFixing(ON_3M_index,_xll.qlInterestRateIndexFixingDate(ON_6M_index,G21),,AllTriggers)</f>
        <v>-1.9441215753092441E-3</v>
      </c>
      <c r="K21" s="128">
        <f t="shared" si="0"/>
        <v>1.2691215753092629E-3</v>
      </c>
      <c r="L21" s="47">
        <f>_xll.qlTenorBasisValue($P$3,G21,Trigger)</f>
        <v>1.2936439163533018E-3</v>
      </c>
      <c r="M21" s="64">
        <f t="shared" si="3"/>
        <v>-0.24522341044038842</v>
      </c>
      <c r="N21" s="21"/>
      <c r="Q21" s="20"/>
      <c r="R21" s="212">
        <f>_xll.qlCalendarAdvance(Calendar,R20,"1D","f")</f>
        <v>42305</v>
      </c>
      <c r="S21" s="47">
        <f>_xll.qlTenorBasisValue($P$3,R21,AllTriggers)</f>
        <v>1.0476839677982116E-3</v>
      </c>
      <c r="T21" s="41">
        <f>_xll.qlDayCounterYearFraction("actual/365 (fixed)",SettlementDate,R21,,,Trigger)</f>
        <v>7.1232876712328766E-2</v>
      </c>
      <c r="U21" s="47">
        <f>_xll.qlPolynomialFunctionValue($P$18,T21,AllTriggers)</f>
        <v>9.6843579937358417E-4</v>
      </c>
      <c r="W21" s="45">
        <v>0</v>
      </c>
      <c r="X21" s="45" t="s">
        <v>23</v>
      </c>
      <c r="Y21" s="175">
        <f>_xll.qlCalendarAdvance(Calendar,SettlementDate,W21&amp;"M","mf",TRUE,Trigger)</f>
        <v>42279</v>
      </c>
      <c r="Z21" s="176">
        <f>_xll.qlCalendarAdvance(Calendar,SettlementDate,X21,"mf",TRUE,Trigger)</f>
        <v>42373</v>
      </c>
      <c r="AA21" s="279">
        <f>_xll.qlTenorBasisForwardRate2(TenorBasis6M,Y21,Z21,AllTriggers)</f>
        <v>-4.45714194648509E-4</v>
      </c>
    </row>
    <row r="22" spans="1:27" ht="11.25" customHeight="1" x14ac:dyDescent="0.2">
      <c r="A22" s="259" t="b">
        <v>1</v>
      </c>
      <c r="B22" s="260"/>
      <c r="C22" s="101" t="str">
        <f>_xll.qlIMMNextCode(C21,A22)</f>
        <v>U6</v>
      </c>
      <c r="D22" s="99" t="str">
        <f t="shared" si="9"/>
        <v>EURFUT3MU6_Quote</v>
      </c>
      <c r="E22" s="99" t="str">
        <f>_xll.qlSimpleQuote(UPPER("B"&amp;$H$1&amp;"_FUT"&amp;C22),,,Permanent,Trigger,ObjectOverwrite)</f>
        <v>B3M_FUTU6#0007</v>
      </c>
      <c r="F22" s="200" t="e">
        <f>_xll.qlSimpleQuoteSetValue(E22,K22,AllTriggers)</f>
        <v>#N/A</v>
      </c>
      <c r="G22" s="212">
        <f>_xll.qlIMMdate(C22,SettlementDate,Trigger)</f>
        <v>42634</v>
      </c>
      <c r="H22" s="212">
        <f>_xll.qlInterestRateIndexMaturity(ON_6M_index,G22)</f>
        <v>42815</v>
      </c>
      <c r="I22" s="47">
        <f>1-_xll.qlQuoteValue(D22,AllTriggers)/100-_xll.qlQuoteValue(Currency&amp;"FUT"&amp;"3M"&amp;C22&amp;"ConvAdj_Quote")</f>
        <v>-6.250000000000977E-4</v>
      </c>
      <c r="J22" s="47">
        <f>_xll.qlIndexFixing(ON_3M_index,_xll.qlInterestRateIndexFixingDate(ON_6M_index,G22),,AllTriggers)</f>
        <v>-1.9724722435203565E-3</v>
      </c>
      <c r="K22" s="128">
        <f t="shared" si="0"/>
        <v>1.3474722435202588E-3</v>
      </c>
      <c r="L22" s="47">
        <f>_xll.qlTenorBasisValue($P$3,G22,Trigger)</f>
        <v>1.3454922439035467E-3</v>
      </c>
      <c r="M22" s="64">
        <f t="shared" si="3"/>
        <v>1.979999616712148E-2</v>
      </c>
      <c r="N22" s="21"/>
      <c r="Q22" s="20"/>
      <c r="R22" s="212">
        <f>_xll.qlCalendarAdvance(Calendar,R21,"1D","f")</f>
        <v>42306</v>
      </c>
      <c r="S22" s="47">
        <f>_xll.qlTenorBasisValue($P$3,R22,AllTriggers)</f>
        <v>1.0492603046361403E-3</v>
      </c>
      <c r="T22" s="41">
        <f>_xll.qlDayCounterYearFraction("actual/365 (fixed)",SettlementDate,R22,,,Trigger)</f>
        <v>7.3972602739726029E-2</v>
      </c>
      <c r="U22" s="47">
        <f>_xll.qlPolynomialFunctionValue($P$18,T22,AllTriggers)</f>
        <v>9.7027228680486122E-4</v>
      </c>
      <c r="W22" s="45">
        <v>1</v>
      </c>
      <c r="X22" s="45" t="s">
        <v>30</v>
      </c>
      <c r="Y22" s="175">
        <f>_xll.qlCalendarAdvance(Calendar,SettlementDate,W22&amp;"M","mf",TRUE,Trigger)</f>
        <v>42310</v>
      </c>
      <c r="Z22" s="176">
        <f>_xll.qlCalendarAdvance(Calendar,SettlementDate,X22,"mf",TRUE,Trigger)</f>
        <v>42402</v>
      </c>
      <c r="AA22" s="52">
        <f>_xll.qlTenorBasisForwardRate2(TenorBasis6M,Y22,Z22,AllTriggers)</f>
        <v>-4.7796277976637795E-4</v>
      </c>
    </row>
    <row r="23" spans="1:27" ht="11.25" customHeight="1" x14ac:dyDescent="0.2">
      <c r="A23" s="259" t="b">
        <v>1</v>
      </c>
      <c r="B23" s="260"/>
      <c r="C23" s="101" t="str">
        <f>_xll.qlIMMNextCode(C22,A23)</f>
        <v>Z6</v>
      </c>
      <c r="D23" s="99" t="str">
        <f t="shared" si="9"/>
        <v>EURFUT3MZ6_Quote</v>
      </c>
      <c r="E23" s="99" t="str">
        <f>_xll.qlSimpleQuote(UPPER("B"&amp;$H$1&amp;"_FUT"&amp;C23),,,Permanent,Trigger,ObjectOverwrite)</f>
        <v>B3M_FUTZ6#0007</v>
      </c>
      <c r="F23" s="200" t="e">
        <f>_xll.qlSimpleQuoteSetValue(E23,K23,AllTriggers)</f>
        <v>#N/A</v>
      </c>
      <c r="G23" s="212">
        <f>_xll.qlIMMdate(C23,SettlementDate,Trigger)</f>
        <v>42725</v>
      </c>
      <c r="H23" s="212">
        <f>_xll.qlInterestRateIndexMaturity(ON_6M_index,G23)</f>
        <v>42907</v>
      </c>
      <c r="I23" s="47">
        <f>1-_xll.qlQuoteValue(D23,AllTriggers)/100-_xll.qlQuoteValue(Currency&amp;"FUT"&amp;"3M"&amp;C23&amp;"ConvAdj_Quote")</f>
        <v>-4.750000000000032E-4</v>
      </c>
      <c r="J23" s="47">
        <f>_xll.qlIndexFixing(ON_3M_index,_xll.qlInterestRateIndexFixingDate(ON_6M_index,G23),,AllTriggers)</f>
        <v>-1.8346461831710847E-3</v>
      </c>
      <c r="K23" s="128">
        <f t="shared" si="0"/>
        <v>1.3596461831710815E-3</v>
      </c>
      <c r="L23" s="47">
        <f>_xll.qlTenorBasisValue($P$3,G23,Trigger)</f>
        <v>1.3787580551139337E-3</v>
      </c>
      <c r="M23" s="64">
        <f t="shared" si="3"/>
        <v>-0.19111871942852163</v>
      </c>
      <c r="N23" s="21"/>
      <c r="Q23" s="20"/>
      <c r="R23" s="212">
        <f>_xll.qlCalendarAdvance(Calendar,R22,"1D","f")</f>
        <v>42307</v>
      </c>
      <c r="S23" s="47">
        <f>_xll.qlTenorBasisValue($P$3,R23,AllTriggers)</f>
        <v>1.0508313608013325E-3</v>
      </c>
      <c r="T23" s="41">
        <f>_xll.qlDayCounterYearFraction("actual/365 (fixed)",SettlementDate,R23,,,Trigger)</f>
        <v>7.6712328767123292E-2</v>
      </c>
      <c r="U23" s="47">
        <f>_xll.qlPolynomialFunctionValue($P$18,T23,AllTriggers)</f>
        <v>9.721029740483734E-4</v>
      </c>
      <c r="W23" s="48">
        <v>2</v>
      </c>
      <c r="X23" s="48" t="s">
        <v>31</v>
      </c>
      <c r="Y23" s="177">
        <f>_xll.qlCalendarAdvance(Calendar,SettlementDate,W23&amp;"M","mf",TRUE,Trigger)</f>
        <v>42340</v>
      </c>
      <c r="Z23" s="178">
        <f>_xll.qlCalendarAdvance(Calendar,SettlementDate,X23,"mf",TRUE,Trigger)</f>
        <v>42431</v>
      </c>
      <c r="AA23" s="47">
        <f>_xll.qlTenorBasisForwardRate2(TenorBasis6M,Y23,Z23,AllTriggers)</f>
        <v>-4.8942181664720437E-4</v>
      </c>
    </row>
    <row r="24" spans="1:27" ht="11.25" customHeight="1" x14ac:dyDescent="0.2">
      <c r="A24" s="259" t="b">
        <v>1</v>
      </c>
      <c r="B24" s="260"/>
      <c r="C24" s="101" t="str">
        <f>_xll.qlIMMNextCode(C23,A24)</f>
        <v>H7</v>
      </c>
      <c r="D24" s="99" t="str">
        <f t="shared" si="9"/>
        <v>EURFUT3MH7_Quote</v>
      </c>
      <c r="E24" s="99" t="str">
        <f>_xll.qlSimpleQuote(UPPER("B"&amp;$H$1&amp;"_FUT"&amp;C24),,,Permanent,Trigger,ObjectOverwrite)</f>
        <v>B3M_FUTH7#0007</v>
      </c>
      <c r="F24" s="200" t="e">
        <f>_xll.qlSimpleQuoteSetValue(E24,K24,AllTriggers)</f>
        <v>#N/A</v>
      </c>
      <c r="G24" s="212">
        <f>_xll.qlIMMdate(C24,SettlementDate,Trigger)</f>
        <v>42809</v>
      </c>
      <c r="H24" s="212">
        <f>_xll.qlInterestRateIndexMaturity(ON_6M_index,G24)</f>
        <v>42993</v>
      </c>
      <c r="I24" s="47">
        <f>1-_xll.qlQuoteValue(D24,AllTriggers)/100-_xll.qlQuoteValue(Currency&amp;"FUT"&amp;"3M"&amp;C24&amp;"ConvAdj_Quote")</f>
        <v>-2.2500000000014175E-4</v>
      </c>
      <c r="J24" s="47">
        <f>_xll.qlIndexFixing(ON_3M_index,_xll.qlInterestRateIndexFixingDate(ON_6M_index,G24),,AllTriggers)</f>
        <v>-1.680758647704455E-3</v>
      </c>
      <c r="K24" s="128">
        <f t="shared" si="0"/>
        <v>1.4557586477043133E-3</v>
      </c>
      <c r="L24" s="47">
        <f>_xll.qlTenorBasisValue($P$3,G24,Trigger)</f>
        <v>1.4040396738236984E-3</v>
      </c>
      <c r="M24" s="64">
        <f t="shared" si="3"/>
        <v>0.51718973880614905</v>
      </c>
      <c r="Q24" s="20"/>
      <c r="R24" s="212">
        <f>_xll.qlCalendarAdvance(Calendar,R23,"1D","f")</f>
        <v>42310</v>
      </c>
      <c r="S24" s="47">
        <f>_xll.qlTenorBasisValue($P$3,R24,AllTriggers)</f>
        <v>1.0555129542814223E-3</v>
      </c>
      <c r="T24" s="41">
        <f>_xll.qlDayCounterYearFraction("actual/365 (fixed)",SettlementDate,R24,,,Trigger)</f>
        <v>8.4931506849315067E-2</v>
      </c>
      <c r="U24" s="47">
        <f>_xll.qlPolynomialFunctionValue($P$18,T24,AllTriggers)</f>
        <v>9.7756034367325255E-4</v>
      </c>
      <c r="W24" s="49">
        <v>3</v>
      </c>
      <c r="X24" s="49" t="s">
        <v>24</v>
      </c>
      <c r="Y24" s="181">
        <f>_xll.qlCalendarAdvance(Calendar,SettlementDate,W24&amp;"M","mf",TRUE,Trigger)</f>
        <v>42373</v>
      </c>
      <c r="Z24" s="182">
        <f>_xll.qlCalendarAdvance(Calendar,SettlementDate,X24,"mf",TRUE,Trigger)</f>
        <v>42464</v>
      </c>
      <c r="AA24" s="50">
        <f>_xll.qlTenorBasisForwardRate2(TenorBasis6M,Y24,Z24,AllTriggers)</f>
        <v>-5.5922735614848714E-4</v>
      </c>
    </row>
    <row r="25" spans="1:27" ht="11.25" customHeight="1" x14ac:dyDescent="0.2">
      <c r="A25" s="259" t="b">
        <v>1</v>
      </c>
      <c r="B25" s="260"/>
      <c r="C25" s="101" t="str">
        <f>_xll.qlIMMNextCode(C24,A25)</f>
        <v>M7</v>
      </c>
      <c r="D25" s="99" t="str">
        <f t="shared" si="9"/>
        <v>EURFUT3MM7_Quote</v>
      </c>
      <c r="E25" s="99" t="str">
        <f>_xll.qlSimpleQuote(UPPER("B"&amp;$H$1&amp;"_FUT"&amp;C25),,,Permanent,Trigger,ObjectOverwrite)</f>
        <v>B3M_FUTM7#0007</v>
      </c>
      <c r="F25" s="200" t="e">
        <f>_xll.qlSimpleQuoteSetValue(E25,K25,AllTriggers)</f>
        <v>#N/A</v>
      </c>
      <c r="G25" s="212">
        <f>_xll.qlIMMdate(C25,SettlementDate,Trigger)</f>
        <v>42907</v>
      </c>
      <c r="H25" s="212">
        <f>_xll.qlInterestRateIndexMaturity(ON_6M_index,G25)</f>
        <v>43090</v>
      </c>
      <c r="I25" s="47">
        <f>1-_xll.qlQuoteValue(D25,AllTriggers)/100-_xll.qlQuoteValue(Currency&amp;"FUT"&amp;"3M"&amp;C25&amp;"ConvAdj_Quote")</f>
        <v>1.2500000000004174E-4</v>
      </c>
      <c r="J25" s="47">
        <f>_xll.qlIndexFixing(ON_3M_index,_xll.qlInterestRateIndexFixingDate(ON_6M_index,G25),,AllTriggers)</f>
        <v>-1.4045211983805118E-3</v>
      </c>
      <c r="K25" s="128">
        <f t="shared" si="0"/>
        <v>1.5295211983805536E-3</v>
      </c>
      <c r="L25" s="47">
        <f>_xll.qlTenorBasisValue($P$3,G25,Trigger)</f>
        <v>1.435799680773057E-3</v>
      </c>
      <c r="M25" s="64">
        <f t="shared" si="3"/>
        <v>0.93721517607496529</v>
      </c>
      <c r="R25" s="212">
        <f>_xll.qlCalendarAdvance(Calendar,R24,"1D","f")</f>
        <v>42311</v>
      </c>
      <c r="S25" s="47">
        <f>_xll.qlTenorBasisValue($P$3,R25,AllTriggers)</f>
        <v>1.057062996776601E-3</v>
      </c>
      <c r="T25" s="41">
        <f>_xll.qlDayCounterYearFraction("actual/365 (fixed)",SettlementDate,R25,,,Trigger)</f>
        <v>8.7671232876712329E-2</v>
      </c>
      <c r="U25" s="47">
        <f>_xll.qlPolynomialFunctionValue($P$18,T25,AllTriggers)</f>
        <v>9.7936793918663762E-4</v>
      </c>
      <c r="W25" s="48"/>
      <c r="X25" s="48" t="str">
        <f>C17</f>
        <v>V5</v>
      </c>
      <c r="Y25" s="177">
        <f>_xll.qlIMMdate(X25,SettlementDate,Trigger)</f>
        <v>42298</v>
      </c>
      <c r="Z25" s="177">
        <f>_xll.qlInterestRateIndexMaturity(ON_6M_index,Y25)</f>
        <v>42481</v>
      </c>
      <c r="AA25" s="47">
        <f>_xll.qlTenorBasisTenorForwardRate(TenorBasis6M,Y25,AllTriggers)</f>
        <v>-4.3854971702998822E-4</v>
      </c>
    </row>
    <row r="26" spans="1:27" ht="11.25" customHeight="1" x14ac:dyDescent="0.2">
      <c r="A26" s="259" t="b">
        <v>1</v>
      </c>
      <c r="B26" s="260"/>
      <c r="C26" s="101" t="str">
        <f>_xll.qlIMMNextCode(C25,A26)</f>
        <v>U7</v>
      </c>
      <c r="D26" s="99" t="str">
        <f t="shared" si="9"/>
        <v>EURFUT3MU7_Quote</v>
      </c>
      <c r="E26" s="99" t="str">
        <f>_xll.qlSimpleQuote(UPPER("B"&amp;$H$1&amp;"_FUT"&amp;C26),,,Permanent,Trigger,ObjectOverwrite)</f>
        <v>B3M_FUTU7#0007</v>
      </c>
      <c r="F26" s="200" t="e">
        <f>_xll.qlSimpleQuoteSetValue(E26,K26,AllTriggers)</f>
        <v>#N/A</v>
      </c>
      <c r="G26" s="212">
        <f>_xll.qlIMMdate(C26,SettlementDate,Trigger)</f>
        <v>42998</v>
      </c>
      <c r="H26" s="212">
        <f>_xll.qlInterestRateIndexMaturity(ON_6M_index,G26)</f>
        <v>43179</v>
      </c>
      <c r="I26" s="47">
        <f>1-_xll.qlQuoteValue(D26,AllTriggers)/100-_xll.qlQuoteValue(Currency&amp;"FUT"&amp;"3M"&amp;C26&amp;"ConvAdj_Quote")</f>
        <v>5.2500000000010871E-4</v>
      </c>
      <c r="J26" s="47">
        <f>_xll.qlIndexFixing(ON_3M_index,_xll.qlInterestRateIndexFixingDate(ON_6M_index,G26),,AllTriggers)</f>
        <v>-9.9781768803410085E-4</v>
      </c>
      <c r="K26" s="128">
        <f t="shared" si="0"/>
        <v>1.5228176880342096E-3</v>
      </c>
      <c r="L26" s="47">
        <f>_xll.qlTenorBasisValue($P$3,G26,Trigger)</f>
        <v>1.4760064978910476E-3</v>
      </c>
      <c r="M26" s="64">
        <f t="shared" si="3"/>
        <v>0.46811190143161968</v>
      </c>
      <c r="R26" s="212">
        <f>_xll.qlCalendarAdvance(Calendar,R25,"1D","f")</f>
        <v>42312</v>
      </c>
      <c r="S26" s="47">
        <f>_xll.qlTenorBasisValue($P$3,R26,AllTriggers)</f>
        <v>1.058607813109509E-3</v>
      </c>
      <c r="T26" s="41">
        <f>_xll.qlDayCounterYearFraction("actual/365 (fixed)",SettlementDate,R26,,,Trigger)</f>
        <v>9.0410958904109592E-2</v>
      </c>
      <c r="U26" s="47">
        <f>_xll.qlPolynomialFunctionValue($P$18,T26,AllTriggers)</f>
        <v>9.8116978902272394E-4</v>
      </c>
      <c r="W26" s="48"/>
      <c r="X26" s="48" t="str">
        <f t="shared" ref="X26:X30" si="10">C18</f>
        <v>X5</v>
      </c>
      <c r="Y26" s="177">
        <f>_xll.qlIMMdate(X26,SettlementDate,Trigger)</f>
        <v>42326</v>
      </c>
      <c r="Z26" s="177">
        <f>_xll.qlInterestRateIndexMaturity(ON_6M_index,Y26)</f>
        <v>42508</v>
      </c>
      <c r="AA26" s="47">
        <f>_xll.qlTenorBasisTenorForwardRate(TenorBasis6M,Y26,AllTriggers)</f>
        <v>-4.6273980316001721E-4</v>
      </c>
    </row>
    <row r="27" spans="1:27" ht="11.25" customHeight="1" x14ac:dyDescent="0.2">
      <c r="A27" s="259" t="b">
        <v>1</v>
      </c>
      <c r="B27" s="260"/>
      <c r="C27" s="101" t="str">
        <f>_xll.qlIMMNextCode(C26,A27)</f>
        <v>Z7</v>
      </c>
      <c r="D27" s="99" t="str">
        <f t="shared" si="9"/>
        <v>EURFUT3MZ7_Quote</v>
      </c>
      <c r="E27" s="99" t="str">
        <f>_xll.qlSimpleQuote(UPPER("B"&amp;$H$1&amp;"_FUT"&amp;C27),,,Permanent,Trigger,ObjectOverwrite)</f>
        <v>B3M_FUTZ7#0007</v>
      </c>
      <c r="F27" s="200" t="e">
        <f>_xll.qlSimpleQuoteSetValue(E27,K27,AllTriggers)</f>
        <v>#N/A</v>
      </c>
      <c r="G27" s="212">
        <f>_xll.qlIMMdate(C27,SettlementDate,Trigger)</f>
        <v>43089</v>
      </c>
      <c r="H27" s="212">
        <f>_xll.qlInterestRateIndexMaturity(ON_6M_index,G27)</f>
        <v>43271</v>
      </c>
      <c r="I27" s="47">
        <f>1-_xll.qlQuoteValue(D27,AllTriggers)/100-_xll.qlQuoteValue(Currency&amp;"FUT"&amp;"3M"&amp;C27&amp;"ConvAdj_Quote")</f>
        <v>1.0750000000000481E-3</v>
      </c>
      <c r="J27" s="47">
        <f>_xll.qlIndexFixing(ON_3M_index,_xll.qlInterestRateIndexFixingDate(ON_6M_index,G27),,AllTriggers)</f>
        <v>-5.0612540001582218E-4</v>
      </c>
      <c r="K27" s="128">
        <f t="shared" si="0"/>
        <v>1.5811254000158703E-3</v>
      </c>
      <c r="L27" s="47">
        <f>_xll.qlTenorBasisValue($P$3,G27,Trigger)</f>
        <v>1.5349579863141597E-3</v>
      </c>
      <c r="M27" s="64">
        <f t="shared" si="3"/>
        <v>0.46167413701710647</v>
      </c>
      <c r="R27" s="212">
        <f>_xll.qlCalendarAdvance(Calendar,R26,"1D","f")</f>
        <v>42313</v>
      </c>
      <c r="S27" s="47">
        <f>_xll.qlTenorBasisValue($P$3,R27,AllTriggers)</f>
        <v>1.0601474141822408E-3</v>
      </c>
      <c r="T27" s="41">
        <f>_xll.qlDayCounterYearFraction("actual/365 (fixed)",SettlementDate,R27,,,Trigger)</f>
        <v>9.3150684931506855E-2</v>
      </c>
      <c r="U27" s="47">
        <f>_xll.qlPolynomialFunctionValue($P$18,T27,AllTriggers)</f>
        <v>9.8296590408360543E-4</v>
      </c>
      <c r="W27" s="48"/>
      <c r="X27" s="48" t="str">
        <f t="shared" si="10"/>
        <v>Z5</v>
      </c>
      <c r="Y27" s="177">
        <f>_xll.qlIMMdate(X27,SettlementDate,Trigger)</f>
        <v>42354</v>
      </c>
      <c r="Z27" s="177">
        <f>_xll.qlInterestRateIndexMaturity(ON_6M_index,Y27)</f>
        <v>42537</v>
      </c>
      <c r="AA27" s="47">
        <f>_xll.qlTenorBasisTenorForwardRate(TenorBasis6M,Y27,AllTriggers)</f>
        <v>-5.0122719314845657E-4</v>
      </c>
    </row>
    <row r="28" spans="1:27" ht="11.25" customHeight="1" x14ac:dyDescent="0.2">
      <c r="A28" s="261" t="b">
        <v>1</v>
      </c>
      <c r="B28" s="262"/>
      <c r="C28" s="103" t="str">
        <f>_xll.qlIMMNextCode(C27,A28)</f>
        <v>H8</v>
      </c>
      <c r="D28" s="100" t="str">
        <f t="shared" si="9"/>
        <v>EURFUT3MH8_Quote</v>
      </c>
      <c r="E28" s="100" t="str">
        <f>_xll.qlSimpleQuote(UPPER("B"&amp;$H$1&amp;"_FUT"&amp;C28),,,Permanent,Trigger,ObjectOverwrite)</f>
        <v>B3M_FUTH8#0007</v>
      </c>
      <c r="F28" s="201" t="e">
        <f>_xll.qlSimpleQuoteSetValue(E28,K28,AllTriggers)</f>
        <v>#N/A</v>
      </c>
      <c r="G28" s="213">
        <f>_xll.qlIMMdate(C28,SettlementDate,Trigger)</f>
        <v>43180</v>
      </c>
      <c r="H28" s="213">
        <f>_xll.qlInterestRateIndexMaturity(ON_6M_index,G28)</f>
        <v>43364</v>
      </c>
      <c r="I28" s="50">
        <f>1-_xll.qlQuoteValue(D28,AllTriggers)/100-_xll.qlQuoteValue(Currency&amp;"FUT"&amp;"3M"&amp;C28&amp;"ConvAdj_Quote")</f>
        <v>1.6750000000000931E-3</v>
      </c>
      <c r="J28" s="50">
        <f>_xll.qlIndexFixing(ON_3M_index,_xll.qlInterestRateIndexFixingDate(ON_6M_index,G28),,AllTriggers)</f>
        <v>5.4156772571695882E-5</v>
      </c>
      <c r="K28" s="115">
        <f t="shared" si="0"/>
        <v>1.6208432274283971E-3</v>
      </c>
      <c r="L28" s="50">
        <f>_xll.qlTenorBasisValue($P$3,G28,Trigger)</f>
        <v>1.6208696473770212E-3</v>
      </c>
      <c r="M28" s="65">
        <f t="shared" si="3"/>
        <v>-2.6419948624028036E-4</v>
      </c>
      <c r="R28" s="212">
        <f>_xll.qlCalendarAdvance(Calendar,R27,"1D","f")</f>
        <v>42314</v>
      </c>
      <c r="S28" s="47">
        <f>_xll.qlTenorBasisValue($P$3,R28,AllTriggers)</f>
        <v>1.0616818108968886E-3</v>
      </c>
      <c r="T28" s="41">
        <f>_xll.qlDayCounterYearFraction("actual/365 (fixed)",SettlementDate,R28,,,Trigger)</f>
        <v>9.5890410958904104E-2</v>
      </c>
      <c r="U28" s="47">
        <f>_xll.qlPolynomialFunctionValue($P$18,T28,AllTriggers)</f>
        <v>9.8475629527137445E-4</v>
      </c>
      <c r="W28" s="48"/>
      <c r="X28" s="48" t="str">
        <f t="shared" si="10"/>
        <v>H6</v>
      </c>
      <c r="Y28" s="177">
        <f>_xll.qlIMMdate(X28,SettlementDate,Trigger)</f>
        <v>42445</v>
      </c>
      <c r="Z28" s="177">
        <f>_xll.qlInterestRateIndexMaturity(ON_6M_index,Y28)</f>
        <v>42629</v>
      </c>
      <c r="AA28" s="47">
        <f>_xll.qlTenorBasisTenorForwardRate(TenorBasis6M,Y28,AllTriggers)</f>
        <v>-5.8574940863411569E-4</v>
      </c>
    </row>
    <row r="29" spans="1:27" ht="11.25" customHeight="1" x14ac:dyDescent="0.2">
      <c r="G29" s="60"/>
      <c r="H29" s="60"/>
      <c r="I29" s="35"/>
      <c r="J29" s="35"/>
      <c r="K29" s="35"/>
      <c r="L29" s="21"/>
      <c r="M29" s="21"/>
      <c r="R29" s="212">
        <f>_xll.qlCalendarAdvance(Calendar,R28,"1D","f")</f>
        <v>42317</v>
      </c>
      <c r="S29" s="47">
        <f>_xll.qlTenorBasisValue($P$3,R29,AllTriggers)</f>
        <v>1.0662538839132625E-3</v>
      </c>
      <c r="T29" s="41">
        <f>_xll.qlDayCounterYearFraction("actual/365 (fixed)",SettlementDate,R29,,,Trigger)</f>
        <v>0.10410958904109589</v>
      </c>
      <c r="U29" s="47">
        <f>_xll.qlPolynomialFunctionValue($P$18,T29,AllTriggers)</f>
        <v>9.9009323461694268E-4</v>
      </c>
      <c r="W29" s="48"/>
      <c r="X29" s="48" t="str">
        <f t="shared" si="10"/>
        <v>M6</v>
      </c>
      <c r="Y29" s="177">
        <f>_xll.qlIMMdate(X29,SettlementDate,Trigger)</f>
        <v>42536</v>
      </c>
      <c r="Z29" s="177">
        <f>_xll.qlInterestRateIndexMaturity(ON_6M_index,Y29)</f>
        <v>42719</v>
      </c>
      <c r="AA29" s="47">
        <f>_xll.qlTenorBasisTenorForwardRate(TenorBasis6M,Y29,AllTriggers)</f>
        <v>-6.5047765895594233E-4</v>
      </c>
    </row>
    <row r="30" spans="1:27" ht="11.25" customHeight="1" x14ac:dyDescent="0.2">
      <c r="G30" s="60"/>
      <c r="H30" s="60"/>
      <c r="I30" s="35"/>
      <c r="J30" s="35"/>
      <c r="K30" s="35"/>
      <c r="R30" s="212">
        <f>_xll.qlCalendarAdvance(Calendar,R29,"1D","f")</f>
        <v>42318</v>
      </c>
      <c r="S30" s="47">
        <f>_xll.qlTenorBasisValue($P$3,R30,AllTriggers)</f>
        <v>1.0677675722165086E-3</v>
      </c>
      <c r="T30" s="41">
        <f>_xll.qlDayCounterYearFraction("actual/365 (fixed)",SettlementDate,R30,,,Trigger)</f>
        <v>0.10684931506849316</v>
      </c>
      <c r="U30" s="47">
        <f>_xll.qlPolynomialFunctionValue($P$18,T30,AllTriggers)</f>
        <v>9.918608393331967E-4</v>
      </c>
      <c r="W30" s="162"/>
      <c r="X30" s="162" t="str">
        <f t="shared" si="10"/>
        <v>U6</v>
      </c>
      <c r="Y30" s="185">
        <f>_xll.qlIMMdate(X30,SettlementDate,Trigger)</f>
        <v>42634</v>
      </c>
      <c r="Z30" s="185">
        <f>_xll.qlInterestRateIndexMaturity(ON_6M_index,Y30)</f>
        <v>42815</v>
      </c>
      <c r="AA30" s="159">
        <f>_xll.qlTenorBasisTenorForwardRate(TenorBasis6M,Y30,AllTriggers)</f>
        <v>-6.2697999961680985E-4</v>
      </c>
    </row>
    <row r="31" spans="1:27" ht="11.25" customHeight="1" x14ac:dyDescent="0.2">
      <c r="G31" s="60"/>
      <c r="H31" s="60"/>
      <c r="I31" s="35"/>
      <c r="J31" s="35"/>
      <c r="K31" s="35"/>
      <c r="R31" s="212">
        <f>_xll.qlCalendarAdvance(Calendar,R30,"1D","f")</f>
        <v>42319</v>
      </c>
      <c r="S31" s="47">
        <f>_xll.qlTenorBasisValue($P$3,R31,AllTriggers)</f>
        <v>1.0692761106721376E-3</v>
      </c>
      <c r="T31" s="41">
        <f>_xll.qlDayCounterYearFraction("actual/365 (fixed)",SettlementDate,R31,,,Trigger)</f>
        <v>0.1095890410958904</v>
      </c>
      <c r="U31" s="47">
        <f>_xll.qlPolynomialFunctionValue($P$18,T31,AllTriggers)</f>
        <v>9.9362277468680515E-4</v>
      </c>
    </row>
    <row r="32" spans="1:27" ht="11.25" customHeight="1" x14ac:dyDescent="0.2">
      <c r="R32" s="212">
        <f>_xll.qlCalendarAdvance(Calendar,R31,"1D","f")</f>
        <v>42320</v>
      </c>
      <c r="S32" s="47">
        <f>_xll.qlTenorBasisValue($P$3,R32,AllTriggers)</f>
        <v>1.0707795101822424E-3</v>
      </c>
      <c r="T32" s="41">
        <f>_xll.qlDayCounterYearFraction("actual/365 (fixed)",SettlementDate,R32,,,Trigger)</f>
        <v>0.11232876712328767</v>
      </c>
      <c r="U32" s="47">
        <f>_xll.qlPolynomialFunctionValue($P$18,T32,AllTriggers)</f>
        <v>9.9537905157986127E-4</v>
      </c>
    </row>
    <row r="33" spans="18:21" ht="11.25" customHeight="1" x14ac:dyDescent="0.2">
      <c r="R33" s="212">
        <f>_xll.qlCalendarAdvance(Calendar,R32,"1D","f")</f>
        <v>42321</v>
      </c>
      <c r="S33" s="47">
        <f>_xll.qlTenorBasisValue($P$3,R33,AllTriggers)</f>
        <v>1.0722777816489161E-3</v>
      </c>
      <c r="T33" s="41">
        <f>_xll.qlDayCounterYearFraction("actual/365 (fixed)",SettlementDate,R33,,,Trigger)</f>
        <v>0.11506849315068493</v>
      </c>
      <c r="U33" s="47">
        <f>_xll.qlPolynomialFunctionValue($P$18,T33,AllTriggers)</f>
        <v>9.9712968091445787E-4</v>
      </c>
    </row>
    <row r="34" spans="18:21" ht="11.25" customHeight="1" x14ac:dyDescent="0.2">
      <c r="R34" s="212">
        <f>_xll.qlCalendarAdvance(Calendar,R33,"1D","f")</f>
        <v>42324</v>
      </c>
      <c r="S34" s="47">
        <f>_xll.qlTenorBasisValue($P$3,R34,AllTriggers)</f>
        <v>1.0767419368092872E-3</v>
      </c>
      <c r="T34" s="41">
        <f>_xll.qlDayCounterYearFraction("actual/365 (fixed)",SettlementDate,R34,,,Trigger)</f>
        <v>0.12328767123287671</v>
      </c>
      <c r="U34" s="47">
        <f>_xll.qlPolynomialFunctionValue($P$18,T34,AllTriggers)</f>
        <v>1.0023477925884274E-3</v>
      </c>
    </row>
    <row r="35" spans="18:21" ht="11.25" customHeight="1" x14ac:dyDescent="0.2">
      <c r="R35" s="212">
        <f>_xll.qlCalendarAdvance(Calendar,R34,"1D","f")</f>
        <v>42325</v>
      </c>
      <c r="S35" s="47">
        <f>_xll.qlTenorBasisValue($P$3,R35,AllTriggers)</f>
        <v>1.0782198051231715E-3</v>
      </c>
      <c r="T35" s="41">
        <f>_xll.qlDayCounterYearFraction("actual/365 (fixed)",SettlementDate,R35,,,Trigger)</f>
        <v>0.12602739726027398</v>
      </c>
      <c r="U35" s="47">
        <f>_xll.qlPolynomialFunctionValue($P$18,T35,AllTriggers)</f>
        <v>1.0040759407101212E-3</v>
      </c>
    </row>
    <row r="36" spans="18:21" ht="11.25" customHeight="1" x14ac:dyDescent="0.2">
      <c r="R36" s="212">
        <f>_xll.qlCalendarAdvance(Calendar,R35,"1D","f")</f>
        <v>42326</v>
      </c>
      <c r="S36" s="47">
        <f>_xll.qlTenorBasisValue($P$3,R36,AllTriggers)</f>
        <v>1.079692599904091E-3</v>
      </c>
      <c r="T36" s="41">
        <f>_xll.qlDayCounterYearFraction("actual/365 (fixed)",SettlementDate,R36,,,Trigger)</f>
        <v>0.12876712328767123</v>
      </c>
      <c r="U36" s="47">
        <f>_xll.qlPolynomialFunctionValue($P$18,T36,AllTriggers)</f>
        <v>1.005798495783822E-3</v>
      </c>
    </row>
    <row r="37" spans="18:21" ht="11.25" customHeight="1" x14ac:dyDescent="0.2">
      <c r="R37" s="212">
        <f>_xll.qlCalendarAdvance(Calendar,R36,"1D","f")</f>
        <v>42327</v>
      </c>
      <c r="S37" s="47">
        <f>_xll.qlTenorBasisValue($P$3,R37,AllTriggers)</f>
        <v>1.0811603320541399E-3</v>
      </c>
      <c r="T37" s="41">
        <f>_xll.qlDayCounterYearFraction("actual/365 (fixed)",SettlementDate,R37,,,Trigger)</f>
        <v>0.13150684931506848</v>
      </c>
      <c r="U37" s="47">
        <f>_xll.qlPolynomialFunctionValue($P$18,T37,AllTriggers)</f>
        <v>1.0075154687116236E-3</v>
      </c>
    </row>
    <row r="38" spans="18:21" ht="11.25" customHeight="1" x14ac:dyDescent="0.2">
      <c r="R38" s="212">
        <f>_xll.qlCalendarAdvance(Calendar,R37,"1D","f")</f>
        <v>42328</v>
      </c>
      <c r="S38" s="47">
        <f>_xll.qlTenorBasisValue($P$3,R38,AllTriggers)</f>
        <v>1.0826230124754109E-3</v>
      </c>
      <c r="T38" s="41">
        <f>_xll.qlDayCounterYearFraction("actual/365 (fixed)",SettlementDate,R38,,,Trigger)</f>
        <v>0.13424657534246576</v>
      </c>
      <c r="U38" s="47">
        <f>_xll.qlPolynomialFunctionValue($P$18,T38,AllTriggers)</f>
        <v>1.0092268703956191E-3</v>
      </c>
    </row>
    <row r="39" spans="18:21" ht="11.25" customHeight="1" x14ac:dyDescent="0.2">
      <c r="R39" s="212">
        <f>_xll.qlCalendarAdvance(Calendar,R38,"1D","f")</f>
        <v>42331</v>
      </c>
      <c r="S39" s="47">
        <f>_xll.qlTenorBasisValue($P$3,R39,AllTriggers)</f>
        <v>1.0869808523874902E-3</v>
      </c>
      <c r="T39" s="41">
        <f>_xll.qlDayCounterYearFraction("actual/365 (fixed)",SettlementDate,R39,,,Trigger)</f>
        <v>0.14246575342465753</v>
      </c>
      <c r="U39" s="47">
        <f>_xll.qlPolynomialFunctionValue($P$18,T39,AllTriggers)</f>
        <v>1.0143277570057016E-3</v>
      </c>
    </row>
    <row r="40" spans="18:21" ht="11.25" customHeight="1" x14ac:dyDescent="0.2">
      <c r="R40" s="212">
        <f>_xll.qlCalendarAdvance(Calendar,R39,"1D","f")</f>
        <v>42332</v>
      </c>
      <c r="S40" s="47">
        <f>_xll.qlTenorBasisValue($P$3,R40,AllTriggers)</f>
        <v>1.0884234349145833E-3</v>
      </c>
      <c r="T40" s="41">
        <f>_xll.qlDayCounterYearFraction("actual/365 (fixed)",SettlementDate,R40,,,Trigger)</f>
        <v>0.14520547945205478</v>
      </c>
      <c r="U40" s="47">
        <f>_xll.qlPolynomialFunctionValue($P$18,T40,AllTriggers)</f>
        <v>1.0160169827354059E-3</v>
      </c>
    </row>
    <row r="41" spans="18:21" ht="11.25" customHeight="1" x14ac:dyDescent="0.2">
      <c r="R41" s="212">
        <f>_xll.qlCalendarAdvance(Calendar,R40,"1D","f")</f>
        <v>42333</v>
      </c>
      <c r="S41" s="47">
        <f>_xll.qlTenorBasisValue($P$3,R41,AllTriggers)</f>
        <v>1.089861020223365E-3</v>
      </c>
      <c r="T41" s="41">
        <f>_xll.qlDayCounterYearFraction("actual/365 (fixed)",SettlementDate,R41,,,Trigger)</f>
        <v>0.14794520547945206</v>
      </c>
      <c r="U41" s="47">
        <f>_xll.qlPolynomialFunctionValue($P$18,T41,AllTriggers)</f>
        <v>1.01770069173177E-3</v>
      </c>
    </row>
    <row r="42" spans="18:21" ht="11.25" customHeight="1" x14ac:dyDescent="0.2">
      <c r="R42" s="212">
        <f>_xll.qlCalendarAdvance(Calendar,R41,"1D","f")</f>
        <v>42334</v>
      </c>
      <c r="S42" s="47">
        <f>_xll.qlTenorBasisValue($P$3,R42,AllTriggers)</f>
        <v>1.0912936192159284E-3</v>
      </c>
      <c r="T42" s="41">
        <f>_xll.qlDayCounterYearFraction("actual/365 (fixed)",SettlementDate,R42,,,Trigger)</f>
        <v>0.15068493150684931</v>
      </c>
      <c r="U42" s="47">
        <f>_xll.qlPolynomialFunctionValue($P$18,T42,AllTriggers)</f>
        <v>1.0193788948968878E-3</v>
      </c>
    </row>
    <row r="43" spans="18:21" ht="11.25" customHeight="1" x14ac:dyDescent="0.2">
      <c r="R43" s="212">
        <f>_xll.qlCalendarAdvance(Calendar,R42,"1D","f")</f>
        <v>42335</v>
      </c>
      <c r="S43" s="47">
        <f>_xll.qlTenorBasisValue($P$3,R43,AllTriggers)</f>
        <v>1.0927212427943669E-3</v>
      </c>
      <c r="T43" s="41">
        <f>_xll.qlDayCounterYearFraction("actual/365 (fixed)",SettlementDate,R43,,,Trigger)</f>
        <v>0.15342465753424658</v>
      </c>
      <c r="U43" s="47">
        <f>_xll.qlPolynomialFunctionValue($P$18,T43,AllTriggers)</f>
        <v>1.0210516031328523E-3</v>
      </c>
    </row>
    <row r="44" spans="18:21" ht="11.25" customHeight="1" x14ac:dyDescent="0.2">
      <c r="R44" s="212">
        <f>_xll.qlCalendarAdvance(Calendar,R43,"1D","f")</f>
        <v>42338</v>
      </c>
      <c r="S44" s="47">
        <f>_xll.qlTenorBasisValue($P$3,R44,AllTriggers)</f>
        <v>1.0969743700658672E-3</v>
      </c>
      <c r="T44" s="41">
        <f>_xll.qlDayCounterYearFraction("actual/365 (fixed)",SettlementDate,R44,,,Trigger)</f>
        <v>0.16164383561643836</v>
      </c>
      <c r="U44" s="47">
        <f>_xll.qlPolynomialFunctionValue($P$18,T44,AllTriggers)</f>
        <v>1.0260368672867601E-3</v>
      </c>
    </row>
    <row r="45" spans="18:21" ht="11.25" customHeight="1" x14ac:dyDescent="0.2">
      <c r="R45" s="212">
        <f>_xll.qlCalendarAdvance(Calendar,R44,"1D","f")</f>
        <v>42339</v>
      </c>
      <c r="S45" s="47">
        <f>_xll.qlTenorBasisValue($P$3,R45,AllTriggers)</f>
        <v>1.0983822010087393E-3</v>
      </c>
      <c r="T45" s="41">
        <f>_xll.qlDayCounterYearFraction("actual/365 (fixed)",SettlementDate,R45,,,Trigger)</f>
        <v>0.16438356164383561</v>
      </c>
      <c r="U45" s="47">
        <f>_xll.qlPolynomialFunctionValue($P$18,T45,AllTriggers)</f>
        <v>1.027687704827045E-3</v>
      </c>
    </row>
    <row r="46" spans="18:21" ht="11.25" customHeight="1" x14ac:dyDescent="0.2">
      <c r="R46" s="212">
        <f>_xll.qlCalendarAdvance(Calendar,R45,"1D","f")</f>
        <v>42340</v>
      </c>
      <c r="S46" s="47">
        <f>_xll.qlTenorBasisValue($P$3,R46,AllTriggers)</f>
        <v>1.0997851110479534E-3</v>
      </c>
      <c r="T46" s="41">
        <f>_xll.qlDayCounterYearFraction("actual/365 (fixed)",SettlementDate,R46,,,Trigger)</f>
        <v>0.16712328767123288</v>
      </c>
      <c r="U46" s="47">
        <f>_xll.qlPolynomialFunctionValue($P$18,T46,AllTriggers)</f>
        <v>1.0293331019486432E-3</v>
      </c>
    </row>
    <row r="47" spans="18:21" ht="11.25" customHeight="1" x14ac:dyDescent="0.2">
      <c r="R47" s="212">
        <f>_xll.qlCalendarAdvance(Calendar,R46,"1D","f")</f>
        <v>42341</v>
      </c>
      <c r="S47" s="47">
        <f>_xll.qlTenorBasisValue($P$3,R47,AllTriggers)</f>
        <v>1.1011831110856022E-3</v>
      </c>
      <c r="T47" s="41">
        <f>_xll.qlDayCounterYearFraction("actual/365 (fixed)",SettlementDate,R47,,,Trigger)</f>
        <v>0.16986301369863013</v>
      </c>
      <c r="U47" s="47">
        <f>_xll.qlPolynomialFunctionValue($P$18,T47,AllTriggers)</f>
        <v>1.0309730695536477E-3</v>
      </c>
    </row>
    <row r="48" spans="18:21" ht="11.25" customHeight="1" x14ac:dyDescent="0.2">
      <c r="R48" s="212">
        <f>_xll.qlCalendarAdvance(Calendar,R47,"1D","f")</f>
        <v>42342</v>
      </c>
      <c r="S48" s="47">
        <f>_xll.qlTenorBasisValue($P$3,R48,AllTriggers)</f>
        <v>1.1025762120237795E-3</v>
      </c>
      <c r="T48" s="41">
        <f>_xll.qlDayCounterYearFraction("actual/365 (fixed)",SettlementDate,R48,,,Trigger)</f>
        <v>0.17260273972602741</v>
      </c>
      <c r="U48" s="47">
        <f>_xll.qlPolynomialFunctionValue($P$18,T48,AllTriggers)</f>
        <v>1.0326076185441524E-3</v>
      </c>
    </row>
    <row r="49" spans="7:21" ht="11.25" customHeight="1" x14ac:dyDescent="0.2">
      <c r="G49" s="60"/>
      <c r="H49" s="60"/>
      <c r="I49" s="35"/>
      <c r="J49" s="35"/>
      <c r="K49" s="35"/>
      <c r="R49" s="212">
        <f>_xll.qlCalendarAdvance(Calendar,R48,"1D","f")</f>
        <v>42345</v>
      </c>
      <c r="S49" s="47">
        <f>_xll.qlTenorBasisValue($P$3,R49,AllTriggers)</f>
        <v>1.1067262292624122E-3</v>
      </c>
      <c r="T49" s="41">
        <f>_xll.qlDayCounterYearFraction("actual/365 (fixed)",SettlementDate,R49,,,Trigger)</f>
        <v>0.18082191780821918</v>
      </c>
      <c r="U49" s="47">
        <f>_xll.qlPolynomialFunctionValue($P$18,T49,AllTriggers)</f>
        <v>1.0374788628495976E-3</v>
      </c>
    </row>
    <row r="50" spans="7:21" ht="11.25" customHeight="1" x14ac:dyDescent="0.2">
      <c r="G50" s="60"/>
      <c r="H50" s="60"/>
      <c r="I50" s="35"/>
      <c r="J50" s="35"/>
      <c r="K50" s="35"/>
      <c r="R50" s="212">
        <f>_xll.qlCalendarAdvance(Calendar,R49,"1D","f")</f>
        <v>42346</v>
      </c>
      <c r="S50" s="47">
        <f>_xll.qlTenorBasisValue($P$3,R50,AllTriggers)</f>
        <v>1.1080998428236349E-3</v>
      </c>
      <c r="T50" s="41">
        <f>_xll.qlDayCounterYearFraction("actual/365 (fixed)",SettlementDate,R50,,,Trigger)</f>
        <v>0.18356164383561643</v>
      </c>
      <c r="U50" s="47">
        <f>_xll.qlPolynomialFunctionValue($P$18,T50,AllTriggers)</f>
        <v>1.0390918464030343E-3</v>
      </c>
    </row>
    <row r="51" spans="7:21" ht="11.25" customHeight="1" x14ac:dyDescent="0.2">
      <c r="G51" s="60"/>
      <c r="H51" s="60"/>
      <c r="I51" s="35"/>
      <c r="J51" s="35"/>
      <c r="K51" s="35"/>
      <c r="R51" s="212">
        <f>_xll.qlCalendarAdvance(Calendar,R50,"1D","f")</f>
        <v>42347</v>
      </c>
      <c r="S51" s="47">
        <f>_xll.qlTenorBasisValue($P$3,R51,AllTriggers)</f>
        <v>1.109468611795852E-3</v>
      </c>
      <c r="T51" s="41">
        <f>_xll.qlDayCounterYearFraction("actual/365 (fixed)",SettlementDate,R51,,,Trigger)</f>
        <v>0.18630136986301371</v>
      </c>
      <c r="U51" s="47">
        <f>_xll.qlPolynomialFunctionValue($P$18,T51,AllTriggers)</f>
        <v>1.0406994658524371E-3</v>
      </c>
    </row>
    <row r="52" spans="7:21" ht="11.25" customHeight="1" x14ac:dyDescent="0.2">
      <c r="G52" s="60"/>
      <c r="H52" s="60"/>
      <c r="I52" s="35"/>
      <c r="J52" s="35"/>
      <c r="K52" s="35"/>
      <c r="R52" s="212">
        <f>_xll.qlCalendarAdvance(Calendar,R51,"1D","f")</f>
        <v>42348</v>
      </c>
      <c r="S52" s="47">
        <f>_xll.qlTenorBasisValue($P$3,R52,AllTriggers)</f>
        <v>1.1108325470811568E-3</v>
      </c>
      <c r="T52" s="41">
        <f>_xll.qlDayCounterYearFraction("actual/365 (fixed)",SettlementDate,R52,,,Trigger)</f>
        <v>0.18904109589041096</v>
      </c>
      <c r="U52" s="47">
        <f>_xll.qlPolynomialFunctionValue($P$18,T52,AllTriggers)</f>
        <v>1.0423017320998994E-3</v>
      </c>
    </row>
    <row r="53" spans="7:21" ht="11.25" customHeight="1" x14ac:dyDescent="0.2">
      <c r="G53" s="60"/>
      <c r="H53" s="60"/>
      <c r="I53" s="35"/>
      <c r="J53" s="35"/>
      <c r="K53" s="35"/>
      <c r="R53" s="212">
        <f>_xll.qlCalendarAdvance(Calendar,R52,"1D","f")</f>
        <v>42349</v>
      </c>
      <c r="S53" s="47">
        <f>_xll.qlTenorBasisValue($P$3,R53,AllTriggers)</f>
        <v>1.112191659581643E-3</v>
      </c>
      <c r="T53" s="41">
        <f>_xll.qlDayCounterYearFraction("actual/365 (fixed)",SettlementDate,R53,,,Trigger)</f>
        <v>0.19178082191780821</v>
      </c>
      <c r="U53" s="47">
        <f>_xll.qlPolynomialFunctionValue($P$18,T53,AllTriggers)</f>
        <v>1.0438986560475146E-3</v>
      </c>
    </row>
    <row r="54" spans="7:21" x14ac:dyDescent="0.2">
      <c r="G54" s="60"/>
      <c r="H54" s="60"/>
      <c r="I54" s="35"/>
      <c r="J54" s="35"/>
      <c r="K54" s="35"/>
      <c r="R54" s="212">
        <f>_xll.qlCalendarAdvance(Calendar,R53,"1D","f")</f>
        <v>42352</v>
      </c>
      <c r="S54" s="47">
        <f>_xll.qlTenorBasisValue($P$3,R54,AllTriggers)</f>
        <v>1.1162401693951209E-3</v>
      </c>
      <c r="T54" s="41">
        <f>_xll.qlDayCounterYearFraction("actual/365 (fixed)",SettlementDate,R54,,,Trigger)</f>
        <v>0.2</v>
      </c>
      <c r="U54" s="47">
        <f>_xll.qlPolynomialFunctionValue($P$18,T54,AllTriggers)</f>
        <v>1.0486574831122092E-3</v>
      </c>
    </row>
    <row r="55" spans="7:21" x14ac:dyDescent="0.2">
      <c r="G55" s="60"/>
      <c r="H55" s="60"/>
      <c r="I55" s="35"/>
      <c r="J55" s="35"/>
      <c r="K55" s="35"/>
      <c r="R55" s="212">
        <f>_xll.qlCalendarAdvance(Calendar,R54,"1D","f")</f>
        <v>42353</v>
      </c>
      <c r="S55" s="47">
        <f>_xll.qlTenorBasisValue($P$3,R55,AllTriggers)</f>
        <v>1.1175800997772641E-3</v>
      </c>
      <c r="T55" s="41">
        <f>_xll.qlDayCounterYearFraction("actual/365 (fixed)",SettlementDate,R55,,,Trigger)</f>
        <v>0.20273972602739726</v>
      </c>
      <c r="U55" s="47">
        <f>_xll.qlPolynomialFunctionValue($P$18,T55,AllTriggers)</f>
        <v>1.0502331468813682E-3</v>
      </c>
    </row>
    <row r="56" spans="7:21" x14ac:dyDescent="0.2">
      <c r="G56" s="60"/>
      <c r="H56" s="60"/>
      <c r="I56" s="35"/>
      <c r="J56" s="35"/>
      <c r="K56" s="35"/>
      <c r="R56" s="212">
        <f>_xll.qlCalendarAdvance(Calendar,R55,"1D","f")</f>
        <v>42354</v>
      </c>
      <c r="S56" s="47">
        <f>_xll.qlTenorBasisValue($P$3,R56,AllTriggers)</f>
        <v>1.1189152618850551E-3</v>
      </c>
      <c r="T56" s="41">
        <f>_xll.qlDayCounterYearFraction("actual/365 (fixed)",SettlementDate,R56,,,Trigger)</f>
        <v>0.20547945205479451</v>
      </c>
      <c r="U56" s="47">
        <f>_xll.qlPolynomialFunctionValue($P$18,T56,AllTriggers)</f>
        <v>1.0518035228611463E-3</v>
      </c>
    </row>
    <row r="57" spans="7:21" x14ac:dyDescent="0.2">
      <c r="G57" s="60"/>
      <c r="H57" s="60"/>
      <c r="I57" s="35"/>
      <c r="J57" s="35"/>
      <c r="K57" s="35"/>
      <c r="R57" s="212">
        <f>_xll.qlCalendarAdvance(Calendar,R56,"1D","f")</f>
        <v>42355</v>
      </c>
      <c r="S57" s="47">
        <f>_xll.qlTenorBasisValue($P$3,R57,AllTriggers)</f>
        <v>1.1202456666205868E-3</v>
      </c>
      <c r="T57" s="41">
        <f>_xll.qlDayCounterYearFraction("actual/365 (fixed)",SettlementDate,R57,,,Trigger)</f>
        <v>0.20821917808219179</v>
      </c>
      <c r="U57" s="47">
        <f>_xll.qlPolynomialFunctionValue($P$18,T57,AllTriggers)</f>
        <v>1.0533686219536367E-3</v>
      </c>
    </row>
    <row r="58" spans="7:21" x14ac:dyDescent="0.2">
      <c r="G58" s="60"/>
      <c r="H58" s="60"/>
      <c r="I58" s="35"/>
      <c r="J58" s="35"/>
      <c r="K58" s="35"/>
      <c r="R58" s="212">
        <f>_xll.qlCalendarAdvance(Calendar,R57,"1D","f")</f>
        <v>42356</v>
      </c>
      <c r="S58" s="47">
        <f>_xll.qlTenorBasisValue($P$3,R58,AllTriggers)</f>
        <v>1.1215713248859524E-3</v>
      </c>
      <c r="T58" s="41">
        <f>_xll.qlDayCounterYearFraction("actual/365 (fixed)",SettlementDate,R58,,,Trigger)</f>
        <v>0.21095890410958903</v>
      </c>
      <c r="U58" s="47">
        <f>_xll.qlPolynomialFunctionValue($P$18,T58,AllTriggers)</f>
        <v>1.0549284550609328E-3</v>
      </c>
    </row>
    <row r="59" spans="7:21" x14ac:dyDescent="0.2">
      <c r="G59" s="60"/>
      <c r="H59" s="60"/>
      <c r="I59" s="35"/>
      <c r="J59" s="35"/>
      <c r="K59" s="35"/>
      <c r="R59" s="212">
        <f>_xll.qlCalendarAdvance(Calendar,R58,"1D","f")</f>
        <v>42359</v>
      </c>
      <c r="S59" s="47">
        <f>_xll.qlTenorBasisValue($P$3,R59,AllTriggers)</f>
        <v>1.1255199298819873E-3</v>
      </c>
      <c r="T59" s="41">
        <f>_xll.qlDayCounterYearFraction("actual/365 (fixed)",SettlementDate,R59,,,Trigger)</f>
        <v>0.21917808219178081</v>
      </c>
      <c r="U59" s="47">
        <f>_xll.qlPolynomialFunctionValue($P$18,T59,AllTriggers)</f>
        <v>1.0595764674925889E-3</v>
      </c>
    </row>
    <row r="60" spans="7:21" x14ac:dyDescent="0.2">
      <c r="R60" s="212">
        <f>_xll.qlCalendarAdvance(Calendar,R59,"1D","f")</f>
        <v>42360</v>
      </c>
      <c r="S60" s="47">
        <f>_xll.qlTenorBasisValue($P$3,R60,AllTriggers)</f>
        <v>1.1268267112876222E-3</v>
      </c>
      <c r="T60" s="41">
        <f>_xll.qlDayCounterYearFraction("actual/365 (fixed)",SettlementDate,R60,,,Trigger)</f>
        <v>0.22191780821917809</v>
      </c>
      <c r="U60" s="47">
        <f>_xll.qlPolynomialFunctionValue($P$18,T60,AllTriggers)</f>
        <v>1.0611153456800411E-3</v>
      </c>
    </row>
    <row r="61" spans="7:21" x14ac:dyDescent="0.2">
      <c r="R61" s="212">
        <f>_xll.qlCalendarAdvance(Calendar,R60,"1D","f")</f>
        <v>42361</v>
      </c>
      <c r="S61" s="47">
        <f>_xll.qlTenorBasisValue($P$3,R61,AllTriggers)</f>
        <v>1.1281288007335575E-3</v>
      </c>
      <c r="T61" s="41">
        <f>_xll.qlDayCounterYearFraction("actual/365 (fixed)",SettlementDate,R61,,,Trigger)</f>
        <v>0.22465753424657534</v>
      </c>
      <c r="U61" s="47">
        <f>_xll.qlPolynomialFunctionValue($P$18,T61,AllTriggers)</f>
        <v>1.0626490123927653E-3</v>
      </c>
    </row>
    <row r="62" spans="7:21" x14ac:dyDescent="0.2">
      <c r="R62" s="212">
        <f>_xll.qlCalendarAdvance(Calendar,R61,"1D","f")</f>
        <v>42362</v>
      </c>
      <c r="S62" s="47">
        <f>_xll.qlTenorBasisValue($P$3,R62,AllTriggers)</f>
        <v>1.1294262091218867E-3</v>
      </c>
      <c r="T62" s="41">
        <f>_xll.qlDayCounterYearFraction("actual/365 (fixed)",SettlementDate,R62,,,Trigger)</f>
        <v>0.22739726027397261</v>
      </c>
      <c r="U62" s="47">
        <f>_xll.qlPolynomialFunctionValue($P$18,T62,AllTriggers)</f>
        <v>1.0641774785328548E-3</v>
      </c>
    </row>
    <row r="63" spans="7:21" x14ac:dyDescent="0.2">
      <c r="R63" s="212">
        <f>_xll.qlCalendarAdvance(Calendar,R62,"1D","f")</f>
        <v>42366</v>
      </c>
      <c r="S63" s="47">
        <f>_xll.qlTenorBasisValue($P$3,R63,AllTriggers)</f>
        <v>1.1345692501410066E-3</v>
      </c>
      <c r="T63" s="41">
        <f>_xll.qlDayCounterYearFraction("actual/365 (fixed)",SettlementDate,R63,,,Trigger)</f>
        <v>0.23835616438356164</v>
      </c>
      <c r="U63" s="47">
        <f>_xll.qlPolynomialFunctionValue($P$18,T63,AllTriggers)</f>
        <v>1.0702395554087329E-3</v>
      </c>
    </row>
    <row r="64" spans="7:21" x14ac:dyDescent="0.2">
      <c r="R64" s="212">
        <f>_xll.qlCalendarAdvance(Calendar,R63,"1D","f")</f>
        <v>42367</v>
      </c>
      <c r="S64" s="47">
        <f>_xll.qlTenorBasisValue($P$3,R64,AllTriggers)</f>
        <v>1.1358434167727039E-3</v>
      </c>
      <c r="T64" s="41">
        <f>_xll.qlDayCounterYearFraction("actual/365 (fixed)",SettlementDate,R64,,,Trigger)</f>
        <v>0.24109589041095891</v>
      </c>
      <c r="U64" s="47">
        <f>_xll.qlPolynomialFunctionValue($P$18,T64,AllTriggers)</f>
        <v>1.0717421822170486E-3</v>
      </c>
    </row>
    <row r="65" spans="18:21" x14ac:dyDescent="0.2">
      <c r="R65" s="212">
        <f>_xll.qlCalendarAdvance(Calendar,R64,"1D","f")</f>
        <v>42368</v>
      </c>
      <c r="S65" s="47">
        <f>_xll.qlTenorBasisValue($P$3,R65,AllTriggers)</f>
        <v>1.1371129677593547E-3</v>
      </c>
      <c r="T65" s="41">
        <f>_xll.qlDayCounterYearFraction("actual/365 (fixed)",SettlementDate,R65,,,Trigger)</f>
        <v>0.24383561643835616</v>
      </c>
      <c r="U65" s="47">
        <f>_xll.qlPolynomialFunctionValue($P$18,T65,AllTriggers)</f>
        <v>1.0732396738652897E-3</v>
      </c>
    </row>
    <row r="66" spans="18:21" x14ac:dyDescent="0.2">
      <c r="R66" s="212">
        <f>_xll.qlCalendarAdvance(Calendar,R65,"1D","f")</f>
        <v>42369</v>
      </c>
      <c r="S66" s="47">
        <f>_xll.qlTenorBasisValue($P$3,R66,AllTriggers)</f>
        <v>1.1383779140030519E-3</v>
      </c>
      <c r="T66" s="41">
        <f>_xll.qlDayCounterYearFraction("actual/365 (fixed)",SettlementDate,R66,,,Trigger)</f>
        <v>0.24657534246575341</v>
      </c>
      <c r="U66" s="47">
        <f>_xll.qlPolynomialFunctionValue($P$18,T66,AllTriggers)</f>
        <v>1.0747320412555486E-3</v>
      </c>
    </row>
    <row r="67" spans="18:21" x14ac:dyDescent="0.2">
      <c r="R67" s="212">
        <f>_xll.qlCalendarAdvance(Calendar,R66,"1D","f")</f>
        <v>42373</v>
      </c>
      <c r="S67" s="47">
        <f>_xll.qlTenorBasisValue($P$3,R67,AllTriggers)</f>
        <v>1.1433918695901739E-3</v>
      </c>
      <c r="T67" s="41">
        <f>_xll.qlDayCounterYearFraction("actual/365 (fixed)",SettlementDate,R67,,,Trigger)</f>
        <v>0.25753424657534246</v>
      </c>
      <c r="U67" s="47">
        <f>_xll.qlPolynomialFunctionValue($P$18,T67,AllTriggers)</f>
        <v>1.0806504862786346E-3</v>
      </c>
    </row>
    <row r="68" spans="18:21" x14ac:dyDescent="0.2">
      <c r="R68" s="212">
        <f>_xll.qlCalendarAdvance(Calendar,R67,"1D","f")</f>
        <v>42374</v>
      </c>
      <c r="S68" s="47">
        <f>_xll.qlTenorBasisValue($P$3,R68,AllTriggers)</f>
        <v>1.1446339556505038E-3</v>
      </c>
      <c r="T68" s="41">
        <f>_xll.qlDayCounterYearFraction("actual/365 (fixed)",SettlementDate,R68,,,Trigger)</f>
        <v>0.26027397260273971</v>
      </c>
      <c r="U68" s="47">
        <f>_xll.qlPolynomialFunctionValue($P$18,T68,AllTriggers)</f>
        <v>1.0821173959103848E-3</v>
      </c>
    </row>
    <row r="69" spans="18:21" x14ac:dyDescent="0.2">
      <c r="R69" s="213">
        <f>_xll.qlCalendarAdvance(Calendar,R68,"1D","f")</f>
        <v>42375</v>
      </c>
      <c r="S69" s="50">
        <f>_xll.qlTenorBasisValue($P$3,R69,AllTriggers)</f>
        <v>1.1458715023804405E-3</v>
      </c>
      <c r="T69" s="44">
        <f>_xll.qlDayCounterYearFraction("actual/365 (fixed)",SettlementDate,R69,,,Trigger)</f>
        <v>0.26301369863013696</v>
      </c>
      <c r="U69" s="50">
        <f>_xll.qlPolynomialFunctionValue($P$18,T69,AllTriggers)</f>
        <v>1.0835792466967133E-3</v>
      </c>
    </row>
    <row r="70" spans="18:21" x14ac:dyDescent="0.2">
      <c r="R70" s="212">
        <f>_xll.qlCalendarAdvance(Calendar,R69,"1D","f")</f>
        <v>42376</v>
      </c>
      <c r="S70" s="47">
        <f>_xll.qlTenorBasisValue($P$3,R70,AllTriggers)</f>
        <v>1.1471045206820766E-3</v>
      </c>
      <c r="T70" s="41">
        <f>_xll.qlDayCounterYearFraction("actual/365 (fixed)",SettlementDate,R70,,,Trigger)</f>
        <v>0.26575342465753427</v>
      </c>
      <c r="U70" s="47">
        <f>_xll.qlPolynomialFunctionValue($P$18,T70,AllTriggers)</f>
        <v>1.0850360495397128E-3</v>
      </c>
    </row>
    <row r="71" spans="18:21" x14ac:dyDescent="0.2">
      <c r="R71" s="212">
        <f>_xll.qlCalendarAdvance(Calendar,R70,"1D","f")</f>
        <v>42377</v>
      </c>
      <c r="S71" s="47">
        <f>_xll.qlTenorBasisValue($P$3,R71,AllTriggers)</f>
        <v>1.1483330214575058E-3</v>
      </c>
      <c r="T71" s="41">
        <f>_xll.qlDayCounterYearFraction("actual/365 (fixed)",SettlementDate,R71,,,Trigger)</f>
        <v>0.26849315068493151</v>
      </c>
      <c r="U71" s="47">
        <f>_xll.qlPolynomialFunctionValue($P$18,T71,AllTriggers)</f>
        <v>1.086487815341477E-3</v>
      </c>
    </row>
    <row r="72" spans="18:21" x14ac:dyDescent="0.2">
      <c r="R72" s="212">
        <f>_xll.qlCalendarAdvance(Calendar,R71,"1D","f")</f>
        <v>42380</v>
      </c>
      <c r="S72" s="47">
        <f>_xll.qlTenorBasisValue($P$3,R72,AllTriggers)</f>
        <v>1.1519915276474834E-3</v>
      </c>
      <c r="T72" s="41">
        <f>_xll.qlDayCounterYearFraction("actual/365 (fixed)",SettlementDate,R72,,,Trigger)</f>
        <v>0.27671232876712326</v>
      </c>
      <c r="U72" s="47">
        <f>_xll.qlPolynomialFunctionValue($P$18,T72,AllTriggers)</f>
        <v>1.0908129995202899E-3</v>
      </c>
    </row>
    <row r="73" spans="18:21" x14ac:dyDescent="0.2">
      <c r="R73" s="212">
        <f>_xll.qlCalendarAdvance(Calendar,R72,"1D","f")</f>
        <v>42381</v>
      </c>
      <c r="S73" s="47">
        <f>_xll.qlTenorBasisValue($P$3,R73,AllTriggers)</f>
        <v>1.1532020673390173E-3</v>
      </c>
      <c r="T73" s="41">
        <f>_xll.qlDayCounterYearFraction("actual/365 (fixed)",SettlementDate,R73,,,Trigger)</f>
        <v>0.27945205479452057</v>
      </c>
      <c r="U73" s="47">
        <f>_xll.qlPolynomialFunctionValue($P$18,T73,AllTriggers)</f>
        <v>1.0922447261780452E-3</v>
      </c>
    </row>
    <row r="74" spans="18:21" x14ac:dyDescent="0.2">
      <c r="R74" s="212">
        <f>_xll.qlCalendarAdvance(Calendar,R73,"1D","f")</f>
        <v>42382</v>
      </c>
      <c r="S74" s="47">
        <f>_xll.qlTenorBasisValue($P$3,R74,AllTriggers)</f>
        <v>1.1544081440148103E-3</v>
      </c>
      <c r="T74" s="41">
        <f>_xll.qlDayCounterYearFraction("actual/365 (fixed)",SettlementDate,R74,,,Trigger)</f>
        <v>0.28219178082191781</v>
      </c>
      <c r="U74" s="47">
        <f>_xll.qlPolynomialFunctionValue($P$18,T74,AllTriggers)</f>
        <v>1.0936714703050315E-3</v>
      </c>
    </row>
    <row r="75" spans="18:21" x14ac:dyDescent="0.2">
      <c r="R75" s="212">
        <f>_xll.qlCalendarAdvance(Calendar,R74,"1D","f")</f>
        <v>42383</v>
      </c>
      <c r="S75" s="47">
        <f>_xll.qlTenorBasisValue($P$3,R75,AllTriggers)</f>
        <v>1.1556097685769557E-3</v>
      </c>
      <c r="T75" s="41">
        <f>_xll.qlDayCounterYearFraction("actual/365 (fixed)",SettlementDate,R75,,,Trigger)</f>
        <v>0.28493150684931506</v>
      </c>
      <c r="U75" s="47">
        <f>_xll.qlPolynomialFunctionValue($P$18,T75,AllTriggers)</f>
        <v>1.0950932428033422E-3</v>
      </c>
    </row>
    <row r="76" spans="18:21" x14ac:dyDescent="0.2">
      <c r="R76" s="212">
        <f>_xll.qlCalendarAdvance(Calendar,R75,"1D","f")</f>
        <v>42384</v>
      </c>
      <c r="S76" s="47">
        <f>_xll.qlTenorBasisValue($P$3,R76,AllTriggers)</f>
        <v>1.1568069519275474E-3</v>
      </c>
      <c r="T76" s="41">
        <f>_xll.qlDayCounterYearFraction("actual/365 (fixed)",SettlementDate,R76,,,Trigger)</f>
        <v>0.28767123287671231</v>
      </c>
      <c r="U76" s="47">
        <f>_xll.qlPolynomialFunctionValue($P$18,T76,AllTriggers)</f>
        <v>1.0965100545750706E-3</v>
      </c>
    </row>
    <row r="77" spans="18:21" x14ac:dyDescent="0.2">
      <c r="R77" s="212">
        <f>_xll.qlCalendarAdvance(Calendar,R76,"1D","f")</f>
        <v>42387</v>
      </c>
      <c r="S77" s="47">
        <f>_xll.qlTenorBasisValue($P$3,R77,AllTriggers)</f>
        <v>1.1603719637309307E-3</v>
      </c>
      <c r="T77" s="41">
        <f>_xll.qlDayCounterYearFraction("actual/365 (fixed)",SettlementDate,R77,,,Trigger)</f>
        <v>0.29589041095890412</v>
      </c>
      <c r="U77" s="47">
        <f>_xll.qlPolynomialFunctionValue($P$18,T77,AllTriggers)</f>
        <v>1.1007308345516932E-3</v>
      </c>
    </row>
    <row r="78" spans="18:21" x14ac:dyDescent="0.2">
      <c r="R78" s="212">
        <f>_xll.qlCalendarAdvance(Calendar,R77,"1D","f")</f>
        <v>42388</v>
      </c>
      <c r="S78" s="47">
        <f>_xll.qlTenorBasisValue($P$3,R78,AllTriggers)</f>
        <v>1.1615514912562384E-3</v>
      </c>
      <c r="T78" s="41">
        <f>_xll.qlDayCounterYearFraction("actual/365 (fixed)",SettlementDate,R78,,,Trigger)</f>
        <v>0.29863013698630136</v>
      </c>
      <c r="U78" s="47">
        <f>_xll.qlPolynomialFunctionValue($P$18,T78,AllTriggers)</f>
        <v>1.1021279124380241E-3</v>
      </c>
    </row>
    <row r="79" spans="18:21" x14ac:dyDescent="0.2">
      <c r="R79" s="212">
        <f>_xll.qlCalendarAdvance(Calendar,R78,"1D","f")</f>
        <v>42389</v>
      </c>
      <c r="S79" s="47">
        <f>_xll.qlTenorBasisValue($P$3,R79,AllTriggers)</f>
        <v>1.1627266320804589E-3</v>
      </c>
      <c r="T79" s="41">
        <f>_xll.qlDayCounterYearFraction("actual/365 (fixed)",SettlementDate,R79,,,Trigger)</f>
        <v>0.30136986301369861</v>
      </c>
      <c r="U79" s="47">
        <f>_xll.qlPolynomialFunctionValue($P$18,T79,AllTriggers)</f>
        <v>1.1035200841082392E-3</v>
      </c>
    </row>
    <row r="80" spans="18:21" x14ac:dyDescent="0.2">
      <c r="R80" s="212">
        <f>_xll.qlCalendarAdvance(Calendar,R79,"1D","f")</f>
        <v>42390</v>
      </c>
      <c r="S80" s="47">
        <f>_xll.qlTenorBasisValue($P$3,R80,AllTriggers)</f>
        <v>1.1638973971056848E-3</v>
      </c>
      <c r="T80" s="41">
        <f>_xll.qlDayCounterYearFraction("actual/365 (fixed)",SettlementDate,R80,,,Trigger)</f>
        <v>0.30410958904109592</v>
      </c>
      <c r="U80" s="47">
        <f>_xll.qlPolynomialFunctionValue($P$18,T80,AllTriggers)</f>
        <v>1.1049073604644315E-3</v>
      </c>
    </row>
    <row r="81" spans="18:21" x14ac:dyDescent="0.2">
      <c r="R81" s="212">
        <f>_xll.qlCalendarAdvance(Calendar,R80,"1D","f")</f>
        <v>42391</v>
      </c>
      <c r="S81" s="47">
        <f>_xll.qlTenorBasisValue($P$3,R81,AllTriggers)</f>
        <v>1.1650637972340097E-3</v>
      </c>
      <c r="T81" s="41">
        <f>_xll.qlDayCounterYearFraction("actual/365 (fixed)",SettlementDate,R81,,,Trigger)</f>
        <v>0.30684931506849317</v>
      </c>
      <c r="U81" s="47">
        <f>_xll.qlPolynomialFunctionValue($P$18,T81,AllTriggers)</f>
        <v>1.1062897524086947E-3</v>
      </c>
    </row>
    <row r="82" spans="18:21" x14ac:dyDescent="0.2">
      <c r="R82" s="212">
        <f>_xll.qlCalendarAdvance(Calendar,R81,"1D","f")</f>
        <v>42394</v>
      </c>
      <c r="S82" s="47">
        <f>_xll.qlTenorBasisValue($P$3,R82,AllTriggers)</f>
        <v>1.1685369172585098E-3</v>
      </c>
      <c r="T82" s="41">
        <f>_xll.qlDayCounterYearFraction("actual/365 (fixed)",SettlementDate,R82,,,Trigger)</f>
        <v>0.31506849315068491</v>
      </c>
      <c r="U82" s="47">
        <f>_xll.qlPolynomialFunctionValue($P$18,T82,AllTriggers)</f>
        <v>1.110407730790839E-3</v>
      </c>
    </row>
    <row r="83" spans="18:21" x14ac:dyDescent="0.2">
      <c r="R83" s="212">
        <f>_xll.qlCalendarAdvance(Calendar,R82,"1D","f")</f>
        <v>42395</v>
      </c>
      <c r="S83" s="47">
        <f>_xll.qlTenorBasisValue($P$3,R83,AllTriggers)</f>
        <v>1.1696859668201629E-3</v>
      </c>
      <c r="T83" s="41">
        <f>_xll.qlDayCounterYearFraction("actual/365 (fixed)",SettlementDate,R83,,,Trigger)</f>
        <v>0.31780821917808222</v>
      </c>
      <c r="U83" s="47">
        <f>_xll.qlPolynomialFunctionValue($P$18,T83,AllTriggers)</f>
        <v>1.1117706941083168E-3</v>
      </c>
    </row>
    <row r="84" spans="18:21" x14ac:dyDescent="0.2">
      <c r="R84" s="212">
        <f>_xll.qlCalendarAdvance(Calendar,R83,"1D","f")</f>
        <v>42396</v>
      </c>
      <c r="S84" s="47">
        <f>_xll.qlTenorBasisValue($P$3,R84,AllTriggers)</f>
        <v>1.1708307059953812E-3</v>
      </c>
      <c r="T84" s="41">
        <f>_xll.qlDayCounterYearFraction("actual/365 (fixed)",SettlementDate,R84,,,Trigger)</f>
        <v>0.32054794520547947</v>
      </c>
      <c r="U84" s="47">
        <f>_xll.qlPolynomialFunctionValue($P$18,T84,AllTriggers)</f>
        <v>1.1131288275243313E-3</v>
      </c>
    </row>
    <row r="85" spans="18:21" x14ac:dyDescent="0.2">
      <c r="R85" s="212">
        <f>_xll.qlCalendarAdvance(Calendar,R84,"1D","f")</f>
        <v>42397</v>
      </c>
      <c r="S85" s="47">
        <f>_xll.qlTenorBasisValue($P$3,R85,AllTriggers)</f>
        <v>1.1719711456862577E-3</v>
      </c>
      <c r="T85" s="41">
        <f>_xll.qlDayCounterYearFraction("actual/365 (fixed)",SettlementDate,R85,,,Trigger)</f>
        <v>0.32328767123287672</v>
      </c>
      <c r="U85" s="47">
        <f>_xll.qlPolynomialFunctionValue($P$18,T85,AllTriggers)</f>
        <v>1.1144821419409761E-3</v>
      </c>
    </row>
    <row r="86" spans="18:21" x14ac:dyDescent="0.2">
      <c r="R86" s="212">
        <f>_xll.qlCalendarAdvance(Calendar,R85,"1D","f")</f>
        <v>42398</v>
      </c>
      <c r="S86" s="47">
        <f>_xll.qlTenorBasisValue($P$3,R86,AllTriggers)</f>
        <v>1.1731072967948865E-3</v>
      </c>
      <c r="T86" s="41">
        <f>_xll.qlDayCounterYearFraction("actual/365 (fixed)",SettlementDate,R86,,,Trigger)</f>
        <v>0.32602739726027397</v>
      </c>
      <c r="U86" s="47">
        <f>_xll.qlPolynomialFunctionValue($P$18,T86,AllTriggers)</f>
        <v>1.1158306482603444E-3</v>
      </c>
    </row>
    <row r="87" spans="18:21" x14ac:dyDescent="0.2">
      <c r="R87" s="212">
        <f>_xll.qlCalendarAdvance(Calendar,R86,"1D","f")</f>
        <v>42401</v>
      </c>
      <c r="S87" s="47">
        <f>_xll.qlTenorBasisValue($P$3,R87,AllTriggers)</f>
        <v>1.1764901276482159E-3</v>
      </c>
      <c r="T87" s="41">
        <f>_xll.qlDayCounterYearFraction("actual/365 (fixed)",SettlementDate,R87,,,Trigger)</f>
        <v>0.33424657534246577</v>
      </c>
      <c r="U87" s="47">
        <f>_xll.qlPolynomialFunctionValue($P$18,T87,AllTriggers)</f>
        <v>1.1198474276557227E-3</v>
      </c>
    </row>
    <row r="88" spans="18:21" x14ac:dyDescent="0.2">
      <c r="R88" s="212">
        <f>_xll.qlCalendarAdvance(Calendar,R87,"1D","f")</f>
        <v>42402</v>
      </c>
      <c r="S88" s="47">
        <f>_xll.qlTenorBasisValue($P$3,R88,AllTriggers)</f>
        <v>1.1776092334487846E-3</v>
      </c>
      <c r="T88" s="41">
        <f>_xll.qlDayCounterYearFraction("actual/365 (fixed)",SettlementDate,R88,,,Trigger)</f>
        <v>0.33698630136986302</v>
      </c>
      <c r="U88" s="47">
        <f>_xll.qlPolynomialFunctionValue($P$18,T88,AllTriggers)</f>
        <v>1.1211768106069173E-3</v>
      </c>
    </row>
    <row r="89" spans="18:21" x14ac:dyDescent="0.2">
      <c r="R89" s="212">
        <f>_xll.qlCalendarAdvance(Calendar,R88,"1D","f")</f>
        <v>42403</v>
      </c>
      <c r="S89" s="47">
        <f>_xll.qlTenorBasisValue($P$3,R89,AllTriggers)</f>
        <v>1.1787241051775716E-3</v>
      </c>
      <c r="T89" s="41">
        <f>_xll.qlDayCounterYearFraction("actual/365 (fixed)",SettlementDate,R89,,,Trigger)</f>
        <v>0.33972602739726027</v>
      </c>
      <c r="U89" s="47">
        <f>_xll.qlPolynomialFunctionValue($P$18,T89,AllTriggers)</f>
        <v>1.1225014399713022E-3</v>
      </c>
    </row>
    <row r="90" spans="18:21" x14ac:dyDescent="0.2">
      <c r="R90" s="212">
        <f>_xll.qlCalendarAdvance(Calendar,R89,"1D","f")</f>
        <v>42404</v>
      </c>
      <c r="S90" s="47">
        <f>_xll.qlTenorBasisValue($P$3,R90,AllTriggers)</f>
        <v>1.1798347537366701E-3</v>
      </c>
      <c r="T90" s="41">
        <f>_xll.qlDayCounterYearFraction("actual/365 (fixed)",SettlementDate,R90,,,Trigger)</f>
        <v>0.34246575342465752</v>
      </c>
      <c r="U90" s="47">
        <f>_xll.qlPolynomialFunctionValue($P$18,T90,AllTriggers)</f>
        <v>1.1238213266509701E-3</v>
      </c>
    </row>
    <row r="91" spans="18:21" x14ac:dyDescent="0.2">
      <c r="R91" s="212">
        <f>_xll.qlCalendarAdvance(Calendar,R90,"1D","f")</f>
        <v>42405</v>
      </c>
      <c r="S91" s="47">
        <f>_xll.qlTenorBasisValue($P$3,R91,AllTriggers)</f>
        <v>1.1809411900281731E-3</v>
      </c>
      <c r="T91" s="41">
        <f>_xll.qlDayCounterYearFraction("actual/365 (fixed)",SettlementDate,R91,,,Trigger)</f>
        <v>0.34520547945205482</v>
      </c>
      <c r="U91" s="47">
        <f>_xll.qlPolynomialFunctionValue($P$18,T91,AllTriggers)</f>
        <v>1.1251364815480145E-3</v>
      </c>
    </row>
    <row r="92" spans="18:21" x14ac:dyDescent="0.2">
      <c r="R92" s="212">
        <f>_xll.qlCalendarAdvance(Calendar,R91,"1D","f")</f>
        <v>42408</v>
      </c>
      <c r="S92" s="47">
        <f>_xll.qlTenorBasisValue($P$3,R92,AllTriggers)</f>
        <v>1.1842353343180442E-3</v>
      </c>
      <c r="T92" s="41">
        <f>_xll.qlDayCounterYearFraction("actual/365 (fixed)",SettlementDate,R92,,,Trigger)</f>
        <v>0.35342465753424657</v>
      </c>
      <c r="U92" s="47">
        <f>_xll.qlPolynomialFunctionValue($P$18,T92,AllTriggers)</f>
        <v>1.1290536645643388E-3</v>
      </c>
    </row>
    <row r="93" spans="18:21" x14ac:dyDescent="0.2">
      <c r="R93" s="212">
        <f>_xll.qlCalendarAdvance(Calendar,R92,"1D","f")</f>
        <v>42409</v>
      </c>
      <c r="S93" s="47">
        <f>_xll.qlTenorBasisValue($P$3,R93,AllTriggers)</f>
        <v>1.185325030560099E-3</v>
      </c>
      <c r="T93" s="41">
        <f>_xll.qlDayCounterYearFraction("actual/365 (fixed)",SettlementDate,R93,,,Trigger)</f>
        <v>0.35616438356164382</v>
      </c>
      <c r="U93" s="47">
        <f>_xll.qlPolynomialFunctionValue($P$18,T93,AllTriggers)</f>
        <v>1.1303500013518217E-3</v>
      </c>
    </row>
    <row r="94" spans="18:21" x14ac:dyDescent="0.2">
      <c r="R94" s="212">
        <f>_xll.qlCalendarAdvance(Calendar,R93,"1D","f")</f>
        <v>42410</v>
      </c>
      <c r="S94" s="47">
        <f>_xll.qlTenorBasisValue($P$3,R94,AllTriggers)</f>
        <v>1.1864105690450254E-3</v>
      </c>
      <c r="T94" s="41">
        <f>_xll.qlDayCounterYearFraction("actual/365 (fixed)",SettlementDate,R94,,,Trigger)</f>
        <v>0.35890410958904112</v>
      </c>
      <c r="U94" s="47">
        <f>_xll.qlPolynomialFunctionValue($P$18,T94,AllTriggers)</f>
        <v>1.1316416608671473E-3</v>
      </c>
    </row>
    <row r="95" spans="18:21" x14ac:dyDescent="0.2">
      <c r="R95" s="212">
        <f>_xll.qlCalendarAdvance(Calendar,R94,"1D","f")</f>
        <v>42411</v>
      </c>
      <c r="S95" s="47">
        <f>_xll.qlTenorBasisValue($P$3,R95,AllTriggers)</f>
        <v>1.1874919606749161E-3</v>
      </c>
      <c r="T95" s="41">
        <f>_xll.qlDayCounterYearFraction("actual/365 (fixed)",SettlementDate,R95,,,Trigger)</f>
        <v>0.36164383561643837</v>
      </c>
      <c r="U95" s="47">
        <f>_xll.qlPolynomialFunctionValue($P$18,T95,AllTriggers)</f>
        <v>1.132928654012409E-3</v>
      </c>
    </row>
    <row r="96" spans="18:21" x14ac:dyDescent="0.2">
      <c r="R96" s="212">
        <f>_xll.qlCalendarAdvance(Calendar,R95,"1D","f")</f>
        <v>42412</v>
      </c>
      <c r="S96" s="47">
        <f>_xll.qlTenorBasisValue($P$3,R96,AllTriggers)</f>
        <v>1.1885692163518646E-3</v>
      </c>
      <c r="T96" s="41">
        <f>_xll.qlDayCounterYearFraction("actual/365 (fixed)",SettlementDate,R96,,,Trigger)</f>
        <v>0.36438356164383562</v>
      </c>
      <c r="U96" s="47">
        <f>_xll.qlPolynomialFunctionValue($P$18,T96,AllTriggers)</f>
        <v>1.1342109916897001E-3</v>
      </c>
    </row>
    <row r="97" spans="18:21" x14ac:dyDescent="0.2">
      <c r="R97" s="212">
        <f>_xll.qlCalendarAdvance(Calendar,R96,"1D","f")</f>
        <v>42415</v>
      </c>
      <c r="S97" s="47">
        <f>_xll.qlTenorBasisValue($P$3,R97,AllTriggers)</f>
        <v>1.1917762766859889E-3</v>
      </c>
      <c r="T97" s="41">
        <f>_xll.qlDayCounterYearFraction("actual/365 (fixed)",SettlementDate,R97,,,Trigger)</f>
        <v>0.37260273972602742</v>
      </c>
      <c r="U97" s="47">
        <f>_xll.qlPolynomialFunctionValue($P$18,T97,AllTriggers)</f>
        <v>1.1380301809346821E-3</v>
      </c>
    </row>
    <row r="98" spans="18:21" x14ac:dyDescent="0.2">
      <c r="R98" s="212">
        <f>_xll.qlCalendarAdvance(Calendar,R97,"1D","f")</f>
        <v>42416</v>
      </c>
      <c r="S98" s="47">
        <f>_xll.qlTenorBasisValue($P$3,R98,AllTriggers)</f>
        <v>1.192837097572101E-3</v>
      </c>
      <c r="T98" s="41">
        <f>_xll.qlDayCounterYearFraction("actual/365 (fixed)",SettlementDate,R98,,,Trigger)</f>
        <v>0.37534246575342467</v>
      </c>
      <c r="U98" s="47">
        <f>_xll.qlPolynomialFunctionValue($P$18,T98,AllTriggers)</f>
        <v>1.1392940057610235E-3</v>
      </c>
    </row>
    <row r="99" spans="18:21" x14ac:dyDescent="0.2">
      <c r="R99" s="212">
        <f>_xll.qlCalendarAdvance(Calendar,R98,"1D","f")</f>
        <v>42417</v>
      </c>
      <c r="S99" s="47">
        <f>_xll.qlTenorBasisValue($P$3,R99,AllTriggers)</f>
        <v>1.1938938370157372E-3</v>
      </c>
      <c r="T99" s="41">
        <f>_xll.qlDayCounterYearFraction("actual/365 (fixed)",SettlementDate,R99,,,Trigger)</f>
        <v>0.37808219178082192</v>
      </c>
      <c r="U99" s="47">
        <f>_xll.qlPolynomialFunctionValue($P$18,T99,AllTriggers)</f>
        <v>1.1405532296298608E-3</v>
      </c>
    </row>
    <row r="100" spans="18:21" x14ac:dyDescent="0.2">
      <c r="R100" s="212">
        <f>_xll.qlCalendarAdvance(Calendar,R99,"1D","f")</f>
        <v>42418</v>
      </c>
      <c r="S100" s="47">
        <f>_xll.qlTenorBasisValue($P$3,R100,AllTriggers)</f>
        <v>1.1949465059189906E-3</v>
      </c>
      <c r="T100" s="41">
        <f>_xll.qlDayCounterYearFraction("actual/365 (fixed)",SettlementDate,R100,,,Trigger)</f>
        <v>0.38082191780821917</v>
      </c>
      <c r="U100" s="47">
        <f>_xll.qlPolynomialFunctionValue($P$18,T100,AllTriggers)</f>
        <v>1.1418078634432868E-3</v>
      </c>
    </row>
    <row r="101" spans="18:21" x14ac:dyDescent="0.2">
      <c r="R101" s="212">
        <f>_xll.qlCalendarAdvance(Calendar,R100,"1D","f")</f>
        <v>42419</v>
      </c>
      <c r="S101" s="47">
        <f>_xll.qlTenorBasisValue($P$3,R101,AllTriggers)</f>
        <v>1.1959951151839551E-3</v>
      </c>
      <c r="T101" s="41">
        <f>_xll.qlDayCounterYearFraction("actual/365 (fixed)",SettlementDate,R101,,,Trigger)</f>
        <v>0.38356164383561642</v>
      </c>
      <c r="U101" s="47">
        <f>_xll.qlPolynomialFunctionValue($P$18,T101,AllTriggers)</f>
        <v>1.1430579181033954E-3</v>
      </c>
    </row>
    <row r="102" spans="18:21" x14ac:dyDescent="0.2">
      <c r="R102" s="212">
        <f>_xll.qlCalendarAdvance(Calendar,R101,"1D","f")</f>
        <v>42422</v>
      </c>
      <c r="S102" s="47">
        <f>_xll.qlTenorBasisValue($P$3,R102,AllTriggers)</f>
        <v>1.1991166941700451E-3</v>
      </c>
      <c r="T102" s="41">
        <f>_xll.qlDayCounterYearFraction("actual/365 (fixed)",SettlementDate,R102,,,Trigger)</f>
        <v>0.39178082191780822</v>
      </c>
      <c r="U102" s="47">
        <f>_xll.qlPolynomialFunctionValue($P$18,T102,AllTriggers)</f>
        <v>1.1467807161847478E-3</v>
      </c>
    </row>
    <row r="103" spans="18:21" x14ac:dyDescent="0.2">
      <c r="R103" s="212">
        <f>_xll.qlCalendarAdvance(Calendar,R102,"1D","f")</f>
        <v>42423</v>
      </c>
      <c r="S103" s="47">
        <f>_xll.qlTenorBasisValue($P$3,R103,AllTriggers)</f>
        <v>1.2001491739027849E-3</v>
      </c>
      <c r="T103" s="41">
        <f>_xll.qlDayCounterYearFraction("actual/365 (fixed)",SettlementDate,R103,,,Trigger)</f>
        <v>0.39452054794520547</v>
      </c>
      <c r="U103" s="47">
        <f>_xll.qlPolynomialFunctionValue($P$18,T103,AllTriggers)</f>
        <v>1.1480125632525183E-3</v>
      </c>
    </row>
    <row r="104" spans="18:21" x14ac:dyDescent="0.2">
      <c r="R104" s="212">
        <f>_xll.qlCalendarAdvance(Calendar,R103,"1D","f")</f>
        <v>42424</v>
      </c>
      <c r="S104" s="47">
        <f>_xll.qlTenorBasisValue($P$3,R104,AllTriggers)</f>
        <v>1.2011776485077019E-3</v>
      </c>
      <c r="T104" s="41">
        <f>_xll.qlDayCounterYearFraction("actual/365 (fixed)",SettlementDate,R104,,,Trigger)</f>
        <v>0.39726027397260272</v>
      </c>
      <c r="U104" s="47">
        <f>_xll.qlPolynomialFunctionValue($P$18,T104,AllTriggers)</f>
        <v>1.1492398856774377E-3</v>
      </c>
    </row>
    <row r="105" spans="18:21" x14ac:dyDescent="0.2">
      <c r="R105" s="212">
        <f>_xll.qlCalendarAdvance(Calendar,R104,"1D","f")</f>
        <v>42425</v>
      </c>
      <c r="S105" s="47">
        <f>_xll.qlTenorBasisValue($P$3,R105,AllTriggers)</f>
        <v>1.2022021288868891E-3</v>
      </c>
      <c r="T105" s="41">
        <f>_xll.qlDayCounterYearFraction("actual/365 (fixed)",SettlementDate,R105,,,Trigger)</f>
        <v>0.4</v>
      </c>
      <c r="U105" s="47">
        <f>_xll.qlPolynomialFunctionValue($P$18,T105,AllTriggers)</f>
        <v>1.1504626943615989E-3</v>
      </c>
    </row>
    <row r="106" spans="18:21" x14ac:dyDescent="0.2">
      <c r="R106" s="212">
        <f>_xll.qlCalendarAdvance(Calendar,R105,"1D","f")</f>
        <v>42426</v>
      </c>
      <c r="S106" s="47">
        <f>_xll.qlTenorBasisValue($P$3,R106,AllTriggers)</f>
        <v>1.2032226259424399E-3</v>
      </c>
      <c r="T106" s="41">
        <f>_xll.qlDayCounterYearFraction("actual/365 (fixed)",SettlementDate,R106,,,Trigger)</f>
        <v>0.40273972602739727</v>
      </c>
      <c r="U106" s="47">
        <f>_xll.qlPolynomialFunctionValue($P$18,T106,AllTriggers)</f>
        <v>1.1516810002070955E-3</v>
      </c>
    </row>
    <row r="107" spans="18:21" x14ac:dyDescent="0.2">
      <c r="R107" s="212">
        <f>_xll.qlCalendarAdvance(Calendar,R106,"1D","f")</f>
        <v>42429</v>
      </c>
      <c r="S107" s="47">
        <f>_xll.qlTenorBasisValue($P$3,R107,AllTriggers)</f>
        <v>1.2062603261882075E-3</v>
      </c>
      <c r="T107" s="41">
        <f>_xll.qlDayCounterYearFraction("actual/365 (fixed)",SettlementDate,R107,,,Trigger)</f>
        <v>0.41095890410958902</v>
      </c>
      <c r="U107" s="47">
        <f>_xll.qlPolynomialFunctionValue($P$18,T107,AllTriggers)</f>
        <v>1.1553090097325301E-3</v>
      </c>
    </row>
    <row r="108" spans="18:21" x14ac:dyDescent="0.2">
      <c r="R108" s="212">
        <f>_xll.qlCalendarAdvance(Calendar,R107,"1D","f")</f>
        <v>42430</v>
      </c>
      <c r="S108" s="47">
        <f>_xll.qlTenorBasisValue($P$3,R108,AllTriggers)</f>
        <v>1.207264998970146E-3</v>
      </c>
      <c r="T108" s="41">
        <f>_xll.qlDayCounterYearFraction("actual/365 (fixed)",SettlementDate,R108,,,Trigger)</f>
        <v>0.41369863013698632</v>
      </c>
      <c r="U108" s="47">
        <f>_xll.qlPolynomialFunctionValue($P$18,T108,AllTriggers)</f>
        <v>1.1565094132443008E-3</v>
      </c>
    </row>
    <row r="109" spans="18:21" x14ac:dyDescent="0.2">
      <c r="R109" s="212">
        <f>_xll.qlCalendarAdvance(Calendar,R108,"1D","f")</f>
        <v>42431</v>
      </c>
      <c r="S109" s="47">
        <f>_xll.qlTenorBasisValue($P$3,R109,AllTriggers)</f>
        <v>1.2082657429389144E-3</v>
      </c>
      <c r="T109" s="41">
        <f>_xll.qlDayCounterYearFraction("actual/365 (fixed)",SettlementDate,R109,,,Trigger)</f>
        <v>0.41643835616438357</v>
      </c>
      <c r="U109" s="47">
        <f>_xll.qlPolynomialFunctionValue($P$18,T109,AllTriggers)</f>
        <v>1.1577053684278733E-3</v>
      </c>
    </row>
    <row r="110" spans="18:21" x14ac:dyDescent="0.2">
      <c r="R110" s="212">
        <f>_xll.qlCalendarAdvance(Calendar,R109,"1D","f")</f>
        <v>42432</v>
      </c>
      <c r="S110" s="47">
        <f>_xll.qlTenorBasisValue($P$3,R110,AllTriggers)</f>
        <v>1.2092625689966057E-3</v>
      </c>
      <c r="T110" s="41">
        <f>_xll.qlDayCounterYearFraction("actual/365 (fixed)",SettlementDate,R110,,,Trigger)</f>
        <v>0.41917808219178082</v>
      </c>
      <c r="U110" s="47">
        <f>_xll.qlPolynomialFunctionValue($P$18,T110,AllTriggers)</f>
        <v>1.1588968861853401E-3</v>
      </c>
    </row>
    <row r="111" spans="18:21" x14ac:dyDescent="0.2">
      <c r="R111" s="212">
        <f>_xll.qlCalendarAdvance(Calendar,R110,"1D","f")</f>
        <v>42433</v>
      </c>
      <c r="S111" s="47">
        <f>_xll.qlTenorBasisValue($P$3,R111,AllTriggers)</f>
        <v>1.2102554880453142E-3</v>
      </c>
      <c r="T111" s="41">
        <f>_xll.qlDayCounterYearFraction("actual/365 (fixed)",SettlementDate,R111,,,Trigger)</f>
        <v>0.42191780821917807</v>
      </c>
      <c r="U111" s="47">
        <f>_xll.qlPolynomialFunctionValue($P$18,T111,AllTriggers)</f>
        <v>1.1600839774187958E-3</v>
      </c>
    </row>
    <row r="112" spans="18:21" x14ac:dyDescent="0.2">
      <c r="R112" s="212">
        <f>_xll.qlCalendarAdvance(Calendar,R111,"1D","f")</f>
        <v>42436</v>
      </c>
      <c r="S112" s="47">
        <f>_xll.qlTenorBasisValue($P$3,R112,AllTriggers)</f>
        <v>1.2132109121584711E-3</v>
      </c>
      <c r="T112" s="41">
        <f>_xll.qlDayCounterYearFraction("actual/365 (fixed)",SettlementDate,R112,,,Trigger)</f>
        <v>0.43013698630136987</v>
      </c>
      <c r="U112" s="47">
        <f>_xll.qlPolynomialFunctionValue($P$18,T112,AllTriggers)</f>
        <v>1.1636188009960242E-3</v>
      </c>
    </row>
    <row r="113" spans="18:21" x14ac:dyDescent="0.2">
      <c r="R113" s="212">
        <f>_xll.qlCalendarAdvance(Calendar,R112,"1D","f")</f>
        <v>42437</v>
      </c>
      <c r="S113" s="47">
        <f>_xll.qlTenorBasisValue($P$3,R113,AllTriggers)</f>
        <v>1.2141883121921787E-3</v>
      </c>
      <c r="T113" s="41">
        <f>_xll.qlDayCounterYearFraction("actual/365 (fixed)",SettlementDate,R113,,,Trigger)</f>
        <v>0.43287671232876712</v>
      </c>
      <c r="U113" s="47">
        <f>_xll.qlPolynomialFunctionValue($P$18,T113,AllTriggers)</f>
        <v>1.1647882951543655E-3</v>
      </c>
    </row>
    <row r="114" spans="18:21" x14ac:dyDescent="0.2">
      <c r="R114" s="212">
        <f>_xll.qlCalendarAdvance(Calendar,R113,"1D","f")</f>
        <v>42438</v>
      </c>
      <c r="S114" s="47">
        <f>_xll.qlTenorBasisValue($P$3,R114,AllTriggers)</f>
        <v>1.2151618597273691E-3</v>
      </c>
      <c r="T114" s="41">
        <f>_xll.qlDayCounterYearFraction("actual/365 (fixed)",SettlementDate,R114,,,Trigger)</f>
        <v>0.43561643835616437</v>
      </c>
      <c r="U114" s="47">
        <f>_xll.qlPolynomialFunctionValue($P$18,T114,AllTriggers)</f>
        <v>1.1659534172991613E-3</v>
      </c>
    </row>
    <row r="115" spans="18:21" x14ac:dyDescent="0.2">
      <c r="R115" s="212">
        <f>_xll.qlCalendarAdvance(Calendar,R114,"1D","f")</f>
        <v>42439</v>
      </c>
      <c r="S115" s="47">
        <f>_xll.qlTenorBasisValue($P$3,R115,AllTriggers)</f>
        <v>1.2161315656661357E-3</v>
      </c>
      <c r="T115" s="41">
        <f>_xll.qlDayCounterYearFraction("actual/365 (fixed)",SettlementDate,R115,,,Trigger)</f>
        <v>0.43835616438356162</v>
      </c>
      <c r="U115" s="47">
        <f>_xll.qlPolynomialFunctionValue($P$18,T115,AllTriggers)</f>
        <v>1.1671141783325051E-3</v>
      </c>
    </row>
    <row r="116" spans="18:21" x14ac:dyDescent="0.2">
      <c r="R116" s="212">
        <f>_xll.qlCalendarAdvance(Calendar,R115,"1D","f")</f>
        <v>42440</v>
      </c>
      <c r="S116" s="47">
        <f>_xll.qlTenorBasisValue($P$3,R116,AllTriggers)</f>
        <v>1.217097440910572E-3</v>
      </c>
      <c r="T116" s="41">
        <f>_xll.qlDayCounterYearFraction("actual/365 (fixed)",SettlementDate,R116,,,Trigger)</f>
        <v>0.44109589041095892</v>
      </c>
      <c r="U116" s="47">
        <f>_xll.qlPolynomialFunctionValue($P$18,T116,AllTriggers)</f>
        <v>1.16827058915649E-3</v>
      </c>
    </row>
    <row r="117" spans="18:21" x14ac:dyDescent="0.2">
      <c r="R117" s="212">
        <f>_xll.qlCalendarAdvance(Calendar,R116,"1D","f")</f>
        <v>42443</v>
      </c>
      <c r="S117" s="47">
        <f>_xll.qlTenorBasisValue($P$3,R117,AllTriggers)</f>
        <v>1.2199721914988311E-3</v>
      </c>
      <c r="T117" s="41">
        <f>_xll.qlDayCounterYearFraction("actual/365 (fixed)",SettlementDate,R117,,,Trigger)</f>
        <v>0.44931506849315067</v>
      </c>
      <c r="U117" s="47">
        <f>_xll.qlPolynomialFunctionValue($P$18,T117,AllTriggers)</f>
        <v>1.1717138293932253E-3</v>
      </c>
    </row>
    <row r="118" spans="18:21" x14ac:dyDescent="0.2">
      <c r="R118" s="212">
        <f>_xll.qlCalendarAdvance(Calendar,R117,"1D","f")</f>
        <v>42444</v>
      </c>
      <c r="S118" s="47">
        <f>_xll.qlTenorBasisValue($P$3,R118,AllTriggers)</f>
        <v>1.2209228529868779E-3</v>
      </c>
      <c r="T118" s="41">
        <f>_xll.qlDayCounterYearFraction("actual/365 (fixed)",SettlementDate,R118,,,Trigger)</f>
        <v>0.45205479452054792</v>
      </c>
      <c r="U118" s="47">
        <f>_xll.qlPolynomialFunctionValue($P$18,T118,AllTriggers)</f>
        <v>1.1728529484007078E-3</v>
      </c>
    </row>
    <row r="119" spans="18:21" x14ac:dyDescent="0.2">
      <c r="R119" s="212">
        <f>_xll.qlCalendarAdvance(Calendar,R118,"1D","f")</f>
        <v>42445</v>
      </c>
      <c r="S119" s="47">
        <f>_xll.qlTenorBasisValue($P$3,R119,AllTriggers)</f>
        <v>1.2218697382910613E-3</v>
      </c>
      <c r="T119" s="41">
        <f>_xll.qlDayCounterYearFraction("actual/365 (fixed)",SettlementDate,R119,,,Trigger)</f>
        <v>0.45479452054794522</v>
      </c>
      <c r="U119" s="47">
        <f>_xll.qlPolynomialFunctionValue($P$18,T119,AllTriggers)</f>
        <v>1.1739877717092981E-3</v>
      </c>
    </row>
    <row r="120" spans="18:21" x14ac:dyDescent="0.2">
      <c r="R120" s="212">
        <f>_xll.qlCalendarAdvance(Calendar,R119,"1D","f")</f>
        <v>42446</v>
      </c>
      <c r="S120" s="47">
        <f>_xll.qlTenorBasisValue($P$3,R120,AllTriggers)</f>
        <v>1.2228128583134737E-3</v>
      </c>
      <c r="T120" s="41">
        <f>_xll.qlDayCounterYearFraction("actual/365 (fixed)",SettlementDate,R120,,,Trigger)</f>
        <v>0.45753424657534247</v>
      </c>
      <c r="U120" s="47">
        <f>_xll.qlPolynomialFunctionValue($P$18,T120,AllTriggers)</f>
        <v>1.175118310221089E-3</v>
      </c>
    </row>
    <row r="121" spans="18:21" x14ac:dyDescent="0.2">
      <c r="R121" s="212">
        <f>_xll.qlCalendarAdvance(Calendar,R120,"1D","f")</f>
        <v>42447</v>
      </c>
      <c r="S121" s="47">
        <f>_xll.qlTenorBasisValue($P$3,R121,AllTriggers)</f>
        <v>1.2237522239562087E-3</v>
      </c>
      <c r="T121" s="41">
        <f>_xll.qlDayCounterYearFraction("actual/365 (fixed)",SettlementDate,R121,,,Trigger)</f>
        <v>0.46027397260273972</v>
      </c>
      <c r="U121" s="47">
        <f>_xll.qlPolynomialFunctionValue($P$18,T121,AllTriggers)</f>
        <v>1.1762445748381741E-3</v>
      </c>
    </row>
    <row r="122" spans="18:21" x14ac:dyDescent="0.2">
      <c r="R122" s="212">
        <f>_xll.qlCalendarAdvance(Calendar,R121,"1D","f")</f>
        <v>42450</v>
      </c>
      <c r="S122" s="47">
        <f>_xll.qlTenorBasisValue($P$3,R122,AllTriggers)</f>
        <v>1.2265479036272812E-3</v>
      </c>
      <c r="T122" s="41">
        <f>_xll.qlDayCounterYearFraction("actual/365 (fixed)",SettlementDate,R122,,,Trigger)</f>
        <v>0.46849315068493153</v>
      </c>
      <c r="U122" s="47">
        <f>_xll.qlPolynomialFunctionValue($P$18,T122,AllTriggers)</f>
        <v>1.1795978343421274E-3</v>
      </c>
    </row>
    <row r="123" spans="18:21" x14ac:dyDescent="0.2">
      <c r="R123" s="212">
        <f>_xll.qlCalendarAdvance(Calendar,R122,"1D","f")</f>
        <v>42451</v>
      </c>
      <c r="S123" s="47">
        <f>_xll.qlTenorBasisValue($P$3,R123,AllTriggers)</f>
        <v>1.227472360772239E-3</v>
      </c>
      <c r="T123" s="41">
        <f>_xll.qlDayCounterYearFraction("actual/365 (fixed)",SettlementDate,R123,,,Trigger)</f>
        <v>0.47123287671232877</v>
      </c>
      <c r="U123" s="47">
        <f>_xll.qlPolynomialFunctionValue($P$18,T123,AllTriggers)</f>
        <v>1.180707112401322E-3</v>
      </c>
    </row>
    <row r="124" spans="18:21" x14ac:dyDescent="0.2">
      <c r="R124" s="212">
        <f>_xll.qlCalendarAdvance(Calendar,R123,"1D","f")</f>
        <v>42452</v>
      </c>
      <c r="S124" s="47">
        <f>_xll.qlTenorBasisValue($P$3,R124,AllTriggers)</f>
        <v>1.2283931180479858E-3</v>
      </c>
      <c r="T124" s="41">
        <f>_xll.qlDayCounterYearFraction("actual/365 (fixed)",SettlementDate,R124,,,Trigger)</f>
        <v>0.47397260273972602</v>
      </c>
      <c r="U124" s="47">
        <f>_xll.qlPolynomialFunctionValue($P$18,T124,AllTriggers)</f>
        <v>1.1818121710762772E-3</v>
      </c>
    </row>
    <row r="125" spans="18:21" x14ac:dyDescent="0.2">
      <c r="R125" s="212">
        <f>_xll.qlCalendarAdvance(Calendar,R124,"1D","f")</f>
        <v>42453</v>
      </c>
      <c r="S125" s="47">
        <f>_xll.qlTenorBasisValue($P$3,R125,AllTriggers)</f>
        <v>1.2293101863566143E-3</v>
      </c>
      <c r="T125" s="41">
        <f>_xll.qlDayCounterYearFraction("actual/365 (fixed)",SettlementDate,R125,,,Trigger)</f>
        <v>0.47671232876712327</v>
      </c>
      <c r="U125" s="47">
        <f>_xll.qlPolynomialFunctionValue($P$18,T125,AllTriggers)</f>
        <v>1.1829130212690862E-3</v>
      </c>
    </row>
    <row r="126" spans="18:21" x14ac:dyDescent="0.2">
      <c r="R126" s="212">
        <f>_xll.qlCalendarAdvance(Calendar,R125,"1D","f")</f>
        <v>42458</v>
      </c>
      <c r="S126" s="47">
        <f>_xll.qlTenorBasisValue($P$3,R126,AllTriggers)</f>
        <v>1.2338405749662562E-3</v>
      </c>
      <c r="T126" s="41">
        <f>_xll.qlDayCounterYearFraction("actual/365 (fixed)",SettlementDate,R126,,,Trigger)</f>
        <v>0.49041095890410957</v>
      </c>
      <c r="U126" s="47">
        <f>_xll.qlPolynomialFunctionValue($P$18,T126,AllTriggers)</f>
        <v>1.1883545265742033E-3</v>
      </c>
    </row>
    <row r="127" spans="18:21" x14ac:dyDescent="0.2">
      <c r="R127" s="212">
        <f>_xll.qlCalendarAdvance(Calendar,R126,"1D","f")</f>
        <v>42459</v>
      </c>
      <c r="S127" s="47">
        <f>_xll.qlTenorBasisValue($P$3,R127,AllTriggers)</f>
        <v>1.2347357384161369E-3</v>
      </c>
      <c r="T127" s="41">
        <f>_xll.qlDayCounterYearFraction("actual/365 (fixed)",SettlementDate,R127,,,Trigger)</f>
        <v>0.49315068493150682</v>
      </c>
      <c r="U127" s="47">
        <f>_xll.qlPolynomialFunctionValue($P$18,T127,AllTriggers)</f>
        <v>1.189430354818094E-3</v>
      </c>
    </row>
    <row r="128" spans="18:21" x14ac:dyDescent="0.2">
      <c r="R128" s="212">
        <f>_xll.qlCalendarAdvance(Calendar,R127,"1D","f")</f>
        <v>42460</v>
      </c>
      <c r="S128" s="47">
        <f>_xll.qlTenorBasisValue($P$3,R128,AllTriggers)</f>
        <v>1.2356272892135528E-3</v>
      </c>
      <c r="T128" s="41">
        <f>_xll.qlDayCounterYearFraction("actual/365 (fixed)",SettlementDate,R128,,,Trigger)</f>
        <v>0.49589041095890413</v>
      </c>
      <c r="U128" s="47">
        <f>_xll.qlPolynomialFunctionValue($P$18,T128,AllTriggers)</f>
        <v>1.1905020508944915E-3</v>
      </c>
    </row>
    <row r="129" spans="18:21" x14ac:dyDescent="0.2">
      <c r="R129" s="212">
        <f>_xll.qlCalendarAdvance(Calendar,R128,"1D","f")</f>
        <v>42461</v>
      </c>
      <c r="S129" s="47">
        <f>_xll.qlTenorBasisValue($P$3,R129,AllTriggers)</f>
        <v>1.2365152382605973E-3</v>
      </c>
      <c r="T129" s="41">
        <f>_xll.qlDayCounterYearFraction("actual/365 (fixed)",SettlementDate,R129,,,Trigger)</f>
        <v>0.49863013698630138</v>
      </c>
      <c r="U129" s="47">
        <f>_xll.qlPolynomialFunctionValue($P$18,T129,AllTriggers)</f>
        <v>1.1915696257054893E-3</v>
      </c>
    </row>
    <row r="130" spans="18:21" x14ac:dyDescent="0.2">
      <c r="R130" s="212">
        <f>_xll.qlCalendarAdvance(Calendar,R129,"1D","f")</f>
        <v>42464</v>
      </c>
      <c r="S130" s="47">
        <f>_xll.qlTenorBasisValue($P$3,R130,AllTriggers)</f>
        <v>1.2391575839204338E-3</v>
      </c>
      <c r="T130" s="41">
        <f>_xll.qlDayCounterYearFraction("actual/365 (fixed)",SettlementDate,R130,,,Trigger)</f>
        <v>0.50684931506849318</v>
      </c>
      <c r="U130" s="47">
        <f>_xll.qlPolynomialFunctionValue($P$18,T130,AllTriggers)</f>
        <v>1.1947477315670154E-3</v>
      </c>
    </row>
    <row r="131" spans="18:21" x14ac:dyDescent="0.2">
      <c r="R131" s="212">
        <f>_xll.qlCalendarAdvance(Calendar,R130,"1D","f")</f>
        <v>42465</v>
      </c>
      <c r="S131" s="47">
        <f>_xll.qlTenorBasisValue($P$3,R131,AllTriggers)</f>
        <v>1.2400312349869244E-3</v>
      </c>
      <c r="T131" s="41">
        <f>_xll.qlDayCounterYearFraction("actual/365 (fixed)",SettlementDate,R131,,,Trigger)</f>
        <v>0.50958904109589043</v>
      </c>
      <c r="U131" s="47">
        <f>_xll.qlPolynomialFunctionValue($P$18,T131,AllTriggers)</f>
        <v>1.1957989303373461E-3</v>
      </c>
    </row>
    <row r="132" spans="18:21" x14ac:dyDescent="0.2">
      <c r="R132" s="212">
        <f>_xll.qlCalendarAdvance(Calendar,R131,"1D","f")</f>
        <v>42466</v>
      </c>
      <c r="S132" s="47">
        <f>_xll.qlTenorBasisValue($P$3,R132,AllTriggers)</f>
        <v>1.2409013388135102E-3</v>
      </c>
      <c r="T132" s="41">
        <f>_xll.qlDayCounterYearFraction("actual/365 (fixed)",SettlementDate,R132,,,Trigger)</f>
        <v>0.51232876712328768</v>
      </c>
      <c r="U132" s="47">
        <f>_xll.qlPolynomialFunctionValue($P$18,T132,AllTriggers)</f>
        <v>1.1968460623527433E-3</v>
      </c>
    </row>
    <row r="133" spans="18:21" x14ac:dyDescent="0.2">
      <c r="R133" s="212">
        <f>_xll.qlCalendarAdvance(Calendar,R132,"1D","f")</f>
        <v>42467</v>
      </c>
      <c r="S133" s="47">
        <f>_xll.qlTenorBasisValue($P$3,R133,AllTriggers)</f>
        <v>1.2417679063022838E-3</v>
      </c>
      <c r="T133" s="41">
        <f>_xll.qlDayCounterYearFraction("actual/365 (fixed)",SettlementDate,R133,,,Trigger)</f>
        <v>0.51506849315068493</v>
      </c>
      <c r="U133" s="47">
        <f>_xll.qlPolynomialFunctionValue($P$18,T133,AllTriggers)</f>
        <v>1.1978891385153003E-3</v>
      </c>
    </row>
    <row r="134" spans="18:21" x14ac:dyDescent="0.2">
      <c r="R134" s="212">
        <f>_xll.qlCalendarAdvance(Calendar,R133,"1D","f")</f>
        <v>42468</v>
      </c>
      <c r="S134" s="47">
        <f>_xll.qlTenorBasisValue($P$3,R134,AllTriggers)</f>
        <v>1.2426309483553389E-3</v>
      </c>
      <c r="T134" s="41">
        <f>_xll.qlDayCounterYearFraction("actual/365 (fixed)",SettlementDate,R134,,,Trigger)</f>
        <v>0.51780821917808217</v>
      </c>
      <c r="U134" s="47">
        <f>_xll.qlPolynomialFunctionValue($P$18,T134,AllTriggers)</f>
        <v>1.1989281697271099E-3</v>
      </c>
    </row>
    <row r="135" spans="18:21" x14ac:dyDescent="0.2">
      <c r="R135" s="212">
        <f>_xll.qlCalendarAdvance(Calendar,R134,"1D","f")</f>
        <v>42471</v>
      </c>
      <c r="S135" s="47">
        <f>_xll.qlTenorBasisValue($P$3,R135,AllTriggers)</f>
        <v>1.2451990309211253E-3</v>
      </c>
      <c r="T135" s="41">
        <f>_xll.qlDayCounterYearFraction("actual/365 (fixed)",SettlementDate,R135,,,Trigger)</f>
        <v>0.52602739726027392</v>
      </c>
      <c r="U135" s="47">
        <f>_xll.qlPolynomialFunctionValue($P$18,T135,AllTriggers)</f>
        <v>1.2020211026789909E-3</v>
      </c>
    </row>
    <row r="136" spans="18:21" x14ac:dyDescent="0.2">
      <c r="R136" s="212">
        <f>_xll.qlCalendarAdvance(Calendar,R135,"1D","f")</f>
        <v>42472</v>
      </c>
      <c r="S136" s="47">
        <f>_xll.qlTenorBasisValue($P$3,R136,AllTriggers)</f>
        <v>1.2460480802522387E-3</v>
      </c>
      <c r="T136" s="41">
        <f>_xll.qlDayCounterYearFraction("actual/365 (fixed)",SettlementDate,R136,,,Trigger)</f>
        <v>0.52876712328767128</v>
      </c>
      <c r="U136" s="47">
        <f>_xll.qlPolynomialFunctionValue($P$18,T136,AllTriggers)</f>
        <v>1.2030440631087456E-3</v>
      </c>
    </row>
    <row r="137" spans="18:21" x14ac:dyDescent="0.2">
      <c r="R137" s="212">
        <f>_xll.qlCalendarAdvance(Calendar,R136,"1D","f")</f>
        <v>42473</v>
      </c>
      <c r="S137" s="47">
        <f>_xll.qlTenorBasisValue($P$3,R137,AllTriggers)</f>
        <v>1.2468936586580999E-3</v>
      </c>
      <c r="T137" s="41">
        <f>_xll.qlDayCounterYearFraction("actual/365 (fixed)",SettlementDate,R137,,,Trigger)</f>
        <v>0.53150684931506853</v>
      </c>
      <c r="U137" s="47">
        <f>_xll.qlPolynomialFunctionValue($P$18,T137,AllTriggers)</f>
        <v>1.2040630330982197E-3</v>
      </c>
    </row>
    <row r="138" spans="18:21" x14ac:dyDescent="0.2">
      <c r="R138" s="212">
        <f>_xll.qlCalendarAdvance(Calendar,R137,"1D","f")</f>
        <v>42474</v>
      </c>
      <c r="S138" s="47">
        <f>_xll.qlTenorBasisValue($P$3,R138,AllTriggers)</f>
        <v>1.2477357770408022E-3</v>
      </c>
      <c r="T138" s="41">
        <f>_xll.qlDayCounterYearFraction("actual/365 (fixed)",SettlementDate,R138,,,Trigger)</f>
        <v>0.53424657534246578</v>
      </c>
      <c r="U138" s="47">
        <f>_xll.qlPolynomialFunctionValue($P$18,T138,AllTriggers)</f>
        <v>1.2050780235495068E-3</v>
      </c>
    </row>
    <row r="139" spans="18:21" x14ac:dyDescent="0.2">
      <c r="R139" s="212">
        <f>_xll.qlCalendarAdvance(Calendar,R138,"1D","f")</f>
        <v>42475</v>
      </c>
      <c r="S139" s="47">
        <f>_xll.qlTenorBasisValue($P$3,R139,AllTriggers)</f>
        <v>1.2485744463024387E-3</v>
      </c>
      <c r="T139" s="41">
        <f>_xll.qlDayCounterYearFraction("actual/365 (fixed)",SettlementDate,R139,,,Trigger)</f>
        <v>0.53698630136986303</v>
      </c>
      <c r="U139" s="47">
        <f>_xll.qlPolynomialFunctionValue($P$18,T139,AllTriggers)</f>
        <v>1.2060890453646997E-3</v>
      </c>
    </row>
    <row r="140" spans="18:21" x14ac:dyDescent="0.2">
      <c r="R140" s="212">
        <f>_xll.qlCalendarAdvance(Calendar,R139,"1D","f")</f>
        <v>42478</v>
      </c>
      <c r="S140" s="47">
        <f>_xll.qlTenorBasisValue($P$3,R140,AllTriggers)</f>
        <v>1.2510698683818871E-3</v>
      </c>
      <c r="T140" s="41">
        <f>_xll.qlDayCounterYearFraction("actual/365 (fixed)",SettlementDate,R140,,,Trigger)</f>
        <v>0.54520547945205478</v>
      </c>
      <c r="U140" s="47">
        <f>_xll.qlPolynomialFunctionValue($P$18,T140,AllTriggers)</f>
        <v>1.2090984080146468E-3</v>
      </c>
    </row>
    <row r="141" spans="18:21" x14ac:dyDescent="0.2">
      <c r="R141" s="212">
        <f>_xll.qlCalendarAdvance(Calendar,R140,"1D","f")</f>
        <v>42479</v>
      </c>
      <c r="S141" s="47">
        <f>_xll.qlTenorBasisValue($P$3,R141,AllTriggers)</f>
        <v>1.2518948501801935E-3</v>
      </c>
      <c r="T141" s="41">
        <f>_xll.qlDayCounterYearFraction("actual/365 (fixed)",SettlementDate,R141,,,Trigger)</f>
        <v>0.54794520547945202</v>
      </c>
      <c r="U141" s="47">
        <f>_xll.qlPolynomialFunctionValue($P$18,T141,AllTriggers)</f>
        <v>1.2100936643063965E-3</v>
      </c>
    </row>
    <row r="142" spans="18:21" x14ac:dyDescent="0.2">
      <c r="R142" s="212">
        <f>_xll.qlCalendarAdvance(Calendar,R141,"1D","f")</f>
        <v>42480</v>
      </c>
      <c r="S142" s="47">
        <f>_xll.qlTenorBasisValue($P$3,R142,AllTriggers)</f>
        <v>1.2527164373679011E-3</v>
      </c>
      <c r="T142" s="41">
        <f>_xll.qlDayCounterYearFraction("actual/365 (fixed)",SettlementDate,R142,,,Trigger)</f>
        <v>0.55068493150684927</v>
      </c>
      <c r="U142" s="47">
        <f>_xll.qlPolynomialFunctionValue($P$18,T142,AllTriggers)</f>
        <v>1.2110850064725185E-3</v>
      </c>
    </row>
    <row r="143" spans="18:21" x14ac:dyDescent="0.2">
      <c r="R143" s="212">
        <f>_xll.qlCalendarAdvance(Calendar,R142,"1D","f")</f>
        <v>42481</v>
      </c>
      <c r="S143" s="47">
        <f>_xll.qlTenorBasisValue($P$3,R143,AllTriggers)</f>
        <v>1.2535346408471025E-3</v>
      </c>
      <c r="T143" s="41">
        <f>_xll.qlDayCounterYearFraction("actual/365 (fixed)",SettlementDate,R143,,,Trigger)</f>
        <v>0.55342465753424652</v>
      </c>
      <c r="U143" s="47">
        <f>_xll.qlPolynomialFunctionValue($P$18,T143,AllTriggers)</f>
        <v>1.2120724454151061E-3</v>
      </c>
    </row>
    <row r="144" spans="18:21" x14ac:dyDescent="0.2">
      <c r="R144" s="212">
        <f>_xll.qlCalendarAdvance(Calendar,R143,"1D","f")</f>
        <v>42482</v>
      </c>
      <c r="S144" s="47">
        <f>_xll.qlTenorBasisValue($P$3,R144,AllTriggers)</f>
        <v>1.2543494715198911E-3</v>
      </c>
      <c r="T144" s="41">
        <f>_xll.qlDayCounterYearFraction("actual/365 (fixed)",SettlementDate,R144,,,Trigger)</f>
        <v>0.55616438356164388</v>
      </c>
      <c r="U144" s="47">
        <f>_xll.qlPolynomialFunctionValue($P$18,T144,AllTriggers)</f>
        <v>1.2130559920362526E-3</v>
      </c>
    </row>
    <row r="145" spans="18:21" x14ac:dyDescent="0.2">
      <c r="R145" s="212">
        <f>_xll.qlCalendarAdvance(Calendar,R144,"1D","f")</f>
        <v>42485</v>
      </c>
      <c r="S145" s="47">
        <f>_xll.qlTenorBasisValue($P$3,R145,AllTriggers)</f>
        <v>1.2567738357207136E-3</v>
      </c>
      <c r="T145" s="41">
        <f>_xll.qlDayCounterYearFraction("actual/365 (fixed)",SettlementDate,R145,,,Trigger)</f>
        <v>0.56438356164383563</v>
      </c>
      <c r="U145" s="47">
        <f>_xll.qlPolynomialFunctionValue($P$18,T145,AllTriggers)</f>
        <v>1.2159833869919787E-3</v>
      </c>
    </row>
    <row r="146" spans="18:21" x14ac:dyDescent="0.2">
      <c r="R146" s="212">
        <f>_xll.qlCalendarAdvance(Calendar,R145,"1D","f")</f>
        <v>42486</v>
      </c>
      <c r="S146" s="47">
        <f>_xll.qlTenorBasisValue($P$3,R146,AllTriggers)</f>
        <v>1.2575752841887842E-3</v>
      </c>
      <c r="T146" s="41">
        <f>_xll.qlDayCounterYearFraction("actual/365 (fixed)",SettlementDate,R146,,,Trigger)</f>
        <v>0.56712328767123288</v>
      </c>
      <c r="U146" s="47">
        <f>_xll.qlPolynomialFunctionValue($P$18,T146,AllTriggers)</f>
        <v>1.2169514733482937E-3</v>
      </c>
    </row>
    <row r="147" spans="18:21" x14ac:dyDescent="0.2">
      <c r="R147" s="212">
        <f>_xll.qlCalendarAdvance(Calendar,R146,"1D","f")</f>
        <v>42487</v>
      </c>
      <c r="S147" s="47">
        <f>_xll.qlTenorBasisValue($P$3,R147,AllTriggers)</f>
        <v>1.2583734143609086E-3</v>
      </c>
      <c r="T147" s="41">
        <f>_xll.qlDayCounterYearFraction("actual/365 (fixed)",SettlementDate,R147,,,Trigger)</f>
        <v>0.56986301369863013</v>
      </c>
      <c r="U147" s="47">
        <f>_xll.qlPolynomialFunctionValue($P$18,T147,AllTriggers)</f>
        <v>1.217915721893634E-3</v>
      </c>
    </row>
    <row r="148" spans="18:21" x14ac:dyDescent="0.2">
      <c r="R148" s="212">
        <f>_xll.qlCalendarAdvance(Calendar,R147,"1D","f")</f>
        <v>42488</v>
      </c>
      <c r="S148" s="47">
        <f>_xll.qlTenorBasisValue($P$3,R148,AllTriggers)</f>
        <v>1.2591682371391798E-3</v>
      </c>
      <c r="T148" s="41">
        <f>_xll.qlDayCounterYearFraction("actual/365 (fixed)",SettlementDate,R148,,,Trigger)</f>
        <v>0.57260273972602738</v>
      </c>
      <c r="U148" s="47">
        <f>_xll.qlPolynomialFunctionValue($P$18,T148,AllTriggers)</f>
        <v>1.218876143530093E-3</v>
      </c>
    </row>
    <row r="149" spans="18:21" x14ac:dyDescent="0.2">
      <c r="R149" s="212">
        <f>_xll.qlCalendarAdvance(Calendar,R148,"1D","f")</f>
        <v>42489</v>
      </c>
      <c r="S149" s="47">
        <f>_xll.qlTenorBasisValue($P$3,R149,AllTriggers)</f>
        <v>1.2599597634256913E-3</v>
      </c>
      <c r="T149" s="41">
        <f>_xll.qlDayCounterYearFraction("actual/365 (fixed)",SettlementDate,R149,,,Trigger)</f>
        <v>0.57534246575342463</v>
      </c>
      <c r="U149" s="47">
        <f>_xll.qlPolynomialFunctionValue($P$18,T149,AllTriggers)</f>
        <v>1.2198327491597639E-3</v>
      </c>
    </row>
    <row r="150" spans="18:21" x14ac:dyDescent="0.2">
      <c r="R150" s="212">
        <f>_xll.qlCalendarAdvance(Calendar,R149,"1D","f")</f>
        <v>42492</v>
      </c>
      <c r="S150" s="47">
        <f>_xll.qlTenorBasisValue($P$3,R150,AllTriggers)</f>
        <v>1.2623146723556001E-3</v>
      </c>
      <c r="T150" s="41">
        <f>_xll.qlDayCounterYearFraction("actual/365 (fixed)",SettlementDate,R150,,,Trigger)</f>
        <v>0.58356164383561648</v>
      </c>
      <c r="U150" s="47">
        <f>_xll.qlPolynomialFunctionValue($P$18,T150,AllTriggers)</f>
        <v>1.2226797790289806E-3</v>
      </c>
    </row>
    <row r="151" spans="18:21" x14ac:dyDescent="0.2">
      <c r="R151" s="212">
        <f>_xll.qlCalendarAdvance(Calendar,R150,"1D","f")</f>
        <v>42493</v>
      </c>
      <c r="S151" s="47">
        <f>_xll.qlTenorBasisValue($P$3,R151,AllTriggers)</f>
        <v>1.2630931216960053E-3</v>
      </c>
      <c r="T151" s="41">
        <f>_xll.qlDayCounterYearFraction("actual/365 (fixed)",SettlementDate,R151,,,Trigger)</f>
        <v>0.58630136986301373</v>
      </c>
      <c r="U151" s="47">
        <f>_xll.qlPolynomialFunctionValue($P$18,T151,AllTriggers)</f>
        <v>1.2236212296524317E-3</v>
      </c>
    </row>
    <row r="152" spans="18:21" x14ac:dyDescent="0.2">
      <c r="R152" s="212">
        <f>_xll.qlCalendarAdvance(Calendar,R151,"1D","f")</f>
        <v>42494</v>
      </c>
      <c r="S152" s="47">
        <f>_xll.qlTenorBasisValue($P$3,R152,AllTriggers)</f>
        <v>1.2638683290551172E-3</v>
      </c>
      <c r="T152" s="41">
        <f>_xll.qlDayCounterYearFraction("actual/365 (fixed)",SettlementDate,R152,,,Trigger)</f>
        <v>0.58904109589041098</v>
      </c>
      <c r="U152" s="47">
        <f>_xll.qlPolynomialFunctionValue($P$18,T152,AllTriggers)</f>
        <v>1.2245589187795613E-3</v>
      </c>
    </row>
    <row r="153" spans="18:21" x14ac:dyDescent="0.2">
      <c r="R153" s="212">
        <f>_xll.qlCalendarAdvance(Calendar,R152,"1D","f")</f>
        <v>42495</v>
      </c>
      <c r="S153" s="47">
        <f>_xll.qlTenorBasisValue($P$3,R153,AllTriggers)</f>
        <v>1.264640305335029E-3</v>
      </c>
      <c r="T153" s="41">
        <f>_xll.qlDayCounterYearFraction("actual/365 (fixed)",SettlementDate,R153,,,Trigger)</f>
        <v>0.59178082191780823</v>
      </c>
      <c r="U153" s="47">
        <f>_xll.qlPolynomialFunctionValue($P$18,T153,AllTriggers)</f>
        <v>1.2254928573124625E-3</v>
      </c>
    </row>
    <row r="154" spans="18:21" x14ac:dyDescent="0.2">
      <c r="R154" s="212">
        <f>_xll.qlCalendarAdvance(Calendar,R153,"1D","f")</f>
        <v>42496</v>
      </c>
      <c r="S154" s="47">
        <f>_xll.qlTenorBasisValue($P$3,R154,AllTriggers)</f>
        <v>1.2654090614378339E-3</v>
      </c>
      <c r="T154" s="41">
        <f>_xll.qlDayCounterYearFraction("actual/365 (fixed)",SettlementDate,R154,,,Trigger)</f>
        <v>0.59452054794520548</v>
      </c>
      <c r="U154" s="47">
        <f>_xll.qlPolynomialFunctionValue($P$18,T154,AllTriggers)</f>
        <v>1.2264230561532283E-3</v>
      </c>
    </row>
    <row r="155" spans="18:21" x14ac:dyDescent="0.2">
      <c r="R155" s="212">
        <f>_xll.qlCalendarAdvance(Calendar,R154,"1D","f")</f>
        <v>42499</v>
      </c>
      <c r="S155" s="47">
        <f>_xll.qlTenorBasisValue($P$3,R155,AllTriggers)</f>
        <v>1.2676961177045408E-3</v>
      </c>
      <c r="T155" s="41">
        <f>_xll.qlDayCounterYearFraction("actual/365 (fixed)",SettlementDate,R155,,,Trigger)</f>
        <v>0.60273972602739723</v>
      </c>
      <c r="U155" s="47">
        <f>_xll.qlPolynomialFunctionValue($P$18,T155,AllTriggers)</f>
        <v>1.2291913235436477E-3</v>
      </c>
    </row>
    <row r="156" spans="18:21" x14ac:dyDescent="0.2">
      <c r="R156" s="212">
        <f>_xll.qlCalendarAdvance(Calendar,R155,"1D","f")</f>
        <v>42500</v>
      </c>
      <c r="S156" s="47">
        <f>_xll.qlTenorBasisValue($P$3,R156,AllTriggers)</f>
        <v>1.2684521021198516E-3</v>
      </c>
      <c r="T156" s="41">
        <f>_xll.qlDayCounterYearFraction("actual/365 (fixed)",SettlementDate,R156,,,Trigger)</f>
        <v>0.60547945205479448</v>
      </c>
      <c r="U156" s="47">
        <f>_xll.qlPolynomialFunctionValue($P$18,T156,AllTriggers)</f>
        <v>1.2301066726368058E-3</v>
      </c>
    </row>
    <row r="157" spans="18:21" x14ac:dyDescent="0.2">
      <c r="R157" s="212">
        <f>_xll.qlCalendarAdvance(Calendar,R156,"1D","f")</f>
        <v>42501</v>
      </c>
      <c r="S157" s="47">
        <f>_xll.qlTenorBasisValue($P$3,R157,AllTriggers)</f>
        <v>1.2692049208685217E-3</v>
      </c>
      <c r="T157" s="41">
        <f>_xll.qlDayCounterYearFraction("actual/365 (fixed)",SettlementDate,R157,,,Trigger)</f>
        <v>0.60821917808219184</v>
      </c>
      <c r="U157" s="47">
        <f>_xll.qlPolynomialFunctionValue($P$18,T157,AllTriggers)</f>
        <v>1.2310183365482953E-3</v>
      </c>
    </row>
    <row r="158" spans="18:21" x14ac:dyDescent="0.2">
      <c r="R158" s="212">
        <f>_xll.qlCalendarAdvance(Calendar,R157,"1D","f")</f>
        <v>42502</v>
      </c>
      <c r="S158" s="47">
        <f>_xll.qlTenorBasisValue($P$3,R158,AllTriggers)</f>
        <v>1.2699545848526448E-3</v>
      </c>
      <c r="T158" s="41">
        <f>_xll.qlDayCounterYearFraction("actual/365 (fixed)",SettlementDate,R158,,,Trigger)</f>
        <v>0.61095890410958908</v>
      </c>
      <c r="U158" s="47">
        <f>_xll.qlPolynomialFunctionValue($P$18,T158,AllTriggers)</f>
        <v>1.2319263261802091E-3</v>
      </c>
    </row>
    <row r="159" spans="18:21" x14ac:dyDescent="0.2">
      <c r="R159" s="212">
        <f>_xll.qlCalendarAdvance(Calendar,R158,"1D","f")</f>
        <v>42503</v>
      </c>
      <c r="S159" s="47">
        <f>_xll.qlTenorBasisValue($P$3,R159,AllTriggers)</f>
        <v>1.2707011049743137E-3</v>
      </c>
      <c r="T159" s="41">
        <f>_xll.qlDayCounterYearFraction("actual/365 (fixed)",SettlementDate,R159,,,Trigger)</f>
        <v>0.61369863013698633</v>
      </c>
      <c r="U159" s="47">
        <f>_xll.qlPolynomialFunctionValue($P$18,T159,AllTriggers)</f>
        <v>1.2328306524346405E-3</v>
      </c>
    </row>
    <row r="160" spans="18:21" x14ac:dyDescent="0.2">
      <c r="R160" s="212">
        <f>_xll.qlCalendarAdvance(Calendar,R159,"1D","f")</f>
        <v>42506</v>
      </c>
      <c r="S160" s="47">
        <f>_xll.qlTenorBasisValue($P$3,R160,AllTriggers)</f>
        <v>1.2729219111855309E-3</v>
      </c>
      <c r="T160" s="41">
        <f>_xll.qlDayCounterYearFraction("actual/365 (fixed)",SettlementDate,R160,,,Trigger)</f>
        <v>0.62191780821917808</v>
      </c>
      <c r="U160" s="47">
        <f>_xll.qlPolynomialFunctionValue($P$18,T160,AllTriggers)</f>
        <v>1.2355217599539748E-3</v>
      </c>
    </row>
    <row r="161" spans="18:21" x14ac:dyDescent="0.2">
      <c r="R161" s="212">
        <f>_xll.qlCalendarAdvance(Calendar,R160,"1D","f")</f>
        <v>42507</v>
      </c>
      <c r="S161" s="47">
        <f>_xll.qlTenorBasisValue($P$3,R161,AllTriggers)</f>
        <v>1.2736559648783177E-3</v>
      </c>
      <c r="T161" s="41">
        <f>_xll.qlDayCounterYearFraction("actual/365 (fixed)",SettlementDate,R161,,,Trigger)</f>
        <v>0.62465753424657533</v>
      </c>
      <c r="U161" s="47">
        <f>_xll.qlPolynomialFunctionValue($P$18,T161,AllTriggers)</f>
        <v>1.2364115417194104E-3</v>
      </c>
    </row>
    <row r="162" spans="18:21" x14ac:dyDescent="0.2">
      <c r="R162" s="212">
        <f>_xll.qlCalendarAdvance(Calendar,R161,"1D","f")</f>
        <v>42508</v>
      </c>
      <c r="S162" s="47">
        <f>_xll.qlTenorBasisValue($P$3,R162,AllTriggers)</f>
        <v>1.2743869292191168E-3</v>
      </c>
      <c r="T162" s="41">
        <f>_xll.qlDayCounterYearFraction("actual/365 (fixed)",SettlementDate,R162,,,Trigger)</f>
        <v>0.62739726027397258</v>
      </c>
      <c r="U162" s="47">
        <f>_xll.qlPolynomialFunctionValue($P$18,T162,AllTriggers)</f>
        <v>1.2372977146178302E-3</v>
      </c>
    </row>
    <row r="163" spans="18:21" x14ac:dyDescent="0.2">
      <c r="R163" s="212">
        <f>_xll.qlCalendarAdvance(Calendar,R162,"1D","f")</f>
        <v>42509</v>
      </c>
      <c r="S163" s="47">
        <f>_xll.qlTenorBasisValue($P$3,R163,AllTriggers)</f>
        <v>1.2751148151100219E-3</v>
      </c>
      <c r="T163" s="41">
        <f>_xll.qlDayCounterYearFraction("actual/365 (fixed)",SettlementDate,R163,,,Trigger)</f>
        <v>0.63013698630136983</v>
      </c>
      <c r="U163" s="47">
        <f>_xll.qlPolynomialFunctionValue($P$18,T163,AllTriggers)</f>
        <v>1.2381802895513275E-3</v>
      </c>
    </row>
    <row r="164" spans="18:21" x14ac:dyDescent="0.2">
      <c r="R164" s="212">
        <f>_xll.qlCalendarAdvance(Calendar,R163,"1D","f")</f>
        <v>42510</v>
      </c>
      <c r="S164" s="47">
        <f>_xll.qlTenorBasisValue($P$3,R164,AllTriggers)</f>
        <v>1.2758396334531256E-3</v>
      </c>
      <c r="T164" s="41">
        <f>_xll.qlDayCounterYearFraction("actual/365 (fixed)",SettlementDate,R164,,,Trigger)</f>
        <v>0.63287671232876708</v>
      </c>
      <c r="U164" s="47">
        <f>_xll.qlPolynomialFunctionValue($P$18,T164,AllTriggers)</f>
        <v>1.2390592774219956E-3</v>
      </c>
    </row>
    <row r="165" spans="18:21" x14ac:dyDescent="0.2">
      <c r="R165" s="212">
        <f>_xll.qlCalendarAdvance(Calendar,R164,"1D","f")</f>
        <v>42513</v>
      </c>
      <c r="S165" s="47">
        <f>_xll.qlTenorBasisValue($P$3,R165,AllTriggers)</f>
        <v>1.2779957922165654E-3</v>
      </c>
      <c r="T165" s="41">
        <f>_xll.qlDayCounterYearFraction("actual/365 (fixed)",SettlementDate,R165,,,Trigger)</f>
        <v>0.64109589041095894</v>
      </c>
      <c r="U165" s="47">
        <f>_xll.qlPolynomialFunctionValue($P$18,T165,AllTriggers)</f>
        <v>1.2416748276779569E-3</v>
      </c>
    </row>
    <row r="166" spans="18:21" x14ac:dyDescent="0.2">
      <c r="R166" s="212">
        <f>_xll.qlCalendarAdvance(Calendar,R165,"1D","f")</f>
        <v>42514</v>
      </c>
      <c r="S166" s="47">
        <f>_xll.qlTenorBasisValue($P$3,R166,AllTriggers)</f>
        <v>1.2787084493893985E-3</v>
      </c>
      <c r="T166" s="41">
        <f>_xll.qlDayCounterYearFraction("actual/365 (fixed)",SettlementDate,R166,,,Trigger)</f>
        <v>0.64383561643835618</v>
      </c>
      <c r="U166" s="47">
        <f>_xll.qlPolynomialFunctionValue($P$18,T166,AllTriggers)</f>
        <v>1.2425395763182407E-3</v>
      </c>
    </row>
    <row r="167" spans="18:21" x14ac:dyDescent="0.2">
      <c r="R167" s="212">
        <f>_xll.qlCalendarAdvance(Calendar,R166,"1D","f")</f>
        <v>42515</v>
      </c>
      <c r="S167" s="47">
        <f>_xll.qlTenorBasisValue($P$3,R167,AllTriggers)</f>
        <v>1.2794180935248975E-3</v>
      </c>
      <c r="T167" s="41">
        <f>_xll.qlDayCounterYearFraction("actual/365 (fixed)",SettlementDate,R167,,,Trigger)</f>
        <v>0.64657534246575343</v>
      </c>
      <c r="U167" s="47">
        <f>_xll.qlPolynomialFunctionValue($P$18,T167,AllTriggers)</f>
        <v>1.2434007924061617E-3</v>
      </c>
    </row>
    <row r="168" spans="18:21" x14ac:dyDescent="0.2">
      <c r="R168" s="212">
        <f>_xll.qlCalendarAdvance(Calendar,R167,"1D","f")</f>
        <v>42516</v>
      </c>
      <c r="S168" s="47">
        <f>_xll.qlTenorBasisValue($P$3,R168,AllTriggers)</f>
        <v>1.2801247355251552E-3</v>
      </c>
      <c r="T168" s="41">
        <f>_xll.qlDayCounterYearFraction("actual/365 (fixed)",SettlementDate,R168,,,Trigger)</f>
        <v>0.64931506849315068</v>
      </c>
      <c r="U168" s="47">
        <f>_xll.qlPolynomialFunctionValue($P$18,T168,AllTriggers)</f>
        <v>1.2442584868438131E-3</v>
      </c>
    </row>
    <row r="169" spans="18:21" x14ac:dyDescent="0.2">
      <c r="R169" s="212">
        <f>_xll.qlCalendarAdvance(Calendar,R168,"1D","f")</f>
        <v>42517</v>
      </c>
      <c r="S169" s="47">
        <f>_xll.qlTenorBasisValue($P$3,R169,AllTriggers)</f>
        <v>1.2808283862922648E-3</v>
      </c>
      <c r="T169" s="41">
        <f>_xll.qlDayCounterYearFraction("actual/365 (fixed)",SettlementDate,R169,,,Trigger)</f>
        <v>0.65205479452054793</v>
      </c>
      <c r="U169" s="47">
        <f>_xll.qlPolynomialFunctionValue($P$18,T169,AllTriggers)</f>
        <v>1.2451126705332882E-3</v>
      </c>
    </row>
    <row r="170" spans="18:21" x14ac:dyDescent="0.2">
      <c r="R170" s="212">
        <f>_xll.qlCalendarAdvance(Calendar,R169,"1D","f")</f>
        <v>42520</v>
      </c>
      <c r="S170" s="47">
        <f>_xll.qlTenorBasisValue($P$3,R170,AllTriggers)</f>
        <v>1.2829215002156389E-3</v>
      </c>
      <c r="T170" s="41">
        <f>_xll.qlDayCounterYearFraction("actual/365 (fixed)",SettlementDate,R170,,,Trigger)</f>
        <v>0.66027397260273968</v>
      </c>
      <c r="U170" s="47">
        <f>_xll.qlPolynomialFunctionValue($P$18,T170,AllTriggers)</f>
        <v>1.2476542661335884E-3</v>
      </c>
    </row>
    <row r="171" spans="18:21" x14ac:dyDescent="0.2">
      <c r="R171" s="212">
        <f>_xll.qlCalendarAdvance(Calendar,R170,"1D","f")</f>
        <v>42521</v>
      </c>
      <c r="S171" s="47">
        <f>_xll.qlTenorBasisValue($P$3,R171,AllTriggers)</f>
        <v>1.2836132950710896E-3</v>
      </c>
      <c r="T171" s="41">
        <f>_xll.qlDayCounterYearFraction("actual/365 (fixed)",SettlementDate,R171,,,Trigger)</f>
        <v>0.66301369863013704</v>
      </c>
      <c r="U171" s="47">
        <f>_xll.qlPolynomialFunctionValue($P$18,T171,AllTriggers)</f>
        <v>1.2484945158512913E-3</v>
      </c>
    </row>
    <row r="172" spans="18:21" x14ac:dyDescent="0.2">
      <c r="R172" s="212">
        <f>_xll.qlCalendarAdvance(Calendar,R171,"1D","f")</f>
        <v>42522</v>
      </c>
      <c r="S172" s="47">
        <f>_xll.qlTenorBasisValue($P$3,R172,AllTriggers)</f>
        <v>1.2843021532038586E-3</v>
      </c>
      <c r="T172" s="41">
        <f>_xll.qlDayCounterYearFraction("actual/365 (fixed)",SettlementDate,R172,,,Trigger)</f>
        <v>0.66575342465753429</v>
      </c>
      <c r="U172" s="47">
        <f>_xll.qlPolynomialFunctionValue($P$18,T172,AllTriggers)</f>
        <v>1.2493313093312841E-3</v>
      </c>
    </row>
    <row r="173" spans="18:21" x14ac:dyDescent="0.2">
      <c r="R173" s="212">
        <f>_xll.qlCalendarAdvance(Calendar,R172,"1D","f")</f>
        <v>42523</v>
      </c>
      <c r="S173" s="47">
        <f>_xll.qlTenorBasisValue($P$3,R173,AllTriggers)</f>
        <v>1.2849880855160395E-3</v>
      </c>
      <c r="T173" s="41">
        <f>_xll.qlDayCounterYearFraction("actual/365 (fixed)",SettlementDate,R173,,,Trigger)</f>
        <v>0.66849315068493154</v>
      </c>
      <c r="U173" s="47">
        <f>_xll.qlPolynomialFunctionValue($P$18,T173,AllTriggers)</f>
        <v>1.2501646574756605E-3</v>
      </c>
    </row>
    <row r="174" spans="18:21" x14ac:dyDescent="0.2">
      <c r="R174" s="212">
        <f>_xll.qlCalendarAdvance(Calendar,R173,"1D","f")</f>
        <v>42524</v>
      </c>
      <c r="S174" s="47">
        <f>_xll.qlTenorBasisValue($P$3,R174,AllTriggers)</f>
        <v>1.2856711029097254E-3</v>
      </c>
      <c r="T174" s="41">
        <f>_xll.qlDayCounterYearFraction("actual/365 (fixed)",SettlementDate,R174,,,Trigger)</f>
        <v>0.67123287671232879</v>
      </c>
      <c r="U174" s="47">
        <f>_xll.qlPolynomialFunctionValue($P$18,T174,AllTriggers)</f>
        <v>1.2509945711865133E-3</v>
      </c>
    </row>
    <row r="175" spans="18:21" x14ac:dyDescent="0.2">
      <c r="R175" s="212">
        <f>_xll.qlCalendarAdvance(Calendar,R174,"1D","f")</f>
        <v>42527</v>
      </c>
      <c r="S175" s="47">
        <f>_xll.qlTenorBasisValue($P$3,R175,AllTriggers)</f>
        <v>1.2877027746007461E-3</v>
      </c>
      <c r="T175" s="41">
        <f>_xll.qlDayCounterYearFraction("actual/365 (fixed)",SettlementDate,R175,,,Trigger)</f>
        <v>0.67945205479452053</v>
      </c>
      <c r="U175" s="47">
        <f>_xll.qlPolynomialFunctionValue($P$18,T175,AllTriggers)</f>
        <v>1.2534638147388645E-3</v>
      </c>
    </row>
    <row r="176" spans="18:21" x14ac:dyDescent="0.2">
      <c r="R176" s="212">
        <f>_xll.qlCalendarAdvance(Calendar,R175,"1D","f")</f>
        <v>42528</v>
      </c>
      <c r="S176" s="47">
        <f>_xll.qlTenorBasisValue($P$3,R176,AllTriggers)</f>
        <v>1.2883742413413849E-3</v>
      </c>
      <c r="T176" s="41">
        <f>_xll.qlDayCounterYearFraction("actual/365 (fixed)",SettlementDate,R176,,,Trigger)</f>
        <v>0.68219178082191778</v>
      </c>
      <c r="U176" s="47">
        <f>_xll.qlPolynomialFunctionValue($P$18,T176,AllTriggers)</f>
        <v>1.2542800997365571E-3</v>
      </c>
    </row>
    <row r="177" spans="18:21" x14ac:dyDescent="0.2">
      <c r="R177" s="212">
        <f>_xll.qlCalendarAdvance(Calendar,R176,"1D","f")</f>
        <v>42529</v>
      </c>
      <c r="S177" s="47">
        <f>_xll.qlTenorBasisValue($P$3,R177,AllTriggers)</f>
        <v>1.289042847673995E-3</v>
      </c>
      <c r="T177" s="41">
        <f>_xll.qlDayCounterYearFraction("actual/365 (fixed)",SettlementDate,R177,,,Trigger)</f>
        <v>0.68493150684931503</v>
      </c>
      <c r="U177" s="47">
        <f>_xll.qlPolynomialFunctionValue($P$18,T177,AllTriggers)</f>
        <v>1.2550930048111923E-3</v>
      </c>
    </row>
    <row r="178" spans="18:21" x14ac:dyDescent="0.2">
      <c r="R178" s="212">
        <f>_xll.qlCalendarAdvance(Calendar,R177,"1D","f")</f>
        <v>42530</v>
      </c>
      <c r="S178" s="47">
        <f>_xll.qlTenorBasisValue($P$3,R178,AllTriggers)</f>
        <v>1.2897086045006701E-3</v>
      </c>
      <c r="T178" s="41">
        <f>_xll.qlDayCounterYearFraction("actual/365 (fixed)",SettlementDate,R178,,,Trigger)</f>
        <v>0.68767123287671228</v>
      </c>
      <c r="U178" s="47">
        <f>_xll.qlPolynomialFunctionValue($P$18,T178,AllTriggers)</f>
        <v>1.2559025408648639E-3</v>
      </c>
    </row>
    <row r="179" spans="18:21" x14ac:dyDescent="0.2">
      <c r="R179" s="212">
        <f>_xll.qlCalendarAdvance(Calendar,R178,"1D","f")</f>
        <v>42531</v>
      </c>
      <c r="S179" s="47">
        <f>_xll.qlTenorBasisValue($P$3,R179,AllTriggers)</f>
        <v>1.2903715227235029E-3</v>
      </c>
      <c r="T179" s="41">
        <f>_xll.qlDayCounterYearFraction("actual/365 (fixed)",SettlementDate,R179,,,Trigger)</f>
        <v>0.69041095890410964</v>
      </c>
      <c r="U179" s="47">
        <f>_xll.qlPolynomialFunctionValue($P$18,T179,AllTriggers)</f>
        <v>1.2567087187996654E-3</v>
      </c>
    </row>
    <row r="180" spans="18:21" x14ac:dyDescent="0.2">
      <c r="R180" s="212">
        <f>_xll.qlCalendarAdvance(Calendar,R179,"1D","f")</f>
        <v>42534</v>
      </c>
      <c r="S180" s="47">
        <f>_xll.qlTenorBasisValue($P$3,R180,AllTriggers)</f>
        <v>1.2923433547898822E-3</v>
      </c>
      <c r="T180" s="41">
        <f>_xll.qlDayCounterYearFraction("actual/365 (fixed)",SettlementDate,R180,,,Trigger)</f>
        <v>0.69863013698630139</v>
      </c>
      <c r="U180" s="47">
        <f>_xll.qlPolynomialFunctionValue($P$18,T180,AllTriggers)</f>
        <v>1.25910721291178E-3</v>
      </c>
    </row>
    <row r="181" spans="18:21" x14ac:dyDescent="0.2">
      <c r="R181" s="212">
        <f>_xll.qlCalendarAdvance(Calendar,R180,"1D","f")</f>
        <v>42535</v>
      </c>
      <c r="S181" s="47">
        <f>_xll.qlTenorBasisValue($P$3,R181,AllTriggers)</f>
        <v>1.2929950276182795E-3</v>
      </c>
      <c r="T181" s="41">
        <f>_xll.qlDayCounterYearFraction("actual/365 (fixed)",SettlementDate,R181,,,Trigger)</f>
        <v>0.70136986301369864</v>
      </c>
      <c r="U181" s="47">
        <f>_xll.qlPolynomialFunctionValue($P$18,T181,AllTriggers)</f>
        <v>1.2599000673920325E-3</v>
      </c>
    </row>
    <row r="182" spans="18:21" x14ac:dyDescent="0.2">
      <c r="R182" s="212">
        <f>_xll.qlCalendarAdvance(Calendar,R181,"1D","f")</f>
        <v>42536</v>
      </c>
      <c r="S182" s="47">
        <f>_xll.qlTenorBasisValue($P$3,R182,AllTriggers)</f>
        <v>1.2936439163533018E-3</v>
      </c>
      <c r="T182" s="41">
        <f>_xll.qlDayCounterYearFraction("actual/365 (fixed)",SettlementDate,R182,,,Trigger)</f>
        <v>0.70410958904109588</v>
      </c>
      <c r="U182" s="47">
        <f>_xll.qlPolynomialFunctionValue($P$18,T182,AllTriggers)</f>
        <v>1.2606896182638812E-3</v>
      </c>
    </row>
    <row r="183" spans="18:21" x14ac:dyDescent="0.2">
      <c r="R183" s="212">
        <f>_xll.qlCalendarAdvance(Calendar,R182,"1D","f")</f>
        <v>42537</v>
      </c>
      <c r="S183" s="47">
        <f>_xll.qlTenorBasisValue($P$3,R183,AllTriggers)</f>
        <v>1.2942900318970412E-3</v>
      </c>
      <c r="T183" s="41">
        <f>_xll.qlDayCounterYearFraction("actual/365 (fixed)",SettlementDate,R183,,,Trigger)</f>
        <v>0.70684931506849313</v>
      </c>
      <c r="U183" s="47">
        <f>_xll.qlPolynomialFunctionValue($P$18,T183,AllTriggers)</f>
        <v>1.2614758764294192E-3</v>
      </c>
    </row>
    <row r="184" spans="18:21" x14ac:dyDescent="0.2">
      <c r="R184" s="212">
        <f>_xll.qlCalendarAdvance(Calendar,R183,"1D","f")</f>
        <v>42538</v>
      </c>
      <c r="S184" s="47">
        <f>_xll.qlTenorBasisValue($P$3,R184,AllTriggers)</f>
        <v>1.2949333851515915E-3</v>
      </c>
      <c r="T184" s="41">
        <f>_xll.qlDayCounterYearFraction("actual/365 (fixed)",SettlementDate,R184,,,Trigger)</f>
        <v>0.70958904109589038</v>
      </c>
      <c r="U184" s="47">
        <f>_xll.qlPolynomialFunctionValue($P$18,T184,AllTriggers)</f>
        <v>1.2622588527907395E-3</v>
      </c>
    </row>
    <row r="185" spans="18:21" x14ac:dyDescent="0.2">
      <c r="R185" s="212">
        <f>_xll.qlCalendarAdvance(Calendar,R184,"1D","f")</f>
        <v>42541</v>
      </c>
      <c r="S185" s="47">
        <f>_xll.qlTenorBasisValue($P$3,R185,AllTriggers)</f>
        <v>1.2968469802010414E-3</v>
      </c>
      <c r="T185" s="41">
        <f>_xll.qlDayCounterYearFraction("actual/365 (fixed)",SettlementDate,R185,,,Trigger)</f>
        <v>0.71780821917808224</v>
      </c>
      <c r="U185" s="47">
        <f>_xll.qlPolynomialFunctionValue($P$18,T185,AllTriggers)</f>
        <v>1.2645882000703295E-3</v>
      </c>
    </row>
    <row r="186" spans="18:21" x14ac:dyDescent="0.2">
      <c r="R186" s="212">
        <f>_xll.qlCalendarAdvance(Calendar,R185,"1D","f")</f>
        <v>42542</v>
      </c>
      <c r="S186" s="47">
        <f>_xll.qlTenorBasisValue($P$3,R186,AllTriggers)</f>
        <v>1.2974793933197685E-3</v>
      </c>
      <c r="T186" s="41">
        <f>_xll.qlDayCounterYearFraction("actual/365 (fixed)",SettlementDate,R186,,,Trigger)</f>
        <v>0.72054794520547949</v>
      </c>
      <c r="U186" s="47">
        <f>_xll.qlPolynomialFunctionValue($P$18,T186,AllTriggers)</f>
        <v>1.2653581582357132E-3</v>
      </c>
    </row>
    <row r="187" spans="18:21" x14ac:dyDescent="0.2">
      <c r="R187" s="212">
        <f>_xll.qlCalendarAdvance(Calendar,R186,"1D","f")</f>
        <v>42543</v>
      </c>
      <c r="S187" s="47">
        <f>_xll.qlTenorBasisValue($P$3,R187,AllTriggers)</f>
        <v>1.2981090986597728E-3</v>
      </c>
      <c r="T187" s="41">
        <f>_xll.qlDayCounterYearFraction("actual/365 (fixed)",SettlementDate,R187,,,Trigger)</f>
        <v>0.72328767123287674</v>
      </c>
      <c r="U187" s="47">
        <f>_xll.qlPolynomialFunctionValue($P$18,T187,AllTriggers)</f>
        <v>1.2661248891073457E-3</v>
      </c>
    </row>
    <row r="188" spans="18:21" x14ac:dyDescent="0.2">
      <c r="R188" s="212">
        <f>_xll.qlCalendarAdvance(Calendar,R187,"1D","f")</f>
        <v>42544</v>
      </c>
      <c r="S188" s="47">
        <f>_xll.qlTenorBasisValue($P$3,R188,AllTriggers)</f>
        <v>1.2987361071231478E-3</v>
      </c>
      <c r="T188" s="41">
        <f>_xll.qlDayCounterYearFraction("actual/365 (fixed)",SettlementDate,R188,,,Trigger)</f>
        <v>0.72602739726027399</v>
      </c>
      <c r="U188" s="47">
        <f>_xll.qlPolynomialFunctionValue($P$18,T188,AllTriggers)</f>
        <v>1.2668884035873205E-3</v>
      </c>
    </row>
    <row r="189" spans="18:21" x14ac:dyDescent="0.2">
      <c r="R189" s="212">
        <f>_xll.qlCalendarAdvance(Calendar,R188,"1D","f")</f>
        <v>42545</v>
      </c>
      <c r="S189" s="47">
        <f>_xll.qlTenorBasisValue($P$3,R189,AllTriggers)</f>
        <v>1.2993604296119869E-3</v>
      </c>
      <c r="T189" s="41">
        <f>_xll.qlDayCounterYearFraction("actual/365 (fixed)",SettlementDate,R189,,,Trigger)</f>
        <v>0.72876712328767124</v>
      </c>
      <c r="U189" s="47">
        <f>_xll.qlPolynomialFunctionValue($P$18,T189,AllTriggers)</f>
        <v>1.2676487125777311E-3</v>
      </c>
    </row>
    <row r="190" spans="18:21" x14ac:dyDescent="0.2">
      <c r="R190" s="212">
        <f>_xll.qlCalendarAdvance(Calendar,R189,"1D","f")</f>
        <v>42548</v>
      </c>
      <c r="S190" s="47">
        <f>_xll.qlTenorBasisValue($P$3,R190,AllTriggers)</f>
        <v>1.3012173902522193E-3</v>
      </c>
      <c r="T190" s="41">
        <f>_xll.qlDayCounterYearFraction("actual/365 (fixed)",SettlementDate,R190,,,Trigger)</f>
        <v>0.73698630136986298</v>
      </c>
      <c r="U190" s="47">
        <f>_xll.qlPolynomialFunctionValue($P$18,T190,AllTriggers)</f>
        <v>1.269910515632508E-3</v>
      </c>
    </row>
    <row r="191" spans="18:21" x14ac:dyDescent="0.2">
      <c r="R191" s="212">
        <f>_xll.qlCalendarAdvance(Calendar,R190,"1D","f")</f>
        <v>42549</v>
      </c>
      <c r="S191" s="47">
        <f>_xll.qlTenorBasisValue($P$3,R191,AllTriggers)</f>
        <v>1.3018310778638463E-3</v>
      </c>
      <c r="T191" s="41">
        <f>_xll.qlDayCounterYearFraction("actual/365 (fixed)",SettlementDate,R191,,,Trigger)</f>
        <v>0.73972602739726023</v>
      </c>
      <c r="U191" s="47">
        <f>_xll.qlPolynomialFunctionValue($P$18,T191,AllTriggers)</f>
        <v>1.2706581116855935E-3</v>
      </c>
    </row>
    <row r="192" spans="18:21" x14ac:dyDescent="0.2">
      <c r="R192" s="212">
        <f>_xll.qlCalendarAdvance(Calendar,R191,"1D","f")</f>
        <v>42550</v>
      </c>
      <c r="S192" s="47">
        <f>_xll.qlTenorBasisValue($P$3,R192,AllTriggers)</f>
        <v>1.3024421340114038E-3</v>
      </c>
      <c r="T192" s="41">
        <f>_xll.qlDayCounterYearFraction("actual/365 (fixed)",SettlementDate,R192,,,Trigger)</f>
        <v>0.74246575342465748</v>
      </c>
      <c r="U192" s="47">
        <f>_xll.qlPolynomialFunctionValue($P$18,T192,AllTriggers)</f>
        <v>1.2714025567595805E-3</v>
      </c>
    </row>
    <row r="193" spans="18:21" x14ac:dyDescent="0.2">
      <c r="R193" s="212">
        <f>_xll.qlCalendarAdvance(Calendar,R192,"1D","f")</f>
        <v>42551</v>
      </c>
      <c r="S193" s="47">
        <f>_xll.qlTenorBasisValue($P$3,R193,AllTriggers)</f>
        <v>1.3030505695969846E-3</v>
      </c>
      <c r="T193" s="41">
        <f>_xll.qlDayCounterYearFraction("actual/365 (fixed)",SettlementDate,R193,,,Trigger)</f>
        <v>0.74520547945205484</v>
      </c>
      <c r="U193" s="47">
        <f>_xll.qlPolynomialFunctionValue($P$18,T193,AllTriggers)</f>
        <v>1.2721438617565629E-3</v>
      </c>
    </row>
    <row r="194" spans="18:21" x14ac:dyDescent="0.2">
      <c r="R194" s="212">
        <f>_xll.qlCalendarAdvance(Calendar,R193,"1D","f")</f>
        <v>42552</v>
      </c>
      <c r="S194" s="47">
        <f>_xll.qlTenorBasisValue($P$3,R194,AllTriggers)</f>
        <v>1.3036563955226828E-3</v>
      </c>
      <c r="T194" s="41">
        <f>_xll.qlDayCounterYearFraction("actual/365 (fixed)",SettlementDate,R194,,,Trigger)</f>
        <v>0.74794520547945209</v>
      </c>
      <c r="U194" s="47">
        <f>_xll.qlPolynomialFunctionValue($P$18,T194,AllTriggers)</f>
        <v>1.2728820375786339E-3</v>
      </c>
    </row>
    <row r="195" spans="18:21" x14ac:dyDescent="0.2">
      <c r="R195" s="212">
        <f>_xll.qlCalendarAdvance(Calendar,R194,"1D","f")</f>
        <v>42555</v>
      </c>
      <c r="S195" s="47">
        <f>_xll.qlTenorBasisValue($P$3,R195,AllTriggers)</f>
        <v>1.3054583243614099E-3</v>
      </c>
      <c r="T195" s="41">
        <f>_xll.qlDayCounterYearFraction("actual/365 (fixed)",SettlementDate,R195,,,Trigger)</f>
        <v>0.75616438356164384</v>
      </c>
      <c r="U195" s="47">
        <f>_xll.qlPolynomialFunctionValue($P$18,T195,AllTriggers)</f>
        <v>1.2750778990163103E-3</v>
      </c>
    </row>
    <row r="196" spans="18:21" x14ac:dyDescent="0.2">
      <c r="R196" s="212">
        <f>_xll.qlCalendarAdvance(Calendar,R195,"1D","f")</f>
        <v>42556</v>
      </c>
      <c r="S196" s="47">
        <f>_xll.qlTenorBasisValue($P$3,R196,AllTriggers)</f>
        <v>1.3060538206685081E-3</v>
      </c>
      <c r="T196" s="41">
        <f>_xll.qlDayCounterYearFraction("actual/365 (fixed)",SettlementDate,R196,,,Trigger)</f>
        <v>0.75890410958904109</v>
      </c>
      <c r="U196" s="47">
        <f>_xll.qlPolynomialFunctionValue($P$18,T196,AllTriggers)</f>
        <v>1.2758036671596681E-3</v>
      </c>
    </row>
    <row r="197" spans="18:21" x14ac:dyDescent="0.2">
      <c r="R197" s="212">
        <f>_xll.qlCalendarAdvance(Calendar,R196,"1D","f")</f>
        <v>42557</v>
      </c>
      <c r="S197" s="47">
        <f>_xll.qlTenorBasisValue($P$3,R197,AllTriggers)</f>
        <v>1.3066467618261894E-3</v>
      </c>
      <c r="T197" s="41">
        <f>_xll.qlDayCounterYearFraction("actual/365 (fixed)",SettlementDate,R197,,,Trigger)</f>
        <v>0.76164383561643834</v>
      </c>
      <c r="U197" s="47">
        <f>_xll.qlPolynomialFunctionValue($P$18,T197,AllTriggers)</f>
        <v>1.2765263606385805E-3</v>
      </c>
    </row>
    <row r="198" spans="18:21" x14ac:dyDescent="0.2">
      <c r="R198" s="212">
        <f>_xll.qlCalendarAdvance(Calendar,R197,"1D","f")</f>
        <v>42558</v>
      </c>
      <c r="S198" s="47">
        <f>_xll.qlTenorBasisValue($P$3,R198,AllTriggers)</f>
        <v>1.3072371587365471E-3</v>
      </c>
      <c r="T198" s="41">
        <f>_xll.qlDayCounterYearFraction("actual/365 (fixed)",SettlementDate,R198,,,Trigger)</f>
        <v>0.76438356164383559</v>
      </c>
      <c r="U198" s="47">
        <f>_xll.qlPolynomialFunctionValue($P$18,T198,AllTriggers)</f>
        <v>1.2772459903551412E-3</v>
      </c>
    </row>
    <row r="199" spans="18:21" x14ac:dyDescent="0.2">
      <c r="R199" s="212">
        <f>_xll.qlCalendarAdvance(Calendar,R198,"1D","f")</f>
        <v>42559</v>
      </c>
      <c r="S199" s="47">
        <f>_xll.qlTenorBasisValue($P$3,R199,AllTriggers)</f>
        <v>1.3078250223016745E-3</v>
      </c>
      <c r="T199" s="41">
        <f>_xll.qlDayCounterYearFraction("actual/365 (fixed)",SettlementDate,R199,,,Trigger)</f>
        <v>0.76712328767123283</v>
      </c>
      <c r="U199" s="47">
        <f>_xll.qlPolynomialFunctionValue($P$18,T199,AllTriggers)</f>
        <v>1.2779625672114433E-3</v>
      </c>
    </row>
    <row r="200" spans="18:21" x14ac:dyDescent="0.2">
      <c r="R200" s="212">
        <f>_xll.qlCalendarAdvance(Calendar,R199,"1D","f")</f>
        <v>42562</v>
      </c>
      <c r="S200" s="47">
        <f>_xll.qlTenorBasisValue($P$3,R200,AllTriggers)</f>
        <v>1.3095735219466088E-3</v>
      </c>
      <c r="T200" s="41">
        <f>_xll.qlDayCounterYearFraction("actual/365 (fixed)",SettlementDate,R200,,,Trigger)</f>
        <v>0.77534246575342469</v>
      </c>
      <c r="U200" s="47">
        <f>_xll.qlPolynomialFunctionValue($P$18,T200,AllTriggers)</f>
        <v>1.280094089639731E-3</v>
      </c>
    </row>
    <row r="201" spans="18:21" x14ac:dyDescent="0.2">
      <c r="R201" s="212">
        <f>_xll.qlCalendarAdvance(Calendar,R200,"1D","f")</f>
        <v>42563</v>
      </c>
      <c r="S201" s="47">
        <f>_xll.qlTenorBasisValue($P$3,R201,AllTriggers)</f>
        <v>1.3101513611517485E-3</v>
      </c>
      <c r="T201" s="41">
        <f>_xll.qlDayCounterYearFraction("actual/365 (fixed)",SettlementDate,R201,,,Trigger)</f>
        <v>0.77808219178082194</v>
      </c>
      <c r="U201" s="47">
        <f>_xll.qlPolynomialFunctionValue($P$18,T201,AllTriggers)</f>
        <v>1.2807985640759319E-3</v>
      </c>
    </row>
    <row r="202" spans="18:21" x14ac:dyDescent="0.2">
      <c r="R202" s="212">
        <f>_xll.qlCalendarAdvance(Calendar,R201,"1D","f")</f>
        <v>42564</v>
      </c>
      <c r="S202" s="47">
        <f>_xll.qlTenorBasisValue($P$3,R202,AllTriggers)</f>
        <v>1.3107267215221241E-3</v>
      </c>
      <c r="T202" s="41">
        <f>_xll.qlDayCounterYearFraction("actual/365 (fixed)",SettlementDate,R202,,,Trigger)</f>
        <v>0.78082191780821919</v>
      </c>
      <c r="U202" s="47">
        <f>_xll.qlPolynomialFunctionValue($P$18,T202,AllTriggers)</f>
        <v>1.2815000401623403E-3</v>
      </c>
    </row>
    <row r="203" spans="18:21" x14ac:dyDescent="0.2">
      <c r="R203" s="212">
        <f>_xll.qlCalendarAdvance(Calendar,R202,"1D","f")</f>
        <v>42565</v>
      </c>
      <c r="S203" s="47">
        <f>_xll.qlTenorBasisValue($P$3,R203,AllTriggers)</f>
        <v>1.3112996139598293E-3</v>
      </c>
      <c r="T203" s="41">
        <f>_xll.qlDayCounterYearFraction("actual/365 (fixed)",SettlementDate,R203,,,Trigger)</f>
        <v>0.78356164383561644</v>
      </c>
      <c r="U203" s="47">
        <f>_xll.qlPolynomialFunctionValue($P$18,T203,AllTriggers)</f>
        <v>1.2821985288010501E-3</v>
      </c>
    </row>
    <row r="204" spans="18:21" x14ac:dyDescent="0.2">
      <c r="R204" s="212">
        <f>_xll.qlCalendarAdvance(Calendar,R203,"1D","f")</f>
        <v>42566</v>
      </c>
      <c r="S204" s="47">
        <f>_xll.qlTenorBasisValue($P$3,R204,AllTriggers)</f>
        <v>1.3118700493669573E-3</v>
      </c>
      <c r="T204" s="41">
        <f>_xll.qlDayCounterYearFraction("actual/365 (fixed)",SettlementDate,R204,,,Trigger)</f>
        <v>0.78630136986301369</v>
      </c>
      <c r="U204" s="47">
        <f>_xll.qlPolynomialFunctionValue($P$18,T204,AllTriggers)</f>
        <v>1.2828940408941539E-3</v>
      </c>
    </row>
    <row r="205" spans="18:21" x14ac:dyDescent="0.2">
      <c r="R205" s="212">
        <f>_xll.qlCalendarAdvance(Calendar,R204,"1D","f")</f>
        <v>42569</v>
      </c>
      <c r="S205" s="47">
        <f>_xll.qlTenorBasisValue($P$3,R205,AllTriggers)</f>
        <v>1.3135667224258105E-3</v>
      </c>
      <c r="T205" s="41">
        <f>_xll.qlDayCounterYearFraction("actual/365 (fixed)",SettlementDate,R205,,,Trigger)</f>
        <v>0.79452054794520544</v>
      </c>
      <c r="U205" s="47">
        <f>_xll.qlPolynomialFunctionValue($P$18,T205,AllTriggers)</f>
        <v>1.2849628269207653E-3</v>
      </c>
    </row>
    <row r="206" spans="18:21" x14ac:dyDescent="0.2">
      <c r="R206" s="212">
        <f>_xll.qlCalendarAdvance(Calendar,R205,"1D","f")</f>
        <v>42570</v>
      </c>
      <c r="S206" s="47">
        <f>_xll.qlTenorBasisValue($P$3,R206,AllTriggers)</f>
        <v>1.3141274387315622E-3</v>
      </c>
      <c r="T206" s="41">
        <f>_xll.qlDayCounterYearFraction("actual/365 (fixed)",SettlementDate,R206,,,Trigger)</f>
        <v>0.79726027397260268</v>
      </c>
      <c r="U206" s="47">
        <f>_xll.qlPolynomialFunctionValue($P$18,T206,AllTriggers)</f>
        <v>1.2856465418523797E-3</v>
      </c>
    </row>
    <row r="207" spans="18:21" x14ac:dyDescent="0.2">
      <c r="R207" s="212">
        <f>_xll.qlCalendarAdvance(Calendar,R206,"1D","f")</f>
        <v>42571</v>
      </c>
      <c r="S207" s="47">
        <f>_xll.qlTenorBasisValue($P$3,R207,AllTriggers)</f>
        <v>1.3146857525172032E-3</v>
      </c>
      <c r="T207" s="41">
        <f>_xll.qlDayCounterYearFraction("actual/365 (fixed)",SettlementDate,R207,,,Trigger)</f>
        <v>0.8</v>
      </c>
      <c r="U207" s="47">
        <f>_xll.qlPolynomialFunctionValue($P$18,T207,AllTriggers)</f>
        <v>1.2863273347488548E-3</v>
      </c>
    </row>
    <row r="208" spans="18:21" x14ac:dyDescent="0.2">
      <c r="R208" s="212">
        <f>_xll.qlCalendarAdvance(Calendar,R207,"1D","f")</f>
        <v>42572</v>
      </c>
      <c r="S208" s="47">
        <f>_xll.qlTenorBasisValue($P$3,R208,AllTriggers)</f>
        <v>1.3152416746848266E-3</v>
      </c>
      <c r="T208" s="41">
        <f>_xll.qlDayCounterYearFraction("actual/365 (fixed)",SettlementDate,R208,,,Trigger)</f>
        <v>0.80273972602739729</v>
      </c>
      <c r="U208" s="47">
        <f>_xll.qlPolynomialFunctionValue($P$18,T208,AllTriggers)</f>
        <v>1.2870052165122844E-3</v>
      </c>
    </row>
    <row r="209" spans="18:21" x14ac:dyDescent="0.2">
      <c r="R209" s="212">
        <f>_xll.qlCalendarAdvance(Calendar,R208,"1D","f")</f>
        <v>42573</v>
      </c>
      <c r="S209" s="47">
        <f>_xll.qlTenorBasisValue($P$3,R209,AllTriggers)</f>
        <v>1.3157952161365256E-3</v>
      </c>
      <c r="T209" s="41">
        <f>_xll.qlDayCounterYearFraction("actual/365 (fixed)",SettlementDate,R209,,,Trigger)</f>
        <v>0.80547945205479454</v>
      </c>
      <c r="U209" s="47">
        <f>_xll.qlPolynomialFunctionValue($P$18,T209,AllTriggers)</f>
        <v>1.287680198044761E-3</v>
      </c>
    </row>
    <row r="210" spans="18:21" x14ac:dyDescent="0.2">
      <c r="R210" s="212">
        <f>_xll.qlCalendarAdvance(Calendar,R209,"1D","f")</f>
        <v>42576</v>
      </c>
      <c r="S210" s="47">
        <f>_xll.qlTenorBasisValue($P$3,R210,AllTriggers)</f>
        <v>1.3174416652170097E-3</v>
      </c>
      <c r="T210" s="41">
        <f>_xll.qlDayCounterYearFraction("actual/365 (fixed)",SettlementDate,R210,,,Trigger)</f>
        <v>0.81369863013698629</v>
      </c>
      <c r="U210" s="47">
        <f>_xll.qlPolynomialFunctionValue($P$18,T210,AllTriggers)</f>
        <v>1.2896878502774078E-3</v>
      </c>
    </row>
    <row r="211" spans="18:21" x14ac:dyDescent="0.2">
      <c r="R211" s="212">
        <f>_xll.qlCalendarAdvance(Calendar,R210,"1D","f")</f>
        <v>42577</v>
      </c>
      <c r="S211" s="47">
        <f>_xll.qlTenorBasisValue($P$3,R211,AllTriggers)</f>
        <v>1.3179857928259443E-3</v>
      </c>
      <c r="T211" s="41">
        <f>_xll.qlDayCounterYearFraction("actual/365 (fixed)",SettlementDate,R211,,,Trigger)</f>
        <v>0.81643835616438354</v>
      </c>
      <c r="U211" s="47">
        <f>_xll.qlPolynomialFunctionValue($P$18,T211,AllTriggers)</f>
        <v>1.2903513399070067E-3</v>
      </c>
    </row>
    <row r="212" spans="18:21" x14ac:dyDescent="0.2">
      <c r="R212" s="212">
        <f>_xll.qlCalendarAdvance(Calendar,R211,"1D","f")</f>
        <v>42578</v>
      </c>
      <c r="S212" s="47">
        <f>_xll.qlTenorBasisValue($P$3,R212,AllTriggers)</f>
        <v>1.318527594229421E-3</v>
      </c>
      <c r="T212" s="41">
        <f>_xll.qlDayCounterYearFraction("actual/365 (fixed)",SettlementDate,R212,,,Trigger)</f>
        <v>0.81917808219178079</v>
      </c>
      <c r="U212" s="47">
        <f>_xll.qlPolynomialFunctionValue($P$18,T212,AllTriggers)</f>
        <v>1.2910119838161194E-3</v>
      </c>
    </row>
    <row r="213" spans="18:21" x14ac:dyDescent="0.2">
      <c r="R213" s="212">
        <f>_xll.qlCalendarAdvance(Calendar,R212,"1D","f")</f>
        <v>42579</v>
      </c>
      <c r="S213" s="47">
        <f>_xll.qlTenorBasisValue($P$3,R213,AllTriggers)</f>
        <v>1.3190670803295331E-3</v>
      </c>
      <c r="T213" s="41">
        <f>_xll.qlDayCounterYearFraction("actual/365 (fixed)",SettlementDate,R213,,,Trigger)</f>
        <v>0.82191780821917804</v>
      </c>
      <c r="U213" s="47">
        <f>_xll.qlPolynomialFunctionValue($P$18,T213,AllTriggers)</f>
        <v>1.2916697929068388E-3</v>
      </c>
    </row>
    <row r="214" spans="18:21" x14ac:dyDescent="0.2">
      <c r="R214" s="212">
        <f>_xll.qlCalendarAdvance(Calendar,R213,"1D","f")</f>
        <v>42580</v>
      </c>
      <c r="S214" s="47">
        <f>_xll.qlTenorBasisValue($P$3,R214,AllTriggers)</f>
        <v>1.3196042620283741E-3</v>
      </c>
      <c r="T214" s="41">
        <f>_xll.qlDayCounterYearFraction("actual/365 (fixed)",SettlementDate,R214,,,Trigger)</f>
        <v>0.8246575342465754</v>
      </c>
      <c r="U214" s="47">
        <f>_xll.qlPolynomialFunctionValue($P$18,T214,AllTriggers)</f>
        <v>1.2923247780812588E-3</v>
      </c>
    </row>
    <row r="215" spans="18:21" x14ac:dyDescent="0.2">
      <c r="R215" s="212">
        <f>_xll.qlCalendarAdvance(Calendar,R214,"1D","f")</f>
        <v>42583</v>
      </c>
      <c r="S215" s="47">
        <f>_xll.qlTenorBasisValue($P$3,R215,AllTriggers)</f>
        <v>1.3212020897382013E-3</v>
      </c>
      <c r="T215" s="41">
        <f>_xll.qlDayCounterYearFraction("actual/365 (fixed)",SettlementDate,R215,,,Trigger)</f>
        <v>0.83287671232876714</v>
      </c>
      <c r="U215" s="47">
        <f>_xll.qlPolynomialFunctionValue($P$18,T215,AllTriggers)</f>
        <v>1.2942728991276534E-3</v>
      </c>
    </row>
    <row r="216" spans="18:21" x14ac:dyDescent="0.2">
      <c r="R216" s="212">
        <f>_xll.qlCalendarAdvance(Calendar,R215,"1D","f")</f>
        <v>42584</v>
      </c>
      <c r="S216" s="47">
        <f>_xll.qlTenorBasisValue($P$3,R216,AllTriggers)</f>
        <v>1.3217301628528893E-3</v>
      </c>
      <c r="T216" s="41">
        <f>_xll.qlDayCounterYearFraction("actual/365 (fixed)",SettlementDate,R216,,,Trigger)</f>
        <v>0.83561643835616439</v>
      </c>
      <c r="U216" s="47">
        <f>_xll.qlPolynomialFunctionValue($P$18,T216,AllTriggers)</f>
        <v>1.2949166976578073E-3</v>
      </c>
    </row>
    <row r="217" spans="18:21" x14ac:dyDescent="0.2">
      <c r="R217" s="212">
        <f>_xll.qlCalendarAdvance(Calendar,R216,"1D","f")</f>
        <v>42585</v>
      </c>
      <c r="S217" s="47">
        <f>_xll.qlTenorBasisValue($P$3,R217,AllTriggers)</f>
        <v>1.3222559860767726E-3</v>
      </c>
      <c r="T217" s="41">
        <f>_xll.qlDayCounterYearFraction("actual/365 (fixed)",SettlementDate,R217,,,Trigger)</f>
        <v>0.83835616438356164</v>
      </c>
      <c r="U217" s="47">
        <f>_xll.qlPolynomialFunctionValue($P$18,T217,AllTriggers)</f>
        <v>1.2955577267821281E-3</v>
      </c>
    </row>
    <row r="218" spans="18:21" x14ac:dyDescent="0.2">
      <c r="R218" s="212">
        <f>_xll.qlCalendarAdvance(Calendar,R217,"1D","f")</f>
        <v>42586</v>
      </c>
      <c r="S218" s="47">
        <f>_xll.qlTenorBasisValue($P$3,R218,AllTriggers)</f>
        <v>1.3227795703119444E-3</v>
      </c>
      <c r="T218" s="41">
        <f>_xll.qlDayCounterYearFraction("actual/365 (fixed)",SettlementDate,R218,,,Trigger)</f>
        <v>0.84109589041095889</v>
      </c>
      <c r="U218" s="47">
        <f>_xll.qlPolynomialFunctionValue($P$18,T218,AllTriggers)</f>
        <v>1.2961959974027088E-3</v>
      </c>
    </row>
    <row r="219" spans="18:21" x14ac:dyDescent="0.2">
      <c r="R219" s="212">
        <f>_xll.qlCalendarAdvance(Calendar,R218,"1D","f")</f>
        <v>42587</v>
      </c>
      <c r="S219" s="47">
        <f>_xll.qlTenorBasisValue($P$3,R219,AllTriggers)</f>
        <v>1.3233009264604976E-3</v>
      </c>
      <c r="T219" s="41">
        <f>_xll.qlDayCounterYearFraction("actual/365 (fixed)",SettlementDate,R219,,,Trigger)</f>
        <v>0.84383561643835614</v>
      </c>
      <c r="U219" s="47">
        <f>_xll.qlPolynomialFunctionValue($P$18,T219,AllTriggers)</f>
        <v>1.2968315204216427E-3</v>
      </c>
    </row>
    <row r="220" spans="18:21" x14ac:dyDescent="0.2">
      <c r="R220" s="212">
        <f>_xll.qlCalendarAdvance(Calendar,R219,"1D","f")</f>
        <v>42590</v>
      </c>
      <c r="S220" s="47">
        <f>_xll.qlTenorBasisValue($P$3,R220,AllTriggers)</f>
        <v>1.3248517354073801E-3</v>
      </c>
      <c r="T220" s="41">
        <f>_xll.qlDayCounterYearFraction("actual/365 (fixed)",SettlementDate,R220,,,Trigger)</f>
        <v>0.852054794520548</v>
      </c>
      <c r="U220" s="47">
        <f>_xll.qlPolynomialFunctionValue($P$18,T220,AllTriggers)</f>
        <v>1.2987217128894969E-3</v>
      </c>
    </row>
    <row r="221" spans="18:21" x14ac:dyDescent="0.2">
      <c r="R221" s="212">
        <f>_xll.qlCalendarAdvance(Calendar,R220,"1D","f")</f>
        <v>42591</v>
      </c>
      <c r="S221" s="47">
        <f>_xll.qlTenorBasisValue($P$3,R221,AllTriggers)</f>
        <v>1.3253642882303926E-3</v>
      </c>
      <c r="T221" s="41">
        <f>_xll.qlDayCounterYearFraction("actual/365 (fixed)",SettlementDate,R221,,,Trigger)</f>
        <v>0.85479452054794525</v>
      </c>
      <c r="U221" s="47">
        <f>_xll.qlPolynomialFunctionValue($P$18,T221,AllTriggers)</f>
        <v>1.2993463545227766E-3</v>
      </c>
    </row>
    <row r="222" spans="18:21" x14ac:dyDescent="0.2">
      <c r="R222" s="212">
        <f>_xll.qlCalendarAdvance(Calendar,R221,"1D","f")</f>
        <v>42592</v>
      </c>
      <c r="S222" s="47">
        <f>_xll.qlTenorBasisValue($P$3,R222,AllTriggers)</f>
        <v>1.3258746674772533E-3</v>
      </c>
      <c r="T222" s="41">
        <f>_xll.qlDayCounterYearFraction("actual/365 (fixed)",SettlementDate,R222,,,Trigger)</f>
        <v>0.8575342465753425</v>
      </c>
      <c r="U222" s="47">
        <f>_xll.qlPolynomialFunctionValue($P$18,T222,AllTriggers)</f>
        <v>1.299968303064876E-3</v>
      </c>
    </row>
    <row r="223" spans="18:21" x14ac:dyDescent="0.2">
      <c r="R223" s="212">
        <f>_xll.qlCalendarAdvance(Calendar,R222,"1D","f")</f>
        <v>42593</v>
      </c>
      <c r="S223" s="47">
        <f>_xll.qlTenorBasisValue($P$3,R223,AllTriggers)</f>
        <v>1.3263828840500548E-3</v>
      </c>
      <c r="T223" s="41">
        <f>_xll.qlDayCounterYearFraction("actual/365 (fixed)",SettlementDate,R223,,,Trigger)</f>
        <v>0.86027397260273974</v>
      </c>
      <c r="U223" s="47">
        <f>_xll.qlPolynomialFunctionValue($P$18,T223,AllTriggers)</f>
        <v>1.3005875694178882E-3</v>
      </c>
    </row>
    <row r="224" spans="18:21" x14ac:dyDescent="0.2">
      <c r="R224" s="212">
        <f>_xll.qlCalendarAdvance(Calendar,R223,"1D","f")</f>
        <v>42594</v>
      </c>
      <c r="S224" s="47">
        <f>_xll.qlTenorBasisValue($P$3,R224,AllTriggers)</f>
        <v>1.3268889488508913E-3</v>
      </c>
      <c r="T224" s="41">
        <f>_xll.qlDayCounterYearFraction("actual/365 (fixed)",SettlementDate,R224,,,Trigger)</f>
        <v>0.86301369863013699</v>
      </c>
      <c r="U224" s="47">
        <f>_xll.qlPolynomialFunctionValue($P$18,T224,AllTriggers)</f>
        <v>1.301204164483907E-3</v>
      </c>
    </row>
    <row r="225" spans="18:21" x14ac:dyDescent="0.2">
      <c r="R225" s="212">
        <f>_xll.qlCalendarAdvance(Calendar,R224,"1D","f")</f>
        <v>42597</v>
      </c>
      <c r="S225" s="47">
        <f>_xll.qlTenorBasisValue($P$3,R225,AllTriggers)</f>
        <v>1.328394341642541E-3</v>
      </c>
      <c r="T225" s="41">
        <f>_xll.qlDayCounterYearFraction("actual/365 (fixed)",SettlementDate,R225,,,Trigger)</f>
        <v>0.87123287671232874</v>
      </c>
      <c r="U225" s="47">
        <f>_xll.qlPolynomialFunctionValue($P$18,T225,AllTriggers)</f>
        <v>1.3030380309809327E-3</v>
      </c>
    </row>
    <row r="226" spans="18:21" x14ac:dyDescent="0.2">
      <c r="R226" s="212">
        <f>_xll.qlCalendarAdvance(Calendar,R225,"1D","f")</f>
        <v>42598</v>
      </c>
      <c r="S226" s="47">
        <f>_xll.qlTenorBasisValue($P$3,R226,AllTriggers)</f>
        <v>1.3288919083764485E-3</v>
      </c>
      <c r="T226" s="41">
        <f>_xll.qlDayCounterYearFraction("actual/365 (fixed)",SettlementDate,R226,,,Trigger)</f>
        <v>0.87397260273972599</v>
      </c>
      <c r="U226" s="47">
        <f>_xll.qlPolynomialFunctionValue($P$18,T226,AllTriggers)</f>
        <v>1.303644049919909E-3</v>
      </c>
    </row>
    <row r="227" spans="18:21" x14ac:dyDescent="0.2">
      <c r="R227" s="212">
        <f>_xll.qlCalendarAdvance(Calendar,R226,"1D","f")</f>
        <v>42599</v>
      </c>
      <c r="S227" s="47">
        <f>_xll.qlTenorBasisValue($P$3,R227,AllTriggers)</f>
        <v>1.329387377848857E-3</v>
      </c>
      <c r="T227" s="41">
        <f>_xll.qlDayCounterYearFraction("actual/365 (fixed)",SettlementDate,R227,,,Trigger)</f>
        <v>0.87671232876712324</v>
      </c>
      <c r="U227" s="47">
        <f>_xll.qlPolynomialFunctionValue($P$18,T227,AllTriggers)</f>
        <v>1.304247452082358E-3</v>
      </c>
    </row>
    <row r="228" spans="18:21" x14ac:dyDescent="0.2">
      <c r="R228" s="212">
        <f>_xll.qlCalendarAdvance(Calendar,R227,"1D","f")</f>
        <v>42600</v>
      </c>
      <c r="S228" s="47">
        <f>_xll.qlTenorBasisValue($P$3,R228,AllTriggers)</f>
        <v>1.3298807609618596E-3</v>
      </c>
      <c r="T228" s="41">
        <f>_xll.qlDayCounterYearFraction("actual/365 (fixed)",SettlementDate,R228,,,Trigger)</f>
        <v>0.8794520547945206</v>
      </c>
      <c r="U228" s="47">
        <f>_xll.qlPolynomialFunctionValue($P$18,T228,AllTriggers)</f>
        <v>1.3048482483703728E-3</v>
      </c>
    </row>
    <row r="229" spans="18:21" x14ac:dyDescent="0.2">
      <c r="R229" s="212">
        <f>_xll.qlCalendarAdvance(Calendar,R228,"1D","f")</f>
        <v>42601</v>
      </c>
      <c r="S229" s="47">
        <f>_xll.qlTenorBasisValue($P$3,R229,AllTriggers)</f>
        <v>1.33037206861755E-3</v>
      </c>
      <c r="T229" s="41">
        <f>_xll.qlDayCounterYearFraction("actual/365 (fixed)",SettlementDate,R229,,,Trigger)</f>
        <v>0.88219178082191785</v>
      </c>
      <c r="U229" s="47">
        <f>_xll.qlPolynomialFunctionValue($P$18,T229,AllTriggers)</f>
        <v>1.3054464496860467E-3</v>
      </c>
    </row>
    <row r="230" spans="18:21" x14ac:dyDescent="0.2">
      <c r="R230" s="212">
        <f>_xll.qlCalendarAdvance(Calendar,R229,"1D","f")</f>
        <v>42604</v>
      </c>
      <c r="S230" s="47">
        <f>_xll.qlTenorBasisValue($P$3,R230,AllTriggers)</f>
        <v>1.3318336478616787E-3</v>
      </c>
      <c r="T230" s="41">
        <f>_xll.qlDayCounterYearFraction("actual/365 (fixed)",SettlementDate,R230,,,Trigger)</f>
        <v>0.8904109589041096</v>
      </c>
      <c r="U230" s="47">
        <f>_xll.qlPolynomialFunctionValue($P$18,T230,AllTriggers)</f>
        <v>1.3072255928199563E-3</v>
      </c>
    </row>
    <row r="231" spans="18:21" x14ac:dyDescent="0.2">
      <c r="R231" s="212">
        <f>_xll.qlCalendarAdvance(Calendar,R230,"1D","f")</f>
        <v>42605</v>
      </c>
      <c r="S231" s="47">
        <f>_xll.qlTenorBasisValue($P$3,R231,AllTriggers)</f>
        <v>1.3323167627090518E-3</v>
      </c>
      <c r="T231" s="41">
        <f>_xll.qlDayCounterYearFraction("actual/365 (fixed)",SettlementDate,R231,,,Trigger)</f>
        <v>0.89315068493150684</v>
      </c>
      <c r="U231" s="47">
        <f>_xll.qlPolynomialFunctionValue($P$18,T231,AllTriggers)</f>
        <v>1.3078135232671997E-3</v>
      </c>
    </row>
    <row r="232" spans="18:21" x14ac:dyDescent="0.2">
      <c r="R232" s="212">
        <f>_xll.qlCalendarAdvance(Calendar,R231,"1D","f")</f>
        <v>42606</v>
      </c>
      <c r="S232" s="47">
        <f>_xll.qlTenorBasisValue($P$3,R232,AllTriggers)</f>
        <v>1.332797856609579E-3</v>
      </c>
      <c r="T232" s="41">
        <f>_xll.qlDayCounterYearFraction("actual/365 (fixed)",SettlementDate,R232,,,Trigger)</f>
        <v>0.89589041095890409</v>
      </c>
      <c r="U232" s="47">
        <f>_xll.qlPolynomialFunctionValue($P$18,T232,AllTriggers)</f>
        <v>1.308398913252569E-3</v>
      </c>
    </row>
    <row r="233" spans="18:21" x14ac:dyDescent="0.2">
      <c r="R233" s="212">
        <f>_xll.qlCalendarAdvance(Calendar,R232,"1D","f")</f>
        <v>42607</v>
      </c>
      <c r="S233" s="47">
        <f>_xll.qlTenorBasisValue($P$3,R233,AllTriggers)</f>
        <v>1.3332769404653534E-3</v>
      </c>
      <c r="T233" s="41">
        <f>_xll.qlDayCounterYearFraction("actual/365 (fixed)",SettlementDate,R233,,,Trigger)</f>
        <v>0.89863013698630134</v>
      </c>
      <c r="U233" s="47">
        <f>_xll.qlPolynomialFunctionValue($P$18,T233,AllTriggers)</f>
        <v>1.3089817736781566E-3</v>
      </c>
    </row>
    <row r="234" spans="18:21" x14ac:dyDescent="0.2">
      <c r="R234" s="212">
        <f>_xll.qlCalendarAdvance(Calendar,R233,"1D","f")</f>
        <v>42608</v>
      </c>
      <c r="S234" s="47">
        <f>_xll.qlTenorBasisValue($P$3,R234,AllTriggers)</f>
        <v>1.3337540251784682E-3</v>
      </c>
      <c r="T234" s="41">
        <f>_xll.qlDayCounterYearFraction("actual/365 (fixed)",SettlementDate,R234,,,Trigger)</f>
        <v>0.90136986301369859</v>
      </c>
      <c r="U234" s="47">
        <f>_xll.qlPolynomialFunctionValue($P$18,T234,AllTriggers)</f>
        <v>1.3095621154460568E-3</v>
      </c>
    </row>
    <row r="235" spans="18:21" x14ac:dyDescent="0.2">
      <c r="R235" s="212">
        <f>_xll.qlCalendarAdvance(Calendar,R234,"1D","f")</f>
        <v>42611</v>
      </c>
      <c r="S235" s="47">
        <f>_xll.qlTenorBasisValue($P$3,R235,AllTriggers)</f>
        <v>1.3351733934827881E-3</v>
      </c>
      <c r="T235" s="41">
        <f>_xll.qlDayCounterYearFraction("actual/365 (fixed)",SettlementDate,R235,,,Trigger)</f>
        <v>0.90958904109589045</v>
      </c>
      <c r="U235" s="47">
        <f>_xll.qlPolynomialFunctionValue($P$18,T235,AllTriggers)</f>
        <v>1.3112881378245624E-3</v>
      </c>
    </row>
    <row r="236" spans="18:21" x14ac:dyDescent="0.2">
      <c r="R236" s="212">
        <f>_xll.qlCalendarAdvance(Calendar,R235,"1D","f")</f>
        <v>42612</v>
      </c>
      <c r="S236" s="47">
        <f>_xll.qlTenorBasisValue($P$3,R236,AllTriggers)</f>
        <v>1.3356425906461977E-3</v>
      </c>
      <c r="T236" s="41">
        <f>_xll.qlDayCounterYearFraction("actual/365 (fixed)",SettlementDate,R236,,,Trigger)</f>
        <v>0.9123287671232877</v>
      </c>
      <c r="U236" s="47">
        <f>_xll.qlPolynomialFunctionValue($P$18,T236,AllTriggers)</f>
        <v>1.3118585139826437E-3</v>
      </c>
    </row>
    <row r="237" spans="18:21" x14ac:dyDescent="0.2">
      <c r="R237" s="212">
        <f>_xll.qlCalendarAdvance(Calendar,R236,"1D","f")</f>
        <v>42613</v>
      </c>
      <c r="S237" s="47">
        <f>_xll.qlTenorBasisValue($P$3,R237,AllTriggers)</f>
        <v>1.3361098431774142E-3</v>
      </c>
      <c r="T237" s="41">
        <f>_xll.qlDayCounterYearFraction("actual/365 (fixed)",SettlementDate,R237,,,Trigger)</f>
        <v>0.91506849315068495</v>
      </c>
      <c r="U237" s="47">
        <f>_xll.qlPolynomialFunctionValue($P$18,T237,AllTriggers)</f>
        <v>1.3124264259935037E-3</v>
      </c>
    </row>
    <row r="238" spans="18:21" x14ac:dyDescent="0.2">
      <c r="R238" s="212">
        <f>_xll.qlCalendarAdvance(Calendar,R237,"1D","f")</f>
        <v>42614</v>
      </c>
      <c r="S238" s="47">
        <f>_xll.qlTenorBasisValue($P$3,R238,AllTriggers)</f>
        <v>1.3365751619785309E-3</v>
      </c>
      <c r="T238" s="41">
        <f>_xll.qlDayCounterYearFraction("actual/365 (fixed)",SettlementDate,R238,,,Trigger)</f>
        <v>0.9178082191780822</v>
      </c>
      <c r="U238" s="47">
        <f>_xll.qlPolynomialFunctionValue($P$18,T238,AllTriggers)</f>
        <v>1.3129918847592354E-3</v>
      </c>
    </row>
    <row r="239" spans="18:21" x14ac:dyDescent="0.2">
      <c r="R239" s="212">
        <f>_xll.qlCalendarAdvance(Calendar,R238,"1D","f")</f>
        <v>42615</v>
      </c>
      <c r="S239" s="47">
        <f>_xll.qlTenorBasisValue($P$3,R239,AllTriggers)</f>
        <v>1.3370385579516409E-3</v>
      </c>
      <c r="T239" s="41">
        <f>_xll.qlDayCounterYearFraction("actual/365 (fixed)",SettlementDate,R239,,,Trigger)</f>
        <v>0.92054794520547945</v>
      </c>
      <c r="U239" s="47">
        <f>_xll.qlPolynomialFunctionValue($P$18,T239,AllTriggers)</f>
        <v>1.313554901181932E-3</v>
      </c>
    </row>
    <row r="240" spans="18:21" x14ac:dyDescent="0.2">
      <c r="R240" s="212">
        <f>_xll.qlCalendarAdvance(Calendar,R239,"1D","f")</f>
        <v>42618</v>
      </c>
      <c r="S240" s="47">
        <f>_xll.qlTenorBasisValue($P$3,R240,AllTriggers)</f>
        <v>1.3384173179238643E-3</v>
      </c>
      <c r="T240" s="41">
        <f>_xll.qlDayCounterYearFraction("actual/365 (fixed)",SettlementDate,R240,,,Trigger)</f>
        <v>0.92876712328767119</v>
      </c>
      <c r="U240" s="47">
        <f>_xll.qlPolynomialFunctionValue($P$18,T240,AllTriggers)</f>
        <v>1.3152294054127457E-3</v>
      </c>
    </row>
    <row r="241" spans="18:21" x14ac:dyDescent="0.2">
      <c r="R241" s="212">
        <f>_xll.qlCalendarAdvance(Calendar,R240,"1D","f")</f>
        <v>42619</v>
      </c>
      <c r="S241" s="47">
        <f>_xll.qlTenorBasisValue($P$3,R241,AllTriggers)</f>
        <v>1.3388731316058807E-3</v>
      </c>
      <c r="T241" s="41">
        <f>_xll.qlDayCounterYearFraction("actual/365 (fixed)",SettlementDate,R241,,,Trigger)</f>
        <v>0.93150684931506844</v>
      </c>
      <c r="U241" s="47">
        <f>_xll.qlPolynomialFunctionValue($P$18,T241,AllTriggers)</f>
        <v>1.3157827614842356E-3</v>
      </c>
    </row>
    <row r="242" spans="18:21" x14ac:dyDescent="0.2">
      <c r="R242" s="212">
        <f>_xll.qlCalendarAdvance(Calendar,R241,"1D","f")</f>
        <v>42620</v>
      </c>
      <c r="S242" s="47">
        <f>_xll.qlTenorBasisValue($P$3,R242,AllTriggers)</f>
        <v>1.3393270769703571E-3</v>
      </c>
      <c r="T242" s="41">
        <f>_xll.qlDayCounterYearFraction("actual/365 (fixed)",SettlementDate,R242,,,Trigger)</f>
        <v>0.9342465753424658</v>
      </c>
      <c r="U242" s="47">
        <f>_xll.qlPolynomialFunctionValue($P$18,T242,AllTriggers)</f>
        <v>1.3163337297231569E-3</v>
      </c>
    </row>
    <row r="243" spans="18:21" x14ac:dyDescent="0.2">
      <c r="R243" s="212">
        <f>_xll.qlCalendarAdvance(Calendar,R242,"1D","f")</f>
        <v>42621</v>
      </c>
      <c r="S243" s="47">
        <f>_xll.qlTenorBasisValue($P$3,R243,AllTriggers)</f>
        <v>1.3397791649193867E-3</v>
      </c>
      <c r="T243" s="41">
        <f>_xll.qlDayCounterYearFraction("actual/365 (fixed)",SettlementDate,R243,,,Trigger)</f>
        <v>0.93698630136986305</v>
      </c>
      <c r="U243" s="47">
        <f>_xll.qlPolynomialFunctionValue($P$18,T243,AllTriggers)</f>
        <v>1.3168823210316031E-3</v>
      </c>
    </row>
    <row r="244" spans="18:21" x14ac:dyDescent="0.2">
      <c r="R244" s="212">
        <f>_xll.qlCalendarAdvance(Calendar,R243,"1D","f")</f>
        <v>42622</v>
      </c>
      <c r="S244" s="47">
        <f>_xll.qlTenorBasisValue($P$3,R244,AllTriggers)</f>
        <v>1.340229406355063E-3</v>
      </c>
      <c r="T244" s="41">
        <f>_xll.qlDayCounterYearFraction("actual/365 (fixed)",SettlementDate,R244,,,Trigger)</f>
        <v>0.9397260273972603</v>
      </c>
      <c r="U244" s="47">
        <f>_xll.qlPolynomialFunctionValue($P$18,T244,AllTriggers)</f>
        <v>1.3174285463116672E-3</v>
      </c>
    </row>
    <row r="245" spans="18:21" x14ac:dyDescent="0.2">
      <c r="R245" s="212">
        <f>_xll.qlCalendarAdvance(Calendar,R244,"1D","f")</f>
        <v>42625</v>
      </c>
      <c r="S245" s="47">
        <f>_xll.qlTenorBasisValue($P$3,R245,AllTriggers)</f>
        <v>1.3415691606029018E-3</v>
      </c>
      <c r="T245" s="41">
        <f>_xll.qlDayCounterYearFraction("actual/365 (fixed)",SettlementDate,R245,,,Trigger)</f>
        <v>0.94794520547945205</v>
      </c>
      <c r="U245" s="47">
        <f>_xll.qlPolynomialFunctionValue($P$18,T245,AllTriggers)</f>
        <v>1.3190531350025007E-3</v>
      </c>
    </row>
    <row r="246" spans="18:21" x14ac:dyDescent="0.2">
      <c r="R246" s="212">
        <f>_xll.qlCalendarAdvance(Calendar,R245,"1D","f")</f>
        <v>42626</v>
      </c>
      <c r="S246" s="47">
        <f>_xll.qlTenorBasisValue($P$3,R246,AllTriggers)</f>
        <v>1.342012125006096E-3</v>
      </c>
      <c r="T246" s="41">
        <f>_xll.qlDayCounterYearFraction("actual/365 (fixed)",SettlementDate,R246,,,Trigger)</f>
        <v>0.9506849315068493</v>
      </c>
      <c r="U246" s="47">
        <f>_xll.qlPolynomialFunctionValue($P$18,T246,AllTriggers)</f>
        <v>1.3195900051899698E-3</v>
      </c>
    </row>
    <row r="247" spans="18:21" x14ac:dyDescent="0.2">
      <c r="R247" s="212">
        <f>_xll.qlCalendarAdvance(Calendar,R246,"1D","f")</f>
        <v>42627</v>
      </c>
      <c r="S247" s="47">
        <f>_xll.qlTenorBasisValue($P$3,R247,AllTriggers)</f>
        <v>1.3424532974064033E-3</v>
      </c>
      <c r="T247" s="41">
        <f>_xll.qlDayCounterYearFraction("actual/365 (fixed)",SettlementDate,R247,,,Trigger)</f>
        <v>0.95342465753424654</v>
      </c>
      <c r="U247" s="47">
        <f>_xll.qlPolynomialFunctionValue($P$18,T247,AllTriggers)</f>
        <v>1.3201245638595235E-3</v>
      </c>
    </row>
    <row r="248" spans="18:21" x14ac:dyDescent="0.2">
      <c r="R248" s="212">
        <f>_xll.qlCalendarAdvance(Calendar,R247,"1D","f")</f>
        <v>42628</v>
      </c>
      <c r="S248" s="47">
        <f>_xll.qlTenorBasisValue($P$3,R248,AllTriggers)</f>
        <v>1.3428926887059161E-3</v>
      </c>
      <c r="T248" s="41">
        <f>_xll.qlDayCounterYearFraction("actual/365 (fixed)",SettlementDate,R248,,,Trigger)</f>
        <v>0.95616438356164379</v>
      </c>
      <c r="U248" s="47">
        <f>_xll.qlPolynomialFunctionValue($P$18,T248,AllTriggers)</f>
        <v>1.3206568219132548E-3</v>
      </c>
    </row>
    <row r="249" spans="18:21" x14ac:dyDescent="0.2">
      <c r="R249" s="212">
        <f>_xll.qlCalendarAdvance(Calendar,R248,"1D","f")</f>
        <v>42629</v>
      </c>
      <c r="S249" s="47">
        <f>_xll.qlTenorBasisValue($P$3,R249,AllTriggers)</f>
        <v>1.3433303098067287E-3</v>
      </c>
      <c r="T249" s="41">
        <f>_xll.qlDayCounterYearFraction("actual/365 (fixed)",SettlementDate,R249,,,Trigger)</f>
        <v>0.95890410958904104</v>
      </c>
      <c r="U249" s="47">
        <f>_xll.qlPolynomialFunctionValue($P$18,T249,AllTriggers)</f>
        <v>1.3211867902532567E-3</v>
      </c>
    </row>
    <row r="250" spans="18:21" x14ac:dyDescent="0.2">
      <c r="R250" s="212">
        <f>_xll.qlCalendarAdvance(Calendar,R249,"1D","f")</f>
        <v>42632</v>
      </c>
      <c r="S250" s="47">
        <f>_xll.qlTenorBasisValue($P$3,R250,AllTriggers)</f>
        <v>1.3446326609378952E-3</v>
      </c>
      <c r="T250" s="41">
        <f>_xll.qlDayCounterYearFraction("actual/365 (fixed)",SettlementDate,R250,,,Trigger)</f>
        <v>0.9671232876712329</v>
      </c>
      <c r="U250" s="47">
        <f>_xll.qlPolynomialFunctionValue($P$18,T250,AllTriggers)</f>
        <v>1.3227630660118228E-3</v>
      </c>
    </row>
    <row r="251" spans="18:21" x14ac:dyDescent="0.2">
      <c r="R251" s="212">
        <f>_xll.qlCalendarAdvance(Calendar,R250,"1D","f")</f>
        <v>42633</v>
      </c>
      <c r="S251" s="47">
        <f>_xll.qlTenorBasisValue($P$3,R251,AllTriggers)</f>
        <v>1.3450633102648382E-3</v>
      </c>
      <c r="T251" s="41">
        <f>_xll.qlDayCounterYearFraction("actual/365 (fixed)",SettlementDate,R251,,,Trigger)</f>
        <v>0.96986301369863015</v>
      </c>
      <c r="U251" s="47">
        <f>_xll.qlPolynomialFunctionValue($P$18,T251,AllTriggers)</f>
        <v>1.3232839845178418E-3</v>
      </c>
    </row>
    <row r="252" spans="18:21" x14ac:dyDescent="0.2">
      <c r="R252" s="212">
        <f>_xll.qlCalendarAdvance(Calendar,R251,"1D","f")</f>
        <v>42634</v>
      </c>
      <c r="S252" s="47">
        <f>_xll.qlTenorBasisValue($P$3,R252,AllTriggers)</f>
        <v>1.3454922439035467E-3</v>
      </c>
      <c r="T252" s="41">
        <f>_xll.qlDayCounterYearFraction("actual/365 (fixed)",SettlementDate,R252,,,Trigger)</f>
        <v>0.9726027397260274</v>
      </c>
      <c r="U252" s="47">
        <f>_xll.qlPolynomialFunctionValue($P$18,T252,AllTriggers)</f>
        <v>1.3238026678205981E-3</v>
      </c>
    </row>
    <row r="253" spans="18:21" x14ac:dyDescent="0.2">
      <c r="R253" s="212">
        <f>_xll.qlCalendarAdvance(Calendar,R252,"1D","f")</f>
        <v>42635</v>
      </c>
      <c r="S253" s="47">
        <f>_xll.qlTenorBasisValue($P$3,R253,AllTriggers)</f>
        <v>1.3459194727561141E-3</v>
      </c>
      <c r="T253" s="41">
        <f>_xll.qlDayCounterYearFraction("actual/365 (fixed)",SettlementDate,R253,,,Trigger)</f>
        <v>0.97534246575342465</v>
      </c>
      <c r="U253" s="47">
        <f>_xll.qlPolynomialFunctionValue($P$18,T253,AllTriggers)</f>
        <v>1.3243191268221854E-3</v>
      </c>
    </row>
    <row r="254" spans="18:21" x14ac:dyDescent="0.2">
      <c r="R254" s="212">
        <f>_xll.qlCalendarAdvance(Calendar,R253,"1D","f")</f>
        <v>42636</v>
      </c>
      <c r="S254" s="47">
        <f>_xll.qlTenorBasisValue($P$3,R254,AllTriggers)</f>
        <v>1.3463450077246337E-3</v>
      </c>
      <c r="T254" s="41">
        <f>_xll.qlDayCounterYearFraction("actual/365 (fixed)",SettlementDate,R254,,,Trigger)</f>
        <v>0.9780821917808219</v>
      </c>
      <c r="U254" s="47">
        <f>_xll.qlPolynomialFunctionValue($P$18,T254,AllTriggers)</f>
        <v>1.3248333724246964E-3</v>
      </c>
    </row>
    <row r="255" spans="18:21" x14ac:dyDescent="0.2">
      <c r="R255" s="212">
        <f>_xll.qlCalendarAdvance(Calendar,R254,"1D","f")</f>
        <v>42639</v>
      </c>
      <c r="S255" s="47">
        <f>_xll.qlTenorBasisValue($P$3,R255,AllTriggers)</f>
        <v>1.34761155834684E-3</v>
      </c>
      <c r="T255" s="41">
        <f>_xll.qlDayCounterYearFraction("actual/365 (fixed)",SettlementDate,R255,,,Trigger)</f>
        <v>0.98630136986301364</v>
      </c>
      <c r="U255" s="47">
        <f>_xll.qlPolynomialFunctionValue($P$18,T255,AllTriggers)</f>
        <v>1.3263629378587065E-3</v>
      </c>
    </row>
    <row r="256" spans="18:21" x14ac:dyDescent="0.2">
      <c r="R256" s="212">
        <f>_xll.qlCalendarAdvance(Calendar,R255,"1D","f")</f>
        <v>42640</v>
      </c>
      <c r="S256" s="47">
        <f>_xll.qlTenorBasisValue($P$3,R256,AllTriggers)</f>
        <v>1.3480304268001018E-3</v>
      </c>
      <c r="T256" s="41">
        <f>_xll.qlDayCounterYearFraction("actual/365 (fixed)",SettlementDate,R256,,,Trigger)</f>
        <v>0.989041095890411</v>
      </c>
      <c r="U256" s="47">
        <f>_xll.qlPolynomialFunctionValue($P$18,T256,AllTriggers)</f>
        <v>1.326868438885846E-3</v>
      </c>
    </row>
    <row r="257" spans="18:21" x14ac:dyDescent="0.2">
      <c r="R257" s="212">
        <f>_xll.qlCalendarAdvance(Calendar,R256,"1D","f")</f>
        <v>42641</v>
      </c>
      <c r="S257" s="47">
        <f>_xll.qlTenorBasisValue($P$3,R257,AllTriggers)</f>
        <v>1.3484476558797824E-3</v>
      </c>
      <c r="T257" s="41">
        <f>_xll.qlDayCounterYearFraction("actual/365 (fixed)",SettlementDate,R257,,,Trigger)</f>
        <v>0.99178082191780825</v>
      </c>
      <c r="U257" s="47">
        <f>_xll.qlPolynomialFunctionValue($P$18,T257,AllTriggers)</f>
        <v>1.327371781024376E-3</v>
      </c>
    </row>
    <row r="258" spans="18:21" x14ac:dyDescent="0.2">
      <c r="R258" s="212">
        <f>_xll.qlCalendarAdvance(Calendar,R257,"1D","f")</f>
        <v>42642</v>
      </c>
      <c r="S258" s="47">
        <f>_xll.qlTenorBasisValue($P$3,R258,AllTriggers)</f>
        <v>1.3488632564879748E-3</v>
      </c>
      <c r="T258" s="41">
        <f>_xll.qlDayCounterYearFraction("actual/365 (fixed)",SettlementDate,R258,,,Trigger)</f>
        <v>0.9945205479452055</v>
      </c>
      <c r="U258" s="47">
        <f>_xll.qlPolynomialFunctionValue($P$18,T258,AllTriggers)</f>
        <v>1.3278729751763898E-3</v>
      </c>
    </row>
    <row r="259" spans="18:21" x14ac:dyDescent="0.2">
      <c r="R259" s="212">
        <f>_xll.qlCalendarAdvance(Calendar,R258,"1D","f")</f>
        <v>42643</v>
      </c>
      <c r="S259" s="47">
        <f>_xll.qlTenorBasisValue($P$3,R259,AllTriggers)</f>
        <v>1.3492772395267728E-3</v>
      </c>
      <c r="T259" s="41">
        <f>_xll.qlDayCounterYearFraction("actual/365 (fixed)",SettlementDate,R259,,,Trigger)</f>
        <v>0.99726027397260275</v>
      </c>
      <c r="U259" s="47">
        <f>_xll.qlPolynomialFunctionValue($P$18,T259,AllTriggers)</f>
        <v>1.3283720322439805E-3</v>
      </c>
    </row>
    <row r="260" spans="18:21" x14ac:dyDescent="0.2">
      <c r="R260" s="212">
        <f>_xll.qlCalendarAdvance(Calendar,R259,"1D","f")</f>
        <v>42646</v>
      </c>
      <c r="S260" s="47">
        <f>_xll.qlTenorBasisValue($P$3,R260,AllTriggers)</f>
        <v>1.3505095922477302E-3</v>
      </c>
      <c r="T260" s="41">
        <f>_xll.qlDayCounterYearFraction("actual/365 (fixed)",SettlementDate,R260,,,Trigger)</f>
        <v>1.0054794520547945</v>
      </c>
      <c r="U260" s="47">
        <f>_xll.qlPolynomialFunctionValue($P$18,T260,AllTriggers)</f>
        <v>1.3298564899611464E-3</v>
      </c>
    </row>
    <row r="261" spans="18:21" x14ac:dyDescent="0.2">
      <c r="R261" s="212">
        <f>_xll.qlCalendarAdvance(Calendar,R260,"1D","f")</f>
        <v>42647</v>
      </c>
      <c r="S261" s="47">
        <f>_xll.qlTenorBasisValue($P$3,R261,AllTriggers)</f>
        <v>1.3509172140298818E-3</v>
      </c>
      <c r="T261" s="41">
        <f>_xll.qlDayCounterYearFraction("actual/365 (fixed)",SettlementDate,R261,,,Trigger)</f>
        <v>1.0082191780821919</v>
      </c>
      <c r="U261" s="47">
        <f>_xll.qlPolynomialFunctionValue($P$18,T261,AllTriggers)</f>
        <v>1.3303471077119775E-3</v>
      </c>
    </row>
    <row r="262" spans="18:21" x14ac:dyDescent="0.2">
      <c r="R262" s="213">
        <f>_xll.qlCalendarAdvance(Calendar,R261,"1D","f")</f>
        <v>42648</v>
      </c>
      <c r="S262" s="50">
        <f>_xll.qlTenorBasisValue($P$3,R262,AllTriggers)</f>
        <v>1.3513232727531052E-3</v>
      </c>
      <c r="T262" s="44">
        <f>_xll.qlDayCounterYearFraction("actual/365 (fixed)",SettlementDate,R262,,,Trigger)</f>
        <v>1.010958904109589</v>
      </c>
      <c r="U262" s="50">
        <f>_xll.qlPolynomialFunctionValue($P$18,T262,AllTriggers)</f>
        <v>1.3308356428888518E-3</v>
      </c>
    </row>
    <row r="263" spans="18:21" x14ac:dyDescent="0.2">
      <c r="R263" s="61"/>
    </row>
    <row r="264" spans="18:21" x14ac:dyDescent="0.2">
      <c r="R264" s="61"/>
    </row>
    <row r="265" spans="18:21" x14ac:dyDescent="0.2">
      <c r="R265" s="61"/>
    </row>
    <row r="266" spans="18:21" x14ac:dyDescent="0.2">
      <c r="R266" s="61"/>
    </row>
    <row r="267" spans="18:21" x14ac:dyDescent="0.2">
      <c r="R267" s="61"/>
    </row>
    <row r="268" spans="18:21" x14ac:dyDescent="0.2">
      <c r="R268" s="61"/>
    </row>
    <row r="269" spans="18:21" x14ac:dyDescent="0.2">
      <c r="R269" s="61"/>
    </row>
    <row r="270" spans="18:21" x14ac:dyDescent="0.2">
      <c r="R270" s="61"/>
    </row>
    <row r="271" spans="18:21" x14ac:dyDescent="0.2">
      <c r="R271" s="61"/>
    </row>
    <row r="272" spans="18:21" x14ac:dyDescent="0.2">
      <c r="R272" s="61"/>
    </row>
    <row r="273" spans="18:18" x14ac:dyDescent="0.2">
      <c r="R273" s="61"/>
    </row>
    <row r="274" spans="18:18" x14ac:dyDescent="0.2">
      <c r="R274" s="61"/>
    </row>
    <row r="275" spans="18:18" x14ac:dyDescent="0.2">
      <c r="R275" s="61"/>
    </row>
    <row r="276" spans="18:18" x14ac:dyDescent="0.2">
      <c r="R276" s="61"/>
    </row>
    <row r="277" spans="18:18" x14ac:dyDescent="0.2">
      <c r="R277" s="61"/>
    </row>
    <row r="278" spans="18:18" x14ac:dyDescent="0.2">
      <c r="R278" s="61"/>
    </row>
    <row r="279" spans="18:18" x14ac:dyDescent="0.2">
      <c r="R279" s="61"/>
    </row>
    <row r="280" spans="18:18" x14ac:dyDescent="0.2">
      <c r="R280" s="61"/>
    </row>
    <row r="281" spans="18:18" x14ac:dyDescent="0.2">
      <c r="R281" s="61"/>
    </row>
    <row r="282" spans="18:18" x14ac:dyDescent="0.2">
      <c r="R282" s="61"/>
    </row>
    <row r="283" spans="18:18" x14ac:dyDescent="0.2">
      <c r="R283" s="61"/>
    </row>
    <row r="284" spans="18:18" x14ac:dyDescent="0.2">
      <c r="R284" s="61"/>
    </row>
    <row r="285" spans="18:18" x14ac:dyDescent="0.2">
      <c r="R285" s="61"/>
    </row>
    <row r="286" spans="18:18" x14ac:dyDescent="0.2">
      <c r="R286" s="61"/>
    </row>
    <row r="287" spans="18:18" x14ac:dyDescent="0.2">
      <c r="R287" s="61"/>
    </row>
    <row r="288" spans="18:18" x14ac:dyDescent="0.2">
      <c r="R288" s="61"/>
    </row>
    <row r="289" spans="18:18" x14ac:dyDescent="0.2">
      <c r="R289" s="61"/>
    </row>
    <row r="290" spans="18:18" x14ac:dyDescent="0.2">
      <c r="R290" s="61"/>
    </row>
    <row r="291" spans="18:18" x14ac:dyDescent="0.2">
      <c r="R291" s="61"/>
    </row>
    <row r="292" spans="18:18" x14ac:dyDescent="0.2">
      <c r="R292" s="61"/>
    </row>
    <row r="293" spans="18:18" x14ac:dyDescent="0.2">
      <c r="R293" s="61"/>
    </row>
    <row r="294" spans="18:18" x14ac:dyDescent="0.2">
      <c r="R294" s="61"/>
    </row>
    <row r="295" spans="18:18" x14ac:dyDescent="0.2">
      <c r="R295" s="61"/>
    </row>
    <row r="296" spans="18:18" x14ac:dyDescent="0.2">
      <c r="R296" s="61"/>
    </row>
    <row r="297" spans="18:18" x14ac:dyDescent="0.2">
      <c r="R297" s="61"/>
    </row>
    <row r="298" spans="18:18" x14ac:dyDescent="0.2">
      <c r="R298" s="61"/>
    </row>
    <row r="299" spans="18:18" x14ac:dyDescent="0.2">
      <c r="R299" s="61"/>
    </row>
    <row r="300" spans="18:18" x14ac:dyDescent="0.2">
      <c r="R300" s="61"/>
    </row>
    <row r="301" spans="18:18" x14ac:dyDescent="0.2">
      <c r="R301" s="61"/>
    </row>
    <row r="302" spans="18:18" x14ac:dyDescent="0.2">
      <c r="R302" s="61"/>
    </row>
    <row r="303" spans="18:18" x14ac:dyDescent="0.2">
      <c r="R303" s="61"/>
    </row>
    <row r="304" spans="18:18" x14ac:dyDescent="0.2">
      <c r="R304" s="61"/>
    </row>
    <row r="305" spans="18:18" x14ac:dyDescent="0.2">
      <c r="R305" s="61"/>
    </row>
    <row r="306" spans="18:18" x14ac:dyDescent="0.2">
      <c r="R306" s="61"/>
    </row>
    <row r="307" spans="18:18" x14ac:dyDescent="0.2">
      <c r="R307" s="61"/>
    </row>
    <row r="308" spans="18:18" x14ac:dyDescent="0.2">
      <c r="R308" s="61"/>
    </row>
    <row r="309" spans="18:18" x14ac:dyDescent="0.2">
      <c r="R309" s="61"/>
    </row>
    <row r="310" spans="18:18" x14ac:dyDescent="0.2">
      <c r="R310" s="61"/>
    </row>
    <row r="311" spans="18:18" x14ac:dyDescent="0.2">
      <c r="R311" s="61"/>
    </row>
    <row r="312" spans="18:18" x14ac:dyDescent="0.2">
      <c r="R312" s="61"/>
    </row>
    <row r="313" spans="18:18" x14ac:dyDescent="0.2">
      <c r="R313" s="61"/>
    </row>
    <row r="314" spans="18:18" x14ac:dyDescent="0.2">
      <c r="R314" s="61"/>
    </row>
    <row r="315" spans="18:18" x14ac:dyDescent="0.2">
      <c r="R315" s="61"/>
    </row>
    <row r="316" spans="18:18" x14ac:dyDescent="0.2">
      <c r="R316" s="61"/>
    </row>
    <row r="317" spans="18:18" x14ac:dyDescent="0.2">
      <c r="R317" s="61"/>
    </row>
    <row r="318" spans="18:18" x14ac:dyDescent="0.2">
      <c r="R318" s="61"/>
    </row>
    <row r="319" spans="18:18" x14ac:dyDescent="0.2">
      <c r="R319" s="61"/>
    </row>
    <row r="320" spans="18:18" x14ac:dyDescent="0.2">
      <c r="R320" s="61"/>
    </row>
    <row r="321" spans="18:18" x14ac:dyDescent="0.2">
      <c r="R321" s="61"/>
    </row>
    <row r="322" spans="18:18" x14ac:dyDescent="0.2">
      <c r="R322" s="61"/>
    </row>
    <row r="323" spans="18:18" x14ac:dyDescent="0.2">
      <c r="R323" s="61"/>
    </row>
    <row r="324" spans="18:18" x14ac:dyDescent="0.2">
      <c r="R324" s="61"/>
    </row>
    <row r="325" spans="18:18" x14ac:dyDescent="0.2">
      <c r="R325" s="61"/>
    </row>
    <row r="326" spans="18:18" x14ac:dyDescent="0.2">
      <c r="R326" s="61"/>
    </row>
    <row r="327" spans="18:18" x14ac:dyDescent="0.2">
      <c r="R327" s="61"/>
    </row>
    <row r="328" spans="18:18" x14ac:dyDescent="0.2">
      <c r="R328" s="61"/>
    </row>
    <row r="329" spans="18:18" x14ac:dyDescent="0.2">
      <c r="R329" s="61"/>
    </row>
    <row r="330" spans="18:18" x14ac:dyDescent="0.2">
      <c r="R330" s="61"/>
    </row>
    <row r="331" spans="18:18" x14ac:dyDescent="0.2">
      <c r="R331" s="61"/>
    </row>
    <row r="332" spans="18:18" x14ac:dyDescent="0.2">
      <c r="R332" s="61"/>
    </row>
    <row r="333" spans="18:18" x14ac:dyDescent="0.2">
      <c r="R333" s="61"/>
    </row>
    <row r="334" spans="18:18" x14ac:dyDescent="0.2">
      <c r="R334" s="61"/>
    </row>
    <row r="335" spans="18:18" x14ac:dyDescent="0.2">
      <c r="R335" s="61"/>
    </row>
    <row r="336" spans="18:18" x14ac:dyDescent="0.2">
      <c r="R336" s="61"/>
    </row>
    <row r="337" spans="18:18" x14ac:dyDescent="0.2">
      <c r="R337" s="61"/>
    </row>
    <row r="338" spans="18:18" x14ac:dyDescent="0.2">
      <c r="R338" s="61"/>
    </row>
    <row r="339" spans="18:18" x14ac:dyDescent="0.2">
      <c r="R339" s="61"/>
    </row>
    <row r="340" spans="18:18" x14ac:dyDescent="0.2">
      <c r="R340" s="61"/>
    </row>
    <row r="341" spans="18:18" x14ac:dyDescent="0.2">
      <c r="R341" s="61"/>
    </row>
    <row r="342" spans="18:18" x14ac:dyDescent="0.2">
      <c r="R342" s="61"/>
    </row>
    <row r="343" spans="18:18" x14ac:dyDescent="0.2">
      <c r="R343" s="61"/>
    </row>
    <row r="344" spans="18:18" x14ac:dyDescent="0.2">
      <c r="R344" s="61"/>
    </row>
    <row r="345" spans="18:18" x14ac:dyDescent="0.2">
      <c r="R345" s="61"/>
    </row>
    <row r="346" spans="18:18" x14ac:dyDescent="0.2">
      <c r="R346" s="61"/>
    </row>
    <row r="347" spans="18:18" x14ac:dyDescent="0.2">
      <c r="R347" s="61"/>
    </row>
    <row r="348" spans="18:18" x14ac:dyDescent="0.2">
      <c r="R348" s="61"/>
    </row>
    <row r="349" spans="18:18" x14ac:dyDescent="0.2">
      <c r="R349" s="61"/>
    </row>
    <row r="350" spans="18:18" x14ac:dyDescent="0.2">
      <c r="R350" s="61"/>
    </row>
    <row r="351" spans="18:18" x14ac:dyDescent="0.2">
      <c r="R351" s="61"/>
    </row>
    <row r="352" spans="18:18" x14ac:dyDescent="0.2">
      <c r="R352" s="61"/>
    </row>
    <row r="353" spans="18:18" x14ac:dyDescent="0.2">
      <c r="R353" s="61"/>
    </row>
    <row r="354" spans="18:18" x14ac:dyDescent="0.2">
      <c r="R354" s="61"/>
    </row>
    <row r="355" spans="18:18" x14ac:dyDescent="0.2">
      <c r="R355" s="61"/>
    </row>
    <row r="356" spans="18:18" x14ac:dyDescent="0.2">
      <c r="R356" s="61"/>
    </row>
    <row r="357" spans="18:18" x14ac:dyDescent="0.2">
      <c r="R357" s="61"/>
    </row>
    <row r="358" spans="18:18" x14ac:dyDescent="0.2">
      <c r="R358" s="61"/>
    </row>
    <row r="359" spans="18:18" x14ac:dyDescent="0.2">
      <c r="R359" s="61"/>
    </row>
    <row r="360" spans="18:18" x14ac:dyDescent="0.2">
      <c r="R360" s="61"/>
    </row>
    <row r="361" spans="18:18" x14ac:dyDescent="0.2">
      <c r="R361" s="61"/>
    </row>
    <row r="362" spans="18:18" x14ac:dyDescent="0.2">
      <c r="R362" s="61"/>
    </row>
    <row r="363" spans="18:18" x14ac:dyDescent="0.2">
      <c r="R363" s="61"/>
    </row>
    <row r="364" spans="18:18" x14ac:dyDescent="0.2">
      <c r="R364" s="61"/>
    </row>
    <row r="365" spans="18:18" x14ac:dyDescent="0.2">
      <c r="R365" s="61"/>
    </row>
    <row r="366" spans="18:18" x14ac:dyDescent="0.2">
      <c r="R366" s="61"/>
    </row>
    <row r="367" spans="18:18" x14ac:dyDescent="0.2">
      <c r="R367" s="61"/>
    </row>
    <row r="368" spans="18:18" x14ac:dyDescent="0.2">
      <c r="R368" s="61"/>
    </row>
    <row r="369" spans="18:18" x14ac:dyDescent="0.2">
      <c r="R369" s="61"/>
    </row>
    <row r="370" spans="18:18" x14ac:dyDescent="0.2">
      <c r="R370" s="61"/>
    </row>
    <row r="371" spans="18:18" x14ac:dyDescent="0.2">
      <c r="R371" s="61"/>
    </row>
    <row r="372" spans="18:18" x14ac:dyDescent="0.2">
      <c r="R372" s="61"/>
    </row>
    <row r="373" spans="18:18" x14ac:dyDescent="0.2">
      <c r="R373" s="61"/>
    </row>
    <row r="374" spans="18:18" x14ac:dyDescent="0.2">
      <c r="R374" s="61"/>
    </row>
    <row r="375" spans="18:18" x14ac:dyDescent="0.2">
      <c r="R375" s="61"/>
    </row>
    <row r="376" spans="18:18" x14ac:dyDescent="0.2">
      <c r="R376" s="61"/>
    </row>
    <row r="377" spans="18:18" x14ac:dyDescent="0.2">
      <c r="R377" s="61"/>
    </row>
    <row r="378" spans="18:18" x14ac:dyDescent="0.2">
      <c r="R378" s="61"/>
    </row>
    <row r="379" spans="18:18" x14ac:dyDescent="0.2">
      <c r="R379" s="61"/>
    </row>
    <row r="380" spans="18:18" x14ac:dyDescent="0.2">
      <c r="R380" s="61"/>
    </row>
    <row r="381" spans="18:18" x14ac:dyDescent="0.2">
      <c r="R381" s="61"/>
    </row>
    <row r="382" spans="18:18" x14ac:dyDescent="0.2">
      <c r="R382" s="61"/>
    </row>
    <row r="383" spans="18:18" x14ac:dyDescent="0.2">
      <c r="R383" s="61"/>
    </row>
    <row r="384" spans="18:18" x14ac:dyDescent="0.2">
      <c r="R384" s="6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Q154"/>
  <sheetViews>
    <sheetView workbookViewId="0"/>
  </sheetViews>
  <sheetFormatPr defaultColWidth="9.5" defaultRowHeight="11.25" outlineLevelCol="1" x14ac:dyDescent="0.2"/>
  <cols>
    <col min="1" max="2" width="3.5" style="19" customWidth="1"/>
    <col min="3" max="3" width="19.5" style="19" customWidth="1"/>
    <col min="4" max="4" width="17.83203125" style="19" bestFit="1" customWidth="1"/>
    <col min="5" max="5" width="12.83203125" style="19" bestFit="1" customWidth="1"/>
    <col min="6" max="6" width="16.83203125" style="19" customWidth="1"/>
    <col min="7" max="8" width="14.83203125" style="19" customWidth="1"/>
    <col min="9" max="18" width="14.83203125" style="19" hidden="1" customWidth="1" outlineLevel="1"/>
    <col min="19" max="19" width="14.83203125" style="19" customWidth="1" collapsed="1"/>
    <col min="20" max="30" width="14.83203125" style="19" customWidth="1"/>
    <col min="31" max="33" width="5.83203125" style="19" bestFit="1" customWidth="1"/>
    <col min="34" max="34" width="2.33203125" style="19" bestFit="1" customWidth="1"/>
    <col min="35" max="35" width="10.5" style="19" bestFit="1" customWidth="1"/>
    <col min="36" max="36" width="2.33203125" style="19" bestFit="1" customWidth="1" collapsed="1"/>
    <col min="37" max="37" width="9.33203125" style="19" bestFit="1" customWidth="1"/>
    <col min="38" max="38" width="8.1640625" style="19" hidden="1" customWidth="1" outlineLevel="1"/>
    <col min="39" max="39" width="9.33203125" style="19" hidden="1" customWidth="1" outlineLevel="1"/>
    <col min="40" max="40" width="8.1640625" style="19" hidden="1" customWidth="1" outlineLevel="1"/>
    <col min="41" max="41" width="2.83203125" style="19" customWidth="1" collapsed="1"/>
    <col min="42" max="42" width="2.83203125" style="19" customWidth="1"/>
    <col min="43" max="45" width="5.83203125" style="19" bestFit="1" customWidth="1"/>
    <col min="46" max="46" width="2.33203125" style="19" bestFit="1" customWidth="1"/>
    <col min="47" max="47" width="10.5" style="19" bestFit="1" customWidth="1"/>
    <col min="48" max="48" width="2.33203125" style="19" bestFit="1" customWidth="1"/>
    <col min="49" max="49" width="9.33203125" style="19" bestFit="1" customWidth="1"/>
    <col min="50" max="52" width="9.33203125" style="19" hidden="1" customWidth="1" outlineLevel="1"/>
    <col min="53" max="53" width="2.83203125" style="19" customWidth="1" collapsed="1"/>
    <col min="54" max="54" width="2.83203125" style="19" customWidth="1"/>
    <col min="55" max="55" width="12.83203125" style="19" bestFit="1" customWidth="1"/>
    <col min="56" max="56" width="8.1640625" style="19" bestFit="1" customWidth="1"/>
    <col min="57" max="69" width="14.83203125" style="19" customWidth="1"/>
    <col min="70" max="16384" width="9.5" style="19"/>
  </cols>
  <sheetData>
    <row r="1" spans="1:69" x14ac:dyDescent="0.2">
      <c r="C1" s="116" t="s">
        <v>66</v>
      </c>
      <c r="D1" s="117"/>
      <c r="E1" s="117"/>
      <c r="F1" s="117"/>
      <c r="G1" s="117"/>
      <c r="H1" s="117"/>
      <c r="I1" s="117"/>
      <c r="J1" s="117"/>
      <c r="K1" s="117"/>
      <c r="L1" s="117"/>
      <c r="M1" s="223"/>
      <c r="N1" s="223"/>
      <c r="O1" s="223"/>
      <c r="P1" s="223"/>
      <c r="Q1" s="223"/>
      <c r="R1" s="223"/>
      <c r="S1" s="116" t="str">
        <f>"with 0X"&amp;SUBSTITUTE($D$24,"M","")</f>
        <v>with 0X3</v>
      </c>
      <c r="T1" s="118"/>
      <c r="U1" s="117" t="str">
        <f>"without 0X"&amp;SUBSTITUTE($D$24,"M","")</f>
        <v>without 0X3</v>
      </c>
      <c r="V1" s="118"/>
      <c r="AG1" s="224"/>
      <c r="AH1" s="224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E1" s="19" t="str">
        <f>_xll.qlPolynomialFunction(,_xll.qlTenorInstCoefficients(G$27),,_xll.ohTrigger(Trigger,G$28:G$31))</f>
        <v>obj_0060a#0003</v>
      </c>
      <c r="BF1" s="19" t="str">
        <f>_xll.qlPolynomialFunction(,_xll.qlTenorInstCoefficients(H$27),,_xll.ohTrigger(Trigger,H$28:H$31))</f>
        <v>obj_0060c#0003</v>
      </c>
      <c r="BG1" s="19" t="str">
        <f>_xll.qlPolynomialFunction(,_xll.qlTenorInstCoefficients(S$27),,_xll.ohTrigger(Trigger,S$28:S$31))</f>
        <v>obj_00609#0004</v>
      </c>
      <c r="BH1" s="19" t="str">
        <f>_xll.qlPolynomialFunction(,_xll.qlTenorInstCoefficients(T$27),,_xll.ohTrigger(Trigger,T$28:T$31))</f>
        <v>obj_0060d#0004</v>
      </c>
      <c r="BI1" s="19" t="str">
        <f>_xll.qlPolynomialFunction(,U$28:U$31,,_xll.ohTrigger(Trigger,G$28:G$31))</f>
        <v>obj_00610#0003</v>
      </c>
      <c r="BJ1" s="19" t="str">
        <f>_xll.qlPolynomialFunction(,V$28:V$31,,_xll.ohTrigger(Trigger,H$28:H$31))</f>
        <v>obj_00602#0003</v>
      </c>
      <c r="BK1" s="19" t="str">
        <f>_xll.qlPolynomialFunction(,W$28:W$31,,_xll.ohTrigger(Trigger,S$28:S$31))</f>
        <v>obj_0060f#0004</v>
      </c>
      <c r="BL1" s="19" t="str">
        <f>_xll.qlPolynomialFunction(,X$28:X$31,,_xll.ohTrigger(Trigger,T$28:T$31))</f>
        <v>obj_00603#0004</v>
      </c>
      <c r="BM1" s="19" t="str">
        <f>_xll.qlPolynomialFunction(,_xll.qlTenorInstCoefficients(Y$27),,_xll.ohTrigger(Trigger,G$28:G$31))</f>
        <v>obj_0061d#0003</v>
      </c>
      <c r="BN1" s="19" t="str">
        <f>_xll.qlPolynomialFunction(,_xll.qlTenorInstCoefficients(Z$27),,_xll.ohTrigger(Trigger,H$28:H$31))</f>
        <v>obj_00614#0003</v>
      </c>
      <c r="BO1" s="19" t="str">
        <f>_xll.qlPolynomialFunction(,_xll.qlTenorInstCoefficients(AA$27),,_xll.ohTrigger(Trigger,S$28:S$31))</f>
        <v>obj_0061b#0003</v>
      </c>
      <c r="BP1" s="19" t="str">
        <f>_xll.qlPolynomialFunction(,_xll.qlTenorInstCoefficients(AB$27),,_xll.ohTrigger(Trigger,T$28:T$31))</f>
        <v>obj_0061c#0003</v>
      </c>
    </row>
    <row r="2" spans="1:69" ht="21.75" customHeight="1" x14ac:dyDescent="0.2">
      <c r="C2" s="36" t="s">
        <v>43</v>
      </c>
      <c r="D2" s="36" t="s">
        <v>101</v>
      </c>
      <c r="E2" s="36" t="s">
        <v>102</v>
      </c>
      <c r="F2" s="36" t="s">
        <v>56</v>
      </c>
      <c r="G2" s="36" t="str">
        <f>"F "&amp;$D$24</f>
        <v>F 3M</v>
      </c>
      <c r="H2" s="36" t="str">
        <f>"B "&amp;$D$24</f>
        <v>B 3M</v>
      </c>
      <c r="I2" s="36" t="s">
        <v>89</v>
      </c>
      <c r="J2" s="36" t="s">
        <v>46</v>
      </c>
      <c r="K2" s="37" t="s">
        <v>47</v>
      </c>
      <c r="L2" s="36" t="s">
        <v>48</v>
      </c>
      <c r="M2" s="36" t="s">
        <v>57</v>
      </c>
      <c r="N2" s="36" t="s">
        <v>59</v>
      </c>
      <c r="O2" s="36" t="s">
        <v>60</v>
      </c>
      <c r="P2" s="36" t="s">
        <v>46</v>
      </c>
      <c r="Q2" s="37" t="s">
        <v>47</v>
      </c>
      <c r="R2" s="36" t="s">
        <v>48</v>
      </c>
      <c r="S2" s="36" t="s">
        <v>41</v>
      </c>
      <c r="T2" s="36" t="s">
        <v>42</v>
      </c>
      <c r="U2" s="36" t="s">
        <v>41</v>
      </c>
      <c r="V2" s="36" t="s">
        <v>42</v>
      </c>
      <c r="AD2" s="19" t="s">
        <v>103</v>
      </c>
      <c r="AP2" s="19" t="s">
        <v>100</v>
      </c>
      <c r="BE2" s="125" t="s">
        <v>66</v>
      </c>
      <c r="BF2" s="121"/>
      <c r="BG2" s="121"/>
      <c r="BH2" s="120"/>
      <c r="BI2" s="121"/>
      <c r="BJ2" s="121"/>
      <c r="BK2" s="121"/>
      <c r="BL2" s="121"/>
      <c r="BM2" s="125" t="s">
        <v>67</v>
      </c>
      <c r="BN2" s="121"/>
      <c r="BO2" s="121"/>
      <c r="BP2" s="120"/>
    </row>
    <row r="3" spans="1:69" ht="12" customHeight="1" x14ac:dyDescent="0.2">
      <c r="A3" s="21">
        <f>'6MSynthDepo_used'!A3</f>
        <v>0</v>
      </c>
      <c r="B3" s="55">
        <f>A3+SUBSTITUTE($D$24,"M","")</f>
        <v>3</v>
      </c>
      <c r="C3" s="171" t="str">
        <f>"B"&amp;$D$24&amp;"_"&amp;A3&amp;"X"&amp;B3&amp;$D$27</f>
        <v>B3M_0X3ESTIMATED</v>
      </c>
      <c r="D3" s="186">
        <f>SettlementDate</f>
        <v>42279</v>
      </c>
      <c r="E3" s="186">
        <f>_xll.qlInterestRateIndexMaturity($D$25,D3)</f>
        <v>42373</v>
      </c>
      <c r="F3" s="172">
        <f>_xll.qlIndexFixing(ON_3M_index,_xll.qlInterestRateIndexFixingDate(ON_3M_index,D3,Trigger),,AllTriggers)</f>
        <v>-1.435464475435309E-3</v>
      </c>
      <c r="G3" s="172">
        <f>H3+F3</f>
        <v>-4.3065449681137778E-4</v>
      </c>
      <c r="H3" s="226">
        <f>_xll.qlQuoteValue(C3,_xll.ohTrigger(InterestRatesTrigger,'3MSynthDepo_used'!$F$1,Trigger))</f>
        <v>1.0048099786239312E-3</v>
      </c>
      <c r="I3" s="173">
        <f>_xll.qlDayCounterYearFraction(DayCounter,SettlementDate,D3,,,Trigger)</f>
        <v>0</v>
      </c>
      <c r="J3" s="173">
        <f>1</f>
        <v>1</v>
      </c>
      <c r="K3" s="173">
        <f t="shared" ref="K3:K9" si="0">I3</f>
        <v>0</v>
      </c>
      <c r="L3" s="173">
        <f t="shared" ref="L3:L9" si="1">I3^2</f>
        <v>0</v>
      </c>
      <c r="M3" s="217">
        <f>LN((1+G3*_xll.qlDayCounterYearFraction(DayCounter,D3,E3,,,Trigger))/(1+F3*_xll.qlDayCounterYearFraction(DayCounter,D3,E3,,,Trigger)))</f>
        <v>2.6243098811849026E-4</v>
      </c>
      <c r="N3" s="173">
        <f>_xll.qlDayCounterYearFraction(DayCounter,SettlementDate,D3,,,Trigger)</f>
        <v>0</v>
      </c>
      <c r="O3" s="173">
        <f>_xll.qlDayCounterYearFraction(DayCounter,SettlementDate,E3,,,Trigger)</f>
        <v>0.26111111111111113</v>
      </c>
      <c r="P3" s="173">
        <f>O3-N3</f>
        <v>0.26111111111111113</v>
      </c>
      <c r="Q3" s="173">
        <f>(O3^2-N3^2)/2</f>
        <v>3.4089506172839512E-2</v>
      </c>
      <c r="R3" s="173">
        <f>(O3^3-N3^3)/3</f>
        <v>5.9340992226794712E-3</v>
      </c>
      <c r="S3" s="174" t="b">
        <v>1</v>
      </c>
      <c r="T3" s="174" t="b">
        <v>1</v>
      </c>
      <c r="U3" s="174" t="b">
        <v>0</v>
      </c>
      <c r="V3" s="174" t="b">
        <v>0</v>
      </c>
      <c r="AD3" s="219" t="s">
        <v>41</v>
      </c>
      <c r="AE3" s="220"/>
      <c r="AF3" s="220"/>
      <c r="AG3" s="220"/>
      <c r="AH3" s="220"/>
      <c r="AI3" s="220"/>
      <c r="AJ3" s="220"/>
      <c r="AK3" s="220"/>
      <c r="AL3" s="220"/>
      <c r="AM3" s="221"/>
      <c r="AN3" s="221"/>
      <c r="AO3" s="222"/>
      <c r="AP3" s="219"/>
      <c r="AQ3" s="220"/>
      <c r="AR3" s="220"/>
      <c r="AS3" s="220"/>
      <c r="AT3" s="220"/>
      <c r="AU3" s="220"/>
      <c r="AV3" s="220"/>
      <c r="AW3" s="220"/>
      <c r="AX3" s="220"/>
      <c r="AY3" s="221"/>
      <c r="AZ3" s="221"/>
      <c r="BA3" s="222"/>
      <c r="BE3" s="125" t="s">
        <v>109</v>
      </c>
      <c r="BF3" s="121"/>
      <c r="BG3" s="121"/>
      <c r="BH3" s="120"/>
      <c r="BI3" s="125" t="s">
        <v>108</v>
      </c>
      <c r="BJ3" s="121"/>
      <c r="BK3" s="121"/>
      <c r="BL3" s="120"/>
      <c r="BM3" s="125" t="s">
        <v>109</v>
      </c>
      <c r="BN3" s="121"/>
      <c r="BO3" s="121"/>
      <c r="BP3" s="120"/>
    </row>
    <row r="4" spans="1:69" ht="12" customHeight="1" x14ac:dyDescent="0.2">
      <c r="A4" s="21">
        <f>'6MSynthDepo_used'!A5</f>
        <v>1</v>
      </c>
      <c r="B4" s="55">
        <f>A4+SUBSTITUTE($D$24,"M","")</f>
        <v>4</v>
      </c>
      <c r="C4" s="167" t="str">
        <f>"B"&amp;$D$24&amp;"_"&amp;A4&amp;"X"&amp;B4</f>
        <v>B3M_1X4</v>
      </c>
      <c r="D4" s="179">
        <f>_xll.qlCalendarAdvance(Calendar,SettlementDate,A4&amp;"M","mf")</f>
        <v>42310</v>
      </c>
      <c r="E4" s="179">
        <f>_xll.qlInterestRateIndexMaturity($D$25,D4)</f>
        <v>42402</v>
      </c>
      <c r="F4" s="168">
        <f>_xll.qlIndexFixing(ON_3M_index,_xll.qlInterestRateIndexFixingDate(ON_3M_index,D4,Trigger),,AllTriggers)</f>
        <v>-1.5163475713998792E-3</v>
      </c>
      <c r="G4" s="168">
        <f t="shared" ref="G4:G9" si="2">H4+F4</f>
        <v>-4.5999999999999991E-4</v>
      </c>
      <c r="H4" s="267">
        <f>_xll.qlQuoteValue(C4,_xll.ohTrigger(InterestRatesTrigger,'3MSynthDepo_used'!$F$1,Trigger))</f>
        <v>1.0563475713998793E-3</v>
      </c>
      <c r="I4" s="130">
        <f>_xll.qlDayCounterYearFraction(DayCounter,SettlementDate,D4,,,Trigger)</f>
        <v>8.611111111111111E-2</v>
      </c>
      <c r="J4" s="130">
        <f>1</f>
        <v>1</v>
      </c>
      <c r="K4" s="130">
        <f t="shared" si="0"/>
        <v>8.611111111111111E-2</v>
      </c>
      <c r="L4" s="130">
        <f t="shared" si="1"/>
        <v>7.4151234567901231E-3</v>
      </c>
      <c r="M4" s="169">
        <f>LN((1+G4*_xll.qlDayCounterYearFraction(DayCounter,D4,E4,,,Trigger))/(1+F4*_xll.qlDayCounterYearFraction(DayCounter,D4,E4,,,Trigger)))</f>
        <v>2.7002368208087332E-4</v>
      </c>
      <c r="N4" s="130">
        <f>_xll.qlDayCounterYearFraction(DayCounter,SettlementDate,D4,,,Trigger)</f>
        <v>8.611111111111111E-2</v>
      </c>
      <c r="O4" s="130">
        <f>_xll.qlDayCounterYearFraction(DayCounter,SettlementDate,E4,,,Trigger)</f>
        <v>0.34166666666666667</v>
      </c>
      <c r="P4" s="130">
        <f t="shared" ref="P4:P9" si="3">O4-N4</f>
        <v>0.25555555555555554</v>
      </c>
      <c r="Q4" s="130">
        <f t="shared" ref="Q4:Q9" si="4">(O4^2-N4^2)/2</f>
        <v>5.466049382716049E-2</v>
      </c>
      <c r="R4" s="130">
        <f t="shared" ref="R4:R9" si="5">(O4^3-N4^3)/3</f>
        <v>1.3082104481024237E-2</v>
      </c>
      <c r="S4" s="170" t="b">
        <v>0</v>
      </c>
      <c r="T4" s="170" t="b">
        <v>0</v>
      </c>
      <c r="U4" s="170" t="b">
        <v>0</v>
      </c>
      <c r="V4" s="170" t="b">
        <v>0</v>
      </c>
      <c r="AD4" s="94" t="s">
        <v>64</v>
      </c>
      <c r="AE4" s="21"/>
      <c r="AF4" s="21"/>
      <c r="AG4" s="21"/>
      <c r="AH4" s="21"/>
      <c r="AI4" s="112" t="s">
        <v>45</v>
      </c>
      <c r="AJ4" s="33"/>
      <c r="AK4" s="22"/>
      <c r="AL4" s="21"/>
      <c r="AM4" s="21"/>
      <c r="AN4" s="21"/>
      <c r="AO4" s="101"/>
      <c r="AP4" s="94"/>
      <c r="AQ4" s="21"/>
      <c r="AR4" s="21"/>
      <c r="AS4" s="21"/>
      <c r="AT4" s="21"/>
      <c r="AU4" s="112" t="s">
        <v>45</v>
      </c>
      <c r="AV4" s="33"/>
      <c r="AW4" s="22"/>
      <c r="AX4" s="21"/>
      <c r="AY4" s="21"/>
      <c r="AZ4" s="21"/>
      <c r="BA4" s="101"/>
      <c r="BE4" s="116" t="str">
        <f>G34</f>
        <v>with 0X3</v>
      </c>
      <c r="BF4" s="118"/>
      <c r="BG4" s="117" t="str">
        <f>S34</f>
        <v>without 0X3</v>
      </c>
      <c r="BH4" s="118"/>
      <c r="BI4" s="116" t="str">
        <f>U34</f>
        <v>with 0X3</v>
      </c>
      <c r="BJ4" s="118"/>
      <c r="BK4" s="117" t="str">
        <f>W34</f>
        <v>without 0X3</v>
      </c>
      <c r="BL4" s="118"/>
      <c r="BM4" s="116" t="str">
        <f>Y34</f>
        <v>with 0X3</v>
      </c>
      <c r="BN4" s="118"/>
      <c r="BO4" s="117" t="str">
        <f>AA34</f>
        <v>without 0X3</v>
      </c>
      <c r="BP4" s="118"/>
    </row>
    <row r="5" spans="1:69" ht="12" customHeight="1" x14ac:dyDescent="0.2">
      <c r="A5" s="21">
        <f>'6MSynthDepo_used'!A6</f>
        <v>2</v>
      </c>
      <c r="B5" s="55">
        <f>A5+SUBSTITUTE($D$24,"M","")</f>
        <v>5</v>
      </c>
      <c r="C5" s="39" t="str">
        <f>"B"&amp;$D$24&amp;"_"&amp;A5&amp;"X"&amp;B5</f>
        <v>B3M_2X5</v>
      </c>
      <c r="D5" s="177">
        <f>_xll.qlCalendarAdvance(Calendar,SettlementDate,A5&amp;"M","mf")</f>
        <v>42340</v>
      </c>
      <c r="E5" s="177">
        <f>_xll.qlInterestRateIndexMaturity($D$25,D5)</f>
        <v>42431</v>
      </c>
      <c r="F5" s="53">
        <f>_xll.qlIndexFixing(ON_3M_index,_xll.qlInterestRateIndexFixingDate(ON_3M_index,D5,Trigger),,AllTriggers)</f>
        <v>-1.5710374520171812E-3</v>
      </c>
      <c r="G5" s="53">
        <f t="shared" si="2"/>
        <v>-4.8999999999999998E-4</v>
      </c>
      <c r="H5" s="202">
        <f>_xll.qlQuoteValue(C5,_xll.ohTrigger(InterestRatesTrigger,'3MSynthDepo_used'!$F$1,Trigger))</f>
        <v>1.0810374520171813E-3</v>
      </c>
      <c r="I5" s="41">
        <f>_xll.qlDayCounterYearFraction(DayCounter,SettlementDate,D5,,,Trigger)</f>
        <v>0.16944444444444445</v>
      </c>
      <c r="J5" s="41">
        <f>1</f>
        <v>1</v>
      </c>
      <c r="K5" s="41">
        <f t="shared" si="0"/>
        <v>0.16944444444444445</v>
      </c>
      <c r="L5" s="41">
        <f t="shared" si="1"/>
        <v>2.8711419753086422E-2</v>
      </c>
      <c r="M5" s="40">
        <f>LN((1+G5*_xll.qlDayCounterYearFraction(DayCounter,D5,E5,,,Trigger))/(1+F5*_xll.qlDayCounterYearFraction(DayCounter,D5,E5,,,Trigger)))</f>
        <v>2.7333344775714474E-4</v>
      </c>
      <c r="N5" s="41">
        <f>_xll.qlDayCounterYearFraction(DayCounter,SettlementDate,D5,,,Trigger)</f>
        <v>0.16944444444444445</v>
      </c>
      <c r="O5" s="41">
        <f>_xll.qlDayCounterYearFraction(DayCounter,SettlementDate,E5,,,Trigger)</f>
        <v>0.42222222222222222</v>
      </c>
      <c r="P5" s="41">
        <f t="shared" si="3"/>
        <v>0.25277777777777777</v>
      </c>
      <c r="Q5" s="41">
        <f t="shared" si="4"/>
        <v>7.4780092592592592E-2</v>
      </c>
      <c r="R5" s="41">
        <f t="shared" si="5"/>
        <v>2.3468414208962049E-2</v>
      </c>
      <c r="S5" s="114" t="b">
        <v>0</v>
      </c>
      <c r="T5" s="114" t="b">
        <v>0</v>
      </c>
      <c r="U5" s="114" t="b">
        <v>0</v>
      </c>
      <c r="V5" s="114" t="b">
        <v>0</v>
      </c>
      <c r="AD5" s="94"/>
      <c r="AE5" s="124"/>
      <c r="AF5" s="27">
        <f t="array" ref="AF5:AF6">_xll.ohFilter(K3:K9,S3:S9)</f>
        <v>0</v>
      </c>
      <c r="AG5" s="28">
        <f t="array" ref="AG5:AG6">_xll.ohFilter(J3:J9,S3:S9)</f>
        <v>1</v>
      </c>
      <c r="AH5" s="303" t="s">
        <v>20</v>
      </c>
      <c r="AI5" s="29">
        <f t="array" ref="AI5:AI6">MMULT(AL5:AM6,AK5:AK6)</f>
        <v>8.571898179698563E-4</v>
      </c>
      <c r="AJ5" s="303" t="s">
        <v>21</v>
      </c>
      <c r="AK5" s="30">
        <f t="array" ref="AK5:AK6">_xll.ohFilter(H3:H9,S3:S9)</f>
        <v>1.0048099786239312E-3</v>
      </c>
      <c r="AL5" s="27">
        <f t="array" ref="AL5:AM6">MINVERSE(AF5:AG6)</f>
        <v>-18.94736842105263</v>
      </c>
      <c r="AM5" s="28">
        <v>18.94736842105263</v>
      </c>
      <c r="AN5" s="21"/>
      <c r="AO5" s="101"/>
      <c r="AP5" s="94"/>
      <c r="AQ5" s="124"/>
      <c r="AR5" s="27">
        <f t="array" ref="AR5:AR6">_xll.ohFilter(Q3:Q9,S3:S9)</f>
        <v>3.4089506172839512E-2</v>
      </c>
      <c r="AS5" s="28">
        <f t="array" ref="AS5:AS6">_xll.ohFilter(P3:P9,S3:S9)</f>
        <v>0.26111111111111113</v>
      </c>
      <c r="AT5" s="303" t="s">
        <v>20</v>
      </c>
      <c r="AU5" s="29">
        <f t="array" ref="AU5:AU6">MMULT(AX5:AY6,AW5:AW6)</f>
        <v>9.0501416349133765E-4</v>
      </c>
      <c r="AV5" s="303" t="s">
        <v>21</v>
      </c>
      <c r="AW5" s="56">
        <f t="array" ref="AW5:AW6">_xll.ohFilter(M3:M9,S3:S9)</f>
        <v>2.6243098811849026E-4</v>
      </c>
      <c r="AX5" s="27">
        <f t="array" ref="AX5:AY6">MINVERSE(AR5:AS6)</f>
        <v>-76.59574468085107</v>
      </c>
      <c r="AY5" s="28">
        <v>78.260869565217405</v>
      </c>
      <c r="AZ5" s="21"/>
      <c r="BA5" s="101"/>
      <c r="BC5" s="36" t="s">
        <v>38</v>
      </c>
      <c r="BD5" s="36" t="s">
        <v>55</v>
      </c>
      <c r="BE5" s="36" t="str">
        <f>G35</f>
        <v>Linear</v>
      </c>
      <c r="BF5" s="36" t="str">
        <f>H35</f>
        <v>Quadratic</v>
      </c>
      <c r="BG5" s="36" t="str">
        <f>S35</f>
        <v>Linear</v>
      </c>
      <c r="BH5" s="36" t="str">
        <f>T35</f>
        <v>Quadratic</v>
      </c>
      <c r="BI5" s="36" t="str">
        <f>U35</f>
        <v>Linear</v>
      </c>
      <c r="BJ5" s="36" t="str">
        <f>V35</f>
        <v>Quadratic</v>
      </c>
      <c r="BK5" s="36" t="str">
        <f>W35</f>
        <v>Linear</v>
      </c>
      <c r="BL5" s="36" t="str">
        <f>X35</f>
        <v>Quadratic</v>
      </c>
      <c r="BM5" s="36" t="str">
        <f>Y35</f>
        <v>Linear</v>
      </c>
      <c r="BN5" s="36" t="str">
        <f>Z35</f>
        <v>Quadratic</v>
      </c>
      <c r="BO5" s="36" t="str">
        <f>AA35</f>
        <v>Linear</v>
      </c>
      <c r="BP5" s="36" t="str">
        <f>AB35</f>
        <v>Quadratic</v>
      </c>
      <c r="BQ5" s="36" t="s">
        <v>105</v>
      </c>
    </row>
    <row r="6" spans="1:69" ht="12" customHeight="1" x14ac:dyDescent="0.2">
      <c r="A6" s="21">
        <f>'6MSynthDepo_used'!A7</f>
        <v>3</v>
      </c>
      <c r="B6" s="55">
        <f>A6+SUBSTITUTE($D$24,"M","")</f>
        <v>6</v>
      </c>
      <c r="C6" s="166" t="str">
        <f>"B"&amp;$D$24&amp;"_"&amp;A6&amp;"X"&amp;B6</f>
        <v>B3M_3X6</v>
      </c>
      <c r="D6" s="263">
        <f>_xll.qlCalendarAdvance(Calendar,SettlementDate,A6&amp;"M","mf")</f>
        <v>42373</v>
      </c>
      <c r="E6" s="263">
        <f>_xll.qlInterestRateIndexMaturity($D$25,D6)</f>
        <v>42464</v>
      </c>
      <c r="F6" s="264">
        <f>_xll.qlIndexFixing(ON_3M_index,_xll.qlInterestRateIndexFixingDate(ON_3M_index,D6,Trigger),,AllTriggers)</f>
        <v>-1.6841354952182096E-3</v>
      </c>
      <c r="G6" s="264">
        <f t="shared" si="2"/>
        <v>-5.3000000000000009E-4</v>
      </c>
      <c r="H6" s="268">
        <f>_xll.qlQuoteValue(C6,_xll.ohTrigger(InterestRatesTrigger,'3MSynthDepo_used'!$F$1,Trigger))</f>
        <v>1.1541354952182095E-3</v>
      </c>
      <c r="I6" s="164">
        <f>_xll.qlDayCounterYearFraction(DayCounter,SettlementDate,D6,,,Trigger)</f>
        <v>0.26111111111111113</v>
      </c>
      <c r="J6" s="164">
        <f>1</f>
        <v>1</v>
      </c>
      <c r="K6" s="164">
        <f t="shared" si="0"/>
        <v>0.26111111111111113</v>
      </c>
      <c r="L6" s="164">
        <f t="shared" si="1"/>
        <v>6.8179012345679024E-2</v>
      </c>
      <c r="M6" s="265">
        <f>LN((1+G6*_xll.qlDayCounterYearFraction(DayCounter,D6,E6,,,Trigger))/(1+F6*_xll.qlDayCounterYearFraction(DayCounter,D6,E6,,,Trigger)))</f>
        <v>2.9182147174685197E-4</v>
      </c>
      <c r="N6" s="164">
        <f>_xll.qlDayCounterYearFraction(DayCounter,SettlementDate,D6,,,Trigger)</f>
        <v>0.26111111111111113</v>
      </c>
      <c r="O6" s="164">
        <f>_xll.qlDayCounterYearFraction(DayCounter,SettlementDate,E6,,,Trigger)</f>
        <v>0.51388888888888884</v>
      </c>
      <c r="P6" s="164">
        <f t="shared" si="3"/>
        <v>0.25277777777777771</v>
      </c>
      <c r="Q6" s="164">
        <f t="shared" si="4"/>
        <v>9.7951388888888852E-2</v>
      </c>
      <c r="R6" s="164">
        <f t="shared" si="5"/>
        <v>3.9302133344764498E-2</v>
      </c>
      <c r="S6" s="266" t="b">
        <v>0</v>
      </c>
      <c r="T6" s="266" t="b">
        <v>0</v>
      </c>
      <c r="U6" s="266" t="b">
        <v>0</v>
      </c>
      <c r="V6" s="266" t="b">
        <v>0</v>
      </c>
      <c r="AD6" s="94"/>
      <c r="AE6" s="21"/>
      <c r="AF6" s="27">
        <v>5.2777777777777778E-2</v>
      </c>
      <c r="AG6" s="28">
        <v>1</v>
      </c>
      <c r="AH6" s="303"/>
      <c r="AI6" s="29">
        <v>1.0048099786239312E-3</v>
      </c>
      <c r="AJ6" s="303"/>
      <c r="AK6" s="30">
        <v>1.050050552350118E-3</v>
      </c>
      <c r="AL6" s="27">
        <v>1</v>
      </c>
      <c r="AM6" s="28">
        <v>0</v>
      </c>
      <c r="AN6" s="21"/>
      <c r="AO6" s="101"/>
      <c r="AP6" s="94"/>
      <c r="AQ6" s="21"/>
      <c r="AR6" s="27">
        <v>4.6141975308641982E-2</v>
      </c>
      <c r="AS6" s="28">
        <v>0.25555555555555559</v>
      </c>
      <c r="AT6" s="303"/>
      <c r="AU6" s="29">
        <v>8.8690022121310896E-4</v>
      </c>
      <c r="AV6" s="303"/>
      <c r="AW6" s="56">
        <v>2.6841141994024976E-4</v>
      </c>
      <c r="AX6" s="27">
        <v>13.829787234042556</v>
      </c>
      <c r="AY6" s="28">
        <v>-10.217391304347828</v>
      </c>
      <c r="AZ6" s="21"/>
      <c r="BA6" s="101"/>
      <c r="BC6" s="176">
        <f>SettlementDate</f>
        <v>42279</v>
      </c>
      <c r="BD6" s="41">
        <f>_xll.qlDayCounterYearFraction(DayCounter,SettlementDate,BC6,,,Trigger)</f>
        <v>0</v>
      </c>
      <c r="BE6" s="47">
        <f>_xll.qlPolynomialFunctionValue(BE$1,$BD6,AllTriggers)</f>
        <v>8.9289908572231114E-4</v>
      </c>
      <c r="BF6" s="52">
        <f>_xll.qlPolynomialFunctionValue(BF$1,$BD6,AllTriggers)</f>
        <v>8.0429719598804582E-4</v>
      </c>
      <c r="BG6" s="47">
        <f>_xll.qlPolynomialFunctionValue(BG$1,$BD6,AllTriggers)</f>
        <v>1.0090790470957199E-3</v>
      </c>
      <c r="BH6" s="52">
        <f>_xll.qlPolynomialFunctionValue(BH$1,$BD6,AllTriggers)</f>
        <v>1.1322696264303093E-3</v>
      </c>
      <c r="BI6" s="52">
        <f>_xll.qlPolynomialFunctionValue(BI$1,$BD6,AllTriggers)</f>
        <v>8.8690022121310896E-4</v>
      </c>
      <c r="BJ6" s="52">
        <f>_xll.qlPolynomialFunctionValue(BJ$1,$BD6,AllTriggers)</f>
        <v>7.9816333315840186E-4</v>
      </c>
      <c r="BK6" s="52">
        <f>_xll.qlPolynomialFunctionValue(BK$1,$BD6,AllTriggers)</f>
        <v>1.0099078466391264E-3</v>
      </c>
      <c r="BL6" s="52">
        <f>_xll.qlPolynomialFunctionValue(BL$1,$BD6,AllTriggers)</f>
        <v>1.1358678403055765E-3</v>
      </c>
      <c r="BM6" s="52">
        <f>_xll.qlPolynomialFunctionValue(BM$1,$BD6,AllTriggers)</f>
        <v>9.4970774549133418E-4</v>
      </c>
      <c r="BN6" s="52">
        <f>_xll.qlPolynomialFunctionValue(BN$1,$BD6,AllTriggers)</f>
        <v>9.1705832776514879E-4</v>
      </c>
      <c r="BO6" s="52">
        <f>_xll.qlPolynomialFunctionValue(BO$1,$BD6,AllTriggers)</f>
        <v>9.8041221873214433E-4</v>
      </c>
      <c r="BP6" s="52">
        <f>_xll.qlPolynomialFunctionValue(BP$1,$BD6,AllTriggers)</f>
        <v>1.1314021705382219E-3</v>
      </c>
      <c r="BQ6" s="52">
        <f>_xll.qlPolynomialFunctionValue('3MSynthDepo_used'!$P$18,BD6,AllTriggers)</f>
        <v>9.1861554499729752E-4</v>
      </c>
    </row>
    <row r="7" spans="1:69" ht="12" customHeight="1" x14ac:dyDescent="0.2">
      <c r="A7" s="21"/>
      <c r="B7" s="55" t="str">
        <f>'3MSynthDepo_used'!C17</f>
        <v>V5</v>
      </c>
      <c r="C7" s="39" t="str">
        <f>"B"&amp;$D$24&amp;"_FUT"&amp;B7</f>
        <v>B3M_FUTV5</v>
      </c>
      <c r="D7" s="177">
        <f>_xll.qlIMMdate(B7,SettlementDate,Trigger)</f>
        <v>42298</v>
      </c>
      <c r="E7" s="177">
        <f>_xll.qlInterestRateIndexMaturity($D$25,D7)</f>
        <v>42390</v>
      </c>
      <c r="F7" s="53">
        <f>_xll.qlIndexFixing(ON_3M_index,_xll.qlInterestRateIndexFixingDate(ON_3M_index,D7,Trigger),,AllTriggers)</f>
        <v>-1.4750505523502377E-3</v>
      </c>
      <c r="G7" s="53">
        <f t="shared" si="2"/>
        <v>-4.2500000000011973E-4</v>
      </c>
      <c r="H7" s="202">
        <f>_xll.qlQuoteValue(C7,_xll.ohTrigger(InterestRatesTrigger,'3MSynthDepo_used'!$F$1,Trigger))</f>
        <v>1.050050552350118E-3</v>
      </c>
      <c r="I7" s="41">
        <f>_xll.qlDayCounterYearFraction(DayCounter,SettlementDate,D7,,,Trigger)</f>
        <v>5.2777777777777778E-2</v>
      </c>
      <c r="J7" s="41">
        <f>1</f>
        <v>1</v>
      </c>
      <c r="K7" s="41">
        <f t="shared" si="0"/>
        <v>5.2777777777777778E-2</v>
      </c>
      <c r="L7" s="41">
        <f t="shared" si="1"/>
        <v>2.7854938271604937E-3</v>
      </c>
      <c r="M7" s="40">
        <f>LN((1+G7*_xll.qlDayCounterYearFraction(DayCounter,D7,E7,,,Trigger))/(1+F7*_xll.qlDayCounterYearFraction(DayCounter,D7,E7,,,Trigger)))</f>
        <v>2.6841141994024976E-4</v>
      </c>
      <c r="N7" s="41">
        <f>_xll.qlDayCounterYearFraction(DayCounter,SettlementDate,D7,,,Trigger)</f>
        <v>5.2777777777777778E-2</v>
      </c>
      <c r="O7" s="41">
        <f>_xll.qlDayCounterYearFraction(DayCounter,SettlementDate,E7,,,Trigger)</f>
        <v>0.30833333333333335</v>
      </c>
      <c r="P7" s="41">
        <f t="shared" si="3"/>
        <v>0.25555555555555559</v>
      </c>
      <c r="Q7" s="41">
        <f t="shared" si="4"/>
        <v>4.6141975308641982E-2</v>
      </c>
      <c r="R7" s="41">
        <f t="shared" si="5"/>
        <v>9.7220221764974871E-3</v>
      </c>
      <c r="S7" s="114" t="b">
        <v>1</v>
      </c>
      <c r="T7" s="114" t="b">
        <v>1</v>
      </c>
      <c r="U7" s="114" t="b">
        <v>1</v>
      </c>
      <c r="V7" s="114" t="b">
        <v>1</v>
      </c>
      <c r="AD7" s="94"/>
      <c r="AE7" s="21"/>
      <c r="AF7" s="21"/>
      <c r="AG7" s="21"/>
      <c r="AH7" s="21"/>
      <c r="AI7" s="111"/>
      <c r="AJ7" s="33"/>
      <c r="AK7" s="22"/>
      <c r="AL7" s="21"/>
      <c r="AM7" s="21"/>
      <c r="AN7" s="21"/>
      <c r="AO7" s="101"/>
      <c r="AP7" s="94"/>
      <c r="AQ7" s="21"/>
      <c r="AR7" s="21"/>
      <c r="AS7" s="21"/>
      <c r="AT7" s="21"/>
      <c r="AU7" s="111"/>
      <c r="AV7" s="33"/>
      <c r="AW7" s="218"/>
      <c r="AX7" s="21"/>
      <c r="AY7" s="21"/>
      <c r="AZ7" s="21"/>
      <c r="BA7" s="101"/>
      <c r="BC7" s="178">
        <f>_xll.qlCalendarAdvance(Calendar,BC6,"1d","mf",,Trigger)</f>
        <v>42282</v>
      </c>
      <c r="BD7" s="41">
        <f>_xll.qlDayCounterYearFraction(DayCounter,SettlementDate,BC7,,,Trigger)</f>
        <v>8.3333333333333332E-3</v>
      </c>
      <c r="BE7" s="47">
        <f>_xll.qlPolynomialFunctionValue(BE$1,$BD7,AllTriggers)</f>
        <v>9.0004233420539327E-4</v>
      </c>
      <c r="BF7" s="47">
        <f>_xll.qlPolynomialFunctionValue(BF$1,$BD7,AllTriggers)</f>
        <v>8.2380001483000113E-4</v>
      </c>
      <c r="BG7" s="47">
        <f>_xll.qlPolynomialFunctionValue(BG$1,$BD7,AllTriggers)</f>
        <v>1.0109413882436471E-3</v>
      </c>
      <c r="BH7" s="47">
        <f>_xll.qlPolynomialFunctionValue(BH$1,$BD7,AllTriggers)</f>
        <v>1.1235199887573029E-3</v>
      </c>
      <c r="BI7" s="47">
        <f>_xll.qlPolynomialFunctionValue(BI$1,$BD7,AllTriggers)</f>
        <v>8.9444200590887014E-4</v>
      </c>
      <c r="BJ7" s="47">
        <f>_xll.qlPolynomialFunctionValue(BJ$1,$BD7,AllTriggers)</f>
        <v>8.1846742060499888E-4</v>
      </c>
      <c r="BK7" s="47">
        <f>_xll.qlPolynomialFunctionValue(BK$1,$BD7,AllTriggers)</f>
        <v>1.0117723563152251E-3</v>
      </c>
      <c r="BL7" s="47">
        <f>_xll.qlPolynomialFunctionValue(BL$1,$BD7,AllTriggers)</f>
        <v>1.1267632388533464E-3</v>
      </c>
      <c r="BM7" s="47">
        <f>_xll.qlPolynomialFunctionValue(BM$1,$BD7,AllTriggers)</f>
        <v>9.5367758051253528E-4</v>
      </c>
      <c r="BN7" s="47">
        <f>_xll.qlPolynomialFunctionValue(BN$1,$BD7,AllTriggers)</f>
        <v>9.2407932067007877E-4</v>
      </c>
      <c r="BO7" s="47">
        <f>_xll.qlPolynomialFunctionValue(BO$1,$BD7,AllTriggers)</f>
        <v>9.8339856937059225E-4</v>
      </c>
      <c r="BP7" s="47">
        <f>_xll.qlPolynomialFunctionValue(BP$1,$BD7,AllTriggers)</f>
        <v>1.1230327454747593E-3</v>
      </c>
      <c r="BQ7" s="47">
        <f>_xll.qlPolynomialFunctionValue('3MSynthDepo_used'!$P$18,BD7,AllTriggers)</f>
        <v>9.2465298696422723E-4</v>
      </c>
    </row>
    <row r="8" spans="1:69" ht="12" customHeight="1" x14ac:dyDescent="0.2">
      <c r="A8" s="21"/>
      <c r="B8" s="55" t="str">
        <f>'3MSynthDepo_used'!C18</f>
        <v>X5</v>
      </c>
      <c r="C8" s="39" t="str">
        <f t="shared" ref="C8:C9" si="6">"B"&amp;$D$24&amp;"_FUT"&amp;B8</f>
        <v>B3M_FUTX5</v>
      </c>
      <c r="D8" s="177">
        <f>_xll.qlIMMdate(B8,SettlementDate,Trigger)</f>
        <v>42326</v>
      </c>
      <c r="E8" s="177">
        <f>_xll.qlInterestRateIndexMaturity($D$25,D8)</f>
        <v>42418</v>
      </c>
      <c r="F8" s="53">
        <f>_xll.qlIndexFixing(ON_3M_index,_xll.qlInterestRateIndexFixingDate(ON_3M_index,D8,Trigger),,AllTriggers)</f>
        <v>-1.5424324030641082E-3</v>
      </c>
      <c r="G8" s="53">
        <f t="shared" si="2"/>
        <v>-4.750000000000032E-4</v>
      </c>
      <c r="H8" s="202">
        <f>_xll.qlQuoteValue(C8,_xll.ohTrigger(InterestRatesTrigger,'3MSynthDepo_used'!$F$1,Trigger))</f>
        <v>1.067432403064105E-3</v>
      </c>
      <c r="I8" s="41">
        <f>_xll.qlDayCounterYearFraction(DayCounter,SettlementDate,D8,,,Trigger)</f>
        <v>0.13055555555555556</v>
      </c>
      <c r="J8" s="41">
        <f>1</f>
        <v>1</v>
      </c>
      <c r="K8" s="41">
        <f t="shared" si="0"/>
        <v>0.13055555555555556</v>
      </c>
      <c r="L8" s="41">
        <f t="shared" si="1"/>
        <v>1.7044753086419756E-2</v>
      </c>
      <c r="M8" s="40">
        <f>LN((1+G8*_xll.qlDayCounterYearFraction(DayCounter,D8,E8,,,Trigger))/(1+F8*_xll.qlDayCounterYearFraction(DayCounter,D8,E8,,,Trigger)))</f>
        <v>2.7285862079731498E-4</v>
      </c>
      <c r="N8" s="41">
        <f>_xll.qlDayCounterYearFraction(DayCounter,SettlementDate,D8,,,Trigger)</f>
        <v>0.13055555555555556</v>
      </c>
      <c r="O8" s="41">
        <f>_xll.qlDayCounterYearFraction(DayCounter,SettlementDate,E8,,,Trigger)</f>
        <v>0.38611111111111113</v>
      </c>
      <c r="P8" s="41">
        <f t="shared" si="3"/>
        <v>0.25555555555555554</v>
      </c>
      <c r="Q8" s="41">
        <f t="shared" si="4"/>
        <v>6.6018518518518518E-2</v>
      </c>
      <c r="R8" s="41">
        <f t="shared" si="5"/>
        <v>1.8445616140832191E-2</v>
      </c>
      <c r="S8" s="114" t="b">
        <v>1</v>
      </c>
      <c r="T8" s="114" t="b">
        <v>1</v>
      </c>
      <c r="U8" s="114" t="b">
        <v>1</v>
      </c>
      <c r="V8" s="114" t="b">
        <v>1</v>
      </c>
      <c r="AD8" s="94" t="s">
        <v>65</v>
      </c>
      <c r="AE8" s="21"/>
      <c r="AF8" s="21"/>
      <c r="AG8" s="21"/>
      <c r="AH8" s="21"/>
      <c r="AI8" s="112" t="s">
        <v>45</v>
      </c>
      <c r="AJ8" s="33"/>
      <c r="AK8" s="22"/>
      <c r="AL8" s="21"/>
      <c r="AM8" s="21"/>
      <c r="AN8" s="21"/>
      <c r="AO8" s="101"/>
      <c r="AP8" s="94"/>
      <c r="AQ8" s="21"/>
      <c r="AR8" s="21"/>
      <c r="AS8" s="21"/>
      <c r="AT8" s="21"/>
      <c r="AU8" s="112" t="s">
        <v>45</v>
      </c>
      <c r="AV8" s="33"/>
      <c r="AW8" s="218"/>
      <c r="AX8" s="21"/>
      <c r="AY8" s="21"/>
      <c r="AZ8" s="21"/>
      <c r="BA8" s="101"/>
      <c r="BC8" s="178">
        <f>_xll.qlCalendarAdvance(Calendar,BC7,"1d","mf",,Trigger)</f>
        <v>42283</v>
      </c>
      <c r="BD8" s="41">
        <f>_xll.qlDayCounterYearFraction(DayCounter,SettlementDate,BC8,,,Trigger)</f>
        <v>1.1111111111111112E-2</v>
      </c>
      <c r="BE8" s="47">
        <f>_xll.qlPolynomialFunctionValue(BE$1,$BD8,AllTriggers)</f>
        <v>9.0242341703308728E-4</v>
      </c>
      <c r="BF8" s="47">
        <f>_xll.qlPolynomialFunctionValue(BF$1,$BD8,AllTriggers)</f>
        <v>8.3015114146993928E-4</v>
      </c>
      <c r="BG8" s="47">
        <f>_xll.qlPolynomialFunctionValue(BG$1,$BD8,AllTriggers)</f>
        <v>1.0115621686262895E-3</v>
      </c>
      <c r="BH8" s="47">
        <f>_xll.qlPolynomialFunctionValue(BH$1,$BD8,AllTriggers)</f>
        <v>1.1206935658286865E-3</v>
      </c>
      <c r="BI8" s="47">
        <f>_xll.qlPolynomialFunctionValue(BI$1,$BD8,AllTriggers)</f>
        <v>8.969559341407905E-4</v>
      </c>
      <c r="BJ8" s="47">
        <f>_xll.qlPolynomialFunctionValue(BJ$1,$BD8,AllTriggers)</f>
        <v>8.2507682973003229E-4</v>
      </c>
      <c r="BK8" s="47">
        <f>_xll.qlPolynomialFunctionValue(BK$1,$BD8,AllTriggers)</f>
        <v>1.0123938595405914E-3</v>
      </c>
      <c r="BL8" s="47">
        <f>_xll.qlPolynomialFunctionValue(BL$1,$BD8,AllTriggers)</f>
        <v>1.1238227296477929E-3</v>
      </c>
      <c r="BM8" s="47">
        <f>_xll.qlPolynomialFunctionValue(BM$1,$BD8,AllTriggers)</f>
        <v>9.5500085885293572E-4</v>
      </c>
      <c r="BN8" s="47">
        <f>_xll.qlPolynomialFunctionValue(BN$1,$BD8,AllTriggers)</f>
        <v>9.2639349461167591E-4</v>
      </c>
      <c r="BO8" s="47">
        <f>_xll.qlPolynomialFunctionValue(BO$1,$BD8,AllTriggers)</f>
        <v>9.8439401958340823E-4</v>
      </c>
      <c r="BP8" s="47">
        <f>_xll.qlPolynomialFunctionValue(BP$1,$BD8,AllTriggers)</f>
        <v>1.1203279735152855E-3</v>
      </c>
      <c r="BQ8" s="47">
        <f>_xll.qlPolynomialFunctionValue('3MSynthDepo_used'!$P$18,BD8,AllTriggers)</f>
        <v>9.2665299062008534E-4</v>
      </c>
    </row>
    <row r="9" spans="1:69" ht="12" customHeight="1" x14ac:dyDescent="0.2">
      <c r="A9" s="21"/>
      <c r="B9" s="55" t="str">
        <f>'3MSynthDepo_used'!C19</f>
        <v>Z5</v>
      </c>
      <c r="C9" s="42" t="str">
        <f t="shared" si="6"/>
        <v>B3M_FUTZ5</v>
      </c>
      <c r="D9" s="181">
        <f>_xll.qlIMMdate(B9,SettlementDate,Trigger)</f>
        <v>42354</v>
      </c>
      <c r="E9" s="181">
        <f>_xll.qlInterestRateIndexMaturity($D$25,D9)</f>
        <v>42445</v>
      </c>
      <c r="F9" s="54">
        <f>_xll.qlIndexFixing(ON_3M_index,_xll.qlInterestRateIndexFixingDate(ON_3M_index,D9,Trigger),,AllTriggers)</f>
        <v>-1.6201424550335117E-3</v>
      </c>
      <c r="G9" s="54">
        <f t="shared" si="2"/>
        <v>-5.0000000000016698E-4</v>
      </c>
      <c r="H9" s="203">
        <f>_xll.qlQuoteValue(C9,_xll.ohTrigger(InterestRatesTrigger,'3MSynthDepo_used'!$F$1,Trigger))</f>
        <v>1.1201424550333447E-3</v>
      </c>
      <c r="I9" s="44">
        <f>_xll.qlDayCounterYearFraction(DayCounter,SettlementDate,D9,,,Trigger)</f>
        <v>0.20833333333333334</v>
      </c>
      <c r="J9" s="44">
        <f>1</f>
        <v>1</v>
      </c>
      <c r="K9" s="44">
        <f t="shared" si="0"/>
        <v>0.20833333333333334</v>
      </c>
      <c r="L9" s="44">
        <f t="shared" si="1"/>
        <v>4.3402777777777783E-2</v>
      </c>
      <c r="M9" s="43">
        <f>LN((1+G9*_xll.qlDayCounterYearFraction(DayCounter,D9,E9,,,Trigger))/(1+F9*_xll.qlDayCounterYearFraction(DayCounter,D9,E9,,,Trigger)))</f>
        <v>2.8322301560362276E-4</v>
      </c>
      <c r="N9" s="44">
        <f>_xll.qlDayCounterYearFraction(DayCounter,SettlementDate,D9,,,Trigger)</f>
        <v>0.20833333333333334</v>
      </c>
      <c r="O9" s="44">
        <f>_xll.qlDayCounterYearFraction(DayCounter,SettlementDate,E9,,,Trigger)</f>
        <v>0.46111111111111114</v>
      </c>
      <c r="P9" s="44">
        <f t="shared" si="3"/>
        <v>0.25277777777777777</v>
      </c>
      <c r="Q9" s="44">
        <f t="shared" si="4"/>
        <v>8.4610339506172846E-2</v>
      </c>
      <c r="R9" s="44">
        <f t="shared" si="5"/>
        <v>2.9666931012802929E-2</v>
      </c>
      <c r="S9" s="150" t="b">
        <v>1</v>
      </c>
      <c r="T9" s="150" t="b">
        <v>1</v>
      </c>
      <c r="U9" s="150" t="b">
        <v>1</v>
      </c>
      <c r="V9" s="150" t="b">
        <v>1</v>
      </c>
      <c r="AD9" s="94"/>
      <c r="AE9" s="32"/>
      <c r="AF9" s="27">
        <f t="array" ref="AF9:AF10">_xll.ohFilter(K3:K9,U3:U9)</f>
        <v>5.2777777777777778E-2</v>
      </c>
      <c r="AG9" s="28">
        <f t="array" ref="AG9:AG10">_xll.ohFilter(J3:J9,U3:U9)</f>
        <v>1</v>
      </c>
      <c r="AH9" s="303" t="s">
        <v>20</v>
      </c>
      <c r="AI9" s="29">
        <f t="array" ref="AI9:AI10">MMULT(AL9:AM10,AK9:AK10)</f>
        <v>2.2348093775126192E-4</v>
      </c>
      <c r="AJ9" s="303" t="s">
        <v>21</v>
      </c>
      <c r="AK9" s="30">
        <f t="array" ref="AK9:AK10">_xll.ohFilter(H3:H9,U3:U9)</f>
        <v>1.050050552350118E-3</v>
      </c>
      <c r="AL9" s="27">
        <f t="array" ref="AL9:AM10">MINVERSE(AF9:AG10)</f>
        <v>-12.857142857142856</v>
      </c>
      <c r="AM9" s="28">
        <v>12.857142857142856</v>
      </c>
      <c r="AN9" s="21"/>
      <c r="AO9" s="101"/>
      <c r="AP9" s="94"/>
      <c r="AQ9" s="32"/>
      <c r="AR9" s="27">
        <f t="array" ref="AR9:AR10">_xll.ohFilter(Q3:Q9,U3:U9)</f>
        <v>4.6141975308641982E-2</v>
      </c>
      <c r="AS9" s="28">
        <f t="array" ref="AS9:AS10">_xll.ohFilter(P3:P9,U3:U9)</f>
        <v>0.25555555555555559</v>
      </c>
      <c r="AT9" s="303" t="s">
        <v>20</v>
      </c>
      <c r="AU9" s="29">
        <f t="array" ref="AU9:AU10">MMULT(AX9:AY10,AW9:AW10)</f>
        <v>2.2374116113185391E-4</v>
      </c>
      <c r="AV9" s="303" t="s">
        <v>21</v>
      </c>
      <c r="AW9" s="56">
        <f t="array" ref="AW9:AW10">_xll.ohFilter(M3:M9,U3:U9)</f>
        <v>2.6841141994024976E-4</v>
      </c>
      <c r="AX9" s="27">
        <f t="array" ref="AX9:AY10">MINVERSE(AR9:AS10)</f>
        <v>-50.310559006211179</v>
      </c>
      <c r="AY9" s="28">
        <v>50.310559006211186</v>
      </c>
      <c r="AZ9" s="21"/>
      <c r="BA9" s="101"/>
      <c r="BC9" s="178">
        <f>_xll.qlCalendarAdvance(Calendar,BC8,"1d","mf",,Trigger)</f>
        <v>42284</v>
      </c>
      <c r="BD9" s="41">
        <f>_xll.qlDayCounterYearFraction(DayCounter,SettlementDate,BC9,,,Trigger)</f>
        <v>1.3888888888888888E-2</v>
      </c>
      <c r="BE9" s="47">
        <f>_xll.qlPolynomialFunctionValue(BE$1,$BD9,AllTriggers)</f>
        <v>9.0480449986078139E-4</v>
      </c>
      <c r="BF9" s="47">
        <f>_xll.qlPolynomialFunctionValue(BF$1,$BD9,AllTriggers)</f>
        <v>8.36427361622854E-4</v>
      </c>
      <c r="BG9" s="47">
        <f>_xll.qlPolynomialFunctionValue(BG$1,$BD9,AllTriggers)</f>
        <v>1.0121829490089319E-3</v>
      </c>
      <c r="BH9" s="47">
        <f>_xll.qlPolynomialFunctionValue(BH$1,$BD9,AllTriggers)</f>
        <v>1.1179122043812632E-3</v>
      </c>
      <c r="BI9" s="47">
        <f>_xll.qlPolynomialFunctionValue(BI$1,$BD9,AllTriggers)</f>
        <v>8.9946986237271086E-4</v>
      </c>
      <c r="BJ9" s="47">
        <f>_xll.qlPolynomialFunctionValue(BJ$1,$BD9,AllTriggers)</f>
        <v>8.3160692884314967E-4</v>
      </c>
      <c r="BK9" s="47">
        <f>_xll.qlPolynomialFunctionValue(BK$1,$BD9,AllTriggers)</f>
        <v>1.0130153627659578E-3</v>
      </c>
      <c r="BL9" s="47">
        <f>_xll.qlPolynomialFunctionValue(BL$1,$BD9,AllTriggers)</f>
        <v>1.1209293994148344E-3</v>
      </c>
      <c r="BM9" s="47">
        <f>_xll.qlPolynomialFunctionValue(BM$1,$BD9,AllTriggers)</f>
        <v>9.5632413719333605E-4</v>
      </c>
      <c r="BN9" s="47">
        <f>_xll.qlPolynomialFunctionValue(BN$1,$BD9,AllTriggers)</f>
        <v>9.2869459003991665E-4</v>
      </c>
      <c r="BO9" s="47">
        <f>_xll.qlPolynomialFunctionValue(BO$1,$BD9,AllTriggers)</f>
        <v>9.853894697962242E-4</v>
      </c>
      <c r="BP9" s="47">
        <f>_xll.qlPolynomialFunctionValue(BP$1,$BD9,AllTriggers)</f>
        <v>1.1176657197533189E-3</v>
      </c>
      <c r="BQ9" s="47">
        <f>_xll.qlPolynomialFunctionValue('3MSynthDepo_used'!$P$18,BD9,AllTriggers)</f>
        <v>9.2864677471385956E-4</v>
      </c>
    </row>
    <row r="10" spans="1:69" ht="12" customHeight="1" x14ac:dyDescent="0.2">
      <c r="A10" s="21"/>
      <c r="B10" s="55"/>
      <c r="C10" s="22"/>
      <c r="D10" s="23"/>
      <c r="E10" s="23"/>
      <c r="F10" s="122"/>
      <c r="G10" s="122"/>
      <c r="H10" s="123"/>
      <c r="I10" s="24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6"/>
      <c r="U10" s="26"/>
      <c r="V10" s="26"/>
      <c r="W10" s="26"/>
      <c r="AD10" s="94"/>
      <c r="AE10" s="32"/>
      <c r="AF10" s="27">
        <v>0.13055555555555556</v>
      </c>
      <c r="AG10" s="28">
        <v>1</v>
      </c>
      <c r="AH10" s="303"/>
      <c r="AI10" s="29">
        <v>1.0382557250799124E-3</v>
      </c>
      <c r="AJ10" s="303"/>
      <c r="AK10" s="30">
        <v>1.067432403064105E-3</v>
      </c>
      <c r="AL10" s="27">
        <v>1.6785714285714286</v>
      </c>
      <c r="AM10" s="28">
        <v>-0.6785714285714286</v>
      </c>
      <c r="AN10" s="21"/>
      <c r="AO10" s="101"/>
      <c r="AP10" s="94"/>
      <c r="AQ10" s="32"/>
      <c r="AR10" s="27">
        <v>6.6018518518518518E-2</v>
      </c>
      <c r="AS10" s="28">
        <v>0.25555555555555554</v>
      </c>
      <c r="AT10" s="303"/>
      <c r="AU10" s="29">
        <v>1.0099078466391264E-3</v>
      </c>
      <c r="AV10" s="303"/>
      <c r="AW10" s="56">
        <v>2.7285862079731498E-4</v>
      </c>
      <c r="AX10" s="27">
        <v>12.996894409937887</v>
      </c>
      <c r="AY10" s="28">
        <v>-9.08385093167702</v>
      </c>
      <c r="AZ10" s="21"/>
      <c r="BA10" s="101"/>
      <c r="BC10" s="178">
        <f>_xll.qlCalendarAdvance(Calendar,BC9,"1d","mf",,Trigger)</f>
        <v>42285</v>
      </c>
      <c r="BD10" s="41">
        <f>_xll.qlDayCounterYearFraction(DayCounter,SettlementDate,BC10,,,Trigger)</f>
        <v>1.6666666666666666E-2</v>
      </c>
      <c r="BE10" s="47">
        <f>_xll.qlPolynomialFunctionValue(BE$1,$BD10,AllTriggers)</f>
        <v>9.071855826884754E-4</v>
      </c>
      <c r="BF10" s="47">
        <f>_xll.qlPolynomialFunctionValue(BF$1,$BD10,AllTriggers)</f>
        <v>8.4262867528874517E-4</v>
      </c>
      <c r="BG10" s="47">
        <f>_xll.qlPolynomialFunctionValue(BG$1,$BD10,AllTriggers)</f>
        <v>1.0128037293915743E-3</v>
      </c>
      <c r="BH10" s="47">
        <f>_xll.qlPolynomialFunctionValue(BH$1,$BD10,AllTriggers)</f>
        <v>1.1151759044150326E-3</v>
      </c>
      <c r="BI10" s="47">
        <f>_xll.qlPolynomialFunctionValue(BI$1,$BD10,AllTriggers)</f>
        <v>9.0198379060463121E-4</v>
      </c>
      <c r="BJ10" s="47">
        <f>_xll.qlPolynomialFunctionValue(BJ$1,$BD10,AllTriggers)</f>
        <v>8.380577179443508E-4</v>
      </c>
      <c r="BK10" s="47">
        <f>_xll.qlPolynomialFunctionValue(BK$1,$BD10,AllTriggers)</f>
        <v>1.0136368659913241E-3</v>
      </c>
      <c r="BL10" s="47">
        <f>_xll.qlPolynomialFunctionValue(BL$1,$BD10,AllTriggers)</f>
        <v>1.1180832481544709E-3</v>
      </c>
      <c r="BM10" s="47">
        <f>_xll.qlPolynomialFunctionValue(BM$1,$BD10,AllTriggers)</f>
        <v>9.5764741553373649E-4</v>
      </c>
      <c r="BN10" s="47">
        <f>_xll.qlPolynomialFunctionValue(BN$1,$BD10,AllTriggers)</f>
        <v>9.3098260695480078E-4</v>
      </c>
      <c r="BO10" s="47">
        <f>_xll.qlPolynomialFunctionValue(BO$1,$BD10,AllTriggers)</f>
        <v>9.8638492000904018E-4</v>
      </c>
      <c r="BP10" s="47">
        <f>_xll.qlPolynomialFunctionValue(BP$1,$BD10,AllTriggers)</f>
        <v>1.1150459841888594E-3</v>
      </c>
      <c r="BQ10" s="47">
        <f>_xll.qlPolynomialFunctionValue('3MSynthDepo_used'!$P$18,BD10,AllTriggers)</f>
        <v>9.3063435060823587E-4</v>
      </c>
    </row>
    <row r="11" spans="1:69" ht="12" customHeight="1" x14ac:dyDescent="0.2">
      <c r="A11" s="21"/>
      <c r="B11" s="55"/>
      <c r="C11" s="21"/>
      <c r="D11" s="21"/>
      <c r="E11" s="21"/>
      <c r="F11" s="21"/>
      <c r="G11" s="21"/>
      <c r="AD11" s="94"/>
      <c r="AE11" s="21"/>
      <c r="AF11" s="21"/>
      <c r="AG11" s="21"/>
      <c r="AH11" s="21"/>
      <c r="AI11" s="111"/>
      <c r="AJ11" s="33"/>
      <c r="AK11" s="22"/>
      <c r="AL11" s="21"/>
      <c r="AM11" s="21"/>
      <c r="AN11" s="21"/>
      <c r="AO11" s="101"/>
      <c r="AP11" s="94"/>
      <c r="AQ11" s="21"/>
      <c r="AR11" s="21"/>
      <c r="AS11" s="21"/>
      <c r="AT11" s="21"/>
      <c r="AU11" s="111"/>
      <c r="AV11" s="33"/>
      <c r="AW11" s="22"/>
      <c r="AX11" s="21"/>
      <c r="AY11" s="21"/>
      <c r="AZ11" s="21"/>
      <c r="BA11" s="101"/>
      <c r="BC11" s="178">
        <f>_xll.qlCalendarAdvance(Calendar,BC10,"1d","mf",,Trigger)</f>
        <v>42286</v>
      </c>
      <c r="BD11" s="41">
        <f>_xll.qlDayCounterYearFraction(DayCounter,SettlementDate,BC11,,,Trigger)</f>
        <v>1.9444444444444445E-2</v>
      </c>
      <c r="BE11" s="47">
        <f>_xll.qlPolynomialFunctionValue(BE$1,$BD11,AllTriggers)</f>
        <v>9.0956666551616941E-4</v>
      </c>
      <c r="BF11" s="47">
        <f>_xll.qlPolynomialFunctionValue(BF$1,$BD11,AllTriggers)</f>
        <v>8.487550824676129E-4</v>
      </c>
      <c r="BG11" s="47">
        <f>_xll.qlPolynomialFunctionValue(BG$1,$BD11,AllTriggers)</f>
        <v>1.0134245097742167E-3</v>
      </c>
      <c r="BH11" s="47">
        <f>_xll.qlPolynomialFunctionValue(BH$1,$BD11,AllTriggers)</f>
        <v>1.1124846659299949E-3</v>
      </c>
      <c r="BI11" s="47">
        <f>_xll.qlPolynomialFunctionValue(BI$1,$BD11,AllTriggers)</f>
        <v>9.0449771883655168E-4</v>
      </c>
      <c r="BJ11" s="47">
        <f>_xll.qlPolynomialFunctionValue(BJ$1,$BD11,AllTriggers)</f>
        <v>8.4442919703363588E-4</v>
      </c>
      <c r="BK11" s="47">
        <f>_xll.qlPolynomialFunctionValue(BK$1,$BD11,AllTriggers)</f>
        <v>1.0142583692166903E-3</v>
      </c>
      <c r="BL11" s="47">
        <f>_xll.qlPolynomialFunctionValue(BL$1,$BD11,AllTriggers)</f>
        <v>1.1152842758667023E-3</v>
      </c>
      <c r="BM11" s="47">
        <f>_xll.qlPolynomialFunctionValue(BM$1,$BD11,AllTriggers)</f>
        <v>9.5897069387413682E-4</v>
      </c>
      <c r="BN11" s="47">
        <f>_xll.qlPolynomialFunctionValue(BN$1,$BD11,AllTriggers)</f>
        <v>9.3325754535632873E-4</v>
      </c>
      <c r="BO11" s="47">
        <f>_xll.qlPolynomialFunctionValue(BO$1,$BD11,AllTriggers)</f>
        <v>9.8738037022185615E-4</v>
      </c>
      <c r="BP11" s="47">
        <f>_xll.qlPolynomialFunctionValue(BP$1,$BD11,AllTriggers)</f>
        <v>1.1124687668219067E-3</v>
      </c>
      <c r="BQ11" s="47">
        <f>_xll.qlPolynomialFunctionValue('3MSynthDepo_used'!$P$18,BD11,AllTriggers)</f>
        <v>9.3261572966589956E-4</v>
      </c>
    </row>
    <row r="12" spans="1:69" ht="12" customHeight="1" x14ac:dyDescent="0.2">
      <c r="B12" s="21"/>
      <c r="C12" s="116" t="s">
        <v>67</v>
      </c>
      <c r="D12" s="117"/>
      <c r="E12" s="117"/>
      <c r="F12" s="117"/>
      <c r="G12" s="117"/>
      <c r="H12" s="117"/>
      <c r="I12" s="116"/>
      <c r="J12" s="116"/>
      <c r="P12" s="55"/>
      <c r="Q12" s="55"/>
      <c r="R12" s="55"/>
      <c r="S12" s="116" t="str">
        <f>"with 0X"&amp;SUBSTITUTE($D$24,"M","")</f>
        <v>with 0X3</v>
      </c>
      <c r="T12" s="118"/>
      <c r="U12" s="117" t="str">
        <f>"without 0X"&amp;SUBSTITUTE($D$24,"M","")</f>
        <v>without 0X3</v>
      </c>
      <c r="V12" s="118"/>
      <c r="AD12" s="219" t="s">
        <v>42</v>
      </c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2"/>
      <c r="AP12" s="219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2"/>
      <c r="BC12" s="178">
        <f>_xll.qlCalendarAdvance(Calendar,BC11,"1d","mf",,Trigger)</f>
        <v>42289</v>
      </c>
      <c r="BD12" s="41">
        <f>_xll.qlDayCounterYearFraction(DayCounter,SettlementDate,BC12,,,Trigger)</f>
        <v>2.7777777777777776E-2</v>
      </c>
      <c r="BE12" s="47">
        <f>_xll.qlPolynomialFunctionValue(BE$1,$BD12,AllTriggers)</f>
        <v>9.1670991399925164E-4</v>
      </c>
      <c r="BF12" s="47">
        <f>_xll.qlPolynomialFunctionValue(BF$1,$BD12,AllTriggers)</f>
        <v>8.6668486508207525E-4</v>
      </c>
      <c r="BG12" s="47">
        <f>_xll.qlPolynomialFunctionValue(BG$1,$BD12,AllTriggers)</f>
        <v>1.0152868509221437E-3</v>
      </c>
      <c r="BH12" s="47">
        <f>_xll.qlPolynomialFunctionValue(BH$1,$BD12,AllTriggers)</f>
        <v>1.10468131936204E-3</v>
      </c>
      <c r="BI12" s="47">
        <f>_xll.qlPolynomialFunctionValue(BI$1,$BD12,AllTriggers)</f>
        <v>9.1203950353231276E-4</v>
      </c>
      <c r="BJ12" s="47">
        <f>_xll.qlPolynomialFunctionValue(BJ$1,$BD12,AllTriggers)</f>
        <v>8.6306777422999437E-4</v>
      </c>
      <c r="BK12" s="47">
        <f>_xll.qlPolynomialFunctionValue(BK$1,$BD12,AllTriggers)</f>
        <v>1.016122878892789E-3</v>
      </c>
      <c r="BL12" s="47">
        <f>_xll.qlPolynomialFunctionValue(BL$1,$BD12,AllTriggers)</f>
        <v>1.1071704328389667E-3</v>
      </c>
      <c r="BM12" s="47">
        <f>_xll.qlPolynomialFunctionValue(BM$1,$BD12,AllTriggers)</f>
        <v>9.6294052889533803E-4</v>
      </c>
      <c r="BN12" s="47">
        <f>_xll.qlPolynomialFunctionValue(BN$1,$BD12,AllTriggers)</f>
        <v>9.4000388948077367E-4</v>
      </c>
      <c r="BO12" s="47">
        <f>_xll.qlPolynomialFunctionValue(BO$1,$BD12,AllTriggers)</f>
        <v>9.9036672086030408E-4</v>
      </c>
      <c r="BP12" s="47">
        <f>_xll.qlPolynomialFunctionValue(BP$1,$BD12,AllTriggers)</f>
        <v>1.1049922239060907E-3</v>
      </c>
      <c r="BQ12" s="47">
        <f>_xll.qlPolynomialFunctionValue('3MSynthDepo_used'!$P$18,BD12,AllTriggers)</f>
        <v>9.3852279944546925E-4</v>
      </c>
    </row>
    <row r="13" spans="1:69" ht="22.5" customHeight="1" x14ac:dyDescent="0.2">
      <c r="C13" s="36" t="s">
        <v>43</v>
      </c>
      <c r="D13" s="36" t="s">
        <v>101</v>
      </c>
      <c r="E13" s="36" t="s">
        <v>102</v>
      </c>
      <c r="F13" s="36" t="s">
        <v>56</v>
      </c>
      <c r="G13" s="36" t="str">
        <f>"F "&amp;$D$24</f>
        <v>F 3M</v>
      </c>
      <c r="H13" s="36" t="str">
        <f>"B "&amp;$D$24</f>
        <v>B 3M</v>
      </c>
      <c r="I13" s="36" t="s">
        <v>89</v>
      </c>
      <c r="J13" s="36" t="s">
        <v>104</v>
      </c>
      <c r="P13" s="55"/>
      <c r="Q13" s="55"/>
      <c r="R13" s="55"/>
      <c r="S13" s="36" t="s">
        <v>41</v>
      </c>
      <c r="T13" s="36" t="s">
        <v>42</v>
      </c>
      <c r="U13" s="36" t="s">
        <v>41</v>
      </c>
      <c r="V13" s="36" t="s">
        <v>42</v>
      </c>
      <c r="AD13" s="94" t="s">
        <v>64</v>
      </c>
      <c r="AE13" s="21"/>
      <c r="AF13" s="21"/>
      <c r="AG13" s="21"/>
      <c r="AH13" s="21"/>
      <c r="AI13" s="113" t="s">
        <v>44</v>
      </c>
      <c r="AJ13" s="21"/>
      <c r="AK13" s="21"/>
      <c r="AL13" s="21"/>
      <c r="AM13" s="21"/>
      <c r="AN13" s="21"/>
      <c r="AO13" s="101"/>
      <c r="AP13" s="94"/>
      <c r="AQ13" s="21"/>
      <c r="AR13" s="21"/>
      <c r="AS13" s="21"/>
      <c r="AT13" s="21"/>
      <c r="AU13" s="113" t="s">
        <v>44</v>
      </c>
      <c r="AV13" s="21"/>
      <c r="AW13" s="21"/>
      <c r="AX13" s="21"/>
      <c r="AY13" s="21"/>
      <c r="AZ13" s="21"/>
      <c r="BA13" s="101"/>
      <c r="BC13" s="178">
        <f>_xll.qlCalendarAdvance(Calendar,BC12,"1d","mf",,Trigger)</f>
        <v>42290</v>
      </c>
      <c r="BD13" s="41">
        <f>_xll.qlDayCounterYearFraction(DayCounter,SettlementDate,BC13,,,Trigger)</f>
        <v>3.0555555555555555E-2</v>
      </c>
      <c r="BE13" s="47">
        <f>_xll.qlPolynomialFunctionValue(BE$1,$BD13,AllTriggers)</f>
        <v>9.1909099682694565E-4</v>
      </c>
      <c r="BF13" s="47">
        <f>_xll.qlPolynomialFunctionValue(BF$1,$BD13,AllTriggers)</f>
        <v>8.7251164631284913E-4</v>
      </c>
      <c r="BG13" s="47">
        <f>_xll.qlPolynomialFunctionValue(BG$1,$BD13,AllTriggers)</f>
        <v>1.0159076313047861E-3</v>
      </c>
      <c r="BH13" s="47">
        <f>_xll.qlPolynomialFunctionValue(BH$1,$BD13,AllTriggers)</f>
        <v>1.1021703268017742E-3</v>
      </c>
      <c r="BI13" s="47">
        <f>_xll.qlPolynomialFunctionValue(BI$1,$BD13,AllTriggers)</f>
        <v>9.1455343176423311E-4</v>
      </c>
      <c r="BJ13" s="47">
        <f>_xll.qlPolynomialFunctionValue(BJ$1,$BD13,AllTriggers)</f>
        <v>8.6912201327161499E-4</v>
      </c>
      <c r="BK13" s="47">
        <f>_xll.qlPolynomialFunctionValue(BK$1,$BD13,AllTriggers)</f>
        <v>1.0167443821181552E-3</v>
      </c>
      <c r="BL13" s="47">
        <f>_xll.qlPolynomialFunctionValue(BL$1,$BD13,AllTriggers)</f>
        <v>1.1045601764415778E-3</v>
      </c>
      <c r="BM13" s="47">
        <f>_xll.qlPolynomialFunctionValue(BM$1,$BD13,AllTriggers)</f>
        <v>9.6426380723573836E-4</v>
      </c>
      <c r="BN13" s="47">
        <f>_xll.qlPolynomialFunctionValue(BN$1,$BD13,AllTriggers)</f>
        <v>9.4222651382887582E-4</v>
      </c>
      <c r="BO13" s="47">
        <f>_xll.qlPolynomialFunctionValue(BO$1,$BD13,AllTriggers)</f>
        <v>9.9136217107312005E-4</v>
      </c>
      <c r="BP13" s="47">
        <f>_xll.qlPolynomialFunctionValue(BP$1,$BD13,AllTriggers)</f>
        <v>1.102585079329166E-3</v>
      </c>
      <c r="BQ13" s="47">
        <f>_xll.qlPolynomialFunctionValue('3MSynthDepo_used'!$P$18,BD13,AllTriggers)</f>
        <v>9.4047950478313676E-4</v>
      </c>
    </row>
    <row r="14" spans="1:69" ht="12" customHeight="1" x14ac:dyDescent="0.2">
      <c r="A14" s="19">
        <f>A3</f>
        <v>0</v>
      </c>
      <c r="B14" s="55">
        <f>A14+SUBSTITUTE($D$24,"M","")</f>
        <v>3</v>
      </c>
      <c r="C14" s="171" t="str">
        <f>"B"&amp;$D$24&amp;"_"&amp;A14&amp;"X"&amp;B14&amp;$D$28</f>
        <v>B3M_0X3ESTIMATED</v>
      </c>
      <c r="D14" s="186">
        <f>SettlementDate</f>
        <v>42279</v>
      </c>
      <c r="E14" s="186">
        <f>_xll.qlInterestRateIndexMaturity($D$25,D14)</f>
        <v>42373</v>
      </c>
      <c r="F14" s="172">
        <f>_xll.qlIndexFixing(ON_3M_index,_xll.qlInterestRateIndexFixingDate(ON_3M_index,D14,Trigger),,AllTriggers)</f>
        <v>-1.435464475435309E-3</v>
      </c>
      <c r="G14" s="172">
        <f>H14+F14</f>
        <v>-4.3065449681137778E-4</v>
      </c>
      <c r="H14" s="226">
        <f>_xll.qlQuoteValue(C14,_xll.ohTrigger(InterestRatesTrigger,'3MSynthDepo_used'!$F$1,Trigger))</f>
        <v>1.0048099786239312E-3</v>
      </c>
      <c r="I14" s="173">
        <f>_xll.qlDayCounterYearFraction(DayCounter,SettlementDate,D14,,,Trigger)</f>
        <v>0</v>
      </c>
      <c r="J14" s="244">
        <f t="shared" ref="J14:J20" si="7">IF(($E$14-SettlementDate)-($D14-SettlementDate)&lt;0,0,($E$14-SettlementDate)-($D14-SettlementDate))</f>
        <v>94</v>
      </c>
      <c r="P14" s="55"/>
      <c r="Q14" s="55"/>
      <c r="R14" s="55"/>
      <c r="S14" s="174" t="b">
        <v>1</v>
      </c>
      <c r="T14" s="174" t="b">
        <v>1</v>
      </c>
      <c r="U14" s="174" t="b">
        <v>0</v>
      </c>
      <c r="V14" s="174" t="b">
        <v>0</v>
      </c>
      <c r="AD14" s="94"/>
      <c r="AE14" s="27">
        <f t="array" ref="AE14:AE16">_xll.ohFilter(L3:L9,T3:T9)</f>
        <v>0</v>
      </c>
      <c r="AF14" s="31">
        <f t="array" ref="AF14:AF16">_xll.ohFilter(K3:K9,T3:T9)</f>
        <v>0</v>
      </c>
      <c r="AG14" s="28">
        <f t="array" ref="AG14:AG16">_xll.ohFilter(J3:J9,T3:T9)</f>
        <v>1</v>
      </c>
      <c r="AH14" s="303" t="s">
        <v>20</v>
      </c>
      <c r="AI14" s="29">
        <f t="array" ref="AI14:AI16">MMULT(AL14:AN16,AK14:AK16)</f>
        <v>-4.8539403591211228E-3</v>
      </c>
      <c r="AJ14" s="303" t="s">
        <v>21</v>
      </c>
      <c r="AK14" s="56">
        <f t="array" ref="AK14:AK16">_xll.ohFilter(H3:H9,T3:T9)</f>
        <v>1.0048099786239312E-3</v>
      </c>
      <c r="AL14" s="27">
        <f t="array" ref="AL14:AN16">MINVERSE(AE14:AG16)</f>
        <v>145.12877939529673</v>
      </c>
      <c r="AM14" s="31">
        <v>-243.6090225563909</v>
      </c>
      <c r="AN14" s="28">
        <v>98.480243161094194</v>
      </c>
      <c r="AO14" s="101"/>
      <c r="AP14" s="94"/>
      <c r="AQ14" s="27">
        <f t="array" ref="AQ14:AQ16">_xll.ohFilter(R3:R9,T3:T9)</f>
        <v>5.9340992226794712E-3</v>
      </c>
      <c r="AR14" s="31">
        <f t="array" ref="AR14:AR16">_xll.ohFilter(Q3:Q9,T3:T9)</f>
        <v>3.4089506172839512E-2</v>
      </c>
      <c r="AS14" s="28">
        <f t="array" ref="AS14:AS16">_xll.ohFilter(P3:P9,T3:T9)</f>
        <v>0.26111111111111113</v>
      </c>
      <c r="AT14" s="303" t="s">
        <v>20</v>
      </c>
      <c r="AU14" s="29">
        <f t="array" ref="AU14:AU16">MMULT(AX14:AZ16,AW14:AW16)</f>
        <v>-5.1392887721645741E-3</v>
      </c>
      <c r="AV14" s="303" t="s">
        <v>21</v>
      </c>
      <c r="AW14" s="56">
        <f t="array" ref="AW14:AW16">_xll.ohFilter(M3:M9,T3:T9)</f>
        <v>2.6243098811849026E-4</v>
      </c>
      <c r="AX14" s="27">
        <f t="array" ref="AX14:AZ16">MINVERSE(AQ14:AS16)</f>
        <v>577.81190399524553</v>
      </c>
      <c r="AY14" s="31">
        <v>-969.8985531348759</v>
      </c>
      <c r="AZ14" s="28">
        <v>379.52552079190798</v>
      </c>
      <c r="BA14" s="101"/>
      <c r="BC14" s="178">
        <f>_xll.qlCalendarAdvance(Calendar,BC13,"1d","mf",,Trigger)</f>
        <v>42291</v>
      </c>
      <c r="BD14" s="41">
        <f>_xll.qlDayCounterYearFraction(DayCounter,SettlementDate,BC14,,,Trigger)</f>
        <v>3.3333333333333333E-2</v>
      </c>
      <c r="BE14" s="47">
        <f>_xll.qlPolynomialFunctionValue(BE$1,$BD14,AllTriggers)</f>
        <v>9.2147207965463966E-4</v>
      </c>
      <c r="BF14" s="47">
        <f>_xll.qlPolynomialFunctionValue(BF$1,$BD14,AllTriggers)</f>
        <v>8.7826352105659956E-4</v>
      </c>
      <c r="BG14" s="47">
        <f>_xll.qlPolynomialFunctionValue(BG$1,$BD14,AllTriggers)</f>
        <v>1.0165284116874286E-3</v>
      </c>
      <c r="BH14" s="47">
        <f>_xll.qlPolynomialFunctionValue(BH$1,$BD14,AllTriggers)</f>
        <v>1.0997043957227013E-3</v>
      </c>
      <c r="BI14" s="47">
        <f>_xll.qlPolynomialFunctionValue(BI$1,$BD14,AllTriggers)</f>
        <v>9.1706735999615358E-4</v>
      </c>
      <c r="BJ14" s="47">
        <f>_xll.qlPolynomialFunctionValue(BJ$1,$BD14,AllTriggers)</f>
        <v>8.7509694230131945E-4</v>
      </c>
      <c r="BK14" s="47">
        <f>_xll.qlPolynomialFunctionValue(BK$1,$BD14,AllTriggers)</f>
        <v>1.0173658853435215E-3</v>
      </c>
      <c r="BL14" s="47">
        <f>_xll.qlPolynomialFunctionValue(BL$1,$BD14,AllTriggers)</f>
        <v>1.1019970990167841E-3</v>
      </c>
      <c r="BM14" s="47">
        <f>_xll.qlPolynomialFunctionValue(BM$1,$BD14,AllTriggers)</f>
        <v>9.655870855761388E-4</v>
      </c>
      <c r="BN14" s="47">
        <f>_xll.qlPolynomialFunctionValue(BN$1,$BD14,AllTriggers)</f>
        <v>9.4443605966362159E-4</v>
      </c>
      <c r="BO14" s="47">
        <f>_xll.qlPolynomialFunctionValue(BO$1,$BD14,AllTriggers)</f>
        <v>9.9235762128593603E-4</v>
      </c>
      <c r="BP14" s="47">
        <f>_xll.qlPolynomialFunctionValue(BP$1,$BD14,AllTriggers)</f>
        <v>1.1002204529497481E-3</v>
      </c>
      <c r="BQ14" s="47">
        <f>_xll.qlPolynomialFunctionValue('3MSynthDepo_used'!$P$18,BD14,AllTriggers)</f>
        <v>9.4243007009751911E-4</v>
      </c>
    </row>
    <row r="15" spans="1:69" ht="12" customHeight="1" x14ac:dyDescent="0.2">
      <c r="A15" s="21">
        <f t="shared" ref="A15:A17" si="8">A4</f>
        <v>1</v>
      </c>
      <c r="B15" s="55">
        <f>A15+SUBSTITUTE($D$24,"M","")</f>
        <v>4</v>
      </c>
      <c r="C15" s="39" t="str">
        <f>"B"&amp;$D$24&amp;"_"&amp;A15&amp;"X"&amp;B15</f>
        <v>B3M_1X4</v>
      </c>
      <c r="D15" s="177">
        <f>_xll.qlCalendarAdvance(Calendar,SettlementDate,A15&amp;"M","mf")</f>
        <v>42310</v>
      </c>
      <c r="E15" s="177">
        <f>_xll.qlInterestRateIndexMaturity($D$25,D15)</f>
        <v>42402</v>
      </c>
      <c r="F15" s="53">
        <f>_xll.qlIndexFixing(ON_3M_index,_xll.qlInterestRateIndexFixingDate(ON_3M_index,D15,Trigger),,AllTriggers)</f>
        <v>-1.5163475713998792E-3</v>
      </c>
      <c r="G15" s="53">
        <f t="shared" ref="G15:G20" si="9">H15+F15</f>
        <v>-4.5999999999999991E-4</v>
      </c>
      <c r="H15" s="202">
        <f>_xll.qlQuoteValue(C15,_xll.ohTrigger(InterestRatesTrigger,'3MSynthDepo_used'!$F$1,Trigger))</f>
        <v>1.0563475713998793E-3</v>
      </c>
      <c r="I15" s="41">
        <f>_xll.qlDayCounterYearFraction(DayCounter,SettlementDate,D15,,,Trigger)</f>
        <v>8.611111111111111E-2</v>
      </c>
      <c r="J15" s="242">
        <f t="shared" si="7"/>
        <v>63</v>
      </c>
      <c r="K15" s="21"/>
      <c r="L15" s="21"/>
      <c r="M15" s="21"/>
      <c r="N15" s="21"/>
      <c r="O15" s="21"/>
      <c r="P15" s="55"/>
      <c r="Q15" s="55"/>
      <c r="R15" s="55"/>
      <c r="S15" s="114" t="b">
        <v>1</v>
      </c>
      <c r="T15" s="114" t="b">
        <v>1</v>
      </c>
      <c r="U15" s="114" t="b">
        <v>1</v>
      </c>
      <c r="V15" s="114" t="b">
        <v>1</v>
      </c>
      <c r="AD15" s="94"/>
      <c r="AE15" s="27">
        <v>2.7854938271604937E-3</v>
      </c>
      <c r="AF15" s="31">
        <v>5.2777777777777778E-2</v>
      </c>
      <c r="AG15" s="28">
        <v>1</v>
      </c>
      <c r="AH15" s="303"/>
      <c r="AI15" s="29">
        <v>1.1133700035901323E-3</v>
      </c>
      <c r="AJ15" s="303"/>
      <c r="AK15" s="56">
        <v>1.050050552350118E-3</v>
      </c>
      <c r="AL15" s="27">
        <v>-26.606942889137738</v>
      </c>
      <c r="AM15" s="31">
        <v>31.804511278195484</v>
      </c>
      <c r="AN15" s="28">
        <v>-5.1975683890577491</v>
      </c>
      <c r="AO15" s="101"/>
      <c r="AP15" s="94"/>
      <c r="AQ15" s="27">
        <v>9.7220221764974871E-3</v>
      </c>
      <c r="AR15" s="31">
        <v>4.6141975308641982E-2</v>
      </c>
      <c r="AS15" s="28">
        <v>0.25555555555555559</v>
      </c>
      <c r="AT15" s="303"/>
      <c r="AU15" s="29">
        <v>2.4793179000263468E-3</v>
      </c>
      <c r="AV15" s="303"/>
      <c r="AW15" s="56">
        <v>2.6841141994024976E-4</v>
      </c>
      <c r="AX15" s="27">
        <v>-253.59522453124654</v>
      </c>
      <c r="AY15" s="31">
        <v>375.36713931409543</v>
      </c>
      <c r="AZ15" s="28">
        <v>-116.25897511912619</v>
      </c>
      <c r="BA15" s="101"/>
      <c r="BC15" s="178">
        <f>_xll.qlCalendarAdvance(Calendar,BC14,"1d","mf",,Trigger)</f>
        <v>42292</v>
      </c>
      <c r="BD15" s="41">
        <f>_xll.qlDayCounterYearFraction(DayCounter,SettlementDate,BC15,,,Trigger)</f>
        <v>3.6111111111111108E-2</v>
      </c>
      <c r="BE15" s="47">
        <f>_xll.qlPolynomialFunctionValue(BE$1,$BD15,AllTriggers)</f>
        <v>9.2385316248233377E-4</v>
      </c>
      <c r="BF15" s="47">
        <f>_xll.qlPolynomialFunctionValue(BF$1,$BD15,AllTriggers)</f>
        <v>8.8394048931332635E-4</v>
      </c>
      <c r="BG15" s="47">
        <f>_xll.qlPolynomialFunctionValue(BG$1,$BD15,AllTriggers)</f>
        <v>1.017149192070071E-3</v>
      </c>
      <c r="BH15" s="47">
        <f>_xll.qlPolynomialFunctionValue(BH$1,$BD15,AllTriggers)</f>
        <v>1.0972835261248213E-3</v>
      </c>
      <c r="BI15" s="47">
        <f>_xll.qlPolynomialFunctionValue(BI$1,$BD15,AllTriggers)</f>
        <v>9.1958128822807394E-4</v>
      </c>
      <c r="BJ15" s="47">
        <f>_xll.qlPolynomialFunctionValue(BJ$1,$BD15,AllTriggers)</f>
        <v>8.8099256131910777E-4</v>
      </c>
      <c r="BK15" s="47">
        <f>_xll.qlPolynomialFunctionValue(BK$1,$BD15,AllTriggers)</f>
        <v>1.0179873885688877E-3</v>
      </c>
      <c r="BL15" s="47">
        <f>_xll.qlPolynomialFunctionValue(BL$1,$BD15,AllTriggers)</f>
        <v>1.0994812005645854E-3</v>
      </c>
      <c r="BM15" s="47">
        <f>_xll.qlPolynomialFunctionValue(BM$1,$BD15,AllTriggers)</f>
        <v>9.6691036391653913E-4</v>
      </c>
      <c r="BN15" s="47">
        <f>_xll.qlPolynomialFunctionValue(BN$1,$BD15,AllTriggers)</f>
        <v>9.4663252698501074E-4</v>
      </c>
      <c r="BO15" s="47">
        <f>_xll.qlPolynomialFunctionValue(BO$1,$BD15,AllTriggers)</f>
        <v>9.93353071498752E-4</v>
      </c>
      <c r="BP15" s="47">
        <f>_xll.qlPolynomialFunctionValue(BP$1,$BD15,AllTriggers)</f>
        <v>1.0978983447678375E-3</v>
      </c>
      <c r="BQ15" s="47">
        <f>_xll.qlPolynomialFunctionValue('3MSynthDepo_used'!$P$18,BD15,AllTriggers)</f>
        <v>9.4437450675130151E-4</v>
      </c>
    </row>
    <row r="16" spans="1:69" ht="12" customHeight="1" x14ac:dyDescent="0.2">
      <c r="A16" s="21">
        <f t="shared" si="8"/>
        <v>2</v>
      </c>
      <c r="B16" s="55">
        <f>A16+SUBSTITUTE($D$24,"M","")</f>
        <v>5</v>
      </c>
      <c r="C16" s="39" t="str">
        <f>"B"&amp;$D$24&amp;"_"&amp;A16&amp;"X"&amp;B16</f>
        <v>B3M_2X5</v>
      </c>
      <c r="D16" s="177">
        <f>_xll.qlCalendarAdvance(Calendar,SettlementDate,A16&amp;"M","mf")</f>
        <v>42340</v>
      </c>
      <c r="E16" s="177">
        <f>_xll.qlInterestRateIndexMaturity($D$25,D16)</f>
        <v>42431</v>
      </c>
      <c r="F16" s="53">
        <f>_xll.qlIndexFixing(ON_3M_index,_xll.qlInterestRateIndexFixingDate(ON_3M_index,D16,Trigger),,AllTriggers)</f>
        <v>-1.5710374520171812E-3</v>
      </c>
      <c r="G16" s="53">
        <f t="shared" si="9"/>
        <v>-4.8999999999999998E-4</v>
      </c>
      <c r="H16" s="202">
        <f>_xll.qlQuoteValue(C16,_xll.ohTrigger(InterestRatesTrigger,'3MSynthDepo_used'!$F$1,Trigger))</f>
        <v>1.0810374520171813E-3</v>
      </c>
      <c r="I16" s="41">
        <f>_xll.qlDayCounterYearFraction(DayCounter,SettlementDate,D16,,,Trigger)</f>
        <v>0.16944444444444445</v>
      </c>
      <c r="J16" s="242">
        <f t="shared" si="7"/>
        <v>33</v>
      </c>
      <c r="K16" s="21"/>
      <c r="L16" s="21"/>
      <c r="M16" s="21"/>
      <c r="N16" s="21"/>
      <c r="O16" s="21"/>
      <c r="P16" s="55"/>
      <c r="Q16" s="55"/>
      <c r="R16" s="55"/>
      <c r="S16" s="114" t="b">
        <v>1</v>
      </c>
      <c r="T16" s="114" t="b">
        <v>1</v>
      </c>
      <c r="U16" s="114" t="b">
        <v>1</v>
      </c>
      <c r="V16" s="114" t="b">
        <v>1</v>
      </c>
      <c r="AD16" s="94"/>
      <c r="AE16" s="27">
        <v>1.7044753086419756E-2</v>
      </c>
      <c r="AF16" s="31">
        <v>0.13055555555555556</v>
      </c>
      <c r="AG16" s="28">
        <v>1</v>
      </c>
      <c r="AH16" s="303"/>
      <c r="AI16" s="29">
        <v>1.0048099786239312E-3</v>
      </c>
      <c r="AJ16" s="303"/>
      <c r="AK16" s="56">
        <v>1.067432403064105E-3</v>
      </c>
      <c r="AL16" s="27">
        <v>1</v>
      </c>
      <c r="AM16" s="31">
        <v>0</v>
      </c>
      <c r="AN16" s="28">
        <v>0</v>
      </c>
      <c r="AO16" s="101"/>
      <c r="AP16" s="94"/>
      <c r="AQ16" s="27">
        <v>1.8445616140832191E-2</v>
      </c>
      <c r="AR16" s="31">
        <v>6.6018518518518518E-2</v>
      </c>
      <c r="AS16" s="28">
        <v>0.25555555555555554</v>
      </c>
      <c r="AT16" s="303"/>
      <c r="AU16" s="29">
        <v>7.9816333315840186E-4</v>
      </c>
      <c r="AV16" s="303"/>
      <c r="AW16" s="56">
        <v>2.7285862079731498E-4</v>
      </c>
      <c r="AX16" s="27">
        <v>23.806504346964584</v>
      </c>
      <c r="AY16" s="31">
        <v>-26.964023601038374</v>
      </c>
      <c r="AZ16" s="28">
        <v>6.5530300291397783</v>
      </c>
      <c r="BA16" s="101"/>
      <c r="BC16" s="178">
        <f>_xll.qlCalendarAdvance(Calendar,BC15,"1d","mf",,Trigger)</f>
        <v>42293</v>
      </c>
      <c r="BD16" s="41">
        <f>_xll.qlDayCounterYearFraction(DayCounter,SettlementDate,BC16,,,Trigger)</f>
        <v>3.888888888888889E-2</v>
      </c>
      <c r="BE16" s="47">
        <f>_xll.qlPolynomialFunctionValue(BE$1,$BD16,AllTriggers)</f>
        <v>9.2623424531002778E-4</v>
      </c>
      <c r="BF16" s="47">
        <f>_xll.qlPolynomialFunctionValue(BF$1,$BD16,AllTriggers)</f>
        <v>8.895425510830298E-4</v>
      </c>
      <c r="BG16" s="47">
        <f>_xll.qlPolynomialFunctionValue(BG$1,$BD16,AllTriggers)</f>
        <v>1.0177699724527134E-3</v>
      </c>
      <c r="BH16" s="47">
        <f>_xll.qlPolynomialFunctionValue(BH$1,$BD16,AllTriggers)</f>
        <v>1.0949077180081343E-3</v>
      </c>
      <c r="BI16" s="47">
        <f>_xll.qlPolynomialFunctionValue(BI$1,$BD16,AllTriggers)</f>
        <v>9.220952164599943E-4</v>
      </c>
      <c r="BJ16" s="47">
        <f>_xll.qlPolynomialFunctionValue(BJ$1,$BD16,AllTriggers)</f>
        <v>8.8680887032498005E-4</v>
      </c>
      <c r="BK16" s="47">
        <f>_xll.qlPolynomialFunctionValue(BK$1,$BD16,AllTriggers)</f>
        <v>1.0186088917942542E-3</v>
      </c>
      <c r="BL16" s="47">
        <f>_xll.qlPolynomialFunctionValue(BL$1,$BD16,AllTriggers)</f>
        <v>1.0970124810849816E-3</v>
      </c>
      <c r="BM16" s="47">
        <f>_xll.qlPolynomialFunctionValue(BM$1,$BD16,AllTriggers)</f>
        <v>9.6823364225693956E-4</v>
      </c>
      <c r="BN16" s="47">
        <f>_xll.qlPolynomialFunctionValue(BN$1,$BD16,AllTriggers)</f>
        <v>9.4881591579304371E-4</v>
      </c>
      <c r="BO16" s="47">
        <f>_xll.qlPolynomialFunctionValue(BO$1,$BD16,AllTriggers)</f>
        <v>9.9434852171156798E-4</v>
      </c>
      <c r="BP16" s="47">
        <f>_xll.qlPolynomialFunctionValue(BP$1,$BD16,AllTriggers)</f>
        <v>1.0956187547834337E-3</v>
      </c>
      <c r="BQ16" s="47">
        <f>_xll.qlPolynomialFunctionValue('3MSynthDepo_used'!$P$18,BD16,AllTriggers)</f>
        <v>9.4631282610716937E-4</v>
      </c>
    </row>
    <row r="17" spans="1:69" ht="12" customHeight="1" x14ac:dyDescent="0.2">
      <c r="A17" s="21">
        <f t="shared" si="8"/>
        <v>3</v>
      </c>
      <c r="B17" s="55">
        <f>A17+SUBSTITUTE($D$24,"M","")</f>
        <v>6</v>
      </c>
      <c r="C17" s="166" t="str">
        <f>"B"&amp;$D$24&amp;"_"&amp;A17&amp;"X"&amp;B17</f>
        <v>B3M_3X6</v>
      </c>
      <c r="D17" s="263">
        <f>_xll.qlCalendarAdvance(Calendar,SettlementDate,A17&amp;"M","mf")</f>
        <v>42373</v>
      </c>
      <c r="E17" s="263">
        <f>_xll.qlInterestRateIndexMaturity($D$25,D17)</f>
        <v>42464</v>
      </c>
      <c r="F17" s="264">
        <f>_xll.qlIndexFixing(ON_3M_index,_xll.qlInterestRateIndexFixingDate(ON_3M_index,D17,Trigger),,AllTriggers)</f>
        <v>-1.6841354952182096E-3</v>
      </c>
      <c r="G17" s="264">
        <f t="shared" si="9"/>
        <v>-5.3000000000000009E-4</v>
      </c>
      <c r="H17" s="268">
        <f>_xll.qlQuoteValue(C17,_xll.ohTrigger(InterestRatesTrigger,'3MSynthDepo_used'!$F$1,Trigger))</f>
        <v>1.1541354952182095E-3</v>
      </c>
      <c r="I17" s="164">
        <f>_xll.qlDayCounterYearFraction(DayCounter,SettlementDate,D17,,,Trigger)</f>
        <v>0.26111111111111113</v>
      </c>
      <c r="J17" s="269">
        <f t="shared" si="7"/>
        <v>0</v>
      </c>
      <c r="K17" s="163"/>
      <c r="L17" s="163"/>
      <c r="M17" s="163"/>
      <c r="N17" s="163"/>
      <c r="O17" s="163"/>
      <c r="P17" s="165"/>
      <c r="Q17" s="165"/>
      <c r="R17" s="165"/>
      <c r="S17" s="266" t="b">
        <v>1</v>
      </c>
      <c r="T17" s="266" t="b">
        <v>1</v>
      </c>
      <c r="U17" s="266" t="b">
        <v>1</v>
      </c>
      <c r="V17" s="266" t="b">
        <v>1</v>
      </c>
      <c r="AD17" s="94"/>
      <c r="AE17" s="21"/>
      <c r="AF17" s="21"/>
      <c r="AG17" s="21"/>
      <c r="AH17" s="21"/>
      <c r="AI17" s="111"/>
      <c r="AJ17" s="33"/>
      <c r="AK17" s="22"/>
      <c r="AL17" s="21"/>
      <c r="AM17" s="21"/>
      <c r="AN17" s="21"/>
      <c r="AO17" s="101"/>
      <c r="AP17" s="94"/>
      <c r="AQ17" s="21"/>
      <c r="AR17" s="21"/>
      <c r="AS17" s="21"/>
      <c r="AT17" s="21"/>
      <c r="AU17" s="111"/>
      <c r="AV17" s="33"/>
      <c r="AW17" s="22"/>
      <c r="AX17" s="21"/>
      <c r="AY17" s="21"/>
      <c r="AZ17" s="21"/>
      <c r="BA17" s="101"/>
      <c r="BC17" s="178">
        <f>_xll.qlCalendarAdvance(Calendar,BC16,"1d","mf",,Trigger)</f>
        <v>42296</v>
      </c>
      <c r="BD17" s="41">
        <f>_xll.qlDayCounterYearFraction(DayCounter,SettlementDate,BC17,,,Trigger)</f>
        <v>4.7222222222222221E-2</v>
      </c>
      <c r="BE17" s="47">
        <f>_xll.qlPolynomialFunctionValue(BE$1,$BD17,AllTriggers)</f>
        <v>9.3337749379310991E-4</v>
      </c>
      <c r="BF17" s="47">
        <f>_xll.qlPolynomialFunctionValue(BF$1,$BD17,AllTriggers)</f>
        <v>9.058992974699992E-4</v>
      </c>
      <c r="BG17" s="47">
        <f>_xll.qlPolynomialFunctionValue(BG$1,$BD17,AllTriggers)</f>
        <v>1.0196323136006406E-3</v>
      </c>
      <c r="BH17" s="47">
        <f>_xll.qlPolynomialFunctionValue(BH$1,$BD17,AllTriggers)</f>
        <v>1.0880506625452304E-3</v>
      </c>
      <c r="BI17" s="47">
        <f>_xll.qlPolynomialFunctionValue(BI$1,$BD17,AllTriggers)</f>
        <v>9.2963700115575548E-4</v>
      </c>
      <c r="BJ17" s="47">
        <f>_xll.qlPolynomialFunctionValue(BJ$1,$BD17,AllTriggers)</f>
        <v>9.0378193727110002E-4</v>
      </c>
      <c r="BK17" s="47">
        <f>_xll.qlPolynomialFunctionValue(BK$1,$BD17,AllTriggers)</f>
        <v>1.0204734014703529E-3</v>
      </c>
      <c r="BL17" s="47">
        <f>_xll.qlPolynomialFunctionValue(BL$1,$BD17,AllTriggers)</f>
        <v>1.0898893964817399E-3</v>
      </c>
      <c r="BM17" s="47">
        <f>_xll.qlPolynomialFunctionValue(BM$1,$BD17,AllTriggers)</f>
        <v>9.7220347727814066E-4</v>
      </c>
      <c r="BN17" s="47">
        <f>_xll.qlPolynomialFunctionValue(BN$1,$BD17,AllTriggers)</f>
        <v>9.5528761113700361E-4</v>
      </c>
      <c r="BO17" s="47">
        <f>_xll.qlPolynomialFunctionValue(BO$1,$BD17,AllTriggers)</f>
        <v>9.973348723500159E-4</v>
      </c>
      <c r="BP17" s="47">
        <f>_xll.qlPolynomialFunctionValue(BP$1,$BD17,AllTriggers)</f>
        <v>1.0890350940152642E-3</v>
      </c>
      <c r="BQ17" s="47">
        <f>_xll.qlPolynomialFunctionValue('3MSynthDepo_used'!$P$18,BD17,AllTriggers)</f>
        <v>9.5209119401414098E-4</v>
      </c>
    </row>
    <row r="18" spans="1:69" ht="12" customHeight="1" x14ac:dyDescent="0.2">
      <c r="A18" s="21"/>
      <c r="B18" s="55" t="str">
        <f>B7</f>
        <v>V5</v>
      </c>
      <c r="C18" s="39" t="str">
        <f>"B"&amp;$D$24&amp;"_FUT"&amp;B18</f>
        <v>B3M_FUTV5</v>
      </c>
      <c r="D18" s="177">
        <f>_xll.qlIMMdate(B18,SettlementDate,Trigger)</f>
        <v>42298</v>
      </c>
      <c r="E18" s="177">
        <f>_xll.qlInterestRateIndexMaturity($D$25,D18)</f>
        <v>42390</v>
      </c>
      <c r="F18" s="53">
        <f>_xll.qlIndexFixing(ON_3M_index,_xll.qlInterestRateIndexFixingDate(ON_3M_index,D18,Trigger),,AllTriggers)</f>
        <v>-1.4750505523502377E-3</v>
      </c>
      <c r="G18" s="53">
        <f t="shared" si="9"/>
        <v>-4.2500000000011973E-4</v>
      </c>
      <c r="H18" s="202">
        <f>_xll.qlQuoteValue(C18,_xll.ohTrigger(InterestRatesTrigger,'3MSynthDepo_used'!$F$1,Trigger))</f>
        <v>1.050050552350118E-3</v>
      </c>
      <c r="I18" s="41">
        <f>_xll.qlDayCounterYearFraction(DayCounter,SettlementDate,D18,,,Trigger)</f>
        <v>5.2777777777777778E-2</v>
      </c>
      <c r="J18" s="242">
        <f t="shared" si="7"/>
        <v>75</v>
      </c>
      <c r="P18" s="55"/>
      <c r="Q18" s="55"/>
      <c r="R18" s="55"/>
      <c r="S18" s="114" t="b">
        <v>1</v>
      </c>
      <c r="T18" s="114" t="b">
        <v>1</v>
      </c>
      <c r="U18" s="114" t="b">
        <v>1</v>
      </c>
      <c r="V18" s="114" t="b">
        <v>1</v>
      </c>
      <c r="AD18" s="94" t="s">
        <v>65</v>
      </c>
      <c r="AE18" s="21"/>
      <c r="AF18" s="21"/>
      <c r="AG18" s="21"/>
      <c r="AH18" s="21"/>
      <c r="AI18" s="113" t="s">
        <v>44</v>
      </c>
      <c r="AJ18" s="21"/>
      <c r="AK18" s="21"/>
      <c r="AL18" s="21"/>
      <c r="AM18" s="21"/>
      <c r="AN18" s="21"/>
      <c r="AO18" s="101"/>
      <c r="AP18" s="94"/>
      <c r="AQ18" s="21"/>
      <c r="AR18" s="21"/>
      <c r="AS18" s="21"/>
      <c r="AT18" s="21"/>
      <c r="AU18" s="113" t="s">
        <v>44</v>
      </c>
      <c r="AV18" s="21"/>
      <c r="AW18" s="21"/>
      <c r="AX18" s="21"/>
      <c r="AY18" s="21"/>
      <c r="AZ18" s="21"/>
      <c r="BA18" s="101"/>
      <c r="BC18" s="178">
        <f>_xll.qlCalendarAdvance(Calendar,BC17,"1d","mf",,Trigger)</f>
        <v>42297</v>
      </c>
      <c r="BD18" s="41">
        <f>_xll.qlDayCounterYearFraction(DayCounter,SettlementDate,BC18,,,Trigger)</f>
        <v>0.05</v>
      </c>
      <c r="BE18" s="47">
        <f>_xll.qlPolynomialFunctionValue(BE$1,$BD18,AllTriggers)</f>
        <v>9.3575857662080392E-4</v>
      </c>
      <c r="BF18" s="47">
        <f>_xll.qlPolynomialFunctionValue(BF$1,$BD18,AllTriggers)</f>
        <v>9.112017332916088E-4</v>
      </c>
      <c r="BG18" s="47">
        <f>_xll.qlPolynomialFunctionValue(BG$1,$BD18,AllTriggers)</f>
        <v>1.020253093983283E-3</v>
      </c>
      <c r="BH18" s="47">
        <f>_xll.qlPolynomialFunctionValue(BH$1,$BD18,AllTriggers)</f>
        <v>1.085855100353315E-3</v>
      </c>
      <c r="BI18" s="47">
        <f>_xll.qlPolynomialFunctionValue(BI$1,$BD18,AllTriggers)</f>
        <v>9.3215092938767584E-4</v>
      </c>
      <c r="BJ18" s="47">
        <f>_xll.qlPolynomialFunctionValue(BJ$1,$BD18,AllTriggers)</f>
        <v>9.0928100622930782E-4</v>
      </c>
      <c r="BK18" s="47">
        <f>_xll.qlPolynomialFunctionValue(BK$1,$BD18,AllTriggers)</f>
        <v>1.0210949046957191E-3</v>
      </c>
      <c r="BL18" s="47">
        <f>_xll.qlPolynomialFunctionValue(BL$1,$BD18,AllTriggers)</f>
        <v>1.0876093928925158E-3</v>
      </c>
      <c r="BM18" s="47">
        <f>_xll.qlPolynomialFunctionValue(BM$1,$BD18,AllTriggers)</f>
        <v>9.735267556185411E-4</v>
      </c>
      <c r="BN18" s="47">
        <f>_xll.qlPolynomialFunctionValue(BN$1,$BD18,AllTriggers)</f>
        <v>9.5741868589161079E-4</v>
      </c>
      <c r="BO18" s="47">
        <f>_xll.qlPolynomialFunctionValue(BO$1,$BD18,AllTriggers)</f>
        <v>9.9833032256283166E-4</v>
      </c>
      <c r="BP18" s="47">
        <f>_xll.qlPolynomialFunctionValue(BP$1,$BD18,AllTriggers)</f>
        <v>1.0869255768208885E-3</v>
      </c>
      <c r="BQ18" s="47">
        <f>_xll.qlPolynomialFunctionValue('3MSynthDepo_used'!$P$18,BD18,AllTriggers)</f>
        <v>9.5400515780520571E-4</v>
      </c>
    </row>
    <row r="19" spans="1:69" ht="12" customHeight="1" x14ac:dyDescent="0.2">
      <c r="A19" s="21"/>
      <c r="B19" s="55" t="str">
        <f t="shared" ref="B19:B20" si="10">B8</f>
        <v>X5</v>
      </c>
      <c r="C19" s="39" t="str">
        <f t="shared" ref="C19:C20" si="11">"B"&amp;$D$24&amp;"_FUT"&amp;B19</f>
        <v>B3M_FUTX5</v>
      </c>
      <c r="D19" s="177">
        <f>_xll.qlIMMdate(B19,SettlementDate,Trigger)</f>
        <v>42326</v>
      </c>
      <c r="E19" s="177">
        <f>_xll.qlInterestRateIndexMaturity($D$25,D19)</f>
        <v>42418</v>
      </c>
      <c r="F19" s="53">
        <f>_xll.qlIndexFixing(ON_3M_index,_xll.qlInterestRateIndexFixingDate(ON_3M_index,D19,Trigger),,AllTriggers)</f>
        <v>-1.5424324030641082E-3</v>
      </c>
      <c r="G19" s="53">
        <f t="shared" si="9"/>
        <v>-4.750000000000032E-4</v>
      </c>
      <c r="H19" s="202">
        <f>_xll.qlQuoteValue(C19,_xll.ohTrigger(InterestRatesTrigger,'3MSynthDepo_used'!$F$1,Trigger))</f>
        <v>1.067432403064105E-3</v>
      </c>
      <c r="I19" s="41">
        <f>_xll.qlDayCounterYearFraction(DayCounter,SettlementDate,D19,,,Trigger)</f>
        <v>0.13055555555555556</v>
      </c>
      <c r="J19" s="242">
        <f t="shared" si="7"/>
        <v>47</v>
      </c>
      <c r="P19" s="55"/>
      <c r="Q19" s="55"/>
      <c r="R19" s="55"/>
      <c r="S19" s="114" t="b">
        <v>1</v>
      </c>
      <c r="T19" s="114" t="b">
        <v>1</v>
      </c>
      <c r="U19" s="114" t="b">
        <v>1</v>
      </c>
      <c r="V19" s="114" t="b">
        <v>1</v>
      </c>
      <c r="AD19" s="94"/>
      <c r="AE19" s="27">
        <f t="array" ref="AE19:AE21">_xll.ohFilter(L3:L9,V3:V9)</f>
        <v>2.7854938271604937E-3</v>
      </c>
      <c r="AF19" s="31">
        <f t="array" ref="AF19:AF21">_xll.ohFilter(K3:K9,V3:V9)</f>
        <v>5.2777777777777778E-2</v>
      </c>
      <c r="AG19" s="28">
        <f t="array" ref="AG19:AG21">_xll.ohFilter(J3:J9,V3:V9)</f>
        <v>1</v>
      </c>
      <c r="AH19" s="303" t="s">
        <v>20</v>
      </c>
      <c r="AI19" s="29">
        <f t="array" ref="AI19:AI21">MMULT(AL19:AN21,AK19:AK21)</f>
        <v>2.9199839813014994E-3</v>
      </c>
      <c r="AJ19" s="303" t="s">
        <v>21</v>
      </c>
      <c r="AK19" s="56">
        <f t="array" ref="AK19:AK21">_xll.ohFilter(H3:H9,V3:V9)</f>
        <v>1.050050552350118E-3</v>
      </c>
      <c r="AL19" s="27">
        <f t="array" ref="AL19:AN21">MINVERSE(AE19:AG21)</f>
        <v>82.653061224489818</v>
      </c>
      <c r="AM19" s="31">
        <v>-165.30612244897964</v>
      </c>
      <c r="AN19" s="28">
        <v>82.653061224489818</v>
      </c>
      <c r="AO19" s="101"/>
      <c r="AP19" s="94"/>
      <c r="AQ19" s="27">
        <f t="array" ref="AQ19:AQ21">_xll.ohFilter(R3:R9,V3:V9)</f>
        <v>9.7220221764974871E-3</v>
      </c>
      <c r="AR19" s="31">
        <f t="array" ref="AR19:AR21">_xll.ohFilter(Q3:Q9,V3:V9)</f>
        <v>4.6141975308641982E-2</v>
      </c>
      <c r="AS19" s="28">
        <f t="array" ref="AS19:AS21">_xll.ohFilter(P3:P9,V3:V9)</f>
        <v>0.25555555555555559</v>
      </c>
      <c r="AT19" s="303" t="s">
        <v>20</v>
      </c>
      <c r="AU19" s="29">
        <f t="array" ref="AU19:AU21">MMULT(AX19:AZ21,AW19:AW21)</f>
        <v>3.0571974241535571E-3</v>
      </c>
      <c r="AV19" s="303" t="s">
        <v>21</v>
      </c>
      <c r="AW19" s="56">
        <f t="array" ref="AW19:AW21">_xll.ohFilter(M3:M9,V3:V9)</f>
        <v>2.6841141994024976E-4</v>
      </c>
      <c r="AX19" s="27">
        <f t="array" ref="AX19:AZ21">MINVERSE(AQ19:AS21)</f>
        <v>329.63238528225691</v>
      </c>
      <c r="AY19" s="31">
        <v>-665.2580866605548</v>
      </c>
      <c r="AZ19" s="28">
        <v>339.31389589893865</v>
      </c>
      <c r="BA19" s="101"/>
      <c r="BC19" s="178">
        <f>_xll.qlCalendarAdvance(Calendar,BC18,"1d","mf",,Trigger)</f>
        <v>42298</v>
      </c>
      <c r="BD19" s="41">
        <f>_xll.qlDayCounterYearFraction(DayCounter,SettlementDate,BC19,,,Trigger)</f>
        <v>5.2777777777777778E-2</v>
      </c>
      <c r="BE19" s="47">
        <f>_xll.qlPolynomialFunctionValue(BE$1,$BD19,AllTriggers)</f>
        <v>9.3813965944849803E-4</v>
      </c>
      <c r="BF19" s="47">
        <f>_xll.qlPolynomialFunctionValue(BF$1,$BD19,AllTriggers)</f>
        <v>9.1642926262619473E-4</v>
      </c>
      <c r="BG19" s="47">
        <f>_xll.qlPolynomialFunctionValue(BG$1,$BD19,AllTriggers)</f>
        <v>1.0208738743659254E-3</v>
      </c>
      <c r="BH19" s="47">
        <f>_xll.qlPolynomialFunctionValue(BH$1,$BD19,AllTriggers)</f>
        <v>1.0837045996425925E-3</v>
      </c>
      <c r="BI19" s="47">
        <f>_xll.qlPolynomialFunctionValue(BI$1,$BD19,AllTriggers)</f>
        <v>9.346648576195962E-4</v>
      </c>
      <c r="BJ19" s="47">
        <f>_xll.qlPolynomialFunctionValue(BJ$1,$BD19,AllTriggers)</f>
        <v>9.1470076517559938E-4</v>
      </c>
      <c r="BK19" s="47">
        <f>_xll.qlPolynomialFunctionValue(BK$1,$BD19,AllTriggers)</f>
        <v>1.0217164079210854E-3</v>
      </c>
      <c r="BL19" s="47">
        <f>_xll.qlPolynomialFunctionValue(BL$1,$BD19,AllTriggers)</f>
        <v>1.0853765682758869E-3</v>
      </c>
      <c r="BM19" s="47">
        <f>_xll.qlPolynomialFunctionValue(BM$1,$BD19,AllTriggers)</f>
        <v>9.7485003395894143E-4</v>
      </c>
      <c r="BN19" s="47">
        <f>_xll.qlPolynomialFunctionValue(BN$1,$BD19,AllTriggers)</f>
        <v>9.5953668213286146E-4</v>
      </c>
      <c r="BO19" s="47">
        <f>_xll.qlPolynomialFunctionValue(BO$1,$BD19,AllTriggers)</f>
        <v>9.9932577277564764E-4</v>
      </c>
      <c r="BP19" s="47">
        <f>_xll.qlPolynomialFunctionValue(BP$1,$BD19,AllTriggers)</f>
        <v>1.0848585778240195E-3</v>
      </c>
      <c r="BQ19" s="47">
        <f>_xll.qlPolynomialFunctionValue('3MSynthDepo_used'!$P$18,BD19,AllTriggers)</f>
        <v>9.5591306111178324E-4</v>
      </c>
    </row>
    <row r="20" spans="1:69" ht="12" customHeight="1" x14ac:dyDescent="0.2">
      <c r="A20" s="21"/>
      <c r="B20" s="55" t="str">
        <f t="shared" si="10"/>
        <v>Z5</v>
      </c>
      <c r="C20" s="42" t="str">
        <f t="shared" si="11"/>
        <v>B3M_FUTZ5</v>
      </c>
      <c r="D20" s="181">
        <f>_xll.qlIMMdate(B20,SettlementDate,Trigger)</f>
        <v>42354</v>
      </c>
      <c r="E20" s="181">
        <f>_xll.qlInterestRateIndexMaturity($D$25,D20)</f>
        <v>42445</v>
      </c>
      <c r="F20" s="54">
        <f>_xll.qlIndexFixing(ON_3M_index,_xll.qlInterestRateIndexFixingDate(ON_3M_index,D20,Trigger),,AllTriggers)</f>
        <v>-1.6201424550335117E-3</v>
      </c>
      <c r="G20" s="54">
        <f t="shared" si="9"/>
        <v>-5.0000000000016698E-4</v>
      </c>
      <c r="H20" s="203">
        <f>_xll.qlQuoteValue(C20,_xll.ohTrigger(InterestRatesTrigger,'3MSynthDepo_used'!$F$1,Trigger))</f>
        <v>1.1201424550333447E-3</v>
      </c>
      <c r="I20" s="44">
        <f>_xll.qlDayCounterYearFraction(DayCounter,SettlementDate,D20,,,Trigger)</f>
        <v>0.20833333333333334</v>
      </c>
      <c r="J20" s="243">
        <f t="shared" si="7"/>
        <v>19</v>
      </c>
      <c r="P20" s="55"/>
      <c r="Q20" s="55"/>
      <c r="R20" s="55"/>
      <c r="S20" s="150" t="b">
        <v>1</v>
      </c>
      <c r="T20" s="150" t="b">
        <v>1</v>
      </c>
      <c r="U20" s="150" t="b">
        <v>1</v>
      </c>
      <c r="V20" s="150" t="b">
        <v>1</v>
      </c>
      <c r="AD20" s="94"/>
      <c r="AE20" s="27">
        <v>1.7044753086419756E-2</v>
      </c>
      <c r="AF20" s="31">
        <v>0.13055555555555556</v>
      </c>
      <c r="AG20" s="28">
        <v>1</v>
      </c>
      <c r="AH20" s="303"/>
      <c r="AI20" s="29">
        <v>-3.1184945882067883E-4</v>
      </c>
      <c r="AJ20" s="303"/>
      <c r="AK20" s="56">
        <v>1.067432403064105E-3</v>
      </c>
      <c r="AL20" s="27">
        <v>-28.010204081632661</v>
      </c>
      <c r="AM20" s="31">
        <v>43.163265306122462</v>
      </c>
      <c r="AN20" s="28">
        <v>-15.1530612244898</v>
      </c>
      <c r="AO20" s="101"/>
      <c r="AP20" s="94"/>
      <c r="AQ20" s="27">
        <v>1.8445616140832191E-2</v>
      </c>
      <c r="AR20" s="31">
        <v>6.6018518518518518E-2</v>
      </c>
      <c r="AS20" s="28">
        <v>0.25555555555555554</v>
      </c>
      <c r="AT20" s="303"/>
      <c r="AU20" s="29">
        <v>-1.1180288194688887E-3</v>
      </c>
      <c r="AV20" s="303"/>
      <c r="AW20" s="56">
        <v>2.7285862079731498E-4</v>
      </c>
      <c r="AX20" s="27">
        <v>-194.982550324535</v>
      </c>
      <c r="AY20" s="31">
        <v>342.28494148501017</v>
      </c>
      <c r="AZ20" s="28">
        <v>-148.92109875564529</v>
      </c>
      <c r="BA20" s="101"/>
      <c r="BC20" s="178">
        <f>_xll.qlCalendarAdvance(Calendar,BC19,"1d","mf",,Trigger)</f>
        <v>42299</v>
      </c>
      <c r="BD20" s="41">
        <f>_xll.qlDayCounterYearFraction(DayCounter,SettlementDate,BC20,,,Trigger)</f>
        <v>5.5555555555555552E-2</v>
      </c>
      <c r="BE20" s="47">
        <f>_xll.qlPolynomialFunctionValue(BE$1,$BD20,AllTriggers)</f>
        <v>9.4052074227619204E-4</v>
      </c>
      <c r="BF20" s="47">
        <f>_xll.qlPolynomialFunctionValue(BF$1,$BD20,AllTriggers)</f>
        <v>9.2158188547375734E-4</v>
      </c>
      <c r="BG20" s="47">
        <f>_xll.qlPolynomialFunctionValue(BG$1,$BD20,AllTriggers)</f>
        <v>1.0214946547485678E-3</v>
      </c>
      <c r="BH20" s="47">
        <f>_xll.qlPolynomialFunctionValue(BH$1,$BD20,AllTriggers)</f>
        <v>1.0815991604130632E-3</v>
      </c>
      <c r="BI20" s="47">
        <f>_xll.qlPolynomialFunctionValue(BI$1,$BD20,AllTriggers)</f>
        <v>9.3717878585151656E-4</v>
      </c>
      <c r="BJ20" s="47">
        <f>_xll.qlPolynomialFunctionValue(BJ$1,$BD20,AllTriggers)</f>
        <v>9.2004121410997489E-4</v>
      </c>
      <c r="BK20" s="47">
        <f>_xll.qlPolynomialFunctionValue(BK$1,$BD20,AllTriggers)</f>
        <v>1.0223379111464516E-3</v>
      </c>
      <c r="BL20" s="47">
        <f>_xll.qlPolynomialFunctionValue(BL$1,$BD20,AllTriggers)</f>
        <v>1.0831909226318528E-3</v>
      </c>
      <c r="BM20" s="47">
        <f>_xll.qlPolynomialFunctionValue(BM$1,$BD20,AllTriggers)</f>
        <v>9.7617331229934187E-4</v>
      </c>
      <c r="BN20" s="47">
        <f>_xll.qlPolynomialFunctionValue(BN$1,$BD20,AllTriggers)</f>
        <v>9.6164159986075574E-4</v>
      </c>
      <c r="BO20" s="47">
        <f>_xll.qlPolynomialFunctionValue(BO$1,$BD20,AllTriggers)</f>
        <v>1.0003212229884636E-3</v>
      </c>
      <c r="BP20" s="47">
        <f>_xll.qlPolynomialFunctionValue(BP$1,$BD20,AllTriggers)</f>
        <v>1.0828340970246576E-3</v>
      </c>
      <c r="BQ20" s="47">
        <f>_xll.qlPolynomialFunctionValue('3MSynthDepo_used'!$P$18,BD20,AllTriggers)</f>
        <v>9.5781491529655911E-4</v>
      </c>
    </row>
    <row r="21" spans="1:69" ht="12" customHeight="1" x14ac:dyDescent="0.2">
      <c r="A21" s="21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W21" s="55"/>
      <c r="AD21" s="94"/>
      <c r="AE21" s="27">
        <v>4.3402777777777783E-2</v>
      </c>
      <c r="AF21" s="31">
        <v>0.20833333333333334</v>
      </c>
      <c r="AG21" s="28">
        <v>1</v>
      </c>
      <c r="AH21" s="303"/>
      <c r="AI21" s="29">
        <v>1.0583756764325531E-3</v>
      </c>
      <c r="AJ21" s="303"/>
      <c r="AK21" s="56">
        <v>1.1201424550333447E-3</v>
      </c>
      <c r="AL21" s="27">
        <v>2.248086734693878</v>
      </c>
      <c r="AM21" s="31">
        <v>-1.8176020408163274</v>
      </c>
      <c r="AN21" s="28">
        <v>0.56951530612244927</v>
      </c>
      <c r="AO21" s="101"/>
      <c r="AP21" s="94"/>
      <c r="AQ21" s="27">
        <v>2.9666931012802929E-2</v>
      </c>
      <c r="AR21" s="31">
        <v>8.4610339506172846E-2</v>
      </c>
      <c r="AS21" s="28">
        <v>0.25277777777777777</v>
      </c>
      <c r="AT21" s="303"/>
      <c r="AU21" s="29">
        <v>1.1358678403055765E-3</v>
      </c>
      <c r="AV21" s="303"/>
      <c r="AW21" s="56">
        <v>2.8322301560362276E-4</v>
      </c>
      <c r="AX21" s="27">
        <v>26.578121724332103</v>
      </c>
      <c r="AY21" s="31">
        <v>-36.493236966181712</v>
      </c>
      <c r="AZ21" s="28">
        <v>13.980116508243562</v>
      </c>
      <c r="BA21" s="101"/>
      <c r="BC21" s="178">
        <f>_xll.qlCalendarAdvance(Calendar,BC20,"1d","mf",,Trigger)</f>
        <v>42300</v>
      </c>
      <c r="BD21" s="41">
        <f>_xll.qlDayCounterYearFraction(DayCounter,SettlementDate,BC21,,,Trigger)</f>
        <v>5.8333333333333334E-2</v>
      </c>
      <c r="BE21" s="47">
        <f>_xll.qlPolynomialFunctionValue(BE$1,$BD21,AllTriggers)</f>
        <v>9.4290182510388615E-4</v>
      </c>
      <c r="BF21" s="47">
        <f>_xll.qlPolynomialFunctionValue(BF$1,$BD21,AllTriggers)</f>
        <v>9.2665960183429641E-4</v>
      </c>
      <c r="BG21" s="47">
        <f>_xll.qlPolynomialFunctionValue(BG$1,$BD21,AllTriggers)</f>
        <v>1.0221154351312102E-3</v>
      </c>
      <c r="BH21" s="47">
        <f>_xll.qlPolynomialFunctionValue(BH$1,$BD21,AllTriggers)</f>
        <v>1.0795387826647265E-3</v>
      </c>
      <c r="BI21" s="47">
        <f>_xll.qlPolynomialFunctionValue(BI$1,$BD21,AllTriggers)</f>
        <v>9.3969271408343702E-4</v>
      </c>
      <c r="BJ21" s="47">
        <f>_xll.qlPolynomialFunctionValue(BJ$1,$BD21,AllTriggers)</f>
        <v>9.2530235303243426E-4</v>
      </c>
      <c r="BK21" s="47">
        <f>_xll.qlPolynomialFunctionValue(BK$1,$BD21,AllTriggers)</f>
        <v>1.0229594143718178E-3</v>
      </c>
      <c r="BL21" s="47">
        <f>_xll.qlPolynomialFunctionValue(BL$1,$BD21,AllTriggers)</f>
        <v>1.0810524559604136E-3</v>
      </c>
      <c r="BM21" s="47">
        <f>_xll.qlPolynomialFunctionValue(BM$1,$BD21,AllTriggers)</f>
        <v>9.774965906397422E-4</v>
      </c>
      <c r="BN21" s="47">
        <f>_xll.qlPolynomialFunctionValue(BN$1,$BD21,AllTriggers)</f>
        <v>9.6373343907529363E-4</v>
      </c>
      <c r="BO21" s="47">
        <f>_xll.qlPolynomialFunctionValue(BO$1,$BD21,AllTriggers)</f>
        <v>1.0013166732012796E-3</v>
      </c>
      <c r="BP21" s="47">
        <f>_xll.qlPolynomialFunctionValue(BP$1,$BD21,AllTriggers)</f>
        <v>1.0808521344228027E-3</v>
      </c>
      <c r="BQ21" s="47">
        <f>_xll.qlPolynomialFunctionValue('3MSynthDepo_used'!$P$18,BD21,AllTriggers)</f>
        <v>9.5971073172221864E-4</v>
      </c>
    </row>
    <row r="22" spans="1:69" ht="12" customHeight="1" x14ac:dyDescent="0.2">
      <c r="H22" s="21"/>
      <c r="I22" s="21"/>
      <c r="J22" s="21"/>
      <c r="L22" s="21"/>
      <c r="M22" s="21"/>
      <c r="N22" s="21"/>
      <c r="P22" s="21"/>
      <c r="Q22" s="21"/>
      <c r="R22" s="21"/>
      <c r="X22" s="21"/>
      <c r="Y22" s="21"/>
      <c r="Z22" s="21"/>
      <c r="AA22" s="21"/>
      <c r="AB22" s="21"/>
      <c r="AC22" s="21"/>
      <c r="AD22" s="95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103"/>
      <c r="AP22" s="95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103"/>
      <c r="BC22" s="178">
        <f>_xll.qlCalendarAdvance(Calendar,BC21,"1d","mf",,Trigger)</f>
        <v>42303</v>
      </c>
      <c r="BD22" s="41">
        <f>_xll.qlDayCounterYearFraction(DayCounter,SettlementDate,BC22,,,Trigger)</f>
        <v>6.6666666666666666E-2</v>
      </c>
      <c r="BE22" s="47">
        <f>_xll.qlPolynomialFunctionValue(BE$1,$BD22,AllTriggers)</f>
        <v>9.5004507358696817E-4</v>
      </c>
      <c r="BF22" s="47">
        <f>_xll.qlPolynomialFunctionValue(BF$1,$BD22,AllTriggers)</f>
        <v>9.4144331199377286E-4</v>
      </c>
      <c r="BG22" s="47">
        <f>_xll.qlPolynomialFunctionValue(BG$1,$BD22,AllTriggers)</f>
        <v>1.0239777762791372E-3</v>
      </c>
      <c r="BH22" s="47">
        <f>_xll.qlPolynomialFunctionValue(BH$1,$BD22,AllTriggers)</f>
        <v>1.0736280183068743E-3</v>
      </c>
      <c r="BI22" s="47">
        <f>_xll.qlPolynomialFunctionValue(BI$1,$BD22,AllTriggers)</f>
        <v>9.472344987791981E-4</v>
      </c>
      <c r="BJ22" s="47">
        <f>_xll.qlPolynomialFunctionValue(BJ$1,$BD22,AllTriggers)</f>
        <v>9.4060990972831581E-4</v>
      </c>
      <c r="BK22" s="47">
        <f>_xll.qlPolynomialFunctionValue(BK$1,$BD22,AllTriggers)</f>
        <v>1.0248239240479168E-3</v>
      </c>
      <c r="BL22" s="47">
        <f>_xll.qlPolynomialFunctionValue(BL$1,$BD22,AllTriggers)</f>
        <v>1.0749201297816664E-3</v>
      </c>
      <c r="BM22" s="47">
        <f>_xll.qlPolynomialFunctionValue(BM$1,$BD22,AllTriggers)</f>
        <v>9.8146642566094341E-4</v>
      </c>
      <c r="BN22" s="47">
        <f>_xll.qlPolynomialFunctionValue(BN$1,$BD22,AllTriggers)</f>
        <v>9.6993048563876849E-4</v>
      </c>
      <c r="BO22" s="47">
        <f>_xll.qlPolynomialFunctionValue(BO$1,$BD22,AllTriggers)</f>
        <v>1.0043030238397275E-3</v>
      </c>
      <c r="BP22" s="47">
        <f>_xll.qlPolynomialFunctionValue(BP$1,$BD22,AllTriggers)</f>
        <v>1.0751613558022798E-3</v>
      </c>
      <c r="BQ22" s="47">
        <f>_xll.qlPolynomialFunctionValue('3MSynthDepo_used'!$P$18,BD22,AllTriggers)</f>
        <v>9.6536206807135443E-4</v>
      </c>
    </row>
    <row r="23" spans="1:69" ht="12" customHeight="1" x14ac:dyDescent="0.2">
      <c r="W23" s="21"/>
      <c r="X23" s="21"/>
      <c r="Y23" s="21"/>
      <c r="Z23" s="21"/>
      <c r="AA23" s="21"/>
      <c r="AB23" s="21"/>
      <c r="AC23" s="21"/>
      <c r="AD23" s="93"/>
      <c r="AE23" s="93"/>
      <c r="AF23" s="93"/>
      <c r="AG23" s="93"/>
      <c r="AH23" s="93"/>
      <c r="BC23" s="178">
        <f>_xll.qlCalendarAdvance(Calendar,BC22,"1d","mf",,Trigger)</f>
        <v>42304</v>
      </c>
      <c r="BD23" s="41">
        <f>_xll.qlDayCounterYearFraction(DayCounter,SettlementDate,BC23,,,Trigger)</f>
        <v>6.9444444444444448E-2</v>
      </c>
      <c r="BE23" s="47">
        <f>_xll.qlPolynomialFunctionValue(BE$1,$BD23,AllTriggers)</f>
        <v>9.5242615641466229E-4</v>
      </c>
      <c r="BF23" s="47">
        <f>_xll.qlPolynomialFunctionValue(BF$1,$BD23,AllTriggers)</f>
        <v>9.4622140240621807E-4</v>
      </c>
      <c r="BG23" s="47">
        <f>_xll.qlPolynomialFunctionValue(BG$1,$BD23,AllTriggers)</f>
        <v>1.0245985566617797E-3</v>
      </c>
      <c r="BH23" s="47">
        <f>_xll.qlPolynomialFunctionValue(BH$1,$BD23,AllTriggers)</f>
        <v>1.0717478864833093E-3</v>
      </c>
      <c r="BI23" s="47">
        <f>_xll.qlPolynomialFunctionValue(BI$1,$BD23,AllTriggers)</f>
        <v>9.4974842701111856E-4</v>
      </c>
      <c r="BJ23" s="47">
        <f>_xll.qlPolynomialFunctionValue(BJ$1,$BD23,AllTriggers)</f>
        <v>9.455538086031107E-4</v>
      </c>
      <c r="BK23" s="47">
        <f>_xll.qlPolynomialFunctionValue(BK$1,$BD23,AllTriggers)</f>
        <v>1.025445427273283E-3</v>
      </c>
      <c r="BL23" s="47">
        <f>_xll.qlPolynomialFunctionValue(BL$1,$BD23,AllTriggers)</f>
        <v>1.0729703790006071E-3</v>
      </c>
      <c r="BM23" s="47">
        <f>_xll.qlPolynomialFunctionValue(BM$1,$BD23,AllTriggers)</f>
        <v>9.8278970400134374E-4</v>
      </c>
      <c r="BN23" s="47">
        <f>_xll.qlPolynomialFunctionValue(BN$1,$BD23,AllTriggers)</f>
        <v>9.7197001079988069E-4</v>
      </c>
      <c r="BO23" s="47">
        <f>_xll.qlPolynomialFunctionValue(BO$1,$BD23,AllTriggers)</f>
        <v>1.0052984740525435E-3</v>
      </c>
      <c r="BP23" s="47">
        <f>_xll.qlPolynomialFunctionValue(BP$1,$BD23,AllTriggers)</f>
        <v>1.073349465990453E-3</v>
      </c>
      <c r="BQ23" s="47">
        <f>_xll.qlPolynomialFunctionValue('3MSynthDepo_used'!$P$18,BD23,AllTriggers)</f>
        <v>9.6723384708740355E-4</v>
      </c>
    </row>
    <row r="24" spans="1:69" ht="12" customHeight="1" x14ac:dyDescent="0.2">
      <c r="A24" s="21"/>
      <c r="B24" s="55"/>
      <c r="C24" s="36" t="s">
        <v>62</v>
      </c>
      <c r="D24" s="51" t="s">
        <v>23</v>
      </c>
      <c r="F24" s="187" t="s">
        <v>90</v>
      </c>
      <c r="G24" s="188" t="b">
        <v>1</v>
      </c>
      <c r="H24" s="235"/>
      <c r="S24" s="236"/>
      <c r="T24" s="237"/>
      <c r="U24" s="188" t="b">
        <v>0</v>
      </c>
      <c r="V24" s="235"/>
      <c r="W24" s="236"/>
      <c r="X24" s="237"/>
      <c r="Y24" s="188" t="b">
        <v>1</v>
      </c>
      <c r="Z24" s="235"/>
      <c r="AA24" s="236"/>
      <c r="AB24" s="236"/>
      <c r="BC24" s="178">
        <f>_xll.qlCalendarAdvance(Calendar,BC23,"1d","mf",,Trigger)</f>
        <v>42305</v>
      </c>
      <c r="BD24" s="41">
        <f>_xll.qlDayCounterYearFraction(DayCounter,SettlementDate,BC24,,,Trigger)</f>
        <v>7.2222222222222215E-2</v>
      </c>
      <c r="BE24" s="47">
        <f>_xll.qlPolynomialFunctionValue(BE$1,$BD24,AllTriggers)</f>
        <v>9.5480723924235629E-4</v>
      </c>
      <c r="BF24" s="47">
        <f>_xll.qlPolynomialFunctionValue(BF$1,$BD24,AllTriggers)</f>
        <v>9.5092458633163973E-4</v>
      </c>
      <c r="BG24" s="47">
        <f>_xll.qlPolynomialFunctionValue(BG$1,$BD24,AllTriggers)</f>
        <v>1.0252193370444221E-3</v>
      </c>
      <c r="BH24" s="47">
        <f>_xll.qlPolynomialFunctionValue(BH$1,$BD24,AllTriggers)</f>
        <v>1.0699128161409373E-3</v>
      </c>
      <c r="BI24" s="47">
        <f>_xll.qlPolynomialFunctionValue(BI$1,$BD24,AllTriggers)</f>
        <v>9.5226235524303892E-4</v>
      </c>
      <c r="BJ24" s="47">
        <f>_xll.qlPolynomialFunctionValue(BJ$1,$BD24,AllTriggers)</f>
        <v>9.5041839746598945E-4</v>
      </c>
      <c r="BK24" s="47">
        <f>_xll.qlPolynomialFunctionValue(BK$1,$BD24,AllTriggers)</f>
        <v>1.0260669304986492E-3</v>
      </c>
      <c r="BL24" s="47">
        <f>_xll.qlPolynomialFunctionValue(BL$1,$BD24,AllTriggers)</f>
        <v>1.0710678071921428E-3</v>
      </c>
      <c r="BM24" s="47">
        <f>_xll.qlPolynomialFunctionValue(BM$1,$BD24,AllTriggers)</f>
        <v>9.8411298234174407E-4</v>
      </c>
      <c r="BN24" s="47">
        <f>_xll.qlPolynomialFunctionValue(BN$1,$BD24,AllTriggers)</f>
        <v>9.739964574476365E-4</v>
      </c>
      <c r="BO24" s="47">
        <f>_xll.qlPolynomialFunctionValue(BO$1,$BD24,AllTriggers)</f>
        <v>1.0062939242653595E-3</v>
      </c>
      <c r="BP24" s="47">
        <f>_xll.qlPolynomialFunctionValue(BP$1,$BD24,AllTriggers)</f>
        <v>1.0715800943761329E-3</v>
      </c>
      <c r="BQ24" s="47">
        <f>_xll.qlPolynomialFunctionValue('3MSynthDepo_used'!$P$18,BD24,AllTriggers)</f>
        <v>9.6909964515776365E-4</v>
      </c>
    </row>
    <row r="25" spans="1:69" ht="12" customHeight="1" x14ac:dyDescent="0.2">
      <c r="A25" s="21"/>
      <c r="B25" s="55"/>
      <c r="C25" s="36" t="s">
        <v>53</v>
      </c>
      <c r="D25" s="51" t="str">
        <f>PROPER(Currency)&amp;IborType&amp;$D$24</f>
        <v>Euribor3M</v>
      </c>
      <c r="E25" s="23"/>
      <c r="F25" s="187" t="s">
        <v>91</v>
      </c>
      <c r="G25" s="89"/>
      <c r="H25" s="89"/>
      <c r="S25" s="89"/>
      <c r="T25" s="89"/>
      <c r="U25" s="89"/>
      <c r="V25" s="89"/>
      <c r="W25" s="89"/>
      <c r="X25" s="238"/>
      <c r="Y25" s="228" t="str">
        <f>_xll.qlPolynomialCalibration(,_xll.ohFilter($I$14:$I$20,$S$14:$S$20),_xll.ohFilter($H$14:$H$20,$S$14:$S$20),_xll.ohFilter($J$14:$J$20,$S$14:$S$20),G$28:G$29,,,,,Trigger)</f>
        <v>obj_00617#0003</v>
      </c>
      <c r="Z25" s="188" t="str">
        <f>_xll.qlPolynomialCalibration(,_xll.ohFilter($I$14:$I$20,$T$14:$T$20),_xll.ohFilter($H$14:$H$20,$T$14:$T$20),_xll.ohFilter($J$14:$J$20,$T$14:$T$20),H$28:H$30,,,,,Trigger)</f>
        <v>obj_00612#0003</v>
      </c>
      <c r="AA25" s="188" t="str">
        <f>_xll.qlPolynomialCalibration(,_xll.ohFilter($I$14:$I$20,$U$14:$U$20),_xll.ohFilter($H$14:$H$20,$U$14:$U$20),_xll.ohFilter($J$14:$J$20,$U$14:$U$20),S$28:S$29,,,,,Trigger)</f>
        <v>obj_00616#0003</v>
      </c>
      <c r="AB25" s="188" t="str">
        <f>_xll.qlPolynomialCalibration(,_xll.ohFilter($I$14:$I$20,$V$14:$V$20),_xll.ohFilter($H$14:$H$20,$V$14:$V$20),_xll.ohFilter($J$14:$J$20,$V$14:$V$20),T$28:T$30,,,,,Trigger)</f>
        <v>obj_00615#0003</v>
      </c>
      <c r="AC25" s="19" t="s">
        <v>70</v>
      </c>
      <c r="BC25" s="178">
        <f>_xll.qlCalendarAdvance(Calendar,BC24,"1d","mf",,Trigger)</f>
        <v>42306</v>
      </c>
      <c r="BD25" s="41">
        <f>_xll.qlDayCounterYearFraction(DayCounter,SettlementDate,BC25,,,Trigger)</f>
        <v>7.4999999999999997E-2</v>
      </c>
      <c r="BE25" s="47">
        <f>_xll.qlPolynomialFunctionValue(BE$1,$BD25,AllTriggers)</f>
        <v>9.5718832207005041E-4</v>
      </c>
      <c r="BF25" s="47">
        <f>_xll.qlPolynomialFunctionValue(BF$1,$BD25,AllTriggers)</f>
        <v>9.5555286377003805E-4</v>
      </c>
      <c r="BG25" s="47">
        <f>_xll.qlPolynomialFunctionValue(BG$1,$BD25,AllTriggers)</f>
        <v>1.0258401174270645E-3</v>
      </c>
      <c r="BH25" s="47">
        <f>_xll.qlPolynomialFunctionValue(BH$1,$BD25,AllTriggers)</f>
        <v>1.0681228072797581E-3</v>
      </c>
      <c r="BI25" s="47">
        <f>_xll.qlPolynomialFunctionValue(BI$1,$BD25,AllTriggers)</f>
        <v>9.5477628347495928E-4</v>
      </c>
      <c r="BJ25" s="47">
        <f>_xll.qlPolynomialFunctionValue(BJ$1,$BD25,AllTriggers)</f>
        <v>9.5520367631695205E-4</v>
      </c>
      <c r="BK25" s="47">
        <f>_xll.qlPolynomialFunctionValue(BK$1,$BD25,AllTriggers)</f>
        <v>1.0266884337240155E-3</v>
      </c>
      <c r="BL25" s="47">
        <f>_xll.qlPolynomialFunctionValue(BL$1,$BD25,AllTriggers)</f>
        <v>1.0692124143562736E-3</v>
      </c>
      <c r="BM25" s="47">
        <f>_xll.qlPolynomialFunctionValue(BM$1,$BD25,AllTriggers)</f>
        <v>9.854362606821444E-4</v>
      </c>
      <c r="BN25" s="47">
        <f>_xll.qlPolynomialFunctionValue(BN$1,$BD25,AllTriggers)</f>
        <v>9.7600982558203569E-4</v>
      </c>
      <c r="BO25" s="47">
        <f>_xll.qlPolynomialFunctionValue(BO$1,$BD25,AllTriggers)</f>
        <v>1.0072893744781754E-3</v>
      </c>
      <c r="BP25" s="47">
        <f>_xll.qlPolynomialFunctionValue(BP$1,$BD25,AllTriggers)</f>
        <v>1.0698532409593199E-3</v>
      </c>
      <c r="BQ25" s="47">
        <f>_xll.qlPolynomialFunctionValue('3MSynthDepo_used'!$P$18,BD25,AllTriggers)</f>
        <v>9.7095947364512027E-4</v>
      </c>
    </row>
    <row r="26" spans="1:69" ht="12" customHeight="1" x14ac:dyDescent="0.2">
      <c r="A26" s="21"/>
      <c r="B26" s="55"/>
      <c r="C26" s="36" t="s">
        <v>110</v>
      </c>
      <c r="D26" s="51" t="str">
        <f>_xll.qlIborIndex(,,'3MSynthDepo_allScenario'!D24,2,Currency,Calendar,"mf",TRUE,DayCounter,Discounting,,Trigger)</f>
        <v>obj_005aa#0007</v>
      </c>
      <c r="E26" s="23"/>
      <c r="F26" s="187" t="s">
        <v>92</v>
      </c>
      <c r="G26" s="89"/>
      <c r="H26" s="89"/>
      <c r="S26" s="89"/>
      <c r="T26" s="89"/>
      <c r="U26" s="89"/>
      <c r="V26" s="89"/>
      <c r="W26" s="89"/>
      <c r="X26" s="238"/>
      <c r="Y26" s="239" t="b">
        <f>_xll.qlPolynomialCalibrationCompute(Y$25,AllTriggers)</f>
        <v>1</v>
      </c>
      <c r="Z26" s="188" t="b">
        <f>_xll.qlPolynomialCalibrationCompute(Z$25,AllTriggers)</f>
        <v>1</v>
      </c>
      <c r="AA26" s="188" t="b">
        <f>_xll.qlPolynomialCalibrationCompute(AA$25,AllTriggers)</f>
        <v>1</v>
      </c>
      <c r="AB26" s="188" t="b">
        <f>_xll.qlPolynomialCalibrationCompute(AB$25,AllTriggers)</f>
        <v>1</v>
      </c>
      <c r="AC26" s="19" t="s">
        <v>70</v>
      </c>
      <c r="BC26" s="178">
        <f>_xll.qlCalendarAdvance(Calendar,BC25,"1d","mf",,Trigger)</f>
        <v>42307</v>
      </c>
      <c r="BD26" s="41">
        <f>_xll.qlDayCounterYearFraction(DayCounter,SettlementDate,BC26,,,Trigger)</f>
        <v>7.7777777777777779E-2</v>
      </c>
      <c r="BE26" s="47">
        <f>_xll.qlPolynomialFunctionValue(BE$1,$BD26,AllTriggers)</f>
        <v>9.5956940489774442E-4</v>
      </c>
      <c r="BF26" s="47">
        <f>_xll.qlPolynomialFunctionValue(BF$1,$BD26,AllTriggers)</f>
        <v>9.6010623472141295E-4</v>
      </c>
      <c r="BG26" s="47">
        <f>_xll.qlPolynomialFunctionValue(BG$1,$BD26,AllTriggers)</f>
        <v>1.0264608978097069E-3</v>
      </c>
      <c r="BH26" s="47">
        <f>_xll.qlPolynomialFunctionValue(BH$1,$BD26,AllTriggers)</f>
        <v>1.0663778598997721E-3</v>
      </c>
      <c r="BI26" s="47">
        <f>_xll.qlPolynomialFunctionValue(BI$1,$BD26,AllTriggers)</f>
        <v>9.5729021170687964E-4</v>
      </c>
      <c r="BJ26" s="47">
        <f>_xll.qlPolynomialFunctionValue(BJ$1,$BD26,AllTriggers)</f>
        <v>9.5990964515599861E-4</v>
      </c>
      <c r="BK26" s="47">
        <f>_xll.qlPolynomialFunctionValue(BK$1,$BD26,AllTriggers)</f>
        <v>1.0273099369493817E-3</v>
      </c>
      <c r="BL26" s="47">
        <f>_xll.qlPolynomialFunctionValue(BL$1,$BD26,AllTriggers)</f>
        <v>1.0674042004929993E-3</v>
      </c>
      <c r="BM26" s="47">
        <f>_xll.qlPolynomialFunctionValue(BM$1,$BD26,AllTriggers)</f>
        <v>9.8675953902254494E-4</v>
      </c>
      <c r="BN26" s="47">
        <f>_xll.qlPolynomialFunctionValue(BN$1,$BD26,AllTriggers)</f>
        <v>9.7801011520307849E-4</v>
      </c>
      <c r="BO26" s="47">
        <f>_xll.qlPolynomialFunctionValue(BO$1,$BD26,AllTriggers)</f>
        <v>1.0082848246909914E-3</v>
      </c>
      <c r="BP26" s="47">
        <f>_xll.qlPolynomialFunctionValue(BP$1,$BD26,AllTriggers)</f>
        <v>1.0681689057400138E-3</v>
      </c>
      <c r="BQ26" s="47">
        <f>_xll.qlPolynomialFunctionValue('3MSynthDepo_used'!$P$18,BD26,AllTriggers)</f>
        <v>9.7281334391215884E-4</v>
      </c>
    </row>
    <row r="27" spans="1:69" ht="12" customHeight="1" x14ac:dyDescent="0.2">
      <c r="B27" s="22"/>
      <c r="C27" s="36" t="s">
        <v>111</v>
      </c>
      <c r="D27" s="51" t="s">
        <v>86</v>
      </c>
      <c r="E27" s="23"/>
      <c r="F27" s="187" t="s">
        <v>82</v>
      </c>
      <c r="G27" s="188" t="str">
        <f>_xll.qlPolynomialTenorBasis(,$D$25,Discounting,SettlementDate,IsSimple,G$28:G$31,,Trigger)</f>
        <v>obj_00606#0003</v>
      </c>
      <c r="H27" s="188" t="str">
        <f>_xll.qlPolynomialTenorBasis(,$D$25,Discounting,SettlementDate,IsSimple,H$28:H$31,,Trigger)</f>
        <v>obj_00608#0003</v>
      </c>
      <c r="S27" s="188" t="str">
        <f>_xll.qlPolynomialTenorBasis(,$D$25,Discounting,SettlementDate,IsSimple,S$28:S$31,,Trigger)</f>
        <v>obj_00607#0004</v>
      </c>
      <c r="T27" s="188" t="str">
        <f>_xll.qlPolynomialTenorBasis(,$D$25,Discounting,SettlementDate,IsSimple,T$28:T$31,,Trigger)</f>
        <v>obj_0060b#0004</v>
      </c>
      <c r="U27" s="188" t="str">
        <f>_xll.qlPolynomialTenorBasis(,$D$25,Discounting,SettlementDate,$U$24,U$28:U$31,,Trigger)</f>
        <v>obj_0060e#0003</v>
      </c>
      <c r="V27" s="188" t="str">
        <f>_xll.qlPolynomialTenorBasis(,$D$25,Discounting,SettlementDate,$U$24,V$28:V$31,,Trigger)</f>
        <v>obj_00604#0003</v>
      </c>
      <c r="W27" s="188" t="str">
        <f>_xll.qlPolynomialTenorBasis(,$D$25,Discounting,SettlementDate,$U$24,W$28:W$31,,Trigger)</f>
        <v>obj_00611#0004</v>
      </c>
      <c r="X27" s="227" t="str">
        <f>_xll.qlPolynomialTenorBasis(,$D$25,Discounting,SettlementDate,$U$24,X$28:X$31,,Trigger)</f>
        <v>obj_00605#0004</v>
      </c>
      <c r="Y27" s="228" t="str">
        <f>_xll.qlPolynomialTenorBasis(,$D$25,Discounting,SettlementDate,$Y$24,Y$28:Y$31,,Trigger)</f>
        <v>obj_00619#0003</v>
      </c>
      <c r="Z27" s="188" t="str">
        <f>_xll.qlPolynomialTenorBasis(,$D$25,Discounting,SettlementDate,$Y$24,Z$28:Z$31,,Trigger)</f>
        <v>obj_00613#0003</v>
      </c>
      <c r="AA27" s="188" t="str">
        <f>_xll.qlPolynomialTenorBasis(,$D$25,Discounting,SettlementDate,$Y$24,AA$28:AA$31,,Trigger)</f>
        <v>obj_0061a#0003</v>
      </c>
      <c r="AB27" s="188" t="str">
        <f>_xll.qlPolynomialTenorBasis(,$D$25,Discounting,SettlementDate,$Y$24,AB$28:AB$31,,Trigger)</f>
        <v>obj_00618#0003</v>
      </c>
      <c r="AC27" s="19" t="s">
        <v>70</v>
      </c>
      <c r="BC27" s="178">
        <f>_xll.qlCalendarAdvance(Calendar,BC26,"1d","mf",,Trigger)</f>
        <v>42310</v>
      </c>
      <c r="BD27" s="41">
        <f>_xll.qlDayCounterYearFraction(DayCounter,SettlementDate,BC27,,,Trigger)</f>
        <v>8.611111111111111E-2</v>
      </c>
      <c r="BE27" s="47">
        <f>_xll.qlPolynomialFunctionValue(BE$1,$BD27,AllTriggers)</f>
        <v>9.6671265338082654E-4</v>
      </c>
      <c r="BF27" s="47">
        <f>_xll.qlPolynomialFunctionValue(BF$1,$BD27,AllTriggers)</f>
        <v>9.7331690865339645E-4</v>
      </c>
      <c r="BG27" s="47">
        <f>_xll.qlPolynomialFunctionValue(BG$1,$BD27,AllTriggers)</f>
        <v>1.0283232389576341E-3</v>
      </c>
      <c r="BH27" s="47">
        <f>_xll.qlPolynomialFunctionValue(BH$1,$BD27,AllTriggers)</f>
        <v>1.0614133866469714E-3</v>
      </c>
      <c r="BI27" s="47">
        <f>_xll.qlPolynomialFunctionValue(BI$1,$BD27,AllTriggers)</f>
        <v>9.6483199640264082E-4</v>
      </c>
      <c r="BJ27" s="47">
        <f>_xll.qlPolynomialFunctionValue(BJ$1,$BD27,AllTriggers)</f>
        <v>9.7355169160164164E-4</v>
      </c>
      <c r="BK27" s="47">
        <f>_xll.qlPolynomialFunctionValue(BK$1,$BD27,AllTriggers)</f>
        <v>1.0291744466254804E-3</v>
      </c>
      <c r="BL27" s="47">
        <f>_xll.qlPolynomialFunctionValue(BL$1,$BD27,AllTriggers)</f>
        <v>1.062262632738746E-3</v>
      </c>
      <c r="BM27" s="47">
        <f>_xll.qlPolynomialFunctionValue(BM$1,$BD27,AllTriggers)</f>
        <v>9.9072937404374594E-4</v>
      </c>
      <c r="BN27" s="47">
        <f>_xll.qlPolynomialFunctionValue(BN$1,$BD27,AllTriggers)</f>
        <v>9.8393251298606863E-4</v>
      </c>
      <c r="BO27" s="47">
        <f>_xll.qlPolynomialFunctionValue(BO$1,$BD27,AllTriggers)</f>
        <v>1.0112711753294393E-3</v>
      </c>
      <c r="BP27" s="47">
        <f>_xll.qlPolynomialFunctionValue(BP$1,$BD27,AllTriggers)</f>
        <v>1.0633710092671376E-3</v>
      </c>
      <c r="BQ27" s="47">
        <f>_xll.qlPolynomialFunctionValue('3MSynthDepo_used'!$P$18,BD27,AllTriggers)</f>
        <v>9.7833931901822086E-4</v>
      </c>
    </row>
    <row r="28" spans="1:69" ht="12" customHeight="1" x14ac:dyDescent="0.2">
      <c r="C28" s="36" t="s">
        <v>112</v>
      </c>
      <c r="D28" s="51" t="s">
        <v>86</v>
      </c>
      <c r="E28" s="35"/>
      <c r="F28" s="133" t="s">
        <v>73</v>
      </c>
      <c r="G28" s="90">
        <f>AI6</f>
        <v>1.0048099786239312E-3</v>
      </c>
      <c r="H28" s="90">
        <f>AI16</f>
        <v>1.0048099786239312E-3</v>
      </c>
      <c r="S28" s="90">
        <f>AI10</f>
        <v>1.0382557250799124E-3</v>
      </c>
      <c r="T28" s="90">
        <f>AI21</f>
        <v>1.0583756764325531E-3</v>
      </c>
      <c r="U28" s="90">
        <f>AU6</f>
        <v>8.8690022121310896E-4</v>
      </c>
      <c r="V28" s="90">
        <f>AU16</f>
        <v>7.9816333315840186E-4</v>
      </c>
      <c r="W28" s="90">
        <f>AU10</f>
        <v>1.0099078466391264E-3</v>
      </c>
      <c r="X28" s="229">
        <f>AU21</f>
        <v>1.1358678403055765E-3</v>
      </c>
      <c r="Y28" s="230">
        <f t="array" ref="Y28:Y29">_xll.qlPolynomialCalibrationCoefficients($Y$25,$Y$26)</f>
        <v>1.0119018274901521E-3</v>
      </c>
      <c r="Z28" s="90">
        <f t="array" ref="Z28:Z30">_xll.qlPolynomialCalibrationCoefficients($Z$25,$Z$26)</f>
        <v>1.0087156277977798E-3</v>
      </c>
      <c r="AA28" s="90">
        <f t="array" ref="AA28:AA29">_xll.qlPolynomialCalibrationCoefficients($AA$25,$AA$26)</f>
        <v>1.0271983787344947E-3</v>
      </c>
      <c r="AB28" s="90">
        <f t="array" ref="AB28:AB30">_xll.qlPolynomialCalibrationCoefficients($AB$25,$AB$26)</f>
        <v>1.0598987771483464E-3</v>
      </c>
      <c r="AC28" s="19" t="s">
        <v>70</v>
      </c>
      <c r="BC28" s="178">
        <f>_xll.qlCalendarAdvance(Calendar,BC27,"1d","mf",,Trigger)</f>
        <v>42311</v>
      </c>
      <c r="BD28" s="41">
        <f>_xll.qlDayCounterYearFraction(DayCounter,SettlementDate,BC28,,,Trigger)</f>
        <v>8.8888888888888892E-2</v>
      </c>
      <c r="BE28" s="47">
        <f>_xll.qlPolynomialFunctionValue(BE$1,$BD28,AllTriggers)</f>
        <v>9.6909373620852055E-4</v>
      </c>
      <c r="BF28" s="47">
        <f>_xll.qlPolynomialFunctionValue(BF$1,$BD28,AllTriggers)</f>
        <v>9.7757065365667727E-4</v>
      </c>
      <c r="BG28" s="47">
        <f>_xll.qlPolynomialFunctionValue(BG$1,$BD28,AllTriggers)</f>
        <v>1.0289440193402765E-3</v>
      </c>
      <c r="BH28" s="47">
        <f>_xll.qlPolynomialFunctionValue(BH$1,$BD28,AllTriggers)</f>
        <v>1.0598486851917568E-3</v>
      </c>
      <c r="BI28" s="47">
        <f>_xll.qlPolynomialFunctionValue(BI$1,$BD28,AllTriggers)</f>
        <v>9.6734592463456118E-4</v>
      </c>
      <c r="BJ28" s="47">
        <f>_xll.qlPolynomialFunctionValue(BJ$1,$BD28,AllTriggers)</f>
        <v>9.7794042039302362E-4</v>
      </c>
      <c r="BK28" s="47">
        <f>_xll.qlPolynomialFunctionValue(BK$1,$BD28,AllTriggers)</f>
        <v>1.0297959498508469E-3</v>
      </c>
      <c r="BL28" s="47">
        <f>_xll.qlPolynomialFunctionValue(BL$1,$BD28,AllTriggers)</f>
        <v>1.0606431347658515E-3</v>
      </c>
      <c r="BM28" s="47">
        <f>_xll.qlPolynomialFunctionValue(BM$1,$BD28,AllTriggers)</f>
        <v>9.9205265238414648E-4</v>
      </c>
      <c r="BN28" s="47">
        <f>_xll.qlPolynomialFunctionValue(BN$1,$BD28,AllTriggers)</f>
        <v>9.8588048855368553E-4</v>
      </c>
      <c r="BO28" s="47">
        <f>_xll.qlPolynomialFunctionValue(BO$1,$BD28,AllTriggers)</f>
        <v>1.0122666255422553E-3</v>
      </c>
      <c r="BP28" s="47">
        <f>_xll.qlPolynomialFunctionValue(BP$1,$BD28,AllTriggers)</f>
        <v>1.0618567468378595E-3</v>
      </c>
      <c r="BQ28" s="47">
        <f>_xll.qlPolynomialFunctionValue('3MSynthDepo_used'!$P$18,BD28,AllTriggers)</f>
        <v>9.8016947003084164E-4</v>
      </c>
    </row>
    <row r="29" spans="1:69" ht="12" customHeight="1" x14ac:dyDescent="0.2">
      <c r="E29" s="35"/>
      <c r="F29" s="133" t="s">
        <v>74</v>
      </c>
      <c r="G29" s="90">
        <f>AI5</f>
        <v>8.571898179698563E-4</v>
      </c>
      <c r="H29" s="90">
        <f>AI15</f>
        <v>1.1133700035901323E-3</v>
      </c>
      <c r="S29" s="90">
        <f>AI9</f>
        <v>2.2348093775126192E-4</v>
      </c>
      <c r="T29" s="90">
        <f>AI20</f>
        <v>-3.1184945882067883E-4</v>
      </c>
      <c r="U29" s="90">
        <f>AU5</f>
        <v>9.0501416349133765E-4</v>
      </c>
      <c r="V29" s="90">
        <f>AU15</f>
        <v>2.4793179000263468E-3</v>
      </c>
      <c r="W29" s="90">
        <f>AU9</f>
        <v>2.2374116113185391E-4</v>
      </c>
      <c r="X29" s="229">
        <f>AU20</f>
        <v>-1.1180288194688887E-3</v>
      </c>
      <c r="Y29" s="230">
        <v>4.7638020254413738E-4</v>
      </c>
      <c r="Z29" s="90">
        <v>6.2829309981330219E-4</v>
      </c>
      <c r="AA29" s="90">
        <v>3.583620766137488E-4</v>
      </c>
      <c r="AB29" s="90">
        <v>-3.0788293245115935E-4</v>
      </c>
      <c r="AC29" s="19" t="s">
        <v>70</v>
      </c>
      <c r="BC29" s="178">
        <f>_xll.qlCalendarAdvance(Calendar,BC28,"1d","mf",,Trigger)</f>
        <v>42312</v>
      </c>
      <c r="BD29" s="41">
        <f>_xll.qlDayCounterYearFraction(DayCounter,SettlementDate,BC29,,,Trigger)</f>
        <v>9.166666666666666E-2</v>
      </c>
      <c r="BE29" s="47">
        <f>_xll.qlPolynomialFunctionValue(BE$1,$BD29,AllTriggers)</f>
        <v>9.7147481903621467E-4</v>
      </c>
      <c r="BF29" s="47">
        <f>_xll.qlPolynomialFunctionValue(BF$1,$BD29,AllTriggers)</f>
        <v>9.8174949217293465E-4</v>
      </c>
      <c r="BG29" s="47">
        <f>_xll.qlPolynomialFunctionValue(BG$1,$BD29,AllTriggers)</f>
        <v>1.0295647997229189E-3</v>
      </c>
      <c r="BH29" s="47">
        <f>_xll.qlPolynomialFunctionValue(BH$1,$BD29,AllTriggers)</f>
        <v>1.0583290452177354E-3</v>
      </c>
      <c r="BI29" s="47">
        <f>_xll.qlPolynomialFunctionValue(BI$1,$BD29,AllTriggers)</f>
        <v>9.6985985286648154E-4</v>
      </c>
      <c r="BJ29" s="47">
        <f>_xll.qlPolynomialFunctionValue(BJ$1,$BD29,AllTriggers)</f>
        <v>9.8224983917248967E-4</v>
      </c>
      <c r="BK29" s="47">
        <f>_xll.qlPolynomialFunctionValue(BK$1,$BD29,AllTriggers)</f>
        <v>1.0304174530762131E-3</v>
      </c>
      <c r="BL29" s="47">
        <f>_xll.qlPolynomialFunctionValue(BL$1,$BD29,AllTriggers)</f>
        <v>1.059070815765552E-3</v>
      </c>
      <c r="BM29" s="47">
        <f>_xll.qlPolynomialFunctionValue(BM$1,$BD29,AllTriggers)</f>
        <v>9.9337593072454681E-4</v>
      </c>
      <c r="BN29" s="47">
        <f>_xll.qlPolynomialFunctionValue(BN$1,$BD29,AllTriggers)</f>
        <v>9.8781538560794658E-4</v>
      </c>
      <c r="BO29" s="47">
        <f>_xll.qlPolynomialFunctionValue(BO$1,$BD29,AllTriggers)</f>
        <v>1.0132620757550713E-3</v>
      </c>
      <c r="BP29" s="47">
        <f>_xll.qlPolynomialFunctionValue(BP$1,$BD29,AllTriggers)</f>
        <v>1.0603850026060884E-3</v>
      </c>
      <c r="BQ29" s="47">
        <f>_xll.qlPolynomialFunctionValue('3MSynthDepo_used'!$P$18,BD29,AllTriggers)</f>
        <v>9.819937196365717E-4</v>
      </c>
    </row>
    <row r="30" spans="1:69" ht="12" customHeight="1" x14ac:dyDescent="0.2">
      <c r="F30" s="133" t="s">
        <v>75</v>
      </c>
      <c r="G30" s="89"/>
      <c r="H30" s="90">
        <f>AI14</f>
        <v>-4.8539403591211228E-3</v>
      </c>
      <c r="S30" s="89"/>
      <c r="T30" s="90">
        <f>AI19</f>
        <v>2.9199839813014994E-3</v>
      </c>
      <c r="U30" s="89"/>
      <c r="V30" s="90">
        <f>AU14</f>
        <v>-5.1392887721645741E-3</v>
      </c>
      <c r="W30" s="89"/>
      <c r="X30" s="229">
        <f>AU19</f>
        <v>3.0571974241535571E-3</v>
      </c>
      <c r="Y30" s="231"/>
      <c r="Z30" s="90">
        <v>-8.4748766549654422E-4</v>
      </c>
      <c r="AA30" s="89"/>
      <c r="AB30" s="90">
        <v>2.7551791984524194E-3</v>
      </c>
      <c r="AC30" s="19" t="s">
        <v>70</v>
      </c>
      <c r="BC30" s="178">
        <f>_xll.qlCalendarAdvance(Calendar,BC29,"1d","mf",,Trigger)</f>
        <v>42313</v>
      </c>
      <c r="BD30" s="41">
        <f>_xll.qlDayCounterYearFraction(DayCounter,SettlementDate,BC30,,,Trigger)</f>
        <v>9.4444444444444442E-2</v>
      </c>
      <c r="BE30" s="47">
        <f>_xll.qlPolynomialFunctionValue(BE$1,$BD30,AllTriggers)</f>
        <v>9.7385590186390867E-4</v>
      </c>
      <c r="BF30" s="47">
        <f>_xll.qlPolynomialFunctionValue(BF$1,$BD30,AllTriggers)</f>
        <v>9.8585342420216869E-4</v>
      </c>
      <c r="BG30" s="47">
        <f>_xll.qlPolynomialFunctionValue(BG$1,$BD30,AllTriggers)</f>
        <v>1.0301855801055613E-3</v>
      </c>
      <c r="BH30" s="47">
        <f>_xll.qlPolynomialFunctionValue(BH$1,$BD30,AllTriggers)</f>
        <v>1.0568544667249069E-3</v>
      </c>
      <c r="BI30" s="47">
        <f>_xll.qlPolynomialFunctionValue(BI$1,$BD30,AllTriggers)</f>
        <v>9.72373781098402E-4</v>
      </c>
      <c r="BJ30" s="47">
        <f>_xll.qlPolynomialFunctionValue(BJ$1,$BD30,AllTriggers)</f>
        <v>9.8647994794003936E-4</v>
      </c>
      <c r="BK30" s="47">
        <f>_xll.qlPolynomialFunctionValue(BK$1,$BD30,AllTriggers)</f>
        <v>1.0310389563015793E-3</v>
      </c>
      <c r="BL30" s="47">
        <f>_xll.qlPolynomialFunctionValue(BL$1,$BD30,AllTriggers)</f>
        <v>1.0575456757378474E-3</v>
      </c>
      <c r="BM30" s="47">
        <f>_xll.qlPolynomialFunctionValue(BM$1,$BD30,AllTriggers)</f>
        <v>9.9469920906494714E-4</v>
      </c>
      <c r="BN30" s="47">
        <f>_xll.qlPolynomialFunctionValue(BN$1,$BD30,AllTriggers)</f>
        <v>9.8973720414885068E-4</v>
      </c>
      <c r="BO30" s="47">
        <f>_xll.qlPolynomialFunctionValue(BO$1,$BD30,AllTriggers)</f>
        <v>1.0142575259678873E-3</v>
      </c>
      <c r="BP30" s="47">
        <f>_xll.qlPolynomialFunctionValue(BP$1,$BD30,AllTriggers)</f>
        <v>1.0589557765718243E-3</v>
      </c>
      <c r="BQ30" s="47">
        <f>_xll.qlPolynomialFunctionValue('3MSynthDepo_used'!$P$18,BD30,AllTriggers)</f>
        <v>9.8381207919809679E-4</v>
      </c>
    </row>
    <row r="31" spans="1:69" ht="12" customHeight="1" thickBot="1" x14ac:dyDescent="0.25">
      <c r="F31" s="133" t="s">
        <v>76</v>
      </c>
      <c r="G31" s="89"/>
      <c r="H31" s="89"/>
      <c r="S31" s="89"/>
      <c r="T31" s="89"/>
      <c r="U31" s="89"/>
      <c r="V31" s="89"/>
      <c r="W31" s="89"/>
      <c r="X31" s="232"/>
      <c r="Y31" s="233"/>
      <c r="Z31" s="89"/>
      <c r="AA31" s="89"/>
      <c r="AB31" s="234"/>
      <c r="BC31" s="178">
        <f>_xll.qlCalendarAdvance(Calendar,BC30,"1d","mf",,Trigger)</f>
        <v>42314</v>
      </c>
      <c r="BD31" s="41">
        <f>_xll.qlDayCounterYearFraction(DayCounter,SettlementDate,BC31,,,Trigger)</f>
        <v>9.7222222222222224E-2</v>
      </c>
      <c r="BE31" s="47">
        <f>_xll.qlPolynomialFunctionValue(BE$1,$BD31,AllTriggers)</f>
        <v>9.7623698469160268E-4</v>
      </c>
      <c r="BF31" s="47">
        <f>_xll.qlPolynomialFunctionValue(BF$1,$BD31,AllTriggers)</f>
        <v>9.8988244974437898E-4</v>
      </c>
      <c r="BG31" s="47">
        <f>_xll.qlPolynomialFunctionValue(BG$1,$BD31,AllTriggers)</f>
        <v>1.0308063604882037E-3</v>
      </c>
      <c r="BH31" s="47">
        <f>_xll.qlPolynomialFunctionValue(BH$1,$BD31,AllTriggers)</f>
        <v>1.055424949713271E-3</v>
      </c>
      <c r="BI31" s="47">
        <f>_xll.qlPolynomialFunctionValue(BI$1,$BD31,AllTriggers)</f>
        <v>9.7488770933032236E-4</v>
      </c>
      <c r="BJ31" s="47">
        <f>_xll.qlPolynomialFunctionValue(BJ$1,$BD31,AllTriggers)</f>
        <v>9.9063074669567333E-4</v>
      </c>
      <c r="BK31" s="47">
        <f>_xll.qlPolynomialFunctionValue(BK$1,$BD31,AllTriggers)</f>
        <v>1.0316604595269456E-3</v>
      </c>
      <c r="BL31" s="47">
        <f>_xll.qlPolynomialFunctionValue(BL$1,$BD31,AllTriggers)</f>
        <v>1.0560677146827376E-3</v>
      </c>
      <c r="BM31" s="47">
        <f>_xll.qlPolynomialFunctionValue(BM$1,$BD31,AllTriggers)</f>
        <v>9.9602248740534747E-4</v>
      </c>
      <c r="BN31" s="47">
        <f>_xll.qlPolynomialFunctionValue(BN$1,$BD31,AllTriggers)</f>
        <v>9.9164594417639851E-4</v>
      </c>
      <c r="BO31" s="47">
        <f>_xll.qlPolynomialFunctionValue(BO$1,$BD31,AllTriggers)</f>
        <v>1.0152529761807032E-3</v>
      </c>
      <c r="BP31" s="47">
        <f>_xll.qlPolynomialFunctionValue(BP$1,$BD31,AllTriggers)</f>
        <v>1.0575690687350671E-3</v>
      </c>
      <c r="BQ31" s="47">
        <f>_xll.qlPolynomialFunctionValue('3MSynthDepo_used'!$P$18,BD31,AllTriggers)</f>
        <v>9.8562456007810178E-4</v>
      </c>
    </row>
    <row r="32" spans="1:69" ht="12" customHeight="1" x14ac:dyDescent="0.2">
      <c r="G32" s="147" t="s">
        <v>66</v>
      </c>
      <c r="H32" s="148"/>
      <c r="S32" s="148"/>
      <c r="T32" s="148"/>
      <c r="U32" s="148"/>
      <c r="V32" s="148"/>
      <c r="W32" s="148"/>
      <c r="X32" s="149"/>
      <c r="Y32" s="147" t="s">
        <v>67</v>
      </c>
      <c r="Z32" s="148"/>
      <c r="AA32" s="148"/>
      <c r="AB32" s="149"/>
      <c r="BC32" s="178">
        <f>_xll.qlCalendarAdvance(Calendar,BC31,"1d","mf",,Trigger)</f>
        <v>42317</v>
      </c>
      <c r="BD32" s="41">
        <f>_xll.qlDayCounterYearFraction(DayCounter,SettlementDate,BC32,,,Trigger)</f>
        <v>0.10555555555555556</v>
      </c>
      <c r="BE32" s="47">
        <f>_xll.qlPolynomialFunctionValue(BE$1,$BD32,AllTriggers)</f>
        <v>9.8338023317468492E-4</v>
      </c>
      <c r="BF32" s="47">
        <f>_xll.qlPolynomialFunctionValue(BF$1,$BD32,AllTriggers)</f>
        <v>1.0015200874488696E-3</v>
      </c>
      <c r="BG32" s="47">
        <f>_xll.qlPolynomialFunctionValue(BG$1,$BD32,AllTriggers)</f>
        <v>1.0326687016361307E-3</v>
      </c>
      <c r="BH32" s="47">
        <f>_xll.qlPolynomialFunctionValue(BH$1,$BD32,AllTriggers)</f>
        <v>1.0514067675655215E-3</v>
      </c>
      <c r="BI32" s="47">
        <f>_xll.qlPolynomialFunctionValue(BI$1,$BD32,AllTriggers)</f>
        <v>9.8242949402608344E-4</v>
      </c>
      <c r="BJ32" s="47">
        <f>_xll.qlPolynomialFunctionValue(BJ$1,$BD32,AllTriggers)</f>
        <v>1.0026072828910777E-3</v>
      </c>
      <c r="BK32" s="47">
        <f>_xll.qlPolynomialFunctionValue(BK$1,$BD32,AllTriggers)</f>
        <v>1.0335249692030443E-3</v>
      </c>
      <c r="BL32" s="47">
        <f>_xll.qlPolynomialFunctionValue(BL$1,$BD32,AllTriggers)</f>
        <v>1.051916905352979E-3</v>
      </c>
      <c r="BM32" s="47">
        <f>_xll.qlPolynomialFunctionValue(BM$1,$BD32,AllTriggers)</f>
        <v>9.9999232242654868E-4</v>
      </c>
      <c r="BN32" s="47">
        <f>_xll.qlPolynomialFunctionValue(BN$1,$BD32,AllTriggers)</f>
        <v>9.9729369317890361E-4</v>
      </c>
      <c r="BO32" s="47">
        <f>_xll.qlPolynomialFunctionValue(BO$1,$BD32,AllTriggers)</f>
        <v>1.0182393268191512E-3</v>
      </c>
      <c r="BP32" s="47">
        <f>_xll.qlPolynomialFunctionValue(BP$1,$BD32,AllTriggers)</f>
        <v>1.0536640544098375E-3</v>
      </c>
      <c r="BQ32" s="47">
        <f>_xll.qlPolynomialFunctionValue('3MSynthDepo_used'!$P$18,BD32,AllTriggers)</f>
        <v>9.9102684425585196E-4</v>
      </c>
    </row>
    <row r="33" spans="3:69" ht="12" customHeight="1" x14ac:dyDescent="0.2">
      <c r="G33" s="214" t="s">
        <v>106</v>
      </c>
      <c r="H33" s="215"/>
      <c r="S33" s="215"/>
      <c r="T33" s="216"/>
      <c r="U33" s="214" t="s">
        <v>107</v>
      </c>
      <c r="V33" s="215"/>
      <c r="W33" s="215"/>
      <c r="X33" s="216"/>
      <c r="Y33" s="214" t="s">
        <v>106</v>
      </c>
      <c r="Z33" s="215"/>
      <c r="AA33" s="215"/>
      <c r="AB33" s="216"/>
      <c r="BC33" s="178">
        <f>_xll.qlCalendarAdvance(Calendar,BC32,"1d","mf",,Trigger)</f>
        <v>42318</v>
      </c>
      <c r="BD33" s="41">
        <f>_xll.qlDayCounterYearFraction(DayCounter,SettlementDate,BC33,,,Trigger)</f>
        <v>0.10833333333333334</v>
      </c>
      <c r="BE33" s="47">
        <f>_xll.qlPolynomialFunctionValue(BE$1,$BD33,AllTriggers)</f>
        <v>9.8576131600237892E-4</v>
      </c>
      <c r="BF33" s="47">
        <f>_xll.qlPolynomialFunctionValue(BF$1,$BD33,AllTriggers)</f>
        <v>1.005249487042986E-3</v>
      </c>
      <c r="BG33" s="47">
        <f>_xll.qlPolynomialFunctionValue(BG$1,$BD33,AllTriggers)</f>
        <v>1.0332894820187732E-3</v>
      </c>
      <c r="BH33" s="47">
        <f>_xll.qlPolynomialFunctionValue(BH$1,$BD33,AllTriggers)</f>
        <v>1.0501574964786576E-3</v>
      </c>
      <c r="BI33" s="47">
        <f>_xll.qlPolynomialFunctionValue(BI$1,$BD33,AllTriggers)</f>
        <v>9.849434222580038E-4</v>
      </c>
      <c r="BJ33" s="47">
        <f>_xll.qlPolynomialFunctionValue(BJ$1,$BD33,AllTriggers)</f>
        <v>1.0064408415990469E-3</v>
      </c>
      <c r="BK33" s="47">
        <f>_xll.qlPolynomialFunctionValue(BK$1,$BD33,AllTriggers)</f>
        <v>1.0341464724284105E-3</v>
      </c>
      <c r="BL33" s="47">
        <f>_xll.qlPolynomialFunctionValue(BL$1,$BD33,AllTriggers)</f>
        <v>1.0506276601882491E-3</v>
      </c>
      <c r="BM33" s="47">
        <f>_xll.qlPolynomialFunctionValue(BM$1,$BD33,AllTriggers)</f>
        <v>1.001315600766949E-3</v>
      </c>
      <c r="BN33" s="47">
        <f>_xll.qlPolynomialFunctionValue(BN$1,$BD33,AllTriggers)</f>
        <v>9.9915011915302564E-4</v>
      </c>
      <c r="BO33" s="47">
        <f>_xll.qlPolynomialFunctionValue(BO$1,$BD33,AllTriggers)</f>
        <v>1.0192347770319671E-3</v>
      </c>
      <c r="BP33" s="47">
        <f>_xll.qlPolynomialFunctionValue(BP$1,$BD33,AllTriggers)</f>
        <v>1.0524474193631082E-3</v>
      </c>
      <c r="BQ33" s="47">
        <f>_xll.qlPolynomialFunctionValue('3MSynthDepo_used'!$P$18,BD33,AllTriggers)</f>
        <v>9.9281592403663191E-4</v>
      </c>
    </row>
    <row r="34" spans="3:69" ht="12" customHeight="1" thickBot="1" x14ac:dyDescent="0.25">
      <c r="G34" s="134" t="str">
        <f>"with 0X"&amp;SUBSTITUTE($D$24,"M","")</f>
        <v>with 0X3</v>
      </c>
      <c r="H34" s="110"/>
      <c r="S34" s="109" t="str">
        <f>"without 0X"&amp;SUBSTITUTE($D$24,"M","")</f>
        <v>without 0X3</v>
      </c>
      <c r="T34" s="135"/>
      <c r="U34" s="134" t="str">
        <f>"with 0X"&amp;SUBSTITUTE($D$24,"M","")</f>
        <v>with 0X3</v>
      </c>
      <c r="V34" s="110"/>
      <c r="W34" s="109" t="str">
        <f>"without 0X"&amp;SUBSTITUTE($D$24,"M","")</f>
        <v>without 0X3</v>
      </c>
      <c r="X34" s="135"/>
      <c r="Y34" s="134" t="str">
        <f>"with 0X"&amp;SUBSTITUTE($D$24,"M","")</f>
        <v>with 0X3</v>
      </c>
      <c r="Z34" s="110"/>
      <c r="AA34" s="109" t="str">
        <f>"without 0X"&amp;SUBSTITUTE($D$24,"M","")</f>
        <v>without 0X3</v>
      </c>
      <c r="AB34" s="135"/>
      <c r="BC34" s="178">
        <f>_xll.qlCalendarAdvance(Calendar,BC33,"1d","mf",,Trigger)</f>
        <v>42319</v>
      </c>
      <c r="BD34" s="41">
        <f>_xll.qlDayCounterYearFraction(DayCounter,SettlementDate,BC34,,,Trigger)</f>
        <v>0.1111111111111111</v>
      </c>
      <c r="BE34" s="47">
        <f>_xll.qlPolynomialFunctionValue(BE$1,$BD34,AllTriggers)</f>
        <v>9.8814239883007293E-4</v>
      </c>
      <c r="BF34" s="47">
        <f>_xll.qlPolynomialFunctionValue(BF$1,$BD34,AllTriggers)</f>
        <v>1.0089039801500794E-3</v>
      </c>
      <c r="BG34" s="47">
        <f>_xll.qlPolynomialFunctionValue(BG$1,$BD34,AllTriggers)</f>
        <v>1.0339102624014156E-3</v>
      </c>
      <c r="BH34" s="47">
        <f>_xll.qlPolynomialFunctionValue(BH$1,$BD34,AllTriggers)</f>
        <v>1.0489532868729866E-3</v>
      </c>
      <c r="BI34" s="47">
        <f>_xll.qlPolynomialFunctionValue(BI$1,$BD34,AllTriggers)</f>
        <v>9.8745735048992415E-4</v>
      </c>
      <c r="BJ34" s="47">
        <f>_xll.qlPolynomialFunctionValue(BJ$1,$BD34,AllTriggers)</f>
        <v>1.0101950902950999E-3</v>
      </c>
      <c r="BK34" s="47">
        <f>_xll.qlPolynomialFunctionValue(BK$1,$BD34,AllTriggers)</f>
        <v>1.0347679756537768E-3</v>
      </c>
      <c r="BL34" s="47">
        <f>_xll.qlPolynomialFunctionValue(BL$1,$BD34,AllTriggers)</f>
        <v>1.0493855939961141E-3</v>
      </c>
      <c r="BM34" s="47">
        <f>_xll.qlPolynomialFunctionValue(BM$1,$BD34,AllTriggers)</f>
        <v>1.0026388791073496E-3</v>
      </c>
      <c r="BN34" s="47">
        <f>_xll.qlPolynomialFunctionValue(BN$1,$BD34,AllTriggers)</f>
        <v>1.0009934666137916E-3</v>
      </c>
      <c r="BO34" s="47">
        <f>_xll.qlPolynomialFunctionValue(BO$1,$BD34,AllTriggers)</f>
        <v>1.0202302272447831E-3</v>
      </c>
      <c r="BP34" s="47">
        <f>_xll.qlPolynomialFunctionValue(BP$1,$BD34,AllTriggers)</f>
        <v>1.051273302513886E-3</v>
      </c>
      <c r="BQ34" s="47">
        <f>_xll.qlPolynomialFunctionValue('3MSynthDepo_used'!$P$18,BD34,AllTriggers)</f>
        <v>9.9459918194931963E-4</v>
      </c>
    </row>
    <row r="35" spans="3:69" ht="12" customHeight="1" x14ac:dyDescent="0.2">
      <c r="D35" s="36" t="s">
        <v>49</v>
      </c>
      <c r="E35" s="36" t="s">
        <v>38</v>
      </c>
      <c r="F35" s="36" t="s">
        <v>39</v>
      </c>
      <c r="G35" s="136" t="str">
        <f>IF(COUNT(G$28:G$31)=2,"Linear","Quadratic")</f>
        <v>Linear</v>
      </c>
      <c r="H35" s="38" t="str">
        <f>IF(COUNT(H$28:H$31)=2,"Linear","Quadratic")</f>
        <v>Quadratic</v>
      </c>
      <c r="S35" s="38" t="str">
        <f t="shared" ref="S35:AB35" si="12">IF(COUNT(S$28:S$31)=2,"Linear","Quadratic")</f>
        <v>Linear</v>
      </c>
      <c r="T35" s="137" t="str">
        <f t="shared" si="12"/>
        <v>Quadratic</v>
      </c>
      <c r="U35" s="136" t="str">
        <f t="shared" si="12"/>
        <v>Linear</v>
      </c>
      <c r="V35" s="38" t="str">
        <f t="shared" si="12"/>
        <v>Quadratic</v>
      </c>
      <c r="W35" s="38" t="str">
        <f t="shared" si="12"/>
        <v>Linear</v>
      </c>
      <c r="X35" s="137" t="str">
        <f t="shared" si="12"/>
        <v>Quadratic</v>
      </c>
      <c r="Y35" s="136" t="str">
        <f t="shared" si="12"/>
        <v>Linear</v>
      </c>
      <c r="Z35" s="38" t="str">
        <f t="shared" si="12"/>
        <v>Quadratic</v>
      </c>
      <c r="AA35" s="38" t="str">
        <f t="shared" si="12"/>
        <v>Linear</v>
      </c>
      <c r="AB35" s="137" t="str">
        <f t="shared" si="12"/>
        <v>Quadratic</v>
      </c>
      <c r="AC35" s="255" t="s">
        <v>105</v>
      </c>
      <c r="BC35" s="178">
        <f>_xll.qlCalendarAdvance(Calendar,BC34,"1d","mf",,Trigger)</f>
        <v>42320</v>
      </c>
      <c r="BD35" s="41">
        <f>_xll.qlDayCounterYearFraction(DayCounter,SettlementDate,BC35,,,Trigger)</f>
        <v>0.11388888888888889</v>
      </c>
      <c r="BE35" s="47">
        <f>_xll.qlPolynomialFunctionValue(BE$1,$BD35,AllTriggers)</f>
        <v>9.9052348165776694E-4</v>
      </c>
      <c r="BF35" s="47">
        <f>_xll.qlPolynomialFunctionValue(BF$1,$BD35,AllTriggers)</f>
        <v>1.0124835667701488E-3</v>
      </c>
      <c r="BG35" s="47">
        <f>_xll.qlPolynomialFunctionValue(BG$1,$BD35,AllTriggers)</f>
        <v>1.034531042784058E-3</v>
      </c>
      <c r="BH35" s="47">
        <f>_xll.qlPolynomialFunctionValue(BH$1,$BD35,AllTriggers)</f>
        <v>1.0477941387485085E-3</v>
      </c>
      <c r="BI35" s="47">
        <f>_xll.qlPolynomialFunctionValue(BI$1,$BD35,AllTriggers)</f>
        <v>9.8997127872184473E-4</v>
      </c>
      <c r="BJ35" s="47">
        <f>_xll.qlPolynomialFunctionValue(BJ$1,$BD35,AllTriggers)</f>
        <v>1.0138700289792368E-3</v>
      </c>
      <c r="BK35" s="47">
        <f>_xll.qlPolynomialFunctionValue(BK$1,$BD35,AllTriggers)</f>
        <v>1.0353894788791432E-3</v>
      </c>
      <c r="BL35" s="47">
        <f>_xll.qlPolynomialFunctionValue(BL$1,$BD35,AllTriggers)</f>
        <v>1.0481907067765744E-3</v>
      </c>
      <c r="BM35" s="47">
        <f>_xll.qlPolynomialFunctionValue(BM$1,$BD35,AllTriggers)</f>
        <v>1.0039621574477499E-3</v>
      </c>
      <c r="BN35" s="47">
        <f>_xll.qlPolynomialFunctionValue(BN$1,$BD35,AllTriggers)</f>
        <v>1.0028237355612008E-3</v>
      </c>
      <c r="BO35" s="47">
        <f>_xll.qlPolynomialFunctionValue(BO$1,$BD35,AllTriggers)</f>
        <v>1.0212256774575991E-3</v>
      </c>
      <c r="BP35" s="47">
        <f>_xll.qlPolynomialFunctionValue(BP$1,$BD35,AllTriggers)</f>
        <v>1.0501417038621709E-3</v>
      </c>
      <c r="BQ35" s="47">
        <f>_xll.qlPolynomialFunctionValue('3MSynthDepo_used'!$P$18,BD35,AllTriggers)</f>
        <v>9.9637662935660003E-4</v>
      </c>
    </row>
    <row r="36" spans="3:69" ht="12" customHeight="1" x14ac:dyDescent="0.2">
      <c r="C36" s="19">
        <v>0</v>
      </c>
      <c r="D36" s="45" t="s">
        <v>25</v>
      </c>
      <c r="E36" s="175">
        <f>_xll.qlCalendarAdvance(Calendar,SettlementDate,C36&amp;"M","mf",TRUE,Trigger)</f>
        <v>42279</v>
      </c>
      <c r="F36" s="245">
        <f>_xll.qlCalendarAdvance(Calendar,SettlementDate,D36,"Following",,Trigger)</f>
        <v>42282</v>
      </c>
      <c r="G36" s="253">
        <f>_xll.qlTenorBasisForwardRate2(G$27,$E36,$F36,InterestRatesTrigger)</f>
        <v>-4.7592235388638215E-4</v>
      </c>
      <c r="H36" s="193">
        <f>_xll.qlTenorBasisForwardRate2(H$27,$E36,$F36,InterestRatesTrigger)</f>
        <v>-5.5724238483545463E-4</v>
      </c>
      <c r="S36" s="193">
        <f>_xll.qlTenorBasisForwardRate2(S$27,$E36,$F36,InterestRatesTrigger)</f>
        <v>-3.6390289877452631E-4</v>
      </c>
      <c r="T36" s="254">
        <f>_xll.qlTenorBasisForwardRate2(T$27,$E36,$F36,InterestRatesTrigger)</f>
        <v>-2.4759555072861872E-4</v>
      </c>
      <c r="U36" s="253">
        <f>_xll.qlTenorBasisForwardRate2(U$27,$E36,$F36,InterestRatesTrigger)</f>
        <v>-4.8164517323812106E-4</v>
      </c>
      <c r="V36" s="193">
        <f>_xll.qlTenorBasisForwardRate2(V$27,$E36,$F36,InterestRatesTrigger)</f>
        <v>-5.6289916174900867E-4</v>
      </c>
      <c r="W36" s="193">
        <f>_xll.qlTenorBasisForwardRate2(W$27,$E36,$F36,InterestRatesTrigger)</f>
        <v>-3.6308440037213785E-4</v>
      </c>
      <c r="X36" s="254">
        <f>_xll.qlTenorBasisForwardRate2(X$27,$E36,$F36,InterestRatesTrigger)</f>
        <v>-2.4422087428366268E-4</v>
      </c>
      <c r="Y36" s="253">
        <f>_xll.qlTenorBasisForwardRate2(Y$27,$E36,$F36,InterestRatesTrigger)</f>
        <v>-4.2143563172558629E-4</v>
      </c>
      <c r="Z36" s="193">
        <f>_xll.qlTenorBasisForwardRate2(Z$27,$E36,$F36,InterestRatesTrigger)</f>
        <v>-4.5214381342972843E-4</v>
      </c>
      <c r="AA36" s="193">
        <f>_xll.qlTenorBasisForwardRate2(AA$27,$E36,$F36,InterestRatesTrigger)</f>
        <v>-3.9163023075161618E-4</v>
      </c>
      <c r="AB36" s="254">
        <f>_xll.qlTenorBasisForwardRate2(AB$27,$E36,$F36,InterestRatesTrigger)</f>
        <v>-2.4826428229207664E-4</v>
      </c>
      <c r="AC36" s="254">
        <f>'3MSynthDepo_used'!AA15</f>
        <v>-4.5109144639621235E-4</v>
      </c>
      <c r="BC36" s="178">
        <f>_xll.qlCalendarAdvance(Calendar,BC35,"1d","mf",,Trigger)</f>
        <v>42321</v>
      </c>
      <c r="BD36" s="41">
        <f>_xll.qlDayCounterYearFraction(DayCounter,SettlementDate,BC36,,,Trigger)</f>
        <v>0.11666666666666667</v>
      </c>
      <c r="BE36" s="47">
        <f>_xll.qlPolynomialFunctionValue(BE$1,$BD36,AllTriggers)</f>
        <v>9.9290456448546116E-4</v>
      </c>
      <c r="BF36" s="47">
        <f>_xll.qlPolynomialFunctionValue(BF$1,$BD36,AllTriggers)</f>
        <v>1.0159882469031949E-3</v>
      </c>
      <c r="BG36" s="47">
        <f>_xll.qlPolynomialFunctionValue(BG$1,$BD36,AllTriggers)</f>
        <v>1.0351518231667004E-3</v>
      </c>
      <c r="BH36" s="47">
        <f>_xll.qlPolynomialFunctionValue(BH$1,$BD36,AllTriggers)</f>
        <v>1.0466800521052235E-3</v>
      </c>
      <c r="BI36" s="47">
        <f>_xll.qlPolynomialFunctionValue(BI$1,$BD36,AllTriggers)</f>
        <v>9.9248520695376509E-4</v>
      </c>
      <c r="BJ36" s="47">
        <f>_xll.qlPolynomialFunctionValue(BJ$1,$BD36,AllTriggers)</f>
        <v>1.017465657651458E-3</v>
      </c>
      <c r="BK36" s="47">
        <f>_xll.qlPolynomialFunctionValue(BK$1,$BD36,AllTriggers)</f>
        <v>1.0360109821045094E-3</v>
      </c>
      <c r="BL36" s="47">
        <f>_xll.qlPolynomialFunctionValue(BL$1,$BD36,AllTriggers)</f>
        <v>1.0470429985296296E-3</v>
      </c>
      <c r="BM36" s="47">
        <f>_xll.qlPolynomialFunctionValue(BM$1,$BD36,AllTriggers)</f>
        <v>1.0052854357881502E-3</v>
      </c>
      <c r="BN36" s="47">
        <f>_xll.qlPolynomialFunctionValue(BN$1,$BD36,AllTriggers)</f>
        <v>1.0046409259952536E-3</v>
      </c>
      <c r="BO36" s="47">
        <f>_xll.qlPolynomialFunctionValue(BO$1,$BD36,AllTriggers)</f>
        <v>1.0222211276704151E-3</v>
      </c>
      <c r="BP36" s="47">
        <f>_xll.qlPolynomialFunctionValue(BP$1,$BD36,AllTriggers)</f>
        <v>1.0490526234079626E-3</v>
      </c>
      <c r="BQ36" s="47">
        <f>_xll.qlPolynomialFunctionValue('3MSynthDepo_used'!$P$18,BD36,AllTriggers)</f>
        <v>9.9814827762115862E-4</v>
      </c>
    </row>
    <row r="37" spans="3:69" ht="12" customHeight="1" x14ac:dyDescent="0.2">
      <c r="C37" s="19">
        <v>0</v>
      </c>
      <c r="D37" s="48" t="s">
        <v>26</v>
      </c>
      <c r="E37" s="177">
        <f>_xll.qlCalendarAdvance(Calendar,SettlementDate,C37&amp;"M","mf",TRUE,Trigger)</f>
        <v>42279</v>
      </c>
      <c r="F37" s="246">
        <f>_xll.qlCalendarAdvance(Calendar,SettlementDate,D37,"Following",,Trigger)</f>
        <v>42286</v>
      </c>
      <c r="G37" s="138">
        <f>_xll.qlTenorBasisForwardRate2(G$27,$E37,$F37,InterestRatesTrigger)</f>
        <v>-5.4124241111809719E-4</v>
      </c>
      <c r="H37" s="128">
        <f>_xll.qlTenorBasisForwardRate2(H$27,$E37,$F37,InterestRatesTrigger)</f>
        <v>-6.1480698030294935E-4</v>
      </c>
      <c r="S37" s="128">
        <f>_xll.qlTenorBasisForwardRate2(S$27,$E37,$F37,InterestRatesTrigger)</f>
        <v>-4.3264840284670418E-4</v>
      </c>
      <c r="T37" s="139">
        <f>_xll.qlTenorBasisForwardRate2(T$27,$E37,$F37,InterestRatesTrigger)</f>
        <v>-3.2306699115342799E-4</v>
      </c>
      <c r="U37" s="138">
        <f>_xll.qlTenorBasisForwardRate2(U$27,$E37,$F37,InterestRatesTrigger)</f>
        <v>-5.4670673403795736E-4</v>
      </c>
      <c r="V37" s="128">
        <f>_xll.qlTenorBasisForwardRate2(V$27,$E37,$F37,InterestRatesTrigger)</f>
        <v>-6.1995939321070532E-4</v>
      </c>
      <c r="W37" s="128">
        <f>_xll.qlTenorBasisForwardRate2(W$27,$E37,$F37,InterestRatesTrigger)</f>
        <v>-4.3182850251050856E-4</v>
      </c>
      <c r="X37" s="139">
        <f>_xll.qlTenorBasisForwardRate2(X$27,$E37,$F37,InterestRatesTrigger)</f>
        <v>-3.1991516630088971E-4</v>
      </c>
      <c r="Y37" s="138">
        <f>_xll.qlTenorBasisForwardRate2(Y$27,$E37,$F37,InterestRatesTrigger)</f>
        <v>-4.888140543592355E-4</v>
      </c>
      <c r="Z37" s="128">
        <f>_xll.qlTenorBasisForwardRate2(Z$27,$E37,$F37,InterestRatesTrigger)</f>
        <v>-5.1758879608573437E-4</v>
      </c>
      <c r="AA37" s="128">
        <f>_xll.qlTenorBasisForwardRate2(AA$27,$E37,$F37,InterestRatesTrigger)</f>
        <v>-4.5964663748319722E-4</v>
      </c>
      <c r="AB37" s="139">
        <f>_xll.qlTenorBasisForwardRate2(AB$27,$E37,$F37,InterestRatesTrigger)</f>
        <v>-3.2349798896800862E-4</v>
      </c>
      <c r="AC37" s="139">
        <f>'3MSynthDepo_used'!AA16</f>
        <v>-5.1715048259737273E-4</v>
      </c>
      <c r="BC37" s="178">
        <f>_xll.qlCalendarAdvance(Calendar,BC36,"1d","mf",,Trigger)</f>
        <v>42324</v>
      </c>
      <c r="BD37" s="41">
        <f>_xll.qlDayCounterYearFraction(DayCounter,SettlementDate,BC37,,,Trigger)</f>
        <v>0.125</v>
      </c>
      <c r="BE37" s="47">
        <f>_xll.qlPolynomialFunctionValue(BE$1,$BD37,AllTriggers)</f>
        <v>1.0000478129685432E-3</v>
      </c>
      <c r="BF37" s="47">
        <f>_xll.qlPolynomialFunctionValue(BF$1,$BD37,AllTriggers)</f>
        <v>1.0260528483801924E-3</v>
      </c>
      <c r="BG37" s="47">
        <f>_xll.qlPolynomialFunctionValue(BG$1,$BD37,AllTriggers)</f>
        <v>1.0370141643146276E-3</v>
      </c>
      <c r="BH37" s="47">
        <f>_xll.qlPolynomialFunctionValue(BH$1,$BD37,AllTriggers)</f>
        <v>1.0436081610625254E-3</v>
      </c>
      <c r="BI37" s="47">
        <f>_xll.qlPolynomialFunctionValue(BI$1,$BD37,AllTriggers)</f>
        <v>1.0000269916495262E-3</v>
      </c>
      <c r="BJ37" s="47">
        <f>_xll.qlPolynomialFunctionValue(BJ$1,$BD37,AllTriggers)</f>
        <v>1.0277766835966237E-3</v>
      </c>
      <c r="BK37" s="47">
        <f>_xll.qlPolynomialFunctionValue(BK$1,$BD37,AllTriggers)</f>
        <v>1.0378754917806082E-3</v>
      </c>
      <c r="BL37" s="47">
        <f>_xll.qlPolynomialFunctionValue(BL$1,$BD37,AllTriggers)</f>
        <v>1.0438829476243647E-3</v>
      </c>
      <c r="BM37" s="47">
        <f>_xll.qlPolynomialFunctionValue(BM$1,$BD37,AllTriggers)</f>
        <v>1.0092552708093514E-3</v>
      </c>
      <c r="BN37" s="47">
        <f>_xll.qlPolynomialFunctionValue(BN$1,$BD37,AllTriggers)</f>
        <v>1.0100140262172736E-3</v>
      </c>
      <c r="BO37" s="47">
        <f>_xll.qlPolynomialFunctionValue(BO$1,$BD37,AllTriggers)</f>
        <v>1.025207478308863E-3</v>
      </c>
      <c r="BP37" s="47">
        <f>_xll.qlPolynomialFunctionValue(BP$1,$BD37,AllTriggers)</f>
        <v>1.0460404912303795E-3</v>
      </c>
      <c r="BQ37" s="47">
        <f>_xll.qlPolynomialFunctionValue('3MSynthDepo_used'!$P$18,BD37,AllTriggers)</f>
        <v>1.0034285411853593E-3</v>
      </c>
    </row>
    <row r="38" spans="3:69" ht="12" customHeight="1" x14ac:dyDescent="0.2">
      <c r="C38" s="19">
        <v>0</v>
      </c>
      <c r="D38" s="48" t="s">
        <v>27</v>
      </c>
      <c r="E38" s="177">
        <f>_xll.qlCalendarAdvance(Calendar,SettlementDate,C38&amp;"M","mf",TRUE,Trigger)</f>
        <v>42279</v>
      </c>
      <c r="F38" s="246">
        <f>_xll.qlCalendarAdvance(Calendar,SettlementDate,D38,"Following",,Trigger)</f>
        <v>42293</v>
      </c>
      <c r="G38" s="138">
        <f>_xll.qlTenorBasisForwardRate2(G$27,$E38,$F38,InterestRatesTrigger)</f>
        <v>-5.3315258407840961E-4</v>
      </c>
      <c r="H38" s="128">
        <f>_xll.qlTenorBasisForwardRate2(H$27,$E38,$F38,InterestRatesTrigger)</f>
        <v>-5.9406775424074103E-4</v>
      </c>
      <c r="S38" s="128">
        <f>_xll.qlTenorBasisForwardRate2(S$27,$E38,$F38,InterestRatesTrigger)</f>
        <v>-4.3055288878728656E-4</v>
      </c>
      <c r="T38" s="139">
        <f>_xll.qlTenorBasisForwardRate2(T$27,$E38,$F38,InterestRatesTrigger)</f>
        <v>-3.3218678127936281E-4</v>
      </c>
      <c r="U38" s="138">
        <f>_xll.qlTenorBasisForwardRate2(U$27,$E38,$F38,InterestRatesTrigger)</f>
        <v>-5.3816455282129638E-4</v>
      </c>
      <c r="V38" s="128">
        <f>_xll.qlTenorBasisForwardRate2(V$27,$E38,$F38,InterestRatesTrigger)</f>
        <v>-5.9839177494794673E-4</v>
      </c>
      <c r="W38" s="128">
        <f>_xll.qlTenorBasisForwardRate2(W$27,$E38,$F38,InterestRatesTrigger)</f>
        <v>-4.2973053419714802E-4</v>
      </c>
      <c r="X38" s="139">
        <f>_xll.qlTenorBasisForwardRate2(X$27,$E38,$F38,InterestRatesTrigger)</f>
        <v>-3.2939886756804578E-4</v>
      </c>
      <c r="Y38" s="138">
        <f>_xll.qlTenorBasisForwardRate2(Y$27,$E38,$F38,InterestRatesTrigger)</f>
        <v>-4.8432624543475508E-4</v>
      </c>
      <c r="Z38" s="128">
        <f>_xll.qlTenorBasisForwardRate2(Z$27,$E38,$F38,InterestRatesTrigger)</f>
        <v>-5.098785892556E-4</v>
      </c>
      <c r="AA38" s="128">
        <f>_xll.qlTenorBasisForwardRate2(AA$27,$E38,$F38,InterestRatesTrigger)</f>
        <v>-4.5627525083048932E-4</v>
      </c>
      <c r="AB38" s="139">
        <f>_xll.qlTenorBasisForwardRate2(AB$27,$E38,$F38,InterestRatesTrigger)</f>
        <v>-3.3223306524173983E-4</v>
      </c>
      <c r="AC38" s="139">
        <f>'3MSynthDepo_used'!AA17</f>
        <v>-5.1043012987163545E-4</v>
      </c>
      <c r="BC38" s="178">
        <f>_xll.qlCalendarAdvance(Calendar,BC37,"1d","mf",,Trigger)</f>
        <v>42325</v>
      </c>
      <c r="BD38" s="41">
        <f>_xll.qlDayCounterYearFraction(DayCounter,SettlementDate,BC38,,,Trigger)</f>
        <v>0.12777777777777777</v>
      </c>
      <c r="BE38" s="47">
        <f>_xll.qlPolynomialFunctionValue(BE$1,$BD38,AllTriggers)</f>
        <v>1.0024288957962372E-3</v>
      </c>
      <c r="BF38" s="47">
        <f>_xll.qlPolynomialFunctionValue(BF$1,$BD38,AllTriggers)</f>
        <v>1.0292579025651448E-3</v>
      </c>
      <c r="BG38" s="47">
        <f>_xll.qlPolynomialFunctionValue(BG$1,$BD38,AllTriggers)</f>
        <v>1.03763494469727E-3</v>
      </c>
      <c r="BH38" s="47">
        <f>_xll.qlPolynomialFunctionValue(BH$1,$BD38,AllTriggers)</f>
        <v>1.0426743203440117E-3</v>
      </c>
      <c r="BI38" s="47">
        <f>_xll.qlPolynomialFunctionValue(BI$1,$BD38,AllTriggers)</f>
        <v>1.0025409198814465E-3</v>
      </c>
      <c r="BJ38" s="47">
        <f>_xll.qlPolynomialFunctionValue(BJ$1,$BD38,AllTriggers)</f>
        <v>1.0310550722211801E-3</v>
      </c>
      <c r="BK38" s="47">
        <f>_xll.qlPolynomialFunctionValue(BK$1,$BD38,AllTriggers)</f>
        <v>1.0384969950059744E-3</v>
      </c>
      <c r="BL38" s="47">
        <f>_xll.qlPolynomialFunctionValue(BL$1,$BD38,AllTriggers)</f>
        <v>1.0429239552677996E-3</v>
      </c>
      <c r="BM38" s="47">
        <f>_xll.qlPolynomialFunctionValue(BM$1,$BD38,AllTriggers)</f>
        <v>1.0105785491497518E-3</v>
      </c>
      <c r="BN38" s="47">
        <f>_xll.qlPolynomialFunctionValue(BN$1,$BD38,AllTriggers)</f>
        <v>1.0117789025979006E-3</v>
      </c>
      <c r="BO38" s="47">
        <f>_xll.qlPolynomialFunctionValue(BO$1,$BD38,AllTriggers)</f>
        <v>1.026202928521679E-3</v>
      </c>
      <c r="BP38" s="47">
        <f>_xll.qlPolynomialFunctionValue(BP$1,$BD38,AllTriggers)</f>
        <v>1.0451214835661992E-3</v>
      </c>
      <c r="BQ38" s="47">
        <f>_xll.qlPolynomialFunctionValue('3MSynthDepo_used'!$P$18,BD38,AllTriggers)</f>
        <v>1.0051771065058858E-3</v>
      </c>
    </row>
    <row r="39" spans="3:69" x14ac:dyDescent="0.2">
      <c r="C39" s="19">
        <v>0</v>
      </c>
      <c r="D39" s="48" t="s">
        <v>28</v>
      </c>
      <c r="E39" s="177">
        <f>_xll.qlCalendarAdvance(Calendar,SettlementDate,C39&amp;"M","mf",TRUE,Trigger)</f>
        <v>42279</v>
      </c>
      <c r="F39" s="246">
        <f>_xll.qlCalendarAdvance(Calendar,SettlementDate,D39,"Following",,Trigger)</f>
        <v>42300</v>
      </c>
      <c r="G39" s="138">
        <f>_xll.qlTenorBasisForwardRate2(G$27,$E39,$F39,InterestRatesTrigger)</f>
        <v>-5.250629216080327E-4</v>
      </c>
      <c r="H39" s="128">
        <f>_xll.qlTenorBasisForwardRate2(H$27,$E39,$F39,InterestRatesTrigger)</f>
        <v>-5.7450282920828196E-4</v>
      </c>
      <c r="S39" s="128">
        <f>_xll.qlTenorBasisForwardRate2(S$27,$E39,$F39,InterestRatesTrigger)</f>
        <v>-4.2845740903756687E-4</v>
      </c>
      <c r="T39" s="139">
        <f>_xll.qlTenorBasisForwardRate2(T$27,$E39,$F39,InterestRatesTrigger)</f>
        <v>-3.4060029393450416E-4</v>
      </c>
      <c r="U39" s="138">
        <f>_xll.qlTenorBasisForwardRate2(U$27,$E39,$F39,InterestRatesTrigger)</f>
        <v>-5.2962254693105545E-4</v>
      </c>
      <c r="V39" s="128">
        <f>_xll.qlTenorBasisForwardRate2(V$27,$E39,$F39,InterestRatesTrigger)</f>
        <v>-5.7806748530048982E-4</v>
      </c>
      <c r="W39" s="128">
        <f>_xll.qlTenorBasisForwardRate2(W$27,$E39,$F39,InterestRatesTrigger)</f>
        <v>-4.2763260017635626E-4</v>
      </c>
      <c r="X39" s="139">
        <f>_xll.qlTenorBasisForwardRate2(X$27,$E39,$F39,InterestRatesTrigger)</f>
        <v>-3.3814310422946344E-4</v>
      </c>
      <c r="Y39" s="138">
        <f>_xll.qlTenorBasisForwardRate2(Y$27,$E39,$F39,InterestRatesTrigger)</f>
        <v>-4.7983851964758121E-4</v>
      </c>
      <c r="Z39" s="128">
        <f>_xll.qlTenorBasisForwardRate2(Z$27,$E39,$F39,InterestRatesTrigger)</f>
        <v>-5.0237348308953698E-4</v>
      </c>
      <c r="AA39" s="128">
        <f>_xll.qlTenorBasisForwardRate2(AA$27,$E39,$F39,InterestRatesTrigger)</f>
        <v>-4.5290392295933249E-4</v>
      </c>
      <c r="AB39" s="139">
        <f>_xll.qlTenorBasisForwardRate2(AB$27,$E39,$F39,InterestRatesTrigger)</f>
        <v>-3.4030172489643969E-4</v>
      </c>
      <c r="AC39" s="139">
        <f>'3MSynthDepo_used'!AA18</f>
        <v>-5.0380624186211311E-4</v>
      </c>
      <c r="BC39" s="178">
        <f>_xll.qlCalendarAdvance(Calendar,BC38,"1d","mf",,Trigger)</f>
        <v>42326</v>
      </c>
      <c r="BD39" s="41">
        <f>_xll.qlDayCounterYearFraction(DayCounter,SettlementDate,BC39,,,Trigger)</f>
        <v>0.13055555555555556</v>
      </c>
      <c r="BE39" s="47">
        <f>_xll.qlPolynomialFunctionValue(BE$1,$BD39,AllTriggers)</f>
        <v>1.0048099786239312E-3</v>
      </c>
      <c r="BF39" s="47">
        <f>_xll.qlPolynomialFunctionValue(BF$1,$BD39,AllTriggers)</f>
        <v>1.0323880502630734E-3</v>
      </c>
      <c r="BG39" s="47">
        <f>_xll.qlPolynomialFunctionValue(BG$1,$BD39,AllTriggers)</f>
        <v>1.0382557250799124E-3</v>
      </c>
      <c r="BH39" s="47">
        <f>_xll.qlPolynomialFunctionValue(BH$1,$BD39,AllTriggers)</f>
        <v>1.0417855411066913E-3</v>
      </c>
      <c r="BI39" s="47">
        <f>_xll.qlPolynomialFunctionValue(BI$1,$BD39,AllTriggers)</f>
        <v>1.0050548481133669E-3</v>
      </c>
      <c r="BJ39" s="47">
        <f>_xll.qlPolynomialFunctionValue(BJ$1,$BD39,AllTriggers)</f>
        <v>1.0342541508338206E-3</v>
      </c>
      <c r="BK39" s="47">
        <f>_xll.qlPolynomialFunctionValue(BK$1,$BD39,AllTriggers)</f>
        <v>1.0391184982313406E-3</v>
      </c>
      <c r="BL39" s="47">
        <f>_xll.qlPolynomialFunctionValue(BL$1,$BD39,AllTriggers)</f>
        <v>1.0420121418838297E-3</v>
      </c>
      <c r="BM39" s="47">
        <f>_xll.qlPolynomialFunctionValue(BM$1,$BD39,AllTriggers)</f>
        <v>1.0119018274901521E-3</v>
      </c>
      <c r="BN39" s="47">
        <f>_xll.qlPolynomialFunctionValue(BN$1,$BD39,AllTriggers)</f>
        <v>1.0135307004651714E-3</v>
      </c>
      <c r="BO39" s="47">
        <f>_xll.qlPolynomialFunctionValue(BO$1,$BD39,AllTriggers)</f>
        <v>1.0271983787344949E-3</v>
      </c>
      <c r="BP39" s="47">
        <f>_xll.qlPolynomialFunctionValue(BP$1,$BD39,AllTriggers)</f>
        <v>1.0442449940995257E-3</v>
      </c>
      <c r="BQ39" s="47">
        <f>_xll.qlPolynomialFunctionValue('3MSynthDepo_used'!$P$18,BD39,AllTriggers)</f>
        <v>1.0069199294971184E-3</v>
      </c>
    </row>
    <row r="40" spans="3:69" x14ac:dyDescent="0.2">
      <c r="C40" s="19">
        <v>0</v>
      </c>
      <c r="D40" s="129" t="s">
        <v>22</v>
      </c>
      <c r="E40" s="179">
        <f>_xll.qlCalendarAdvance(Calendar,SettlementDate,C40&amp;"M","mf",TRUE,Trigger)</f>
        <v>42279</v>
      </c>
      <c r="F40" s="247">
        <f>_xll.qlCalendarAdvance(Calendar,SettlementDate,D40,"mf",TRUE,Trigger)</f>
        <v>42310</v>
      </c>
      <c r="G40" s="140">
        <f>_xll.qlTenorBasisForwardRate2(G$27,$E40,$F40,InterestRatesTrigger)</f>
        <v>-4.835041739149579E-4</v>
      </c>
      <c r="H40" s="131">
        <f>_xll.qlTenorBasisForwardRate2(H$27,$E40,$F40,InterestRatesTrigger)</f>
        <v>-5.1858759883886601E-4</v>
      </c>
      <c r="S40" s="131">
        <f>_xll.qlTenorBasisForwardRate2(S$27,$E40,$F40,InterestRatesTrigger)</f>
        <v>-3.9546133315510583E-4</v>
      </c>
      <c r="T40" s="141">
        <f>_xll.qlTenorBasisForwardRate2(T$27,$E40,$F40,InterestRatesTrigger)</f>
        <v>-3.2139165995633928E-4</v>
      </c>
      <c r="U40" s="140">
        <f>_xll.qlTenorBasisForwardRate2(U$27,$E40,$F40,InterestRatesTrigger)</f>
        <v>-4.8741762223519959E-4</v>
      </c>
      <c r="V40" s="131">
        <f>_xll.qlTenorBasisForwardRate2(V$27,$E40,$F40,InterestRatesTrigger)</f>
        <v>-5.2118718881569604E-4</v>
      </c>
      <c r="W40" s="131">
        <f>_xll.qlTenorBasisForwardRate2(W$27,$E40,$F40,InterestRatesTrigger)</f>
        <v>-3.9463301600217357E-4</v>
      </c>
      <c r="X40" s="141">
        <f>_xll.qlTenorBasisForwardRate2(X$27,$E40,$F40,InterestRatesTrigger)</f>
        <v>-3.1934935892740139E-4</v>
      </c>
      <c r="Y40" s="140">
        <f>_xll.qlTenorBasisForwardRate2(Y$27,$E40,$F40,InterestRatesTrigger)</f>
        <v>-4.4342515621289473E-4</v>
      </c>
      <c r="Z40" s="131">
        <f>_xll.qlTenorBasisForwardRate2(Z$27,$E40,$F40,InterestRatesTrigger)</f>
        <v>-4.6200525121480176E-4</v>
      </c>
      <c r="AA40" s="131">
        <f>_xll.qlTenorBasisForwardRate2(AA$27,$E40,$F40,InterestRatesTrigger)</f>
        <v>-4.1808530697333559E-4</v>
      </c>
      <c r="AB40" s="141">
        <f>_xll.qlTenorBasisForwardRate2(AB$27,$E40,$F40,InterestRatesTrigger)</f>
        <v>-3.2066958721409559E-4</v>
      </c>
      <c r="AC40" s="141">
        <f>'3MSynthDepo_used'!AA19</f>
        <v>-4.6450662902420084E-4</v>
      </c>
      <c r="BC40" s="178">
        <f>_xll.qlCalendarAdvance(Calendar,BC39,"1d","mf",,Trigger)</f>
        <v>42327</v>
      </c>
      <c r="BD40" s="41">
        <f>_xll.qlDayCounterYearFraction(DayCounter,SettlementDate,BC40,,,Trigger)</f>
        <v>0.13333333333333333</v>
      </c>
      <c r="BE40" s="47">
        <f>_xll.qlPolynomialFunctionValue(BE$1,$BD40,AllTriggers)</f>
        <v>1.0071910614516252E-3</v>
      </c>
      <c r="BF40" s="47">
        <f>_xll.qlPolynomialFunctionValue(BF$1,$BD40,AllTriggers)</f>
        <v>1.0354432914739787E-3</v>
      </c>
      <c r="BG40" s="47">
        <f>_xll.qlPolynomialFunctionValue(BG$1,$BD40,AllTriggers)</f>
        <v>1.0388765054625548E-3</v>
      </c>
      <c r="BH40" s="47">
        <f>_xll.qlPolynomialFunctionValue(BH$1,$BD40,AllTriggers)</f>
        <v>1.0409418233505636E-3</v>
      </c>
      <c r="BI40" s="47">
        <f>_xll.qlPolynomialFunctionValue(BI$1,$BD40,AllTriggers)</f>
        <v>1.0075687763452872E-3</v>
      </c>
      <c r="BJ40" s="47">
        <f>_xll.qlPolynomialFunctionValue(BJ$1,$BD40,AllTriggers)</f>
        <v>1.0373739194345444E-3</v>
      </c>
      <c r="BK40" s="47">
        <f>_xll.qlPolynomialFunctionValue(BK$1,$BD40,AllTriggers)</f>
        <v>1.0397400014567069E-3</v>
      </c>
      <c r="BL40" s="47">
        <f>_xll.qlPolynomialFunctionValue(BL$1,$BD40,AllTriggers)</f>
        <v>1.0411475074724545E-3</v>
      </c>
      <c r="BM40" s="47">
        <f>_xll.qlPolynomialFunctionValue(BM$1,$BD40,AllTriggers)</f>
        <v>1.0132251058305524E-3</v>
      </c>
      <c r="BN40" s="47">
        <f>_xll.qlPolynomialFunctionValue(BN$1,$BD40,AllTriggers)</f>
        <v>1.0152694198190858E-3</v>
      </c>
      <c r="BO40" s="47">
        <f>_xll.qlPolynomialFunctionValue(BO$1,$BD40,AllTriggers)</f>
        <v>1.0281938289473109E-3</v>
      </c>
      <c r="BP40" s="47">
        <f>_xll.qlPolynomialFunctionValue(BP$1,$BD40,AllTriggers)</f>
        <v>1.0434110228303595E-3</v>
      </c>
      <c r="BQ40" s="47">
        <f>_xll.qlPolynomialFunctionValue('3MSynthDepo_used'!$P$18,BD40,AllTriggers)</f>
        <v>1.0086570215217415E-3</v>
      </c>
    </row>
    <row r="41" spans="3:69" x14ac:dyDescent="0.2">
      <c r="C41" s="19">
        <v>0</v>
      </c>
      <c r="D41" s="48" t="s">
        <v>29</v>
      </c>
      <c r="E41" s="177">
        <f>_xll.qlCalendarAdvance(Calendar,SettlementDate,C41&amp;"M","mf",TRUE,Trigger)</f>
        <v>42279</v>
      </c>
      <c r="F41" s="246">
        <f>_xll.qlCalendarAdvance(Calendar,SettlementDate,D41,"mf",TRUE,Trigger)</f>
        <v>42340</v>
      </c>
      <c r="G41" s="138">
        <f>_xll.qlTenorBasisForwardRate2(G$27,$E41,$F41,InterestRatesTrigger)</f>
        <v>-4.9884250028228575E-4</v>
      </c>
      <c r="H41" s="128">
        <f>_xll.qlTenorBasisForwardRate2(H$27,$E41,$F41,InterestRatesTrigger)</f>
        <v>-5.0523125479852318E-4</v>
      </c>
      <c r="S41" s="128">
        <f>_xll.qlTenorBasisForwardRate2(S$27,$E41,$F41,InterestRatesTrigger)</f>
        <v>-4.3648734867556563E-4</v>
      </c>
      <c r="T41" s="139">
        <f>_xll.qlTenorBasisForwardRate2(T$27,$E41,$F41,InterestRatesTrigger)</f>
        <v>-3.9513270433054037E-4</v>
      </c>
      <c r="U41" s="138">
        <f>_xll.qlTenorBasisForwardRate2(U$27,$E41,$F41,InterestRatesTrigger)</f>
        <v>-5.0081748393169471E-4</v>
      </c>
      <c r="V41" s="128">
        <f>_xll.qlTenorBasisForwardRate2(V$27,$E41,$F41,InterestRatesTrigger)</f>
        <v>-5.057807105554818E-4</v>
      </c>
      <c r="W41" s="128">
        <f>_xll.qlTenorBasisForwardRate2(W$27,$E41,$F41,InterestRatesTrigger)</f>
        <v>-4.3564851771480794E-4</v>
      </c>
      <c r="X41" s="139">
        <f>_xll.qlTenorBasisForwardRate2(X$27,$E41,$F41,InterestRatesTrigger)</f>
        <v>-3.9392873881637021E-4</v>
      </c>
      <c r="Y41" s="138">
        <f>_xll.qlTenorBasisForwardRate2(Y$27,$E41,$F41,InterestRatesTrigger)</f>
        <v>-4.7419924533021449E-4</v>
      </c>
      <c r="Z41" s="128">
        <f>_xll.qlTenorBasisForwardRate2(Z$27,$E41,$F41,InterestRatesTrigger)</f>
        <v>-4.8342462095167174E-4</v>
      </c>
      <c r="AA41" s="128">
        <f>_xll.qlTenorBasisForwardRate2(AA$27,$E41,$F41,InterestRatesTrigger)</f>
        <v>-4.5364369289953272E-4</v>
      </c>
      <c r="AB41" s="139">
        <f>_xll.qlTenorBasisForwardRate2(AB$27,$E41,$F41,InterestRatesTrigger)</f>
        <v>-3.9362819704522815E-4</v>
      </c>
      <c r="AC41" s="139">
        <f>'3MSynthDepo_used'!AA20</f>
        <v>-4.8776355641701798E-4</v>
      </c>
      <c r="AD41" s="132" t="str">
        <f>"Fixing "&amp;DAY(_xll.qlInterestRateIndexFixingDate($D$25,'6MSynthDepo_used'!G4))&amp;"/"&amp;MONTH(_xll.qlInterestRateIndexFixingDate($D$25,'6MSynthDepo_used'!G4))</f>
        <v>Fixing 30/9</v>
      </c>
      <c r="BC41" s="178">
        <f>_xll.qlCalendarAdvance(Calendar,BC40,"1d","mf",,Trigger)</f>
        <v>42328</v>
      </c>
      <c r="BD41" s="41">
        <f>_xll.qlDayCounterYearFraction(DayCounter,SettlementDate,BC41,,,Trigger)</f>
        <v>0.1361111111111111</v>
      </c>
      <c r="BE41" s="47">
        <f>_xll.qlPolynomialFunctionValue(BE$1,$BD41,AllTriggers)</f>
        <v>1.0095721442793194E-3</v>
      </c>
      <c r="BF41" s="47">
        <f>_xll.qlPolynomialFunctionValue(BF$1,$BD41,AllTriggers)</f>
        <v>1.0384236261978606E-3</v>
      </c>
      <c r="BG41" s="47">
        <f>_xll.qlPolynomialFunctionValue(BG$1,$BD41,AllTriggers)</f>
        <v>1.0394972858451972E-3</v>
      </c>
      <c r="BH41" s="47">
        <f>_xll.qlPolynomialFunctionValue(BH$1,$BD41,AllTriggers)</f>
        <v>1.0401431670756288E-3</v>
      </c>
      <c r="BI41" s="47">
        <f>_xll.qlPolynomialFunctionValue(BI$1,$BD41,AllTriggers)</f>
        <v>1.0100827045772076E-3</v>
      </c>
      <c r="BJ41" s="47">
        <f>_xll.qlPolynomialFunctionValue(BJ$1,$BD41,AllTriggers)</f>
        <v>1.0404143780233528E-3</v>
      </c>
      <c r="BK41" s="47">
        <f>_xll.qlPolynomialFunctionValue(BK$1,$BD41,AllTriggers)</f>
        <v>1.0403615046820731E-3</v>
      </c>
      <c r="BL41" s="47">
        <f>_xll.qlPolynomialFunctionValue(BL$1,$BD41,AllTriggers)</f>
        <v>1.0403300520336746E-3</v>
      </c>
      <c r="BM41" s="47">
        <f>_xll.qlPolynomialFunctionValue(BM$1,$BD41,AllTriggers)</f>
        <v>1.014548384170953E-3</v>
      </c>
      <c r="BN41" s="47">
        <f>_xll.qlPolynomialFunctionValue(BN$1,$BD41,AllTriggers)</f>
        <v>1.0169950606596437E-3</v>
      </c>
      <c r="BO41" s="47">
        <f>_xll.qlPolynomialFunctionValue(BO$1,$BD41,AllTriggers)</f>
        <v>1.0291892791601269E-3</v>
      </c>
      <c r="BP41" s="47">
        <f>_xll.qlPolynomialFunctionValue(BP$1,$BD41,AllTriggers)</f>
        <v>1.0426195697586999E-3</v>
      </c>
      <c r="BQ41" s="47">
        <f>_xll.qlPolynomialFunctionValue('3MSynthDepo_used'!$P$18,BD41,AllTriggers)</f>
        <v>1.0103883939424413E-3</v>
      </c>
    </row>
    <row r="42" spans="3:69" ht="12" thickBot="1" x14ac:dyDescent="0.25">
      <c r="C42" s="19">
        <v>0</v>
      </c>
      <c r="D42" s="127" t="s">
        <v>23</v>
      </c>
      <c r="E42" s="183">
        <f>_xll.qlCalendarAdvance(Calendar,SettlementDate,C42&amp;"M","mf",TRUE,Trigger)</f>
        <v>42279</v>
      </c>
      <c r="F42" s="249">
        <f>_xll.qlCalendarAdvance(Calendar,SettlementDate,D42,"mf",TRUE,Trigger)</f>
        <v>42373</v>
      </c>
      <c r="G42" s="144">
        <f>_xll.qlTenorBasisForwardRate2(G$27,$E42,$F42,InterestRatesTrigger)</f>
        <v>-4.4617413531916497E-4</v>
      </c>
      <c r="H42" s="145">
        <f>_xll.qlTenorBasisForwardRate2(H$27,$E42,$F42,InterestRatesTrigger)</f>
        <v>-4.4590125522362388E-4</v>
      </c>
      <c r="S42" s="145">
        <f>_xll.qlTenorBasisForwardRate2(S$27,$E42,$F42,InterestRatesTrigger)</f>
        <v>-4.120725511158843E-4</v>
      </c>
      <c r="T42" s="146">
        <f>_xll.qlTenorBasisForwardRate2(T$27,$E42,$F42,InterestRatesTrigger)</f>
        <v>-3.917220800395079E-4</v>
      </c>
      <c r="U42" s="145">
        <f>_xll.qlTenorBasisForwardRate2(U$27,$E42,$F42,InterestRatesTrigger)</f>
        <v>-4.4601699746239575E-4</v>
      </c>
      <c r="V42" s="145">
        <f>_xll.qlTenorBasisForwardRate2(V$27,$E42,$F42,InterestRatesTrigger)</f>
        <v>-4.4565953373399092E-4</v>
      </c>
      <c r="W42" s="145">
        <f>_xll.qlTenorBasisForwardRate2(W$27,$E42,$F42,InterestRatesTrigger)</f>
        <v>-4.1122214720816595E-4</v>
      </c>
      <c r="X42" s="146">
        <f>_xll.qlTenorBasisForwardRate2(X$27,$E42,$F42,InterestRatesTrigger)</f>
        <v>-3.9073630781183183E-4</v>
      </c>
      <c r="Y42" s="144">
        <f>_xll.qlTenorBasisForwardRate2(Y$27,$E42,$F42,InterestRatesTrigger)</f>
        <v>-4.3850859781993949E-4</v>
      </c>
      <c r="Z42" s="145">
        <f>_xll.qlTenorBasisForwardRate2(Z$27,$E42,$F42,InterestRatesTrigger)</f>
        <v>-4.4179218977529941E-4</v>
      </c>
      <c r="AA42" s="145">
        <f>_xll.qlTenorBasisForwardRate2(AA$27,$E42,$F42,InterestRatesTrigger)</f>
        <v>-4.2321513303473021E-4</v>
      </c>
      <c r="AB42" s="146">
        <f>_xll.qlTenorBasisForwardRate2(AB$27,$E42,$F42,InterestRatesTrigger)</f>
        <v>-3.9020238669600169E-4</v>
      </c>
      <c r="AC42" s="146">
        <f>'3MSynthDepo_used'!AA21</f>
        <v>-4.45714194648509E-4</v>
      </c>
      <c r="AD42" s="144">
        <f>'3MSynthDepo_used'!$I$4</f>
        <v>-4.0000000000000002E-4</v>
      </c>
      <c r="BC42" s="178">
        <f>_xll.qlCalendarAdvance(Calendar,BC41,"1d","mf",,Trigger)</f>
        <v>42331</v>
      </c>
      <c r="BD42" s="41">
        <f>_xll.qlDayCounterYearFraction(DayCounter,SettlementDate,BC42,,,Trigger)</f>
        <v>0.14444444444444443</v>
      </c>
      <c r="BE42" s="47">
        <f>_xll.qlPolynomialFunctionValue(BE$1,$BD42,AllTriggers)</f>
        <v>1.0167153927624014E-3</v>
      </c>
      <c r="BF42" s="47">
        <f>_xll.qlPolynomialFunctionValue(BF$1,$BD42,AllTriggers)</f>
        <v>1.0469151914473654E-3</v>
      </c>
      <c r="BG42" s="47">
        <f>_xll.qlPolynomialFunctionValue(BG$1,$BD42,AllTriggers)</f>
        <v>1.0413596269931245E-3</v>
      </c>
      <c r="BH42" s="47">
        <f>_xll.qlPolynomialFunctionValue(BH$1,$BD42,AllTriggers)</f>
        <v>1.0380175671379822E-3</v>
      </c>
      <c r="BI42" s="47">
        <f>_xll.qlPolynomialFunctionValue(BI$1,$BD42,AllTriggers)</f>
        <v>1.0176244892729689E-3</v>
      </c>
      <c r="BJ42" s="47">
        <f>_xll.qlPolynomialFunctionValue(BJ$1,$BD42,AllTriggers)</f>
        <v>1.0490598937182799E-3</v>
      </c>
      <c r="BK42" s="47">
        <f>_xll.qlPolynomialFunctionValue(BK$1,$BD42,AllTriggers)</f>
        <v>1.042226014358172E-3</v>
      </c>
      <c r="BL42" s="47">
        <f>_xll.qlPolynomialFunctionValue(BL$1,$BD42,AllTriggers)</f>
        <v>1.0381607595529039E-3</v>
      </c>
      <c r="BM42" s="47">
        <f>_xll.qlPolynomialFunctionValue(BM$1,$BD42,AllTriggers)</f>
        <v>1.018518219192154E-3</v>
      </c>
      <c r="BN42" s="47">
        <f>_xll.qlPolynomialFunctionValue(BN$1,$BD42,AllTriggers)</f>
        <v>1.0220935121011787E-3</v>
      </c>
      <c r="BO42" s="47">
        <f>_xll.qlPolynomialFunctionValue(BO$1,$BD42,AllTriggers)</f>
        <v>1.0321756297985746E-3</v>
      </c>
      <c r="BP42" s="47">
        <f>_xll.qlPolynomialFunctionValue(BP$1,$BD42,AllTriggers)</f>
        <v>1.0405003197287636E-3</v>
      </c>
      <c r="BQ42" s="47">
        <f>_xll.qlPolynomialFunctionValue('3MSynthDepo_used'!$P$18,BD42,AllTriggers)</f>
        <v>1.0155483072078547E-3</v>
      </c>
    </row>
    <row r="43" spans="3:69" ht="11.25" customHeight="1" x14ac:dyDescent="0.2">
      <c r="C43" s="19">
        <v>1</v>
      </c>
      <c r="D43" s="45" t="str">
        <f>C43+SUBSTITUTE($D$24,"M","")&amp;"M"</f>
        <v>4M</v>
      </c>
      <c r="E43" s="175">
        <f>_xll.qlCalendarAdvance(Calendar,SettlementDate,C43&amp;"M","mf",TRUE,Trigger)</f>
        <v>42310</v>
      </c>
      <c r="F43" s="270">
        <f>_xll.qlInterestRateIndexMaturity($D$25,E43,Trigger)</f>
        <v>42402</v>
      </c>
      <c r="G43" s="155">
        <f>_xll.qlTenorBasisForwardRate2(G$27,$E43,$F43,InterestRatesTrigger)</f>
        <v>-4.5759242273085942E-4</v>
      </c>
      <c r="H43" s="47">
        <f>_xll.qlTenorBasisForwardRate2(H$27,$E43,$F43,InterestRatesTrigger)</f>
        <v>-4.6637111418115415E-4</v>
      </c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47">
        <f>_xll.qlTenorBasisForwardRate2(S$27,$E43,$F43,InterestRatesTrigger)</f>
        <v>-4.7485711896176565E-4</v>
      </c>
      <c r="T43" s="154">
        <f>_xll.qlTenorBasisForwardRate2(T$27,$E43,$F43,InterestRatesTrigger)</f>
        <v>-4.7996203438258419E-4</v>
      </c>
      <c r="U43" s="47">
        <f>_xll.qlTenorBasisForwardRate2(U$27,$E43,$F43,InterestRatesTrigger)</f>
        <v>-4.5355881424972207E-4</v>
      </c>
      <c r="V43" s="47">
        <f>_xll.qlTenorBasisForwardRate2(V$27,$E43,$F43,InterestRatesTrigger)</f>
        <v>-4.6593504577889706E-4</v>
      </c>
      <c r="W43" s="47">
        <f>_xll.qlTenorBasisForwardRate2(W$27,$E43,$F43,InterestRatesTrigger)</f>
        <v>-4.7398563407663951E-4</v>
      </c>
      <c r="X43" s="154">
        <f>_xll.qlTenorBasisForwardRate2(X$27,$E43,$F43,InterestRatesTrigger)</f>
        <v>-4.787746619965187E-4</v>
      </c>
      <c r="Y43" s="155">
        <f>_xll.qlTenorBasisForwardRate2(Y$27,$E43,$F43,InterestRatesTrigger)</f>
        <v>-4.8079387871730294E-4</v>
      </c>
      <c r="Z43" s="47">
        <f>_xll.qlTenorBasisForwardRate2(Z$27,$E43,$F43,InterestRatesTrigger)</f>
        <v>-4.7696989309002326E-4</v>
      </c>
      <c r="AA43" s="47">
        <f>_xll.qlTenorBasisForwardRate2(AA$27,$E43,$F43,InterestRatesTrigger)</f>
        <v>-4.7506663436244648E-4</v>
      </c>
      <c r="AB43" s="47">
        <f>_xll.qlTenorBasisForwardRate2(AB$27,$E43,$F43,InterestRatesTrigger)</f>
        <v>-4.791332132426035E-4</v>
      </c>
      <c r="AC43" s="154">
        <f>'3MSynthDepo_used'!AA22</f>
        <v>-4.7796277976637795E-4</v>
      </c>
      <c r="AD43" s="199">
        <f>'3MSynthDepo_used'!$I5</f>
        <v>-4.6000000000000001E-4</v>
      </c>
      <c r="BC43" s="178">
        <f>_xll.qlCalendarAdvance(Calendar,BC42,"1d","mf",,Trigger)</f>
        <v>42332</v>
      </c>
      <c r="BD43" s="41">
        <f>_xll.qlDayCounterYearFraction(DayCounter,SettlementDate,BC43,,,Trigger)</f>
        <v>0.14722222222222223</v>
      </c>
      <c r="BE43" s="47">
        <f>_xll.qlPolynomialFunctionValue(BE$1,$BD43,AllTriggers)</f>
        <v>1.0190964755900957E-3</v>
      </c>
      <c r="BF43" s="47">
        <f>_xll.qlPolynomialFunctionValue(BF$1,$BD43,AllTriggers)</f>
        <v>1.0495959002231534E-3</v>
      </c>
      <c r="BG43" s="47">
        <f>_xll.qlPolynomialFunctionValue(BG$1,$BD43,AllTriggers)</f>
        <v>1.0419804073757667E-3</v>
      </c>
      <c r="BH43" s="47">
        <f>_xll.qlPolynomialFunctionValue(BH$1,$BD43,AllTriggers)</f>
        <v>1.0373991567878191E-3</v>
      </c>
      <c r="BI43" s="47">
        <f>_xll.qlPolynomialFunctionValue(BI$1,$BD43,AllTriggers)</f>
        <v>1.0201384175048892E-3</v>
      </c>
      <c r="BJ43" s="47">
        <f>_xll.qlPolynomialFunctionValue(BJ$1,$BD43,AllTriggers)</f>
        <v>1.0517831122594235E-3</v>
      </c>
      <c r="BK43" s="47">
        <f>_xll.qlPolynomialFunctionValue(BK$1,$BD43,AllTriggers)</f>
        <v>1.0428475175835383E-3</v>
      </c>
      <c r="BL43" s="47">
        <f>_xll.qlPolynomialFunctionValue(BL$1,$BD43,AllTriggers)</f>
        <v>1.0375320200045036E-3</v>
      </c>
      <c r="BM43" s="47">
        <f>_xll.qlPolynomialFunctionValue(BM$1,$BD43,AllTriggers)</f>
        <v>1.0198414975325545E-3</v>
      </c>
      <c r="BN43" s="47">
        <f>_xll.qlPolynomialFunctionValue(BN$1,$BD43,AllTriggers)</f>
        <v>1.0237668388883108E-3</v>
      </c>
      <c r="BO43" s="47">
        <f>_xll.qlPolynomialFunctionValue(BO$1,$BD43,AllTriggers)</f>
        <v>1.0331710800113906E-3</v>
      </c>
      <c r="BP43" s="47">
        <f>_xll.qlPolynomialFunctionValue(BP$1,$BD43,AllTriggers)</f>
        <v>1.0398789394471322E-3</v>
      </c>
      <c r="BQ43" s="47">
        <f>_xll.qlPolynomialFunctionValue('3MSynthDepo_used'!$P$18,BD43,AllTriggers)</f>
        <v>1.0172569148397149E-3</v>
      </c>
    </row>
    <row r="44" spans="3:69" x14ac:dyDescent="0.2">
      <c r="C44" s="19">
        <v>2</v>
      </c>
      <c r="D44" s="48" t="str">
        <f t="shared" ref="D44:D45" si="13">C44+SUBSTITUTE($D$24,"M","")&amp;"M"</f>
        <v>5M</v>
      </c>
      <c r="E44" s="177">
        <f>_xll.qlCalendarAdvance(Calendar,SettlementDate,C44&amp;"M","mf",TRUE,Trigger)</f>
        <v>42340</v>
      </c>
      <c r="F44" s="271">
        <f>_xll.qlInterestRateIndexMaturity($D$25,E44,Trigger)</f>
        <v>42431</v>
      </c>
      <c r="G44" s="155">
        <f>_xll.qlTenorBasisForwardRate2(G$27,$E44,$F44,InterestRatesTrigger)</f>
        <v>-4.4397161257128578E-4</v>
      </c>
      <c r="H44" s="47">
        <f>_xll.qlTenorBasisForwardRate2(H$27,$E44,$F44,InterestRatesTrigger)</f>
        <v>-5.2526556358039244E-4</v>
      </c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47">
        <f>_xll.qlTenorBasisForwardRate2(S$27,$E44,$F44,InterestRatesTrigger)</f>
        <v>-5.1174613497872144E-4</v>
      </c>
      <c r="T44" s="154">
        <f>_xll.qlTenorBasisForwardRate2(T$27,$E44,$F44,InterestRatesTrigger)</f>
        <v>-5.0361323261923939E-4</v>
      </c>
      <c r="U44" s="47">
        <f>_xll.qlTenorBasisForwardRate2(U$27,$E44,$F44,InterestRatesTrigger)</f>
        <v>-4.3612610059230803E-4</v>
      </c>
      <c r="V44" s="47">
        <f>_xll.qlTenorBasisForwardRate2(V$27,$E44,$F44,InterestRatesTrigger)</f>
        <v>-5.2837806634141373E-4</v>
      </c>
      <c r="W44" s="47">
        <f>_xll.qlTenorBasisForwardRate2(W$27,$E44,$F44,InterestRatesTrigger)</f>
        <v>-5.1085391610411544E-4</v>
      </c>
      <c r="X44" s="154">
        <f>_xll.qlTenorBasisForwardRate2(X$27,$E44,$F44,InterestRatesTrigger)</f>
        <v>-5.0042932651344274E-4</v>
      </c>
      <c r="Y44" s="155">
        <f>_xll.qlTenorBasisForwardRate2(Y$27,$E44,$F44,InterestRatesTrigger)</f>
        <v>-4.975256276922741E-4</v>
      </c>
      <c r="Z44" s="47">
        <f>_xll.qlTenorBasisForwardRate2(Z$27,$E44,$F44,InterestRatesTrigger)</f>
        <v>-4.978195270151746E-4</v>
      </c>
      <c r="AA44" s="47">
        <f>_xll.qlTenorBasisForwardRate2(AA$27,$E44,$F44,InterestRatesTrigger)</f>
        <v>-5.0120500679652462E-4</v>
      </c>
      <c r="AB44" s="47">
        <f>_xll.qlTenorBasisForwardRate2(AB$27,$E44,$F44,InterestRatesTrigger)</f>
        <v>-5.0562362198323257E-4</v>
      </c>
      <c r="AC44" s="154">
        <f>'3MSynthDepo_used'!AA23</f>
        <v>-4.8942181664720437E-4</v>
      </c>
      <c r="AD44" s="200">
        <f>'3MSynthDepo_used'!$I6</f>
        <v>-4.8999999999999998E-4</v>
      </c>
      <c r="BC44" s="178">
        <f>_xll.qlCalendarAdvance(Calendar,BC43,"1d","mf",,Trigger)</f>
        <v>42333</v>
      </c>
      <c r="BD44" s="41">
        <f>_xll.qlDayCounterYearFraction(DayCounter,SettlementDate,BC44,,,Trigger)</f>
        <v>0.15</v>
      </c>
      <c r="BE44" s="47">
        <f>_xll.qlPolynomialFunctionValue(BE$1,$BD44,AllTriggers)</f>
        <v>1.0214775584177897E-3</v>
      </c>
      <c r="BF44" s="47">
        <f>_xll.qlPolynomialFunctionValue(BF$1,$BD44,AllTriggers)</f>
        <v>1.0522017025119178E-3</v>
      </c>
      <c r="BG44" s="47">
        <f>_xll.qlPolynomialFunctionValue(BG$1,$BD44,AllTriggers)</f>
        <v>1.0426011877584091E-3</v>
      </c>
      <c r="BH44" s="47">
        <f>_xll.qlPolynomialFunctionValue(BH$1,$BD44,AllTriggers)</f>
        <v>1.0368258079188491E-3</v>
      </c>
      <c r="BI44" s="47">
        <f>_xll.qlPolynomialFunctionValue(BI$1,$BD44,AllTriggers)</f>
        <v>1.0226523457368096E-3</v>
      </c>
      <c r="BJ44" s="47">
        <f>_xll.qlPolynomialFunctionValue(BJ$1,$BD44,AllTriggers)</f>
        <v>1.0544270207886509E-3</v>
      </c>
      <c r="BK44" s="47">
        <f>_xll.qlPolynomialFunctionValue(BK$1,$BD44,AllTriggers)</f>
        <v>1.0434690208089045E-3</v>
      </c>
      <c r="BL44" s="47">
        <f>_xll.qlPolynomialFunctionValue(BL$1,$BD44,AllTriggers)</f>
        <v>1.0369504594286982E-3</v>
      </c>
      <c r="BM44" s="47">
        <f>_xll.qlPolynomialFunctionValue(BM$1,$BD44,AllTriggers)</f>
        <v>1.0211647758729548E-3</v>
      </c>
      <c r="BN44" s="47">
        <f>_xll.qlPolynomialFunctionValue(BN$1,$BD44,AllTriggers)</f>
        <v>1.0254270871620866E-3</v>
      </c>
      <c r="BO44" s="47">
        <f>_xll.qlPolynomialFunctionValue(BO$1,$BD44,AllTriggers)</f>
        <v>1.0341665302242065E-3</v>
      </c>
      <c r="BP44" s="47">
        <f>_xll.qlPolynomialFunctionValue(BP$1,$BD44,AllTriggers)</f>
        <v>1.0393000773630074E-3</v>
      </c>
      <c r="BQ44" s="47">
        <f>_xll.qlPolynomialFunctionValue('3MSynthDepo_used'!$P$18,BD44,AllTriggers)</f>
        <v>1.0189598596810792E-3</v>
      </c>
    </row>
    <row r="45" spans="3:69" x14ac:dyDescent="0.2">
      <c r="C45" s="19">
        <v>3</v>
      </c>
      <c r="D45" s="48" t="str">
        <f t="shared" si="13"/>
        <v>6M</v>
      </c>
      <c r="E45" s="177">
        <f>_xll.qlCalendarAdvance(Calendar,SettlementDate,C45&amp;"M","mf",TRUE,Trigger)</f>
        <v>42373</v>
      </c>
      <c r="F45" s="271">
        <f>_xll.qlInterestRateIndexMaturity($D$25,E45,Trigger)</f>
        <v>42464</v>
      </c>
      <c r="G45" s="155">
        <f>_xll.qlTenorBasisForwardRate2(G$27,$E45,$F45,InterestRatesTrigger)</f>
        <v>-4.8067419729261351E-4</v>
      </c>
      <c r="H45" s="47">
        <f>_xll.qlTenorBasisForwardRate(H$27,$E45,InterestRatesTrigger)</f>
        <v>-7.1780001475509503E-4</v>
      </c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47">
        <f>_xll.qlTenorBasisForwardRate(S$27,$E45,InterestRatesTrigger)</f>
        <v>-6.0494922819340549E-4</v>
      </c>
      <c r="T45" s="154">
        <f>_xll.qlTenorBasisForwardRate(T$27,$E45,InterestRatesTrigger)</f>
        <v>-5.3706005086876104E-4</v>
      </c>
      <c r="U45" s="47">
        <f>_xll.qlTenorBasisForwardRate(U$27,$E45,InterestRatesTrigger)</f>
        <v>-4.6856465133498148E-4</v>
      </c>
      <c r="V45" s="47">
        <f>_xll.qlTenorBasisForwardRate(V$27,$E45,InterestRatesTrigger)</f>
        <v>-7.2927403895574902E-4</v>
      </c>
      <c r="W45" s="47">
        <f>_xll.qlTenorBasisForwardRate(W$27,$E45,InterestRatesTrigger)</f>
        <v>-6.0403382912784594E-4</v>
      </c>
      <c r="X45" s="154">
        <f>_xll.qlTenorBasisForwardRate(X$27,$E45,InterestRatesTrigger)</f>
        <v>-5.2953057944614586E-4</v>
      </c>
      <c r="Y45" s="155">
        <f>_xll.qlTenorBasisTenorForwardRate(Y$27,$E45,InterestRatesTrigger)</f>
        <v>-5.4954945118244392E-4</v>
      </c>
      <c r="Z45" s="47">
        <f>_xll.qlTenorBasisTenorForwardRate(Z$27,$E45,InterestRatesTrigger)</f>
        <v>-5.6982155447415895E-4</v>
      </c>
      <c r="AA45" s="47">
        <f>_xll.qlTenorBasisTenorForwardRate(AA$27,$E45,InterestRatesTrigger)</f>
        <v>-5.6464660908181778E-4</v>
      </c>
      <c r="AB45" s="47">
        <f>_xll.qlTenorBasisTenorForwardRate(AB$27,$E45,InterestRatesTrigger)</f>
        <v>-5.2079292009556176E-4</v>
      </c>
      <c r="AC45" s="154">
        <f>'3MSynthDepo_used'!AA24</f>
        <v>-5.5922735614848714E-4</v>
      </c>
      <c r="AD45" s="201">
        <f>'3MSynthDepo_used'!$I7</f>
        <v>-5.2999999999999998E-4</v>
      </c>
      <c r="BC45" s="178">
        <f>_xll.qlCalendarAdvance(Calendar,BC44,"1d","mf",,Trigger)</f>
        <v>42334</v>
      </c>
      <c r="BD45" s="41">
        <f>_xll.qlDayCounterYearFraction(DayCounter,SettlementDate,BC45,,,Trigger)</f>
        <v>0.15277777777777779</v>
      </c>
      <c r="BE45" s="47">
        <f>_xll.qlPolynomialFunctionValue(BE$1,$BD45,AllTriggers)</f>
        <v>1.0238586412454837E-3</v>
      </c>
      <c r="BF45" s="47">
        <f>_xll.qlPolynomialFunctionValue(BF$1,$BD45,AllTriggers)</f>
        <v>1.0547325983136587E-3</v>
      </c>
      <c r="BG45" s="47">
        <f>_xll.qlPolynomialFunctionValue(BG$1,$BD45,AllTriggers)</f>
        <v>1.0432219681410515E-3</v>
      </c>
      <c r="BH45" s="47">
        <f>_xll.qlPolynomialFunctionValue(BH$1,$BD45,AllTriggers)</f>
        <v>1.0362975205310721E-3</v>
      </c>
      <c r="BI45" s="47">
        <f>_xll.qlPolynomialFunctionValue(BI$1,$BD45,AllTriggers)</f>
        <v>1.02516627396873E-3</v>
      </c>
      <c r="BJ45" s="47">
        <f>_xll.qlPolynomialFunctionValue(BJ$1,$BD45,AllTriggers)</f>
        <v>1.0569916193059624E-3</v>
      </c>
      <c r="BK45" s="47">
        <f>_xll.qlPolynomialFunctionValue(BK$1,$BD45,AllTriggers)</f>
        <v>1.0440905240342707E-3</v>
      </c>
      <c r="BL45" s="47">
        <f>_xll.qlPolynomialFunctionValue(BL$1,$BD45,AllTriggers)</f>
        <v>1.0364160778254879E-3</v>
      </c>
      <c r="BM45" s="47">
        <f>_xll.qlPolynomialFunctionValue(BM$1,$BD45,AllTriggers)</f>
        <v>1.0224880542133552E-3</v>
      </c>
      <c r="BN45" s="47">
        <f>_xll.qlPolynomialFunctionValue(BN$1,$BD45,AllTriggers)</f>
        <v>1.0270742569225058E-3</v>
      </c>
      <c r="BO45" s="47">
        <f>_xll.qlPolynomialFunctionValue(BO$1,$BD45,AllTriggers)</f>
        <v>1.0351619804370225E-3</v>
      </c>
      <c r="BP45" s="47">
        <f>_xll.qlPolynomialFunctionValue(BP$1,$BD45,AllTriggers)</f>
        <v>1.0387637334763901E-3</v>
      </c>
      <c r="BQ45" s="47">
        <f>_xll.qlPolynomialFunctionValue('3MSynthDepo_used'!$P$18,BD45,AllTriggers)</f>
        <v>1.0206571530946328E-3</v>
      </c>
    </row>
    <row r="46" spans="3:69" x14ac:dyDescent="0.2">
      <c r="C46" s="67"/>
      <c r="D46" s="45" t="str">
        <f>_xll.qlIMMNextCode(SettlementDate,FALSE,Trigger)</f>
        <v>V5</v>
      </c>
      <c r="E46" s="175">
        <f>_xll.qlIMMdate(D46,SettlementDate,Trigger)</f>
        <v>42298</v>
      </c>
      <c r="F46" s="175">
        <f>_xll.qlInterestRateIndexMaturity($D$25,E46,Trigger)</f>
        <v>42390</v>
      </c>
      <c r="G46" s="272">
        <f>_xll.qlTenorBasisForwardRate2(G$27,$E46,$F46,InterestRatesTrigger)</f>
        <v>-4.4407670385503085E-4</v>
      </c>
      <c r="H46" s="52">
        <f>_xll.qlTenorBasisTenorForwardRate(H$27,$E46,InterestRatesTrigger)</f>
        <v>-4.2543705707961976E-4</v>
      </c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52">
        <f>_xll.qlTenorBasisTenorForwardRate(S$27,$E46,InterestRatesTrigger)</f>
        <v>-4.2516157297642397E-4</v>
      </c>
      <c r="T46" s="273">
        <f>_xll.qlTenorBasisTenorForwardRate(T$27,$E46,InterestRatesTrigger)</f>
        <v>-4.2499585005670933E-4</v>
      </c>
      <c r="U46" s="52">
        <f>_xll.qlTenorBasisTenorForwardRate(U$27,$E46,InterestRatesTrigger)</f>
        <v>-4.2288537791814363E-4</v>
      </c>
      <c r="V46" s="52">
        <f>_xll.qlTenorBasisTenorForwardRate(V$27,$E46,InterestRatesTrigger)</f>
        <v>-4.2471491061936905E-4</v>
      </c>
      <c r="W46" s="52">
        <f>_xll.qlTenorBasisTenorForwardRate(W$27,$E46,InterestRatesTrigger)</f>
        <v>-4.2428525395038952E-4</v>
      </c>
      <c r="X46" s="273">
        <f>_xll.qlTenorBasisTenorForwardRate(X$27,$E46,InterestRatesTrigger)</f>
        <v>-4.2402966503139608E-4</v>
      </c>
      <c r="Y46" s="272">
        <f>_xll.qlTenorBasisTenorForwardRate(Y$27,$E46,InterestRatesTrigger)</f>
        <v>-4.3835085130299349E-4</v>
      </c>
      <c r="Z46" s="52">
        <f>_xll.qlTenorBasisTenorForwardRate(Z$27,$E46,InterestRatesTrigger)</f>
        <v>-4.3592569505378274E-4</v>
      </c>
      <c r="AA46" s="52">
        <f>_xll.qlTenorBasisTenorForwardRate(AA$27,$E46,InterestRatesTrigger)</f>
        <v>-4.291977093536575E-4</v>
      </c>
      <c r="AB46" s="52">
        <f>_xll.qlTenorBasisTenorForwardRate(AB$27,$E46,InterestRatesTrigger)</f>
        <v>-4.2371284441493286E-4</v>
      </c>
      <c r="AC46" s="273">
        <f>'3MSynthDepo_used'!AA25</f>
        <v>-4.3854971702998822E-4</v>
      </c>
      <c r="AD46" s="199">
        <f>'3MSynthDepo_used'!I17</f>
        <v>-4.2500000000011973E-4</v>
      </c>
      <c r="BC46" s="178">
        <f>_xll.qlCalendarAdvance(Calendar,BC45,"1d","mf",,Trigger)</f>
        <v>42335</v>
      </c>
      <c r="BD46" s="41">
        <f>_xll.qlDayCounterYearFraction(DayCounter,SettlementDate,BC46,,,Trigger)</f>
        <v>0.15555555555555556</v>
      </c>
      <c r="BE46" s="47">
        <f>_xll.qlPolynomialFunctionValue(BE$1,$BD46,AllTriggers)</f>
        <v>1.0262397240731777E-3</v>
      </c>
      <c r="BF46" s="47">
        <f>_xll.qlPolynomialFunctionValue(BF$1,$BD46,AllTriggers)</f>
        <v>1.0571885876283762E-3</v>
      </c>
      <c r="BG46" s="47">
        <f>_xll.qlPolynomialFunctionValue(BG$1,$BD46,AllTriggers)</f>
        <v>1.0438427485236939E-3</v>
      </c>
      <c r="BH46" s="47">
        <f>_xll.qlPolynomialFunctionValue(BH$1,$BD46,AllTriggers)</f>
        <v>1.0358142946244877E-3</v>
      </c>
      <c r="BI46" s="47">
        <f>_xll.qlPolynomialFunctionValue(BI$1,$BD46,AllTriggers)</f>
        <v>1.0276802022006503E-3</v>
      </c>
      <c r="BJ46" s="47">
        <f>_xll.qlPolynomialFunctionValue(BJ$1,$BD46,AllTriggers)</f>
        <v>1.0594769078113575E-3</v>
      </c>
      <c r="BK46" s="47">
        <f>_xll.qlPolynomialFunctionValue(BK$1,$BD46,AllTriggers)</f>
        <v>1.044712027259637E-3</v>
      </c>
      <c r="BL46" s="47">
        <f>_xll.qlPolynomialFunctionValue(BL$1,$BD46,AllTriggers)</f>
        <v>1.0359288751948725E-3</v>
      </c>
      <c r="BM46" s="47">
        <f>_xll.qlPolynomialFunctionValue(BM$1,$BD46,AllTriggers)</f>
        <v>1.0238113325537555E-3</v>
      </c>
      <c r="BN46" s="47">
        <f>_xll.qlPolynomialFunctionValue(BN$1,$BD46,AllTriggers)</f>
        <v>1.0287083481695686E-3</v>
      </c>
      <c r="BO46" s="47">
        <f>_xll.qlPolynomialFunctionValue(BO$1,$BD46,AllTriggers)</f>
        <v>1.0361574306498385E-3</v>
      </c>
      <c r="BP46" s="47">
        <f>_xll.qlPolynomialFunctionValue(BP$1,$BD46,AllTriggers)</f>
        <v>1.0382699077872797E-3</v>
      </c>
      <c r="BQ46" s="47">
        <f>_xll.qlPolynomialFunctionValue('3MSynthDepo_used'!$P$18,BD46,AllTriggers)</f>
        <v>1.0223488064430614E-3</v>
      </c>
    </row>
    <row r="47" spans="3:69" x14ac:dyDescent="0.2">
      <c r="C47" s="67"/>
      <c r="D47" s="48" t="str">
        <f>_xll.qlIMMNextCode(D46,FALSE,Trigger)</f>
        <v>X5</v>
      </c>
      <c r="E47" s="177">
        <f>_xll.qlIMMdate(D47,SettlementDate,Trigger)</f>
        <v>42326</v>
      </c>
      <c r="F47" s="251">
        <f>_xll.qlInterestRateIndexMaturity($D$25,E47,Trigger)</f>
        <v>42418</v>
      </c>
      <c r="G47" s="155">
        <f>_xll.qlTenorBasisForwardRate2(G$27,$E47,$F47,InterestRatesTrigger)</f>
        <v>-4.466280084869379E-4</v>
      </c>
      <c r="H47" s="47">
        <f>_xll.qlTenorBasisTenorForwardRate(H$27,$E47,InterestRatesTrigger)</f>
        <v>-4.7474002130044966E-4</v>
      </c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47">
        <f>_xll.qlTenorBasisTenorForwardRate(S$27,$E47,InterestRatesTrigger)</f>
        <v>-4.7539968052033458E-4</v>
      </c>
      <c r="T47" s="154">
        <f>_xll.qlTenorBasisTenorForwardRate(T$27,$E47,InterestRatesTrigger)</f>
        <v>-4.7579651159213856E-4</v>
      </c>
      <c r="U47" s="47">
        <f>_xll.qlTenorBasisTenorForwardRate(U$27,$E47,InterestRatesTrigger)</f>
        <v>-4.2084148458336359E-4</v>
      </c>
      <c r="V47" s="47">
        <f>_xll.qlTenorBasisTenorForwardRate(V$27,$E47,InterestRatesTrigger)</f>
        <v>-4.7613319831770135E-4</v>
      </c>
      <c r="W47" s="47">
        <f>_xll.qlTenorBasisTenorForwardRate(W$27,$E47,InterestRatesTrigger)</f>
        <v>-4.7450339915277532E-4</v>
      </c>
      <c r="X47" s="154">
        <f>_xll.qlTenorBasisTenorForwardRate(X$27,$E47,InterestRatesTrigger)</f>
        <v>-4.7353388410316583E-4</v>
      </c>
      <c r="Y47" s="155">
        <f>_xll.qlTenorBasisTenorForwardRate(Y$27,$E47,InterestRatesTrigger)</f>
        <v>-4.6918846730114932E-4</v>
      </c>
      <c r="Z47" s="47">
        <f>_xll.qlTenorBasisTenorForwardRate(Z$27,$E47,InterestRatesTrigger)</f>
        <v>-4.6686544950753439E-4</v>
      </c>
      <c r="AA47" s="47">
        <f>_xll.qlTenorBasisTenorForwardRate(AA$27,$E47,InterestRatesTrigger)</f>
        <v>-4.6908877062866493E-4</v>
      </c>
      <c r="AB47" s="47">
        <f>_xll.qlTenorBasisTenorForwardRate(AB$27,$E47,InterestRatesTrigger)</f>
        <v>-4.7649527618274048E-4</v>
      </c>
      <c r="AC47" s="154">
        <f>'3MSynthDepo_used'!AA26</f>
        <v>-4.6273980316001721E-4</v>
      </c>
      <c r="AD47" s="200">
        <f>'3MSynthDepo_used'!I18</f>
        <v>-4.750000000000032E-4</v>
      </c>
      <c r="BC47" s="178">
        <f>_xll.qlCalendarAdvance(Calendar,BC46,"1d","mf",,Trigger)</f>
        <v>42338</v>
      </c>
      <c r="BD47" s="41">
        <f>_xll.qlDayCounterYearFraction(DayCounter,SettlementDate,BC47,,,Trigger)</f>
        <v>0.16388888888888889</v>
      </c>
      <c r="BE47" s="47">
        <f>_xll.qlPolynomialFunctionValue(BE$1,$BD47,AllTriggers)</f>
        <v>1.0333829725562597E-3</v>
      </c>
      <c r="BF47" s="47">
        <f>_xll.qlPolynomialFunctionValue(BF$1,$BD47,AllTriggers)</f>
        <v>1.064107116650388E-3</v>
      </c>
      <c r="BG47" s="47">
        <f>_xll.qlPolynomialFunctionValue(BG$1,$BD47,AllTriggers)</f>
        <v>1.0457050896716211E-3</v>
      </c>
      <c r="BH47" s="47">
        <f>_xll.qlPolynomialFunctionValue(BH$1,$BD47,AllTriggers)</f>
        <v>1.0346349857918925E-3</v>
      </c>
      <c r="BI47" s="47">
        <f>_xll.qlPolynomialFunctionValue(BI$1,$BD47,AllTriggers)</f>
        <v>1.0352219868964116E-3</v>
      </c>
      <c r="BJ47" s="47">
        <f>_xll.qlPolynomialFunctionValue(BJ$1,$BD47,AllTriggers)</f>
        <v>1.0664569132560462E-3</v>
      </c>
      <c r="BK47" s="47">
        <f>_xll.qlPolynomialFunctionValue(BK$1,$BD47,AllTriggers)</f>
        <v>1.0465765369357359E-3</v>
      </c>
      <c r="BL47" s="47">
        <f>_xll.qlPolynomialFunctionValue(BL$1,$BD47,AllTriggers)</f>
        <v>1.034750341138596E-3</v>
      </c>
      <c r="BM47" s="47">
        <f>_xll.qlPolynomialFunctionValue(BM$1,$BD47,AllTriggers)</f>
        <v>1.0277811675749567E-3</v>
      </c>
      <c r="BN47" s="47">
        <f>_xll.qlPolynomialFunctionValue(BN$1,$BD47,AllTriggers)</f>
        <v>1.0335321508306188E-3</v>
      </c>
      <c r="BO47" s="47">
        <f>_xll.qlPolynomialFunctionValue(BO$1,$BD47,AllTriggers)</f>
        <v>1.0391437812882864E-3</v>
      </c>
      <c r="BP47" s="47">
        <f>_xll.qlPolynomialFunctionValue(BP$1,$BD47,AllTriggers)</f>
        <v>1.0370435399049899E-3</v>
      </c>
      <c r="BQ47" s="47">
        <f>_xll.qlPolynomialFunctionValue('3MSynthDepo_used'!$P$18,BD47,AllTriggers)</f>
        <v>1.027390039724449E-3</v>
      </c>
    </row>
    <row r="48" spans="3:69" x14ac:dyDescent="0.2">
      <c r="C48" s="67"/>
      <c r="D48" s="49" t="str">
        <f>_xll.qlIMMNextCode(D47,TRUE,Trigger)</f>
        <v>Z5</v>
      </c>
      <c r="E48" s="181">
        <f>_xll.qlIMMdate(D48,SettlementDate,Trigger)</f>
        <v>42354</v>
      </c>
      <c r="F48" s="274">
        <f>_xll.qlInterestRateIndexMaturity($D$25,E48,Trigger)</f>
        <v>42445</v>
      </c>
      <c r="G48" s="275">
        <f>_xll.qlTenorBasisForwardRate2(G$27,$E48,$F48,InterestRatesTrigger)</f>
        <v>-4.6066639707952343E-4</v>
      </c>
      <c r="H48" s="50">
        <f>_xll.qlTenorBasisTenorForwardRate(H$27,$E48,InterestRatesTrigger)</f>
        <v>-5.9149994251411373E-4</v>
      </c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50">
        <f>_xll.qlTenorBasisTenorForwardRate(S$27,$E48,InterestRatesTrigger)</f>
        <v>-5.3596598931977845E-4</v>
      </c>
      <c r="T48" s="276">
        <f>_xll.qlTenorBasisTenorForwardRate(T$27,$E48,InterestRatesTrigger)</f>
        <v>-5.0255843962850716E-4</v>
      </c>
      <c r="U48" s="50">
        <f>_xll.qlTenorBasisTenorForwardRate(U$27,$E48,InterestRatesTrigger)</f>
        <v>-4.2912579250411662E-4</v>
      </c>
      <c r="V48" s="50">
        <f>_xll.qlTenorBasisTenorForwardRate(V$27,$E48,InterestRatesTrigger)</f>
        <v>-5.98366869067431E-4</v>
      </c>
      <c r="W48" s="50">
        <f>_xll.qlTenorBasisTenorForwardRate(W$27,$E48,InterestRatesTrigger)</f>
        <v>-5.3504974561069418E-4</v>
      </c>
      <c r="X48" s="276">
        <f>_xll.qlTenorBasisTenorForwardRate(X$27,$E48,InterestRatesTrigger)</f>
        <v>-4.9738442744737461E-4</v>
      </c>
      <c r="Y48" s="275">
        <f>_xll.qlTenorBasisTenorForwardRate(Y$27,$E48,InterestRatesTrigger)</f>
        <v>-5.1035428455483822E-4</v>
      </c>
      <c r="Z48" s="50">
        <f>_xll.qlTenorBasisTenorForwardRate(Z$27,$E48,InterestRatesTrigger)</f>
        <v>-5.181079644924699E-4</v>
      </c>
      <c r="AA48" s="50">
        <f>_xll.qlTenorBasisTenorForwardRate(AA$27,$E48,InterestRatesTrigger)</f>
        <v>-5.1930803315920564E-4</v>
      </c>
      <c r="AB48" s="50">
        <f>_xll.qlTenorBasisTenorForwardRate(AB$27,$E48,InterestRatesTrigger)</f>
        <v>-5.0717865468798487E-4</v>
      </c>
      <c r="AC48" s="276">
        <f>'3MSynthDepo_used'!AA27</f>
        <v>-5.0122719314845657E-4</v>
      </c>
      <c r="AD48" s="201">
        <f>'3MSynthDepo_used'!I19</f>
        <v>-5.0000000000016698E-4</v>
      </c>
      <c r="BC48" s="178">
        <f>_xll.qlCalendarAdvance(Calendar,BC47,"1d","mf",,Trigger)</f>
        <v>42339</v>
      </c>
      <c r="BD48" s="41">
        <f>_xll.qlDayCounterYearFraction(DayCounter,SettlementDate,BC48,,,Trigger)</f>
        <v>0.16666666666666666</v>
      </c>
      <c r="BE48" s="47">
        <f>_xll.qlPolynomialFunctionValue(BE$1,$BD48,AllTriggers)</f>
        <v>1.0357640553839539E-3</v>
      </c>
      <c r="BF48" s="47">
        <f>_xll.qlPolynomialFunctionValue(BF$1,$BD48,AllTriggers)</f>
        <v>1.0662634800170114E-3</v>
      </c>
      <c r="BG48" s="47">
        <f>_xll.qlPolynomialFunctionValue(BG$1,$BD48,AllTriggers)</f>
        <v>1.0463258700542635E-3</v>
      </c>
      <c r="BH48" s="47">
        <f>_xll.qlPolynomialFunctionValue(BH$1,$BD48,AllTriggers)</f>
        <v>1.0343320058100799E-3</v>
      </c>
      <c r="BI48" s="47">
        <f>_xll.qlPolynomialFunctionValue(BI$1,$BD48,AllTriggers)</f>
        <v>1.037735915128332E-3</v>
      </c>
      <c r="BJ48" s="47">
        <f>_xll.qlPolynomialFunctionValue(BJ$1,$BD48,AllTriggers)</f>
        <v>1.068624961713777E-3</v>
      </c>
      <c r="BK48" s="47">
        <f>_xll.qlPolynomialFunctionValue(BK$1,$BD48,AllTriggers)</f>
        <v>1.0471980401611021E-3</v>
      </c>
      <c r="BL48" s="47">
        <f>_xll.qlPolynomialFunctionValue(BL$1,$BD48,AllTriggers)</f>
        <v>1.0344518543983605E-3</v>
      </c>
      <c r="BM48" s="47">
        <f>_xll.qlPolynomialFunctionValue(BM$1,$BD48,AllTriggers)</f>
        <v>1.029104445915357E-3</v>
      </c>
      <c r="BN48" s="47">
        <f>_xll.qlPolynomialFunctionValue(BN$1,$BD48,AllTriggers)</f>
        <v>1.0351139280242558E-3</v>
      </c>
      <c r="BO48" s="47">
        <f>_xll.qlPolynomialFunctionValue(BO$1,$BD48,AllTriggers)</f>
        <v>1.0401392315011024E-3</v>
      </c>
      <c r="BP48" s="47">
        <f>_xll.qlPolynomialFunctionValue(BP$1,$BD48,AllTriggers)</f>
        <v>1.0367197870059072E-3</v>
      </c>
      <c r="BQ48" s="47">
        <f>_xll.qlPolynomialFunctionValue('3MSynthDepo_used'!$P$18,BD48,AllTriggers)</f>
        <v>1.0290592464392307E-3</v>
      </c>
    </row>
    <row r="49" spans="3:69" x14ac:dyDescent="0.2">
      <c r="D49" s="45" t="str">
        <f>_xll.qlIMMNextCode(D48,TRUE,Trigger)</f>
        <v>H6</v>
      </c>
      <c r="E49" s="175">
        <f>_xll.qlIMMdate(D49,SettlementDate,Trigger)</f>
        <v>42445</v>
      </c>
      <c r="F49" s="175">
        <f>_xll.qlInterestRateIndexMaturity($D$25,E49,Trigger)</f>
        <v>42537</v>
      </c>
      <c r="G49" s="272">
        <f>_xll.qlTenorBasisForwardRate2(G$27,$E49,$F49,InterestRatesTrigger)</f>
        <v>-4.3629043861898758E-4</v>
      </c>
      <c r="H49" s="52">
        <f>_xll.qlTenorBasisTenorForwardRate(H$27,$E49,InterestRatesTrigger)</f>
        <v>-1.3004341787603603E-3</v>
      </c>
      <c r="I49" s="93"/>
      <c r="J49" s="93"/>
      <c r="K49" s="93"/>
      <c r="L49" s="93"/>
      <c r="M49" s="93"/>
      <c r="N49" s="93"/>
      <c r="O49" s="93"/>
      <c r="P49" s="93"/>
      <c r="Q49" s="93"/>
      <c r="R49" s="93"/>
      <c r="S49" s="52">
        <f>_xll.qlTenorBasisTenorForwardRate(S$27,$E49,InterestRatesTrigger)</f>
        <v>-6.6772551590907423E-4</v>
      </c>
      <c r="T49" s="273">
        <f>_xll.qlTenorBasisTenorForwardRate(T$27,$E49,InterestRatesTrigger)</f>
        <v>-2.8710708558889577E-4</v>
      </c>
      <c r="U49" s="52">
        <f>_xll.qlTenorBasisTenorForwardRate(U$27,$E49,InterestRatesTrigger)</f>
        <v>-3.9096881623766752E-4</v>
      </c>
      <c r="V49" s="52">
        <f>_xll.qlTenorBasisTenorForwardRate(V$27,$E49,InterestRatesTrigger)</f>
        <v>-1.3482849212728466E-3</v>
      </c>
      <c r="W49" s="52">
        <f>_xll.qlTenorBasisTenorForwardRate(W$27,$E49,InterestRatesTrigger)</f>
        <v>-6.6674439459003441E-4</v>
      </c>
      <c r="X49" s="273">
        <f>_xll.qlTenorBasisTenorForwardRate(X$27,$E49,InterestRatesTrigger)</f>
        <v>-2.613178783926588E-4</v>
      </c>
      <c r="Y49" s="272">
        <f>_xll.qlTenorBasisTenorForwardRate(Y$27,$E49,InterestRatesTrigger)</f>
        <v>-5.79062213620431E-4</v>
      </c>
      <c r="Z49" s="52">
        <f>_xll.qlTenorBasisTenorForwardRate(Z$27,$E49,InterestRatesTrigger)</f>
        <v>-6.8845196118207759E-4</v>
      </c>
      <c r="AA49" s="52">
        <f>_xll.qlTenorBasisTenorForwardRate(AA$27,$E49,InterestRatesTrigger)</f>
        <v>-6.1743965937456646E-4</v>
      </c>
      <c r="AB49" s="52">
        <f>_xll.qlTenorBasisTenorForwardRate(AB$27,$E49,InterestRatesTrigger)</f>
        <v>-3.1786793130552911E-4</v>
      </c>
      <c r="AC49" s="273">
        <f>'3MSynthDepo_used'!AA28</f>
        <v>-5.8574940863411569E-4</v>
      </c>
      <c r="AD49" s="199">
        <f>'3MSynthDepo_used'!I20</f>
        <v>-5.7499999999999218E-4</v>
      </c>
      <c r="BC49" s="178">
        <f>_xll.qlCalendarAdvance(Calendar,BC48,"1d","mf",,Trigger)</f>
        <v>42340</v>
      </c>
      <c r="BD49" s="41">
        <f>_xll.qlDayCounterYearFraction(DayCounter,SettlementDate,BC49,,,Trigger)</f>
        <v>0.16944444444444445</v>
      </c>
      <c r="BE49" s="47">
        <f>_xll.qlPolynomialFunctionValue(BE$1,$BD49,AllTriggers)</f>
        <v>1.0381451382116479E-3</v>
      </c>
      <c r="BF49" s="47">
        <f>_xll.qlPolynomialFunctionValue(BF$1,$BD49,AllTriggers)</f>
        <v>1.0683449368966114E-3</v>
      </c>
      <c r="BG49" s="47">
        <f>_xll.qlPolynomialFunctionValue(BG$1,$BD49,AllTriggers)</f>
        <v>1.0469466504369059E-3</v>
      </c>
      <c r="BH49" s="47">
        <f>_xll.qlPolynomialFunctionValue(BH$1,$BD49,AllTriggers)</f>
        <v>1.0340740873094603E-3</v>
      </c>
      <c r="BI49" s="47">
        <f>_xll.qlPolynomialFunctionValue(BI$1,$BD49,AllTriggers)</f>
        <v>1.0402498433602523E-3</v>
      </c>
      <c r="BJ49" s="47">
        <f>_xll.qlPolynomialFunctionValue(BJ$1,$BD49,AllTriggers)</f>
        <v>1.0707137001595918E-3</v>
      </c>
      <c r="BK49" s="47">
        <f>_xll.qlPolynomialFunctionValue(BK$1,$BD49,AllTriggers)</f>
        <v>1.0478195433864684E-3</v>
      </c>
      <c r="BL49" s="47">
        <f>_xll.qlPolynomialFunctionValue(BL$1,$BD49,AllTriggers)</f>
        <v>1.0342005466307199E-3</v>
      </c>
      <c r="BM49" s="47">
        <f>_xll.qlPolynomialFunctionValue(BM$1,$BD49,AllTriggers)</f>
        <v>1.0304277242557574E-3</v>
      </c>
      <c r="BN49" s="47">
        <f>_xll.qlPolynomialFunctionValue(BN$1,$BD49,AllTriggers)</f>
        <v>1.0366826267045367E-3</v>
      </c>
      <c r="BO49" s="47">
        <f>_xll.qlPolynomialFunctionValue(BO$1,$BD49,AllTriggers)</f>
        <v>1.0411346817139184E-3</v>
      </c>
      <c r="BP49" s="47">
        <f>_xll.qlPolynomialFunctionValue(BP$1,$BD49,AllTriggers)</f>
        <v>1.0364385523043316E-3</v>
      </c>
      <c r="BQ49" s="47">
        <f>_xll.qlPolynomialFunctionValue('3MSynthDepo_used'!$P$18,BD49,AllTriggers)</f>
        <v>1.0307228699023144E-3</v>
      </c>
    </row>
    <row r="50" spans="3:69" x14ac:dyDescent="0.2">
      <c r="D50" s="48" t="str">
        <f>_xll.qlIMMNextCode(D49,TRUE,Trigger)</f>
        <v>M6</v>
      </c>
      <c r="E50" s="177">
        <f>_xll.qlIMMdate(D50,SettlementDate,Trigger)</f>
        <v>42536</v>
      </c>
      <c r="F50" s="251">
        <f>_xll.qlInterestRateIndexMaturity($D$25,E50,Trigger)</f>
        <v>42628</v>
      </c>
      <c r="G50" s="155">
        <f>_xll.qlTenorBasisForwardRate2(G$27,$E50,$F50,InterestRatesTrigger)</f>
        <v>-3.6208310786873426E-4</v>
      </c>
      <c r="H50" s="47">
        <f>_xll.qlTenorBasisTenorForwardRate(H$27,$E50,InterestRatesTrigger)</f>
        <v>-2.5618166339742496E-3</v>
      </c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47">
        <f>_xll.qlTenorBasisTenorForwardRate(S$27,$E50,InterestRatesTrigger)</f>
        <v>-7.4851077899077182E-4</v>
      </c>
      <c r="T50" s="154">
        <f>_xll.qlTenorBasisTenorForwardRate(T$27,$E50,InterestRatesTrigger)</f>
        <v>3.4231928030371036E-4</v>
      </c>
      <c r="U50" s="47">
        <f>_xll.qlTenorBasisTenorForwardRate(U$27,$E50,InterestRatesTrigger)</f>
        <v>-3.0183757646362022E-4</v>
      </c>
      <c r="V50" s="47">
        <f>_xll.qlTenorBasisTenorForwardRate(V$27,$E50,InterestRatesTrigger)</f>
        <v>-2.6861245676894829E-3</v>
      </c>
      <c r="W50" s="47">
        <f>_xll.qlTenorBasisTenorForwardRate(W$27,$E50,InterestRatesTrigger)</f>
        <v>-7.4746478006177623E-4</v>
      </c>
      <c r="X50" s="154">
        <f>_xll.qlTenorBasisTenorForwardRate(X$27,$E50,InterestRatesTrigger)</f>
        <v>4.0578150980359194E-4</v>
      </c>
      <c r="Y50" s="155">
        <f>_xll.qlTenorBasisTenorForwardRate(Y$27,$E50,InterestRatesTrigger)</f>
        <v>-5.9679587917842538E-4</v>
      </c>
      <c r="Z50" s="47">
        <f>_xll.qlTenorBasisTenorForwardRate(Z$27,$E50,InterestRatesTrigger)</f>
        <v>-9.1317797671314899E-4</v>
      </c>
      <c r="AA50" s="47">
        <f>_xll.qlTenorBasisTenorForwardRate(AA$27,$E50,InterestRatesTrigger)</f>
        <v>-6.6459702208232908E-4</v>
      </c>
      <c r="AB50" s="47">
        <f>_xll.qlTenorBasisTenorForwardRate(AB$27,$E50,InterestRatesTrigger)</f>
        <v>2.6492993143191804E-4</v>
      </c>
      <c r="AC50" s="154">
        <f>'3MSynthDepo_used'!AA29</f>
        <v>-6.5047765895594233E-4</v>
      </c>
      <c r="AD50" s="200">
        <f>'3MSynthDepo_used'!I21</f>
        <v>-6.7499999999998117E-4</v>
      </c>
      <c r="BC50" s="178">
        <f>_xll.qlCalendarAdvance(Calendar,BC49,"1d","mf",,Trigger)</f>
        <v>42341</v>
      </c>
      <c r="BD50" s="41">
        <f>_xll.qlDayCounterYearFraction(DayCounter,SettlementDate,BC50,,,Trigger)</f>
        <v>0.17222222222222222</v>
      </c>
      <c r="BE50" s="47">
        <f>_xll.qlPolynomialFunctionValue(BE$1,$BD50,AllTriggers)</f>
        <v>1.0405262210393419E-3</v>
      </c>
      <c r="BF50" s="47">
        <f>_xll.qlPolynomialFunctionValue(BF$1,$BD50,AllTriggers)</f>
        <v>1.0703514872891884E-3</v>
      </c>
      <c r="BG50" s="47">
        <f>_xll.qlPolynomialFunctionValue(BG$1,$BD50,AllTriggers)</f>
        <v>1.0475674308195483E-3</v>
      </c>
      <c r="BH50" s="47">
        <f>_xll.qlPolynomialFunctionValue(BH$1,$BD50,AllTriggers)</f>
        <v>1.0338612302900336E-3</v>
      </c>
      <c r="BI50" s="47">
        <f>_xll.qlPolynomialFunctionValue(BI$1,$BD50,AllTriggers)</f>
        <v>1.0427637715921727E-3</v>
      </c>
      <c r="BJ50" s="47">
        <f>_xll.qlPolynomialFunctionValue(BJ$1,$BD50,AllTriggers)</f>
        <v>1.0727231285934903E-3</v>
      </c>
      <c r="BK50" s="47">
        <f>_xll.qlPolynomialFunctionValue(BK$1,$BD50,AllTriggers)</f>
        <v>1.0484410466118346E-3</v>
      </c>
      <c r="BL50" s="47">
        <f>_xll.qlPolynomialFunctionValue(BL$1,$BD50,AllTriggers)</f>
        <v>1.0339964178356742E-3</v>
      </c>
      <c r="BM50" s="47">
        <f>_xll.qlPolynomialFunctionValue(BM$1,$BD50,AllTriggers)</f>
        <v>1.0317510025961579E-3</v>
      </c>
      <c r="BN50" s="47">
        <f>_xll.qlPolynomialFunctionValue(BN$1,$BD50,AllTriggers)</f>
        <v>1.0382382468714609E-3</v>
      </c>
      <c r="BO50" s="47">
        <f>_xll.qlPolynomialFunctionValue(BO$1,$BD50,AllTriggers)</f>
        <v>1.0421301319267343E-3</v>
      </c>
      <c r="BP50" s="47">
        <f>_xll.qlPolynomialFunctionValue(BP$1,$BD50,AllTriggers)</f>
        <v>1.036199835800263E-3</v>
      </c>
      <c r="BQ50" s="47">
        <f>_xll.qlPolynomialFunctionValue('3MSynthDepo_used'!$P$18,BD50,AllTriggers)</f>
        <v>1.0323809214763859E-3</v>
      </c>
    </row>
    <row r="51" spans="3:69" x14ac:dyDescent="0.2">
      <c r="D51" s="49" t="str">
        <f>_xll.qlIMMNextCode(D50,TRUE,Trigger)</f>
        <v>U6</v>
      </c>
      <c r="E51" s="181">
        <f>_xll.qlIMMdate(D51,SettlementDate,Trigger)</f>
        <v>42634</v>
      </c>
      <c r="F51" s="274">
        <f>_xll.qlInterestRateIndexMaturity($D$25,E51,Trigger)</f>
        <v>42725</v>
      </c>
      <c r="G51" s="275">
        <f>_xll.qlTenorBasisForwardRate2(G$27,$E51,$F51,InterestRatesTrigger)</f>
        <v>-1.6461717870380329E-4</v>
      </c>
      <c r="H51" s="50">
        <f>_xll.qlTenorBasisTenorForwardRate(H$27,$E51,InterestRatesTrigger)</f>
        <v>-4.4764099889951156E-3</v>
      </c>
      <c r="I51" s="96"/>
      <c r="J51" s="96"/>
      <c r="K51" s="96"/>
      <c r="L51" s="96"/>
      <c r="M51" s="96"/>
      <c r="N51" s="96"/>
      <c r="O51" s="96"/>
      <c r="P51" s="96"/>
      <c r="Q51" s="96"/>
      <c r="R51" s="96"/>
      <c r="S51" s="50">
        <f>_xll.qlTenorBasisTenorForwardRate(S$27,$E51,InterestRatesTrigger)</f>
        <v>-7.1685834610702489E-4</v>
      </c>
      <c r="T51" s="276">
        <f>_xll.qlTenorBasisTenorForwardRate(T$27,$E51,InterestRatesTrigger)</f>
        <v>1.5447744227176535E-3</v>
      </c>
      <c r="U51" s="50">
        <f>_xll.qlTenorBasisTenorForwardRate(U$27,$E51,InterestRatesTrigger)</f>
        <v>-8.7198140504455863E-5</v>
      </c>
      <c r="V51" s="50">
        <f>_xll.qlTenorBasisTenorForwardRate(V$27,$E51,InterestRatesTrigger)</f>
        <v>-4.7227278441300882E-3</v>
      </c>
      <c r="W51" s="50">
        <f>_xll.qlTenorBasisTenorForwardRate(W$27,$E51,InterestRatesTrigger)</f>
        <v>-7.1574247898269217E-4</v>
      </c>
      <c r="X51" s="276">
        <f>_xll.qlTenorBasisTenorForwardRate(X$27,$E51,InterestRatesTrigger)</f>
        <v>1.6678841043879342E-3</v>
      </c>
      <c r="Y51" s="275">
        <f>_xll.qlTenorBasisTenorForwardRate(Y$27,$E51,InterestRatesTrigger)</f>
        <v>-4.9724172588453655E-4</v>
      </c>
      <c r="Z51" s="50">
        <f>_xll.qlTenorBasisTenorForwardRate(Z$27,$E51,InterestRatesTrigger)</f>
        <v>-1.1543631432954298E-3</v>
      </c>
      <c r="AA51" s="50">
        <f>_xll.qlTenorBasisTenorForwardRate(AA$27,$E51,InterestRatesTrigger)</f>
        <v>-5.9672992725742129E-4</v>
      </c>
      <c r="AB51" s="50">
        <f>_xll.qlTenorBasisTenorForwardRate(AB$27,$E51,InterestRatesTrigger)</f>
        <v>1.3942572899620655E-3</v>
      </c>
      <c r="AC51" s="276">
        <f>'3MSynthDepo_used'!AA30</f>
        <v>-6.2697999961680985E-4</v>
      </c>
      <c r="AD51" s="201">
        <f>'3MSynthDepo_used'!I22</f>
        <v>-6.250000000000977E-4</v>
      </c>
      <c r="BC51" s="178">
        <f>_xll.qlCalendarAdvance(Calendar,BC50,"1d","mf",,Trigger)</f>
        <v>42342</v>
      </c>
      <c r="BD51" s="41">
        <f>_xll.qlDayCounterYearFraction(DayCounter,SettlementDate,BC51,,,Trigger)</f>
        <v>0.17499999999999999</v>
      </c>
      <c r="BE51" s="47">
        <f>_xll.qlPolynomialFunctionValue(BE$1,$BD51,AllTriggers)</f>
        <v>1.042907303867036E-3</v>
      </c>
      <c r="BF51" s="47">
        <f>_xll.qlPolynomialFunctionValue(BF$1,$BD51,AllTriggers)</f>
        <v>1.0722831311947415E-3</v>
      </c>
      <c r="BG51" s="47">
        <f>_xll.qlPolynomialFunctionValue(BG$1,$BD51,AllTriggers)</f>
        <v>1.0481882112021907E-3</v>
      </c>
      <c r="BH51" s="47">
        <f>_xll.qlPolynomialFunctionValue(BH$1,$BD51,AllTriggers)</f>
        <v>1.0336934347517999E-3</v>
      </c>
      <c r="BI51" s="47">
        <f>_xll.qlPolynomialFunctionValue(BI$1,$BD51,AllTriggers)</f>
        <v>1.045277699824093E-3</v>
      </c>
      <c r="BJ51" s="47">
        <f>_xll.qlPolynomialFunctionValue(BJ$1,$BD51,AllTriggers)</f>
        <v>1.0746532470154726E-3</v>
      </c>
      <c r="BK51" s="47">
        <f>_xll.qlPolynomialFunctionValue(BK$1,$BD51,AllTriggers)</f>
        <v>1.0490625498372009E-3</v>
      </c>
      <c r="BL51" s="47">
        <f>_xll.qlPolynomialFunctionValue(BL$1,$BD51,AllTriggers)</f>
        <v>1.0338394680132236E-3</v>
      </c>
      <c r="BM51" s="47">
        <f>_xll.qlPolynomialFunctionValue(BM$1,$BD51,AllTriggers)</f>
        <v>1.0330742809365582E-3</v>
      </c>
      <c r="BN51" s="47">
        <f>_xll.qlPolynomialFunctionValue(BN$1,$BD51,AllTriggers)</f>
        <v>1.0397807885250288E-3</v>
      </c>
      <c r="BO51" s="47">
        <f>_xll.qlPolynomialFunctionValue(BO$1,$BD51,AllTriggers)</f>
        <v>1.0431255821395503E-3</v>
      </c>
      <c r="BP51" s="47">
        <f>_xll.qlPolynomialFunctionValue(BP$1,$BD51,AllTriggers)</f>
        <v>1.0360036374937012E-3</v>
      </c>
      <c r="BQ51" s="47">
        <f>_xll.qlPolynomialFunctionValue('3MSynthDepo_used'!$P$18,BD51,AllTriggers)</f>
        <v>1.03403341252413E-3</v>
      </c>
    </row>
    <row r="52" spans="3:69" x14ac:dyDescent="0.2">
      <c r="BC52" s="178">
        <f>_xll.qlCalendarAdvance(Calendar,BC51,"1d","mf",,Trigger)</f>
        <v>42345</v>
      </c>
      <c r="BD52" s="41">
        <f>_xll.qlDayCounterYearFraction(DayCounter,SettlementDate,BC52,,,Trigger)</f>
        <v>0.18333333333333332</v>
      </c>
      <c r="BE52" s="47">
        <f>_xll.qlPolynomialFunctionValue(BE$1,$BD52,AllTriggers)</f>
        <v>1.0500505523501182E-3</v>
      </c>
      <c r="BF52" s="47">
        <f>_xll.qlPolynomialFunctionValue(BF$1,$BD52,AllTriggers)</f>
        <v>1.0776286239892602E-3</v>
      </c>
      <c r="BG52" s="47">
        <f>_xll.qlPolynomialFunctionValue(BG$1,$BD52,AllTriggers)</f>
        <v>1.050050552350118E-3</v>
      </c>
      <c r="BH52" s="47">
        <f>_xll.qlPolynomialFunctionValue(BH$1,$BD52,AllTriggers)</f>
        <v>1.033460417024256E-3</v>
      </c>
      <c r="BI52" s="47">
        <f>_xll.qlPolynomialFunctionValue(BI$1,$BD52,AllTriggers)</f>
        <v>1.0528194845198541E-3</v>
      </c>
      <c r="BJ52" s="47">
        <f>_xll.qlPolynomialFunctionValue(BJ$1,$BD52,AllTriggers)</f>
        <v>1.0799677422099227E-3</v>
      </c>
      <c r="BK52" s="47">
        <f>_xll.qlPolynomialFunctionValue(BK$1,$BD52,AllTriggers)</f>
        <v>1.0509270595132996E-3</v>
      </c>
      <c r="BL52" s="47">
        <f>_xll.qlPolynomialFunctionValue(BL$1,$BD52,AllTriggers)</f>
        <v>1.0336516923814415E-3</v>
      </c>
      <c r="BM52" s="47">
        <f>_xll.qlPolynomialFunctionValue(BM$1,$BD52,AllTriggers)</f>
        <v>1.0370441159577594E-3</v>
      </c>
      <c r="BN52" s="47">
        <f>_xll.qlPolynomialFunctionValue(BN$1,$BD52,AllTriggers)</f>
        <v>1.0443299424055938E-3</v>
      </c>
      <c r="BO52" s="47">
        <f>_xll.qlPolynomialFunctionValue(BO$1,$BD52,AllTriggers)</f>
        <v>1.0461119327779982E-3</v>
      </c>
      <c r="BP52" s="47">
        <f>_xll.qlPolynomialFunctionValue(BP$1,$BD52,AllTriggers)</f>
        <v>1.0356701517590583E-3</v>
      </c>
      <c r="BQ52" s="47">
        <f>_xll.qlPolynomialFunctionValue('3MSynthDepo_used'!$P$18,BD52,AllTriggers)</f>
        <v>1.0389576361362544E-3</v>
      </c>
    </row>
    <row r="53" spans="3:69" x14ac:dyDescent="0.2">
      <c r="F53" s="125" t="s">
        <v>69</v>
      </c>
      <c r="G53" s="125" t="s">
        <v>68</v>
      </c>
      <c r="H53" s="121"/>
      <c r="S53" s="121"/>
      <c r="T53" s="121"/>
      <c r="U53" s="121"/>
      <c r="V53" s="121"/>
      <c r="W53" s="121"/>
      <c r="X53" s="121"/>
      <c r="Y53" s="121"/>
      <c r="Z53" s="121"/>
      <c r="AA53" s="121"/>
      <c r="AB53" s="120"/>
      <c r="AC53" s="256"/>
      <c r="BC53" s="178">
        <f>_xll.qlCalendarAdvance(Calendar,BC52,"1d","mf",,Trigger)</f>
        <v>42346</v>
      </c>
      <c r="BD53" s="41">
        <f>_xll.qlDayCounterYearFraction(DayCounter,SettlementDate,BC53,,,Trigger)</f>
        <v>0.18611111111111112</v>
      </c>
      <c r="BE53" s="47">
        <f>_xll.qlPolynomialFunctionValue(BE$1,$BD53,AllTriggers)</f>
        <v>1.0524316351778122E-3</v>
      </c>
      <c r="BF53" s="47">
        <f>_xll.qlPolynomialFunctionValue(BF$1,$BD53,AllTriggers)</f>
        <v>1.0792606419467194E-3</v>
      </c>
      <c r="BG53" s="47">
        <f>_xll.qlPolynomialFunctionValue(BG$1,$BD53,AllTriggers)</f>
        <v>1.0506713327327604E-3</v>
      </c>
      <c r="BH53" s="47">
        <f>_xll.qlPolynomialFunctionValue(BH$1,$BD53,AllTriggers)</f>
        <v>1.0334728674107939E-3</v>
      </c>
      <c r="BI53" s="47">
        <f>_xll.qlPolynomialFunctionValue(BI$1,$BD53,AllTriggers)</f>
        <v>1.0553334127517745E-3</v>
      </c>
      <c r="BJ53" s="47">
        <f>_xll.qlPolynomialFunctionValue(BJ$1,$BD53,AllTriggers)</f>
        <v>1.0815806205842406E-3</v>
      </c>
      <c r="BK53" s="47">
        <f>_xll.qlPolynomialFunctionValue(BK$1,$BD53,AllTriggers)</f>
        <v>1.0515485627386658E-3</v>
      </c>
      <c r="BL53" s="47">
        <f>_xll.qlPolynomialFunctionValue(BL$1,$BD53,AllTriggers)</f>
        <v>1.0336834584493706E-3</v>
      </c>
      <c r="BM53" s="47">
        <f>_xll.qlPolynomialFunctionValue(BM$1,$BD53,AllTriggers)</f>
        <v>1.0383673942981598E-3</v>
      </c>
      <c r="BN53" s="47">
        <f>_xll.qlPolynomialFunctionValue(BN$1,$BD53,AllTriggers)</f>
        <v>1.0458201700057359E-3</v>
      </c>
      <c r="BO53" s="47">
        <f>_xll.qlPolynomialFunctionValue(BO$1,$BD53,AllTriggers)</f>
        <v>1.0471073829908142E-3</v>
      </c>
      <c r="BP53" s="47">
        <f>_xll.qlPolynomialFunctionValue(BP$1,$BD53,AllTriggers)</f>
        <v>1.0356440262425243E-3</v>
      </c>
      <c r="BQ53" s="47">
        <f>_xll.qlPolynomialFunctionValue('3MSynthDepo_used'!$P$18,BD53,AllTriggers)</f>
        <v>1.0405879987055448E-3</v>
      </c>
    </row>
    <row r="54" spans="3:69" x14ac:dyDescent="0.2">
      <c r="F54" s="189" t="str">
        <f>C42&amp;"x"&amp;C42+SUBSTITUTE($D$24,"M","")&amp;"F"</f>
        <v>0x3F</v>
      </c>
      <c r="G54" s="156">
        <f>$AD42-G42</f>
        <v>4.6174135319164953E-5</v>
      </c>
      <c r="H54" s="156">
        <f t="shared" ref="H54:AC54" si="14">$AD42-H42</f>
        <v>4.5901255223623858E-5</v>
      </c>
      <c r="I54" s="19">
        <f t="shared" si="14"/>
        <v>-4.0000000000000002E-4</v>
      </c>
      <c r="J54" s="19">
        <f t="shared" si="14"/>
        <v>-4.0000000000000002E-4</v>
      </c>
      <c r="K54" s="19">
        <f t="shared" si="14"/>
        <v>-4.0000000000000002E-4</v>
      </c>
      <c r="L54" s="19">
        <f t="shared" si="14"/>
        <v>-4.0000000000000002E-4</v>
      </c>
      <c r="M54" s="19">
        <f t="shared" si="14"/>
        <v>-4.0000000000000002E-4</v>
      </c>
      <c r="N54" s="19">
        <f t="shared" si="14"/>
        <v>-4.0000000000000002E-4</v>
      </c>
      <c r="O54" s="19">
        <f t="shared" si="14"/>
        <v>-4.0000000000000002E-4</v>
      </c>
      <c r="P54" s="19">
        <f t="shared" si="14"/>
        <v>-4.0000000000000002E-4</v>
      </c>
      <c r="Q54" s="19">
        <f t="shared" si="14"/>
        <v>-4.0000000000000002E-4</v>
      </c>
      <c r="R54" s="19">
        <f t="shared" si="14"/>
        <v>-4.0000000000000002E-4</v>
      </c>
      <c r="S54" s="156">
        <f t="shared" si="14"/>
        <v>1.2072551115884281E-5</v>
      </c>
      <c r="T54" s="157">
        <f t="shared" si="14"/>
        <v>-8.2779199604921189E-6</v>
      </c>
      <c r="U54" s="158">
        <f t="shared" si="14"/>
        <v>4.6016997462395735E-5</v>
      </c>
      <c r="V54" s="156">
        <f t="shared" si="14"/>
        <v>4.5659533733990901E-5</v>
      </c>
      <c r="W54" s="156">
        <f t="shared" si="14"/>
        <v>1.1222147208165927E-5</v>
      </c>
      <c r="X54" s="157">
        <f t="shared" si="14"/>
        <v>-9.2636921881681885E-6</v>
      </c>
      <c r="Y54" s="158">
        <f t="shared" si="14"/>
        <v>3.8508597819939471E-5</v>
      </c>
      <c r="Z54" s="240">
        <f t="shared" si="14"/>
        <v>4.1792189775299393E-5</v>
      </c>
      <c r="AA54" s="156">
        <f t="shared" si="14"/>
        <v>2.3215133034730192E-5</v>
      </c>
      <c r="AB54" s="156">
        <f t="shared" si="14"/>
        <v>-9.7976133039983271E-6</v>
      </c>
      <c r="AC54" s="156">
        <f t="shared" si="14"/>
        <v>4.5714194648508984E-5</v>
      </c>
      <c r="BC54" s="178">
        <f>_xll.qlCalendarAdvance(Calendar,BC53,"1d","mf",,Trigger)</f>
        <v>42347</v>
      </c>
      <c r="BD54" s="41">
        <f>_xll.qlDayCounterYearFraction(DayCounter,SettlementDate,BC54,,,Trigger)</f>
        <v>0.18888888888888888</v>
      </c>
      <c r="BE54" s="47">
        <f>_xll.qlPolynomialFunctionValue(BE$1,$BD54,AllTriggers)</f>
        <v>1.0548127180055062E-3</v>
      </c>
      <c r="BF54" s="47">
        <f>_xll.qlPolynomialFunctionValue(BF$1,$BD54,AllTriggers)</f>
        <v>1.0808177534171552E-3</v>
      </c>
      <c r="BG54" s="47">
        <f>_xll.qlPolynomialFunctionValue(BG$1,$BD54,AllTriggers)</f>
        <v>1.0512921131154026E-3</v>
      </c>
      <c r="BH54" s="47">
        <f>_xll.qlPolynomialFunctionValue(BH$1,$BD54,AllTriggers)</f>
        <v>1.0335303792785248E-3</v>
      </c>
      <c r="BI54" s="47">
        <f>_xll.qlPolynomialFunctionValue(BI$1,$BD54,AllTriggers)</f>
        <v>1.0578473409836951E-3</v>
      </c>
      <c r="BJ54" s="47">
        <f>_xll.qlPolynomialFunctionValue(BJ$1,$BD54,AllTriggers)</f>
        <v>1.0831141889466427E-3</v>
      </c>
      <c r="BK54" s="47">
        <f>_xll.qlPolynomialFunctionValue(BK$1,$BD54,AllTriggers)</f>
        <v>1.0521700659640323E-3</v>
      </c>
      <c r="BL54" s="47">
        <f>_xll.qlPolynomialFunctionValue(BL$1,$BD54,AllTriggers)</f>
        <v>1.0337624034898948E-3</v>
      </c>
      <c r="BM54" s="47">
        <f>_xll.qlPolynomialFunctionValue(BM$1,$BD54,AllTriggers)</f>
        <v>1.0396906726385601E-3</v>
      </c>
      <c r="BN54" s="47">
        <f>_xll.qlPolynomialFunctionValue(BN$1,$BD54,AllTriggers)</f>
        <v>1.0472973190925215E-3</v>
      </c>
      <c r="BO54" s="47">
        <f>_xll.qlPolynomialFunctionValue(BO$1,$BD54,AllTriggers)</f>
        <v>1.0481028332036302E-3</v>
      </c>
      <c r="BP54" s="47">
        <f>_xll.qlPolynomialFunctionValue(BP$1,$BD54,AllTriggers)</f>
        <v>1.0356604189234978E-3</v>
      </c>
      <c r="BQ54" s="47">
        <f>_xll.qlPolynomialFunctionValue('3MSynthDepo_used'!$P$18,BD54,AllTriggers)</f>
        <v>1.0422128575619354E-3</v>
      </c>
    </row>
    <row r="55" spans="3:69" x14ac:dyDescent="0.2">
      <c r="F55" s="190" t="str">
        <f>C43&amp;"x"&amp;C43+SUBSTITUTE($D$24,"M","")&amp;"F"</f>
        <v>1x4F</v>
      </c>
      <c r="G55" s="47">
        <f t="shared" ref="G55:AC55" si="15">$AD43-G43</f>
        <v>-2.4075772691405897E-6</v>
      </c>
      <c r="H55" s="47">
        <f t="shared" si="15"/>
        <v>6.3711141811541392E-6</v>
      </c>
      <c r="I55" s="19">
        <f t="shared" si="15"/>
        <v>-4.6000000000000001E-4</v>
      </c>
      <c r="J55" s="19">
        <f t="shared" si="15"/>
        <v>-4.6000000000000001E-4</v>
      </c>
      <c r="K55" s="19">
        <f t="shared" si="15"/>
        <v>-4.6000000000000001E-4</v>
      </c>
      <c r="L55" s="19">
        <f t="shared" si="15"/>
        <v>-4.6000000000000001E-4</v>
      </c>
      <c r="M55" s="19">
        <f t="shared" si="15"/>
        <v>-4.6000000000000001E-4</v>
      </c>
      <c r="N55" s="19">
        <f t="shared" si="15"/>
        <v>-4.6000000000000001E-4</v>
      </c>
      <c r="O55" s="19">
        <f t="shared" si="15"/>
        <v>-4.6000000000000001E-4</v>
      </c>
      <c r="P55" s="19">
        <f t="shared" si="15"/>
        <v>-4.6000000000000001E-4</v>
      </c>
      <c r="Q55" s="19">
        <f t="shared" si="15"/>
        <v>-4.6000000000000001E-4</v>
      </c>
      <c r="R55" s="19">
        <f t="shared" si="15"/>
        <v>-4.6000000000000001E-4</v>
      </c>
      <c r="S55" s="47">
        <f t="shared" si="15"/>
        <v>1.4857118961765633E-5</v>
      </c>
      <c r="T55" s="154">
        <f t="shared" si="15"/>
        <v>1.9962034382584178E-5</v>
      </c>
      <c r="U55" s="155">
        <f t="shared" si="15"/>
        <v>-6.4411857502779399E-6</v>
      </c>
      <c r="V55" s="47">
        <f t="shared" si="15"/>
        <v>5.9350457788970475E-6</v>
      </c>
      <c r="W55" s="47">
        <f t="shared" si="15"/>
        <v>1.3985634076639497E-5</v>
      </c>
      <c r="X55" s="154">
        <f t="shared" si="15"/>
        <v>1.8774661996518685E-5</v>
      </c>
      <c r="Y55" s="155">
        <f t="shared" si="15"/>
        <v>2.079387871730293E-5</v>
      </c>
      <c r="Z55" s="200">
        <f t="shared" si="15"/>
        <v>1.6969893090023247E-5</v>
      </c>
      <c r="AA55" s="47">
        <f t="shared" si="15"/>
        <v>1.5066634362446464E-5</v>
      </c>
      <c r="AB55" s="47">
        <f t="shared" si="15"/>
        <v>1.9133213242603488E-5</v>
      </c>
      <c r="AC55" s="47">
        <f t="shared" si="15"/>
        <v>1.7962779766377934E-5</v>
      </c>
      <c r="BC55" s="178">
        <f>_xll.qlCalendarAdvance(Calendar,BC54,"1d","mf",,Trigger)</f>
        <v>42348</v>
      </c>
      <c r="BD55" s="41">
        <f>_xll.qlDayCounterYearFraction(DayCounter,SettlementDate,BC55,,,Trigger)</f>
        <v>0.19166666666666668</v>
      </c>
      <c r="BE55" s="47">
        <f>_xll.qlPolynomialFunctionValue(BE$1,$BD55,AllTriggers)</f>
        <v>1.0571938008332002E-3</v>
      </c>
      <c r="BF55" s="47">
        <f>_xll.qlPolynomialFunctionValue(BF$1,$BD55,AllTriggers)</f>
        <v>1.0822999584005676E-3</v>
      </c>
      <c r="BG55" s="47">
        <f>_xll.qlPolynomialFunctionValue(BG$1,$BD55,AllTriggers)</f>
        <v>1.051912893498045E-3</v>
      </c>
      <c r="BH55" s="47">
        <f>_xll.qlPolynomialFunctionValue(BH$1,$BD55,AllTriggers)</f>
        <v>1.0336329526274485E-3</v>
      </c>
      <c r="BI55" s="47">
        <f>_xll.qlPolynomialFunctionValue(BI$1,$BD55,AllTriggers)</f>
        <v>1.0603612692156154E-3</v>
      </c>
      <c r="BJ55" s="47">
        <f>_xll.qlPolynomialFunctionValue(BJ$1,$BD55,AllTriggers)</f>
        <v>1.0845684472971281E-3</v>
      </c>
      <c r="BK55" s="47">
        <f>_xll.qlPolynomialFunctionValue(BK$1,$BD55,AllTriggers)</f>
        <v>1.0527915691893985E-3</v>
      </c>
      <c r="BL55" s="47">
        <f>_xll.qlPolynomialFunctionValue(BL$1,$BD55,AllTriggers)</f>
        <v>1.0338885275030139E-3</v>
      </c>
      <c r="BM55" s="47">
        <f>_xll.qlPolynomialFunctionValue(BM$1,$BD55,AllTriggers)</f>
        <v>1.0410139509789604E-3</v>
      </c>
      <c r="BN55" s="47">
        <f>_xll.qlPolynomialFunctionValue(BN$1,$BD55,AllTriggers)</f>
        <v>1.048761389665951E-3</v>
      </c>
      <c r="BO55" s="47">
        <f>_xll.qlPolynomialFunctionValue(BO$1,$BD55,AllTriggers)</f>
        <v>1.0490982834164462E-3</v>
      </c>
      <c r="BP55" s="47">
        <f>_xll.qlPolynomialFunctionValue(BP$1,$BD55,AllTriggers)</f>
        <v>1.0357193298019779E-3</v>
      </c>
      <c r="BQ55" s="47">
        <f>_xll.qlPolynomialFunctionValue('3MSynthDepo_used'!$P$18,BD55,AllTriggers)</f>
        <v>1.0438322240681119E-3</v>
      </c>
    </row>
    <row r="56" spans="3:69" x14ac:dyDescent="0.2">
      <c r="F56" s="190" t="str">
        <f t="shared" ref="F56:F57" si="16">C44&amp;"x"&amp;C44+SUBSTITUTE($D$24,"M","")&amp;"F"</f>
        <v>2x5F</v>
      </c>
      <c r="G56" s="47">
        <f t="shared" ref="G56:AC56" si="17">$AD44-G44</f>
        <v>-4.6028387428714206E-5</v>
      </c>
      <c r="H56" s="47">
        <f t="shared" si="17"/>
        <v>3.526556358039246E-5</v>
      </c>
      <c r="I56" s="19">
        <f t="shared" si="17"/>
        <v>-4.8999999999999998E-4</v>
      </c>
      <c r="J56" s="19">
        <f t="shared" si="17"/>
        <v>-4.8999999999999998E-4</v>
      </c>
      <c r="K56" s="19">
        <f t="shared" si="17"/>
        <v>-4.8999999999999998E-4</v>
      </c>
      <c r="L56" s="19">
        <f t="shared" si="17"/>
        <v>-4.8999999999999998E-4</v>
      </c>
      <c r="M56" s="19">
        <f t="shared" si="17"/>
        <v>-4.8999999999999998E-4</v>
      </c>
      <c r="N56" s="19">
        <f t="shared" si="17"/>
        <v>-4.8999999999999998E-4</v>
      </c>
      <c r="O56" s="19">
        <f t="shared" si="17"/>
        <v>-4.8999999999999998E-4</v>
      </c>
      <c r="P56" s="19">
        <f t="shared" si="17"/>
        <v>-4.8999999999999998E-4</v>
      </c>
      <c r="Q56" s="19">
        <f t="shared" si="17"/>
        <v>-4.8999999999999998E-4</v>
      </c>
      <c r="R56" s="19">
        <f t="shared" si="17"/>
        <v>-4.8999999999999998E-4</v>
      </c>
      <c r="S56" s="47">
        <f t="shared" si="17"/>
        <v>2.1746134978721456E-5</v>
      </c>
      <c r="T56" s="154">
        <f t="shared" si="17"/>
        <v>1.3613232619239402E-5</v>
      </c>
      <c r="U56" s="155">
        <f t="shared" si="17"/>
        <v>-5.387389940769195E-5</v>
      </c>
      <c r="V56" s="47">
        <f t="shared" si="17"/>
        <v>3.8378066341413744E-5</v>
      </c>
      <c r="W56" s="47">
        <f t="shared" si="17"/>
        <v>2.0853916104115458E-5</v>
      </c>
      <c r="X56" s="154">
        <f t="shared" si="17"/>
        <v>1.0429326513442753E-5</v>
      </c>
      <c r="Y56" s="155">
        <f t="shared" si="17"/>
        <v>7.5256276922741139E-6</v>
      </c>
      <c r="Z56" s="200">
        <f t="shared" si="17"/>
        <v>7.8195270151746113E-6</v>
      </c>
      <c r="AA56" s="47">
        <f t="shared" si="17"/>
        <v>1.1205006796524632E-5</v>
      </c>
      <c r="AB56" s="47">
        <f t="shared" si="17"/>
        <v>1.5623621983232587E-5</v>
      </c>
      <c r="AC56" s="47">
        <f t="shared" si="17"/>
        <v>-5.7818335279561338E-7</v>
      </c>
      <c r="BC56" s="178">
        <f>_xll.qlCalendarAdvance(Calendar,BC55,"1d","mf",,Trigger)</f>
        <v>42349</v>
      </c>
      <c r="BD56" s="41">
        <f>_xll.qlDayCounterYearFraction(DayCounter,SettlementDate,BC56,,,Trigger)</f>
        <v>0.19444444444444445</v>
      </c>
      <c r="BE56" s="47">
        <f>_xll.qlPolynomialFunctionValue(BE$1,$BD56,AllTriggers)</f>
        <v>1.0595748836608942E-3</v>
      </c>
      <c r="BF56" s="47">
        <f>_xll.qlPolynomialFunctionValue(BF$1,$BD56,AllTriggers)</f>
        <v>1.0837072568969563E-3</v>
      </c>
      <c r="BG56" s="47">
        <f>_xll.qlPolynomialFunctionValue(BG$1,$BD56,AllTriggers)</f>
        <v>1.0525336738806874E-3</v>
      </c>
      <c r="BH56" s="47">
        <f>_xll.qlPolynomialFunctionValue(BH$1,$BD56,AllTriggers)</f>
        <v>1.0337805874575652E-3</v>
      </c>
      <c r="BI56" s="47">
        <f>_xll.qlPolynomialFunctionValue(BI$1,$BD56,AllTriggers)</f>
        <v>1.0628751974475358E-3</v>
      </c>
      <c r="BJ56" s="47">
        <f>_xll.qlPolynomialFunctionValue(BJ$1,$BD56,AllTriggers)</f>
        <v>1.0859433956356976E-3</v>
      </c>
      <c r="BK56" s="47">
        <f>_xll.qlPolynomialFunctionValue(BK$1,$BD56,AllTriggers)</f>
        <v>1.0534130724147647E-3</v>
      </c>
      <c r="BL56" s="47">
        <f>_xll.qlPolynomialFunctionValue(BL$1,$BD56,AllTriggers)</f>
        <v>1.0340618304887281E-3</v>
      </c>
      <c r="BM56" s="47">
        <f>_xll.qlPolynomialFunctionValue(BM$1,$BD56,AllTriggers)</f>
        <v>1.042337229319361E-3</v>
      </c>
      <c r="BN56" s="47">
        <f>_xll.qlPolynomialFunctionValue(BN$1,$BD56,AllTriggers)</f>
        <v>1.0502123817260239E-3</v>
      </c>
      <c r="BO56" s="47">
        <f>_xll.qlPolynomialFunctionValue(BO$1,$BD56,AllTriggers)</f>
        <v>1.0500937336292621E-3</v>
      </c>
      <c r="BP56" s="47">
        <f>_xll.qlPolynomialFunctionValue(BP$1,$BD56,AllTriggers)</f>
        <v>1.035820758877965E-3</v>
      </c>
      <c r="BQ56" s="47">
        <f>_xll.qlPolynomialFunctionValue('3MSynthDepo_used'!$P$18,BD56,AllTriggers)</f>
        <v>1.0454461095867592E-3</v>
      </c>
    </row>
    <row r="57" spans="3:69" x14ac:dyDescent="0.2">
      <c r="F57" s="190" t="str">
        <f t="shared" si="16"/>
        <v>3x6F</v>
      </c>
      <c r="G57" s="47">
        <f t="shared" ref="G57:AC57" si="18">$AD45-G45</f>
        <v>-4.9325802707386474E-5</v>
      </c>
      <c r="H57" s="47">
        <f t="shared" si="18"/>
        <v>1.8780001475509505E-4</v>
      </c>
      <c r="I57" s="19">
        <f t="shared" si="18"/>
        <v>-5.2999999999999998E-4</v>
      </c>
      <c r="J57" s="19">
        <f t="shared" si="18"/>
        <v>-5.2999999999999998E-4</v>
      </c>
      <c r="K57" s="19">
        <f t="shared" si="18"/>
        <v>-5.2999999999999998E-4</v>
      </c>
      <c r="L57" s="19">
        <f t="shared" si="18"/>
        <v>-5.2999999999999998E-4</v>
      </c>
      <c r="M57" s="19">
        <f t="shared" si="18"/>
        <v>-5.2999999999999998E-4</v>
      </c>
      <c r="N57" s="19">
        <f t="shared" si="18"/>
        <v>-5.2999999999999998E-4</v>
      </c>
      <c r="O57" s="19">
        <f t="shared" si="18"/>
        <v>-5.2999999999999998E-4</v>
      </c>
      <c r="P57" s="19">
        <f t="shared" si="18"/>
        <v>-5.2999999999999998E-4</v>
      </c>
      <c r="Q57" s="19">
        <f t="shared" si="18"/>
        <v>-5.2999999999999998E-4</v>
      </c>
      <c r="R57" s="19">
        <f t="shared" si="18"/>
        <v>-5.2999999999999998E-4</v>
      </c>
      <c r="S57" s="47">
        <f t="shared" si="18"/>
        <v>7.4949228193405514E-5</v>
      </c>
      <c r="T57" s="154">
        <f t="shared" si="18"/>
        <v>7.060050868761057E-6</v>
      </c>
      <c r="U57" s="155">
        <f t="shared" si="18"/>
        <v>-6.1435348665018498E-5</v>
      </c>
      <c r="V57" s="47">
        <f t="shared" si="18"/>
        <v>1.9927403895574904E-4</v>
      </c>
      <c r="W57" s="47">
        <f t="shared" si="18"/>
        <v>7.4033829127845958E-5</v>
      </c>
      <c r="X57" s="154">
        <f t="shared" si="18"/>
        <v>-4.6942055385412306E-7</v>
      </c>
      <c r="Y57" s="155">
        <f t="shared" si="18"/>
        <v>1.9549451182443943E-5</v>
      </c>
      <c r="Z57" s="200">
        <f t="shared" si="18"/>
        <v>3.9821554474158967E-5</v>
      </c>
      <c r="AA57" s="47">
        <f t="shared" si="18"/>
        <v>3.4646609081817798E-5</v>
      </c>
      <c r="AB57" s="47">
        <f t="shared" si="18"/>
        <v>-9.2070799044382179E-6</v>
      </c>
      <c r="AC57" s="47">
        <f t="shared" si="18"/>
        <v>2.9227356148487163E-5</v>
      </c>
      <c r="BC57" s="178">
        <f>_xll.qlCalendarAdvance(Calendar,BC56,"1d","mf",,Trigger)</f>
        <v>42352</v>
      </c>
      <c r="BD57" s="41">
        <f>_xll.qlDayCounterYearFraction(DayCounter,SettlementDate,BC57,,,Trigger)</f>
        <v>0.20277777777777778</v>
      </c>
      <c r="BE57" s="47">
        <f>_xll.qlPolynomialFunctionValue(BE$1,$BD57,AllTriggers)</f>
        <v>1.0667181321439765E-3</v>
      </c>
      <c r="BF57" s="47">
        <f>_xll.qlPolynomialFunctionValue(BF$1,$BD57,AllTriggers)</f>
        <v>1.087479713463982E-3</v>
      </c>
      <c r="BG57" s="47">
        <f>_xll.qlPolynomialFunctionValue(BG$1,$BD57,AllTriggers)</f>
        <v>1.0543960150286146E-3</v>
      </c>
      <c r="BH57" s="47">
        <f>_xll.qlPolynomialFunctionValue(BH$1,$BD57,AllTriggers)</f>
        <v>1.034493860835073E-3</v>
      </c>
      <c r="BI57" s="47">
        <f>_xll.qlPolynomialFunctionValue(BI$1,$BD57,AllTriggers)</f>
        <v>1.0704169821432968E-3</v>
      </c>
      <c r="BJ57" s="47">
        <f>_xll.qlPolynomialFunctionValue(BJ$1,$BD57,AllTriggers)</f>
        <v>1.0895923805799095E-3</v>
      </c>
      <c r="BK57" s="47">
        <f>_xll.qlPolynomialFunctionValue(BK$1,$BD57,AllTriggers)</f>
        <v>1.0552775820908634E-3</v>
      </c>
      <c r="BL57" s="47">
        <f>_xll.qlPolynomialFunctionValue(BL$1,$BD57,AllTriggers)</f>
        <v>1.0348648132814399E-3</v>
      </c>
      <c r="BM57" s="47">
        <f>_xll.qlPolynomialFunctionValue(BM$1,$BD57,AllTriggers)</f>
        <v>1.046307064340562E-3</v>
      </c>
      <c r="BN57" s="47">
        <f>_xll.qlPolynomialFunctionValue(BN$1,$BD57,AllTriggers)</f>
        <v>1.054486886826104E-3</v>
      </c>
      <c r="BO57" s="47">
        <f>_xll.qlPolynomialFunctionValue(BO$1,$BD57,AllTriggers)</f>
        <v>1.0530800842677101E-3</v>
      </c>
      <c r="BP57" s="47">
        <f>_xll.qlPolynomialFunctionValue(BP$1,$BD57,AllTriggers)</f>
        <v>1.0363801552909686E-3</v>
      </c>
      <c r="BQ57" s="47">
        <f>_xll.qlPolynomialFunctionValue('3MSynthDepo_used'!$P$18,BD57,AllTriggers)</f>
        <v>1.0502549938443825E-3</v>
      </c>
    </row>
    <row r="58" spans="3:69" x14ac:dyDescent="0.2">
      <c r="F58" s="278" t="str">
        <f>D46</f>
        <v>V5</v>
      </c>
      <c r="G58" s="52">
        <f t="shared" ref="G58:AC58" si="19">$AD46-G46</f>
        <v>1.9076703854911128E-5</v>
      </c>
      <c r="H58" s="52">
        <f t="shared" si="19"/>
        <v>4.3705707950003093E-7</v>
      </c>
      <c r="I58" s="93">
        <f t="shared" si="19"/>
        <v>-4.2500000000011973E-4</v>
      </c>
      <c r="J58" s="93">
        <f t="shared" si="19"/>
        <v>-4.2500000000011973E-4</v>
      </c>
      <c r="K58" s="93">
        <f t="shared" si="19"/>
        <v>-4.2500000000011973E-4</v>
      </c>
      <c r="L58" s="93">
        <f t="shared" si="19"/>
        <v>-4.2500000000011973E-4</v>
      </c>
      <c r="M58" s="93">
        <f t="shared" si="19"/>
        <v>-4.2500000000011973E-4</v>
      </c>
      <c r="N58" s="93">
        <f t="shared" si="19"/>
        <v>-4.2500000000011973E-4</v>
      </c>
      <c r="O58" s="93">
        <f t="shared" si="19"/>
        <v>-4.2500000000011973E-4</v>
      </c>
      <c r="P58" s="93">
        <f t="shared" si="19"/>
        <v>-4.2500000000011973E-4</v>
      </c>
      <c r="Q58" s="93">
        <f t="shared" si="19"/>
        <v>-4.2500000000011973E-4</v>
      </c>
      <c r="R58" s="93">
        <f t="shared" si="19"/>
        <v>-4.2500000000011973E-4</v>
      </c>
      <c r="S58" s="52">
        <f t="shared" si="19"/>
        <v>1.6157297630424797E-7</v>
      </c>
      <c r="T58" s="273">
        <f t="shared" si="19"/>
        <v>-4.1499434103985794E-9</v>
      </c>
      <c r="U58" s="272">
        <f t="shared" si="19"/>
        <v>-2.1146220819761013E-6</v>
      </c>
      <c r="V58" s="52">
        <f t="shared" si="19"/>
        <v>-2.8508938075067283E-7</v>
      </c>
      <c r="W58" s="52">
        <f t="shared" si="19"/>
        <v>-7.1474604973020654E-7</v>
      </c>
      <c r="X58" s="273">
        <f t="shared" si="19"/>
        <v>-9.7033496872364275E-7</v>
      </c>
      <c r="Y58" s="272">
        <f t="shared" si="19"/>
        <v>1.3350851302873761E-5</v>
      </c>
      <c r="Z58" s="199">
        <f t="shared" si="19"/>
        <v>1.0925695053663016E-5</v>
      </c>
      <c r="AA58" s="52">
        <f t="shared" si="19"/>
        <v>4.1977093535377694E-6</v>
      </c>
      <c r="AB58" s="52">
        <f t="shared" si="19"/>
        <v>-1.2871555851868676E-6</v>
      </c>
      <c r="AC58" s="52">
        <f t="shared" si="19"/>
        <v>1.3549717029868492E-5</v>
      </c>
      <c r="BC58" s="178">
        <f>_xll.qlCalendarAdvance(Calendar,BC57,"1d","mf",,Trigger)</f>
        <v>42353</v>
      </c>
      <c r="BD58" s="41">
        <f>_xll.qlDayCounterYearFraction(DayCounter,SettlementDate,BC58,,,Trigger)</f>
        <v>0.20555555555555555</v>
      </c>
      <c r="BE58" s="47">
        <f>_xll.qlPolynomialFunctionValue(BE$1,$BD58,AllTriggers)</f>
        <v>1.0690992149716705E-3</v>
      </c>
      <c r="BF58" s="47">
        <f>_xll.qlPolynomialFunctionValue(BF$1,$BD58,AllTriggers)</f>
        <v>1.0885873860122773E-3</v>
      </c>
      <c r="BG58" s="47">
        <f>_xll.qlPolynomialFunctionValue(BG$1,$BD58,AllTriggers)</f>
        <v>1.055016795411257E-3</v>
      </c>
      <c r="BH58" s="47">
        <f>_xll.qlPolynomialFunctionValue(BH$1,$BD58,AllTriggers)</f>
        <v>1.0348217415899613E-3</v>
      </c>
      <c r="BI58" s="47">
        <f>_xll.qlPolynomialFunctionValue(BI$1,$BD58,AllTriggers)</f>
        <v>1.0729309103752172E-3</v>
      </c>
      <c r="BJ58" s="47">
        <f>_xll.qlPolynomialFunctionValue(BJ$1,$BD58,AllTriggers)</f>
        <v>1.0906500888708144E-3</v>
      </c>
      <c r="BK58" s="47">
        <f>_xll.qlPolynomialFunctionValue(BK$1,$BD58,AllTriggers)</f>
        <v>1.0558990853162297E-3</v>
      </c>
      <c r="BL58" s="47">
        <f>_xll.qlPolynomialFunctionValue(BL$1,$BD58,AllTriggers)</f>
        <v>1.0352268321575341E-3</v>
      </c>
      <c r="BM58" s="47">
        <f>_xll.qlPolynomialFunctionValue(BM$1,$BD58,AllTriggers)</f>
        <v>1.0476303426809625E-3</v>
      </c>
      <c r="BN58" s="47">
        <f>_xll.qlPolynomialFunctionValue(BN$1,$BD58,AllTriggers)</f>
        <v>1.055885564832751E-3</v>
      </c>
      <c r="BO58" s="47">
        <f>_xll.qlPolynomialFunctionValue(BO$1,$BD58,AllTriggers)</f>
        <v>1.054075534480526E-3</v>
      </c>
      <c r="BP58" s="47">
        <f>_xll.qlPolynomialFunctionValue(BP$1,$BD58,AllTriggers)</f>
        <v>1.0366516571569838E-3</v>
      </c>
      <c r="BQ58" s="47">
        <f>_xll.qlPolynomialFunctionValue('3MSynthDepo_used'!$P$18,BD58,AllTriggers)</f>
        <v>1.051847069039769E-3</v>
      </c>
    </row>
    <row r="59" spans="3:69" x14ac:dyDescent="0.2">
      <c r="F59" s="190" t="str">
        <f t="shared" ref="F59:F60" si="20">D47</f>
        <v>X5</v>
      </c>
      <c r="G59" s="47">
        <f t="shared" ref="G59:AC59" si="21">$AD47-G47</f>
        <v>-2.8371991513065299E-5</v>
      </c>
      <c r="H59" s="47">
        <f t="shared" si="21"/>
        <v>-2.5997869955354108E-7</v>
      </c>
      <c r="I59" s="21">
        <f t="shared" si="21"/>
        <v>-4.750000000000032E-4</v>
      </c>
      <c r="J59" s="21">
        <f t="shared" si="21"/>
        <v>-4.750000000000032E-4</v>
      </c>
      <c r="K59" s="21">
        <f t="shared" si="21"/>
        <v>-4.750000000000032E-4</v>
      </c>
      <c r="L59" s="21">
        <f t="shared" si="21"/>
        <v>-4.750000000000032E-4</v>
      </c>
      <c r="M59" s="21">
        <f t="shared" si="21"/>
        <v>-4.750000000000032E-4</v>
      </c>
      <c r="N59" s="21">
        <f t="shared" si="21"/>
        <v>-4.750000000000032E-4</v>
      </c>
      <c r="O59" s="21">
        <f t="shared" si="21"/>
        <v>-4.750000000000032E-4</v>
      </c>
      <c r="P59" s="21">
        <f t="shared" si="21"/>
        <v>-4.750000000000032E-4</v>
      </c>
      <c r="Q59" s="21">
        <f t="shared" si="21"/>
        <v>-4.750000000000032E-4</v>
      </c>
      <c r="R59" s="21">
        <f t="shared" si="21"/>
        <v>-4.750000000000032E-4</v>
      </c>
      <c r="S59" s="47">
        <f t="shared" si="21"/>
        <v>3.9968052033137816E-7</v>
      </c>
      <c r="T59" s="154">
        <f t="shared" si="21"/>
        <v>7.9651159213536479E-7</v>
      </c>
      <c r="U59" s="155">
        <f t="shared" si="21"/>
        <v>-5.4158515416639604E-5</v>
      </c>
      <c r="V59" s="47">
        <f t="shared" si="21"/>
        <v>1.133198317698151E-6</v>
      </c>
      <c r="W59" s="47">
        <f t="shared" si="21"/>
        <v>-4.9660084722787795E-7</v>
      </c>
      <c r="X59" s="154">
        <f t="shared" si="21"/>
        <v>-1.4661158968373635E-6</v>
      </c>
      <c r="Y59" s="155">
        <f t="shared" si="21"/>
        <v>-5.8115326988538753E-6</v>
      </c>
      <c r="Z59" s="200">
        <f t="shared" si="21"/>
        <v>-8.1345504924688027E-6</v>
      </c>
      <c r="AA59" s="47">
        <f t="shared" si="21"/>
        <v>-5.9112293713382662E-6</v>
      </c>
      <c r="AB59" s="47">
        <f t="shared" si="21"/>
        <v>1.4952761827372821E-6</v>
      </c>
      <c r="AC59" s="47">
        <f t="shared" si="21"/>
        <v>-1.2260196839985983E-5</v>
      </c>
      <c r="BC59" s="178">
        <f>_xll.qlCalendarAdvance(Calendar,BC58,"1d","mf",,Trigger)</f>
        <v>42354</v>
      </c>
      <c r="BD59" s="41">
        <f>_xll.qlDayCounterYearFraction(DayCounter,SettlementDate,BC59,,,Trigger)</f>
        <v>0.20833333333333334</v>
      </c>
      <c r="BE59" s="47">
        <f>_xll.qlPolynomialFunctionValue(BE$1,$BD59,AllTriggers)</f>
        <v>1.0714802977993645E-3</v>
      </c>
      <c r="BF59" s="47">
        <f>_xll.qlPolynomialFunctionValue(BF$1,$BD59,AllTriggers)</f>
        <v>1.0896201520735488E-3</v>
      </c>
      <c r="BG59" s="47">
        <f>_xll.qlPolynomialFunctionValue(BG$1,$BD59,AllTriggers)</f>
        <v>1.0556375757938994E-3</v>
      </c>
      <c r="BH59" s="47">
        <f>_xll.qlPolynomialFunctionValue(BH$1,$BD59,AllTriggers)</f>
        <v>1.0351946838260426E-3</v>
      </c>
      <c r="BI59" s="47">
        <f>_xll.qlPolynomialFunctionValue(BI$1,$BD59,AllTriggers)</f>
        <v>1.0754448386071376E-3</v>
      </c>
      <c r="BJ59" s="47">
        <f>_xll.qlPolynomialFunctionValue(BJ$1,$BD59,AllTriggers)</f>
        <v>1.0916284871498034E-3</v>
      </c>
      <c r="BK59" s="47">
        <f>_xll.qlPolynomialFunctionValue(BK$1,$BD59,AllTriggers)</f>
        <v>1.0565205885415959E-3</v>
      </c>
      <c r="BL59" s="47">
        <f>_xll.qlPolynomialFunctionValue(BL$1,$BD59,AllTriggers)</f>
        <v>1.0356360300062227E-3</v>
      </c>
      <c r="BM59" s="47">
        <f>_xll.qlPolynomialFunctionValue(BM$1,$BD59,AllTriggers)</f>
        <v>1.0489536210213628E-3</v>
      </c>
      <c r="BN59" s="47">
        <f>_xll.qlPolynomialFunctionValue(BN$1,$BD59,AllTriggers)</f>
        <v>1.057271164326042E-3</v>
      </c>
      <c r="BO59" s="47">
        <f>_xll.qlPolynomialFunctionValue(BO$1,$BD59,AllTriggers)</f>
        <v>1.055070984693342E-3</v>
      </c>
      <c r="BP59" s="47">
        <f>_xll.qlPolynomialFunctionValue(BP$1,$BD59,AllTriggers)</f>
        <v>1.0369656772205057E-3</v>
      </c>
      <c r="BQ59" s="47">
        <f>_xll.qlPolynomialFunctionValue('3MSynthDepo_used'!$P$18,BD59,AllTriggers)</f>
        <v>1.0534337200610539E-3</v>
      </c>
    </row>
    <row r="60" spans="3:69" x14ac:dyDescent="0.2">
      <c r="F60" s="190" t="str">
        <f t="shared" si="20"/>
        <v>Z5</v>
      </c>
      <c r="G60" s="47">
        <f t="shared" ref="G60:AC60" si="22">$AD48-G48</f>
        <v>-3.9333602920643544E-5</v>
      </c>
      <c r="H60" s="47">
        <f t="shared" si="22"/>
        <v>9.1499942513946757E-5</v>
      </c>
      <c r="I60" s="21">
        <f t="shared" si="22"/>
        <v>-5.0000000000016698E-4</v>
      </c>
      <c r="J60" s="21">
        <f t="shared" si="22"/>
        <v>-5.0000000000016698E-4</v>
      </c>
      <c r="K60" s="21">
        <f t="shared" si="22"/>
        <v>-5.0000000000016698E-4</v>
      </c>
      <c r="L60" s="21">
        <f t="shared" si="22"/>
        <v>-5.0000000000016698E-4</v>
      </c>
      <c r="M60" s="21">
        <f t="shared" si="22"/>
        <v>-5.0000000000016698E-4</v>
      </c>
      <c r="N60" s="21">
        <f t="shared" si="22"/>
        <v>-5.0000000000016698E-4</v>
      </c>
      <c r="O60" s="21">
        <f t="shared" si="22"/>
        <v>-5.0000000000016698E-4</v>
      </c>
      <c r="P60" s="21">
        <f t="shared" si="22"/>
        <v>-5.0000000000016698E-4</v>
      </c>
      <c r="Q60" s="21">
        <f t="shared" si="22"/>
        <v>-5.0000000000016698E-4</v>
      </c>
      <c r="R60" s="21">
        <f t="shared" si="22"/>
        <v>-5.0000000000016698E-4</v>
      </c>
      <c r="S60" s="47">
        <f t="shared" si="22"/>
        <v>3.5965989319611475E-5</v>
      </c>
      <c r="T60" s="154">
        <f t="shared" si="22"/>
        <v>2.5584396283401863E-6</v>
      </c>
      <c r="U60" s="155">
        <f t="shared" si="22"/>
        <v>-7.0874207496050357E-5</v>
      </c>
      <c r="V60" s="47">
        <f t="shared" si="22"/>
        <v>9.8366869067264022E-5</v>
      </c>
      <c r="W60" s="47">
        <f t="shared" si="22"/>
        <v>3.50497456105272E-5</v>
      </c>
      <c r="X60" s="154">
        <f t="shared" si="22"/>
        <v>-2.6155725527923692E-6</v>
      </c>
      <c r="Y60" s="155">
        <f t="shared" si="22"/>
        <v>1.0354284554671238E-5</v>
      </c>
      <c r="Z60" s="200">
        <f t="shared" si="22"/>
        <v>1.8107964492302927E-5</v>
      </c>
      <c r="AA60" s="47">
        <f t="shared" si="22"/>
        <v>1.9308033159038665E-5</v>
      </c>
      <c r="AB60" s="47">
        <f t="shared" si="22"/>
        <v>7.1786546878178925E-6</v>
      </c>
      <c r="AC60" s="47">
        <f t="shared" si="22"/>
        <v>1.2271931482895921E-6</v>
      </c>
      <c r="BC60" s="178">
        <f>_xll.qlCalendarAdvance(Calendar,BC59,"1d","mf",,Trigger)</f>
        <v>42355</v>
      </c>
      <c r="BD60" s="41">
        <f>_xll.qlDayCounterYearFraction(DayCounter,SettlementDate,BC60,,,Trigger)</f>
        <v>0.21111111111111111</v>
      </c>
      <c r="BE60" s="47">
        <f>_xll.qlPolynomialFunctionValue(BE$1,$BD60,AllTriggers)</f>
        <v>1.0738613806270587E-3</v>
      </c>
      <c r="BF60" s="47">
        <f>_xll.qlPolynomialFunctionValue(BF$1,$BD60,AllTriggers)</f>
        <v>1.0905780116477965E-3</v>
      </c>
      <c r="BG60" s="47">
        <f>_xll.qlPolynomialFunctionValue(BG$1,$BD60,AllTriggers)</f>
        <v>1.0562583561765418E-3</v>
      </c>
      <c r="BH60" s="47">
        <f>_xll.qlPolynomialFunctionValue(BH$1,$BD60,AllTriggers)</f>
        <v>1.0356126875433168E-3</v>
      </c>
      <c r="BI60" s="47">
        <f>_xll.qlPolynomialFunctionValue(BI$1,$BD60,AllTriggers)</f>
        <v>1.0779587668390579E-3</v>
      </c>
      <c r="BJ60" s="47">
        <f>_xll.qlPolynomialFunctionValue(BJ$1,$BD60,AllTriggers)</f>
        <v>1.0925275754168763E-3</v>
      </c>
      <c r="BK60" s="47">
        <f>_xll.qlPolynomialFunctionValue(BK$1,$BD60,AllTriggers)</f>
        <v>1.0571420917669621E-3</v>
      </c>
      <c r="BL60" s="47">
        <f>_xll.qlPolynomialFunctionValue(BL$1,$BD60,AllTriggers)</f>
        <v>1.0360924068275068E-3</v>
      </c>
      <c r="BM60" s="47">
        <f>_xll.qlPolynomialFunctionValue(BM$1,$BD60,AllTriggers)</f>
        <v>1.0502768993617632E-3</v>
      </c>
      <c r="BN60" s="47">
        <f>_xll.qlPolynomialFunctionValue(BN$1,$BD60,AllTriggers)</f>
        <v>1.0586436853059762E-3</v>
      </c>
      <c r="BO60" s="47">
        <f>_xll.qlPolynomialFunctionValue(BO$1,$BD60,AllTriggers)</f>
        <v>1.056066434906158E-3</v>
      </c>
      <c r="BP60" s="47">
        <f>_xll.qlPolynomialFunctionValue(BP$1,$BD60,AllTriggers)</f>
        <v>1.037322215481535E-3</v>
      </c>
      <c r="BQ60" s="47">
        <f>_xll.qlPolynomialFunctionValue('3MSynthDepo_used'!$P$18,BD60,AllTriggers)</f>
        <v>1.0550149582709222E-3</v>
      </c>
    </row>
    <row r="61" spans="3:69" x14ac:dyDescent="0.2">
      <c r="F61" s="190" t="str">
        <f t="shared" ref="F61:F63" si="23">D49</f>
        <v>H6</v>
      </c>
      <c r="G61" s="47">
        <f t="shared" ref="G61:AC61" si="24">$AD49-G49</f>
        <v>-1.3870956138100461E-4</v>
      </c>
      <c r="H61" s="47">
        <f t="shared" si="24"/>
        <v>7.2543417876036811E-4</v>
      </c>
      <c r="I61" s="21">
        <f t="shared" si="24"/>
        <v>-5.7499999999999218E-4</v>
      </c>
      <c r="J61" s="21">
        <f t="shared" si="24"/>
        <v>-5.7499999999999218E-4</v>
      </c>
      <c r="K61" s="21">
        <f t="shared" si="24"/>
        <v>-5.7499999999999218E-4</v>
      </c>
      <c r="L61" s="21">
        <f t="shared" si="24"/>
        <v>-5.7499999999999218E-4</v>
      </c>
      <c r="M61" s="21">
        <f t="shared" si="24"/>
        <v>-5.7499999999999218E-4</v>
      </c>
      <c r="N61" s="21">
        <f t="shared" si="24"/>
        <v>-5.7499999999999218E-4</v>
      </c>
      <c r="O61" s="21">
        <f t="shared" si="24"/>
        <v>-5.7499999999999218E-4</v>
      </c>
      <c r="P61" s="21">
        <f t="shared" si="24"/>
        <v>-5.7499999999999218E-4</v>
      </c>
      <c r="Q61" s="21">
        <f t="shared" si="24"/>
        <v>-5.7499999999999218E-4</v>
      </c>
      <c r="R61" s="21">
        <f t="shared" si="24"/>
        <v>-5.7499999999999218E-4</v>
      </c>
      <c r="S61" s="47">
        <f t="shared" si="24"/>
        <v>9.2725515909082047E-5</v>
      </c>
      <c r="T61" s="154">
        <f t="shared" si="24"/>
        <v>-2.8789291441109642E-4</v>
      </c>
      <c r="U61" s="155">
        <f t="shared" si="24"/>
        <v>-1.8403118376232467E-4</v>
      </c>
      <c r="V61" s="47">
        <f t="shared" si="24"/>
        <v>7.732849212728544E-4</v>
      </c>
      <c r="W61" s="47">
        <f t="shared" si="24"/>
        <v>9.1744394590042222E-5</v>
      </c>
      <c r="X61" s="154">
        <f t="shared" si="24"/>
        <v>-3.1368212160733338E-4</v>
      </c>
      <c r="Y61" s="155">
        <f t="shared" si="24"/>
        <v>4.0622136204388187E-6</v>
      </c>
      <c r="Z61" s="200">
        <f t="shared" si="24"/>
        <v>1.134519611820854E-4</v>
      </c>
      <c r="AA61" s="47">
        <f t="shared" si="24"/>
        <v>4.2439659374574274E-5</v>
      </c>
      <c r="AB61" s="47">
        <f t="shared" si="24"/>
        <v>-2.5713206869446307E-4</v>
      </c>
      <c r="AC61" s="47">
        <f t="shared" si="24"/>
        <v>1.0749408634123502E-5</v>
      </c>
      <c r="BC61" s="178">
        <f>_xll.qlCalendarAdvance(Calendar,BC60,"1d","mf",,Trigger)</f>
        <v>42356</v>
      </c>
      <c r="BD61" s="41">
        <f>_xll.qlDayCounterYearFraction(DayCounter,SettlementDate,BC61,,,Trigger)</f>
        <v>0.21388888888888888</v>
      </c>
      <c r="BE61" s="47">
        <f>_xll.qlPolynomialFunctionValue(BE$1,$BD61,AllTriggers)</f>
        <v>1.0762424634547527E-3</v>
      </c>
      <c r="BF61" s="47">
        <f>_xll.qlPolynomialFunctionValue(BF$1,$BD61,AllTriggers)</f>
        <v>1.0914609647350213E-3</v>
      </c>
      <c r="BG61" s="47">
        <f>_xll.qlPolynomialFunctionValue(BG$1,$BD61,AllTriggers)</f>
        <v>1.0568791365591843E-3</v>
      </c>
      <c r="BH61" s="47">
        <f>_xll.qlPolynomialFunctionValue(BH$1,$BD61,AllTriggers)</f>
        <v>1.0360757527417841E-3</v>
      </c>
      <c r="BI61" s="47">
        <f>_xll.qlPolynomialFunctionValue(BI$1,$BD61,AllTriggers)</f>
        <v>1.0804726950709785E-3</v>
      </c>
      <c r="BJ61" s="47">
        <f>_xll.qlPolynomialFunctionValue(BJ$1,$BD61,AllTriggers)</f>
        <v>1.0933473536720328E-3</v>
      </c>
      <c r="BK61" s="47">
        <f>_xll.qlPolynomialFunctionValue(BK$1,$BD61,AllTriggers)</f>
        <v>1.0577635949923286E-3</v>
      </c>
      <c r="BL61" s="47">
        <f>_xll.qlPolynomialFunctionValue(BL$1,$BD61,AllTriggers)</f>
        <v>1.0365959626213856E-3</v>
      </c>
      <c r="BM61" s="47">
        <f>_xll.qlPolynomialFunctionValue(BM$1,$BD61,AllTriggers)</f>
        <v>1.0516001777021635E-3</v>
      </c>
      <c r="BN61" s="47">
        <f>_xll.qlPolynomialFunctionValue(BN$1,$BD61,AllTriggers)</f>
        <v>1.0600031277725539E-3</v>
      </c>
      <c r="BO61" s="47">
        <f>_xll.qlPolynomialFunctionValue(BO$1,$BD61,AllTriggers)</f>
        <v>1.057061885118974E-3</v>
      </c>
      <c r="BP61" s="47">
        <f>_xll.qlPolynomialFunctionValue(BP$1,$BD61,AllTriggers)</f>
        <v>1.0377212719400709E-3</v>
      </c>
      <c r="BQ61" s="47">
        <f>_xll.qlPolynomialFunctionValue('3MSynthDepo_used'!$P$18,BD61,AllTriggers)</f>
        <v>1.0565907950320604E-3</v>
      </c>
    </row>
    <row r="62" spans="3:69" x14ac:dyDescent="0.2">
      <c r="F62" s="190" t="str">
        <f t="shared" si="23"/>
        <v>M6</v>
      </c>
      <c r="G62" s="47">
        <f t="shared" ref="G62:AC62" si="25">$AD50-G50</f>
        <v>-3.1291689213124691E-4</v>
      </c>
      <c r="H62" s="47">
        <f t="shared" si="25"/>
        <v>1.8868166339742684E-3</v>
      </c>
      <c r="I62" s="21">
        <f t="shared" si="25"/>
        <v>-6.7499999999998117E-4</v>
      </c>
      <c r="J62" s="21">
        <f t="shared" si="25"/>
        <v>-6.7499999999998117E-4</v>
      </c>
      <c r="K62" s="21">
        <f t="shared" si="25"/>
        <v>-6.7499999999998117E-4</v>
      </c>
      <c r="L62" s="21">
        <f t="shared" si="25"/>
        <v>-6.7499999999998117E-4</v>
      </c>
      <c r="M62" s="21">
        <f t="shared" si="25"/>
        <v>-6.7499999999998117E-4</v>
      </c>
      <c r="N62" s="21">
        <f t="shared" si="25"/>
        <v>-6.7499999999998117E-4</v>
      </c>
      <c r="O62" s="21">
        <f t="shared" si="25"/>
        <v>-6.7499999999998117E-4</v>
      </c>
      <c r="P62" s="21">
        <f t="shared" si="25"/>
        <v>-6.7499999999998117E-4</v>
      </c>
      <c r="Q62" s="21">
        <f t="shared" si="25"/>
        <v>-6.7499999999998117E-4</v>
      </c>
      <c r="R62" s="21">
        <f t="shared" si="25"/>
        <v>-6.7499999999998117E-4</v>
      </c>
      <c r="S62" s="47">
        <f t="shared" si="25"/>
        <v>7.3510778990790648E-5</v>
      </c>
      <c r="T62" s="154">
        <f t="shared" si="25"/>
        <v>-1.0173192803036915E-3</v>
      </c>
      <c r="U62" s="155">
        <f t="shared" si="25"/>
        <v>-3.7316242353636095E-4</v>
      </c>
      <c r="V62" s="47">
        <f t="shared" si="25"/>
        <v>2.0111245676895017E-3</v>
      </c>
      <c r="W62" s="47">
        <f t="shared" si="25"/>
        <v>7.2464780061795055E-5</v>
      </c>
      <c r="X62" s="154">
        <f t="shared" si="25"/>
        <v>-1.0807815098035731E-3</v>
      </c>
      <c r="Y62" s="155">
        <f t="shared" si="25"/>
        <v>-7.8204120821555789E-5</v>
      </c>
      <c r="Z62" s="200">
        <f t="shared" si="25"/>
        <v>2.3817797671316782E-4</v>
      </c>
      <c r="AA62" s="47">
        <f t="shared" si="25"/>
        <v>-1.0402977917652089E-5</v>
      </c>
      <c r="AB62" s="47">
        <f t="shared" si="25"/>
        <v>-9.3992993143189921E-4</v>
      </c>
      <c r="AC62" s="47">
        <f t="shared" si="25"/>
        <v>-2.4522341044038842E-5</v>
      </c>
      <c r="BC62" s="178">
        <f>_xll.qlCalendarAdvance(Calendar,BC61,"1d","mf",,Trigger)</f>
        <v>42359</v>
      </c>
      <c r="BD62" s="41">
        <f>_xll.qlDayCounterYearFraction(DayCounter,SettlementDate,BC62,,,Trigger)</f>
        <v>0.22222222222222221</v>
      </c>
      <c r="BE62" s="47">
        <f>_xll.qlPolynomialFunctionValue(BE$1,$BD62,AllTriggers)</f>
        <v>1.0833857119378347E-3</v>
      </c>
      <c r="BF62" s="47">
        <f>_xll.qlPolynomialFunctionValue(BF$1,$BD62,AllTriggers)</f>
        <v>1.093660385074554E-3</v>
      </c>
      <c r="BG62" s="47">
        <f>_xll.qlPolynomialFunctionValue(BG$1,$BD62,AllTriggers)</f>
        <v>1.0587414777071115E-3</v>
      </c>
      <c r="BH62" s="47">
        <f>_xll.qlPolynomialFunctionValue(BH$1,$BD62,AllTriggers)</f>
        <v>1.0377353172243431E-3</v>
      </c>
      <c r="BI62" s="47">
        <f>_xll.qlPolynomialFunctionValue(BI$1,$BD62,AllTriggers)</f>
        <v>1.0880144797667396E-3</v>
      </c>
      <c r="BJ62" s="47">
        <f>_xll.qlPolynomialFunctionValue(BJ$1,$BD62,AllTriggers)</f>
        <v>1.0953308283660063E-3</v>
      </c>
      <c r="BK62" s="47">
        <f>_xll.qlPolynomialFunctionValue(BK$1,$BD62,AllTriggers)</f>
        <v>1.0596281046684273E-3</v>
      </c>
      <c r="BL62" s="47">
        <f>_xll.qlPolynomialFunctionValue(BL$1,$BD62,AllTriggers)</f>
        <v>1.0383897038385916E-3</v>
      </c>
      <c r="BM62" s="47">
        <f>_xll.qlPolynomialFunctionValue(BM$1,$BD62,AllTriggers)</f>
        <v>1.0555700127233647E-3</v>
      </c>
      <c r="BN62" s="47">
        <f>_xll.qlPolynomialFunctionValue(BN$1,$BD62,AllTriggers)</f>
        <v>1.064002984092149E-3</v>
      </c>
      <c r="BO62" s="47">
        <f>_xll.qlPolynomialFunctionValue(BO$1,$BD62,AllTriggers)</f>
        <v>1.0600482357574219E-3</v>
      </c>
      <c r="BP62" s="47">
        <f>_xll.qlPolynomialFunctionValue(BP$1,$BD62,AllTriggers)</f>
        <v>1.0391735505007212E-3</v>
      </c>
      <c r="BQ62" s="47">
        <f>_xll.qlPolynomialFunctionValue('3MSynthDepo_used'!$P$18,BD62,AllTriggers)</f>
        <v>1.0612860102499446E-3</v>
      </c>
    </row>
    <row r="63" spans="3:69" x14ac:dyDescent="0.2">
      <c r="C63" s="194"/>
      <c r="D63" s="194"/>
      <c r="E63" s="195"/>
      <c r="F63" s="277" t="str">
        <f t="shared" si="23"/>
        <v>U6</v>
      </c>
      <c r="G63" s="50">
        <f t="shared" ref="G63:AC63" si="26">$AD51-G51</f>
        <v>-4.6038282129629439E-4</v>
      </c>
      <c r="H63" s="50">
        <f t="shared" si="26"/>
        <v>3.8514099889950179E-3</v>
      </c>
      <c r="I63" s="96">
        <f t="shared" si="26"/>
        <v>-6.250000000000977E-4</v>
      </c>
      <c r="J63" s="96">
        <f t="shared" si="26"/>
        <v>-6.250000000000977E-4</v>
      </c>
      <c r="K63" s="96">
        <f t="shared" si="26"/>
        <v>-6.250000000000977E-4</v>
      </c>
      <c r="L63" s="96">
        <f t="shared" si="26"/>
        <v>-6.250000000000977E-4</v>
      </c>
      <c r="M63" s="96">
        <f t="shared" si="26"/>
        <v>-6.250000000000977E-4</v>
      </c>
      <c r="N63" s="96">
        <f t="shared" si="26"/>
        <v>-6.250000000000977E-4</v>
      </c>
      <c r="O63" s="96">
        <f t="shared" si="26"/>
        <v>-6.250000000000977E-4</v>
      </c>
      <c r="P63" s="96">
        <f t="shared" si="26"/>
        <v>-6.250000000000977E-4</v>
      </c>
      <c r="Q63" s="96">
        <f t="shared" si="26"/>
        <v>-6.250000000000977E-4</v>
      </c>
      <c r="R63" s="96">
        <f t="shared" si="26"/>
        <v>-6.250000000000977E-4</v>
      </c>
      <c r="S63" s="50">
        <f t="shared" si="26"/>
        <v>9.185834610692719E-5</v>
      </c>
      <c r="T63" s="276">
        <f t="shared" si="26"/>
        <v>-2.1697744227177512E-3</v>
      </c>
      <c r="U63" s="275">
        <f t="shared" si="26"/>
        <v>-5.3780185949564184E-4</v>
      </c>
      <c r="V63" s="50">
        <f t="shared" si="26"/>
        <v>4.0977278441299905E-3</v>
      </c>
      <c r="W63" s="50">
        <f t="shared" si="26"/>
        <v>9.0742478982594466E-5</v>
      </c>
      <c r="X63" s="276">
        <f t="shared" si="26"/>
        <v>-2.2928841043880319E-3</v>
      </c>
      <c r="Y63" s="275">
        <f t="shared" si="26"/>
        <v>-1.2775827411556115E-4</v>
      </c>
      <c r="Z63" s="201">
        <f t="shared" si="26"/>
        <v>5.2936314329533212E-4</v>
      </c>
      <c r="AA63" s="50">
        <f t="shared" si="26"/>
        <v>-2.827007274267641E-5</v>
      </c>
      <c r="AB63" s="50">
        <f t="shared" si="26"/>
        <v>-2.0192572899621632E-3</v>
      </c>
      <c r="AC63" s="50">
        <f t="shared" si="26"/>
        <v>1.979999616712148E-6</v>
      </c>
      <c r="BC63" s="178">
        <f>_xll.qlCalendarAdvance(Calendar,BC62,"1d","mf",,Trigger)</f>
        <v>42360</v>
      </c>
      <c r="BD63" s="41">
        <f>_xll.qlDayCounterYearFraction(DayCounter,SettlementDate,BC63,,,Trigger)</f>
        <v>0.22500000000000001</v>
      </c>
      <c r="BE63" s="47">
        <f>_xll.qlPolynomialFunctionValue(BE$1,$BD63,AllTriggers)</f>
        <v>1.0857667947655287E-3</v>
      </c>
      <c r="BF63" s="47">
        <f>_xll.qlPolynomialFunctionValue(BF$1,$BD63,AllTriggers)</f>
        <v>1.0942437122136847E-3</v>
      </c>
      <c r="BG63" s="47">
        <f>_xll.qlPolynomialFunctionValue(BG$1,$BD63,AllTriggers)</f>
        <v>1.0593622580897539E-3</v>
      </c>
      <c r="BH63" s="47">
        <f>_xll.qlPolynomialFunctionValue(BH$1,$BD63,AllTriggers)</f>
        <v>1.0383786283475818E-3</v>
      </c>
      <c r="BI63" s="47">
        <f>_xll.qlPolynomialFunctionValue(BI$1,$BD63,AllTriggers)</f>
        <v>1.0905284079986599E-3</v>
      </c>
      <c r="BJ63" s="47">
        <f>_xll.qlPolynomialFunctionValue(BJ$1,$BD63,AllTriggers)</f>
        <v>1.0958333665734982E-3</v>
      </c>
      <c r="BK63" s="47">
        <f>_xll.qlPolynomialFunctionValue(BK$1,$BD63,AllTriggers)</f>
        <v>1.0602496078937935E-3</v>
      </c>
      <c r="BL63" s="47">
        <f>_xll.qlPolynomialFunctionValue(BL$1,$BD63,AllTriggers)</f>
        <v>1.0390819755228503E-3</v>
      </c>
      <c r="BM63" s="47">
        <f>_xll.qlPolynomialFunctionValue(BM$1,$BD63,AllTriggers)</f>
        <v>1.056893291063765E-3</v>
      </c>
      <c r="BN63" s="47">
        <f>_xll.qlPolynomialFunctionValue(BN$1,$BD63,AllTriggers)</f>
        <v>1.0653101125053012E-3</v>
      </c>
      <c r="BO63" s="47">
        <f>_xll.qlPolynomialFunctionValue(BO$1,$BD63,AllTriggers)</f>
        <v>1.0610436859702379E-3</v>
      </c>
      <c r="BP63" s="47">
        <f>_xll.qlPolynomialFunctionValue(BP$1,$BD63,AllTriggers)</f>
        <v>1.039742679749285E-3</v>
      </c>
      <c r="BQ63" s="47">
        <f>_xll.qlPolynomialFunctionValue('3MSynthDepo_used'!$P$18,BD63,AllTriggers)</f>
        <v>1.0628403548430141E-3</v>
      </c>
    </row>
    <row r="64" spans="3:69" x14ac:dyDescent="0.2">
      <c r="C64" s="194"/>
      <c r="D64" s="194"/>
      <c r="E64" s="195"/>
      <c r="H64" s="35"/>
      <c r="K64" s="55"/>
      <c r="L64" s="55"/>
      <c r="M64" s="55"/>
      <c r="N64" s="55"/>
      <c r="P64" s="35"/>
      <c r="Q64" s="35"/>
      <c r="R64" s="35"/>
      <c r="S64" s="35"/>
      <c r="BC64" s="178">
        <f>_xll.qlCalendarAdvance(Calendar,BC63,"1d","mf",,Trigger)</f>
        <v>42361</v>
      </c>
      <c r="BD64" s="41">
        <f>_xll.qlDayCounterYearFraction(DayCounter,SettlementDate,BC64,,,Trigger)</f>
        <v>0.22777777777777777</v>
      </c>
      <c r="BE64" s="47">
        <f>_xll.qlPolynomialFunctionValue(BE$1,$BD64,AllTriggers)</f>
        <v>1.0881478775932227E-3</v>
      </c>
      <c r="BF64" s="47">
        <f>_xll.qlPolynomialFunctionValue(BF$1,$BD64,AllTriggers)</f>
        <v>1.0947521328657918E-3</v>
      </c>
      <c r="BG64" s="47">
        <f>_xll.qlPolynomialFunctionValue(BG$1,$BD64,AllTriggers)</f>
        <v>1.0599830384723963E-3</v>
      </c>
      <c r="BH64" s="47">
        <f>_xll.qlPolynomialFunctionValue(BH$1,$BD64,AllTriggers)</f>
        <v>1.0390670009520137E-3</v>
      </c>
      <c r="BI64" s="47">
        <f>_xll.qlPolynomialFunctionValue(BI$1,$BD64,AllTriggers)</f>
        <v>1.0930423362305803E-3</v>
      </c>
      <c r="BJ64" s="47">
        <f>_xll.qlPolynomialFunctionValue(BJ$1,$BD64,AllTriggers)</f>
        <v>1.0962565947690746E-3</v>
      </c>
      <c r="BK64" s="47">
        <f>_xll.qlPolynomialFunctionValue(BK$1,$BD64,AllTriggers)</f>
        <v>1.0608711111191598E-3</v>
      </c>
      <c r="BL64" s="47">
        <f>_xll.qlPolynomialFunctionValue(BL$1,$BD64,AllTriggers)</f>
        <v>1.039821426179704E-3</v>
      </c>
      <c r="BM64" s="47">
        <f>_xll.qlPolynomialFunctionValue(BM$1,$BD64,AllTriggers)</f>
        <v>1.0582165694041654E-3</v>
      </c>
      <c r="BN64" s="47">
        <f>_xll.qlPolynomialFunctionValue(BN$1,$BD64,AllTriggers)</f>
        <v>1.0666041624050968E-3</v>
      </c>
      <c r="BO64" s="47">
        <f>_xll.qlPolynomialFunctionValue(BO$1,$BD64,AllTriggers)</f>
        <v>1.0620391361830538E-3</v>
      </c>
      <c r="BP64" s="47">
        <f>_xll.qlPolynomialFunctionValue(BP$1,$BD64,AllTriggers)</f>
        <v>1.0403543271953562E-3</v>
      </c>
      <c r="BQ64" s="47">
        <f>_xll.qlPolynomialFunctionValue('3MSynthDepo_used'!$P$18,BD64,AllTriggers)</f>
        <v>1.064389354800781E-3</v>
      </c>
    </row>
    <row r="65" spans="3:69" x14ac:dyDescent="0.2">
      <c r="C65" s="194"/>
      <c r="D65" s="194"/>
      <c r="E65" s="195"/>
      <c r="H65" s="35"/>
      <c r="K65" s="55"/>
      <c r="L65" s="55"/>
      <c r="M65" s="55"/>
      <c r="N65" s="55"/>
      <c r="P65" s="35"/>
      <c r="Q65" s="35"/>
      <c r="R65" s="35"/>
      <c r="S65" s="35"/>
      <c r="BC65" s="178">
        <f>_xll.qlCalendarAdvance(Calendar,BC64,"1d","mf",,Trigger)</f>
        <v>42362</v>
      </c>
      <c r="BD65" s="41">
        <f>_xll.qlDayCounterYearFraction(DayCounter,SettlementDate,BC65,,,Trigger)</f>
        <v>0.23055555555555557</v>
      </c>
      <c r="BE65" s="47">
        <f>_xll.qlPolynomialFunctionValue(BE$1,$BD65,AllTriggers)</f>
        <v>1.090528960420917E-3</v>
      </c>
      <c r="BF65" s="47">
        <f>_xll.qlPolynomialFunctionValue(BF$1,$BD65,AllTriggers)</f>
        <v>1.0951856470308755E-3</v>
      </c>
      <c r="BG65" s="47">
        <f>_xll.qlPolynomialFunctionValue(BG$1,$BD65,AllTriggers)</f>
        <v>1.0606038188550385E-3</v>
      </c>
      <c r="BH65" s="47">
        <f>_xll.qlPolynomialFunctionValue(BH$1,$BD65,AllTriggers)</f>
        <v>1.0398004350376385E-3</v>
      </c>
      <c r="BI65" s="47">
        <f>_xll.qlPolynomialFunctionValue(BI$1,$BD65,AllTriggers)</f>
        <v>1.0955562644625006E-3</v>
      </c>
      <c r="BJ65" s="47">
        <f>_xll.qlPolynomialFunctionValue(BJ$1,$BD65,AllTriggers)</f>
        <v>1.0966005129527344E-3</v>
      </c>
      <c r="BK65" s="47">
        <f>_xll.qlPolynomialFunctionValue(BK$1,$BD65,AllTriggers)</f>
        <v>1.061492614344526E-3</v>
      </c>
      <c r="BL65" s="47">
        <f>_xll.qlPolynomialFunctionValue(BL$1,$BD65,AllTriggers)</f>
        <v>1.0406080558091526E-3</v>
      </c>
      <c r="BM65" s="47">
        <f>_xll.qlPolynomialFunctionValue(BM$1,$BD65,AllTriggers)</f>
        <v>1.0595398477445659E-3</v>
      </c>
      <c r="BN65" s="47">
        <f>_xll.qlPolynomialFunctionValue(BN$1,$BD65,AllTriggers)</f>
        <v>1.0678851337915362E-3</v>
      </c>
      <c r="BO65" s="47">
        <f>_xll.qlPolynomialFunctionValue(BO$1,$BD65,AllTriggers)</f>
        <v>1.0630345863958698E-3</v>
      </c>
      <c r="BP65" s="47">
        <f>_xll.qlPolynomialFunctionValue(BP$1,$BD65,AllTriggers)</f>
        <v>1.0410084928389341E-3</v>
      </c>
      <c r="BQ65" s="47">
        <f>_xll.qlPolynomialFunctionValue('3MSynthDepo_used'!$P$18,BD65,AllTriggers)</f>
        <v>1.0659330214859294E-3</v>
      </c>
    </row>
    <row r="66" spans="3:69" x14ac:dyDescent="0.2">
      <c r="C66" s="194"/>
      <c r="D66" s="194"/>
      <c r="E66" s="195"/>
      <c r="H66" s="35"/>
      <c r="K66" s="55"/>
      <c r="L66" s="55"/>
      <c r="M66" s="55"/>
      <c r="N66" s="55"/>
      <c r="P66" s="35"/>
      <c r="Q66" s="35"/>
      <c r="R66" s="35"/>
      <c r="S66" s="35"/>
      <c r="BC66" s="178">
        <f>_xll.qlCalendarAdvance(Calendar,BC65,"1d","mf",,Trigger)</f>
        <v>42366</v>
      </c>
      <c r="BD66" s="41">
        <f>_xll.qlDayCounterYearFraction(DayCounter,SettlementDate,BC66,,,Trigger)</f>
        <v>0.24166666666666667</v>
      </c>
      <c r="BE66" s="47">
        <f>_xll.qlPolynomialFunctionValue(BE$1,$BD66,AllTriggers)</f>
        <v>1.1000532917316932E-3</v>
      </c>
      <c r="BF66" s="47">
        <f>_xll.qlPolynomialFunctionValue(BF$1,$BD66,AllTriggers)</f>
        <v>1.0961706388209758E-3</v>
      </c>
      <c r="BG66" s="47">
        <f>_xll.qlPolynomialFunctionValue(BG$1,$BD66,AllTriggers)</f>
        <v>1.0630869403856081E-3</v>
      </c>
      <c r="BH66" s="47">
        <f>_xll.qlPolynomialFunctionValue(BH$1,$BD66,AllTriggers)</f>
        <v>1.0431847861920663E-3</v>
      </c>
      <c r="BI66" s="47">
        <f>_xll.qlPolynomialFunctionValue(BI$1,$BD66,AllTriggers)</f>
        <v>1.1056119773901823E-3</v>
      </c>
      <c r="BJ66" s="47">
        <f>_xll.qlPolynomialFunctionValue(BJ$1,$BD66,AllTriggers)</f>
        <v>1.0971830855682132E-3</v>
      </c>
      <c r="BK66" s="47">
        <f>_xll.qlPolynomialFunctionValue(BK$1,$BD66,AllTriggers)</f>
        <v>1.0639786272459912E-3</v>
      </c>
      <c r="BL66" s="47">
        <f>_xll.qlPolynomialFunctionValue(BL$1,$BD66,AllTriggers)</f>
        <v>1.0442263640528964E-3</v>
      </c>
      <c r="BM66" s="47">
        <f>_xll.qlPolynomialFunctionValue(BM$1,$BD66,AllTriggers)</f>
        <v>1.0648329611061675E-3</v>
      </c>
      <c r="BN66" s="47">
        <f>_xll.qlPolynomialFunctionValue(BN$1,$BD66,AllTriggers)</f>
        <v>1.0728782342037293E-3</v>
      </c>
      <c r="BO66" s="47">
        <f>_xll.qlPolynomialFunctionValue(BO$1,$BD66,AllTriggers)</f>
        <v>1.0670163872471337E-3</v>
      </c>
      <c r="BP66" s="47">
        <f>_xll.qlPolynomialFunctionValue(BP$1,$BD66,AllTriggers)</f>
        <v>1.0440503373883158E-3</v>
      </c>
      <c r="BQ66" s="47">
        <f>_xll.qlPolynomialFunctionValue('3MSynthDepo_used'!$P$18,BD66,AllTriggers)</f>
        <v>1.0720545827540525E-3</v>
      </c>
    </row>
    <row r="67" spans="3:69" x14ac:dyDescent="0.2">
      <c r="C67" s="194"/>
      <c r="D67" s="194"/>
      <c r="E67" s="195"/>
      <c r="H67" s="35"/>
      <c r="K67" s="55"/>
      <c r="L67" s="55"/>
      <c r="M67" s="55"/>
      <c r="N67" s="55"/>
      <c r="P67" s="35"/>
      <c r="Q67" s="35"/>
      <c r="R67" s="35"/>
      <c r="S67" s="35"/>
      <c r="BC67" s="178">
        <f>_xll.qlCalendarAdvance(Calendar,BC66,"1d","mf",,Trigger)</f>
        <v>42367</v>
      </c>
      <c r="BD67" s="41">
        <f>_xll.qlDayCounterYearFraction(DayCounter,SettlementDate,BC67,,,Trigger)</f>
        <v>0.24444444444444444</v>
      </c>
      <c r="BE67" s="47">
        <f>_xll.qlPolynomialFunctionValue(BE$1,$BD67,AllTriggers)</f>
        <v>1.1024343745593872E-3</v>
      </c>
      <c r="BF67" s="47">
        <f>_xll.qlPolynomialFunctionValue(BF$1,$BD67,AllTriggers)</f>
        <v>1.0962296205509418E-3</v>
      </c>
      <c r="BG67" s="47">
        <f>_xll.qlPolynomialFunctionValue(BG$1,$BD67,AllTriggers)</f>
        <v>1.0637077207682505E-3</v>
      </c>
      <c r="BH67" s="47">
        <f>_xll.qlPolynomialFunctionValue(BH$1,$BD67,AllTriggers)</f>
        <v>1.0441435276836556E-3</v>
      </c>
      <c r="BI67" s="47">
        <f>_xll.qlPolynomialFunctionValue(BI$1,$BD67,AllTriggers)</f>
        <v>1.1081259056221027E-3</v>
      </c>
      <c r="BJ67" s="47">
        <f>_xll.qlPolynomialFunctionValue(BJ$1,$BD67,AllTriggers)</f>
        <v>1.0971304536922923E-3</v>
      </c>
      <c r="BK67" s="47">
        <f>_xll.qlPolynomialFunctionValue(BK$1,$BD67,AllTriggers)</f>
        <v>1.0646001304713574E-3</v>
      </c>
      <c r="BL67" s="47">
        <f>_xll.qlPolynomialFunctionValue(BL$1,$BD67,AllTriggers)</f>
        <v>1.0452488885453199E-3</v>
      </c>
      <c r="BM67" s="47">
        <f>_xll.qlPolynomialFunctionValue(BM$1,$BD67,AllTriggers)</f>
        <v>1.0661562394465678E-3</v>
      </c>
      <c r="BN67" s="47">
        <f>_xll.qlPolynomialFunctionValue(BN$1,$BD67,AllTriggers)</f>
        <v>1.0740938130233864E-3</v>
      </c>
      <c r="BO67" s="47">
        <f>_xll.qlPolynomialFunctionValue(BO$1,$BD67,AllTriggers)</f>
        <v>1.0680118374599497E-3</v>
      </c>
      <c r="BP67" s="47">
        <f>_xll.qlPolynomialFunctionValue(BP$1,$BD67,AllTriggers)</f>
        <v>1.0449170940194286E-3</v>
      </c>
      <c r="BQ67" s="47">
        <f>_xll.qlPolynomialFunctionValue('3MSynthDepo_used'!$P$18,BD67,AllTriggers)</f>
        <v>1.0735717535163931E-3</v>
      </c>
    </row>
    <row r="68" spans="3:69" x14ac:dyDescent="0.2">
      <c r="C68" s="194"/>
      <c r="D68" s="194"/>
      <c r="E68" s="195"/>
      <c r="H68" s="35"/>
      <c r="K68" s="55"/>
      <c r="L68" s="55"/>
      <c r="M68" s="55"/>
      <c r="N68" s="55"/>
      <c r="P68" s="35"/>
      <c r="Q68" s="35"/>
      <c r="R68" s="35"/>
      <c r="S68" s="35"/>
      <c r="BC68" s="178">
        <f>_xll.qlCalendarAdvance(Calendar,BC67,"1d","mf",,Trigger)</f>
        <v>42368</v>
      </c>
      <c r="BD68" s="41">
        <f>_xll.qlDayCounterYearFraction(DayCounter,SettlementDate,BC68,,,Trigger)</f>
        <v>0.24722222222222223</v>
      </c>
      <c r="BE68" s="47">
        <f>_xll.qlPolynomialFunctionValue(BE$1,$BD68,AllTriggers)</f>
        <v>1.1048154573870812E-3</v>
      </c>
      <c r="BF68" s="47">
        <f>_xll.qlPolynomialFunctionValue(BF$1,$BD68,AllTriggers)</f>
        <v>1.0962136957938847E-3</v>
      </c>
      <c r="BG68" s="47">
        <f>_xll.qlPolynomialFunctionValue(BG$1,$BD68,AllTriggers)</f>
        <v>1.0643285011508929E-3</v>
      </c>
      <c r="BH68" s="47">
        <f>_xll.qlPolynomialFunctionValue(BH$1,$BD68,AllTriggers)</f>
        <v>1.045147330656438E-3</v>
      </c>
      <c r="BI68" s="47">
        <f>_xll.qlPolynomialFunctionValue(BI$1,$BD68,AllTriggers)</f>
        <v>1.110639833854023E-3</v>
      </c>
      <c r="BJ68" s="47">
        <f>_xll.qlPolynomialFunctionValue(BJ$1,$BD68,AllTriggers)</f>
        <v>1.0969985118044557E-3</v>
      </c>
      <c r="BK68" s="47">
        <f>_xll.qlPolynomialFunctionValue(BK$1,$BD68,AllTriggers)</f>
        <v>1.0652216336967237E-3</v>
      </c>
      <c r="BL68" s="47">
        <f>_xll.qlPolynomialFunctionValue(BL$1,$BD68,AllTriggers)</f>
        <v>1.0463185920103384E-3</v>
      </c>
      <c r="BM68" s="47">
        <f>_xll.qlPolynomialFunctionValue(BM$1,$BD68,AllTriggers)</f>
        <v>1.0674795177869681E-3</v>
      </c>
      <c r="BN68" s="47">
        <f>_xll.qlPolynomialFunctionValue(BN$1,$BD68,AllTriggers)</f>
        <v>1.0752963133296872E-3</v>
      </c>
      <c r="BO68" s="47">
        <f>_xll.qlPolynomialFunctionValue(BO$1,$BD68,AllTriggers)</f>
        <v>1.0690072876727657E-3</v>
      </c>
      <c r="BP68" s="47">
        <f>_xll.qlPolynomialFunctionValue(BP$1,$BD68,AllTriggers)</f>
        <v>1.0458263688480486E-3</v>
      </c>
      <c r="BQ68" s="47">
        <f>_xll.qlPolynomialFunctionValue('3MSynthDepo_used'!$P$18,BD68,AllTriggers)</f>
        <v>1.0750836591822282E-3</v>
      </c>
    </row>
    <row r="69" spans="3:69" x14ac:dyDescent="0.2">
      <c r="C69" s="194"/>
      <c r="D69" s="194"/>
      <c r="E69" s="195"/>
      <c r="G69" s="196"/>
      <c r="H69" s="35"/>
      <c r="J69" s="196"/>
      <c r="K69" s="55"/>
      <c r="L69" s="55"/>
      <c r="M69" s="55"/>
      <c r="N69" s="55"/>
      <c r="P69" s="35"/>
      <c r="Q69" s="35"/>
      <c r="R69" s="35"/>
      <c r="S69" s="35"/>
      <c r="BC69" s="178">
        <f>_xll.qlCalendarAdvance(Calendar,BC68,"1d","mf",,Trigger)</f>
        <v>42369</v>
      </c>
      <c r="BD69" s="41">
        <f>_xll.qlDayCounterYearFraction(DayCounter,SettlementDate,BC69,,,Trigger)</f>
        <v>0.25</v>
      </c>
      <c r="BE69" s="47">
        <f>_xll.qlPolynomialFunctionValue(BE$1,$BD69,AllTriggers)</f>
        <v>1.1071965402147752E-3</v>
      </c>
      <c r="BF69" s="47">
        <f>_xll.qlPolynomialFunctionValue(BF$1,$BD69,AllTriggers)</f>
        <v>1.0961228645498043E-3</v>
      </c>
      <c r="BG69" s="47">
        <f>_xll.qlPolynomialFunctionValue(BG$1,$BD69,AllTriggers)</f>
        <v>1.0649492815335353E-3</v>
      </c>
      <c r="BH69" s="47">
        <f>_xll.qlPolynomialFunctionValue(BH$1,$BD69,AllTriggers)</f>
        <v>1.0461961951104132E-3</v>
      </c>
      <c r="BI69" s="47">
        <f>_xll.qlPolynomialFunctionValue(BI$1,$BD69,AllTriggers)</f>
        <v>1.1131537620859434E-3</v>
      </c>
      <c r="BJ69" s="47">
        <f>_xll.qlPolynomialFunctionValue(BJ$1,$BD69,AllTriggers)</f>
        <v>1.0967872599047027E-3</v>
      </c>
      <c r="BK69" s="47">
        <f>_xll.qlPolynomialFunctionValue(BK$1,$BD69,AllTriggers)</f>
        <v>1.0658431369220899E-3</v>
      </c>
      <c r="BL69" s="47">
        <f>_xll.qlPolynomialFunctionValue(BL$1,$BD69,AllTriggers)</f>
        <v>1.0474354744479516E-3</v>
      </c>
      <c r="BM69" s="47">
        <f>_xll.qlPolynomialFunctionValue(BM$1,$BD69,AllTriggers)</f>
        <v>1.0688027961273684E-3</v>
      </c>
      <c r="BN69" s="47">
        <f>_xll.qlPolynomialFunctionValue(BN$1,$BD69,AllTriggers)</f>
        <v>1.0764857351226315E-3</v>
      </c>
      <c r="BO69" s="47">
        <f>_xll.qlPolynomialFunctionValue(BO$1,$BD69,AllTriggers)</f>
        <v>1.0700027378855814E-3</v>
      </c>
      <c r="BP69" s="47">
        <f>_xll.qlPolynomialFunctionValue(BP$1,$BD69,AllTriggers)</f>
        <v>1.0467781618741755E-3</v>
      </c>
      <c r="BQ69" s="47">
        <f>_xll.qlPolynomialFunctionValue('3MSynthDepo_used'!$P$18,BD69,AllTriggers)</f>
        <v>1.0765903111142436E-3</v>
      </c>
    </row>
    <row r="70" spans="3:69" x14ac:dyDescent="0.2">
      <c r="C70" s="194"/>
      <c r="D70" s="194"/>
      <c r="E70" s="195"/>
      <c r="H70" s="35"/>
      <c r="K70" s="55"/>
      <c r="L70" s="55"/>
      <c r="M70" s="55"/>
      <c r="N70" s="55"/>
      <c r="P70" s="35"/>
      <c r="Q70" s="35"/>
      <c r="R70" s="35"/>
      <c r="S70" s="35"/>
      <c r="T70" s="35"/>
      <c r="BC70" s="178">
        <f>_xll.qlCalendarAdvance(Calendar,BC69,"1d","mf",,Trigger)</f>
        <v>42373</v>
      </c>
      <c r="BD70" s="41">
        <f>_xll.qlDayCounterYearFraction(DayCounter,SettlementDate,BC70,,,Trigger)</f>
        <v>0.26111111111111113</v>
      </c>
      <c r="BE70" s="47">
        <f>_xll.qlPolynomialFunctionValue(BE$1,$BD70,AllTriggers)</f>
        <v>1.1167208715255515E-3</v>
      </c>
      <c r="BF70" s="47">
        <f>_xll.qlPolynomialFunctionValue(BF$1,$BD70,AllTriggers)</f>
        <v>1.095010474703247E-3</v>
      </c>
      <c r="BG70" s="47">
        <f>_xll.qlPolynomialFunctionValue(BG$1,$BD70,AllTriggers)</f>
        <v>1.067432403064105E-3</v>
      </c>
      <c r="BH70" s="47">
        <f>_xll.qlPolynomialFunctionValue(BH$1,$BD70,AllTriggers)</f>
        <v>1.0508422677382432E-3</v>
      </c>
      <c r="BI70" s="47">
        <f>_xll.qlPolynomialFunctionValue(BI$1,$BD70,AllTriggers)</f>
        <v>1.1232094750136248E-3</v>
      </c>
      <c r="BJ70" s="47">
        <f>_xll.qlPolynomialFunctionValue(BJ$1,$BD70,AllTriggers)</f>
        <v>1.09514915218653E-3</v>
      </c>
      <c r="BK70" s="47">
        <f>_xll.qlPolynomialFunctionValue(BK$1,$BD70,AllTriggers)</f>
        <v>1.0683291498235548E-3</v>
      </c>
      <c r="BL70" s="47">
        <f>_xll.qlPolynomialFunctionValue(BL$1,$BD70,AllTriggers)</f>
        <v>1.0523747939243544E-3</v>
      </c>
      <c r="BM70" s="47">
        <f>_xll.qlPolynomialFunctionValue(BM$1,$BD70,AllTriggers)</f>
        <v>1.07409590948897E-3</v>
      </c>
      <c r="BN70" s="47">
        <f>_xll.qlPolynomialFunctionValue(BN$1,$BD70,AllTriggers)</f>
        <v>1.0811126371608444E-3</v>
      </c>
      <c r="BO70" s="47">
        <f>_xll.qlPolynomialFunctionValue(BO$1,$BD70,AllTriggers)</f>
        <v>1.0739845387368453E-3</v>
      </c>
      <c r="BP70" s="47">
        <f>_xll.qlPolynomialFunctionValue(BP$1,$BD70,AllTriggers)</f>
        <v>1.0510105159537526E-3</v>
      </c>
      <c r="BQ70" s="47">
        <f>_xll.qlPolynomialFunctionValue('3MSynthDepo_used'!$P$18,BD70,AllTriggers)</f>
        <v>1.0825646087578174E-3</v>
      </c>
    </row>
    <row r="71" spans="3:69" x14ac:dyDescent="0.2">
      <c r="C71" s="194"/>
      <c r="D71" s="194"/>
      <c r="K71" s="55"/>
      <c r="L71" s="55"/>
      <c r="M71" s="55"/>
      <c r="N71" s="55"/>
      <c r="S71" s="35"/>
      <c r="T71" s="35"/>
      <c r="BC71" s="178">
        <f>_xll.qlCalendarAdvance(Calendar,BC70,"1d","mf",,Trigger)</f>
        <v>42374</v>
      </c>
      <c r="BD71" s="41">
        <f>_xll.qlDayCounterYearFraction(DayCounter,SettlementDate,BC71,,,Trigger)</f>
        <v>0.2638888888888889</v>
      </c>
      <c r="BE71" s="47">
        <f>_xll.qlPolynomialFunctionValue(BE$1,$BD71,AllTriggers)</f>
        <v>1.1191019543532455E-3</v>
      </c>
      <c r="BF71" s="47">
        <f>_xll.qlPolynomialFunctionValue(BF$1,$BD71,AllTriggers)</f>
        <v>1.094545111024049E-3</v>
      </c>
      <c r="BG71" s="47">
        <f>_xll.qlPolynomialFunctionValue(BG$1,$BD71,AllTriggers)</f>
        <v>1.0680531834467474E-3</v>
      </c>
      <c r="BH71" s="47">
        <f>_xll.qlPolynomialFunctionValue(BH$1,$BD71,AllTriggers)</f>
        <v>1.052116439598183E-3</v>
      </c>
      <c r="BI71" s="47">
        <f>_xll.qlPolynomialFunctionValue(BI$1,$BD71,AllTriggers)</f>
        <v>1.1257234032455454E-3</v>
      </c>
      <c r="BJ71" s="47">
        <f>_xll.qlPolynomialFunctionValue(BJ$1,$BD71,AllTriggers)</f>
        <v>1.0945413502271965E-3</v>
      </c>
      <c r="BK71" s="47">
        <f>_xll.qlPolynomialFunctionValue(BK$1,$BD71,AllTriggers)</f>
        <v>1.0689506530489213E-3</v>
      </c>
      <c r="BL71" s="47">
        <f>_xll.qlPolynomialFunctionValue(BL$1,$BD71,AllTriggers)</f>
        <v>1.0537275712249427E-3</v>
      </c>
      <c r="BM71" s="47">
        <f>_xll.qlPolynomialFunctionValue(BM$1,$BD71,AllTriggers)</f>
        <v>1.0754191878293705E-3</v>
      </c>
      <c r="BN71" s="47">
        <f>_xll.qlPolynomialFunctionValue(BN$1,$BD71,AllTriggers)</f>
        <v>1.0822366663870064E-3</v>
      </c>
      <c r="BO71" s="47">
        <f>_xll.qlPolynomialFunctionValue(BO$1,$BD71,AllTriggers)</f>
        <v>1.0749799889496613E-3</v>
      </c>
      <c r="BP71" s="47">
        <f>_xll.qlPolynomialFunctionValue(BP$1,$BD71,AllTriggers)</f>
        <v>1.0521748999674143E-3</v>
      </c>
      <c r="BQ71" s="47">
        <f>_xll.qlPolynomialFunctionValue('3MSynthDepo_used'!$P$18,BD71,AllTriggers)</f>
        <v>1.0840451624610161E-3</v>
      </c>
    </row>
    <row r="72" spans="3:69" x14ac:dyDescent="0.2">
      <c r="C72" s="194"/>
      <c r="D72" s="194"/>
      <c r="K72" s="55"/>
      <c r="L72" s="55"/>
      <c r="M72" s="55"/>
      <c r="N72" s="55"/>
      <c r="S72" s="35"/>
      <c r="T72" s="35"/>
      <c r="BC72" s="182">
        <f>_xll.qlCalendarAdvance(Calendar,BC71,"1d","mf",,Trigger)</f>
        <v>42375</v>
      </c>
      <c r="BD72" s="44">
        <f>_xll.qlDayCounterYearFraction(DayCounter,SettlementDate,BC72,,,Trigger)</f>
        <v>0.26666666666666666</v>
      </c>
      <c r="BE72" s="50">
        <f>_xll.qlPolynomialFunctionValue(BE$1,$BD72,AllTriggers)</f>
        <v>1.1214830371809395E-3</v>
      </c>
      <c r="BF72" s="50">
        <f>_xll.qlPolynomialFunctionValue(BF$1,$BD72,AllTriggers)</f>
        <v>1.0940048408578276E-3</v>
      </c>
      <c r="BG72" s="50">
        <f>_xll.qlPolynomialFunctionValue(BG$1,$BD72,AllTriggers)</f>
        <v>1.0686739638293898E-3</v>
      </c>
      <c r="BH72" s="50">
        <f>_xll.qlPolynomialFunctionValue(BH$1,$BD72,AllTriggers)</f>
        <v>1.0534356729393157E-3</v>
      </c>
      <c r="BI72" s="50">
        <f>_xll.qlPolynomialFunctionValue(BI$1,$BD72,AllTriggers)</f>
        <v>1.1282373314774657E-3</v>
      </c>
      <c r="BJ72" s="50">
        <f>_xll.qlPolynomialFunctionValue(BJ$1,$BD72,AllTriggers)</f>
        <v>1.0938542382559469E-3</v>
      </c>
      <c r="BK72" s="50">
        <f>_xll.qlPolynomialFunctionValue(BK$1,$BD72,AllTriggers)</f>
        <v>1.0695721562742875E-3</v>
      </c>
      <c r="BL72" s="50">
        <f>_xll.qlPolynomialFunctionValue(BL$1,$BD72,AllTriggers)</f>
        <v>1.0551275274981258E-3</v>
      </c>
      <c r="BM72" s="50">
        <f>_xll.qlPolynomialFunctionValue(BM$1,$BD72,AllTriggers)</f>
        <v>1.0767424661697709E-3</v>
      </c>
      <c r="BN72" s="50">
        <f>_xll.qlPolynomialFunctionValue(BN$1,$BD72,AllTriggers)</f>
        <v>1.0833476170998121E-3</v>
      </c>
      <c r="BO72" s="50">
        <f>_xll.qlPolynomialFunctionValue(BO$1,$BD72,AllTriggers)</f>
        <v>1.0759754391624773E-3</v>
      </c>
      <c r="BP72" s="50">
        <f>_xll.qlPolynomialFunctionValue(BP$1,$BD72,AllTriggers)</f>
        <v>1.053381802178583E-3</v>
      </c>
      <c r="BQ72" s="50">
        <f>_xll.qlPolynomialFunctionValue('3MSynthDepo_used'!$P$18,BD72,AllTriggers)</f>
        <v>1.0855205306065075E-3</v>
      </c>
    </row>
    <row r="73" spans="3:69" ht="11.25" customHeight="1" x14ac:dyDescent="0.2">
      <c r="C73" s="194"/>
      <c r="D73" s="194"/>
      <c r="K73" s="55"/>
      <c r="L73" s="55"/>
      <c r="M73" s="55"/>
      <c r="N73" s="55"/>
      <c r="S73" s="35"/>
      <c r="T73" s="35"/>
    </row>
    <row r="74" spans="3:69" x14ac:dyDescent="0.2">
      <c r="C74" s="194"/>
      <c r="D74" s="194"/>
      <c r="K74" s="55"/>
      <c r="L74" s="55"/>
      <c r="M74" s="55"/>
      <c r="N74" s="55"/>
      <c r="S74" s="35"/>
      <c r="T74" s="35"/>
    </row>
    <row r="75" spans="3:69" x14ac:dyDescent="0.2">
      <c r="C75" s="194"/>
      <c r="D75" s="194"/>
      <c r="K75" s="55"/>
      <c r="L75" s="55"/>
      <c r="M75" s="55"/>
      <c r="N75" s="55"/>
      <c r="S75" s="35"/>
      <c r="T75" s="35"/>
    </row>
    <row r="76" spans="3:69" x14ac:dyDescent="0.2">
      <c r="C76" s="194"/>
      <c r="D76" s="194"/>
      <c r="K76" s="55"/>
      <c r="L76" s="55"/>
      <c r="M76" s="55"/>
      <c r="N76" s="55"/>
      <c r="S76" s="35"/>
    </row>
    <row r="77" spans="3:69" x14ac:dyDescent="0.2">
      <c r="K77" s="55"/>
      <c r="L77" s="55"/>
      <c r="M77" s="55"/>
      <c r="N77" s="55"/>
      <c r="S77" s="35"/>
    </row>
    <row r="78" spans="3:69" x14ac:dyDescent="0.2">
      <c r="K78" s="55"/>
      <c r="L78" s="55"/>
      <c r="M78" s="55"/>
      <c r="N78" s="55"/>
    </row>
    <row r="79" spans="3:69" x14ac:dyDescent="0.2">
      <c r="K79" s="55"/>
      <c r="L79" s="55"/>
      <c r="M79" s="55"/>
      <c r="N79" s="55"/>
    </row>
    <row r="80" spans="3:69" x14ac:dyDescent="0.2">
      <c r="K80" s="55"/>
      <c r="L80" s="55"/>
      <c r="M80" s="55"/>
      <c r="N80" s="55"/>
      <c r="R80" s="34"/>
    </row>
    <row r="81" spans="8:19" x14ac:dyDescent="0.2">
      <c r="K81" s="55"/>
      <c r="L81" s="55"/>
      <c r="M81" s="55"/>
      <c r="N81" s="55"/>
      <c r="R81" s="34"/>
    </row>
    <row r="82" spans="8:19" x14ac:dyDescent="0.2">
      <c r="K82" s="55"/>
      <c r="L82" s="55"/>
      <c r="M82" s="55"/>
      <c r="N82" s="55"/>
      <c r="R82" s="34"/>
    </row>
    <row r="83" spans="8:19" x14ac:dyDescent="0.2">
      <c r="K83" s="55"/>
      <c r="L83" s="55"/>
      <c r="M83" s="55"/>
      <c r="N83" s="55"/>
      <c r="R83" s="34"/>
    </row>
    <row r="84" spans="8:19" x14ac:dyDescent="0.2">
      <c r="H84" s="35"/>
      <c r="K84" s="55"/>
      <c r="L84" s="55"/>
      <c r="M84" s="55"/>
      <c r="N84" s="55"/>
      <c r="R84" s="34"/>
    </row>
    <row r="85" spans="8:19" x14ac:dyDescent="0.2">
      <c r="K85" s="55"/>
      <c r="L85" s="55"/>
      <c r="M85" s="55"/>
      <c r="N85" s="55"/>
      <c r="R85" s="34"/>
    </row>
    <row r="86" spans="8:19" x14ac:dyDescent="0.2">
      <c r="K86" s="55"/>
      <c r="L86" s="55"/>
      <c r="M86" s="55"/>
      <c r="N86" s="55"/>
      <c r="R86" s="34"/>
      <c r="S86" s="34"/>
    </row>
    <row r="87" spans="8:19" x14ac:dyDescent="0.2">
      <c r="K87" s="55"/>
      <c r="L87" s="55"/>
      <c r="M87" s="55"/>
      <c r="N87" s="55"/>
      <c r="R87" s="34"/>
      <c r="S87" s="34"/>
    </row>
    <row r="88" spans="8:19" x14ac:dyDescent="0.2">
      <c r="K88" s="55"/>
      <c r="L88" s="55"/>
      <c r="M88" s="55"/>
      <c r="N88" s="55"/>
      <c r="R88" s="34"/>
      <c r="S88" s="34"/>
    </row>
    <row r="89" spans="8:19" x14ac:dyDescent="0.2">
      <c r="K89" s="55"/>
      <c r="L89" s="55"/>
      <c r="M89" s="55"/>
      <c r="N89" s="55"/>
      <c r="R89" s="34"/>
      <c r="S89" s="34"/>
    </row>
    <row r="90" spans="8:19" x14ac:dyDescent="0.2">
      <c r="K90" s="55"/>
      <c r="L90" s="55"/>
      <c r="M90" s="55"/>
      <c r="N90" s="55"/>
      <c r="R90" s="34"/>
      <c r="S90" s="34"/>
    </row>
    <row r="91" spans="8:19" x14ac:dyDescent="0.2">
      <c r="K91" s="55"/>
      <c r="L91" s="55"/>
      <c r="M91" s="55"/>
      <c r="N91" s="55"/>
      <c r="R91" s="34"/>
      <c r="S91" s="34"/>
    </row>
    <row r="92" spans="8:19" x14ac:dyDescent="0.2">
      <c r="K92" s="55"/>
      <c r="L92" s="55"/>
      <c r="M92" s="55"/>
      <c r="N92" s="55"/>
      <c r="R92" s="34"/>
      <c r="S92" s="34"/>
    </row>
    <row r="93" spans="8:19" x14ac:dyDescent="0.2">
      <c r="K93" s="55"/>
      <c r="L93" s="55"/>
      <c r="M93" s="55"/>
      <c r="N93" s="55"/>
      <c r="R93" s="34"/>
      <c r="S93" s="34"/>
    </row>
    <row r="94" spans="8:19" x14ac:dyDescent="0.2">
      <c r="K94" s="55"/>
      <c r="L94" s="55"/>
      <c r="M94" s="55"/>
      <c r="N94" s="55"/>
      <c r="R94" s="34"/>
      <c r="S94" s="34"/>
    </row>
    <row r="95" spans="8:19" x14ac:dyDescent="0.2">
      <c r="K95" s="55"/>
      <c r="L95" s="55"/>
      <c r="M95" s="55"/>
      <c r="N95" s="55"/>
      <c r="R95" s="34"/>
      <c r="S95" s="34"/>
    </row>
    <row r="96" spans="8:19" x14ac:dyDescent="0.2">
      <c r="K96" s="55"/>
      <c r="L96" s="55"/>
      <c r="M96" s="55"/>
      <c r="N96" s="55"/>
      <c r="R96" s="34"/>
      <c r="S96" s="34"/>
    </row>
    <row r="97" spans="11:19" x14ac:dyDescent="0.2">
      <c r="K97" s="55"/>
      <c r="L97" s="55"/>
      <c r="M97" s="55"/>
      <c r="N97" s="55"/>
      <c r="R97" s="34"/>
      <c r="S97" s="34"/>
    </row>
    <row r="98" spans="11:19" x14ac:dyDescent="0.2">
      <c r="K98" s="55"/>
      <c r="L98" s="55"/>
      <c r="M98" s="55"/>
      <c r="N98" s="55"/>
      <c r="R98" s="34"/>
      <c r="S98" s="34"/>
    </row>
    <row r="99" spans="11:19" x14ac:dyDescent="0.2">
      <c r="K99" s="55"/>
      <c r="L99" s="55"/>
      <c r="M99" s="55"/>
      <c r="N99" s="55"/>
      <c r="R99" s="34"/>
      <c r="S99" s="34"/>
    </row>
    <row r="100" spans="11:19" x14ac:dyDescent="0.2">
      <c r="K100" s="55"/>
      <c r="L100" s="55"/>
      <c r="M100" s="55"/>
      <c r="N100" s="55"/>
      <c r="R100" s="34"/>
      <c r="S100" s="34"/>
    </row>
    <row r="101" spans="11:19" x14ac:dyDescent="0.2">
      <c r="K101" s="55"/>
      <c r="L101" s="55"/>
      <c r="M101" s="55"/>
      <c r="N101" s="55"/>
      <c r="R101" s="34"/>
      <c r="S101" s="34"/>
    </row>
    <row r="102" spans="11:19" x14ac:dyDescent="0.2">
      <c r="K102" s="55"/>
      <c r="L102" s="55"/>
      <c r="M102" s="55"/>
      <c r="N102" s="55"/>
      <c r="R102" s="34"/>
      <c r="S102" s="34"/>
    </row>
    <row r="103" spans="11:19" x14ac:dyDescent="0.2">
      <c r="K103" s="55"/>
      <c r="L103" s="55"/>
      <c r="M103" s="55"/>
      <c r="N103" s="55"/>
      <c r="R103" s="34"/>
      <c r="S103" s="34"/>
    </row>
    <row r="104" spans="11:19" x14ac:dyDescent="0.2">
      <c r="K104" s="55"/>
      <c r="L104" s="55"/>
      <c r="M104" s="55"/>
      <c r="N104" s="55"/>
      <c r="R104" s="34"/>
      <c r="S104" s="34"/>
    </row>
    <row r="105" spans="11:19" x14ac:dyDescent="0.2">
      <c r="R105" s="34"/>
      <c r="S105" s="34"/>
    </row>
    <row r="106" spans="11:19" x14ac:dyDescent="0.2">
      <c r="R106" s="34"/>
      <c r="S106" s="34"/>
    </row>
    <row r="107" spans="11:19" x14ac:dyDescent="0.2">
      <c r="R107" s="34"/>
      <c r="S107" s="34"/>
    </row>
    <row r="108" spans="11:19" x14ac:dyDescent="0.2">
      <c r="R108" s="34"/>
      <c r="S108" s="34"/>
    </row>
    <row r="109" spans="11:19" x14ac:dyDescent="0.2">
      <c r="R109" s="34"/>
      <c r="S109" s="34"/>
    </row>
    <row r="110" spans="11:19" x14ac:dyDescent="0.2">
      <c r="R110" s="34"/>
      <c r="S110" s="34"/>
    </row>
    <row r="111" spans="11:19" x14ac:dyDescent="0.2">
      <c r="R111" s="34"/>
      <c r="S111" s="34"/>
    </row>
    <row r="112" spans="11:19" x14ac:dyDescent="0.2">
      <c r="R112" s="34"/>
      <c r="S112" s="34"/>
    </row>
    <row r="113" spans="18:19" x14ac:dyDescent="0.2">
      <c r="R113" s="34"/>
      <c r="S113" s="34"/>
    </row>
    <row r="114" spans="18:19" x14ac:dyDescent="0.2">
      <c r="R114" s="34"/>
      <c r="S114" s="34"/>
    </row>
    <row r="115" spans="18:19" x14ac:dyDescent="0.2">
      <c r="R115" s="34"/>
      <c r="S115" s="34"/>
    </row>
    <row r="116" spans="18:19" x14ac:dyDescent="0.2">
      <c r="R116" s="34"/>
      <c r="S116" s="34"/>
    </row>
    <row r="117" spans="18:19" x14ac:dyDescent="0.2">
      <c r="R117" s="34"/>
      <c r="S117" s="34"/>
    </row>
    <row r="118" spans="18:19" x14ac:dyDescent="0.2">
      <c r="R118" s="34"/>
      <c r="S118" s="34"/>
    </row>
    <row r="119" spans="18:19" x14ac:dyDescent="0.2">
      <c r="R119" s="34"/>
      <c r="S119" s="34"/>
    </row>
    <row r="120" spans="18:19" x14ac:dyDescent="0.2">
      <c r="R120" s="34"/>
      <c r="S120" s="34"/>
    </row>
    <row r="121" spans="18:19" x14ac:dyDescent="0.2">
      <c r="R121" s="34"/>
      <c r="S121" s="34"/>
    </row>
    <row r="122" spans="18:19" x14ac:dyDescent="0.2">
      <c r="R122" s="34"/>
      <c r="S122" s="34"/>
    </row>
    <row r="123" spans="18:19" x14ac:dyDescent="0.2">
      <c r="R123" s="34"/>
      <c r="S123" s="34"/>
    </row>
    <row r="124" spans="18:19" x14ac:dyDescent="0.2">
      <c r="R124" s="34"/>
      <c r="S124" s="34"/>
    </row>
    <row r="125" spans="18:19" x14ac:dyDescent="0.2">
      <c r="R125" s="34"/>
      <c r="S125" s="34"/>
    </row>
    <row r="126" spans="18:19" x14ac:dyDescent="0.2">
      <c r="R126" s="34"/>
      <c r="S126" s="34"/>
    </row>
    <row r="127" spans="18:19" x14ac:dyDescent="0.2">
      <c r="R127" s="34"/>
      <c r="S127" s="34"/>
    </row>
    <row r="128" spans="18:19" x14ac:dyDescent="0.2">
      <c r="R128" s="34"/>
      <c r="S128" s="34"/>
    </row>
    <row r="129" spans="18:19" x14ac:dyDescent="0.2">
      <c r="R129" s="34"/>
      <c r="S129" s="34"/>
    </row>
    <row r="130" spans="18:19" x14ac:dyDescent="0.2">
      <c r="R130" s="34"/>
      <c r="S130" s="34"/>
    </row>
    <row r="131" spans="18:19" x14ac:dyDescent="0.2">
      <c r="R131" s="34"/>
      <c r="S131" s="34"/>
    </row>
    <row r="132" spans="18:19" x14ac:dyDescent="0.2">
      <c r="R132" s="34"/>
      <c r="S132" s="34"/>
    </row>
    <row r="133" spans="18:19" x14ac:dyDescent="0.2">
      <c r="R133" s="35"/>
      <c r="S133" s="34"/>
    </row>
    <row r="134" spans="18:19" x14ac:dyDescent="0.2">
      <c r="R134" s="35"/>
      <c r="S134" s="34"/>
    </row>
    <row r="135" spans="18:19" x14ac:dyDescent="0.2">
      <c r="R135" s="35"/>
      <c r="S135" s="34"/>
    </row>
    <row r="136" spans="18:19" x14ac:dyDescent="0.2">
      <c r="R136" s="35"/>
      <c r="S136" s="34"/>
    </row>
    <row r="137" spans="18:19" x14ac:dyDescent="0.2">
      <c r="R137" s="35"/>
      <c r="S137" s="34"/>
    </row>
    <row r="138" spans="18:19" x14ac:dyDescent="0.2">
      <c r="R138" s="35"/>
      <c r="S138" s="34"/>
    </row>
    <row r="139" spans="18:19" x14ac:dyDescent="0.2">
      <c r="R139" s="35"/>
      <c r="S139" s="35"/>
    </row>
    <row r="140" spans="18:19" x14ac:dyDescent="0.2">
      <c r="R140" s="35"/>
      <c r="S140" s="35"/>
    </row>
    <row r="141" spans="18:19" x14ac:dyDescent="0.2">
      <c r="R141" s="35"/>
      <c r="S141" s="35"/>
    </row>
    <row r="142" spans="18:19" x14ac:dyDescent="0.2">
      <c r="R142" s="35"/>
      <c r="S142" s="35"/>
    </row>
    <row r="143" spans="18:19" x14ac:dyDescent="0.2">
      <c r="R143" s="35"/>
      <c r="S143" s="35"/>
    </row>
    <row r="144" spans="18:19" x14ac:dyDescent="0.2">
      <c r="R144" s="35"/>
      <c r="S144" s="35"/>
    </row>
    <row r="145" spans="18:19" x14ac:dyDescent="0.2">
      <c r="R145" s="35"/>
      <c r="S145" s="35"/>
    </row>
    <row r="146" spans="18:19" x14ac:dyDescent="0.2">
      <c r="R146" s="35"/>
      <c r="S146" s="35"/>
    </row>
    <row r="147" spans="18:19" x14ac:dyDescent="0.2">
      <c r="R147" s="35"/>
      <c r="S147" s="35"/>
    </row>
    <row r="148" spans="18:19" x14ac:dyDescent="0.2">
      <c r="R148" s="35"/>
      <c r="S148" s="35"/>
    </row>
    <row r="149" spans="18:19" x14ac:dyDescent="0.2">
      <c r="S149" s="35"/>
    </row>
    <row r="150" spans="18:19" x14ac:dyDescent="0.2">
      <c r="S150" s="35"/>
    </row>
    <row r="151" spans="18:19" x14ac:dyDescent="0.2">
      <c r="S151" s="35"/>
    </row>
    <row r="152" spans="18:19" x14ac:dyDescent="0.2">
      <c r="S152" s="35"/>
    </row>
    <row r="153" spans="18:19" x14ac:dyDescent="0.2">
      <c r="S153" s="35"/>
    </row>
    <row r="154" spans="18:19" x14ac:dyDescent="0.2">
      <c r="S154" s="35"/>
    </row>
  </sheetData>
  <mergeCells count="16">
    <mergeCell ref="AH5:AH6"/>
    <mergeCell ref="AJ5:AJ6"/>
    <mergeCell ref="AT5:AT6"/>
    <mergeCell ref="AV5:AV6"/>
    <mergeCell ref="AH9:AH10"/>
    <mergeCell ref="AJ9:AJ10"/>
    <mergeCell ref="AT9:AT10"/>
    <mergeCell ref="AV9:AV10"/>
    <mergeCell ref="AH14:AH16"/>
    <mergeCell ref="AJ14:AJ16"/>
    <mergeCell ref="AT14:AT16"/>
    <mergeCell ref="AV14:AV16"/>
    <mergeCell ref="AH19:AH21"/>
    <mergeCell ref="AJ19:AJ21"/>
    <mergeCell ref="AT19:AT21"/>
    <mergeCell ref="AV19:AV21"/>
  </mergeCells>
  <dataValidations count="4">
    <dataValidation type="list" allowBlank="1" showInputMessage="1" showErrorMessage="1" sqref="D27:D28">
      <formula1>"FIXING,ESTIMATED"</formula1>
    </dataValidation>
    <dataValidation type="list" allowBlank="1" showInputMessage="1" showErrorMessage="1" sqref="S15:V20 S4:V9 T10:W10">
      <formula1>"TRUE,FALSE"</formula1>
    </dataValidation>
    <dataValidation type="list" allowBlank="1" showInputMessage="1" showErrorMessage="1" sqref="U3:V3 U14:V14">
      <formula1>"False"</formula1>
    </dataValidation>
    <dataValidation type="list" allowBlank="1" showInputMessage="1" showErrorMessage="1" sqref="S3:T3 S14:T14">
      <formula1>"TRUE"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A384"/>
  <sheetViews>
    <sheetView workbookViewId="0">
      <selection activeCell="F1" sqref="F1"/>
    </sheetView>
  </sheetViews>
  <sheetFormatPr defaultRowHeight="11.25" outlineLevelCol="1" x14ac:dyDescent="0.2"/>
  <cols>
    <col min="1" max="1" width="3.1640625" style="19" customWidth="1"/>
    <col min="2" max="2" width="2.33203125" style="19" customWidth="1"/>
    <col min="3" max="3" width="3.1640625" style="19" customWidth="1"/>
    <col min="4" max="4" width="23.1640625" style="19" customWidth="1"/>
    <col min="5" max="5" width="34.83203125" style="19" hidden="1" customWidth="1" outlineLevel="1"/>
    <col min="6" max="6" width="9.33203125" style="19" hidden="1" customWidth="1" outlineLevel="1"/>
    <col min="7" max="7" width="12.83203125" style="19" bestFit="1" customWidth="1" collapsed="1"/>
    <col min="8" max="8" width="12.83203125" style="19" customWidth="1"/>
    <col min="9" max="10" width="11.33203125" style="19" customWidth="1"/>
    <col min="11" max="12" width="9.33203125" style="19" bestFit="1" customWidth="1"/>
    <col min="13" max="13" width="8.1640625" style="19" bestFit="1" customWidth="1"/>
    <col min="14" max="14" width="2.83203125" style="19" customWidth="1"/>
    <col min="15" max="15" width="14.1640625" style="19" bestFit="1" customWidth="1"/>
    <col min="16" max="16" width="17.83203125" style="19" bestFit="1" customWidth="1"/>
    <col min="17" max="17" width="2.83203125" style="19" customWidth="1"/>
    <col min="18" max="18" width="12.83203125" style="19" bestFit="1" customWidth="1"/>
    <col min="19" max="19" width="9.33203125" style="19"/>
    <col min="20" max="20" width="9.33203125" style="19" hidden="1" customWidth="1" outlineLevel="1"/>
    <col min="21" max="21" width="9.33203125" style="19" collapsed="1"/>
    <col min="22" max="22" width="3.5" style="19" bestFit="1" customWidth="1"/>
    <col min="23" max="24" width="9.33203125" style="19"/>
    <col min="25" max="25" width="12.83203125" style="19" bestFit="1" customWidth="1"/>
    <col min="26" max="26" width="16.5" style="19" bestFit="1" customWidth="1"/>
    <col min="27" max="16384" width="9.33203125" style="19"/>
  </cols>
  <sheetData>
    <row r="1" spans="1:27" x14ac:dyDescent="0.2">
      <c r="F1" s="19">
        <f>_xll.ohTrigger($F$3:$F$17)</f>
        <v>0</v>
      </c>
      <c r="G1" s="126" t="s">
        <v>49</v>
      </c>
      <c r="H1" s="127" t="s">
        <v>37</v>
      </c>
    </row>
    <row r="2" spans="1:27" ht="26.25" customHeight="1" x14ac:dyDescent="0.2">
      <c r="D2" s="36" t="str">
        <f>H1&amp;" Instruments"</f>
        <v>12M Instruments</v>
      </c>
      <c r="E2" s="36" t="s">
        <v>84</v>
      </c>
      <c r="F2" s="36" t="s">
        <v>85</v>
      </c>
      <c r="G2" s="36" t="s">
        <v>50</v>
      </c>
      <c r="H2" s="36" t="s">
        <v>96</v>
      </c>
      <c r="I2" s="36" t="str">
        <f>"F "&amp;H1</f>
        <v>F 12M</v>
      </c>
      <c r="J2" s="36" t="s">
        <v>56</v>
      </c>
      <c r="K2" s="36" t="s">
        <v>61</v>
      </c>
      <c r="L2" s="36" t="s">
        <v>83</v>
      </c>
      <c r="M2" s="36" t="s">
        <v>63</v>
      </c>
      <c r="N2" s="21"/>
      <c r="R2" s="36" t="s">
        <v>71</v>
      </c>
      <c r="S2" s="36" t="s">
        <v>98</v>
      </c>
      <c r="T2" s="36" t="s">
        <v>89</v>
      </c>
      <c r="U2" s="36" t="s">
        <v>97</v>
      </c>
    </row>
    <row r="3" spans="1:27" ht="11.25" customHeight="1" x14ac:dyDescent="0.2">
      <c r="A3" s="104">
        <v>0</v>
      </c>
      <c r="B3" s="105" t="s">
        <v>20</v>
      </c>
      <c r="C3" s="106" t="str">
        <f>SUBSTITUTE($H$1,"M","")</f>
        <v>12</v>
      </c>
      <c r="D3" s="108" t="str">
        <f>Currency&amp;A3&amp;B3&amp;C3&amp;"F"&amp;"_Estimated"</f>
        <v>EUR0x12F_Estimated</v>
      </c>
      <c r="E3" s="108" t="str">
        <f>_xll.qlSimpleQuote(UPPER("B"&amp;$H$1&amp;"_"&amp;A3&amp;B3&amp;C3&amp;"Estimated"),,,Permanent,Trigger,ObjectOverwrite)</f>
        <v>B12M_0X12ESTIMATED#0007</v>
      </c>
      <c r="F3" s="197" t="e">
        <f>_xll.qlSimpleQuoteSetValue(E3,L3,AllTriggers)</f>
        <v>#N/A</v>
      </c>
      <c r="G3" s="210">
        <f>SettlementDate</f>
        <v>42279</v>
      </c>
      <c r="H3" s="210">
        <f>_xll.qlInterestRateIndexMaturity(PROPER(Currency)&amp;"ibor1Y",G3)</f>
        <v>42646</v>
      </c>
      <c r="I3" s="107">
        <f>L3+$J$4</f>
        <v>1.4028377131147243E-3</v>
      </c>
      <c r="J3" s="89"/>
      <c r="K3" s="89"/>
      <c r="L3" s="66">
        <f>_xll.qlTenorBasisValue($P$3,G3,Trigger)</f>
        <v>3.1300994073015375E-3</v>
      </c>
      <c r="M3" s="89"/>
      <c r="N3" s="21"/>
      <c r="O3" s="192" t="s">
        <v>82</v>
      </c>
      <c r="P3" s="66" t="str">
        <f>'[2]1YSynthDepo'!TenorBasis12M</f>
        <v>obj_00597#0000</v>
      </c>
      <c r="R3" s="211">
        <f>SettlementDate</f>
        <v>42279</v>
      </c>
      <c r="S3" s="52">
        <f>_xll.qlTenorBasisValue($P$3,R3,AllTriggers)</f>
        <v>3.1300994073015375E-3</v>
      </c>
      <c r="T3" s="46">
        <f>_xll.qlDayCounterYearFraction("actual/365 (fixed)",SettlementDate,R3,,,Trigger)</f>
        <v>0</v>
      </c>
      <c r="U3" s="52">
        <f>_xll.qlPolynomialFunctionValue($P$18,T3,AllTriggers)</f>
        <v>2.829952187027222E-3</v>
      </c>
    </row>
    <row r="4" spans="1:27" ht="11.25" customHeight="1" x14ac:dyDescent="0.2">
      <c r="A4" s="104">
        <v>0</v>
      </c>
      <c r="B4" s="105" t="s">
        <v>20</v>
      </c>
      <c r="C4" s="106" t="s">
        <v>18</v>
      </c>
      <c r="D4" s="97" t="str">
        <f>PROPER(Currency&amp;IborType)&amp;C4&amp;"LastFixing"&amp;QuoteSuffix</f>
        <v>Euribor1YLastFixing_Quote</v>
      </c>
      <c r="E4" s="97" t="str">
        <f>_xll.qlSimpleQuote(UPPER("B"&amp;$H$1&amp;"_"&amp;A4&amp;B4&amp;C4&amp;"FIXING"),,,Permanent,Trigger,ObjectOverwrite)</f>
        <v>B12M_0X1YFIXING#0007</v>
      </c>
      <c r="F4" s="198" t="e">
        <f>_xll.qlSimpleQuoteSetValue(E4,K4,AllTriggers)</f>
        <v>#N/A</v>
      </c>
      <c r="G4" s="210">
        <f>SettlementDate</f>
        <v>42279</v>
      </c>
      <c r="H4" s="210">
        <f>_xll.qlInterestRateIndexMaturity(ON_12M_index,G4)</f>
        <v>42646</v>
      </c>
      <c r="I4" s="66">
        <f>_xll.qlQuoteValue(D4,LastFixingsTrigger)</f>
        <v>1.4199999999999998E-3</v>
      </c>
      <c r="J4" s="66">
        <f>_xll.qlIndexFixing(ON_12M_index,_xll.qlInterestRateIndexFixingDate(ON_6M_index,G4),,AllTriggers)</f>
        <v>-1.7272616941868132E-3</v>
      </c>
      <c r="K4" s="107">
        <f t="shared" ref="K4:K17" si="0">I4-J4</f>
        <v>3.1472616941868132E-3</v>
      </c>
      <c r="L4" s="62">
        <f>_xll.qlTenorBasisValue($P$3,G4,Trigger)</f>
        <v>3.1300994073015375E-3</v>
      </c>
      <c r="M4" s="63">
        <f>(K4-L4)*10000</f>
        <v>0.17162286885275771</v>
      </c>
      <c r="N4" s="21"/>
      <c r="R4" s="212">
        <f>_xll.qlCalendarAdvance(Calendar,R3,"1D","f")</f>
        <v>42282</v>
      </c>
      <c r="S4" s="47">
        <f>_xll.qlTenorBasisValue($P$3,R4,AllTriggers)</f>
        <v>3.1350297189625424E-3</v>
      </c>
      <c r="T4" s="41">
        <f>_xll.qlDayCounterYearFraction("actual/365 (fixed)",SettlementDate,R4,,,Trigger)</f>
        <v>8.21917808219178E-3</v>
      </c>
      <c r="U4" s="47">
        <f>_xll.qlPolynomialFunctionValue($P$18,T4,AllTriggers)</f>
        <v>2.8344674638400053E-3</v>
      </c>
    </row>
    <row r="5" spans="1:27" ht="11.25" customHeight="1" x14ac:dyDescent="0.2">
      <c r="A5" s="92">
        <v>1</v>
      </c>
      <c r="B5" s="93" t="s">
        <v>20</v>
      </c>
      <c r="C5" s="102">
        <f t="shared" ref="C5:C17" si="1">A5+SUBSTITUTE($H$1,"M","")</f>
        <v>13</v>
      </c>
      <c r="D5" s="98" t="str">
        <f t="shared" ref="D5:D17" si="2">Currency&amp;A5&amp;B5&amp;C5&amp;"F"&amp;QuoteSuffix</f>
        <v>EUR1x13F_Quote</v>
      </c>
      <c r="E5" s="98" t="str">
        <f>_xll.qlSimpleQuote(UPPER("B"&amp;$H$1&amp;"_"&amp;A5&amp;B5&amp;C5),,,Permanent,Trigger,ObjectOverwrite)</f>
        <v>B12M_1X13#0007</v>
      </c>
      <c r="F5" s="199" t="e">
        <f>_xll.qlSimpleQuoteSetValue(E5,K5,AllTriggers)</f>
        <v>#N/A</v>
      </c>
      <c r="G5" s="211">
        <f>_xll.qlCalendarAdvance("target",SettlementDate,A5&amp;"M","mf",,Trigger)</f>
        <v>42310</v>
      </c>
      <c r="H5" s="211">
        <f>_xll.qlInterestRateIndexMaturity(ON_12M_index,G5)</f>
        <v>42676</v>
      </c>
      <c r="I5" s="52">
        <f>_xll.qlQuoteValue(D5,AllTriggers)</f>
        <v>1.3999999999999998E-3</v>
      </c>
      <c r="J5" s="52">
        <f>_xll.qlIndexFixing(ON_12M_index,_xll.qlInterestRateIndexFixingDate(ON_6M_index,G5),,AllTriggers)</f>
        <v>-1.7759798676635098E-3</v>
      </c>
      <c r="K5" s="193">
        <f t="shared" si="0"/>
        <v>3.1759798676635094E-3</v>
      </c>
      <c r="L5" s="52">
        <f>_xll.qlTenorBasisValue($P$3,G5,Trigger)</f>
        <v>3.1812302847571859E-3</v>
      </c>
      <c r="M5" s="91">
        <f t="shared" ref="M5:M17" si="3">(K5-L5)*10000</f>
        <v>-5.2504170936764835E-2</v>
      </c>
      <c r="N5" s="21"/>
      <c r="O5" s="119" t="s">
        <v>94</v>
      </c>
      <c r="P5" s="120"/>
      <c r="Q5" s="20"/>
      <c r="R5" s="212">
        <f>_xll.qlCalendarAdvance(Calendar,R4,"1D","f")</f>
        <v>42283</v>
      </c>
      <c r="S5" s="47">
        <f>_xll.qlTenorBasisValue($P$3,R5,AllTriggers)</f>
        <v>3.1366740854891781E-3</v>
      </c>
      <c r="T5" s="41">
        <f>_xll.qlDayCounterYearFraction("actual/365 (fixed)",SettlementDate,R5,,,Trigger)</f>
        <v>1.0958904109589041E-2</v>
      </c>
      <c r="U5" s="47">
        <f>_xll.qlPolynomialFunctionValue($P$18,T5,AllTriggers)</f>
        <v>2.8359751368813033E-3</v>
      </c>
    </row>
    <row r="6" spans="1:27" ht="11.25" customHeight="1" x14ac:dyDescent="0.2">
      <c r="A6" s="94">
        <v>2</v>
      </c>
      <c r="B6" s="21" t="s">
        <v>20</v>
      </c>
      <c r="C6" s="101">
        <f t="shared" si="1"/>
        <v>14</v>
      </c>
      <c r="D6" s="99" t="str">
        <f t="shared" si="2"/>
        <v>EUR2x14F_Quote</v>
      </c>
      <c r="E6" s="99" t="str">
        <f>_xll.qlSimpleQuote(UPPER("B"&amp;$H$1&amp;"_"&amp;A6&amp;B6&amp;C6),,,Permanent,Trigger,ObjectOverwrite)</f>
        <v>B12M_2X14#0007</v>
      </c>
      <c r="F6" s="200" t="e">
        <f>_xll.qlSimpleQuoteSetValue(E6,K6,AllTriggers)</f>
        <v>#N/A</v>
      </c>
      <c r="G6" s="212">
        <f>_xll.qlCalendarAdvance("target",SettlementDate,A6&amp;"M","mf",,Trigger)</f>
        <v>42340</v>
      </c>
      <c r="H6" s="212">
        <f>_xll.qlInterestRateIndexMaturity(ON_12M_index,G6)</f>
        <v>42706</v>
      </c>
      <c r="I6" s="47">
        <f>_xll.qlQuoteValue(D6,AllTriggers)</f>
        <v>1.3999999999999998E-3</v>
      </c>
      <c r="J6" s="47">
        <f>_xll.qlIndexFixing(ON_12M_index,_xll.qlInterestRateIndexFixingDate(ON_6M_index,G6),,AllTriggers)</f>
        <v>-1.8131920589106142E-3</v>
      </c>
      <c r="K6" s="128">
        <f t="shared" si="0"/>
        <v>3.2131920589106139E-3</v>
      </c>
      <c r="L6" s="47">
        <f>_xll.qlTenorBasisValue($P$3,G6,Trigger)</f>
        <v>3.2310218748214832E-3</v>
      </c>
      <c r="M6" s="64">
        <f t="shared" si="3"/>
        <v>-0.17829815910869271</v>
      </c>
      <c r="N6" s="21"/>
      <c r="O6" s="192" t="s">
        <v>77</v>
      </c>
      <c r="P6" s="66">
        <f t="array" ref="P6:P10">_xll.qlTenorBasisCoefficients(P3)</f>
        <v>3.1300994073015375E-3</v>
      </c>
      <c r="Q6" s="20"/>
      <c r="R6" s="212">
        <f>_xll.qlCalendarAdvance(Calendar,R5,"1D","f")</f>
        <v>42284</v>
      </c>
      <c r="S6" s="47">
        <f>_xll.qlTenorBasisValue($P$3,R6,AllTriggers)</f>
        <v>3.138318909271865E-3</v>
      </c>
      <c r="T6" s="41">
        <f>_xll.qlDayCounterYearFraction("actual/365 (fixed)",SettlementDate,R6,,,Trigger)</f>
        <v>1.3698630136986301E-2</v>
      </c>
      <c r="U6" s="47">
        <f>_xll.qlPolynomialFunctionValue($P$18,T6,AllTriggers)</f>
        <v>2.8374840929106882E-3</v>
      </c>
    </row>
    <row r="7" spans="1:27" ht="11.25" customHeight="1" x14ac:dyDescent="0.2">
      <c r="A7" s="94">
        <f>A6+1</f>
        <v>3</v>
      </c>
      <c r="B7" s="21" t="s">
        <v>20</v>
      </c>
      <c r="C7" s="101">
        <f t="shared" si="1"/>
        <v>15</v>
      </c>
      <c r="D7" s="99" t="str">
        <f t="shared" si="2"/>
        <v>EUR3x15F_Quote</v>
      </c>
      <c r="E7" s="99" t="str">
        <f>_xll.qlSimpleQuote(UPPER("B"&amp;$H$1&amp;"_"&amp;A7&amp;B7&amp;C7),,,Permanent,Trigger,ObjectOverwrite)</f>
        <v>B12M_3X15#0007</v>
      </c>
      <c r="F7" s="200" t="e">
        <f>_xll.qlSimpleQuoteSetValue(E7,K7,AllTriggers)</f>
        <v>#N/A</v>
      </c>
      <c r="G7" s="212">
        <f>_xll.qlCalendarAdvance("target",SettlementDate,A7&amp;"M","mf",,Trigger)</f>
        <v>42373</v>
      </c>
      <c r="H7" s="212">
        <f>_xll.qlInterestRateIndexMaturity(ON_12M_index,G7)</f>
        <v>42739</v>
      </c>
      <c r="I7" s="47">
        <f>_xll.qlQuoteValue(D7,AllTriggers)</f>
        <v>1.4199999999999998E-3</v>
      </c>
      <c r="J7" s="47">
        <f>_xll.qlIndexFixing(ON_12M_index,_xll.qlInterestRateIndexFixingDate(ON_6M_index,G7),,AllTriggers)</f>
        <v>-1.8567217092998706E-3</v>
      </c>
      <c r="K7" s="128">
        <f t="shared" si="0"/>
        <v>3.2767217092998704E-3</v>
      </c>
      <c r="L7" s="47">
        <f>_xll.qlTenorBasisValue($P$3,G7,Trigger)</f>
        <v>3.2860003544474873E-3</v>
      </c>
      <c r="M7" s="64">
        <f t="shared" si="3"/>
        <v>-9.2786451476169041E-2</v>
      </c>
      <c r="N7" s="21"/>
      <c r="O7" s="192" t="s">
        <v>78</v>
      </c>
      <c r="P7" s="66">
        <v>5.995969478929283E-4</v>
      </c>
      <c r="Q7" s="20"/>
      <c r="R7" s="212">
        <f>_xll.qlCalendarAdvance(Calendar,R6,"1D","f")</f>
        <v>42285</v>
      </c>
      <c r="S7" s="47">
        <f>_xll.qlTenorBasisValue($P$3,R7,AllTriggers)</f>
        <v>3.1399641858723434E-3</v>
      </c>
      <c r="T7" s="41">
        <f>_xll.qlDayCounterYearFraction("actual/365 (fixed)",SettlementDate,R7,,,Trigger)</f>
        <v>1.643835616438356E-2</v>
      </c>
      <c r="U7" s="47">
        <f>_xll.qlPolynomialFunctionValue($P$18,T7,AllTriggers)</f>
        <v>2.8389943274898998E-3</v>
      </c>
    </row>
    <row r="8" spans="1:27" ht="11.25" customHeight="1" x14ac:dyDescent="0.2">
      <c r="A8" s="94">
        <f t="shared" ref="A8:A16" si="4">A7+1</f>
        <v>4</v>
      </c>
      <c r="B8" s="21" t="s">
        <v>20</v>
      </c>
      <c r="C8" s="101">
        <f t="shared" si="1"/>
        <v>16</v>
      </c>
      <c r="D8" s="99" t="str">
        <f t="shared" si="2"/>
        <v>EUR4x16F_Quote</v>
      </c>
      <c r="E8" s="99" t="str">
        <f>_xll.qlSimpleQuote(UPPER("B"&amp;$H$1&amp;"_"&amp;A8&amp;B8&amp;C8),,,Permanent,Trigger,ObjectOverwrite)</f>
        <v>B12M_4X16#0007</v>
      </c>
      <c r="F8" s="200" t="e">
        <f>_xll.qlSimpleQuoteSetValue(E8,K8,AllTriggers)</f>
        <v>#N/A</v>
      </c>
      <c r="G8" s="212">
        <f>_xll.qlCalendarAdvance("target",SettlementDate,A8&amp;"M","mf",,Trigger)</f>
        <v>42402</v>
      </c>
      <c r="H8" s="212">
        <f>_xll.qlInterestRateIndexMaturity(ON_12M_index,G8)</f>
        <v>42768</v>
      </c>
      <c r="I8" s="47">
        <f>_xll.qlQuoteValue(D8,AllTriggers)</f>
        <v>1.4599999999999999E-3</v>
      </c>
      <c r="J8" s="47">
        <f>_xll.qlIndexFixing(ON_12M_index,_xll.qlInterestRateIndexFixingDate(ON_6M_index,G8),,AllTriggers)</f>
        <v>-1.8763983747233366E-3</v>
      </c>
      <c r="K8" s="128">
        <f t="shared" si="0"/>
        <v>3.3363983747233365E-3</v>
      </c>
      <c r="L8" s="47">
        <f>_xll.qlTenorBasisValue($P$3,G8,Trigger)</f>
        <v>3.3343720695361697E-3</v>
      </c>
      <c r="M8" s="64">
        <f t="shared" si="3"/>
        <v>2.026305187166795E-2</v>
      </c>
      <c r="N8" s="21"/>
      <c r="O8" s="192" t="s">
        <v>79</v>
      </c>
      <c r="P8" s="66">
        <v>3.16415429733173E-5</v>
      </c>
      <c r="Q8" s="20"/>
      <c r="R8" s="212">
        <f>_xll.qlCalendarAdvance(Calendar,R7,"1D","f")</f>
        <v>42286</v>
      </c>
      <c r="S8" s="47">
        <f>_xll.qlTenorBasisValue($P$3,R8,AllTriggers)</f>
        <v>3.1416099108523537E-3</v>
      </c>
      <c r="T8" s="41">
        <f>_xll.qlDayCounterYearFraction("actual/365 (fixed)",SettlementDate,R8,,,Trigger)</f>
        <v>1.9178082191780823E-2</v>
      </c>
      <c r="U8" s="47">
        <f>_xll.qlPolynomialFunctionValue($P$18,T8,AllTriggers)</f>
        <v>2.8405058361806782E-3</v>
      </c>
    </row>
    <row r="9" spans="1:27" ht="11.25" customHeight="1" x14ac:dyDescent="0.2">
      <c r="A9" s="94">
        <f t="shared" si="4"/>
        <v>5</v>
      </c>
      <c r="B9" s="21" t="s">
        <v>20</v>
      </c>
      <c r="C9" s="101">
        <f t="shared" si="1"/>
        <v>17</v>
      </c>
      <c r="D9" s="99" t="str">
        <f t="shared" si="2"/>
        <v>EUR5x17F_Quote</v>
      </c>
      <c r="E9" s="99" t="str">
        <f>_xll.qlSimpleQuote(UPPER("B"&amp;$H$1&amp;"_"&amp;A9&amp;B9&amp;C9),,,Permanent,Trigger,ObjectOverwrite)</f>
        <v>B12M_5X17#0007</v>
      </c>
      <c r="F9" s="200" t="e">
        <f>_xll.qlSimpleQuoteSetValue(E9,K9,AllTriggers)</f>
        <v>#N/A</v>
      </c>
      <c r="G9" s="212">
        <f>_xll.qlCalendarAdvance("target",SettlementDate,A9&amp;"M","mf",,Trigger)</f>
        <v>42431</v>
      </c>
      <c r="H9" s="212">
        <f>_xll.qlInterestRateIndexMaturity(ON_12M_index,G9)</f>
        <v>42796</v>
      </c>
      <c r="I9" s="47">
        <f>_xll.qlQuoteValue(D9,AllTriggers)</f>
        <v>1.49E-3</v>
      </c>
      <c r="J9" s="47">
        <f>_xll.qlIndexFixing(ON_12M_index,_xll.qlInterestRateIndexFixingDate(ON_6M_index,G9),,AllTriggers)</f>
        <v>-1.8887401753394696E-3</v>
      </c>
      <c r="K9" s="128">
        <f t="shared" si="0"/>
        <v>3.3787401753394694E-3</v>
      </c>
      <c r="L9" s="47">
        <f>_xll.qlTenorBasisValue($P$3,G9,Trigger)</f>
        <v>3.3826841603808522E-3</v>
      </c>
      <c r="M9" s="64">
        <f t="shared" si="3"/>
        <v>-3.9439850413828387E-2</v>
      </c>
      <c r="N9" s="21"/>
      <c r="O9" s="192" t="s">
        <v>80</v>
      </c>
      <c r="P9" s="66">
        <v>-3.5969967427505409E-5</v>
      </c>
      <c r="Q9" s="20"/>
      <c r="R9" s="212">
        <f>_xll.qlCalendarAdvance(Calendar,R8,"1D","f")</f>
        <v>42289</v>
      </c>
      <c r="S9" s="47">
        <f>_xll.qlTenorBasisValue($P$3,R9,AllTriggers)</f>
        <v>3.1465497316869799E-3</v>
      </c>
      <c r="T9" s="41">
        <f>_xll.qlDayCounterYearFraction("actual/365 (fixed)",SettlementDate,R9,,,Trigger)</f>
        <v>2.7397260273972601E-2</v>
      </c>
      <c r="U9" s="47">
        <f>_xll.qlPolynomialFunctionValue($P$18,T9,AllTriggers)</f>
        <v>2.8450479625398198E-3</v>
      </c>
    </row>
    <row r="10" spans="1:27" ht="11.25" customHeight="1" x14ac:dyDescent="0.2">
      <c r="A10" s="94">
        <f t="shared" si="4"/>
        <v>6</v>
      </c>
      <c r="B10" s="21" t="s">
        <v>20</v>
      </c>
      <c r="C10" s="101">
        <f t="shared" si="1"/>
        <v>18</v>
      </c>
      <c r="D10" s="99" t="str">
        <f t="shared" si="2"/>
        <v>EUR6x18F_Quote</v>
      </c>
      <c r="E10" s="99" t="str">
        <f>_xll.qlSimpleQuote(UPPER("B"&amp;$H$1&amp;"_"&amp;A10&amp;B10&amp;C10),,,Permanent,Trigger,ObjectOverwrite)</f>
        <v>B12M_6X18#0007</v>
      </c>
      <c r="F10" s="200" t="e">
        <f>_xll.qlSimpleQuoteSetValue(E10,K10,AllTriggers)</f>
        <v>#N/A</v>
      </c>
      <c r="G10" s="212">
        <f>_xll.qlCalendarAdvance("target",SettlementDate,A10&amp;"M","mf",,Trigger)</f>
        <v>42464</v>
      </c>
      <c r="H10" s="212">
        <f>_xll.qlInterestRateIndexMaturity(ON_12M_index,G10)</f>
        <v>42829</v>
      </c>
      <c r="I10" s="47">
        <f>_xll.qlQuoteValue(D10,AllTriggers)</f>
        <v>1.5499999999999999E-3</v>
      </c>
      <c r="J10" s="47">
        <f>_xll.qlIndexFixing(ON_12M_index,_xll.qlInterestRateIndexFixingDate(ON_6M_index,G10),,AllTriggers)</f>
        <v>-1.8924358551712199E-3</v>
      </c>
      <c r="K10" s="128">
        <f t="shared" si="0"/>
        <v>3.4424358551712201E-3</v>
      </c>
      <c r="L10" s="47">
        <f>_xll.qlTenorBasisValue($P$3,G10,Trigger)</f>
        <v>3.4374497367907664E-3</v>
      </c>
      <c r="M10" s="64">
        <f t="shared" si="3"/>
        <v>4.9861183804536698E-2</v>
      </c>
      <c r="N10" s="21"/>
      <c r="O10" s="192" t="s">
        <v>81</v>
      </c>
      <c r="P10" s="66" t="e">
        <v>#N/A</v>
      </c>
      <c r="Q10" s="20"/>
      <c r="R10" s="212">
        <f>_xll.qlCalendarAdvance(Calendar,R9,"1D","f")</f>
        <v>42290</v>
      </c>
      <c r="S10" s="47">
        <f>_xll.qlTenorBasisValue($P$3,R10,AllTriggers)</f>
        <v>3.148197205802521E-3</v>
      </c>
      <c r="T10" s="41">
        <f>_xll.qlDayCounterYearFraction("actual/365 (fixed)",SettlementDate,R10,,,Trigger)</f>
        <v>3.0136986301369864E-2</v>
      </c>
      <c r="U10" s="47">
        <f>_xll.qlPolynomialFunctionValue($P$18,T10,AllTriggers)</f>
        <v>2.8465645232942701E-3</v>
      </c>
    </row>
    <row r="11" spans="1:27" ht="11.25" customHeight="1" x14ac:dyDescent="0.2">
      <c r="A11" s="94">
        <f t="shared" si="4"/>
        <v>7</v>
      </c>
      <c r="B11" s="21" t="s">
        <v>20</v>
      </c>
      <c r="C11" s="101">
        <f t="shared" si="1"/>
        <v>19</v>
      </c>
      <c r="D11" s="99" t="str">
        <f t="shared" si="2"/>
        <v>EUR7x19F_Quote</v>
      </c>
      <c r="E11" s="99" t="str">
        <f>_xll.qlSimpleQuote(UPPER("B"&amp;$H$1&amp;"_"&amp;A11&amp;B11&amp;C11),,,Permanent,Trigger,ObjectOverwrite)</f>
        <v>B12M_7X19#0007</v>
      </c>
      <c r="F11" s="200" t="e">
        <f>_xll.qlSimpleQuoteSetValue(E11,K11,AllTriggers)</f>
        <v>#N/A</v>
      </c>
      <c r="G11" s="212">
        <f>_xll.qlCalendarAdvance("target",SettlementDate,A11&amp;"M","mf",,Trigger)</f>
        <v>42492</v>
      </c>
      <c r="H11" s="212">
        <f>_xll.qlInterestRateIndexMaturity(ON_12M_index,G11)</f>
        <v>42857</v>
      </c>
      <c r="I11" s="47">
        <f>_xll.qlQuoteValue(D11,AllTriggers)</f>
        <v>1.6099999999999997E-3</v>
      </c>
      <c r="J11" s="47">
        <f>_xll.qlIndexFixing(ON_12M_index,_xll.qlInterestRateIndexFixingDate(ON_6M_index,G11),,AllTriggers)</f>
        <v>-1.8866364780331423E-3</v>
      </c>
      <c r="K11" s="128">
        <f t="shared" si="0"/>
        <v>3.4966364780331417E-3</v>
      </c>
      <c r="L11" s="47">
        <f>_xll.qlTenorBasisValue($P$3,G11,Trigger)</f>
        <v>3.4836282728434773E-3</v>
      </c>
      <c r="M11" s="64">
        <f t="shared" si="3"/>
        <v>0.13008205189664421</v>
      </c>
      <c r="N11" s="21"/>
      <c r="Q11" s="20"/>
      <c r="R11" s="212">
        <f>_xll.qlCalendarAdvance(Calendar,R10,"1D","f")</f>
        <v>42291</v>
      </c>
      <c r="S11" s="47">
        <f>_xll.qlTenorBasisValue($P$3,R11,AllTriggers)</f>
        <v>3.149845106106297E-3</v>
      </c>
      <c r="T11" s="41">
        <f>_xll.qlDayCounterYearFraction("actual/365 (fixed)",SettlementDate,R11,,,Trigger)</f>
        <v>3.287671232876712E-2</v>
      </c>
      <c r="U11" s="47">
        <f>_xll.qlPolynomialFunctionValue($P$18,T11,AllTriggers)</f>
        <v>2.8480823359689897E-3</v>
      </c>
    </row>
    <row r="12" spans="1:27" ht="11.25" customHeight="1" x14ac:dyDescent="0.2">
      <c r="A12" s="94">
        <f t="shared" si="4"/>
        <v>8</v>
      </c>
      <c r="B12" s="21" t="s">
        <v>20</v>
      </c>
      <c r="C12" s="101">
        <f t="shared" si="1"/>
        <v>20</v>
      </c>
      <c r="D12" s="99" t="str">
        <f t="shared" si="2"/>
        <v>EUR8x20F_Quote</v>
      </c>
      <c r="E12" s="99" t="str">
        <f>_xll.qlSimpleQuote(UPPER("B"&amp;$H$1&amp;"_"&amp;A12&amp;B12&amp;C12),,,Permanent,Trigger,ObjectOverwrite)</f>
        <v>B12M_8X20#0007</v>
      </c>
      <c r="F12" s="200" t="e">
        <f>_xll.qlSimpleQuoteSetValue(E12,K12,AllTriggers)</f>
        <v>#N/A</v>
      </c>
      <c r="G12" s="212">
        <f>_xll.qlCalendarAdvance("target",SettlementDate,A12&amp;"M","mf",,Trigger)</f>
        <v>42523</v>
      </c>
      <c r="H12" s="212">
        <f>_xll.qlInterestRateIndexMaturity(ON_12M_index,G12)</f>
        <v>42888</v>
      </c>
      <c r="I12" s="47">
        <f>_xll.qlQuoteValue(D12,AllTriggers)</f>
        <v>1.6699999999999998E-3</v>
      </c>
      <c r="J12" s="47">
        <f>_xll.qlIndexFixing(ON_12M_index,_xll.qlInterestRateIndexFixingDate(ON_6M_index,G12),,AllTriggers)</f>
        <v>-1.8704693470291188E-3</v>
      </c>
      <c r="K12" s="128">
        <f t="shared" si="0"/>
        <v>3.5404693470291186E-3</v>
      </c>
      <c r="L12" s="47">
        <f>_xll.qlTenorBasisValue($P$3,G12,Trigger)</f>
        <v>3.5343203242805261E-3</v>
      </c>
      <c r="M12" s="64">
        <f t="shared" si="3"/>
        <v>6.1490227485925045E-2</v>
      </c>
      <c r="N12" s="21"/>
      <c r="O12" s="119" t="s">
        <v>95</v>
      </c>
      <c r="P12" s="120"/>
      <c r="Q12" s="20"/>
      <c r="R12" s="212">
        <f>_xll.qlCalendarAdvance(Calendar,R11,"1D","f")</f>
        <v>42292</v>
      </c>
      <c r="S12" s="47">
        <f>_xll.qlTenorBasisValue($P$3,R12,AllTriggers)</f>
        <v>3.1514934281600465E-3</v>
      </c>
      <c r="T12" s="41">
        <f>_xll.qlDayCounterYearFraction("actual/365 (fixed)",SettlementDate,R12,,,Trigger)</f>
        <v>3.5616438356164383E-2</v>
      </c>
      <c r="U12" s="47">
        <f>_xll.qlPolynomialFunctionValue($P$18,T12,AllTriggers)</f>
        <v>2.8496013961257188E-3</v>
      </c>
    </row>
    <row r="13" spans="1:27" ht="11.25" customHeight="1" x14ac:dyDescent="0.2">
      <c r="A13" s="94">
        <f t="shared" si="4"/>
        <v>9</v>
      </c>
      <c r="B13" s="21" t="s">
        <v>20</v>
      </c>
      <c r="C13" s="101">
        <f t="shared" si="1"/>
        <v>21</v>
      </c>
      <c r="D13" s="99" t="str">
        <f t="shared" si="2"/>
        <v>EUR9x21F_Quote</v>
      </c>
      <c r="E13" s="99" t="str">
        <f>_xll.qlSimpleQuote(UPPER("B"&amp;$H$1&amp;"_"&amp;A13&amp;B13&amp;C13),,,Permanent,Trigger,ObjectOverwrite)</f>
        <v>B12M_9X21#0007</v>
      </c>
      <c r="F13" s="200" t="e">
        <f>_xll.qlSimpleQuoteSetValue(E13,K13,AllTriggers)</f>
        <v>#N/A</v>
      </c>
      <c r="G13" s="212">
        <f>_xll.qlCalendarAdvance("target",SettlementDate,A13&amp;"M","mf",,Trigger)</f>
        <v>42555</v>
      </c>
      <c r="H13" s="212">
        <f>_xll.qlInterestRateIndexMaturity(ON_12M_index,G13)</f>
        <v>42920</v>
      </c>
      <c r="I13" s="47">
        <f>_xll.qlQuoteValue(D13,AllTriggers)</f>
        <v>1.7499999999999998E-3</v>
      </c>
      <c r="J13" s="47">
        <f>_xll.qlIndexFixing(ON_12M_index,_xll.qlInterestRateIndexFixingDate(ON_6M_index,G13),,AllTriggers)</f>
        <v>-1.8414437202698085E-3</v>
      </c>
      <c r="K13" s="128">
        <f t="shared" si="0"/>
        <v>3.5914437202698084E-3</v>
      </c>
      <c r="L13" s="47">
        <f>_xll.qlTenorBasisValue($P$3,G13,Trigger)</f>
        <v>3.586033322264042E-3</v>
      </c>
      <c r="M13" s="64">
        <f t="shared" si="3"/>
        <v>5.4103980057663287E-2</v>
      </c>
      <c r="N13" s="21"/>
      <c r="O13" s="192" t="s">
        <v>77</v>
      </c>
      <c r="P13" s="66">
        <f t="array" ref="P13:P17">_xll.qlTenorInstCoefficients(P3)</f>
        <v>2.829952187027222E-3</v>
      </c>
      <c r="Q13" s="20"/>
      <c r="R13" s="212">
        <f>_xll.qlCalendarAdvance(Calendar,R12,"1D","f")</f>
        <v>42293</v>
      </c>
      <c r="S13" s="47">
        <f>_xll.qlTenorBasisValue($P$3,R13,AllTriggers)</f>
        <v>3.1531421675255111E-3</v>
      </c>
      <c r="T13" s="41">
        <f>_xll.qlDayCounterYearFraction("actual/365 (fixed)",SettlementDate,R13,,,Trigger)</f>
        <v>3.8356164383561646E-2</v>
      </c>
      <c r="U13" s="47">
        <f>_xll.qlPolynomialFunctionValue($P$18,T13,AllTriggers)</f>
        <v>2.8511216993261975E-3</v>
      </c>
    </row>
    <row r="14" spans="1:27" ht="11.25" customHeight="1" thickBot="1" x14ac:dyDescent="0.25">
      <c r="A14" s="94">
        <f t="shared" si="4"/>
        <v>10</v>
      </c>
      <c r="B14" s="21" t="s">
        <v>20</v>
      </c>
      <c r="C14" s="101">
        <f t="shared" si="1"/>
        <v>22</v>
      </c>
      <c r="D14" s="99" t="str">
        <f t="shared" si="2"/>
        <v>EUR10x22F_Quote</v>
      </c>
      <c r="E14" s="99" t="str">
        <f>_xll.qlSimpleQuote(UPPER("B"&amp;$H$1&amp;"_"&amp;A14&amp;B14&amp;C14),,,Permanent,Trigger,ObjectOverwrite)</f>
        <v>B12M_10X22#0007</v>
      </c>
      <c r="F14" s="200" t="e">
        <f>_xll.qlSimpleQuoteSetValue(E14,K14,AllTriggers)</f>
        <v>#N/A</v>
      </c>
      <c r="G14" s="212">
        <f>_xll.qlCalendarAdvance("target",SettlementDate,A14&amp;"M","mf",,Trigger)</f>
        <v>42584</v>
      </c>
      <c r="H14" s="212">
        <f>_xll.qlInterestRateIndexMaturity(ON_12M_index,G14)</f>
        <v>42949</v>
      </c>
      <c r="I14" s="47">
        <f>_xll.qlQuoteValue(D14,AllTriggers)</f>
        <v>1.83E-3</v>
      </c>
      <c r="J14" s="47">
        <f>_xll.qlIndexFixing(ON_12M_index,_xll.qlInterestRateIndexFixingDate(ON_6M_index,G14),,AllTriggers)</f>
        <v>-1.8048142417614816E-3</v>
      </c>
      <c r="K14" s="128">
        <f t="shared" si="0"/>
        <v>3.6348142417614816E-3</v>
      </c>
      <c r="L14" s="47">
        <f>_xll.qlTenorBasisValue($P$3,G14,Trigger)</f>
        <v>3.6322388210557307E-3</v>
      </c>
      <c r="M14" s="64">
        <f t="shared" si="3"/>
        <v>2.5754207057509387E-2</v>
      </c>
      <c r="N14" s="21"/>
      <c r="O14" s="192" t="s">
        <v>78</v>
      </c>
      <c r="P14" s="66">
        <v>5.486489530699629E-4</v>
      </c>
      <c r="Q14" s="20"/>
      <c r="R14" s="212">
        <f>_xll.qlCalendarAdvance(Calendar,R13,"1D","f")</f>
        <v>42296</v>
      </c>
      <c r="S14" s="47">
        <f>_xll.qlTenorBasisValue($P$3,R14,AllTriggers)</f>
        <v>3.1580908451095957E-3</v>
      </c>
      <c r="T14" s="41">
        <f>_xll.qlDayCounterYearFraction("actual/365 (fixed)",SettlementDate,R14,,,Trigger)</f>
        <v>4.6575342465753428E-2</v>
      </c>
      <c r="U14" s="47">
        <f>_xll.qlPolynomialFunctionValue($P$18,T14,AllTriggers)</f>
        <v>2.8556900228075359E-3</v>
      </c>
      <c r="W14" s="36"/>
      <c r="X14" s="36" t="s">
        <v>49</v>
      </c>
      <c r="Y14" s="36" t="s">
        <v>38</v>
      </c>
      <c r="Z14" s="36" t="s">
        <v>39</v>
      </c>
      <c r="AA14" s="204" t="s">
        <v>93</v>
      </c>
    </row>
    <row r="15" spans="1:27" ht="11.25" customHeight="1" x14ac:dyDescent="0.2">
      <c r="A15" s="94">
        <f t="shared" si="4"/>
        <v>11</v>
      </c>
      <c r="B15" s="21" t="s">
        <v>20</v>
      </c>
      <c r="C15" s="101">
        <f t="shared" si="1"/>
        <v>23</v>
      </c>
      <c r="D15" s="99" t="str">
        <f t="shared" si="2"/>
        <v>EUR11x23F_Quote</v>
      </c>
      <c r="E15" s="99" t="str">
        <f>_xll.qlSimpleQuote(UPPER("B"&amp;$H$1&amp;"_"&amp;A15&amp;B15&amp;C15),,,Permanent,Trigger,ObjectOverwrite)</f>
        <v>B12M_11X23#0007</v>
      </c>
      <c r="F15" s="200" t="e">
        <f>_xll.qlSimpleQuoteSetValue(E15,K15,AllTriggers)</f>
        <v>#N/A</v>
      </c>
      <c r="G15" s="212">
        <f>_xll.qlCalendarAdvance("target",SettlementDate,A15&amp;"M","mf",,Trigger)</f>
        <v>42615</v>
      </c>
      <c r="H15" s="212">
        <f>_xll.qlInterestRateIndexMaturity(ON_12M_index,G15)</f>
        <v>42982</v>
      </c>
      <c r="I15" s="47">
        <f>_xll.qlQuoteValue(D15,AllTriggers)</f>
        <v>1.92E-3</v>
      </c>
      <c r="J15" s="47">
        <f>_xll.qlIndexFixing(ON_12M_index,_xll.qlInterestRateIndexFixingDate(ON_6M_index,G15),,AllTriggers)</f>
        <v>-1.7523443455322815E-3</v>
      </c>
      <c r="K15" s="128">
        <f t="shared" si="0"/>
        <v>3.6723443455322817E-3</v>
      </c>
      <c r="L15" s="47">
        <f>_xll.qlTenorBasisValue($P$3,G15,Trigger)</f>
        <v>3.6808110003664646E-3</v>
      </c>
      <c r="M15" s="64">
        <f t="shared" si="3"/>
        <v>-8.4666548341829143E-2</v>
      </c>
      <c r="N15" s="21"/>
      <c r="O15" s="192" t="s">
        <v>79</v>
      </c>
      <c r="P15" s="66">
        <v>8.6645618164544314E-5</v>
      </c>
      <c r="Q15" s="20"/>
      <c r="R15" s="212">
        <f>_xll.qlCalendarAdvance(Calendar,R14,"1D","f")</f>
        <v>42297</v>
      </c>
      <c r="S15" s="47">
        <f>_xll.qlTenorBasisValue($P$3,R15,AllTriggers)</f>
        <v>3.1597412093393226E-3</v>
      </c>
      <c r="T15" s="41">
        <f>_xll.qlDayCounterYearFraction("actual/365 (fixed)",SettlementDate,R15,,,Trigger)</f>
        <v>4.9315068493150684E-2</v>
      </c>
      <c r="U15" s="47">
        <f>_xll.qlPolynomialFunctionValue($P$18,T15,AllTriggers)</f>
        <v>2.8572152538004179E-3</v>
      </c>
      <c r="W15" s="45">
        <v>0</v>
      </c>
      <c r="X15" s="45" t="s">
        <v>25</v>
      </c>
      <c r="Y15" s="175">
        <f>_xll.qlCalendarAdvance(Calendar,SettlementDate,W15&amp;"M","mf",TRUE,Trigger)</f>
        <v>42279</v>
      </c>
      <c r="Z15" s="245">
        <f>_xll.qlCalendarAdvance(Calendar,SettlementDate,X15,"Following",,Trigger)</f>
        <v>42282</v>
      </c>
      <c r="AA15" s="205">
        <f>_xll.qlTenorBasisForwardRate2(TenorBasis6M,Y15,Z15,AllTriggers)</f>
        <v>1.4333547028755333E-3</v>
      </c>
    </row>
    <row r="16" spans="1:27" ht="11.25" customHeight="1" x14ac:dyDescent="0.2">
      <c r="A16" s="95">
        <f t="shared" si="4"/>
        <v>12</v>
      </c>
      <c r="B16" s="96" t="s">
        <v>20</v>
      </c>
      <c r="C16" s="103">
        <f t="shared" si="1"/>
        <v>24</v>
      </c>
      <c r="D16" s="100" t="str">
        <f t="shared" si="2"/>
        <v>EUR12x24F_Quote</v>
      </c>
      <c r="E16" s="100" t="str">
        <f>_xll.qlSimpleQuote(UPPER("B"&amp;$H$1&amp;"_"&amp;A16&amp;B16&amp;C16),,,Permanent,Trigger,ObjectOverwrite)</f>
        <v>B12M_12X24#0007</v>
      </c>
      <c r="F16" s="201" t="e">
        <f>_xll.qlSimpleQuoteSetValue(E16,K16,AllTriggers)</f>
        <v>#N/A</v>
      </c>
      <c r="G16" s="213">
        <f>_xll.qlCalendarAdvance("target",SettlementDate,A16&amp;"M","mf",,Trigger)</f>
        <v>42646</v>
      </c>
      <c r="H16" s="213">
        <f>_xll.qlInterestRateIndexMaturity(ON_12M_index,G16)</f>
        <v>43011</v>
      </c>
      <c r="I16" s="50">
        <f>_xll.qlQuoteValue(D16,AllTriggers)</f>
        <v>2.0299999999999997E-3</v>
      </c>
      <c r="J16" s="50">
        <f>_xll.qlIndexFixing(ON_12M_index,_xll.qlInterestRateIndexFixingDate(ON_6M_index,G16),,AllTriggers)</f>
        <v>-1.6911753911141494E-3</v>
      </c>
      <c r="K16" s="115">
        <f t="shared" si="0"/>
        <v>3.7211753911141491E-3</v>
      </c>
      <c r="L16" s="50">
        <f>_xll.qlTenorBasisValue($P$3,G16,Trigger)</f>
        <v>3.7284065671389756E-3</v>
      </c>
      <c r="M16" s="65">
        <f t="shared" si="3"/>
        <v>-7.2311760248265633E-2</v>
      </c>
      <c r="N16" s="21"/>
      <c r="O16" s="192" t="s">
        <v>80</v>
      </c>
      <c r="P16" s="66">
        <v>-3.5969967427505409E-5</v>
      </c>
      <c r="Q16" s="20"/>
      <c r="R16" s="212">
        <f>_xll.qlCalendarAdvance(Calendar,R15,"1D","f")</f>
        <v>42298</v>
      </c>
      <c r="S16" s="47">
        <f>_xll.qlTenorBasisValue($P$3,R16,AllTriggers)</f>
        <v>3.1613919686894654E-3</v>
      </c>
      <c r="T16" s="41">
        <f>_xll.qlDayCounterYearFraction("actual/365 (fixed)",SettlementDate,R16,,,Trigger)</f>
        <v>5.2054794520547946E-2</v>
      </c>
      <c r="U16" s="47">
        <f>_xll.qlPolynomialFunctionValue($P$18,T16,AllTriggers)</f>
        <v>2.8587417056457512E-3</v>
      </c>
      <c r="W16" s="48">
        <v>0</v>
      </c>
      <c r="X16" s="48" t="s">
        <v>26</v>
      </c>
      <c r="Y16" s="177">
        <f>_xll.qlCalendarAdvance(Calendar,SettlementDate,W16&amp;"M","mf",TRUE,Trigger)</f>
        <v>42279</v>
      </c>
      <c r="Z16" s="246">
        <f>_xll.qlCalendarAdvance(Calendar,SettlementDate,X16,"Following",,Trigger)</f>
        <v>42286</v>
      </c>
      <c r="AA16" s="206">
        <f>_xll.qlTenorBasisForwardRate2(TenorBasis6M,Y16,Z16,AllTriggers)</f>
        <v>1.3663833517441049E-3</v>
      </c>
    </row>
    <row r="17" spans="1:27" ht="11.25" customHeight="1" x14ac:dyDescent="0.2">
      <c r="A17" s="94">
        <v>24</v>
      </c>
      <c r="B17" s="21" t="s">
        <v>20</v>
      </c>
      <c r="C17" s="101">
        <f t="shared" si="1"/>
        <v>36</v>
      </c>
      <c r="D17" s="280" t="str">
        <f t="shared" si="2"/>
        <v>EUR24x36F_Quote</v>
      </c>
      <c r="E17" s="100" t="str">
        <f>_xll.qlSimpleQuote(UPPER("B"&amp;$H$1&amp;"_"&amp;A17&amp;B17&amp;C17),,,Permanent,Trigger,ObjectOverwrite)</f>
        <v>B12M_24X36#0007</v>
      </c>
      <c r="F17" s="201" t="e">
        <f>_xll.qlSimpleQuoteSetValue(E17,K17,AllTriggers)</f>
        <v>#N/A</v>
      </c>
      <c r="G17" s="213">
        <f>_xll.qlCalendarAdvance("target",SettlementDate,A17&amp;"M","mf",,Trigger)</f>
        <v>43010</v>
      </c>
      <c r="H17" s="213">
        <f>_xll.qlInterestRateIndexMaturity(ON_12M_index,G17)</f>
        <v>43375</v>
      </c>
      <c r="I17" s="50">
        <f>_xll.qlQuoteValue(D17,AllTriggers)</f>
        <v>4.0500000000000006E-3</v>
      </c>
      <c r="J17" s="50">
        <f>_xll.qlIndexFixing(ON_12M_index,_xll.qlInterestRateIndexFixingDate(ON_6M_index,G17),,AllTriggers)</f>
        <v>-1.1958856473443654E-4</v>
      </c>
      <c r="K17" s="115">
        <f t="shared" si="0"/>
        <v>4.1695885647344373E-3</v>
      </c>
      <c r="L17" s="50">
        <f>_xll.qlTenorBasisValue($P$3,G17,Trigger)</f>
        <v>4.1689052660885233E-3</v>
      </c>
      <c r="M17" s="65">
        <f t="shared" si="3"/>
        <v>6.8329864591400863E-3</v>
      </c>
      <c r="N17" s="21"/>
      <c r="O17" s="192" t="s">
        <v>81</v>
      </c>
      <c r="P17" s="66" t="e">
        <v>#N/A</v>
      </c>
      <c r="Q17" s="20"/>
      <c r="R17" s="212">
        <f>_xll.qlCalendarAdvance(Calendar,R16,"1D","f")</f>
        <v>42299</v>
      </c>
      <c r="S17" s="47">
        <f>_xll.qlTenorBasisValue($P$3,R17,AllTriggers)</f>
        <v>3.1630431187217663E-3</v>
      </c>
      <c r="T17" s="41">
        <f>_xll.qlDayCounterYearFraction("actual/365 (fixed)",SettlementDate,R17,,,Trigger)</f>
        <v>5.4794520547945202E-2</v>
      </c>
      <c r="U17" s="47">
        <f>_xll.qlPolynomialFunctionValue($P$18,T17,AllTriggers)</f>
        <v>2.8602693739052769E-3</v>
      </c>
      <c r="W17" s="48">
        <v>0</v>
      </c>
      <c r="X17" s="48" t="s">
        <v>27</v>
      </c>
      <c r="Y17" s="177">
        <f>_xll.qlCalendarAdvance(Calendar,SettlementDate,W17&amp;"M","mf",TRUE,Trigger)</f>
        <v>42279</v>
      </c>
      <c r="Z17" s="246">
        <f>_xll.qlCalendarAdvance(Calendar,SettlementDate,X17,"Following",,Trigger)</f>
        <v>42293</v>
      </c>
      <c r="AA17" s="206">
        <f>_xll.qlTenorBasisForwardRate2(TenorBasis6M,Y17,Z17,AllTriggers)</f>
        <v>1.3716018395060203E-3</v>
      </c>
    </row>
    <row r="18" spans="1:27" ht="11.25" customHeight="1" x14ac:dyDescent="0.2">
      <c r="G18" s="60"/>
      <c r="H18" s="60"/>
      <c r="I18" s="35"/>
      <c r="J18" s="35"/>
      <c r="K18" s="35"/>
      <c r="L18" s="21"/>
      <c r="M18" s="21"/>
      <c r="N18" s="21"/>
      <c r="O18" s="192" t="s">
        <v>99</v>
      </c>
      <c r="P18" s="66" t="str">
        <f>_xll.qlPolynomialFunction(,_xll.ohPack(P13:P17),,Trigger)</f>
        <v>obj_005e3#0009</v>
      </c>
      <c r="Q18" s="20"/>
      <c r="R18" s="212">
        <f>_xll.qlCalendarAdvance(Calendar,R17,"1D","f")</f>
        <v>42300</v>
      </c>
      <c r="S18" s="47">
        <f>_xll.qlTenorBasisValue($P$3,R18,AllTriggers)</f>
        <v>3.1646946549979639E-3</v>
      </c>
      <c r="T18" s="41">
        <f>_xll.qlDayCounterYearFraction("actual/365 (fixed)",SettlementDate,R18,,,Trigger)</f>
        <v>5.7534246575342465E-2</v>
      </c>
      <c r="U18" s="47">
        <f>_xll.qlPolynomialFunctionValue($P$18,T18,AllTriggers)</f>
        <v>2.8617982541407345E-3</v>
      </c>
      <c r="W18" s="48">
        <v>0</v>
      </c>
      <c r="X18" s="48" t="s">
        <v>28</v>
      </c>
      <c r="Y18" s="177">
        <f>_xll.qlCalendarAdvance(Calendar,SettlementDate,W18&amp;"M","mf",TRUE,Trigger)</f>
        <v>42279</v>
      </c>
      <c r="Z18" s="281">
        <f>_xll.qlCalendarAdvance(Calendar,SettlementDate,X18,"Following",,Trigger)</f>
        <v>42300</v>
      </c>
      <c r="AA18" s="282">
        <f>_xll.qlTenorBasisForwardRate2(TenorBasis6M,Y18,Z18,AllTriggers)</f>
        <v>1.3768408118914571E-3</v>
      </c>
    </row>
    <row r="19" spans="1:27" ht="11.25" customHeight="1" x14ac:dyDescent="0.2">
      <c r="G19" s="60"/>
      <c r="H19" s="60"/>
      <c r="I19" s="35"/>
      <c r="J19" s="35"/>
      <c r="K19" s="35"/>
      <c r="L19" s="21"/>
      <c r="M19" s="21"/>
      <c r="N19" s="21"/>
      <c r="Q19" s="20"/>
      <c r="R19" s="212">
        <f>_xll.qlCalendarAdvance(Calendar,R18,"1D","f")</f>
        <v>42303</v>
      </c>
      <c r="S19" s="47">
        <f>_xll.qlTenorBasisValue($P$3,R19,AllTriggers)</f>
        <v>3.1696515369073457E-3</v>
      </c>
      <c r="T19" s="41">
        <f>_xll.qlDayCounterYearFraction("actual/365 (fixed)",SettlementDate,R19,,,Trigger)</f>
        <v>6.575342465753424E-2</v>
      </c>
      <c r="U19" s="47">
        <f>_xll.qlPolynomialFunctionValue($P$18,T19,AllTriggers)</f>
        <v>2.8663921223201082E-3</v>
      </c>
      <c r="W19" s="129">
        <v>0</v>
      </c>
      <c r="X19" s="129" t="s">
        <v>22</v>
      </c>
      <c r="Y19" s="179">
        <f>_xll.qlCalendarAdvance(Calendar,SettlementDate,W19&amp;"M","mf",TRUE,Trigger)</f>
        <v>42279</v>
      </c>
      <c r="Z19" s="283">
        <f>_xll.qlCalendarAdvance(Calendar,SettlementDate,X19,"mf",TRUE,Trigger)</f>
        <v>42310</v>
      </c>
      <c r="AA19" s="207">
        <f>_xll.qlTenorBasisForwardRate2(TenorBasis6M,Y19,Z19,AllTriggers)</f>
        <v>1.4143671232447913E-3</v>
      </c>
    </row>
    <row r="20" spans="1:27" ht="11.25" customHeight="1" x14ac:dyDescent="0.2">
      <c r="G20" s="60"/>
      <c r="H20" s="60"/>
      <c r="I20" s="35"/>
      <c r="J20" s="35"/>
      <c r="K20" s="35"/>
      <c r="L20" s="21"/>
      <c r="M20" s="21"/>
      <c r="N20" s="21"/>
      <c r="Q20" s="20"/>
      <c r="R20" s="212">
        <f>_xll.qlCalendarAdvance(Calendar,R19,"1D","f")</f>
        <v>42304</v>
      </c>
      <c r="S20" s="47">
        <f>_xll.qlTenorBasisValue($P$3,R20,AllTriggers)</f>
        <v>3.1713045737765369E-3</v>
      </c>
      <c r="T20" s="41">
        <f>_xll.qlDayCounterYearFraction("actual/365 (fixed)",SettlementDate,R20,,,Trigger)</f>
        <v>6.8493150684931503E-2</v>
      </c>
      <c r="U20" s="47">
        <f>_xll.qlPolynomialFunctionValue($P$18,T20,AllTriggers)</f>
        <v>2.8679258060767009E-3</v>
      </c>
      <c r="W20" s="48">
        <v>0</v>
      </c>
      <c r="X20" s="48" t="s">
        <v>29</v>
      </c>
      <c r="Y20" s="177">
        <f>_xll.qlCalendarAdvance(Calendar,SettlementDate,W20&amp;"M","mf",TRUE,Trigger)</f>
        <v>42279</v>
      </c>
      <c r="Z20" s="246">
        <f>_xll.qlCalendarAdvance(Calendar,SettlementDate,X20,"mf",TRUE,Trigger)</f>
        <v>42340</v>
      </c>
      <c r="AA20" s="206">
        <f>_xll.qlTenorBasisForwardRate2(TenorBasis6M,Y20,Z20,AllTriggers)</f>
        <v>1.3871427618524104E-3</v>
      </c>
    </row>
    <row r="21" spans="1:27" ht="11.25" customHeight="1" x14ac:dyDescent="0.2">
      <c r="G21" s="60"/>
      <c r="H21" s="60"/>
      <c r="I21" s="35"/>
      <c r="J21" s="35"/>
      <c r="K21" s="35"/>
      <c r="L21" s="21"/>
      <c r="M21" s="21"/>
      <c r="N21" s="21"/>
      <c r="Q21" s="20"/>
      <c r="R21" s="212">
        <f>_xll.qlCalendarAdvance(Calendar,R20,"1D","f")</f>
        <v>42305</v>
      </c>
      <c r="S21" s="47">
        <f>_xll.qlTenorBasisValue($P$3,R21,AllTriggers)</f>
        <v>3.1729579746983278E-3</v>
      </c>
      <c r="T21" s="41">
        <f>_xll.qlDayCounterYearFraction("actual/365 (fixed)",SettlementDate,R21,,,Trigger)</f>
        <v>7.1232876712328766E-2</v>
      </c>
      <c r="U21" s="47">
        <f>_xll.qlPolynomialFunctionValue($P$18,T21,AllTriggers)</f>
        <v>2.8694606796179274E-3</v>
      </c>
      <c r="W21" s="48">
        <v>0</v>
      </c>
      <c r="X21" s="48" t="s">
        <v>23</v>
      </c>
      <c r="Y21" s="177">
        <f>_xll.qlCalendarAdvance(Calendar,SettlementDate,W21&amp;"M","mf",TRUE,Trigger)</f>
        <v>42279</v>
      </c>
      <c r="Z21" s="246">
        <f>_xll.qlCalendarAdvance(Calendar,SettlementDate,X21,"mf",TRUE,Trigger)</f>
        <v>42373</v>
      </c>
      <c r="AA21" s="206">
        <f>_xll.qlTenorBasisForwardRate2(TenorBasis6M,Y21,Z21,AllTriggers)</f>
        <v>1.4271359885300735E-3</v>
      </c>
    </row>
    <row r="22" spans="1:27" ht="11.25" customHeight="1" x14ac:dyDescent="0.2">
      <c r="G22" s="60"/>
      <c r="H22" s="60"/>
      <c r="I22" s="35"/>
      <c r="J22" s="35"/>
      <c r="K22" s="35"/>
      <c r="L22" s="21"/>
      <c r="M22" s="21"/>
      <c r="N22" s="21"/>
      <c r="Q22" s="20"/>
      <c r="R22" s="212">
        <f>_xll.qlCalendarAdvance(Calendar,R21,"1D","f")</f>
        <v>42306</v>
      </c>
      <c r="S22" s="47">
        <f>_xll.qlTenorBasisValue($P$3,R22,AllTriggers)</f>
        <v>3.1746117352344583E-3</v>
      </c>
      <c r="T22" s="41">
        <f>_xll.qlDayCounterYearFraction("actual/365 (fixed)",SettlementDate,R22,,,Trigger)</f>
        <v>7.3972602739726029E-2</v>
      </c>
      <c r="U22" s="47">
        <f>_xll.qlPolynomialFunctionValue($P$18,T22,AllTriggers)</f>
        <v>2.8709967385055291E-3</v>
      </c>
      <c r="W22" s="48">
        <v>0</v>
      </c>
      <c r="X22" s="48" t="s">
        <v>30</v>
      </c>
      <c r="Y22" s="177">
        <f>_xll.qlCalendarAdvance(Calendar,SettlementDate,W22&amp;"M","mf",TRUE,Trigger)</f>
        <v>42279</v>
      </c>
      <c r="Z22" s="246">
        <f>_xll.qlCalendarAdvance(Calendar,SettlementDate,X22,"mf",TRUE,Trigger)</f>
        <v>42402</v>
      </c>
      <c r="AA22" s="206">
        <f>_xll.qlTenorBasisForwardRate2(TenorBasis6M,Y22,Z22,AllTriggers)</f>
        <v>1.3983270840694114E-3</v>
      </c>
    </row>
    <row r="23" spans="1:27" ht="11.25" customHeight="1" x14ac:dyDescent="0.2">
      <c r="G23" s="60"/>
      <c r="H23" s="60"/>
      <c r="I23" s="35"/>
      <c r="J23" s="35"/>
      <c r="K23" s="35"/>
      <c r="L23" s="21"/>
      <c r="M23" s="21"/>
      <c r="N23" s="21"/>
      <c r="Q23" s="20"/>
      <c r="R23" s="212">
        <f>_xll.qlCalendarAdvance(Calendar,R22,"1D","f")</f>
        <v>42307</v>
      </c>
      <c r="S23" s="47">
        <f>_xll.qlTenorBasisValue($P$3,R23,AllTriggers)</f>
        <v>3.1762658509466688E-3</v>
      </c>
      <c r="T23" s="41">
        <f>_xll.qlDayCounterYearFraction("actual/365 (fixed)",SettlementDate,R23,,,Trigger)</f>
        <v>7.6712328767123292E-2</v>
      </c>
      <c r="U23" s="47">
        <f>_xll.qlPolynomialFunctionValue($P$18,T23,AllTriggers)</f>
        <v>2.8725339783012456E-3</v>
      </c>
      <c r="W23" s="48">
        <v>0</v>
      </c>
      <c r="X23" s="48" t="s">
        <v>31</v>
      </c>
      <c r="Y23" s="177">
        <f>_xll.qlCalendarAdvance(Calendar,SettlementDate,W23&amp;"M","mf",TRUE,Trigger)</f>
        <v>42279</v>
      </c>
      <c r="Z23" s="246">
        <f>_xll.qlCalendarAdvance(Calendar,SettlementDate,X23,"mf",TRUE,Trigger)</f>
        <v>42431</v>
      </c>
      <c r="AA23" s="206">
        <f>_xll.qlTenorBasisForwardRate2(TenorBasis6M,Y23,Z23,AllTriggers)</f>
        <v>1.3858433833996724E-3</v>
      </c>
    </row>
    <row r="24" spans="1:27" ht="11.25" customHeight="1" x14ac:dyDescent="0.2">
      <c r="G24" s="60"/>
      <c r="H24" s="60"/>
      <c r="I24" s="35"/>
      <c r="J24" s="35"/>
      <c r="K24" s="35"/>
      <c r="Q24" s="20"/>
      <c r="R24" s="212">
        <f>_xll.qlCalendarAdvance(Calendar,R23,"1D","f")</f>
        <v>42310</v>
      </c>
      <c r="S24" s="47">
        <f>_xll.qlTenorBasisValue($P$3,R24,AllTriggers)</f>
        <v>3.1812302847571859E-3</v>
      </c>
      <c r="T24" s="41">
        <f>_xll.qlDayCounterYearFraction("actual/365 (fixed)",SettlementDate,R24,,,Trigger)</f>
        <v>8.4931506849315067E-2</v>
      </c>
      <c r="U24" s="47">
        <f>_xll.qlPolynomialFunctionValue($P$18,T24,AllTriggers)</f>
        <v>2.8771527387544934E-3</v>
      </c>
      <c r="W24" s="48">
        <v>0</v>
      </c>
      <c r="X24" s="48" t="s">
        <v>24</v>
      </c>
      <c r="Y24" s="177">
        <f>_xll.qlCalendarAdvance(Calendar,SettlementDate,W24&amp;"M","mf",TRUE,Trigger)</f>
        <v>42279</v>
      </c>
      <c r="Z24" s="246">
        <f>_xll.qlCalendarAdvance(Calendar,SettlementDate,X24,"mf",TRUE,Trigger)</f>
        <v>42464</v>
      </c>
      <c r="AA24" s="206">
        <f>_xll.qlTenorBasisForwardRate2(TenorBasis6M,Y24,Z24,AllTriggers)</f>
        <v>1.3768754129557309E-3</v>
      </c>
    </row>
    <row r="25" spans="1:27" ht="11.25" customHeight="1" x14ac:dyDescent="0.2">
      <c r="G25" s="60"/>
      <c r="H25" s="60"/>
      <c r="I25" s="35"/>
      <c r="J25" s="35"/>
      <c r="K25" s="35"/>
      <c r="R25" s="212">
        <f>_xll.qlCalendarAdvance(Calendar,R24,"1D","f")</f>
        <v>42311</v>
      </c>
      <c r="S25" s="47">
        <f>_xll.qlTenorBasisValue($P$3,R25,AllTriggers)</f>
        <v>3.1828857767911213E-3</v>
      </c>
      <c r="T25" s="41">
        <f>_xll.qlDayCounterYearFraction("actual/365 (fixed)",SettlementDate,R25,,,Trigger)</f>
        <v>8.7671232876712329E-2</v>
      </c>
      <c r="U25" s="47">
        <f>_xll.qlPolynomialFunctionValue($P$18,T25,AllTriggers)</f>
        <v>2.878694657800075E-3</v>
      </c>
      <c r="W25" s="48">
        <v>0</v>
      </c>
      <c r="X25" s="48" t="s">
        <v>32</v>
      </c>
      <c r="Y25" s="177">
        <f>_xll.qlCalendarAdvance(Calendar,SettlementDate,W25&amp;"M","mf",TRUE,Trigger)</f>
        <v>42279</v>
      </c>
      <c r="Z25" s="251">
        <f>_xll.qlCalendarAdvance(Calendar,SettlementDate,X25,"mf",TRUE,Trigger)</f>
        <v>42492</v>
      </c>
      <c r="AA25" s="206">
        <f>_xll.qlTenorBasisTenorForwardRate(TenorBasis6M,Y25,AllTriggers)</f>
        <v>1.4028377131147243E-3</v>
      </c>
    </row>
    <row r="26" spans="1:27" ht="11.25" customHeight="1" x14ac:dyDescent="0.2">
      <c r="R26" s="212">
        <f>_xll.qlCalendarAdvance(Calendar,R25,"1D","f")</f>
        <v>42312</v>
      </c>
      <c r="S26" s="47">
        <f>_xll.qlTenorBasisValue($P$3,R26,AllTriggers)</f>
        <v>3.1845416018098384E-3</v>
      </c>
      <c r="T26" s="41">
        <f>_xll.qlDayCounterYearFraction("actual/365 (fixed)",SettlementDate,R26,,,Trigger)</f>
        <v>9.0410958904109592E-2</v>
      </c>
      <c r="U26" s="47">
        <f>_xll.qlPolynomialFunctionValue($P$18,T26,AllTriggers)</f>
        <v>2.8802377355624745E-3</v>
      </c>
      <c r="W26" s="48">
        <v>0</v>
      </c>
      <c r="X26" s="48" t="s">
        <v>33</v>
      </c>
      <c r="Y26" s="177">
        <f>_xll.qlCalendarAdvance(Calendar,SettlementDate,W26&amp;"M","mf",TRUE,Trigger)</f>
        <v>42279</v>
      </c>
      <c r="Z26" s="251">
        <f>_xll.qlCalendarAdvance(Calendar,SettlementDate,X26,"mf",TRUE,Trigger)</f>
        <v>42523</v>
      </c>
      <c r="AA26" s="206">
        <f>_xll.qlTenorBasisTenorForwardRate(TenorBasis6M,Y26,AllTriggers)</f>
        <v>1.4028377131147243E-3</v>
      </c>
    </row>
    <row r="27" spans="1:27" ht="11.25" customHeight="1" x14ac:dyDescent="0.2">
      <c r="R27" s="212">
        <f>_xll.qlCalendarAdvance(Calendar,R26,"1D","f")</f>
        <v>42313</v>
      </c>
      <c r="S27" s="47">
        <f>_xll.qlTenorBasisValue($P$3,R27,AllTriggers)</f>
        <v>3.1861977553750784E-3</v>
      </c>
      <c r="T27" s="41">
        <f>_xll.qlDayCounterYearFraction("actual/365 (fixed)",SettlementDate,R27,,,Trigger)</f>
        <v>9.3150684931506855E-2</v>
      </c>
      <c r="U27" s="47">
        <f>_xll.qlPolynomialFunctionValue($P$18,T27,AllTriggers)</f>
        <v>2.8817819676034322E-3</v>
      </c>
      <c r="W27" s="48">
        <v>0</v>
      </c>
      <c r="X27" s="48" t="s">
        <v>34</v>
      </c>
      <c r="Y27" s="177">
        <f>_xll.qlCalendarAdvance(Calendar,SettlementDate,W27&amp;"M","mf",TRUE,Trigger)</f>
        <v>42279</v>
      </c>
      <c r="Z27" s="251">
        <f>_xll.qlCalendarAdvance(Calendar,SettlementDate,X27,"mf",TRUE,Trigger)</f>
        <v>42555</v>
      </c>
      <c r="AA27" s="206">
        <f>_xll.qlTenorBasisTenorForwardRate(TenorBasis6M,Y27,AllTriggers)</f>
        <v>1.4028377131147243E-3</v>
      </c>
    </row>
    <row r="28" spans="1:27" ht="11.25" customHeight="1" x14ac:dyDescent="0.2">
      <c r="R28" s="212">
        <f>_xll.qlCalendarAdvance(Calendar,R27,"1D","f")</f>
        <v>42314</v>
      </c>
      <c r="S28" s="47">
        <f>_xll.qlTenorBasisValue($P$3,R28,AllTriggers)</f>
        <v>3.1878542330485812E-3</v>
      </c>
      <c r="T28" s="41">
        <f>_xll.qlDayCounterYearFraction("actual/365 (fixed)",SettlementDate,R28,,,Trigger)</f>
        <v>9.5890410958904104E-2</v>
      </c>
      <c r="U28" s="47">
        <f>_xll.qlPolynomialFunctionValue($P$18,T28,AllTriggers)</f>
        <v>2.883327349484687E-3</v>
      </c>
      <c r="W28" s="48">
        <v>0</v>
      </c>
      <c r="X28" s="48" t="s">
        <v>35</v>
      </c>
      <c r="Y28" s="177">
        <f>_xll.qlCalendarAdvance(Calendar,SettlementDate,W28&amp;"M","mf",TRUE,Trigger)</f>
        <v>42279</v>
      </c>
      <c r="Z28" s="251">
        <f>_xll.qlCalendarAdvance(Calendar,SettlementDate,X28,"mf",TRUE,Trigger)</f>
        <v>42584</v>
      </c>
      <c r="AA28" s="206">
        <f>_xll.qlTenorBasisTenorForwardRate(TenorBasis6M,Y28,AllTriggers)</f>
        <v>1.4028377131147243E-3</v>
      </c>
    </row>
    <row r="29" spans="1:27" ht="11.25" customHeight="1" x14ac:dyDescent="0.2">
      <c r="R29" s="212">
        <f>_xll.qlCalendarAdvance(Calendar,R28,"1D","f")</f>
        <v>42317</v>
      </c>
      <c r="S29" s="47">
        <f>_xll.qlTenorBasisValue($P$3,R29,AllTriggers)</f>
        <v>3.1928255663360716E-3</v>
      </c>
      <c r="T29" s="41">
        <f>_xll.qlDayCounterYearFraction("actual/365 (fixed)",SettlementDate,R29,,,Trigger)</f>
        <v>0.10410958904109589</v>
      </c>
      <c r="U29" s="47">
        <f>_xll.qlPolynomialFunctionValue($P$18,T29,AllTriggers)</f>
        <v>2.8879703497876451E-3</v>
      </c>
      <c r="W29" s="48">
        <v>0</v>
      </c>
      <c r="X29" s="48" t="s">
        <v>36</v>
      </c>
      <c r="Y29" s="177">
        <f>_xll.qlCalendarAdvance(Calendar,SettlementDate,W29&amp;"M","mf",TRUE,Trigger)</f>
        <v>42279</v>
      </c>
      <c r="Z29" s="251">
        <f>_xll.qlCalendarAdvance(Calendar,SettlementDate,X29,"mf",TRUE,Trigger)</f>
        <v>42615</v>
      </c>
      <c r="AA29" s="206">
        <f>_xll.qlTenorBasisTenorForwardRate(TenorBasis6M,Y29,AllTriggers)</f>
        <v>1.4028377131147243E-3</v>
      </c>
    </row>
    <row r="30" spans="1:27" ht="11.25" customHeight="1" thickBot="1" x14ac:dyDescent="0.25">
      <c r="R30" s="212">
        <f>_xll.qlCalendarAdvance(Calendar,R29,"1D","f")</f>
        <v>42318</v>
      </c>
      <c r="S30" s="47">
        <f>_xll.qlTenorBasisValue($P$3,R30,AllTriggers)</f>
        <v>3.1944832960600304E-3</v>
      </c>
      <c r="T30" s="41">
        <f>_xll.qlDayCounterYearFraction("actual/365 (fixed)",SettlementDate,R30,,,Trigger)</f>
        <v>0.10684931506849316</v>
      </c>
      <c r="U30" s="47">
        <f>_xll.qlPolynomialFunctionValue($P$18,T30,AllTriggers)</f>
        <v>2.8895202866474974E-3</v>
      </c>
      <c r="W30" s="129">
        <v>0</v>
      </c>
      <c r="X30" s="129" t="s">
        <v>37</v>
      </c>
      <c r="Y30" s="179">
        <f>_xll.qlCalendarAdvance(Calendar,SettlementDate,W30&amp;"M","mf",TRUE,Trigger)</f>
        <v>42279</v>
      </c>
      <c r="Z30" s="289">
        <f>_xll.qlCalendarAdvance(Calendar,SettlementDate,X30,"mf",TRUE,Trigger)</f>
        <v>42646</v>
      </c>
      <c r="AA30" s="290">
        <f>_xll.qlTenorBasisTenorForwardRate(TenorBasis6M,Y30,AllTriggers)</f>
        <v>1.4028377131147243E-3</v>
      </c>
    </row>
    <row r="31" spans="1:27" ht="11.25" customHeight="1" x14ac:dyDescent="0.2">
      <c r="R31" s="212">
        <f>_xll.qlCalendarAdvance(Calendar,R30,"1D","f")</f>
        <v>42319</v>
      </c>
      <c r="S31" s="47">
        <f>_xll.qlTenorBasisValue($P$3,R31,AllTriggers)</f>
        <v>3.1961413277009536E-3</v>
      </c>
      <c r="T31" s="41">
        <f>_xll.qlDayCounterYearFraction("actual/365 (fixed)",SettlementDate,R31,,,Trigger)</f>
        <v>0.1095890410958904</v>
      </c>
      <c r="U31" s="47">
        <f>_xll.qlPolynomialFunctionValue($P$18,T31,AllTriggers)</f>
        <v>2.8910713511563486E-3</v>
      </c>
      <c r="W31" s="45">
        <v>1</v>
      </c>
      <c r="X31" s="45" t="str">
        <f>W31+SUBSTITUTE($H$1,"M","")&amp;"M"</f>
        <v>13M</v>
      </c>
      <c r="Y31" s="179">
        <f>_xll.qlCalendarAdvance(Calendar,SettlementDate,W31&amp;"M","mf",TRUE,Trigger)</f>
        <v>42310</v>
      </c>
      <c r="Z31" s="175">
        <f>_xll.qlInterestRateIndexMaturity(PROPER(Currency)&amp;"ibor1Y",Y31,Trigger)</f>
        <v>42676</v>
      </c>
      <c r="AA31" s="291">
        <f>_xll.qlTenorBasisTenorForwardRate(TenorBasis6M,Y31,AllTriggers)</f>
        <v>1.405250417093676E-3</v>
      </c>
    </row>
    <row r="32" spans="1:27" ht="11.25" customHeight="1" x14ac:dyDescent="0.2">
      <c r="R32" s="212">
        <f>_xll.qlCalendarAdvance(Calendar,R31,"1D","f")</f>
        <v>42320</v>
      </c>
      <c r="S32" s="47">
        <f>_xll.qlTenorBasisValue($P$3,R32,AllTriggers)</f>
        <v>3.1977996568205826E-3</v>
      </c>
      <c r="T32" s="41">
        <f>_xll.qlDayCounterYearFraction("actual/365 (fixed)",SettlementDate,R32,,,Trigger)</f>
        <v>0.11232876712328767</v>
      </c>
      <c r="U32" s="47">
        <f>_xll.qlPolynomialFunctionValue($P$18,T32,AllTriggers)</f>
        <v>2.8926235388759408E-3</v>
      </c>
      <c r="W32" s="48">
        <v>2</v>
      </c>
      <c r="X32" s="48" t="str">
        <f t="shared" ref="X32:X42" si="5">W32+SUBSTITUTE($H$1,"M","")&amp;"M"</f>
        <v>14M</v>
      </c>
      <c r="Y32" s="177">
        <f>_xll.qlCalendarAdvance(Calendar,SettlementDate,W32&amp;"M","mf",TRUE,Trigger)</f>
        <v>42340</v>
      </c>
      <c r="Z32" s="177">
        <f>_xll.qlInterestRateIndexMaturity(PROPER(Currency)&amp;"ibor1Y",Y32,Trigger)</f>
        <v>42706</v>
      </c>
      <c r="AA32" s="292">
        <f>_xll.qlTenorBasisTenorForwardRate(TenorBasis6M,Y32,AllTriggers)</f>
        <v>1.417829815910869E-3</v>
      </c>
    </row>
    <row r="33" spans="7:27" ht="11.25" customHeight="1" x14ac:dyDescent="0.2">
      <c r="R33" s="212">
        <f>_xll.qlCalendarAdvance(Calendar,R32,"1D","f")</f>
        <v>42321</v>
      </c>
      <c r="S33" s="47">
        <f>_xll.qlTenorBasisValue($P$3,R33,AllTriggers)</f>
        <v>3.1994582789806572E-3</v>
      </c>
      <c r="T33" s="41">
        <f>_xll.qlDayCounterYearFraction("actual/365 (fixed)",SettlementDate,R33,,,Trigger)</f>
        <v>0.11506849315068493</v>
      </c>
      <c r="U33" s="47">
        <f>_xll.qlPolynomialFunctionValue($P$18,T33,AllTriggers)</f>
        <v>2.8941768453680139E-3</v>
      </c>
      <c r="W33" s="48">
        <v>3</v>
      </c>
      <c r="X33" s="48" t="str">
        <f t="shared" si="5"/>
        <v>15M</v>
      </c>
      <c r="Y33" s="177">
        <f>_xll.qlCalendarAdvance(Calendar,SettlementDate,W33&amp;"M","mf",TRUE,Trigger)</f>
        <v>42373</v>
      </c>
      <c r="Z33" s="177">
        <f>_xll.qlInterestRateIndexMaturity(PROPER(Currency)&amp;"ibor1Y",Y33,Trigger)</f>
        <v>42739</v>
      </c>
      <c r="AA33" s="292">
        <f>_xll.qlTenorBasisTenorForwardRate(TenorBasis6M,Y33,AllTriggers)</f>
        <v>1.4292786451476167E-3</v>
      </c>
    </row>
    <row r="34" spans="7:27" ht="11.25" customHeight="1" x14ac:dyDescent="0.2">
      <c r="R34" s="212">
        <f>_xll.qlCalendarAdvance(Calendar,R33,"1D","f")</f>
        <v>42324</v>
      </c>
      <c r="S34" s="47">
        <f>_xll.qlTenorBasisValue($P$3,R34,AllTriggers)</f>
        <v>3.2044358593209588E-3</v>
      </c>
      <c r="T34" s="41">
        <f>_xll.qlDayCounterYearFraction("actual/365 (fixed)",SettlementDate,R34,,,Trigger)</f>
        <v>0.12328767123287671</v>
      </c>
      <c r="U34" s="47">
        <f>_xll.qlPolynomialFunctionValue($P$18,T34,AllTriggers)</f>
        <v>2.8988434330965217E-3</v>
      </c>
      <c r="W34" s="48">
        <v>4</v>
      </c>
      <c r="X34" s="48" t="str">
        <f t="shared" si="5"/>
        <v>16M</v>
      </c>
      <c r="Y34" s="177">
        <f>_xll.qlCalendarAdvance(Calendar,SettlementDate,W34&amp;"M","mf",TRUE,Trigger)</f>
        <v>42402</v>
      </c>
      <c r="Z34" s="177">
        <f>_xll.qlInterestRateIndexMaturity(PROPER(Currency)&amp;"ibor1Y",Y34,Trigger)</f>
        <v>42768</v>
      </c>
      <c r="AA34" s="292">
        <f>_xll.qlTenorBasisTenorForwardRate(TenorBasis6M,Y34,AllTriggers)</f>
        <v>1.4579736948128331E-3</v>
      </c>
    </row>
    <row r="35" spans="7:27" ht="11.25" customHeight="1" x14ac:dyDescent="0.2">
      <c r="R35" s="212">
        <f>_xll.qlCalendarAdvance(Calendar,R34,"1D","f")</f>
        <v>42325</v>
      </c>
      <c r="S35" s="47">
        <f>_xll.qlTenorBasisValue($P$3,R35,AllTriggers)</f>
        <v>3.2060956092602204E-3</v>
      </c>
      <c r="T35" s="41">
        <f>_xll.qlDayCounterYearFraction("actual/365 (fixed)",SettlementDate,R35,,,Trigger)</f>
        <v>0.12602739726027398</v>
      </c>
      <c r="U35" s="47">
        <f>_xll.qlPolynomialFunctionValue($P$18,T35,AllTriggers)</f>
        <v>2.9004011702959223E-3</v>
      </c>
      <c r="W35" s="48">
        <v>5</v>
      </c>
      <c r="X35" s="48" t="str">
        <f t="shared" si="5"/>
        <v>17M</v>
      </c>
      <c r="Y35" s="177">
        <f>_xll.qlCalendarAdvance(Calendar,SettlementDate,W35&amp;"M","mf",TRUE,Trigger)</f>
        <v>42431</v>
      </c>
      <c r="Z35" s="177">
        <f>_xll.qlInterestRateIndexMaturity(PROPER(Currency)&amp;"ibor1Y",Y35,Trigger)</f>
        <v>42796</v>
      </c>
      <c r="AA35" s="292">
        <f>_xll.qlTenorBasisTenorForwardRate(TenorBasis6M,Y35,AllTriggers)</f>
        <v>1.4939439850413826E-3</v>
      </c>
    </row>
    <row r="36" spans="7:27" ht="11.25" customHeight="1" x14ac:dyDescent="0.2">
      <c r="R36" s="212">
        <f>_xll.qlCalendarAdvance(Calendar,R35,"1D","f")</f>
        <v>42326</v>
      </c>
      <c r="S36" s="47">
        <f>_xll.qlTenorBasisValue($P$3,R36,AllTriggers)</f>
        <v>3.2077556300486288E-3</v>
      </c>
      <c r="T36" s="41">
        <f>_xll.qlDayCounterYearFraction("actual/365 (fixed)",SettlementDate,R36,,,Trigger)</f>
        <v>0.12876712328767123</v>
      </c>
      <c r="U36" s="47">
        <f>_xll.qlPolynomialFunctionValue($P$18,T36,AllTriggers)</f>
        <v>2.9019600040765051E-3</v>
      </c>
      <c r="W36" s="48">
        <v>6</v>
      </c>
      <c r="X36" s="48" t="str">
        <f t="shared" si="5"/>
        <v>18M</v>
      </c>
      <c r="Y36" s="177">
        <f>_xll.qlCalendarAdvance(Calendar,SettlementDate,W36&amp;"M","mf",TRUE,Trigger)</f>
        <v>42464</v>
      </c>
      <c r="Z36" s="177">
        <f>_xll.qlInterestRateIndexMaturity(PROPER(Currency)&amp;"ibor1Y",Y36,Trigger)</f>
        <v>42829</v>
      </c>
      <c r="AA36" s="292">
        <f>_xll.qlTenorBasisTenorForwardRate(TenorBasis6M,Y36,AllTriggers)</f>
        <v>1.5450138816195465E-3</v>
      </c>
    </row>
    <row r="37" spans="7:27" ht="11.25" customHeight="1" x14ac:dyDescent="0.2">
      <c r="R37" s="212">
        <f>_xll.qlCalendarAdvance(Calendar,R36,"1D","f")</f>
        <v>42327</v>
      </c>
      <c r="S37" s="47">
        <f>_xll.qlTenorBasisValue($P$3,R37,AllTriggers)</f>
        <v>3.2094159172479267E-3</v>
      </c>
      <c r="T37" s="41">
        <f>_xll.qlDayCounterYearFraction("actual/365 (fixed)",SettlementDate,R37,,,Trigger)</f>
        <v>0.13150684931506848</v>
      </c>
      <c r="U37" s="47">
        <f>_xll.qlPolynomialFunctionValue($P$18,T37,AllTriggers)</f>
        <v>2.9035199300000117E-3</v>
      </c>
      <c r="W37" s="48">
        <v>7</v>
      </c>
      <c r="X37" s="48" t="str">
        <f t="shared" si="5"/>
        <v>19M</v>
      </c>
      <c r="Y37" s="177">
        <f>_xll.qlCalendarAdvance(Calendar,SettlementDate,W37&amp;"M","mf",TRUE,Trigger)</f>
        <v>42492</v>
      </c>
      <c r="Z37" s="177">
        <f>_xll.qlInterestRateIndexMaturity(PROPER(Currency)&amp;"ibor1Y",Y37,Trigger)</f>
        <v>42857</v>
      </c>
      <c r="AA37" s="292">
        <f>_xll.qlTenorBasisTenorForwardRate(TenorBasis6M,Y37,AllTriggers)</f>
        <v>1.596991794810335E-3</v>
      </c>
    </row>
    <row r="38" spans="7:27" ht="11.25" customHeight="1" x14ac:dyDescent="0.2">
      <c r="R38" s="212">
        <f>_xll.qlCalendarAdvance(Calendar,R37,"1D","f")</f>
        <v>42328</v>
      </c>
      <c r="S38" s="47">
        <f>_xll.qlTenorBasisValue($P$3,R38,AllTriggers)</f>
        <v>3.2110764664198517E-3</v>
      </c>
      <c r="T38" s="41">
        <f>_xll.qlDayCounterYearFraction("actual/365 (fixed)",SettlementDate,R38,,,Trigger)</f>
        <v>0.13424657534246576</v>
      </c>
      <c r="U38" s="47">
        <f>_xll.qlPolynomialFunctionValue($P$18,T38,AllTriggers)</f>
        <v>2.9050809436281821E-3</v>
      </c>
      <c r="W38" s="48">
        <v>8</v>
      </c>
      <c r="X38" s="48" t="str">
        <f t="shared" si="5"/>
        <v>20M</v>
      </c>
      <c r="Y38" s="177">
        <f>_xll.qlCalendarAdvance(Calendar,SettlementDate,W38&amp;"M","mf",TRUE,Trigger)</f>
        <v>42523</v>
      </c>
      <c r="Z38" s="177">
        <f>_xll.qlInterestRateIndexMaturity(PROPER(Currency)&amp;"ibor1Y",Y38,Trigger)</f>
        <v>42888</v>
      </c>
      <c r="AA38" s="292">
        <f>_xll.qlTenorBasisTenorForwardRate(TenorBasis6M,Y38,AllTriggers)</f>
        <v>1.6638509772514073E-3</v>
      </c>
    </row>
    <row r="39" spans="7:27" ht="11.25" customHeight="1" x14ac:dyDescent="0.2">
      <c r="R39" s="212">
        <f>_xll.qlCalendarAdvance(Calendar,R38,"1D","f")</f>
        <v>42331</v>
      </c>
      <c r="S39" s="47">
        <f>_xll.qlTenorBasisValue($P$3,R39,AllTriggers)</f>
        <v>3.2160596413888035E-3</v>
      </c>
      <c r="T39" s="41">
        <f>_xll.qlDayCounterYearFraction("actual/365 (fixed)",SettlementDate,R39,,,Trigger)</f>
        <v>0.14246575342465753</v>
      </c>
      <c r="U39" s="47">
        <f>_xll.qlPolynomialFunctionValue($P$18,T39,AllTriggers)</f>
        <v>2.9097704663580775E-3</v>
      </c>
      <c r="W39" s="48">
        <v>9</v>
      </c>
      <c r="X39" s="48" t="str">
        <f t="shared" si="5"/>
        <v>21M</v>
      </c>
      <c r="Y39" s="177">
        <f>_xll.qlCalendarAdvance(Calendar,SettlementDate,W39&amp;"M","mf",TRUE,Trigger)</f>
        <v>42555</v>
      </c>
      <c r="Z39" s="177">
        <f>_xll.qlInterestRateIndexMaturity(PROPER(Currency)&amp;"ibor1Y",Y39,Trigger)</f>
        <v>42920</v>
      </c>
      <c r="AA39" s="292">
        <f>_xll.qlTenorBasisTenorForwardRate(TenorBasis6M,Y39,AllTriggers)</f>
        <v>1.7445896019942335E-3</v>
      </c>
    </row>
    <row r="40" spans="7:27" ht="11.25" customHeight="1" x14ac:dyDescent="0.2">
      <c r="R40" s="212">
        <f>_xll.qlCalendarAdvance(Calendar,R39,"1D","f")</f>
        <v>42332</v>
      </c>
      <c r="S40" s="47">
        <f>_xll.qlTenorBasisValue($P$3,R40,AllTriggers)</f>
        <v>3.2177211940686468E-3</v>
      </c>
      <c r="T40" s="41">
        <f>_xll.qlDayCounterYearFraction("actual/365 (fixed)",SettlementDate,R40,,,Trigger)</f>
        <v>0.14520547945205478</v>
      </c>
      <c r="U40" s="47">
        <f>_xll.qlPolynomialFunctionValue($P$18,T40,AllTriggers)</f>
        <v>2.9113357864223059E-3</v>
      </c>
      <c r="W40" s="48">
        <v>10</v>
      </c>
      <c r="X40" s="48" t="str">
        <f t="shared" si="5"/>
        <v>22M</v>
      </c>
      <c r="Y40" s="177">
        <f>_xll.qlCalendarAdvance(Calendar,SettlementDate,W40&amp;"M","mf",TRUE,Trigger)</f>
        <v>42584</v>
      </c>
      <c r="Z40" s="177">
        <f>_xll.qlInterestRateIndexMaturity(PROPER(Currency)&amp;"ibor1Y",Y40,Trigger)</f>
        <v>42949</v>
      </c>
      <c r="AA40" s="292">
        <f>_xll.qlTenorBasisTenorForwardRate(TenorBasis6M,Y40,AllTriggers)</f>
        <v>1.8274245792942491E-3</v>
      </c>
    </row>
    <row r="41" spans="7:27" ht="11.25" customHeight="1" x14ac:dyDescent="0.2">
      <c r="R41" s="212">
        <f>_xll.qlCalendarAdvance(Calendar,R40,"1D","f")</f>
        <v>42333</v>
      </c>
      <c r="S41" s="47">
        <f>_xll.qlTenorBasisValue($P$3,R41,AllTriggers)</f>
        <v>3.2193829865298207E-3</v>
      </c>
      <c r="T41" s="41">
        <f>_xll.qlDayCounterYearFraction("actual/365 (fixed)",SettlementDate,R41,,,Trigger)</f>
        <v>0.14794520547945206</v>
      </c>
      <c r="U41" s="47">
        <f>_xll.qlPolynomialFunctionValue($P$18,T41,AllTriggers)</f>
        <v>2.9129021719998998E-3</v>
      </c>
      <c r="W41" s="48">
        <v>11</v>
      </c>
      <c r="X41" s="48" t="str">
        <f t="shared" si="5"/>
        <v>23M</v>
      </c>
      <c r="Y41" s="177">
        <f>_xll.qlCalendarAdvance(Calendar,SettlementDate,W41&amp;"M","mf",TRUE,Trigger)</f>
        <v>42615</v>
      </c>
      <c r="Z41" s="177">
        <f>_xll.qlInterestRateIndexMaturity(PROPER(Currency)&amp;"ibor1Y",Y41,Trigger)</f>
        <v>42982</v>
      </c>
      <c r="AA41" s="292">
        <f>_xll.qlTenorBasisTenorForwardRate(TenorBasis6M,Y41,AllTriggers)</f>
        <v>1.9284666548341832E-3</v>
      </c>
    </row>
    <row r="42" spans="7:27" ht="11.25" customHeight="1" x14ac:dyDescent="0.2">
      <c r="R42" s="212">
        <f>_xll.qlCalendarAdvance(Calendar,R41,"1D","f")</f>
        <v>42334</v>
      </c>
      <c r="S42" s="47">
        <f>_xll.qlTenorBasisValue($P$3,R42,AllTriggers)</f>
        <v>3.2210450143340653E-3</v>
      </c>
      <c r="T42" s="41">
        <f>_xll.qlDayCounterYearFraction("actual/365 (fixed)",SettlementDate,R42,,,Trigger)</f>
        <v>0.15068493150684931</v>
      </c>
      <c r="U42" s="47">
        <f>_xll.qlPolynomialFunctionValue($P$18,T42,AllTriggers)</f>
        <v>2.9144696186525999E-3</v>
      </c>
      <c r="W42" s="49">
        <v>12</v>
      </c>
      <c r="X42" s="49" t="str">
        <f t="shared" si="5"/>
        <v>24M</v>
      </c>
      <c r="Y42" s="181">
        <f>_xll.qlCalendarAdvance(Calendar,SettlementDate,W42&amp;"M","mf",TRUE,Trigger)</f>
        <v>42646</v>
      </c>
      <c r="Z42" s="181">
        <f>_xll.qlInterestRateIndexMaturity(PROPER(Currency)&amp;"ibor1Y",Y42,Trigger)</f>
        <v>43011</v>
      </c>
      <c r="AA42" s="293">
        <f>_xll.qlTenorBasisTenorForwardRate(TenorBasis6M,Y42,AllTriggers)</f>
        <v>2.0372311760248262E-3</v>
      </c>
    </row>
    <row r="43" spans="7:27" ht="11.25" customHeight="1" x14ac:dyDescent="0.2">
      <c r="G43" s="60"/>
      <c r="H43" s="60"/>
      <c r="I43" s="35"/>
      <c r="J43" s="35"/>
      <c r="K43" s="35"/>
      <c r="R43" s="212">
        <f>_xll.qlCalendarAdvance(Calendar,R42,"1D","f")</f>
        <v>42335</v>
      </c>
      <c r="S43" s="47">
        <f>_xll.qlTenorBasisValue($P$3,R43,AllTriggers)</f>
        <v>3.2227072730431211E-3</v>
      </c>
      <c r="T43" s="41">
        <f>_xll.qlDayCounterYearFraction("actual/365 (fixed)",SettlementDate,R43,,,Trigger)</f>
        <v>0.15342465753424658</v>
      </c>
      <c r="U43" s="47">
        <f>_xll.qlPolynomialFunctionValue($P$18,T43,AllTriggers)</f>
        <v>2.9160381219421462E-3</v>
      </c>
    </row>
    <row r="44" spans="7:27" ht="11.25" customHeight="1" x14ac:dyDescent="0.2">
      <c r="G44" s="60"/>
      <c r="H44" s="60"/>
      <c r="I44" s="35"/>
      <c r="J44" s="35"/>
      <c r="K44" s="35"/>
      <c r="R44" s="212">
        <f>_xll.qlCalendarAdvance(Calendar,R43,"1D","f")</f>
        <v>42338</v>
      </c>
      <c r="S44" s="47">
        <f>_xll.qlTenorBasisValue($P$3,R44,AllTriggers)</f>
        <v>3.2276953902165601E-3</v>
      </c>
      <c r="T44" s="41">
        <f>_xll.qlDayCounterYearFraction("actual/365 (fixed)",SettlementDate,R44,,,Trigger)</f>
        <v>0.16164383561643836</v>
      </c>
      <c r="U44" s="47">
        <f>_xll.qlPolynomialFunctionValue($P$18,T44,AllTriggers)</f>
        <v>2.9207499272492672E-3</v>
      </c>
    </row>
    <row r="45" spans="7:27" ht="11.25" customHeight="1" x14ac:dyDescent="0.2">
      <c r="G45" s="60"/>
      <c r="H45" s="60"/>
      <c r="I45" s="35"/>
      <c r="J45" s="35"/>
      <c r="K45" s="35"/>
      <c r="R45" s="212">
        <f>_xll.qlCalendarAdvance(Calendar,R44,"1D","f")</f>
        <v>42339</v>
      </c>
      <c r="S45" s="47">
        <f>_xll.qlTenorBasisValue($P$3,R45,AllTriggers)</f>
        <v>3.2293585281622651E-3</v>
      </c>
      <c r="T45" s="41">
        <f>_xll.qlDayCounterYearFraction("actual/365 (fixed)",SettlementDate,R45,,,Trigger)</f>
        <v>0.16438356164383561</v>
      </c>
      <c r="U45" s="47">
        <f>_xll.qlPolynomialFunctionValue($P$18,T45,AllTriggers)</f>
        <v>2.9223226127036038E-3</v>
      </c>
    </row>
    <row r="46" spans="7:27" ht="11.25" customHeight="1" x14ac:dyDescent="0.2">
      <c r="G46" s="60"/>
      <c r="H46" s="60"/>
      <c r="I46" s="35"/>
      <c r="J46" s="35"/>
      <c r="K46" s="35"/>
      <c r="R46" s="212">
        <f>_xll.qlCalendarAdvance(Calendar,R45,"1D","f")</f>
        <v>42340</v>
      </c>
      <c r="S46" s="47">
        <f>_xll.qlTenorBasisValue($P$3,R46,AllTriggers)</f>
        <v>3.2310218748214832E-3</v>
      </c>
      <c r="T46" s="41">
        <f>_xll.qlDayCounterYearFraction("actual/365 (fixed)",SettlementDate,R46,,,Trigger)</f>
        <v>0.16712328767123288</v>
      </c>
      <c r="U46" s="47">
        <f>_xll.qlPolynomialFunctionValue($P$18,T46,AllTriggers)</f>
        <v>2.9238963326034878E-3</v>
      </c>
    </row>
    <row r="47" spans="7:27" ht="11.25" customHeight="1" x14ac:dyDescent="0.2">
      <c r="G47" s="60"/>
      <c r="H47" s="60"/>
      <c r="I47" s="35"/>
      <c r="J47" s="35"/>
      <c r="K47" s="35"/>
      <c r="R47" s="212">
        <f>_xll.qlCalendarAdvance(Calendar,R46,"1D","f")</f>
        <v>42341</v>
      </c>
      <c r="S47" s="47">
        <f>_xll.qlTenorBasisValue($P$3,R47,AllTriggers)</f>
        <v>3.2326854257559551E-3</v>
      </c>
      <c r="T47" s="41">
        <f>_xll.qlDayCounterYearFraction("actual/365 (fixed)",SettlementDate,R47,,,Trigger)</f>
        <v>0.16986301369863013</v>
      </c>
      <c r="U47" s="47">
        <f>_xll.qlPolynomialFunctionValue($P$18,T47,AllTriggers)</f>
        <v>2.9254710825106609E-3</v>
      </c>
    </row>
    <row r="48" spans="7:27" ht="11.25" customHeight="1" x14ac:dyDescent="0.2">
      <c r="G48" s="60"/>
      <c r="H48" s="60"/>
      <c r="I48" s="35"/>
      <c r="J48" s="35"/>
      <c r="K48" s="35"/>
      <c r="R48" s="212">
        <f>_xll.qlCalendarAdvance(Calendar,R47,"1D","f")</f>
        <v>42342</v>
      </c>
      <c r="S48" s="47">
        <f>_xll.qlTenorBasisValue($P$3,R48,AllTriggers)</f>
        <v>3.2343491765274208E-3</v>
      </c>
      <c r="T48" s="41">
        <f>_xll.qlDayCounterYearFraction("actual/365 (fixed)",SettlementDate,R48,,,Trigger)</f>
        <v>0.17260273972602741</v>
      </c>
      <c r="U48" s="47">
        <f>_xll.qlPolynomialFunctionValue($P$18,T48,AllTriggers)</f>
        <v>2.9270468579868634E-3</v>
      </c>
    </row>
    <row r="49" spans="7:21" ht="11.25" customHeight="1" x14ac:dyDescent="0.2">
      <c r="G49" s="60"/>
      <c r="H49" s="60"/>
      <c r="I49" s="35"/>
      <c r="J49" s="35"/>
      <c r="K49" s="35"/>
      <c r="R49" s="212">
        <f>_xll.qlCalendarAdvance(Calendar,R48,"1D","f")</f>
        <v>42345</v>
      </c>
      <c r="S49" s="47">
        <f>_xll.qlTenorBasisValue($P$3,R49,AllTriggers)</f>
        <v>3.2393415834811859E-3</v>
      </c>
      <c r="T49" s="41">
        <f>_xll.qlDayCounterYearFraction("actual/365 (fixed)",SettlementDate,R49,,,Trigger)</f>
        <v>0.18082191780821918</v>
      </c>
      <c r="U49" s="47">
        <f>_xll.qlPolynomialFunctionValue($P$18,T49,AllTriggers)</f>
        <v>2.9317802934470489E-3</v>
      </c>
    </row>
    <row r="50" spans="7:21" ht="11.25" customHeight="1" x14ac:dyDescent="0.2">
      <c r="G50" s="60"/>
      <c r="H50" s="60"/>
      <c r="I50" s="35"/>
      <c r="J50" s="35"/>
      <c r="K50" s="35"/>
      <c r="R50" s="212">
        <f>_xll.qlCalendarAdvance(Calendar,R49,"1D","f")</f>
        <v>42346</v>
      </c>
      <c r="S50" s="47">
        <f>_xll.qlTenorBasisValue($P$3,R50,AllTriggers)</f>
        <v>3.2410060892180317E-3</v>
      </c>
      <c r="T50" s="41">
        <f>_xll.qlDayCounterYearFraction("actual/365 (fixed)",SettlementDate,R50,,,Trigger)</f>
        <v>0.18356164383561643</v>
      </c>
      <c r="U50" s="47">
        <f>_xll.qlPolynomialFunctionValue($P$18,T50,AllTriggers)</f>
        <v>2.9333601268167714E-3</v>
      </c>
    </row>
    <row r="51" spans="7:21" ht="11.25" customHeight="1" x14ac:dyDescent="0.2">
      <c r="G51" s="60"/>
      <c r="H51" s="60"/>
      <c r="I51" s="35"/>
      <c r="J51" s="35"/>
      <c r="K51" s="35"/>
      <c r="R51" s="212">
        <f>_xll.qlCalendarAdvance(Calendar,R50,"1D","f")</f>
        <v>42347</v>
      </c>
      <c r="S51" s="47">
        <f>_xll.qlTenorBasisValue($P$3,R51,AllTriggers)</f>
        <v>3.2426707726005734E-3</v>
      </c>
      <c r="T51" s="41">
        <f>_xll.qlDayCounterYearFraction("actual/365 (fixed)",SettlementDate,R51,,,Trigger)</f>
        <v>0.18630136986301371</v>
      </c>
      <c r="U51" s="47">
        <f>_xll.qlPolynomialFunctionValue($P$18,T51,AllTriggers)</f>
        <v>2.9349409635642254E-3</v>
      </c>
    </row>
    <row r="52" spans="7:21" ht="11.25" customHeight="1" x14ac:dyDescent="0.2">
      <c r="G52" s="60"/>
      <c r="H52" s="60"/>
      <c r="I52" s="35"/>
      <c r="J52" s="35"/>
      <c r="K52" s="35"/>
      <c r="R52" s="212">
        <f>_xll.qlCalendarAdvance(Calendar,R51,"1D","f")</f>
        <v>42348</v>
      </c>
      <c r="S52" s="47">
        <f>_xll.qlTenorBasisValue($P$3,R52,AllTriggers)</f>
        <v>3.2443356291905518E-3</v>
      </c>
      <c r="T52" s="41">
        <f>_xll.qlDayCounterYearFraction("actual/365 (fixed)",SettlementDate,R52,,,Trigger)</f>
        <v>0.18904109589041096</v>
      </c>
      <c r="U52" s="47">
        <f>_xll.qlPolynomialFunctionValue($P$18,T52,AllTriggers)</f>
        <v>2.9365227992511509E-3</v>
      </c>
    </row>
    <row r="53" spans="7:21" ht="11.25" customHeight="1" x14ac:dyDescent="0.2">
      <c r="G53" s="60"/>
      <c r="H53" s="60"/>
      <c r="I53" s="35"/>
      <c r="J53" s="35"/>
      <c r="K53" s="35"/>
      <c r="R53" s="212">
        <f>_xll.qlCalendarAdvance(Calendar,R52,"1D","f")</f>
        <v>42349</v>
      </c>
      <c r="S53" s="47">
        <f>_xll.qlTenorBasisValue($P$3,R53,AllTriggers)</f>
        <v>3.2460006545497067E-3</v>
      </c>
      <c r="T53" s="41">
        <f>_xll.qlDayCounterYearFraction("actual/365 (fixed)",SettlementDate,R53,,,Trigger)</f>
        <v>0.19178082191780821</v>
      </c>
      <c r="U53" s="47">
        <f>_xll.qlPolynomialFunctionValue($P$18,T53,AllTriggers)</f>
        <v>2.9381056294392888E-3</v>
      </c>
    </row>
    <row r="54" spans="7:21" x14ac:dyDescent="0.2">
      <c r="R54" s="212">
        <f>_xll.qlCalendarAdvance(Calendar,R53,"1D","f")</f>
        <v>42352</v>
      </c>
      <c r="S54" s="47">
        <f>_xll.qlTenorBasisValue($P$3,R54,AllTriggers)</f>
        <v>3.2509966988596354E-3</v>
      </c>
      <c r="T54" s="41">
        <f>_xll.qlDayCounterYearFraction("actual/365 (fixed)",SettlementDate,R54,,,Trigger)</f>
        <v>0.2</v>
      </c>
      <c r="U54" s="47">
        <f>_xll.qlPolynomialFunctionValue($P$18,T54,AllTriggers)</f>
        <v>2.9428600426283764E-3</v>
      </c>
    </row>
    <row r="55" spans="7:21" x14ac:dyDescent="0.2">
      <c r="R55" s="212">
        <f>_xll.qlCalendarAdvance(Calendar,R54,"1D","f")</f>
        <v>42353</v>
      </c>
      <c r="S55" s="47">
        <f>_xll.qlTenorBasisValue($P$3,R55,AllTriggers)</f>
        <v>3.2526623549129019E-3</v>
      </c>
      <c r="T55" s="41">
        <f>_xll.qlDayCounterYearFraction("actual/365 (fixed)",SettlementDate,R55,,,Trigger)</f>
        <v>0.20273972602739726</v>
      </c>
      <c r="U55" s="47">
        <f>_xll.qlPolynomialFunctionValue($P$18,T55,AllTriggers)</f>
        <v>2.944446806438765E-3</v>
      </c>
    </row>
    <row r="56" spans="7:21" x14ac:dyDescent="0.2">
      <c r="R56" s="212">
        <f>_xll.qlCalendarAdvance(Calendar,R55,"1D","f")</f>
        <v>42354</v>
      </c>
      <c r="S56" s="47">
        <f>_xll.qlTenorBasisValue($P$3,R56,AllTriggers)</f>
        <v>3.2543281575440463E-3</v>
      </c>
      <c r="T56" s="41">
        <f>_xll.qlDayCounterYearFraction("actual/365 (fixed)",SettlementDate,R56,,,Trigger)</f>
        <v>0.20547945205479451</v>
      </c>
      <c r="U56" s="47">
        <f>_xll.qlPolynomialFunctionValue($P$18,T56,AllTriggers)</f>
        <v>2.9460345425590686E-3</v>
      </c>
    </row>
    <row r="57" spans="7:21" x14ac:dyDescent="0.2">
      <c r="R57" s="212">
        <f>_xll.qlCalendarAdvance(Calendar,R56,"1D","f")</f>
        <v>42355</v>
      </c>
      <c r="S57" s="47">
        <f>_xll.qlTenorBasisValue($P$3,R57,AllTriggers)</f>
        <v>3.2559941023148106E-3</v>
      </c>
      <c r="T57" s="41">
        <f>_xll.qlDayCounterYearFraction("actual/365 (fixed)",SettlementDate,R57,,,Trigger)</f>
        <v>0.20821917808219179</v>
      </c>
      <c r="U57" s="47">
        <f>_xll.qlPolynomialFunctionValue($P$18,T57,AllTriggers)</f>
        <v>2.947623246551026E-3</v>
      </c>
    </row>
    <row r="58" spans="7:21" x14ac:dyDescent="0.2">
      <c r="R58" s="212">
        <f>_xll.qlCalendarAdvance(Calendar,R57,"1D","f")</f>
        <v>42356</v>
      </c>
      <c r="S58" s="47">
        <f>_xll.qlTenorBasisValue($P$3,R58,AllTriggers)</f>
        <v>3.2576601847869339E-3</v>
      </c>
      <c r="T58" s="41">
        <f>_xll.qlDayCounterYearFraction("actual/365 (fixed)",SettlementDate,R58,,,Trigger)</f>
        <v>0.21095890410958903</v>
      </c>
      <c r="U58" s="47">
        <f>_xll.qlPolynomialFunctionValue($P$18,T58,AllTriggers)</f>
        <v>2.9492129139763778E-3</v>
      </c>
    </row>
    <row r="59" spans="7:21" x14ac:dyDescent="0.2">
      <c r="R59" s="212">
        <f>_xll.qlCalendarAdvance(Calendar,R58,"1D","f")</f>
        <v>42359</v>
      </c>
      <c r="S59" s="47">
        <f>_xll.qlTenorBasisValue($P$3,R59,AllTriggers)</f>
        <v>3.2626592140288656E-3</v>
      </c>
      <c r="T59" s="41">
        <f>_xll.qlDayCounterYearFraction("actual/365 (fixed)",SettlementDate,R59,,,Trigger)</f>
        <v>0.21917808219178081</v>
      </c>
      <c r="U59" s="47">
        <f>_xll.qlPolynomialFunctionValue($P$18,T59,AllTriggers)</f>
        <v>2.9539876524702063E-3</v>
      </c>
    </row>
    <row r="60" spans="7:21" x14ac:dyDescent="0.2">
      <c r="R60" s="212">
        <f>_xll.qlCalendarAdvance(Calendar,R59,"1D","f")</f>
        <v>42360</v>
      </c>
      <c r="S60" s="47">
        <f>_xll.qlTenorBasisValue($P$3,R60,AllTriggers)</f>
        <v>3.2643258029238309E-3</v>
      </c>
      <c r="T60" s="41">
        <f>_xll.qlDayCounterYearFraction("actual/365 (fixed)",SettlementDate,R60,,,Trigger)</f>
        <v>0.22191780821917809</v>
      </c>
      <c r="U60" s="47">
        <f>_xll.qlPolynomialFunctionValue($P$18,T60,AllTriggers)</f>
        <v>2.9555811292465411E-3</v>
      </c>
    </row>
    <row r="61" spans="7:21" x14ac:dyDescent="0.2">
      <c r="R61" s="212">
        <f>_xll.qlCalendarAdvance(Calendar,R60,"1D","f")</f>
        <v>42361</v>
      </c>
      <c r="S61" s="47">
        <f>_xll.qlTenorBasisValue($P$3,R61,AllTriggers)</f>
        <v>3.2659925073288583E-3</v>
      </c>
      <c r="T61" s="41">
        <f>_xll.qlDayCounterYearFraction("actual/365 (fixed)",SettlementDate,R61,,,Trigger)</f>
        <v>0.22465753424657534</v>
      </c>
      <c r="U61" s="47">
        <f>_xll.qlPolynomialFunctionValue($P$18,T61,AllTriggers)</f>
        <v>2.9571755472649719E-3</v>
      </c>
    </row>
    <row r="62" spans="7:21" x14ac:dyDescent="0.2">
      <c r="R62" s="212">
        <f>_xll.qlCalendarAdvance(Calendar,R61,"1D","f")</f>
        <v>42362</v>
      </c>
      <c r="S62" s="47">
        <f>_xll.qlTenorBasisValue($P$3,R62,AllTriggers)</f>
        <v>3.2676593228056871E-3</v>
      </c>
      <c r="T62" s="41">
        <f>_xll.qlDayCounterYearFraction("actual/365 (fixed)",SettlementDate,R62,,,Trigger)</f>
        <v>0.22739726027397261</v>
      </c>
      <c r="U62" s="47">
        <f>_xll.qlPolynomialFunctionValue($P$18,T62,AllTriggers)</f>
        <v>2.9587709020872403E-3</v>
      </c>
    </row>
    <row r="63" spans="7:21" x14ac:dyDescent="0.2">
      <c r="R63" s="212">
        <f>_xll.qlCalendarAdvance(Calendar,R62,"1D","f")</f>
        <v>42366</v>
      </c>
      <c r="S63" s="47">
        <f>_xll.qlTenorBasisValue($P$3,R63,AllTriggers)</f>
        <v>3.2743276066658305E-3</v>
      </c>
      <c r="T63" s="41">
        <f>_xll.qlDayCounterYearFraction("actual/365 (fixed)",SettlementDate,R63,,,Trigger)</f>
        <v>0.23835616438356164</v>
      </c>
      <c r="U63" s="47">
        <f>_xll.qlPolynomialFunctionValue($P$18,T63,AllTriggers)</f>
        <v>2.9651616006494933E-3</v>
      </c>
    </row>
    <row r="64" spans="7:21" x14ac:dyDescent="0.2">
      <c r="R64" s="212">
        <f>_xll.qlCalendarAdvance(Calendar,R63,"1D","f")</f>
        <v>42367</v>
      </c>
      <c r="S64" s="47">
        <f>_xll.qlTenorBasisValue($P$3,R64,AllTriggers)</f>
        <v>3.2759949109277754E-3</v>
      </c>
      <c r="T64" s="41">
        <f>_xll.qlDayCounterYearFraction("actual/365 (fixed)",SettlementDate,R64,,,Trigger)</f>
        <v>0.24109589041095891</v>
      </c>
      <c r="U64" s="47">
        <f>_xll.qlPolynomialFunctionValue($P$18,T64,AllTriggers)</f>
        <v>2.9667615729170528E-3</v>
      </c>
    </row>
    <row r="65" spans="18:21" x14ac:dyDescent="0.2">
      <c r="R65" s="212">
        <f>_xll.qlCalendarAdvance(Calendar,R64,"1D","f")</f>
        <v>42368</v>
      </c>
      <c r="S65" s="47">
        <f>_xll.qlTenorBasisValue($P$3,R65,AllTriggers)</f>
        <v>3.2776622996319644E-3</v>
      </c>
      <c r="T65" s="41">
        <f>_xll.qlDayCounterYearFraction("actual/365 (fixed)",SettlementDate,R65,,,Trigger)</f>
        <v>0.24383561643835616</v>
      </c>
      <c r="U65" s="47">
        <f>_xll.qlPolynomialFunctionValue($P$18,T65,AllTriggers)</f>
        <v>2.9683624553588925E-3</v>
      </c>
    </row>
    <row r="66" spans="18:21" x14ac:dyDescent="0.2">
      <c r="R66" s="212">
        <f>_xll.qlCalendarAdvance(Calendar,R65,"1D","f")</f>
        <v>42369</v>
      </c>
      <c r="S66" s="47">
        <f>_xll.qlTenorBasisValue($P$3,R66,AllTriggers)</f>
        <v>3.2793297683401381E-3</v>
      </c>
      <c r="T66" s="41">
        <f>_xll.qlDayCounterYearFraction("actual/365 (fixed)",SettlementDate,R66,,,Trigger)</f>
        <v>0.24657534246575341</v>
      </c>
      <c r="U66" s="47">
        <f>_xll.qlPolynomialFunctionValue($P$18,T66,AllTriggers)</f>
        <v>2.9699642435367518E-3</v>
      </c>
    </row>
    <row r="67" spans="18:21" x14ac:dyDescent="0.2">
      <c r="R67" s="212">
        <f>_xll.qlCalendarAdvance(Calendar,R66,"1D","f")</f>
        <v>42373</v>
      </c>
      <c r="S67" s="47">
        <f>_xll.qlTenorBasisValue($P$3,R67,AllTriggers)</f>
        <v>3.2860003544474873E-3</v>
      </c>
      <c r="T67" s="41">
        <f>_xll.qlDayCounterYearFraction("actual/365 (fixed)",SettlementDate,R67,,,Trigger)</f>
        <v>0.25753424657534246</v>
      </c>
      <c r="U67" s="47">
        <f>_xll.qlPolynomialFunctionValue($P$18,T67,AllTriggers)</f>
        <v>2.9763803648431937E-3</v>
      </c>
    </row>
    <row r="68" spans="18:21" x14ac:dyDescent="0.2">
      <c r="R68" s="212">
        <f>_xll.qlCalendarAdvance(Calendar,R67,"1D","f")</f>
        <v>42374</v>
      </c>
      <c r="S68" s="47">
        <f>_xll.qlTenorBasisValue($P$3,R68,AllTriggers)</f>
        <v>3.28766815660169E-3</v>
      </c>
      <c r="T68" s="41">
        <f>_xll.qlDayCounterYearFraction("actual/365 (fixed)",SettlementDate,R68,,,Trigger)</f>
        <v>0.26027397260273971</v>
      </c>
      <c r="U68" s="47">
        <f>_xll.qlPolynomialFunctionValue($P$18,T68,AllTriggers)</f>
        <v>2.9779866151272583E-3</v>
      </c>
    </row>
    <row r="69" spans="18:21" x14ac:dyDescent="0.2">
      <c r="R69" s="212">
        <f>_xll.qlCalendarAdvance(Calendar,R68,"1D","f")</f>
        <v>42375</v>
      </c>
      <c r="S69" s="47">
        <f>_xll.qlTenorBasisValue($P$3,R69,AllTriggers)</f>
        <v>3.2893360121303201E-3</v>
      </c>
      <c r="T69" s="41">
        <f>_xll.qlDayCounterYearFraction("actual/365 (fixed)",SettlementDate,R69,,,Trigger)</f>
        <v>0.26301369863013696</v>
      </c>
      <c r="U69" s="47">
        <f>_xll.qlPolynomialFunctionValue($P$18,T69,AllTriggers)</f>
        <v>2.9795937445177847E-3</v>
      </c>
    </row>
    <row r="70" spans="18:21" x14ac:dyDescent="0.2">
      <c r="R70" s="212">
        <f>_xll.qlCalendarAdvance(Calendar,R69,"1D","f")</f>
        <v>42376</v>
      </c>
      <c r="S70" s="47">
        <f>_xll.qlTenorBasisValue($P$3,R70,AllTriggers)</f>
        <v>3.2910039165951173E-3</v>
      </c>
      <c r="T70" s="41">
        <f>_xll.qlDayCounterYearFraction("actual/365 (fixed)",SettlementDate,R70,,,Trigger)</f>
        <v>0.26575342465753427</v>
      </c>
      <c r="U70" s="47">
        <f>_xll.qlPolynomialFunctionValue($P$18,T70,AllTriggers)</f>
        <v>2.9812017485765134E-3</v>
      </c>
    </row>
    <row r="71" spans="18:21" x14ac:dyDescent="0.2">
      <c r="R71" s="212">
        <f>_xll.qlCalendarAdvance(Calendar,R70,"1D","f")</f>
        <v>42377</v>
      </c>
      <c r="S71" s="47">
        <f>_xll.qlTenorBasisValue($P$3,R71,AllTriggers)</f>
        <v>3.2926718655578234E-3</v>
      </c>
      <c r="T71" s="41">
        <f>_xll.qlDayCounterYearFraction("actual/365 (fixed)",SettlementDate,R71,,,Trigger)</f>
        <v>0.26849315068493151</v>
      </c>
      <c r="U71" s="47">
        <f>_xll.qlPolynomialFunctionValue($P$18,T71,AllTriggers)</f>
        <v>2.9828106228651859E-3</v>
      </c>
    </row>
    <row r="72" spans="18:21" x14ac:dyDescent="0.2">
      <c r="R72" s="212">
        <f>_xll.qlCalendarAdvance(Calendar,R71,"1D","f")</f>
        <v>42380</v>
      </c>
      <c r="S72" s="47">
        <f>_xll.qlTenorBasisValue($P$3,R72,AllTriggers)</f>
        <v>3.2976759350507906E-3</v>
      </c>
      <c r="T72" s="41">
        <f>_xll.qlDayCounterYearFraction("actual/365 (fixed)",SettlementDate,R72,,,Trigger)</f>
        <v>0.27671232876712326</v>
      </c>
      <c r="U72" s="47">
        <f>_xll.qlPolynomialFunctionValue($P$18,T72,AllTriggers)</f>
        <v>2.9876424227282643E-3</v>
      </c>
    </row>
    <row r="73" spans="18:21" x14ac:dyDescent="0.2">
      <c r="R73" s="212">
        <f>_xll.qlCalendarAdvance(Calendar,R72,"1D","f")</f>
        <v>42381</v>
      </c>
      <c r="S73" s="47">
        <f>_xll.qlTenorBasisValue($P$3,R73,AllTriggers)</f>
        <v>3.2993440176225311E-3</v>
      </c>
      <c r="T73" s="41">
        <f>_xll.qlDayCounterYearFraction("actual/365 (fixed)",SettlementDate,R73,,,Trigger)</f>
        <v>0.27945205479452057</v>
      </c>
      <c r="U73" s="47">
        <f>_xll.qlPolynomialFunctionValue($P$18,T73,AllTriggers)</f>
        <v>2.9892547335541118E-3</v>
      </c>
    </row>
    <row r="74" spans="18:21" x14ac:dyDescent="0.2">
      <c r="R74" s="212">
        <f>_xll.qlCalendarAdvance(Calendar,R73,"1D","f")</f>
        <v>42382</v>
      </c>
      <c r="S74" s="47">
        <f>_xll.qlTenorBasisValue($P$3,R74,AllTriggers)</f>
        <v>3.3010121225008817E-3</v>
      </c>
      <c r="T74" s="41">
        <f>_xll.qlDayCounterYearFraction("actual/365 (fixed)",SettlementDate,R74,,,Trigger)</f>
        <v>0.28219178082191781</v>
      </c>
      <c r="U74" s="47">
        <f>_xll.qlPolynomialFunctionValue($P$18,T74,AllTriggers)</f>
        <v>2.9908678924186051E-3</v>
      </c>
    </row>
    <row r="75" spans="18:21" x14ac:dyDescent="0.2">
      <c r="R75" s="212">
        <f>_xll.qlCalendarAdvance(Calendar,R74,"1D","f")</f>
        <v>42383</v>
      </c>
      <c r="S75" s="47">
        <f>_xll.qlTenorBasisValue($P$3,R75,AllTriggers)</f>
        <v>3.3026802452475832E-3</v>
      </c>
      <c r="T75" s="41">
        <f>_xll.qlDayCounterYearFraction("actual/365 (fixed)",SettlementDate,R75,,,Trigger)</f>
        <v>0.28493150684931506</v>
      </c>
      <c r="U75" s="47">
        <f>_xll.qlPolynomialFunctionValue($P$18,T75,AllTriggers)</f>
        <v>2.9924818948834832E-3</v>
      </c>
    </row>
    <row r="76" spans="18:21" x14ac:dyDescent="0.2">
      <c r="R76" s="212">
        <f>_xll.qlCalendarAdvance(Calendar,R75,"1D","f")</f>
        <v>42384</v>
      </c>
      <c r="S76" s="47">
        <f>_xll.qlTenorBasisValue($P$3,R76,AllTriggers)</f>
        <v>3.3043483814243742E-3</v>
      </c>
      <c r="T76" s="41">
        <f>_xll.qlDayCounterYearFraction("actual/365 (fixed)",SettlementDate,R76,,,Trigger)</f>
        <v>0.28767123287671231</v>
      </c>
      <c r="U76" s="47">
        <f>_xll.qlPolynomialFunctionValue($P$18,T76,AllTriggers)</f>
        <v>2.9940967365104875E-3</v>
      </c>
    </row>
    <row r="77" spans="18:21" x14ac:dyDescent="0.2">
      <c r="R77" s="212">
        <f>_xll.qlCalendarAdvance(Calendar,R76,"1D","f")</f>
        <v>42387</v>
      </c>
      <c r="S77" s="47">
        <f>_xll.qlTenorBasisValue($P$3,R77,AllTriggers)</f>
        <v>3.3093528261526968E-3</v>
      </c>
      <c r="T77" s="41">
        <f>_xll.qlDayCounterYearFraction("actual/365 (fixed)",SettlementDate,R77,,,Trigger)</f>
        <v>0.29589041095890412</v>
      </c>
      <c r="U77" s="47">
        <f>_xll.qlPolynomialFunctionValue($P$18,T77,AllTriggers)</f>
        <v>2.9989462519816588E-3</v>
      </c>
    </row>
    <row r="78" spans="18:21" x14ac:dyDescent="0.2">
      <c r="R78" s="212">
        <f>_xll.qlCalendarAdvance(Calendar,R77,"1D","f")</f>
        <v>42388</v>
      </c>
      <c r="S78" s="47">
        <f>_xll.qlTenorBasisValue($P$3,R78,AllTriggers)</f>
        <v>3.3110209716672541E-3</v>
      </c>
      <c r="T78" s="41">
        <f>_xll.qlDayCounterYearFraction("actual/365 (fixed)",SettlementDate,R78,,,Trigger)</f>
        <v>0.29863013698630136</v>
      </c>
      <c r="U78" s="47">
        <f>_xll.qlPolynomialFunctionValue($P$18,T78,AllTriggers)</f>
        <v>3.0005644058745695E-3</v>
      </c>
    </row>
    <row r="79" spans="18:21" x14ac:dyDescent="0.2">
      <c r="R79" s="212">
        <f>_xll.qlCalendarAdvance(Calendar,R78,"1D","f")</f>
        <v>42389</v>
      </c>
      <c r="S79" s="47">
        <f>_xll.qlTenorBasisValue($P$3,R79,AllTriggers)</f>
        <v>3.3126891084206051E-3</v>
      </c>
      <c r="T79" s="41">
        <f>_xll.qlDayCounterYearFraction("actual/365 (fixed)",SettlementDate,R79,,,Trigger)</f>
        <v>0.30136986301369861</v>
      </c>
      <c r="U79" s="47">
        <f>_xll.qlPolynomialFunctionValue($P$18,T79,AllTriggers)</f>
        <v>3.0021833767383088E-3</v>
      </c>
    </row>
    <row r="80" spans="18:21" x14ac:dyDescent="0.2">
      <c r="R80" s="212">
        <f>_xll.qlCalendarAdvance(Calendar,R79,"1D","f")</f>
        <v>42390</v>
      </c>
      <c r="S80" s="47">
        <f>_xll.qlTenorBasisValue($P$3,R80,AllTriggers)</f>
        <v>3.3143572319744886E-3</v>
      </c>
      <c r="T80" s="41">
        <f>_xll.qlDayCounterYearFraction("actual/365 (fixed)",SettlementDate,R80,,,Trigger)</f>
        <v>0.30410958904109592</v>
      </c>
      <c r="U80" s="47">
        <f>_xll.qlPolynomialFunctionValue($P$18,T80,AllTriggers)</f>
        <v>3.0038031601346163E-3</v>
      </c>
    </row>
    <row r="81" spans="18:21" x14ac:dyDescent="0.2">
      <c r="R81" s="212">
        <f>_xll.qlCalendarAdvance(Calendar,R80,"1D","f")</f>
        <v>42391</v>
      </c>
      <c r="S81" s="47">
        <f>_xll.qlTenorBasisValue($P$3,R81,AllTriggers)</f>
        <v>3.3160253378906454E-3</v>
      </c>
      <c r="T81" s="41">
        <f>_xll.qlDayCounterYearFraction("actual/365 (fixed)",SettlementDate,R81,,,Trigger)</f>
        <v>0.30684931506849317</v>
      </c>
      <c r="U81" s="47">
        <f>_xll.qlPolynomialFunctionValue($P$18,T81,AllTriggers)</f>
        <v>3.0054237516252318E-3</v>
      </c>
    </row>
    <row r="82" spans="18:21" x14ac:dyDescent="0.2">
      <c r="R82" s="212">
        <f>_xll.qlCalendarAdvance(Calendar,R81,"1D","f")</f>
        <v>42394</v>
      </c>
      <c r="S82" s="47">
        <f>_xll.qlTenorBasisValue($P$3,R82,AllTriggers)</f>
        <v>3.3210295054301609E-3</v>
      </c>
      <c r="T82" s="41">
        <f>_xll.qlDayCounterYearFraction("actual/365 (fixed)",SettlementDate,R82,,,Trigger)</f>
        <v>0.31506849315068491</v>
      </c>
      <c r="U82" s="47">
        <f>_xll.qlPolynomialFunctionValue($P$18,T82,AllTriggers)</f>
        <v>3.010290330280334E-3</v>
      </c>
    </row>
    <row r="83" spans="18:21" x14ac:dyDescent="0.2">
      <c r="R83" s="212">
        <f>_xll.qlCalendarAdvance(Calendar,R82,"1D","f")</f>
        <v>42395</v>
      </c>
      <c r="S83" s="47">
        <f>_xll.qlTenorBasisValue($P$3,R83,AllTriggers)</f>
        <v>3.3226974964128157E-3</v>
      </c>
      <c r="T83" s="41">
        <f>_xll.qlDayCounterYearFraction("actual/365 (fixed)",SettlementDate,R83,,,Trigger)</f>
        <v>0.31780821917808222</v>
      </c>
      <c r="U83" s="47">
        <f>_xll.qlPolynomialFunctionValue($P$18,T83,AllTriggers)</f>
        <v>3.0119141097655882E-3</v>
      </c>
    </row>
    <row r="84" spans="18:21" x14ac:dyDescent="0.2">
      <c r="R84" s="212">
        <f>_xll.qlCalendarAdvance(Calendar,R83,"1D","f")</f>
        <v>42396</v>
      </c>
      <c r="S84" s="47">
        <f>_xll.qlTenorBasisValue($P$3,R84,AllTriggers)</f>
        <v>3.324365447566445E-3</v>
      </c>
      <c r="T84" s="41">
        <f>_xll.qlDayCounterYearFraction("actual/365 (fixed)",SettlementDate,R84,,,Trigger)</f>
        <v>0.32054794520547947</v>
      </c>
      <c r="U84" s="47">
        <f>_xll.qlPolynomialFunctionValue($P$18,T84,AllTriggers)</f>
        <v>3.0135386751538522E-3</v>
      </c>
    </row>
    <row r="85" spans="18:21" x14ac:dyDescent="0.2">
      <c r="R85" s="212">
        <f>_xll.qlCalendarAdvance(Calendar,R84,"1D","f")</f>
        <v>42397</v>
      </c>
      <c r="S85" s="47">
        <f>_xll.qlTenorBasisValue($P$3,R85,AllTriggers)</f>
        <v>3.3260333544527913E-3</v>
      </c>
      <c r="T85" s="41">
        <f>_xll.qlDayCounterYearFraction("actual/365 (fixed)",SettlementDate,R85,,,Trigger)</f>
        <v>0.32328767123287672</v>
      </c>
      <c r="U85" s="47">
        <f>_xll.qlPolynomialFunctionValue($P$18,T85,AllTriggers)</f>
        <v>3.0151640220068675E-3</v>
      </c>
    </row>
    <row r="86" spans="18:21" x14ac:dyDescent="0.2">
      <c r="R86" s="212">
        <f>_xll.qlCalendarAdvance(Calendar,R85,"1D","f")</f>
        <v>42398</v>
      </c>
      <c r="S86" s="47">
        <f>_xll.qlTenorBasisValue($P$3,R86,AllTriggers)</f>
        <v>3.3277012126335923E-3</v>
      </c>
      <c r="T86" s="41">
        <f>_xll.qlDayCounterYearFraction("actual/365 (fixed)",SettlementDate,R86,,,Trigger)</f>
        <v>0.32602739726027397</v>
      </c>
      <c r="U86" s="47">
        <f>_xll.qlPolynomialFunctionValue($P$18,T86,AllTriggers)</f>
        <v>3.0167901458863738E-3</v>
      </c>
    </row>
    <row r="87" spans="18:21" x14ac:dyDescent="0.2">
      <c r="R87" s="212">
        <f>_xll.qlCalendarAdvance(Calendar,R86,"1D","f")</f>
        <v>42401</v>
      </c>
      <c r="S87" s="47">
        <f>_xll.qlTenorBasisValue($P$3,R87,AllTriggers)</f>
        <v>3.3327044505601397E-3</v>
      </c>
      <c r="T87" s="41">
        <f>_xll.qlDayCounterYearFraction("actual/365 (fixed)",SettlementDate,R87,,,Trigger)</f>
        <v>0.33424657534246577</v>
      </c>
      <c r="U87" s="47">
        <f>_xll.qlPolynomialFunctionValue($P$18,T87,AllTriggers)</f>
        <v>3.0216731353012458E-3</v>
      </c>
    </row>
    <row r="88" spans="18:21" x14ac:dyDescent="0.2">
      <c r="R88" s="212">
        <f>_xll.qlCalendarAdvance(Calendar,R87,"1D","f")</f>
        <v>42402</v>
      </c>
      <c r="S88" s="47">
        <f>_xll.qlTenorBasisValue($P$3,R88,AllTriggers)</f>
        <v>3.3343720695361697E-3</v>
      </c>
      <c r="T88" s="41">
        <f>_xll.qlDayCounterYearFraction("actual/365 (fixed)",SettlementDate,R88,,,Trigger)</f>
        <v>0.33698630136986302</v>
      </c>
      <c r="U88" s="47">
        <f>_xll.qlPolynomialFunctionValue($P$18,T88,AllTriggers)</f>
        <v>3.0233023229041213E-3</v>
      </c>
    </row>
    <row r="89" spans="18:21" x14ac:dyDescent="0.2">
      <c r="R89" s="212">
        <f>_xll.qlCalendarAdvance(Calendar,R88,"1D","f")</f>
        <v>42403</v>
      </c>
      <c r="S89" s="47">
        <f>_xll.qlTenorBasisValue($P$3,R89,AllTriggers)</f>
        <v>3.3360396176153584E-3</v>
      </c>
      <c r="T89" s="41">
        <f>_xll.qlDayCounterYearFraction("actual/365 (fixed)",SettlementDate,R89,,,Trigger)</f>
        <v>0.33972602739726027</v>
      </c>
      <c r="U89" s="47">
        <f>_xll.qlPolynomialFunctionValue($P$18,T89,AllTriggers)</f>
        <v>3.0249322653421902E-3</v>
      </c>
    </row>
    <row r="90" spans="18:21" x14ac:dyDescent="0.2">
      <c r="R90" s="212">
        <f>_xll.qlCalendarAdvance(Calendar,R89,"1D","f")</f>
        <v>42404</v>
      </c>
      <c r="S90" s="47">
        <f>_xll.qlTenorBasisValue($P$3,R90,AllTriggers)</f>
        <v>3.3377070903594453E-3</v>
      </c>
      <c r="T90" s="41">
        <f>_xll.qlDayCounterYearFraction("actual/365 (fixed)",SettlementDate,R90,,,Trigger)</f>
        <v>0.34246575342465752</v>
      </c>
      <c r="U90" s="47">
        <f>_xll.qlPolynomialFunctionValue($P$18,T90,AllTriggers)</f>
        <v>3.026562958177193E-3</v>
      </c>
    </row>
    <row r="91" spans="18:21" x14ac:dyDescent="0.2">
      <c r="R91" s="212">
        <f>_xll.qlCalendarAdvance(Calendar,R90,"1D","f")</f>
        <v>42405</v>
      </c>
      <c r="S91" s="47">
        <f>_xll.qlTenorBasisValue($P$3,R91,AllTriggers)</f>
        <v>3.3393744833301714E-3</v>
      </c>
      <c r="T91" s="41">
        <f>_xll.qlDayCounterYearFraction("actual/365 (fixed)",SettlementDate,R91,,,Trigger)</f>
        <v>0.34520547945205482</v>
      </c>
      <c r="U91" s="47">
        <f>_xll.qlPolynomialFunctionValue($P$18,T91,AllTriggers)</f>
        <v>3.0281943969708703E-3</v>
      </c>
    </row>
    <row r="92" spans="18:21" x14ac:dyDescent="0.2">
      <c r="R92" s="212">
        <f>_xll.qlCalendarAdvance(Calendar,R91,"1D","f")</f>
        <v>42408</v>
      </c>
      <c r="S92" s="47">
        <f>_xll.qlTenorBasisValue($P$3,R92,AllTriggers)</f>
        <v>3.3443761392195873E-3</v>
      </c>
      <c r="T92" s="41">
        <f>_xll.qlDayCounterYearFraction("actual/365 (fixed)",SettlementDate,R92,,,Trigger)</f>
        <v>0.35342465753424657</v>
      </c>
      <c r="U92" s="47">
        <f>_xll.qlPolynomialFunctionValue($P$18,T92,AllTriggers)</f>
        <v>3.0330931447213488E-3</v>
      </c>
    </row>
    <row r="93" spans="18:21" x14ac:dyDescent="0.2">
      <c r="R93" s="212">
        <f>_xll.qlCalendarAdvance(Calendar,R92,"1D","f")</f>
        <v>42409</v>
      </c>
      <c r="S93" s="47">
        <f>_xll.qlTenorBasisValue($P$3,R93,AllTriggers)</f>
        <v>3.3460431687142734E-3</v>
      </c>
      <c r="T93" s="41">
        <f>_xll.qlDayCounterYearFraction("actual/365 (fixed)",SettlementDate,R93,,,Trigger)</f>
        <v>0.35616438356164382</v>
      </c>
      <c r="U93" s="47">
        <f>_xll.qlPolynomialFunctionValue($P$18,T93,AllTriggers)</f>
        <v>3.0347275229671259E-3</v>
      </c>
    </row>
    <row r="94" spans="18:21" x14ac:dyDescent="0.2">
      <c r="R94" s="212">
        <f>_xll.qlCalendarAdvance(Calendar,R93,"1D","f")</f>
        <v>42410</v>
      </c>
      <c r="S94" s="47">
        <f>_xll.qlTenorBasisValue($P$3,R94,AllTriggers)</f>
        <v>3.3477100962442997E-3</v>
      </c>
      <c r="T94" s="41">
        <f>_xll.qlDayCounterYearFraction("actual/365 (fixed)",SettlementDate,R94,,,Trigger)</f>
        <v>0.35890410958904112</v>
      </c>
      <c r="U94" s="47">
        <f>_xll.qlPolynomialFunctionValue($P$18,T94,AllTriggers)</f>
        <v>3.0363626249802792E-3</v>
      </c>
    </row>
    <row r="95" spans="18:21" x14ac:dyDescent="0.2">
      <c r="R95" s="212">
        <f>_xll.qlCalendarAdvance(Calendar,R94,"1D","f")</f>
        <v>42411</v>
      </c>
      <c r="S95" s="47">
        <f>_xll.qlTenorBasisValue($P$3,R95,AllTriggers)</f>
        <v>3.3493769173714083E-3</v>
      </c>
      <c r="T95" s="41">
        <f>_xll.qlDayCounterYearFraction("actual/365 (fixed)",SettlementDate,R95,,,Trigger)</f>
        <v>0.36164383561643837</v>
      </c>
      <c r="U95" s="47">
        <f>_xll.qlPolynomialFunctionValue($P$18,T95,AllTriggers)</f>
        <v>3.0379984463225493E-3</v>
      </c>
    </row>
    <row r="96" spans="18:21" x14ac:dyDescent="0.2">
      <c r="R96" s="212">
        <f>_xll.qlCalendarAdvance(Calendar,R95,"1D","f")</f>
        <v>42412</v>
      </c>
      <c r="S96" s="47">
        <f>_xll.qlTenorBasisValue($P$3,R96,AllTriggers)</f>
        <v>3.3510436276573377E-3</v>
      </c>
      <c r="T96" s="41">
        <f>_xll.qlDayCounterYearFraction("actual/365 (fixed)",SettlementDate,R96,,,Trigger)</f>
        <v>0.36438356164383562</v>
      </c>
      <c r="U96" s="47">
        <f>_xll.qlPolynomialFunctionValue($P$18,T96,AllTriggers)</f>
        <v>3.039634982555676E-3</v>
      </c>
    </row>
    <row r="97" spans="18:21" x14ac:dyDescent="0.2">
      <c r="R97" s="212">
        <f>_xll.qlCalendarAdvance(Calendar,R96,"1D","f")</f>
        <v>42415</v>
      </c>
      <c r="S97" s="47">
        <f>_xll.qlTenorBasisValue($P$3,R97,AllTriggers)</f>
        <v>3.3560430490854614E-3</v>
      </c>
      <c r="T97" s="41">
        <f>_xll.qlDayCounterYearFraction("actual/365 (fixed)",SettlementDate,R97,,,Trigger)</f>
        <v>0.37260273972602742</v>
      </c>
      <c r="U97" s="47">
        <f>_xll.qlPolynomialFunctionValue($P$18,T97,AllTriggers)</f>
        <v>3.0445488362176002E-3</v>
      </c>
    </row>
    <row r="98" spans="18:21" x14ac:dyDescent="0.2">
      <c r="R98" s="212">
        <f>_xll.qlCalendarAdvance(Calendar,R97,"1D","f")</f>
        <v>42416</v>
      </c>
      <c r="S98" s="47">
        <f>_xll.qlTenorBasisValue($P$3,R98,AllTriggers)</f>
        <v>3.3577092716240817E-3</v>
      </c>
      <c r="T98" s="41">
        <f>_xll.qlDayCounterYearFraction("actual/365 (fixed)",SettlementDate,R98,,,Trigger)</f>
        <v>0.37534246575342467</v>
      </c>
      <c r="U98" s="47">
        <f>_xll.qlPolynomialFunctionValue($P$18,T98,AllTriggers)</f>
        <v>3.0461881876315583E-3</v>
      </c>
    </row>
    <row r="99" spans="18:21" x14ac:dyDescent="0.2">
      <c r="R99" s="212">
        <f>_xll.qlCalendarAdvance(Calendar,R98,"1D","f")</f>
        <v>42417</v>
      </c>
      <c r="S99" s="47">
        <f>_xll.qlTenorBasisValue($P$3,R99,AllTriggers)</f>
        <v>3.3593753611302255E-3</v>
      </c>
      <c r="T99" s="41">
        <f>_xll.qlDayCounterYearFraction("actual/365 (fixed)",SettlementDate,R99,,,Trigger)</f>
        <v>0.37808219178082192</v>
      </c>
      <c r="U99" s="47">
        <f>_xll.qlPolynomialFunctionValue($P$18,T99,AllTriggers)</f>
        <v>3.0478282317450748E-3</v>
      </c>
    </row>
    <row r="100" spans="18:21" x14ac:dyDescent="0.2">
      <c r="R100" s="212">
        <f>_xll.qlCalendarAdvance(Calendar,R99,"1D","f")</f>
        <v>42418</v>
      </c>
      <c r="S100" s="47">
        <f>_xll.qlTenorBasisValue($P$3,R100,AllTriggers)</f>
        <v>3.361041313165634E-3</v>
      </c>
      <c r="T100" s="41">
        <f>_xll.qlDayCounterYearFraction("actual/365 (fixed)",SettlementDate,R100,,,Trigger)</f>
        <v>0.38082191780821917</v>
      </c>
      <c r="U100" s="47">
        <f>_xll.qlPolynomialFunctionValue($P$18,T100,AllTriggers)</f>
        <v>3.0494689641198908E-3</v>
      </c>
    </row>
    <row r="101" spans="18:21" x14ac:dyDescent="0.2">
      <c r="R101" s="212">
        <f>_xll.qlCalendarAdvance(Calendar,R100,"1D","f")</f>
        <v>42419</v>
      </c>
      <c r="S101" s="47">
        <f>_xll.qlTenorBasisValue($P$3,R101,AllTriggers)</f>
        <v>3.3627071232920462E-3</v>
      </c>
      <c r="T101" s="41">
        <f>_xll.qlDayCounterYearFraction("actual/365 (fixed)",SettlementDate,R101,,,Trigger)</f>
        <v>0.38356164383561642</v>
      </c>
      <c r="U101" s="47">
        <f>_xll.qlPolynomialFunctionValue($P$18,T101,AllTriggers)</f>
        <v>3.0511103803177462E-3</v>
      </c>
    </row>
    <row r="102" spans="18:21" x14ac:dyDescent="0.2">
      <c r="R102" s="212">
        <f>_xll.qlCalendarAdvance(Calendar,R101,"1D","f")</f>
        <v>42422</v>
      </c>
      <c r="S102" s="47">
        <f>_xll.qlTenorBasisValue($P$3,R102,AllTriggers)</f>
        <v>3.3677036578347156E-3</v>
      </c>
      <c r="T102" s="41">
        <f>_xll.qlDayCounterYearFraction("actual/365 (fixed)",SettlementDate,R102,,,Trigger)</f>
        <v>0.39178082191780822</v>
      </c>
      <c r="U102" s="47">
        <f>_xll.qlPolynomialFunctionValue($P$18,T102,AllTriggers)</f>
        <v>3.056038687466955E-3</v>
      </c>
    </row>
    <row r="103" spans="18:21" x14ac:dyDescent="0.2">
      <c r="R103" s="212">
        <f>_xll.qlCalendarAdvance(Calendar,R102,"1D","f")</f>
        <v>42423</v>
      </c>
      <c r="S103" s="47">
        <f>_xll.qlTenorBasisValue($P$3,R103,AllTriggers)</f>
        <v>3.3693688559425501E-3</v>
      </c>
      <c r="T103" s="41">
        <f>_xll.qlDayCounterYearFraction("actual/365 (fixed)",SettlementDate,R103,,,Trigger)</f>
        <v>0.39452054794520547</v>
      </c>
      <c r="U103" s="47">
        <f>_xll.qlPolynomialFunctionValue($P$18,T103,AllTriggers)</f>
        <v>3.0576827945743728E-3</v>
      </c>
    </row>
    <row r="104" spans="18:21" x14ac:dyDescent="0.2">
      <c r="R104" s="212">
        <f>_xll.qlCalendarAdvance(Calendar,R103,"1D","f")</f>
        <v>42424</v>
      </c>
      <c r="S104" s="47">
        <f>_xll.qlTenorBasisValue($P$3,R104,AllTriggers)</f>
        <v>3.3710338899500913E-3</v>
      </c>
      <c r="T104" s="41">
        <f>_xll.qlDayCounterYearFraction("actual/365 (fixed)",SettlementDate,R104,,,Trigger)</f>
        <v>0.39726027397260272</v>
      </c>
      <c r="U104" s="47">
        <f>_xll.qlPolynomialFunctionValue($P$18,T104,AllTriggers)</f>
        <v>3.0593275633135322E-3</v>
      </c>
    </row>
    <row r="105" spans="18:21" x14ac:dyDescent="0.2">
      <c r="R105" s="212">
        <f>_xll.qlCalendarAdvance(Calendar,R104,"1D","f")</f>
        <v>42425</v>
      </c>
      <c r="S105" s="47">
        <f>_xll.qlTenorBasisValue($P$3,R105,AllTriggers)</f>
        <v>3.3726987554190792E-3</v>
      </c>
      <c r="T105" s="41">
        <f>_xll.qlDayCounterYearFraction("actual/365 (fixed)",SettlementDate,R105,,,Trigger)</f>
        <v>0.4</v>
      </c>
      <c r="U105" s="47">
        <f>_xll.qlPolynomialFunctionValue($P$18,T105,AllTriggers)</f>
        <v>3.0609729892461736E-3</v>
      </c>
    </row>
    <row r="106" spans="18:21" x14ac:dyDescent="0.2">
      <c r="R106" s="212">
        <f>_xll.qlCalendarAdvance(Calendar,R105,"1D","f")</f>
        <v>42426</v>
      </c>
      <c r="S106" s="47">
        <f>_xll.qlTenorBasisValue($P$3,R106,AllTriggers)</f>
        <v>3.3743634479112545E-3</v>
      </c>
      <c r="T106" s="41">
        <f>_xll.qlDayCounterYearFraction("actual/365 (fixed)",SettlementDate,R106,,,Trigger)</f>
        <v>0.40273972602739727</v>
      </c>
      <c r="U106" s="47">
        <f>_xll.qlPolynomialFunctionValue($P$18,T106,AllTriggers)</f>
        <v>3.0626190679340381E-3</v>
      </c>
    </row>
    <row r="107" spans="18:21" x14ac:dyDescent="0.2">
      <c r="R107" s="212">
        <f>_xll.qlCalendarAdvance(Calendar,R106,"1D","f")</f>
        <v>42429</v>
      </c>
      <c r="S107" s="47">
        <f>_xll.qlTenorBasisValue($P$3,R107,AllTriggers)</f>
        <v>3.3793564431443073E-3</v>
      </c>
      <c r="T107" s="41">
        <f>_xll.qlDayCounterYearFraction("actual/365 (fixed)",SettlementDate,R107,,,Trigger)</f>
        <v>0.41095890410958902</v>
      </c>
      <c r="U107" s="47">
        <f>_xll.qlPolynomialFunctionValue($P$18,T107,AllTriggers)</f>
        <v>3.0675611761463682E-3</v>
      </c>
    </row>
    <row r="108" spans="18:21" x14ac:dyDescent="0.2">
      <c r="R108" s="212">
        <f>_xll.qlCalendarAdvance(Calendar,R107,"1D","f")</f>
        <v>42430</v>
      </c>
      <c r="S108" s="47">
        <f>_xll.qlTenorBasisValue($P$3,R108,AllTriggers)</f>
        <v>3.381020399346635E-3</v>
      </c>
      <c r="T108" s="41">
        <f>_xll.qlDayCounterYearFraction("actual/365 (fixed)",SettlementDate,R108,,,Trigger)</f>
        <v>0.41369863013698632</v>
      </c>
      <c r="U108" s="47">
        <f>_xll.qlPolynomialFunctionValue($P$18,T108,AllTriggers)</f>
        <v>3.0692098214725252E-3</v>
      </c>
    </row>
    <row r="109" spans="18:21" x14ac:dyDescent="0.2">
      <c r="R109" s="212">
        <f>_xll.qlCalendarAdvance(Calendar,R108,"1D","f")</f>
        <v>42431</v>
      </c>
      <c r="S109" s="47">
        <f>_xll.qlTenorBasisValue($P$3,R109,AllTriggers)</f>
        <v>3.3826841603808522E-3</v>
      </c>
      <c r="T109" s="41">
        <f>_xll.qlDayCounterYearFraction("actual/365 (fixed)",SettlementDate,R109,,,Trigger)</f>
        <v>0.41643835616438357</v>
      </c>
      <c r="U109" s="47">
        <f>_xll.qlPolynomialFunctionValue($P$18,T109,AllTriggers)</f>
        <v>3.0708590973626076E-3</v>
      </c>
    </row>
    <row r="110" spans="18:21" x14ac:dyDescent="0.2">
      <c r="R110" s="212">
        <f>_xll.qlCalendarAdvance(Calendar,R109,"1D","f")</f>
        <v>42432</v>
      </c>
      <c r="S110" s="47">
        <f>_xll.qlTenorBasisValue($P$3,R110,AllTriggers)</f>
        <v>3.3843477218086994E-3</v>
      </c>
      <c r="T110" s="41">
        <f>_xll.qlDayCounterYearFraction("actual/365 (fixed)",SettlementDate,R110,,,Trigger)</f>
        <v>0.41917808219178082</v>
      </c>
      <c r="U110" s="47">
        <f>_xll.qlPolynomialFunctionValue($P$18,T110,AllTriggers)</f>
        <v>3.0725089993783542E-3</v>
      </c>
    </row>
    <row r="111" spans="18:21" x14ac:dyDescent="0.2">
      <c r="R111" s="212">
        <f>_xll.qlCalendarAdvance(Calendar,R110,"1D","f")</f>
        <v>42433</v>
      </c>
      <c r="S111" s="47">
        <f>_xll.qlTenorBasisValue($P$3,R111,AllTriggers)</f>
        <v>3.3860110791919169E-3</v>
      </c>
      <c r="T111" s="41">
        <f>_xll.qlDayCounterYearFraction("actual/365 (fixed)",SettlementDate,R111,,,Trigger)</f>
        <v>0.42191780821917807</v>
      </c>
      <c r="U111" s="47">
        <f>_xll.qlPolynomialFunctionValue($P$18,T111,AllTriggers)</f>
        <v>3.074159523081506E-3</v>
      </c>
    </row>
    <row r="112" spans="18:21" x14ac:dyDescent="0.2">
      <c r="R112" s="212">
        <f>_xll.qlCalendarAdvance(Calendar,R111,"1D","f")</f>
        <v>42436</v>
      </c>
      <c r="S112" s="47">
        <f>_xll.qlTenorBasisValue($P$3,R112,AllTriggers)</f>
        <v>3.390999882691191E-3</v>
      </c>
      <c r="T112" s="41">
        <f>_xll.qlDayCounterYearFraction("actual/365 (fixed)",SettlementDate,R112,,,Trigger)</f>
        <v>0.43013698630136987</v>
      </c>
      <c r="U112" s="47">
        <f>_xll.qlPolynomialFunctionValue($P$18,T112,AllTriggers)</f>
        <v>3.0791147799327963E-3</v>
      </c>
    </row>
    <row r="113" spans="18:21" x14ac:dyDescent="0.2">
      <c r="R113" s="212">
        <f>_xll.qlCalendarAdvance(Calendar,R112,"1D","f")</f>
        <v>42437</v>
      </c>
      <c r="S113" s="47">
        <f>_xll.qlTenorBasisValue($P$3,R113,AllTriggers)</f>
        <v>3.3926623795132926E-3</v>
      </c>
      <c r="T113" s="41">
        <f>_xll.qlDayCounterYearFraction("actual/365 (fixed)",SettlementDate,R113,,,Trigger)</f>
        <v>0.43287671232876712</v>
      </c>
      <c r="U113" s="47">
        <f>_xll.qlPolynomialFunctionValue($P$18,T113,AllTriggers)</f>
        <v>3.0807677460029733E-3</v>
      </c>
    </row>
    <row r="114" spans="18:21" x14ac:dyDescent="0.2">
      <c r="R114" s="212">
        <f>_xll.qlCalendarAdvance(Calendar,R113,"1D","f")</f>
        <v>42438</v>
      </c>
      <c r="S114" s="47">
        <f>_xll.qlTenorBasisValue($P$3,R114,AllTriggers)</f>
        <v>3.3943246500994654E-3</v>
      </c>
      <c r="T114" s="41">
        <f>_xll.qlDayCounterYearFraction("actual/365 (fixed)",SettlementDate,R114,,,Trigger)</f>
        <v>0.43561643835616437</v>
      </c>
      <c r="U114" s="47">
        <f>_xll.qlPolynomialFunctionValue($P$18,T114,AllTriggers)</f>
        <v>3.0824213115692566E-3</v>
      </c>
    </row>
    <row r="115" spans="18:21" x14ac:dyDescent="0.2">
      <c r="R115" s="212">
        <f>_xll.qlCalendarAdvance(Calendar,R114,"1D","f")</f>
        <v>42439</v>
      </c>
      <c r="S115" s="47">
        <f>_xll.qlTenorBasisValue($P$3,R115,AllTriggers)</f>
        <v>3.39598669001145E-3</v>
      </c>
      <c r="T115" s="41">
        <f>_xll.qlDayCounterYearFraction("actual/365 (fixed)",SettlementDate,R115,,,Trigger)</f>
        <v>0.43835616438356162</v>
      </c>
      <c r="U115" s="47">
        <f>_xll.qlPolynomialFunctionValue($P$18,T115,AllTriggers)</f>
        <v>3.0840754721933872E-3</v>
      </c>
    </row>
    <row r="116" spans="18:21" x14ac:dyDescent="0.2">
      <c r="R116" s="212">
        <f>_xll.qlCalendarAdvance(Calendar,R115,"1D","f")</f>
        <v>42440</v>
      </c>
      <c r="S116" s="47">
        <f>_xll.qlTenorBasisValue($P$3,R116,AllTriggers)</f>
        <v>3.3976484948109883E-3</v>
      </c>
      <c r="T116" s="41">
        <f>_xll.qlDayCounterYearFraction("actual/365 (fixed)",SettlementDate,R116,,,Trigger)</f>
        <v>0.44109589041095892</v>
      </c>
      <c r="U116" s="47">
        <f>_xll.qlPolynomialFunctionValue($P$18,T116,AllTriggers)</f>
        <v>3.0857302234371061E-3</v>
      </c>
    </row>
    <row r="117" spans="18:21" x14ac:dyDescent="0.2">
      <c r="R117" s="212">
        <f>_xll.qlCalendarAdvance(Calendar,R116,"1D","f")</f>
        <v>42443</v>
      </c>
      <c r="S117" s="47">
        <f>_xll.qlTenorBasisValue($P$3,R117,AllTriggers)</f>
        <v>3.4026324541523234E-3</v>
      </c>
      <c r="T117" s="41">
        <f>_xll.qlDayCounterYearFraction("actual/365 (fixed)",SettlementDate,R117,,,Trigger)</f>
        <v>0.44931506849315067</v>
      </c>
      <c r="U117" s="47">
        <f>_xll.qlPolynomialFunctionValue($P$18,T117,AllTriggers)</f>
        <v>3.090697976503195E-3</v>
      </c>
    </row>
    <row r="118" spans="18:21" x14ac:dyDescent="0.2">
      <c r="R118" s="212">
        <f>_xll.qlCalendarAdvance(Calendar,R117,"1D","f")</f>
        <v>42444</v>
      </c>
      <c r="S118" s="47">
        <f>_xll.qlTenorBasisValue($P$3,R118,AllTriggers)</f>
        <v>3.4042932741194763E-3</v>
      </c>
      <c r="T118" s="41">
        <f>_xll.qlDayCounterYearFraction("actual/365 (fixed)",SettlementDate,R118,,,Trigger)</f>
        <v>0.45205479452054792</v>
      </c>
      <c r="U118" s="47">
        <f>_xll.qlPolynomialFunctionValue($P$18,T118,AllTriggers)</f>
        <v>3.0923550458426693E-3</v>
      </c>
    </row>
    <row r="119" spans="18:21" x14ac:dyDescent="0.2">
      <c r="R119" s="212">
        <f>_xll.qlCalendarAdvance(Calendar,R118,"1D","f")</f>
        <v>42445</v>
      </c>
      <c r="S119" s="47">
        <f>_xll.qlTenorBasisValue($P$3,R119,AllTriggers)</f>
        <v>3.4059538367828849E-3</v>
      </c>
      <c r="T119" s="41">
        <f>_xll.qlDayCounterYearFraction("actual/365 (fixed)",SettlementDate,R119,,,Trigger)</f>
        <v>0.45479452054794522</v>
      </c>
      <c r="U119" s="47">
        <f>_xll.qlPolynomialFunctionValue($P$18,T119,AllTriggers)</f>
        <v>3.0940126836104345E-3</v>
      </c>
    </row>
    <row r="120" spans="18:21" x14ac:dyDescent="0.2">
      <c r="R120" s="212">
        <f>_xll.qlCalendarAdvance(Calendar,R119,"1D","f")</f>
        <v>42446</v>
      </c>
      <c r="S120" s="47">
        <f>_xll.qlTenorBasisValue($P$3,R120,AllTriggers)</f>
        <v>3.4076141377042874E-3</v>
      </c>
      <c r="T120" s="41">
        <f>_xll.qlDayCounterYearFraction("actual/365 (fixed)",SettlementDate,R120,,,Trigger)</f>
        <v>0.45753424657534247</v>
      </c>
      <c r="U120" s="47">
        <f>_xll.qlPolynomialFunctionValue($P$18,T120,AllTriggers)</f>
        <v>3.0956708853682293E-3</v>
      </c>
    </row>
    <row r="121" spans="18:21" x14ac:dyDescent="0.2">
      <c r="R121" s="212">
        <f>_xll.qlCalendarAdvance(Calendar,R120,"1D","f")</f>
        <v>42447</v>
      </c>
      <c r="S121" s="47">
        <f>_xll.qlTenorBasisValue($P$3,R121,AllTriggers)</f>
        <v>3.4092741724454263E-3</v>
      </c>
      <c r="T121" s="41">
        <f>_xll.qlDayCounterYearFraction("actual/365 (fixed)",SettlementDate,R121,,,Trigger)</f>
        <v>0.46027397260273972</v>
      </c>
      <c r="U121" s="47">
        <f>_xll.qlPolynomialFunctionValue($P$18,T121,AllTriggers)</f>
        <v>3.0973296466777949E-3</v>
      </c>
    </row>
    <row r="122" spans="18:21" x14ac:dyDescent="0.2">
      <c r="R122" s="212">
        <f>_xll.qlCalendarAdvance(Calendar,R121,"1D","f")</f>
        <v>42450</v>
      </c>
      <c r="S122" s="47">
        <f>_xll.qlTenorBasisValue($P$3,R122,AllTriggers)</f>
        <v>3.4142526352046597E-3</v>
      </c>
      <c r="T122" s="41">
        <f>_xll.qlDayCounterYearFraction("actual/365 (fixed)",SettlementDate,R122,,,Trigger)</f>
        <v>0.46849315068493153</v>
      </c>
      <c r="U122" s="47">
        <f>_xll.qlPolynomialFunctionValue($P$18,T122,AllTriggers)</f>
        <v>3.1023092435345195E-3</v>
      </c>
    </row>
    <row r="123" spans="18:21" x14ac:dyDescent="0.2">
      <c r="R123" s="212">
        <f>_xll.qlCalendarAdvance(Calendar,R122,"1D","f")</f>
        <v>42451</v>
      </c>
      <c r="S123" s="47">
        <f>_xll.qlTenorBasisValue($P$3,R123,AllTriggers)</f>
        <v>3.4159115608421442E-3</v>
      </c>
      <c r="T123" s="41">
        <f>_xll.qlDayCounterYearFraction("actual/365 (fixed)",SettlementDate,R123,,,Trigger)</f>
        <v>0.47123287671232877</v>
      </c>
      <c r="U123" s="47">
        <f>_xll.qlPolynomialFunctionValue($P$18,T123,AllTriggers)</f>
        <v>3.1039701986685722E-3</v>
      </c>
    </row>
    <row r="124" spans="18:21" x14ac:dyDescent="0.2">
      <c r="R124" s="212">
        <f>_xll.qlCalendarAdvance(Calendar,R123,"1D","f")</f>
        <v>42452</v>
      </c>
      <c r="S124" s="47">
        <f>_xll.qlTenorBasisValue($P$3,R124,AllTriggers)</f>
        <v>3.4175701981080664E-3</v>
      </c>
      <c r="T124" s="41">
        <f>_xll.qlDayCounterYearFraction("actual/365 (fixed)",SettlementDate,R124,,,Trigger)</f>
        <v>0.47397260273972602</v>
      </c>
      <c r="U124" s="47">
        <f>_xll.qlPolynomialFunctionValue($P$18,T124,AllTriggers)</f>
        <v>3.105631691163097E-3</v>
      </c>
    </row>
    <row r="125" spans="18:21" x14ac:dyDescent="0.2">
      <c r="R125" s="212">
        <f>_xll.qlCalendarAdvance(Calendar,R124,"1D","f")</f>
        <v>42453</v>
      </c>
      <c r="S125" s="47">
        <f>_xll.qlTenorBasisValue($P$3,R125,AllTriggers)</f>
        <v>3.4192285425641671E-3</v>
      </c>
      <c r="T125" s="41">
        <f>_xll.qlDayCounterYearFraction("actual/365 (fixed)",SettlementDate,R125,,,Trigger)</f>
        <v>0.47671232876712327</v>
      </c>
      <c r="U125" s="47">
        <f>_xll.qlPolynomialFunctionValue($P$18,T125,AllTriggers)</f>
        <v>3.1072937165798351E-3</v>
      </c>
    </row>
    <row r="126" spans="18:21" x14ac:dyDescent="0.2">
      <c r="R126" s="212">
        <f>_xll.qlCalendarAdvance(Calendar,R125,"1D","f")</f>
        <v>42458</v>
      </c>
      <c r="S126" s="47">
        <f>_xll.qlTenorBasisValue($P$3,R126,AllTriggers)</f>
        <v>3.4275157173582513E-3</v>
      </c>
      <c r="T126" s="41">
        <f>_xll.qlDayCounterYearFraction("actual/365 (fixed)",SettlementDate,R126,,,Trigger)</f>
        <v>0.49041095890410957</v>
      </c>
      <c r="U126" s="47">
        <f>_xll.qlPolynomialFunctionValue($P$18,T126,AllTriggers)</f>
        <v>3.1156116821576358E-3</v>
      </c>
    </row>
    <row r="127" spans="18:21" x14ac:dyDescent="0.2">
      <c r="R127" s="212">
        <f>_xll.qlCalendarAdvance(Calendar,R126,"1D","f")</f>
        <v>42459</v>
      </c>
      <c r="S127" s="47">
        <f>_xll.qlTenorBasisValue($P$3,R127,AllTriggers)</f>
        <v>3.429172211751967E-3</v>
      </c>
      <c r="T127" s="41">
        <f>_xll.qlDayCounterYearFraction("actual/365 (fixed)",SettlementDate,R127,,,Trigger)</f>
        <v>0.49315068493150682</v>
      </c>
      <c r="U127" s="47">
        <f>_xll.qlPolynomialFunctionValue($P$18,T127,AllTriggers)</f>
        <v>3.1172768119042001E-3</v>
      </c>
    </row>
    <row r="128" spans="18:21" x14ac:dyDescent="0.2">
      <c r="R128" s="212">
        <f>_xll.qlCalendarAdvance(Calendar,R127,"1D","f")</f>
        <v>42460</v>
      </c>
      <c r="S128" s="47">
        <f>_xll.qlTenorBasisValue($P$3,R128,AllTriggers)</f>
        <v>3.4308283822680444E-3</v>
      </c>
      <c r="T128" s="41">
        <f>_xll.qlDayCounterYearFraction("actual/365 (fixed)",SettlementDate,R128,,,Trigger)</f>
        <v>0.49589041095890413</v>
      </c>
      <c r="U128" s="47">
        <f>_xll.qlPolynomialFunctionValue($P$18,T128,AllTriggers)</f>
        <v>3.118942443505161E-3</v>
      </c>
    </row>
    <row r="129" spans="18:21" x14ac:dyDescent="0.2">
      <c r="R129" s="212">
        <f>_xll.qlCalendarAdvance(Calendar,R128,"1D","f")</f>
        <v>42461</v>
      </c>
      <c r="S129" s="47">
        <f>_xll.qlTenorBasisValue($P$3,R129,AllTriggers)</f>
        <v>3.4324842244682222E-3</v>
      </c>
      <c r="T129" s="41">
        <f>_xll.qlDayCounterYearFraction("actual/365 (fixed)",SettlementDate,R129,,,Trigger)</f>
        <v>0.49863013698630138</v>
      </c>
      <c r="U129" s="47">
        <f>_xll.qlPolynomialFunctionValue($P$18,T129,AllTriggers)</f>
        <v>3.1206085725222579E-3</v>
      </c>
    </row>
    <row r="130" spans="18:21" x14ac:dyDescent="0.2">
      <c r="R130" s="212">
        <f>_xll.qlCalendarAdvance(Calendar,R129,"1D","f")</f>
        <v>42464</v>
      </c>
      <c r="S130" s="47">
        <f>_xll.qlTenorBasisValue($P$3,R130,AllTriggers)</f>
        <v>3.4374497367907664E-3</v>
      </c>
      <c r="T130" s="41">
        <f>_xll.qlDayCounterYearFraction("actual/365 (fixed)",SettlementDate,R130,,,Trigger)</f>
        <v>0.50684931506849318</v>
      </c>
      <c r="U130" s="47">
        <f>_xll.qlPolynomialFunctionValue($P$18,T130,AllTriggers)</f>
        <v>3.1256098996877701E-3</v>
      </c>
    </row>
    <row r="131" spans="18:21" x14ac:dyDescent="0.2">
      <c r="R131" s="212">
        <f>_xll.qlCalendarAdvance(Calendar,R130,"1D","f")</f>
        <v>42465</v>
      </c>
      <c r="S131" s="47">
        <f>_xll.qlTenorBasisValue($P$3,R131,AllTriggers)</f>
        <v>3.4391042213447525E-3</v>
      </c>
      <c r="T131" s="41">
        <f>_xll.qlDayCounterYearFraction("actual/365 (fixed)",SettlementDate,R131,,,Trigger)</f>
        <v>0.50958904109589043</v>
      </c>
      <c r="U131" s="47">
        <f>_xll.qlPolynomialFunctionValue($P$18,T131,AllTriggers)</f>
        <v>3.127277973986816E-3</v>
      </c>
    </row>
    <row r="132" spans="18:21" x14ac:dyDescent="0.2">
      <c r="R132" s="212">
        <f>_xll.qlCalendarAdvance(Calendar,R131,"1D","f")</f>
        <v>42466</v>
      </c>
      <c r="S132" s="47">
        <f>_xll.qlTenorBasisValue($P$3,R132,AllTriggers)</f>
        <v>3.4407583553915421E-3</v>
      </c>
      <c r="T132" s="41">
        <f>_xll.qlDayCounterYearFraction("actual/365 (fixed)",SettlementDate,R132,,,Trigger)</f>
        <v>0.51232876712328768</v>
      </c>
      <c r="U132" s="47">
        <f>_xll.qlPolynomialFunctionValue($P$18,T132,AllTriggers)</f>
        <v>3.1289465235107001E-3</v>
      </c>
    </row>
    <row r="133" spans="18:21" x14ac:dyDescent="0.2">
      <c r="R133" s="212">
        <f>_xll.qlCalendarAdvance(Calendar,R132,"1D","f")</f>
        <v>42467</v>
      </c>
      <c r="S133" s="47">
        <f>_xll.qlTenorBasisValue($P$3,R133,AllTriggers)</f>
        <v>3.4424121344928745E-3</v>
      </c>
      <c r="T133" s="41">
        <f>_xll.qlDayCounterYearFraction("actual/365 (fixed)",SettlementDate,R133,,,Trigger)</f>
        <v>0.51506849315068493</v>
      </c>
      <c r="U133" s="47">
        <f>_xll.qlPolynomialFunctionValue($P$18,T133,AllTriggers)</f>
        <v>3.1306155438211624E-3</v>
      </c>
    </row>
    <row r="134" spans="18:21" x14ac:dyDescent="0.2">
      <c r="R134" s="212">
        <f>_xll.qlCalendarAdvance(Calendar,R133,"1D","f")</f>
        <v>42468</v>
      </c>
      <c r="S134" s="47">
        <f>_xll.qlTenorBasisValue($P$3,R134,AllTriggers)</f>
        <v>3.4440655542104914E-3</v>
      </c>
      <c r="T134" s="41">
        <f>_xll.qlDayCounterYearFraction("actual/365 (fixed)",SettlementDate,R134,,,Trigger)</f>
        <v>0.51780821917808217</v>
      </c>
      <c r="U134" s="47">
        <f>_xll.qlPolynomialFunctionValue($P$18,T134,AllTriggers)</f>
        <v>3.1322850304799444E-3</v>
      </c>
    </row>
    <row r="135" spans="18:21" x14ac:dyDescent="0.2">
      <c r="R135" s="212">
        <f>_xll.qlCalendarAdvance(Calendar,R134,"1D","f")</f>
        <v>42471</v>
      </c>
      <c r="S135" s="47">
        <f>_xll.qlTenorBasisValue($P$3,R135,AllTriggers)</f>
        <v>3.4490236126784482E-3</v>
      </c>
      <c r="T135" s="41">
        <f>_xll.qlDayCounterYearFraction("actual/365 (fixed)",SettlementDate,R135,,,Trigger)</f>
        <v>0.52602739726027392</v>
      </c>
      <c r="U135" s="47">
        <f>_xll.qlPolynomialFunctionValue($P$18,T135,AllTriggers)</f>
        <v>3.1372962441636072E-3</v>
      </c>
    </row>
    <row r="136" spans="18:21" x14ac:dyDescent="0.2">
      <c r="R136" s="212">
        <f>_xll.qlCalendarAdvance(Calendar,R135,"1D","f")</f>
        <v>42472</v>
      </c>
      <c r="S136" s="47">
        <f>_xll.qlTenorBasisValue($P$3,R136,AllTriggers)</f>
        <v>3.4506755504786044E-3</v>
      </c>
      <c r="T136" s="41">
        <f>_xll.qlDayCounterYearFraction("actual/365 (fixed)",SettlementDate,R136,,,Trigger)</f>
        <v>0.52876712328767128</v>
      </c>
      <c r="U136" s="47">
        <f>_xll.qlPolynomialFunctionValue($P$18,T136,AllTriggers)</f>
        <v>3.1389675518330691E-3</v>
      </c>
    </row>
    <row r="137" spans="18:21" x14ac:dyDescent="0.2">
      <c r="R137" s="212">
        <f>_xll.qlCalendarAdvance(Calendar,R136,"1D","f")</f>
        <v>42473</v>
      </c>
      <c r="S137" s="47">
        <f>_xll.qlTenorBasisValue($P$3,R137,AllTriggers)</f>
        <v>3.4523271067037464E-3</v>
      </c>
      <c r="T137" s="41">
        <f>_xll.qlDayCounterYearFraction("actual/365 (fixed)",SettlementDate,R137,,,Trigger)</f>
        <v>0.53150684931506853</v>
      </c>
      <c r="U137" s="47">
        <f>_xll.qlPolynomialFunctionValue($P$18,T137,AllTriggers)</f>
        <v>3.1406393036595517E-3</v>
      </c>
    </row>
    <row r="138" spans="18:21" x14ac:dyDescent="0.2">
      <c r="R138" s="212">
        <f>_xll.qlCalendarAdvance(Calendar,R137,"1D","f")</f>
        <v>42474</v>
      </c>
      <c r="S138" s="47">
        <f>_xll.qlTenorBasisValue($P$3,R138,AllTriggers)</f>
        <v>3.453978276915614E-3</v>
      </c>
      <c r="T138" s="41">
        <f>_xll.qlDayCounterYearFraction("actual/365 (fixed)",SettlementDate,R138,,,Trigger)</f>
        <v>0.53424657534246578</v>
      </c>
      <c r="U138" s="47">
        <f>_xll.qlPolynomialFunctionValue($P$18,T138,AllTriggers)</f>
        <v>3.1423114952047952E-3</v>
      </c>
    </row>
    <row r="139" spans="18:21" x14ac:dyDescent="0.2">
      <c r="R139" s="212">
        <f>_xll.qlCalendarAdvance(Calendar,R138,"1D","f")</f>
        <v>42475</v>
      </c>
      <c r="S139" s="47">
        <f>_xll.qlTenorBasisValue($P$3,R139,AllTriggers)</f>
        <v>3.4556290566759486E-3</v>
      </c>
      <c r="T139" s="41">
        <f>_xll.qlDayCounterYearFraction("actual/365 (fixed)",SettlementDate,R139,,,Trigger)</f>
        <v>0.53698630136986303</v>
      </c>
      <c r="U139" s="47">
        <f>_xll.qlPolynomialFunctionValue($P$18,T139,AllTriggers)</f>
        <v>3.1439841220305413E-3</v>
      </c>
    </row>
    <row r="140" spans="18:21" x14ac:dyDescent="0.2">
      <c r="R140" s="212">
        <f>_xll.qlCalendarAdvance(Calendar,R139,"1D","f")</f>
        <v>42478</v>
      </c>
      <c r="S140" s="47">
        <f>_xll.qlTenorBasisValue($P$3,R140,AllTriggers)</f>
        <v>3.460579008865157E-3</v>
      </c>
      <c r="T140" s="41">
        <f>_xll.qlDayCounterYearFraction("actual/365 (fixed)",SettlementDate,R140,,,Trigger)</f>
        <v>0.54520547945205478</v>
      </c>
      <c r="U140" s="47">
        <f>_xll.qlPolynomialFunctionValue($P$18,T140,AllTriggers)</f>
        <v>3.1490045698081932E-3</v>
      </c>
    </row>
    <row r="141" spans="18:21" x14ac:dyDescent="0.2">
      <c r="R141" s="212">
        <f>_xll.qlCalendarAdvance(Calendar,R140,"1D","f")</f>
        <v>42479</v>
      </c>
      <c r="S141" s="47">
        <f>_xll.qlTenorBasisValue($P$3,R141,AllTriggers)</f>
        <v>3.4622281824367618E-3</v>
      </c>
      <c r="T141" s="41">
        <f>_xll.qlDayCounterYearFraction("actual/365 (fixed)",SettlementDate,R141,,,Trigger)</f>
        <v>0.54794520547945202</v>
      </c>
      <c r="U141" s="47">
        <f>_xll.qlPolynomialFunctionValue($P$18,T141,AllTriggers)</f>
        <v>3.1506788933733502E-3</v>
      </c>
    </row>
    <row r="142" spans="18:21" x14ac:dyDescent="0.2">
      <c r="R142" s="212">
        <f>_xll.qlCalendarAdvance(Calendar,R141,"1D","f")</f>
        <v>42480</v>
      </c>
      <c r="S142" s="47">
        <f>_xll.qlTenorBasisValue($P$3,R142,AllTriggers)</f>
        <v>3.4638769433655361E-3</v>
      </c>
      <c r="T142" s="41">
        <f>_xll.qlDayCounterYearFraction("actual/365 (fixed)",SettlementDate,R142,,,Trigger)</f>
        <v>0.55068493150684927</v>
      </c>
      <c r="U142" s="47">
        <f>_xll.qlPolynomialFunctionValue($P$18,T142,AllTriggers)</f>
        <v>3.1523536300277107E-3</v>
      </c>
    </row>
    <row r="143" spans="18:21" x14ac:dyDescent="0.2">
      <c r="R143" s="212">
        <f>_xll.qlCalendarAdvance(Calendar,R142,"1D","f")</f>
        <v>42481</v>
      </c>
      <c r="S143" s="47">
        <f>_xll.qlTenorBasisValue($P$3,R143,AllTriggers)</f>
        <v>3.4655252872132186E-3</v>
      </c>
      <c r="T143" s="41">
        <f>_xll.qlDayCounterYearFraction("actual/365 (fixed)",SettlementDate,R143,,,Trigger)</f>
        <v>0.55342465753424652</v>
      </c>
      <c r="U143" s="47">
        <f>_xll.qlPolynomialFunctionValue($P$18,T143,AllTriggers)</f>
        <v>3.1540287753330154E-3</v>
      </c>
    </row>
    <row r="144" spans="18:21" x14ac:dyDescent="0.2">
      <c r="R144" s="212">
        <f>_xll.qlCalendarAdvance(Calendar,R143,"1D","f")</f>
        <v>42482</v>
      </c>
      <c r="S144" s="47">
        <f>_xll.qlTenorBasisValue($P$3,R144,AllTriggers)</f>
        <v>3.4671732095415513E-3</v>
      </c>
      <c r="T144" s="41">
        <f>_xll.qlDayCounterYearFraction("actual/365 (fixed)",SettlementDate,R144,,,Trigger)</f>
        <v>0.55616438356164388</v>
      </c>
      <c r="U144" s="47">
        <f>_xll.qlPolynomialFunctionValue($P$18,T144,AllTriggers)</f>
        <v>3.1557043248510047E-3</v>
      </c>
    </row>
    <row r="145" spans="18:21" x14ac:dyDescent="0.2">
      <c r="R145" s="212">
        <f>_xll.qlCalendarAdvance(Calendar,R144,"1D","f")</f>
        <v>42485</v>
      </c>
      <c r="S145" s="47">
        <f>_xll.qlTenorBasisValue($P$3,R145,AllTriggers)</f>
        <v>3.4721144030278477E-3</v>
      </c>
      <c r="T145" s="41">
        <f>_xll.qlDayCounterYearFraction("actual/365 (fixed)",SettlementDate,R145,,,Trigger)</f>
        <v>0.56438356164383563</v>
      </c>
      <c r="U145" s="47">
        <f>_xll.qlPolynomialFunctionValue($P$18,T145,AllTriggers)</f>
        <v>3.1607333542984836E-3</v>
      </c>
    </row>
    <row r="146" spans="18:21" x14ac:dyDescent="0.2">
      <c r="R146" s="212">
        <f>_xll.qlCalendarAdvance(Calendar,R145,"1D","f")</f>
        <v>42486</v>
      </c>
      <c r="S146" s="47">
        <f>_xll.qlTenorBasisValue($P$3,R146,AllTriggers)</f>
        <v>3.4737605948961816E-3</v>
      </c>
      <c r="T146" s="41">
        <f>_xll.qlDayCounterYearFraction("actual/365 (fixed)",SettlementDate,R146,,,Trigger)</f>
        <v>0.56712328767123288</v>
      </c>
      <c r="U146" s="47">
        <f>_xll.qlPolynomialFunctionValue($P$18,T146,AllTriggers)</f>
        <v>3.1624104762846151E-3</v>
      </c>
    </row>
    <row r="147" spans="18:21" x14ac:dyDescent="0.2">
      <c r="R147" s="212">
        <f>_xll.qlCalendarAdvance(Calendar,R146,"1D","f")</f>
        <v>42487</v>
      </c>
      <c r="S147" s="47">
        <f>_xll.qlTenorBasisValue($P$3,R147,AllTriggers)</f>
        <v>3.4754063430538669E-3</v>
      </c>
      <c r="T147" s="41">
        <f>_xll.qlDayCounterYearFraction("actual/365 (fixed)",SettlementDate,R147,,,Trigger)</f>
        <v>0.56986301369863013</v>
      </c>
      <c r="U147" s="47">
        <f>_xll.qlPolynomialFunctionValue($P$18,T147,AllTriggers)</f>
        <v>3.1640879802921334E-3</v>
      </c>
    </row>
    <row r="148" spans="18:21" x14ac:dyDescent="0.2">
      <c r="R148" s="212">
        <f>_xll.qlCalendarAdvance(Calendar,R147,"1D","f")</f>
        <v>42488</v>
      </c>
      <c r="S148" s="47">
        <f>_xll.qlTenorBasisValue($P$3,R148,AllTriggers)</f>
        <v>3.477051643062644E-3</v>
      </c>
      <c r="T148" s="41">
        <f>_xll.qlDayCounterYearFraction("actual/365 (fixed)",SettlementDate,R148,,,Trigger)</f>
        <v>0.57260273972602738</v>
      </c>
      <c r="U148" s="47">
        <f>_xll.qlPolynomialFunctionValue($P$18,T148,AllTriggers)</f>
        <v>3.1657658618827783E-3</v>
      </c>
    </row>
    <row r="149" spans="18:21" x14ac:dyDescent="0.2">
      <c r="R149" s="212">
        <f>_xll.qlCalendarAdvance(Calendar,R148,"1D","f")</f>
        <v>42489</v>
      </c>
      <c r="S149" s="47">
        <f>_xll.qlTenorBasisValue($P$3,R149,AllTriggers)</f>
        <v>3.4786964904842525E-3</v>
      </c>
      <c r="T149" s="41">
        <f>_xll.qlDayCounterYearFraction("actual/365 (fixed)",SettlementDate,R149,,,Trigger)</f>
        <v>0.57534246575342463</v>
      </c>
      <c r="U149" s="47">
        <f>_xll.qlPolynomialFunctionValue($P$18,T149,AllTriggers)</f>
        <v>3.1674441166182903E-3</v>
      </c>
    </row>
    <row r="150" spans="18:21" x14ac:dyDescent="0.2">
      <c r="R150" s="212">
        <f>_xll.qlCalendarAdvance(Calendar,R149,"1D","f")</f>
        <v>42492</v>
      </c>
      <c r="S150" s="47">
        <f>_xll.qlTenorBasisValue($P$3,R150,AllTriggers)</f>
        <v>3.4836282728434773E-3</v>
      </c>
      <c r="T150" s="41">
        <f>_xll.qlDayCounterYearFraction("actual/365 (fixed)",SettlementDate,R150,,,Trigger)</f>
        <v>0.58356164383561648</v>
      </c>
      <c r="U150" s="47">
        <f>_xll.qlPolynomialFunctionValue($P$18,T150,AllTriggers)</f>
        <v>3.1724810753114346E-3</v>
      </c>
    </row>
    <row r="151" spans="18:21" x14ac:dyDescent="0.2">
      <c r="R151" s="212">
        <f>_xll.qlCalendarAdvance(Calendar,R150,"1D","f")</f>
        <v>42493</v>
      </c>
      <c r="S151" s="47">
        <f>_xll.qlTenorBasisValue($P$3,R151,AllTriggers)</f>
        <v>3.4852712655338187E-3</v>
      </c>
      <c r="T151" s="41">
        <f>_xll.qlDayCounterYearFraction("actual/365 (fixed)",SettlementDate,R151,,,Trigger)</f>
        <v>0.58630136986301373</v>
      </c>
      <c r="U151" s="47">
        <f>_xll.qlPolynomialFunctionValue($P$18,T151,AllTriggers)</f>
        <v>3.1741607782438206E-3</v>
      </c>
    </row>
    <row r="152" spans="18:21" x14ac:dyDescent="0.2">
      <c r="R152" s="212">
        <f>_xll.qlCalendarAdvance(Calendar,R151,"1D","f")</f>
        <v>42494</v>
      </c>
      <c r="S152" s="47">
        <f>_xll.qlTenorBasisValue($P$3,R152,AllTriggers)</f>
        <v>3.4869137834456949E-3</v>
      </c>
      <c r="T152" s="41">
        <f>_xll.qlDayCounterYearFraction("actual/365 (fixed)",SettlementDate,R152,,,Trigger)</f>
        <v>0.58904109589041098</v>
      </c>
      <c r="U152" s="47">
        <f>_xll.qlPolynomialFunctionValue($P$18,T152,AllTriggers)</f>
        <v>3.1758408321297749E-3</v>
      </c>
    </row>
    <row r="153" spans="18:21" x14ac:dyDescent="0.2">
      <c r="R153" s="212">
        <f>_xll.qlCalendarAdvance(Calendar,R152,"1D","f")</f>
        <v>42495</v>
      </c>
      <c r="S153" s="47">
        <f>_xll.qlTenorBasisValue($P$3,R153,AllTriggers)</f>
        <v>3.4885558221408449E-3</v>
      </c>
      <c r="T153" s="41">
        <f>_xll.qlDayCounterYearFraction("actual/365 (fixed)",SettlementDate,R153,,,Trigger)</f>
        <v>0.59178082191780823</v>
      </c>
      <c r="U153" s="47">
        <f>_xll.qlPolynomialFunctionValue($P$18,T153,AllTriggers)</f>
        <v>3.1775212325310391E-3</v>
      </c>
    </row>
    <row r="154" spans="18:21" x14ac:dyDescent="0.2">
      <c r="R154" s="212">
        <f>_xll.qlCalendarAdvance(Calendar,R153,"1D","f")</f>
        <v>42496</v>
      </c>
      <c r="S154" s="47">
        <f>_xll.qlTenorBasisValue($P$3,R154,AllTriggers)</f>
        <v>3.4901973771810104E-3</v>
      </c>
      <c r="T154" s="41">
        <f>_xll.qlDayCounterYearFraction("actual/365 (fixed)",SettlementDate,R154,,,Trigger)</f>
        <v>0.59452054794520548</v>
      </c>
      <c r="U154" s="47">
        <f>_xll.qlPolynomialFunctionValue($P$18,T154,AllTriggers)</f>
        <v>3.1792019750093536E-3</v>
      </c>
    </row>
    <row r="155" spans="18:21" x14ac:dyDescent="0.2">
      <c r="R155" s="212">
        <f>_xll.qlCalendarAdvance(Calendar,R154,"1D","f")</f>
        <v>42499</v>
      </c>
      <c r="S155" s="47">
        <f>_xll.qlTenorBasisValue($P$3,R155,AllTriggers)</f>
        <v>3.4951190959889998E-3</v>
      </c>
      <c r="T155" s="41">
        <f>_xll.qlDayCounterYearFraction("actual/365 (fixed)",SettlementDate,R155,,,Trigger)</f>
        <v>0.60273972602739723</v>
      </c>
      <c r="U155" s="47">
        <f>_xll.qlPolynomialFunctionValue($P$18,T155,AllTriggers)</f>
        <v>3.1842462105240018E-3</v>
      </c>
    </row>
    <row r="156" spans="18:21" x14ac:dyDescent="0.2">
      <c r="R156" s="212">
        <f>_xll.qlCalendarAdvance(Calendar,R155,"1D","f")</f>
        <v>42500</v>
      </c>
      <c r="S156" s="47">
        <f>_xll.qlTenorBasisValue($P$3,R156,AllTriggers)</f>
        <v>3.4967586720266292E-3</v>
      </c>
      <c r="T156" s="41">
        <f>_xll.qlDayCounterYearFraction("actual/365 (fixed)",SettlementDate,R156,,,Trigger)</f>
        <v>0.60547945205479448</v>
      </c>
      <c r="U156" s="47">
        <f>_xll.qlPolynomialFunctionValue($P$18,T156,AllTriggers)</f>
        <v>3.1859282769279205E-3</v>
      </c>
    </row>
    <row r="157" spans="18:21" x14ac:dyDescent="0.2">
      <c r="R157" s="212">
        <f>_xll.qlCalendarAdvance(Calendar,R156,"1D","f")</f>
        <v>42501</v>
      </c>
      <c r="S157" s="47">
        <f>_xll.qlTenorBasisValue($P$3,R157,AllTriggers)</f>
        <v>3.4983977422179749E-3</v>
      </c>
      <c r="T157" s="41">
        <f>_xll.qlDayCounterYearFraction("actual/365 (fixed)",SettlementDate,R157,,,Trigger)</f>
        <v>0.60821917808219184</v>
      </c>
      <c r="U157" s="47">
        <f>_xll.qlPolynomialFunctionValue($P$18,T157,AllTriggers)</f>
        <v>3.1876106632175911E-3</v>
      </c>
    </row>
    <row r="158" spans="18:21" x14ac:dyDescent="0.2">
      <c r="R158" s="212">
        <f>_xll.qlCalendarAdvance(Calendar,R157,"1D","f")</f>
        <v>42502</v>
      </c>
      <c r="S158" s="47">
        <f>_xll.qlTenorBasisValue($P$3,R158,AllTriggers)</f>
        <v>3.5000363021247785E-3</v>
      </c>
      <c r="T158" s="41">
        <f>_xll.qlDayCounterYearFraction("actual/365 (fixed)",SettlementDate,R158,,,Trigger)</f>
        <v>0.61095890410958908</v>
      </c>
      <c r="U158" s="47">
        <f>_xll.qlPolynomialFunctionValue($P$18,T158,AllTriggers)</f>
        <v>3.1892933649547545E-3</v>
      </c>
    </row>
    <row r="159" spans="18:21" x14ac:dyDescent="0.2">
      <c r="R159" s="212">
        <f>_xll.qlCalendarAdvance(Calendar,R158,"1D","f")</f>
        <v>42503</v>
      </c>
      <c r="S159" s="47">
        <f>_xll.qlTenorBasisValue($P$3,R159,AllTriggers)</f>
        <v>3.5016743473087792E-3</v>
      </c>
      <c r="T159" s="41">
        <f>_xll.qlDayCounterYearFraction("actual/365 (fixed)",SettlementDate,R159,,,Trigger)</f>
        <v>0.61369863013698633</v>
      </c>
      <c r="U159" s="47">
        <f>_xll.qlPolynomialFunctionValue($P$18,T159,AllTriggers)</f>
        <v>3.1909763777011511E-3</v>
      </c>
    </row>
    <row r="160" spans="18:21" x14ac:dyDescent="0.2">
      <c r="R160" s="212">
        <f>_xll.qlCalendarAdvance(Calendar,R159,"1D","f")</f>
        <v>42506</v>
      </c>
      <c r="S160" s="47">
        <f>_xll.qlTenorBasisValue($P$3,R160,AllTriggers)</f>
        <v>3.5065853501413725E-3</v>
      </c>
      <c r="T160" s="41">
        <f>_xll.qlDayCounterYearFraction("actual/365 (fixed)",SettlementDate,R160,,,Trigger)</f>
        <v>0.62191780821917808</v>
      </c>
      <c r="U160" s="47">
        <f>_xll.qlPolynomialFunctionValue($P$18,T160,AllTriggers)</f>
        <v>3.1960272376131398E-3</v>
      </c>
    </row>
    <row r="161" spans="18:21" x14ac:dyDescent="0.2">
      <c r="R161" s="212">
        <f>_xll.qlCalendarAdvance(Calendar,R160,"1D","f")</f>
        <v>42507</v>
      </c>
      <c r="S161" s="47">
        <f>_xll.qlTenorBasisValue($P$3,R161,AllTriggers)</f>
        <v>3.508221292051568E-3</v>
      </c>
      <c r="T161" s="41">
        <f>_xll.qlDayCounterYearFraction("actual/365 (fixed)",SettlementDate,R161,,,Trigger)</f>
        <v>0.62465753424657533</v>
      </c>
      <c r="U161" s="47">
        <f>_xll.qlPolynomialFunctionValue($P$18,T161,AllTriggers)</f>
        <v>3.1977114500138714E-3</v>
      </c>
    </row>
    <row r="162" spans="18:21" x14ac:dyDescent="0.2">
      <c r="R162" s="212">
        <f>_xll.qlCalendarAdvance(Calendar,R161,"1D","f")</f>
        <v>42508</v>
      </c>
      <c r="S162" s="47">
        <f>_xll.qlTenorBasisValue($P$3,R162,AllTriggers)</f>
        <v>3.5098566970476635E-3</v>
      </c>
      <c r="T162" s="41">
        <f>_xll.qlDayCounterYearFraction("actual/365 (fixed)",SettlementDate,R162,,,Trigger)</f>
        <v>0.62739726027397258</v>
      </c>
      <c r="U162" s="47">
        <f>_xll.qlPolynomialFunctionValue($P$18,T162,AllTriggers)</f>
        <v>3.1993959512325379E-3</v>
      </c>
    </row>
    <row r="163" spans="18:21" x14ac:dyDescent="0.2">
      <c r="R163" s="212">
        <f>_xll.qlCalendarAdvance(Calendar,R162,"1D","f")</f>
        <v>42509</v>
      </c>
      <c r="S163" s="47">
        <f>_xll.qlTenorBasisValue($P$3,R163,AllTriggers)</f>
        <v>3.511491560691399E-3</v>
      </c>
      <c r="T163" s="41">
        <f>_xll.qlDayCounterYearFraction("actual/365 (fixed)",SettlementDate,R163,,,Trigger)</f>
        <v>0.63013698630136983</v>
      </c>
      <c r="U163" s="47">
        <f>_xll.qlPolynomialFunctionValue($P$18,T163,AllTriggers)</f>
        <v>3.20108073683088E-3</v>
      </c>
    </row>
    <row r="164" spans="18:21" x14ac:dyDescent="0.2">
      <c r="R164" s="212">
        <f>_xll.qlCalendarAdvance(Calendar,R163,"1D","f")</f>
        <v>42510</v>
      </c>
      <c r="S164" s="47">
        <f>_xll.qlTenorBasisValue($P$3,R164,AllTriggers)</f>
        <v>3.5131258785445151E-3</v>
      </c>
      <c r="T164" s="41">
        <f>_xll.qlDayCounterYearFraction("actual/365 (fixed)",SettlementDate,R164,,,Trigger)</f>
        <v>0.63287671232876708</v>
      </c>
      <c r="U164" s="47">
        <f>_xll.qlPolynomialFunctionValue($P$18,T164,AllTriggers)</f>
        <v>3.2027658023706367E-3</v>
      </c>
    </row>
    <row r="165" spans="18:21" x14ac:dyDescent="0.2">
      <c r="R165" s="212">
        <f>_xll.qlCalendarAdvance(Calendar,R164,"1D","f")</f>
        <v>42513</v>
      </c>
      <c r="S165" s="47">
        <f>_xll.qlTenorBasisValue($P$3,R165,AllTriggers)</f>
        <v>3.5180255129775499E-3</v>
      </c>
      <c r="T165" s="41">
        <f>_xll.qlDayCounterYearFraction("actual/365 (fixed)",SettlementDate,R165,,,Trigger)</f>
        <v>0.64109589041095894</v>
      </c>
      <c r="U165" s="47">
        <f>_xll.qlPolynomialFunctionValue($P$18,T165,AllTriggers)</f>
        <v>3.2078226342558062E-3</v>
      </c>
    </row>
    <row r="166" spans="18:21" x14ac:dyDescent="0.2">
      <c r="R166" s="212">
        <f>_xll.qlCalendarAdvance(Calendar,R165,"1D","f")</f>
        <v>42514</v>
      </c>
      <c r="S166" s="47">
        <f>_xll.qlTenorBasisValue($P$3,R166,AllTriggers)</f>
        <v>3.5196576032855919E-3</v>
      </c>
      <c r="T166" s="41">
        <f>_xll.qlDayCounterYearFraction("actual/365 (fixed)",SettlementDate,R166,,,Trigger)</f>
        <v>0.64383561643835618</v>
      </c>
      <c r="U166" s="47">
        <f>_xll.qlPolynomialFunctionValue($P$18,T166,AllTriggers)</f>
        <v>3.2095087751786299E-3</v>
      </c>
    </row>
    <row r="167" spans="18:21" x14ac:dyDescent="0.2">
      <c r="R167" s="212">
        <f>_xll.qlCalendarAdvance(Calendar,R166,"1D","f")</f>
        <v>42515</v>
      </c>
      <c r="S167" s="47">
        <f>_xll.qlTenorBasisValue($P$3,R167,AllTriggers)</f>
        <v>3.5212891256117163E-3</v>
      </c>
      <c r="T167" s="41">
        <f>_xll.qlDayCounterYearFraction("actual/365 (fixed)",SettlementDate,R167,,,Trigger)</f>
        <v>0.64657534246575343</v>
      </c>
      <c r="U167" s="47">
        <f>_xll.qlPolynomialFunctionValue($P$18,T167,AllTriggers)</f>
        <v>3.2111951738515712E-3</v>
      </c>
    </row>
    <row r="168" spans="18:21" x14ac:dyDescent="0.2">
      <c r="R168" s="212">
        <f>_xll.qlCalendarAdvance(Calendar,R167,"1D","f")</f>
        <v>42516</v>
      </c>
      <c r="S168" s="47">
        <f>_xll.qlTenorBasisValue($P$3,R168,AllTriggers)</f>
        <v>3.5229200755176634E-3</v>
      </c>
      <c r="T168" s="41">
        <f>_xll.qlDayCounterYearFraction("actual/365 (fixed)",SettlementDate,R168,,,Trigger)</f>
        <v>0.64931506849315068</v>
      </c>
      <c r="U168" s="47">
        <f>_xll.qlPolynomialFunctionValue($P$18,T168,AllTriggers)</f>
        <v>3.2128818258363701E-3</v>
      </c>
    </row>
    <row r="169" spans="18:21" x14ac:dyDescent="0.2">
      <c r="R169" s="212">
        <f>_xll.qlCalendarAdvance(Calendar,R168,"1D","f")</f>
        <v>42517</v>
      </c>
      <c r="S169" s="47">
        <f>_xll.qlTenorBasisValue($P$3,R169,AllTriggers)</f>
        <v>3.5245504485651737E-3</v>
      </c>
      <c r="T169" s="41">
        <f>_xll.qlDayCounterYearFraction("actual/365 (fixed)",SettlementDate,R169,,,Trigger)</f>
        <v>0.65205479452054793</v>
      </c>
      <c r="U169" s="47">
        <f>_xll.qlPolynomialFunctionValue($P$18,T169,AllTriggers)</f>
        <v>3.2145687266947678E-3</v>
      </c>
    </row>
    <row r="170" spans="18:21" x14ac:dyDescent="0.2">
      <c r="R170" s="212">
        <f>_xll.qlCalendarAdvance(Calendar,R169,"1D","f")</f>
        <v>42520</v>
      </c>
      <c r="S170" s="47">
        <f>_xll.qlTenorBasisValue($P$3,R170,AllTriggers)</f>
        <v>3.529438062174488E-3</v>
      </c>
      <c r="T170" s="41">
        <f>_xll.qlDayCounterYearFraction("actual/365 (fixed)",SettlementDate,R170,,,Trigger)</f>
        <v>0.66027397260273968</v>
      </c>
      <c r="U170" s="47">
        <f>_xll.qlPolynomialFunctionValue($P$18,T170,AllTriggers)</f>
        <v>3.2196308781289548E-3</v>
      </c>
    </row>
    <row r="171" spans="18:21" x14ac:dyDescent="0.2">
      <c r="R171" s="212">
        <f>_xll.qlCalendarAdvance(Calendar,R170,"1D","f")</f>
        <v>42521</v>
      </c>
      <c r="S171" s="47">
        <f>_xll.qlTenorBasisValue($P$3,R171,AllTriggers)</f>
        <v>3.5310660834056555E-3</v>
      </c>
      <c r="T171" s="41">
        <f>_xll.qlDayCounterYearFraction("actual/365 (fixed)",SettlementDate,R171,,,Trigger)</f>
        <v>0.66301369863013704</v>
      </c>
      <c r="U171" s="47">
        <f>_xll.qlPolynomialFunctionValue($P$18,T171,AllTriggers)</f>
        <v>3.2213187300991503E-3</v>
      </c>
    </row>
    <row r="172" spans="18:21" x14ac:dyDescent="0.2">
      <c r="R172" s="212">
        <f>_xll.qlCalendarAdvance(Calendar,R171,"1D","f")</f>
        <v>42522</v>
      </c>
      <c r="S172" s="47">
        <f>_xll.qlTenorBasisValue($P$3,R172,AllTriggers)</f>
        <v>3.5326935055870886E-3</v>
      </c>
      <c r="T172" s="41">
        <f>_xll.qlDayCounterYearFraction("actual/365 (fixed)",SettlementDate,R172,,,Trigger)</f>
        <v>0.66575342465753429</v>
      </c>
      <c r="U172" s="47">
        <f>_xll.qlPolynomialFunctionValue($P$18,T172,AllTriggers)</f>
        <v>3.2230068087516456E-3</v>
      </c>
    </row>
    <row r="173" spans="18:21" x14ac:dyDescent="0.2">
      <c r="R173" s="212">
        <f>_xll.qlCalendarAdvance(Calendar,R172,"1D","f")</f>
        <v>42523</v>
      </c>
      <c r="S173" s="47">
        <f>_xll.qlTenorBasisValue($P$3,R173,AllTriggers)</f>
        <v>3.5343203242805261E-3</v>
      </c>
      <c r="T173" s="41">
        <f>_xll.qlDayCounterYearFraction("actual/365 (fixed)",SettlementDate,R173,,,Trigger)</f>
        <v>0.66849315068493154</v>
      </c>
      <c r="U173" s="47">
        <f>_xll.qlPolynomialFunctionValue($P$18,T173,AllTriggers)</f>
        <v>3.2246951096481821E-3</v>
      </c>
    </row>
    <row r="174" spans="18:21" x14ac:dyDescent="0.2">
      <c r="R174" s="212">
        <f>_xll.qlCalendarAdvance(Calendar,R173,"1D","f")</f>
        <v>42524</v>
      </c>
      <c r="S174" s="47">
        <f>_xll.qlTenorBasisValue($P$3,R174,AllTriggers)</f>
        <v>3.5359465350477109E-3</v>
      </c>
      <c r="T174" s="41">
        <f>_xll.qlDayCounterYearFraction("actual/365 (fixed)",SettlementDate,R174,,,Trigger)</f>
        <v>0.67123287671232879</v>
      </c>
      <c r="U174" s="47">
        <f>_xll.qlPolynomialFunctionValue($P$18,T174,AllTriggers)</f>
        <v>3.2263836283504999E-3</v>
      </c>
    </row>
    <row r="175" spans="18:21" x14ac:dyDescent="0.2">
      <c r="R175" s="212">
        <f>_xll.qlCalendarAdvance(Calendar,R174,"1D","f")</f>
        <v>42527</v>
      </c>
      <c r="S175" s="47">
        <f>_xll.qlTenorBasisValue($P$3,R175,AllTriggers)</f>
        <v>3.540821475409143E-3</v>
      </c>
      <c r="T175" s="41">
        <f>_xll.qlDayCounterYearFraction("actual/365 (fixed)",SettlementDate,R175,,,Trigger)</f>
        <v>0.67945205479452053</v>
      </c>
      <c r="U175" s="47">
        <f>_xll.qlPolynomialFunctionValue($P$18,T175,AllTriggers)</f>
        <v>3.2314504469095427E-3</v>
      </c>
    </row>
    <row r="176" spans="18:21" x14ac:dyDescent="0.2">
      <c r="R176" s="212">
        <f>_xll.qlCalendarAdvance(Calendar,R175,"1D","f")</f>
        <v>42528</v>
      </c>
      <c r="S176" s="47">
        <f>_xll.qlTenorBasisValue($P$3,R176,AllTriggers)</f>
        <v>3.5424452100887155E-3</v>
      </c>
      <c r="T176" s="41">
        <f>_xll.qlDayCounterYearFraction("actual/365 (fixed)",SettlementDate,R176,,,Trigger)</f>
        <v>0.68219178082191778</v>
      </c>
      <c r="U176" s="47">
        <f>_xll.qlPolynomialFunctionValue($P$18,T176,AllTriggers)</f>
        <v>3.2331397924523888E-3</v>
      </c>
    </row>
    <row r="177" spans="18:21" x14ac:dyDescent="0.2">
      <c r="R177" s="212">
        <f>_xll.qlCalendarAdvance(Calendar,R176,"1D","f")</f>
        <v>42529</v>
      </c>
      <c r="S177" s="47">
        <f>_xll.qlTenorBasisValue($P$3,R177,AllTriggers)</f>
        <v>3.5440683146507352E-3</v>
      </c>
      <c r="T177" s="41">
        <f>_xll.qlDayCounterYearFraction("actual/365 (fixed)",SettlementDate,R177,,,Trigger)</f>
        <v>0.68493150684931503</v>
      </c>
      <c r="U177" s="47">
        <f>_xll.qlPolynomialFunctionValue($P$18,T177,AllTriggers)</f>
        <v>3.2348293336097178E-3</v>
      </c>
    </row>
    <row r="178" spans="18:21" x14ac:dyDescent="0.2">
      <c r="R178" s="212">
        <f>_xll.qlCalendarAdvance(Calendar,R177,"1D","f")</f>
        <v>42530</v>
      </c>
      <c r="S178" s="47">
        <f>_xll.qlTenorBasisValue($P$3,R178,AllTriggers)</f>
        <v>3.5456907846569442E-3</v>
      </c>
      <c r="T178" s="41">
        <f>_xll.qlDayCounterYearFraction("actual/365 (fixed)",SettlementDate,R178,,,Trigger)</f>
        <v>0.68767123287671228</v>
      </c>
      <c r="U178" s="47">
        <f>_xll.qlPolynomialFunctionValue($P$18,T178,AllTriggers)</f>
        <v>3.2365190659432706E-3</v>
      </c>
    </row>
    <row r="179" spans="18:21" x14ac:dyDescent="0.2">
      <c r="R179" s="212">
        <f>_xll.qlCalendarAdvance(Calendar,R178,"1D","f")</f>
        <v>42531</v>
      </c>
      <c r="S179" s="47">
        <f>_xll.qlTenorBasisValue($P$3,R179,AllTriggers)</f>
        <v>3.5473126156690812E-3</v>
      </c>
      <c r="T179" s="41">
        <f>_xll.qlDayCounterYearFraction("actual/365 (fixed)",SettlementDate,R179,,,Trigger)</f>
        <v>0.69041095890410964</v>
      </c>
      <c r="U179" s="47">
        <f>_xll.qlPolynomialFunctionValue($P$18,T179,AllTriggers)</f>
        <v>3.238208985014787E-3</v>
      </c>
    </row>
    <row r="180" spans="18:21" x14ac:dyDescent="0.2">
      <c r="R180" s="212">
        <f>_xll.qlCalendarAdvance(Calendar,R179,"1D","f")</f>
        <v>42534</v>
      </c>
      <c r="S180" s="47">
        <f>_xll.qlTenorBasisValue($P$3,R180,AllTriggers)</f>
        <v>3.5521742303584705E-3</v>
      </c>
      <c r="T180" s="41">
        <f>_xll.qlDayCounterYearFraction("actual/365 (fixed)",SettlementDate,R180,,,Trigger)</f>
        <v>0.69863013698630139</v>
      </c>
      <c r="U180" s="47">
        <f>_xll.qlPolynomialFunctionValue($P$18,T180,AllTriggers)</f>
        <v>3.2432798182745249E-3</v>
      </c>
    </row>
    <row r="181" spans="18:21" x14ac:dyDescent="0.2">
      <c r="R181" s="212">
        <f>_xll.qlCalendarAdvance(Calendar,R180,"1D","f")</f>
        <v>42535</v>
      </c>
      <c r="S181" s="47">
        <f>_xll.qlTenorBasisValue($P$3,R181,AllTriggers)</f>
        <v>3.5537934610117266E-3</v>
      </c>
      <c r="T181" s="41">
        <f>_xll.qlDayCounterYearFraction("actual/365 (fixed)",SettlementDate,R181,,,Trigger)</f>
        <v>0.70136986301369864</v>
      </c>
      <c r="U181" s="47">
        <f>_xll.qlPolynomialFunctionValue($P$18,T181,AllTriggers)</f>
        <v>3.244970439915301E-3</v>
      </c>
    </row>
    <row r="182" spans="18:21" x14ac:dyDescent="0.2">
      <c r="R182" s="212">
        <f>_xll.qlCalendarAdvance(Calendar,R181,"1D","f")</f>
        <v>42536</v>
      </c>
      <c r="S182" s="47">
        <f>_xll.qlTenorBasisValue($P$3,R182,AllTriggers)</f>
        <v>3.555412030479614E-3</v>
      </c>
      <c r="T182" s="41">
        <f>_xll.qlDayCounterYearFraction("actual/365 (fixed)",SettlementDate,R182,,,Trigger)</f>
        <v>0.70410958904109588</v>
      </c>
      <c r="U182" s="47">
        <f>_xll.qlPolynomialFunctionValue($P$18,T182,AllTriggers)</f>
        <v>3.2466612261027434E-3</v>
      </c>
    </row>
    <row r="183" spans="18:21" x14ac:dyDescent="0.2">
      <c r="R183" s="212">
        <f>_xll.qlCalendarAdvance(Calendar,R182,"1D","f")</f>
        <v>42537</v>
      </c>
      <c r="S183" s="47">
        <f>_xll.qlTenorBasisValue($P$3,R183,AllTriggers)</f>
        <v>3.5570299343238724E-3</v>
      </c>
      <c r="T183" s="41">
        <f>_xll.qlDayCounterYearFraction("actual/365 (fixed)",SettlementDate,R183,,,Trigger)</f>
        <v>0.70684931506849313</v>
      </c>
      <c r="U183" s="47">
        <f>_xll.qlPolynomialFunctionValue($P$18,T183,AllTriggers)</f>
        <v>3.2483521723985919E-3</v>
      </c>
    </row>
    <row r="184" spans="18:21" x14ac:dyDescent="0.2">
      <c r="R184" s="212">
        <f>_xll.qlCalendarAdvance(Calendar,R183,"1D","f")</f>
        <v>42538</v>
      </c>
      <c r="S184" s="47">
        <f>_xll.qlTenorBasisValue($P$3,R184,AllTriggers)</f>
        <v>3.5586471681062423E-3</v>
      </c>
      <c r="T184" s="41">
        <f>_xll.qlDayCounterYearFraction("actual/365 (fixed)",SettlementDate,R184,,,Trigger)</f>
        <v>0.70958904109589038</v>
      </c>
      <c r="U184" s="47">
        <f>_xll.qlPolynomialFunctionValue($P$18,T184,AllTriggers)</f>
        <v>3.2500432743645868E-3</v>
      </c>
    </row>
    <row r="185" spans="18:21" x14ac:dyDescent="0.2">
      <c r="R185" s="212">
        <f>_xll.qlCalendarAdvance(Calendar,R184,"1D","f")</f>
        <v>42541</v>
      </c>
      <c r="S185" s="47">
        <f>_xll.qlTenorBasisValue($P$3,R185,AllTriggers)</f>
        <v>3.5634948046994255E-3</v>
      </c>
      <c r="T185" s="41">
        <f>_xll.qlDayCounterYearFraction("actual/365 (fixed)",SettlementDate,R185,,,Trigger)</f>
        <v>0.71780821917808224</v>
      </c>
      <c r="U185" s="47">
        <f>_xll.qlPolynomialFunctionValue($P$18,T185,AllTriggers)</f>
        <v>3.255117469900857E-3</v>
      </c>
    </row>
    <row r="186" spans="18:21" x14ac:dyDescent="0.2">
      <c r="R186" s="212">
        <f>_xll.qlCalendarAdvance(Calendar,R185,"1D","f")</f>
        <v>42542</v>
      </c>
      <c r="S186" s="47">
        <f>_xll.qlTenorBasisValue($P$3,R186,AllTriggers)</f>
        <v>3.5651093138516455E-3</v>
      </c>
      <c r="T186" s="41">
        <f>_xll.qlDayCounterYearFraction("actual/365 (fixed)",SettlementDate,R186,,,Trigger)</f>
        <v>0.72054794520547949</v>
      </c>
      <c r="U186" s="47">
        <f>_xll.qlPolynomialFunctionValue($P$18,T186,AllTriggers)</f>
        <v>3.2568091501648426E-3</v>
      </c>
    </row>
    <row r="187" spans="18:21" x14ac:dyDescent="0.2">
      <c r="R187" s="212">
        <f>_xll.qlCalendarAdvance(Calendar,R186,"1D","f")</f>
        <v>42543</v>
      </c>
      <c r="S187" s="47">
        <f>_xll.qlTenorBasisValue($P$3,R187,AllTriggers)</f>
        <v>3.5667231307506793E-3</v>
      </c>
      <c r="T187" s="41">
        <f>_xll.qlDayCounterYearFraction("actual/365 (fixed)",SettlementDate,R187,,,Trigger)</f>
        <v>0.72328767123287674</v>
      </c>
      <c r="U187" s="47">
        <f>_xll.qlPolynomialFunctionValue($P$18,T187,AllTriggers)</f>
        <v>3.2585009639076777E-3</v>
      </c>
    </row>
    <row r="188" spans="18:21" x14ac:dyDescent="0.2">
      <c r="R188" s="212">
        <f>_xll.qlCalendarAdvance(Calendar,R187,"1D","f")</f>
        <v>42544</v>
      </c>
      <c r="S188" s="47">
        <f>_xll.qlTenorBasisValue($P$3,R188,AllTriggers)</f>
        <v>3.5683362509582664E-3</v>
      </c>
      <c r="T188" s="41">
        <f>_xll.qlDayCounterYearFraction("actual/365 (fixed)",SettlementDate,R188,,,Trigger)</f>
        <v>0.72602739726027399</v>
      </c>
      <c r="U188" s="47">
        <f>_xll.qlPolynomialFunctionValue($P$18,T188,AllTriggers)</f>
        <v>3.2601929066911014E-3</v>
      </c>
    </row>
    <row r="189" spans="18:21" x14ac:dyDescent="0.2">
      <c r="R189" s="212">
        <f>_xll.qlCalendarAdvance(Calendar,R188,"1D","f")</f>
        <v>42545</v>
      </c>
      <c r="S189" s="47">
        <f>_xll.qlTenorBasisValue($P$3,R189,AllTriggers)</f>
        <v>3.5699486700361484E-3</v>
      </c>
      <c r="T189" s="41">
        <f>_xll.qlDayCounterYearFraction("actual/365 (fixed)",SettlementDate,R189,,,Trigger)</f>
        <v>0.72876712328767124</v>
      </c>
      <c r="U189" s="47">
        <f>_xll.qlPolynomialFunctionValue($P$18,T189,AllTriggers)</f>
        <v>3.2618849740768544E-3</v>
      </c>
    </row>
    <row r="190" spans="18:21" x14ac:dyDescent="0.2">
      <c r="R190" s="212">
        <f>_xll.qlCalendarAdvance(Calendar,R189,"1D","f")</f>
        <v>42548</v>
      </c>
      <c r="S190" s="47">
        <f>_xll.qlTenorBasisValue($P$3,R190,AllTriggers)</f>
        <v>3.5747816761089644E-3</v>
      </c>
      <c r="T190" s="41">
        <f>_xll.qlDayCounterYearFraction("actual/365 (fixed)",SettlementDate,R190,,,Trigger)</f>
        <v>0.73698630136986298</v>
      </c>
      <c r="U190" s="47">
        <f>_xll.qlPolynomialFunctionValue($P$18,T190,AllTriggers)</f>
        <v>3.2669618794654949E-3</v>
      </c>
    </row>
    <row r="191" spans="18:21" x14ac:dyDescent="0.2">
      <c r="R191" s="212">
        <f>_xll.qlCalendarAdvance(Calendar,R190,"1D","f")</f>
        <v>42549</v>
      </c>
      <c r="S191" s="47">
        <f>_xll.qlTenorBasisValue($P$3,R191,AllTriggers)</f>
        <v>3.5763912462854269E-3</v>
      </c>
      <c r="T191" s="41">
        <f>_xll.qlDayCounterYearFraction("actual/365 (fixed)",SettlementDate,R191,,,Trigger)</f>
        <v>0.73972602739726023</v>
      </c>
      <c r="U191" s="47">
        <f>_xll.qlPolynomialFunctionValue($P$18,T191,AllTriggers)</f>
        <v>3.2686544008779699E-3</v>
      </c>
    </row>
    <row r="192" spans="18:21" x14ac:dyDescent="0.2">
      <c r="R192" s="212">
        <f>_xll.qlCalendarAdvance(Calendar,R191,"1D","f")</f>
        <v>42550</v>
      </c>
      <c r="S192" s="47">
        <f>_xll.qlTenorBasisValue($P$3,R192,AllTriggers)</f>
        <v>3.5780000931408865E-3</v>
      </c>
      <c r="T192" s="41">
        <f>_xll.qlDayCounterYearFraction("actual/365 (fixed)",SettlementDate,R192,,,Trigger)</f>
        <v>0.74246575342465748</v>
      </c>
      <c r="U192" s="47">
        <f>_xll.qlPolynomialFunctionValue($P$18,T192,AllTriggers)</f>
        <v>3.2703470247014768E-3</v>
      </c>
    </row>
    <row r="193" spans="18:21" x14ac:dyDescent="0.2">
      <c r="R193" s="212">
        <f>_xll.qlCalendarAdvance(Calendar,R192,"1D","f")</f>
        <v>42551</v>
      </c>
      <c r="S193" s="47">
        <f>_xll.qlTenorBasisValue($P$3,R193,AllTriggers)</f>
        <v>3.5796082122370827E-3</v>
      </c>
      <c r="T193" s="41">
        <f>_xll.qlDayCounterYearFraction("actual/365 (fixed)",SettlementDate,R193,,,Trigger)</f>
        <v>0.74520547945205484</v>
      </c>
      <c r="U193" s="47">
        <f>_xll.qlPolynomialFunctionValue($P$18,T193,AllTriggers)</f>
        <v>3.2720397464977547E-3</v>
      </c>
    </row>
    <row r="194" spans="18:21" x14ac:dyDescent="0.2">
      <c r="R194" s="212">
        <f>_xll.qlCalendarAdvance(Calendar,R193,"1D","f")</f>
        <v>42552</v>
      </c>
      <c r="S194" s="47">
        <f>_xll.qlTenorBasisValue($P$3,R194,AllTriggers)</f>
        <v>3.5812155991357562E-3</v>
      </c>
      <c r="T194" s="41">
        <f>_xll.qlDayCounterYearFraction("actual/365 (fixed)",SettlementDate,R194,,,Trigger)</f>
        <v>0.74794520547945209</v>
      </c>
      <c r="U194" s="47">
        <f>_xll.qlPolynomialFunctionValue($P$18,T194,AllTriggers)</f>
        <v>3.2737325618285456E-3</v>
      </c>
    </row>
    <row r="195" spans="18:21" x14ac:dyDescent="0.2">
      <c r="R195" s="212">
        <f>_xll.qlCalendarAdvance(Calendar,R194,"1D","f")</f>
        <v>42555</v>
      </c>
      <c r="S195" s="47">
        <f>_xll.qlTenorBasisValue($P$3,R195,AllTriggers)</f>
        <v>3.586033322264042E-3</v>
      </c>
      <c r="T195" s="41">
        <f>_xll.qlDayCounterYearFraction("actual/365 (fixed)",SettlementDate,R195,,,Trigger)</f>
        <v>0.75616438356164384</v>
      </c>
      <c r="U195" s="47">
        <f>_xll.qlPolynomialFunctionValue($P$18,T195,AllTriggers)</f>
        <v>3.2788115246453948E-3</v>
      </c>
    </row>
    <row r="196" spans="18:21" x14ac:dyDescent="0.2">
      <c r="R196" s="212">
        <f>_xll.qlCalendarAdvance(Calendar,R195,"1D","f")</f>
        <v>42556</v>
      </c>
      <c r="S196" s="47">
        <f>_xll.qlTenorBasisValue($P$3,R196,AllTriggers)</f>
        <v>3.5876377359900275E-3</v>
      </c>
      <c r="T196" s="41">
        <f>_xll.qlDayCounterYearFraction("actual/365 (fixed)",SettlementDate,R196,,,Trigger)</f>
        <v>0.75890410958904109</v>
      </c>
      <c r="U196" s="47">
        <f>_xll.qlPolynomialFunctionValue($P$18,T196,AllTriggers)</f>
        <v>3.2805046697316378E-3</v>
      </c>
    </row>
    <row r="197" spans="18:21" x14ac:dyDescent="0.2">
      <c r="R197" s="212">
        <f>_xll.qlCalendarAdvance(Calendar,R196,"1D","f")</f>
        <v>42557</v>
      </c>
      <c r="S197" s="47">
        <f>_xll.qlTenorBasisValue($P$3,R197,AllTriggers)</f>
        <v>3.5892413953271919E-3</v>
      </c>
      <c r="T197" s="41">
        <f>_xll.qlDayCounterYearFraction("actual/365 (fixed)",SettlementDate,R197,,,Trigger)</f>
        <v>0.76164383561643834</v>
      </c>
      <c r="U197" s="47">
        <f>_xll.qlPolynomialFunctionValue($P$18,T197,AllTriggers)</f>
        <v>3.2821978861610956E-3</v>
      </c>
    </row>
    <row r="198" spans="18:21" x14ac:dyDescent="0.2">
      <c r="R198" s="212">
        <f>_xll.qlCalendarAdvance(Calendar,R197,"1D","f")</f>
        <v>42558</v>
      </c>
      <c r="S198" s="47">
        <f>_xll.qlTenorBasisValue($P$3,R198,AllTriggers)</f>
        <v>3.5908442958372758E-3</v>
      </c>
      <c r="T198" s="41">
        <f>_xll.qlDayCounterYearFraction("actual/365 (fixed)",SettlementDate,R198,,,Trigger)</f>
        <v>0.76438356164383559</v>
      </c>
      <c r="U198" s="47">
        <f>_xll.qlPolynomialFunctionValue($P$18,T198,AllTriggers)</f>
        <v>3.2838911694955076E-3</v>
      </c>
    </row>
    <row r="199" spans="18:21" x14ac:dyDescent="0.2">
      <c r="R199" s="212">
        <f>_xll.qlCalendarAdvance(Calendar,R198,"1D","f")</f>
        <v>42559</v>
      </c>
      <c r="S199" s="47">
        <f>_xll.qlTenorBasisValue($P$3,R199,AllTriggers)</f>
        <v>3.5924464330820199E-3</v>
      </c>
      <c r="T199" s="41">
        <f>_xll.qlDayCounterYearFraction("actual/365 (fixed)",SettlementDate,R199,,,Trigger)</f>
        <v>0.76712328767123283</v>
      </c>
      <c r="U199" s="47">
        <f>_xll.qlPolynomialFunctionValue($P$18,T199,AllTriggers)</f>
        <v>3.2855845152966151E-3</v>
      </c>
    </row>
    <row r="200" spans="18:21" x14ac:dyDescent="0.2">
      <c r="R200" s="212">
        <f>_xll.qlCalendarAdvance(Calendar,R199,"1D","f")</f>
        <v>42562</v>
      </c>
      <c r="S200" s="47">
        <f>_xll.qlTenorBasisValue($P$3,R200,AllTriggers)</f>
        <v>3.5972482208416149E-3</v>
      </c>
      <c r="T200" s="41">
        <f>_xll.qlDayCounterYearFraction("actual/365 (fixed)",SettlementDate,R200,,,Trigger)</f>
        <v>0.77534246575342469</v>
      </c>
      <c r="U200" s="47">
        <f>_xll.qlPolynomialFunctionValue($P$18,T200,AllTriggers)</f>
        <v>3.290664883117511E-3</v>
      </c>
    </row>
    <row r="201" spans="18:21" x14ac:dyDescent="0.2">
      <c r="R201" s="212">
        <f>_xll.qlCalendarAdvance(Calendar,R200,"1D","f")</f>
        <v>42563</v>
      </c>
      <c r="S201" s="47">
        <f>_xll.qlTenorBasisValue($P$3,R201,AllTriggers)</f>
        <v>3.5988472606424023E-3</v>
      </c>
      <c r="T201" s="41">
        <f>_xll.qlDayCounterYearFraction("actual/365 (fixed)",SettlementDate,R201,,,Trigger)</f>
        <v>0.77808219178082194</v>
      </c>
      <c r="U201" s="47">
        <f>_xll.qlPolynomialFunctionValue($P$18,T201,AllTriggers)</f>
        <v>3.2923584344028024E-3</v>
      </c>
    </row>
    <row r="202" spans="18:21" x14ac:dyDescent="0.2">
      <c r="R202" s="212">
        <f>_xll.qlCalendarAdvance(Calendar,R201,"1D","f")</f>
        <v>42564</v>
      </c>
      <c r="S202" s="47">
        <f>_xll.qlTenorBasisValue($P$3,R202,AllTriggers)</f>
        <v>3.600445514986552E-3</v>
      </c>
      <c r="T202" s="41">
        <f>_xll.qlDayCounterYearFraction("actual/365 (fixed)",SettlementDate,R202,,,Trigger)</f>
        <v>0.78082191780821919</v>
      </c>
      <c r="U202" s="47">
        <f>_xll.qlPolynomialFunctionValue($P$18,T202,AllTriggers)</f>
        <v>3.2940520259634909E-3</v>
      </c>
    </row>
    <row r="203" spans="18:21" x14ac:dyDescent="0.2">
      <c r="R203" s="212">
        <f>_xll.qlCalendarAdvance(Calendar,R202,"1D","f")</f>
        <v>42565</v>
      </c>
      <c r="S203" s="47">
        <f>_xll.qlTenorBasisValue($P$3,R203,AllTriggers)</f>
        <v>3.602042979435803E-3</v>
      </c>
      <c r="T203" s="41">
        <f>_xll.qlDayCounterYearFraction("actual/365 (fixed)",SettlementDate,R203,,,Trigger)</f>
        <v>0.78356164383561644</v>
      </c>
      <c r="U203" s="47">
        <f>_xll.qlPolynomialFunctionValue($P$18,T203,AllTriggers)</f>
        <v>3.295745653361317E-3</v>
      </c>
    </row>
    <row r="204" spans="18:21" x14ac:dyDescent="0.2">
      <c r="R204" s="212">
        <f>_xll.qlCalendarAdvance(Calendar,R203,"1D","f")</f>
        <v>42566</v>
      </c>
      <c r="S204" s="47">
        <f>_xll.qlTenorBasisValue($P$3,R204,AllTriggers)</f>
        <v>3.6036396495518967E-3</v>
      </c>
      <c r="T204" s="41">
        <f>_xll.qlDayCounterYearFraction("actual/365 (fixed)",SettlementDate,R204,,,Trigger)</f>
        <v>0.78630136986301369</v>
      </c>
      <c r="U204" s="47">
        <f>_xll.qlPolynomialFunctionValue($P$18,T204,AllTriggers)</f>
        <v>3.2974393121580205E-3</v>
      </c>
    </row>
    <row r="205" spans="18:21" x14ac:dyDescent="0.2">
      <c r="R205" s="212">
        <f>_xll.qlCalendarAdvance(Calendar,R204,"1D","f")</f>
        <v>42569</v>
      </c>
      <c r="S205" s="47">
        <f>_xll.qlTenorBasisValue($P$3,R205,AllTriggers)</f>
        <v>3.6084248495186389E-3</v>
      </c>
      <c r="T205" s="41">
        <f>_xll.qlDayCounterYearFraction("actual/365 (fixed)",SettlementDate,R205,,,Trigger)</f>
        <v>0.79452054794520544</v>
      </c>
      <c r="U205" s="47">
        <f>_xll.qlPolynomialFunctionValue($P$18,T205,AllTriggers)</f>
        <v>3.302520432558801E-3</v>
      </c>
    </row>
    <row r="206" spans="18:21" x14ac:dyDescent="0.2">
      <c r="R206" s="212">
        <f>_xll.qlCalendarAdvance(Calendar,R205,"1D","f")</f>
        <v>42570</v>
      </c>
      <c r="S206" s="47">
        <f>_xll.qlTenorBasisValue($P$3,R206,AllTriggers)</f>
        <v>3.6100182979195068E-3</v>
      </c>
      <c r="T206" s="41">
        <f>_xll.qlDayCounterYearFraction("actual/365 (fixed)",SettlementDate,R206,,,Trigger)</f>
        <v>0.79726027397260268</v>
      </c>
      <c r="U206" s="47">
        <f>_xll.qlPolynomialFunctionValue($P$18,T206,AllTriggers)</f>
        <v>3.3042141725684198E-3</v>
      </c>
    </row>
    <row r="207" spans="18:21" x14ac:dyDescent="0.2">
      <c r="R207" s="212">
        <f>_xll.qlCalendarAdvance(Calendar,R206,"1D","f")</f>
        <v>42571</v>
      </c>
      <c r="S207" s="47">
        <f>_xll.qlTenorBasisValue($P$3,R207,AllTriggers)</f>
        <v>3.6116109297959203E-3</v>
      </c>
      <c r="T207" s="41">
        <f>_xll.qlDayCounterYearFraction("actual/365 (fixed)",SettlementDate,R207,,,Trigger)</f>
        <v>0.8</v>
      </c>
      <c r="U207" s="47">
        <f>_xll.qlPolynomialFunctionValue($P$18,T207,AllTriggers)</f>
        <v>3.3059079217856182E-3</v>
      </c>
    </row>
    <row r="208" spans="18:21" x14ac:dyDescent="0.2">
      <c r="R208" s="212">
        <f>_xll.qlCalendarAdvance(Calendar,R207,"1D","f")</f>
        <v>42572</v>
      </c>
      <c r="S208" s="47">
        <f>_xll.qlTenorBasisValue($P$3,R208,AllTriggers)</f>
        <v>3.6132027407096189E-3</v>
      </c>
      <c r="T208" s="41">
        <f>_xll.qlDayCounterYearFraction("actual/365 (fixed)",SettlementDate,R208,,,Trigger)</f>
        <v>0.80273972602739729</v>
      </c>
      <c r="U208" s="47">
        <f>_xll.qlPolynomialFunctionValue($P$18,T208,AllTriggers)</f>
        <v>3.3076016757721365E-3</v>
      </c>
    </row>
    <row r="209" spans="18:21" x14ac:dyDescent="0.2">
      <c r="R209" s="212">
        <f>_xll.qlCalendarAdvance(Calendar,R208,"1D","f")</f>
        <v>42573</v>
      </c>
      <c r="S209" s="47">
        <f>_xll.qlTenorBasisValue($P$3,R209,AllTriggers)</f>
        <v>3.6147937262223421E-3</v>
      </c>
      <c r="T209" s="41">
        <f>_xll.qlDayCounterYearFraction("actual/365 (fixed)",SettlementDate,R209,,,Trigger)</f>
        <v>0.80547945205479454</v>
      </c>
      <c r="U209" s="47">
        <f>_xll.qlPolynomialFunctionValue($P$18,T209,AllTriggers)</f>
        <v>3.3092954300897154E-3</v>
      </c>
    </row>
    <row r="210" spans="18:21" x14ac:dyDescent="0.2">
      <c r="R210" s="212">
        <f>_xll.qlCalendarAdvance(Calendar,R209,"1D","f")</f>
        <v>42576</v>
      </c>
      <c r="S210" s="47">
        <f>_xll.qlTenorBasisValue($P$3,R210,AllTriggers)</f>
        <v>3.6195616859720694E-3</v>
      </c>
      <c r="T210" s="41">
        <f>_xll.qlDayCounterYearFraction("actual/365 (fixed)",SettlementDate,R210,,,Trigger)</f>
        <v>0.81369863013698629</v>
      </c>
      <c r="U210" s="47">
        <f>_xll.qlPolynomialFunctionValue($P$18,T210,AllTriggers)</f>
        <v>3.3143766506462196E-3</v>
      </c>
    </row>
    <row r="211" spans="18:21" x14ac:dyDescent="0.2">
      <c r="R211" s="212">
        <f>_xll.qlCalendarAdvance(Calendar,R210,"1D","f")</f>
        <v>42577</v>
      </c>
      <c r="S211" s="47">
        <f>_xll.qlTenorBasisValue($P$3,R211,AllTriggers)</f>
        <v>3.6211493254982982E-3</v>
      </c>
      <c r="T211" s="41">
        <f>_xll.qlDayCounterYearFraction("actual/365 (fixed)",SettlementDate,R211,,,Trigger)</f>
        <v>0.81643835616438354</v>
      </c>
      <c r="U211" s="47">
        <f>_xll.qlPolynomialFunctionValue($P$18,T211,AllTriggers)</f>
        <v>3.3160703619054448E-3</v>
      </c>
    </row>
    <row r="212" spans="18:21" x14ac:dyDescent="0.2">
      <c r="R212" s="212">
        <f>_xll.qlCalendarAdvance(Calendar,R211,"1D","f")</f>
        <v>42578</v>
      </c>
      <c r="S212" s="47">
        <f>_xll.qlTenorBasisValue($P$3,R212,AllTriggers)</f>
        <v>3.6227361174322546E-3</v>
      </c>
      <c r="T212" s="41">
        <f>_xll.qlDayCounterYearFraction("actual/365 (fixed)",SettlementDate,R212,,,Trigger)</f>
        <v>0.81917808219178079</v>
      </c>
      <c r="U212" s="47">
        <f>_xll.qlPolynomialFunctionValue($P$18,T212,AllTriggers)</f>
        <v>3.317764051304432E-3</v>
      </c>
    </row>
    <row r="213" spans="18:21" x14ac:dyDescent="0.2">
      <c r="R213" s="212">
        <f>_xll.qlCalendarAdvance(Calendar,R212,"1D","f")</f>
        <v>42579</v>
      </c>
      <c r="S213" s="47">
        <f>_xll.qlTenorBasisValue($P$3,R213,AllTriggers)</f>
        <v>3.6243220573356784E-3</v>
      </c>
      <c r="T213" s="41">
        <f>_xll.qlDayCounterYearFraction("actual/365 (fixed)",SettlementDate,R213,,,Trigger)</f>
        <v>0.82191780821917804</v>
      </c>
      <c r="U213" s="47">
        <f>_xll.qlPolynomialFunctionValue($P$18,T213,AllTriggers)</f>
        <v>3.3194577144049224E-3</v>
      </c>
    </row>
    <row r="214" spans="18:21" x14ac:dyDescent="0.2">
      <c r="R214" s="212">
        <f>_xll.qlCalendarAdvance(Calendar,R213,"1D","f")</f>
        <v>42580</v>
      </c>
      <c r="S214" s="47">
        <f>_xll.qlTenorBasisValue($P$3,R214,AllTriggers)</f>
        <v>3.6259071407703115E-3</v>
      </c>
      <c r="T214" s="41">
        <f>_xll.qlDayCounterYearFraction("actual/365 (fixed)",SettlementDate,R214,,,Trigger)</f>
        <v>0.8246575342465754</v>
      </c>
      <c r="U214" s="47">
        <f>_xll.qlPolynomialFunctionValue($P$18,T214,AllTriggers)</f>
        <v>3.3211513467686568E-3</v>
      </c>
    </row>
    <row r="215" spans="18:21" x14ac:dyDescent="0.2">
      <c r="R215" s="212">
        <f>_xll.qlCalendarAdvance(Calendar,R214,"1D","f")</f>
        <v>42583</v>
      </c>
      <c r="S215" s="47">
        <f>_xll.qlTenorBasisValue($P$3,R215,AllTriggers)</f>
        <v>3.6306572078788611E-3</v>
      </c>
      <c r="T215" s="41">
        <f>_xll.qlDayCounterYearFraction("actual/365 (fixed)",SettlementDate,R215,,,Trigger)</f>
        <v>0.83287671232876714</v>
      </c>
      <c r="U215" s="47">
        <f>_xll.qlPolynomialFunctionValue($P$18,T215,AllTriggers)</f>
        <v>3.3262320150567216E-3</v>
      </c>
    </row>
    <row r="216" spans="18:21" x14ac:dyDescent="0.2">
      <c r="R216" s="212">
        <f>_xll.qlCalendarAdvance(Calendar,R215,"1D","f")</f>
        <v>42584</v>
      </c>
      <c r="S216" s="47">
        <f>_xll.qlTenorBasisValue($P$3,R216,AllTriggers)</f>
        <v>3.6322388210557307E-3</v>
      </c>
      <c r="T216" s="41">
        <f>_xll.qlDayCounterYearFraction("actual/365 (fixed)",SettlementDate,R216,,,Trigger)</f>
        <v>0.83561643835616439</v>
      </c>
      <c r="U216" s="47">
        <f>_xll.qlPolynomialFunctionValue($P$18,T216,AllTriggers)</f>
        <v>3.3279254800908332E-3</v>
      </c>
    </row>
    <row r="217" spans="18:21" x14ac:dyDescent="0.2">
      <c r="R217" s="212">
        <f>_xll.qlCalendarAdvance(Calendar,R216,"1D","f")</f>
        <v>42585</v>
      </c>
      <c r="S217" s="47">
        <f>_xll.qlTenorBasisValue($P$3,R217,AllTriggers)</f>
        <v>3.6338195555725094E-3</v>
      </c>
      <c r="T217" s="41">
        <f>_xll.qlDayCounterYearFraction("actual/365 (fixed)",SettlementDate,R217,,,Trigger)</f>
        <v>0.83835616438356164</v>
      </c>
      <c r="U217" s="47">
        <f>_xll.qlPolynomialFunctionValue($P$18,T217,AllTriggers)</f>
        <v>3.3296188921968896E-3</v>
      </c>
    </row>
    <row r="218" spans="18:21" x14ac:dyDescent="0.2">
      <c r="R218" s="212">
        <f>_xll.qlCalendarAdvance(Calendar,R217,"1D","f")</f>
        <v>42586</v>
      </c>
      <c r="S218" s="47">
        <f>_xll.qlTenorBasisValue($P$3,R218,AllTriggers)</f>
        <v>3.6353994069909393E-3</v>
      </c>
      <c r="T218" s="41">
        <f>_xll.qlDayCounterYearFraction("actual/365 (fixed)",SettlementDate,R218,,,Trigger)</f>
        <v>0.84109589041095889</v>
      </c>
      <c r="U218" s="47">
        <f>_xll.qlPolynomialFunctionValue($P$18,T218,AllTriggers)</f>
        <v>3.3313122469366321E-3</v>
      </c>
    </row>
    <row r="219" spans="18:21" x14ac:dyDescent="0.2">
      <c r="R219" s="212">
        <f>_xll.qlCalendarAdvance(Calendar,R218,"1D","f")</f>
        <v>42587</v>
      </c>
      <c r="S219" s="47">
        <f>_xll.qlTenorBasisValue($P$3,R219,AllTriggers)</f>
        <v>3.6369783708727595E-3</v>
      </c>
      <c r="T219" s="41">
        <f>_xll.qlDayCounterYearFraction("actual/365 (fixed)",SettlementDate,R219,,,Trigger)</f>
        <v>0.84383561643835614</v>
      </c>
      <c r="U219" s="47">
        <f>_xll.qlPolynomialFunctionValue($P$18,T219,AllTriggers)</f>
        <v>3.3330055398717996E-3</v>
      </c>
    </row>
    <row r="220" spans="18:21" x14ac:dyDescent="0.2">
      <c r="R220" s="212">
        <f>_xll.qlCalendarAdvance(Calendar,R219,"1D","f")</f>
        <v>42590</v>
      </c>
      <c r="S220" s="47">
        <f>_xll.qlTenorBasisValue($P$3,R220,AllTriggers)</f>
        <v>3.6417098929159711E-3</v>
      </c>
      <c r="T220" s="41">
        <f>_xll.qlDayCounterYearFraction("actual/365 (fixed)",SettlementDate,R220,,,Trigger)</f>
        <v>0.852054794520548</v>
      </c>
      <c r="U220" s="47">
        <f>_xll.qlPolynomialFunctionValue($P$18,T220,AllTriggers)</f>
        <v>3.3380850034672649E-3</v>
      </c>
    </row>
    <row r="221" spans="18:21" x14ac:dyDescent="0.2">
      <c r="R221" s="212">
        <f>_xll.qlCalendarAdvance(Calendar,R220,"1D","f")</f>
        <v>42591</v>
      </c>
      <c r="S221" s="47">
        <f>_xll.qlTenorBasisValue($P$3,R221,AllTriggers)</f>
        <v>3.6432852622687597E-3</v>
      </c>
      <c r="T221" s="41">
        <f>_xll.qlDayCounterYearFraction("actual/365 (fixed)",SettlementDate,R221,,,Trigger)</f>
        <v>0.85479452054794525</v>
      </c>
      <c r="U221" s="47">
        <f>_xll.qlPolynomialFunctionValue($P$18,T221,AllTriggers)</f>
        <v>3.3397780048015414E-3</v>
      </c>
    </row>
    <row r="222" spans="18:21" x14ac:dyDescent="0.2">
      <c r="R222" s="212">
        <f>_xll.qlCalendarAdvance(Calendar,R221,"1D","f")</f>
        <v>42592</v>
      </c>
      <c r="S222" s="47">
        <f>_xll.qlTenorBasisValue($P$3,R222,AllTriggers)</f>
        <v>3.6448597218936411E-3</v>
      </c>
      <c r="T222" s="41">
        <f>_xll.qlDayCounterYearFraction("actual/365 (fixed)",SettlementDate,R222,,,Trigger)</f>
        <v>0.8575342465753425</v>
      </c>
      <c r="U222" s="47">
        <f>_xll.qlPolynomialFunctionValue($P$18,T222,AllTriggers)</f>
        <v>3.3414709221399456E-3</v>
      </c>
    </row>
    <row r="223" spans="18:21" x14ac:dyDescent="0.2">
      <c r="R223" s="212">
        <f>_xll.qlCalendarAdvance(Calendar,R222,"1D","f")</f>
        <v>42593</v>
      </c>
      <c r="S223" s="47">
        <f>_xll.qlTenorBasisValue($P$3,R223,AllTriggers)</f>
        <v>3.6464332673523557E-3</v>
      </c>
      <c r="T223" s="41">
        <f>_xll.qlDayCounterYearFraction("actual/365 (fixed)",SettlementDate,R223,,,Trigger)</f>
        <v>0.86027397260273974</v>
      </c>
      <c r="U223" s="47">
        <f>_xll.qlPolynomialFunctionValue($P$18,T223,AllTriggers)</f>
        <v>3.3431637510442187E-3</v>
      </c>
    </row>
    <row r="224" spans="18:21" x14ac:dyDescent="0.2">
      <c r="R224" s="212">
        <f>_xll.qlCalendarAdvance(Calendar,R223,"1D","f")</f>
        <v>42594</v>
      </c>
      <c r="S224" s="47">
        <f>_xll.qlTenorBasisValue($P$3,R224,AllTriggers)</f>
        <v>3.6480058942066438E-3</v>
      </c>
      <c r="T224" s="41">
        <f>_xll.qlDayCounterYearFraction("actual/365 (fixed)",SettlementDate,R224,,,Trigger)</f>
        <v>0.86301369863013699</v>
      </c>
      <c r="U224" s="47">
        <f>_xll.qlPolynomialFunctionValue($P$18,T224,AllTriggers)</f>
        <v>3.3448564870761006E-3</v>
      </c>
    </row>
    <row r="225" spans="18:21" x14ac:dyDescent="0.2">
      <c r="R225" s="212">
        <f>_xll.qlCalendarAdvance(Calendar,R224,"1D","f")</f>
        <v>42597</v>
      </c>
      <c r="S225" s="47">
        <f>_xll.qlTenorBasisValue($P$3,R225,AllTriggers)</f>
        <v>3.6527182187603546E-3</v>
      </c>
      <c r="T225" s="41">
        <f>_xll.qlDayCounterYearFraction("actual/365 (fixed)",SettlementDate,R225,,,Trigger)</f>
        <v>0.87123287671232874</v>
      </c>
      <c r="U225" s="47">
        <f>_xll.qlPolynomialFunctionValue($P$18,T225,AllTriggers)</f>
        <v>3.349934093554803E-3</v>
      </c>
    </row>
    <row r="226" spans="18:21" x14ac:dyDescent="0.2">
      <c r="R226" s="212">
        <f>_xll.qlCalendarAdvance(Calendar,R225,"1D","f")</f>
        <v>42598</v>
      </c>
      <c r="S226" s="47">
        <f>_xll.qlTenorBasisValue($P$3,R226,AllTriggers)</f>
        <v>3.6542871268143416E-3</v>
      </c>
      <c r="T226" s="41">
        <f>_xll.qlDayCounterYearFraction("actual/365 (fixed)",SettlementDate,R226,,,Trigger)</f>
        <v>0.87397260273972599</v>
      </c>
      <c r="U226" s="47">
        <f>_xll.qlPolynomialFunctionValue($P$18,T226,AllTriggers)</f>
        <v>3.3516264137145244E-3</v>
      </c>
    </row>
    <row r="227" spans="18:21" x14ac:dyDescent="0.2">
      <c r="R227" s="212">
        <f>_xll.qlCalendarAdvance(Calendar,R226,"1D","f")</f>
        <v>42599</v>
      </c>
      <c r="S227" s="47">
        <f>_xll.qlTenorBasisValue($P$3,R227,AllTriggers)</f>
        <v>3.6558550940726047E-3</v>
      </c>
      <c r="T227" s="41">
        <f>_xll.qlDayCounterYearFraction("actual/365 (fixed)",SettlementDate,R227,,,Trigger)</f>
        <v>0.87671232876712324</v>
      </c>
      <c r="U227" s="47">
        <f>_xll.qlPolynomialFunctionValue($P$18,T227,AllTriggers)</f>
        <v>3.3533186188105563E-3</v>
      </c>
    </row>
    <row r="228" spans="18:21" x14ac:dyDescent="0.2">
      <c r="R228" s="212">
        <f>_xll.qlCalendarAdvance(Calendar,R227,"1D","f")</f>
        <v>42600</v>
      </c>
      <c r="S228" s="47">
        <f>_xll.qlTenorBasisValue($P$3,R228,AllTriggers)</f>
        <v>3.6574221160968839E-3</v>
      </c>
      <c r="T228" s="41">
        <f>_xll.qlDayCounterYearFraction("actual/365 (fixed)",SettlementDate,R228,,,Trigger)</f>
        <v>0.8794520547945206</v>
      </c>
      <c r="U228" s="47">
        <f>_xll.qlPolynomialFunctionValue($P$18,T228,AllTriggers)</f>
        <v>3.3550107044046399E-3</v>
      </c>
    </row>
    <row r="229" spans="18:21" x14ac:dyDescent="0.2">
      <c r="R229" s="212">
        <f>_xll.qlCalendarAdvance(Calendar,R228,"1D","f")</f>
        <v>42601</v>
      </c>
      <c r="S229" s="47">
        <f>_xll.qlTenorBasisValue($P$3,R229,AllTriggers)</f>
        <v>3.658988188448919E-3</v>
      </c>
      <c r="T229" s="41">
        <f>_xll.qlDayCounterYearFraction("actual/365 (fixed)",SettlementDate,R229,,,Trigger)</f>
        <v>0.88219178082191785</v>
      </c>
      <c r="U229" s="47">
        <f>_xll.qlPolynomialFunctionValue($P$18,T229,AllTriggers)</f>
        <v>3.3567026660585144E-3</v>
      </c>
    </row>
    <row r="230" spans="18:21" x14ac:dyDescent="0.2">
      <c r="R230" s="212">
        <f>_xll.qlCalendarAdvance(Calendar,R229,"1D","f")</f>
        <v>42604</v>
      </c>
      <c r="S230" s="47">
        <f>_xll.qlTenorBasisValue($P$3,R230,AllTriggers)</f>
        <v>3.6636806630889682E-3</v>
      </c>
      <c r="T230" s="41">
        <f>_xll.qlDayCounterYearFraction("actual/365 (fixed)",SettlementDate,R230,,,Trigger)</f>
        <v>0.8904109589041096</v>
      </c>
      <c r="U230" s="47">
        <f>_xll.qlPolynomialFunctionValue($P$18,T230,AllTriggers)</f>
        <v>3.3617777629962927E-3</v>
      </c>
    </row>
    <row r="231" spans="18:21" x14ac:dyDescent="0.2">
      <c r="R231" s="212">
        <f>_xll.qlCalendarAdvance(Calendar,R230,"1D","f")</f>
        <v>42605</v>
      </c>
      <c r="S231" s="47">
        <f>_xll.qlTenorBasisValue($P$3,R231,AllTriggers)</f>
        <v>3.6652428923694327E-3</v>
      </c>
      <c r="T231" s="41">
        <f>_xll.qlDayCounterYearFraction("actual/365 (fixed)",SettlementDate,R231,,,Trigger)</f>
        <v>0.89315068493150684</v>
      </c>
      <c r="U231" s="47">
        <f>_xll.qlPolynomialFunctionValue($P$18,T231,AllTriggers)</f>
        <v>3.363469184506738E-3</v>
      </c>
    </row>
    <row r="232" spans="18:21" x14ac:dyDescent="0.2">
      <c r="R232" s="212">
        <f>_xll.qlCalendarAdvance(Calendar,R231,"1D","f")</f>
        <v>42606</v>
      </c>
      <c r="S232" s="47">
        <f>_xll.qlTenorBasisValue($P$3,R232,AllTriggers)</f>
        <v>3.6668041497863561E-3</v>
      </c>
      <c r="T232" s="41">
        <f>_xll.qlDayCounterYearFraction("actual/365 (fixed)",SettlementDate,R232,,,Trigger)</f>
        <v>0.89589041095890409</v>
      </c>
      <c r="U232" s="47">
        <f>_xll.qlPolynomialFunctionValue($P$18,T232,AllTriggers)</f>
        <v>3.3651604598856767E-3</v>
      </c>
    </row>
    <row r="233" spans="18:21" x14ac:dyDescent="0.2">
      <c r="R233" s="212">
        <f>_xll.qlCalendarAdvance(Calendar,R232,"1D","f")</f>
        <v>42607</v>
      </c>
      <c r="S233" s="47">
        <f>_xll.qlTenorBasisValue($P$3,R233,AllTriggers)</f>
        <v>3.6683644309014789E-3</v>
      </c>
      <c r="T233" s="41">
        <f>_xll.qlDayCounterYearFraction("actual/365 (fixed)",SettlementDate,R233,,,Trigger)</f>
        <v>0.89863013698630134</v>
      </c>
      <c r="U233" s="47">
        <f>_xll.qlPolynomialFunctionValue($P$18,T233,AllTriggers)</f>
        <v>3.3668515846948504E-3</v>
      </c>
    </row>
    <row r="234" spans="18:21" x14ac:dyDescent="0.2">
      <c r="R234" s="212">
        <f>_xll.qlCalendarAdvance(Calendar,R233,"1D","f")</f>
        <v>42608</v>
      </c>
      <c r="S234" s="47">
        <f>_xll.qlTenorBasisValue($P$3,R234,AllTriggers)</f>
        <v>3.66992373127654E-3</v>
      </c>
      <c r="T234" s="41">
        <f>_xll.qlDayCounterYearFraction("actual/365 (fixed)",SettlementDate,R234,,,Trigger)</f>
        <v>0.90136986301369859</v>
      </c>
      <c r="U234" s="47">
        <f>_xll.qlPolynomialFunctionValue($P$18,T234,AllTriggers)</f>
        <v>3.3685425544959973E-3</v>
      </c>
    </row>
    <row r="235" spans="18:21" x14ac:dyDescent="0.2">
      <c r="R235" s="212">
        <f>_xll.qlCalendarAdvance(Calendar,R234,"1D","f")</f>
        <v>42611</v>
      </c>
      <c r="S235" s="47">
        <f>_xll.qlTenorBasisValue($P$3,R235,AllTriggers)</f>
        <v>3.6745957035787652E-3</v>
      </c>
      <c r="T235" s="41">
        <f>_xll.qlDayCounterYearFraction("actual/365 (fixed)",SettlementDate,R235,,,Trigger)</f>
        <v>0.90958904109589045</v>
      </c>
      <c r="U235" s="47">
        <f>_xll.qlPolynomialFunctionValue($P$18,T235,AllTriggers)</f>
        <v>3.3736144894686896E-3</v>
      </c>
    </row>
    <row r="236" spans="18:21" x14ac:dyDescent="0.2">
      <c r="R236" s="212">
        <f>_xll.qlCalendarAdvance(Calendar,R235,"1D","f")</f>
        <v>42612</v>
      </c>
      <c r="S236" s="47">
        <f>_xll.qlTenorBasisValue($P$3,R236,AllTriggers)</f>
        <v>3.676151036610988E-3</v>
      </c>
      <c r="T236" s="41">
        <f>_xll.qlDayCounterYearFraction("actual/365 (fixed)",SettlementDate,R236,,,Trigger)</f>
        <v>0.9123287671232877</v>
      </c>
      <c r="U236" s="47">
        <f>_xll.qlPolynomialFunctionValue($P$18,T236,AllTriggers)</f>
        <v>3.3753047948551383E-3</v>
      </c>
    </row>
    <row r="237" spans="18:21" x14ac:dyDescent="0.2">
      <c r="R237" s="212">
        <f>_xll.qlCalendarAdvance(Calendar,R236,"1D","f")</f>
        <v>42613</v>
      </c>
      <c r="S237" s="47">
        <f>_xll.qlTenorBasisValue($P$3,R237,AllTriggers)</f>
        <v>3.6777053667118517E-3</v>
      </c>
      <c r="T237" s="41">
        <f>_xll.qlDayCounterYearFraction("actual/365 (fixed)",SettlementDate,R237,,,Trigger)</f>
        <v>0.91506849315068495</v>
      </c>
      <c r="U237" s="47">
        <f>_xll.qlPolynomialFunctionValue($P$18,T237,AllTriggers)</f>
        <v>3.3769949230422636E-3</v>
      </c>
    </row>
    <row r="238" spans="18:21" x14ac:dyDescent="0.2">
      <c r="R238" s="212">
        <f>_xll.qlCalendarAdvance(Calendar,R237,"1D","f")</f>
        <v>42614</v>
      </c>
      <c r="S238" s="47">
        <f>_xll.qlTenorBasisValue($P$3,R238,AllTriggers)</f>
        <v>3.6792586894430972E-3</v>
      </c>
      <c r="T238" s="41">
        <f>_xll.qlDayCounterYearFraction("actual/365 (fixed)",SettlementDate,R238,,,Trigger)</f>
        <v>0.9178082191780822</v>
      </c>
      <c r="U238" s="47">
        <f>_xll.qlPolynomialFunctionValue($P$18,T238,AllTriggers)</f>
        <v>3.3786848695918055E-3</v>
      </c>
    </row>
    <row r="239" spans="18:21" x14ac:dyDescent="0.2">
      <c r="R239" s="212">
        <f>_xll.qlCalendarAdvance(Calendar,R238,"1D","f")</f>
        <v>42615</v>
      </c>
      <c r="S239" s="47">
        <f>_xll.qlTenorBasisValue($P$3,R239,AllTriggers)</f>
        <v>3.6808110003664646E-3</v>
      </c>
      <c r="T239" s="41">
        <f>_xll.qlDayCounterYearFraction("actual/365 (fixed)",SettlementDate,R239,,,Trigger)</f>
        <v>0.92054794520547945</v>
      </c>
      <c r="U239" s="47">
        <f>_xll.qlPolynomialFunctionValue($P$18,T239,AllTriggers)</f>
        <v>3.3803746300655043E-3</v>
      </c>
    </row>
    <row r="240" spans="18:21" x14ac:dyDescent="0.2">
      <c r="R240" s="212">
        <f>_xll.qlCalendarAdvance(Calendar,R239,"1D","f")</f>
        <v>42618</v>
      </c>
      <c r="S240" s="47">
        <f>_xll.qlTenorBasisValue($P$3,R240,AllTriggers)</f>
        <v>3.6854618179067034E-3</v>
      </c>
      <c r="T240" s="41">
        <f>_xll.qlDayCounterYearFraction("actual/365 (fixed)",SettlementDate,R240,,,Trigger)</f>
        <v>0.92876712328767119</v>
      </c>
      <c r="U240" s="47">
        <f>_xll.qlPolynomialFunctionValue($P$18,T240,AllTriggers)</f>
        <v>3.385442750648949E-3</v>
      </c>
    </row>
    <row r="241" spans="18:21" x14ac:dyDescent="0.2">
      <c r="R241" s="212">
        <f>_xll.qlCalendarAdvance(Calendar,R240,"1D","f")</f>
        <v>42619</v>
      </c>
      <c r="S241" s="47">
        <f>_xll.qlTenorBasisValue($P$3,R241,AllTriggers)</f>
        <v>3.6870100372159631E-3</v>
      </c>
      <c r="T241" s="41">
        <f>_xll.qlDayCounterYearFraction("actual/365 (fixed)",SettlementDate,R241,,,Trigger)</f>
        <v>0.93150684931506844</v>
      </c>
      <c r="U241" s="47">
        <f>_xll.qlPolynomialFunctionValue($P$18,T241,AllTriggers)</f>
        <v>3.387131722436681E-3</v>
      </c>
    </row>
    <row r="242" spans="18:21" x14ac:dyDescent="0.2">
      <c r="R242" s="212">
        <f>_xll.qlCalendarAdvance(Calendar,R241,"1D","f")</f>
        <v>42620</v>
      </c>
      <c r="S242" s="47">
        <f>_xll.qlTenorBasisValue($P$3,R242,AllTriggers)</f>
        <v>3.6885572225260469E-3</v>
      </c>
      <c r="T242" s="41">
        <f>_xll.qlDayCounterYearFraction("actual/365 (fixed)",SettlementDate,R242,,,Trigger)</f>
        <v>0.9342465753424658</v>
      </c>
      <c r="U242" s="47">
        <f>_xll.qlPolynomialFunctionValue($P$18,T242,AllTriggers)</f>
        <v>3.3888204859572721E-3</v>
      </c>
    </row>
    <row r="243" spans="18:21" x14ac:dyDescent="0.2">
      <c r="R243" s="212">
        <f>_xll.qlCalendarAdvance(Calendar,R242,"1D","f")</f>
        <v>42621</v>
      </c>
      <c r="S243" s="47">
        <f>_xll.qlTenorBasisValue($P$3,R243,AllTriggers)</f>
        <v>3.6901033693986945E-3</v>
      </c>
      <c r="T243" s="41">
        <f>_xll.qlDayCounterYearFraction("actual/365 (fixed)",SettlementDate,R243,,,Trigger)</f>
        <v>0.93698630136986305</v>
      </c>
      <c r="U243" s="47">
        <f>_xll.qlPolynomialFunctionValue($P$18,T243,AllTriggers)</f>
        <v>3.3905090367724621E-3</v>
      </c>
    </row>
    <row r="244" spans="18:21" x14ac:dyDescent="0.2">
      <c r="R244" s="212">
        <f>_xll.qlCalendarAdvance(Calendar,R243,"1D","f")</f>
        <v>42622</v>
      </c>
      <c r="S244" s="47">
        <f>_xll.qlTenorBasisValue($P$3,R244,AllTriggers)</f>
        <v>3.6916484733956465E-3</v>
      </c>
      <c r="T244" s="41">
        <f>_xll.qlDayCounterYearFraction("actual/365 (fixed)",SettlementDate,R244,,,Trigger)</f>
        <v>0.9397260273972603</v>
      </c>
      <c r="U244" s="47">
        <f>_xll.qlPolynomialFunctionValue($P$18,T244,AllTriggers)</f>
        <v>3.3921973704439923E-3</v>
      </c>
    </row>
    <row r="245" spans="18:21" x14ac:dyDescent="0.2">
      <c r="R245" s="212">
        <f>_xll.qlCalendarAdvance(Calendar,R244,"1D","f")</f>
        <v>42625</v>
      </c>
      <c r="S245" s="47">
        <f>_xll.qlTenorBasisValue($P$3,R245,AllTriggers)</f>
        <v>3.6962774837497377E-3</v>
      </c>
      <c r="T245" s="41">
        <f>_xll.qlDayCounterYearFraction("actual/365 (fixed)",SettlementDate,R245,,,Trigger)</f>
        <v>0.94794520547945205</v>
      </c>
      <c r="U245" s="47">
        <f>_xll.qlPolynomialFunctionValue($P$18,T245,AllTriggers)</f>
        <v>3.397261024214027E-3</v>
      </c>
    </row>
    <row r="246" spans="18:21" x14ac:dyDescent="0.2">
      <c r="R246" s="212">
        <f>_xll.qlCalendarAdvance(Calendar,R245,"1D","f")</f>
        <v>42626</v>
      </c>
      <c r="S246" s="47">
        <f>_xll.qlTenorBasisValue($P$3,R246,AllTriggers)</f>
        <v>3.6978183718613133E-3</v>
      </c>
      <c r="T246" s="41">
        <f>_xll.qlDayCounterYearFraction("actual/365 (fixed)",SettlementDate,R246,,,Trigger)</f>
        <v>0.9506849315068493</v>
      </c>
      <c r="U246" s="47">
        <f>_xll.qlPolynomialFunctionValue($P$18,T246,AllTriggers)</f>
        <v>3.3989484449283209E-3</v>
      </c>
    </row>
    <row r="247" spans="18:21" x14ac:dyDescent="0.2">
      <c r="R247" s="212">
        <f>_xll.qlCalendarAdvance(Calendar,R246,"1D","f")</f>
        <v>42627</v>
      </c>
      <c r="S247" s="47">
        <f>_xll.qlTenorBasisValue($P$3,R247,AllTriggers)</f>
        <v>3.6993581949058964E-3</v>
      </c>
      <c r="T247" s="41">
        <f>_xll.qlDayCounterYearFraction("actual/365 (fixed)",SettlementDate,R247,,,Trigger)</f>
        <v>0.95342465753424654</v>
      </c>
      <c r="U247" s="47">
        <f>_xll.qlPolynomialFunctionValue($P$18,T247,AllTriggers)</f>
        <v>3.4006356263076576E-3</v>
      </c>
    </row>
    <row r="248" spans="18:21" x14ac:dyDescent="0.2">
      <c r="R248" s="212">
        <f>_xll.qlCalendarAdvance(Calendar,R247,"1D","f")</f>
        <v>42628</v>
      </c>
      <c r="S248" s="47">
        <f>_xll.qlTenorBasisValue($P$3,R248,AllTriggers)</f>
        <v>3.7008969484452255E-3</v>
      </c>
      <c r="T248" s="41">
        <f>_xll.qlDayCounterYearFraction("actual/365 (fixed)",SettlementDate,R248,,,Trigger)</f>
        <v>0.95616438356164379</v>
      </c>
      <c r="U248" s="47">
        <f>_xll.qlPolynomialFunctionValue($P$18,T248,AllTriggers)</f>
        <v>3.4023225639137752E-3</v>
      </c>
    </row>
    <row r="249" spans="18:21" x14ac:dyDescent="0.2">
      <c r="R249" s="212">
        <f>_xll.qlCalendarAdvance(Calendar,R248,"1D","f")</f>
        <v>42629</v>
      </c>
      <c r="S249" s="47">
        <f>_xll.qlTenorBasisValue($P$3,R249,AllTriggers)</f>
        <v>3.7024346280410433E-3</v>
      </c>
      <c r="T249" s="41">
        <f>_xll.qlDayCounterYearFraction("actual/365 (fixed)",SettlementDate,R249,,,Trigger)</f>
        <v>0.95890410958904104</v>
      </c>
      <c r="U249" s="47">
        <f>_xll.qlPolynomialFunctionValue($P$18,T249,AllTriggers)</f>
        <v>3.4040092533084163E-3</v>
      </c>
    </row>
    <row r="250" spans="18:21" x14ac:dyDescent="0.2">
      <c r="R250" s="212">
        <f>_xll.qlCalendarAdvance(Calendar,R249,"1D","f")</f>
        <v>42632</v>
      </c>
      <c r="S250" s="47">
        <f>_xll.qlTenorBasisValue($P$3,R250,AllTriggers)</f>
        <v>3.7070411787848241E-3</v>
      </c>
      <c r="T250" s="41">
        <f>_xll.qlDayCounterYearFraction("actual/365 (fixed)",SettlementDate,R250,,,Trigger)</f>
        <v>0.9671232876712329</v>
      </c>
      <c r="U250" s="47">
        <f>_xll.qlPolynomialFunctionValue($P$18,T250,AllTriggers)</f>
        <v>3.4090677878408793E-3</v>
      </c>
    </row>
    <row r="251" spans="18:21" x14ac:dyDescent="0.2">
      <c r="R251" s="212">
        <f>_xll.qlCalendarAdvance(Calendar,R250,"1D","f")</f>
        <v>42633</v>
      </c>
      <c r="S251" s="47">
        <f>_xll.qlTenorBasisValue($P$3,R251,AllTriggers)</f>
        <v>3.7085745182239959E-3</v>
      </c>
      <c r="T251" s="41">
        <f>_xll.qlDayCounterYearFraction("actual/365 (fixed)",SettlementDate,R251,,,Trigger)</f>
        <v>0.96986301369863015</v>
      </c>
      <c r="U251" s="47">
        <f>_xll.qlPolynomialFunctionValue($P$18,T251,AllTriggers)</f>
        <v>3.4107534400070151E-3</v>
      </c>
    </row>
    <row r="252" spans="18:21" x14ac:dyDescent="0.2">
      <c r="R252" s="212">
        <f>_xll.qlCalendarAdvance(Calendar,R251,"1D","f")</f>
        <v>42634</v>
      </c>
      <c r="S252" s="47">
        <f>_xll.qlTenorBasisValue($P$3,R252,AllTriggers)</f>
        <v>3.7101067615283568E-3</v>
      </c>
      <c r="T252" s="41">
        <f>_xll.qlDayCounterYearFraction("actual/365 (fixed)",SettlementDate,R252,,,Trigger)</f>
        <v>0.9726027397260274</v>
      </c>
      <c r="U252" s="47">
        <f>_xll.qlPolynomialFunctionValue($P$18,T252,AllTriggers)</f>
        <v>3.4124388217703755E-3</v>
      </c>
    </row>
    <row r="253" spans="18:21" x14ac:dyDescent="0.2">
      <c r="R253" s="212">
        <f>_xll.qlCalendarAdvance(Calendar,R252,"1D","f")</f>
        <v>42635</v>
      </c>
      <c r="S253" s="47">
        <f>_xll.qlTenorBasisValue($P$3,R253,AllTriggers)</f>
        <v>3.7116379042596475E-3</v>
      </c>
      <c r="T253" s="41">
        <f>_xll.qlDayCounterYearFraction("actual/365 (fixed)",SettlementDate,R253,,,Trigger)</f>
        <v>0.97534246575342465</v>
      </c>
      <c r="U253" s="47">
        <f>_xll.qlPolynomialFunctionValue($P$18,T253,AllTriggers)</f>
        <v>3.4141239286927007E-3</v>
      </c>
    </row>
    <row r="254" spans="18:21" x14ac:dyDescent="0.2">
      <c r="R254" s="212">
        <f>_xll.qlCalendarAdvance(Calendar,R253,"1D","f")</f>
        <v>42636</v>
      </c>
      <c r="S254" s="47">
        <f>_xll.qlTenorBasisValue($P$3,R254,AllTriggers)</f>
        <v>3.7131679419796088E-3</v>
      </c>
      <c r="T254" s="41">
        <f>_xll.qlDayCounterYearFraction("actual/365 (fixed)",SettlementDate,R254,,,Trigger)</f>
        <v>0.9780821917808219</v>
      </c>
      <c r="U254" s="47">
        <f>_xll.qlPolynomialFunctionValue($P$18,T254,AllTriggers)</f>
        <v>3.4158087563357317E-3</v>
      </c>
    </row>
    <row r="255" spans="18:21" x14ac:dyDescent="0.2">
      <c r="R255" s="212">
        <f>_xll.qlCalendarAdvance(Calendar,R254,"1D","f")</f>
        <v>42639</v>
      </c>
      <c r="S255" s="47">
        <f>_xll.qlTenorBasisValue($P$3,R255,AllTriggers)</f>
        <v>3.7177513806889184E-3</v>
      </c>
      <c r="T255" s="41">
        <f>_xll.qlDayCounterYearFraction("actual/365 (fixed)",SettlementDate,R255,,,Trigger)</f>
        <v>0.98630136986301364</v>
      </c>
      <c r="U255" s="47">
        <f>_xll.qlPolynomialFunctionValue($P$18,T255,AllTriggers)</f>
        <v>3.4208615192064615E-3</v>
      </c>
    </row>
    <row r="256" spans="18:21" x14ac:dyDescent="0.2">
      <c r="R256" s="212">
        <f>_xll.qlCalendarAdvance(Calendar,R255,"1D","f")</f>
        <v>42640</v>
      </c>
      <c r="S256" s="47">
        <f>_xll.qlTenorBasisValue($P$3,R256,AllTriggers)</f>
        <v>3.7192769539809646E-3</v>
      </c>
      <c r="T256" s="41">
        <f>_xll.qlDayCounterYearFraction("actual/365 (fixed)",SettlementDate,R256,,,Trigger)</f>
        <v>0.989041095890411</v>
      </c>
      <c r="U256" s="47">
        <f>_xll.qlPolynomialFunctionValue($P$18,T256,AllTriggers)</f>
        <v>3.4225451853497181E-3</v>
      </c>
    </row>
    <row r="257" spans="18:21" x14ac:dyDescent="0.2">
      <c r="R257" s="212">
        <f>_xll.qlCalendarAdvance(Calendar,R256,"1D","f")</f>
        <v>42641</v>
      </c>
      <c r="S257" s="47">
        <f>_xll.qlTenorBasisValue($P$3,R257,AllTriggers)</f>
        <v>3.7208014000703836E-3</v>
      </c>
      <c r="T257" s="41">
        <f>_xll.qlDayCounterYearFraction("actual/365 (fixed)",SettlementDate,R257,,,Trigger)</f>
        <v>0.99178082191780825</v>
      </c>
      <c r="U257" s="47">
        <f>_xll.qlPolynomialFunctionValue($P$18,T257,AllTriggers)</f>
        <v>3.4242285500223823E-3</v>
      </c>
    </row>
    <row r="258" spans="18:21" x14ac:dyDescent="0.2">
      <c r="R258" s="212">
        <f>_xll.qlCalendarAdvance(Calendar,R257,"1D","f")</f>
        <v>42642</v>
      </c>
      <c r="S258" s="47">
        <f>_xll.qlTenorBasisValue($P$3,R258,AllTriggers)</f>
        <v>3.7223247145189149E-3</v>
      </c>
      <c r="T258" s="41">
        <f>_xll.qlDayCounterYearFraction("actual/365 (fixed)",SettlementDate,R258,,,Trigger)</f>
        <v>0.9945205479452055</v>
      </c>
      <c r="U258" s="47">
        <f>_xll.qlPolynomialFunctionValue($P$18,T258,AllTriggers)</f>
        <v>3.4259116087861944E-3</v>
      </c>
    </row>
    <row r="259" spans="18:21" x14ac:dyDescent="0.2">
      <c r="R259" s="212">
        <f>_xll.qlCalendarAdvance(Calendar,R258,"1D","f")</f>
        <v>42643</v>
      </c>
      <c r="S259" s="47">
        <f>_xll.qlTenorBasisValue($P$3,R259,AllTriggers)</f>
        <v>3.7238468928882996E-3</v>
      </c>
      <c r="T259" s="41">
        <f>_xll.qlDayCounterYearFraction("actual/365 (fixed)",SettlementDate,R259,,,Trigger)</f>
        <v>0.99726027397260275</v>
      </c>
      <c r="U259" s="47">
        <f>_xll.qlPolynomialFunctionValue($P$18,T259,AllTriggers)</f>
        <v>3.4275943572028948E-3</v>
      </c>
    </row>
    <row r="260" spans="18:21" x14ac:dyDescent="0.2">
      <c r="R260" s="212">
        <f>_xll.qlCalendarAdvance(Calendar,R259,"1D","f")</f>
        <v>42646</v>
      </c>
      <c r="S260" s="47">
        <f>_xll.qlTenorBasisValue($P$3,R260,AllTriggers)</f>
        <v>3.7284065671389756E-3</v>
      </c>
      <c r="T260" s="41">
        <f>_xll.qlDayCounterYearFraction("actual/365 (fixed)",SettlementDate,R260,,,Trigger)</f>
        <v>1.0054794520547945</v>
      </c>
      <c r="U260" s="47">
        <f>_xll.qlPolynomialFunctionValue($P$18,T260,AllTriggers)</f>
        <v>3.4326406959877291E-3</v>
      </c>
    </row>
    <row r="261" spans="18:21" x14ac:dyDescent="0.2">
      <c r="R261" s="212">
        <f>_xll.qlCalendarAdvance(Calendar,R260,"1D","f")</f>
        <v>42647</v>
      </c>
      <c r="S261" s="47">
        <f>_xll.qlTenorBasisValue($P$3,R261,AllTriggers)</f>
        <v>3.7299241568091767E-3</v>
      </c>
      <c r="T261" s="41">
        <f>_xll.qlDayCounterYearFraction("actual/365 (fixed)",SettlementDate,R261,,,Trigger)</f>
        <v>1.0082191780821919</v>
      </c>
      <c r="U261" s="47">
        <f>_xll.qlPolynomialFunctionValue($P$18,T261,AllTriggers)</f>
        <v>3.4343221586333864E-3</v>
      </c>
    </row>
    <row r="262" spans="18:21" x14ac:dyDescent="0.2">
      <c r="R262" s="213">
        <f>_xll.qlCalendarAdvance(Calendar,R261,"1D","f")</f>
        <v>42648</v>
      </c>
      <c r="S262" s="50">
        <f>_xll.qlTenorBasisValue($P$3,R262,AllTriggers)</f>
        <v>3.7314405882089329E-3</v>
      </c>
      <c r="T262" s="44">
        <f>_xll.qlDayCounterYearFraction("actual/365 (fixed)",SettlementDate,R262,,,Trigger)</f>
        <v>1.010958904109589</v>
      </c>
      <c r="U262" s="50">
        <f>_xll.qlPolynomialFunctionValue($P$18,T262,AllTriggers)</f>
        <v>3.4360032887406342E-3</v>
      </c>
    </row>
    <row r="263" spans="18:21" x14ac:dyDescent="0.2">
      <c r="R263" s="61"/>
    </row>
    <row r="264" spans="18:21" x14ac:dyDescent="0.2">
      <c r="R264" s="61"/>
    </row>
    <row r="265" spans="18:21" x14ac:dyDescent="0.2">
      <c r="R265" s="61"/>
    </row>
    <row r="266" spans="18:21" x14ac:dyDescent="0.2">
      <c r="R266" s="61"/>
    </row>
    <row r="267" spans="18:21" x14ac:dyDescent="0.2">
      <c r="R267" s="61"/>
    </row>
    <row r="268" spans="18:21" x14ac:dyDescent="0.2">
      <c r="R268" s="61"/>
    </row>
    <row r="269" spans="18:21" x14ac:dyDescent="0.2">
      <c r="R269" s="61"/>
    </row>
    <row r="270" spans="18:21" x14ac:dyDescent="0.2">
      <c r="R270" s="61"/>
    </row>
    <row r="271" spans="18:21" x14ac:dyDescent="0.2">
      <c r="R271" s="61"/>
    </row>
    <row r="272" spans="18:21" x14ac:dyDescent="0.2">
      <c r="R272" s="61"/>
    </row>
    <row r="273" spans="18:18" x14ac:dyDescent="0.2">
      <c r="R273" s="61"/>
    </row>
    <row r="274" spans="18:18" x14ac:dyDescent="0.2">
      <c r="R274" s="61"/>
    </row>
    <row r="275" spans="18:18" x14ac:dyDescent="0.2">
      <c r="R275" s="61"/>
    </row>
    <row r="276" spans="18:18" x14ac:dyDescent="0.2">
      <c r="R276" s="61"/>
    </row>
    <row r="277" spans="18:18" x14ac:dyDescent="0.2">
      <c r="R277" s="61"/>
    </row>
    <row r="278" spans="18:18" x14ac:dyDescent="0.2">
      <c r="R278" s="61"/>
    </row>
    <row r="279" spans="18:18" x14ac:dyDescent="0.2">
      <c r="R279" s="61"/>
    </row>
    <row r="280" spans="18:18" x14ac:dyDescent="0.2">
      <c r="R280" s="61"/>
    </row>
    <row r="281" spans="18:18" x14ac:dyDescent="0.2">
      <c r="R281" s="61"/>
    </row>
    <row r="282" spans="18:18" x14ac:dyDescent="0.2">
      <c r="R282" s="61"/>
    </row>
    <row r="283" spans="18:18" x14ac:dyDescent="0.2">
      <c r="R283" s="61"/>
    </row>
    <row r="284" spans="18:18" x14ac:dyDescent="0.2">
      <c r="R284" s="61"/>
    </row>
    <row r="285" spans="18:18" x14ac:dyDescent="0.2">
      <c r="R285" s="61"/>
    </row>
    <row r="286" spans="18:18" x14ac:dyDescent="0.2">
      <c r="R286" s="61"/>
    </row>
    <row r="287" spans="18:18" x14ac:dyDescent="0.2">
      <c r="R287" s="61"/>
    </row>
    <row r="288" spans="18:18" x14ac:dyDescent="0.2">
      <c r="R288" s="61"/>
    </row>
    <row r="289" spans="18:18" x14ac:dyDescent="0.2">
      <c r="R289" s="61"/>
    </row>
    <row r="290" spans="18:18" x14ac:dyDescent="0.2">
      <c r="R290" s="61"/>
    </row>
    <row r="291" spans="18:18" x14ac:dyDescent="0.2">
      <c r="R291" s="61"/>
    </row>
    <row r="292" spans="18:18" x14ac:dyDescent="0.2">
      <c r="R292" s="61"/>
    </row>
    <row r="293" spans="18:18" x14ac:dyDescent="0.2">
      <c r="R293" s="61"/>
    </row>
    <row r="294" spans="18:18" x14ac:dyDescent="0.2">
      <c r="R294" s="61"/>
    </row>
    <row r="295" spans="18:18" x14ac:dyDescent="0.2">
      <c r="R295" s="61"/>
    </row>
    <row r="296" spans="18:18" x14ac:dyDescent="0.2">
      <c r="R296" s="61"/>
    </row>
    <row r="297" spans="18:18" x14ac:dyDescent="0.2">
      <c r="R297" s="61"/>
    </row>
    <row r="298" spans="18:18" x14ac:dyDescent="0.2">
      <c r="R298" s="61"/>
    </row>
    <row r="299" spans="18:18" x14ac:dyDescent="0.2">
      <c r="R299" s="61"/>
    </row>
    <row r="300" spans="18:18" x14ac:dyDescent="0.2">
      <c r="R300" s="61"/>
    </row>
    <row r="301" spans="18:18" x14ac:dyDescent="0.2">
      <c r="R301" s="61"/>
    </row>
    <row r="302" spans="18:18" x14ac:dyDescent="0.2">
      <c r="R302" s="61"/>
    </row>
    <row r="303" spans="18:18" x14ac:dyDescent="0.2">
      <c r="R303" s="61"/>
    </row>
    <row r="304" spans="18:18" x14ac:dyDescent="0.2">
      <c r="R304" s="61"/>
    </row>
    <row r="305" spans="18:18" x14ac:dyDescent="0.2">
      <c r="R305" s="61"/>
    </row>
    <row r="306" spans="18:18" x14ac:dyDescent="0.2">
      <c r="R306" s="61"/>
    </row>
    <row r="307" spans="18:18" x14ac:dyDescent="0.2">
      <c r="R307" s="61"/>
    </row>
    <row r="308" spans="18:18" x14ac:dyDescent="0.2">
      <c r="R308" s="61"/>
    </row>
    <row r="309" spans="18:18" x14ac:dyDescent="0.2">
      <c r="R309" s="61"/>
    </row>
    <row r="310" spans="18:18" x14ac:dyDescent="0.2">
      <c r="R310" s="61"/>
    </row>
    <row r="311" spans="18:18" x14ac:dyDescent="0.2">
      <c r="R311" s="61"/>
    </row>
    <row r="312" spans="18:18" x14ac:dyDescent="0.2">
      <c r="R312" s="61"/>
    </row>
    <row r="313" spans="18:18" x14ac:dyDescent="0.2">
      <c r="R313" s="61"/>
    </row>
    <row r="314" spans="18:18" x14ac:dyDescent="0.2">
      <c r="R314" s="61"/>
    </row>
    <row r="315" spans="18:18" x14ac:dyDescent="0.2">
      <c r="R315" s="61"/>
    </row>
    <row r="316" spans="18:18" x14ac:dyDescent="0.2">
      <c r="R316" s="61"/>
    </row>
    <row r="317" spans="18:18" x14ac:dyDescent="0.2">
      <c r="R317" s="61"/>
    </row>
    <row r="318" spans="18:18" x14ac:dyDescent="0.2">
      <c r="R318" s="61"/>
    </row>
    <row r="319" spans="18:18" x14ac:dyDescent="0.2">
      <c r="R319" s="61"/>
    </row>
    <row r="320" spans="18:18" x14ac:dyDescent="0.2">
      <c r="R320" s="61"/>
    </row>
    <row r="321" spans="18:18" x14ac:dyDescent="0.2">
      <c r="R321" s="61"/>
    </row>
    <row r="322" spans="18:18" x14ac:dyDescent="0.2">
      <c r="R322" s="61"/>
    </row>
    <row r="323" spans="18:18" x14ac:dyDescent="0.2">
      <c r="R323" s="61"/>
    </row>
    <row r="324" spans="18:18" x14ac:dyDescent="0.2">
      <c r="R324" s="61"/>
    </row>
    <row r="325" spans="18:18" x14ac:dyDescent="0.2">
      <c r="R325" s="61"/>
    </row>
    <row r="326" spans="18:18" x14ac:dyDescent="0.2">
      <c r="R326" s="61"/>
    </row>
    <row r="327" spans="18:18" x14ac:dyDescent="0.2">
      <c r="R327" s="61"/>
    </row>
    <row r="328" spans="18:18" x14ac:dyDescent="0.2">
      <c r="R328" s="61"/>
    </row>
    <row r="329" spans="18:18" x14ac:dyDescent="0.2">
      <c r="R329" s="61"/>
    </row>
    <row r="330" spans="18:18" x14ac:dyDescent="0.2">
      <c r="R330" s="61"/>
    </row>
    <row r="331" spans="18:18" x14ac:dyDescent="0.2">
      <c r="R331" s="61"/>
    </row>
    <row r="332" spans="18:18" x14ac:dyDescent="0.2">
      <c r="R332" s="61"/>
    </row>
    <row r="333" spans="18:18" x14ac:dyDescent="0.2">
      <c r="R333" s="61"/>
    </row>
    <row r="334" spans="18:18" x14ac:dyDescent="0.2">
      <c r="R334" s="61"/>
    </row>
    <row r="335" spans="18:18" x14ac:dyDescent="0.2">
      <c r="R335" s="61"/>
    </row>
    <row r="336" spans="18:18" x14ac:dyDescent="0.2">
      <c r="R336" s="61"/>
    </row>
    <row r="337" spans="18:18" x14ac:dyDescent="0.2">
      <c r="R337" s="61"/>
    </row>
    <row r="338" spans="18:18" x14ac:dyDescent="0.2">
      <c r="R338" s="61"/>
    </row>
    <row r="339" spans="18:18" x14ac:dyDescent="0.2">
      <c r="R339" s="61"/>
    </row>
    <row r="340" spans="18:18" x14ac:dyDescent="0.2">
      <c r="R340" s="61"/>
    </row>
    <row r="341" spans="18:18" x14ac:dyDescent="0.2">
      <c r="R341" s="61"/>
    </row>
    <row r="342" spans="18:18" x14ac:dyDescent="0.2">
      <c r="R342" s="61"/>
    </row>
    <row r="343" spans="18:18" x14ac:dyDescent="0.2">
      <c r="R343" s="61"/>
    </row>
    <row r="344" spans="18:18" x14ac:dyDescent="0.2">
      <c r="R344" s="61"/>
    </row>
    <row r="345" spans="18:18" x14ac:dyDescent="0.2">
      <c r="R345" s="61"/>
    </row>
    <row r="346" spans="18:18" x14ac:dyDescent="0.2">
      <c r="R346" s="61"/>
    </row>
    <row r="347" spans="18:18" x14ac:dyDescent="0.2">
      <c r="R347" s="61"/>
    </row>
    <row r="348" spans="18:18" x14ac:dyDescent="0.2">
      <c r="R348" s="61"/>
    </row>
    <row r="349" spans="18:18" x14ac:dyDescent="0.2">
      <c r="R349" s="61"/>
    </row>
    <row r="350" spans="18:18" x14ac:dyDescent="0.2">
      <c r="R350" s="61"/>
    </row>
    <row r="351" spans="18:18" x14ac:dyDescent="0.2">
      <c r="R351" s="61"/>
    </row>
    <row r="352" spans="18:18" x14ac:dyDescent="0.2">
      <c r="R352" s="61"/>
    </row>
    <row r="353" spans="18:18" x14ac:dyDescent="0.2">
      <c r="R353" s="61"/>
    </row>
    <row r="354" spans="18:18" x14ac:dyDescent="0.2">
      <c r="R354" s="61"/>
    </row>
    <row r="355" spans="18:18" x14ac:dyDescent="0.2">
      <c r="R355" s="61"/>
    </row>
    <row r="356" spans="18:18" x14ac:dyDescent="0.2">
      <c r="R356" s="61"/>
    </row>
    <row r="357" spans="18:18" x14ac:dyDescent="0.2">
      <c r="R357" s="61"/>
    </row>
    <row r="358" spans="18:18" x14ac:dyDescent="0.2">
      <c r="R358" s="61"/>
    </row>
    <row r="359" spans="18:18" x14ac:dyDescent="0.2">
      <c r="R359" s="61"/>
    </row>
    <row r="360" spans="18:18" x14ac:dyDescent="0.2">
      <c r="R360" s="61"/>
    </row>
    <row r="361" spans="18:18" x14ac:dyDescent="0.2">
      <c r="R361" s="61"/>
    </row>
    <row r="362" spans="18:18" x14ac:dyDescent="0.2">
      <c r="R362" s="61"/>
    </row>
    <row r="363" spans="18:18" x14ac:dyDescent="0.2">
      <c r="R363" s="61"/>
    </row>
    <row r="364" spans="18:18" x14ac:dyDescent="0.2">
      <c r="R364" s="61"/>
    </row>
    <row r="365" spans="18:18" x14ac:dyDescent="0.2">
      <c r="R365" s="61"/>
    </row>
    <row r="366" spans="18:18" x14ac:dyDescent="0.2">
      <c r="R366" s="61"/>
    </row>
    <row r="367" spans="18:18" x14ac:dyDescent="0.2">
      <c r="R367" s="61"/>
    </row>
    <row r="368" spans="18:18" x14ac:dyDescent="0.2">
      <c r="R368" s="61"/>
    </row>
    <row r="369" spans="18:18" x14ac:dyDescent="0.2">
      <c r="R369" s="61"/>
    </row>
    <row r="370" spans="18:18" x14ac:dyDescent="0.2">
      <c r="R370" s="61"/>
    </row>
    <row r="371" spans="18:18" x14ac:dyDescent="0.2">
      <c r="R371" s="61"/>
    </row>
    <row r="372" spans="18:18" x14ac:dyDescent="0.2">
      <c r="R372" s="61"/>
    </row>
    <row r="373" spans="18:18" x14ac:dyDescent="0.2">
      <c r="R373" s="61"/>
    </row>
    <row r="374" spans="18:18" x14ac:dyDescent="0.2">
      <c r="R374" s="61"/>
    </row>
    <row r="375" spans="18:18" x14ac:dyDescent="0.2">
      <c r="R375" s="61"/>
    </row>
    <row r="376" spans="18:18" x14ac:dyDescent="0.2">
      <c r="R376" s="61"/>
    </row>
    <row r="377" spans="18:18" x14ac:dyDescent="0.2">
      <c r="R377" s="61"/>
    </row>
    <row r="378" spans="18:18" x14ac:dyDescent="0.2">
      <c r="R378" s="61"/>
    </row>
    <row r="379" spans="18:18" x14ac:dyDescent="0.2">
      <c r="R379" s="61"/>
    </row>
    <row r="380" spans="18:18" x14ac:dyDescent="0.2">
      <c r="R380" s="61"/>
    </row>
    <row r="381" spans="18:18" x14ac:dyDescent="0.2">
      <c r="R381" s="61"/>
    </row>
    <row r="382" spans="18:18" x14ac:dyDescent="0.2">
      <c r="R382" s="61"/>
    </row>
    <row r="383" spans="18:18" x14ac:dyDescent="0.2">
      <c r="R383" s="61"/>
    </row>
    <row r="384" spans="18:18" x14ac:dyDescent="0.2">
      <c r="R384" s="61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Q264"/>
  <sheetViews>
    <sheetView workbookViewId="0"/>
  </sheetViews>
  <sheetFormatPr defaultColWidth="9.5" defaultRowHeight="11.25" outlineLevelCol="1" x14ac:dyDescent="0.2"/>
  <cols>
    <col min="1" max="2" width="3.5" style="19" customWidth="1"/>
    <col min="3" max="3" width="19.5" style="19" customWidth="1"/>
    <col min="4" max="4" width="17.83203125" style="19" bestFit="1" customWidth="1"/>
    <col min="5" max="5" width="12.83203125" style="19" bestFit="1" customWidth="1"/>
    <col min="6" max="6" width="16.83203125" style="19" customWidth="1"/>
    <col min="7" max="8" width="14.83203125" style="19" customWidth="1"/>
    <col min="9" max="18" width="14.83203125" style="19" hidden="1" customWidth="1" outlineLevel="1"/>
    <col min="19" max="19" width="14.83203125" style="19" customWidth="1" collapsed="1"/>
    <col min="20" max="30" width="14.83203125" style="19" customWidth="1"/>
    <col min="31" max="33" width="5.83203125" style="19" bestFit="1" customWidth="1"/>
    <col min="34" max="34" width="2.33203125" style="19" bestFit="1" customWidth="1"/>
    <col min="35" max="35" width="10.5" style="19" bestFit="1" customWidth="1"/>
    <col min="36" max="36" width="2.33203125" style="19" bestFit="1" customWidth="1" collapsed="1"/>
    <col min="37" max="37" width="9.33203125" style="19" bestFit="1" customWidth="1"/>
    <col min="38" max="38" width="8.1640625" style="19" hidden="1" customWidth="1" outlineLevel="1"/>
    <col min="39" max="39" width="9.33203125" style="19" hidden="1" customWidth="1" outlineLevel="1"/>
    <col min="40" max="40" width="8.1640625" style="19" hidden="1" customWidth="1" outlineLevel="1"/>
    <col min="41" max="41" width="2.83203125" style="19" customWidth="1" collapsed="1"/>
    <col min="42" max="42" width="2.83203125" style="19" customWidth="1"/>
    <col min="43" max="45" width="5.83203125" style="19" bestFit="1" customWidth="1"/>
    <col min="46" max="46" width="2.33203125" style="19" bestFit="1" customWidth="1"/>
    <col min="47" max="47" width="10.5" style="19" bestFit="1" customWidth="1"/>
    <col min="48" max="48" width="2.33203125" style="19" bestFit="1" customWidth="1"/>
    <col min="49" max="49" width="9.33203125" style="19" bestFit="1" customWidth="1"/>
    <col min="50" max="52" width="9.33203125" style="19" hidden="1" customWidth="1" outlineLevel="1"/>
    <col min="53" max="53" width="2.83203125" style="19" customWidth="1" collapsed="1"/>
    <col min="54" max="54" width="2.83203125" style="19" customWidth="1"/>
    <col min="55" max="55" width="12.83203125" style="19" bestFit="1" customWidth="1"/>
    <col min="56" max="56" width="8.1640625" style="19" bestFit="1" customWidth="1"/>
    <col min="57" max="69" width="14.83203125" style="19" customWidth="1"/>
    <col min="70" max="16384" width="9.5" style="19"/>
  </cols>
  <sheetData>
    <row r="1" spans="1:69" x14ac:dyDescent="0.2">
      <c r="C1" s="116" t="s">
        <v>66</v>
      </c>
      <c r="D1" s="117"/>
      <c r="E1" s="117"/>
      <c r="F1" s="117"/>
      <c r="G1" s="117"/>
      <c r="H1" s="117"/>
      <c r="I1" s="117"/>
      <c r="J1" s="117"/>
      <c r="K1" s="117"/>
      <c r="L1" s="117"/>
      <c r="M1" s="223"/>
      <c r="N1" s="223"/>
      <c r="O1" s="223"/>
      <c r="P1" s="223"/>
      <c r="Q1" s="223"/>
      <c r="R1" s="223"/>
      <c r="S1" s="116" t="str">
        <f>"with 0X"&amp;SUBSTITUTE($D$24,"M","")</f>
        <v>with 0X12</v>
      </c>
      <c r="T1" s="118"/>
      <c r="U1" s="117" t="str">
        <f>"without 0X"&amp;SUBSTITUTE($D$24,"M","")</f>
        <v>without 0X12</v>
      </c>
      <c r="V1" s="118"/>
      <c r="AG1" s="225"/>
      <c r="AH1" s="225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E1" s="19" t="str">
        <f>_xll.qlPolynomialFunction(,_xll.qlTenorInstCoefficients(G$27),,_xll.ohTrigger(Trigger,G$28:G$31))</f>
        <v>obj_0062a#0002</v>
      </c>
      <c r="BF1" s="19" t="str">
        <f>_xll.qlPolynomialFunction(,_xll.qlTenorInstCoefficients(H$27),,_xll.ohTrigger(Trigger,H$28:H$31))</f>
        <v>obj_0062b#0002</v>
      </c>
      <c r="BG1" s="19" t="str">
        <f>_xll.qlPolynomialFunction(,_xll.qlTenorInstCoefficients(S$27),,_xll.ohTrigger(Trigger,S$28:S$31))</f>
        <v>obj_00624#0002</v>
      </c>
      <c r="BH1" s="19" t="str">
        <f>_xll.qlPolynomialFunction(,_xll.qlTenorInstCoefficients(T$27),,_xll.ohTrigger(Trigger,T$28:T$31))</f>
        <v>obj_00628#0002</v>
      </c>
      <c r="BI1" s="19" t="str">
        <f>_xll.qlPolynomialFunction(,U$28:U$31,,_xll.ohTrigger(Trigger,G$28:G$31))</f>
        <v>obj_0062f#0002</v>
      </c>
      <c r="BJ1" s="19" t="str">
        <f>_xll.qlPolynomialFunction(,V$28:V$31,,_xll.ohTrigger(Trigger,H$28:H$31))</f>
        <v>obj_00625#0002</v>
      </c>
      <c r="BK1" s="19" t="str">
        <f>_xll.qlPolynomialFunction(,W$28:W$31,,_xll.ohTrigger(Trigger,S$28:S$31))</f>
        <v>obj_0061f#0002</v>
      </c>
      <c r="BL1" s="19" t="str">
        <f>_xll.qlPolynomialFunction(,X$28:X$31,,_xll.ohTrigger(Trigger,T$28:T$31))</f>
        <v>obj_0061e#0002</v>
      </c>
      <c r="BM1" s="19" t="str">
        <f>_xll.qlPolynomialFunction(,_xll.qlTenorInstCoefficients(Y$27),,_xll.ohTrigger(Trigger,G$28:G$31))</f>
        <v>obj_00637#0002</v>
      </c>
      <c r="BN1" s="19" t="str">
        <f>_xll.qlPolynomialFunction(,_xll.qlTenorInstCoefficients(Z$27),,_xll.ohTrigger(Trigger,H$28:H$31))</f>
        <v>obj_00639#0002</v>
      </c>
      <c r="BO1" s="19" t="str">
        <f>_xll.qlPolynomialFunction(,_xll.qlTenorInstCoefficients(AA$27),,_xll.ohTrigger(Trigger,S$28:S$31))</f>
        <v>obj_00636#0002</v>
      </c>
      <c r="BP1" s="19" t="str">
        <f>_xll.qlPolynomialFunction(,_xll.qlTenorInstCoefficients(AB$27),,_xll.ohTrigger(Trigger,T$28:T$31))</f>
        <v>obj_00633#0002</v>
      </c>
    </row>
    <row r="2" spans="1:69" ht="21.75" customHeight="1" x14ac:dyDescent="0.2">
      <c r="C2" s="36" t="s">
        <v>43</v>
      </c>
      <c r="D2" s="36" t="s">
        <v>101</v>
      </c>
      <c r="E2" s="36" t="s">
        <v>102</v>
      </c>
      <c r="F2" s="36" t="s">
        <v>56</v>
      </c>
      <c r="G2" s="36" t="str">
        <f>"F "&amp;$D$24</f>
        <v>F 12M</v>
      </c>
      <c r="H2" s="36" t="str">
        <f>"B "&amp;$D$24</f>
        <v>B 12M</v>
      </c>
      <c r="I2" s="36" t="s">
        <v>89</v>
      </c>
      <c r="J2" s="36" t="s">
        <v>46</v>
      </c>
      <c r="K2" s="37" t="s">
        <v>47</v>
      </c>
      <c r="L2" s="36" t="s">
        <v>48</v>
      </c>
      <c r="M2" s="36" t="s">
        <v>57</v>
      </c>
      <c r="N2" s="36" t="s">
        <v>59</v>
      </c>
      <c r="O2" s="36" t="s">
        <v>60</v>
      </c>
      <c r="P2" s="36" t="s">
        <v>46</v>
      </c>
      <c r="Q2" s="37" t="s">
        <v>47</v>
      </c>
      <c r="R2" s="36" t="s">
        <v>48</v>
      </c>
      <c r="S2" s="36" t="s">
        <v>41</v>
      </c>
      <c r="T2" s="36" t="s">
        <v>42</v>
      </c>
      <c r="U2" s="36" t="s">
        <v>41</v>
      </c>
      <c r="V2" s="36" t="s">
        <v>42</v>
      </c>
      <c r="AD2" s="19" t="s">
        <v>103</v>
      </c>
      <c r="AP2" s="19" t="s">
        <v>100</v>
      </c>
      <c r="BE2" s="125" t="s">
        <v>66</v>
      </c>
      <c r="BF2" s="121"/>
      <c r="BG2" s="121"/>
      <c r="BH2" s="120"/>
      <c r="BI2" s="121"/>
      <c r="BJ2" s="121"/>
      <c r="BK2" s="121"/>
      <c r="BL2" s="121"/>
      <c r="BM2" s="125" t="s">
        <v>67</v>
      </c>
      <c r="BN2" s="121"/>
      <c r="BO2" s="121"/>
      <c r="BP2" s="120"/>
    </row>
    <row r="3" spans="1:69" ht="12" customHeight="1" x14ac:dyDescent="0.2">
      <c r="A3" s="21">
        <f>'6MSynthDepo_used'!A3</f>
        <v>0</v>
      </c>
      <c r="B3" s="55">
        <f t="shared" ref="B3:B9" si="0">A3+SUBSTITUTE($D$24,"M","")</f>
        <v>12</v>
      </c>
      <c r="C3" s="171" t="str">
        <f>"B"&amp;$D$24&amp;"_"&amp;A3&amp;"X"&amp;B3&amp;$D$27</f>
        <v>B12M_0X12ESTIMATED</v>
      </c>
      <c r="D3" s="186">
        <f>SettlementDate</f>
        <v>42279</v>
      </c>
      <c r="E3" s="186">
        <f>_xll.qlInterestRateIndexMaturity($D$25,D3)</f>
        <v>42646</v>
      </c>
      <c r="F3" s="172">
        <f>_xll.qlIndexFixing(ON_12M_index,_xll.qlInterestRateIndexFixingDate(ON_12M_index,D3,Trigger),,AllTriggers)</f>
        <v>-1.7272616941868132E-3</v>
      </c>
      <c r="G3" s="172">
        <f>H3+F3</f>
        <v>1.4028377131147243E-3</v>
      </c>
      <c r="H3" s="226">
        <f>_xll.qlQuoteValue(C3,_xll.ohTrigger(InterestRatesTrigger,'12MSynthDepo_used'!$F$1))</f>
        <v>3.1300994073015375E-3</v>
      </c>
      <c r="I3" s="173">
        <f>_xll.qlDayCounterYearFraction(DayCounter,SettlementDate,D3,,,Trigger)</f>
        <v>0</v>
      </c>
      <c r="J3" s="173">
        <f>1</f>
        <v>1</v>
      </c>
      <c r="K3" s="173">
        <f t="shared" ref="K3:K8" si="1">I3</f>
        <v>0</v>
      </c>
      <c r="L3" s="173">
        <f t="shared" ref="L3:L8" si="2">I3^2</f>
        <v>0</v>
      </c>
      <c r="M3" s="217">
        <f>LN((1+G3*_xll.qlDayCounterYearFraction(DayCounter,D3,E3,,,Trigger))/(1+F3*_xll.qlDayCounterYearFraction(DayCounter,D3,E3,,,Trigger)))</f>
        <v>3.1914929246063778E-3</v>
      </c>
      <c r="N3" s="173">
        <f>_xll.qlDayCounterYearFraction(DayCounter,SettlementDate,D3,,,Trigger)</f>
        <v>0</v>
      </c>
      <c r="O3" s="173">
        <f>_xll.qlDayCounterYearFraction(DayCounter,SettlementDate,E3,,,Trigger)</f>
        <v>1.0194444444444444</v>
      </c>
      <c r="P3" s="173">
        <f>O3-N3</f>
        <v>1.0194444444444444</v>
      </c>
      <c r="Q3" s="173">
        <f>(O3^2-N3^2)/2</f>
        <v>0.51963348765432094</v>
      </c>
      <c r="R3" s="173">
        <f>(O3^3-N3^3)/3</f>
        <v>0.35315831475765885</v>
      </c>
      <c r="S3" s="174" t="b">
        <v>1</v>
      </c>
      <c r="T3" s="174" t="b">
        <v>1</v>
      </c>
      <c r="U3" s="174" t="b">
        <v>0</v>
      </c>
      <c r="V3" s="174" t="b">
        <v>0</v>
      </c>
      <c r="AD3" s="219" t="s">
        <v>41</v>
      </c>
      <c r="AE3" s="220"/>
      <c r="AF3" s="220"/>
      <c r="AG3" s="220"/>
      <c r="AH3" s="220"/>
      <c r="AI3" s="220"/>
      <c r="AJ3" s="220"/>
      <c r="AK3" s="220"/>
      <c r="AL3" s="220"/>
      <c r="AM3" s="221"/>
      <c r="AN3" s="221"/>
      <c r="AO3" s="222"/>
      <c r="AP3" s="219"/>
      <c r="AQ3" s="220"/>
      <c r="AR3" s="220"/>
      <c r="AS3" s="220"/>
      <c r="AT3" s="220"/>
      <c r="AU3" s="220"/>
      <c r="AV3" s="220"/>
      <c r="AW3" s="220"/>
      <c r="AX3" s="220"/>
      <c r="AY3" s="221"/>
      <c r="AZ3" s="221"/>
      <c r="BA3" s="222"/>
      <c r="BE3" s="125" t="s">
        <v>109</v>
      </c>
      <c r="BF3" s="121"/>
      <c r="BG3" s="121"/>
      <c r="BH3" s="120"/>
      <c r="BI3" s="125" t="s">
        <v>108</v>
      </c>
      <c r="BJ3" s="121"/>
      <c r="BK3" s="121"/>
      <c r="BL3" s="120"/>
      <c r="BM3" s="125" t="s">
        <v>109</v>
      </c>
      <c r="BN3" s="121"/>
      <c r="BO3" s="121"/>
      <c r="BP3" s="120"/>
    </row>
    <row r="4" spans="1:69" ht="12" customHeight="1" x14ac:dyDescent="0.2">
      <c r="A4" s="21">
        <v>1</v>
      </c>
      <c r="B4" s="55">
        <f t="shared" si="0"/>
        <v>13</v>
      </c>
      <c r="C4" s="39" t="str">
        <f t="shared" ref="C4:C9" si="3">"B"&amp;$D$24&amp;"_"&amp;A4&amp;"X"&amp;B4</f>
        <v>B12M_1X13</v>
      </c>
      <c r="D4" s="177">
        <f>_xll.qlCalendarAdvance(Calendar,SettlementDate,A4&amp;"M","mf")</f>
        <v>42310</v>
      </c>
      <c r="E4" s="177">
        <f>_xll.qlInterestRateIndexMaturity($D$25,D4)</f>
        <v>42676</v>
      </c>
      <c r="F4" s="53">
        <f>_xll.qlIndexFixing(ON_12M_index,_xll.qlInterestRateIndexFixingDate(ON_12M_index,D4,Trigger),,AllTriggers)</f>
        <v>-1.7759798676635098E-3</v>
      </c>
      <c r="G4" s="53">
        <f t="shared" ref="G4:G8" si="4">H4+F4</f>
        <v>1.3999999999999996E-3</v>
      </c>
      <c r="H4" s="202">
        <f>_xll.qlQuoteValue(C4,_xll.ohTrigger(InterestRatesTrigger,'12MSynthDepo_used'!$F$1))</f>
        <v>3.1759798676635094E-3</v>
      </c>
      <c r="I4" s="41">
        <f>_xll.qlDayCounterYearFraction(DayCounter,SettlementDate,D4,,,Trigger)</f>
        <v>8.611111111111111E-2</v>
      </c>
      <c r="J4" s="41">
        <f>1</f>
        <v>1</v>
      </c>
      <c r="K4" s="41">
        <f t="shared" si="1"/>
        <v>8.611111111111111E-2</v>
      </c>
      <c r="L4" s="41">
        <f t="shared" si="2"/>
        <v>7.4151234567901231E-3</v>
      </c>
      <c r="M4" s="40">
        <f>LN((1+G4*_xll.qlDayCounterYearFraction(DayCounter,D4,E4,,,Trigger))/(1+F4*_xll.qlDayCounterYearFraction(DayCounter,D4,E4,,,Trigger)))</f>
        <v>3.2295329102286345E-3</v>
      </c>
      <c r="N4" s="41">
        <f>_xll.qlDayCounterYearFraction(DayCounter,SettlementDate,D4,,,Trigger)</f>
        <v>8.611111111111111E-2</v>
      </c>
      <c r="O4" s="41">
        <f>_xll.qlDayCounterYearFraction(DayCounter,SettlementDate,E4,,,Trigger)</f>
        <v>1.1027777777777779</v>
      </c>
      <c r="P4" s="41">
        <f t="shared" ref="P4:P8" si="5">O4-N4</f>
        <v>1.0166666666666668</v>
      </c>
      <c r="Q4" s="41">
        <f t="shared" ref="Q4:Q8" si="6">(O4^2-N4^2)/2</f>
        <v>0.60435185185185192</v>
      </c>
      <c r="R4" s="41">
        <f t="shared" ref="R4:R8" si="7">(O4^3-N4^3)/3</f>
        <v>0.44682343106995887</v>
      </c>
      <c r="S4" s="114" t="b">
        <v>1</v>
      </c>
      <c r="T4" s="114" t="b">
        <v>1</v>
      </c>
      <c r="U4" s="114" t="b">
        <v>1</v>
      </c>
      <c r="V4" s="114" t="b">
        <v>1</v>
      </c>
      <c r="AD4" s="94" t="s">
        <v>64</v>
      </c>
      <c r="AE4" s="21"/>
      <c r="AF4" s="21"/>
      <c r="AG4" s="21"/>
      <c r="AH4" s="21"/>
      <c r="AI4" s="112" t="s">
        <v>45</v>
      </c>
      <c r="AJ4" s="33"/>
      <c r="AK4" s="22"/>
      <c r="AL4" s="21"/>
      <c r="AM4" s="21"/>
      <c r="AN4" s="21"/>
      <c r="AO4" s="101"/>
      <c r="AP4" s="94"/>
      <c r="AQ4" s="21"/>
      <c r="AR4" s="21"/>
      <c r="AS4" s="21"/>
      <c r="AT4" s="21"/>
      <c r="AU4" s="112" t="s">
        <v>45</v>
      </c>
      <c r="AV4" s="33"/>
      <c r="AW4" s="22"/>
      <c r="AX4" s="21"/>
      <c r="AY4" s="21"/>
      <c r="AZ4" s="21"/>
      <c r="BA4" s="101"/>
      <c r="BE4" s="116" t="str">
        <f>G34</f>
        <v>with 0X12</v>
      </c>
      <c r="BF4" s="118"/>
      <c r="BG4" s="117" t="str">
        <f>S34</f>
        <v>without 0X12</v>
      </c>
      <c r="BH4" s="118"/>
      <c r="BI4" s="116" t="str">
        <f>U34</f>
        <v>with 0X12</v>
      </c>
      <c r="BJ4" s="118"/>
      <c r="BK4" s="117" t="str">
        <f>W34</f>
        <v>without 0X12</v>
      </c>
      <c r="BL4" s="118"/>
      <c r="BM4" s="116" t="str">
        <f>Y34</f>
        <v>with 0X12</v>
      </c>
      <c r="BN4" s="118"/>
      <c r="BO4" s="117" t="str">
        <f>AA34</f>
        <v>without 0X12</v>
      </c>
      <c r="BP4" s="118"/>
    </row>
    <row r="5" spans="1:69" ht="12" customHeight="1" x14ac:dyDescent="0.2">
      <c r="A5" s="21">
        <v>2</v>
      </c>
      <c r="B5" s="55">
        <f t="shared" si="0"/>
        <v>14</v>
      </c>
      <c r="C5" s="39" t="str">
        <f t="shared" si="3"/>
        <v>B12M_2X14</v>
      </c>
      <c r="D5" s="177">
        <f>_xll.qlCalendarAdvance(Calendar,SettlementDate,A5&amp;"M","mf")</f>
        <v>42340</v>
      </c>
      <c r="E5" s="177">
        <f>_xll.qlInterestRateIndexMaturity($D$25,D5)</f>
        <v>42706</v>
      </c>
      <c r="F5" s="53">
        <f>_xll.qlIndexFixing(ON_12M_index,_xll.qlInterestRateIndexFixingDate(ON_12M_index,D5,Trigger),,AllTriggers)</f>
        <v>-1.8131920589106142E-3</v>
      </c>
      <c r="G5" s="53">
        <f t="shared" si="4"/>
        <v>1.3999999999999998E-3</v>
      </c>
      <c r="H5" s="202">
        <f>_xll.qlQuoteValue(C5,_xll.ohTrigger(InterestRatesTrigger,'12MSynthDepo_used'!$F$1))</f>
        <v>3.2131920589106139E-3</v>
      </c>
      <c r="I5" s="41">
        <f>_xll.qlDayCounterYearFraction(DayCounter,SettlementDate,D5,,,Trigger)</f>
        <v>0.16944444444444445</v>
      </c>
      <c r="J5" s="41">
        <f>1</f>
        <v>1</v>
      </c>
      <c r="K5" s="41">
        <f t="shared" si="1"/>
        <v>0.16944444444444445</v>
      </c>
      <c r="L5" s="41">
        <f t="shared" si="2"/>
        <v>2.8711419753086422E-2</v>
      </c>
      <c r="M5" s="40">
        <f>LN((1+G5*_xll.qlDayCounterYearFraction(DayCounter,D5,E5,,,Trigger))/(1+F5*_xll.qlDayCounterYearFraction(DayCounter,D5,E5,,,Trigger)))</f>
        <v>3.2674344558760045E-3</v>
      </c>
      <c r="N5" s="41">
        <f>_xll.qlDayCounterYearFraction(DayCounter,SettlementDate,D5,,,Trigger)</f>
        <v>0.16944444444444445</v>
      </c>
      <c r="O5" s="41">
        <f>_xll.qlDayCounterYearFraction(DayCounter,SettlementDate,E5,,,Trigger)</f>
        <v>1.1861111111111111</v>
      </c>
      <c r="P5" s="41">
        <f t="shared" si="5"/>
        <v>1.0166666666666666</v>
      </c>
      <c r="Q5" s="41">
        <f t="shared" si="6"/>
        <v>0.68907407407407406</v>
      </c>
      <c r="R5" s="41">
        <f t="shared" si="7"/>
        <v>0.55460892489711933</v>
      </c>
      <c r="S5" s="114" t="b">
        <v>0</v>
      </c>
      <c r="T5" s="114" t="b">
        <v>0</v>
      </c>
      <c r="U5" s="114" t="b">
        <v>0</v>
      </c>
      <c r="V5" s="114" t="b">
        <v>0</v>
      </c>
      <c r="AD5" s="94"/>
      <c r="AE5" s="124"/>
      <c r="AF5" s="27">
        <f t="array" ref="AF5:AF6">_xll.ohFilter(K3:K9,S3:S9)</f>
        <v>0</v>
      </c>
      <c r="AG5" s="28">
        <f t="array" ref="AG5:AG6">_xll.ohFilter(J3:J9,S3:S9)</f>
        <v>1</v>
      </c>
      <c r="AH5" s="303" t="s">
        <v>20</v>
      </c>
      <c r="AI5" s="29">
        <f t="array" ref="AI5:AI6">MMULT(AL5:AM6,AK5:AK6)</f>
        <v>5.3280534613902447E-4</v>
      </c>
      <c r="AJ5" s="303" t="s">
        <v>21</v>
      </c>
      <c r="AK5" s="30">
        <f t="array" ref="AK5:AK6">_xll.ohFilter(H3:H9,S3:S9)</f>
        <v>3.1300994073015375E-3</v>
      </c>
      <c r="AL5" s="27">
        <f t="array" ref="AL5:AM6">MINVERSE(AF5:AG6)</f>
        <v>-11.612903225806452</v>
      </c>
      <c r="AM5" s="28">
        <v>11.612903225806452</v>
      </c>
      <c r="AN5" s="21"/>
      <c r="AO5" s="101"/>
      <c r="AP5" s="94"/>
      <c r="AQ5" s="124"/>
      <c r="AR5" s="27">
        <f t="array" ref="AR5:AR6">_xll.ohFilter(Q3:Q9,S3:S9)</f>
        <v>0.51963348765432094</v>
      </c>
      <c r="AS5" s="28">
        <f t="array" ref="AS5:AS6">_xll.ohFilter(P3:P9,S3:S9)</f>
        <v>1.0194444444444444</v>
      </c>
      <c r="AT5" s="303" t="s">
        <v>20</v>
      </c>
      <c r="AU5" s="29">
        <f t="array" ref="AU5:AU6">MMULT(AX5:AY6,AW5:AW6)</f>
        <v>5.4259654673159685E-4</v>
      </c>
      <c r="AV5" s="303" t="s">
        <v>21</v>
      </c>
      <c r="AW5" s="56">
        <f t="array" ref="AW5:AW6">_xll.ohFilter(M3:M9,S3:S9)</f>
        <v>3.1914929246063778E-3</v>
      </c>
      <c r="AX5" s="27">
        <f t="array" ref="AX5:AY6">MINVERSE(AR5:AS6)</f>
        <v>-11.5781480323402</v>
      </c>
      <c r="AY5" s="28">
        <v>11.609782316581565</v>
      </c>
      <c r="AZ5" s="21"/>
      <c r="BA5" s="101"/>
      <c r="BC5" s="36" t="s">
        <v>38</v>
      </c>
      <c r="BD5" s="36" t="s">
        <v>55</v>
      </c>
      <c r="BE5" s="36" t="str">
        <f>G35</f>
        <v>Linear</v>
      </c>
      <c r="BF5" s="36" t="str">
        <f>H35</f>
        <v>Quadratic</v>
      </c>
      <c r="BG5" s="36" t="str">
        <f>S35</f>
        <v>Linear</v>
      </c>
      <c r="BH5" s="36" t="str">
        <f>T35</f>
        <v>Quadratic</v>
      </c>
      <c r="BI5" s="36" t="str">
        <f>U35</f>
        <v>Linear</v>
      </c>
      <c r="BJ5" s="36" t="str">
        <f>V35</f>
        <v>Quadratic</v>
      </c>
      <c r="BK5" s="36" t="str">
        <f>W35</f>
        <v>Linear</v>
      </c>
      <c r="BL5" s="36" t="str">
        <f>X35</f>
        <v>Quadratic</v>
      </c>
      <c r="BM5" s="36" t="str">
        <f>Y35</f>
        <v>Linear</v>
      </c>
      <c r="BN5" s="36" t="str">
        <f>Z35</f>
        <v>Quadratic</v>
      </c>
      <c r="BO5" s="36" t="str">
        <f>AA35</f>
        <v>Linear</v>
      </c>
      <c r="BP5" s="36" t="str">
        <f>AB35</f>
        <v>Quadratic</v>
      </c>
      <c r="BQ5" s="36" t="s">
        <v>105</v>
      </c>
    </row>
    <row r="6" spans="1:69" ht="12" customHeight="1" x14ac:dyDescent="0.2">
      <c r="A6" s="21">
        <v>3</v>
      </c>
      <c r="B6" s="55">
        <f t="shared" si="0"/>
        <v>15</v>
      </c>
      <c r="C6" s="39" t="str">
        <f t="shared" si="3"/>
        <v>B12M_3X15</v>
      </c>
      <c r="D6" s="177">
        <f>_xll.qlCalendarAdvance(Calendar,SettlementDate,A6&amp;"M","mf")</f>
        <v>42373</v>
      </c>
      <c r="E6" s="177">
        <f>_xll.qlInterestRateIndexMaturity($D$25,D6)</f>
        <v>42739</v>
      </c>
      <c r="F6" s="53">
        <f>_xll.qlIndexFixing(ON_12M_index,_xll.qlInterestRateIndexFixingDate(ON_12M_index,D6,Trigger),,AllTriggers)</f>
        <v>-1.8567217092998706E-3</v>
      </c>
      <c r="G6" s="53">
        <f t="shared" si="4"/>
        <v>1.4199999999999998E-3</v>
      </c>
      <c r="H6" s="202">
        <f>_xll.qlQuoteValue(C6,_xll.ohTrigger(InterestRatesTrigger,'12MSynthDepo_used'!$F$1))</f>
        <v>3.2767217092998704E-3</v>
      </c>
      <c r="I6" s="41">
        <f>_xll.qlDayCounterYearFraction(DayCounter,SettlementDate,D6,,,Trigger)</f>
        <v>0.26111111111111113</v>
      </c>
      <c r="J6" s="41">
        <f>1</f>
        <v>1</v>
      </c>
      <c r="K6" s="41">
        <f t="shared" si="1"/>
        <v>0.26111111111111113</v>
      </c>
      <c r="L6" s="41">
        <f t="shared" si="2"/>
        <v>6.8179012345679024E-2</v>
      </c>
      <c r="M6" s="40">
        <f>LN((1+G6*_xll.qlDayCounterYearFraction(DayCounter,D6,E6,,,Trigger))/(1+F6*_xll.qlDayCounterYearFraction(DayCounter,D6,E6,,,Trigger)))</f>
        <v>3.3320765416964453E-3</v>
      </c>
      <c r="N6" s="41">
        <f>_xll.qlDayCounterYearFraction(DayCounter,SettlementDate,D6,,,Trigger)</f>
        <v>0.26111111111111113</v>
      </c>
      <c r="O6" s="41">
        <f>_xll.qlDayCounterYearFraction(DayCounter,SettlementDate,E6,,,Trigger)</f>
        <v>1.2777777777777777</v>
      </c>
      <c r="P6" s="41">
        <f t="shared" si="5"/>
        <v>1.0166666666666666</v>
      </c>
      <c r="Q6" s="41">
        <f t="shared" si="6"/>
        <v>0.78226851851851831</v>
      </c>
      <c r="R6" s="41">
        <f t="shared" si="7"/>
        <v>0.68948199588477355</v>
      </c>
      <c r="S6" s="114" t="b">
        <v>0</v>
      </c>
      <c r="T6" s="114" t="b">
        <v>1</v>
      </c>
      <c r="U6" s="114" t="b">
        <v>1</v>
      </c>
      <c r="V6" s="114" t="b">
        <v>1</v>
      </c>
      <c r="AD6" s="94"/>
      <c r="AE6" s="21"/>
      <c r="AF6" s="27">
        <v>8.611111111111111E-2</v>
      </c>
      <c r="AG6" s="28">
        <v>1</v>
      </c>
      <c r="AH6" s="303"/>
      <c r="AI6" s="29">
        <v>3.1300994073015375E-3</v>
      </c>
      <c r="AJ6" s="303"/>
      <c r="AK6" s="30">
        <v>3.1759798676635094E-3</v>
      </c>
      <c r="AL6" s="27">
        <v>1</v>
      </c>
      <c r="AM6" s="28">
        <v>0</v>
      </c>
      <c r="AN6" s="21"/>
      <c r="AO6" s="101"/>
      <c r="AP6" s="94"/>
      <c r="AQ6" s="21"/>
      <c r="AR6" s="27">
        <v>0.60435185185185192</v>
      </c>
      <c r="AS6" s="28">
        <v>1.0166666666666668</v>
      </c>
      <c r="AT6" s="303"/>
      <c r="AU6" s="29">
        <v>2.8540462449865335E-3</v>
      </c>
      <c r="AV6" s="303"/>
      <c r="AW6" s="56">
        <v>3.2295329102286345E-3</v>
      </c>
      <c r="AX6" s="27">
        <v>6.8825657747800078</v>
      </c>
      <c r="AY6" s="28">
        <v>-5.9177640419242143</v>
      </c>
      <c r="AZ6" s="21"/>
      <c r="BA6" s="101"/>
      <c r="BC6" s="176">
        <f>SettlementDate</f>
        <v>42279</v>
      </c>
      <c r="BD6" s="41">
        <f>_xll.qlDayCounterYearFraction(DayCounter,SettlementDate,BC6,,,Trigger)</f>
        <v>0</v>
      </c>
      <c r="BE6" s="47">
        <f>_xll.qlPolynomialFunctionValue(BE$1,$BD6,AllTriggers)</f>
        <v>2.8585166822556736E-3</v>
      </c>
      <c r="BF6" s="52">
        <f>_xll.qlPolynomialFunctionValue(BF$1,$BD6,AllTriggers)</f>
        <v>2.8941550634723743E-3</v>
      </c>
      <c r="BG6" s="47">
        <f>_xll.qlPolynomialFunctionValue(BG$1,$BD6,AllTriggers)</f>
        <v>2.8329778830444713E-3</v>
      </c>
      <c r="BH6" s="52">
        <f>_xll.qlPolynomialFunctionValue(BH$1,$BD6,AllTriggers)</f>
        <v>2.9025914143730428E-3</v>
      </c>
      <c r="BI6" s="52">
        <f>_xll.qlPolynomialFunctionValue(BI$1,$BD6,AllTriggers)</f>
        <v>2.8540462449865335E-3</v>
      </c>
      <c r="BJ6" s="52">
        <f>_xll.qlPolynomialFunctionValue(BJ$1,$BD6,AllTriggers)</f>
        <v>2.8812246416337201E-3</v>
      </c>
      <c r="BK6" s="52">
        <f>_xll.qlPolynomialFunctionValue(BK$1,$BD6,AllTriggers)</f>
        <v>2.8339771461403946E-3</v>
      </c>
      <c r="BL6" s="52">
        <f>_xll.qlPolynomialFunctionValue(BL$1,$BD6,AllTriggers)</f>
        <v>2.9059706731738837E-3</v>
      </c>
      <c r="BM6" s="52">
        <f>_xll.qlPolynomialFunctionValue(BM$1,$BD6,AllTriggers)</f>
        <v>2.8123139269060648E-3</v>
      </c>
      <c r="BN6" s="52">
        <f>_xll.qlPolynomialFunctionValue(BN$1,$BD6,AllTriggers)</f>
        <v>2.8629271133992027E-3</v>
      </c>
      <c r="BO6" s="52">
        <f>_xll.qlPolynomialFunctionValue(BO$1,$BD6,AllTriggers)</f>
        <v>2.7975977933832968E-3</v>
      </c>
      <c r="BP6" s="52">
        <f>_xll.qlPolynomialFunctionValue(BP$1,$BD6,AllTriggers)</f>
        <v>2.8168693205633771E-3</v>
      </c>
      <c r="BQ6" s="52">
        <f>_xll.qlPolynomialFunctionValue('12MSynthDepo_used'!$P$18,BD6,AllTriggers)</f>
        <v>2.829952187027222E-3</v>
      </c>
    </row>
    <row r="7" spans="1:69" ht="12" customHeight="1" x14ac:dyDescent="0.2">
      <c r="A7" s="21">
        <v>6</v>
      </c>
      <c r="B7" s="55">
        <f t="shared" si="0"/>
        <v>18</v>
      </c>
      <c r="C7" s="39" t="str">
        <f t="shared" si="3"/>
        <v>B12M_6X18</v>
      </c>
      <c r="D7" s="177">
        <f>_xll.qlCalendarAdvance(Calendar,SettlementDate,A7&amp;"M","mf")</f>
        <v>42464</v>
      </c>
      <c r="E7" s="177">
        <f>_xll.qlInterestRateIndexMaturity($D$25,D7)</f>
        <v>42829</v>
      </c>
      <c r="F7" s="53">
        <f>_xll.qlIndexFixing(ON_12M_index,_xll.qlInterestRateIndexFixingDate(ON_12M_index,D7,Trigger),,AllTriggers)</f>
        <v>-1.8924358551712199E-3</v>
      </c>
      <c r="G7" s="53">
        <f t="shared" si="4"/>
        <v>1.5500000000000002E-3</v>
      </c>
      <c r="H7" s="202">
        <f>_xll.qlQuoteValue(C7,_xll.ohTrigger(InterestRatesTrigger,'12MSynthDepo_used'!$F$1))</f>
        <v>3.4424358551712201E-3</v>
      </c>
      <c r="I7" s="41">
        <f>_xll.qlDayCounterYearFraction(DayCounter,SettlementDate,D7,,,Trigger)</f>
        <v>0.51388888888888884</v>
      </c>
      <c r="J7" s="41">
        <f>1</f>
        <v>1</v>
      </c>
      <c r="K7" s="41">
        <f t="shared" si="1"/>
        <v>0.51388888888888884</v>
      </c>
      <c r="L7" s="41">
        <f t="shared" si="2"/>
        <v>0.26408179012345673</v>
      </c>
      <c r="M7" s="40">
        <f>LN((1+G7*_xll.qlDayCounterYearFraction(DayCounter,D7,E7,,,Trigger))/(1+F7*_xll.qlDayCounterYearFraction(DayCounter,D7,E7,,,Trigger)))</f>
        <v>3.4908570072941705E-3</v>
      </c>
      <c r="N7" s="41">
        <f>_xll.qlDayCounterYearFraction(DayCounter,SettlementDate,D7,,,Trigger)</f>
        <v>0.51388888888888884</v>
      </c>
      <c r="O7" s="41">
        <f>_xll.qlDayCounterYearFraction(DayCounter,SettlementDate,E7,,,Trigger)</f>
        <v>1.5277777777777777</v>
      </c>
      <c r="P7" s="41">
        <f t="shared" si="5"/>
        <v>1.0138888888888888</v>
      </c>
      <c r="Q7" s="41">
        <f t="shared" si="6"/>
        <v>1.035011574074074</v>
      </c>
      <c r="R7" s="41">
        <f t="shared" si="7"/>
        <v>1.1434283193301324</v>
      </c>
      <c r="S7" s="114" t="b">
        <v>0</v>
      </c>
      <c r="T7" s="114" t="b">
        <v>1</v>
      </c>
      <c r="U7" s="114" t="b">
        <v>0</v>
      </c>
      <c r="V7" s="114" t="b">
        <v>1</v>
      </c>
      <c r="AD7" s="94"/>
      <c r="AE7" s="21"/>
      <c r="AF7" s="21"/>
      <c r="AG7" s="21"/>
      <c r="AH7" s="21"/>
      <c r="AI7" s="111"/>
      <c r="AJ7" s="33"/>
      <c r="AK7" s="22"/>
      <c r="AL7" s="21"/>
      <c r="AM7" s="21"/>
      <c r="AN7" s="21"/>
      <c r="AO7" s="101"/>
      <c r="AP7" s="94"/>
      <c r="AQ7" s="21"/>
      <c r="AR7" s="21"/>
      <c r="AS7" s="21"/>
      <c r="AT7" s="21"/>
      <c r="AU7" s="111"/>
      <c r="AV7" s="33"/>
      <c r="AW7" s="218"/>
      <c r="AX7" s="21"/>
      <c r="AY7" s="21"/>
      <c r="AZ7" s="21"/>
      <c r="BA7" s="101"/>
      <c r="BC7" s="178">
        <f>_xll.qlCalendarAdvance(Calendar,BC6,"1d","mf",,Trigger)</f>
        <v>42282</v>
      </c>
      <c r="BD7" s="41">
        <f>_xll.qlDayCounterYearFraction(DayCounter,SettlementDate,BC7,,,Trigger)</f>
        <v>8.3333333333333332E-3</v>
      </c>
      <c r="BE7" s="47">
        <f>_xll.qlPolynomialFunctionValue(BE$1,$BD7,AllTriggers)</f>
        <v>2.862956726806832E-3</v>
      </c>
      <c r="BF7" s="47">
        <f>_xll.qlPolynomialFunctionValue(BF$1,$BD7,AllTriggers)</f>
        <v>2.8970941668409076E-3</v>
      </c>
      <c r="BG7" s="47">
        <f>_xll.qlPolynomialFunctionValue(BG$1,$BD7,AllTriggers)</f>
        <v>2.8377751135985835E-3</v>
      </c>
      <c r="BH7" s="47">
        <f>_xll.qlPolynomialFunctionValue(BH$1,$BD7,AllTriggers)</f>
        <v>2.9052742814644878E-3</v>
      </c>
      <c r="BI7" s="47">
        <f>_xll.qlPolynomialFunctionValue(BI$1,$BD7,AllTriggers)</f>
        <v>2.8585678828759635E-3</v>
      </c>
      <c r="BJ7" s="47">
        <f>_xll.qlPolynomialFunctionValue(BJ$1,$BD7,AllTriggers)</f>
        <v>2.8845900176782189E-3</v>
      </c>
      <c r="BK7" s="47">
        <f>_xll.qlPolynomialFunctionValue(BK$1,$BD7,AllTriggers)</f>
        <v>2.8387801265370135E-3</v>
      </c>
      <c r="BL7" s="47">
        <f>_xll.qlPolynomialFunctionValue(BL$1,$BD7,AllTriggers)</f>
        <v>2.9085830991991625E-3</v>
      </c>
      <c r="BM7" s="47">
        <f>_xll.qlPolynomialFunctionValue(BM$1,$BD7,AllTriggers)</f>
        <v>2.8173821183396196E-3</v>
      </c>
      <c r="BN7" s="47">
        <f>_xll.qlPolynomialFunctionValue(BN$1,$BD7,AllTriggers)</f>
        <v>2.8667476030933186E-3</v>
      </c>
      <c r="BO7" s="47">
        <f>_xll.qlPolynomialFunctionValue(BO$1,$BD7,AllTriggers)</f>
        <v>2.8027983455946939E-3</v>
      </c>
      <c r="BP7" s="47">
        <f>_xll.qlPolynomialFunctionValue(BP$1,$BD7,AllTriggers)</f>
        <v>2.8216395775347977E-3</v>
      </c>
      <c r="BQ7" s="47">
        <f>_xll.qlPolynomialFunctionValue('12MSynthDepo_used'!$P$18,BD7,AllTriggers)</f>
        <v>2.8345302578770015E-3</v>
      </c>
    </row>
    <row r="8" spans="1:69" ht="12" customHeight="1" x14ac:dyDescent="0.2">
      <c r="A8" s="21">
        <v>9</v>
      </c>
      <c r="B8" s="55">
        <f t="shared" si="0"/>
        <v>21</v>
      </c>
      <c r="C8" s="39" t="str">
        <f t="shared" si="3"/>
        <v>B12M_9X21</v>
      </c>
      <c r="D8" s="177">
        <f>_xll.qlCalendarAdvance(Calendar,SettlementDate,A8&amp;"M","mf")</f>
        <v>42555</v>
      </c>
      <c r="E8" s="177">
        <f>_xll.qlInterestRateIndexMaturity($D$25,D8)</f>
        <v>42920</v>
      </c>
      <c r="F8" s="53">
        <f>_xll.qlIndexFixing(ON_12M_index,_xll.qlInterestRateIndexFixingDate(ON_12M_index,D8,Trigger),,AllTriggers)</f>
        <v>-1.8414437202698085E-3</v>
      </c>
      <c r="G8" s="53">
        <f t="shared" si="4"/>
        <v>1.7499999999999998E-3</v>
      </c>
      <c r="H8" s="202">
        <f>_xll.qlQuoteValue(C8,_xll.ohTrigger(InterestRatesTrigger,'12MSynthDepo_used'!$F$1))</f>
        <v>3.5914437202698084E-3</v>
      </c>
      <c r="I8" s="41">
        <f>_xll.qlDayCounterYearFraction(DayCounter,SettlementDate,D8,,,Trigger)</f>
        <v>0.76666666666666672</v>
      </c>
      <c r="J8" s="41">
        <f>1</f>
        <v>1</v>
      </c>
      <c r="K8" s="41">
        <f t="shared" si="1"/>
        <v>0.76666666666666672</v>
      </c>
      <c r="L8" s="41">
        <f t="shared" si="2"/>
        <v>0.58777777777777784</v>
      </c>
      <c r="M8" s="40">
        <f>LN((1+G8*_xll.qlDayCounterYearFraction(DayCounter,D8,E8,,,Trigger))/(1+F8*_xll.qlDayCounterYearFraction(DayCounter,D8,E8,,,Trigger)))</f>
        <v>3.6414977153621897E-3</v>
      </c>
      <c r="N8" s="41">
        <f>_xll.qlDayCounterYearFraction(DayCounter,SettlementDate,D8,,,Trigger)</f>
        <v>0.76666666666666672</v>
      </c>
      <c r="O8" s="41">
        <f>_xll.qlDayCounterYearFraction(DayCounter,SettlementDate,E8,,,Trigger)</f>
        <v>1.7805555555555554</v>
      </c>
      <c r="P8" s="41">
        <f t="shared" si="5"/>
        <v>1.0138888888888888</v>
      </c>
      <c r="Q8" s="41">
        <f t="shared" si="6"/>
        <v>1.2913001543209874</v>
      </c>
      <c r="R8" s="41">
        <f t="shared" si="7"/>
        <v>1.7314682284522174</v>
      </c>
      <c r="S8" s="114" t="b">
        <v>0</v>
      </c>
      <c r="T8" s="114" t="b">
        <v>0</v>
      </c>
      <c r="U8" s="114" t="b">
        <v>0</v>
      </c>
      <c r="V8" s="114" t="b">
        <v>0</v>
      </c>
      <c r="AD8" s="94" t="s">
        <v>65</v>
      </c>
      <c r="AE8" s="21"/>
      <c r="AF8" s="21"/>
      <c r="AG8" s="21"/>
      <c r="AH8" s="21"/>
      <c r="AI8" s="112" t="s">
        <v>45</v>
      </c>
      <c r="AJ8" s="33"/>
      <c r="AK8" s="22"/>
      <c r="AL8" s="21"/>
      <c r="AM8" s="21"/>
      <c r="AN8" s="21"/>
      <c r="AO8" s="101"/>
      <c r="AP8" s="94"/>
      <c r="AQ8" s="21"/>
      <c r="AR8" s="21"/>
      <c r="AS8" s="21"/>
      <c r="AT8" s="21"/>
      <c r="AU8" s="112" t="s">
        <v>45</v>
      </c>
      <c r="AV8" s="33"/>
      <c r="AW8" s="218"/>
      <c r="AX8" s="21"/>
      <c r="AY8" s="21"/>
      <c r="AZ8" s="21"/>
      <c r="BA8" s="101"/>
      <c r="BC8" s="178">
        <f>_xll.qlCalendarAdvance(Calendar,BC7,"1d","mf",,Trigger)</f>
        <v>42283</v>
      </c>
      <c r="BD8" s="41">
        <f>_xll.qlDayCounterYearFraction(DayCounter,SettlementDate,BC8,,,Trigger)</f>
        <v>1.1111111111111112E-2</v>
      </c>
      <c r="BE8" s="47">
        <f>_xll.qlPolynomialFunctionValue(BE$1,$BD8,AllTriggers)</f>
        <v>2.8644367416572184E-3</v>
      </c>
      <c r="BF8" s="47">
        <f>_xll.qlPolynomialFunctionValue(BF$1,$BD8,AllTriggers)</f>
        <v>2.8980789344318792E-3</v>
      </c>
      <c r="BG8" s="47">
        <f>_xll.qlPolynomialFunctionValue(BG$1,$BD8,AllTriggers)</f>
        <v>2.8393741904499544E-3</v>
      </c>
      <c r="BH8" s="47">
        <f>_xll.qlPolynomialFunctionValue(BH$1,$BD8,AllTriggers)</f>
        <v>2.9061743356305187E-3</v>
      </c>
      <c r="BI8" s="47">
        <f>_xll.qlPolynomialFunctionValue(BI$1,$BD8,AllTriggers)</f>
        <v>2.8600750955057735E-3</v>
      </c>
      <c r="BJ8" s="47">
        <f>_xll.qlPolynomialFunctionValue(BJ$1,$BD8,AllTriggers)</f>
        <v>2.8857157375737955E-3</v>
      </c>
      <c r="BK8" s="47">
        <f>_xll.qlPolynomialFunctionValue(BK$1,$BD8,AllTriggers)</f>
        <v>2.8403811200025529E-3</v>
      </c>
      <c r="BL8" s="47">
        <f>_xll.qlPolynomialFunctionValue(BL$1,$BD8,AllTriggers)</f>
        <v>2.9094598929954884E-3</v>
      </c>
      <c r="BM8" s="47">
        <f>_xll.qlPolynomialFunctionValue(BM$1,$BD8,AllTriggers)</f>
        <v>2.8190715154841374E-3</v>
      </c>
      <c r="BN8" s="47">
        <f>_xll.qlPolynomialFunctionValue(BN$1,$BD8,AllTriggers)</f>
        <v>2.8680238388843777E-3</v>
      </c>
      <c r="BO8" s="47">
        <f>_xll.qlPolynomialFunctionValue(BO$1,$BD8,AllTriggers)</f>
        <v>2.8045318629984928E-3</v>
      </c>
      <c r="BP8" s="47">
        <f>_xll.qlPolynomialFunctionValue(BP$1,$BD8,AllTriggers)</f>
        <v>2.8232305513948845E-3</v>
      </c>
      <c r="BQ8" s="47">
        <f>_xll.qlPolynomialFunctionValue('12MSynthDepo_used'!$P$18,BD8,AllTriggers)</f>
        <v>2.8360589341541549E-3</v>
      </c>
    </row>
    <row r="9" spans="1:69" ht="12" customHeight="1" x14ac:dyDescent="0.2">
      <c r="A9" s="21">
        <v>12</v>
      </c>
      <c r="B9" s="55">
        <f t="shared" si="0"/>
        <v>24</v>
      </c>
      <c r="C9" s="42" t="str">
        <f t="shared" si="3"/>
        <v>B12M_12X24</v>
      </c>
      <c r="D9" s="181">
        <f>_xll.qlCalendarAdvance(Calendar,SettlementDate,A9&amp;"M","mf")</f>
        <v>42646</v>
      </c>
      <c r="E9" s="181">
        <f>_xll.qlInterestRateIndexMaturity($D$25,D9)</f>
        <v>43011</v>
      </c>
      <c r="F9" s="54">
        <f>_xll.qlIndexFixing(ON_12M_index,_xll.qlInterestRateIndexFixingDate(ON_12M_index,D9,Trigger),,AllTriggers)</f>
        <v>-1.6911753911141494E-3</v>
      </c>
      <c r="G9" s="54">
        <f t="shared" ref="G9" si="8">H9+F9</f>
        <v>2.0299999999999997E-3</v>
      </c>
      <c r="H9" s="203">
        <f>_xll.qlQuoteValue(C9,_xll.ohTrigger(InterestRatesTrigger,'12MSynthDepo_used'!$F$1))</f>
        <v>3.7211753911141491E-3</v>
      </c>
      <c r="I9" s="44">
        <f>_xll.qlDayCounterYearFraction(DayCounter,SettlementDate,D9,,,Trigger)</f>
        <v>1.0194444444444444</v>
      </c>
      <c r="J9" s="44">
        <f>1</f>
        <v>1</v>
      </c>
      <c r="K9" s="44">
        <f t="shared" ref="K9" si="9">I9</f>
        <v>1.0194444444444444</v>
      </c>
      <c r="L9" s="44">
        <f t="shared" ref="L9" si="10">I9^2</f>
        <v>1.0392669753086419</v>
      </c>
      <c r="M9" s="43">
        <f>LN((1+G9*_xll.qlDayCounterYearFraction(DayCounter,D9,E9,,,Trigger))/(1+F9*_xll.qlDayCounterYearFraction(DayCounter,D9,E9,,,Trigger)))</f>
        <v>3.7722149210627663E-3</v>
      </c>
      <c r="N9" s="44">
        <f>_xll.qlDayCounterYearFraction(DayCounter,SettlementDate,D9,,,Trigger)</f>
        <v>1.0194444444444444</v>
      </c>
      <c r="O9" s="44">
        <f>_xll.qlDayCounterYearFraction(DayCounter,SettlementDate,E9,,,Trigger)</f>
        <v>2.0333333333333332</v>
      </c>
      <c r="P9" s="44">
        <f t="shared" ref="P9" si="11">O9-N9</f>
        <v>1.0138888888888888</v>
      </c>
      <c r="Q9" s="44">
        <f t="shared" ref="Q9" si="12">(O9^2-N9^2)/2</f>
        <v>1.5475887345679011</v>
      </c>
      <c r="R9" s="44">
        <f t="shared" ref="R9" si="13">(O9^3-N9^3)/3</f>
        <v>2.4490762531435752</v>
      </c>
      <c r="S9" s="150" t="b">
        <v>0</v>
      </c>
      <c r="T9" s="150" t="b">
        <v>0</v>
      </c>
      <c r="U9" s="150" t="b">
        <v>0</v>
      </c>
      <c r="V9" s="150" t="b">
        <v>0</v>
      </c>
      <c r="AD9" s="94"/>
      <c r="AE9" s="32"/>
      <c r="AF9" s="27">
        <f t="array" ref="AF9:AF10">_xll.ohFilter(K3:K9,U3:U9)</f>
        <v>8.611111111111111E-2</v>
      </c>
      <c r="AG9" s="28">
        <f t="array" ref="AG9:AG10">_xll.ohFilter(J3:J9,U3:U9)</f>
        <v>1</v>
      </c>
      <c r="AH9" s="303" t="s">
        <v>20</v>
      </c>
      <c r="AI9" s="29">
        <f t="array" ref="AI9:AI10">MMULT(AL9:AM10,AK9:AK10)</f>
        <v>5.756676664934908E-4</v>
      </c>
      <c r="AJ9" s="303" t="s">
        <v>21</v>
      </c>
      <c r="AK9" s="30">
        <f t="array" ref="AK9:AK10">_xll.ohFilter(H3:H9,U3:U9)</f>
        <v>3.1759798676635094E-3</v>
      </c>
      <c r="AL9" s="27">
        <f t="array" ref="AL9:AM10">MINVERSE(AF9:AG10)</f>
        <v>-5.7142857142857144</v>
      </c>
      <c r="AM9" s="28">
        <v>5.7142857142857144</v>
      </c>
      <c r="AN9" s="21"/>
      <c r="AO9" s="101"/>
      <c r="AP9" s="94"/>
      <c r="AQ9" s="32"/>
      <c r="AR9" s="27">
        <f t="array" ref="AR9:AR10">_xll.ohFilter(Q3:Q9,U3:U9)</f>
        <v>0.60435185185185192</v>
      </c>
      <c r="AS9" s="28">
        <f t="array" ref="AS9:AS10">_xll.ohFilter(P3:P9,U3:U9)</f>
        <v>1.0166666666666668</v>
      </c>
      <c r="AT9" s="303" t="s">
        <v>20</v>
      </c>
      <c r="AU9" s="29">
        <f t="array" ref="AU9:AU10">MMULT(AX9:AY10,AW9:AW10)</f>
        <v>5.7635764759425556E-4</v>
      </c>
      <c r="AV9" s="303" t="s">
        <v>21</v>
      </c>
      <c r="AW9" s="56">
        <f t="array" ref="AW9:AW10">_xll.ohFilter(M3:M9,U3:U9)</f>
        <v>3.2295329102286345E-3</v>
      </c>
      <c r="AX9" s="27">
        <f t="array" ref="AX9:AY10">MINVERSE(AR9:AS10)</f>
        <v>-5.6206088992974292</v>
      </c>
      <c r="AY9" s="28">
        <v>5.6206088992974301</v>
      </c>
      <c r="AZ9" s="21"/>
      <c r="BA9" s="101"/>
      <c r="BC9" s="178">
        <f>_xll.qlCalendarAdvance(Calendar,BC8,"1d","mf",,Trigger)</f>
        <v>42284</v>
      </c>
      <c r="BD9" s="41">
        <f>_xll.qlDayCounterYearFraction(DayCounter,SettlementDate,BC9,,,Trigger)</f>
        <v>1.3888888888888888E-2</v>
      </c>
      <c r="BE9" s="47">
        <f>_xll.qlPolynomialFunctionValue(BE$1,$BD9,AllTriggers)</f>
        <v>2.8659167565076044E-3</v>
      </c>
      <c r="BF9" s="47">
        <f>_xll.qlPolynomialFunctionValue(BF$1,$BD9,AllTriggers)</f>
        <v>2.8990662352569143E-3</v>
      </c>
      <c r="BG9" s="47">
        <f>_xll.qlPolynomialFunctionValue(BG$1,$BD9,AllTriggers)</f>
        <v>2.8409732673013253E-3</v>
      </c>
      <c r="BH9" s="47">
        <f>_xll.qlPolynomialFunctionValue(BH$1,$BD9,AllTriggers)</f>
        <v>2.9070772723643243E-3</v>
      </c>
      <c r="BI9" s="47">
        <f>_xll.qlPolynomialFunctionValue(BI$1,$BD9,AllTriggers)</f>
        <v>2.8615823081355836E-3</v>
      </c>
      <c r="BJ9" s="47">
        <f>_xll.qlPolynomialFunctionValue(BJ$1,$BD9,AllTriggers)</f>
        <v>2.886843421409744E-3</v>
      </c>
      <c r="BK9" s="47">
        <f>_xll.qlPolynomialFunctionValue(BK$1,$BD9,AllTriggers)</f>
        <v>2.8419821134680924E-3</v>
      </c>
      <c r="BL9" s="47">
        <f>_xll.qlPolynomialFunctionValue(BL$1,$BD9,AllTriggers)</f>
        <v>2.9103396793524316E-3</v>
      </c>
      <c r="BM9" s="47">
        <f>_xll.qlPolynomialFunctionValue(BM$1,$BD9,AllTriggers)</f>
        <v>2.8207609126286557E-3</v>
      </c>
      <c r="BN9" s="47">
        <f>_xll.qlPolynomialFunctionValue(BN$1,$BD9,AllTriggers)</f>
        <v>2.8693014442886132E-3</v>
      </c>
      <c r="BO9" s="47">
        <f>_xll.qlPolynomialFunctionValue(BO$1,$BD9,AllTriggers)</f>
        <v>2.8062653804022922E-3</v>
      </c>
      <c r="BP9" s="47">
        <f>_xll.qlPolynomialFunctionValue(BP$1,$BD9,AllTriggers)</f>
        <v>2.8248219693564449E-3</v>
      </c>
      <c r="BQ9" s="47">
        <f>_xll.qlPolynomialFunctionValue('12MSynthDepo_used'!$P$18,BD9,AllTriggers)</f>
        <v>2.8375889290519754E-3</v>
      </c>
    </row>
    <row r="10" spans="1:69" ht="12" customHeight="1" x14ac:dyDescent="0.2">
      <c r="A10" s="21"/>
      <c r="B10" s="55"/>
      <c r="C10" s="22"/>
      <c r="D10" s="23"/>
      <c r="E10" s="23"/>
      <c r="F10" s="122"/>
      <c r="G10" s="122"/>
      <c r="H10" s="123"/>
      <c r="I10" s="24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6"/>
      <c r="U10" s="26"/>
      <c r="V10" s="26"/>
      <c r="W10" s="26"/>
      <c r="AD10" s="94"/>
      <c r="AE10" s="32"/>
      <c r="AF10" s="27">
        <v>0.26111111111111113</v>
      </c>
      <c r="AG10" s="28">
        <v>1</v>
      </c>
      <c r="AH10" s="303"/>
      <c r="AI10" s="29">
        <v>3.1264084852710141E-3</v>
      </c>
      <c r="AJ10" s="303"/>
      <c r="AK10" s="30">
        <v>3.2767217092998704E-3</v>
      </c>
      <c r="AL10" s="27">
        <v>1.4920634920634921</v>
      </c>
      <c r="AM10" s="28">
        <v>-0.49206349206349204</v>
      </c>
      <c r="AN10" s="21"/>
      <c r="AO10" s="101"/>
      <c r="AP10" s="94"/>
      <c r="AQ10" s="32"/>
      <c r="AR10" s="27">
        <v>0.78226851851851831</v>
      </c>
      <c r="AS10" s="28">
        <v>1.0166666666666666</v>
      </c>
      <c r="AT10" s="303"/>
      <c r="AU10" s="29">
        <v>2.8339771461403946E-3</v>
      </c>
      <c r="AV10" s="303"/>
      <c r="AW10" s="56">
        <v>3.3320765416964453E-3</v>
      </c>
      <c r="AX10" s="27">
        <v>4.3247462919594097</v>
      </c>
      <c r="AY10" s="28">
        <v>-3.3411397345823612</v>
      </c>
      <c r="AZ10" s="21"/>
      <c r="BA10" s="101"/>
      <c r="BC10" s="178">
        <f>_xll.qlCalendarAdvance(Calendar,BC9,"1d","mf",,Trigger)</f>
        <v>42285</v>
      </c>
      <c r="BD10" s="41">
        <f>_xll.qlDayCounterYearFraction(DayCounter,SettlementDate,BC10,,,Trigger)</f>
        <v>1.6666666666666666E-2</v>
      </c>
      <c r="BE10" s="47">
        <f>_xll.qlPolynomialFunctionValue(BE$1,$BD10,AllTriggers)</f>
        <v>2.8673967713579909E-3</v>
      </c>
      <c r="BF10" s="47">
        <f>_xll.qlPolynomialFunctionValue(BF$1,$BD10,AllTriggers)</f>
        <v>2.9000560693160132E-3</v>
      </c>
      <c r="BG10" s="47">
        <f>_xll.qlPolynomialFunctionValue(BG$1,$BD10,AllTriggers)</f>
        <v>2.8425723441526962E-3</v>
      </c>
      <c r="BH10" s="47">
        <f>_xll.qlPolynomialFunctionValue(BH$1,$BD10,AllTriggers)</f>
        <v>2.9079830916659043E-3</v>
      </c>
      <c r="BI10" s="47">
        <f>_xll.qlPolynomialFunctionValue(BI$1,$BD10,AllTriggers)</f>
        <v>2.8630895207653936E-3</v>
      </c>
      <c r="BJ10" s="47">
        <f>_xll.qlPolynomialFunctionValue(BJ$1,$BD10,AllTriggers)</f>
        <v>2.8879730691860638E-3</v>
      </c>
      <c r="BK10" s="47">
        <f>_xll.qlPolynomialFunctionValue(BK$1,$BD10,AllTriggers)</f>
        <v>2.8435831069336323E-3</v>
      </c>
      <c r="BL10" s="47">
        <f>_xll.qlPolynomialFunctionValue(BL$1,$BD10,AllTriggers)</f>
        <v>2.9112224582699903E-3</v>
      </c>
      <c r="BM10" s="47">
        <f>_xll.qlPolynomialFunctionValue(BM$1,$BD10,AllTriggers)</f>
        <v>2.8224503097731739E-3</v>
      </c>
      <c r="BN10" s="47">
        <f>_xll.qlPolynomialFunctionValue(BN$1,$BD10,AllTriggers)</f>
        <v>2.8705804193060267E-3</v>
      </c>
      <c r="BO10" s="47">
        <f>_xll.qlPolynomialFunctionValue(BO$1,$BD10,AllTriggers)</f>
        <v>2.8079988978060911E-3</v>
      </c>
      <c r="BP10" s="47">
        <f>_xll.qlPolynomialFunctionValue(BP$1,$BD10,AllTriggers)</f>
        <v>2.8264138314194782E-3</v>
      </c>
      <c r="BQ10" s="47">
        <f>_xll.qlPolynomialFunctionValue('12MSynthDepo_used'!$P$18,BD10,AllTriggers)</f>
        <v>2.8391202379446953E-3</v>
      </c>
    </row>
    <row r="11" spans="1:69" ht="12" customHeight="1" x14ac:dyDescent="0.2">
      <c r="A11" s="21"/>
      <c r="B11" s="55"/>
      <c r="C11" s="21"/>
      <c r="D11" s="21"/>
      <c r="E11" s="21"/>
      <c r="F11" s="21"/>
      <c r="G11" s="21"/>
      <c r="AD11" s="94"/>
      <c r="AE11" s="21"/>
      <c r="AF11" s="21"/>
      <c r="AG11" s="21"/>
      <c r="AH11" s="21"/>
      <c r="AI11" s="111"/>
      <c r="AJ11" s="33"/>
      <c r="AK11" s="22"/>
      <c r="AL11" s="21"/>
      <c r="AM11" s="21"/>
      <c r="AN11" s="21"/>
      <c r="AO11" s="101"/>
      <c r="AP11" s="94"/>
      <c r="AQ11" s="21"/>
      <c r="AR11" s="21"/>
      <c r="AS11" s="21"/>
      <c r="AT11" s="21"/>
      <c r="AU11" s="111"/>
      <c r="AV11" s="33"/>
      <c r="AW11" s="22"/>
      <c r="AX11" s="21"/>
      <c r="AY11" s="21"/>
      <c r="AZ11" s="21"/>
      <c r="BA11" s="101"/>
      <c r="BC11" s="178">
        <f>_xll.qlCalendarAdvance(Calendar,BC10,"1d","mf",,Trigger)</f>
        <v>42286</v>
      </c>
      <c r="BD11" s="41">
        <f>_xll.qlDayCounterYearFraction(DayCounter,SettlementDate,BC11,,,Trigger)</f>
        <v>1.9444444444444445E-2</v>
      </c>
      <c r="BE11" s="47">
        <f>_xll.qlPolynomialFunctionValue(BE$1,$BD11,AllTriggers)</f>
        <v>2.8688767862083769E-3</v>
      </c>
      <c r="BF11" s="47">
        <f>_xll.qlPolynomialFunctionValue(BF$1,$BD11,AllTriggers)</f>
        <v>2.9010484366091753E-3</v>
      </c>
      <c r="BG11" s="47">
        <f>_xll.qlPolynomialFunctionValue(BG$1,$BD11,AllTriggers)</f>
        <v>2.8441714210040671E-3</v>
      </c>
      <c r="BH11" s="47">
        <f>_xll.qlPolynomialFunctionValue(BH$1,$BD11,AllTriggers)</f>
        <v>2.908891793535259E-3</v>
      </c>
      <c r="BI11" s="47">
        <f>_xll.qlPolynomialFunctionValue(BI$1,$BD11,AllTriggers)</f>
        <v>2.8645967333952036E-3</v>
      </c>
      <c r="BJ11" s="47">
        <f>_xll.qlPolynomialFunctionValue(BJ$1,$BD11,AllTriggers)</f>
        <v>2.8891046809027552E-3</v>
      </c>
      <c r="BK11" s="47">
        <f>_xll.qlPolynomialFunctionValue(BK$1,$BD11,AllTriggers)</f>
        <v>2.8451841003991718E-3</v>
      </c>
      <c r="BL11" s="47">
        <f>_xll.qlPolynomialFunctionValue(BL$1,$BD11,AllTriggers)</f>
        <v>2.9121082297481663E-3</v>
      </c>
      <c r="BM11" s="47">
        <f>_xll.qlPolynomialFunctionValue(BM$1,$BD11,AllTriggers)</f>
        <v>2.8241397069176922E-3</v>
      </c>
      <c r="BN11" s="47">
        <f>_xll.qlPolynomialFunctionValue(BN$1,$BD11,AllTriggers)</f>
        <v>2.8718607639366162E-3</v>
      </c>
      <c r="BO11" s="47">
        <f>_xll.qlPolynomialFunctionValue(BO$1,$BD11,AllTriggers)</f>
        <v>2.8097324152098905E-3</v>
      </c>
      <c r="BP11" s="47">
        <f>_xll.qlPolynomialFunctionValue(BP$1,$BD11,AllTriggers)</f>
        <v>2.8280061375839851E-3</v>
      </c>
      <c r="BQ11" s="47">
        <f>_xll.qlPolynomialFunctionValue('12MSynthDepo_used'!$P$18,BD11,AllTriggers)</f>
        <v>2.8406528562065487E-3</v>
      </c>
    </row>
    <row r="12" spans="1:69" ht="12" customHeight="1" x14ac:dyDescent="0.2">
      <c r="B12" s="21"/>
      <c r="C12" s="116" t="s">
        <v>67</v>
      </c>
      <c r="D12" s="117"/>
      <c r="E12" s="117"/>
      <c r="F12" s="117"/>
      <c r="G12" s="117"/>
      <c r="H12" s="117"/>
      <c r="I12" s="116"/>
      <c r="J12" s="116"/>
      <c r="P12" s="55"/>
      <c r="Q12" s="55"/>
      <c r="R12" s="55"/>
      <c r="S12" s="116" t="str">
        <f>"with 0X"&amp;SUBSTITUTE($D$24,"M","")</f>
        <v>with 0X12</v>
      </c>
      <c r="T12" s="118"/>
      <c r="U12" s="117" t="str">
        <f>"without 0X"&amp;SUBSTITUTE($D$24,"M","")</f>
        <v>without 0X12</v>
      </c>
      <c r="V12" s="118"/>
      <c r="AD12" s="219" t="s">
        <v>42</v>
      </c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2"/>
      <c r="AP12" s="219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2"/>
      <c r="BC12" s="178">
        <f>_xll.qlCalendarAdvance(Calendar,BC11,"1d","mf",,Trigger)</f>
        <v>42289</v>
      </c>
      <c r="BD12" s="41">
        <f>_xll.qlDayCounterYearFraction(DayCounter,SettlementDate,BC12,,,Trigger)</f>
        <v>2.7777777777777776E-2</v>
      </c>
      <c r="BE12" s="47">
        <f>_xll.qlPolynomialFunctionValue(BE$1,$BD12,AllTriggers)</f>
        <v>2.8733168307595353E-3</v>
      </c>
      <c r="BF12" s="47">
        <f>_xll.qlPolynomialFunctionValue(BF$1,$BD12,AllTriggers)</f>
        <v>2.9040407378930419E-3</v>
      </c>
      <c r="BG12" s="47">
        <f>_xll.qlPolynomialFunctionValue(BG$1,$BD12,AllTriggers)</f>
        <v>2.8489686515581793E-3</v>
      </c>
      <c r="BH12" s="47">
        <f>_xll.qlPolynomialFunctionValue(BH$1,$BD12,AllTriggers)</f>
        <v>2.9116351945499704E-3</v>
      </c>
      <c r="BI12" s="47">
        <f>_xll.qlPolynomialFunctionValue(BI$1,$BD12,AllTriggers)</f>
        <v>2.8691183712846336E-3</v>
      </c>
      <c r="BJ12" s="47">
        <f>_xll.qlPolynomialFunctionValue(BJ$1,$BD12,AllTriggers)</f>
        <v>2.8925112996950613E-3</v>
      </c>
      <c r="BK12" s="47">
        <f>_xll.qlPolynomialFunctionValue(BK$1,$BD12,AllTriggers)</f>
        <v>2.8499870807957906E-3</v>
      </c>
      <c r="BL12" s="47">
        <f>_xll.qlPolynomialFunctionValue(BL$1,$BD12,AllTriggers)</f>
        <v>2.9147834995463936E-3</v>
      </c>
      <c r="BM12" s="47">
        <f>_xll.qlPolynomialFunctionValue(BM$1,$BD12,AllTriggers)</f>
        <v>2.8292078983512465E-3</v>
      </c>
      <c r="BN12" s="47">
        <f>_xll.qlPolynomialFunctionValue(BN$1,$BD12,AllTriggers)</f>
        <v>2.8757100155074474E-3</v>
      </c>
      <c r="BO12" s="47">
        <f>_xll.qlPolynomialFunctionValue(BO$1,$BD12,AllTriggers)</f>
        <v>2.8149329674212876E-3</v>
      </c>
      <c r="BP12" s="47">
        <f>_xll.qlPolynomialFunctionValue(BP$1,$BD12,AllTriggers)</f>
        <v>2.8327857206863452E-3</v>
      </c>
      <c r="BQ12" s="47">
        <f>_xll.qlPolynomialFunctionValue('12MSynthDepo_used'!$P$18,BD12,AllTriggers)</f>
        <v>2.8452585209492293E-3</v>
      </c>
    </row>
    <row r="13" spans="1:69" ht="22.5" customHeight="1" x14ac:dyDescent="0.2">
      <c r="C13" s="36" t="s">
        <v>43</v>
      </c>
      <c r="D13" s="36" t="s">
        <v>101</v>
      </c>
      <c r="E13" s="36" t="s">
        <v>102</v>
      </c>
      <c r="F13" s="36" t="s">
        <v>56</v>
      </c>
      <c r="G13" s="36" t="str">
        <f>"F "&amp;$D$24</f>
        <v>F 12M</v>
      </c>
      <c r="H13" s="36" t="str">
        <f>"B "&amp;$D$24</f>
        <v>B 12M</v>
      </c>
      <c r="I13" s="36" t="s">
        <v>89</v>
      </c>
      <c r="J13" s="36" t="s">
        <v>104</v>
      </c>
      <c r="P13" s="55"/>
      <c r="Q13" s="55"/>
      <c r="R13" s="55"/>
      <c r="S13" s="36" t="s">
        <v>41</v>
      </c>
      <c r="T13" s="36" t="s">
        <v>42</v>
      </c>
      <c r="U13" s="36" t="s">
        <v>41</v>
      </c>
      <c r="V13" s="36" t="s">
        <v>42</v>
      </c>
      <c r="AD13" s="94" t="s">
        <v>64</v>
      </c>
      <c r="AE13" s="21"/>
      <c r="AF13" s="21"/>
      <c r="AG13" s="21"/>
      <c r="AH13" s="21"/>
      <c r="AI13" s="113" t="s">
        <v>44</v>
      </c>
      <c r="AJ13" s="21"/>
      <c r="AK13" s="21"/>
      <c r="AL13" s="21"/>
      <c r="AM13" s="21"/>
      <c r="AN13" s="21"/>
      <c r="AO13" s="101"/>
      <c r="AP13" s="94"/>
      <c r="AQ13" s="21"/>
      <c r="AR13" s="21"/>
      <c r="AS13" s="21"/>
      <c r="AT13" s="21"/>
      <c r="AU13" s="113" t="s">
        <v>44</v>
      </c>
      <c r="AV13" s="21"/>
      <c r="AW13" s="21"/>
      <c r="AX13" s="21"/>
      <c r="AY13" s="21"/>
      <c r="AZ13" s="21"/>
      <c r="BA13" s="101"/>
      <c r="BC13" s="178">
        <f>_xll.qlCalendarAdvance(Calendar,BC12,"1d","mf",,Trigger)</f>
        <v>42290</v>
      </c>
      <c r="BD13" s="41">
        <f>_xll.qlDayCounterYearFraction(DayCounter,SettlementDate,BC13,,,Trigger)</f>
        <v>3.0555555555555555E-2</v>
      </c>
      <c r="BE13" s="47">
        <f>_xll.qlPolynomialFunctionValue(BE$1,$BD13,AllTriggers)</f>
        <v>2.8747968456099217E-3</v>
      </c>
      <c r="BF13" s="47">
        <f>_xll.qlPolynomialFunctionValue(BF$1,$BD13,AllTriggers)</f>
        <v>2.9050432381224583E-3</v>
      </c>
      <c r="BG13" s="47">
        <f>_xll.qlPolynomialFunctionValue(BG$1,$BD13,AllTriggers)</f>
        <v>2.8505677284095502E-3</v>
      </c>
      <c r="BH13" s="47">
        <f>_xll.qlPolynomialFunctionValue(BH$1,$BD13,AllTriggers)</f>
        <v>2.9125554266904233E-3</v>
      </c>
      <c r="BI13" s="47">
        <f>_xll.qlPolynomialFunctionValue(BI$1,$BD13,AllTriggers)</f>
        <v>2.8706255839144436E-3</v>
      </c>
      <c r="BJ13" s="47">
        <f>_xll.qlPolynomialFunctionValue(BJ$1,$BD13,AllTriggers)</f>
        <v>2.8936507671732401E-3</v>
      </c>
      <c r="BK13" s="47">
        <f>_xll.qlPolynomialFunctionValue(BK$1,$BD13,AllTriggers)</f>
        <v>2.8515880742613301E-3</v>
      </c>
      <c r="BL13" s="47">
        <f>_xll.qlPolynomialFunctionValue(BL$1,$BD13,AllTriggers)</f>
        <v>2.9156812412670357E-3</v>
      </c>
      <c r="BM13" s="47">
        <f>_xll.qlPolynomialFunctionValue(BM$1,$BD13,AllTriggers)</f>
        <v>2.8308972954957648E-3</v>
      </c>
      <c r="BN13" s="47">
        <f>_xll.qlPolynomialFunctionValue(BN$1,$BD13,AllTriggers)</f>
        <v>2.8769958385907448E-3</v>
      </c>
      <c r="BO13" s="47">
        <f>_xll.qlPolynomialFunctionValue(BO$1,$BD13,AllTriggers)</f>
        <v>2.8166664848250865E-3</v>
      </c>
      <c r="BP13" s="47">
        <f>_xll.qlPolynomialFunctionValue(BP$1,$BD13,AllTriggers)</f>
        <v>2.8343798032567451E-3</v>
      </c>
      <c r="BQ13" s="47">
        <f>_xll.qlPolynomialFunctionValue('12MSynthDepo_used'!$P$18,BD13,AllTriggers)</f>
        <v>2.8467963304299386E-3</v>
      </c>
    </row>
    <row r="14" spans="1:69" ht="12" customHeight="1" x14ac:dyDescent="0.2">
      <c r="A14" s="19">
        <f>A3</f>
        <v>0</v>
      </c>
      <c r="B14" s="55">
        <f t="shared" ref="B14:B20" si="14">A14+SUBSTITUTE($D$24,"M","")</f>
        <v>12</v>
      </c>
      <c r="C14" s="171" t="str">
        <f>"B"&amp;$D$24&amp;"_"&amp;A14&amp;"X"&amp;B14&amp;$D$28</f>
        <v>B12M_0X12ESTIMATED</v>
      </c>
      <c r="D14" s="186">
        <f>SettlementDate</f>
        <v>42279</v>
      </c>
      <c r="E14" s="186">
        <f>_xll.qlInterestRateIndexMaturity($D$25,D14)</f>
        <v>42646</v>
      </c>
      <c r="F14" s="172">
        <f>_xll.qlIndexFixing(ON_12M_index,_xll.qlInterestRateIndexFixingDate(ON_12M_index,D14,Trigger),,AllTriggers)</f>
        <v>-1.7272616941868132E-3</v>
      </c>
      <c r="G14" s="172">
        <f>H14+F14</f>
        <v>1.4028377131147243E-3</v>
      </c>
      <c r="H14" s="226">
        <f>_xll.qlQuoteValue(C14,_xll.ohTrigger(InterestRatesTrigger,'12MSynthDepo_used'!$F$1))</f>
        <v>3.1300994073015375E-3</v>
      </c>
      <c r="I14" s="173">
        <f>_xll.qlDayCounterYearFraction(DayCounter,SettlementDate,D14,,,Trigger)</f>
        <v>0</v>
      </c>
      <c r="J14" s="244">
        <f t="shared" ref="J14:J20" si="15">IF(($E$14-SettlementDate)-($D14-SettlementDate)&lt;0,0,($E$14-SettlementDate)-($D14-SettlementDate))</f>
        <v>367</v>
      </c>
      <c r="P14" s="55"/>
      <c r="Q14" s="55"/>
      <c r="R14" s="55"/>
      <c r="S14" s="174" t="b">
        <v>1</v>
      </c>
      <c r="T14" s="174" t="b">
        <v>1</v>
      </c>
      <c r="U14" s="174" t="b">
        <v>0</v>
      </c>
      <c r="V14" s="174" t="b">
        <v>0</v>
      </c>
      <c r="AD14" s="94"/>
      <c r="AE14" s="27">
        <f t="array" ref="AE14:AE16">_xll.ohFilter(L3:L9,T3:T9)</f>
        <v>0</v>
      </c>
      <c r="AF14" s="31">
        <f t="array" ref="AF14:AF16">_xll.ohFilter(K3:K9,T3:T9)</f>
        <v>0</v>
      </c>
      <c r="AG14" s="28">
        <f t="array" ref="AG14:AG16">_xll.ohFilter(J3:J9,T3:T9)</f>
        <v>1</v>
      </c>
      <c r="AH14" s="303" t="s">
        <v>20</v>
      </c>
      <c r="AI14" s="29">
        <f t="array" ref="AI14:AI16">MMULT(AL14:AN16,AK14:AK16)</f>
        <v>1.6415356731493136E-4</v>
      </c>
      <c r="AJ14" s="303" t="s">
        <v>21</v>
      </c>
      <c r="AK14" s="56">
        <f t="array" ref="AK14:AK16">_xll.ohFilter(H3:H9,T3:T9)</f>
        <v>3.1300994073015375E-3</v>
      </c>
      <c r="AL14" s="27">
        <f t="array" ref="AL14:AN16">MINVERSE(AE14:AG16)</f>
        <v>44.474948524365125</v>
      </c>
      <c r="AM14" s="31">
        <v>-66.359447004608285</v>
      </c>
      <c r="AN14" s="28">
        <v>21.884498480243156</v>
      </c>
      <c r="AO14" s="101"/>
      <c r="AP14" s="94"/>
      <c r="AQ14" s="27">
        <f t="array" ref="AQ14:AQ16">_xll.ohFilter(R3:R9,T3:T9)</f>
        <v>0.35315831475765885</v>
      </c>
      <c r="AR14" s="31">
        <f t="array" ref="AR14:AR16">_xll.ohFilter(Q3:Q9,T3:T9)</f>
        <v>0.51963348765432094</v>
      </c>
      <c r="AS14" s="28">
        <f t="array" ref="AS14:AS16">_xll.ohFilter(P3:P9,T3:T9)</f>
        <v>1.0194444444444444</v>
      </c>
      <c r="AT14" s="303" t="s">
        <v>20</v>
      </c>
      <c r="AU14" s="29">
        <f t="array" ref="AU14:AU16">MMULT(AX14:AZ16,AW14:AW16)</f>
        <v>1.2726333608935325E-4</v>
      </c>
      <c r="AV14" s="303" t="s">
        <v>21</v>
      </c>
      <c r="AW14" s="56">
        <f t="array" ref="AW14:AW16">_xll.ohFilter(M3:M9,T3:T9)</f>
        <v>3.1914929246063778E-3</v>
      </c>
      <c r="AX14" s="27">
        <f t="array" ref="AX14:AZ16">MINVERSE(AQ14:AS16)</f>
        <v>43.64412612980319</v>
      </c>
      <c r="AY14" s="31">
        <v>-64.950401859707299</v>
      </c>
      <c r="AZ14" s="28">
        <v>21.187029483647855</v>
      </c>
      <c r="BA14" s="101"/>
      <c r="BC14" s="178">
        <f>_xll.qlCalendarAdvance(Calendar,BC13,"1d","mf",,Trigger)</f>
        <v>42291</v>
      </c>
      <c r="BD14" s="41">
        <f>_xll.qlDayCounterYearFraction(DayCounter,SettlementDate,BC14,,,Trigger)</f>
        <v>3.3333333333333333E-2</v>
      </c>
      <c r="BE14" s="47">
        <f>_xll.qlPolynomialFunctionValue(BE$1,$BD14,AllTriggers)</f>
        <v>2.8762768604603077E-3</v>
      </c>
      <c r="BF14" s="47">
        <f>_xll.qlPolynomialFunctionValue(BF$1,$BD14,AllTriggers)</f>
        <v>2.9060482715859378E-3</v>
      </c>
      <c r="BG14" s="47">
        <f>_xll.qlPolynomialFunctionValue(BG$1,$BD14,AllTriggers)</f>
        <v>2.852166805260921E-3</v>
      </c>
      <c r="BH14" s="47">
        <f>_xll.qlPolynomialFunctionValue(BH$1,$BD14,AllTriggers)</f>
        <v>2.9134785413986513E-3</v>
      </c>
      <c r="BI14" s="47">
        <f>_xll.qlPolynomialFunctionValue(BI$1,$BD14,AllTriggers)</f>
        <v>2.8721327965442532E-3</v>
      </c>
      <c r="BJ14" s="47">
        <f>_xll.qlPolynomialFunctionValue(BJ$1,$BD14,AllTriggers)</f>
        <v>2.8947921985917903E-3</v>
      </c>
      <c r="BK14" s="47">
        <f>_xll.qlPolynomialFunctionValue(BK$1,$BD14,AllTriggers)</f>
        <v>2.8531890677268696E-3</v>
      </c>
      <c r="BL14" s="47">
        <f>_xll.qlPolynomialFunctionValue(BL$1,$BD14,AllTriggers)</f>
        <v>2.9165819755482946E-3</v>
      </c>
      <c r="BM14" s="47">
        <f>_xll.qlPolynomialFunctionValue(BM$1,$BD14,AllTriggers)</f>
        <v>2.832586692640283E-3</v>
      </c>
      <c r="BN14" s="47">
        <f>_xll.qlPolynomialFunctionValue(BN$1,$BD14,AllTriggers)</f>
        <v>2.8782830312872195E-3</v>
      </c>
      <c r="BO14" s="47">
        <f>_xll.qlPolynomialFunctionValue(BO$1,$BD14,AllTriggers)</f>
        <v>2.8184000022288855E-3</v>
      </c>
      <c r="BP14" s="47">
        <f>_xll.qlPolynomialFunctionValue(BP$1,$BD14,AllTriggers)</f>
        <v>2.8359743299286189E-3</v>
      </c>
      <c r="BQ14" s="47">
        <f>_xll.qlPolynomialFunctionValue('12MSynthDepo_used'!$P$18,BD14,AllTriggers)</f>
        <v>2.8483354261509435E-3</v>
      </c>
    </row>
    <row r="15" spans="1:69" ht="12" customHeight="1" x14ac:dyDescent="0.2">
      <c r="A15" s="21">
        <f t="shared" ref="A15:A20" si="16">A4</f>
        <v>1</v>
      </c>
      <c r="B15" s="55">
        <f t="shared" si="14"/>
        <v>13</v>
      </c>
      <c r="C15" s="39" t="str">
        <f t="shared" ref="C15:C20" si="17">"B"&amp;$D$24&amp;"_"&amp;A15&amp;"X"&amp;B15</f>
        <v>B12M_1X13</v>
      </c>
      <c r="D15" s="177">
        <f>_xll.qlCalendarAdvance(Calendar,SettlementDate,A15&amp;"M","mf")</f>
        <v>42310</v>
      </c>
      <c r="E15" s="177">
        <f>_xll.qlInterestRateIndexMaturity($D$25,D15)</f>
        <v>42676</v>
      </c>
      <c r="F15" s="53">
        <f>_xll.qlIndexFixing(ON_12M_index,_xll.qlInterestRateIndexFixingDate(ON_12M_index,D15,Trigger),,AllTriggers)</f>
        <v>-1.7759798676635098E-3</v>
      </c>
      <c r="G15" s="53">
        <f t="shared" ref="G15:G20" si="18">H15+F15</f>
        <v>1.3999999999999996E-3</v>
      </c>
      <c r="H15" s="202">
        <f>_xll.qlQuoteValue(C15,_xll.ohTrigger(InterestRatesTrigger,'12MSynthDepo_used'!$F$1))</f>
        <v>3.1759798676635094E-3</v>
      </c>
      <c r="I15" s="41">
        <f>_xll.qlDayCounterYearFraction(DayCounter,SettlementDate,D15,,,Trigger)</f>
        <v>8.611111111111111E-2</v>
      </c>
      <c r="J15" s="242">
        <f t="shared" si="15"/>
        <v>336</v>
      </c>
      <c r="P15" s="55"/>
      <c r="Q15" s="55"/>
      <c r="R15" s="55"/>
      <c r="S15" s="114" t="b">
        <v>1</v>
      </c>
      <c r="T15" s="114" t="b">
        <v>1</v>
      </c>
      <c r="U15" s="114" t="b">
        <v>1</v>
      </c>
      <c r="V15" s="114" t="b">
        <v>1</v>
      </c>
      <c r="AD15" s="94"/>
      <c r="AE15" s="27">
        <v>7.4151234567901231E-3</v>
      </c>
      <c r="AF15" s="31">
        <v>8.611111111111111E-2</v>
      </c>
      <c r="AG15" s="28">
        <v>1</v>
      </c>
      <c r="AH15" s="303"/>
      <c r="AI15" s="29">
        <v>5.1866990006468449E-4</v>
      </c>
      <c r="AJ15" s="303"/>
      <c r="AK15" s="56">
        <v>3.1759798676635094E-3</v>
      </c>
      <c r="AL15" s="27">
        <v>-15.442690459849002</v>
      </c>
      <c r="AM15" s="31">
        <v>17.327188940092164</v>
      </c>
      <c r="AN15" s="28">
        <v>-1.8844984802431604</v>
      </c>
      <c r="AO15" s="101"/>
      <c r="AP15" s="94"/>
      <c r="AQ15" s="27">
        <v>0.44682343106995887</v>
      </c>
      <c r="AR15" s="31">
        <v>0.60435185185185192</v>
      </c>
      <c r="AS15" s="28">
        <v>1.0166666666666668</v>
      </c>
      <c r="AT15" s="303"/>
      <c r="AU15" s="29">
        <v>4.0278459753913254E-4</v>
      </c>
      <c r="AV15" s="303"/>
      <c r="AW15" s="56">
        <v>3.2295329102286345E-3</v>
      </c>
      <c r="AX15" s="27">
        <v>-59.525738693703829</v>
      </c>
      <c r="AY15" s="31">
        <v>82.964522526025647</v>
      </c>
      <c r="AZ15" s="28">
        <v>-23.276145202011186</v>
      </c>
      <c r="BA15" s="101"/>
      <c r="BC15" s="178">
        <f>_xll.qlCalendarAdvance(Calendar,BC14,"1d","mf",,Trigger)</f>
        <v>42292</v>
      </c>
      <c r="BD15" s="41">
        <f>_xll.qlDayCounterYearFraction(DayCounter,SettlementDate,BC15,,,Trigger)</f>
        <v>3.6111111111111108E-2</v>
      </c>
      <c r="BE15" s="47">
        <f>_xll.qlPolynomialFunctionValue(BE$1,$BD15,AllTriggers)</f>
        <v>2.8777568753106937E-3</v>
      </c>
      <c r="BF15" s="47">
        <f>_xll.qlPolynomialFunctionValue(BF$1,$BD15,AllTriggers)</f>
        <v>2.9070558382834808E-3</v>
      </c>
      <c r="BG15" s="47">
        <f>_xll.qlPolynomialFunctionValue(BG$1,$BD15,AllTriggers)</f>
        <v>2.8537658821122919E-3</v>
      </c>
      <c r="BH15" s="47">
        <f>_xll.qlPolynomialFunctionValue(BH$1,$BD15,AllTriggers)</f>
        <v>2.9144045386746537E-3</v>
      </c>
      <c r="BI15" s="47">
        <f>_xll.qlPolynomialFunctionValue(BI$1,$BD15,AllTriggers)</f>
        <v>2.8736400091740632E-3</v>
      </c>
      <c r="BJ15" s="47">
        <f>_xll.qlPolynomialFunctionValue(BJ$1,$BD15,AllTriggers)</f>
        <v>2.8959355939507125E-3</v>
      </c>
      <c r="BK15" s="47">
        <f>_xll.qlPolynomialFunctionValue(BK$1,$BD15,AllTriggers)</f>
        <v>2.8547900611924095E-3</v>
      </c>
      <c r="BL15" s="47">
        <f>_xll.qlPolynomialFunctionValue(BL$1,$BD15,AllTriggers)</f>
        <v>2.9174857023901695E-3</v>
      </c>
      <c r="BM15" s="47">
        <f>_xll.qlPolynomialFunctionValue(BM$1,$BD15,AllTriggers)</f>
        <v>2.8342760897848013E-3</v>
      </c>
      <c r="BN15" s="47">
        <f>_xll.qlPolynomialFunctionValue(BN$1,$BD15,AllTriggers)</f>
        <v>2.8795715935968705E-3</v>
      </c>
      <c r="BO15" s="47">
        <f>_xll.qlPolynomialFunctionValue(BO$1,$BD15,AllTriggers)</f>
        <v>2.8201335196326848E-3</v>
      </c>
      <c r="BP15" s="47">
        <f>_xll.qlPolynomialFunctionValue(BP$1,$BD15,AllTriggers)</f>
        <v>2.8375693007019654E-3</v>
      </c>
      <c r="BQ15" s="47">
        <f>_xll.qlPolynomialFunctionValue('12MSynthDepo_used'!$P$18,BD15,AllTriggers)</f>
        <v>2.8498758034864761E-3</v>
      </c>
    </row>
    <row r="16" spans="1:69" ht="12" customHeight="1" x14ac:dyDescent="0.2">
      <c r="A16" s="21">
        <f t="shared" si="16"/>
        <v>2</v>
      </c>
      <c r="B16" s="55">
        <f t="shared" si="14"/>
        <v>14</v>
      </c>
      <c r="C16" s="39" t="str">
        <f t="shared" si="17"/>
        <v>B12M_2X14</v>
      </c>
      <c r="D16" s="177">
        <f>_xll.qlCalendarAdvance(Calendar,SettlementDate,A16&amp;"M","mf")</f>
        <v>42340</v>
      </c>
      <c r="E16" s="177">
        <f>_xll.qlInterestRateIndexMaturity($D$25,D16)</f>
        <v>42706</v>
      </c>
      <c r="F16" s="53">
        <f>_xll.qlIndexFixing(ON_12M_index,_xll.qlInterestRateIndexFixingDate(ON_12M_index,D16,Trigger),,AllTriggers)</f>
        <v>-1.8131920589106142E-3</v>
      </c>
      <c r="G16" s="53">
        <f t="shared" si="18"/>
        <v>1.3999999999999998E-3</v>
      </c>
      <c r="H16" s="202">
        <f>_xll.qlQuoteValue(C16,_xll.ohTrigger(InterestRatesTrigger,'12MSynthDepo_used'!$F$1))</f>
        <v>3.2131920589106139E-3</v>
      </c>
      <c r="I16" s="41">
        <f>_xll.qlDayCounterYearFraction(DayCounter,SettlementDate,D16,,,Trigger)</f>
        <v>0.16944444444444445</v>
      </c>
      <c r="J16" s="242">
        <f t="shared" si="15"/>
        <v>306</v>
      </c>
      <c r="P16" s="55"/>
      <c r="Q16" s="55"/>
      <c r="R16" s="55"/>
      <c r="S16" s="114" t="b">
        <v>1</v>
      </c>
      <c r="T16" s="114" t="b">
        <v>1</v>
      </c>
      <c r="U16" s="114" t="b">
        <v>1</v>
      </c>
      <c r="V16" s="114" t="b">
        <v>1</v>
      </c>
      <c r="AD16" s="94"/>
      <c r="AE16" s="27">
        <v>6.8179012345679024E-2</v>
      </c>
      <c r="AF16" s="31">
        <v>0.26111111111111113</v>
      </c>
      <c r="AG16" s="28">
        <v>1</v>
      </c>
      <c r="AH16" s="303"/>
      <c r="AI16" s="29">
        <v>3.1300994073015375E-3</v>
      </c>
      <c r="AJ16" s="303"/>
      <c r="AK16" s="56">
        <v>3.2767217092998704E-3</v>
      </c>
      <c r="AL16" s="27">
        <v>1</v>
      </c>
      <c r="AM16" s="31">
        <v>0</v>
      </c>
      <c r="AN16" s="28">
        <v>0</v>
      </c>
      <c r="AO16" s="101"/>
      <c r="AP16" s="94"/>
      <c r="AQ16" s="27">
        <v>0.68948199588477355</v>
      </c>
      <c r="AR16" s="31">
        <v>0.78226851851851831</v>
      </c>
      <c r="AS16" s="28">
        <v>1.0166666666666666</v>
      </c>
      <c r="AT16" s="303"/>
      <c r="AU16" s="29">
        <v>2.8812246416337201E-3</v>
      </c>
      <c r="AV16" s="303"/>
      <c r="AW16" s="56">
        <v>3.3320765416964453E-3</v>
      </c>
      <c r="AX16" s="27">
        <v>16.203218585921935</v>
      </c>
      <c r="AY16" s="31">
        <v>-19.788591558965138</v>
      </c>
      <c r="AZ16" s="28">
        <v>4.5247084413876832</v>
      </c>
      <c r="BA16" s="101"/>
      <c r="BC16" s="178">
        <f>_xll.qlCalendarAdvance(Calendar,BC15,"1d","mf",,Trigger)</f>
        <v>42293</v>
      </c>
      <c r="BD16" s="41">
        <f>_xll.qlDayCounterYearFraction(DayCounter,SettlementDate,BC16,,,Trigger)</f>
        <v>3.888888888888889E-2</v>
      </c>
      <c r="BE16" s="47">
        <f>_xll.qlPolynomialFunctionValue(BE$1,$BD16,AllTriggers)</f>
        <v>2.8792368901610801E-3</v>
      </c>
      <c r="BF16" s="47">
        <f>_xll.qlPolynomialFunctionValue(BF$1,$BD16,AllTriggers)</f>
        <v>2.9080659382150877E-3</v>
      </c>
      <c r="BG16" s="47">
        <f>_xll.qlPolynomialFunctionValue(BG$1,$BD16,AllTriggers)</f>
        <v>2.8553649589636628E-3</v>
      </c>
      <c r="BH16" s="47">
        <f>_xll.qlPolynomialFunctionValue(BH$1,$BD16,AllTriggers)</f>
        <v>2.9153334185184304E-3</v>
      </c>
      <c r="BI16" s="47">
        <f>_xll.qlPolynomialFunctionValue(BI$1,$BD16,AllTriggers)</f>
        <v>2.8751472218038732E-3</v>
      </c>
      <c r="BJ16" s="47">
        <f>_xll.qlPolynomialFunctionValue(BJ$1,$BD16,AllTriggers)</f>
        <v>2.8970809532500069E-3</v>
      </c>
      <c r="BK16" s="47">
        <f>_xll.qlPolynomialFunctionValue(BK$1,$BD16,AllTriggers)</f>
        <v>2.856391054657949E-3</v>
      </c>
      <c r="BL16" s="47">
        <f>_xll.qlPolynomialFunctionValue(BL$1,$BD16,AllTriggers)</f>
        <v>2.9183924217926617E-3</v>
      </c>
      <c r="BM16" s="47">
        <f>_xll.qlPolynomialFunctionValue(BM$1,$BD16,AllTriggers)</f>
        <v>2.8359654869293195E-3</v>
      </c>
      <c r="BN16" s="47">
        <f>_xll.qlPolynomialFunctionValue(BN$1,$BD16,AllTriggers)</f>
        <v>2.8808615255196987E-3</v>
      </c>
      <c r="BO16" s="47">
        <f>_xll.qlPolynomialFunctionValue(BO$1,$BD16,AllTriggers)</f>
        <v>2.8218670370364837E-3</v>
      </c>
      <c r="BP16" s="47">
        <f>_xll.qlPolynomialFunctionValue(BP$1,$BD16,AllTriggers)</f>
        <v>2.8391647155767853E-3</v>
      </c>
      <c r="BQ16" s="47">
        <f>_xll.qlPolynomialFunctionValue('12MSynthDepo_used'!$P$18,BD16,AllTriggers)</f>
        <v>2.85141745781077E-3</v>
      </c>
    </row>
    <row r="17" spans="1:69" ht="12" customHeight="1" x14ac:dyDescent="0.2">
      <c r="A17" s="21">
        <f t="shared" si="16"/>
        <v>3</v>
      </c>
      <c r="B17" s="55">
        <f t="shared" si="14"/>
        <v>15</v>
      </c>
      <c r="C17" s="39" t="str">
        <f t="shared" si="17"/>
        <v>B12M_3X15</v>
      </c>
      <c r="D17" s="177">
        <f>_xll.qlCalendarAdvance(Calendar,SettlementDate,A17&amp;"M","mf")</f>
        <v>42373</v>
      </c>
      <c r="E17" s="177">
        <f>_xll.qlInterestRateIndexMaturity($D$25,D17)</f>
        <v>42739</v>
      </c>
      <c r="F17" s="53">
        <f>_xll.qlIndexFixing(ON_12M_index,_xll.qlInterestRateIndexFixingDate(ON_12M_index,D17,Trigger),,AllTriggers)</f>
        <v>-1.8567217092998706E-3</v>
      </c>
      <c r="G17" s="53">
        <f t="shared" si="18"/>
        <v>1.4199999999999998E-3</v>
      </c>
      <c r="H17" s="202">
        <f>_xll.qlQuoteValue(C17,_xll.ohTrigger(InterestRatesTrigger,'12MSynthDepo_used'!$F$1))</f>
        <v>3.2767217092998704E-3</v>
      </c>
      <c r="I17" s="41">
        <f>_xll.qlDayCounterYearFraction(DayCounter,SettlementDate,D17,,,Trigger)</f>
        <v>0.26111111111111113</v>
      </c>
      <c r="J17" s="242">
        <f t="shared" si="15"/>
        <v>273</v>
      </c>
      <c r="P17" s="55"/>
      <c r="Q17" s="55"/>
      <c r="R17" s="55"/>
      <c r="S17" s="114" t="b">
        <v>1</v>
      </c>
      <c r="T17" s="114" t="b">
        <v>1</v>
      </c>
      <c r="U17" s="114" t="b">
        <v>1</v>
      </c>
      <c r="V17" s="114" t="b">
        <v>1</v>
      </c>
      <c r="AD17" s="94"/>
      <c r="AE17" s="21"/>
      <c r="AF17" s="21"/>
      <c r="AG17" s="21"/>
      <c r="AH17" s="21"/>
      <c r="AI17" s="111"/>
      <c r="AJ17" s="33"/>
      <c r="AK17" s="22"/>
      <c r="AL17" s="21"/>
      <c r="AM17" s="21"/>
      <c r="AN17" s="21"/>
      <c r="AO17" s="101"/>
      <c r="AP17" s="94"/>
      <c r="AQ17" s="21"/>
      <c r="AR17" s="21"/>
      <c r="AS17" s="21"/>
      <c r="AT17" s="21"/>
      <c r="AU17" s="111"/>
      <c r="AV17" s="33"/>
      <c r="AW17" s="22"/>
      <c r="AX17" s="21"/>
      <c r="AY17" s="21"/>
      <c r="AZ17" s="21"/>
      <c r="BA17" s="101"/>
      <c r="BC17" s="178">
        <f>_xll.qlCalendarAdvance(Calendar,BC16,"1d","mf",,Trigger)</f>
        <v>42296</v>
      </c>
      <c r="BD17" s="41">
        <f>_xll.qlDayCounterYearFraction(DayCounter,SettlementDate,BC17,,,Trigger)</f>
        <v>4.7222222222222221E-2</v>
      </c>
      <c r="BE17" s="47">
        <f>_xll.qlPolynomialFunctionValue(BE$1,$BD17,AllTriggers)</f>
        <v>2.8836769347122385E-3</v>
      </c>
      <c r="BF17" s="47">
        <f>_xll.qlPolynomialFunctionValue(BF$1,$BD17,AllTriggers)</f>
        <v>2.911111437414288E-3</v>
      </c>
      <c r="BG17" s="47">
        <f>_xll.qlPolynomialFunctionValue(BG$1,$BD17,AllTriggers)</f>
        <v>2.860162189517775E-3</v>
      </c>
      <c r="BH17" s="47">
        <f>_xll.qlPolynomialFunctionValue(BH$1,$BD17,AllTriggers)</f>
        <v>2.9181373534564086E-3</v>
      </c>
      <c r="BI17" s="47">
        <f>_xll.qlPolynomialFunctionValue(BI$1,$BD17,AllTriggers)</f>
        <v>2.8796688596933032E-3</v>
      </c>
      <c r="BJ17" s="47">
        <f>_xll.qlPolynomialFunctionValue(BJ$1,$BD17,AllTriggers)</f>
        <v>2.9005288147901194E-3</v>
      </c>
      <c r="BK17" s="47">
        <f>_xll.qlPolynomialFunctionValue(BK$1,$BD17,AllTriggers)</f>
        <v>2.8611940350545678E-3</v>
      </c>
      <c r="BL17" s="47">
        <f>_xll.qlPolynomialFunctionValue(BL$1,$BD17,AllTriggers)</f>
        <v>2.9211305353638367E-3</v>
      </c>
      <c r="BM17" s="47">
        <f>_xll.qlPolynomialFunctionValue(BM$1,$BD17,AllTriggers)</f>
        <v>2.8410336783628739E-3</v>
      </c>
      <c r="BN17" s="47">
        <f>_xll.qlPolynomialFunctionValue(BN$1,$BD17,AllTriggers)</f>
        <v>2.8847395389672448E-3</v>
      </c>
      <c r="BO17" s="47">
        <f>_xll.qlPolynomialFunctionValue(BO$1,$BD17,AllTriggers)</f>
        <v>2.8270675892478809E-3</v>
      </c>
      <c r="BP17" s="47">
        <f>_xll.qlPolynomialFunctionValue(BP$1,$BD17,AllTriggers)</f>
        <v>2.8439536248100849E-3</v>
      </c>
      <c r="BQ17" s="47">
        <f>_xll.qlPolynomialFunctionValue('12MSynthDepo_used'!$P$18,BD17,AllTriggers)</f>
        <v>2.8560500364585408E-3</v>
      </c>
    </row>
    <row r="18" spans="1:69" ht="12" customHeight="1" x14ac:dyDescent="0.2">
      <c r="A18" s="21">
        <f t="shared" si="16"/>
        <v>6</v>
      </c>
      <c r="B18" s="55">
        <f t="shared" si="14"/>
        <v>18</v>
      </c>
      <c r="C18" s="39" t="str">
        <f t="shared" si="17"/>
        <v>B12M_6X18</v>
      </c>
      <c r="D18" s="177">
        <f>_xll.qlCalendarAdvance(Calendar,SettlementDate,A18&amp;"M","mf")</f>
        <v>42464</v>
      </c>
      <c r="E18" s="177">
        <f>_xll.qlInterestRateIndexMaturity($D$25,D18)</f>
        <v>42829</v>
      </c>
      <c r="F18" s="53">
        <f>_xll.qlIndexFixing(ON_12M_index,_xll.qlInterestRateIndexFixingDate(ON_12M_index,D18,Trigger),,AllTriggers)</f>
        <v>-1.8924358551712199E-3</v>
      </c>
      <c r="G18" s="53">
        <f t="shared" si="18"/>
        <v>1.5500000000000002E-3</v>
      </c>
      <c r="H18" s="202">
        <f>_xll.qlQuoteValue(C18,_xll.ohTrigger(InterestRatesTrigger,'12MSynthDepo_used'!$F$1))</f>
        <v>3.4424358551712201E-3</v>
      </c>
      <c r="I18" s="41">
        <f>_xll.qlDayCounterYearFraction(DayCounter,SettlementDate,D18,,,Trigger)</f>
        <v>0.51388888888888884</v>
      </c>
      <c r="J18" s="242">
        <f t="shared" si="15"/>
        <v>182</v>
      </c>
      <c r="P18" s="55"/>
      <c r="Q18" s="55"/>
      <c r="R18" s="55"/>
      <c r="S18" s="114" t="b">
        <v>1</v>
      </c>
      <c r="T18" s="114" t="b">
        <v>1</v>
      </c>
      <c r="U18" s="114" t="b">
        <v>1</v>
      </c>
      <c r="V18" s="114" t="b">
        <v>1</v>
      </c>
      <c r="AD18" s="94" t="s">
        <v>65</v>
      </c>
      <c r="AE18" s="21"/>
      <c r="AF18" s="21"/>
      <c r="AG18" s="21"/>
      <c r="AH18" s="21"/>
      <c r="AI18" s="113" t="s">
        <v>44</v>
      </c>
      <c r="AJ18" s="21"/>
      <c r="AK18" s="21"/>
      <c r="AL18" s="21"/>
      <c r="AM18" s="21"/>
      <c r="AN18" s="21"/>
      <c r="AO18" s="101"/>
      <c r="AP18" s="94"/>
      <c r="AQ18" s="21"/>
      <c r="AR18" s="21"/>
      <c r="AS18" s="21"/>
      <c r="AT18" s="21"/>
      <c r="AU18" s="113" t="s">
        <v>44</v>
      </c>
      <c r="AV18" s="21"/>
      <c r="AW18" s="21"/>
      <c r="AX18" s="21"/>
      <c r="AY18" s="21"/>
      <c r="AZ18" s="21"/>
      <c r="BA18" s="101"/>
      <c r="BC18" s="178">
        <f>_xll.qlCalendarAdvance(Calendar,BC17,"1d","mf",,Trigger)</f>
        <v>42297</v>
      </c>
      <c r="BD18" s="41">
        <f>_xll.qlDayCounterYearFraction(DayCounter,SettlementDate,BC18,,,Trigger)</f>
        <v>0.05</v>
      </c>
      <c r="BE18" s="47">
        <f>_xll.qlPolynomialFunctionValue(BE$1,$BD18,AllTriggers)</f>
        <v>2.885156949562625E-3</v>
      </c>
      <c r="BF18" s="47">
        <f>_xll.qlPolynomialFunctionValue(BF$1,$BD18,AllTriggers)</f>
        <v>2.9121316702821489E-3</v>
      </c>
      <c r="BG18" s="47">
        <f>_xll.qlPolynomialFunctionValue(BG$1,$BD18,AllTriggers)</f>
        <v>2.8617612663691459E-3</v>
      </c>
      <c r="BH18" s="47">
        <f>_xll.qlPolynomialFunctionValue(BH$1,$BD18,AllTriggers)</f>
        <v>2.9190777635712838E-3</v>
      </c>
      <c r="BI18" s="47">
        <f>_xll.qlPolynomialFunctionValue(BI$1,$BD18,AllTriggers)</f>
        <v>2.8811760723231133E-3</v>
      </c>
      <c r="BJ18" s="47">
        <f>_xll.qlPolynomialFunctionValue(BJ$1,$BD18,AllTriggers)</f>
        <v>2.9016820298509E-3</v>
      </c>
      <c r="BK18" s="47">
        <f>_xll.qlPolynomialFunctionValue(BK$1,$BD18,AllTriggers)</f>
        <v>2.8627950285201073E-3</v>
      </c>
      <c r="BL18" s="47">
        <f>_xll.qlPolynomialFunctionValue(BL$1,$BD18,AllTriggers)</f>
        <v>2.9220492250087954E-3</v>
      </c>
      <c r="BM18" s="47">
        <f>_xll.qlPolynomialFunctionValue(BM$1,$BD18,AllTriggers)</f>
        <v>2.8427230755073921E-3</v>
      </c>
      <c r="BN18" s="47">
        <f>_xll.qlPolynomialFunctionValue(BN$1,$BD18,AllTriggers)</f>
        <v>2.8860349493427806E-3</v>
      </c>
      <c r="BO18" s="47">
        <f>_xll.qlPolynomialFunctionValue(BO$1,$BD18,AllTriggers)</f>
        <v>2.8288011066516803E-3</v>
      </c>
      <c r="BP18" s="47">
        <f>_xll.qlPolynomialFunctionValue(BP$1,$BD18,AllTriggers)</f>
        <v>2.8455508160907983E-3</v>
      </c>
      <c r="BQ18" s="47">
        <f>_xll.qlPolynomialFunctionValue('12MSynthDepo_used'!$P$18,BD18,AllTriggers)</f>
        <v>2.8575967524802027E-3</v>
      </c>
    </row>
    <row r="19" spans="1:69" ht="12" customHeight="1" x14ac:dyDescent="0.2">
      <c r="A19" s="21">
        <f t="shared" si="16"/>
        <v>9</v>
      </c>
      <c r="B19" s="55">
        <f t="shared" si="14"/>
        <v>21</v>
      </c>
      <c r="C19" s="39" t="str">
        <f t="shared" si="17"/>
        <v>B12M_9X21</v>
      </c>
      <c r="D19" s="177">
        <f>_xll.qlCalendarAdvance(Calendar,SettlementDate,A19&amp;"M","mf")</f>
        <v>42555</v>
      </c>
      <c r="E19" s="177">
        <f>_xll.qlInterestRateIndexMaturity($D$25,D19)</f>
        <v>42920</v>
      </c>
      <c r="F19" s="53">
        <f>_xll.qlIndexFixing(ON_12M_index,_xll.qlInterestRateIndexFixingDate(ON_12M_index,D19,Trigger),,AllTriggers)</f>
        <v>-1.8414437202698085E-3</v>
      </c>
      <c r="G19" s="53">
        <f t="shared" si="18"/>
        <v>1.7499999999999998E-3</v>
      </c>
      <c r="H19" s="202">
        <f>_xll.qlQuoteValue(C19,_xll.ohTrigger(InterestRatesTrigger,'12MSynthDepo_used'!$F$1))</f>
        <v>3.5914437202698084E-3</v>
      </c>
      <c r="I19" s="41">
        <f>_xll.qlDayCounterYearFraction(DayCounter,SettlementDate,D19,,,Trigger)</f>
        <v>0.76666666666666672</v>
      </c>
      <c r="J19" s="242">
        <f t="shared" si="15"/>
        <v>91</v>
      </c>
      <c r="P19" s="55"/>
      <c r="Q19" s="55"/>
      <c r="R19" s="55"/>
      <c r="S19" s="114" t="b">
        <v>1</v>
      </c>
      <c r="T19" s="114" t="b">
        <v>1</v>
      </c>
      <c r="U19" s="114" t="b">
        <v>1</v>
      </c>
      <c r="V19" s="114" t="b">
        <v>1</v>
      </c>
      <c r="AD19" s="94"/>
      <c r="AE19" s="27">
        <f t="array" ref="AE19:AE21">_xll.ohFilter(L3:L9,V3:V9)</f>
        <v>7.4151234567901231E-3</v>
      </c>
      <c r="AF19" s="31">
        <f t="array" ref="AF19:AF21">_xll.ohFilter(K3:K9,V3:V9)</f>
        <v>8.611111111111111E-2</v>
      </c>
      <c r="AG19" s="28">
        <f t="array" ref="AG19:AG21">_xll.ohFilter(J3:J9,V3:V9)</f>
        <v>1</v>
      </c>
      <c r="AH19" s="303" t="s">
        <v>20</v>
      </c>
      <c r="AI19" s="29">
        <f t="array" ref="AI19:AI21">MMULT(AL19:AN21,AK19:AK21)</f>
        <v>1.8679039179392287E-4</v>
      </c>
      <c r="AJ19" s="303" t="s">
        <v>21</v>
      </c>
      <c r="AK19" s="56">
        <f t="array" ref="AK19:AK21">_xll.ohFilter(H3:H9,V3:V9)</f>
        <v>3.1759798676635094E-3</v>
      </c>
      <c r="AL19" s="27">
        <f t="array" ref="AL19:AN21">MINVERSE(AE19:AG21)</f>
        <v>13.35807050092764</v>
      </c>
      <c r="AM19" s="31">
        <v>-22.605965463108326</v>
      </c>
      <c r="AN19" s="28">
        <v>9.2478949621806823</v>
      </c>
      <c r="AO19" s="101"/>
      <c r="AP19" s="94"/>
      <c r="AQ19" s="27">
        <f t="array" ref="AQ19:AQ21">_xll.ohFilter(R3:R9,V3:V9)</f>
        <v>0.44682343106995887</v>
      </c>
      <c r="AR19" s="31">
        <f t="array" ref="AR19:AR21">_xll.ohFilter(Q3:Q9,V3:V9)</f>
        <v>0.60435185185185192</v>
      </c>
      <c r="AS19" s="28">
        <f t="array" ref="AS19:AS21">_xll.ohFilter(P3:P9,V3:V9)</f>
        <v>1.0166666666666668</v>
      </c>
      <c r="AT19" s="303" t="s">
        <v>20</v>
      </c>
      <c r="AU19" s="29">
        <f t="array" ref="AU19:AU21">MMULT(AX19:AZ21,AW19:AW21)</f>
        <v>1.9391792795470791E-4</v>
      </c>
      <c r="AV19" s="303" t="s">
        <v>21</v>
      </c>
      <c r="AW19" s="56">
        <f t="array" ref="AW19:AW21">_xll.ohFilter(M3:M9,V3:V9)</f>
        <v>3.2295329102286345E-3</v>
      </c>
      <c r="AX19" s="27">
        <f t="array" ref="AX19:AZ21">MINVERSE(AQ19:AS21)</f>
        <v>13.239942491229325</v>
      </c>
      <c r="AY19" s="31">
        <v>-22.456698037609957</v>
      </c>
      <c r="AZ19" s="28">
        <v>9.242006931439203</v>
      </c>
      <c r="BA19" s="101"/>
      <c r="BC19" s="178">
        <f>_xll.qlCalendarAdvance(Calendar,BC18,"1d","mf",,Trigger)</f>
        <v>42298</v>
      </c>
      <c r="BD19" s="41">
        <f>_xll.qlDayCounterYearFraction(DayCounter,SettlementDate,BC19,,,Trigger)</f>
        <v>5.2777777777777778E-2</v>
      </c>
      <c r="BE19" s="47">
        <f>_xll.qlPolynomialFunctionValue(BE$1,$BD19,AllTriggers)</f>
        <v>2.886636964413011E-3</v>
      </c>
      <c r="BF19" s="47">
        <f>_xll.qlPolynomialFunctionValue(BF$1,$BD19,AllTriggers)</f>
        <v>2.9131544363840728E-3</v>
      </c>
      <c r="BG19" s="47">
        <f>_xll.qlPolynomialFunctionValue(BG$1,$BD19,AllTriggers)</f>
        <v>2.8633603432205168E-3</v>
      </c>
      <c r="BH19" s="47">
        <f>_xll.qlPolynomialFunctionValue(BH$1,$BD19,AllTriggers)</f>
        <v>2.9200210562539334E-3</v>
      </c>
      <c r="BI19" s="47">
        <f>_xll.qlPolynomialFunctionValue(BI$1,$BD19,AllTriggers)</f>
        <v>2.8826832849529233E-3</v>
      </c>
      <c r="BJ19" s="47">
        <f>_xll.qlPolynomialFunctionValue(BJ$1,$BD19,AllTriggers)</f>
        <v>2.9028372088520525E-3</v>
      </c>
      <c r="BK19" s="47">
        <f>_xll.qlPolynomialFunctionValue(BK$1,$BD19,AllTriggers)</f>
        <v>2.8643960219856468E-3</v>
      </c>
      <c r="BL19" s="47">
        <f>_xll.qlPolynomialFunctionValue(BL$1,$BD19,AllTriggers)</f>
        <v>2.9229709072143705E-3</v>
      </c>
      <c r="BM19" s="47">
        <f>_xll.qlPolynomialFunctionValue(BM$1,$BD19,AllTriggers)</f>
        <v>2.8444124726519104E-3</v>
      </c>
      <c r="BN19" s="47">
        <f>_xll.qlPolynomialFunctionValue(BN$1,$BD19,AllTriggers)</f>
        <v>2.887331729331494E-3</v>
      </c>
      <c r="BO19" s="47">
        <f>_xll.qlPolynomialFunctionValue(BO$1,$BD19,AllTriggers)</f>
        <v>2.8305346240554792E-3</v>
      </c>
      <c r="BP19" s="47">
        <f>_xll.qlPolynomialFunctionValue(BP$1,$BD19,AllTriggers)</f>
        <v>2.8471484514729847E-3</v>
      </c>
      <c r="BQ19" s="47">
        <f>_xll.qlPolynomialFunctionValue('12MSynthDepo_used'!$P$18,BD19,AllTriggers)</f>
        <v>2.859144722361789E-3</v>
      </c>
    </row>
    <row r="20" spans="1:69" ht="12" customHeight="1" x14ac:dyDescent="0.2">
      <c r="A20" s="21">
        <f t="shared" si="16"/>
        <v>12</v>
      </c>
      <c r="B20" s="55">
        <f t="shared" si="14"/>
        <v>24</v>
      </c>
      <c r="C20" s="42" t="str">
        <f t="shared" si="17"/>
        <v>B12M_12X24</v>
      </c>
      <c r="D20" s="181">
        <f>_xll.qlCalendarAdvance(Calendar,SettlementDate,A20&amp;"M","mf")</f>
        <v>42646</v>
      </c>
      <c r="E20" s="181">
        <f>_xll.qlInterestRateIndexMaturity($D$25,D20)</f>
        <v>43011</v>
      </c>
      <c r="F20" s="54">
        <f>_xll.qlIndexFixing(ON_12M_index,_xll.qlInterestRateIndexFixingDate(ON_12M_index,D20,Trigger),,AllTriggers)</f>
        <v>-1.6911753911141494E-3</v>
      </c>
      <c r="G20" s="54">
        <f t="shared" si="18"/>
        <v>2.0299999999999997E-3</v>
      </c>
      <c r="H20" s="203">
        <f>_xll.qlQuoteValue(C20,_xll.ohTrigger(InterestRatesTrigger,'12MSynthDepo_used'!$F$1))</f>
        <v>3.7211753911141491E-3</v>
      </c>
      <c r="I20" s="44">
        <f>_xll.qlDayCounterYearFraction(DayCounter,SettlementDate,D20,,,Trigger)</f>
        <v>1.0194444444444444</v>
      </c>
      <c r="J20" s="243">
        <f t="shared" si="15"/>
        <v>0</v>
      </c>
      <c r="P20" s="55"/>
      <c r="Q20" s="55"/>
      <c r="R20" s="55"/>
      <c r="S20" s="150" t="b">
        <v>1</v>
      </c>
      <c r="T20" s="150" t="b">
        <v>1</v>
      </c>
      <c r="U20" s="150" t="b">
        <v>1</v>
      </c>
      <c r="V20" s="150" t="b">
        <v>1</v>
      </c>
      <c r="AD20" s="94"/>
      <c r="AE20" s="27">
        <v>6.8179012345679024E-2</v>
      </c>
      <c r="AF20" s="31">
        <v>0.26111111111111113</v>
      </c>
      <c r="AG20" s="28">
        <v>1</v>
      </c>
      <c r="AH20" s="303"/>
      <c r="AI20" s="29">
        <v>5.1080989156503977E-4</v>
      </c>
      <c r="AJ20" s="303"/>
      <c r="AK20" s="56">
        <v>3.2767217092998704E-3</v>
      </c>
      <c r="AL20" s="27">
        <v>-10.352504638218923</v>
      </c>
      <c r="AM20" s="31">
        <v>13.563579277864994</v>
      </c>
      <c r="AN20" s="28">
        <v>-3.2110746396460708</v>
      </c>
      <c r="AO20" s="101"/>
      <c r="AP20" s="94"/>
      <c r="AQ20" s="27">
        <v>0.68948199588477355</v>
      </c>
      <c r="AR20" s="31">
        <v>0.78226851851851831</v>
      </c>
      <c r="AS20" s="28">
        <v>1.0166666666666666</v>
      </c>
      <c r="AT20" s="303"/>
      <c r="AU20" s="29">
        <v>3.1187514030049657E-4</v>
      </c>
      <c r="AV20" s="303"/>
      <c r="AW20" s="56">
        <v>3.3320765416964453E-3</v>
      </c>
      <c r="AX20" s="27">
        <v>-23.678419352612995</v>
      </c>
      <c r="AY20" s="31">
        <v>36.249049833926591</v>
      </c>
      <c r="AZ20" s="28">
        <v>-12.605070564824032</v>
      </c>
      <c r="BA20" s="101"/>
      <c r="BC20" s="178">
        <f>_xll.qlCalendarAdvance(Calendar,BC19,"1d","mf",,Trigger)</f>
        <v>42299</v>
      </c>
      <c r="BD20" s="41">
        <f>_xll.qlDayCounterYearFraction(DayCounter,SettlementDate,BC20,,,Trigger)</f>
        <v>5.5555555555555552E-2</v>
      </c>
      <c r="BE20" s="47">
        <f>_xll.qlPolynomialFunctionValue(BE$1,$BD20,AllTriggers)</f>
        <v>2.888116979263397E-3</v>
      </c>
      <c r="BF20" s="47">
        <f>_xll.qlPolynomialFunctionValue(BF$1,$BD20,AllTriggers)</f>
        <v>2.9141797357200606E-3</v>
      </c>
      <c r="BG20" s="47">
        <f>_xll.qlPolynomialFunctionValue(BG$1,$BD20,AllTriggers)</f>
        <v>2.8649594200718873E-3</v>
      </c>
      <c r="BH20" s="47">
        <f>_xll.qlPolynomialFunctionValue(BH$1,$BD20,AllTriggers)</f>
        <v>2.9209672315043578E-3</v>
      </c>
      <c r="BI20" s="47">
        <f>_xll.qlPolynomialFunctionValue(BI$1,$BD20,AllTriggers)</f>
        <v>2.8841904975827333E-3</v>
      </c>
      <c r="BJ20" s="47">
        <f>_xll.qlPolynomialFunctionValue(BJ$1,$BD20,AllTriggers)</f>
        <v>2.9039943517935774E-3</v>
      </c>
      <c r="BK20" s="47">
        <f>_xll.qlPolynomialFunctionValue(BK$1,$BD20,AllTriggers)</f>
        <v>2.8659970154511867E-3</v>
      </c>
      <c r="BL20" s="47">
        <f>_xll.qlPolynomialFunctionValue(BL$1,$BD20,AllTriggers)</f>
        <v>2.9238955819805615E-3</v>
      </c>
      <c r="BM20" s="47">
        <f>_xll.qlPolynomialFunctionValue(BM$1,$BD20,AllTriggers)</f>
        <v>2.8461018697964286E-3</v>
      </c>
      <c r="BN20" s="47">
        <f>_xll.qlPolynomialFunctionValue(BN$1,$BD20,AllTriggers)</f>
        <v>2.8886298789333833E-3</v>
      </c>
      <c r="BO20" s="47">
        <f>_xll.qlPolynomialFunctionValue(BO$1,$BD20,AllTriggers)</f>
        <v>2.8322681414592781E-3</v>
      </c>
      <c r="BP20" s="47">
        <f>_xll.qlPolynomialFunctionValue(BP$1,$BD20,AllTriggers)</f>
        <v>2.8487465309566446E-3</v>
      </c>
      <c r="BQ20" s="47">
        <f>_xll.qlPolynomialFunctionValue('12MSynthDepo_used'!$P$18,BD20,AllTriggers)</f>
        <v>2.8606939414775306E-3</v>
      </c>
    </row>
    <row r="21" spans="1:69" ht="12" customHeight="1" x14ac:dyDescent="0.2">
      <c r="A21" s="21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W21" s="55"/>
      <c r="AD21" s="94"/>
      <c r="AE21" s="27">
        <v>0.26408179012345673</v>
      </c>
      <c r="AF21" s="31">
        <v>0.51388888888888884</v>
      </c>
      <c r="AG21" s="28">
        <v>1</v>
      </c>
      <c r="AH21" s="303"/>
      <c r="AI21" s="29">
        <v>3.1306083865186027E-3</v>
      </c>
      <c r="AJ21" s="303"/>
      <c r="AK21" s="56">
        <v>3.4424358551712201E-3</v>
      </c>
      <c r="AL21" s="27">
        <v>1.792413935271078</v>
      </c>
      <c r="AM21" s="31">
        <v>-1.0003488574917148</v>
      </c>
      <c r="AN21" s="28">
        <v>0.20793492222063667</v>
      </c>
      <c r="AO21" s="101"/>
      <c r="AP21" s="94"/>
      <c r="AQ21" s="27">
        <v>1.1434283193301324</v>
      </c>
      <c r="AR21" s="31">
        <v>1.035011574074074</v>
      </c>
      <c r="AS21" s="28">
        <v>1.0138888888888888</v>
      </c>
      <c r="AT21" s="303"/>
      <c r="AU21" s="29">
        <v>2.9059706731738837E-3</v>
      </c>
      <c r="AV21" s="303"/>
      <c r="AW21" s="56">
        <v>3.4908570072941705E-3</v>
      </c>
      <c r="AX21" s="27">
        <v>9.2401771018783929</v>
      </c>
      <c r="AY21" s="31">
        <v>-11.678362158036103</v>
      </c>
      <c r="AZ21" s="28">
        <v>3.4311663850786878</v>
      </c>
      <c r="BA21" s="101"/>
      <c r="BC21" s="178">
        <f>_xll.qlCalendarAdvance(Calendar,BC20,"1d","mf",,Trigger)</f>
        <v>42300</v>
      </c>
      <c r="BD21" s="41">
        <f>_xll.qlDayCounterYearFraction(DayCounter,SettlementDate,BC21,,,Trigger)</f>
        <v>5.8333333333333334E-2</v>
      </c>
      <c r="BE21" s="47">
        <f>_xll.qlPolynomialFunctionValue(BE$1,$BD21,AllTriggers)</f>
        <v>2.8895969941137834E-3</v>
      </c>
      <c r="BF21" s="47">
        <f>_xll.qlPolynomialFunctionValue(BF$1,$BD21,AllTriggers)</f>
        <v>2.9152075682901111E-3</v>
      </c>
      <c r="BG21" s="47">
        <f>_xll.qlPolynomialFunctionValue(BG$1,$BD21,AllTriggers)</f>
        <v>2.8665584969232581E-3</v>
      </c>
      <c r="BH21" s="47">
        <f>_xll.qlPolynomialFunctionValue(BH$1,$BD21,AllTriggers)</f>
        <v>2.9219162893225573E-3</v>
      </c>
      <c r="BI21" s="47">
        <f>_xll.qlPolynomialFunctionValue(BI$1,$BD21,AllTriggers)</f>
        <v>2.8856977102125433E-3</v>
      </c>
      <c r="BJ21" s="47">
        <f>_xll.qlPolynomialFunctionValue(BJ$1,$BD21,AllTriggers)</f>
        <v>2.9051534586754736E-3</v>
      </c>
      <c r="BK21" s="47">
        <f>_xll.qlPolynomialFunctionValue(BK$1,$BD21,AllTriggers)</f>
        <v>2.8675980089167261E-3</v>
      </c>
      <c r="BL21" s="47">
        <f>_xll.qlPolynomialFunctionValue(BL$1,$BD21,AllTriggers)</f>
        <v>2.9248232493073699E-3</v>
      </c>
      <c r="BM21" s="47">
        <f>_xll.qlPolynomialFunctionValue(BM$1,$BD21,AllTriggers)</f>
        <v>2.8477912669409469E-3</v>
      </c>
      <c r="BN21" s="47">
        <f>_xll.qlPolynomialFunctionValue(BN$1,$BD21,AllTriggers)</f>
        <v>2.8899293981484498E-3</v>
      </c>
      <c r="BO21" s="47">
        <f>_xll.qlPolynomialFunctionValue(BO$1,$BD21,AllTriggers)</f>
        <v>2.8340016588630774E-3</v>
      </c>
      <c r="BP21" s="47">
        <f>_xll.qlPolynomialFunctionValue(BP$1,$BD21,AllTriggers)</f>
        <v>2.850345054541778E-3</v>
      </c>
      <c r="BQ21" s="47">
        <f>_xll.qlPolynomialFunctionValue('12MSynthDepo_used'!$P$18,BD21,AllTriggers)</f>
        <v>2.8622444052016625E-3</v>
      </c>
    </row>
    <row r="22" spans="1:69" ht="12" customHeight="1" x14ac:dyDescent="0.2">
      <c r="H22" s="21"/>
      <c r="I22" s="21"/>
      <c r="J22" s="21"/>
      <c r="L22" s="21"/>
      <c r="M22" s="21"/>
      <c r="N22" s="21"/>
      <c r="P22" s="21"/>
      <c r="Q22" s="21"/>
      <c r="R22" s="21"/>
      <c r="X22" s="21"/>
      <c r="Y22" s="21"/>
      <c r="Z22" s="21"/>
      <c r="AA22" s="21"/>
      <c r="AB22" s="21"/>
      <c r="AC22" s="21"/>
      <c r="AD22" s="95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103"/>
      <c r="AP22" s="95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103"/>
      <c r="BC22" s="178">
        <f>_xll.qlCalendarAdvance(Calendar,BC21,"1d","mf",,Trigger)</f>
        <v>42303</v>
      </c>
      <c r="BD22" s="41">
        <f>_xll.qlDayCounterYearFraction(DayCounter,SettlementDate,BC22,,,Trigger)</f>
        <v>6.6666666666666666E-2</v>
      </c>
      <c r="BE22" s="47">
        <f>_xll.qlPolynomialFunctionValue(BE$1,$BD22,AllTriggers)</f>
        <v>2.8940370386649418E-3</v>
      </c>
      <c r="BF22" s="47">
        <f>_xll.qlPolynomialFunctionValue(BF$1,$BD22,AllTriggers)</f>
        <v>2.9183062654046456E-3</v>
      </c>
      <c r="BG22" s="47">
        <f>_xll.qlPolynomialFunctionValue(BG$1,$BD22,AllTriggers)</f>
        <v>2.8713557274773708E-3</v>
      </c>
      <c r="BH22" s="47">
        <f>_xll.qlPolynomialFunctionValue(BH$1,$BD22,AllTriggers)</f>
        <v>2.9247807581838014E-3</v>
      </c>
      <c r="BI22" s="47">
        <f>_xll.qlPolynomialFunctionValue(BI$1,$BD22,AllTriggers)</f>
        <v>2.8902193481019733E-3</v>
      </c>
      <c r="BJ22" s="47">
        <f>_xll.qlPolynomialFunctionValue(BJ$1,$BD22,AllTriggers)</f>
        <v>2.9086425629633928E-3</v>
      </c>
      <c r="BK22" s="47">
        <f>_xll.qlPolynomialFunctionValue(BK$1,$BD22,AllTriggers)</f>
        <v>2.872400989313345E-3</v>
      </c>
      <c r="BL22" s="47">
        <f>_xll.qlPolynomialFunctionValue(BL$1,$BD22,AllTriggers)</f>
        <v>2.927624206651493E-3</v>
      </c>
      <c r="BM22" s="47">
        <f>_xll.qlPolynomialFunctionValue(BM$1,$BD22,AllTriggers)</f>
        <v>2.8528594583745012E-3</v>
      </c>
      <c r="BN22" s="47">
        <f>_xll.qlPolynomialFunctionValue(BN$1,$BD22,AllTriggers)</f>
        <v>2.8938361734727113E-3</v>
      </c>
      <c r="BO22" s="47">
        <f>_xll.qlPolynomialFunctionValue(BO$1,$BD22,AllTriggers)</f>
        <v>2.8392022110744746E-3</v>
      </c>
      <c r="BP22" s="47">
        <f>_xll.qlPolynomialFunctionValue(BP$1,$BD22,AllTriggers)</f>
        <v>2.8551432899060173E-3</v>
      </c>
      <c r="BQ22" s="47">
        <f>_xll.qlPolynomialFunctionValue('12MSynthDepo_used'!$P$18,BD22,AllTriggers)</f>
        <v>2.8669032177667132E-3</v>
      </c>
    </row>
    <row r="23" spans="1:69" ht="12" customHeight="1" x14ac:dyDescent="0.2">
      <c r="W23" s="21"/>
      <c r="X23" s="21"/>
      <c r="Y23" s="21"/>
      <c r="Z23" s="21"/>
      <c r="AA23" s="21"/>
      <c r="AB23" s="21"/>
      <c r="AC23" s="21"/>
      <c r="AD23" s="93"/>
      <c r="AE23" s="93"/>
      <c r="AF23" s="93"/>
      <c r="AG23" s="93"/>
      <c r="AH23" s="93"/>
      <c r="BC23" s="178">
        <f>_xll.qlCalendarAdvance(Calendar,BC22,"1d","mf",,Trigger)</f>
        <v>42304</v>
      </c>
      <c r="BD23" s="41">
        <f>_xll.qlDayCounterYearFraction(DayCounter,SettlementDate,BC23,,,Trigger)</f>
        <v>6.9444444444444448E-2</v>
      </c>
      <c r="BE23" s="47">
        <f>_xll.qlPolynomialFunctionValue(BE$1,$BD23,AllTriggers)</f>
        <v>2.8955170535153282E-3</v>
      </c>
      <c r="BF23" s="47">
        <f>_xll.qlPolynomialFunctionValue(BF$1,$BD23,AllTriggers)</f>
        <v>2.9193442309109509E-3</v>
      </c>
      <c r="BG23" s="47">
        <f>_xll.qlPolynomialFunctionValue(BG$1,$BD23,AllTriggers)</f>
        <v>2.8729548043287417E-3</v>
      </c>
      <c r="BH23" s="47">
        <f>_xll.qlPolynomialFunctionValue(BH$1,$BD23,AllTriggers)</f>
        <v>2.9257413462730995E-3</v>
      </c>
      <c r="BI23" s="47">
        <f>_xll.qlPolynomialFunctionValue(BI$1,$BD23,AllTriggers)</f>
        <v>2.8917265607317833E-3</v>
      </c>
      <c r="BJ23" s="47">
        <f>_xll.qlPolynomialFunctionValue(BJ$1,$BD23,AllTriggers)</f>
        <v>2.9098095256067757E-3</v>
      </c>
      <c r="BK23" s="47">
        <f>_xll.qlPolynomialFunctionValue(BK$1,$BD23,AllTriggers)</f>
        <v>2.8740019827788845E-3</v>
      </c>
      <c r="BL23" s="47">
        <f>_xll.qlPolynomialFunctionValue(BL$1,$BD23,AllTriggers)</f>
        <v>2.9285638442207679E-3</v>
      </c>
      <c r="BM23" s="47">
        <f>_xll.qlPolynomialFunctionValue(BM$1,$BD23,AllTriggers)</f>
        <v>2.8545488555190195E-3</v>
      </c>
      <c r="BN23" s="47">
        <f>_xll.qlPolynomialFunctionValue(BN$1,$BD23,AllTriggers)</f>
        <v>2.8951411711404858E-3</v>
      </c>
      <c r="BO23" s="47">
        <f>_xll.qlPolynomialFunctionValue(BO$1,$BD23,AllTriggers)</f>
        <v>2.8409357284782735E-3</v>
      </c>
      <c r="BP23" s="47">
        <f>_xll.qlPolynomialFunctionValue(BP$1,$BD23,AllTriggers)</f>
        <v>2.8567435898970437E-3</v>
      </c>
      <c r="BQ23" s="47">
        <f>_xll.qlPolynomialFunctionValue('12MSynthDepo_used'!$P$18,BD23,AllTriggers)</f>
        <v>2.8684586136667246E-3</v>
      </c>
    </row>
    <row r="24" spans="1:69" ht="12" customHeight="1" x14ac:dyDescent="0.2">
      <c r="A24" s="21"/>
      <c r="B24" s="55"/>
      <c r="C24" s="36" t="s">
        <v>62</v>
      </c>
      <c r="D24" s="51" t="s">
        <v>37</v>
      </c>
      <c r="F24" s="187" t="s">
        <v>90</v>
      </c>
      <c r="G24" s="188" t="b">
        <v>1</v>
      </c>
      <c r="H24" s="235"/>
      <c r="S24" s="236"/>
      <c r="T24" s="237"/>
      <c r="U24" s="188" t="b">
        <v>0</v>
      </c>
      <c r="V24" s="235"/>
      <c r="W24" s="236"/>
      <c r="X24" s="237"/>
      <c r="Y24" s="188" t="b">
        <v>1</v>
      </c>
      <c r="Z24" s="235"/>
      <c r="AA24" s="236"/>
      <c r="AB24" s="236"/>
      <c r="BC24" s="178">
        <f>_xll.qlCalendarAdvance(Calendar,BC23,"1d","mf",,Trigger)</f>
        <v>42305</v>
      </c>
      <c r="BD24" s="41">
        <f>_xll.qlDayCounterYearFraction(DayCounter,SettlementDate,BC24,,,Trigger)</f>
        <v>7.2222222222222215E-2</v>
      </c>
      <c r="BE24" s="47">
        <f>_xll.qlPolynomialFunctionValue(BE$1,$BD24,AllTriggers)</f>
        <v>2.8969970683657142E-3</v>
      </c>
      <c r="BF24" s="47">
        <f>_xll.qlPolynomialFunctionValue(BF$1,$BD24,AllTriggers)</f>
        <v>2.9203847296513197E-3</v>
      </c>
      <c r="BG24" s="47">
        <f>_xll.qlPolynomialFunctionValue(BG$1,$BD24,AllTriggers)</f>
        <v>2.8745538811801121E-3</v>
      </c>
      <c r="BH24" s="47">
        <f>_xll.qlPolynomialFunctionValue(BH$1,$BD24,AllTriggers)</f>
        <v>2.9267048169301711E-3</v>
      </c>
      <c r="BI24" s="47">
        <f>_xll.qlPolynomialFunctionValue(BI$1,$BD24,AllTriggers)</f>
        <v>2.8932337733615933E-3</v>
      </c>
      <c r="BJ24" s="47">
        <f>_xll.qlPolynomialFunctionValue(BJ$1,$BD24,AllTriggers)</f>
        <v>2.9109784521905309E-3</v>
      </c>
      <c r="BK24" s="47">
        <f>_xll.qlPolynomialFunctionValue(BK$1,$BD24,AllTriggers)</f>
        <v>2.8756029762444244E-3</v>
      </c>
      <c r="BL24" s="47">
        <f>_xll.qlPolynomialFunctionValue(BL$1,$BD24,AllTriggers)</f>
        <v>2.9295064743506583E-3</v>
      </c>
      <c r="BM24" s="47">
        <f>_xll.qlPolynomialFunctionValue(BM$1,$BD24,AllTriggers)</f>
        <v>2.8562382526635378E-3</v>
      </c>
      <c r="BN24" s="47">
        <f>_xll.qlPolynomialFunctionValue(BN$1,$BD24,AllTriggers)</f>
        <v>2.8964475384214371E-3</v>
      </c>
      <c r="BO24" s="47">
        <f>_xll.qlPolynomialFunctionValue(BO$1,$BD24,AllTriggers)</f>
        <v>2.8426692458820729E-3</v>
      </c>
      <c r="BP24" s="47">
        <f>_xll.qlPolynomialFunctionValue(BP$1,$BD24,AllTriggers)</f>
        <v>2.8583443339895436E-3</v>
      </c>
      <c r="BQ24" s="47">
        <f>_xll.qlPolynomialFunctionValue('12MSynthDepo_used'!$P$18,BD24,AllTriggers)</f>
        <v>2.8700152310462889E-3</v>
      </c>
    </row>
    <row r="25" spans="1:69" ht="12" customHeight="1" x14ac:dyDescent="0.2">
      <c r="A25" s="21"/>
      <c r="B25" s="55"/>
      <c r="C25" s="36" t="s">
        <v>53</v>
      </c>
      <c r="D25" s="51" t="str">
        <f>PROPER(Currency)&amp;IborType&amp;"1Y"</f>
        <v>Euribor1Y</v>
      </c>
      <c r="E25" s="23"/>
      <c r="F25" s="187" t="s">
        <v>91</v>
      </c>
      <c r="G25" s="89"/>
      <c r="H25" s="89"/>
      <c r="S25" s="89"/>
      <c r="T25" s="89"/>
      <c r="U25" s="89"/>
      <c r="V25" s="89"/>
      <c r="W25" s="89"/>
      <c r="X25" s="238"/>
      <c r="Y25" s="228" t="str">
        <f>_xll.qlPolynomialCalibration(,_xll.ohFilter($I$14:$I$20,$S$14:$S$20),_xll.ohFilter($H$14:$H$20,$S$14:$S$20),_xll.ohFilter($J$14:$J$20,$S$14:$S$20),G$28:G$29,,,,,Trigger)</f>
        <v>obj_0062d#0002</v>
      </c>
      <c r="Z25" s="188" t="str">
        <f>_xll.qlPolynomialCalibration(,_xll.ohFilter($I$14:$I$20,$T$14:$T$20),_xll.ohFilter($H$14:$H$20,$T$14:$T$20),_xll.ohFilter($J$14:$J$20,$T$14:$T$20),H$28:H$30,,,,,Trigger)</f>
        <v>obj_0062c#0002</v>
      </c>
      <c r="AA25" s="188" t="str">
        <f>_xll.qlPolynomialCalibration(,_xll.ohFilter($I$14:$I$20,$U$14:$U$20),_xll.ohFilter($H$14:$H$20,$U$14:$U$20),_xll.ohFilter($J$14:$J$20,$U$14:$U$20),S$28:S$29,,,,,Trigger)</f>
        <v>obj_0062e#0002</v>
      </c>
      <c r="AB25" s="188" t="str">
        <f>_xll.qlPolynomialCalibration(,_xll.ohFilter($I$14:$I$20,$V$14:$V$20),_xll.ohFilter($H$14:$H$20,$V$14:$V$20),_xll.ohFilter($J$14:$J$20,$V$14:$V$20),T$28:T$30,,,,,Trigger)</f>
        <v>obj_00631#0002</v>
      </c>
      <c r="AC25" s="19" t="s">
        <v>70</v>
      </c>
      <c r="BC25" s="178">
        <f>_xll.qlCalendarAdvance(Calendar,BC24,"1d","mf",,Trigger)</f>
        <v>42306</v>
      </c>
      <c r="BD25" s="41">
        <f>_xll.qlDayCounterYearFraction(DayCounter,SettlementDate,BC25,,,Trigger)</f>
        <v>7.4999999999999997E-2</v>
      </c>
      <c r="BE25" s="47">
        <f>_xll.qlPolynomialFunctionValue(BE$1,$BD25,AllTriggers)</f>
        <v>2.8984770832161002E-3</v>
      </c>
      <c r="BF25" s="47">
        <f>_xll.qlPolynomialFunctionValue(BF$1,$BD25,AllTriggers)</f>
        <v>2.9214277616257511E-3</v>
      </c>
      <c r="BG25" s="47">
        <f>_xll.qlPolynomialFunctionValue(BG$1,$BD25,AllTriggers)</f>
        <v>2.876152958031483E-3</v>
      </c>
      <c r="BH25" s="47">
        <f>_xll.qlPolynomialFunctionValue(BH$1,$BD25,AllTriggers)</f>
        <v>2.9276711701550179E-3</v>
      </c>
      <c r="BI25" s="47">
        <f>_xll.qlPolynomialFunctionValue(BI$1,$BD25,AllTriggers)</f>
        <v>2.8947409859914034E-3</v>
      </c>
      <c r="BJ25" s="47">
        <f>_xll.qlPolynomialFunctionValue(BJ$1,$BD25,AllTriggers)</f>
        <v>2.9121493427146576E-3</v>
      </c>
      <c r="BK25" s="47">
        <f>_xll.qlPolynomialFunctionValue(BK$1,$BD25,AllTriggers)</f>
        <v>2.8772039697099639E-3</v>
      </c>
      <c r="BL25" s="47">
        <f>_xll.qlPolynomialFunctionValue(BL$1,$BD25,AllTriggers)</f>
        <v>2.9304520970411664E-3</v>
      </c>
      <c r="BM25" s="47">
        <f>_xll.qlPolynomialFunctionValue(BM$1,$BD25,AllTriggers)</f>
        <v>2.857927649808056E-3</v>
      </c>
      <c r="BN25" s="47">
        <f>_xll.qlPolynomialFunctionValue(BN$1,$BD25,AllTriggers)</f>
        <v>2.8977552753155652E-3</v>
      </c>
      <c r="BO25" s="47">
        <f>_xll.qlPolynomialFunctionValue(BO$1,$BD25,AllTriggers)</f>
        <v>2.8444027632858718E-3</v>
      </c>
      <c r="BP25" s="47">
        <f>_xll.qlPolynomialFunctionValue(BP$1,$BD25,AllTriggers)</f>
        <v>2.8599455221835161E-3</v>
      </c>
      <c r="BQ25" s="47">
        <f>_xll.qlPolynomialFunctionValue('12MSynthDepo_used'!$P$18,BD25,AllTriggers)</f>
        <v>2.8715730652796364E-3</v>
      </c>
    </row>
    <row r="26" spans="1:69" ht="12" customHeight="1" x14ac:dyDescent="0.2">
      <c r="A26" s="21"/>
      <c r="B26" s="55"/>
      <c r="C26" s="36" t="s">
        <v>113</v>
      </c>
      <c r="D26" s="51" t="str">
        <f>_xll.qlIborIndex(,,'12MSynthDepo_allScenario'!D24,2,Currency,Calendar,"mf",TRUE,DayCounter,Discounting,,Trigger)</f>
        <v>obj_005a4#0007</v>
      </c>
      <c r="E26" s="23"/>
      <c r="F26" s="187" t="s">
        <v>92</v>
      </c>
      <c r="G26" s="89"/>
      <c r="H26" s="89"/>
      <c r="S26" s="89"/>
      <c r="T26" s="89"/>
      <c r="U26" s="89"/>
      <c r="V26" s="89"/>
      <c r="W26" s="89"/>
      <c r="X26" s="238"/>
      <c r="Y26" s="239" t="b">
        <f>_xll.qlPolynomialCalibrationCompute(Y$25,AllTriggers)</f>
        <v>1</v>
      </c>
      <c r="Z26" s="188" t="b">
        <f>_xll.qlPolynomialCalibrationCompute(Z$25,AllTriggers)</f>
        <v>1</v>
      </c>
      <c r="AA26" s="188" t="b">
        <f>_xll.qlPolynomialCalibrationCompute(AA$25,AllTriggers)</f>
        <v>1</v>
      </c>
      <c r="AB26" s="188" t="b">
        <f>_xll.qlPolynomialCalibrationCompute(AB$25,AllTriggers)</f>
        <v>1</v>
      </c>
      <c r="AC26" s="19" t="s">
        <v>70</v>
      </c>
      <c r="BC26" s="178">
        <f>_xll.qlCalendarAdvance(Calendar,BC25,"1d","mf",,Trigger)</f>
        <v>42307</v>
      </c>
      <c r="BD26" s="41">
        <f>_xll.qlDayCounterYearFraction(DayCounter,SettlementDate,BC26,,,Trigger)</f>
        <v>7.7777777777777779E-2</v>
      </c>
      <c r="BE26" s="47">
        <f>_xll.qlPolynomialFunctionValue(BE$1,$BD26,AllTriggers)</f>
        <v>2.8999570980664867E-3</v>
      </c>
      <c r="BF26" s="47">
        <f>_xll.qlPolynomialFunctionValue(BF$1,$BD26,AllTriggers)</f>
        <v>2.9224733268342468E-3</v>
      </c>
      <c r="BG26" s="47">
        <f>_xll.qlPolynomialFunctionValue(BG$1,$BD26,AllTriggers)</f>
        <v>2.8777520348828539E-3</v>
      </c>
      <c r="BH26" s="47">
        <f>_xll.qlPolynomialFunctionValue(BH$1,$BD26,AllTriggers)</f>
        <v>2.9286404059476389E-3</v>
      </c>
      <c r="BI26" s="47">
        <f>_xll.qlPolynomialFunctionValue(BI$1,$BD26,AllTriggers)</f>
        <v>2.8962481986212134E-3</v>
      </c>
      <c r="BJ26" s="47">
        <f>_xll.qlPolynomialFunctionValue(BJ$1,$BD26,AllTriggers)</f>
        <v>2.9133221971791561E-3</v>
      </c>
      <c r="BK26" s="47">
        <f>_xll.qlPolynomialFunctionValue(BK$1,$BD26,AllTriggers)</f>
        <v>2.8788049631755033E-3</v>
      </c>
      <c r="BL26" s="47">
        <f>_xll.qlPolynomialFunctionValue(BL$1,$BD26,AllTriggers)</f>
        <v>2.9314007122922905E-3</v>
      </c>
      <c r="BM26" s="47">
        <f>_xll.qlPolynomialFunctionValue(BM$1,$BD26,AllTriggers)</f>
        <v>2.8596170469525743E-3</v>
      </c>
      <c r="BN26" s="47">
        <f>_xll.qlPolynomialFunctionValue(BN$1,$BD26,AllTriggers)</f>
        <v>2.89906438182287E-3</v>
      </c>
      <c r="BO26" s="47">
        <f>_xll.qlPolynomialFunctionValue(BO$1,$BD26,AllTriggers)</f>
        <v>2.8461362806896707E-3</v>
      </c>
      <c r="BP26" s="47">
        <f>_xll.qlPolynomialFunctionValue(BP$1,$BD26,AllTriggers)</f>
        <v>2.8615471544789629E-3</v>
      </c>
      <c r="BQ26" s="47">
        <f>_xll.qlPolynomialFunctionValue('12MSynthDepo_used'!$P$18,BD26,AllTriggers)</f>
        <v>2.873132111741001E-3</v>
      </c>
    </row>
    <row r="27" spans="1:69" ht="12" customHeight="1" x14ac:dyDescent="0.2">
      <c r="B27" s="22"/>
      <c r="C27" s="36" t="s">
        <v>114</v>
      </c>
      <c r="D27" s="51" t="s">
        <v>86</v>
      </c>
      <c r="E27" s="23"/>
      <c r="F27" s="187" t="s">
        <v>82</v>
      </c>
      <c r="G27" s="188" t="str">
        <f>_xll.qlPolynomialTenorBasis(,$D$25,Discounting,SettlementDate,IsSimple,G$28:G$31,,Trigger)</f>
        <v>obj_00627#0002</v>
      </c>
      <c r="H27" s="188" t="str">
        <f>_xll.qlPolynomialTenorBasis(,$D$25,Discounting,SettlementDate,IsSimple,H$28:H$31,,Trigger)</f>
        <v>obj_00626#0002</v>
      </c>
      <c r="S27" s="188" t="str">
        <f>_xll.qlPolynomialTenorBasis(,$D$25,Discounting,SettlementDate,IsSimple,S$28:S$31,,Trigger)</f>
        <v>obj_00623#0002</v>
      </c>
      <c r="T27" s="188" t="str">
        <f>_xll.qlPolynomialTenorBasis(,$D$25,Discounting,SettlementDate,IsSimple,T$28:T$31,,Trigger)</f>
        <v>obj_00620#0002</v>
      </c>
      <c r="U27" s="188" t="str">
        <f>_xll.qlPolynomialTenorBasis(,$D$25,Discounting,SettlementDate,$U$24,U$28:U$31,,Trigger)</f>
        <v>obj_00630#0002</v>
      </c>
      <c r="V27" s="188" t="str">
        <f>_xll.qlPolynomialTenorBasis(,$D$25,Discounting,SettlementDate,$U$24,V$28:V$31,,Trigger)</f>
        <v>obj_00629#0002</v>
      </c>
      <c r="W27" s="188" t="str">
        <f>_xll.qlPolynomialTenorBasis(,$D$25,Discounting,SettlementDate,$U$24,W$28:W$31,,Trigger)</f>
        <v>obj_00621#0002</v>
      </c>
      <c r="X27" s="227" t="str">
        <f>_xll.qlPolynomialTenorBasis(,$D$25,Discounting,SettlementDate,$U$24,X$28:X$31,,Trigger)</f>
        <v>obj_00622#0002</v>
      </c>
      <c r="Y27" s="228" t="str">
        <f>_xll.qlPolynomialTenorBasis(,$D$25,Discounting,SettlementDate,$Y$24,Y$28:Y$31,,Trigger)</f>
        <v>obj_00634#0002</v>
      </c>
      <c r="Z27" s="188" t="str">
        <f>_xll.qlPolynomialTenorBasis(,$D$25,Discounting,SettlementDate,$Y$24,Z$28:Z$31,,Trigger)</f>
        <v>obj_00638#0002</v>
      </c>
      <c r="AA27" s="188" t="str">
        <f>_xll.qlPolynomialTenorBasis(,$D$25,Discounting,SettlementDate,$Y$24,AA$28:AA$31,,Trigger)</f>
        <v>obj_00635#0002</v>
      </c>
      <c r="AB27" s="188" t="str">
        <f>_xll.qlPolynomialTenorBasis(,$D$25,Discounting,SettlementDate,$Y$24,AB$28:AB$31,,Trigger)</f>
        <v>obj_00632#0002</v>
      </c>
      <c r="AC27" s="19" t="s">
        <v>70</v>
      </c>
      <c r="BC27" s="178">
        <f>_xll.qlCalendarAdvance(Calendar,BC26,"1d","mf",,Trigger)</f>
        <v>42310</v>
      </c>
      <c r="BD27" s="41">
        <f>_xll.qlDayCounterYearFraction(DayCounter,SettlementDate,BC27,,,Trigger)</f>
        <v>8.611111111111111E-2</v>
      </c>
      <c r="BE27" s="47">
        <f>_xll.qlPolynomialFunctionValue(BE$1,$BD27,AllTriggers)</f>
        <v>2.9043971426176451E-3</v>
      </c>
      <c r="BF27" s="47">
        <f>_xll.qlPolynomialFunctionValue(BF$1,$BD27,AllTriggers)</f>
        <v>2.925625221864115E-3</v>
      </c>
      <c r="BG27" s="47">
        <f>_xll.qlPolynomialFunctionValue(BG$1,$BD27,AllTriggers)</f>
        <v>2.8825492654369661E-3</v>
      </c>
      <c r="BH27" s="47">
        <f>_xll.qlPolynomialFunctionValue(BH$1,$BD27,AllTriggers)</f>
        <v>2.9315654087321502E-3</v>
      </c>
      <c r="BI27" s="47">
        <f>_xll.qlPolynomialFunctionValue(BI$1,$BD27,AllTriggers)</f>
        <v>2.9007698365106434E-3</v>
      </c>
      <c r="BJ27" s="47">
        <f>_xll.qlPolynomialFunctionValue(BJ$1,$BD27,AllTriggers)</f>
        <v>2.9168525442148817E-3</v>
      </c>
      <c r="BK27" s="47">
        <f>_xll.qlPolynomialFunctionValue(BK$1,$BD27,AllTriggers)</f>
        <v>2.8836079435721222E-3</v>
      </c>
      <c r="BL27" s="47">
        <f>_xll.qlPolynomialFunctionValue(BL$1,$BD27,AllTriggers)</f>
        <v>2.9342645134093621E-3</v>
      </c>
      <c r="BM27" s="47">
        <f>_xll.qlPolynomialFunctionValue(BM$1,$BD27,AllTriggers)</f>
        <v>2.8646852383861286E-3</v>
      </c>
      <c r="BN27" s="47">
        <f>_xll.qlPolynomialFunctionValue(BN$1,$BD27,AllTriggers)</f>
        <v>2.9029999190238469E-3</v>
      </c>
      <c r="BO27" s="47">
        <f>_xll.qlPolynomialFunctionValue(BO$1,$BD27,AllTriggers)</f>
        <v>2.8513368329010683E-3</v>
      </c>
      <c r="BP27" s="47">
        <f>_xll.qlPolynomialFunctionValue(BP$1,$BD27,AllTriggers)</f>
        <v>2.8663547159741417E-3</v>
      </c>
      <c r="BQ27" s="47">
        <f>_xll.qlPolynomialFunctionValue('12MSynthDepo_used'!$P$18,BD27,AllTriggers)</f>
        <v>2.8778164782355224E-3</v>
      </c>
    </row>
    <row r="28" spans="1:69" ht="12" customHeight="1" x14ac:dyDescent="0.2">
      <c r="C28" s="36" t="s">
        <v>115</v>
      </c>
      <c r="D28" s="51" t="s">
        <v>86</v>
      </c>
      <c r="E28" s="35"/>
      <c r="F28" s="133" t="s">
        <v>73</v>
      </c>
      <c r="G28" s="90">
        <f>AI6</f>
        <v>3.1300994073015375E-3</v>
      </c>
      <c r="H28" s="90">
        <f>AI16</f>
        <v>3.1300994073015375E-3</v>
      </c>
      <c r="S28" s="90">
        <f>AI10</f>
        <v>3.1264084852710141E-3</v>
      </c>
      <c r="T28" s="90">
        <f>AI21</f>
        <v>3.1306083865186027E-3</v>
      </c>
      <c r="U28" s="90">
        <f>AU6</f>
        <v>2.8540462449865335E-3</v>
      </c>
      <c r="V28" s="90">
        <f>AU16</f>
        <v>2.8812246416337201E-3</v>
      </c>
      <c r="W28" s="90">
        <f>AU10</f>
        <v>2.8339771461403946E-3</v>
      </c>
      <c r="X28" s="229">
        <f>AU21</f>
        <v>2.9059706731738837E-3</v>
      </c>
      <c r="Y28" s="230">
        <f t="array" ref="Y28:Y29">_xll.qlPolynomialCalibrationCoefficients($Y$25,$Y$26)</f>
        <v>3.1223183029251526E-3</v>
      </c>
      <c r="Z28" s="90">
        <f t="array" ref="Z28:Z30">_xll.qlPolynomialCalibrationCoefficients($Z$25,$Z$26)</f>
        <v>3.1269820518599299E-3</v>
      </c>
      <c r="AA28" s="90">
        <f t="array" ref="AA28:AA29">_xll.qlPolynomialCalibrationCoefficients($AA$25,$AA$26)</f>
        <v>3.1156982369804271E-3</v>
      </c>
      <c r="AB28" s="90">
        <f t="array" ref="AB28:AB30">_xll.qlPolynomialCalibrationCoefficients($AB$25,$AB$26)</f>
        <v>3.118497063607918E-3</v>
      </c>
      <c r="AC28" s="19" t="s">
        <v>70</v>
      </c>
      <c r="BC28" s="178">
        <f>_xll.qlCalendarAdvance(Calendar,BC27,"1d","mf",,Trigger)</f>
        <v>42311</v>
      </c>
      <c r="BD28" s="41">
        <f>_xll.qlDayCounterYearFraction(DayCounter,SettlementDate,BC28,,,Trigger)</f>
        <v>8.8888888888888892E-2</v>
      </c>
      <c r="BE28" s="47">
        <f>_xll.qlPolynomialFunctionValue(BE$1,$BD28,AllTriggers)</f>
        <v>2.9058771574680315E-3</v>
      </c>
      <c r="BF28" s="47">
        <f>_xll.qlPolynomialFunctionValue(BF$1,$BD28,AllTriggers)</f>
        <v>2.9266809200088643E-3</v>
      </c>
      <c r="BG28" s="47">
        <f>_xll.qlPolynomialFunctionValue(BG$1,$BD28,AllTriggers)</f>
        <v>2.884148342288337E-3</v>
      </c>
      <c r="BH28" s="47">
        <f>_xll.qlPolynomialFunctionValue(BH$1,$BD28,AllTriggers)</f>
        <v>2.9325461747958699E-3</v>
      </c>
      <c r="BI28" s="47">
        <f>_xll.qlPolynomialFunctionValue(BI$1,$BD28,AllTriggers)</f>
        <v>2.9022770491404534E-3</v>
      </c>
      <c r="BJ28" s="47">
        <f>_xll.qlPolynomialFunctionValue(BJ$1,$BD28,AllTriggers)</f>
        <v>2.9180332544408677E-3</v>
      </c>
      <c r="BK28" s="47">
        <f>_xll.qlPolynomialFunctionValue(BK$1,$BD28,AllTriggers)</f>
        <v>2.8852089370376617E-3</v>
      </c>
      <c r="BL28" s="47">
        <f>_xll.qlPolynomialFunctionValue(BL$1,$BD28,AllTriggers)</f>
        <v>2.9352250989029527E-3</v>
      </c>
      <c r="BM28" s="47">
        <f>_xll.qlPolynomialFunctionValue(BM$1,$BD28,AllTriggers)</f>
        <v>2.8663746355306469E-3</v>
      </c>
      <c r="BN28" s="47">
        <f>_xll.qlPolynomialFunctionValue(BN$1,$BD28,AllTriggers)</f>
        <v>2.9043145039838593E-3</v>
      </c>
      <c r="BO28" s="47">
        <f>_xll.qlPolynomialFunctionValue(BO$1,$BD28,AllTriggers)</f>
        <v>2.8530703503048672E-3</v>
      </c>
      <c r="BP28" s="47">
        <f>_xll.qlPolynomialFunctionValue(BP$1,$BD28,AllTriggers)</f>
        <v>2.8679581246754812E-3</v>
      </c>
      <c r="BQ28" s="47">
        <f>_xll.qlPolynomialFunctionValue('12MSynthDepo_used'!$P$18,BD28,AllTriggers)</f>
        <v>2.8793803273512802E-3</v>
      </c>
    </row>
    <row r="29" spans="1:69" ht="12" customHeight="1" x14ac:dyDescent="0.2">
      <c r="E29" s="35"/>
      <c r="F29" s="133" t="s">
        <v>74</v>
      </c>
      <c r="G29" s="90">
        <f>AI5</f>
        <v>5.3280534613902447E-4</v>
      </c>
      <c r="H29" s="90">
        <f>AI15</f>
        <v>5.1866990006468449E-4</v>
      </c>
      <c r="S29" s="90">
        <f>AI9</f>
        <v>5.756676664934908E-4</v>
      </c>
      <c r="T29" s="90">
        <f>AI20</f>
        <v>5.1080989156503977E-4</v>
      </c>
      <c r="U29" s="90">
        <f>AU5</f>
        <v>5.4259654673159685E-4</v>
      </c>
      <c r="V29" s="90">
        <f>AU15</f>
        <v>4.0278459753913254E-4</v>
      </c>
      <c r="W29" s="90">
        <f>AU9</f>
        <v>5.7635764759425556E-4</v>
      </c>
      <c r="X29" s="229">
        <f>AU20</f>
        <v>3.1187514030049657E-4</v>
      </c>
      <c r="Y29" s="230">
        <v>6.0818297202654809E-4</v>
      </c>
      <c r="Z29" s="90">
        <v>5.4819581864538566E-4</v>
      </c>
      <c r="AA29" s="90">
        <v>6.2406626536766778E-4</v>
      </c>
      <c r="AB29" s="90">
        <v>6.015283651019394E-4</v>
      </c>
      <c r="AC29" s="19" t="s">
        <v>70</v>
      </c>
      <c r="BC29" s="178">
        <f>_xll.qlCalendarAdvance(Calendar,BC28,"1d","mf",,Trigger)</f>
        <v>42312</v>
      </c>
      <c r="BD29" s="41">
        <f>_xll.qlDayCounterYearFraction(DayCounter,SettlementDate,BC29,,,Trigger)</f>
        <v>9.166666666666666E-2</v>
      </c>
      <c r="BE29" s="47">
        <f>_xll.qlPolynomialFunctionValue(BE$1,$BD29,AllTriggers)</f>
        <v>2.9073571723184175E-3</v>
      </c>
      <c r="BF29" s="47">
        <f>_xll.qlPolynomialFunctionValue(BF$1,$BD29,AllTriggers)</f>
        <v>2.9277391513876771E-3</v>
      </c>
      <c r="BG29" s="47">
        <f>_xll.qlPolynomialFunctionValue(BG$1,$BD29,AllTriggers)</f>
        <v>2.8857474191397079E-3</v>
      </c>
      <c r="BH29" s="47">
        <f>_xll.qlPolynomialFunctionValue(BH$1,$BD29,AllTriggers)</f>
        <v>2.9335298234273639E-3</v>
      </c>
      <c r="BI29" s="47">
        <f>_xll.qlPolynomialFunctionValue(BI$1,$BD29,AllTriggers)</f>
        <v>2.9037842617702634E-3</v>
      </c>
      <c r="BJ29" s="47">
        <f>_xll.qlPolynomialFunctionValue(BJ$1,$BD29,AllTriggers)</f>
        <v>2.9192159286072247E-3</v>
      </c>
      <c r="BK29" s="47">
        <f>_xll.qlPolynomialFunctionValue(BK$1,$BD29,AllTriggers)</f>
        <v>2.8868099305032016E-3</v>
      </c>
      <c r="BL29" s="47">
        <f>_xll.qlPolynomialFunctionValue(BL$1,$BD29,AllTriggers)</f>
        <v>2.9361886769571598E-3</v>
      </c>
      <c r="BM29" s="47">
        <f>_xll.qlPolynomialFunctionValue(BM$1,$BD29,AllTriggers)</f>
        <v>2.8680640326751651E-3</v>
      </c>
      <c r="BN29" s="47">
        <f>_xll.qlPolynomialFunctionValue(BN$1,$BD29,AllTriggers)</f>
        <v>2.9056304585570493E-3</v>
      </c>
      <c r="BO29" s="47">
        <f>_xll.qlPolynomialFunctionValue(BO$1,$BD29,AllTriggers)</f>
        <v>2.8548038677086661E-3</v>
      </c>
      <c r="BP29" s="47">
        <f>_xll.qlPolynomialFunctionValue(BP$1,$BD29,AllTriggers)</f>
        <v>2.8695619774782941E-3</v>
      </c>
      <c r="BQ29" s="47">
        <f>_xll.qlPolynomialFunctionValue('12MSynthDepo_used'!$P$18,BD29,AllTriggers)</f>
        <v>2.8809453655662177E-3</v>
      </c>
    </row>
    <row r="30" spans="1:69" ht="12" customHeight="1" x14ac:dyDescent="0.2">
      <c r="F30" s="133" t="s">
        <v>75</v>
      </c>
      <c r="G30" s="89"/>
      <c r="H30" s="90">
        <f>AI14</f>
        <v>1.6415356731493136E-4</v>
      </c>
      <c r="S30" s="89"/>
      <c r="T30" s="90">
        <f>AI19</f>
        <v>1.8679039179392287E-4</v>
      </c>
      <c r="U30" s="89"/>
      <c r="V30" s="90">
        <f>AU14</f>
        <v>1.2726333608935325E-4</v>
      </c>
      <c r="W30" s="89"/>
      <c r="X30" s="229">
        <f>AU19</f>
        <v>1.9391792795470791E-4</v>
      </c>
      <c r="Y30" s="231"/>
      <c r="Z30" s="90">
        <v>8.8750933864114269E-5</v>
      </c>
      <c r="AA30" s="89"/>
      <c r="AB30" s="90">
        <v>2.8777775470674368E-5</v>
      </c>
      <c r="AC30" s="19" t="s">
        <v>70</v>
      </c>
      <c r="BC30" s="178">
        <f>_xll.qlCalendarAdvance(Calendar,BC29,"1d","mf",,Trigger)</f>
        <v>42313</v>
      </c>
      <c r="BD30" s="41">
        <f>_xll.qlDayCounterYearFraction(DayCounter,SettlementDate,BC30,,,Trigger)</f>
        <v>9.4444444444444442E-2</v>
      </c>
      <c r="BE30" s="47">
        <f>_xll.qlPolynomialFunctionValue(BE$1,$BD30,AllTriggers)</f>
        <v>2.9088371871688035E-3</v>
      </c>
      <c r="BF30" s="47">
        <f>_xll.qlPolynomialFunctionValue(BF$1,$BD30,AllTriggers)</f>
        <v>2.9287999160005538E-3</v>
      </c>
      <c r="BG30" s="47">
        <f>_xll.qlPolynomialFunctionValue(BG$1,$BD30,AllTriggers)</f>
        <v>2.8873464959910788E-3</v>
      </c>
      <c r="BH30" s="47">
        <f>_xll.qlPolynomialFunctionValue(BH$1,$BD30,AllTriggers)</f>
        <v>2.934516354626633E-3</v>
      </c>
      <c r="BI30" s="47">
        <f>_xll.qlPolynomialFunctionValue(BI$1,$BD30,AllTriggers)</f>
        <v>2.905291474400073E-3</v>
      </c>
      <c r="BJ30" s="47">
        <f>_xll.qlPolynomialFunctionValue(BJ$1,$BD30,AllTriggers)</f>
        <v>2.9204005667139536E-3</v>
      </c>
      <c r="BK30" s="47">
        <f>_xll.qlPolynomialFunctionValue(BK$1,$BD30,AllTriggers)</f>
        <v>2.888410923968741E-3</v>
      </c>
      <c r="BL30" s="47">
        <f>_xll.qlPolynomialFunctionValue(BL$1,$BD30,AllTriggers)</f>
        <v>2.9371552475719836E-3</v>
      </c>
      <c r="BM30" s="47">
        <f>_xll.qlPolynomialFunctionValue(BM$1,$BD30,AllTriggers)</f>
        <v>2.8697534298196834E-3</v>
      </c>
      <c r="BN30" s="47">
        <f>_xll.qlPolynomialFunctionValue(BN$1,$BD30,AllTriggers)</f>
        <v>2.9069477827434157E-3</v>
      </c>
      <c r="BO30" s="47">
        <f>_xll.qlPolynomialFunctionValue(BO$1,$BD30,AllTriggers)</f>
        <v>2.8565373851124655E-3</v>
      </c>
      <c r="BP30" s="47">
        <f>_xll.qlPolynomialFunctionValue(BP$1,$BD30,AllTriggers)</f>
        <v>2.8711662743825805E-3</v>
      </c>
      <c r="BQ30" s="47">
        <f>_xll.qlPolynomialFunctionValue('12MSynthDepo_used'!$P$18,BD30,AllTriggers)</f>
        <v>2.8825115882545687E-3</v>
      </c>
    </row>
    <row r="31" spans="1:69" ht="12" customHeight="1" thickBot="1" x14ac:dyDescent="0.25">
      <c r="F31" s="133" t="s">
        <v>76</v>
      </c>
      <c r="G31" s="89"/>
      <c r="H31" s="89"/>
      <c r="S31" s="89"/>
      <c r="T31" s="89"/>
      <c r="U31" s="89"/>
      <c r="V31" s="89"/>
      <c r="W31" s="89"/>
      <c r="X31" s="232"/>
      <c r="Y31" s="233"/>
      <c r="Z31" s="89"/>
      <c r="AA31" s="89"/>
      <c r="AB31" s="234"/>
      <c r="BC31" s="178">
        <f>_xll.qlCalendarAdvance(Calendar,BC30,"1d","mf",,Trigger)</f>
        <v>42314</v>
      </c>
      <c r="BD31" s="41">
        <f>_xll.qlDayCounterYearFraction(DayCounter,SettlementDate,BC31,,,Trigger)</f>
        <v>9.7222222222222224E-2</v>
      </c>
      <c r="BE31" s="47">
        <f>_xll.qlPolynomialFunctionValue(BE$1,$BD31,AllTriggers)</f>
        <v>2.9103172020191899E-3</v>
      </c>
      <c r="BF31" s="47">
        <f>_xll.qlPolynomialFunctionValue(BF$1,$BD31,AllTriggers)</f>
        <v>2.929863213847494E-3</v>
      </c>
      <c r="BG31" s="47">
        <f>_xll.qlPolynomialFunctionValue(BG$1,$BD31,AllTriggers)</f>
        <v>2.8889455728424497E-3</v>
      </c>
      <c r="BH31" s="47">
        <f>_xll.qlPolynomialFunctionValue(BH$1,$BD31,AllTriggers)</f>
        <v>2.9355057683936765E-3</v>
      </c>
      <c r="BI31" s="47">
        <f>_xll.qlPolynomialFunctionValue(BI$1,$BD31,AllTriggers)</f>
        <v>2.906798687029883E-3</v>
      </c>
      <c r="BJ31" s="47">
        <f>_xll.qlPolynomialFunctionValue(BJ$1,$BD31,AllTriggers)</f>
        <v>2.9215871687610544E-3</v>
      </c>
      <c r="BK31" s="47">
        <f>_xll.qlPolynomialFunctionValue(BK$1,$BD31,AllTriggers)</f>
        <v>2.8900119174342805E-3</v>
      </c>
      <c r="BL31" s="47">
        <f>_xll.qlPolynomialFunctionValue(BL$1,$BD31,AllTriggers)</f>
        <v>2.9381248107474235E-3</v>
      </c>
      <c r="BM31" s="47">
        <f>_xll.qlPolynomialFunctionValue(BM$1,$BD31,AllTriggers)</f>
        <v>2.8714428269642016E-3</v>
      </c>
      <c r="BN31" s="47">
        <f>_xll.qlPolynomialFunctionValue(BN$1,$BD31,AllTriggers)</f>
        <v>2.9082664765429592E-3</v>
      </c>
      <c r="BO31" s="47">
        <f>_xll.qlPolynomialFunctionValue(BO$1,$BD31,AllTriggers)</f>
        <v>2.8582709025162644E-3</v>
      </c>
      <c r="BP31" s="47">
        <f>_xll.qlPolynomialFunctionValue(BP$1,$BD31,AllTriggers)</f>
        <v>2.87277101538834E-3</v>
      </c>
      <c r="BQ31" s="47">
        <f>_xll.qlPolynomialFunctionValue('12MSynthDepo_used'!$P$18,BD31,AllTriggers)</f>
        <v>2.8840789907905633E-3</v>
      </c>
    </row>
    <row r="32" spans="1:69" ht="12" customHeight="1" x14ac:dyDescent="0.2">
      <c r="G32" s="147" t="s">
        <v>66</v>
      </c>
      <c r="H32" s="148"/>
      <c r="S32" s="148"/>
      <c r="T32" s="148"/>
      <c r="U32" s="148"/>
      <c r="V32" s="148"/>
      <c r="W32" s="148"/>
      <c r="X32" s="149"/>
      <c r="Y32" s="147" t="s">
        <v>67</v>
      </c>
      <c r="Z32" s="148"/>
      <c r="AA32" s="148"/>
      <c r="AB32" s="149"/>
      <c r="BC32" s="178">
        <f>_xll.qlCalendarAdvance(Calendar,BC31,"1d","mf",,Trigger)</f>
        <v>42317</v>
      </c>
      <c r="BD32" s="41">
        <f>_xll.qlDayCounterYearFraction(DayCounter,SettlementDate,BC32,,,Trigger)</f>
        <v>0.10555555555555556</v>
      </c>
      <c r="BE32" s="47">
        <f>_xll.qlPolynomialFunctionValue(BE$1,$BD32,AllTriggers)</f>
        <v>2.9147572465703484E-3</v>
      </c>
      <c r="BF32" s="47">
        <f>_xll.qlPolynomialFunctionValue(BF$1,$BD32,AllTriggers)</f>
        <v>2.9330683067926955E-3</v>
      </c>
      <c r="BG32" s="47">
        <f>_xll.qlPolynomialFunctionValue(BG$1,$BD32,AllTriggers)</f>
        <v>2.8937428033965619E-3</v>
      </c>
      <c r="BH32" s="47">
        <f>_xll.qlPolynomialFunctionValue(BH$1,$BD32,AllTriggers)</f>
        <v>2.9384913051014542E-3</v>
      </c>
      <c r="BI32" s="47">
        <f>_xll.qlPolynomialFunctionValue(BI$1,$BD32,AllTriggers)</f>
        <v>2.911320324919313E-3</v>
      </c>
      <c r="BJ32" s="47">
        <f>_xll.qlPolynomialFunctionValue(BJ$1,$BD32,AllTriggers)</f>
        <v>2.9251587585445871E-3</v>
      </c>
      <c r="BK32" s="47">
        <f>_xll.qlPolynomialFunctionValue(BK$1,$BD32,AllTriggers)</f>
        <v>2.8948148978308994E-3</v>
      </c>
      <c r="BL32" s="47">
        <f>_xll.qlPolynomialFunctionValue(BL$1,$BD32,AllTriggers)</f>
        <v>2.9410514556374437E-3</v>
      </c>
      <c r="BM32" s="47">
        <f>_xll.qlPolynomialFunctionValue(BM$1,$BD32,AllTriggers)</f>
        <v>2.876511018397756E-3</v>
      </c>
      <c r="BN32" s="47">
        <f>_xll.qlPolynomialFunctionValue(BN$1,$BD32,AllTriggers)</f>
        <v>2.9122307756206511E-3</v>
      </c>
      <c r="BO32" s="47">
        <f>_xll.qlPolynomialFunctionValue(BO$1,$BD32,AllTriggers)</f>
        <v>2.8634714547276616E-3</v>
      </c>
      <c r="BP32" s="47">
        <f>_xll.qlPolynomialFunctionValue(BP$1,$BD32,AllTriggers)</f>
        <v>2.8775879030144588E-3</v>
      </c>
      <c r="BQ32" s="47">
        <f>_xll.qlPolynomialFunctionValue('12MSynthDepo_used'!$P$18,BD32,AllTriggers)</f>
        <v>2.8887882312267446E-3</v>
      </c>
    </row>
    <row r="33" spans="3:69" ht="12" customHeight="1" x14ac:dyDescent="0.2">
      <c r="G33" s="214" t="s">
        <v>106</v>
      </c>
      <c r="H33" s="215"/>
      <c r="S33" s="215"/>
      <c r="T33" s="216"/>
      <c r="U33" s="214" t="s">
        <v>107</v>
      </c>
      <c r="V33" s="215"/>
      <c r="W33" s="215"/>
      <c r="X33" s="216"/>
      <c r="Y33" s="214" t="s">
        <v>106</v>
      </c>
      <c r="Z33" s="215"/>
      <c r="AA33" s="215"/>
      <c r="AB33" s="216"/>
      <c r="BC33" s="178">
        <f>_xll.qlCalendarAdvance(Calendar,BC32,"1d","mf",,Trigger)</f>
        <v>42318</v>
      </c>
      <c r="BD33" s="41">
        <f>_xll.qlDayCounterYearFraction(DayCounter,SettlementDate,BC33,,,Trigger)</f>
        <v>0.10833333333333334</v>
      </c>
      <c r="BE33" s="47">
        <f>_xll.qlPolynomialFunctionValue(BE$1,$BD33,AllTriggers)</f>
        <v>2.9162372614207344E-3</v>
      </c>
      <c r="BF33" s="47">
        <f>_xll.qlPolynomialFunctionValue(BF$1,$BD33,AllTriggers)</f>
        <v>2.9341417375758892E-3</v>
      </c>
      <c r="BG33" s="47">
        <f>_xll.qlPolynomialFunctionValue(BG$1,$BD33,AllTriggers)</f>
        <v>2.8953418802479328E-3</v>
      </c>
      <c r="BH33" s="47">
        <f>_xll.qlPolynomialFunctionValue(BH$1,$BD33,AllTriggers)</f>
        <v>2.9394922491395963E-3</v>
      </c>
      <c r="BI33" s="47">
        <f>_xll.qlPolynomialFunctionValue(BI$1,$BD33,AllTriggers)</f>
        <v>2.912827537549123E-3</v>
      </c>
      <c r="BJ33" s="47">
        <f>_xll.qlPolynomialFunctionValue(BJ$1,$BD33,AllTriggers)</f>
        <v>2.9263532163531746E-3</v>
      </c>
      <c r="BK33" s="47">
        <f>_xll.qlPolynomialFunctionValue(BK$1,$BD33,AllTriggers)</f>
        <v>2.8964158912964388E-3</v>
      </c>
      <c r="BL33" s="47">
        <f>_xll.qlPolynomialFunctionValue(BL$1,$BD33,AllTriggers)</f>
        <v>2.9420329890553504E-3</v>
      </c>
      <c r="BM33" s="47">
        <f>_xll.qlPolynomialFunctionValue(BM$1,$BD33,AllTriggers)</f>
        <v>2.8782004155422742E-3</v>
      </c>
      <c r="BN33" s="47">
        <f>_xll.qlPolynomialFunctionValue(BN$1,$BD33,AllTriggers)</f>
        <v>2.9135549478729022E-3</v>
      </c>
      <c r="BO33" s="47">
        <f>_xll.qlPolynomialFunctionValue(BO$1,$BD33,AllTriggers)</f>
        <v>2.8652049721314609E-3</v>
      </c>
      <c r="BP33" s="47">
        <f>_xll.qlPolynomialFunctionValue(BP$1,$BD33,AllTriggers)</f>
        <v>2.8791944204261113E-3</v>
      </c>
      <c r="BQ33" s="47">
        <f>_xll.qlPolynomialFunctionValue('12MSynthDepo_used'!$P$18,BD33,AllTriggers)</f>
        <v>2.8903603068956454E-3</v>
      </c>
    </row>
    <row r="34" spans="3:69" ht="12" customHeight="1" thickBot="1" x14ac:dyDescent="0.25">
      <c r="G34" s="134" t="str">
        <f>"with 0X"&amp;SUBSTITUTE($D$24,"M","")</f>
        <v>with 0X12</v>
      </c>
      <c r="H34" s="110"/>
      <c r="S34" s="109" t="str">
        <f>"without 0X"&amp;SUBSTITUTE($D$24,"M","")</f>
        <v>without 0X12</v>
      </c>
      <c r="T34" s="135"/>
      <c r="U34" s="134" t="str">
        <f>"with 0X"&amp;SUBSTITUTE($D$24,"M","")</f>
        <v>with 0X12</v>
      </c>
      <c r="V34" s="110"/>
      <c r="W34" s="109" t="str">
        <f>"without 0X"&amp;SUBSTITUTE($D$24,"M","")</f>
        <v>without 0X12</v>
      </c>
      <c r="X34" s="135"/>
      <c r="Y34" s="134" t="str">
        <f>"with 0X"&amp;SUBSTITUTE($D$24,"M","")</f>
        <v>with 0X12</v>
      </c>
      <c r="Z34" s="110"/>
      <c r="AA34" s="109" t="str">
        <f>"without 0X"&amp;SUBSTITUTE($D$24,"M","")</f>
        <v>without 0X12</v>
      </c>
      <c r="AB34" s="135"/>
      <c r="BC34" s="178">
        <f>_xll.qlCalendarAdvance(Calendar,BC33,"1d","mf",,Trigger)</f>
        <v>42319</v>
      </c>
      <c r="BD34" s="41">
        <f>_xll.qlDayCounterYearFraction(DayCounter,SettlementDate,BC34,,,Trigger)</f>
        <v>0.1111111111111111</v>
      </c>
      <c r="BE34" s="47">
        <f>_xll.qlPolynomialFunctionValue(BE$1,$BD34,AllTriggers)</f>
        <v>2.9177172762711208E-3</v>
      </c>
      <c r="BF34" s="47">
        <f>_xll.qlPolynomialFunctionValue(BF$1,$BD34,AllTriggers)</f>
        <v>2.9352177015931472E-3</v>
      </c>
      <c r="BG34" s="47">
        <f>_xll.qlPolynomialFunctionValue(BG$1,$BD34,AllTriggers)</f>
        <v>2.8969409570993036E-3</v>
      </c>
      <c r="BH34" s="47">
        <f>_xll.qlPolynomialFunctionValue(BH$1,$BD34,AllTriggers)</f>
        <v>2.9404960757455122E-3</v>
      </c>
      <c r="BI34" s="47">
        <f>_xll.qlPolynomialFunctionValue(BI$1,$BD34,AllTriggers)</f>
        <v>2.9143347501789331E-3</v>
      </c>
      <c r="BJ34" s="47">
        <f>_xll.qlPolynomialFunctionValue(BJ$1,$BD34,AllTriggers)</f>
        <v>2.9275496381021338E-3</v>
      </c>
      <c r="BK34" s="47">
        <f>_xll.qlPolynomialFunctionValue(BK$1,$BD34,AllTriggers)</f>
        <v>2.8980168847619787E-3</v>
      </c>
      <c r="BL34" s="47">
        <f>_xll.qlPolynomialFunctionValue(BL$1,$BD34,AllTriggers)</f>
        <v>2.9430175150338737E-3</v>
      </c>
      <c r="BM34" s="47">
        <f>_xll.qlPolynomialFunctionValue(BM$1,$BD34,AllTriggers)</f>
        <v>2.8798898126867925E-3</v>
      </c>
      <c r="BN34" s="47">
        <f>_xll.qlPolynomialFunctionValue(BN$1,$BD34,AllTriggers)</f>
        <v>2.9148804897383305E-3</v>
      </c>
      <c r="BO34" s="47">
        <f>_xll.qlPolynomialFunctionValue(BO$1,$BD34,AllTriggers)</f>
        <v>2.8669384895352598E-3</v>
      </c>
      <c r="BP34" s="47">
        <f>_xll.qlPolynomialFunctionValue(BP$1,$BD34,AllTriggers)</f>
        <v>2.8808013819392377E-3</v>
      </c>
      <c r="BQ34" s="47">
        <f>_xll.qlPolynomialFunctionValue('12MSynthDepo_used'!$P$18,BD34,AllTriggers)</f>
        <v>2.8919335392833543E-3</v>
      </c>
    </row>
    <row r="35" spans="3:69" ht="12" customHeight="1" x14ac:dyDescent="0.2">
      <c r="D35" s="36" t="s">
        <v>49</v>
      </c>
      <c r="E35" s="36" t="s">
        <v>38</v>
      </c>
      <c r="F35" s="36" t="s">
        <v>39</v>
      </c>
      <c r="G35" s="136" t="str">
        <f>IF(COUNT(G$28:G$31)=2,"Linear","Quadratic")</f>
        <v>Linear</v>
      </c>
      <c r="H35" s="38" t="str">
        <f>IF(COUNT(H$28:H$31)=2,"Linear","Quadratic")</f>
        <v>Quadratic</v>
      </c>
      <c r="S35" s="38" t="str">
        <f t="shared" ref="S35:AB35" si="19">IF(COUNT(S$28:S$31)=2,"Linear","Quadratic")</f>
        <v>Linear</v>
      </c>
      <c r="T35" s="137" t="str">
        <f t="shared" si="19"/>
        <v>Quadratic</v>
      </c>
      <c r="U35" s="136" t="str">
        <f t="shared" si="19"/>
        <v>Linear</v>
      </c>
      <c r="V35" s="38" t="str">
        <f t="shared" si="19"/>
        <v>Quadratic</v>
      </c>
      <c r="W35" s="38" t="str">
        <f t="shared" si="19"/>
        <v>Linear</v>
      </c>
      <c r="X35" s="137" t="str">
        <f t="shared" si="19"/>
        <v>Quadratic</v>
      </c>
      <c r="Y35" s="136" t="str">
        <f t="shared" si="19"/>
        <v>Linear</v>
      </c>
      <c r="Z35" s="38" t="str">
        <f t="shared" si="19"/>
        <v>Quadratic</v>
      </c>
      <c r="AA35" s="38" t="str">
        <f t="shared" si="19"/>
        <v>Linear</v>
      </c>
      <c r="AB35" s="137" t="str">
        <f t="shared" si="19"/>
        <v>Quadratic</v>
      </c>
      <c r="AC35" s="255" t="s">
        <v>105</v>
      </c>
      <c r="BC35" s="178">
        <f>_xll.qlCalendarAdvance(Calendar,BC34,"1d","mf",,Trigger)</f>
        <v>42320</v>
      </c>
      <c r="BD35" s="41">
        <f>_xll.qlDayCounterYearFraction(DayCounter,SettlementDate,BC35,,,Trigger)</f>
        <v>0.11388888888888889</v>
      </c>
      <c r="BE35" s="47">
        <f>_xll.qlPolynomialFunctionValue(BE$1,$BD35,AllTriggers)</f>
        <v>2.9191972911215068E-3</v>
      </c>
      <c r="BF35" s="47">
        <f>_xll.qlPolynomialFunctionValue(BF$1,$BD35,AllTriggers)</f>
        <v>2.9362961988444684E-3</v>
      </c>
      <c r="BG35" s="47">
        <f>_xll.qlPolynomialFunctionValue(BG$1,$BD35,AllTriggers)</f>
        <v>2.8985400339506745E-3</v>
      </c>
      <c r="BH35" s="47">
        <f>_xll.qlPolynomialFunctionValue(BH$1,$BD35,AllTriggers)</f>
        <v>2.9415027849192033E-3</v>
      </c>
      <c r="BI35" s="47">
        <f>_xll.qlPolynomialFunctionValue(BI$1,$BD35,AllTriggers)</f>
        <v>2.9158419628087431E-3</v>
      </c>
      <c r="BJ35" s="47">
        <f>_xll.qlPolynomialFunctionValue(BJ$1,$BD35,AllTriggers)</f>
        <v>2.9287480237914654E-3</v>
      </c>
      <c r="BK35" s="47">
        <f>_xll.qlPolynomialFunctionValue(BK$1,$BD35,AllTriggers)</f>
        <v>2.8996178782275182E-3</v>
      </c>
      <c r="BL35" s="47">
        <f>_xll.qlPolynomialFunctionValue(BL$1,$BD35,AllTriggers)</f>
        <v>2.9440050335730133E-3</v>
      </c>
      <c r="BM35" s="47">
        <f>_xll.qlPolynomialFunctionValue(BM$1,$BD35,AllTriggers)</f>
        <v>2.8815792098313107E-3</v>
      </c>
      <c r="BN35" s="47">
        <f>_xll.qlPolynomialFunctionValue(BN$1,$BD35,AllTriggers)</f>
        <v>2.9162074012169352E-3</v>
      </c>
      <c r="BO35" s="47">
        <f>_xll.qlPolynomialFunctionValue(BO$1,$BD35,AllTriggers)</f>
        <v>2.8686720069390588E-3</v>
      </c>
      <c r="BP35" s="47">
        <f>_xll.qlPolynomialFunctionValue(BP$1,$BD35,AllTriggers)</f>
        <v>2.8824087875538372E-3</v>
      </c>
      <c r="BQ35" s="47">
        <f>_xll.qlPolynomialFunctionValue('12MSynthDepo_used'!$P$18,BD35,AllTriggers)</f>
        <v>2.8935079237641034E-3</v>
      </c>
    </row>
    <row r="36" spans="3:69" ht="12" customHeight="1" x14ac:dyDescent="0.2">
      <c r="C36" s="19">
        <v>0</v>
      </c>
      <c r="D36" s="45" t="s">
        <v>25</v>
      </c>
      <c r="E36" s="175">
        <f>_xll.qlCalendarAdvance(Calendar,SettlementDate,C36&amp;"M","mf",TRUE,Trigger)</f>
        <v>42279</v>
      </c>
      <c r="F36" s="245">
        <f>_xll.qlCalendarAdvance(Calendar,SettlementDate,D36,"Following",,Trigger)</f>
        <v>42282</v>
      </c>
      <c r="G36" s="253">
        <f>_xll.qlTenorBasisForwardRate2(G$27,$E36,$F36,InterestRatesTrigger)</f>
        <v>1.4614621044284348E-3</v>
      </c>
      <c r="H36" s="193">
        <f>_xll.qlTenorBasisForwardRate2(H$27,$E36,$F36,InterestRatesTrigger)</f>
        <v>1.4958807633114191E-3</v>
      </c>
      <c r="S36" s="193">
        <f>_xll.qlTenorBasisForwardRate2(S$27,$E36,$F36,InterestRatesTrigger)</f>
        <v>1.4364465832805706E-3</v>
      </c>
      <c r="T36" s="254">
        <f>_xll.qlTenorBasisForwardRate2(T$27,$E36,$F36,InterestRatesTrigger)</f>
        <v>1.5040767562624069E-3</v>
      </c>
      <c r="U36" s="253">
        <f>_xll.qlTenorBasisForwardRate2(U$27,$E36,$F36,InterestRatesTrigger)</f>
        <v>1.4570925395052114E-3</v>
      </c>
      <c r="V36" s="193">
        <f>_xll.qlTenorBasisForwardRate2(V$27,$E36,$F36,InterestRatesTrigger)</f>
        <v>1.4833350785004029E-3</v>
      </c>
      <c r="W36" s="193">
        <f>_xll.qlTenorBasisForwardRate2(W$27,$E36,$F36,InterestRatesTrigger)</f>
        <v>1.4374349663892616E-3</v>
      </c>
      <c r="X36" s="254">
        <f>_xll.qlTenorBasisForwardRate2(X$27,$E36,$F36,InterestRatesTrigger)</f>
        <v>1.5073754205907619E-3</v>
      </c>
      <c r="Y36" s="253">
        <f>_xll.qlTenorBasisForwardRate2(Y$27,$E36,$F36,InterestRatesTrigger)</f>
        <v>1.4161972484316721E-3</v>
      </c>
      <c r="Z36" s="193">
        <f>_xll.qlTenorBasisForwardRate2(Z$27,$E36,$F36,InterestRatesTrigger)</f>
        <v>1.4655097929328065E-3</v>
      </c>
      <c r="AA36" s="193">
        <f>_xll.qlTenorBasisForwardRate2(AA$27,$E36,$F36,InterestRatesTrigger)</f>
        <v>1.4017469157678875E-3</v>
      </c>
      <c r="AB36" s="254">
        <f>_xll.qlTenorBasisForwardRate2(AB$27,$E36,$F36,InterestRatesTrigger)</f>
        <v>1.4205450440485379E-3</v>
      </c>
      <c r="AC36" s="254">
        <f>'12MSynthDepo_used'!AA15</f>
        <v>1.4333547028755333E-3</v>
      </c>
      <c r="BC36" s="178">
        <f>_xll.qlCalendarAdvance(Calendar,BC35,"1d","mf",,Trigger)</f>
        <v>42321</v>
      </c>
      <c r="BD36" s="41">
        <f>_xll.qlDayCounterYearFraction(DayCounter,SettlementDate,BC36,,,Trigger)</f>
        <v>0.11666666666666667</v>
      </c>
      <c r="BE36" s="47">
        <f>_xll.qlPolynomialFunctionValue(BE$1,$BD36,AllTriggers)</f>
        <v>2.9206773059718932E-3</v>
      </c>
      <c r="BF36" s="47">
        <f>_xll.qlPolynomialFunctionValue(BF$1,$BD36,AllTriggers)</f>
        <v>2.937377229329853E-3</v>
      </c>
      <c r="BG36" s="47">
        <f>_xll.qlPolynomialFunctionValue(BG$1,$BD36,AllTriggers)</f>
        <v>2.9001391108020454E-3</v>
      </c>
      <c r="BH36" s="47">
        <f>_xll.qlPolynomialFunctionValue(BH$1,$BD36,AllTriggers)</f>
        <v>2.9425123766606688E-3</v>
      </c>
      <c r="BI36" s="47">
        <f>_xll.qlPolynomialFunctionValue(BI$1,$BD36,AllTriggers)</f>
        <v>2.9173491754385531E-3</v>
      </c>
      <c r="BJ36" s="47">
        <f>_xll.qlPolynomialFunctionValue(BJ$1,$BD36,AllTriggers)</f>
        <v>2.9299483734211685E-3</v>
      </c>
      <c r="BK36" s="47">
        <f>_xll.qlPolynomialFunctionValue(BK$1,$BD36,AllTriggers)</f>
        <v>2.9012188716930577E-3</v>
      </c>
      <c r="BL36" s="47">
        <f>_xll.qlPolynomialFunctionValue(BL$1,$BD36,AllTriggers)</f>
        <v>2.9449955446727693E-3</v>
      </c>
      <c r="BM36" s="47">
        <f>_xll.qlPolynomialFunctionValue(BM$1,$BD36,AllTriggers)</f>
        <v>2.8832686069758286E-3</v>
      </c>
      <c r="BN36" s="47">
        <f>_xll.qlPolynomialFunctionValue(BN$1,$BD36,AllTriggers)</f>
        <v>2.9175356823087171E-3</v>
      </c>
      <c r="BO36" s="47">
        <f>_xll.qlPolynomialFunctionValue(BO$1,$BD36,AllTriggers)</f>
        <v>2.8704055243428581E-3</v>
      </c>
      <c r="BP36" s="47">
        <f>_xll.qlPolynomialFunctionValue(BP$1,$BD36,AllTriggers)</f>
        <v>2.8840166372699097E-3</v>
      </c>
      <c r="BQ36" s="47">
        <f>_xll.qlPolynomialFunctionValue('12MSynthDepo_used'!$P$18,BD36,AllTriggers)</f>
        <v>2.8950834557121257E-3</v>
      </c>
    </row>
    <row r="37" spans="3:69" ht="12" customHeight="1" x14ac:dyDescent="0.2">
      <c r="C37" s="19">
        <v>0</v>
      </c>
      <c r="D37" s="48" t="s">
        <v>26</v>
      </c>
      <c r="E37" s="177">
        <f>_xll.qlCalendarAdvance(Calendar,SettlementDate,C37&amp;"M","mf",TRUE,Trigger)</f>
        <v>42279</v>
      </c>
      <c r="F37" s="246">
        <f>_xll.qlCalendarAdvance(Calendar,SettlementDate,D37,"Following",,Trigger)</f>
        <v>42286</v>
      </c>
      <c r="G37" s="138">
        <f>_xll.qlTenorBasisForwardRate2(G$27,$E37,$F37,InterestRatesTrigger)</f>
        <v>1.3943970459427491E-3</v>
      </c>
      <c r="H37" s="128">
        <f>_xll.qlTenorBasisForwardRate2(H$27,$E37,$F37,InterestRatesTrigger)</f>
        <v>1.4278516085828941E-3</v>
      </c>
      <c r="S37" s="128">
        <f>_xll.qlTenorBasisForwardRate2(S$27,$E37,$F37,InterestRatesTrigger)</f>
        <v>1.3696128055913043E-3</v>
      </c>
      <c r="T37" s="139">
        <f>_xll.qlTenorBasisForwardRate2(T$27,$E37,$F37,InterestRatesTrigger)</f>
        <v>1.4358827615598305E-3</v>
      </c>
      <c r="U37" s="138">
        <f>_xll.qlTenorBasisForwardRate2(U$27,$E37,$F37,InterestRatesTrigger)</f>
        <v>1.3900803327615563E-3</v>
      </c>
      <c r="V37" s="128">
        <f>_xll.qlTenorBasisForwardRate2(V$27,$E37,$F37,InterestRatesTrigger)</f>
        <v>1.4155802095773748E-3</v>
      </c>
      <c r="W37" s="128">
        <f>_xll.qlTenorBasisForwardRate2(W$27,$E37,$F37,InterestRatesTrigger)</f>
        <v>1.3706049322007427E-3</v>
      </c>
      <c r="X37" s="139">
        <f>_xll.qlTenorBasisForwardRate2(X$27,$E37,$F37,InterestRatesTrigger)</f>
        <v>1.4391361750641452E-3</v>
      </c>
      <c r="Y37" s="138">
        <f>_xll.qlTenorBasisForwardRate2(Y$27,$E37,$F37,InterestRatesTrigger)</f>
        <v>1.3495389061800112E-3</v>
      </c>
      <c r="Z37" s="128">
        <f>_xll.qlTenorBasisForwardRate2(Z$27,$E37,$F37,InterestRatesTrigger)</f>
        <v>1.3980477497619959E-3</v>
      </c>
      <c r="AA37" s="128">
        <f>_xll.qlTenorBasisForwardRate2(AA$27,$E37,$F37,InterestRatesTrigger)</f>
        <v>1.3351742077778134E-3</v>
      </c>
      <c r="AB37" s="139">
        <f>_xll.qlTenorBasisForwardRate2(AB$27,$E37,$F37,InterestRatesTrigger)</f>
        <v>1.353695085717683E-3</v>
      </c>
      <c r="AC37" s="139">
        <f>'12MSynthDepo_used'!AA16</f>
        <v>1.3663833517441049E-3</v>
      </c>
      <c r="BC37" s="178">
        <f>_xll.qlCalendarAdvance(Calendar,BC36,"1d","mf",,Trigger)</f>
        <v>42324</v>
      </c>
      <c r="BD37" s="41">
        <f>_xll.qlDayCounterYearFraction(DayCounter,SettlementDate,BC37,,,Trigger)</f>
        <v>0.125</v>
      </c>
      <c r="BE37" s="47">
        <f>_xll.qlPolynomialFunctionValue(BE$1,$BD37,AllTriggers)</f>
        <v>2.9251173505230516E-3</v>
      </c>
      <c r="BF37" s="47">
        <f>_xll.qlPolynomialFunctionValue(BF$1,$BD37,AllTriggers)</f>
        <v>2.9406355201903878E-3</v>
      </c>
      <c r="BG37" s="47">
        <f>_xll.qlPolynomialFunctionValue(BG$1,$BD37,AllTriggers)</f>
        <v>2.9049363413561576E-3</v>
      </c>
      <c r="BH37" s="47">
        <f>_xll.qlPolynomialFunctionValue(BH$1,$BD37,AllTriggers)</f>
        <v>2.9455584472917132E-3</v>
      </c>
      <c r="BI37" s="47">
        <f>_xll.qlPolynomialFunctionValue(BI$1,$BD37,AllTriggers)</f>
        <v>2.9218708133279831E-3</v>
      </c>
      <c r="BJ37" s="47">
        <f>_xll.qlPolynomialFunctionValue(BJ$1,$BD37,AllTriggers)</f>
        <v>2.933561205952508E-3</v>
      </c>
      <c r="BK37" s="47">
        <f>_xll.qlPolynomialFunctionValue(BK$1,$BD37,AllTriggers)</f>
        <v>2.9060218520896765E-3</v>
      </c>
      <c r="BL37" s="47">
        <f>_xll.qlPolynomialFunctionValue(BL$1,$BD37,AllTriggers)</f>
        <v>2.947985033335738E-3</v>
      </c>
      <c r="BM37" s="47">
        <f>_xll.qlPolynomialFunctionValue(BM$1,$BD37,AllTriggers)</f>
        <v>2.8883367984093833E-3</v>
      </c>
      <c r="BN37" s="47">
        <f>_xll.qlPolynomialFunctionValue(BN$1,$BD37,AllTriggers)</f>
        <v>2.9215287432631243E-3</v>
      </c>
      <c r="BO37" s="47">
        <f>_xll.qlPolynomialFunctionValue(BO$1,$BD37,AllTriggers)</f>
        <v>2.8756060765542553E-3</v>
      </c>
      <c r="BP37" s="47">
        <f>_xll.qlPolynomialFunctionValue(BP$1,$BD37,AllTriggers)</f>
        <v>2.8888428510269676E-3</v>
      </c>
      <c r="BQ37" s="47">
        <f>_xll.qlPolynomialFunctionValue('12MSynthDepo_used'!$P$18,BD37,AllTriggers)</f>
        <v>2.8998168901021564E-3</v>
      </c>
    </row>
    <row r="38" spans="3:69" ht="12" customHeight="1" x14ac:dyDescent="0.2">
      <c r="C38" s="19">
        <v>0</v>
      </c>
      <c r="D38" s="48" t="s">
        <v>27</v>
      </c>
      <c r="E38" s="177">
        <f>_xll.qlCalendarAdvance(Calendar,SettlementDate,C38&amp;"M","mf",TRUE,Trigger)</f>
        <v>42279</v>
      </c>
      <c r="F38" s="246">
        <f>_xll.qlCalendarAdvance(Calendar,SettlementDate,D38,"Following",,Trigger)</f>
        <v>42293</v>
      </c>
      <c r="G38" s="138">
        <f>_xll.qlTenorBasisForwardRate2(G$27,$E38,$F38,InterestRatesTrigger)</f>
        <v>1.3994354439215784E-3</v>
      </c>
      <c r="H38" s="128">
        <f>_xll.qlTenorBasisForwardRate2(H$27,$E38,$F38,InterestRatesTrigger)</f>
        <v>1.4312339982426789E-3</v>
      </c>
      <c r="S38" s="128">
        <f>_xll.qlTenorBasisForwardRate2(S$27,$E38,$F38,InterestRatesTrigger)</f>
        <v>1.3750559327060533E-3</v>
      </c>
      <c r="T38" s="139">
        <f>_xll.qlTenorBasisForwardRate2(T$27,$E38,$F38,InterestRatesTrigger)</f>
        <v>1.4389809793849803E-3</v>
      </c>
      <c r="U38" s="138">
        <f>_xll.qlTenorBasisForwardRate2(U$27,$E38,$F38,InterestRatesTrigger)</f>
        <v>1.3952112201565114E-3</v>
      </c>
      <c r="V38" s="128">
        <f>_xll.qlTenorBasisForwardRate2(V$27,$E38,$F38,InterestRatesTrigger)</f>
        <v>1.4194355959532398E-3</v>
      </c>
      <c r="W38" s="128">
        <f>_xll.qlTenorBasisForwardRate2(W$27,$E38,$F38,InterestRatesTrigger)</f>
        <v>1.3760546119367945E-3</v>
      </c>
      <c r="X38" s="139">
        <f>_xll.qlTenorBasisForwardRate2(X$27,$E38,$F38,InterestRatesTrigger)</f>
        <v>1.4421565585617405E-3</v>
      </c>
      <c r="Y38" s="138">
        <f>_xll.qlTenorBasisForwardRate2(Y$27,$E38,$F38,InterestRatesTrigger)</f>
        <v>1.3552890340852639E-3</v>
      </c>
      <c r="Z38" s="128">
        <f>_xll.qlTenorBasisForwardRate2(Z$27,$E38,$F38,InterestRatesTrigger)</f>
        <v>1.4024082645969216E-3</v>
      </c>
      <c r="AA38" s="128">
        <f>_xll.qlTenorBasisForwardRate2(AA$27,$E38,$F38,InterestRatesTrigger)</f>
        <v>1.3410741845421015E-3</v>
      </c>
      <c r="AB38" s="139">
        <f>_xll.qlTenorBasisForwardRate2(AB$27,$E38,$F38,InterestRatesTrigger)</f>
        <v>1.3591153452731572E-3</v>
      </c>
      <c r="AC38" s="139">
        <f>'12MSynthDepo_used'!AA17</f>
        <v>1.3716018395060203E-3</v>
      </c>
      <c r="BC38" s="178">
        <f>_xll.qlCalendarAdvance(Calendar,BC37,"1d","mf",,Trigger)</f>
        <v>42325</v>
      </c>
      <c r="BD38" s="41">
        <f>_xll.qlDayCounterYearFraction(DayCounter,SettlementDate,BC38,,,Trigger)</f>
        <v>0.12777777777777777</v>
      </c>
      <c r="BE38" s="47">
        <f>_xll.qlPolynomialFunctionValue(BE$1,$BD38,AllTriggers)</f>
        <v>2.9265973653734376E-3</v>
      </c>
      <c r="BF38" s="47">
        <f>_xll.qlPolynomialFunctionValue(BF$1,$BD38,AllTriggers)</f>
        <v>2.9417266836120263E-3</v>
      </c>
      <c r="BG38" s="47">
        <f>_xll.qlPolynomialFunctionValue(BG$1,$BD38,AllTriggers)</f>
        <v>2.9065354182075285E-3</v>
      </c>
      <c r="BH38" s="47">
        <f>_xll.qlPolynomialFunctionValue(BH$1,$BD38,AllTriggers)</f>
        <v>2.9465795693042773E-3</v>
      </c>
      <c r="BI38" s="47">
        <f>_xll.qlPolynomialFunctionValue(BI$1,$BD38,AllTriggers)</f>
        <v>2.9233780259577931E-3</v>
      </c>
      <c r="BJ38" s="47">
        <f>_xll.qlPolynomialFunctionValue(BJ$1,$BD38,AllTriggers)</f>
        <v>2.9347694113436977E-3</v>
      </c>
      <c r="BK38" s="47">
        <f>_xll.qlPolynomialFunctionValue(BK$1,$BD38,AllTriggers)</f>
        <v>2.907622845555216E-3</v>
      </c>
      <c r="BL38" s="47">
        <f>_xll.qlPolynomialFunctionValue(BL$1,$BD38,AllTriggers)</f>
        <v>2.948987514677961E-3</v>
      </c>
      <c r="BM38" s="47">
        <f>_xll.qlPolynomialFunctionValue(BM$1,$BD38,AllTriggers)</f>
        <v>2.8900261955539016E-3</v>
      </c>
      <c r="BN38" s="47">
        <f>_xll.qlPolynomialFunctionValue(BN$1,$BD38,AllTriggers)</f>
        <v>2.9228625028076142E-3</v>
      </c>
      <c r="BO38" s="47">
        <f>_xll.qlPolynomialFunctionValue(BO$1,$BD38,AllTriggers)</f>
        <v>2.8773395939580542E-3</v>
      </c>
      <c r="BP38" s="47">
        <f>_xll.qlPolynomialFunctionValue(BP$1,$BD38,AllTriggers)</f>
        <v>2.8904524771489336E-3</v>
      </c>
      <c r="BQ38" s="47">
        <f>_xll.qlPolynomialFunctionValue('12MSynthDepo_used'!$P$18,BD38,AllTriggers)</f>
        <v>2.9013969656615972E-3</v>
      </c>
    </row>
    <row r="39" spans="3:69" x14ac:dyDescent="0.2">
      <c r="C39" s="19">
        <v>0</v>
      </c>
      <c r="D39" s="48" t="s">
        <v>28</v>
      </c>
      <c r="E39" s="177">
        <f>_xll.qlCalendarAdvance(Calendar,SettlementDate,C39&amp;"M","mf",TRUE,Trigger)</f>
        <v>42279</v>
      </c>
      <c r="F39" s="246">
        <f>_xll.qlCalendarAdvance(Calendar,SettlementDate,D39,"Following",,Trigger)</f>
        <v>42300</v>
      </c>
      <c r="G39" s="138">
        <f>_xll.qlTenorBasisForwardRate2(G$27,$E39,$F39,InterestRatesTrigger)</f>
        <v>1.404474116971802E-3</v>
      </c>
      <c r="H39" s="128">
        <f>_xll.qlTenorBasisForwardRate2(H$27,$E39,$F39,InterestRatesTrigger)</f>
        <v>1.4346562787131184E-3</v>
      </c>
      <c r="S39" s="128">
        <f>_xll.qlTenorBasisForwardRate2(S$27,$E39,$F39,InterestRatesTrigger)</f>
        <v>1.3804993519490288E-3</v>
      </c>
      <c r="T39" s="139">
        <f>_xll.qlTenorBasisForwardRate2(T$27,$E39,$F39,InterestRatesTrigger)</f>
        <v>1.4421245480189526E-3</v>
      </c>
      <c r="U39" s="138">
        <f>_xll.qlTenorBasisForwardRate2(U$27,$E39,$F39,InterestRatesTrigger)</f>
        <v>1.4003423868480525E-3</v>
      </c>
      <c r="V39" s="128">
        <f>_xll.qlTenorBasisForwardRate2(V$27,$E39,$F39,InterestRatesTrigger)</f>
        <v>1.423321975540911E-3</v>
      </c>
      <c r="W39" s="128">
        <f>_xll.qlTenorBasisForwardRate2(W$27,$E39,$F39,InterestRatesTrigger)</f>
        <v>1.3815045843530121E-3</v>
      </c>
      <c r="X39" s="139">
        <f>_xll.qlTenorBasisForwardRate2(X$27,$E39,$F39,InterestRatesTrigger)</f>
        <v>1.4452240127457319E-3</v>
      </c>
      <c r="Y39" s="138">
        <f>_xll.qlTenorBasisForwardRate2(Y$27,$E39,$F39,InterestRatesTrigger)</f>
        <v>1.3610394662728303E-3</v>
      </c>
      <c r="Z39" s="128">
        <f>_xll.qlTenorBasisForwardRate2(Z$27,$E39,$F39,InterestRatesTrigger)</f>
        <v>1.4067904831639919E-3</v>
      </c>
      <c r="AA39" s="128">
        <f>_xll.qlTenorBasisForwardRate2(AA$27,$E39,$F39,InterestRatesTrigger)</f>
        <v>1.3469744703277695E-3</v>
      </c>
      <c r="AB39" s="139">
        <f>_xll.qlTenorBasisForwardRate2(AB$27,$E39,$F39,InterestRatesTrigger)</f>
        <v>1.3645428525662798E-3</v>
      </c>
      <c r="AC39" s="139">
        <f>'12MSynthDepo_used'!AA18</f>
        <v>1.3768408118914571E-3</v>
      </c>
      <c r="BC39" s="178">
        <f>_xll.qlCalendarAdvance(Calendar,BC38,"1d","mf",,Trigger)</f>
        <v>42326</v>
      </c>
      <c r="BD39" s="41">
        <f>_xll.qlDayCounterYearFraction(DayCounter,SettlementDate,BC39,,,Trigger)</f>
        <v>0.13055555555555556</v>
      </c>
      <c r="BE39" s="47">
        <f>_xll.qlPolynomialFunctionValue(BE$1,$BD39,AllTriggers)</f>
        <v>2.9280773802238241E-3</v>
      </c>
      <c r="BF39" s="47">
        <f>_xll.qlPolynomialFunctionValue(BF$1,$BD39,AllTriggers)</f>
        <v>2.9428203802677284E-3</v>
      </c>
      <c r="BG39" s="47">
        <f>_xll.qlPolynomialFunctionValue(BG$1,$BD39,AllTriggers)</f>
        <v>2.9081344950588994E-3</v>
      </c>
      <c r="BH39" s="47">
        <f>_xll.qlPolynomialFunctionValue(BH$1,$BD39,AllTriggers)</f>
        <v>2.9476035738846161E-3</v>
      </c>
      <c r="BI39" s="47">
        <f>_xll.qlPolynomialFunctionValue(BI$1,$BD39,AllTriggers)</f>
        <v>2.9248852385876031E-3</v>
      </c>
      <c r="BJ39" s="47">
        <f>_xll.qlPolynomialFunctionValue(BJ$1,$BD39,AllTriggers)</f>
        <v>2.9359795806752596E-3</v>
      </c>
      <c r="BK39" s="47">
        <f>_xll.qlPolynomialFunctionValue(BK$1,$BD39,AllTriggers)</f>
        <v>2.9092238390207559E-3</v>
      </c>
      <c r="BL39" s="47">
        <f>_xll.qlPolynomialFunctionValue(BL$1,$BD39,AllTriggers)</f>
        <v>2.9499929885807999E-3</v>
      </c>
      <c r="BM39" s="47">
        <f>_xll.qlPolynomialFunctionValue(BM$1,$BD39,AllTriggers)</f>
        <v>2.8917155926984199E-3</v>
      </c>
      <c r="BN39" s="47">
        <f>_xll.qlPolynomialFunctionValue(BN$1,$BD39,AllTriggers)</f>
        <v>2.9241976319652804E-3</v>
      </c>
      <c r="BO39" s="47">
        <f>_xll.qlPolynomialFunctionValue(BO$1,$BD39,AllTriggers)</f>
        <v>2.8790731113618536E-3</v>
      </c>
      <c r="BP39" s="47">
        <f>_xll.qlPolynomialFunctionValue(BP$1,$BD39,AllTriggers)</f>
        <v>2.8920625473723731E-3</v>
      </c>
      <c r="BQ39" s="47">
        <f>_xll.qlPolynomialFunctionValue('12MSynthDepo_used'!$P$18,BD39,AllTriggers)</f>
        <v>2.9029781655594729E-3</v>
      </c>
    </row>
    <row r="40" spans="3:69" x14ac:dyDescent="0.2">
      <c r="C40" s="19">
        <v>0</v>
      </c>
      <c r="D40" s="129" t="s">
        <v>22</v>
      </c>
      <c r="E40" s="179">
        <f>_xll.qlCalendarAdvance(Calendar,SettlementDate,C40&amp;"M","mf",TRUE,Trigger)</f>
        <v>42279</v>
      </c>
      <c r="F40" s="247">
        <f>_xll.qlCalendarAdvance(Calendar,SettlementDate,D40,"mf",TRUE,Trigger)</f>
        <v>42310</v>
      </c>
      <c r="G40" s="140">
        <f>_xll.qlTenorBasisForwardRate2(G$27,$E40,$F40,InterestRatesTrigger)</f>
        <v>1.4416800403650419E-3</v>
      </c>
      <c r="H40" s="131">
        <f>_xll.qlTenorBasisForwardRate2(H$27,$E40,$F40,InterestRatesTrigger)</f>
        <v>1.4696218682668095E-3</v>
      </c>
      <c r="S40" s="131">
        <f>_xll.qlTenorBasisForwardRate2(S$27,$E40,$F40,InterestRatesTrigger)</f>
        <v>1.4182834538233361E-3</v>
      </c>
      <c r="T40" s="141">
        <f>_xll.qlTenorBasisForwardRate2(T$27,$E40,$F40,InterestRatesTrigger)</f>
        <v>1.4767014682930259E-3</v>
      </c>
      <c r="U40" s="140">
        <f>_xll.qlTenorBasisForwardRate2(U$27,$E40,$F40,InterestRatesTrigger)</f>
        <v>1.4376804411325896E-3</v>
      </c>
      <c r="V40" s="131">
        <f>_xll.qlTenorBasisForwardRate2(V$27,$E40,$F40,InterestRatesTrigger)</f>
        <v>1.4589351004683719E-3</v>
      </c>
      <c r="W40" s="131">
        <f>_xll.qlTenorBasisForwardRate2(W$27,$E40,$F40,InterestRatesTrigger)</f>
        <v>1.4192980515169383E-3</v>
      </c>
      <c r="X40" s="141">
        <f>_xll.qlTenorBasisForwardRate2(X$27,$E40,$F40,InterestRatesTrigger)</f>
        <v>1.4796951895200731E-3</v>
      </c>
      <c r="Y40" s="140">
        <f>_xll.qlTenorBasisForwardRate2(Y$27,$E40,$F40,InterestRatesTrigger)</f>
        <v>1.3992621304218056E-3</v>
      </c>
      <c r="Z40" s="131">
        <f>_xll.qlTenorBasisForwardRate2(Z$27,$E40,$F40,InterestRatesTrigger)</f>
        <v>1.4430957930955748E-3</v>
      </c>
      <c r="AA40" s="131">
        <f>_xll.qlTenorBasisForwardRate2(AA$27,$E40,$F40,InterestRatesTrigger)</f>
        <v>1.3854111836451809E-3</v>
      </c>
      <c r="AB40" s="141">
        <f>_xll.qlTenorBasisForwardRate2(AB$27,$E40,$F40,InterestRatesTrigger)</f>
        <v>1.4023162487787309E-3</v>
      </c>
      <c r="AC40" s="141">
        <f>'12MSynthDepo_used'!AA19</f>
        <v>1.4143671232447913E-3</v>
      </c>
      <c r="BC40" s="178">
        <f>_xll.qlCalendarAdvance(Calendar,BC39,"1d","mf",,Trigger)</f>
        <v>42327</v>
      </c>
      <c r="BD40" s="41">
        <f>_xll.qlDayCounterYearFraction(DayCounter,SettlementDate,BC40,,,Trigger)</f>
        <v>0.13333333333333333</v>
      </c>
      <c r="BE40" s="47">
        <f>_xll.qlPolynomialFunctionValue(BE$1,$BD40,AllTriggers)</f>
        <v>2.9295573950742101E-3</v>
      </c>
      <c r="BF40" s="47">
        <f>_xll.qlPolynomialFunctionValue(BF$1,$BD40,AllTriggers)</f>
        <v>2.943916610157494E-3</v>
      </c>
      <c r="BG40" s="47">
        <f>_xll.qlPolynomialFunctionValue(BG$1,$BD40,AllTriggers)</f>
        <v>2.9097335719102699E-3</v>
      </c>
      <c r="BH40" s="47">
        <f>_xll.qlPolynomialFunctionValue(BH$1,$BD40,AllTriggers)</f>
        <v>2.9486304610327292E-3</v>
      </c>
      <c r="BI40" s="47">
        <f>_xll.qlPolynomialFunctionValue(BI$1,$BD40,AllTriggers)</f>
        <v>2.9263924512174131E-3</v>
      </c>
      <c r="BJ40" s="47">
        <f>_xll.qlPolynomialFunctionValue(BJ$1,$BD40,AllTriggers)</f>
        <v>2.9371917139471931E-3</v>
      </c>
      <c r="BK40" s="47">
        <f>_xll.qlPolynomialFunctionValue(BK$1,$BD40,AllTriggers)</f>
        <v>2.9108248324862954E-3</v>
      </c>
      <c r="BL40" s="47">
        <f>_xll.qlPolynomialFunctionValue(BL$1,$BD40,AllTriggers)</f>
        <v>2.9510014550442562E-3</v>
      </c>
      <c r="BM40" s="47">
        <f>_xll.qlPolynomialFunctionValue(BM$1,$BD40,AllTriggers)</f>
        <v>2.8934049898429377E-3</v>
      </c>
      <c r="BN40" s="47">
        <f>_xll.qlPolynomialFunctionValue(BN$1,$BD40,AllTriggers)</f>
        <v>2.9255341307361233E-3</v>
      </c>
      <c r="BO40" s="47">
        <f>_xll.qlPolynomialFunctionValue(BO$1,$BD40,AllTriggers)</f>
        <v>2.8808066287656525E-3</v>
      </c>
      <c r="BP40" s="47">
        <f>_xll.qlPolynomialFunctionValue(BP$1,$BD40,AllTriggers)</f>
        <v>2.8936730616972856E-3</v>
      </c>
      <c r="BQ40" s="47">
        <f>_xll.qlPolynomialFunctionValue('12MSynthDepo_used'!$P$18,BD40,AllTriggers)</f>
        <v>2.9045604851700175E-3</v>
      </c>
    </row>
    <row r="41" spans="3:69" x14ac:dyDescent="0.2">
      <c r="C41" s="19">
        <v>0</v>
      </c>
      <c r="D41" s="48" t="s">
        <v>29</v>
      </c>
      <c r="E41" s="177">
        <f>_xll.qlCalendarAdvance(Calendar,SettlementDate,C41&amp;"M","mf",TRUE,Trigger)</f>
        <v>42279</v>
      </c>
      <c r="F41" s="246">
        <f>_xll.qlCalendarAdvance(Calendar,SettlementDate,D41,"mf",TRUE,Trigger)</f>
        <v>42340</v>
      </c>
      <c r="G41" s="138">
        <f>_xll.qlTenorBasisForwardRate2(G$27,$E41,$F41,InterestRatesTrigger)</f>
        <v>1.4132621502710896E-3</v>
      </c>
      <c r="H41" s="128">
        <f>_xll.qlTenorBasisForwardRate2(H$27,$E41,$F41,InterestRatesTrigger)</f>
        <v>1.4349678121212755E-3</v>
      </c>
      <c r="S41" s="128">
        <f>_xll.qlTenorBasisForwardRate2(S$27,$E41,$F41,InterestRatesTrigger)</f>
        <v>1.3916006336329794E-3</v>
      </c>
      <c r="T41" s="139">
        <f>_xll.qlTenorBasisForwardRate2(T$27,$E41,$F41,InterestRatesTrigger)</f>
        <v>1.440948183592755E-3</v>
      </c>
      <c r="U41" s="138">
        <f>_xll.qlTenorBasisForwardRate2(U$27,$E41,$F41,InterestRatesTrigger)</f>
        <v>1.4096590513672622E-3</v>
      </c>
      <c r="V41" s="128">
        <f>_xll.qlTenorBasisForwardRate2(V$27,$E41,$F41,InterestRatesTrigger)</f>
        <v>1.4261148167680785E-3</v>
      </c>
      <c r="W41" s="128">
        <f>_xll.qlTenorBasisForwardRate2(W$27,$E41,$F41,InterestRatesTrigger)</f>
        <v>1.392643320240199E-3</v>
      </c>
      <c r="X41" s="139">
        <f>_xll.qlTenorBasisForwardRate2(X$27,$E41,$F41,InterestRatesTrigger)</f>
        <v>1.4436456991636702E-3</v>
      </c>
      <c r="Y41" s="138">
        <f>_xll.qlTenorBasisForwardRate2(Y$27,$E41,$F41,InterestRatesTrigger)</f>
        <v>1.3738954108015295E-3</v>
      </c>
      <c r="Z41" s="128">
        <f>_xll.qlTenorBasisForwardRate2(Z$27,$E41,$F41,InterestRatesTrigger)</f>
        <v>1.4122385031355086E-3</v>
      </c>
      <c r="AA41" s="128">
        <f>_xll.qlTenorBasisForwardRate2(AA$27,$E41,$F41,InterestRatesTrigger)</f>
        <v>1.3606868615163835E-3</v>
      </c>
      <c r="AB41" s="139">
        <f>_xll.qlTenorBasisForwardRate2(AB$27,$E41,$F41,InterestRatesTrigger)</f>
        <v>1.3756867245034907E-3</v>
      </c>
      <c r="AC41" s="139">
        <f>'12MSynthDepo_used'!AA20</f>
        <v>1.3871427618524104E-3</v>
      </c>
      <c r="BC41" s="178">
        <f>_xll.qlCalendarAdvance(Calendar,BC40,"1d","mf",,Trigger)</f>
        <v>42328</v>
      </c>
      <c r="BD41" s="41">
        <f>_xll.qlDayCounterYearFraction(DayCounter,SettlementDate,BC41,,,Trigger)</f>
        <v>0.1361111111111111</v>
      </c>
      <c r="BE41" s="47">
        <f>_xll.qlPolynomialFunctionValue(BE$1,$BD41,AllTriggers)</f>
        <v>2.9310374099245965E-3</v>
      </c>
      <c r="BF41" s="47">
        <f>_xll.qlPolynomialFunctionValue(BF$1,$BD41,AllTriggers)</f>
        <v>2.9450153732813234E-3</v>
      </c>
      <c r="BG41" s="47">
        <f>_xll.qlPolynomialFunctionValue(BG$1,$BD41,AllTriggers)</f>
        <v>2.9113326487616407E-3</v>
      </c>
      <c r="BH41" s="47">
        <f>_xll.qlPolynomialFunctionValue(BH$1,$BD41,AllTriggers)</f>
        <v>2.9496602307486166E-3</v>
      </c>
      <c r="BI41" s="47">
        <f>_xll.qlPolynomialFunctionValue(BI$1,$BD41,AllTriggers)</f>
        <v>2.9278996638472232E-3</v>
      </c>
      <c r="BJ41" s="47">
        <f>_xll.qlPolynomialFunctionValue(BJ$1,$BD41,AllTriggers)</f>
        <v>2.9384058111594979E-3</v>
      </c>
      <c r="BK41" s="47">
        <f>_xll.qlPolynomialFunctionValue(BK$1,$BD41,AllTriggers)</f>
        <v>2.9124258259518349E-3</v>
      </c>
      <c r="BL41" s="47">
        <f>_xll.qlPolynomialFunctionValue(BL$1,$BD41,AllTriggers)</f>
        <v>2.9520129140683284E-3</v>
      </c>
      <c r="BM41" s="47">
        <f>_xll.qlPolynomialFunctionValue(BM$1,$BD41,AllTriggers)</f>
        <v>2.8950943869874559E-3</v>
      </c>
      <c r="BN41" s="47">
        <f>_xll.qlPolynomialFunctionValue(BN$1,$BD41,AllTriggers)</f>
        <v>2.9268719991201435E-3</v>
      </c>
      <c r="BO41" s="47">
        <f>_xll.qlPolynomialFunctionValue(BO$1,$BD41,AllTriggers)</f>
        <v>2.8825401461694514E-3</v>
      </c>
      <c r="BP41" s="47">
        <f>_xll.qlPolynomialFunctionValue(BP$1,$BD41,AllTriggers)</f>
        <v>2.8952840201236715E-3</v>
      </c>
      <c r="BQ41" s="47">
        <f>_xll.qlPolynomialFunctionValue('12MSynthDepo_used'!$P$18,BD41,AllTriggers)</f>
        <v>2.9061439198674638E-3</v>
      </c>
    </row>
    <row r="42" spans="3:69" x14ac:dyDescent="0.2">
      <c r="C42" s="19">
        <v>0</v>
      </c>
      <c r="D42" s="48" t="s">
        <v>23</v>
      </c>
      <c r="E42" s="177">
        <f>_xll.qlCalendarAdvance(Calendar,SettlementDate,C42&amp;"M","mf",TRUE,Trigger)</f>
        <v>42279</v>
      </c>
      <c r="F42" s="246">
        <f>_xll.qlCalendarAdvance(Calendar,SettlementDate,D42,"mf",TRUE,Trigger)</f>
        <v>42373</v>
      </c>
      <c r="G42" s="138">
        <f>_xll.qlTenorBasisForwardRate2(G$27,$E42,$F42,InterestRatesTrigger)</f>
        <v>1.4515683558228038E-3</v>
      </c>
      <c r="H42" s="128">
        <f>_xll.qlTenorBasisForwardRate2(H$27,$E42,$F42,InterestRatesTrigger)</f>
        <v>1.4672552510217925E-3</v>
      </c>
      <c r="S42" s="128">
        <f>_xll.qlTenorBasisForwardRate2(S$27,$E42,$F42,InterestRatesTrigger)</f>
        <v>1.431815621640026E-3</v>
      </c>
      <c r="T42" s="139">
        <f>_xll.qlTenorBasisForwardRate2(T$27,$E42,$F42,InterestRatesTrigger)</f>
        <v>1.4721424118994814E-3</v>
      </c>
      <c r="U42" s="138">
        <f>_xll.qlTenorBasisForwardRate2(U$27,$E42,$F42,InterestRatesTrigger)</f>
        <v>1.4484014725795E-3</v>
      </c>
      <c r="V42" s="128">
        <f>_xll.qlTenorBasisForwardRate2(V$27,$E42,$F42,InterestRatesTrigger)</f>
        <v>1.4602304806240732E-3</v>
      </c>
      <c r="W42" s="128">
        <f>_xll.qlTenorBasisForwardRate2(W$27,$E42,$F42,InterestRatesTrigger)</f>
        <v>1.4328892273830565E-3</v>
      </c>
      <c r="X42" s="139">
        <f>_xll.qlTenorBasisForwardRate2(X$27,$E42,$F42,InterestRatesTrigger)</f>
        <v>1.4745506300120673E-3</v>
      </c>
      <c r="Y42" s="138">
        <f>_xll.qlTenorBasisForwardRate2(Y$27,$E42,$F42,InterestRatesTrigger)</f>
        <v>1.4155582396419598E-3</v>
      </c>
      <c r="Z42" s="128">
        <f>_xll.qlTenorBasisForwardRate2(Z$27,$E42,$F42,InterestRatesTrigger)</f>
        <v>1.4483161799053001E-3</v>
      </c>
      <c r="AA42" s="128">
        <f>_xll.qlTenorBasisForwardRate2(AA$27,$E42,$F42,InterestRatesTrigger)</f>
        <v>1.4030563270788976E-3</v>
      </c>
      <c r="AB42" s="139">
        <f>_xll.qlTenorBasisForwardRate2(AB$27,$E42,$F42,InterestRatesTrigger)</f>
        <v>1.4161078439274466E-3</v>
      </c>
      <c r="AC42" s="139">
        <f>'12MSynthDepo_used'!AA21</f>
        <v>1.4271359885300735E-3</v>
      </c>
      <c r="BC42" s="178">
        <f>_xll.qlCalendarAdvance(Calendar,BC41,"1d","mf",,Trigger)</f>
        <v>42331</v>
      </c>
      <c r="BD42" s="41">
        <f>_xll.qlDayCounterYearFraction(DayCounter,SettlementDate,BC42,,,Trigger)</f>
        <v>0.14444444444444443</v>
      </c>
      <c r="BE42" s="47">
        <f>_xll.qlPolynomialFunctionValue(BE$1,$BD42,AllTriggers)</f>
        <v>2.9354774544757549E-3</v>
      </c>
      <c r="BF42" s="47">
        <f>_xll.qlPolynomialFunctionValue(BF$1,$BD42,AllTriggers)</f>
        <v>2.9483268620571915E-3</v>
      </c>
      <c r="BG42" s="47">
        <f>_xll.qlPolynomialFunctionValue(BG$1,$BD42,AllTriggers)</f>
        <v>2.9161298793157534E-3</v>
      </c>
      <c r="BH42" s="47">
        <f>_xll.qlPolynomialFunctionValue(BH$1,$BD42,AllTriggers)</f>
        <v>2.9527668353029279E-3</v>
      </c>
      <c r="BI42" s="47">
        <f>_xll.qlPolynomialFunctionValue(BI$1,$BD42,AllTriggers)</f>
        <v>2.9324213017366532E-3</v>
      </c>
      <c r="BJ42" s="47">
        <f>_xll.qlPolynomialFunctionValue(BJ$1,$BD42,AllTriggers)</f>
        <v>2.9420598864386442E-3</v>
      </c>
      <c r="BK42" s="47">
        <f>_xll.qlPolynomialFunctionValue(BK$1,$BD42,AllTriggers)</f>
        <v>2.9172288063484537E-3</v>
      </c>
      <c r="BL42" s="47">
        <f>_xll.qlPolynomialFunctionValue(BL$1,$BD42,AllTriggers)</f>
        <v>2.9550652465042452E-3</v>
      </c>
      <c r="BM42" s="47">
        <f>_xll.qlPolynomialFunctionValue(BM$1,$BD42,AllTriggers)</f>
        <v>2.9001625784210107E-3</v>
      </c>
      <c r="BN42" s="47">
        <f>_xll.qlPolynomialFunctionValue(BN$1,$BD42,AllTriggers)</f>
        <v>2.9308938219512661E-3</v>
      </c>
      <c r="BO42" s="47">
        <f>_xll.qlPolynomialFunctionValue(BO$1,$BD42,AllTriggers)</f>
        <v>2.8877406983808486E-3</v>
      </c>
      <c r="BP42" s="47">
        <f>_xll.qlPolynomialFunctionValue(BP$1,$BD42,AllTriggers)</f>
        <v>2.900119560011669E-3</v>
      </c>
      <c r="BQ42" s="47">
        <f>_xll.qlPolynomialFunctionValue('12MSynthDepo_used'!$P$18,BD42,AllTriggers)</f>
        <v>2.910900868223534E-3</v>
      </c>
    </row>
    <row r="43" spans="3:69" ht="11.25" customHeight="1" x14ac:dyDescent="0.2">
      <c r="C43" s="19">
        <v>0</v>
      </c>
      <c r="D43" s="48" t="s">
        <v>30</v>
      </c>
      <c r="E43" s="177">
        <f>_xll.qlCalendarAdvance(Calendar,SettlementDate,C43&amp;"M","mf",TRUE,Trigger)</f>
        <v>42279</v>
      </c>
      <c r="F43" s="271">
        <f>_xll.qlCalendarAdvance(Calendar,SettlementDate,D43,"mf",TRUE,Trigger)</f>
        <v>42402</v>
      </c>
      <c r="G43" s="138">
        <f>_xll.qlTenorBasisForwardRate2(G$27,$E43,$F43,InterestRatesTrigger)</f>
        <v>1.4209827427453369E-3</v>
      </c>
      <c r="H43" s="128">
        <f>_xll.qlTenorBasisForwardRate2(H$27,$E43,$F43,InterestRatesTrigger)</f>
        <v>1.4321075677161622E-3</v>
      </c>
      <c r="S43" s="128">
        <f>_xll.qlTenorBasisForwardRate2(S$27,$E43,$F43,InterestRatesTrigger)</f>
        <v>1.4029081506478486E-3</v>
      </c>
      <c r="T43" s="139">
        <f>_xll.qlTenorBasisForwardRate2(T$27,$E43,$F43,InterestRatesTrigger)</f>
        <v>1.4361341986316905E-3</v>
      </c>
      <c r="U43" s="138">
        <f>_xll.qlTenorBasisForwardRate2(U$27,$E43,$F43,InterestRatesTrigger)</f>
        <v>1.4181993458931481E-3</v>
      </c>
      <c r="V43" s="128">
        <f>_xll.qlTenorBasisForwardRate2(V$27,$E43,$F43,InterestRatesTrigger)</f>
        <v>1.4265261688394286E-3</v>
      </c>
      <c r="W43" s="128">
        <f>_xll.qlTenorBasisForwardRate2(W$27,$E43,$F43,InterestRatesTrigger)</f>
        <v>1.4040089173159088E-3</v>
      </c>
      <c r="X43" s="139">
        <f>_xll.qlTenorBasisForwardRate2(X$27,$E43,$F43,InterestRatesTrigger)</f>
        <v>1.4383197226575106E-3</v>
      </c>
      <c r="Y43" s="138">
        <f>_xll.qlTenorBasisForwardRate2(Y$27,$E43,$F43,InterestRatesTrigger)</f>
        <v>1.3879236785768879E-3</v>
      </c>
      <c r="Z43" s="128">
        <f>_xll.qlTenorBasisForwardRate2(Z$27,$E43,$F43,InterestRatesTrigger)</f>
        <v>1.4161657168088309E-3</v>
      </c>
      <c r="AA43" s="128">
        <f>_xll.qlTenorBasisForwardRate2(AA$27,$E43,$F43,InterestRatesTrigger)</f>
        <v>1.3760430943317134E-3</v>
      </c>
      <c r="AB43" s="139">
        <f>_xll.qlTenorBasisForwardRate2(AB$27,$E43,$F43,InterestRatesTrigger)</f>
        <v>1.3875095602938082E-3</v>
      </c>
      <c r="AC43" s="139">
        <f>'12MSynthDepo_used'!AA22</f>
        <v>1.3983270840694114E-3</v>
      </c>
      <c r="BC43" s="178">
        <f>_xll.qlCalendarAdvance(Calendar,BC42,"1d","mf",,Trigger)</f>
        <v>42332</v>
      </c>
      <c r="BD43" s="41">
        <f>_xll.qlDayCounterYearFraction(DayCounter,SettlementDate,BC43,,,Trigger)</f>
        <v>0.14722222222222223</v>
      </c>
      <c r="BE43" s="47">
        <f>_xll.qlPolynomialFunctionValue(BE$1,$BD43,AllTriggers)</f>
        <v>2.9369574693261409E-3</v>
      </c>
      <c r="BF43" s="47">
        <f>_xll.qlPolynomialFunctionValue(BF$1,$BD43,AllTriggers)</f>
        <v>2.9494357581172749E-3</v>
      </c>
      <c r="BG43" s="47">
        <f>_xll.qlPolynomialFunctionValue(BG$1,$BD43,AllTriggers)</f>
        <v>2.9177289561671243E-3</v>
      </c>
      <c r="BH43" s="47">
        <f>_xll.qlPolynomialFunctionValue(BH$1,$BD43,AllTriggers)</f>
        <v>2.9538081352899139E-3</v>
      </c>
      <c r="BI43" s="47">
        <f>_xll.qlPolynomialFunctionValue(BI$1,$BD43,AllTriggers)</f>
        <v>2.9339285143664632E-3</v>
      </c>
      <c r="BJ43" s="47">
        <f>_xll.qlPolynomialFunctionValue(BJ$1,$BD43,AllTriggers)</f>
        <v>2.9432818394124365E-3</v>
      </c>
      <c r="BK43" s="47">
        <f>_xll.qlPolynomialFunctionValue(BK$1,$BD43,AllTriggers)</f>
        <v>2.9188297998139932E-3</v>
      </c>
      <c r="BL43" s="47">
        <f>_xll.qlPolynomialFunctionValue(BL$1,$BD43,AllTriggers)</f>
        <v>2.9560886757707835E-3</v>
      </c>
      <c r="BM43" s="47">
        <f>_xll.qlPolynomialFunctionValue(BM$1,$BD43,AllTriggers)</f>
        <v>2.901851975565529E-3</v>
      </c>
      <c r="BN43" s="47">
        <f>_xll.qlPolynomialFunctionValue(BN$1,$BD43,AllTriggers)</f>
        <v>2.9322371687879943E-3</v>
      </c>
      <c r="BO43" s="47">
        <f>_xll.qlPolynomialFunctionValue(BO$1,$BD43,AllTriggers)</f>
        <v>2.8894742157846479E-3</v>
      </c>
      <c r="BP43" s="47">
        <f>_xll.qlPolynomialFunctionValue(BP$1,$BD43,AllTriggers)</f>
        <v>2.9017322948439485E-3</v>
      </c>
      <c r="BQ43" s="47">
        <f>_xll.qlPolynomialFunctionValue('12MSynthDepo_used'!$P$18,BD43,AllTriggers)</f>
        <v>2.9124887170109107E-3</v>
      </c>
    </row>
    <row r="44" spans="3:69" x14ac:dyDescent="0.2">
      <c r="C44" s="19">
        <v>0</v>
      </c>
      <c r="D44" s="48" t="s">
        <v>31</v>
      </c>
      <c r="E44" s="177">
        <f>_xll.qlCalendarAdvance(Calendar,SettlementDate,C44&amp;"M","mf",TRUE,Trigger)</f>
        <v>42279</v>
      </c>
      <c r="F44" s="271">
        <f>_xll.qlCalendarAdvance(Calendar,SettlementDate,D44,"mf",TRUE,Trigger)</f>
        <v>42431</v>
      </c>
      <c r="G44" s="138">
        <f>_xll.qlTenorBasisForwardRate2(G$27,$E44,$F44,InterestRatesTrigger)</f>
        <v>1.4064754131932521E-3</v>
      </c>
      <c r="H44" s="128">
        <f>_xll.qlTenorBasisForwardRate2(H$27,$E44,$F44,InterestRatesTrigger)</f>
        <v>1.4137189779112923E-3</v>
      </c>
      <c r="S44" s="128">
        <f>_xll.qlTenorBasisForwardRate2(S$27,$E44,$F44,InterestRatesTrigger)</f>
        <v>1.3900792864190699E-3</v>
      </c>
      <c r="T44" s="139">
        <f>_xll.qlTenorBasisForwardRate2(T$27,$E44,$F44,InterestRatesTrigger)</f>
        <v>1.4169789167165082E-3</v>
      </c>
      <c r="U44" s="138">
        <f>_xll.qlTenorBasisForwardRate2(U$27,$E44,$F44,InterestRatesTrigger)</f>
        <v>1.4040755798485744E-3</v>
      </c>
      <c r="V44" s="128">
        <f>_xll.qlTenorBasisForwardRate2(V$27,$E44,$F44,InterestRatesTrigger)</f>
        <v>1.409428036684745E-3</v>
      </c>
      <c r="W44" s="128">
        <f>_xll.qlTenorBasisForwardRate2(W$27,$E44,$F44,InterestRatesTrigger)</f>
        <v>1.3912072221228548E-3</v>
      </c>
      <c r="X44" s="139">
        <f>_xll.qlTenorBasisForwardRate2(X$27,$E44,$F44,InterestRatesTrigger)</f>
        <v>1.4189713042888016E-3</v>
      </c>
      <c r="Y44" s="138">
        <f>_xll.qlTenorBasisForwardRate2(Y$27,$E44,$F44,InterestRatesTrigger)</f>
        <v>1.3763679612706432E-3</v>
      </c>
      <c r="Z44" s="128">
        <f>_xll.qlTenorBasisForwardRate2(Z$27,$E44,$F44,InterestRatesTrigger)</f>
        <v>1.4004617968899069E-3</v>
      </c>
      <c r="AA44" s="128">
        <f>_xll.qlTenorBasisForwardRate2(AA$27,$E44,$F44,InterestRatesTrigger)</f>
        <v>1.3651088081718431E-3</v>
      </c>
      <c r="AB44" s="139">
        <f>_xll.qlTenorBasisForwardRate2(AB$27,$E44,$F44,InterestRatesTrigger)</f>
        <v>1.3751094353466418E-3</v>
      </c>
      <c r="AC44" s="139">
        <f>'12MSynthDepo_used'!AA23</f>
        <v>1.3858433833996724E-3</v>
      </c>
      <c r="BC44" s="178">
        <f>_xll.qlCalendarAdvance(Calendar,BC43,"1d","mf",,Trigger)</f>
        <v>42333</v>
      </c>
      <c r="BD44" s="41">
        <f>_xll.qlDayCounterYearFraction(DayCounter,SettlementDate,BC44,,,Trigger)</f>
        <v>0.15</v>
      </c>
      <c r="BE44" s="47">
        <f>_xll.qlPolynomialFunctionValue(BE$1,$BD44,AllTriggers)</f>
        <v>2.9384374841765273E-3</v>
      </c>
      <c r="BF44" s="47">
        <f>_xll.qlPolynomialFunctionValue(BF$1,$BD44,AllTriggers)</f>
        <v>2.9505471874114214E-3</v>
      </c>
      <c r="BG44" s="47">
        <f>_xll.qlPolynomialFunctionValue(BG$1,$BD44,AllTriggers)</f>
        <v>2.9193280330184947E-3</v>
      </c>
      <c r="BH44" s="47">
        <f>_xll.qlPolynomialFunctionValue(BH$1,$BD44,AllTriggers)</f>
        <v>2.9548523178446746E-3</v>
      </c>
      <c r="BI44" s="47">
        <f>_xll.qlPolynomialFunctionValue(BI$1,$BD44,AllTriggers)</f>
        <v>2.9354357269962732E-3</v>
      </c>
      <c r="BJ44" s="47">
        <f>_xll.qlPolynomialFunctionValue(BJ$1,$BD44,AllTriggers)</f>
        <v>2.9445057563266003E-3</v>
      </c>
      <c r="BK44" s="47">
        <f>_xll.qlPolynomialFunctionValue(BK$1,$BD44,AllTriggers)</f>
        <v>2.9204307932795331E-3</v>
      </c>
      <c r="BL44" s="47">
        <f>_xll.qlPolynomialFunctionValue(BL$1,$BD44,AllTriggers)</f>
        <v>2.957115097597939E-3</v>
      </c>
      <c r="BM44" s="47">
        <f>_xll.qlPolynomialFunctionValue(BM$1,$BD44,AllTriggers)</f>
        <v>2.9035413727100472E-3</v>
      </c>
      <c r="BN44" s="47">
        <f>_xll.qlPolynomialFunctionValue(BN$1,$BD44,AllTriggers)</f>
        <v>2.9335818852378988E-3</v>
      </c>
      <c r="BO44" s="47">
        <f>_xll.qlPolynomialFunctionValue(BO$1,$BD44,AllTriggers)</f>
        <v>2.8912077331884468E-3</v>
      </c>
      <c r="BP44" s="47">
        <f>_xll.qlPolynomialFunctionValue(BP$1,$BD44,AllTriggers)</f>
        <v>2.903345473777701E-3</v>
      </c>
      <c r="BQ44" s="47">
        <f>_xll.qlPolynomialFunctionValue('12MSynthDepo_used'!$P$18,BD44,AllTriggers)</f>
        <v>2.9140776577563513E-3</v>
      </c>
    </row>
    <row r="45" spans="3:69" x14ac:dyDescent="0.2">
      <c r="C45" s="19">
        <v>0</v>
      </c>
      <c r="D45" s="48" t="s">
        <v>24</v>
      </c>
      <c r="E45" s="177">
        <f>_xll.qlCalendarAdvance(Calendar,SettlementDate,C45&amp;"M","mf",TRUE,Trigger)</f>
        <v>42279</v>
      </c>
      <c r="F45" s="271">
        <f>_xll.qlCalendarAdvance(Calendar,SettlementDate,D45,"mf",TRUE,Trigger)</f>
        <v>42464</v>
      </c>
      <c r="G45" s="138">
        <f>_xll.qlTenorBasisForwardRate2(G$27,$E45,$F45,InterestRatesTrigger)</f>
        <v>1.3949381571023976E-3</v>
      </c>
      <c r="H45" s="128">
        <f>_xll.qlTenorBasisForwardRate(H$27,$E45,InterestRatesTrigger)</f>
        <v>1.3554270851761031E-3</v>
      </c>
      <c r="S45" s="128">
        <f>_xll.qlTenorBasisForwardRate(S$27,$E45,InterestRatesTrigger)</f>
        <v>1.3517627752257027E-3</v>
      </c>
      <c r="T45" s="139">
        <f>_xll.qlTenorBasisForwardRate(T$27,$E45,InterestRatesTrigger)</f>
        <v>1.3559323956520723E-3</v>
      </c>
      <c r="U45" s="138">
        <f>_xll.qlTenorBasisForwardRate(U$27,$E45,InterestRatesTrigger)</f>
        <v>1.3561501669726128E-3</v>
      </c>
      <c r="V45" s="128">
        <f>_xll.qlTenorBasisForwardRate(V$27,$E45,InterestRatesTrigger)</f>
        <v>1.3559295722395059E-3</v>
      </c>
      <c r="W45" s="128">
        <f>_xll.qlTenorBasisForwardRate(W$27,$E45,InterestRatesTrigger)</f>
        <v>1.3530923094403054E-3</v>
      </c>
      <c r="X45" s="139">
        <f>_xll.qlTenorBasisForwardRate(X$27,$E45,InterestRatesTrigger)</f>
        <v>1.3574156012555313E-3</v>
      </c>
      <c r="Y45" s="138">
        <f>_xll.qlTenorBasisTenorForwardRate(Y$27,$E45,InterestRatesTrigger)</f>
        <v>1.3950566087383395E-3</v>
      </c>
      <c r="Z45" s="128">
        <f>_xll.qlTenorBasisTenorForwardRate(Z$27,$E45,InterestRatesTrigger)</f>
        <v>1.3997203576731167E-3</v>
      </c>
      <c r="AA45" s="128">
        <f>_xll.qlTenorBasisTenorForwardRate(AA$27,$E45,InterestRatesTrigger)</f>
        <v>1.3884365427936139E-3</v>
      </c>
      <c r="AB45" s="139">
        <f>_xll.qlTenorBasisTenorForwardRate(AB$27,$E45,InterestRatesTrigger)</f>
        <v>1.3912353694211048E-3</v>
      </c>
      <c r="AC45" s="139">
        <f>'12MSynthDepo_used'!AA24</f>
        <v>1.3768754129557309E-3</v>
      </c>
      <c r="BC45" s="178">
        <f>_xll.qlCalendarAdvance(Calendar,BC44,"1d","mf",,Trigger)</f>
        <v>42334</v>
      </c>
      <c r="BD45" s="41">
        <f>_xll.qlDayCounterYearFraction(DayCounter,SettlementDate,BC45,,,Trigger)</f>
        <v>0.15277777777777779</v>
      </c>
      <c r="BE45" s="47">
        <f>_xll.qlPolynomialFunctionValue(BE$1,$BD45,AllTriggers)</f>
        <v>2.9399174990269133E-3</v>
      </c>
      <c r="BF45" s="47">
        <f>_xll.qlPolynomialFunctionValue(BF$1,$BD45,AllTriggers)</f>
        <v>2.9516611499396318E-3</v>
      </c>
      <c r="BG45" s="47">
        <f>_xll.qlPolynomialFunctionValue(BG$1,$BD45,AllTriggers)</f>
        <v>2.9209271098698656E-3</v>
      </c>
      <c r="BH45" s="47">
        <f>_xll.qlPolynomialFunctionValue(BH$1,$BD45,AllTriggers)</f>
        <v>2.9558993829672097E-3</v>
      </c>
      <c r="BI45" s="47">
        <f>_xll.qlPolynomialFunctionValue(BI$1,$BD45,AllTriggers)</f>
        <v>2.9369429396260832E-3</v>
      </c>
      <c r="BJ45" s="47">
        <f>_xll.qlPolynomialFunctionValue(BJ$1,$BD45,AllTriggers)</f>
        <v>2.945731637181136E-3</v>
      </c>
      <c r="BK45" s="47">
        <f>_xll.qlPolynomialFunctionValue(BK$1,$BD45,AllTriggers)</f>
        <v>2.9220317867450726E-3</v>
      </c>
      <c r="BL45" s="47">
        <f>_xll.qlPolynomialFunctionValue(BL$1,$BD45,AllTriggers)</f>
        <v>2.9581445119857114E-3</v>
      </c>
      <c r="BM45" s="47">
        <f>_xll.qlPolynomialFunctionValue(BM$1,$BD45,AllTriggers)</f>
        <v>2.905230769854565E-3</v>
      </c>
      <c r="BN45" s="47">
        <f>_xll.qlPolynomialFunctionValue(BN$1,$BD45,AllTriggers)</f>
        <v>2.9349279713009806E-3</v>
      </c>
      <c r="BO45" s="47">
        <f>_xll.qlPolynomialFunctionValue(BO$1,$BD45,AllTriggers)</f>
        <v>2.8929412505922462E-3</v>
      </c>
      <c r="BP45" s="47">
        <f>_xll.qlPolynomialFunctionValue(BP$1,$BD45,AllTriggers)</f>
        <v>2.9049590968129265E-3</v>
      </c>
      <c r="BQ45" s="47">
        <f>_xll.qlPolynomialFunctionValue('12MSynthDepo_used'!$P$18,BD45,AllTriggers)</f>
        <v>2.9156676858340877E-3</v>
      </c>
    </row>
    <row r="46" spans="3:69" x14ac:dyDescent="0.2">
      <c r="C46" s="19">
        <v>0</v>
      </c>
      <c r="D46" s="48" t="s">
        <v>32</v>
      </c>
      <c r="E46" s="177">
        <f>_xll.qlCalendarAdvance(Calendar,SettlementDate,C46&amp;"M","mf",TRUE,Trigger)</f>
        <v>42279</v>
      </c>
      <c r="F46" s="288">
        <f>_xll.qlCalendarAdvance(Calendar,SettlementDate,D46,"mf",TRUE,Trigger)</f>
        <v>42492</v>
      </c>
      <c r="G46" s="138">
        <f>_xll.qlTenorBasisForwardRate2(G$27,$E46,$F46,InterestRatesTrigger)</f>
        <v>1.385420452614078E-3</v>
      </c>
      <c r="H46" s="128">
        <f>_xll.qlTenorBasisTenorForwardRate(H$27,$E46,InterestRatesTrigger)</f>
        <v>1.4028377131147243E-3</v>
      </c>
      <c r="S46" s="128">
        <f>_xll.qlTenorBasisTenorForwardRate(S$27,$E46,InterestRatesTrigger)</f>
        <v>1.399146791084201E-3</v>
      </c>
      <c r="T46" s="139">
        <f>_xll.qlTenorBasisTenorForwardRate(T$27,$E46,InterestRatesTrigger)</f>
        <v>1.4033466923317895E-3</v>
      </c>
      <c r="U46" s="138">
        <f>_xll.qlTenorBasisTenorForwardRate(U$27,$E46,InterestRatesTrigger)</f>
        <v>1.4033580683698538E-3</v>
      </c>
      <c r="V46" s="128">
        <f>_xll.qlTenorBasisTenorForwardRate(V$27,$E46,InterestRatesTrigger)</f>
        <v>1.4033580683698599E-3</v>
      </c>
      <c r="W46" s="128">
        <f>_xll.qlTenorBasisTenorForwardRate(W$27,$E46,InterestRatesTrigger)</f>
        <v>1.4004977528800976E-3</v>
      </c>
      <c r="X46" s="139">
        <f>_xll.qlTenorBasisTenorForwardRate(X$27,$E46,InterestRatesTrigger)</f>
        <v>1.40485616803811E-3</v>
      </c>
      <c r="Y46" s="138">
        <f>_xll.qlTenorBasisTenorForwardRate(Y$27,$E46,InterestRatesTrigger)</f>
        <v>1.3950566087383395E-3</v>
      </c>
      <c r="Z46" s="128">
        <f>_xll.qlTenorBasisTenorForwardRate(Z$27,$E46,InterestRatesTrigger)</f>
        <v>1.3997203576731167E-3</v>
      </c>
      <c r="AA46" s="128">
        <f>_xll.qlTenorBasisTenorForwardRate(AA$27,$E46,InterestRatesTrigger)</f>
        <v>1.3884365427936139E-3</v>
      </c>
      <c r="AB46" s="139">
        <f>_xll.qlTenorBasisTenorForwardRate(AB$27,$E46,InterestRatesTrigger)</f>
        <v>1.3912353694211048E-3</v>
      </c>
      <c r="AC46" s="139">
        <f>'12MSynthDepo_used'!AA25</f>
        <v>1.4028377131147243E-3</v>
      </c>
      <c r="BC46" s="178">
        <f>_xll.qlCalendarAdvance(Calendar,BC45,"1d","mf",,Trigger)</f>
        <v>42335</v>
      </c>
      <c r="BD46" s="41">
        <f>_xll.qlDayCounterYearFraction(DayCounter,SettlementDate,BC46,,,Trigger)</f>
        <v>0.15555555555555556</v>
      </c>
      <c r="BE46" s="47">
        <f>_xll.qlPolynomialFunctionValue(BE$1,$BD46,AllTriggers)</f>
        <v>2.9413975138772998E-3</v>
      </c>
      <c r="BF46" s="47">
        <f>_xll.qlPolynomialFunctionValue(BF$1,$BD46,AllTriggers)</f>
        <v>2.9527776457019049E-3</v>
      </c>
      <c r="BG46" s="47">
        <f>_xll.qlPolynomialFunctionValue(BG$1,$BD46,AllTriggers)</f>
        <v>2.9225261867212365E-3</v>
      </c>
      <c r="BH46" s="47">
        <f>_xll.qlPolynomialFunctionValue(BH$1,$BD46,AllTriggers)</f>
        <v>2.95694933065752E-3</v>
      </c>
      <c r="BI46" s="47">
        <f>_xll.qlPolynomialFunctionValue(BI$1,$BD46,AllTriggers)</f>
        <v>2.9384501522558932E-3</v>
      </c>
      <c r="BJ46" s="47">
        <f>_xll.qlPolynomialFunctionValue(BJ$1,$BD46,AllTriggers)</f>
        <v>2.9469594819760436E-3</v>
      </c>
      <c r="BK46" s="47">
        <f>_xll.qlPolynomialFunctionValue(BK$1,$BD46,AllTriggers)</f>
        <v>2.9236327802106121E-3</v>
      </c>
      <c r="BL46" s="47">
        <f>_xll.qlPolynomialFunctionValue(BL$1,$BD46,AllTriggers)</f>
        <v>2.9591769189340994E-3</v>
      </c>
      <c r="BM46" s="47">
        <f>_xll.qlPolynomialFunctionValue(BM$1,$BD46,AllTriggers)</f>
        <v>2.9069201669990833E-3</v>
      </c>
      <c r="BN46" s="47">
        <f>_xll.qlPolynomialFunctionValue(BN$1,$BD46,AllTriggers)</f>
        <v>2.9362754269772391E-3</v>
      </c>
      <c r="BO46" s="47">
        <f>_xll.qlPolynomialFunctionValue(BO$1,$BD46,AllTriggers)</f>
        <v>2.8946747679960451E-3</v>
      </c>
      <c r="BP46" s="47">
        <f>_xll.qlPolynomialFunctionValue(BP$1,$BD46,AllTriggers)</f>
        <v>2.9065731639496255E-3</v>
      </c>
      <c r="BQ46" s="47">
        <f>_xll.qlPolynomialFunctionValue('12MSynthDepo_used'!$P$18,BD46,AllTriggers)</f>
        <v>2.917258796618354E-3</v>
      </c>
    </row>
    <row r="47" spans="3:69" x14ac:dyDescent="0.2">
      <c r="C47" s="19">
        <v>0</v>
      </c>
      <c r="D47" s="48" t="s">
        <v>33</v>
      </c>
      <c r="E47" s="177">
        <f>_xll.qlCalendarAdvance(Calendar,SettlementDate,C47&amp;"M","mf",TRUE,Trigger)</f>
        <v>42279</v>
      </c>
      <c r="F47" s="251">
        <f>_xll.qlCalendarAdvance(Calendar,SettlementDate,D47,"mf",TRUE,Trigger)</f>
        <v>42523</v>
      </c>
      <c r="G47" s="138">
        <f>_xll.qlTenorBasisForwardRate2(G$27,$E47,$F47,InterestRatesTrigger)</f>
        <v>1.3759125513734816E-3</v>
      </c>
      <c r="H47" s="128">
        <f>_xll.qlTenorBasisTenorForwardRate(H$27,$E47,InterestRatesTrigger)</f>
        <v>1.4028377131147243E-3</v>
      </c>
      <c r="S47" s="128">
        <f>_xll.qlTenorBasisTenorForwardRate(S$27,$E47,InterestRatesTrigger)</f>
        <v>1.399146791084201E-3</v>
      </c>
      <c r="T47" s="139">
        <f>_xll.qlTenorBasisTenorForwardRate(T$27,$E47,InterestRatesTrigger)</f>
        <v>1.4033466923317895E-3</v>
      </c>
      <c r="U47" s="138">
        <f>_xll.qlTenorBasisTenorForwardRate(U$27,$E47,InterestRatesTrigger)</f>
        <v>1.4033580683698538E-3</v>
      </c>
      <c r="V47" s="128">
        <f>_xll.qlTenorBasisTenorForwardRate(V$27,$E47,InterestRatesTrigger)</f>
        <v>1.4033580683698599E-3</v>
      </c>
      <c r="W47" s="128">
        <f>_xll.qlTenorBasisTenorForwardRate(W$27,$E47,InterestRatesTrigger)</f>
        <v>1.4004977528800976E-3</v>
      </c>
      <c r="X47" s="139">
        <f>_xll.qlTenorBasisTenorForwardRate(X$27,$E47,InterestRatesTrigger)</f>
        <v>1.40485616803811E-3</v>
      </c>
      <c r="Y47" s="138">
        <f>_xll.qlTenorBasisTenorForwardRate(Y$27,$E47,InterestRatesTrigger)</f>
        <v>1.3950566087383395E-3</v>
      </c>
      <c r="Z47" s="128">
        <f>_xll.qlTenorBasisTenorForwardRate(Z$27,$E47,InterestRatesTrigger)</f>
        <v>1.3997203576731167E-3</v>
      </c>
      <c r="AA47" s="128">
        <f>_xll.qlTenorBasisTenorForwardRate(AA$27,$E47,InterestRatesTrigger)</f>
        <v>1.3884365427936139E-3</v>
      </c>
      <c r="AB47" s="139">
        <f>_xll.qlTenorBasisTenorForwardRate(AB$27,$E47,InterestRatesTrigger)</f>
        <v>1.3912353694211048E-3</v>
      </c>
      <c r="AC47" s="139">
        <f>'12MSynthDepo_used'!AA26</f>
        <v>1.4028377131147243E-3</v>
      </c>
      <c r="BC47" s="178">
        <f>_xll.qlCalendarAdvance(Calendar,BC46,"1d","mf",,Trigger)</f>
        <v>42338</v>
      </c>
      <c r="BD47" s="41">
        <f>_xll.qlDayCounterYearFraction(DayCounter,SettlementDate,BC47,,,Trigger)</f>
        <v>0.16388888888888889</v>
      </c>
      <c r="BE47" s="47">
        <f>_xll.qlPolynomialFunctionValue(BE$1,$BD47,AllTriggers)</f>
        <v>2.9458375584284582E-3</v>
      </c>
      <c r="BF47" s="47">
        <f>_xll.qlPolynomialFunctionValue(BF$1,$BD47,AllTriggers)</f>
        <v>2.9561423323931071E-3</v>
      </c>
      <c r="BG47" s="47">
        <f>_xll.qlPolynomialFunctionValue(BG$1,$BD47,AllTriggers)</f>
        <v>2.9273234172753487E-3</v>
      </c>
      <c r="BH47" s="47">
        <f>_xll.qlPolynomialFunctionValue(BH$1,$BD47,AllTriggers)</f>
        <v>2.9601164691350971E-3</v>
      </c>
      <c r="BI47" s="47">
        <f>_xll.qlPolynomialFunctionValue(BI$1,$BD47,AllTriggers)</f>
        <v>2.9429717901453228E-3</v>
      </c>
      <c r="BJ47" s="47">
        <f>_xll.qlPolynomialFunctionValue(BJ$1,$BD47,AllTriggers)</f>
        <v>2.9506548000029966E-3</v>
      </c>
      <c r="BK47" s="47">
        <f>_xll.qlPolynomialFunctionValue(BK$1,$BD47,AllTriggers)</f>
        <v>2.9284357606072309E-3</v>
      </c>
      <c r="BL47" s="47">
        <f>_xll.qlPolynomialFunctionValue(BL$1,$BD47,AllTriggers)</f>
        <v>2.9622920951429647E-3</v>
      </c>
      <c r="BM47" s="47">
        <f>_xll.qlPolynomialFunctionValue(BM$1,$BD47,AllTriggers)</f>
        <v>2.9119883584326381E-3</v>
      </c>
      <c r="BN47" s="47">
        <f>_xll.qlPolynomialFunctionValue(BN$1,$BD47,AllTriggers)</f>
        <v>2.940326011685077E-3</v>
      </c>
      <c r="BO47" s="47">
        <f>_xll.qlPolynomialFunctionValue(BO$1,$BD47,AllTriggers)</f>
        <v>2.8998753202074423E-3</v>
      </c>
      <c r="BP47" s="47">
        <f>_xll.qlPolynomialFunctionValue(BP$1,$BD47,AllTriggers)</f>
        <v>2.911418029968563E-3</v>
      </c>
      <c r="BQ47" s="47">
        <f>_xll.qlPolynomialFunctionValue('12MSynthDepo_used'!$P$18,BD47,AllTriggers)</f>
        <v>2.9220385789526537E-3</v>
      </c>
    </row>
    <row r="48" spans="3:69" x14ac:dyDescent="0.2">
      <c r="C48" s="19">
        <v>0</v>
      </c>
      <c r="D48" s="48" t="s">
        <v>34</v>
      </c>
      <c r="E48" s="177">
        <f>_xll.qlCalendarAdvance(Calendar,SettlementDate,C48&amp;"M","mf",TRUE,Trigger)</f>
        <v>42279</v>
      </c>
      <c r="F48" s="251">
        <f>_xll.qlCalendarAdvance(Calendar,SettlementDate,D48,"mf",TRUE,Trigger)</f>
        <v>42555</v>
      </c>
      <c r="G48" s="138">
        <f>_xll.qlTenorBasisForwardRate2(G$27,$E48,$F48,InterestRatesTrigger)</f>
        <v>1.3664853410098332E-3</v>
      </c>
      <c r="H48" s="128">
        <f>_xll.qlTenorBasisTenorForwardRate(H$27,$E48,InterestRatesTrigger)</f>
        <v>1.4028377131147243E-3</v>
      </c>
      <c r="S48" s="128">
        <f>_xll.qlTenorBasisTenorForwardRate(S$27,$E48,InterestRatesTrigger)</f>
        <v>1.399146791084201E-3</v>
      </c>
      <c r="T48" s="139">
        <f>_xll.qlTenorBasisTenorForwardRate(T$27,$E48,InterestRatesTrigger)</f>
        <v>1.4033466923317895E-3</v>
      </c>
      <c r="U48" s="138">
        <f>_xll.qlTenorBasisTenorForwardRate(U$27,$E48,InterestRatesTrigger)</f>
        <v>1.4033580683698538E-3</v>
      </c>
      <c r="V48" s="128">
        <f>_xll.qlTenorBasisTenorForwardRate(V$27,$E48,InterestRatesTrigger)</f>
        <v>1.4033580683698599E-3</v>
      </c>
      <c r="W48" s="128">
        <f>_xll.qlTenorBasisTenorForwardRate(W$27,$E48,InterestRatesTrigger)</f>
        <v>1.4004977528800976E-3</v>
      </c>
      <c r="X48" s="139">
        <f>_xll.qlTenorBasisTenorForwardRate(X$27,$E48,InterestRatesTrigger)</f>
        <v>1.40485616803811E-3</v>
      </c>
      <c r="Y48" s="138">
        <f>_xll.qlTenorBasisTenorForwardRate(Y$27,$E48,InterestRatesTrigger)</f>
        <v>1.3950566087383395E-3</v>
      </c>
      <c r="Z48" s="128">
        <f>_xll.qlTenorBasisTenorForwardRate(Z$27,$E48,InterestRatesTrigger)</f>
        <v>1.3997203576731167E-3</v>
      </c>
      <c r="AA48" s="128">
        <f>_xll.qlTenorBasisTenorForwardRate(AA$27,$E48,InterestRatesTrigger)</f>
        <v>1.3884365427936139E-3</v>
      </c>
      <c r="AB48" s="139">
        <f>_xll.qlTenorBasisTenorForwardRate(AB$27,$E48,InterestRatesTrigger)</f>
        <v>1.3912353694211048E-3</v>
      </c>
      <c r="AC48" s="139">
        <f>'12MSynthDepo_used'!AA27</f>
        <v>1.4028377131147243E-3</v>
      </c>
      <c r="BC48" s="178">
        <f>_xll.qlCalendarAdvance(Calendar,BC47,"1d","mf",,Trigger)</f>
        <v>42339</v>
      </c>
      <c r="BD48" s="41">
        <f>_xll.qlDayCounterYearFraction(DayCounter,SettlementDate,BC48,,,Trigger)</f>
        <v>0.16666666666666666</v>
      </c>
      <c r="BE48" s="47">
        <f>_xll.qlPolynomialFunctionValue(BE$1,$BD48,AllTriggers)</f>
        <v>2.9473175732788442E-3</v>
      </c>
      <c r="BF48" s="47">
        <f>_xll.qlPolynomialFunctionValue(BF$1,$BD48,AllTriggers)</f>
        <v>2.957268961091635E-3</v>
      </c>
      <c r="BG48" s="47">
        <f>_xll.qlPolynomialFunctionValue(BG$1,$BD48,AllTriggers)</f>
        <v>2.9289224941267196E-3</v>
      </c>
      <c r="BH48" s="47">
        <f>_xll.qlPolynomialFunctionValue(BH$1,$BD48,AllTriggers)</f>
        <v>2.9611779470965056E-3</v>
      </c>
      <c r="BI48" s="47">
        <f>_xll.qlPolynomialFunctionValue(BI$1,$BD48,AllTriggers)</f>
        <v>2.9444790027751328E-3</v>
      </c>
      <c r="BJ48" s="47">
        <f>_xll.qlPolynomialFunctionValue(BJ$1,$BD48,AllTriggers)</f>
        <v>2.9518905005593908E-3</v>
      </c>
      <c r="BK48" s="47">
        <f>_xll.qlPolynomialFunctionValue(BK$1,$BD48,AllTriggers)</f>
        <v>2.9300367540727704E-3</v>
      </c>
      <c r="BL48" s="47">
        <f>_xll.qlPolynomialFunctionValue(BL$1,$BD48,AllTriggers)</f>
        <v>2.9633364723338192E-3</v>
      </c>
      <c r="BM48" s="47">
        <f>_xll.qlPolynomialFunctionValue(BM$1,$BD48,AllTriggers)</f>
        <v>2.9136777555771563E-3</v>
      </c>
      <c r="BN48" s="47">
        <f>_xll.qlPolynomialFunctionValue(BN$1,$BD48,AllTriggers)</f>
        <v>2.9416789458140435E-3</v>
      </c>
      <c r="BO48" s="47">
        <f>_xll.qlPolynomialFunctionValue(BO$1,$BD48,AllTriggers)</f>
        <v>2.9016088376112412E-3</v>
      </c>
      <c r="BP48" s="47">
        <f>_xll.qlPolynomialFunctionValue(BP$1,$BD48,AllTriggers)</f>
        <v>2.9130338735111555E-3</v>
      </c>
      <c r="BQ48" s="47">
        <f>_xll.qlPolynomialFunctionValue('12MSynthDepo_used'!$P$18,BD48,AllTriggers)</f>
        <v>2.9236339743053627E-3</v>
      </c>
    </row>
    <row r="49" spans="3:69" x14ac:dyDescent="0.2">
      <c r="C49" s="19">
        <v>0</v>
      </c>
      <c r="D49" s="48" t="s">
        <v>35</v>
      </c>
      <c r="E49" s="177">
        <f>_xll.qlCalendarAdvance(Calendar,SettlementDate,C49&amp;"M","mf",TRUE,Trigger)</f>
        <v>42279</v>
      </c>
      <c r="F49" s="251">
        <f>_xll.qlCalendarAdvance(Calendar,SettlementDate,D49,"mf",TRUE,Trigger)</f>
        <v>42584</v>
      </c>
      <c r="G49" s="138">
        <f>_xll.qlTenorBasisForwardRate2(G$27,$E49,$F49,InterestRatesTrigger)</f>
        <v>1.3602491168069194E-3</v>
      </c>
      <c r="H49" s="128">
        <f>_xll.qlTenorBasisTenorForwardRate(H$27,$E49,InterestRatesTrigger)</f>
        <v>1.4028377131147243E-3</v>
      </c>
      <c r="S49" s="128">
        <f>_xll.qlTenorBasisTenorForwardRate(S$27,$E49,InterestRatesTrigger)</f>
        <v>1.399146791084201E-3</v>
      </c>
      <c r="T49" s="139">
        <f>_xll.qlTenorBasisTenorForwardRate(T$27,$E49,InterestRatesTrigger)</f>
        <v>1.4033466923317895E-3</v>
      </c>
      <c r="U49" s="138">
        <f>_xll.qlTenorBasisTenorForwardRate(U$27,$E49,InterestRatesTrigger)</f>
        <v>1.4033580683698538E-3</v>
      </c>
      <c r="V49" s="128">
        <f>_xll.qlTenorBasisTenorForwardRate(V$27,$E49,InterestRatesTrigger)</f>
        <v>1.4033580683698599E-3</v>
      </c>
      <c r="W49" s="128">
        <f>_xll.qlTenorBasisTenorForwardRate(W$27,$E49,InterestRatesTrigger)</f>
        <v>1.4004977528800976E-3</v>
      </c>
      <c r="X49" s="139">
        <f>_xll.qlTenorBasisTenorForwardRate(X$27,$E49,InterestRatesTrigger)</f>
        <v>1.40485616803811E-3</v>
      </c>
      <c r="Y49" s="138">
        <f>_xll.qlTenorBasisTenorForwardRate(Y$27,$E49,InterestRatesTrigger)</f>
        <v>1.3950566087383395E-3</v>
      </c>
      <c r="Z49" s="128">
        <f>_xll.qlTenorBasisTenorForwardRate(Z$27,$E49,InterestRatesTrigger)</f>
        <v>1.3997203576731167E-3</v>
      </c>
      <c r="AA49" s="128">
        <f>_xll.qlTenorBasisTenorForwardRate(AA$27,$E49,InterestRatesTrigger)</f>
        <v>1.3884365427936139E-3</v>
      </c>
      <c r="AB49" s="139">
        <f>_xll.qlTenorBasisTenorForwardRate(AB$27,$E49,InterestRatesTrigger)</f>
        <v>1.3912353694211048E-3</v>
      </c>
      <c r="AC49" s="139">
        <f>'12MSynthDepo_used'!AA28</f>
        <v>1.4028377131147243E-3</v>
      </c>
      <c r="BC49" s="178">
        <f>_xll.qlCalendarAdvance(Calendar,BC48,"1d","mf",,Trigger)</f>
        <v>42340</v>
      </c>
      <c r="BD49" s="41">
        <f>_xll.qlDayCounterYearFraction(DayCounter,SettlementDate,BC49,,,Trigger)</f>
        <v>0.16944444444444445</v>
      </c>
      <c r="BE49" s="47">
        <f>_xll.qlPolynomialFunctionValue(BE$1,$BD49,AllTriggers)</f>
        <v>2.9487975881292306E-3</v>
      </c>
      <c r="BF49" s="47">
        <f>_xll.qlPolynomialFunctionValue(BF$1,$BD49,AllTriggers)</f>
        <v>2.9583981230242259E-3</v>
      </c>
      <c r="BG49" s="47">
        <f>_xll.qlPolynomialFunctionValue(BG$1,$BD49,AllTriggers)</f>
        <v>2.9305215709780905E-3</v>
      </c>
      <c r="BH49" s="47">
        <f>_xll.qlPolynomialFunctionValue(BH$1,$BD49,AllTriggers)</f>
        <v>2.9622423076256887E-3</v>
      </c>
      <c r="BI49" s="47">
        <f>_xll.qlPolynomialFunctionValue(BI$1,$BD49,AllTriggers)</f>
        <v>2.9459862154049428E-3</v>
      </c>
      <c r="BJ49" s="47">
        <f>_xll.qlPolynomialFunctionValue(BJ$1,$BD49,AllTriggers)</f>
        <v>2.9531281650561569E-3</v>
      </c>
      <c r="BK49" s="47">
        <f>_xll.qlPolynomialFunctionValue(BK$1,$BD49,AllTriggers)</f>
        <v>2.9316377475383103E-3</v>
      </c>
      <c r="BL49" s="47">
        <f>_xll.qlPolynomialFunctionValue(BL$1,$BD49,AllTriggers)</f>
        <v>2.9643838420852909E-3</v>
      </c>
      <c r="BM49" s="47">
        <f>_xll.qlPolynomialFunctionValue(BM$1,$BD49,AllTriggers)</f>
        <v>2.9153671527216742E-3</v>
      </c>
      <c r="BN49" s="47">
        <f>_xll.qlPolynomialFunctionValue(BN$1,$BD49,AllTriggers)</f>
        <v>2.9430332495561868E-3</v>
      </c>
      <c r="BO49" s="47">
        <f>_xll.qlPolynomialFunctionValue(BO$1,$BD49,AllTriggers)</f>
        <v>2.9033423550150405E-3</v>
      </c>
      <c r="BP49" s="47">
        <f>_xll.qlPolynomialFunctionValue(BP$1,$BD49,AllTriggers)</f>
        <v>2.9146501611552211E-3</v>
      </c>
      <c r="BQ49" s="47">
        <f>_xll.qlPolynomialFunctionValue('12MSynthDepo_used'!$P$18,BD49,AllTriggers)</f>
        <v>2.9252304292357641E-3</v>
      </c>
    </row>
    <row r="50" spans="3:69" x14ac:dyDescent="0.2">
      <c r="C50" s="19">
        <v>0</v>
      </c>
      <c r="D50" s="48" t="s">
        <v>36</v>
      </c>
      <c r="E50" s="177">
        <f>_xll.qlCalendarAdvance(Calendar,SettlementDate,C50&amp;"M","mf",TRUE,Trigger)</f>
        <v>42279</v>
      </c>
      <c r="F50" s="251">
        <f>_xll.qlCalendarAdvance(Calendar,SettlementDate,D50,"mf",TRUE,Trigger)</f>
        <v>42615</v>
      </c>
      <c r="G50" s="138">
        <f>_xll.qlTenorBasisForwardRate2(G$27,$E50,$F50,InterestRatesTrigger)</f>
        <v>1.357054788014527E-3</v>
      </c>
      <c r="H50" s="128">
        <f>_xll.qlTenorBasisTenorForwardRate(H$27,$E50,InterestRatesTrigger)</f>
        <v>1.4028377131147243E-3</v>
      </c>
      <c r="S50" s="128">
        <f>_xll.qlTenorBasisTenorForwardRate(S$27,$E50,InterestRatesTrigger)</f>
        <v>1.399146791084201E-3</v>
      </c>
      <c r="T50" s="139">
        <f>_xll.qlTenorBasisTenorForwardRate(T$27,$E50,InterestRatesTrigger)</f>
        <v>1.4033466923317895E-3</v>
      </c>
      <c r="U50" s="138">
        <f>_xll.qlTenorBasisTenorForwardRate(U$27,$E50,InterestRatesTrigger)</f>
        <v>1.4033580683698538E-3</v>
      </c>
      <c r="V50" s="128">
        <f>_xll.qlTenorBasisTenorForwardRate(V$27,$E50,InterestRatesTrigger)</f>
        <v>1.4033580683698599E-3</v>
      </c>
      <c r="W50" s="128">
        <f>_xll.qlTenorBasisTenorForwardRate(W$27,$E50,InterestRatesTrigger)</f>
        <v>1.4004977528800976E-3</v>
      </c>
      <c r="X50" s="139">
        <f>_xll.qlTenorBasisTenorForwardRate(X$27,$E50,InterestRatesTrigger)</f>
        <v>1.40485616803811E-3</v>
      </c>
      <c r="Y50" s="138">
        <f>_xll.qlTenorBasisTenorForwardRate(Y$27,$E50,InterestRatesTrigger)</f>
        <v>1.3950566087383395E-3</v>
      </c>
      <c r="Z50" s="128">
        <f>_xll.qlTenorBasisTenorForwardRate(Z$27,$E50,InterestRatesTrigger)</f>
        <v>1.3997203576731167E-3</v>
      </c>
      <c r="AA50" s="128">
        <f>_xll.qlTenorBasisTenorForwardRate(AA$27,$E50,InterestRatesTrigger)</f>
        <v>1.3884365427936139E-3</v>
      </c>
      <c r="AB50" s="139">
        <f>_xll.qlTenorBasisTenorForwardRate(AB$27,$E50,InterestRatesTrigger)</f>
        <v>1.3912353694211048E-3</v>
      </c>
      <c r="AC50" s="139">
        <f>'12MSynthDepo_used'!AA29</f>
        <v>1.4028377131147243E-3</v>
      </c>
      <c r="AD50" s="132" t="str">
        <f>"Fixing "&amp;DAY(_xll.qlInterestRateIndexFixingDate($D$25,'6MSynthDepo_used'!G4))&amp;"/"&amp;MONTH(_xll.qlInterestRateIndexFixingDate($D$25,'6MSynthDepo_used'!G4))</f>
        <v>Fixing 30/9</v>
      </c>
      <c r="BC50" s="178">
        <f>_xll.qlCalendarAdvance(Calendar,BC49,"1d","mf",,Trigger)</f>
        <v>42341</v>
      </c>
      <c r="BD50" s="41">
        <f>_xll.qlDayCounterYearFraction(DayCounter,SettlementDate,BC50,,,Trigger)</f>
        <v>0.17222222222222222</v>
      </c>
      <c r="BE50" s="47">
        <f>_xll.qlPolynomialFunctionValue(BE$1,$BD50,AllTriggers)</f>
        <v>2.9502776029796166E-3</v>
      </c>
      <c r="BF50" s="47">
        <f>_xll.qlPolynomialFunctionValue(BF$1,$BD50,AllTriggers)</f>
        <v>2.9595298181908803E-3</v>
      </c>
      <c r="BG50" s="47">
        <f>_xll.qlPolynomialFunctionValue(BG$1,$BD50,AllTriggers)</f>
        <v>2.9321206478294614E-3</v>
      </c>
      <c r="BH50" s="47">
        <f>_xll.qlPolynomialFunctionValue(BH$1,$BD50,AllTriggers)</f>
        <v>2.9633095507226462E-3</v>
      </c>
      <c r="BI50" s="47">
        <f>_xll.qlPolynomialFunctionValue(BI$1,$BD50,AllTriggers)</f>
        <v>2.9474934280347529E-3</v>
      </c>
      <c r="BJ50" s="47">
        <f>_xll.qlPolynomialFunctionValue(BJ$1,$BD50,AllTriggers)</f>
        <v>2.9543677934932952E-3</v>
      </c>
      <c r="BK50" s="47">
        <f>_xll.qlPolynomialFunctionValue(BK$1,$BD50,AllTriggers)</f>
        <v>2.9332387410038498E-3</v>
      </c>
      <c r="BL50" s="47">
        <f>_xll.qlPolynomialFunctionValue(BL$1,$BD50,AllTriggers)</f>
        <v>2.9654342043973787E-3</v>
      </c>
      <c r="BM50" s="47">
        <f>_xll.qlPolynomialFunctionValue(BM$1,$BD50,AllTriggers)</f>
        <v>2.9170565498661924E-3</v>
      </c>
      <c r="BN50" s="47">
        <f>_xll.qlPolynomialFunctionValue(BN$1,$BD50,AllTriggers)</f>
        <v>2.9443889229115068E-3</v>
      </c>
      <c r="BO50" s="47">
        <f>_xll.qlPolynomialFunctionValue(BO$1,$BD50,AllTriggers)</f>
        <v>2.9050758724188394E-3</v>
      </c>
      <c r="BP50" s="47">
        <f>_xll.qlPolynomialFunctionValue(BP$1,$BD50,AllTriggers)</f>
        <v>2.9162668929007601E-3</v>
      </c>
      <c r="BQ50" s="47">
        <f>_xll.qlPolynomialFunctionValue('12MSynthDepo_used'!$P$18,BD50,AllTriggers)</f>
        <v>2.9268279391180896E-3</v>
      </c>
    </row>
    <row r="51" spans="3:69" ht="12" thickBot="1" x14ac:dyDescent="0.25">
      <c r="C51" s="19">
        <v>0</v>
      </c>
      <c r="D51" s="162" t="s">
        <v>37</v>
      </c>
      <c r="E51" s="185">
        <f>_xll.qlCalendarAdvance(Calendar,SettlementDate,C51&amp;"M","mf",TRUE,Trigger)</f>
        <v>42279</v>
      </c>
      <c r="F51" s="252">
        <f>_xll.qlCalendarAdvance(Calendar,SettlementDate,D51,"mf",TRUE,Trigger)</f>
        <v>42646</v>
      </c>
      <c r="G51" s="284">
        <f>_xll.qlTenorBasisForwardRate2(G$27,$E51,$F51,InterestRatesTrigger)</f>
        <v>1.3557037541367602E-3</v>
      </c>
      <c r="H51" s="285">
        <f>_xll.qlTenorBasisTenorForwardRate(H$27,$E51,InterestRatesTrigger)</f>
        <v>1.4028377131147243E-3</v>
      </c>
      <c r="I51" s="286"/>
      <c r="J51" s="286"/>
      <c r="K51" s="286"/>
      <c r="L51" s="286"/>
      <c r="M51" s="286"/>
      <c r="N51" s="286"/>
      <c r="O51" s="286"/>
      <c r="P51" s="286"/>
      <c r="Q51" s="286"/>
      <c r="R51" s="286"/>
      <c r="S51" s="285">
        <f>_xll.qlTenorBasisTenorForwardRate(S$27,$E51,InterestRatesTrigger)</f>
        <v>1.399146791084201E-3</v>
      </c>
      <c r="T51" s="287">
        <f>_xll.qlTenorBasisTenorForwardRate(T$27,$E51,InterestRatesTrigger)</f>
        <v>1.4033466923317895E-3</v>
      </c>
      <c r="U51" s="284">
        <f>_xll.qlTenorBasisTenorForwardRate(U$27,$E51,InterestRatesTrigger)</f>
        <v>1.4033580683698538E-3</v>
      </c>
      <c r="V51" s="285">
        <f>_xll.qlTenorBasisTenorForwardRate(V$27,$E51,InterestRatesTrigger)</f>
        <v>1.4033580683698599E-3</v>
      </c>
      <c r="W51" s="285">
        <f>_xll.qlTenorBasisTenorForwardRate(W$27,$E51,InterestRatesTrigger)</f>
        <v>1.4004977528800976E-3</v>
      </c>
      <c r="X51" s="287">
        <f>_xll.qlTenorBasisTenorForwardRate(X$27,$E51,InterestRatesTrigger)</f>
        <v>1.40485616803811E-3</v>
      </c>
      <c r="Y51" s="284">
        <f>_xll.qlTenorBasisTenorForwardRate(Y$27,$E51,InterestRatesTrigger)</f>
        <v>1.3950566087383395E-3</v>
      </c>
      <c r="Z51" s="285">
        <f>_xll.qlTenorBasisTenorForwardRate(Z$27,$E51,InterestRatesTrigger)</f>
        <v>1.3997203576731167E-3</v>
      </c>
      <c r="AA51" s="285">
        <f>_xll.qlTenorBasisTenorForwardRate(AA$27,$E51,InterestRatesTrigger)</f>
        <v>1.3884365427936139E-3</v>
      </c>
      <c r="AB51" s="287">
        <f>_xll.qlTenorBasisTenorForwardRate(AB$27,$E51,InterestRatesTrigger)</f>
        <v>1.3912353694211048E-3</v>
      </c>
      <c r="AC51" s="287">
        <f>'12MSynthDepo_used'!AA30</f>
        <v>1.4028377131147243E-3</v>
      </c>
      <c r="AD51" s="144">
        <f>'12MSynthDepo_used'!I4</f>
        <v>1.4199999999999998E-3</v>
      </c>
      <c r="BC51" s="178">
        <f>_xll.qlCalendarAdvance(Calendar,BC50,"1d","mf",,Trigger)</f>
        <v>42342</v>
      </c>
      <c r="BD51" s="41">
        <f>_xll.qlDayCounterYearFraction(DayCounter,SettlementDate,BC51,,,Trigger)</f>
        <v>0.17499999999999999</v>
      </c>
      <c r="BE51" s="47">
        <f>_xll.qlPolynomialFunctionValue(BE$1,$BD51,AllTriggers)</f>
        <v>2.951757617830003E-3</v>
      </c>
      <c r="BF51" s="47">
        <f>_xll.qlPolynomialFunctionValue(BF$1,$BD51,AllTriggers)</f>
        <v>2.9606640465915986E-3</v>
      </c>
      <c r="BG51" s="47">
        <f>_xll.qlPolynomialFunctionValue(BG$1,$BD51,AllTriggers)</f>
        <v>2.9337197246808323E-3</v>
      </c>
      <c r="BH51" s="47">
        <f>_xll.qlPolynomialFunctionValue(BH$1,$BD51,AllTriggers)</f>
        <v>2.9643796763873785E-3</v>
      </c>
      <c r="BI51" s="47">
        <f>_xll.qlPolynomialFunctionValue(BI$1,$BD51,AllTriggers)</f>
        <v>2.9490006406645629E-3</v>
      </c>
      <c r="BJ51" s="47">
        <f>_xll.qlPolynomialFunctionValue(BJ$1,$BD51,AllTriggers)</f>
        <v>2.9556093858708046E-3</v>
      </c>
      <c r="BK51" s="47">
        <f>_xll.qlPolynomialFunctionValue(BK$1,$BD51,AllTriggers)</f>
        <v>2.9348397344693892E-3</v>
      </c>
      <c r="BL51" s="47">
        <f>_xll.qlPolynomialFunctionValue(BL$1,$BD51,AllTriggers)</f>
        <v>2.9664875592700837E-3</v>
      </c>
      <c r="BM51" s="47">
        <f>_xll.qlPolynomialFunctionValue(BM$1,$BD51,AllTriggers)</f>
        <v>2.9187459470107107E-3</v>
      </c>
      <c r="BN51" s="47">
        <f>_xll.qlPolynomialFunctionValue(BN$1,$BD51,AllTriggers)</f>
        <v>2.9457459658800041E-3</v>
      </c>
      <c r="BO51" s="47">
        <f>_xll.qlPolynomialFunctionValue(BO$1,$BD51,AllTriggers)</f>
        <v>2.9068093898226388E-3</v>
      </c>
      <c r="BP51" s="47">
        <f>_xll.qlPolynomialFunctionValue(BP$1,$BD51,AllTriggers)</f>
        <v>2.9178840687477726E-3</v>
      </c>
      <c r="BQ51" s="47">
        <f>_xll.qlPolynomialFunctionValue('12MSynthDepo_used'!$P$18,BD51,AllTriggers)</f>
        <v>2.9284264993265732E-3</v>
      </c>
    </row>
    <row r="52" spans="3:69" x14ac:dyDescent="0.2">
      <c r="C52" s="19">
        <v>1</v>
      </c>
      <c r="D52" s="48" t="str">
        <f t="shared" ref="D52:D63" si="20">C52+SUBSTITUTE($D$24,"M","")&amp;"M"</f>
        <v>13M</v>
      </c>
      <c r="E52" s="177">
        <f>_xll.qlCalendarAdvance(Calendar,SettlementDate,C52&amp;"M","mf",TRUE,Trigger)</f>
        <v>42310</v>
      </c>
      <c r="F52" s="251">
        <f>_xll.qlInterestRateIndexMaturity($D$25,E52,Trigger)</f>
        <v>42676</v>
      </c>
      <c r="G52" s="155">
        <f>_xll.qlTenorBasisForwardRate2(G$27,$E52,$F52,InterestRatesTrigger)</f>
        <v>1.3508057426904908E-3</v>
      </c>
      <c r="H52" s="47">
        <f>_xll.qlTenorBasisTenorForwardRate(H$27,$E52,InterestRatesTrigger)</f>
        <v>1.3993550547246973E-3</v>
      </c>
      <c r="S52" s="47">
        <f>_xll.qlTenorBasisTenorForwardRate(S$27,$E52,InterestRatesTrigger)</f>
        <v>1.3993209399672253E-3</v>
      </c>
      <c r="T52" s="154">
        <f>_xll.qlTenorBasisTenorForwardRate(T$27,$E52,InterestRatesTrigger)</f>
        <v>1.3993597591596336E-3</v>
      </c>
      <c r="U52" s="47">
        <f>_xll.qlTenorBasisTenorForwardRate(U$27,$E52,InterestRatesTrigger)</f>
        <v>1.4007234372183065E-3</v>
      </c>
      <c r="V52" s="47">
        <f>_xll.qlTenorBasisTenorForwardRate(V$27,$E52,InterestRatesTrigger)</f>
        <v>1.4007858294885782E-3</v>
      </c>
      <c r="W52" s="47">
        <f>_xll.qlTenorBasisTenorForwardRate(W$27,$E52,InterestRatesTrigger)</f>
        <v>1.4007305028977074E-3</v>
      </c>
      <c r="X52" s="154">
        <f>_xll.qlTenorBasisTenorForwardRate(X$27,$E52,InterestRatesTrigger)</f>
        <v>1.4008148069729481E-3</v>
      </c>
      <c r="Y52" s="155">
        <f>_xll.qlTenorBasisTenorForwardRate(Y$27,$E52,InterestRatesTrigger)</f>
        <v>1.3979923315159523E-3</v>
      </c>
      <c r="Z52" s="47">
        <f>_xll.qlTenorBasisTenorForwardRate(Z$27,$E52,InterestRatesTrigger)</f>
        <v>1.3982014736347085E-3</v>
      </c>
      <c r="AA52" s="47">
        <f>_xll.qlTenorBasisTenorForwardRate(AA$27,$E52,InterestRatesTrigger)</f>
        <v>1.3927212576084179E-3</v>
      </c>
      <c r="AB52" s="47">
        <f>_xll.qlTenorBasisTenorForwardRate(AB$27,$E52,InterestRatesTrigger)</f>
        <v>1.3938134908842153E-3</v>
      </c>
      <c r="AC52" s="154">
        <f>'12MSynthDepo_used'!AA31</f>
        <v>1.405250417093676E-3</v>
      </c>
      <c r="AD52" s="200">
        <f>'12MSynthDepo_used'!I5</f>
        <v>1.3999999999999998E-3</v>
      </c>
      <c r="BC52" s="178">
        <f>_xll.qlCalendarAdvance(Calendar,BC51,"1d","mf",,Trigger)</f>
        <v>42345</v>
      </c>
      <c r="BD52" s="41">
        <f>_xll.qlDayCounterYearFraction(DayCounter,SettlementDate,BC52,,,Trigger)</f>
        <v>0.18333333333333332</v>
      </c>
      <c r="BE52" s="47">
        <f>_xll.qlPolynomialFunctionValue(BE$1,$BD52,AllTriggers)</f>
        <v>2.9561976623811615E-3</v>
      </c>
      <c r="BF52" s="47">
        <f>_xll.qlPolynomialFunctionValue(BF$1,$BD52,AllTriggers)</f>
        <v>2.9640819311981341E-3</v>
      </c>
      <c r="BG52" s="47">
        <f>_xll.qlPolynomialFunctionValue(BG$1,$BD52,AllTriggers)</f>
        <v>2.9385169552349445E-3</v>
      </c>
      <c r="BH52" s="47">
        <f>_xll.qlPolynomialFunctionValue(BH$1,$BD52,AllTriggers)</f>
        <v>2.9676073487882224E-3</v>
      </c>
      <c r="BI52" s="47">
        <f>_xll.qlPolynomialFunctionValue(BI$1,$BD52,AllTriggers)</f>
        <v>2.9535222785539929E-3</v>
      </c>
      <c r="BJ52" s="47">
        <f>_xll.qlPolynomialFunctionValue(BJ$1,$BD52,AllTriggers)</f>
        <v>2.9593459466455644E-3</v>
      </c>
      <c r="BK52" s="47">
        <f>_xll.qlPolynomialFunctionValue(BK$1,$BD52,AllTriggers)</f>
        <v>2.9396427148660081E-3</v>
      </c>
      <c r="BL52" s="47">
        <f>_xll.qlPolynomialFunctionValue(BL$1,$BD52,AllTriggers)</f>
        <v>2.9696655792518971E-3</v>
      </c>
      <c r="BM52" s="47">
        <f>_xll.qlPolynomialFunctionValue(BM$1,$BD52,AllTriggers)</f>
        <v>2.9238141384442654E-3</v>
      </c>
      <c r="BN52" s="47">
        <f>_xll.qlPolynomialFunctionValue(BN$1,$BD52,AllTriggers)</f>
        <v>2.9498253124645565E-3</v>
      </c>
      <c r="BO52" s="47">
        <f>_xll.qlPolynomialFunctionValue(BO$1,$BD52,AllTriggers)</f>
        <v>2.912009942034036E-3</v>
      </c>
      <c r="BP52" s="47">
        <f>_xll.qlPolynomialFunctionValue(BP$1,$BD52,AllTriggers)</f>
        <v>2.9227382608976492E-3</v>
      </c>
      <c r="BQ52" s="47">
        <f>_xll.qlPolynomialFunctionValue('12MSynthDepo_used'!$P$18,BD52,AllTriggers)</f>
        <v>2.9332284356512919E-3</v>
      </c>
    </row>
    <row r="53" spans="3:69" x14ac:dyDescent="0.2">
      <c r="C53" s="19">
        <v>2</v>
      </c>
      <c r="D53" s="48" t="str">
        <f t="shared" si="20"/>
        <v>14M</v>
      </c>
      <c r="E53" s="177">
        <f>_xll.qlCalendarAdvance(Calendar,SettlementDate,C53&amp;"M","mf",TRUE,Trigger)</f>
        <v>42340</v>
      </c>
      <c r="F53" s="251">
        <f>_xll.qlInterestRateIndexMaturity($D$25,E53,Trigger)</f>
        <v>42706</v>
      </c>
      <c r="G53" s="155">
        <f>_xll.qlTenorBasisForwardRate2(G$27,$E53,$F53,InterestRatesTrigger)</f>
        <v>1.3567259976770653E-3</v>
      </c>
      <c r="H53" s="47">
        <f>_xll.qlTenorBasisTenorForwardRate(H$27,$E53,InterestRatesTrigger)</f>
        <v>1.4081740081688856E-3</v>
      </c>
      <c r="S53" s="47">
        <f>_xll.qlTenorBasisTenorForwardRate(S$27,$E53,InterestRatesTrigger)</f>
        <v>1.4094238993908191E-3</v>
      </c>
      <c r="T53" s="154">
        <f>_xll.qlTenorBasisTenorForwardRate(T$27,$E53,InterestRatesTrigger)</f>
        <v>1.4080016478073567E-3</v>
      </c>
      <c r="U53" s="47">
        <f>_xll.qlTenorBasisTenorForwardRate(U$27,$E53,InterestRatesTrigger)</f>
        <v>1.408108222414895E-3</v>
      </c>
      <c r="V53" s="47">
        <f>_xll.qlTenorBasisTenorForwardRate(V$27,$E53,InterestRatesTrigger)</f>
        <v>1.4099791039284514E-3</v>
      </c>
      <c r="W53" s="47">
        <f>_xll.qlTenorBasisTenorForwardRate(W$27,$E53,InterestRatesTrigger)</f>
        <v>1.4108901730967064E-3</v>
      </c>
      <c r="X53" s="154">
        <f>_xll.qlTenorBasisTenorForwardRate(X$27,$E53,InterestRatesTrigger)</f>
        <v>1.4095019284477541E-3</v>
      </c>
      <c r="Y53" s="155">
        <f>_xll.qlTenorBasisTenorForwardRate(Y$27,$E53,InterestRatesTrigger)</f>
        <v>1.4107677818052766E-3</v>
      </c>
      <c r="Z53" s="47">
        <f>_xll.qlTenorBasisTenorForwardRate(Z$27,$E53,InterestRatesTrigger)</f>
        <v>1.4078851111857418E-3</v>
      </c>
      <c r="AA53" s="47">
        <f>_xll.qlTenorBasisTenorForwardRate(AA$27,$E53,InterestRatesTrigger)</f>
        <v>1.4068021840627659E-3</v>
      </c>
      <c r="AB53" s="47">
        <f>_xll.qlTenorBasisTenorForwardRate(AB$27,$E53,InterestRatesTrigger)</f>
        <v>1.4066381715317649E-3</v>
      </c>
      <c r="AC53" s="154">
        <f>'12MSynthDepo_used'!AA32</f>
        <v>1.417829815910869E-3</v>
      </c>
      <c r="AD53" s="200">
        <f>'12MSynthDepo_used'!I6</f>
        <v>1.3999999999999998E-3</v>
      </c>
      <c r="BC53" s="178">
        <f>_xll.qlCalendarAdvance(Calendar,BC52,"1d","mf",,Trigger)</f>
        <v>42346</v>
      </c>
      <c r="BD53" s="41">
        <f>_xll.qlDayCounterYearFraction(DayCounter,SettlementDate,BC53,,,Trigger)</f>
        <v>0.18611111111111112</v>
      </c>
      <c r="BE53" s="47">
        <f>_xll.qlPolynomialFunctionValue(BE$1,$BD53,AllTriggers)</f>
        <v>2.9576776772315475E-3</v>
      </c>
      <c r="BF53" s="47">
        <f>_xll.qlPolynomialFunctionValue(BF$1,$BD53,AllTriggers)</f>
        <v>2.9652262925351064E-3</v>
      </c>
      <c r="BG53" s="47">
        <f>_xll.qlPolynomialFunctionValue(BG$1,$BD53,AllTriggers)</f>
        <v>2.9401160320863154E-3</v>
      </c>
      <c r="BH53" s="47">
        <f>_xll.qlPolynomialFunctionValue(BH$1,$BD53,AllTriggers)</f>
        <v>2.9686890047240528E-3</v>
      </c>
      <c r="BI53" s="47">
        <f>_xll.qlPolynomialFunctionValue(BI$1,$BD53,AllTriggers)</f>
        <v>2.9550294911838029E-3</v>
      </c>
      <c r="BJ53" s="47">
        <f>_xll.qlPolynomialFunctionValue(BJ$1,$BD53,AllTriggers)</f>
        <v>2.9605953947845608E-3</v>
      </c>
      <c r="BK53" s="47">
        <f>_xll.qlPolynomialFunctionValue(BK$1,$BD53,AllTriggers)</f>
        <v>2.9412437083315476E-3</v>
      </c>
      <c r="BL53" s="47">
        <f>_xll.qlPolynomialFunctionValue(BL$1,$BD53,AllTriggers)</f>
        <v>2.9707309043670678E-3</v>
      </c>
      <c r="BM53" s="47">
        <f>_xll.qlPolynomialFunctionValue(BM$1,$BD53,AllTriggers)</f>
        <v>2.9255035355887837E-3</v>
      </c>
      <c r="BN53" s="47">
        <f>_xll.qlPolynomialFunctionValue(BN$1,$BD53,AllTriggers)</f>
        <v>2.9511878338857613E-3</v>
      </c>
      <c r="BO53" s="47">
        <f>_xll.qlPolynomialFunctionValue(BO$1,$BD53,AllTriggers)</f>
        <v>2.9137434594378349E-3</v>
      </c>
      <c r="BP53" s="47">
        <f>_xll.qlPolynomialFunctionValue(BP$1,$BD53,AllTriggers)</f>
        <v>2.9243572131505548E-3</v>
      </c>
      <c r="BQ53" s="47">
        <f>_xll.qlPolynomialFunctionValue('12MSynthDepo_used'!$P$18,BD53,AllTriggers)</f>
        <v>2.93483115090673E-3</v>
      </c>
    </row>
    <row r="54" spans="3:69" x14ac:dyDescent="0.2">
      <c r="C54" s="19">
        <v>3</v>
      </c>
      <c r="D54" s="48" t="str">
        <f t="shared" si="20"/>
        <v>15M</v>
      </c>
      <c r="E54" s="177">
        <f>_xll.qlCalendarAdvance(Calendar,SettlementDate,C54&amp;"M","mf",TRUE,Trigger)</f>
        <v>42373</v>
      </c>
      <c r="F54" s="251">
        <f>_xll.qlInterestRateIndexMaturity($D$25,E54,Trigger)</f>
        <v>42739</v>
      </c>
      <c r="G54" s="155">
        <f>_xll.qlTenorBasisForwardRate2(G$27,$E54,$F54,InterestRatesTrigger)</f>
        <v>1.3606319366281396E-3</v>
      </c>
      <c r="H54" s="47">
        <f>_xll.qlTenorBasisTenorForwardRate(H$27,$E54,InterestRatesTrigger)</f>
        <v>1.4178402627756511E-3</v>
      </c>
      <c r="S54" s="47">
        <f>_xll.qlTenorBasisTenorForwardRate(S$27,$E54,InterestRatesTrigger)</f>
        <v>1.4179409147393302E-3</v>
      </c>
      <c r="T54" s="154">
        <f>_xll.qlTenorBasisTenorForwardRate(T$27,$E54,InterestRatesTrigger)</f>
        <v>1.4178263828407071E-3</v>
      </c>
      <c r="U54" s="47">
        <f>_xll.qlTenorBasisTenorForwardRate(U$27,$E54,InterestRatesTrigger)</f>
        <v>1.4136352461137009E-3</v>
      </c>
      <c r="V54" s="47">
        <f>_xll.qlTenorBasisTenorForwardRate(V$27,$E54,InterestRatesTrigger)</f>
        <v>1.4194814329611658E-3</v>
      </c>
      <c r="W54" s="47">
        <f>_xll.qlTenorBasisTenorForwardRate(W$27,$E54,InterestRatesTrigger)</f>
        <v>1.4194695702981638E-3</v>
      </c>
      <c r="X54" s="154">
        <f>_xll.qlTenorBasisTenorForwardRate(X$27,$E54,InterestRatesTrigger)</f>
        <v>1.4194876460699966E-3</v>
      </c>
      <c r="Y54" s="155">
        <f>_xll.qlTenorBasisTenorForwardRate(Y$27,$E54,InterestRatesTrigger)</f>
        <v>1.4222245371060915E-3</v>
      </c>
      <c r="Z54" s="47">
        <f>_xll.qlTenorBasisTenorForwardRate(Z$27,$E54,InterestRatesTrigger)</f>
        <v>1.4173258467022739E-3</v>
      </c>
      <c r="AA54" s="47">
        <f>_xll.qlTenorBasisTenorForwardRate(AA$27,$E54,InterestRatesTrigger)</f>
        <v>1.4196949631451066E-3</v>
      </c>
      <c r="AB54" s="47">
        <f>_xll.qlTenorBasisTenorForwardRate(AB$27,$E54,InterestRatesTrigger)</f>
        <v>1.4185981625700582E-3</v>
      </c>
      <c r="AC54" s="154">
        <f>'12MSynthDepo_used'!AA33</f>
        <v>1.4292786451476167E-3</v>
      </c>
      <c r="AD54" s="200">
        <f>'12MSynthDepo_used'!I7</f>
        <v>1.4199999999999998E-3</v>
      </c>
      <c r="BC54" s="178">
        <f>_xll.qlCalendarAdvance(Calendar,BC53,"1d","mf",,Trigger)</f>
        <v>42347</v>
      </c>
      <c r="BD54" s="41">
        <f>_xll.qlDayCounterYearFraction(DayCounter,SettlementDate,BC54,,,Trigger)</f>
        <v>0.18888888888888888</v>
      </c>
      <c r="BE54" s="47">
        <f>_xll.qlPolynomialFunctionValue(BE$1,$BD54,AllTriggers)</f>
        <v>2.9591576920819339E-3</v>
      </c>
      <c r="BF54" s="47">
        <f>_xll.qlPolynomialFunctionValue(BF$1,$BD54,AllTriggers)</f>
        <v>2.9663731871061418E-3</v>
      </c>
      <c r="BG54" s="47">
        <f>_xll.qlPolynomialFunctionValue(BG$1,$BD54,AllTriggers)</f>
        <v>2.9417151089376863E-3</v>
      </c>
      <c r="BH54" s="47">
        <f>_xll.qlPolynomialFunctionValue(BH$1,$BD54,AllTriggers)</f>
        <v>2.9697735432276579E-3</v>
      </c>
      <c r="BI54" s="47">
        <f>_xll.qlPolynomialFunctionValue(BI$1,$BD54,AllTriggers)</f>
        <v>2.9565367038136129E-3</v>
      </c>
      <c r="BJ54" s="47">
        <f>_xll.qlPolynomialFunctionValue(BJ$1,$BD54,AllTriggers)</f>
        <v>2.9618468068639296E-3</v>
      </c>
      <c r="BK54" s="47">
        <f>_xll.qlPolynomialFunctionValue(BK$1,$BD54,AllTriggers)</f>
        <v>2.9428447017970875E-3</v>
      </c>
      <c r="BL54" s="47">
        <f>_xll.qlPolynomialFunctionValue(BL$1,$BD54,AllTriggers)</f>
        <v>2.9717992220428557E-3</v>
      </c>
      <c r="BM54" s="47">
        <f>_xll.qlPolynomialFunctionValue(BM$1,$BD54,AllTriggers)</f>
        <v>2.9271929327333015E-3</v>
      </c>
      <c r="BN54" s="47">
        <f>_xll.qlPolynomialFunctionValue(BN$1,$BD54,AllTriggers)</f>
        <v>2.9525517249201429E-3</v>
      </c>
      <c r="BO54" s="47">
        <f>_xll.qlPolynomialFunctionValue(BO$1,$BD54,AllTriggers)</f>
        <v>2.9154769768416338E-3</v>
      </c>
      <c r="BP54" s="47">
        <f>_xll.qlPolynomialFunctionValue(BP$1,$BD54,AllTriggers)</f>
        <v>2.9259766095049333E-3</v>
      </c>
      <c r="BQ54" s="47">
        <f>_xll.qlPolynomialFunctionValue('12MSynthDepo_used'!$P$18,BD54,AllTriggers)</f>
        <v>2.9364348933594887E-3</v>
      </c>
    </row>
    <row r="55" spans="3:69" x14ac:dyDescent="0.2">
      <c r="C55" s="19">
        <v>4</v>
      </c>
      <c r="D55" s="48" t="str">
        <f t="shared" si="20"/>
        <v>16M</v>
      </c>
      <c r="E55" s="177">
        <f>_xll.qlCalendarAdvance(Calendar,SettlementDate,C55&amp;"M","mf",TRUE,Trigger)</f>
        <v>42402</v>
      </c>
      <c r="F55" s="251">
        <f>_xll.qlInterestRateIndexMaturity($D$25,E55,Trigger)</f>
        <v>42768</v>
      </c>
      <c r="G55" s="155">
        <f>_xll.qlTenorBasisForwardRate2(G$27,$E55,$F55,InterestRatesTrigger)</f>
        <v>1.382701176287278E-3</v>
      </c>
      <c r="H55" s="47">
        <f>_xll.qlTenorBasisTenorForwardRate(H$27,$E55,InterestRatesTrigger)</f>
        <v>1.4471269247404196E-3</v>
      </c>
      <c r="S55" s="47">
        <f>_xll.qlTenorBasisTenorForwardRate(S$27,$E55,InterestRatesTrigger)</f>
        <v>1.4440022282975386E-3</v>
      </c>
      <c r="T55" s="154">
        <f>_xll.qlTenorBasisTenorForwardRate(T$27,$E55,InterestRatesTrigger)</f>
        <v>1.4475578212849467E-3</v>
      </c>
      <c r="U55" s="47">
        <f>_xll.qlTenorBasisTenorForwardRate(U$27,$E55,InterestRatesTrigger)</f>
        <v>1.4370689912524713E-3</v>
      </c>
      <c r="V55" s="47">
        <f>_xll.qlTenorBasisTenorForwardRate(V$27,$E55,InterestRatesTrigger)</f>
        <v>1.448126169831563E-3</v>
      </c>
      <c r="W55" s="47">
        <f>_xll.qlTenorBasisTenorForwardRate(W$27,$E55,InterestRatesTrigger)</f>
        <v>1.4455857042725974E-3</v>
      </c>
      <c r="X55" s="154">
        <f>_xll.qlTenorBasisTenorForwardRate(X$27,$E55,InterestRatesTrigger)</f>
        <v>1.4494567470439775E-3</v>
      </c>
      <c r="Y55" s="155">
        <f>_xll.qlTenorBasisTenorForwardRate(Y$27,$E55,InterestRatesTrigger)</f>
        <v>1.4508692585011732E-3</v>
      </c>
      <c r="Z55" s="47">
        <f>_xll.qlTenorBasisTenorForwardRate(Z$27,$E55,InterestRatesTrigger)</f>
        <v>1.4453966938865635E-3</v>
      </c>
      <c r="AA55" s="47">
        <f>_xll.qlTenorBasisTenorForwardRate(AA$27,$E55,InterestRatesTrigger)</f>
        <v>1.4496016448330442E-3</v>
      </c>
      <c r="AB55" s="47">
        <f>_xll.qlTenorBasisTenorForwardRate(AB$27,$E55,InterestRatesTrigger)</f>
        <v>1.4480735052955205E-3</v>
      </c>
      <c r="AC55" s="154">
        <f>'12MSynthDepo_used'!AA34</f>
        <v>1.4579736948128331E-3</v>
      </c>
      <c r="AD55" s="200">
        <f>'12MSynthDepo_used'!I8</f>
        <v>1.4599999999999999E-3</v>
      </c>
      <c r="BC55" s="178">
        <f>_xll.qlCalendarAdvance(Calendar,BC54,"1d","mf",,Trigger)</f>
        <v>42348</v>
      </c>
      <c r="BD55" s="41">
        <f>_xll.qlDayCounterYearFraction(DayCounter,SettlementDate,BC55,,,Trigger)</f>
        <v>0.19166666666666668</v>
      </c>
      <c r="BE55" s="47">
        <f>_xll.qlPolynomialFunctionValue(BE$1,$BD55,AllTriggers)</f>
        <v>2.9606377069323199E-3</v>
      </c>
      <c r="BF55" s="47">
        <f>_xll.qlPolynomialFunctionValue(BF$1,$BD55,AllTriggers)</f>
        <v>2.9675226149112411E-3</v>
      </c>
      <c r="BG55" s="47">
        <f>_xll.qlPolynomialFunctionValue(BG$1,$BD55,AllTriggers)</f>
        <v>2.9433141857890571E-3</v>
      </c>
      <c r="BH55" s="47">
        <f>_xll.qlPolynomialFunctionValue(BH$1,$BD55,AllTriggers)</f>
        <v>2.9708609642990378E-3</v>
      </c>
      <c r="BI55" s="47">
        <f>_xll.qlPolynomialFunctionValue(BI$1,$BD55,AllTriggers)</f>
        <v>2.9580439164434229E-3</v>
      </c>
      <c r="BJ55" s="47">
        <f>_xll.qlPolynomialFunctionValue(BJ$1,$BD55,AllTriggers)</f>
        <v>2.9631001828836698E-3</v>
      </c>
      <c r="BK55" s="47">
        <f>_xll.qlPolynomialFunctionValue(BK$1,$BD55,AllTriggers)</f>
        <v>2.9444456952626269E-3</v>
      </c>
      <c r="BL55" s="47">
        <f>_xll.qlPolynomialFunctionValue(BL$1,$BD55,AllTriggers)</f>
        <v>2.9728705322792592E-3</v>
      </c>
      <c r="BM55" s="47">
        <f>_xll.qlPolynomialFunctionValue(BM$1,$BD55,AllTriggers)</f>
        <v>2.9288823298778198E-3</v>
      </c>
      <c r="BN55" s="47">
        <f>_xll.qlPolynomialFunctionValue(BN$1,$BD55,AllTriggers)</f>
        <v>2.9539169855677017E-3</v>
      </c>
      <c r="BO55" s="47">
        <f>_xll.qlPolynomialFunctionValue(BO$1,$BD55,AllTriggers)</f>
        <v>2.9172104942454332E-3</v>
      </c>
      <c r="BP55" s="47">
        <f>_xll.qlPolynomialFunctionValue(BP$1,$BD55,AllTriggers)</f>
        <v>2.9275964499607858E-3</v>
      </c>
      <c r="BQ55" s="47">
        <f>_xll.qlPolynomialFunctionValue('12MSynthDepo_used'!$P$18,BD55,AllTriggers)</f>
        <v>2.9380396583837997E-3</v>
      </c>
    </row>
    <row r="56" spans="3:69" x14ac:dyDescent="0.2">
      <c r="C56" s="19">
        <v>5</v>
      </c>
      <c r="D56" s="48" t="str">
        <f t="shared" si="20"/>
        <v>17M</v>
      </c>
      <c r="E56" s="177">
        <f>_xll.qlCalendarAdvance(Calendar,SettlementDate,C56&amp;"M","mf",TRUE,Trigger)</f>
        <v>42431</v>
      </c>
      <c r="F56" s="251">
        <f>_xll.qlInterestRateIndexMaturity($D$25,E56,Trigger)</f>
        <v>42796</v>
      </c>
      <c r="G56" s="155">
        <f>_xll.qlTenorBasisForwardRate2(G$27,$E56,$F56,InterestRatesTrigger)</f>
        <v>1.4114113455127716E-3</v>
      </c>
      <c r="H56" s="47">
        <f>_xll.qlTenorBasisTenorForwardRate(H$27,$E56,InterestRatesTrigger)</f>
        <v>1.4858209326551275E-3</v>
      </c>
      <c r="S56" s="47">
        <f>_xll.qlTenorBasisTenorForwardRate(S$27,$E56,InterestRatesTrigger)</f>
        <v>1.4773984066630806E-3</v>
      </c>
      <c r="T56" s="154">
        <f>_xll.qlTenorBasisTenorForwardRate(T$27,$E56,InterestRatesTrigger)</f>
        <v>1.4869824014289753E-3</v>
      </c>
      <c r="U56" s="47">
        <f>_xll.qlTenorBasisTenorForwardRate(U$27,$E56,InterestRatesTrigger)</f>
        <v>1.4678376011985747E-3</v>
      </c>
      <c r="V56" s="47">
        <f>_xll.qlTenorBasisTenorForwardRate(V$27,$E56,InterestRatesTrigger)</f>
        <v>1.4857125039641793E-3</v>
      </c>
      <c r="W56" s="47">
        <f>_xll.qlTenorBasisTenorForwardRate(W$27,$E56,InterestRatesTrigger)</f>
        <v>1.4790367030543641E-3</v>
      </c>
      <c r="X56" s="154">
        <f>_xll.qlTenorBasisTenorForwardRate(X$27,$E56,InterestRatesTrigger)</f>
        <v>1.4892089767008382E-3</v>
      </c>
      <c r="Y56" s="155">
        <f>_xll.qlTenorBasisTenorForwardRate(Y$27,$E56,InterestRatesTrigger)</f>
        <v>1.4868488447035879E-3</v>
      </c>
      <c r="Z56" s="47">
        <f>_xll.qlTenorBasisTenorForwardRate(Z$27,$E56,InterestRatesTrigger)</f>
        <v>1.4819229093179268E-3</v>
      </c>
      <c r="AA56" s="47">
        <f>_xll.qlTenorBasisTenorForwardRate(AA$27,$E56,InterestRatesTrigger)</f>
        <v>1.4868431913283152E-3</v>
      </c>
      <c r="AB56" s="47">
        <f>_xll.qlTenorBasisTenorForwardRate(AB$27,$E56,InterestRatesTrigger)</f>
        <v>1.4852470396689366E-3</v>
      </c>
      <c r="AC56" s="154">
        <f>'12MSynthDepo_used'!AA35</f>
        <v>1.4939439850413826E-3</v>
      </c>
      <c r="AD56" s="200">
        <f>'12MSynthDepo_used'!I9</f>
        <v>1.49E-3</v>
      </c>
      <c r="BC56" s="178">
        <f>_xll.qlCalendarAdvance(Calendar,BC55,"1d","mf",,Trigger)</f>
        <v>42349</v>
      </c>
      <c r="BD56" s="41">
        <f>_xll.qlDayCounterYearFraction(DayCounter,SettlementDate,BC56,,,Trigger)</f>
        <v>0.19444444444444445</v>
      </c>
      <c r="BE56" s="47">
        <f>_xll.qlPolynomialFunctionValue(BE$1,$BD56,AllTriggers)</f>
        <v>2.9621177217827063E-3</v>
      </c>
      <c r="BF56" s="47">
        <f>_xll.qlPolynomialFunctionValue(BF$1,$BD56,AllTriggers)</f>
        <v>2.9686745759504038E-3</v>
      </c>
      <c r="BG56" s="47">
        <f>_xll.qlPolynomialFunctionValue(BG$1,$BD56,AllTriggers)</f>
        <v>2.944913262640428E-3</v>
      </c>
      <c r="BH56" s="47">
        <f>_xll.qlPolynomialFunctionValue(BH$1,$BD56,AllTriggers)</f>
        <v>2.9719512679381921E-3</v>
      </c>
      <c r="BI56" s="47">
        <f>_xll.qlPolynomialFunctionValue(BI$1,$BD56,AllTriggers)</f>
        <v>2.9595511290732329E-3</v>
      </c>
      <c r="BJ56" s="47">
        <f>_xll.qlPolynomialFunctionValue(BJ$1,$BD56,AllTriggers)</f>
        <v>2.9643555228437814E-3</v>
      </c>
      <c r="BK56" s="47">
        <f>_xll.qlPolynomialFunctionValue(BK$1,$BD56,AllTriggers)</f>
        <v>2.9460466887281664E-3</v>
      </c>
      <c r="BL56" s="47">
        <f>_xll.qlPolynomialFunctionValue(BL$1,$BD56,AllTriggers)</f>
        <v>2.9739448350762803E-3</v>
      </c>
      <c r="BM56" s="47">
        <f>_xll.qlPolynomialFunctionValue(BM$1,$BD56,AllTriggers)</f>
        <v>2.930571727022338E-3</v>
      </c>
      <c r="BN56" s="47">
        <f>_xll.qlPolynomialFunctionValue(BN$1,$BD56,AllTriggers)</f>
        <v>2.9552836158284372E-3</v>
      </c>
      <c r="BO56" s="47">
        <f>_xll.qlPolynomialFunctionValue(BO$1,$BD56,AllTriggers)</f>
        <v>2.9189440116492321E-3</v>
      </c>
      <c r="BP56" s="47">
        <f>_xll.qlPolynomialFunctionValue(BP$1,$BD56,AllTriggers)</f>
        <v>2.9292167345181114E-3</v>
      </c>
      <c r="BQ56" s="47">
        <f>_xll.qlPolynomialFunctionValue('12MSynthDepo_used'!$P$18,BD56,AllTriggers)</f>
        <v>2.9396454413538964E-3</v>
      </c>
    </row>
    <row r="57" spans="3:69" x14ac:dyDescent="0.2">
      <c r="C57" s="19">
        <v>6</v>
      </c>
      <c r="D57" s="48" t="str">
        <f t="shared" si="20"/>
        <v>18M</v>
      </c>
      <c r="E57" s="177">
        <f>_xll.qlCalendarAdvance(Calendar,SettlementDate,C57&amp;"M","mf",TRUE,Trigger)</f>
        <v>42464</v>
      </c>
      <c r="F57" s="251">
        <f>_xll.qlInterestRateIndexMaturity($D$25,E57,Trigger)</f>
        <v>42829</v>
      </c>
      <c r="G57" s="155">
        <f>_xll.qlTenorBasisForwardRate2(G$27,$E57,$F57,InterestRatesTrigger)</f>
        <v>1.4552837928408764E-3</v>
      </c>
      <c r="H57" s="47">
        <f>_xll.qlTenorBasisTenorForwardRate(H$27,$E57,InterestRatesTrigger)</f>
        <v>1.5427214680111307E-3</v>
      </c>
      <c r="S57" s="47">
        <f>_xll.qlTenorBasisTenorForwardRate(S$27,$E57,InterestRatesTrigger)</f>
        <v>1.5257493925690977E-3</v>
      </c>
      <c r="T57" s="154">
        <f>_xll.qlTenorBasisTenorForwardRate(T$27,$E57,InterestRatesTrigger)</f>
        <v>1.5450619221304665E-3</v>
      </c>
      <c r="U57" s="47">
        <f>_xll.qlTenorBasisTenorForwardRate(U$27,$E57,InterestRatesTrigger)</f>
        <v>1.5131985954548867E-3</v>
      </c>
      <c r="V57" s="47">
        <f>_xll.qlTenorBasisTenorForwardRate(V$27,$E57,InterestRatesTrigger)</f>
        <v>1.5407860420348107E-3</v>
      </c>
      <c r="W57" s="47">
        <f>_xll.qlTenorBasisTenorForwardRate(W$27,$E57,InterestRatesTrigger)</f>
        <v>1.5274500708133271E-3</v>
      </c>
      <c r="X57" s="154">
        <f>_xll.qlTenorBasisTenorForwardRate(X$27,$E57,InterestRatesTrigger)</f>
        <v>1.5477708009308476E-3</v>
      </c>
      <c r="Y57" s="155">
        <f>_xll.qlTenorBasisTenorForwardRate(Y$27,$E57,InterestRatesTrigger)</f>
        <v>1.5381395705619094E-3</v>
      </c>
      <c r="Z57" s="47">
        <f>_xll.qlTenorBasisTenorForwardRate(Z$27,$E57,InterestRatesTrigger)</f>
        <v>1.5351986520501584E-3</v>
      </c>
      <c r="AA57" s="47">
        <f>_xll.qlTenorBasisTenorForwardRate(AA$27,$E57,InterestRatesTrigger)</f>
        <v>1.5395699409681621E-3</v>
      </c>
      <c r="AB57" s="47">
        <f>_xll.qlTenorBasisTenorForwardRate(AB$27,$E57,InterestRatesTrigger)</f>
        <v>1.5383383502568693E-3</v>
      </c>
      <c r="AC57" s="154">
        <f>'12MSynthDepo_used'!AA36</f>
        <v>1.5450138816195465E-3</v>
      </c>
      <c r="AD57" s="200">
        <f>'12MSynthDepo_used'!I10</f>
        <v>1.5499999999999999E-3</v>
      </c>
      <c r="BC57" s="178">
        <f>_xll.qlCalendarAdvance(Calendar,BC56,"1d","mf",,Trigger)</f>
        <v>42352</v>
      </c>
      <c r="BD57" s="41">
        <f>_xll.qlDayCounterYearFraction(DayCounter,SettlementDate,BC57,,,Trigger)</f>
        <v>0.20277777777777778</v>
      </c>
      <c r="BE57" s="47">
        <f>_xll.qlPolynomialFunctionValue(BE$1,$BD57,AllTriggers)</f>
        <v>2.9665577663338647E-3</v>
      </c>
      <c r="BF57" s="47">
        <f>_xll.qlPolynomialFunctionValue(BF$1,$BD57,AllTriggers)</f>
        <v>2.9721456584722731E-3</v>
      </c>
      <c r="BG57" s="47">
        <f>_xll.qlPolynomialFunctionValue(BG$1,$BD57,AllTriggers)</f>
        <v>2.9497104931945402E-3</v>
      </c>
      <c r="BH57" s="47">
        <f>_xll.qlPolynomialFunctionValue(BH$1,$BD57,AllTriggers)</f>
        <v>2.9752394742623024E-3</v>
      </c>
      <c r="BI57" s="47">
        <f>_xll.qlPolynomialFunctionValue(BI$1,$BD57,AllTriggers)</f>
        <v>2.964072766962663E-3</v>
      </c>
      <c r="BJ57" s="47">
        <f>_xll.qlPolynomialFunctionValue(BJ$1,$BD57,AllTriggers)</f>
        <v>2.9681333263663475E-3</v>
      </c>
      <c r="BK57" s="47">
        <f>_xll.qlPolynomialFunctionValue(BK$1,$BD57,AllTriggers)</f>
        <v>2.9508496691247853E-3</v>
      </c>
      <c r="BL57" s="47">
        <f>_xll.qlPolynomialFunctionValue(BL$1,$BD57,AllTriggers)</f>
        <v>2.9771856988310419E-3</v>
      </c>
      <c r="BM57" s="47">
        <f>_xll.qlPolynomialFunctionValue(BM$1,$BD57,AllTriggers)</f>
        <v>2.9356399184558928E-3</v>
      </c>
      <c r="BN57" s="47">
        <f>_xll.qlPolynomialFunctionValue(BN$1,$BD57,AllTriggers)</f>
        <v>2.9593917242897055E-3</v>
      </c>
      <c r="BO57" s="47">
        <f>_xll.qlPolynomialFunctionValue(BO$1,$BD57,AllTriggers)</f>
        <v>2.9241445638606292E-3</v>
      </c>
      <c r="BP57" s="47">
        <f>_xll.qlPolynomialFunctionValue(BP$1,$BD57,AllTriggers)</f>
        <v>2.9340802527989276E-3</v>
      </c>
      <c r="BQ57" s="47">
        <f>_xll.qlPolynomialFunctionValue('12MSynthDepo_used'!$P$18,BD57,AllTriggers)</f>
        <v>2.9444688516812247E-3</v>
      </c>
    </row>
    <row r="58" spans="3:69" x14ac:dyDescent="0.2">
      <c r="C58" s="19">
        <v>7</v>
      </c>
      <c r="D58" s="48" t="str">
        <f t="shared" si="20"/>
        <v>19M</v>
      </c>
      <c r="E58" s="177">
        <f>_xll.qlCalendarAdvance(Calendar,SettlementDate,C58&amp;"M","mf",TRUE,Trigger)</f>
        <v>42492</v>
      </c>
      <c r="F58" s="251">
        <f>_xll.qlInterestRateIndexMaturity($D$25,E58,Trigger)</f>
        <v>42857</v>
      </c>
      <c r="G58" s="155">
        <f>_xll.qlTenorBasisForwardRate2(G$27,$E58,$F58,InterestRatesTrigger)</f>
        <v>1.5014762748635315E-3</v>
      </c>
      <c r="H58" s="47">
        <f>_xll.qlTenorBasisTenorForwardRate(H$27,$E58,InterestRatesTrigger)</f>
        <v>1.602040332729007E-3</v>
      </c>
      <c r="S58" s="47">
        <f>_xll.qlTenorBasisTenorForwardRate(S$27,$E58,InterestRatesTrigger)</f>
        <v>1.5757095769998266E-3</v>
      </c>
      <c r="T58" s="154">
        <f>_xll.qlTenorBasisTenorForwardRate(T$27,$E58,InterestRatesTrigger)</f>
        <v>1.6056713515706362E-3</v>
      </c>
      <c r="U58" s="47">
        <f>_xll.qlTenorBasisTenorForwardRate(U$27,$E58,InterestRatesTrigger)</f>
        <v>1.5606218172737442E-3</v>
      </c>
      <c r="V58" s="47">
        <f>_xll.qlTenorBasisTenorForwardRate(V$27,$E58,InterestRatesTrigger)</f>
        <v>1.598081779105468E-3</v>
      </c>
      <c r="W58" s="47">
        <f>_xll.qlTenorBasisTenorForwardRate(W$27,$E58,InterestRatesTrigger)</f>
        <v>1.5774631853011012E-3</v>
      </c>
      <c r="X58" s="154">
        <f>_xll.qlTenorBasisTenorForwardRate(X$27,$E58,InterestRatesTrigger)</f>
        <v>1.6088808355901661E-3</v>
      </c>
      <c r="Y58" s="155">
        <f>_xll.qlTenorBasisTenorForwardRate(Y$27,$E58,InterestRatesTrigger)</f>
        <v>1.5905940798006534E-3</v>
      </c>
      <c r="Z58" s="47">
        <f>_xll.qlTenorBasisTenorForwardRate(Z$27,$E58,InterestRatesTrigger)</f>
        <v>1.590475241975157E-3</v>
      </c>
      <c r="AA58" s="47">
        <f>_xll.qlTenorBasisTenorForwardRate(AA$27,$E58,InterestRatesTrigger)</f>
        <v>1.593242894627595E-3</v>
      </c>
      <c r="AB58" s="47">
        <f>_xll.qlTenorBasisTenorForwardRate(AB$27,$E58,InterestRatesTrigger)</f>
        <v>1.5926895714271257E-3</v>
      </c>
      <c r="AC58" s="154">
        <f>'12MSynthDepo_used'!AA37</f>
        <v>1.596991794810335E-3</v>
      </c>
      <c r="AD58" s="200">
        <f>'12MSynthDepo_used'!I11</f>
        <v>1.6099999999999997E-3</v>
      </c>
      <c r="BC58" s="178">
        <f>_xll.qlCalendarAdvance(Calendar,BC57,"1d","mf",,Trigger)</f>
        <v>42353</v>
      </c>
      <c r="BD58" s="41">
        <f>_xll.qlDayCounterYearFraction(DayCounter,SettlementDate,BC58,,,Trigger)</f>
        <v>0.20555555555555555</v>
      </c>
      <c r="BE58" s="47">
        <f>_xll.qlPolynomialFunctionValue(BE$1,$BD58,AllTriggers)</f>
        <v>2.9680377811842507E-3</v>
      </c>
      <c r="BF58" s="47">
        <f>_xll.qlPolynomialFunctionValue(BF$1,$BD58,AllTriggers)</f>
        <v>2.9733077524476893E-3</v>
      </c>
      <c r="BG58" s="47">
        <f>_xll.qlPolynomialFunctionValue(BG$1,$BD58,AllTriggers)</f>
        <v>2.9513095700459111E-3</v>
      </c>
      <c r="BH58" s="47">
        <f>_xll.qlPolynomialFunctionValue(BH$1,$BD58,AllTriggers)</f>
        <v>2.9763413081725556E-3</v>
      </c>
      <c r="BI58" s="47">
        <f>_xll.qlPolynomialFunctionValue(BI$1,$BD58,AllTriggers)</f>
        <v>2.965579979592473E-3</v>
      </c>
      <c r="BJ58" s="47">
        <f>_xll.qlPolynomialFunctionValue(BJ$1,$BD58,AllTriggers)</f>
        <v>2.9693965220879471E-3</v>
      </c>
      <c r="BK58" s="47">
        <f>_xll.qlPolynomialFunctionValue(BK$1,$BD58,AllTriggers)</f>
        <v>2.9524506625903247E-3</v>
      </c>
      <c r="BL58" s="47">
        <f>_xll.qlPolynomialFunctionValue(BL$1,$BD58,AllTriggers)</f>
        <v>2.9782719718705287E-3</v>
      </c>
      <c r="BM58" s="47">
        <f>_xll.qlPolynomialFunctionValue(BM$1,$BD58,AllTriggers)</f>
        <v>2.9373293156004106E-3</v>
      </c>
      <c r="BN58" s="47">
        <f>_xll.qlPolynomialFunctionValue(BN$1,$BD58,AllTriggers)</f>
        <v>2.9607638330031486E-3</v>
      </c>
      <c r="BO58" s="47">
        <f>_xll.qlPolynomialFunctionValue(BO$1,$BD58,AllTriggers)</f>
        <v>2.9258780812644286E-3</v>
      </c>
      <c r="BP58" s="47">
        <f>_xll.qlPolynomialFunctionValue(BP$1,$BD58,AllTriggers)</f>
        <v>2.9357023137621466E-3</v>
      </c>
      <c r="BQ58" s="47">
        <f>_xll.qlPolynomialFunctionValue('12MSynthDepo_used'!$P$18,BD58,AllTriggers)</f>
        <v>2.9460786601767886E-3</v>
      </c>
    </row>
    <row r="59" spans="3:69" x14ac:dyDescent="0.2">
      <c r="C59" s="19">
        <v>8</v>
      </c>
      <c r="D59" s="48" t="str">
        <f t="shared" si="20"/>
        <v>20M</v>
      </c>
      <c r="E59" s="177">
        <f>_xll.qlCalendarAdvance(Calendar,SettlementDate,C59&amp;"M","mf",TRUE,Trigger)</f>
        <v>42523</v>
      </c>
      <c r="F59" s="251">
        <f>_xll.qlInterestRateIndexMaturity($D$25,E59,Trigger)</f>
        <v>42888</v>
      </c>
      <c r="G59" s="155">
        <f>_xll.qlTenorBasisForwardRate2(G$27,$E59,$F59,InterestRatesTrigger)</f>
        <v>1.5624008104468106E-3</v>
      </c>
      <c r="H59" s="47">
        <f>_xll.qlTenorBasisTenorForwardRate(H$27,$E59,InterestRatesTrigger)</f>
        <v>1.6797147897407809E-3</v>
      </c>
      <c r="S59" s="47">
        <f>_xll.qlTenorBasisTenorForwardRate(S$27,$E59,InterestRatesTrigger)</f>
        <v>1.6407690303635715E-3</v>
      </c>
      <c r="T59" s="154">
        <f>_xll.qlTenorBasisTenorForwardRate(T$27,$E59,InterestRatesTrigger)</f>
        <v>1.6850854212393464E-3</v>
      </c>
      <c r="U59" s="47">
        <f>_xll.qlTenorBasisTenorForwardRate(U$27,$E59,InterestRatesTrigger)</f>
        <v>1.622872490602917E-3</v>
      </c>
      <c r="V59" s="47">
        <f>_xll.qlTenorBasisTenorForwardRate(V$27,$E59,InterestRatesTrigger)</f>
        <v>1.6730098915534407E-3</v>
      </c>
      <c r="W59" s="47">
        <f>_xll.qlTenorBasisTenorForwardRate(W$27,$E59,InterestRatesTrigger)</f>
        <v>1.6425812397994311E-3</v>
      </c>
      <c r="X59" s="154">
        <f>_xll.qlTenorBasisTenorForwardRate(X$27,$E59,InterestRatesTrigger)</f>
        <v>1.6889469982331207E-3</v>
      </c>
      <c r="Y59" s="155">
        <f>_xll.qlTenorBasisTenorForwardRate(Y$27,$E59,InterestRatesTrigger)</f>
        <v>1.6584151070589863E-3</v>
      </c>
      <c r="Z59" s="47">
        <f>_xll.qlTenorBasisTenorForwardRate(Z$27,$E59,InterestRatesTrigger)</f>
        <v>1.6626391466179533E-3</v>
      </c>
      <c r="AA59" s="47">
        <f>_xll.qlTenorBasisTenorForwardRate(AA$27,$E59,InterestRatesTrigger)</f>
        <v>1.6624129139231191E-3</v>
      </c>
      <c r="AB59" s="47">
        <f>_xll.qlTenorBasisTenorForwardRate(AB$27,$E59,InterestRatesTrigger)</f>
        <v>1.6630056098901203E-3</v>
      </c>
      <c r="AC59" s="154">
        <f>'12MSynthDepo_used'!AA38</f>
        <v>1.6638509772514073E-3</v>
      </c>
      <c r="AD59" s="200">
        <f>'12MSynthDepo_used'!I12</f>
        <v>1.6699999999999998E-3</v>
      </c>
      <c r="BC59" s="178">
        <f>_xll.qlCalendarAdvance(Calendar,BC58,"1d","mf",,Trigger)</f>
        <v>42354</v>
      </c>
      <c r="BD59" s="41">
        <f>_xll.qlDayCounterYearFraction(DayCounter,SettlementDate,BC59,,,Trigger)</f>
        <v>0.20833333333333334</v>
      </c>
      <c r="BE59" s="47">
        <f>_xll.qlPolynomialFunctionValue(BE$1,$BD59,AllTriggers)</f>
        <v>2.9695177960346372E-3</v>
      </c>
      <c r="BF59" s="47">
        <f>_xll.qlPolynomialFunctionValue(BF$1,$BD59,AllTriggers)</f>
        <v>2.9744723796571696E-3</v>
      </c>
      <c r="BG59" s="47">
        <f>_xll.qlPolynomialFunctionValue(BG$1,$BD59,AllTriggers)</f>
        <v>2.952908646897282E-3</v>
      </c>
      <c r="BH59" s="47">
        <f>_xll.qlPolynomialFunctionValue(BH$1,$BD59,AllTriggers)</f>
        <v>2.9774460246505827E-3</v>
      </c>
      <c r="BI59" s="47">
        <f>_xll.qlPolynomialFunctionValue(BI$1,$BD59,AllTriggers)</f>
        <v>2.967087192222283E-3</v>
      </c>
      <c r="BJ59" s="47">
        <f>_xll.qlPolynomialFunctionValue(BJ$1,$BD59,AllTriggers)</f>
        <v>2.9706616817499177E-3</v>
      </c>
      <c r="BK59" s="47">
        <f>_xll.qlPolynomialFunctionValue(BK$1,$BD59,AllTriggers)</f>
        <v>2.9540516560558647E-3</v>
      </c>
      <c r="BL59" s="47">
        <f>_xll.qlPolynomialFunctionValue(BL$1,$BD59,AllTriggers)</f>
        <v>2.9793612374706328E-3</v>
      </c>
      <c r="BM59" s="47">
        <f>_xll.qlPolynomialFunctionValue(BM$1,$BD59,AllTriggers)</f>
        <v>2.9390187127449289E-3</v>
      </c>
      <c r="BN59" s="47">
        <f>_xll.qlPolynomialFunctionValue(BN$1,$BD59,AllTriggers)</f>
        <v>2.9621373113297685E-3</v>
      </c>
      <c r="BO59" s="47">
        <f>_xll.qlPolynomialFunctionValue(BO$1,$BD59,AllTriggers)</f>
        <v>2.9276115986682275E-3</v>
      </c>
      <c r="BP59" s="47">
        <f>_xll.qlPolynomialFunctionValue(BP$1,$BD59,AllTriggers)</f>
        <v>2.9373248188268382E-3</v>
      </c>
      <c r="BQ59" s="47">
        <f>_xll.qlPolynomialFunctionValue('12MSynthDepo_used'!$P$18,BD59,AllTriggers)</f>
        <v>2.9476894634893011E-3</v>
      </c>
    </row>
    <row r="60" spans="3:69" x14ac:dyDescent="0.2">
      <c r="C60" s="19">
        <v>9</v>
      </c>
      <c r="D60" s="48" t="str">
        <f t="shared" si="20"/>
        <v>21M</v>
      </c>
      <c r="E60" s="177">
        <f>_xll.qlCalendarAdvance(Calendar,SettlementDate,C60&amp;"M","mf",TRUE,Trigger)</f>
        <v>42555</v>
      </c>
      <c r="F60" s="251">
        <f>_xll.qlInterestRateIndexMaturity($D$25,E60,Trigger)</f>
        <v>42920</v>
      </c>
      <c r="G60" s="155">
        <f>_xll.qlTenorBasisForwardRate2(G$27,$E60,$F60,InterestRatesTrigger)</f>
        <v>1.6376748902932714E-3</v>
      </c>
      <c r="H60" s="47">
        <f>_xll.qlTenorBasisTenorForwardRate(H$27,$E60,InterestRatesTrigger)</f>
        <v>1.7747158700026316E-3</v>
      </c>
      <c r="S60" s="47">
        <f>_xll.qlTenorBasisTenorForwardRate(S$27,$E60,InterestRatesTrigger)</f>
        <v>1.720264151171626E-3</v>
      </c>
      <c r="T60" s="154">
        <f>_xll.qlTenorBasisTenorForwardRate(T$27,$E60,InterestRatesTrigger)</f>
        <v>1.7822247778011002E-3</v>
      </c>
      <c r="U60" s="47">
        <f>_xll.qlTenorBasisTenorForwardRate(U$27,$E60,InterestRatesTrigger)</f>
        <v>1.6994682255688331E-3</v>
      </c>
      <c r="V60" s="47">
        <f>_xll.qlTenorBasisTenorForwardRate(V$27,$E60,InterestRatesTrigger)</f>
        <v>1.7646178016302253E-3</v>
      </c>
      <c r="W60" s="47">
        <f>_xll.qlTenorBasisTenorForwardRate(W$27,$E60,InterestRatesTrigger)</f>
        <v>1.7221368521012515E-3</v>
      </c>
      <c r="X60" s="154">
        <f>_xll.qlTenorBasisTenorForwardRate(X$27,$E60,InterestRatesTrigger)</f>
        <v>1.7868673390060868E-3</v>
      </c>
      <c r="Y60" s="155">
        <f>_xll.qlTenorBasisTenorForwardRate(Y$27,$E60,InterestRatesTrigger)</f>
        <v>1.7407608847904875E-3</v>
      </c>
      <c r="Z60" s="47">
        <f>_xll.qlTenorBasisTenorForwardRate(Z$27,$E60,InterestRatesTrigger)</f>
        <v>1.7508108998646114E-3</v>
      </c>
      <c r="AA60" s="47">
        <f>_xll.qlTenorBasisTenorForwardRate(AA$27,$E60,InterestRatesTrigger)</f>
        <v>1.7461511995639782E-3</v>
      </c>
      <c r="AB60" s="47">
        <f>_xll.qlTenorBasisTenorForwardRate(AB$27,$E60,InterestRatesTrigger)</f>
        <v>1.7483623568462607E-3</v>
      </c>
      <c r="AC60" s="154">
        <f>'12MSynthDepo_used'!AA39</f>
        <v>1.7445896019942335E-3</v>
      </c>
      <c r="AD60" s="200">
        <f>'12MSynthDepo_used'!I13</f>
        <v>1.7499999999999998E-3</v>
      </c>
      <c r="BC60" s="178">
        <f>_xll.qlCalendarAdvance(Calendar,BC59,"1d","mf",,Trigger)</f>
        <v>42355</v>
      </c>
      <c r="BD60" s="41">
        <f>_xll.qlDayCounterYearFraction(DayCounter,SettlementDate,BC60,,,Trigger)</f>
        <v>0.21111111111111111</v>
      </c>
      <c r="BE60" s="47">
        <f>_xll.qlPolynomialFunctionValue(BE$1,$BD60,AllTriggers)</f>
        <v>2.9709978108850232E-3</v>
      </c>
      <c r="BF60" s="47">
        <f>_xll.qlPolynomialFunctionValue(BF$1,$BD60,AllTriggers)</f>
        <v>2.9756395401007133E-3</v>
      </c>
      <c r="BG60" s="47">
        <f>_xll.qlPolynomialFunctionValue(BG$1,$BD60,AllTriggers)</f>
        <v>2.9545077237486525E-3</v>
      </c>
      <c r="BH60" s="47">
        <f>_xll.qlPolynomialFunctionValue(BH$1,$BD60,AllTriggers)</f>
        <v>2.9785536236963846E-3</v>
      </c>
      <c r="BI60" s="47">
        <f>_xll.qlPolynomialFunctionValue(BI$1,$BD60,AllTriggers)</f>
        <v>2.968594404852093E-3</v>
      </c>
      <c r="BJ60" s="47">
        <f>_xll.qlPolynomialFunctionValue(BJ$1,$BD60,AllTriggers)</f>
        <v>2.9719288053522597E-3</v>
      </c>
      <c r="BK60" s="47">
        <f>_xll.qlPolynomialFunctionValue(BK$1,$BD60,AllTriggers)</f>
        <v>2.9556526495214041E-3</v>
      </c>
      <c r="BL60" s="47">
        <f>_xll.qlPolynomialFunctionValue(BL$1,$BD60,AllTriggers)</f>
        <v>2.9804534956313525E-3</v>
      </c>
      <c r="BM60" s="47">
        <f>_xll.qlPolynomialFunctionValue(BM$1,$BD60,AllTriggers)</f>
        <v>2.9407081098894471E-3</v>
      </c>
      <c r="BN60" s="47">
        <f>_xll.qlPolynomialFunctionValue(BN$1,$BD60,AllTriggers)</f>
        <v>2.9635121592695652E-3</v>
      </c>
      <c r="BO60" s="47">
        <f>_xll.qlPolynomialFunctionValue(BO$1,$BD60,AllTriggers)</f>
        <v>2.9293451160720264E-3</v>
      </c>
      <c r="BP60" s="47">
        <f>_xll.qlPolynomialFunctionValue(BP$1,$BD60,AllTriggers)</f>
        <v>2.9389477679930042E-3</v>
      </c>
      <c r="BQ60" s="47">
        <f>_xll.qlPolynomialFunctionValue('12MSynthDepo_used'!$P$18,BD60,AllTriggers)</f>
        <v>2.9493012569929947E-3</v>
      </c>
    </row>
    <row r="61" spans="3:69" x14ac:dyDescent="0.2">
      <c r="C61" s="19">
        <v>10</v>
      </c>
      <c r="D61" s="48" t="str">
        <f t="shared" si="20"/>
        <v>22M</v>
      </c>
      <c r="E61" s="177">
        <f>_xll.qlCalendarAdvance(Calendar,SettlementDate,C61&amp;"M","mf",TRUE,Trigger)</f>
        <v>42584</v>
      </c>
      <c r="F61" s="251">
        <f>_xll.qlInterestRateIndexMaturity($D$25,E61,Trigger)</f>
        <v>42949</v>
      </c>
      <c r="G61" s="155">
        <f>_xll.qlTenorBasisForwardRate2(G$27,$E61,$F61,InterestRatesTrigger)</f>
        <v>1.7162581695335829E-3</v>
      </c>
      <c r="H61" s="47">
        <f>_xll.qlTenorBasisTenorForwardRate(H$27,$E61,InterestRatesTrigger)</f>
        <v>1.8733152816907219E-3</v>
      </c>
      <c r="S61" s="47">
        <f>_xll.qlTenorBasisTenorForwardRate(S$27,$E61,InterestRatesTrigger)</f>
        <v>1.8026316086616275E-3</v>
      </c>
      <c r="T61" s="154">
        <f>_xll.qlTenorBasisTenorForwardRate(T$27,$E61,InterestRatesTrigger)</f>
        <v>1.8830625806746121E-3</v>
      </c>
      <c r="U61" s="47">
        <f>_xll.qlTenorBasisTenorForwardRate(U$27,$E61,InterestRatesTrigger)</f>
        <v>1.7792081146393965E-3</v>
      </c>
      <c r="V61" s="47">
        <f>_xll.qlTenorBasisTenorForwardRate(V$27,$E61,InterestRatesTrigger)</f>
        <v>1.8596523137010151E-3</v>
      </c>
      <c r="W61" s="47">
        <f>_xll.qlTenorBasisTenorForwardRate(W$27,$E61,InterestRatesTrigger)</f>
        <v>1.8045591300074786E-3</v>
      </c>
      <c r="X61" s="154">
        <f>_xll.qlTenorBasisTenorForwardRate(X$27,$E61,InterestRatesTrigger)</f>
        <v>1.8885075503032272E-3</v>
      </c>
      <c r="Y61" s="155">
        <f>_xll.qlTenorBasisTenorForwardRate(Y$27,$E61,InterestRatesTrigger)</f>
        <v>1.8257117501173621E-3</v>
      </c>
      <c r="Z61" s="47">
        <f>_xll.qlTenorBasisTenorForwardRate(Z$27,$E61,InterestRatesTrigger)</f>
        <v>1.8422200160163075E-3</v>
      </c>
      <c r="AA61" s="47">
        <f>_xll.qlTenorBasisTenorForwardRate(AA$27,$E61,InterestRatesTrigger)</f>
        <v>1.8323640251837088E-3</v>
      </c>
      <c r="AB61" s="47">
        <f>_xll.qlTenorBasisTenorForwardRate(AB$27,$E61,InterestRatesTrigger)</f>
        <v>1.8364240326412037E-3</v>
      </c>
      <c r="AC61" s="154">
        <f>'12MSynthDepo_used'!AA40</f>
        <v>1.8274245792942491E-3</v>
      </c>
      <c r="AD61" s="200">
        <f>'12MSynthDepo_used'!I14</f>
        <v>1.83E-3</v>
      </c>
      <c r="BC61" s="178">
        <f>_xll.qlCalendarAdvance(Calendar,BC60,"1d","mf",,Trigger)</f>
        <v>42356</v>
      </c>
      <c r="BD61" s="41">
        <f>_xll.qlDayCounterYearFraction(DayCounter,SettlementDate,BC61,,,Trigger)</f>
        <v>0.21388888888888888</v>
      </c>
      <c r="BE61" s="47">
        <f>_xll.qlPolynomialFunctionValue(BE$1,$BD61,AllTriggers)</f>
        <v>2.9724778257354091E-3</v>
      </c>
      <c r="BF61" s="47">
        <f>_xll.qlPolynomialFunctionValue(BF$1,$BD61,AllTriggers)</f>
        <v>2.9768092337783205E-3</v>
      </c>
      <c r="BG61" s="47">
        <f>_xll.qlPolynomialFunctionValue(BG$1,$BD61,AllTriggers)</f>
        <v>2.9561068006000234E-3</v>
      </c>
      <c r="BH61" s="47">
        <f>_xll.qlPolynomialFunctionValue(BH$1,$BD61,AllTriggers)</f>
        <v>2.9796641053099608E-3</v>
      </c>
      <c r="BI61" s="47">
        <f>_xll.qlPolynomialFunctionValue(BI$1,$BD61,AllTriggers)</f>
        <v>2.970101617481903E-3</v>
      </c>
      <c r="BJ61" s="47">
        <f>_xll.qlPolynomialFunctionValue(BJ$1,$BD61,AllTriggers)</f>
        <v>2.9731978928949744E-3</v>
      </c>
      <c r="BK61" s="47">
        <f>_xll.qlPolynomialFunctionValue(BK$1,$BD61,AllTriggers)</f>
        <v>2.9572536429869436E-3</v>
      </c>
      <c r="BL61" s="47">
        <f>_xll.qlPolynomialFunctionValue(BL$1,$BD61,AllTriggers)</f>
        <v>2.9815487463526894E-3</v>
      </c>
      <c r="BM61" s="47">
        <f>_xll.qlPolynomialFunctionValue(BM$1,$BD61,AllTriggers)</f>
        <v>2.9423975070339654E-3</v>
      </c>
      <c r="BN61" s="47">
        <f>_xll.qlPolynomialFunctionValue(BN$1,$BD61,AllTriggers)</f>
        <v>2.9648883768225395E-3</v>
      </c>
      <c r="BO61" s="47">
        <f>_xll.qlPolynomialFunctionValue(BO$1,$BD61,AllTriggers)</f>
        <v>2.9310786334758258E-3</v>
      </c>
      <c r="BP61" s="47">
        <f>_xll.qlPolynomialFunctionValue(BP$1,$BD61,AllTriggers)</f>
        <v>2.9405711612606423E-3</v>
      </c>
      <c r="BQ61" s="47">
        <f>_xll.qlPolynomialFunctionValue('12MSynthDepo_used'!$P$18,BD61,AllTriggers)</f>
        <v>2.950914036062101E-3</v>
      </c>
    </row>
    <row r="62" spans="3:69" x14ac:dyDescent="0.2">
      <c r="C62" s="19">
        <v>11</v>
      </c>
      <c r="D62" s="48" t="str">
        <f t="shared" si="20"/>
        <v>23M</v>
      </c>
      <c r="E62" s="177">
        <f>_xll.qlCalendarAdvance(Calendar,SettlementDate,C62&amp;"M","mf",TRUE,Trigger)</f>
        <v>42615</v>
      </c>
      <c r="F62" s="251">
        <f>_xll.qlInterestRateIndexMaturity($D$25,E62,Trigger)</f>
        <v>42982</v>
      </c>
      <c r="G62" s="155">
        <f>_xll.qlTenorBasisForwardRate2(G$27,$E62,$F62,InterestRatesTrigger)</f>
        <v>1.8150718276416582E-3</v>
      </c>
      <c r="H62" s="47">
        <f>_xll.qlTenorBasisTenorForwardRate(H$27,$E62,InterestRatesTrigger)</f>
        <v>1.994320703949923E-3</v>
      </c>
      <c r="S62" s="47">
        <f>_xll.qlTenorBasisTenorForwardRate(S$27,$E62,InterestRatesTrigger)</f>
        <v>1.903993827250549E-3</v>
      </c>
      <c r="T62" s="154">
        <f>_xll.qlTenorBasisTenorForwardRate(T$27,$E62,InterestRatesTrigger)</f>
        <v>2.0067768064095017E-3</v>
      </c>
      <c r="U62" s="47">
        <f>_xll.qlTenorBasisTenorForwardRate(U$27,$E62,InterestRatesTrigger)</f>
        <v>1.8777615531937459E-3</v>
      </c>
      <c r="V62" s="47">
        <f>_xll.qlTenorBasisTenorForwardRate(V$27,$E62,InterestRatesTrigger)</f>
        <v>1.9763319440035789E-3</v>
      </c>
      <c r="W62" s="47">
        <f>_xll.qlTenorBasisTenorForwardRate(W$27,$E62,InterestRatesTrigger)</f>
        <v>1.9059799497309852E-3</v>
      </c>
      <c r="X62" s="154">
        <f>_xll.qlTenorBasisTenorForwardRate(X$27,$E62,InterestRatesTrigger)</f>
        <v>2.0131790329550223E-3</v>
      </c>
      <c r="Y62" s="155">
        <f>_xll.qlTenorBasisTenorForwardRate(Y$27,$E62,InterestRatesTrigger)</f>
        <v>1.9298355426008718E-3</v>
      </c>
      <c r="Z62" s="47">
        <f>_xll.qlTenorBasisTenorForwardRate(Z$27,$E62,InterestRatesTrigger)</f>
        <v>1.9544865382150056E-3</v>
      </c>
      <c r="AA62" s="47">
        <f>_xll.qlTenorBasisTenorForwardRate(AA$27,$E62,InterestRatesTrigger)</f>
        <v>1.9378368097044099E-3</v>
      </c>
      <c r="AB62" s="47">
        <f>_xll.qlTenorBasisTenorForwardRate(AB$27,$E62,InterestRatesTrigger)</f>
        <v>1.9442749506569023E-3</v>
      </c>
      <c r="AC62" s="154">
        <f>'12MSynthDepo_used'!AA41</f>
        <v>1.9284666548341832E-3</v>
      </c>
      <c r="AD62" s="200">
        <f>'12MSynthDepo_used'!I15</f>
        <v>1.92E-3</v>
      </c>
      <c r="BC62" s="178">
        <f>_xll.qlCalendarAdvance(Calendar,BC61,"1d","mf",,Trigger)</f>
        <v>42359</v>
      </c>
      <c r="BD62" s="41">
        <f>_xll.qlDayCounterYearFraction(DayCounter,SettlementDate,BC62,,,Trigger)</f>
        <v>0.22222222222222221</v>
      </c>
      <c r="BE62" s="47">
        <f>_xll.qlPolynomialFunctionValue(BE$1,$BD62,AllTriggers)</f>
        <v>2.976917870286568E-3</v>
      </c>
      <c r="BF62" s="47">
        <f>_xll.qlPolynomialFunctionValue(BF$1,$BD62,AllTriggers)</f>
        <v>2.980333514215523E-3</v>
      </c>
      <c r="BG62" s="47">
        <f>_xll.qlPolynomialFunctionValue(BG$1,$BD62,AllTriggers)</f>
        <v>2.960904031154136E-3</v>
      </c>
      <c r="BH62" s="47">
        <f>_xll.qlPolynomialFunctionValue(BH$1,$BD62,AllTriggers)</f>
        <v>2.9830128455573383E-3</v>
      </c>
      <c r="BI62" s="47">
        <f>_xll.qlPolynomialFunctionValue(BI$1,$BD62,AllTriggers)</f>
        <v>2.9746232553713326E-3</v>
      </c>
      <c r="BJ62" s="47">
        <f>_xll.qlPolynomialFunctionValue(BJ$1,$BD62,AllTriggers)</f>
        <v>2.9770169391653474E-3</v>
      </c>
      <c r="BK62" s="47">
        <f>_xll.qlPolynomialFunctionValue(BK$1,$BD62,AllTriggers)</f>
        <v>2.9620566233835625E-3</v>
      </c>
      <c r="BL62" s="47">
        <f>_xll.qlPolynomialFunctionValue(BL$1,$BD62,AllTriggers)</f>
        <v>2.9848524538803991E-3</v>
      </c>
      <c r="BM62" s="47">
        <f>_xll.qlPolynomialFunctionValue(BM$1,$BD62,AllTriggers)</f>
        <v>2.9474656984675197E-3</v>
      </c>
      <c r="BN62" s="47">
        <f>_xll.qlPolynomialFunctionValue(BN$1,$BD62,AllTriggers)</f>
        <v>2.9690252471605227E-3</v>
      </c>
      <c r="BO62" s="47">
        <f>_xll.qlPolynomialFunctionValue(BO$1,$BD62,AllTriggers)</f>
        <v>2.9362791856872229E-3</v>
      </c>
      <c r="BP62" s="47">
        <f>_xll.qlPolynomialFunctionValue(BP$1,$BD62,AllTriggers)</f>
        <v>2.9454440056723985E-3</v>
      </c>
      <c r="BQ62" s="47">
        <f>_xll.qlPolynomialFunctionValue('12MSynthDepo_used'!$P$18,BD62,AllTriggers)</f>
        <v>2.9557582404042279E-3</v>
      </c>
    </row>
    <row r="63" spans="3:69" x14ac:dyDescent="0.2">
      <c r="C63" s="19">
        <v>12</v>
      </c>
      <c r="D63" s="49" t="str">
        <f t="shared" si="20"/>
        <v>24M</v>
      </c>
      <c r="E63" s="181">
        <f>_xll.qlCalendarAdvance(Calendar,SettlementDate,C63&amp;"M","mf",TRUE,Trigger)</f>
        <v>42646</v>
      </c>
      <c r="F63" s="274">
        <f>_xll.qlInterestRateIndexMaturity($D$25,E63,Trigger)</f>
        <v>43011</v>
      </c>
      <c r="G63" s="275">
        <f>_xll.qlTenorBasisForwardRate2(G$27,$E63,$F63,InterestRatesTrigger)</f>
        <v>1.9197372905892672E-3</v>
      </c>
      <c r="H63" s="50">
        <f>_xll.qlTenorBasisTenorForwardRate(H$27,$E63,InterestRatesTrigger)</f>
        <v>2.1263933822316412E-3</v>
      </c>
      <c r="I63" s="96"/>
      <c r="J63" s="96"/>
      <c r="K63" s="96"/>
      <c r="L63" s="96"/>
      <c r="M63" s="96"/>
      <c r="N63" s="96"/>
      <c r="O63" s="96"/>
      <c r="P63" s="96"/>
      <c r="Q63" s="96"/>
      <c r="R63" s="96"/>
      <c r="S63" s="50">
        <f>_xll.qlTenorBasisTenorForwardRate(S$27,$E63,InterestRatesTrigger)</f>
        <v>2.0140551040284021E-3</v>
      </c>
      <c r="T63" s="276">
        <f>_xll.qlTenorBasisTenorForwardRate(T$27,$E63,InterestRatesTrigger)</f>
        <v>2.1418848633340953E-3</v>
      </c>
      <c r="U63" s="50">
        <f>_xll.qlTenorBasisTenorForwardRate(U$27,$E63,InterestRatesTrigger)</f>
        <v>1.9850140499370274E-3</v>
      </c>
      <c r="V63" s="50">
        <f>_xll.qlTenorBasisTenorForwardRate(V$27,$E63,InterestRatesTrigger)</f>
        <v>2.1035466252288986E-3</v>
      </c>
      <c r="W63" s="50">
        <f>_xll.qlTenorBasisTenorForwardRate(W$27,$E63,InterestRatesTrigger)</f>
        <v>2.0160998276434238E-3</v>
      </c>
      <c r="X63" s="276">
        <f>_xll.qlTenorBasisTenorForwardRate(X$27,$E63,InterestRatesTrigger)</f>
        <v>2.1493471737772016E-3</v>
      </c>
      <c r="Y63" s="275">
        <f>_xll.qlTenorBasisTenorForwardRate(Y$27,$E63,InterestRatesTrigger)</f>
        <v>2.0426583932733134E-3</v>
      </c>
      <c r="Z63" s="50">
        <f>_xll.qlTenorBasisTenorForwardRate(Z$27,$E63,InterestRatesTrigger)</f>
        <v>2.0767325036271191E-3</v>
      </c>
      <c r="AA63" s="50">
        <f>_xll.qlTenorBasisTenorForwardRate(AA$27,$E63,InterestRatesTrigger)</f>
        <v>2.0520086524140422E-3</v>
      </c>
      <c r="AB63" s="50">
        <f>_xll.qlTenorBasisTenorForwardRate(AB$27,$E63,InterestRatesTrigger)</f>
        <v>2.0612400958197209E-3</v>
      </c>
      <c r="AC63" s="276">
        <f>'12MSynthDepo_used'!AA42</f>
        <v>2.0372311760248262E-3</v>
      </c>
      <c r="AD63" s="201">
        <f>'12MSynthDepo_used'!I16</f>
        <v>2.0299999999999997E-3</v>
      </c>
      <c r="BC63" s="178">
        <f>_xll.qlCalendarAdvance(Calendar,BC62,"1d","mf",,Trigger)</f>
        <v>42360</v>
      </c>
      <c r="BD63" s="41">
        <f>_xll.qlDayCounterYearFraction(DayCounter,SettlementDate,BC63,,,Trigger)</f>
        <v>0.22500000000000001</v>
      </c>
      <c r="BE63" s="47">
        <f>_xll.qlPolynomialFunctionValue(BE$1,$BD63,AllTriggers)</f>
        <v>2.978397885136954E-3</v>
      </c>
      <c r="BF63" s="47">
        <f>_xll.qlPolynomialFunctionValue(BF$1,$BD63,AllTriggers)</f>
        <v>2.9815133408293841E-3</v>
      </c>
      <c r="BG63" s="47">
        <f>_xll.qlPolynomialFunctionValue(BG$1,$BD63,AllTriggers)</f>
        <v>2.9625031080055069E-3</v>
      </c>
      <c r="BH63" s="47">
        <f>_xll.qlPolynomialFunctionValue(BH$1,$BD63,AllTriggers)</f>
        <v>2.9841348574420131E-3</v>
      </c>
      <c r="BI63" s="47">
        <f>_xll.qlPolynomialFunctionValue(BI$1,$BD63,AllTriggers)</f>
        <v>2.9761304680011426E-3</v>
      </c>
      <c r="BJ63" s="47">
        <f>_xll.qlPolynomialFunctionValue(BJ$1,$BD63,AllTriggers)</f>
        <v>2.9782938824695483E-3</v>
      </c>
      <c r="BK63" s="47">
        <f>_xll.qlPolynomialFunctionValue(BK$1,$BD63,AllTriggers)</f>
        <v>2.9636576168491019E-3</v>
      </c>
      <c r="BL63" s="47">
        <f>_xll.qlPolynomialFunctionValue(BL$1,$BD63,AllTriggers)</f>
        <v>2.9859596748442025E-3</v>
      </c>
      <c r="BM63" s="47">
        <f>_xll.qlPolynomialFunctionValue(BM$1,$BD63,AllTriggers)</f>
        <v>2.949155095612038E-3</v>
      </c>
      <c r="BN63" s="47">
        <f>_xll.qlPolynomialFunctionValue(BN$1,$BD63,AllTriggers)</f>
        <v>2.9704069431662041E-3</v>
      </c>
      <c r="BO63" s="47">
        <f>_xll.qlPolynomialFunctionValue(BO$1,$BD63,AllTriggers)</f>
        <v>2.9380127030910219E-3</v>
      </c>
      <c r="BP63" s="47">
        <f>_xll.qlPolynomialFunctionValue(BP$1,$BD63,AllTriggers)</f>
        <v>2.9470691753459301E-3</v>
      </c>
      <c r="BQ63" s="47">
        <f>_xll.qlPolynomialFunctionValue('12MSynthDepo_used'!$P$18,BD63,AllTriggers)</f>
        <v>2.9573749154773146E-3</v>
      </c>
    </row>
    <row r="64" spans="3:69" x14ac:dyDescent="0.2">
      <c r="D64" s="194"/>
      <c r="E64" s="195"/>
      <c r="H64" s="35"/>
      <c r="K64" s="55"/>
      <c r="L64" s="55"/>
      <c r="M64" s="55"/>
      <c r="N64" s="55"/>
      <c r="P64" s="35"/>
      <c r="Q64" s="35"/>
      <c r="R64" s="35"/>
      <c r="S64" s="35"/>
      <c r="BC64" s="178">
        <f>_xll.qlCalendarAdvance(Calendar,BC63,"1d","mf",,Trigger)</f>
        <v>42361</v>
      </c>
      <c r="BD64" s="41">
        <f>_xll.qlDayCounterYearFraction(DayCounter,SettlementDate,BC64,,,Trigger)</f>
        <v>0.22777777777777777</v>
      </c>
      <c r="BE64" s="47">
        <f>_xll.qlPolynomialFunctionValue(BE$1,$BD64,AllTriggers)</f>
        <v>2.9798778999873404E-3</v>
      </c>
      <c r="BF64" s="47">
        <f>_xll.qlPolynomialFunctionValue(BF$1,$BD64,AllTriggers)</f>
        <v>2.9826957006773092E-3</v>
      </c>
      <c r="BG64" s="47">
        <f>_xll.qlPolynomialFunctionValue(BG$1,$BD64,AllTriggers)</f>
        <v>2.9641021848568773E-3</v>
      </c>
      <c r="BH64" s="47">
        <f>_xll.qlPolynomialFunctionValue(BH$1,$BD64,AllTriggers)</f>
        <v>2.9852597518944621E-3</v>
      </c>
      <c r="BI64" s="47">
        <f>_xll.qlPolynomialFunctionValue(BI$1,$BD64,AllTriggers)</f>
        <v>2.9776376806309526E-3</v>
      </c>
      <c r="BJ64" s="47">
        <f>_xll.qlPolynomialFunctionValue(BJ$1,$BD64,AllTriggers)</f>
        <v>2.9795727897141211E-3</v>
      </c>
      <c r="BK64" s="47">
        <f>_xll.qlPolynomialFunctionValue(BK$1,$BD64,AllTriggers)</f>
        <v>2.9652586103146418E-3</v>
      </c>
      <c r="BL64" s="47">
        <f>_xll.qlPolynomialFunctionValue(BL$1,$BD64,AllTriggers)</f>
        <v>2.9870698883686223E-3</v>
      </c>
      <c r="BM64" s="47">
        <f>_xll.qlPolynomialFunctionValue(BM$1,$BD64,AllTriggers)</f>
        <v>2.9508444927565563E-3</v>
      </c>
      <c r="BN64" s="47">
        <f>_xll.qlPolynomialFunctionValue(BN$1,$BD64,AllTriggers)</f>
        <v>2.9717900087850623E-3</v>
      </c>
      <c r="BO64" s="47">
        <f>_xll.qlPolynomialFunctionValue(BO$1,$BD64,AllTriggers)</f>
        <v>2.9397462204948212E-3</v>
      </c>
      <c r="BP64" s="47">
        <f>_xll.qlPolynomialFunctionValue(BP$1,$BD64,AllTriggers)</f>
        <v>2.9486947891209357E-3</v>
      </c>
      <c r="BQ64" s="47">
        <f>_xll.qlPolynomialFunctionValue('12MSynthDepo_used'!$P$18,BD64,AllTriggers)</f>
        <v>2.9589925529869775E-3</v>
      </c>
    </row>
    <row r="65" spans="3:69" x14ac:dyDescent="0.2">
      <c r="C65" s="194"/>
      <c r="D65" s="194"/>
      <c r="E65" s="195"/>
      <c r="F65" s="125" t="s">
        <v>69</v>
      </c>
      <c r="G65" s="125" t="s">
        <v>68</v>
      </c>
      <c r="H65" s="121"/>
      <c r="S65" s="121"/>
      <c r="T65" s="121"/>
      <c r="U65" s="121"/>
      <c r="V65" s="121"/>
      <c r="W65" s="121"/>
      <c r="X65" s="121"/>
      <c r="Y65" s="121"/>
      <c r="Z65" s="121"/>
      <c r="AA65" s="121"/>
      <c r="AB65" s="120"/>
      <c r="AC65" s="256"/>
      <c r="BC65" s="178">
        <f>_xll.qlCalendarAdvance(Calendar,BC64,"1d","mf",,Trigger)</f>
        <v>42362</v>
      </c>
      <c r="BD65" s="41">
        <f>_xll.qlDayCounterYearFraction(DayCounter,SettlementDate,BC65,,,Trigger)</f>
        <v>0.23055555555555557</v>
      </c>
      <c r="BE65" s="47">
        <f>_xll.qlPolynomialFunctionValue(BE$1,$BD65,AllTriggers)</f>
        <v>2.9813579148377264E-3</v>
      </c>
      <c r="BF65" s="47">
        <f>_xll.qlPolynomialFunctionValue(BF$1,$BD65,AllTriggers)</f>
        <v>2.9838805937592973E-3</v>
      </c>
      <c r="BG65" s="47">
        <f>_xll.qlPolynomialFunctionValue(BG$1,$BD65,AllTriggers)</f>
        <v>2.9657012617082482E-3</v>
      </c>
      <c r="BH65" s="47">
        <f>_xll.qlPolynomialFunctionValue(BH$1,$BD65,AllTriggers)</f>
        <v>2.9863875289146869E-3</v>
      </c>
      <c r="BI65" s="47">
        <f>_xll.qlPolynomialFunctionValue(BI$1,$BD65,AllTriggers)</f>
        <v>2.9791448932607626E-3</v>
      </c>
      <c r="BJ65" s="47">
        <f>_xll.qlPolynomialFunctionValue(BJ$1,$BD65,AllTriggers)</f>
        <v>2.9808536608990663E-3</v>
      </c>
      <c r="BK65" s="47">
        <f>_xll.qlPolynomialFunctionValue(BK$1,$BD65,AllTriggers)</f>
        <v>2.9668596037801813E-3</v>
      </c>
      <c r="BL65" s="47">
        <f>_xll.qlPolynomialFunctionValue(BL$1,$BD65,AllTriggers)</f>
        <v>2.9881830944536586E-3</v>
      </c>
      <c r="BM65" s="47">
        <f>_xll.qlPolynomialFunctionValue(BM$1,$BD65,AllTriggers)</f>
        <v>2.9525338899010745E-3</v>
      </c>
      <c r="BN65" s="47">
        <f>_xll.qlPolynomialFunctionValue(BN$1,$BD65,AllTriggers)</f>
        <v>2.9731744440170977E-3</v>
      </c>
      <c r="BO65" s="47">
        <f>_xll.qlPolynomialFunctionValue(BO$1,$BD65,AllTriggers)</f>
        <v>2.9414797378986201E-3</v>
      </c>
      <c r="BP65" s="47">
        <f>_xll.qlPolynomialFunctionValue(BP$1,$BD65,AllTriggers)</f>
        <v>2.9503208469974142E-3</v>
      </c>
      <c r="BQ65" s="47">
        <f>_xll.qlPolynomialFunctionValue('12MSynthDepo_used'!$P$18,BD65,AllTriggers)</f>
        <v>2.9606111483074498E-3</v>
      </c>
    </row>
    <row r="66" spans="3:69" x14ac:dyDescent="0.2">
      <c r="C66" s="194"/>
      <c r="D66" s="194"/>
      <c r="E66" s="195"/>
      <c r="F66" s="189" t="str">
        <f t="shared" ref="F66:F78" si="21">C51&amp;"x"&amp;C51+SUBSTITUTE($D$24,"M","")&amp;"F"</f>
        <v>0x12F</v>
      </c>
      <c r="G66" s="156">
        <f t="shared" ref="G66:AC66" si="22">$AD51-G51</f>
        <v>6.4296245863239634E-5</v>
      </c>
      <c r="H66" s="156">
        <f t="shared" si="22"/>
        <v>1.7162286885275555E-5</v>
      </c>
      <c r="I66" s="19">
        <f t="shared" si="22"/>
        <v>1.4199999999999998E-3</v>
      </c>
      <c r="J66" s="19">
        <f t="shared" si="22"/>
        <v>1.4199999999999998E-3</v>
      </c>
      <c r="K66" s="19">
        <f t="shared" si="22"/>
        <v>1.4199999999999998E-3</v>
      </c>
      <c r="L66" s="19">
        <f t="shared" si="22"/>
        <v>1.4199999999999998E-3</v>
      </c>
      <c r="M66" s="19">
        <f t="shared" si="22"/>
        <v>1.4199999999999998E-3</v>
      </c>
      <c r="N66" s="19">
        <f t="shared" si="22"/>
        <v>1.4199999999999998E-3</v>
      </c>
      <c r="O66" s="19">
        <f t="shared" si="22"/>
        <v>1.4199999999999998E-3</v>
      </c>
      <c r="P66" s="19">
        <f t="shared" si="22"/>
        <v>1.4199999999999998E-3</v>
      </c>
      <c r="Q66" s="19">
        <f t="shared" si="22"/>
        <v>1.4199999999999998E-3</v>
      </c>
      <c r="R66" s="19">
        <f t="shared" si="22"/>
        <v>1.4199999999999998E-3</v>
      </c>
      <c r="S66" s="156">
        <f t="shared" si="22"/>
        <v>2.0853208915798871E-5</v>
      </c>
      <c r="T66" s="157">
        <f t="shared" si="22"/>
        <v>1.665330766821029E-5</v>
      </c>
      <c r="U66" s="158">
        <f t="shared" si="22"/>
        <v>1.664193163014604E-5</v>
      </c>
      <c r="V66" s="156">
        <f t="shared" si="22"/>
        <v>1.6641931630139968E-5</v>
      </c>
      <c r="W66" s="156">
        <f t="shared" si="22"/>
        <v>1.950224711990225E-5</v>
      </c>
      <c r="X66" s="157">
        <f t="shared" si="22"/>
        <v>1.5143831961889802E-5</v>
      </c>
      <c r="Y66" s="158">
        <f t="shared" si="22"/>
        <v>2.4943391261660368E-5</v>
      </c>
      <c r="Z66" s="240">
        <f t="shared" si="22"/>
        <v>2.0279642326883089E-5</v>
      </c>
      <c r="AA66" s="156">
        <f t="shared" si="22"/>
        <v>3.1563457206385892E-5</v>
      </c>
      <c r="AB66" s="156">
        <f t="shared" si="22"/>
        <v>2.8764630578895006E-5</v>
      </c>
      <c r="AC66" s="156">
        <f t="shared" si="22"/>
        <v>1.7162286885275555E-5</v>
      </c>
      <c r="BC66" s="178">
        <f>_xll.qlCalendarAdvance(Calendar,BC65,"1d","mf",,Trigger)</f>
        <v>42366</v>
      </c>
      <c r="BD66" s="41">
        <f>_xll.qlDayCounterYearFraction(DayCounter,SettlementDate,BC66,,,Trigger)</f>
        <v>0.24166666666666667</v>
      </c>
      <c r="BE66" s="47">
        <f>_xll.qlPolynomialFunctionValue(BE$1,$BD66,AllTriggers)</f>
        <v>2.9872779742392713E-3</v>
      </c>
      <c r="BF66" s="47">
        <f>_xll.qlPolynomialFunctionValue(BF$1,$BD66,AllTriggers)</f>
        <v>2.9886454984278852E-3</v>
      </c>
      <c r="BG66" s="47">
        <f>_xll.qlPolynomialFunctionValue(BG$1,$BD66,AllTriggers)</f>
        <v>2.9720975691137318E-3</v>
      </c>
      <c r="BH66" s="47">
        <f>_xll.qlPolynomialFunctionValue(BH$1,$BD66,AllTriggers)</f>
        <v>2.9909274626733289E-3</v>
      </c>
      <c r="BI66" s="47">
        <f>_xll.qlPolynomialFunctionValue(BI$1,$BD66,AllTriggers)</f>
        <v>2.9851737437800027E-3</v>
      </c>
      <c r="BJ66" s="47">
        <f>_xll.qlPolynomialFunctionValue(BJ$1,$BD66,AllTriggers)</f>
        <v>2.9859967850425621E-3</v>
      </c>
      <c r="BK66" s="47">
        <f>_xll.qlPolynomialFunctionValue(BK$1,$BD66,AllTriggers)</f>
        <v>2.9732635776423396E-3</v>
      </c>
      <c r="BL66" s="47">
        <f>_xll.qlPolynomialFunctionValue(BL$1,$BD66,AllTriggers)</f>
        <v>2.9926658443999695E-3</v>
      </c>
      <c r="BM66" s="47">
        <f>_xll.qlPolynomialFunctionValue(BM$1,$BD66,AllTriggers)</f>
        <v>2.9592914784791471E-3</v>
      </c>
      <c r="BN66" s="47">
        <f>_xll.qlPolynomialFunctionValue(BN$1,$BD66,AllTriggers)</f>
        <v>2.9787258810770089E-3</v>
      </c>
      <c r="BO66" s="47">
        <f>_xll.qlPolynomialFunctionValue(BO$1,$BD66,AllTriggers)</f>
        <v>2.9484138075138167E-3</v>
      </c>
      <c r="BP66" s="47">
        <f>_xll.qlPolynomialFunctionValue(BP$1,$BD66,AllTriggers)</f>
        <v>2.9568295195180616E-3</v>
      </c>
      <c r="BQ66" s="47">
        <f>_xll.qlPolynomialFunctionValue('12MSynthDepo_used'!$P$18,BD66,AllTriggers)</f>
        <v>2.967095015182079E-3</v>
      </c>
    </row>
    <row r="67" spans="3:69" x14ac:dyDescent="0.2">
      <c r="C67" s="194"/>
      <c r="D67" s="194"/>
      <c r="E67" s="195"/>
      <c r="F67" s="190" t="str">
        <f t="shared" si="21"/>
        <v>1x13F</v>
      </c>
      <c r="G67" s="47">
        <f t="shared" ref="G67:AC67" si="23">$AD52-G52</f>
        <v>4.9194257309509003E-5</v>
      </c>
      <c r="H67" s="47">
        <f t="shared" si="23"/>
        <v>6.4494527530242589E-7</v>
      </c>
      <c r="I67" s="19">
        <f t="shared" si="23"/>
        <v>1.3999999999999998E-3</v>
      </c>
      <c r="J67" s="19">
        <f t="shared" si="23"/>
        <v>1.3999999999999998E-3</v>
      </c>
      <c r="K67" s="19">
        <f t="shared" si="23"/>
        <v>1.3999999999999998E-3</v>
      </c>
      <c r="L67" s="19">
        <f t="shared" si="23"/>
        <v>1.3999999999999998E-3</v>
      </c>
      <c r="M67" s="19">
        <f t="shared" si="23"/>
        <v>1.3999999999999998E-3</v>
      </c>
      <c r="N67" s="19">
        <f t="shared" si="23"/>
        <v>1.3999999999999998E-3</v>
      </c>
      <c r="O67" s="19">
        <f t="shared" si="23"/>
        <v>1.3999999999999998E-3</v>
      </c>
      <c r="P67" s="19">
        <f t="shared" si="23"/>
        <v>1.3999999999999998E-3</v>
      </c>
      <c r="Q67" s="19">
        <f t="shared" si="23"/>
        <v>1.3999999999999998E-3</v>
      </c>
      <c r="R67" s="19">
        <f t="shared" si="23"/>
        <v>1.3999999999999998E-3</v>
      </c>
      <c r="S67" s="47">
        <f t="shared" si="23"/>
        <v>6.7906003277449882E-7</v>
      </c>
      <c r="T67" s="154">
        <f t="shared" si="23"/>
        <v>6.4024084036619876E-7</v>
      </c>
      <c r="U67" s="155">
        <f t="shared" si="23"/>
        <v>-7.2343721830669776E-7</v>
      </c>
      <c r="V67" s="47">
        <f t="shared" si="23"/>
        <v>-7.8582948857841041E-7</v>
      </c>
      <c r="W67" s="47">
        <f t="shared" si="23"/>
        <v>-7.3050289770763659E-7</v>
      </c>
      <c r="X67" s="154">
        <f t="shared" si="23"/>
        <v>-8.1480697294833947E-7</v>
      </c>
      <c r="Y67" s="155">
        <f t="shared" si="23"/>
        <v>2.0076684840474642E-6</v>
      </c>
      <c r="Z67" s="200">
        <f t="shared" si="23"/>
        <v>1.798526365291318E-6</v>
      </c>
      <c r="AA67" s="47">
        <f t="shared" si="23"/>
        <v>7.2787423915819053E-6</v>
      </c>
      <c r="AB67" s="47">
        <f t="shared" si="23"/>
        <v>6.1865091157845085E-6</v>
      </c>
      <c r="AC67" s="47">
        <f t="shared" si="23"/>
        <v>-5.2504170936762667E-6</v>
      </c>
      <c r="BC67" s="178">
        <f>_xll.qlCalendarAdvance(Calendar,BC66,"1d","mf",,Trigger)</f>
        <v>42367</v>
      </c>
      <c r="BD67" s="41">
        <f>_xll.qlDayCounterYearFraction(DayCounter,SettlementDate,BC67,,,Trigger)</f>
        <v>0.24444444444444444</v>
      </c>
      <c r="BE67" s="47">
        <f>_xll.qlPolynomialFunctionValue(BE$1,$BD67,AllTriggers)</f>
        <v>2.9887579890896573E-3</v>
      </c>
      <c r="BF67" s="47">
        <f>_xll.qlPolynomialFunctionValue(BF$1,$BD67,AllTriggers)</f>
        <v>2.9898430576801908E-3</v>
      </c>
      <c r="BG67" s="47">
        <f>_xll.qlPolynomialFunctionValue(BG$1,$BD67,AllTriggers)</f>
        <v>2.9736966459651022E-3</v>
      </c>
      <c r="BH67" s="47">
        <f>_xll.qlPolynomialFunctionValue(BH$1,$BD67,AllTriggers)</f>
        <v>2.9920696525324261E-3</v>
      </c>
      <c r="BI67" s="47">
        <f>_xll.qlPolynomialFunctionValue(BI$1,$BD67,AllTriggers)</f>
        <v>2.9866809564098127E-3</v>
      </c>
      <c r="BJ67" s="47">
        <f>_xll.qlPolynomialFunctionValue(BJ$1,$BD67,AllTriggers)</f>
        <v>2.9872874759293657E-3</v>
      </c>
      <c r="BK67" s="47">
        <f>_xll.qlPolynomialFunctionValue(BK$1,$BD67,AllTriggers)</f>
        <v>2.9748645711078791E-3</v>
      </c>
      <c r="BL67" s="47">
        <f>_xll.qlPolynomialFunctionValue(BL$1,$BD67,AllTriggers)</f>
        <v>2.9937940132880891E-3</v>
      </c>
      <c r="BM67" s="47">
        <f>_xll.qlPolynomialFunctionValue(BM$1,$BD67,AllTriggers)</f>
        <v>2.9609808756236654E-3</v>
      </c>
      <c r="BN67" s="47">
        <f>_xll.qlPolynomialFunctionValue(BN$1,$BD67,AllTriggers)</f>
        <v>2.9801171643749286E-3</v>
      </c>
      <c r="BO67" s="47">
        <f>_xll.qlPolynomialFunctionValue(BO$1,$BD67,AllTriggers)</f>
        <v>2.9501473249176156E-3</v>
      </c>
      <c r="BP67" s="47">
        <f>_xll.qlPolynomialFunctionValue(BP$1,$BD67,AllTriggers)</f>
        <v>2.9584577979019067E-3</v>
      </c>
      <c r="BQ67" s="47">
        <f>_xll.qlPolynomialFunctionValue('12MSynthDepo_used'!$P$18,BD67,AllTriggers)</f>
        <v>2.9687183301700848E-3</v>
      </c>
    </row>
    <row r="68" spans="3:69" x14ac:dyDescent="0.2">
      <c r="C68" s="194"/>
      <c r="D68" s="194"/>
      <c r="E68" s="195"/>
      <c r="F68" s="190" t="str">
        <f t="shared" si="21"/>
        <v>2x14F</v>
      </c>
      <c r="G68" s="47">
        <f t="shared" ref="G68:AC68" si="24">$AD53-G53</f>
        <v>4.3274002322934426E-5</v>
      </c>
      <c r="H68" s="47">
        <f t="shared" si="24"/>
        <v>-8.174008168885822E-6</v>
      </c>
      <c r="I68" s="19">
        <f t="shared" si="24"/>
        <v>1.3999999999999998E-3</v>
      </c>
      <c r="J68" s="19">
        <f t="shared" si="24"/>
        <v>1.3999999999999998E-3</v>
      </c>
      <c r="K68" s="19">
        <f t="shared" si="24"/>
        <v>1.3999999999999998E-3</v>
      </c>
      <c r="L68" s="19">
        <f t="shared" si="24"/>
        <v>1.3999999999999998E-3</v>
      </c>
      <c r="M68" s="19">
        <f t="shared" si="24"/>
        <v>1.3999999999999998E-3</v>
      </c>
      <c r="N68" s="19">
        <f t="shared" si="24"/>
        <v>1.3999999999999998E-3</v>
      </c>
      <c r="O68" s="19">
        <f t="shared" si="24"/>
        <v>1.3999999999999998E-3</v>
      </c>
      <c r="P68" s="19">
        <f t="shared" si="24"/>
        <v>1.3999999999999998E-3</v>
      </c>
      <c r="Q68" s="19">
        <f t="shared" si="24"/>
        <v>1.3999999999999998E-3</v>
      </c>
      <c r="R68" s="19">
        <f t="shared" si="24"/>
        <v>1.3999999999999998E-3</v>
      </c>
      <c r="S68" s="47">
        <f t="shared" si="24"/>
        <v>-9.4238993908193555E-6</v>
      </c>
      <c r="T68" s="154">
        <f t="shared" si="24"/>
        <v>-8.0016478073569042E-6</v>
      </c>
      <c r="U68" s="155">
        <f t="shared" si="24"/>
        <v>-8.1082224148952553E-6</v>
      </c>
      <c r="V68" s="47">
        <f t="shared" si="24"/>
        <v>-9.979103928451586E-6</v>
      </c>
      <c r="W68" s="47">
        <f t="shared" si="24"/>
        <v>-1.0890173096706618E-5</v>
      </c>
      <c r="X68" s="154">
        <f t="shared" si="24"/>
        <v>-9.5019284477543091E-6</v>
      </c>
      <c r="Y68" s="155">
        <f t="shared" si="24"/>
        <v>-1.0767781805276835E-5</v>
      </c>
      <c r="Z68" s="200">
        <f t="shared" si="24"/>
        <v>-7.8851111857420469E-6</v>
      </c>
      <c r="AA68" s="47">
        <f t="shared" si="24"/>
        <v>-6.8021840627660937E-6</v>
      </c>
      <c r="AB68" s="47">
        <f t="shared" si="24"/>
        <v>-6.6381715317651371E-6</v>
      </c>
      <c r="AC68" s="47">
        <f t="shared" si="24"/>
        <v>-1.7829815910869271E-5</v>
      </c>
      <c r="BC68" s="178">
        <f>_xll.qlCalendarAdvance(Calendar,BC67,"1d","mf",,Trigger)</f>
        <v>42368</v>
      </c>
      <c r="BD68" s="41">
        <f>_xll.qlDayCounterYearFraction(DayCounter,SettlementDate,BC68,,,Trigger)</f>
        <v>0.24722222222222223</v>
      </c>
      <c r="BE68" s="47">
        <f>_xll.qlPolynomialFunctionValue(BE$1,$BD68,AllTriggers)</f>
        <v>2.9902380039400437E-3</v>
      </c>
      <c r="BF68" s="47">
        <f>_xll.qlPolynomialFunctionValue(BF$1,$BD68,AllTriggers)</f>
        <v>2.9910431501665598E-3</v>
      </c>
      <c r="BG68" s="47">
        <f>_xll.qlPolynomialFunctionValue(BG$1,$BD68,AllTriggers)</f>
        <v>2.9752957228164731E-3</v>
      </c>
      <c r="BH68" s="47">
        <f>_xll.qlPolynomialFunctionValue(BH$1,$BD68,AllTriggers)</f>
        <v>2.9932147249592976E-3</v>
      </c>
      <c r="BI68" s="47">
        <f>_xll.qlPolynomialFunctionValue(BI$1,$BD68,AllTriggers)</f>
        <v>2.9881881690396227E-3</v>
      </c>
      <c r="BJ68" s="47">
        <f>_xll.qlPolynomialFunctionValue(BJ$1,$BD68,AllTriggers)</f>
        <v>2.9885801307565408E-3</v>
      </c>
      <c r="BK68" s="47">
        <f>_xll.qlPolynomialFunctionValue(BK$1,$BD68,AllTriggers)</f>
        <v>2.976465564573419E-3</v>
      </c>
      <c r="BL68" s="47">
        <f>_xll.qlPolynomialFunctionValue(BL$1,$BD68,AllTriggers)</f>
        <v>2.9949251747368247E-3</v>
      </c>
      <c r="BM68" s="47">
        <f>_xll.qlPolynomialFunctionValue(BM$1,$BD68,AllTriggers)</f>
        <v>2.9626702727681836E-3</v>
      </c>
      <c r="BN68" s="47">
        <f>_xll.qlPolynomialFunctionValue(BN$1,$BD68,AllTriggers)</f>
        <v>2.9815098172860256E-3</v>
      </c>
      <c r="BO68" s="47">
        <f>_xll.qlPolynomialFunctionValue(BO$1,$BD68,AllTriggers)</f>
        <v>2.9518808423214145E-3</v>
      </c>
      <c r="BP68" s="47">
        <f>_xll.qlPolynomialFunctionValue(BP$1,$BD68,AllTriggers)</f>
        <v>2.9600865203872253E-3</v>
      </c>
      <c r="BQ68" s="47">
        <f>_xll.qlPolynomialFunctionValue('12MSynthDepo_used'!$P$18,BD68,AllTriggers)</f>
        <v>2.9703425752142945E-3</v>
      </c>
    </row>
    <row r="69" spans="3:69" x14ac:dyDescent="0.2">
      <c r="C69" s="194"/>
      <c r="D69" s="194"/>
      <c r="E69" s="195"/>
      <c r="F69" s="190" t="str">
        <f t="shared" si="21"/>
        <v>3x15F</v>
      </c>
      <c r="G69" s="47">
        <f t="shared" ref="G69:AC69" si="25">$AD54-G54</f>
        <v>5.9368063371860241E-5</v>
      </c>
      <c r="H69" s="47">
        <f t="shared" si="25"/>
        <v>2.1597372243486838E-6</v>
      </c>
      <c r="I69" s="19">
        <f t="shared" si="25"/>
        <v>1.4199999999999998E-3</v>
      </c>
      <c r="J69" s="19">
        <f t="shared" si="25"/>
        <v>1.4199999999999998E-3</v>
      </c>
      <c r="K69" s="19">
        <f t="shared" si="25"/>
        <v>1.4199999999999998E-3</v>
      </c>
      <c r="L69" s="19">
        <f t="shared" si="25"/>
        <v>1.4199999999999998E-3</v>
      </c>
      <c r="M69" s="19">
        <f t="shared" si="25"/>
        <v>1.4199999999999998E-3</v>
      </c>
      <c r="N69" s="19">
        <f t="shared" si="25"/>
        <v>1.4199999999999998E-3</v>
      </c>
      <c r="O69" s="19">
        <f t="shared" si="25"/>
        <v>1.4199999999999998E-3</v>
      </c>
      <c r="P69" s="19">
        <f t="shared" si="25"/>
        <v>1.4199999999999998E-3</v>
      </c>
      <c r="Q69" s="19">
        <f t="shared" si="25"/>
        <v>1.4199999999999998E-3</v>
      </c>
      <c r="R69" s="19">
        <f t="shared" si="25"/>
        <v>1.4199999999999998E-3</v>
      </c>
      <c r="S69" s="47">
        <f t="shared" si="25"/>
        <v>2.05908526066962E-6</v>
      </c>
      <c r="T69" s="154">
        <f t="shared" si="25"/>
        <v>2.1736171592926998E-6</v>
      </c>
      <c r="U69" s="155">
        <f t="shared" si="25"/>
        <v>6.3647538862988962E-6</v>
      </c>
      <c r="V69" s="47">
        <f t="shared" si="25"/>
        <v>5.1856703883398914E-7</v>
      </c>
      <c r="W69" s="47">
        <f t="shared" si="25"/>
        <v>5.3042970183606736E-7</v>
      </c>
      <c r="X69" s="154">
        <f t="shared" si="25"/>
        <v>5.1235393000318222E-7</v>
      </c>
      <c r="Y69" s="155">
        <f t="shared" si="25"/>
        <v>-2.2245371060916966E-6</v>
      </c>
      <c r="Z69" s="200">
        <f t="shared" si="25"/>
        <v>2.6741532977258946E-6</v>
      </c>
      <c r="AA69" s="47">
        <f t="shared" si="25"/>
        <v>3.0503685489319254E-7</v>
      </c>
      <c r="AB69" s="47">
        <f t="shared" si="25"/>
        <v>1.4018374299416304E-6</v>
      </c>
      <c r="AC69" s="47">
        <f t="shared" si="25"/>
        <v>-9.2786451476169034E-6</v>
      </c>
      <c r="BC69" s="178">
        <f>_xll.qlCalendarAdvance(Calendar,BC68,"1d","mf",,Trigger)</f>
        <v>42369</v>
      </c>
      <c r="BD69" s="41">
        <f>_xll.qlDayCounterYearFraction(DayCounter,SettlementDate,BC69,,,Trigger)</f>
        <v>0.25</v>
      </c>
      <c r="BE69" s="47">
        <f>_xll.qlPolynomialFunctionValue(BE$1,$BD69,AllTriggers)</f>
        <v>2.9917180187904297E-3</v>
      </c>
      <c r="BF69" s="47">
        <f>_xll.qlPolynomialFunctionValue(BF$1,$BD69,AllTriggers)</f>
        <v>2.9922457758869928E-3</v>
      </c>
      <c r="BG69" s="47">
        <f>_xll.qlPolynomialFunctionValue(BG$1,$BD69,AllTriggers)</f>
        <v>2.976894799667844E-3</v>
      </c>
      <c r="BH69" s="47">
        <f>_xll.qlPolynomialFunctionValue(BH$1,$BD69,AllTriggers)</f>
        <v>2.9943626799539438E-3</v>
      </c>
      <c r="BI69" s="47">
        <f>_xll.qlPolynomialFunctionValue(BI$1,$BD69,AllTriggers)</f>
        <v>2.9896953816694327E-3</v>
      </c>
      <c r="BJ69" s="47">
        <f>_xll.qlPolynomialFunctionValue(BJ$1,$BD69,AllTriggers)</f>
        <v>2.9898747495240878E-3</v>
      </c>
      <c r="BK69" s="47">
        <f>_xll.qlPolynomialFunctionValue(BK$1,$BD69,AllTriggers)</f>
        <v>2.9780665580389585E-3</v>
      </c>
      <c r="BL69" s="47">
        <f>_xll.qlPolynomialFunctionValue(BL$1,$BD69,AllTriggers)</f>
        <v>2.9960593287461771E-3</v>
      </c>
      <c r="BM69" s="47">
        <f>_xll.qlPolynomialFunctionValue(BM$1,$BD69,AllTriggers)</f>
        <v>2.9643596699127019E-3</v>
      </c>
      <c r="BN69" s="47">
        <f>_xll.qlPolynomialFunctionValue(BN$1,$BD69,AllTriggers)</f>
        <v>2.9829038398102997E-3</v>
      </c>
      <c r="BO69" s="47">
        <f>_xll.qlPolynomialFunctionValue(BO$1,$BD69,AllTriggers)</f>
        <v>2.9536143597252138E-3</v>
      </c>
      <c r="BP69" s="47">
        <f>_xll.qlPolynomialFunctionValue(BP$1,$BD69,AllTriggers)</f>
        <v>2.9617156869740169E-3</v>
      </c>
      <c r="BQ69" s="47">
        <f>_xll.qlPolynomialFunctionValue('12MSynthDepo_used'!$P$18,BD69,AllTriggers)</f>
        <v>2.9719677456889419E-3</v>
      </c>
    </row>
    <row r="70" spans="3:69" x14ac:dyDescent="0.2">
      <c r="C70" s="194"/>
      <c r="D70" s="194"/>
      <c r="E70" s="195"/>
      <c r="F70" s="190" t="str">
        <f t="shared" si="21"/>
        <v>4x16F</v>
      </c>
      <c r="G70" s="47">
        <f t="shared" ref="G70:AC70" si="26">$AD55-G55</f>
        <v>7.7298823712721896E-5</v>
      </c>
      <c r="H70" s="47">
        <f t="shared" si="26"/>
        <v>1.2873075259580303E-5</v>
      </c>
      <c r="I70" s="19">
        <f t="shared" si="26"/>
        <v>1.4599999999999999E-3</v>
      </c>
      <c r="J70" s="19">
        <f t="shared" si="26"/>
        <v>1.4599999999999999E-3</v>
      </c>
      <c r="K70" s="19">
        <f t="shared" si="26"/>
        <v>1.4599999999999999E-3</v>
      </c>
      <c r="L70" s="19">
        <f t="shared" si="26"/>
        <v>1.4599999999999999E-3</v>
      </c>
      <c r="M70" s="19">
        <f t="shared" si="26"/>
        <v>1.4599999999999999E-3</v>
      </c>
      <c r="N70" s="19">
        <f t="shared" si="26"/>
        <v>1.4599999999999999E-3</v>
      </c>
      <c r="O70" s="19">
        <f t="shared" si="26"/>
        <v>1.4599999999999999E-3</v>
      </c>
      <c r="P70" s="19">
        <f t="shared" si="26"/>
        <v>1.4599999999999999E-3</v>
      </c>
      <c r="Q70" s="19">
        <f t="shared" si="26"/>
        <v>1.4599999999999999E-3</v>
      </c>
      <c r="R70" s="19">
        <f t="shared" si="26"/>
        <v>1.4599999999999999E-3</v>
      </c>
      <c r="S70" s="47">
        <f t="shared" si="26"/>
        <v>1.5997771702461281E-5</v>
      </c>
      <c r="T70" s="154">
        <f t="shared" si="26"/>
        <v>1.2442178715053268E-5</v>
      </c>
      <c r="U70" s="155">
        <f t="shared" si="26"/>
        <v>2.2931008747528649E-5</v>
      </c>
      <c r="V70" s="47">
        <f t="shared" si="26"/>
        <v>1.187383016843695E-5</v>
      </c>
      <c r="W70" s="47">
        <f t="shared" si="26"/>
        <v>1.4414295727402555E-5</v>
      </c>
      <c r="X70" s="154">
        <f t="shared" si="26"/>
        <v>1.0543252956022459E-5</v>
      </c>
      <c r="Y70" s="155">
        <f t="shared" si="26"/>
        <v>9.1307414988267381E-6</v>
      </c>
      <c r="Z70" s="200">
        <f t="shared" si="26"/>
        <v>1.4603306113436434E-5</v>
      </c>
      <c r="AA70" s="47">
        <f t="shared" si="26"/>
        <v>1.0398355166955746E-5</v>
      </c>
      <c r="AB70" s="47">
        <f t="shared" si="26"/>
        <v>1.1926494704479415E-5</v>
      </c>
      <c r="AC70" s="47">
        <f t="shared" si="26"/>
        <v>2.026305187166795E-6</v>
      </c>
      <c r="BC70" s="178">
        <f>_xll.qlCalendarAdvance(Calendar,BC69,"1d","mf",,Trigger)</f>
        <v>42373</v>
      </c>
      <c r="BD70" s="41">
        <f>_xll.qlDayCounterYearFraction(DayCounter,SettlementDate,BC70,,,Trigger)</f>
        <v>0.26111111111111113</v>
      </c>
      <c r="BE70" s="47">
        <f>_xll.qlPolynomialFunctionValue(BE$1,$BD70,AllTriggers)</f>
        <v>2.9976380781919745E-3</v>
      </c>
      <c r="BF70" s="47">
        <f>_xll.qlPolynomialFunctionValue(BF$1,$BD70,AllTriggers)</f>
        <v>2.9970816111093584E-3</v>
      </c>
      <c r="BG70" s="47">
        <f>_xll.qlPolynomialFunctionValue(BG$1,$BD70,AllTriggers)</f>
        <v>2.9832911070733271E-3</v>
      </c>
      <c r="BH70" s="47">
        <f>_xll.qlPolynomialFunctionValue(BH$1,$BD70,AllTriggers)</f>
        <v>2.9989833256102751E-3</v>
      </c>
      <c r="BI70" s="47">
        <f>_xll.qlPolynomialFunctionValue(BI$1,$BD70,AllTriggers)</f>
        <v>2.9957242321886728E-3</v>
      </c>
      <c r="BJ70" s="47">
        <f>_xll.qlPolynomialFunctionValue(BJ$1,$BD70,AllTriggers)</f>
        <v>2.995072863997993E-3</v>
      </c>
      <c r="BK70" s="47">
        <f>_xll.qlPolynomialFunctionValue(BK$1,$BD70,AllTriggers)</f>
        <v>2.9844705319011168E-3</v>
      </c>
      <c r="BL70" s="47">
        <f>_xll.qlPolynomialFunctionValue(BL$1,$BD70,AllTriggers)</f>
        <v>3.0006258703897523E-3</v>
      </c>
      <c r="BM70" s="47">
        <f>_xll.qlPolynomialFunctionValue(BM$1,$BD70,AllTriggers)</f>
        <v>2.9711172584907745E-3</v>
      </c>
      <c r="BN70" s="47">
        <f>_xll.qlPolynomialFunctionValue(BN$1,$BD70,AllTriggers)</f>
        <v>2.9884936260391637E-3</v>
      </c>
      <c r="BO70" s="47">
        <f>_xll.qlPolynomialFunctionValue(BO$1,$BD70,AllTriggers)</f>
        <v>2.9605484293404099E-3</v>
      </c>
      <c r="BP70" s="47">
        <f>_xll.qlPolynomialFunctionValue(BP$1,$BD70,AllTriggers)</f>
        <v>2.9682367943359169E-3</v>
      </c>
      <c r="BQ70" s="47">
        <f>_xll.qlPolynomialFunctionValue('12MSynthDepo_used'!$P$18,BD70,AllTriggers)</f>
        <v>2.9784775893765534E-3</v>
      </c>
    </row>
    <row r="71" spans="3:69" x14ac:dyDescent="0.2">
      <c r="C71" s="194"/>
      <c r="D71" s="194"/>
      <c r="F71" s="190" t="str">
        <f t="shared" si="21"/>
        <v>5x17F</v>
      </c>
      <c r="G71" s="47">
        <f t="shared" ref="G71:AC71" si="27">$AD56-G56</f>
        <v>7.8588654487228397E-5</v>
      </c>
      <c r="H71" s="47">
        <f t="shared" si="27"/>
        <v>4.1790673448725054E-6</v>
      </c>
      <c r="I71" s="19">
        <f t="shared" si="27"/>
        <v>1.49E-3</v>
      </c>
      <c r="J71" s="19">
        <f t="shared" si="27"/>
        <v>1.49E-3</v>
      </c>
      <c r="K71" s="19">
        <f t="shared" si="27"/>
        <v>1.49E-3</v>
      </c>
      <c r="L71" s="19">
        <f t="shared" si="27"/>
        <v>1.49E-3</v>
      </c>
      <c r="M71" s="19">
        <f t="shared" si="27"/>
        <v>1.49E-3</v>
      </c>
      <c r="N71" s="19">
        <f t="shared" si="27"/>
        <v>1.49E-3</v>
      </c>
      <c r="O71" s="19">
        <f t="shared" si="27"/>
        <v>1.49E-3</v>
      </c>
      <c r="P71" s="19">
        <f t="shared" si="27"/>
        <v>1.49E-3</v>
      </c>
      <c r="Q71" s="19">
        <f t="shared" si="27"/>
        <v>1.49E-3</v>
      </c>
      <c r="R71" s="19">
        <f t="shared" si="27"/>
        <v>1.49E-3</v>
      </c>
      <c r="S71" s="47">
        <f t="shared" si="27"/>
        <v>1.2601593336919415E-5</v>
      </c>
      <c r="T71" s="154">
        <f t="shared" si="27"/>
        <v>3.0175985710246839E-6</v>
      </c>
      <c r="U71" s="155">
        <f t="shared" si="27"/>
        <v>2.216239880142531E-5</v>
      </c>
      <c r="V71" s="47">
        <f t="shared" si="27"/>
        <v>4.2874960358206624E-6</v>
      </c>
      <c r="W71" s="47">
        <f t="shared" si="27"/>
        <v>1.0963296945635951E-5</v>
      </c>
      <c r="X71" s="154">
        <f t="shared" si="27"/>
        <v>7.9102329916184815E-7</v>
      </c>
      <c r="Y71" s="155">
        <f t="shared" si="27"/>
        <v>3.1511552964120799E-6</v>
      </c>
      <c r="Z71" s="200">
        <f t="shared" si="27"/>
        <v>8.077090682073176E-6</v>
      </c>
      <c r="AA71" s="47">
        <f t="shared" si="27"/>
        <v>3.1568086716847726E-6</v>
      </c>
      <c r="AB71" s="47">
        <f t="shared" si="27"/>
        <v>4.7529603310633804E-6</v>
      </c>
      <c r="AC71" s="47">
        <f t="shared" si="27"/>
        <v>-3.9439850413826218E-6</v>
      </c>
      <c r="BC71" s="178">
        <f>_xll.qlCalendarAdvance(Calendar,BC70,"1d","mf",,Trigger)</f>
        <v>42374</v>
      </c>
      <c r="BD71" s="41">
        <f>_xll.qlDayCounterYearFraction(DayCounter,SettlementDate,BC71,,,Trigger)</f>
        <v>0.2638888888888889</v>
      </c>
      <c r="BE71" s="47">
        <f>_xll.qlPolynomialFunctionValue(BE$1,$BD71,AllTriggers)</f>
        <v>2.9991180930423605E-3</v>
      </c>
      <c r="BF71" s="47">
        <f>_xll.qlPolynomialFunctionValue(BF$1,$BD71,AllTriggers)</f>
        <v>2.9982969030001088E-3</v>
      </c>
      <c r="BG71" s="47">
        <f>_xll.qlPolynomialFunctionValue(BG$1,$BD71,AllTriggers)</f>
        <v>2.984890183924698E-3</v>
      </c>
      <c r="BH71" s="47">
        <f>_xll.qlPolynomialFunctionValue(BH$1,$BD71,AllTriggers)</f>
        <v>3.0001456934437942E-3</v>
      </c>
      <c r="BI71" s="47">
        <f>_xll.qlPolynomialFunctionValue(BI$1,$BD71,AllTriggers)</f>
        <v>2.9972314448184828E-3</v>
      </c>
      <c r="BJ71" s="47">
        <f>_xll.qlPolynomialFunctionValue(BJ$1,$BD71,AllTriggers)</f>
        <v>2.9963773024673989E-3</v>
      </c>
      <c r="BK71" s="47">
        <f>_xll.qlPolynomialFunctionValue(BK$1,$BD71,AllTriggers)</f>
        <v>2.9860715253666563E-3</v>
      </c>
      <c r="BL71" s="47">
        <f>_xll.qlPolynomialFunctionValue(BL$1,$BD71,AllTriggers)</f>
        <v>3.0017749872021881E-3</v>
      </c>
      <c r="BM71" s="47">
        <f>_xll.qlPolynomialFunctionValue(BM$1,$BD71,AllTriggers)</f>
        <v>2.9728066556352927E-3</v>
      </c>
      <c r="BN71" s="47">
        <f>_xll.qlPolynomialFunctionValue(BN$1,$BD71,AllTriggers)</f>
        <v>2.9898944966293222E-3</v>
      </c>
      <c r="BO71" s="47">
        <f>_xll.qlPolynomialFunctionValue(BO$1,$BD71,AllTriggers)</f>
        <v>2.9622819467442093E-3</v>
      </c>
      <c r="BP71" s="47">
        <f>_xll.qlPolynomialFunctionValue(BP$1,$BD71,AllTriggers)</f>
        <v>2.9698681814300755E-3</v>
      </c>
      <c r="BQ71" s="47">
        <f>_xll.qlPolynomialFunctionValue('12MSynthDepo_used'!$P$18,BD71,AllTriggers)</f>
        <v>2.9801073176168747E-3</v>
      </c>
    </row>
    <row r="72" spans="3:69" x14ac:dyDescent="0.2">
      <c r="C72" s="194"/>
      <c r="D72" s="194"/>
      <c r="F72" s="190" t="str">
        <f t="shared" si="21"/>
        <v>6x18F</v>
      </c>
      <c r="G72" s="47">
        <f t="shared" ref="G72:AC72" si="28">$AD57-G57</f>
        <v>9.471620715912352E-5</v>
      </c>
      <c r="H72" s="47">
        <f t="shared" si="28"/>
        <v>7.2785319888692915E-6</v>
      </c>
      <c r="I72" s="19">
        <f t="shared" si="28"/>
        <v>1.5499999999999999E-3</v>
      </c>
      <c r="J72" s="19">
        <f t="shared" si="28"/>
        <v>1.5499999999999999E-3</v>
      </c>
      <c r="K72" s="19">
        <f t="shared" si="28"/>
        <v>1.5499999999999999E-3</v>
      </c>
      <c r="L72" s="19">
        <f t="shared" si="28"/>
        <v>1.5499999999999999E-3</v>
      </c>
      <c r="M72" s="19">
        <f t="shared" si="28"/>
        <v>1.5499999999999999E-3</v>
      </c>
      <c r="N72" s="19">
        <f t="shared" si="28"/>
        <v>1.5499999999999999E-3</v>
      </c>
      <c r="O72" s="19">
        <f t="shared" si="28"/>
        <v>1.5499999999999999E-3</v>
      </c>
      <c r="P72" s="19">
        <f t="shared" si="28"/>
        <v>1.5499999999999999E-3</v>
      </c>
      <c r="Q72" s="19">
        <f t="shared" si="28"/>
        <v>1.5499999999999999E-3</v>
      </c>
      <c r="R72" s="19">
        <f t="shared" si="28"/>
        <v>1.5499999999999999E-3</v>
      </c>
      <c r="S72" s="47">
        <f t="shared" si="28"/>
        <v>2.4250607430902201E-5</v>
      </c>
      <c r="T72" s="154">
        <f t="shared" si="28"/>
        <v>4.9380778695334252E-6</v>
      </c>
      <c r="U72" s="155">
        <f t="shared" si="28"/>
        <v>3.6801404545113272E-5</v>
      </c>
      <c r="V72" s="47">
        <f t="shared" si="28"/>
        <v>9.2139579651892654E-6</v>
      </c>
      <c r="W72" s="47">
        <f t="shared" si="28"/>
        <v>2.254992918667288E-5</v>
      </c>
      <c r="X72" s="154">
        <f t="shared" si="28"/>
        <v>2.2291990691522979E-6</v>
      </c>
      <c r="Y72" s="155">
        <f t="shared" si="28"/>
        <v>1.1860429438090596E-5</v>
      </c>
      <c r="Z72" s="200">
        <f t="shared" si="28"/>
        <v>1.4801347949841516E-5</v>
      </c>
      <c r="AA72" s="47">
        <f t="shared" si="28"/>
        <v>1.0430059031837869E-5</v>
      </c>
      <c r="AB72" s="47">
        <f t="shared" si="28"/>
        <v>1.1661649743130659E-5</v>
      </c>
      <c r="AC72" s="47">
        <f t="shared" si="28"/>
        <v>4.9861183804534529E-6</v>
      </c>
      <c r="BC72" s="178">
        <f>_xll.qlCalendarAdvance(Calendar,BC71,"1d","mf",,Trigger)</f>
        <v>42375</v>
      </c>
      <c r="BD72" s="41">
        <f>_xll.qlDayCounterYearFraction(DayCounter,SettlementDate,BC72,,,Trigger)</f>
        <v>0.26666666666666666</v>
      </c>
      <c r="BE72" s="47">
        <f>_xll.qlPolynomialFunctionValue(BE$1,$BD72,AllTriggers)</f>
        <v>3.000598107892747E-3</v>
      </c>
      <c r="BF72" s="47">
        <f>_xll.qlPolynomialFunctionValue(BF$1,$BD72,AllTriggers)</f>
        <v>2.9995147281249228E-3</v>
      </c>
      <c r="BG72" s="47">
        <f>_xll.qlPolynomialFunctionValue(BG$1,$BD72,AllTriggers)</f>
        <v>2.9864892607760689E-3</v>
      </c>
      <c r="BH72" s="47">
        <f>_xll.qlPolynomialFunctionValue(BH$1,$BD72,AllTriggers)</f>
        <v>3.0013109438450881E-3</v>
      </c>
      <c r="BI72" s="47">
        <f>_xll.qlPolynomialFunctionValue(BI$1,$BD72,AllTriggers)</f>
        <v>2.9987386574482928E-3</v>
      </c>
      <c r="BJ72" s="47">
        <f>_xll.qlPolynomialFunctionValue(BJ$1,$BD72,AllTriggers)</f>
        <v>2.9976837048771763E-3</v>
      </c>
      <c r="BK72" s="47">
        <f>_xll.qlPolynomialFunctionValue(BK$1,$BD72,AllTriggers)</f>
        <v>2.9876725188321962E-3</v>
      </c>
      <c r="BL72" s="47">
        <f>_xll.qlPolynomialFunctionValue(BL$1,$BD72,AllTriggers)</f>
        <v>3.0029270965752398E-3</v>
      </c>
      <c r="BM72" s="47">
        <f>_xll.qlPolynomialFunctionValue(BM$1,$BD72,AllTriggers)</f>
        <v>2.974496052779811E-3</v>
      </c>
      <c r="BN72" s="47">
        <f>_xll.qlPolynomialFunctionValue(BN$1,$BD72,AllTriggers)</f>
        <v>2.9912967368326574E-3</v>
      </c>
      <c r="BO72" s="47">
        <f>_xll.qlPolynomialFunctionValue(BO$1,$BD72,AllTriggers)</f>
        <v>2.9640154641480082E-3</v>
      </c>
      <c r="BP72" s="47">
        <f>_xll.qlPolynomialFunctionValue(BP$1,$BD72,AllTriggers)</f>
        <v>2.9715000126257071E-3</v>
      </c>
      <c r="BQ72" s="47">
        <f>_xll.qlPolynomialFunctionValue('12MSynthDepo_used'!$P$18,BD72,AllTriggers)</f>
        <v>2.9817379435330285E-3</v>
      </c>
    </row>
    <row r="73" spans="3:69" ht="11.25" customHeight="1" x14ac:dyDescent="0.2">
      <c r="C73" s="194"/>
      <c r="D73" s="194"/>
      <c r="F73" s="190" t="str">
        <f t="shared" si="21"/>
        <v>7x19F</v>
      </c>
      <c r="G73" s="47">
        <f t="shared" ref="G73:AC73" si="29">$AD58-G58</f>
        <v>1.0852372513646814E-4</v>
      </c>
      <c r="H73" s="47">
        <f t="shared" si="29"/>
        <v>7.9596672709926746E-6</v>
      </c>
      <c r="I73" s="19">
        <f t="shared" si="29"/>
        <v>1.6099999999999997E-3</v>
      </c>
      <c r="J73" s="19">
        <f t="shared" si="29"/>
        <v>1.6099999999999997E-3</v>
      </c>
      <c r="K73" s="19">
        <f t="shared" si="29"/>
        <v>1.6099999999999997E-3</v>
      </c>
      <c r="L73" s="19">
        <f t="shared" si="29"/>
        <v>1.6099999999999997E-3</v>
      </c>
      <c r="M73" s="19">
        <f t="shared" si="29"/>
        <v>1.6099999999999997E-3</v>
      </c>
      <c r="N73" s="19">
        <f t="shared" si="29"/>
        <v>1.6099999999999997E-3</v>
      </c>
      <c r="O73" s="19">
        <f t="shared" si="29"/>
        <v>1.6099999999999997E-3</v>
      </c>
      <c r="P73" s="19">
        <f t="shared" si="29"/>
        <v>1.6099999999999997E-3</v>
      </c>
      <c r="Q73" s="19">
        <f t="shared" si="29"/>
        <v>1.6099999999999997E-3</v>
      </c>
      <c r="R73" s="19">
        <f t="shared" si="29"/>
        <v>1.6099999999999997E-3</v>
      </c>
      <c r="S73" s="47">
        <f t="shared" si="29"/>
        <v>3.4290423000173055E-5</v>
      </c>
      <c r="T73" s="154">
        <f t="shared" si="29"/>
        <v>4.3286484293634294E-6</v>
      </c>
      <c r="U73" s="155">
        <f t="shared" si="29"/>
        <v>4.9378182726255446E-5</v>
      </c>
      <c r="V73" s="47">
        <f t="shared" si="29"/>
        <v>1.1918220894531701E-5</v>
      </c>
      <c r="W73" s="47">
        <f t="shared" si="29"/>
        <v>3.2536814698898514E-5</v>
      </c>
      <c r="X73" s="154">
        <f t="shared" si="29"/>
        <v>1.119164409833567E-6</v>
      </c>
      <c r="Y73" s="155">
        <f t="shared" si="29"/>
        <v>1.9405920199346309E-5</v>
      </c>
      <c r="Z73" s="200">
        <f t="shared" si="29"/>
        <v>1.9524758024842695E-5</v>
      </c>
      <c r="AA73" s="47">
        <f t="shared" si="29"/>
        <v>1.6757105372404652E-5</v>
      </c>
      <c r="AB73" s="47">
        <f t="shared" si="29"/>
        <v>1.7310428572874003E-5</v>
      </c>
      <c r="AC73" s="47">
        <f t="shared" si="29"/>
        <v>1.3008205189664638E-5</v>
      </c>
      <c r="BC73" s="178">
        <f>_xll.qlCalendarAdvance(Calendar,BC72,"1d","mf",,Trigger)</f>
        <v>42376</v>
      </c>
      <c r="BD73" s="41">
        <f>_xll.qlDayCounterYearFraction(DayCounter,SettlementDate,BC73,,,Trigger)</f>
        <v>0.26944444444444443</v>
      </c>
      <c r="BE73" s="47">
        <f>_xll.qlPolynomialFunctionValue(BE$1,$BD73,AllTriggers)</f>
        <v>3.002078122743133E-3</v>
      </c>
      <c r="BF73" s="47">
        <f>_xll.qlPolynomialFunctionValue(BF$1,$BD73,AllTriggers)</f>
        <v>3.0007350864837993E-3</v>
      </c>
      <c r="BG73" s="47">
        <f>_xll.qlPolynomialFunctionValue(BG$1,$BD73,AllTriggers)</f>
        <v>2.9880883376274398E-3</v>
      </c>
      <c r="BH73" s="47">
        <f>_xll.qlPolynomialFunctionValue(BH$1,$BD73,AllTriggers)</f>
        <v>3.0024790768141568E-3</v>
      </c>
      <c r="BI73" s="47">
        <f>_xll.qlPolynomialFunctionValue(BI$1,$BD73,AllTriggers)</f>
        <v>3.0002458700781028E-3</v>
      </c>
      <c r="BJ73" s="47">
        <f>_xll.qlPolynomialFunctionValue(BJ$1,$BD73,AllTriggers)</f>
        <v>2.9989920712273251E-3</v>
      </c>
      <c r="BK73" s="47">
        <f>_xll.qlPolynomialFunctionValue(BK$1,$BD73,AllTriggers)</f>
        <v>2.9892735122977357E-3</v>
      </c>
      <c r="BL73" s="47">
        <f>_xll.qlPolynomialFunctionValue(BL$1,$BD73,AllTriggers)</f>
        <v>3.0040821985089085E-3</v>
      </c>
      <c r="BM73" s="47">
        <f>_xll.qlPolynomialFunctionValue(BM$1,$BD73,AllTriggers)</f>
        <v>2.9761854499243292E-3</v>
      </c>
      <c r="BN73" s="47">
        <f>_xll.qlPolynomialFunctionValue(BN$1,$BD73,AllTriggers)</f>
        <v>2.9927003466491699E-3</v>
      </c>
      <c r="BO73" s="47">
        <f>_xll.qlPolynomialFunctionValue(BO$1,$BD73,AllTriggers)</f>
        <v>2.9657489815518071E-3</v>
      </c>
      <c r="BP73" s="47">
        <f>_xll.qlPolynomialFunctionValue(BP$1,$BD73,AllTriggers)</f>
        <v>2.9731322879228118E-3</v>
      </c>
      <c r="BQ73" s="47">
        <f>_xll.qlPolynomialFunctionValue('12MSynthDepo_used'!$P$18,BD73,AllTriggers)</f>
        <v>2.9833694624992473E-3</v>
      </c>
    </row>
    <row r="74" spans="3:69" x14ac:dyDescent="0.2">
      <c r="C74" s="194"/>
      <c r="D74" s="194"/>
      <c r="F74" s="190" t="str">
        <f t="shared" si="21"/>
        <v>8x20F</v>
      </c>
      <c r="G74" s="47">
        <f t="shared" ref="G74:AC74" si="30">$AD59-G59</f>
        <v>1.0759918955318922E-4</v>
      </c>
      <c r="H74" s="47">
        <f t="shared" si="30"/>
        <v>-9.7147897407810942E-6</v>
      </c>
      <c r="I74" s="19">
        <f t="shared" si="30"/>
        <v>1.6699999999999998E-3</v>
      </c>
      <c r="J74" s="19">
        <f t="shared" si="30"/>
        <v>1.6699999999999998E-3</v>
      </c>
      <c r="K74" s="19">
        <f t="shared" si="30"/>
        <v>1.6699999999999998E-3</v>
      </c>
      <c r="L74" s="19">
        <f t="shared" si="30"/>
        <v>1.6699999999999998E-3</v>
      </c>
      <c r="M74" s="19">
        <f t="shared" si="30"/>
        <v>1.6699999999999998E-3</v>
      </c>
      <c r="N74" s="19">
        <f t="shared" si="30"/>
        <v>1.6699999999999998E-3</v>
      </c>
      <c r="O74" s="19">
        <f t="shared" si="30"/>
        <v>1.6699999999999998E-3</v>
      </c>
      <c r="P74" s="19">
        <f t="shared" si="30"/>
        <v>1.6699999999999998E-3</v>
      </c>
      <c r="Q74" s="19">
        <f t="shared" si="30"/>
        <v>1.6699999999999998E-3</v>
      </c>
      <c r="R74" s="19">
        <f t="shared" si="30"/>
        <v>1.6699999999999998E-3</v>
      </c>
      <c r="S74" s="47">
        <f t="shared" si="30"/>
        <v>2.9230969636428322E-5</v>
      </c>
      <c r="T74" s="154">
        <f t="shared" si="30"/>
        <v>-1.5085421239346541E-5</v>
      </c>
      <c r="U74" s="155">
        <f t="shared" si="30"/>
        <v>4.7127509397082781E-5</v>
      </c>
      <c r="V74" s="47">
        <f t="shared" si="30"/>
        <v>-3.0098915534408806E-6</v>
      </c>
      <c r="W74" s="47">
        <f t="shared" si="30"/>
        <v>2.7418760200568701E-5</v>
      </c>
      <c r="X74" s="154">
        <f t="shared" si="30"/>
        <v>-1.8946998233120883E-5</v>
      </c>
      <c r="Y74" s="155">
        <f t="shared" si="30"/>
        <v>1.1584892941013478E-5</v>
      </c>
      <c r="Z74" s="200">
        <f t="shared" si="30"/>
        <v>7.3608533820465442E-6</v>
      </c>
      <c r="AA74" s="47">
        <f t="shared" si="30"/>
        <v>7.5870860768807377E-6</v>
      </c>
      <c r="AB74" s="47">
        <f t="shared" si="30"/>
        <v>6.9943901098794801E-6</v>
      </c>
      <c r="AC74" s="47">
        <f t="shared" si="30"/>
        <v>6.1490227485925045E-6</v>
      </c>
      <c r="BC74" s="178">
        <f>_xll.qlCalendarAdvance(Calendar,BC73,"1d","mf",,Trigger)</f>
        <v>42377</v>
      </c>
      <c r="BD74" s="41">
        <f>_xll.qlDayCounterYearFraction(DayCounter,SettlementDate,BC74,,,Trigger)</f>
        <v>0.2722222222222222</v>
      </c>
      <c r="BE74" s="47">
        <f>_xll.qlPolynomialFunctionValue(BE$1,$BD74,AllTriggers)</f>
        <v>3.003558137593519E-3</v>
      </c>
      <c r="BF74" s="47">
        <f>_xll.qlPolynomialFunctionValue(BF$1,$BD74,AllTriggers)</f>
        <v>3.0019579780767402E-3</v>
      </c>
      <c r="BG74" s="47">
        <f>_xll.qlPolynomialFunctionValue(BG$1,$BD74,AllTriggers)</f>
        <v>2.9896874144788106E-3</v>
      </c>
      <c r="BH74" s="47">
        <f>_xll.qlPolynomialFunctionValue(BH$1,$BD74,AllTriggers)</f>
        <v>3.0036500923509997E-3</v>
      </c>
      <c r="BI74" s="47">
        <f>_xll.qlPolynomialFunctionValue(BI$1,$BD74,AllTriggers)</f>
        <v>3.0017530827079128E-3</v>
      </c>
      <c r="BJ74" s="47">
        <f>_xll.qlPolynomialFunctionValue(BJ$1,$BD74,AllTriggers)</f>
        <v>3.0003024015178461E-3</v>
      </c>
      <c r="BK74" s="47">
        <f>_xll.qlPolynomialFunctionValue(BK$1,$BD74,AllTriggers)</f>
        <v>2.9908745057632751E-3</v>
      </c>
      <c r="BL74" s="47">
        <f>_xll.qlPolynomialFunctionValue(BL$1,$BD74,AllTriggers)</f>
        <v>3.0052402930031931E-3</v>
      </c>
      <c r="BM74" s="47">
        <f>_xll.qlPolynomialFunctionValue(BM$1,$BD74,AllTriggers)</f>
        <v>2.9778748470688475E-3</v>
      </c>
      <c r="BN74" s="47">
        <f>_xll.qlPolynomialFunctionValue(BN$1,$BD74,AllTriggers)</f>
        <v>2.9941053260788587E-3</v>
      </c>
      <c r="BO74" s="47">
        <f>_xll.qlPolynomialFunctionValue(BO$1,$BD74,AllTriggers)</f>
        <v>2.9674824989556065E-3</v>
      </c>
      <c r="BP74" s="47">
        <f>_xll.qlPolynomialFunctionValue(BP$1,$BD74,AllTriggers)</f>
        <v>2.9747650073213903E-3</v>
      </c>
      <c r="BQ74" s="47">
        <f>_xll.qlPolynomialFunctionValue('12MSynthDepo_used'!$P$18,BD74,AllTriggers)</f>
        <v>2.9850018698897645E-3</v>
      </c>
    </row>
    <row r="75" spans="3:69" x14ac:dyDescent="0.2">
      <c r="C75" s="194"/>
      <c r="D75" s="194"/>
      <c r="F75" s="190" t="str">
        <f t="shared" si="21"/>
        <v>9x21F</v>
      </c>
      <c r="G75" s="47">
        <f t="shared" ref="G75:AC75" si="31">$AD60-G60</f>
        <v>1.1232510970672844E-4</v>
      </c>
      <c r="H75" s="47">
        <f t="shared" si="31"/>
        <v>-2.4715870002631809E-5</v>
      </c>
      <c r="I75" s="19">
        <f t="shared" si="31"/>
        <v>1.7499999999999998E-3</v>
      </c>
      <c r="J75" s="19">
        <f t="shared" si="31"/>
        <v>1.7499999999999998E-3</v>
      </c>
      <c r="K75" s="19">
        <f t="shared" si="31"/>
        <v>1.7499999999999998E-3</v>
      </c>
      <c r="L75" s="19">
        <f t="shared" si="31"/>
        <v>1.7499999999999998E-3</v>
      </c>
      <c r="M75" s="19">
        <f t="shared" si="31"/>
        <v>1.7499999999999998E-3</v>
      </c>
      <c r="N75" s="19">
        <f t="shared" si="31"/>
        <v>1.7499999999999998E-3</v>
      </c>
      <c r="O75" s="19">
        <f t="shared" si="31"/>
        <v>1.7499999999999998E-3</v>
      </c>
      <c r="P75" s="19">
        <f t="shared" si="31"/>
        <v>1.7499999999999998E-3</v>
      </c>
      <c r="Q75" s="19">
        <f t="shared" si="31"/>
        <v>1.7499999999999998E-3</v>
      </c>
      <c r="R75" s="19">
        <f t="shared" si="31"/>
        <v>1.7499999999999998E-3</v>
      </c>
      <c r="S75" s="47">
        <f t="shared" si="31"/>
        <v>2.9735848828373827E-5</v>
      </c>
      <c r="T75" s="154">
        <f t="shared" si="31"/>
        <v>-3.2224777801100404E-5</v>
      </c>
      <c r="U75" s="155">
        <f t="shared" si="31"/>
        <v>5.0531774431166691E-5</v>
      </c>
      <c r="V75" s="47">
        <f t="shared" si="31"/>
        <v>-1.4617801630225497E-5</v>
      </c>
      <c r="W75" s="47">
        <f t="shared" si="31"/>
        <v>2.7863147898748303E-5</v>
      </c>
      <c r="X75" s="154">
        <f t="shared" si="31"/>
        <v>-3.6867339006086981E-5</v>
      </c>
      <c r="Y75" s="155">
        <f t="shared" si="31"/>
        <v>9.2391152095123649E-6</v>
      </c>
      <c r="Z75" s="200">
        <f t="shared" si="31"/>
        <v>-8.1089986461160488E-7</v>
      </c>
      <c r="AA75" s="47">
        <f t="shared" si="31"/>
        <v>3.8488004360215898E-6</v>
      </c>
      <c r="AB75" s="47">
        <f t="shared" si="31"/>
        <v>1.6376431537391128E-6</v>
      </c>
      <c r="AC75" s="47">
        <f t="shared" si="31"/>
        <v>5.4103980057663287E-6</v>
      </c>
      <c r="BC75" s="178">
        <f>_xll.qlCalendarAdvance(Calendar,BC74,"1d","mf",,Trigger)</f>
        <v>42380</v>
      </c>
      <c r="BD75" s="41">
        <f>_xll.qlDayCounterYearFraction(DayCounter,SettlementDate,BC75,,,Trigger)</f>
        <v>0.28055555555555556</v>
      </c>
      <c r="BE75" s="47">
        <f>_xll.qlPolynomialFunctionValue(BE$1,$BD75,AllTriggers)</f>
        <v>3.0079981821446778E-3</v>
      </c>
      <c r="BF75" s="47">
        <f>_xll.qlPolynomialFunctionValue(BF$1,$BD75,AllTriggers)</f>
        <v>3.0056418522599439E-3</v>
      </c>
      <c r="BG75" s="47">
        <f>_xll.qlPolynomialFunctionValue(BG$1,$BD75,AllTriggers)</f>
        <v>2.9944846450329229E-3</v>
      </c>
      <c r="BH75" s="47">
        <f>_xll.qlPolynomialFunctionValue(BH$1,$BD75,AllTriggers)</f>
        <v>3.0071804343681763E-3</v>
      </c>
      <c r="BI75" s="47">
        <f>_xll.qlPolynomialFunctionValue(BI$1,$BD75,AllTriggers)</f>
        <v>3.0062747205973428E-3</v>
      </c>
      <c r="BJ75" s="47">
        <f>_xll.qlPolynomialFunctionValue(BJ$1,$BD75,AllTriggers)</f>
        <v>3.0042451760316398E-3</v>
      </c>
      <c r="BK75" s="47">
        <f>_xll.qlPolynomialFunctionValue(BK$1,$BD75,AllTriggers)</f>
        <v>2.995677486159894E-3</v>
      </c>
      <c r="BL75" s="47">
        <f>_xll.qlPolynomialFunctionValue(BL$1,$BD75,AllTriggers)</f>
        <v>3.0087325318497479E-3</v>
      </c>
      <c r="BM75" s="47">
        <f>_xll.qlPolynomialFunctionValue(BM$1,$BD75,AllTriggers)</f>
        <v>2.9829430385024018E-3</v>
      </c>
      <c r="BN75" s="47">
        <f>_xll.qlPolynomialFunctionValue(BN$1,$BD75,AllTriggers)</f>
        <v>2.9983284820469876E-3</v>
      </c>
      <c r="BO75" s="47">
        <f>_xll.qlPolynomialFunctionValue(BO$1,$BD75,AllTriggers)</f>
        <v>2.9726830511670036E-3</v>
      </c>
      <c r="BP75" s="47">
        <f>_xll.qlPolynomialFunctionValue(BP$1,$BD75,AllTriggers)</f>
        <v>2.9796658301259652E-3</v>
      </c>
      <c r="BQ75" s="47">
        <f>_xll.qlPolynomialFunctionValue('12MSynthDepo_used'!$P$18,BD75,AllTriggers)</f>
        <v>2.9899043763494271E-3</v>
      </c>
    </row>
    <row r="76" spans="3:69" x14ac:dyDescent="0.2">
      <c r="C76" s="194"/>
      <c r="D76" s="194"/>
      <c r="F76" s="190" t="str">
        <f t="shared" si="21"/>
        <v>10x22F</v>
      </c>
      <c r="G76" s="47">
        <f t="shared" ref="G76:AC76" si="32">$AD61-G61</f>
        <v>1.1374183046641709E-4</v>
      </c>
      <c r="H76" s="47">
        <f t="shared" si="32"/>
        <v>-4.3315281690721897E-5</v>
      </c>
      <c r="I76" s="19">
        <f t="shared" si="32"/>
        <v>1.83E-3</v>
      </c>
      <c r="J76" s="19">
        <f t="shared" si="32"/>
        <v>1.83E-3</v>
      </c>
      <c r="K76" s="19">
        <f t="shared" si="32"/>
        <v>1.83E-3</v>
      </c>
      <c r="L76" s="19">
        <f t="shared" si="32"/>
        <v>1.83E-3</v>
      </c>
      <c r="M76" s="19">
        <f t="shared" si="32"/>
        <v>1.83E-3</v>
      </c>
      <c r="N76" s="19">
        <f t="shared" si="32"/>
        <v>1.83E-3</v>
      </c>
      <c r="O76" s="19">
        <f t="shared" si="32"/>
        <v>1.83E-3</v>
      </c>
      <c r="P76" s="19">
        <f t="shared" si="32"/>
        <v>1.83E-3</v>
      </c>
      <c r="Q76" s="19">
        <f t="shared" si="32"/>
        <v>1.83E-3</v>
      </c>
      <c r="R76" s="19">
        <f t="shared" si="32"/>
        <v>1.83E-3</v>
      </c>
      <c r="S76" s="47">
        <f t="shared" si="32"/>
        <v>2.7368391338372568E-5</v>
      </c>
      <c r="T76" s="154">
        <f t="shared" si="32"/>
        <v>-5.3062580674612114E-5</v>
      </c>
      <c r="U76" s="155">
        <f t="shared" si="32"/>
        <v>5.0791885360603525E-5</v>
      </c>
      <c r="V76" s="47">
        <f t="shared" si="32"/>
        <v>-2.9652313701015055E-5</v>
      </c>
      <c r="W76" s="47">
        <f t="shared" si="32"/>
        <v>2.5440869992521438E-5</v>
      </c>
      <c r="X76" s="154">
        <f t="shared" si="32"/>
        <v>-5.8507550303227209E-5</v>
      </c>
      <c r="Y76" s="155">
        <f t="shared" si="32"/>
        <v>4.2882498826378804E-6</v>
      </c>
      <c r="Z76" s="200">
        <f t="shared" si="32"/>
        <v>-1.222001601630749E-5</v>
      </c>
      <c r="AA76" s="47">
        <f t="shared" si="32"/>
        <v>-2.3640251837087761E-6</v>
      </c>
      <c r="AB76" s="47">
        <f t="shared" si="32"/>
        <v>-6.4240326412036419E-6</v>
      </c>
      <c r="AC76" s="47">
        <f t="shared" si="32"/>
        <v>2.5754207057509387E-6</v>
      </c>
      <c r="BC76" s="178">
        <f>_xll.qlCalendarAdvance(Calendar,BC75,"1d","mf",,Trigger)</f>
        <v>42381</v>
      </c>
      <c r="BD76" s="41">
        <f>_xll.qlDayCounterYearFraction(DayCounter,SettlementDate,BC76,,,Trigger)</f>
        <v>0.28333333333333333</v>
      </c>
      <c r="BE76" s="47">
        <f>_xll.qlPolynomialFunctionValue(BE$1,$BD76,AllTriggers)</f>
        <v>3.0094781969950638E-3</v>
      </c>
      <c r="BF76" s="47">
        <f>_xll.qlPolynomialFunctionValue(BF$1,$BD76,AllTriggers)</f>
        <v>3.0068748767891383E-3</v>
      </c>
      <c r="BG76" s="47">
        <f>_xll.qlPolynomialFunctionValue(BG$1,$BD76,AllTriggers)</f>
        <v>2.9960837218842937E-3</v>
      </c>
      <c r="BH76" s="47">
        <f>_xll.qlPolynomialFunctionValue(BH$1,$BD76,AllTriggers)</f>
        <v>3.0083629801761179E-3</v>
      </c>
      <c r="BI76" s="47">
        <f>_xll.qlPolynomialFunctionValue(BI$1,$BD76,AllTriggers)</f>
        <v>3.0077819332271524E-3</v>
      </c>
      <c r="BJ76" s="47">
        <f>_xll.qlPolynomialFunctionValue(BJ$1,$BD76,AllTriggers)</f>
        <v>3.0055633620836475E-3</v>
      </c>
      <c r="BK76" s="47">
        <f>_xll.qlPolynomialFunctionValue(BK$1,$BD76,AllTriggers)</f>
        <v>2.9972784796254335E-3</v>
      </c>
      <c r="BL76" s="47">
        <f>_xll.qlPolynomialFunctionValue(BL$1,$BD76,AllTriggers)</f>
        <v>3.0099025965864999E-3</v>
      </c>
      <c r="BM76" s="47">
        <f>_xll.qlPolynomialFunctionValue(BM$1,$BD76,AllTriggers)</f>
        <v>2.9846324356469201E-3</v>
      </c>
      <c r="BN76" s="47">
        <f>_xll.qlPolynomialFunctionValue(BN$1,$BD76,AllTriggers)</f>
        <v>2.9997389399293844E-3</v>
      </c>
      <c r="BO76" s="47">
        <f>_xll.qlPolynomialFunctionValue(BO$1,$BD76,AllTriggers)</f>
        <v>2.9744165685708025E-3</v>
      </c>
      <c r="BP76" s="47">
        <f>_xll.qlPolynomialFunctionValue(BP$1,$BD76,AllTriggers)</f>
        <v>2.9813003259304364E-3</v>
      </c>
      <c r="BQ76" s="47">
        <f>_xll.qlPolynomialFunctionValue('12MSynthDepo_used'!$P$18,BD76,AllTriggers)</f>
        <v>2.9915402911794607E-3</v>
      </c>
    </row>
    <row r="77" spans="3:69" x14ac:dyDescent="0.2">
      <c r="F77" s="190" t="str">
        <f t="shared" si="21"/>
        <v>11x23F</v>
      </c>
      <c r="G77" s="47">
        <f t="shared" ref="G77:AC77" si="33">$AD62-G62</f>
        <v>1.049281723583418E-4</v>
      </c>
      <c r="H77" s="47">
        <f t="shared" si="33"/>
        <v>-7.4320703949922991E-5</v>
      </c>
      <c r="I77" s="19">
        <f t="shared" si="33"/>
        <v>1.92E-3</v>
      </c>
      <c r="J77" s="19">
        <f t="shared" si="33"/>
        <v>1.92E-3</v>
      </c>
      <c r="K77" s="19">
        <f t="shared" si="33"/>
        <v>1.92E-3</v>
      </c>
      <c r="L77" s="19">
        <f t="shared" si="33"/>
        <v>1.92E-3</v>
      </c>
      <c r="M77" s="19">
        <f t="shared" si="33"/>
        <v>1.92E-3</v>
      </c>
      <c r="N77" s="19">
        <f t="shared" si="33"/>
        <v>1.92E-3</v>
      </c>
      <c r="O77" s="19">
        <f t="shared" si="33"/>
        <v>1.92E-3</v>
      </c>
      <c r="P77" s="19">
        <f t="shared" si="33"/>
        <v>1.92E-3</v>
      </c>
      <c r="Q77" s="19">
        <f t="shared" si="33"/>
        <v>1.92E-3</v>
      </c>
      <c r="R77" s="19">
        <f t="shared" si="33"/>
        <v>1.92E-3</v>
      </c>
      <c r="S77" s="47">
        <f t="shared" si="33"/>
        <v>1.6006172749451078E-5</v>
      </c>
      <c r="T77" s="154">
        <f t="shared" si="33"/>
        <v>-8.6776806409501672E-5</v>
      </c>
      <c r="U77" s="155">
        <f t="shared" si="33"/>
        <v>4.2238446806254102E-5</v>
      </c>
      <c r="V77" s="47">
        <f t="shared" si="33"/>
        <v>-5.6331944003578825E-5</v>
      </c>
      <c r="W77" s="47">
        <f t="shared" si="33"/>
        <v>1.4020050269014867E-5</v>
      </c>
      <c r="X77" s="154">
        <f t="shared" si="33"/>
        <v>-9.3179032955022266E-5</v>
      </c>
      <c r="Y77" s="155">
        <f t="shared" si="33"/>
        <v>-9.8355426008717075E-6</v>
      </c>
      <c r="Z77" s="200">
        <f t="shared" si="33"/>
        <v>-3.4486538215005571E-5</v>
      </c>
      <c r="AA77" s="47">
        <f t="shared" si="33"/>
        <v>-1.7836809704409881E-5</v>
      </c>
      <c r="AB77" s="47">
        <f t="shared" si="33"/>
        <v>-2.4274950656902284E-5</v>
      </c>
      <c r="AC77" s="47">
        <f t="shared" si="33"/>
        <v>-8.4666548341831311E-6</v>
      </c>
      <c r="BC77" s="178">
        <f>_xll.qlCalendarAdvance(Calendar,BC76,"1d","mf",,Trigger)</f>
        <v>42382</v>
      </c>
      <c r="BD77" s="41">
        <f>_xll.qlDayCounterYearFraction(DayCounter,SettlementDate,BC77,,,Trigger)</f>
        <v>0.28611111111111109</v>
      </c>
      <c r="BE77" s="47">
        <f>_xll.qlPolynomialFunctionValue(BE$1,$BD77,AllTriggers)</f>
        <v>3.0109582118454498E-3</v>
      </c>
      <c r="BF77" s="47">
        <f>_xll.qlPolynomialFunctionValue(BF$1,$BD77,AllTriggers)</f>
        <v>3.0081104345523963E-3</v>
      </c>
      <c r="BG77" s="47">
        <f>_xll.qlPolynomialFunctionValue(BG$1,$BD77,AllTriggers)</f>
        <v>2.9976827987356646E-3</v>
      </c>
      <c r="BH77" s="47">
        <f>_xll.qlPolynomialFunctionValue(BH$1,$BD77,AllTriggers)</f>
        <v>3.0095484085518338E-3</v>
      </c>
      <c r="BI77" s="47">
        <f>_xll.qlPolynomialFunctionValue(BI$1,$BD77,AllTriggers)</f>
        <v>3.0092891458569624E-3</v>
      </c>
      <c r="BJ77" s="47">
        <f>_xll.qlPolynomialFunctionValue(BJ$1,$BD77,AllTriggers)</f>
        <v>3.0068835120760267E-3</v>
      </c>
      <c r="BK77" s="47">
        <f>_xll.qlPolynomialFunctionValue(BK$1,$BD77,AllTriggers)</f>
        <v>2.9988794730909734E-3</v>
      </c>
      <c r="BL77" s="47">
        <f>_xll.qlPolynomialFunctionValue(BL$1,$BD77,AllTriggers)</f>
        <v>3.0110756538838674E-3</v>
      </c>
      <c r="BM77" s="47">
        <f>_xll.qlPolynomialFunctionValue(BM$1,$BD77,AllTriggers)</f>
        <v>2.9863218327914384E-3</v>
      </c>
      <c r="BN77" s="47">
        <f>_xll.qlPolynomialFunctionValue(BN$1,$BD77,AllTriggers)</f>
        <v>3.001150767424958E-3</v>
      </c>
      <c r="BO77" s="47">
        <f>_xll.qlPolynomialFunctionValue(BO$1,$BD77,AllTriggers)</f>
        <v>2.9761500859746019E-3</v>
      </c>
      <c r="BP77" s="47">
        <f>_xll.qlPolynomialFunctionValue(BP$1,$BD77,AllTriggers)</f>
        <v>2.982935265836381E-3</v>
      </c>
      <c r="BQ77" s="47">
        <f>_xll.qlPolynomialFunctionValue('12MSynthDepo_used'!$P$18,BD77,AllTriggers)</f>
        <v>2.9931770713049551E-3</v>
      </c>
    </row>
    <row r="78" spans="3:69" x14ac:dyDescent="0.2">
      <c r="F78" s="277" t="str">
        <f t="shared" si="21"/>
        <v>12x24F</v>
      </c>
      <c r="G78" s="50">
        <f t="shared" ref="G78:AC78" si="34">$AD63-G63</f>
        <v>1.1026270941073249E-4</v>
      </c>
      <c r="H78" s="50">
        <f t="shared" si="34"/>
        <v>-9.6393382231641477E-5</v>
      </c>
      <c r="I78" s="96">
        <f t="shared" si="34"/>
        <v>2.0299999999999997E-3</v>
      </c>
      <c r="J78" s="96">
        <f t="shared" si="34"/>
        <v>2.0299999999999997E-3</v>
      </c>
      <c r="K78" s="96">
        <f t="shared" si="34"/>
        <v>2.0299999999999997E-3</v>
      </c>
      <c r="L78" s="96">
        <f t="shared" si="34"/>
        <v>2.0299999999999997E-3</v>
      </c>
      <c r="M78" s="96">
        <f t="shared" si="34"/>
        <v>2.0299999999999997E-3</v>
      </c>
      <c r="N78" s="96">
        <f t="shared" si="34"/>
        <v>2.0299999999999997E-3</v>
      </c>
      <c r="O78" s="96">
        <f t="shared" si="34"/>
        <v>2.0299999999999997E-3</v>
      </c>
      <c r="P78" s="96">
        <f t="shared" si="34"/>
        <v>2.0299999999999997E-3</v>
      </c>
      <c r="Q78" s="96">
        <f t="shared" si="34"/>
        <v>2.0299999999999997E-3</v>
      </c>
      <c r="R78" s="96">
        <f t="shared" si="34"/>
        <v>2.0299999999999997E-3</v>
      </c>
      <c r="S78" s="50">
        <f t="shared" si="34"/>
        <v>1.5944895971597636E-5</v>
      </c>
      <c r="T78" s="276">
        <f t="shared" si="34"/>
        <v>-1.1188486333409565E-4</v>
      </c>
      <c r="U78" s="275">
        <f t="shared" si="34"/>
        <v>4.4985950062972294E-5</v>
      </c>
      <c r="V78" s="50">
        <f t="shared" si="34"/>
        <v>-7.354662522889889E-5</v>
      </c>
      <c r="W78" s="50">
        <f t="shared" si="34"/>
        <v>1.390017235657591E-5</v>
      </c>
      <c r="X78" s="276">
        <f t="shared" si="34"/>
        <v>-1.1934717377720195E-4</v>
      </c>
      <c r="Y78" s="275">
        <f t="shared" si="34"/>
        <v>-1.2658393273313681E-5</v>
      </c>
      <c r="Z78" s="201">
        <f t="shared" si="34"/>
        <v>-4.6732503627119459E-5</v>
      </c>
      <c r="AA78" s="50">
        <f t="shared" si="34"/>
        <v>-2.2008652414042505E-5</v>
      </c>
      <c r="AB78" s="50">
        <f t="shared" si="34"/>
        <v>-3.1240095819721168E-5</v>
      </c>
      <c r="AC78" s="50">
        <f t="shared" si="34"/>
        <v>-7.2311760248265633E-6</v>
      </c>
      <c r="BC78" s="178">
        <f>_xll.qlCalendarAdvance(Calendar,BC77,"1d","mf",,Trigger)</f>
        <v>42383</v>
      </c>
      <c r="BD78" s="41">
        <f>_xll.qlDayCounterYearFraction(DayCounter,SettlementDate,BC78,,,Trigger)</f>
        <v>0.28888888888888886</v>
      </c>
      <c r="BE78" s="47">
        <f>_xll.qlPolynomialFunctionValue(BE$1,$BD78,AllTriggers)</f>
        <v>3.0124382266958362E-3</v>
      </c>
      <c r="BF78" s="47">
        <f>_xll.qlPolynomialFunctionValue(BF$1,$BD78,AllTriggers)</f>
        <v>3.0093485255497181E-3</v>
      </c>
      <c r="BG78" s="47">
        <f>_xll.qlPolynomialFunctionValue(BG$1,$BD78,AllTriggers)</f>
        <v>2.9992818755870355E-3</v>
      </c>
      <c r="BH78" s="47">
        <f>_xll.qlPolynomialFunctionValue(BH$1,$BD78,AllTriggers)</f>
        <v>3.0107367194953244E-3</v>
      </c>
      <c r="BI78" s="47">
        <f>_xll.qlPolynomialFunctionValue(BI$1,$BD78,AllTriggers)</f>
        <v>3.0107963584867724E-3</v>
      </c>
      <c r="BJ78" s="47">
        <f>_xll.qlPolynomialFunctionValue(BJ$1,$BD78,AllTriggers)</f>
        <v>3.0082056260087786E-3</v>
      </c>
      <c r="BK78" s="47">
        <f>_xll.qlPolynomialFunctionValue(BK$1,$BD78,AllTriggers)</f>
        <v>3.0004804665565129E-3</v>
      </c>
      <c r="BL78" s="47">
        <f>_xll.qlPolynomialFunctionValue(BL$1,$BD78,AllTriggers)</f>
        <v>3.0122517037418522E-3</v>
      </c>
      <c r="BM78" s="47">
        <f>_xll.qlPolynomialFunctionValue(BM$1,$BD78,AllTriggers)</f>
        <v>2.9880112299359566E-3</v>
      </c>
      <c r="BN78" s="47">
        <f>_xll.qlPolynomialFunctionValue(BN$1,$BD78,AllTriggers)</f>
        <v>3.0025639645337087E-3</v>
      </c>
      <c r="BO78" s="47">
        <f>_xll.qlPolynomialFunctionValue(BO$1,$BD78,AllTriggers)</f>
        <v>2.9778836033784008E-3</v>
      </c>
      <c r="BP78" s="47">
        <f>_xll.qlPolynomialFunctionValue(BP$1,$BD78,AllTriggers)</f>
        <v>2.9845706498437992E-3</v>
      </c>
      <c r="BQ78" s="47">
        <f>_xll.qlPolynomialFunctionValue('12MSynthDepo_used'!$P$18,BD78,AllTriggers)</f>
        <v>2.9948147121001425E-3</v>
      </c>
    </row>
    <row r="79" spans="3:69" x14ac:dyDescent="0.2">
      <c r="K79" s="55"/>
      <c r="L79" s="55"/>
      <c r="M79" s="55"/>
      <c r="N79" s="55"/>
      <c r="BC79" s="178">
        <f>_xll.qlCalendarAdvance(Calendar,BC78,"1d","mf",,Trigger)</f>
        <v>42384</v>
      </c>
      <c r="BD79" s="41">
        <f>_xll.qlDayCounterYearFraction(DayCounter,SettlementDate,BC79,,,Trigger)</f>
        <v>0.29166666666666669</v>
      </c>
      <c r="BE79" s="47">
        <f>_xll.qlPolynomialFunctionValue(BE$1,$BD79,AllTriggers)</f>
        <v>3.0139182415462222E-3</v>
      </c>
      <c r="BF79" s="47">
        <f>_xll.qlPolynomialFunctionValue(BF$1,$BD79,AllTriggers)</f>
        <v>3.0105891497811035E-3</v>
      </c>
      <c r="BG79" s="47">
        <f>_xll.qlPolynomialFunctionValue(BG$1,$BD79,AllTriggers)</f>
        <v>3.000880952438406E-3</v>
      </c>
      <c r="BH79" s="47">
        <f>_xll.qlPolynomialFunctionValue(BH$1,$BD79,AllTriggers)</f>
        <v>3.0119279130065898E-3</v>
      </c>
      <c r="BI79" s="47">
        <f>_xll.qlPolynomialFunctionValue(BI$1,$BD79,AllTriggers)</f>
        <v>3.0123035711165824E-3</v>
      </c>
      <c r="BJ79" s="47">
        <f>_xll.qlPolynomialFunctionValue(BJ$1,$BD79,AllTriggers)</f>
        <v>3.0095297038819015E-3</v>
      </c>
      <c r="BK79" s="47">
        <f>_xll.qlPolynomialFunctionValue(BK$1,$BD79,AllTriggers)</f>
        <v>3.0020814600220523E-3</v>
      </c>
      <c r="BL79" s="47">
        <f>_xll.qlPolynomialFunctionValue(BL$1,$BD79,AllTriggers)</f>
        <v>3.0134307461604534E-3</v>
      </c>
      <c r="BM79" s="47">
        <f>_xll.qlPolynomialFunctionValue(BM$1,$BD79,AllTriggers)</f>
        <v>2.9897006270804749E-3</v>
      </c>
      <c r="BN79" s="47">
        <f>_xll.qlPolynomialFunctionValue(BN$1,$BD79,AllTriggers)</f>
        <v>3.0039785312556363E-3</v>
      </c>
      <c r="BO79" s="47">
        <f>_xll.qlPolynomialFunctionValue(BO$1,$BD79,AllTriggers)</f>
        <v>2.9796171207821997E-3</v>
      </c>
      <c r="BP79" s="47">
        <f>_xll.qlPolynomialFunctionValue(BP$1,$BD79,AllTriggers)</f>
        <v>2.9862064779526908E-3</v>
      </c>
      <c r="BQ79" s="47">
        <f>_xll.qlPolynomialFunctionValue('12MSynthDepo_used'!$P$18,BD79,AllTriggers)</f>
        <v>2.9964532089392561E-3</v>
      </c>
    </row>
    <row r="80" spans="3:69" x14ac:dyDescent="0.2">
      <c r="K80" s="55"/>
      <c r="L80" s="55"/>
      <c r="M80" s="55"/>
      <c r="N80" s="55"/>
      <c r="R80" s="34"/>
      <c r="BC80" s="178">
        <f>_xll.qlCalendarAdvance(Calendar,BC79,"1d","mf",,Trigger)</f>
        <v>42387</v>
      </c>
      <c r="BD80" s="41">
        <f>_xll.qlDayCounterYearFraction(DayCounter,SettlementDate,BC80,,,Trigger)</f>
        <v>0.3</v>
      </c>
      <c r="BE80" s="47">
        <f>_xll.qlPolynomialFunctionValue(BE$1,$BD80,AllTriggers)</f>
        <v>3.0183582860973811E-3</v>
      </c>
      <c r="BF80" s="47">
        <f>_xll.qlPolynomialFunctionValue(BF$1,$BD80,AllTriggers)</f>
        <v>3.0143262218796404E-3</v>
      </c>
      <c r="BG80" s="47">
        <f>_xll.qlPolynomialFunctionValue(BG$1,$BD80,AllTriggers)</f>
        <v>3.0056781829925186E-3</v>
      </c>
      <c r="BH80" s="47">
        <f>_xll.qlPolynomialFunctionValue(BH$1,$BD80,AllTriggers)</f>
        <v>3.0155187889470327E-3</v>
      </c>
      <c r="BI80" s="47">
        <f>_xll.qlPolynomialFunctionValue(BI$1,$BD80,AllTriggers)</f>
        <v>3.0168252090060125E-3</v>
      </c>
      <c r="BJ80" s="47">
        <f>_xll.qlPolynomialFunctionValue(BJ$1,$BD80,AllTriggers)</f>
        <v>3.0135137211435015E-3</v>
      </c>
      <c r="BK80" s="47">
        <f>_xll.qlPolynomialFunctionValue(BK$1,$BD80,AllTriggers)</f>
        <v>3.0068844404186712E-3</v>
      </c>
      <c r="BL80" s="47">
        <f>_xll.qlPolynomialFunctionValue(BL$1,$BD80,AllTriggers)</f>
        <v>3.0169858287799564E-3</v>
      </c>
      <c r="BM80" s="47">
        <f>_xll.qlPolynomialFunctionValue(BM$1,$BD80,AllTriggers)</f>
        <v>2.9947688185140292E-3</v>
      </c>
      <c r="BN80" s="47">
        <f>_xll.qlPolynomialFunctionValue(BN$1,$BD80,AllTriggers)</f>
        <v>3.0082304491004805E-3</v>
      </c>
      <c r="BO80" s="47">
        <f>_xll.qlPolynomialFunctionValue(BO$1,$BD80,AllTriggers)</f>
        <v>2.9848176729935969E-3</v>
      </c>
      <c r="BP80" s="47">
        <f>_xll.qlPolynomialFunctionValue(BP$1,$BD80,AllTriggers)</f>
        <v>2.9911166268882052E-3</v>
      </c>
      <c r="BQ80" s="47">
        <f>_xll.qlPolynomialFunctionValue('12MSynthDepo_used'!$P$18,BD80,AllTriggers)</f>
        <v>3.001373789462477E-3</v>
      </c>
    </row>
    <row r="81" spans="8:69" x14ac:dyDescent="0.2">
      <c r="K81" s="55"/>
      <c r="L81" s="55"/>
      <c r="M81" s="55"/>
      <c r="N81" s="55"/>
      <c r="R81" s="34"/>
      <c r="BC81" s="178">
        <f>_xll.qlCalendarAdvance(Calendar,BC80,"1d","mf",,Trigger)</f>
        <v>42388</v>
      </c>
      <c r="BD81" s="41">
        <f>_xll.qlDayCounterYearFraction(DayCounter,SettlementDate,BC81,,,Trigger)</f>
        <v>0.30277777777777776</v>
      </c>
      <c r="BE81" s="47">
        <f>_xll.qlPolynomialFunctionValue(BE$1,$BD81,AllTriggers)</f>
        <v>3.0198383009477671E-3</v>
      </c>
      <c r="BF81" s="47">
        <f>_xll.qlPolynomialFunctionValue(BF$1,$BD81,AllTriggers)</f>
        <v>3.0155769790472793E-3</v>
      </c>
      <c r="BG81" s="47">
        <f>_xll.qlPolynomialFunctionValue(BG$1,$BD81,AllTriggers)</f>
        <v>3.0072772598438895E-3</v>
      </c>
      <c r="BH81" s="47">
        <f>_xll.qlPolynomialFunctionValue(BH$1,$BD81,AllTriggers)</f>
        <v>3.0167215127293963E-3</v>
      </c>
      <c r="BI81" s="47">
        <f>_xll.qlPolynomialFunctionValue(BI$1,$BD81,AllTriggers)</f>
        <v>3.0183324216358225E-3</v>
      </c>
      <c r="BJ81" s="47">
        <f>_xll.qlPolynomialFunctionValue(BJ$1,$BD81,AllTriggers)</f>
        <v>3.0148456547781114E-3</v>
      </c>
      <c r="BK81" s="47">
        <f>_xll.qlPolynomialFunctionValue(BK$1,$BD81,AllTriggers)</f>
        <v>3.0084854338842107E-3</v>
      </c>
      <c r="BL81" s="47">
        <f>_xll.qlPolynomialFunctionValue(BL$1,$BD81,AllTriggers)</f>
        <v>3.0181768414410241E-3</v>
      </c>
      <c r="BM81" s="47">
        <f>_xll.qlPolynomialFunctionValue(BM$1,$BD81,AllTriggers)</f>
        <v>2.9964582156585475E-3</v>
      </c>
      <c r="BN81" s="47">
        <f>_xll.qlPolynomialFunctionValue(BN$1,$BD81,AllTriggers)</f>
        <v>3.0096504942751156E-3</v>
      </c>
      <c r="BO81" s="47">
        <f>_xll.qlPolynomialFunctionValue(BO$1,$BD81,AllTriggers)</f>
        <v>2.9865511903973962E-3</v>
      </c>
      <c r="BP81" s="47">
        <f>_xll.qlPolynomialFunctionValue(BP$1,$BD81,AllTriggers)</f>
        <v>2.9927542314029899E-3</v>
      </c>
      <c r="BQ81" s="47">
        <f>_xll.qlPolynomialFunctionValue('12MSynthDepo_used'!$P$18,BD81,AllTriggers)</f>
        <v>3.0030156642196198E-3</v>
      </c>
    </row>
    <row r="82" spans="8:69" x14ac:dyDescent="0.2">
      <c r="K82" s="55"/>
      <c r="L82" s="55"/>
      <c r="M82" s="55"/>
      <c r="N82" s="55"/>
      <c r="R82" s="34"/>
      <c r="BC82" s="178">
        <f>_xll.qlCalendarAdvance(Calendar,BC81,"1d","mf",,Trigger)</f>
        <v>42389</v>
      </c>
      <c r="BD82" s="41">
        <f>_xll.qlDayCounterYearFraction(DayCounter,SettlementDate,BC82,,,Trigger)</f>
        <v>0.30555555555555558</v>
      </c>
      <c r="BE82" s="47">
        <f>_xll.qlPolynomialFunctionValue(BE$1,$BD82,AllTriggers)</f>
        <v>3.0213183157981535E-3</v>
      </c>
      <c r="BF82" s="47">
        <f>_xll.qlPolynomialFunctionValue(BF$1,$BD82,AllTriggers)</f>
        <v>3.0168302694489821E-3</v>
      </c>
      <c r="BG82" s="47">
        <f>_xll.qlPolynomialFunctionValue(BG$1,$BD82,AllTriggers)</f>
        <v>3.00887633669526E-3</v>
      </c>
      <c r="BH82" s="47">
        <f>_xll.qlPolynomialFunctionValue(BH$1,$BD82,AllTriggers)</f>
        <v>3.017927119079535E-3</v>
      </c>
      <c r="BI82" s="47">
        <f>_xll.qlPolynomialFunctionValue(BI$1,$BD82,AllTriggers)</f>
        <v>3.0198396342656325E-3</v>
      </c>
      <c r="BJ82" s="47">
        <f>_xll.qlPolynomialFunctionValue(BJ$1,$BD82,AllTriggers)</f>
        <v>3.0161795523530937E-3</v>
      </c>
      <c r="BK82" s="47">
        <f>_xll.qlPolynomialFunctionValue(BK$1,$BD82,AllTriggers)</f>
        <v>3.0100864273497506E-3</v>
      </c>
      <c r="BL82" s="47">
        <f>_xll.qlPolynomialFunctionValue(BL$1,$BD82,AllTriggers)</f>
        <v>3.0193708466627078E-3</v>
      </c>
      <c r="BM82" s="47">
        <f>_xll.qlPolynomialFunctionValue(BM$1,$BD82,AllTriggers)</f>
        <v>2.9981476128030657E-3</v>
      </c>
      <c r="BN82" s="47">
        <f>_xll.qlPolynomialFunctionValue(BN$1,$BD82,AllTriggers)</f>
        <v>3.0110719090629275E-3</v>
      </c>
      <c r="BO82" s="47">
        <f>_xll.qlPolynomialFunctionValue(BO$1,$BD82,AllTriggers)</f>
        <v>2.9882847078011952E-3</v>
      </c>
      <c r="BP82" s="47">
        <f>_xll.qlPolynomialFunctionValue(BP$1,$BD82,AllTriggers)</f>
        <v>2.9943922800192476E-3</v>
      </c>
      <c r="BQ82" s="47">
        <f>_xll.qlPolynomialFunctionValue('12MSynthDepo_used'!$P$18,BD82,AllTriggers)</f>
        <v>3.0046583718918514E-3</v>
      </c>
    </row>
    <row r="83" spans="8:69" x14ac:dyDescent="0.2">
      <c r="K83" s="55"/>
      <c r="L83" s="55"/>
      <c r="M83" s="55"/>
      <c r="N83" s="55"/>
      <c r="R83" s="34"/>
      <c r="BC83" s="178">
        <f>_xll.qlCalendarAdvance(Calendar,BC82,"1d","mf",,Trigger)</f>
        <v>42390</v>
      </c>
      <c r="BD83" s="41">
        <f>_xll.qlDayCounterYearFraction(DayCounter,SettlementDate,BC83,,,Trigger)</f>
        <v>0.30833333333333335</v>
      </c>
      <c r="BE83" s="47">
        <f>_xll.qlPolynomialFunctionValue(BE$1,$BD83,AllTriggers)</f>
        <v>3.0227983306485395E-3</v>
      </c>
      <c r="BF83" s="47">
        <f>_xll.qlPolynomialFunctionValue(BF$1,$BD83,AllTriggers)</f>
        <v>3.0180860930847484E-3</v>
      </c>
      <c r="BG83" s="47">
        <f>_xll.qlPolynomialFunctionValue(BG$1,$BD83,AllTriggers)</f>
        <v>3.0104754135466308E-3</v>
      </c>
      <c r="BH83" s="47">
        <f>_xll.qlPolynomialFunctionValue(BH$1,$BD83,AllTriggers)</f>
        <v>3.0191356079974476E-3</v>
      </c>
      <c r="BI83" s="47">
        <f>_xll.qlPolynomialFunctionValue(BI$1,$BD83,AllTriggers)</f>
        <v>3.0213468468954425E-3</v>
      </c>
      <c r="BJ83" s="47">
        <f>_xll.qlPolynomialFunctionValue(BJ$1,$BD83,AllTriggers)</f>
        <v>3.0175154138684475E-3</v>
      </c>
      <c r="BK83" s="47">
        <f>_xll.qlPolynomialFunctionValue(BK$1,$BD83,AllTriggers)</f>
        <v>3.01168742081529E-3</v>
      </c>
      <c r="BL83" s="47">
        <f>_xll.qlPolynomialFunctionValue(BL$1,$BD83,AllTriggers)</f>
        <v>3.0205678444450088E-3</v>
      </c>
      <c r="BM83" s="47">
        <f>_xll.qlPolynomialFunctionValue(BM$1,$BD83,AllTriggers)</f>
        <v>2.999837009947584E-3</v>
      </c>
      <c r="BN83" s="47">
        <f>_xll.qlPolynomialFunctionValue(BN$1,$BD83,AllTriggers)</f>
        <v>3.012494693463917E-3</v>
      </c>
      <c r="BO83" s="47">
        <f>_xll.qlPolynomialFunctionValue(BO$1,$BD83,AllTriggers)</f>
        <v>2.9900182252049945E-3</v>
      </c>
      <c r="BP83" s="47">
        <f>_xll.qlPolynomialFunctionValue(BP$1,$BD83,AllTriggers)</f>
        <v>2.9960307727369792E-3</v>
      </c>
      <c r="BQ83" s="47">
        <f>_xll.qlPolynomialFunctionValue('12MSynthDepo_used'!$P$18,BD83,AllTriggers)</f>
        <v>3.0063019078534039E-3</v>
      </c>
    </row>
    <row r="84" spans="8:69" x14ac:dyDescent="0.2">
      <c r="H84" s="35"/>
      <c r="K84" s="55"/>
      <c r="L84" s="55"/>
      <c r="M84" s="55"/>
      <c r="N84" s="55"/>
      <c r="R84" s="34"/>
      <c r="BC84" s="178">
        <f>_xll.qlCalendarAdvance(Calendar,BC83,"1d","mf",,Trigger)</f>
        <v>42391</v>
      </c>
      <c r="BD84" s="41">
        <f>_xll.qlDayCounterYearFraction(DayCounter,SettlementDate,BC84,,,Trigger)</f>
        <v>0.31111111111111112</v>
      </c>
      <c r="BE84" s="47">
        <f>_xll.qlPolynomialFunctionValue(BE$1,$BD84,AllTriggers)</f>
        <v>3.0242783454989255E-3</v>
      </c>
      <c r="BF84" s="47">
        <f>_xll.qlPolynomialFunctionValue(BF$1,$BD84,AllTriggers)</f>
        <v>3.0193444499545786E-3</v>
      </c>
      <c r="BG84" s="47">
        <f>_xll.qlPolynomialFunctionValue(BG$1,$BD84,AllTriggers)</f>
        <v>3.0120744903980017E-3</v>
      </c>
      <c r="BH84" s="47">
        <f>_xll.qlPolynomialFunctionValue(BH$1,$BD84,AllTriggers)</f>
        <v>3.0203469794831349E-3</v>
      </c>
      <c r="BI84" s="47">
        <f>_xll.qlPolynomialFunctionValue(BI$1,$BD84,AllTriggers)</f>
        <v>3.0228540595252525E-3</v>
      </c>
      <c r="BJ84" s="47">
        <f>_xll.qlPolynomialFunctionValue(BJ$1,$BD84,AllTriggers)</f>
        <v>3.0188532393241726E-3</v>
      </c>
      <c r="BK84" s="47">
        <f>_xll.qlPolynomialFunctionValue(BK$1,$BD84,AllTriggers)</f>
        <v>3.0132884142808295E-3</v>
      </c>
      <c r="BL84" s="47">
        <f>_xll.qlPolynomialFunctionValue(BL$1,$BD84,AllTriggers)</f>
        <v>3.0217678347879257E-3</v>
      </c>
      <c r="BM84" s="47">
        <f>_xll.qlPolynomialFunctionValue(BM$1,$BD84,AllTriggers)</f>
        <v>3.0015264070921018E-3</v>
      </c>
      <c r="BN84" s="47">
        <f>_xll.qlPolynomialFunctionValue(BN$1,$BD84,AllTriggers)</f>
        <v>3.0139188474780825E-3</v>
      </c>
      <c r="BO84" s="47">
        <f>_xll.qlPolynomialFunctionValue(BO$1,$BD84,AllTriggers)</f>
        <v>2.9917517426087934E-3</v>
      </c>
      <c r="BP84" s="47">
        <f>_xll.qlPolynomialFunctionValue(BP$1,$BD84,AllTriggers)</f>
        <v>2.9976697095561839E-3</v>
      </c>
      <c r="BQ84" s="47">
        <f>_xll.qlPolynomialFunctionValue('12MSynthDepo_used'!$P$18,BD84,AllTriggers)</f>
        <v>3.0079462674785103E-3</v>
      </c>
    </row>
    <row r="85" spans="8:69" x14ac:dyDescent="0.2">
      <c r="K85" s="55"/>
      <c r="L85" s="55"/>
      <c r="M85" s="55"/>
      <c r="N85" s="55"/>
      <c r="R85" s="34"/>
      <c r="BC85" s="178">
        <f>_xll.qlCalendarAdvance(Calendar,BC84,"1d","mf",,Trigger)</f>
        <v>42394</v>
      </c>
      <c r="BD85" s="41">
        <f>_xll.qlDayCounterYearFraction(DayCounter,SettlementDate,BC85,,,Trigger)</f>
        <v>0.31944444444444442</v>
      </c>
      <c r="BE85" s="47">
        <f>_xll.qlPolynomialFunctionValue(BE$1,$BD85,AllTriggers)</f>
        <v>3.0287183900500839E-3</v>
      </c>
      <c r="BF85" s="47">
        <f>_xll.qlPolynomialFunctionValue(BF$1,$BD85,AllTriggers)</f>
        <v>3.0231347199684484E-3</v>
      </c>
      <c r="BG85" s="47">
        <f>_xll.qlPolynomialFunctionValue(BG$1,$BD85,AllTriggers)</f>
        <v>3.0168717209521139E-3</v>
      </c>
      <c r="BH85" s="47">
        <f>_xll.qlPolynomialFunctionValue(BH$1,$BD85,AllTriggers)</f>
        <v>3.0239983893468451E-3</v>
      </c>
      <c r="BI85" s="47">
        <f>_xll.qlPolynomialFunctionValue(BI$1,$BD85,AllTriggers)</f>
        <v>3.0273756974146825E-3</v>
      </c>
      <c r="BJ85" s="47">
        <f>_xll.qlPolynomialFunctionValue(BJ$1,$BD85,AllTriggers)</f>
        <v>3.0228784993335794E-3</v>
      </c>
      <c r="BK85" s="47">
        <f>_xll.qlPolynomialFunctionValue(BK$1,$BD85,AllTriggers)</f>
        <v>3.0180913946774484E-3</v>
      </c>
      <c r="BL85" s="47">
        <f>_xll.qlPolynomialFunctionValue(BL$1,$BD85,AllTriggers)</f>
        <v>3.0253857611803772E-3</v>
      </c>
      <c r="BM85" s="47">
        <f>_xll.qlPolynomialFunctionValue(BM$1,$BD85,AllTriggers)</f>
        <v>3.0065945985256566E-3</v>
      </c>
      <c r="BN85" s="47">
        <f>_xll.qlPolynomialFunctionValue(BN$1,$BD85,AllTriggers)</f>
        <v>3.0181995271996421E-3</v>
      </c>
      <c r="BO85" s="47">
        <f>_xll.qlPolynomialFunctionValue(BO$1,$BD85,AllTriggers)</f>
        <v>2.9969522948201906E-3</v>
      </c>
      <c r="BP85" s="47">
        <f>_xll.qlPolynomialFunctionValue(BP$1,$BD85,AllTriggers)</f>
        <v>3.0025891846226374E-3</v>
      </c>
      <c r="BQ85" s="47">
        <f>_xll.qlPolynomialFunctionValue('12MSynthDepo_used'!$P$18,BD85,AllTriggers)</f>
        <v>3.01288424207748E-3</v>
      </c>
    </row>
    <row r="86" spans="8:69" x14ac:dyDescent="0.2">
      <c r="K86" s="55"/>
      <c r="L86" s="55"/>
      <c r="M86" s="55"/>
      <c r="N86" s="55"/>
      <c r="R86" s="34"/>
      <c r="S86" s="34"/>
      <c r="BC86" s="178">
        <f>_xll.qlCalendarAdvance(Calendar,BC85,"1d","mf",,Trigger)</f>
        <v>42395</v>
      </c>
      <c r="BD86" s="41">
        <f>_xll.qlDayCounterYearFraction(DayCounter,SettlementDate,BC86,,,Trigger)</f>
        <v>0.32222222222222224</v>
      </c>
      <c r="BE86" s="47">
        <f>_xll.qlPolynomialFunctionValue(BE$1,$BD86,AllTriggers)</f>
        <v>3.0301984049004704E-3</v>
      </c>
      <c r="BF86" s="47">
        <f>_xll.qlPolynomialFunctionValue(BF$1,$BD86,AllTriggers)</f>
        <v>3.0244032097745321E-3</v>
      </c>
      <c r="BG86" s="47">
        <f>_xll.qlPolynomialFunctionValue(BG$1,$BD86,AllTriggers)</f>
        <v>3.0184707978034848E-3</v>
      </c>
      <c r="BH86" s="47">
        <f>_xll.qlPolynomialFunctionValue(BH$1,$BD86,AllTriggers)</f>
        <v>3.0252212911036306E-3</v>
      </c>
      <c r="BI86" s="47">
        <f>_xll.qlPolynomialFunctionValue(BI$1,$BD86,AllTriggers)</f>
        <v>3.0288829100444926E-3</v>
      </c>
      <c r="BJ86" s="47">
        <f>_xll.qlPolynomialFunctionValue(BJ$1,$BD86,AllTriggers)</f>
        <v>3.024224180550792E-3</v>
      </c>
      <c r="BK86" s="47">
        <f>_xll.qlPolynomialFunctionValue(BK$1,$BD86,AllTriggers)</f>
        <v>3.0196923881429883E-3</v>
      </c>
      <c r="BL86" s="47">
        <f>_xll.qlPolynomialFunctionValue(BL$1,$BD86,AllTriggers)</f>
        <v>3.0265977217657607E-3</v>
      </c>
      <c r="BM86" s="47">
        <f>_xll.qlPolynomialFunctionValue(BM$1,$BD86,AllTriggers)</f>
        <v>3.0082839956701748E-3</v>
      </c>
      <c r="BN86" s="47">
        <f>_xll.qlPolynomialFunctionValue(BN$1,$BD86,AllTriggers)</f>
        <v>3.0196291596665155E-3</v>
      </c>
      <c r="BO86" s="47">
        <f>_xll.qlPolynomialFunctionValue(BO$1,$BD86,AllTriggers)</f>
        <v>2.9986858122239895E-3</v>
      </c>
      <c r="BP86" s="47">
        <f>_xll.qlPolynomialFunctionValue(BP$1,$BD86,AllTriggers)</f>
        <v>3.0042298978477351E-3</v>
      </c>
      <c r="BQ86" s="47">
        <f>_xll.qlPolynomialFunctionValue('12MSynthDepo_used'!$P$18,BD86,AllTriggers)</f>
        <v>3.0145318500991278E-3</v>
      </c>
    </row>
    <row r="87" spans="8:69" x14ac:dyDescent="0.2">
      <c r="K87" s="55"/>
      <c r="L87" s="55"/>
      <c r="M87" s="55"/>
      <c r="N87" s="55"/>
      <c r="R87" s="34"/>
      <c r="S87" s="34"/>
      <c r="BC87" s="178">
        <f>_xll.qlCalendarAdvance(Calendar,BC86,"1d","mf",,Trigger)</f>
        <v>42396</v>
      </c>
      <c r="BD87" s="41">
        <f>_xll.qlDayCounterYearFraction(DayCounter,SettlementDate,BC87,,,Trigger)</f>
        <v>0.32500000000000001</v>
      </c>
      <c r="BE87" s="47">
        <f>_xll.qlPolynomialFunctionValue(BE$1,$BD87,AllTriggers)</f>
        <v>3.0316784197508564E-3</v>
      </c>
      <c r="BF87" s="47">
        <f>_xll.qlPolynomialFunctionValue(BF$1,$BD87,AllTriggers)</f>
        <v>3.0256742328146798E-3</v>
      </c>
      <c r="BG87" s="47">
        <f>_xll.qlPolynomialFunctionValue(BG$1,$BD87,AllTriggers)</f>
        <v>3.0200698746548557E-3</v>
      </c>
      <c r="BH87" s="47">
        <f>_xll.qlPolynomialFunctionValue(BH$1,$BD87,AllTriggers)</f>
        <v>3.0264470754281909E-3</v>
      </c>
      <c r="BI87" s="47">
        <f>_xll.qlPolynomialFunctionValue(BI$1,$BD87,AllTriggers)</f>
        <v>3.0303901226743026E-3</v>
      </c>
      <c r="BJ87" s="47">
        <f>_xll.qlPolynomialFunctionValue(BJ$1,$BD87,AllTriggers)</f>
        <v>3.0255718257083761E-3</v>
      </c>
      <c r="BK87" s="47">
        <f>_xll.qlPolynomialFunctionValue(BK$1,$BD87,AllTriggers)</f>
        <v>3.0212933816085277E-3</v>
      </c>
      <c r="BL87" s="47">
        <f>_xll.qlPolynomialFunctionValue(BL$1,$BD87,AllTriggers)</f>
        <v>3.027812674911761E-3</v>
      </c>
      <c r="BM87" s="47">
        <f>_xll.qlPolynomialFunctionValue(BM$1,$BD87,AllTriggers)</f>
        <v>3.0099733928146931E-3</v>
      </c>
      <c r="BN87" s="47">
        <f>_xll.qlPolynomialFunctionValue(BN$1,$BD87,AllTriggers)</f>
        <v>3.0210601617465666E-3</v>
      </c>
      <c r="BO87" s="47">
        <f>_xll.qlPolynomialFunctionValue(BO$1,$BD87,AllTriggers)</f>
        <v>3.0004193296277889E-3</v>
      </c>
      <c r="BP87" s="47">
        <f>_xll.qlPolynomialFunctionValue(BP$1,$BD87,AllTriggers)</f>
        <v>3.0058710551743068E-3</v>
      </c>
      <c r="BQ87" s="47">
        <f>_xll.qlPolynomialFunctionValue('12MSynthDepo_used'!$P$18,BD87,AllTriggers)</f>
        <v>3.0161802586554922E-3</v>
      </c>
    </row>
    <row r="88" spans="8:69" x14ac:dyDescent="0.2">
      <c r="K88" s="55"/>
      <c r="L88" s="55"/>
      <c r="M88" s="55"/>
      <c r="N88" s="55"/>
      <c r="R88" s="34"/>
      <c r="S88" s="34"/>
      <c r="BC88" s="178">
        <f>_xll.qlCalendarAdvance(Calendar,BC87,"1d","mf",,Trigger)</f>
        <v>42397</v>
      </c>
      <c r="BD88" s="41">
        <f>_xll.qlDayCounterYearFraction(DayCounter,SettlementDate,BC88,,,Trigger)</f>
        <v>0.32777777777777778</v>
      </c>
      <c r="BE88" s="47">
        <f>_xll.qlPolynomialFunctionValue(BE$1,$BD88,AllTriggers)</f>
        <v>3.0331584346012428E-3</v>
      </c>
      <c r="BF88" s="47">
        <f>_xll.qlPolynomialFunctionValue(BF$1,$BD88,AllTriggers)</f>
        <v>3.0269477890888905E-3</v>
      </c>
      <c r="BG88" s="47">
        <f>_xll.qlPolynomialFunctionValue(BG$1,$BD88,AllTriggers)</f>
        <v>3.0216689515062266E-3</v>
      </c>
      <c r="BH88" s="47">
        <f>_xll.qlPolynomialFunctionValue(BH$1,$BD88,AllTriggers)</f>
        <v>3.0276757423205263E-3</v>
      </c>
      <c r="BI88" s="47">
        <f>_xll.qlPolynomialFunctionValue(BI$1,$BD88,AllTriggers)</f>
        <v>3.0318973353041126E-3</v>
      </c>
      <c r="BJ88" s="47">
        <f>_xll.qlPolynomialFunctionValue(BJ$1,$BD88,AllTriggers)</f>
        <v>3.0269214348063317E-3</v>
      </c>
      <c r="BK88" s="47">
        <f>_xll.qlPolynomialFunctionValue(BK$1,$BD88,AllTriggers)</f>
        <v>3.0228943750740672E-3</v>
      </c>
      <c r="BL88" s="47">
        <f>_xll.qlPolynomialFunctionValue(BL$1,$BD88,AllTriggers)</f>
        <v>3.0290306206183781E-3</v>
      </c>
      <c r="BM88" s="47">
        <f>_xll.qlPolynomialFunctionValue(BM$1,$BD88,AllTriggers)</f>
        <v>3.0116627899592109E-3</v>
      </c>
      <c r="BN88" s="47">
        <f>_xll.qlPolynomialFunctionValue(BN$1,$BD88,AllTriggers)</f>
        <v>3.0224925334397935E-3</v>
      </c>
      <c r="BO88" s="47">
        <f>_xll.qlPolynomialFunctionValue(BO$1,$BD88,AllTriggers)</f>
        <v>3.0021528470315878E-3</v>
      </c>
      <c r="BP88" s="47">
        <f>_xll.qlPolynomialFunctionValue(BP$1,$BD88,AllTriggers)</f>
        <v>3.007512656602351E-3</v>
      </c>
      <c r="BQ88" s="47">
        <f>_xll.qlPolynomialFunctionValue('12MSynthDepo_used'!$P$18,BD88,AllTriggers)</f>
        <v>3.0178294631208074E-3</v>
      </c>
    </row>
    <row r="89" spans="8:69" x14ac:dyDescent="0.2">
      <c r="K89" s="55"/>
      <c r="L89" s="55"/>
      <c r="M89" s="55"/>
      <c r="N89" s="55"/>
      <c r="R89" s="34"/>
      <c r="S89" s="34"/>
      <c r="BC89" s="178">
        <f>_xll.qlCalendarAdvance(Calendar,BC88,"1d","mf",,Trigger)</f>
        <v>42398</v>
      </c>
      <c r="BD89" s="41">
        <f>_xll.qlDayCounterYearFraction(DayCounter,SettlementDate,BC89,,,Trigger)</f>
        <v>0.33055555555555555</v>
      </c>
      <c r="BE89" s="47">
        <f>_xll.qlPolynomialFunctionValue(BE$1,$BD89,AllTriggers)</f>
        <v>3.0346384494516288E-3</v>
      </c>
      <c r="BF89" s="47">
        <f>_xll.qlPolynomialFunctionValue(BF$1,$BD89,AllTriggers)</f>
        <v>3.0282238785971647E-3</v>
      </c>
      <c r="BG89" s="47">
        <f>_xll.qlPolynomialFunctionValue(BG$1,$BD89,AllTriggers)</f>
        <v>3.0232680283575975E-3</v>
      </c>
      <c r="BH89" s="47">
        <f>_xll.qlPolynomialFunctionValue(BH$1,$BD89,AllTriggers)</f>
        <v>3.0289072917806361E-3</v>
      </c>
      <c r="BI89" s="47">
        <f>_xll.qlPolynomialFunctionValue(BI$1,$BD89,AllTriggers)</f>
        <v>3.0334045479339226E-3</v>
      </c>
      <c r="BJ89" s="47">
        <f>_xll.qlPolynomialFunctionValue(BJ$1,$BD89,AllTriggers)</f>
        <v>3.02827300784466E-3</v>
      </c>
      <c r="BK89" s="47">
        <f>_xll.qlPolynomialFunctionValue(BK$1,$BD89,AllTriggers)</f>
        <v>3.0244953685396067E-3</v>
      </c>
      <c r="BL89" s="47">
        <f>_xll.qlPolynomialFunctionValue(BL$1,$BD89,AllTriggers)</f>
        <v>3.0302515588856113E-3</v>
      </c>
      <c r="BM89" s="47">
        <f>_xll.qlPolynomialFunctionValue(BM$1,$BD89,AllTriggers)</f>
        <v>3.0133521871037292E-3</v>
      </c>
      <c r="BN89" s="47">
        <f>_xll.qlPolynomialFunctionValue(BN$1,$BD89,AllTriggers)</f>
        <v>3.0239262747461977E-3</v>
      </c>
      <c r="BO89" s="47">
        <f>_xll.qlPolynomialFunctionValue(BO$1,$BD89,AllTriggers)</f>
        <v>3.0038863644353871E-3</v>
      </c>
      <c r="BP89" s="47">
        <f>_xll.qlPolynomialFunctionValue(BP$1,$BD89,AllTriggers)</f>
        <v>3.0091547021318687E-3</v>
      </c>
      <c r="BQ89" s="47">
        <f>_xll.qlPolynomialFunctionValue('12MSynthDepo_used'!$P$18,BD89,AllTriggers)</f>
        <v>3.0194794588693035E-3</v>
      </c>
    </row>
    <row r="90" spans="8:69" x14ac:dyDescent="0.2">
      <c r="K90" s="55"/>
      <c r="L90" s="55"/>
      <c r="M90" s="55"/>
      <c r="N90" s="55"/>
      <c r="R90" s="34"/>
      <c r="S90" s="34"/>
      <c r="BC90" s="178">
        <f>_xll.qlCalendarAdvance(Calendar,BC89,"1d","mf",,Trigger)</f>
        <v>42401</v>
      </c>
      <c r="BD90" s="41">
        <f>_xll.qlDayCounterYearFraction(DayCounter,SettlementDate,BC90,,,Trigger)</f>
        <v>0.33888888888888891</v>
      </c>
      <c r="BE90" s="47">
        <f>_xll.qlPolynomialFunctionValue(BE$1,$BD90,AllTriggers)</f>
        <v>3.0390784940027876E-3</v>
      </c>
      <c r="BF90" s="47">
        <f>_xll.qlPolynomialFunctionValue(BF$1,$BD90,AllTriggers)</f>
        <v>3.0320673465263682E-3</v>
      </c>
      <c r="BG90" s="47">
        <f>_xll.qlPolynomialFunctionValue(BG$1,$BD90,AllTriggers)</f>
        <v>3.0280652589117097E-3</v>
      </c>
      <c r="BH90" s="47">
        <f>_xll.qlPolynomialFunctionValue(BH$1,$BD90,AllTriggers)</f>
        <v>3.0326192355676121E-3</v>
      </c>
      <c r="BI90" s="47">
        <f>_xll.qlPolynomialFunctionValue(BI$1,$BD90,AllTriggers)</f>
        <v>3.0379261858233526E-3</v>
      </c>
      <c r="BJ90" s="47">
        <f>_xll.qlPolynomialFunctionValue(BJ$1,$BD90,AllTriggers)</f>
        <v>3.0323395106018731E-3</v>
      </c>
      <c r="BK90" s="47">
        <f>_xll.qlPolynomialFunctionValue(BK$1,$BD90,AllTriggers)</f>
        <v>3.0292983489362255E-3</v>
      </c>
      <c r="BL90" s="47">
        <f>_xll.qlPolynomialFunctionValue(BL$1,$BD90,AllTriggers)</f>
        <v>3.0339323290510109E-3</v>
      </c>
      <c r="BM90" s="47">
        <f>_xll.qlPolynomialFunctionValue(BM$1,$BD90,AllTriggers)</f>
        <v>3.0184203785372839E-3</v>
      </c>
      <c r="BN90" s="47">
        <f>_xll.qlPolynomialFunctionValue(BN$1,$BD90,AllTriggers)</f>
        <v>3.0282357163444727E-3</v>
      </c>
      <c r="BO90" s="47">
        <f>_xll.qlPolynomialFunctionValue(BO$1,$BD90,AllTriggers)</f>
        <v>3.0090869166467843E-3</v>
      </c>
      <c r="BP90" s="47">
        <f>_xll.qlPolynomialFunctionValue(BP$1,$BD90,AllTriggers)</f>
        <v>3.0140835033292623E-3</v>
      </c>
      <c r="BQ90" s="47">
        <f>_xll.qlPolynomialFunctionValue('12MSynthDepo_used'!$P$18,BD90,AllTriggers)</f>
        <v>3.0244341475562106E-3</v>
      </c>
    </row>
    <row r="91" spans="8:69" x14ac:dyDescent="0.2">
      <c r="K91" s="55"/>
      <c r="L91" s="55"/>
      <c r="M91" s="55"/>
      <c r="N91" s="55"/>
      <c r="R91" s="34"/>
      <c r="S91" s="34"/>
      <c r="BC91" s="178">
        <f>_xll.qlCalendarAdvance(Calendar,BC90,"1d","mf",,Trigger)</f>
        <v>42402</v>
      </c>
      <c r="BD91" s="41">
        <f>_xll.qlDayCounterYearFraction(DayCounter,SettlementDate,BC91,,,Trigger)</f>
        <v>0.34166666666666667</v>
      </c>
      <c r="BE91" s="47">
        <f>_xll.qlPolynomialFunctionValue(BE$1,$BD91,AllTriggers)</f>
        <v>3.0405585088531736E-3</v>
      </c>
      <c r="BF91" s="47">
        <f>_xll.qlPolynomialFunctionValue(BF$1,$BD91,AllTriggers)</f>
        <v>3.0333535689708968E-3</v>
      </c>
      <c r="BG91" s="47">
        <f>_xll.qlPolynomialFunctionValue(BG$1,$BD91,AllTriggers)</f>
        <v>3.0296643357630806E-3</v>
      </c>
      <c r="BH91" s="47">
        <f>_xll.qlPolynomialFunctionValue(BH$1,$BD91,AllTriggers)</f>
        <v>3.0338623152988205E-3</v>
      </c>
      <c r="BI91" s="47">
        <f>_xll.qlPolynomialFunctionValue(BI$1,$BD91,AllTriggers)</f>
        <v>3.0394333984531626E-3</v>
      </c>
      <c r="BJ91" s="47">
        <f>_xll.qlPolynomialFunctionValue(BJ$1,$BD91,AllTriggers)</f>
        <v>3.0336989394016876E-3</v>
      </c>
      <c r="BK91" s="47">
        <f>_xll.qlPolynomialFunctionValue(BK$1,$BD91,AllTriggers)</f>
        <v>3.0308993424017655E-3</v>
      </c>
      <c r="BL91" s="47">
        <f>_xll.qlPolynomialFunctionValue(BL$1,$BD91,AllTriggers)</f>
        <v>3.0351652375607105E-3</v>
      </c>
      <c r="BM91" s="47">
        <f>_xll.qlPolynomialFunctionValue(BM$1,$BD91,AllTriggers)</f>
        <v>3.0201097756818022E-3</v>
      </c>
      <c r="BN91" s="47">
        <f>_xll.qlPolynomialFunctionValue(BN$1,$BD91,AllTriggers)</f>
        <v>3.0296749361035844E-3</v>
      </c>
      <c r="BO91" s="47">
        <f>_xll.qlPolynomialFunctionValue(BO$1,$BD91,AllTriggers)</f>
        <v>3.0108204340505832E-3</v>
      </c>
      <c r="BP91" s="47">
        <f>_xll.qlPolynomialFunctionValue(BP$1,$BD91,AllTriggers)</f>
        <v>3.015727325264673E-3</v>
      </c>
      <c r="BQ91" s="47">
        <f>_xll.qlPolynomialFunctionValue('12MSynthDepo_used'!$P$18,BD91,AllTriggers)</f>
        <v>3.0260872621797608E-3</v>
      </c>
    </row>
    <row r="92" spans="8:69" x14ac:dyDescent="0.2">
      <c r="K92" s="55"/>
      <c r="L92" s="55"/>
      <c r="M92" s="55"/>
      <c r="N92" s="55"/>
      <c r="R92" s="34"/>
      <c r="S92" s="34"/>
      <c r="BC92" s="178">
        <f>_xll.qlCalendarAdvance(Calendar,BC91,"1d","mf",,Trigger)</f>
        <v>42403</v>
      </c>
      <c r="BD92" s="41">
        <f>_xll.qlDayCounterYearFraction(DayCounter,SettlementDate,BC92,,,Trigger)</f>
        <v>0.34444444444444444</v>
      </c>
      <c r="BE92" s="47">
        <f>_xll.qlPolynomialFunctionValue(BE$1,$BD92,AllTriggers)</f>
        <v>3.0420385237035596E-3</v>
      </c>
      <c r="BF92" s="47">
        <f>_xll.qlPolynomialFunctionValue(BF$1,$BD92,AllTriggers)</f>
        <v>3.0346423246494884E-3</v>
      </c>
      <c r="BG92" s="47">
        <f>_xll.qlPolynomialFunctionValue(BG$1,$BD92,AllTriggers)</f>
        <v>3.0312634126144515E-3</v>
      </c>
      <c r="BH92" s="47">
        <f>_xll.qlPolynomialFunctionValue(BH$1,$BD92,AllTriggers)</f>
        <v>3.0351082775978027E-3</v>
      </c>
      <c r="BI92" s="47">
        <f>_xll.qlPolynomialFunctionValue(BI$1,$BD92,AllTriggers)</f>
        <v>3.0409406110829722E-3</v>
      </c>
      <c r="BJ92" s="47">
        <f>_xll.qlPolynomialFunctionValue(BJ$1,$BD92,AllTriggers)</f>
        <v>3.0350603321418739E-3</v>
      </c>
      <c r="BK92" s="47">
        <f>_xll.qlPolynomialFunctionValue(BK$1,$BD92,AllTriggers)</f>
        <v>3.0325003358673049E-3</v>
      </c>
      <c r="BL92" s="47">
        <f>_xll.qlPolynomialFunctionValue(BL$1,$BD92,AllTriggers)</f>
        <v>3.036401138631027E-3</v>
      </c>
      <c r="BM92" s="47">
        <f>_xll.qlPolynomialFunctionValue(BM$1,$BD92,AllTriggers)</f>
        <v>3.0217991728263205E-3</v>
      </c>
      <c r="BN92" s="47">
        <f>_xll.qlPolynomialFunctionValue(BN$1,$BD92,AllTriggers)</f>
        <v>3.0311155254758738E-3</v>
      </c>
      <c r="BO92" s="47">
        <f>_xll.qlPolynomialFunctionValue(BO$1,$BD92,AllTriggers)</f>
        <v>3.0125539514543821E-3</v>
      </c>
      <c r="BP92" s="47">
        <f>_xll.qlPolynomialFunctionValue(BP$1,$BD92,AllTriggers)</f>
        <v>3.0173715913015581E-3</v>
      </c>
      <c r="BQ92" s="47">
        <f>_xll.qlPolynomialFunctionValue('12MSynthDepo_used'!$P$18,BD92,AllTriggers)</f>
        <v>3.0277411449576557E-3</v>
      </c>
    </row>
    <row r="93" spans="8:69" x14ac:dyDescent="0.2">
      <c r="K93" s="55"/>
      <c r="L93" s="55"/>
      <c r="M93" s="55"/>
      <c r="N93" s="55"/>
      <c r="R93" s="34"/>
      <c r="S93" s="34"/>
      <c r="BC93" s="178">
        <f>_xll.qlCalendarAdvance(Calendar,BC92,"1d","mf",,Trigger)</f>
        <v>42404</v>
      </c>
      <c r="BD93" s="41">
        <f>_xll.qlDayCounterYearFraction(DayCounter,SettlementDate,BC93,,,Trigger)</f>
        <v>0.34722222222222221</v>
      </c>
      <c r="BE93" s="47">
        <f>_xll.qlPolynomialFunctionValue(BE$1,$BD93,AllTriggers)</f>
        <v>3.0435185385539461E-3</v>
      </c>
      <c r="BF93" s="47">
        <f>_xll.qlPolynomialFunctionValue(BF$1,$BD93,AllTriggers)</f>
        <v>3.035933613562144E-3</v>
      </c>
      <c r="BG93" s="47">
        <f>_xll.qlPolynomialFunctionValue(BG$1,$BD93,AllTriggers)</f>
        <v>3.0328624894658224E-3</v>
      </c>
      <c r="BH93" s="47">
        <f>_xll.qlPolynomialFunctionValue(BH$1,$BD93,AllTriggers)</f>
        <v>3.0363571224645597E-3</v>
      </c>
      <c r="BI93" s="47">
        <f>_xll.qlPolynomialFunctionValue(BI$1,$BD93,AllTriggers)</f>
        <v>3.0424478237127822E-3</v>
      </c>
      <c r="BJ93" s="47">
        <f>_xll.qlPolynomialFunctionValue(BJ$1,$BD93,AllTriggers)</f>
        <v>3.0364236888224326E-3</v>
      </c>
      <c r="BK93" s="47">
        <f>_xll.qlPolynomialFunctionValue(BK$1,$BD93,AllTriggers)</f>
        <v>3.0341013293328444E-3</v>
      </c>
      <c r="BL93" s="47">
        <f>_xll.qlPolynomialFunctionValue(BL$1,$BD93,AllTriggers)</f>
        <v>3.0376400322619595E-3</v>
      </c>
      <c r="BM93" s="47">
        <f>_xll.qlPolynomialFunctionValue(BM$1,$BD93,AllTriggers)</f>
        <v>3.0234885699708383E-3</v>
      </c>
      <c r="BN93" s="47">
        <f>_xll.qlPolynomialFunctionValue(BN$1,$BD93,AllTriggers)</f>
        <v>3.0325574844613395E-3</v>
      </c>
      <c r="BO93" s="47">
        <f>_xll.qlPolynomialFunctionValue(BO$1,$BD93,AllTriggers)</f>
        <v>3.0142874688581815E-3</v>
      </c>
      <c r="BP93" s="47">
        <f>_xll.qlPolynomialFunctionValue(BP$1,$BD93,AllTriggers)</f>
        <v>3.0190163014399154E-3</v>
      </c>
      <c r="BQ93" s="47">
        <f>_xll.qlPolynomialFunctionValue('12MSynthDepo_used'!$P$18,BD93,AllTriggers)</f>
        <v>3.0293957912641287E-3</v>
      </c>
    </row>
    <row r="94" spans="8:69" x14ac:dyDescent="0.2">
      <c r="K94" s="55"/>
      <c r="L94" s="55"/>
      <c r="M94" s="55"/>
      <c r="N94" s="55"/>
      <c r="R94" s="34"/>
      <c r="S94" s="34"/>
      <c r="BC94" s="178">
        <f>_xll.qlCalendarAdvance(Calendar,BC93,"1d","mf",,Trigger)</f>
        <v>42405</v>
      </c>
      <c r="BD94" s="41">
        <f>_xll.qlDayCounterYearFraction(DayCounter,SettlementDate,BC94,,,Trigger)</f>
        <v>0.35</v>
      </c>
      <c r="BE94" s="47">
        <f>_xll.qlPolynomialFunctionValue(BE$1,$BD94,AllTriggers)</f>
        <v>3.0449985534043321E-3</v>
      </c>
      <c r="BF94" s="47">
        <f>_xll.qlPolynomialFunctionValue(BF$1,$BD94,AllTriggers)</f>
        <v>3.0372274357088626E-3</v>
      </c>
      <c r="BG94" s="47">
        <f>_xll.qlPolynomialFunctionValue(BG$1,$BD94,AllTriggers)</f>
        <v>3.0344615663171932E-3</v>
      </c>
      <c r="BH94" s="47">
        <f>_xll.qlPolynomialFunctionValue(BH$1,$BD94,AllTriggers)</f>
        <v>3.0376088498990914E-3</v>
      </c>
      <c r="BI94" s="47">
        <f>_xll.qlPolynomialFunctionValue(BI$1,$BD94,AllTriggers)</f>
        <v>3.0439550363425922E-3</v>
      </c>
      <c r="BJ94" s="47">
        <f>_xll.qlPolynomialFunctionValue(BJ$1,$BD94,AllTriggers)</f>
        <v>3.0377890094433623E-3</v>
      </c>
      <c r="BK94" s="47">
        <f>_xll.qlPolynomialFunctionValue(BK$1,$BD94,AllTriggers)</f>
        <v>3.0357023227983839E-3</v>
      </c>
      <c r="BL94" s="47">
        <f>_xll.qlPolynomialFunctionValue(BL$1,$BD94,AllTriggers)</f>
        <v>3.0388819184535092E-3</v>
      </c>
      <c r="BM94" s="47">
        <f>_xll.qlPolynomialFunctionValue(BM$1,$BD94,AllTriggers)</f>
        <v>3.0251779671153565E-3</v>
      </c>
      <c r="BN94" s="47">
        <f>_xll.qlPolynomialFunctionValue(BN$1,$BD94,AllTriggers)</f>
        <v>3.034000813059982E-3</v>
      </c>
      <c r="BO94" s="47">
        <f>_xll.qlPolynomialFunctionValue(BO$1,$BD94,AllTriggers)</f>
        <v>3.0160209862619804E-3</v>
      </c>
      <c r="BP94" s="47">
        <f>_xll.qlPolynomialFunctionValue(BP$1,$BD94,AllTriggers)</f>
        <v>3.0206614556797465E-3</v>
      </c>
      <c r="BQ94" s="47">
        <f>_xll.qlPolynomialFunctionValue('12MSynthDepo_used'!$P$18,BD94,AllTriggers)</f>
        <v>3.0310511964734112E-3</v>
      </c>
    </row>
    <row r="95" spans="8:69" x14ac:dyDescent="0.2">
      <c r="K95" s="55"/>
      <c r="L95" s="55"/>
      <c r="M95" s="55"/>
      <c r="N95" s="55"/>
      <c r="R95" s="34"/>
      <c r="S95" s="34"/>
      <c r="BC95" s="178">
        <f>_xll.qlCalendarAdvance(Calendar,BC94,"1d","mf",,Trigger)</f>
        <v>42408</v>
      </c>
      <c r="BD95" s="41">
        <f>_xll.qlDayCounterYearFraction(DayCounter,SettlementDate,BC95,,,Trigger)</f>
        <v>0.35833333333333334</v>
      </c>
      <c r="BE95" s="47">
        <f>_xll.qlPolynomialFunctionValue(BE$1,$BD95,AllTriggers)</f>
        <v>3.0494385979554905E-3</v>
      </c>
      <c r="BF95" s="47">
        <f>_xll.qlPolynomialFunctionValue(BF$1,$BD95,AllTriggers)</f>
        <v>3.0411241015533999E-3</v>
      </c>
      <c r="BG95" s="47">
        <f>_xll.qlPolynomialFunctionValue(BG$1,$BD95,AllTriggers)</f>
        <v>3.0392587968713055E-3</v>
      </c>
      <c r="BH95" s="47">
        <f>_xll.qlPolynomialFunctionValue(BH$1,$BD95,AllTriggers)</f>
        <v>3.0413813276093347E-3</v>
      </c>
      <c r="BI95" s="47">
        <f>_xll.qlPolynomialFunctionValue(BI$1,$BD95,AllTriggers)</f>
        <v>3.0484766742320223E-3</v>
      </c>
      <c r="BJ95" s="47">
        <f>_xll.qlPolynomialFunctionValue(BJ$1,$BD95,AllTriggers)</f>
        <v>3.0418967549483826E-3</v>
      </c>
      <c r="BK95" s="47">
        <f>_xll.qlPolynomialFunctionValue(BK$1,$BD95,AllTriggers)</f>
        <v>3.0405053031950027E-3</v>
      </c>
      <c r="BL95" s="47">
        <f>_xll.qlPolynomialFunctionValue(BL$1,$BD95,AllTriggers)</f>
        <v>3.0426255323918574E-3</v>
      </c>
      <c r="BM95" s="47">
        <f>_xll.qlPolynomialFunctionValue(BM$1,$BD95,AllTriggers)</f>
        <v>3.0302461585489113E-3</v>
      </c>
      <c r="BN95" s="47">
        <f>_xll.qlPolynomialFunctionValue(BN$1,$BD95,AllTriggers)</f>
        <v>3.0383390165349719E-3</v>
      </c>
      <c r="BO95" s="47">
        <f>_xll.qlPolynomialFunctionValue(BO$1,$BD95,AllTriggers)</f>
        <v>3.0212215384733776E-3</v>
      </c>
      <c r="BP95" s="47">
        <f>_xll.qlPolynomialFunctionValue(BP$1,$BD95,AllTriggers)</f>
        <v>3.0255995830080792E-3</v>
      </c>
      <c r="BQ95" s="47">
        <f>_xll.qlPolynomialFunctionValue('12MSynthDepo_used'!$P$18,BD95,AllTriggers)</f>
        <v>3.0360219192604463E-3</v>
      </c>
    </row>
    <row r="96" spans="8:69" x14ac:dyDescent="0.2">
      <c r="K96" s="55"/>
      <c r="L96" s="55"/>
      <c r="M96" s="55"/>
      <c r="N96" s="55"/>
      <c r="R96" s="34"/>
      <c r="S96" s="34"/>
      <c r="BC96" s="178">
        <f>_xll.qlCalendarAdvance(Calendar,BC95,"1d","mf",,Trigger)</f>
        <v>42409</v>
      </c>
      <c r="BD96" s="41">
        <f>_xll.qlDayCounterYearFraction(DayCounter,SettlementDate,BC96,,,Trigger)</f>
        <v>0.3611111111111111</v>
      </c>
      <c r="BE96" s="47">
        <f>_xll.qlPolynomialFunctionValue(BE$1,$BD96,AllTriggers)</f>
        <v>3.0509186128058769E-3</v>
      </c>
      <c r="BF96" s="47">
        <f>_xll.qlPolynomialFunctionValue(BF$1,$BD96,AllTriggers)</f>
        <v>3.0424280566363729E-3</v>
      </c>
      <c r="BG96" s="47">
        <f>_xll.qlPolynomialFunctionValue(BG$1,$BD96,AllTriggers)</f>
        <v>3.0408578737226763E-3</v>
      </c>
      <c r="BH96" s="47">
        <f>_xll.qlPolynomialFunctionValue(BH$1,$BD96,AllTriggers)</f>
        <v>3.0426445853149646E-3</v>
      </c>
      <c r="BI96" s="47">
        <f>_xll.qlPolynomialFunctionValue(BI$1,$BD96,AllTriggers)</f>
        <v>3.0499838868618323E-3</v>
      </c>
      <c r="BJ96" s="47">
        <f>_xll.qlPolynomialFunctionValue(BJ$1,$BD96,AllTriggers)</f>
        <v>3.0432699313307993E-3</v>
      </c>
      <c r="BK96" s="47">
        <f>_xll.qlPolynomialFunctionValue(BK$1,$BD96,AllTriggers)</f>
        <v>3.0421062966605426E-3</v>
      </c>
      <c r="BL96" s="47">
        <f>_xll.qlPolynomialFunctionValue(BL$1,$BD96,AllTriggers)</f>
        <v>3.0438793888258727E-3</v>
      </c>
      <c r="BM96" s="47">
        <f>_xll.qlPolynomialFunctionValue(BM$1,$BD96,AllTriggers)</f>
        <v>3.0319355556934296E-3</v>
      </c>
      <c r="BN96" s="47">
        <f>_xll.qlPolynomialFunctionValue(BN$1,$BD96,AllTriggers)</f>
        <v>3.0397878235863219E-3</v>
      </c>
      <c r="BO96" s="47">
        <f>_xll.qlPolynomialFunctionValue(BO$1,$BD96,AllTriggers)</f>
        <v>3.0229550558771769E-3</v>
      </c>
      <c r="BP96" s="47">
        <f>_xll.qlPolynomialFunctionValue(BP$1,$BD96,AllTriggers)</f>
        <v>3.0272465136538039E-3</v>
      </c>
      <c r="BQ96" s="47">
        <f>_xll.qlPolynomialFunctionValue('12MSynthDepo_used'!$P$18,BD96,AllTriggers)</f>
        <v>3.0376803138232955E-3</v>
      </c>
    </row>
    <row r="97" spans="11:69" x14ac:dyDescent="0.2">
      <c r="K97" s="55"/>
      <c r="L97" s="55"/>
      <c r="M97" s="55"/>
      <c r="N97" s="55"/>
      <c r="R97" s="34"/>
      <c r="S97" s="34"/>
      <c r="BC97" s="178">
        <f>_xll.qlCalendarAdvance(Calendar,BC96,"1d","mf",,Trigger)</f>
        <v>42410</v>
      </c>
      <c r="BD97" s="41">
        <f>_xll.qlDayCounterYearFraction(DayCounter,SettlementDate,BC97,,,Trigger)</f>
        <v>0.36388888888888887</v>
      </c>
      <c r="BE97" s="47">
        <f>_xll.qlPolynomialFunctionValue(BE$1,$BD97,AllTriggers)</f>
        <v>3.0523986276562629E-3</v>
      </c>
      <c r="BF97" s="47">
        <f>_xll.qlPolynomialFunctionValue(BF$1,$BD97,AllTriggers)</f>
        <v>3.0437345449534094E-3</v>
      </c>
      <c r="BG97" s="47">
        <f>_xll.qlPolynomialFunctionValue(BG$1,$BD97,AllTriggers)</f>
        <v>3.0424569505740472E-3</v>
      </c>
      <c r="BH97" s="47">
        <f>_xll.qlPolynomialFunctionValue(BH$1,$BD97,AllTriggers)</f>
        <v>3.0439107255883693E-3</v>
      </c>
      <c r="BI97" s="47">
        <f>_xll.qlPolynomialFunctionValue(BI$1,$BD97,AllTriggers)</f>
        <v>3.0514910994916423E-3</v>
      </c>
      <c r="BJ97" s="47">
        <f>_xll.qlPolynomialFunctionValue(BJ$1,$BD97,AllTriggers)</f>
        <v>3.0446450716535879E-3</v>
      </c>
      <c r="BK97" s="47">
        <f>_xll.qlPolynomialFunctionValue(BK$1,$BD97,AllTriggers)</f>
        <v>3.0437072901260821E-3</v>
      </c>
      <c r="BL97" s="47">
        <f>_xll.qlPolynomialFunctionValue(BL$1,$BD97,AllTriggers)</f>
        <v>3.0451362378205054E-3</v>
      </c>
      <c r="BM97" s="47">
        <f>_xll.qlPolynomialFunctionValue(BM$1,$BD97,AllTriggers)</f>
        <v>3.0336249528379474E-3</v>
      </c>
      <c r="BN97" s="47">
        <f>_xll.qlPolynomialFunctionValue(BN$1,$BD97,AllTriggers)</f>
        <v>3.0412380002508496E-3</v>
      </c>
      <c r="BO97" s="47">
        <f>_xll.qlPolynomialFunctionValue(BO$1,$BD97,AllTriggers)</f>
        <v>3.0246885732809758E-3</v>
      </c>
      <c r="BP97" s="47">
        <f>_xll.qlPolynomialFunctionValue(BP$1,$BD97,AllTriggers)</f>
        <v>3.0288938884010012E-3</v>
      </c>
      <c r="BQ97" s="47">
        <f>_xll.qlPolynomialFunctionValue('12MSynthDepo_used'!$P$18,BD97,AllTriggers)</f>
        <v>3.0393394441601174E-3</v>
      </c>
    </row>
    <row r="98" spans="11:69" x14ac:dyDescent="0.2">
      <c r="K98" s="55"/>
      <c r="L98" s="55"/>
      <c r="M98" s="55"/>
      <c r="N98" s="55"/>
      <c r="R98" s="34"/>
      <c r="S98" s="34"/>
      <c r="BC98" s="178">
        <f>_xll.qlCalendarAdvance(Calendar,BC97,"1d","mf",,Trigger)</f>
        <v>42411</v>
      </c>
      <c r="BD98" s="41">
        <f>_xll.qlDayCounterYearFraction(DayCounter,SettlementDate,BC98,,,Trigger)</f>
        <v>0.36666666666666664</v>
      </c>
      <c r="BE98" s="47">
        <f>_xll.qlPolynomialFunctionValue(BE$1,$BD98,AllTriggers)</f>
        <v>3.0538786425066493E-3</v>
      </c>
      <c r="BF98" s="47">
        <f>_xll.qlPolynomialFunctionValue(BF$1,$BD98,AllTriggers)</f>
        <v>3.0450435665045085E-3</v>
      </c>
      <c r="BG98" s="47">
        <f>_xll.qlPolynomialFunctionValue(BG$1,$BD98,AllTriggers)</f>
        <v>3.0440560274254177E-3</v>
      </c>
      <c r="BH98" s="47">
        <f>_xll.qlPolynomialFunctionValue(BH$1,$BD98,AllTriggers)</f>
        <v>3.0451797484295491E-3</v>
      </c>
      <c r="BI98" s="47">
        <f>_xll.qlPolynomialFunctionValue(BI$1,$BD98,AllTriggers)</f>
        <v>3.0529983121214523E-3</v>
      </c>
      <c r="BJ98" s="47">
        <f>_xll.qlPolynomialFunctionValue(BJ$1,$BD98,AllTriggers)</f>
        <v>3.0460221759167484E-3</v>
      </c>
      <c r="BK98" s="47">
        <f>_xll.qlPolynomialFunctionValue(BK$1,$BD98,AllTriggers)</f>
        <v>3.0453082835916216E-3</v>
      </c>
      <c r="BL98" s="47">
        <f>_xll.qlPolynomialFunctionValue(BL$1,$BD98,AllTriggers)</f>
        <v>3.0463960793757541E-3</v>
      </c>
      <c r="BM98" s="47">
        <f>_xll.qlPolynomialFunctionValue(BM$1,$BD98,AllTriggers)</f>
        <v>3.0353143499824656E-3</v>
      </c>
      <c r="BN98" s="47">
        <f>_xll.qlPolynomialFunctionValue(BN$1,$BD98,AllTriggers)</f>
        <v>3.0426895465285536E-3</v>
      </c>
      <c r="BO98" s="47">
        <f>_xll.qlPolynomialFunctionValue(BO$1,$BD98,AllTriggers)</f>
        <v>3.0264220906847748E-3</v>
      </c>
      <c r="BP98" s="47">
        <f>_xll.qlPolynomialFunctionValue(BP$1,$BD98,AllTriggers)</f>
        <v>3.0305417072496719E-3</v>
      </c>
      <c r="BQ98" s="47">
        <f>_xll.qlPolynomialFunctionValue('12MSynthDepo_used'!$P$18,BD98,AllTriggers)</f>
        <v>3.040999305645145E-3</v>
      </c>
    </row>
    <row r="99" spans="11:69" x14ac:dyDescent="0.2">
      <c r="K99" s="55"/>
      <c r="L99" s="55"/>
      <c r="M99" s="55"/>
      <c r="N99" s="55"/>
      <c r="R99" s="34"/>
      <c r="S99" s="34"/>
      <c r="BC99" s="178">
        <f>_xll.qlCalendarAdvance(Calendar,BC98,"1d","mf",,Trigger)</f>
        <v>42412</v>
      </c>
      <c r="BD99" s="41">
        <f>_xll.qlDayCounterYearFraction(DayCounter,SettlementDate,BC99,,,Trigger)</f>
        <v>0.36944444444444446</v>
      </c>
      <c r="BE99" s="47">
        <f>_xll.qlPolynomialFunctionValue(BE$1,$BD99,AllTriggers)</f>
        <v>3.0553586573570353E-3</v>
      </c>
      <c r="BF99" s="47">
        <f>_xll.qlPolynomialFunctionValue(BF$1,$BD99,AllTriggers)</f>
        <v>3.046355121289672E-3</v>
      </c>
      <c r="BG99" s="47">
        <f>_xll.qlPolynomialFunctionValue(BG$1,$BD99,AllTriggers)</f>
        <v>3.0456551042767886E-3</v>
      </c>
      <c r="BH99" s="47">
        <f>_xll.qlPolynomialFunctionValue(BH$1,$BD99,AllTriggers)</f>
        <v>3.0464516538385028E-3</v>
      </c>
      <c r="BI99" s="47">
        <f>_xll.qlPolynomialFunctionValue(BI$1,$BD99,AllTriggers)</f>
        <v>3.0545055247512623E-3</v>
      </c>
      <c r="BJ99" s="47">
        <f>_xll.qlPolynomialFunctionValue(BJ$1,$BD99,AllTriggers)</f>
        <v>3.0474012441202803E-3</v>
      </c>
      <c r="BK99" s="47">
        <f>_xll.qlPolynomialFunctionValue(BK$1,$BD99,AllTriggers)</f>
        <v>3.0469092770571611E-3</v>
      </c>
      <c r="BL99" s="47">
        <f>_xll.qlPolynomialFunctionValue(BL$1,$BD99,AllTriggers)</f>
        <v>3.04765891349162E-3</v>
      </c>
      <c r="BM99" s="47">
        <f>_xll.qlPolynomialFunctionValue(BM$1,$BD99,AllTriggers)</f>
        <v>3.0370037471269839E-3</v>
      </c>
      <c r="BN99" s="47">
        <f>_xll.qlPolynomialFunctionValue(BN$1,$BD99,AllTriggers)</f>
        <v>3.0441424624194349E-3</v>
      </c>
      <c r="BO99" s="47">
        <f>_xll.qlPolynomialFunctionValue(BO$1,$BD99,AllTriggers)</f>
        <v>3.0281556080885741E-3</v>
      </c>
      <c r="BP99" s="47">
        <f>_xll.qlPolynomialFunctionValue(BP$1,$BD99,AllTriggers)</f>
        <v>3.0321899701998166E-3</v>
      </c>
      <c r="BQ99" s="47">
        <f>_xll.qlPolynomialFunctionValue('12MSynthDepo_used'!$P$18,BD99,AllTriggers)</f>
        <v>3.0426598936526108E-3</v>
      </c>
    </row>
    <row r="100" spans="11:69" x14ac:dyDescent="0.2">
      <c r="K100" s="55"/>
      <c r="L100" s="55"/>
      <c r="M100" s="55"/>
      <c r="N100" s="55"/>
      <c r="R100" s="34"/>
      <c r="S100" s="34"/>
      <c r="BC100" s="178">
        <f>_xll.qlCalendarAdvance(Calendar,BC99,"1d","mf",,Trigger)</f>
        <v>42415</v>
      </c>
      <c r="BD100" s="41">
        <f>_xll.qlDayCounterYearFraction(DayCounter,SettlementDate,BC100,,,Trigger)</f>
        <v>0.37777777777777777</v>
      </c>
      <c r="BE100" s="47">
        <f>_xll.qlPolynomialFunctionValue(BE$1,$BD100,AllTriggers)</f>
        <v>3.0597987019081938E-3</v>
      </c>
      <c r="BF100" s="47">
        <f>_xll.qlPolynomialFunctionValue(BF$1,$BD100,AllTriggers)</f>
        <v>3.050304985049543E-3</v>
      </c>
      <c r="BG100" s="47">
        <f>_xll.qlPolynomialFunctionValue(BG$1,$BD100,AllTriggers)</f>
        <v>3.0504523348309012E-3</v>
      </c>
      <c r="BH100" s="47">
        <f>_xll.qlPolynomialFunctionValue(BH$1,$BD100,AllTriggers)</f>
        <v>3.0502846654720125E-3</v>
      </c>
      <c r="BI100" s="47">
        <f>_xll.qlPolynomialFunctionValue(BI$1,$BD100,AllTriggers)</f>
        <v>3.0590271626406923E-3</v>
      </c>
      <c r="BJ100" s="47">
        <f>_xll.qlPolynomialFunctionValue(BJ$1,$BD100,AllTriggers)</f>
        <v>3.0515502323731074E-3</v>
      </c>
      <c r="BK100" s="47">
        <f>_xll.qlPolynomialFunctionValue(BK$1,$BD100,AllTriggers)</f>
        <v>3.0517122574537799E-3</v>
      </c>
      <c r="BL100" s="47">
        <f>_xll.qlPolynomialFunctionValue(BL$1,$BD100,AllTriggers)</f>
        <v>3.0514653712029162E-3</v>
      </c>
      <c r="BM100" s="47">
        <f>_xll.qlPolynomialFunctionValue(BM$1,$BD100,AllTriggers)</f>
        <v>3.0420719385605387E-3</v>
      </c>
      <c r="BN100" s="47">
        <f>_xll.qlPolynomialFunctionValue(BN$1,$BD100,AllTriggers)</f>
        <v>3.0485094277711397E-3</v>
      </c>
      <c r="BO100" s="47">
        <f>_xll.qlPolynomialFunctionValue(BO$1,$BD100,AllTriggers)</f>
        <v>3.0333561602999713E-3</v>
      </c>
      <c r="BP100" s="47">
        <f>_xll.qlPolynomialFunctionValue(BP$1,$BD100,AllTriggers)</f>
        <v>3.0371374236590892E-3</v>
      </c>
      <c r="BQ100" s="47">
        <f>_xll.qlPolynomialFunctionValue('12MSynthDepo_used'!$P$18,BD100,AllTriggers)</f>
        <v>3.0476459705519629E-3</v>
      </c>
    </row>
    <row r="101" spans="11:69" x14ac:dyDescent="0.2">
      <c r="K101" s="55"/>
      <c r="L101" s="55"/>
      <c r="M101" s="55"/>
      <c r="N101" s="55"/>
      <c r="R101" s="34"/>
      <c r="S101" s="34"/>
      <c r="BC101" s="178">
        <f>_xll.qlCalendarAdvance(Calendar,BC100,"1d","mf",,Trigger)</f>
        <v>42416</v>
      </c>
      <c r="BD101" s="41">
        <f>_xll.qlDayCounterYearFraction(DayCounter,SettlementDate,BC101,,,Trigger)</f>
        <v>0.38055555555555554</v>
      </c>
      <c r="BE101" s="47">
        <f>_xll.qlPolynomialFunctionValue(BE$1,$BD101,AllTriggers)</f>
        <v>3.0612787167585802E-3</v>
      </c>
      <c r="BF101" s="47">
        <f>_xll.qlPolynomialFunctionValue(BF$1,$BD101,AllTriggers)</f>
        <v>3.0516266727709605E-3</v>
      </c>
      <c r="BG101" s="47">
        <f>_xll.qlPolynomialFunctionValue(BG$1,$BD101,AllTriggers)</f>
        <v>3.0520514116822721E-3</v>
      </c>
      <c r="BH101" s="47">
        <f>_xll.qlPolynomialFunctionValue(BH$1,$BD101,AllTriggers)</f>
        <v>3.0515681011520648E-3</v>
      </c>
      <c r="BI101" s="47">
        <f>_xll.qlPolynomialFunctionValue(BI$1,$BD101,AllTriggers)</f>
        <v>3.0605343752705023E-3</v>
      </c>
      <c r="BJ101" s="47">
        <f>_xll.qlPolynomialFunctionValue(BJ$1,$BD101,AllTriggers)</f>
        <v>3.0529371563381268E-3</v>
      </c>
      <c r="BK101" s="47">
        <f>_xll.qlPolynomialFunctionValue(BK$1,$BD101,AllTriggers)</f>
        <v>3.0533132509193198E-3</v>
      </c>
      <c r="BL101" s="47">
        <f>_xll.qlPolynomialFunctionValue(BL$1,$BD101,AllTriggers)</f>
        <v>3.0527401755612478E-3</v>
      </c>
      <c r="BM101" s="47">
        <f>_xll.qlPolynomialFunctionValue(BM$1,$BD101,AllTriggers)</f>
        <v>3.0437613357050565E-3</v>
      </c>
      <c r="BN101" s="47">
        <f>_xll.qlPolynomialFunctionValue(BN$1,$BD101,AllTriggers)</f>
        <v>3.0499678221147285E-3</v>
      </c>
      <c r="BO101" s="47">
        <f>_xll.qlPolynomialFunctionValue(BO$1,$BD101,AllTriggers)</f>
        <v>3.0350896777037702E-3</v>
      </c>
      <c r="BP101" s="47">
        <f>_xll.qlPolynomialFunctionValue(BP$1,$BD101,AllTriggers)</f>
        <v>3.0387874630151265E-3</v>
      </c>
      <c r="BQ101" s="47">
        <f>_xll.qlPolynomialFunctionValue('12MSynthDepo_used'!$P$18,BD101,AllTriggers)</f>
        <v>3.0493094183915077E-3</v>
      </c>
    </row>
    <row r="102" spans="11:69" x14ac:dyDescent="0.2">
      <c r="K102" s="55"/>
      <c r="L102" s="55"/>
      <c r="M102" s="55"/>
      <c r="N102" s="55"/>
      <c r="R102" s="34"/>
      <c r="S102" s="34"/>
      <c r="BC102" s="178">
        <f>_xll.qlCalendarAdvance(Calendar,BC101,"1d","mf",,Trigger)</f>
        <v>42417</v>
      </c>
      <c r="BD102" s="41">
        <f>_xll.qlDayCounterYearFraction(DayCounter,SettlementDate,BC102,,,Trigger)</f>
        <v>0.38333333333333336</v>
      </c>
      <c r="BE102" s="47">
        <f>_xll.qlPolynomialFunctionValue(BE$1,$BD102,AllTriggers)</f>
        <v>3.0627587316089662E-3</v>
      </c>
      <c r="BF102" s="47">
        <f>_xll.qlPolynomialFunctionValue(BF$1,$BD102,AllTriggers)</f>
        <v>3.0529508937264414E-3</v>
      </c>
      <c r="BG102" s="47">
        <f>_xll.qlPolynomialFunctionValue(BG$1,$BD102,AllTriggers)</f>
        <v>3.053650488533643E-3</v>
      </c>
      <c r="BH102" s="47">
        <f>_xll.qlPolynomialFunctionValue(BH$1,$BD102,AllTriggers)</f>
        <v>3.0528544193998918E-3</v>
      </c>
      <c r="BI102" s="47">
        <f>_xll.qlPolynomialFunctionValue(BI$1,$BD102,AllTriggers)</f>
        <v>3.0620415879003124E-3</v>
      </c>
      <c r="BJ102" s="47">
        <f>_xll.qlPolynomialFunctionValue(BJ$1,$BD102,AllTriggers)</f>
        <v>3.0543260442435173E-3</v>
      </c>
      <c r="BK102" s="47">
        <f>_xll.qlPolynomialFunctionValue(BK$1,$BD102,AllTriggers)</f>
        <v>3.0549142443848593E-3</v>
      </c>
      <c r="BL102" s="47">
        <f>_xll.qlPolynomialFunctionValue(BL$1,$BD102,AllTriggers)</f>
        <v>3.0540179724801966E-3</v>
      </c>
      <c r="BM102" s="47">
        <f>_xll.qlPolynomialFunctionValue(BM$1,$BD102,AllTriggers)</f>
        <v>3.0454507328495748E-3</v>
      </c>
      <c r="BN102" s="47">
        <f>_xll.qlPolynomialFunctionValue(BN$1,$BD102,AllTriggers)</f>
        <v>3.0514275860714945E-3</v>
      </c>
      <c r="BO102" s="47">
        <f>_xll.qlPolynomialFunctionValue(BO$1,$BD102,AllTriggers)</f>
        <v>3.0368231951075696E-3</v>
      </c>
      <c r="BP102" s="47">
        <f>_xll.qlPolynomialFunctionValue(BP$1,$BD102,AllTriggers)</f>
        <v>3.0404379464726372E-3</v>
      </c>
      <c r="BQ102" s="47">
        <f>_xll.qlPolynomialFunctionValue('12MSynthDepo_used'!$P$18,BD102,AllTriggers)</f>
        <v>3.0509735696246532E-3</v>
      </c>
    </row>
    <row r="103" spans="11:69" x14ac:dyDescent="0.2">
      <c r="K103" s="55"/>
      <c r="L103" s="55"/>
      <c r="M103" s="55"/>
      <c r="N103" s="55"/>
      <c r="R103" s="34"/>
      <c r="S103" s="34"/>
      <c r="BC103" s="178">
        <f>_xll.qlCalendarAdvance(Calendar,BC102,"1d","mf",,Trigger)</f>
        <v>42418</v>
      </c>
      <c r="BD103" s="41">
        <f>_xll.qlDayCounterYearFraction(DayCounter,SettlementDate,BC103,,,Trigger)</f>
        <v>0.38611111111111113</v>
      </c>
      <c r="BE103" s="47">
        <f>_xll.qlPolynomialFunctionValue(BE$1,$BD103,AllTriggers)</f>
        <v>3.0642387464593526E-3</v>
      </c>
      <c r="BF103" s="47">
        <f>_xll.qlPolynomialFunctionValue(BF$1,$BD103,AllTriggers)</f>
        <v>3.0542776479159854E-3</v>
      </c>
      <c r="BG103" s="47">
        <f>_xll.qlPolynomialFunctionValue(BG$1,$BD103,AllTriggers)</f>
        <v>3.0552495653850134E-3</v>
      </c>
      <c r="BH103" s="47">
        <f>_xll.qlPolynomialFunctionValue(BH$1,$BD103,AllTriggers)</f>
        <v>3.0541436202154932E-3</v>
      </c>
      <c r="BI103" s="47">
        <f>_xll.qlPolynomialFunctionValue(BI$1,$BD103,AllTriggers)</f>
        <v>3.0635488005301224E-3</v>
      </c>
      <c r="BJ103" s="47">
        <f>_xll.qlPolynomialFunctionValue(BJ$1,$BD103,AllTriggers)</f>
        <v>3.05571689608928E-3</v>
      </c>
      <c r="BK103" s="47">
        <f>_xll.qlPolynomialFunctionValue(BK$1,$BD103,AllTriggers)</f>
        <v>3.0565152378503988E-3</v>
      </c>
      <c r="BL103" s="47">
        <f>_xll.qlPolynomialFunctionValue(BL$1,$BD103,AllTriggers)</f>
        <v>3.0552987619597615E-3</v>
      </c>
      <c r="BM103" s="47">
        <f>_xll.qlPolynomialFunctionValue(BM$1,$BD103,AllTriggers)</f>
        <v>3.047140129994093E-3</v>
      </c>
      <c r="BN103" s="47">
        <f>_xll.qlPolynomialFunctionValue(BN$1,$BD103,AllTriggers)</f>
        <v>3.0528887196414373E-3</v>
      </c>
      <c r="BO103" s="47">
        <f>_xll.qlPolynomialFunctionValue(BO$1,$BD103,AllTriggers)</f>
        <v>3.0385567125113685E-3</v>
      </c>
      <c r="BP103" s="47">
        <f>_xll.qlPolynomialFunctionValue(BP$1,$BD103,AllTriggers)</f>
        <v>3.042088874031621E-3</v>
      </c>
      <c r="BQ103" s="47">
        <f>_xll.qlPolynomialFunctionValue('12MSynthDepo_used'!$P$18,BD103,AllTriggers)</f>
        <v>3.0526384196256319E-3</v>
      </c>
    </row>
    <row r="104" spans="11:69" x14ac:dyDescent="0.2">
      <c r="K104" s="55"/>
      <c r="L104" s="55"/>
      <c r="M104" s="55"/>
      <c r="N104" s="55"/>
      <c r="R104" s="34"/>
      <c r="S104" s="34"/>
      <c r="BC104" s="178">
        <f>_xll.qlCalendarAdvance(Calendar,BC103,"1d","mf",,Trigger)</f>
        <v>42419</v>
      </c>
      <c r="BD104" s="41">
        <f>_xll.qlDayCounterYearFraction(DayCounter,SettlementDate,BC104,,,Trigger)</f>
        <v>0.3888888888888889</v>
      </c>
      <c r="BE104" s="47">
        <f>_xll.qlPolynomialFunctionValue(BE$1,$BD104,AllTriggers)</f>
        <v>3.0657187613097386E-3</v>
      </c>
      <c r="BF104" s="47">
        <f>_xll.qlPolynomialFunctionValue(BF$1,$BD104,AllTriggers)</f>
        <v>3.0556069353395933E-3</v>
      </c>
      <c r="BG104" s="47">
        <f>_xll.qlPolynomialFunctionValue(BG$1,$BD104,AllTriggers)</f>
        <v>3.0568486422363843E-3</v>
      </c>
      <c r="BH104" s="47">
        <f>_xll.qlPolynomialFunctionValue(BH$1,$BD104,AllTriggers)</f>
        <v>3.0554357035988693E-3</v>
      </c>
      <c r="BI104" s="47">
        <f>_xll.qlPolynomialFunctionValue(BI$1,$BD104,AllTriggers)</f>
        <v>3.0650560131599324E-3</v>
      </c>
      <c r="BJ104" s="47">
        <f>_xll.qlPolynomialFunctionValue(BJ$1,$BD104,AllTriggers)</f>
        <v>3.0571097118754146E-3</v>
      </c>
      <c r="BK104" s="47">
        <f>_xll.qlPolynomialFunctionValue(BK$1,$BD104,AllTriggers)</f>
        <v>3.0581162313159382E-3</v>
      </c>
      <c r="BL104" s="47">
        <f>_xll.qlPolynomialFunctionValue(BL$1,$BD104,AllTriggers)</f>
        <v>3.0565825439999431E-3</v>
      </c>
      <c r="BM104" s="47">
        <f>_xll.qlPolynomialFunctionValue(BM$1,$BD104,AllTriggers)</f>
        <v>3.0488295271386113E-3</v>
      </c>
      <c r="BN104" s="47">
        <f>_xll.qlPolynomialFunctionValue(BN$1,$BD104,AllTriggers)</f>
        <v>3.0543512228245568E-3</v>
      </c>
      <c r="BO104" s="47">
        <f>_xll.qlPolynomialFunctionValue(BO$1,$BD104,AllTriggers)</f>
        <v>3.0402902299151674E-3</v>
      </c>
      <c r="BP104" s="47">
        <f>_xll.qlPolynomialFunctionValue(BP$1,$BD104,AllTriggers)</f>
        <v>3.0437402456920787E-3</v>
      </c>
      <c r="BQ104" s="47">
        <f>_xll.qlPolynomialFunctionValue('12MSynthDepo_used'!$P$18,BD104,AllTriggers)</f>
        <v>3.0543039637686777E-3</v>
      </c>
    </row>
    <row r="105" spans="11:69" x14ac:dyDescent="0.2">
      <c r="R105" s="34"/>
      <c r="S105" s="34"/>
      <c r="BC105" s="178">
        <f>_xll.qlCalendarAdvance(Calendar,BC104,"1d","mf",,Trigger)</f>
        <v>42422</v>
      </c>
      <c r="BD105" s="41">
        <f>_xll.qlDayCounterYearFraction(DayCounter,SettlementDate,BC105,,,Trigger)</f>
        <v>0.3972222222222222</v>
      </c>
      <c r="BE105" s="47">
        <f>_xll.qlPolynomialFunctionValue(BE$1,$BD105,AllTriggers)</f>
        <v>3.070158805860897E-3</v>
      </c>
      <c r="BF105" s="47">
        <f>_xll.qlPolynomialFunctionValue(BF$1,$BD105,AllTriggers)</f>
        <v>3.059609997014798E-3</v>
      </c>
      <c r="BG105" s="47">
        <f>_xll.qlPolynomialFunctionValue(BG$1,$BD105,AllTriggers)</f>
        <v>3.061645872790497E-3</v>
      </c>
      <c r="BH105" s="47">
        <f>_xll.qlPolynomialFunctionValue(BH$1,$BD105,AllTriggers)</f>
        <v>3.0593292491556453E-3</v>
      </c>
      <c r="BI105" s="47">
        <f>_xll.qlPolynomialFunctionValue(BI$1,$BD105,AllTriggers)</f>
        <v>3.0695776510493624E-3</v>
      </c>
      <c r="BJ105" s="47">
        <f>_xll.qlPolynomialFunctionValue(BJ$1,$BD105,AllTriggers)</f>
        <v>3.0612999428760485E-3</v>
      </c>
      <c r="BK105" s="47">
        <f>_xll.qlPolynomialFunctionValue(BK$1,$BD105,AllTriggers)</f>
        <v>3.0629192117125571E-3</v>
      </c>
      <c r="BL105" s="47">
        <f>_xll.qlPolynomialFunctionValue(BL$1,$BD105,AllTriggers)</f>
        <v>3.0604518454841875E-3</v>
      </c>
      <c r="BM105" s="47">
        <f>_xll.qlPolynomialFunctionValue(BM$1,$BD105,AllTriggers)</f>
        <v>3.053897718572166E-3</v>
      </c>
      <c r="BN105" s="47">
        <f>_xll.qlPolynomialFunctionValue(BN$1,$BD105,AllTriggers)</f>
        <v>3.058746950052977E-3</v>
      </c>
      <c r="BO105" s="47">
        <f>_xll.qlPolynomialFunctionValue(BO$1,$BD105,AllTriggers)</f>
        <v>3.0454907821265646E-3</v>
      </c>
      <c r="BP105" s="47">
        <f>_xll.qlPolynomialFunctionValue(BP$1,$BD105,AllTriggers)</f>
        <v>3.048697025282291E-3</v>
      </c>
      <c r="BQ105" s="47">
        <f>_xll.qlPolynomialFunctionValue('12MSynthDepo_used'!$P$18,BD105,AllTriggers)</f>
        <v>3.0593047147925378E-3</v>
      </c>
    </row>
    <row r="106" spans="11:69" x14ac:dyDescent="0.2">
      <c r="R106" s="34"/>
      <c r="S106" s="34"/>
      <c r="BC106" s="178">
        <f>_xll.qlCalendarAdvance(Calendar,BC105,"1d","mf",,Trigger)</f>
        <v>42423</v>
      </c>
      <c r="BD106" s="41">
        <f>_xll.qlDayCounterYearFraction(DayCounter,SettlementDate,BC106,,,Trigger)</f>
        <v>0.4</v>
      </c>
      <c r="BE106" s="47">
        <f>_xll.qlPolynomialFunctionValue(BE$1,$BD106,AllTriggers)</f>
        <v>3.0716388207112835E-3</v>
      </c>
      <c r="BF106" s="47">
        <f>_xll.qlPolynomialFunctionValue(BF$1,$BD106,AllTriggers)</f>
        <v>3.0609494173746594E-3</v>
      </c>
      <c r="BG106" s="47">
        <f>_xll.qlPolynomialFunctionValue(BG$1,$BD106,AllTriggers)</f>
        <v>3.0632449496418674E-3</v>
      </c>
      <c r="BH106" s="47">
        <f>_xll.qlPolynomialFunctionValue(BH$1,$BD106,AllTriggers)</f>
        <v>3.06063286281012E-3</v>
      </c>
      <c r="BI106" s="47">
        <f>_xll.qlPolynomialFunctionValue(BI$1,$BD106,AllTriggers)</f>
        <v>3.0710848636791724E-3</v>
      </c>
      <c r="BJ106" s="47">
        <f>_xll.qlPolynomialFunctionValue(BJ$1,$BD106,AllTriggers)</f>
        <v>3.0627006144236697E-3</v>
      </c>
      <c r="BK106" s="47">
        <f>_xll.qlPolynomialFunctionValue(BK$1,$BD106,AllTriggers)</f>
        <v>3.064520205178097E-3</v>
      </c>
      <c r="BL106" s="47">
        <f>_xll.qlPolynomialFunctionValue(BL$1,$BD106,AllTriggers)</f>
        <v>3.0617475977668357E-3</v>
      </c>
      <c r="BM106" s="47">
        <f>_xll.qlPolynomialFunctionValue(BM$1,$BD106,AllTriggers)</f>
        <v>3.0555871157166839E-3</v>
      </c>
      <c r="BN106" s="47">
        <f>_xll.qlPolynomialFunctionValue(BN$1,$BD106,AllTriggers)</f>
        <v>3.0602149316888041E-3</v>
      </c>
      <c r="BO106" s="47">
        <f>_xll.qlPolynomialFunctionValue(BO$1,$BD106,AllTriggers)</f>
        <v>3.0472242995303639E-3</v>
      </c>
      <c r="BP106" s="47">
        <f>_xll.qlPolynomialFunctionValue(BP$1,$BD106,AllTriggers)</f>
        <v>3.0503501733486413E-3</v>
      </c>
      <c r="BQ106" s="47">
        <f>_xll.qlPolynomialFunctionValue('12MSynthDepo_used'!$P$18,BD106,AllTriggers)</f>
        <v>3.0609729892461736E-3</v>
      </c>
    </row>
    <row r="107" spans="11:69" x14ac:dyDescent="0.2">
      <c r="R107" s="34"/>
      <c r="S107" s="34"/>
      <c r="BC107" s="178">
        <f>_xll.qlCalendarAdvance(Calendar,BC106,"1d","mf",,Trigger)</f>
        <v>42424</v>
      </c>
      <c r="BD107" s="41">
        <f>_xll.qlDayCounterYearFraction(DayCounter,SettlementDate,BC107,,,Trigger)</f>
        <v>0.40277777777777779</v>
      </c>
      <c r="BE107" s="47">
        <f>_xll.qlPolynomialFunctionValue(BE$1,$BD107,AllTriggers)</f>
        <v>3.0731188355616695E-3</v>
      </c>
      <c r="BF107" s="47">
        <f>_xll.qlPolynomialFunctionValue(BF$1,$BD107,AllTriggers)</f>
        <v>3.0622913709685848E-3</v>
      </c>
      <c r="BG107" s="47">
        <f>_xll.qlPolynomialFunctionValue(BG$1,$BD107,AllTriggers)</f>
        <v>3.0648440264932383E-3</v>
      </c>
      <c r="BH107" s="47">
        <f>_xll.qlPolynomialFunctionValue(BH$1,$BD107,AllTriggers)</f>
        <v>3.0619393590323694E-3</v>
      </c>
      <c r="BI107" s="47">
        <f>_xll.qlPolynomialFunctionValue(BI$1,$BD107,AllTriggers)</f>
        <v>3.0725920763089824E-3</v>
      </c>
      <c r="BJ107" s="47">
        <f>_xll.qlPolynomialFunctionValue(BJ$1,$BD107,AllTriggers)</f>
        <v>3.0641032499116624E-3</v>
      </c>
      <c r="BK107" s="47">
        <f>_xll.qlPolynomialFunctionValue(BK$1,$BD107,AllTriggers)</f>
        <v>3.0661211986436365E-3</v>
      </c>
      <c r="BL107" s="47">
        <f>_xll.qlPolynomialFunctionValue(BL$1,$BD107,AllTriggers)</f>
        <v>3.0630463426101003E-3</v>
      </c>
      <c r="BM107" s="47">
        <f>_xll.qlPolynomialFunctionValue(BM$1,$BD107,AllTriggers)</f>
        <v>3.0572765128612021E-3</v>
      </c>
      <c r="BN107" s="47">
        <f>_xll.qlPolynomialFunctionValue(BN$1,$BD107,AllTriggers)</f>
        <v>3.0616842829378084E-3</v>
      </c>
      <c r="BO107" s="47">
        <f>_xll.qlPolynomialFunctionValue(BO$1,$BD107,AllTriggers)</f>
        <v>3.0489578169341628E-3</v>
      </c>
      <c r="BP107" s="47">
        <f>_xll.qlPolynomialFunctionValue(BP$1,$BD107,AllTriggers)</f>
        <v>3.0520037655164651E-3</v>
      </c>
      <c r="BQ107" s="47">
        <f>_xll.qlPolynomialFunctionValue('12MSynthDepo_used'!$P$18,BD107,AllTriggers)</f>
        <v>3.0626419347130392E-3</v>
      </c>
    </row>
    <row r="108" spans="11:69" x14ac:dyDescent="0.2">
      <c r="R108" s="34"/>
      <c r="S108" s="34"/>
      <c r="BC108" s="178">
        <f>_xll.qlCalendarAdvance(Calendar,BC107,"1d","mf",,Trigger)</f>
        <v>42425</v>
      </c>
      <c r="BD108" s="41">
        <f>_xll.qlDayCounterYearFraction(DayCounter,SettlementDate,BC108,,,Trigger)</f>
        <v>0.40555555555555556</v>
      </c>
      <c r="BE108" s="47">
        <f>_xll.qlPolynomialFunctionValue(BE$1,$BD108,AllTriggers)</f>
        <v>3.0745988504120559E-3</v>
      </c>
      <c r="BF108" s="47">
        <f>_xll.qlPolynomialFunctionValue(BF$1,$BD108,AllTriggers)</f>
        <v>3.0636358577965737E-3</v>
      </c>
      <c r="BG108" s="47">
        <f>_xll.qlPolynomialFunctionValue(BG$1,$BD108,AllTriggers)</f>
        <v>3.0664431033446092E-3</v>
      </c>
      <c r="BH108" s="47">
        <f>_xll.qlPolynomialFunctionValue(BH$1,$BD108,AllTriggers)</f>
        <v>3.0632487378223928E-3</v>
      </c>
      <c r="BI108" s="47">
        <f>_xll.qlPolynomialFunctionValue(BI$1,$BD108,AllTriggers)</f>
        <v>3.0740992889387924E-3</v>
      </c>
      <c r="BJ108" s="47">
        <f>_xll.qlPolynomialFunctionValue(BJ$1,$BD108,AllTriggers)</f>
        <v>3.0655078493400279E-3</v>
      </c>
      <c r="BK108" s="47">
        <f>_xll.qlPolynomialFunctionValue(BK$1,$BD108,AllTriggers)</f>
        <v>3.0677221921091759E-3</v>
      </c>
      <c r="BL108" s="47">
        <f>_xll.qlPolynomialFunctionValue(BL$1,$BD108,AllTriggers)</f>
        <v>3.0643480800139813E-3</v>
      </c>
      <c r="BM108" s="47">
        <f>_xll.qlPolynomialFunctionValue(BM$1,$BD108,AllTriggers)</f>
        <v>3.0589659100057204E-3</v>
      </c>
      <c r="BN108" s="47">
        <f>_xll.qlPolynomialFunctionValue(BN$1,$BD108,AllTriggers)</f>
        <v>3.0631550037999895E-3</v>
      </c>
      <c r="BO108" s="47">
        <f>_xll.qlPolynomialFunctionValue(BO$1,$BD108,AllTriggers)</f>
        <v>3.0506913343379622E-3</v>
      </c>
      <c r="BP108" s="47">
        <f>_xll.qlPolynomialFunctionValue(BP$1,$BD108,AllTriggers)</f>
        <v>3.0536578017857628E-3</v>
      </c>
      <c r="BQ108" s="47">
        <f>_xll.qlPolynomialFunctionValue('12MSynthDepo_used'!$P$18,BD108,AllTriggers)</f>
        <v>3.0643115465673666E-3</v>
      </c>
    </row>
    <row r="109" spans="11:69" x14ac:dyDescent="0.2">
      <c r="R109" s="34"/>
      <c r="S109" s="34"/>
      <c r="BC109" s="178">
        <f>_xll.qlCalendarAdvance(Calendar,BC108,"1d","mf",,Trigger)</f>
        <v>42426</v>
      </c>
      <c r="BD109" s="41">
        <f>_xll.qlDayCounterYearFraction(DayCounter,SettlementDate,BC109,,,Trigger)</f>
        <v>0.40833333333333333</v>
      </c>
      <c r="BE109" s="47">
        <f>_xll.qlPolynomialFunctionValue(BE$1,$BD109,AllTriggers)</f>
        <v>3.0760788652624419E-3</v>
      </c>
      <c r="BF109" s="47">
        <f>_xll.qlPolynomialFunctionValue(BF$1,$BD109,AllTriggers)</f>
        <v>3.064982877858626E-3</v>
      </c>
      <c r="BG109" s="47">
        <f>_xll.qlPolynomialFunctionValue(BG$1,$BD109,AllTriggers)</f>
        <v>3.0680421801959801E-3</v>
      </c>
      <c r="BH109" s="47">
        <f>_xll.qlPolynomialFunctionValue(BH$1,$BD109,AllTriggers)</f>
        <v>3.0645609991801913E-3</v>
      </c>
      <c r="BI109" s="47">
        <f>_xll.qlPolynomialFunctionValue(BI$1,$BD109,AllTriggers)</f>
        <v>3.075606501568602E-3</v>
      </c>
      <c r="BJ109" s="47">
        <f>_xll.qlPolynomialFunctionValue(BJ$1,$BD109,AllTriggers)</f>
        <v>3.0669144127087643E-3</v>
      </c>
      <c r="BK109" s="47">
        <f>_xll.qlPolynomialFunctionValue(BK$1,$BD109,AllTriggers)</f>
        <v>3.0693231855747154E-3</v>
      </c>
      <c r="BL109" s="47">
        <f>_xll.qlPolynomialFunctionValue(BL$1,$BD109,AllTriggers)</f>
        <v>3.0656528099784791E-3</v>
      </c>
      <c r="BM109" s="47">
        <f>_xll.qlPolynomialFunctionValue(BM$1,$BD109,AllTriggers)</f>
        <v>3.0606553071502386E-3</v>
      </c>
      <c r="BN109" s="47">
        <f>_xll.qlPolynomialFunctionValue(BN$1,$BD109,AllTriggers)</f>
        <v>3.0646270942753474E-3</v>
      </c>
      <c r="BO109" s="47">
        <f>_xll.qlPolynomialFunctionValue(BO$1,$BD109,AllTriggers)</f>
        <v>3.0524248517417611E-3</v>
      </c>
      <c r="BP109" s="47">
        <f>_xll.qlPolynomialFunctionValue(BP$1,$BD109,AllTriggers)</f>
        <v>3.0553122821565331E-3</v>
      </c>
      <c r="BQ109" s="47">
        <f>_xll.qlPolynomialFunctionValue('12MSynthDepo_used'!$P$18,BD109,AllTriggers)</f>
        <v>3.0659818201833888E-3</v>
      </c>
    </row>
    <row r="110" spans="11:69" x14ac:dyDescent="0.2">
      <c r="R110" s="34"/>
      <c r="S110" s="34"/>
      <c r="BC110" s="178">
        <f>_xll.qlCalendarAdvance(Calendar,BC109,"1d","mf",,Trigger)</f>
        <v>42429</v>
      </c>
      <c r="BD110" s="41">
        <f>_xll.qlDayCounterYearFraction(DayCounter,SettlementDate,BC110,,,Trigger)</f>
        <v>0.41666666666666669</v>
      </c>
      <c r="BE110" s="47">
        <f>_xll.qlPolynomialFunctionValue(BE$1,$BD110,AllTriggers)</f>
        <v>3.0805189098136003E-3</v>
      </c>
      <c r="BF110" s="47">
        <f>_xll.qlPolynomialFunctionValue(BF$1,$BD110,AllTriggers)</f>
        <v>3.069039137449164E-3</v>
      </c>
      <c r="BG110" s="47">
        <f>_xll.qlPolynomialFunctionValue(BG$1,$BD110,AllTriggers)</f>
        <v>3.0728394107500923E-3</v>
      </c>
      <c r="BH110" s="47">
        <f>_xll.qlPolynomialFunctionValue(BH$1,$BD110,AllTriggers)</f>
        <v>3.0685150786602341E-3</v>
      </c>
      <c r="BI110" s="47">
        <f>_xll.qlPolynomialFunctionValue(BI$1,$BD110,AllTriggers)</f>
        <v>3.080128139458032E-3</v>
      </c>
      <c r="BJ110" s="47">
        <f>_xll.qlPolynomialFunctionValue(BJ$1,$BD110,AllTriggers)</f>
        <v>3.0711458864572045E-3</v>
      </c>
      <c r="BK110" s="47">
        <f>_xll.qlPolynomialFunctionValue(BK$1,$BD110,AllTriggers)</f>
        <v>3.0741261659713343E-3</v>
      </c>
      <c r="BL110" s="47">
        <f>_xll.qlPolynomialFunctionValue(BL$1,$BD110,AllTriggers)</f>
        <v>3.0695849552356716E-3</v>
      </c>
      <c r="BM110" s="47">
        <f>_xll.qlPolynomialFunctionValue(BM$1,$BD110,AllTriggers)</f>
        <v>3.0657234985837934E-3</v>
      </c>
      <c r="BN110" s="47">
        <f>_xll.qlPolynomialFunctionValue(BN$1,$BD110,AllTriggers)</f>
        <v>3.069051583380483E-3</v>
      </c>
      <c r="BO110" s="47">
        <f>_xll.qlPolynomialFunctionValue(BO$1,$BD110,AllTriggers)</f>
        <v>3.0576254039531583E-3</v>
      </c>
      <c r="BP110" s="47">
        <f>_xll.qlPolynomialFunctionValue(BP$1,$BD110,AllTriggers)</f>
        <v>3.0602783878776849E-3</v>
      </c>
      <c r="BQ110" s="47">
        <f>_xll.qlPolynomialFunctionValue('12MSynthDepo_used'!$P$18,BD110,AllTriggers)</f>
        <v>3.0709965653439456E-3</v>
      </c>
    </row>
    <row r="111" spans="11:69" x14ac:dyDescent="0.2">
      <c r="R111" s="34"/>
      <c r="S111" s="34"/>
      <c r="BC111" s="178">
        <f>_xll.qlCalendarAdvance(Calendar,BC110,"1d","mf",,Trigger)</f>
        <v>42430</v>
      </c>
      <c r="BD111" s="41">
        <f>_xll.qlDayCounterYearFraction(DayCounter,SettlementDate,BC111,,,Trigger)</f>
        <v>0.41944444444444445</v>
      </c>
      <c r="BE111" s="47">
        <f>_xll.qlPolynomialFunctionValue(BE$1,$BD111,AllTriggers)</f>
        <v>3.0819989246639867E-3</v>
      </c>
      <c r="BF111" s="47">
        <f>_xll.qlPolynomialFunctionValue(BF$1,$BD111,AllTriggers)</f>
        <v>3.0703962904474703E-3</v>
      </c>
      <c r="BG111" s="47">
        <f>_xll.qlPolynomialFunctionValue(BG$1,$BD111,AllTriggers)</f>
        <v>3.0744384876014632E-3</v>
      </c>
      <c r="BH111" s="47">
        <f>_xll.qlPolynomialFunctionValue(BH$1,$BD111,AllTriggers)</f>
        <v>3.0698388702891303E-3</v>
      </c>
      <c r="BI111" s="47">
        <f>_xll.qlPolynomialFunctionValue(BI$1,$BD111,AllTriggers)</f>
        <v>3.0816353520878421E-3</v>
      </c>
      <c r="BJ111" s="47">
        <f>_xll.qlPolynomialFunctionValue(BJ$1,$BD111,AllTriggers)</f>
        <v>3.072560305587428E-3</v>
      </c>
      <c r="BK111" s="47">
        <f>_xll.qlPolynomialFunctionValue(BK$1,$BD111,AllTriggers)</f>
        <v>3.0757271594368742E-3</v>
      </c>
      <c r="BL111" s="47">
        <f>_xll.qlPolynomialFunctionValue(BL$1,$BD111,AllTriggers)</f>
        <v>3.0709016554426359E-3</v>
      </c>
      <c r="BM111" s="47">
        <f>_xll.qlPolynomialFunctionValue(BM$1,$BD111,AllTriggers)</f>
        <v>3.0674128957283112E-3</v>
      </c>
      <c r="BN111" s="47">
        <f>_xll.qlPolynomialFunctionValue(BN$1,$BD111,AllTriggers)</f>
        <v>3.0705291523085488E-3</v>
      </c>
      <c r="BO111" s="47">
        <f>_xll.qlPolynomialFunctionValue(BO$1,$BD111,AllTriggers)</f>
        <v>3.0593589213569576E-3</v>
      </c>
      <c r="BP111" s="47">
        <f>_xll.qlPolynomialFunctionValue(BP$1,$BD111,AllTriggers)</f>
        <v>3.0619346446543487E-3</v>
      </c>
      <c r="BQ111" s="47">
        <f>_xll.qlPolynomialFunctionValue('12MSynthDepo_used'!$P$18,BD111,AllTriggers)</f>
        <v>3.0726694397490702E-3</v>
      </c>
    </row>
    <row r="112" spans="11:69" x14ac:dyDescent="0.2">
      <c r="R112" s="34"/>
      <c r="S112" s="34"/>
      <c r="BC112" s="178">
        <f>_xll.qlCalendarAdvance(Calendar,BC111,"1d","mf",,Trigger)</f>
        <v>42431</v>
      </c>
      <c r="BD112" s="41">
        <f>_xll.qlDayCounterYearFraction(DayCounter,SettlementDate,BC112,,,Trigger)</f>
        <v>0.42222222222222222</v>
      </c>
      <c r="BE112" s="47">
        <f>_xll.qlPolynomialFunctionValue(BE$1,$BD112,AllTriggers)</f>
        <v>3.0834789395143727E-3</v>
      </c>
      <c r="BF112" s="47">
        <f>_xll.qlPolynomialFunctionValue(BF$1,$BD112,AllTriggers)</f>
        <v>3.0717559766798401E-3</v>
      </c>
      <c r="BG112" s="47">
        <f>_xll.qlPolynomialFunctionValue(BG$1,$BD112,AllTriggers)</f>
        <v>3.0760375644528341E-3</v>
      </c>
      <c r="BH112" s="47">
        <f>_xll.qlPolynomialFunctionValue(BH$1,$BD112,AllTriggers)</f>
        <v>3.0711655444858018E-3</v>
      </c>
      <c r="BI112" s="47">
        <f>_xll.qlPolynomialFunctionValue(BI$1,$BD112,AllTriggers)</f>
        <v>3.0831425647176521E-3</v>
      </c>
      <c r="BJ112" s="47">
        <f>_xll.qlPolynomialFunctionValue(BJ$1,$BD112,AllTriggers)</f>
        <v>3.0739766886580238E-3</v>
      </c>
      <c r="BK112" s="47">
        <f>_xll.qlPolynomialFunctionValue(BK$1,$BD112,AllTriggers)</f>
        <v>3.0773281529024137E-3</v>
      </c>
      <c r="BL112" s="47">
        <f>_xll.qlPolynomialFunctionValue(BL$1,$BD112,AllTriggers)</f>
        <v>3.0722213482102163E-3</v>
      </c>
      <c r="BM112" s="47">
        <f>_xll.qlPolynomialFunctionValue(BM$1,$BD112,AllTriggers)</f>
        <v>3.0691022928728295E-3</v>
      </c>
      <c r="BN112" s="47">
        <f>_xll.qlPolynomialFunctionValue(BN$1,$BD112,AllTriggers)</f>
        <v>3.072008090849791E-3</v>
      </c>
      <c r="BO112" s="47">
        <f>_xll.qlPolynomialFunctionValue(BO$1,$BD112,AllTriggers)</f>
        <v>3.0610924387607565E-3</v>
      </c>
      <c r="BP112" s="47">
        <f>_xll.qlPolynomialFunctionValue(BP$1,$BD112,AllTriggers)</f>
        <v>3.0635913455324855E-3</v>
      </c>
      <c r="BQ112" s="47">
        <f>_xll.qlPolynomialFunctionValue('12MSynthDepo_used'!$P$18,BD112,AllTriggers)</f>
        <v>3.0743429527870527E-3</v>
      </c>
    </row>
    <row r="113" spans="18:69" x14ac:dyDescent="0.2">
      <c r="R113" s="34"/>
      <c r="S113" s="34"/>
      <c r="AB113" s="19" t="s">
        <v>70</v>
      </c>
      <c r="BC113" s="178">
        <f>_xll.qlCalendarAdvance(Calendar,BC112,"1d","mf",,Trigger)</f>
        <v>42432</v>
      </c>
      <c r="BD113" s="41">
        <f>_xll.qlDayCounterYearFraction(DayCounter,SettlementDate,BC113,,,Trigger)</f>
        <v>0.42499999999999999</v>
      </c>
      <c r="BE113" s="47">
        <f>_xll.qlPolynomialFunctionValue(BE$1,$BD113,AllTriggers)</f>
        <v>3.0849589543647592E-3</v>
      </c>
      <c r="BF113" s="47">
        <f>_xll.qlPolynomialFunctionValue(BF$1,$BD113,AllTriggers)</f>
        <v>3.0731181961462734E-3</v>
      </c>
      <c r="BG113" s="47">
        <f>_xll.qlPolynomialFunctionValue(BG$1,$BD113,AllTriggers)</f>
        <v>3.077636641304205E-3</v>
      </c>
      <c r="BH113" s="47">
        <f>_xll.qlPolynomialFunctionValue(BH$1,$BD113,AllTriggers)</f>
        <v>3.0724951012502475E-3</v>
      </c>
      <c r="BI113" s="47">
        <f>_xll.qlPolynomialFunctionValue(BI$1,$BD113,AllTriggers)</f>
        <v>3.0846497773474621E-3</v>
      </c>
      <c r="BJ113" s="47">
        <f>_xll.qlPolynomialFunctionValue(BJ$1,$BD113,AllTriggers)</f>
        <v>3.0753950356689906E-3</v>
      </c>
      <c r="BK113" s="47">
        <f>_xll.qlPolynomialFunctionValue(BK$1,$BD113,AllTriggers)</f>
        <v>3.0789291463679531E-3</v>
      </c>
      <c r="BL113" s="47">
        <f>_xll.qlPolynomialFunctionValue(BL$1,$BD113,AllTriggers)</f>
        <v>3.0735440335384139E-3</v>
      </c>
      <c r="BM113" s="47">
        <f>_xll.qlPolynomialFunctionValue(BM$1,$BD113,AllTriggers)</f>
        <v>3.0707916900173477E-3</v>
      </c>
      <c r="BN113" s="47">
        <f>_xll.qlPolynomialFunctionValue(BN$1,$BD113,AllTriggers)</f>
        <v>3.0734883990042104E-3</v>
      </c>
      <c r="BO113" s="47">
        <f>_xll.qlPolynomialFunctionValue(BO$1,$BD113,AllTriggers)</f>
        <v>3.0628259561645554E-3</v>
      </c>
      <c r="BP113" s="47">
        <f>_xll.qlPolynomialFunctionValue(BP$1,$BD113,AllTriggers)</f>
        <v>3.0652484905120962E-3</v>
      </c>
      <c r="BQ113" s="47">
        <f>_xll.qlPolynomialFunctionValue('12MSynthDepo_used'!$P$18,BD113,AllTriggers)</f>
        <v>3.0760170998321251E-3</v>
      </c>
    </row>
    <row r="114" spans="18:69" x14ac:dyDescent="0.2">
      <c r="R114" s="34"/>
      <c r="S114" s="34"/>
      <c r="BC114" s="178">
        <f>_xll.qlCalendarAdvance(Calendar,BC113,"1d","mf",,Trigger)</f>
        <v>42433</v>
      </c>
      <c r="BD114" s="41">
        <f>_xll.qlDayCounterYearFraction(DayCounter,SettlementDate,BC114,,,Trigger)</f>
        <v>0.42777777777777776</v>
      </c>
      <c r="BE114" s="47">
        <f>_xll.qlPolynomialFunctionValue(BE$1,$BD114,AllTriggers)</f>
        <v>3.0864389692151451E-3</v>
      </c>
      <c r="BF114" s="47">
        <f>_xll.qlPolynomialFunctionValue(BF$1,$BD114,AllTriggers)</f>
        <v>3.0744829488467706E-3</v>
      </c>
      <c r="BG114" s="47">
        <f>_xll.qlPolynomialFunctionValue(BG$1,$BD114,AllTriggers)</f>
        <v>3.0792357181555759E-3</v>
      </c>
      <c r="BH114" s="47">
        <f>_xll.qlPolynomialFunctionValue(BH$1,$BD114,AllTriggers)</f>
        <v>3.0738275405824684E-3</v>
      </c>
      <c r="BI114" s="47">
        <f>_xll.qlPolynomialFunctionValue(BI$1,$BD114,AllTriggers)</f>
        <v>3.0861569899772721E-3</v>
      </c>
      <c r="BJ114" s="47">
        <f>_xll.qlPolynomialFunctionValue(BJ$1,$BD114,AllTriggers)</f>
        <v>3.0768153466203293E-3</v>
      </c>
      <c r="BK114" s="47">
        <f>_xll.qlPolynomialFunctionValue(BK$1,$BD114,AllTriggers)</f>
        <v>3.0805301398334926E-3</v>
      </c>
      <c r="BL114" s="47">
        <f>_xll.qlPolynomialFunctionValue(BL$1,$BD114,AllTriggers)</f>
        <v>3.0748697114272279E-3</v>
      </c>
      <c r="BM114" s="47">
        <f>_xll.qlPolynomialFunctionValue(BM$1,$BD114,AllTriggers)</f>
        <v>3.072481087161866E-3</v>
      </c>
      <c r="BN114" s="47">
        <f>_xll.qlPolynomialFunctionValue(BN$1,$BD114,AllTriggers)</f>
        <v>3.0749700767718066E-3</v>
      </c>
      <c r="BO114" s="47">
        <f>_xll.qlPolynomialFunctionValue(BO$1,$BD114,AllTriggers)</f>
        <v>3.0645594735683548E-3</v>
      </c>
      <c r="BP114" s="47">
        <f>_xll.qlPolynomialFunctionValue(BP$1,$BD114,AllTriggers)</f>
        <v>3.06690607959318E-3</v>
      </c>
      <c r="BQ114" s="47">
        <f>_xll.qlPolynomialFunctionValue('12MSynthDepo_used'!$P$18,BD114,AllTriggers)</f>
        <v>3.0776918762585193E-3</v>
      </c>
    </row>
    <row r="115" spans="18:69" x14ac:dyDescent="0.2">
      <c r="R115" s="34"/>
      <c r="S115" s="34"/>
      <c r="BC115" s="178">
        <f>_xll.qlCalendarAdvance(Calendar,BC114,"1d","mf",,Trigger)</f>
        <v>42436</v>
      </c>
      <c r="BD115" s="41">
        <f>_xll.qlDayCounterYearFraction(DayCounter,SettlementDate,BC115,,,Trigger)</f>
        <v>0.43611111111111112</v>
      </c>
      <c r="BE115" s="47">
        <f>_xll.qlPolynomialFunctionValue(BE$1,$BD115,AllTriggers)</f>
        <v>3.0908790137663036E-3</v>
      </c>
      <c r="BF115" s="47">
        <f>_xll.qlPolynomialFunctionValue(BF$1,$BD115,AllTriggers)</f>
        <v>3.0785924063526419E-3</v>
      </c>
      <c r="BG115" s="47">
        <f>_xll.qlPolynomialFunctionValue(BG$1,$BD115,AllTriggers)</f>
        <v>3.0840329487096881E-3</v>
      </c>
      <c r="BH115" s="47">
        <f>_xll.qlPolynomialFunctionValue(BH$1,$BD115,AllTriggers)</f>
        <v>3.0778421539857772E-3</v>
      </c>
      <c r="BI115" s="47">
        <f>_xll.qlPolynomialFunctionValue(BI$1,$BD115,AllTriggers)</f>
        <v>3.0906786278667021E-3</v>
      </c>
      <c r="BJ115" s="47">
        <f>_xll.qlPolynomialFunctionValue(BJ$1,$BD115,AllTriggers)</f>
        <v>3.0810880631165767E-3</v>
      </c>
      <c r="BK115" s="47">
        <f>_xll.qlPolynomialFunctionValue(BK$1,$BD115,AllTriggers)</f>
        <v>3.0853331202301115E-3</v>
      </c>
      <c r="BL115" s="47">
        <f>_xll.qlPolynomialFunctionValue(BL$1,$BD115,AllTriggers)</f>
        <v>3.0788647004573685E-3</v>
      </c>
      <c r="BM115" s="47">
        <f>_xll.qlPolynomialFunctionValue(BM$1,$BD115,AllTriggers)</f>
        <v>3.0775492785954203E-3</v>
      </c>
      <c r="BN115" s="47">
        <f>_xll.qlPolynomialFunctionValue(BN$1,$BD115,AllTriggers)</f>
        <v>3.0794233277536575E-3</v>
      </c>
      <c r="BO115" s="47">
        <f>_xll.qlPolynomialFunctionValue(BO$1,$BD115,AllTriggers)</f>
        <v>3.069760025779752E-3</v>
      </c>
      <c r="BP115" s="47">
        <f>_xll.qlPolynomialFunctionValue(BP$1,$BD115,AllTriggers)</f>
        <v>3.0718815114452714E-3</v>
      </c>
      <c r="BQ115" s="47">
        <f>_xll.qlPolynomialFunctionValue('12MSynthDepo_used'!$P$18,BD115,AllTriggers)</f>
        <v>3.0827199355679636E-3</v>
      </c>
    </row>
    <row r="116" spans="18:69" x14ac:dyDescent="0.2">
      <c r="R116" s="34"/>
      <c r="S116" s="34"/>
      <c r="BC116" s="178">
        <f>_xll.qlCalendarAdvance(Calendar,BC115,"1d","mf",,Trigger)</f>
        <v>42437</v>
      </c>
      <c r="BD116" s="41">
        <f>_xll.qlDayCounterYearFraction(DayCounter,SettlementDate,BC116,,,Trigger)</f>
        <v>0.43888888888888888</v>
      </c>
      <c r="BE116" s="47">
        <f>_xll.qlPolynomialFunctionValue(BE$1,$BD116,AllTriggers)</f>
        <v>3.09235902861669E-3</v>
      </c>
      <c r="BF116" s="47">
        <f>_xll.qlPolynomialFunctionValue(BF$1,$BD116,AllTriggers)</f>
        <v>3.0799672919893926E-3</v>
      </c>
      <c r="BG116" s="47">
        <f>_xll.qlPolynomialFunctionValue(BG$1,$BD116,AllTriggers)</f>
        <v>3.085632025561059E-3</v>
      </c>
      <c r="BH116" s="47">
        <f>_xll.qlPolynomialFunctionValue(BH$1,$BD116,AllTriggers)</f>
        <v>3.0791861235890962E-3</v>
      </c>
      <c r="BI116" s="47">
        <f>_xll.qlPolynomialFunctionValue(BI$1,$BD116,AllTriggers)</f>
        <v>3.0921858404965121E-3</v>
      </c>
      <c r="BJ116" s="47">
        <f>_xll.qlPolynomialFunctionValue(BJ$1,$BD116,AllTriggers)</f>
        <v>3.0825162298294029E-3</v>
      </c>
      <c r="BK116" s="47">
        <f>_xll.qlPolynomialFunctionValue(BK$1,$BD116,AllTriggers)</f>
        <v>3.0869341136956514E-3</v>
      </c>
      <c r="BL116" s="47">
        <f>_xll.qlPolynomialFunctionValue(BL$1,$BD116,AllTriggers)</f>
        <v>3.080202348588649E-3</v>
      </c>
      <c r="BM116" s="47">
        <f>_xll.qlPolynomialFunctionValue(BM$1,$BD116,AllTriggers)</f>
        <v>3.0792386757399386E-3</v>
      </c>
      <c r="BN116" s="47">
        <f>_xll.qlPolynomialFunctionValue(BN$1,$BD116,AllTriggers)</f>
        <v>3.0809104839739617E-3</v>
      </c>
      <c r="BO116" s="47">
        <f>_xll.qlPolynomialFunctionValue(BO$1,$BD116,AllTriggers)</f>
        <v>3.0714935431835509E-3</v>
      </c>
      <c r="BP116" s="47">
        <f>_xll.qlPolynomialFunctionValue(BP$1,$BD116,AllTriggers)</f>
        <v>3.0735408769322482E-3</v>
      </c>
      <c r="BQ116" s="47">
        <f>_xll.qlPolynomialFunctionValue('12MSynthDepo_used'!$P$18,BD116,AllTriggers)</f>
        <v>3.0843971832619737E-3</v>
      </c>
    </row>
    <row r="117" spans="18:69" x14ac:dyDescent="0.2">
      <c r="R117" s="34"/>
      <c r="S117" s="34"/>
      <c r="BC117" s="178">
        <f>_xll.qlCalendarAdvance(Calendar,BC116,"1d","mf",,Trigger)</f>
        <v>42438</v>
      </c>
      <c r="BD117" s="41">
        <f>_xll.qlDayCounterYearFraction(DayCounter,SettlementDate,BC117,,,Trigger)</f>
        <v>0.44166666666666665</v>
      </c>
      <c r="BE117" s="47">
        <f>_xll.qlPolynomialFunctionValue(BE$1,$BD117,AllTriggers)</f>
        <v>3.093839043467076E-3</v>
      </c>
      <c r="BF117" s="47">
        <f>_xll.qlPolynomialFunctionValue(BF$1,$BD117,AllTriggers)</f>
        <v>3.0813447108602073E-3</v>
      </c>
      <c r="BG117" s="47">
        <f>_xll.qlPolynomialFunctionValue(BG$1,$BD117,AllTriggers)</f>
        <v>3.0872311024124298E-3</v>
      </c>
      <c r="BH117" s="47">
        <f>_xll.qlPolynomialFunctionValue(BH$1,$BD117,AllTriggers)</f>
        <v>3.0805329757601901E-3</v>
      </c>
      <c r="BI117" s="47">
        <f>_xll.qlPolynomialFunctionValue(BI$1,$BD117,AllTriggers)</f>
        <v>3.0936930531263221E-3</v>
      </c>
      <c r="BJ117" s="47">
        <f>_xll.qlPolynomialFunctionValue(BJ$1,$BD117,AllTriggers)</f>
        <v>3.0839463604826005E-3</v>
      </c>
      <c r="BK117" s="47">
        <f>_xll.qlPolynomialFunctionValue(BK$1,$BD117,AllTriggers)</f>
        <v>3.0885351071611908E-3</v>
      </c>
      <c r="BL117" s="47">
        <f>_xll.qlPolynomialFunctionValue(BL$1,$BD117,AllTriggers)</f>
        <v>3.0815429892805456E-3</v>
      </c>
      <c r="BM117" s="47">
        <f>_xll.qlPolynomialFunctionValue(BM$1,$BD117,AllTriggers)</f>
        <v>3.0809280728844569E-3</v>
      </c>
      <c r="BN117" s="47">
        <f>_xll.qlPolynomialFunctionValue(BN$1,$BD117,AllTriggers)</f>
        <v>3.0823990098074426E-3</v>
      </c>
      <c r="BO117" s="47">
        <f>_xll.qlPolynomialFunctionValue(BO$1,$BD117,AllTriggers)</f>
        <v>3.0732270605873498E-3</v>
      </c>
      <c r="BP117" s="47">
        <f>_xll.qlPolynomialFunctionValue(BP$1,$BD117,AllTriggers)</f>
        <v>3.075200686520699E-3</v>
      </c>
      <c r="BQ117" s="47">
        <f>_xll.qlPolynomialFunctionValue('12MSynthDepo_used'!$P$18,BD117,AllTriggers)</f>
        <v>3.0860750372084696E-3</v>
      </c>
    </row>
    <row r="118" spans="18:69" x14ac:dyDescent="0.2">
      <c r="R118" s="34"/>
      <c r="S118" s="34"/>
      <c r="BC118" s="178">
        <f>_xll.qlCalendarAdvance(Calendar,BC117,"1d","mf",,Trigger)</f>
        <v>42439</v>
      </c>
      <c r="BD118" s="41">
        <f>_xll.qlDayCounterYearFraction(DayCounter,SettlementDate,BC118,,,Trigger)</f>
        <v>0.44444444444444442</v>
      </c>
      <c r="BE118" s="47">
        <f>_xll.qlPolynomialFunctionValue(BE$1,$BD118,AllTriggers)</f>
        <v>3.095319058317462E-3</v>
      </c>
      <c r="BF118" s="47">
        <f>_xll.qlPolynomialFunctionValue(BF$1,$BD118,AllTriggers)</f>
        <v>3.082724662965085E-3</v>
      </c>
      <c r="BG118" s="47">
        <f>_xll.qlPolynomialFunctionValue(BG$1,$BD118,AllTriggers)</f>
        <v>3.0888301792638007E-3</v>
      </c>
      <c r="BH118" s="47">
        <f>_xll.qlPolynomialFunctionValue(BH$1,$BD118,AllTriggers)</f>
        <v>3.0818827104990578E-3</v>
      </c>
      <c r="BI118" s="47">
        <f>_xll.qlPolynomialFunctionValue(BI$1,$BD118,AllTriggers)</f>
        <v>3.0952002657561322E-3</v>
      </c>
      <c r="BJ118" s="47">
        <f>_xll.qlPolynomialFunctionValue(BJ$1,$BD118,AllTriggers)</f>
        <v>3.0853784550761696E-3</v>
      </c>
      <c r="BK118" s="47">
        <f>_xll.qlPolynomialFunctionValue(BK$1,$BD118,AllTriggers)</f>
        <v>3.0901361006267303E-3</v>
      </c>
      <c r="BL118" s="47">
        <f>_xll.qlPolynomialFunctionValue(BL$1,$BD118,AllTriggers)</f>
        <v>3.0828866225330589E-3</v>
      </c>
      <c r="BM118" s="47">
        <f>_xll.qlPolynomialFunctionValue(BM$1,$BD118,AllTriggers)</f>
        <v>3.0826174700289751E-3</v>
      </c>
      <c r="BN118" s="47">
        <f>_xll.qlPolynomialFunctionValue(BN$1,$BD118,AllTriggers)</f>
        <v>3.0838889052541003E-3</v>
      </c>
      <c r="BO118" s="47">
        <f>_xll.qlPolynomialFunctionValue(BO$1,$BD118,AllTriggers)</f>
        <v>3.0749605779911491E-3</v>
      </c>
      <c r="BP118" s="47">
        <f>_xll.qlPolynomialFunctionValue(BP$1,$BD118,AllTriggers)</f>
        <v>3.0768609402106223E-3</v>
      </c>
      <c r="BQ118" s="47">
        <f>_xll.qlPolynomialFunctionValue('12MSynthDepo_used'!$P$18,BD118,AllTriggers)</f>
        <v>3.087753492781683E-3</v>
      </c>
    </row>
    <row r="119" spans="18:69" x14ac:dyDescent="0.2">
      <c r="R119" s="34"/>
      <c r="S119" s="34"/>
      <c r="BC119" s="178">
        <f>_xll.qlCalendarAdvance(Calendar,BC118,"1d","mf",,Trigger)</f>
        <v>42440</v>
      </c>
      <c r="BD119" s="41">
        <f>_xll.qlDayCounterYearFraction(DayCounter,SettlementDate,BC119,,,Trigger)</f>
        <v>0.44722222222222224</v>
      </c>
      <c r="BE119" s="47">
        <f>_xll.qlPolynomialFunctionValue(BE$1,$BD119,AllTriggers)</f>
        <v>3.0967990731678484E-3</v>
      </c>
      <c r="BF119" s="47">
        <f>_xll.qlPolynomialFunctionValue(BF$1,$BD119,AllTriggers)</f>
        <v>3.0841071483040266E-3</v>
      </c>
      <c r="BG119" s="47">
        <f>_xll.qlPolynomialFunctionValue(BG$1,$BD119,AllTriggers)</f>
        <v>3.0904292561151712E-3</v>
      </c>
      <c r="BH119" s="47">
        <f>_xll.qlPolynomialFunctionValue(BH$1,$BD119,AllTriggers)</f>
        <v>3.0832353278057007E-3</v>
      </c>
      <c r="BI119" s="47">
        <f>_xll.qlPolynomialFunctionValue(BI$1,$BD119,AllTriggers)</f>
        <v>3.0967074783859422E-3</v>
      </c>
      <c r="BJ119" s="47">
        <f>_xll.qlPolynomialFunctionValue(BJ$1,$BD119,AllTriggers)</f>
        <v>3.086812513610111E-3</v>
      </c>
      <c r="BK119" s="47">
        <f>_xll.qlPolynomialFunctionValue(BK$1,$BD119,AllTriggers)</f>
        <v>3.0917370940922702E-3</v>
      </c>
      <c r="BL119" s="47">
        <f>_xll.qlPolynomialFunctionValue(BL$1,$BD119,AllTriggers)</f>
        <v>3.0842332483461887E-3</v>
      </c>
      <c r="BM119" s="47">
        <f>_xll.qlPolynomialFunctionValue(BM$1,$BD119,AllTriggers)</f>
        <v>3.0843068671734934E-3</v>
      </c>
      <c r="BN119" s="47">
        <f>_xll.qlPolynomialFunctionValue(BN$1,$BD119,AllTriggers)</f>
        <v>3.0853801703139352E-3</v>
      </c>
      <c r="BO119" s="47">
        <f>_xll.qlPolynomialFunctionValue(BO$1,$BD119,AllTriggers)</f>
        <v>3.0766940953949481E-3</v>
      </c>
      <c r="BP119" s="47">
        <f>_xll.qlPolynomialFunctionValue(BP$1,$BD119,AllTriggers)</f>
        <v>3.0785216380020191E-3</v>
      </c>
      <c r="BQ119" s="47">
        <f>_xll.qlPolynomialFunctionValue('12MSynthDepo_used'!$P$18,BD119,AllTriggers)</f>
        <v>3.0894325453558469E-3</v>
      </c>
    </row>
    <row r="120" spans="18:69" x14ac:dyDescent="0.2">
      <c r="R120" s="34"/>
      <c r="S120" s="34"/>
      <c r="BC120" s="178">
        <f>_xll.qlCalendarAdvance(Calendar,BC119,"1d","mf",,Trigger)</f>
        <v>42443</v>
      </c>
      <c r="BD120" s="41">
        <f>_xll.qlDayCounterYearFraction(DayCounter,SettlementDate,BC120,,,Trigger)</f>
        <v>0.45555555555555555</v>
      </c>
      <c r="BE120" s="47">
        <f>_xll.qlPolynomialFunctionValue(BE$1,$BD120,AllTriggers)</f>
        <v>3.1012391177190068E-3</v>
      </c>
      <c r="BF120" s="47">
        <f>_xll.qlPolynomialFunctionValue(BF$1,$BD120,AllTriggers)</f>
        <v>3.0882698037252316E-3</v>
      </c>
      <c r="BG120" s="47">
        <f>_xll.qlPolynomialFunctionValue(BG$1,$BD120,AllTriggers)</f>
        <v>3.0952264866692838E-3</v>
      </c>
      <c r="BH120" s="47">
        <f>_xll.qlPolynomialFunctionValue(BH$1,$BD120,AllTriggers)</f>
        <v>3.0873104751322762E-3</v>
      </c>
      <c r="BI120" s="47">
        <f>_xll.qlPolynomialFunctionValue(BI$1,$BD120,AllTriggers)</f>
        <v>3.1012291162753722E-3</v>
      </c>
      <c r="BJ120" s="47">
        <f>_xll.qlPolynomialFunctionValue(BJ$1,$BD120,AllTriggers)</f>
        <v>3.0911264728541647E-3</v>
      </c>
      <c r="BK120" s="47">
        <f>_xll.qlPolynomialFunctionValue(BK$1,$BD120,AllTriggers)</f>
        <v>3.0965400744888886E-3</v>
      </c>
      <c r="BL120" s="47">
        <f>_xll.qlPolynomialFunctionValue(BL$1,$BD120,AllTriggers)</f>
        <v>3.0882910811492782E-3</v>
      </c>
      <c r="BM120" s="47">
        <f>_xll.qlPolynomialFunctionValue(BM$1,$BD120,AllTriggers)</f>
        <v>3.0893750586070477E-3</v>
      </c>
      <c r="BN120" s="47">
        <f>_xll.qlPolynomialFunctionValue(BN$1,$BD120,AllTriggers)</f>
        <v>3.0898621831725011E-3</v>
      </c>
      <c r="BO120" s="47">
        <f>_xll.qlPolynomialFunctionValue(BO$1,$BD120,AllTriggers)</f>
        <v>3.0818946476063452E-3</v>
      </c>
      <c r="BP120" s="47">
        <f>_xll.qlPolynomialFunctionValue(BP$1,$BD120,AllTriggers)</f>
        <v>3.0835063959850501E-3</v>
      </c>
      <c r="BQ120" s="47">
        <f>_xll.qlPolynomialFunctionValue('12MSynthDepo_used'!$P$18,BD120,AllTriggers)</f>
        <v>3.0944732388263679E-3</v>
      </c>
    </row>
    <row r="121" spans="18:69" x14ac:dyDescent="0.2">
      <c r="R121" s="34"/>
      <c r="S121" s="34"/>
      <c r="BC121" s="178">
        <f>_xll.qlCalendarAdvance(Calendar,BC120,"1d","mf",,Trigger)</f>
        <v>42444</v>
      </c>
      <c r="BD121" s="41">
        <f>_xll.qlDayCounterYearFraction(DayCounter,SettlementDate,BC121,,,Trigger)</f>
        <v>0.45833333333333331</v>
      </c>
      <c r="BE121" s="47">
        <f>_xll.qlPolynomialFunctionValue(BE$1,$BD121,AllTriggers)</f>
        <v>3.1027191325693933E-3</v>
      </c>
      <c r="BF121" s="47">
        <f>_xll.qlPolynomialFunctionValue(BF$1,$BD121,AllTriggers)</f>
        <v>3.0896624220004268E-3</v>
      </c>
      <c r="BG121" s="47">
        <f>_xll.qlPolynomialFunctionValue(BG$1,$BD121,AllTriggers)</f>
        <v>3.0968255635206547E-3</v>
      </c>
      <c r="BH121" s="47">
        <f>_xll.qlPolynomialFunctionValue(BH$1,$BD121,AllTriggers)</f>
        <v>3.0886746227100173E-3</v>
      </c>
      <c r="BI121" s="47">
        <f>_xll.qlPolynomialFunctionValue(BI$1,$BD121,AllTriggers)</f>
        <v>3.1027363289051822E-3</v>
      </c>
      <c r="BJ121" s="47">
        <f>_xll.qlPolynomialFunctionValue(BJ$1,$BD121,AllTriggers)</f>
        <v>3.0925683871495927E-3</v>
      </c>
      <c r="BK121" s="47">
        <f>_xll.qlPolynomialFunctionValue(BK$1,$BD121,AllTriggers)</f>
        <v>3.0981410679544285E-3</v>
      </c>
      <c r="BL121" s="47">
        <f>_xll.qlPolynomialFunctionValue(BL$1,$BD121,AllTriggers)</f>
        <v>3.0896496772048749E-3</v>
      </c>
      <c r="BM121" s="47">
        <f>_xll.qlPolynomialFunctionValue(BM$1,$BD121,AllTriggers)</f>
        <v>3.091064455751566E-3</v>
      </c>
      <c r="BN121" s="47">
        <f>_xll.qlPolynomialFunctionValue(BN$1,$BD121,AllTriggers)</f>
        <v>3.0913589266850436E-3</v>
      </c>
      <c r="BO121" s="47">
        <f>_xll.qlPolynomialFunctionValue(BO$1,$BD121,AllTriggers)</f>
        <v>3.0836281650101446E-3</v>
      </c>
      <c r="BP121" s="47">
        <f>_xll.qlPolynomialFunctionValue(BP$1,$BD121,AllTriggers)</f>
        <v>3.0851688701823404E-3</v>
      </c>
      <c r="BQ121" s="47">
        <f>_xll.qlPolynomialFunctionValue('12MSynthDepo_used'!$P$18,BD121,AllTriggers)</f>
        <v>3.0961546331466599E-3</v>
      </c>
    </row>
    <row r="122" spans="18:69" x14ac:dyDescent="0.2">
      <c r="R122" s="34"/>
      <c r="S122" s="34"/>
      <c r="BC122" s="178">
        <f>_xll.qlCalendarAdvance(Calendar,BC121,"1d","mf",,Trigger)</f>
        <v>42445</v>
      </c>
      <c r="BD122" s="41">
        <f>_xll.qlDayCounterYearFraction(DayCounter,SettlementDate,BC122,,,Trigger)</f>
        <v>0.46111111111111114</v>
      </c>
      <c r="BE122" s="47">
        <f>_xll.qlPolynomialFunctionValue(BE$1,$BD122,AllTriggers)</f>
        <v>3.1041991474197793E-3</v>
      </c>
      <c r="BF122" s="47">
        <f>_xll.qlPolynomialFunctionValue(BF$1,$BD122,AllTriggers)</f>
        <v>3.0910575735096858E-3</v>
      </c>
      <c r="BG122" s="47">
        <f>_xll.qlPolynomialFunctionValue(BG$1,$BD122,AllTriggers)</f>
        <v>3.0984246403720252E-3</v>
      </c>
      <c r="BH122" s="47">
        <f>_xll.qlPolynomialFunctionValue(BH$1,$BD122,AllTriggers)</f>
        <v>3.0900416528555331E-3</v>
      </c>
      <c r="BI122" s="47">
        <f>_xll.qlPolynomialFunctionValue(BI$1,$BD122,AllTriggers)</f>
        <v>3.1042435415349922E-3</v>
      </c>
      <c r="BJ122" s="47">
        <f>_xll.qlPolynomialFunctionValue(BJ$1,$BD122,AllTriggers)</f>
        <v>3.0940122653853926E-3</v>
      </c>
      <c r="BK122" s="47">
        <f>_xll.qlPolynomialFunctionValue(BK$1,$BD122,AllTriggers)</f>
        <v>3.099742061419968E-3</v>
      </c>
      <c r="BL122" s="47">
        <f>_xll.qlPolynomialFunctionValue(BL$1,$BD122,AllTriggers)</f>
        <v>3.0910112658210872E-3</v>
      </c>
      <c r="BM122" s="47">
        <f>_xll.qlPolynomialFunctionValue(BM$1,$BD122,AllTriggers)</f>
        <v>3.0927538528960842E-3</v>
      </c>
      <c r="BN122" s="47">
        <f>_xll.qlPolynomialFunctionValue(BN$1,$BD122,AllTriggers)</f>
        <v>3.0928570398107628E-3</v>
      </c>
      <c r="BO122" s="47">
        <f>_xll.qlPolynomialFunctionValue(BO$1,$BD122,AllTriggers)</f>
        <v>3.0853616824139435E-3</v>
      </c>
      <c r="BP122" s="47">
        <f>_xll.qlPolynomialFunctionValue(BP$1,$BD122,AllTriggers)</f>
        <v>3.0868317884811037E-3</v>
      </c>
      <c r="BQ122" s="47">
        <f>_xll.qlPolynomialFunctionValue('12MSynthDepo_used'!$P$18,BD122,AllTriggers)</f>
        <v>3.097836601339065E-3</v>
      </c>
    </row>
    <row r="123" spans="18:69" x14ac:dyDescent="0.2">
      <c r="R123" s="34"/>
      <c r="S123" s="34"/>
      <c r="BC123" s="178">
        <f>_xll.qlCalendarAdvance(Calendar,BC122,"1d","mf",,Trigger)</f>
        <v>42446</v>
      </c>
      <c r="BD123" s="41">
        <f>_xll.qlDayCounterYearFraction(DayCounter,SettlementDate,BC123,,,Trigger)</f>
        <v>0.46388888888888891</v>
      </c>
      <c r="BE123" s="47">
        <f>_xll.qlPolynomialFunctionValue(BE$1,$BD123,AllTriggers)</f>
        <v>3.1056791622701653E-3</v>
      </c>
      <c r="BF123" s="47">
        <f>_xll.qlPolynomialFunctionValue(BF$1,$BD123,AllTriggers)</f>
        <v>3.0924552582530084E-3</v>
      </c>
      <c r="BG123" s="47">
        <f>_xll.qlPolynomialFunctionValue(BG$1,$BD123,AllTriggers)</f>
        <v>3.1000237172233961E-3</v>
      </c>
      <c r="BH123" s="47">
        <f>_xll.qlPolynomialFunctionValue(BH$1,$BD123,AllTriggers)</f>
        <v>3.0914115655688236E-3</v>
      </c>
      <c r="BI123" s="47">
        <f>_xll.qlPolynomialFunctionValue(BI$1,$BD123,AllTriggers)</f>
        <v>3.1057507541648022E-3</v>
      </c>
      <c r="BJ123" s="47">
        <f>_xll.qlPolynomialFunctionValue(BJ$1,$BD123,AllTriggers)</f>
        <v>3.0954581075615644E-3</v>
      </c>
      <c r="BK123" s="47">
        <f>_xll.qlPolynomialFunctionValue(BK$1,$BD123,AllTriggers)</f>
        <v>3.1013430548855075E-3</v>
      </c>
      <c r="BL123" s="47">
        <f>_xll.qlPolynomialFunctionValue(BL$1,$BD123,AllTriggers)</f>
        <v>3.0923758469979172E-3</v>
      </c>
      <c r="BM123" s="47">
        <f>_xll.qlPolynomialFunctionValue(BM$1,$BD123,AllTriggers)</f>
        <v>3.0944432500406025E-3</v>
      </c>
      <c r="BN123" s="47">
        <f>_xll.qlPolynomialFunctionValue(BN$1,$BD123,AllTriggers)</f>
        <v>3.0943565225496593E-3</v>
      </c>
      <c r="BO123" s="47">
        <f>_xll.qlPolynomialFunctionValue(BO$1,$BD123,AllTriggers)</f>
        <v>3.0870951998177429E-3</v>
      </c>
      <c r="BP123" s="47">
        <f>_xll.qlPolynomialFunctionValue(BP$1,$BD123,AllTriggers)</f>
        <v>3.0884951508813405E-3</v>
      </c>
      <c r="BQ123" s="47">
        <f>_xll.qlPolynomialFunctionValue('12MSynthDepo_used'!$P$18,BD123,AllTriggers)</f>
        <v>3.0995191387778172E-3</v>
      </c>
    </row>
    <row r="124" spans="18:69" x14ac:dyDescent="0.2">
      <c r="R124" s="34"/>
      <c r="S124" s="34"/>
      <c r="BC124" s="178">
        <f>_xll.qlCalendarAdvance(Calendar,BC123,"1d","mf",,Trigger)</f>
        <v>42447</v>
      </c>
      <c r="BD124" s="41">
        <f>_xll.qlDayCounterYearFraction(DayCounter,SettlementDate,BC124,,,Trigger)</f>
        <v>0.46666666666666667</v>
      </c>
      <c r="BE124" s="47">
        <f>_xll.qlPolynomialFunctionValue(BE$1,$BD124,AllTriggers)</f>
        <v>3.1071591771205517E-3</v>
      </c>
      <c r="BF124" s="47">
        <f>_xll.qlPolynomialFunctionValue(BF$1,$BD124,AllTriggers)</f>
        <v>3.0938554762303936E-3</v>
      </c>
      <c r="BG124" s="47">
        <f>_xll.qlPolynomialFunctionValue(BG$1,$BD124,AllTriggers)</f>
        <v>3.1016227940747669E-3</v>
      </c>
      <c r="BH124" s="47">
        <f>_xll.qlPolynomialFunctionValue(BH$1,$BD124,AllTriggers)</f>
        <v>3.0927843608498885E-3</v>
      </c>
      <c r="BI124" s="47">
        <f>_xll.qlPolynomialFunctionValue(BI$1,$BD124,AllTriggers)</f>
        <v>3.1072579667946118E-3</v>
      </c>
      <c r="BJ124" s="47">
        <f>_xll.qlPolynomialFunctionValue(BJ$1,$BD124,AllTriggers)</f>
        <v>3.0969059136781076E-3</v>
      </c>
      <c r="BK124" s="47">
        <f>_xll.qlPolynomialFunctionValue(BK$1,$BD124,AllTriggers)</f>
        <v>3.102944048351047E-3</v>
      </c>
      <c r="BL124" s="47">
        <f>_xll.qlPolynomialFunctionValue(BL$1,$BD124,AllTriggers)</f>
        <v>3.0937434207353627E-3</v>
      </c>
      <c r="BM124" s="47">
        <f>_xll.qlPolynomialFunctionValue(BM$1,$BD124,AllTriggers)</f>
        <v>3.0961326471851207E-3</v>
      </c>
      <c r="BN124" s="47">
        <f>_xll.qlPolynomialFunctionValue(BN$1,$BD124,AllTriggers)</f>
        <v>3.0958573749017325E-3</v>
      </c>
      <c r="BO124" s="47">
        <f>_xll.qlPolynomialFunctionValue(BO$1,$BD124,AllTriggers)</f>
        <v>3.0888287172215418E-3</v>
      </c>
      <c r="BP124" s="47">
        <f>_xll.qlPolynomialFunctionValue(BP$1,$BD124,AllTriggers)</f>
        <v>3.0901589573830508E-3</v>
      </c>
      <c r="BQ124" s="47">
        <f>_xll.qlPolynomialFunctionValue('12MSynthDepo_used'!$P$18,BD124,AllTriggers)</f>
        <v>3.1012022408371471E-3</v>
      </c>
    </row>
    <row r="125" spans="18:69" x14ac:dyDescent="0.2">
      <c r="R125" s="34"/>
      <c r="S125" s="34"/>
      <c r="BC125" s="178">
        <f>_xll.qlCalendarAdvance(Calendar,BC124,"1d","mf",,Trigger)</f>
        <v>42450</v>
      </c>
      <c r="BD125" s="41">
        <f>_xll.qlDayCounterYearFraction(DayCounter,SettlementDate,BC125,,,Trigger)</f>
        <v>0.47499999999999998</v>
      </c>
      <c r="BE125" s="47">
        <f>_xll.qlPolynomialFunctionValue(BE$1,$BD125,AllTriggers)</f>
        <v>3.1115992216717101E-3</v>
      </c>
      <c r="BF125" s="47">
        <f>_xll.qlPolynomialFunctionValue(BF$1,$BD125,AllTriggers)</f>
        <v>3.0980713295669328E-3</v>
      </c>
      <c r="BG125" s="47">
        <f>_xll.qlPolynomialFunctionValue(BG$1,$BD125,AllTriggers)</f>
        <v>3.1064200246288796E-3</v>
      </c>
      <c r="BH125" s="47">
        <f>_xll.qlPolynomialFunctionValue(BH$1,$BD125,AllTriggers)</f>
        <v>3.0969200420997304E-3</v>
      </c>
      <c r="BI125" s="47">
        <f>_xll.qlPolynomialFunctionValue(BI$1,$BD125,AllTriggers)</f>
        <v>3.1117796046840418E-3</v>
      </c>
      <c r="BJ125" s="47">
        <f>_xll.qlPolynomialFunctionValue(BJ$1,$BD125,AllTriggers)</f>
        <v>3.1012611156699685E-3</v>
      </c>
      <c r="BK125" s="47">
        <f>_xll.qlPolynomialFunctionValue(BK$1,$BD125,AllTriggers)</f>
        <v>3.1077470287476658E-3</v>
      </c>
      <c r="BL125" s="47">
        <f>_xll.qlPolynomialFunctionValue(BL$1,$BD125,AllTriggers)</f>
        <v>3.0978640973114008E-3</v>
      </c>
      <c r="BM125" s="47">
        <f>_xll.qlPolynomialFunctionValue(BM$1,$BD125,AllTriggers)</f>
        <v>3.1012008386186751E-3</v>
      </c>
      <c r="BN125" s="47">
        <f>_xll.qlPolynomialFunctionValue(BN$1,$BD125,AllTriggers)</f>
        <v>3.1003681496370133E-3</v>
      </c>
      <c r="BO125" s="47">
        <f>_xll.qlPolynomialFunctionValue(BO$1,$BD125,AllTriggers)</f>
        <v>3.0940292694329389E-3</v>
      </c>
      <c r="BP125" s="47">
        <f>_xll.qlPolynomialFunctionValue(BP$1,$BD125,AllTriggers)</f>
        <v>3.0951530414970209E-3</v>
      </c>
      <c r="BQ125" s="47">
        <f>_xll.qlPolynomialFunctionValue('12MSynthDepo_used'!$P$18,BD125,AllTriggers)</f>
        <v>3.1062548884809348E-3</v>
      </c>
    </row>
    <row r="126" spans="18:69" x14ac:dyDescent="0.2">
      <c r="R126" s="34"/>
      <c r="S126" s="34"/>
      <c r="BC126" s="178">
        <f>_xll.qlCalendarAdvance(Calendar,BC125,"1d","mf",,Trigger)</f>
        <v>42451</v>
      </c>
      <c r="BD126" s="41">
        <f>_xll.qlDayCounterYearFraction(DayCounter,SettlementDate,BC126,,,Trigger)</f>
        <v>0.4777777777777778</v>
      </c>
      <c r="BE126" s="47">
        <f>_xll.qlPolynomialFunctionValue(BE$1,$BD126,AllTriggers)</f>
        <v>3.1130792365220965E-3</v>
      </c>
      <c r="BF126" s="47">
        <f>_xll.qlPolynomialFunctionValue(BF$1,$BD126,AllTriggers)</f>
        <v>3.0994816804805723E-3</v>
      </c>
      <c r="BG126" s="47">
        <f>_xll.qlPolynomialFunctionValue(BG$1,$BD126,AllTriggers)</f>
        <v>3.1080191014802505E-3</v>
      </c>
      <c r="BH126" s="47">
        <f>_xll.qlPolynomialFunctionValue(BH$1,$BD126,AllTriggers)</f>
        <v>3.0983043676518938E-3</v>
      </c>
      <c r="BI126" s="47">
        <f>_xll.qlPolynomialFunctionValue(BI$1,$BD126,AllTriggers)</f>
        <v>3.1132868173138518E-3</v>
      </c>
      <c r="BJ126" s="47">
        <f>_xll.qlPolynomialFunctionValue(BJ$1,$BD126,AllTriggers)</f>
        <v>3.1027167775479984E-3</v>
      </c>
      <c r="BK126" s="47">
        <f>_xll.qlPolynomialFunctionValue(BK$1,$BD126,AllTriggers)</f>
        <v>3.1093480222132057E-3</v>
      </c>
      <c r="BL126" s="47">
        <f>_xll.qlPolynomialFunctionValue(BL$1,$BD126,AllTriggers)</f>
        <v>3.0992436412913132E-3</v>
      </c>
      <c r="BM126" s="47">
        <f>_xll.qlPolynomialFunctionValue(BM$1,$BD126,AllTriggers)</f>
        <v>3.1028902357631933E-3</v>
      </c>
      <c r="BN126" s="47">
        <f>_xll.qlPolynomialFunctionValue(BN$1,$BD126,AllTriggers)</f>
        <v>3.1018744804417945E-3</v>
      </c>
      <c r="BO126" s="47">
        <f>_xll.qlPolynomialFunctionValue(BO$1,$BD126,AllTriggers)</f>
        <v>3.0957627868367379E-3</v>
      </c>
      <c r="BP126" s="47">
        <f>_xll.qlPolynomialFunctionValue(BP$1,$BD126,AllTriggers)</f>
        <v>3.0968186244046247E-3</v>
      </c>
      <c r="BQ126" s="47">
        <f>_xll.qlPolynomialFunctionValue('12MSynthDepo_used'!$P$18,BD126,AllTriggers)</f>
        <v>3.1079402027649056E-3</v>
      </c>
    </row>
    <row r="127" spans="18:69" x14ac:dyDescent="0.2">
      <c r="R127" s="34"/>
      <c r="S127" s="34"/>
      <c r="BC127" s="178">
        <f>_xll.qlCalendarAdvance(Calendar,BC126,"1d","mf",,Trigger)</f>
        <v>42452</v>
      </c>
      <c r="BD127" s="41">
        <f>_xll.qlDayCounterYearFraction(DayCounter,SettlementDate,BC127,,,Trigger)</f>
        <v>0.48055555555555557</v>
      </c>
      <c r="BE127" s="47">
        <f>_xll.qlPolynomialFunctionValue(BE$1,$BD127,AllTriggers)</f>
        <v>3.1145592513724825E-3</v>
      </c>
      <c r="BF127" s="47">
        <f>_xll.qlPolynomialFunctionValue(BF$1,$BD127,AllTriggers)</f>
        <v>3.1008945646282759E-3</v>
      </c>
      <c r="BG127" s="47">
        <f>_xll.qlPolynomialFunctionValue(BG$1,$BD127,AllTriggers)</f>
        <v>3.1096181783316209E-3</v>
      </c>
      <c r="BH127" s="47">
        <f>_xll.qlPolynomialFunctionValue(BH$1,$BD127,AllTriggers)</f>
        <v>3.0996915757718316E-3</v>
      </c>
      <c r="BI127" s="47">
        <f>_xll.qlPolynomialFunctionValue(BI$1,$BD127,AllTriggers)</f>
        <v>3.1147940299436619E-3</v>
      </c>
      <c r="BJ127" s="47">
        <f>_xll.qlPolynomialFunctionValue(BJ$1,$BD127,AllTriggers)</f>
        <v>3.104174403366401E-3</v>
      </c>
      <c r="BK127" s="47">
        <f>_xll.qlPolynomialFunctionValue(BK$1,$BD127,AllTriggers)</f>
        <v>3.1109490156787452E-3</v>
      </c>
      <c r="BL127" s="47">
        <f>_xll.qlPolynomialFunctionValue(BL$1,$BD127,AllTriggers)</f>
        <v>3.1006261778318417E-3</v>
      </c>
      <c r="BM127" s="47">
        <f>_xll.qlPolynomialFunctionValue(BM$1,$BD127,AllTriggers)</f>
        <v>3.1045796329077116E-3</v>
      </c>
      <c r="BN127" s="47">
        <f>_xll.qlPolynomialFunctionValue(BN$1,$BD127,AllTriggers)</f>
        <v>3.1033821808597521E-3</v>
      </c>
      <c r="BO127" s="47">
        <f>_xll.qlPolynomialFunctionValue(BO$1,$BD127,AllTriggers)</f>
        <v>3.0974963042405372E-3</v>
      </c>
      <c r="BP127" s="47">
        <f>_xll.qlPolynomialFunctionValue(BP$1,$BD127,AllTriggers)</f>
        <v>3.0984846514137011E-3</v>
      </c>
      <c r="BQ127" s="47">
        <f>_xll.qlPolynomialFunctionValue('12MSynthDepo_used'!$P$18,BD127,AllTriggers)</f>
        <v>3.1096260585406175E-3</v>
      </c>
    </row>
    <row r="128" spans="18:69" x14ac:dyDescent="0.2">
      <c r="R128" s="34"/>
      <c r="S128" s="34"/>
      <c r="BC128" s="178">
        <f>_xll.qlCalendarAdvance(Calendar,BC127,"1d","mf",,Trigger)</f>
        <v>42453</v>
      </c>
      <c r="BD128" s="41">
        <f>_xll.qlDayCounterYearFraction(DayCounter,SettlementDate,BC128,,,Trigger)</f>
        <v>0.48333333333333334</v>
      </c>
      <c r="BE128" s="47">
        <f>_xll.qlPolynomialFunctionValue(BE$1,$BD128,AllTriggers)</f>
        <v>3.1160392662228685E-3</v>
      </c>
      <c r="BF128" s="47">
        <f>_xll.qlPolynomialFunctionValue(BF$1,$BD128,AllTriggers)</f>
        <v>3.1023099820100424E-3</v>
      </c>
      <c r="BG128" s="47">
        <f>_xll.qlPolynomialFunctionValue(BG$1,$BD128,AllTriggers)</f>
        <v>3.1112172551829918E-3</v>
      </c>
      <c r="BH128" s="47">
        <f>_xll.qlPolynomialFunctionValue(BH$1,$BD128,AllTriggers)</f>
        <v>3.1010816664595441E-3</v>
      </c>
      <c r="BI128" s="47">
        <f>_xll.qlPolynomialFunctionValue(BI$1,$BD128,AllTriggers)</f>
        <v>3.1163012425734719E-3</v>
      </c>
      <c r="BJ128" s="47">
        <f>_xll.qlPolynomialFunctionValue(BJ$1,$BD128,AllTriggers)</f>
        <v>3.1056339931251746E-3</v>
      </c>
      <c r="BK128" s="47">
        <f>_xll.qlPolynomialFunctionValue(BK$1,$BD128,AllTriggers)</f>
        <v>3.1125500091442847E-3</v>
      </c>
      <c r="BL128" s="47">
        <f>_xll.qlPolynomialFunctionValue(BL$1,$BD128,AllTriggers)</f>
        <v>3.1020117069329874E-3</v>
      </c>
      <c r="BM128" s="47">
        <f>_xll.qlPolynomialFunctionValue(BM$1,$BD128,AllTriggers)</f>
        <v>3.1062690300522298E-3</v>
      </c>
      <c r="BN128" s="47">
        <f>_xll.qlPolynomialFunctionValue(BN$1,$BD128,AllTriggers)</f>
        <v>3.1048912508908869E-3</v>
      </c>
      <c r="BO128" s="47">
        <f>_xll.qlPolynomialFunctionValue(BO$1,$BD128,AllTriggers)</f>
        <v>3.0992298216443361E-3</v>
      </c>
      <c r="BP128" s="47">
        <f>_xll.qlPolynomialFunctionValue(BP$1,$BD128,AllTriggers)</f>
        <v>3.1001511225242514E-3</v>
      </c>
      <c r="BQ128" s="47">
        <f>_xll.qlPolynomialFunctionValue('12MSynthDepo_used'!$P$18,BD128,AllTriggers)</f>
        <v>3.1113124511823035E-3</v>
      </c>
    </row>
    <row r="129" spans="18:69" x14ac:dyDescent="0.2">
      <c r="R129" s="34"/>
      <c r="S129" s="34"/>
      <c r="BC129" s="178">
        <f>_xll.qlCalendarAdvance(Calendar,BC128,"1d","mf",,Trigger)</f>
        <v>42458</v>
      </c>
      <c r="BD129" s="41">
        <f>_xll.qlDayCounterYearFraction(DayCounter,SettlementDate,BC129,,,Trigger)</f>
        <v>0.49722222222222223</v>
      </c>
      <c r="BE129" s="47">
        <f>_xll.qlPolynomialFunctionValue(BE$1,$BD129,AllTriggers)</f>
        <v>3.1234393404747998E-3</v>
      </c>
      <c r="BF129" s="47">
        <f>_xll.qlPolynomialFunctionValue(BF$1,$BD129,AllTriggers)</f>
        <v>3.1094250674298294E-3</v>
      </c>
      <c r="BG129" s="47">
        <f>_xll.qlPolynomialFunctionValue(BG$1,$BD129,AllTriggers)</f>
        <v>3.1192126394398458E-3</v>
      </c>
      <c r="BH129" s="47">
        <f>_xll.qlPolynomialFunctionValue(BH$1,$BD129,AllTriggers)</f>
        <v>3.1080753584147255E-3</v>
      </c>
      <c r="BI129" s="47">
        <f>_xll.qlPolynomialFunctionValue(BI$1,$BD129,AllTriggers)</f>
        <v>3.1238373057225219E-3</v>
      </c>
      <c r="BJ129" s="47">
        <f>_xll.qlPolynomialFunctionValue(BJ$1,$BD129,AllTriggers)</f>
        <v>3.1129614010246202E-3</v>
      </c>
      <c r="BK129" s="47">
        <f>_xll.qlPolynomialFunctionValue(BK$1,$BD129,AllTriggers)</f>
        <v>3.1205549764719829E-3</v>
      </c>
      <c r="BL129" s="47">
        <f>_xll.qlPolynomialFunctionValue(BL$1,$BD129,AllTriggers)</f>
        <v>3.1089842408479639E-3</v>
      </c>
      <c r="BM129" s="47">
        <f>_xll.qlPolynomialFunctionValue(BM$1,$BD129,AllTriggers)</f>
        <v>3.1147160157748207E-3</v>
      </c>
      <c r="BN129" s="47">
        <f>_xll.qlPolynomialFunctionValue(BN$1,$BD129,AllTriggers)</f>
        <v>3.1124571452442141E-3</v>
      </c>
      <c r="BO129" s="47">
        <f>_xll.qlPolynomialFunctionValue(BO$1,$BD129,AllTriggers)</f>
        <v>3.1078974086633316E-3</v>
      </c>
      <c r="BP129" s="47">
        <f>_xll.qlPolynomialFunctionValue(BP$1,$BD129,AllTriggers)</f>
        <v>3.1084901395991012E-3</v>
      </c>
      <c r="BQ129" s="47">
        <f>_xll.qlPolynomialFunctionValue('12MSynthDepo_used'!$P$18,BD129,AllTriggers)</f>
        <v>3.1197523054784866E-3</v>
      </c>
    </row>
    <row r="130" spans="18:69" x14ac:dyDescent="0.2">
      <c r="R130" s="34"/>
      <c r="S130" s="34"/>
      <c r="BC130" s="178">
        <f>_xll.qlCalendarAdvance(Calendar,BC129,"1d","mf",,Trigger)</f>
        <v>42459</v>
      </c>
      <c r="BD130" s="41">
        <f>_xll.qlDayCounterYearFraction(DayCounter,SettlementDate,BC130,,,Trigger)</f>
        <v>0.5</v>
      </c>
      <c r="BE130" s="47">
        <f>_xll.qlPolynomialFunctionValue(BE$1,$BD130,AllTriggers)</f>
        <v>3.1249193553251858E-3</v>
      </c>
      <c r="BF130" s="47">
        <f>_xll.qlPolynomialFunctionValue(BF$1,$BD130,AllTriggers)</f>
        <v>3.1108556842159773E-3</v>
      </c>
      <c r="BG130" s="47">
        <f>_xll.qlPolynomialFunctionValue(BG$1,$BD130,AllTriggers)</f>
        <v>3.1208117162912167E-3</v>
      </c>
      <c r="BH130" s="47">
        <f>_xll.qlPolynomialFunctionValue(BH$1,$BD130,AllTriggers)</f>
        <v>3.1094827445090852E-3</v>
      </c>
      <c r="BI130" s="47">
        <f>_xll.qlPolynomialFunctionValue(BI$1,$BD130,AllTriggers)</f>
        <v>3.1253445183523319E-3</v>
      </c>
      <c r="BJ130" s="47">
        <f>_xll.qlPolynomialFunctionValue(BJ$1,$BD130,AllTriggers)</f>
        <v>3.1144327744256246E-3</v>
      </c>
      <c r="BK130" s="47">
        <f>_xll.qlPolynomialFunctionValue(BK$1,$BD130,AllTriggers)</f>
        <v>3.1221559699375224E-3</v>
      </c>
      <c r="BL130" s="47">
        <f>_xll.qlPolynomialFunctionValue(BL$1,$BD130,AllTriggers)</f>
        <v>3.110387725312809E-3</v>
      </c>
      <c r="BM130" s="47">
        <f>_xll.qlPolynomialFunctionValue(BM$1,$BD130,AllTriggers)</f>
        <v>3.116405412919339E-3</v>
      </c>
      <c r="BN130" s="47">
        <f>_xll.qlPolynomialFunctionValue(BN$1,$BD130,AllTriggers)</f>
        <v>3.1139744329544104E-3</v>
      </c>
      <c r="BO130" s="47">
        <f>_xll.qlPolynomialFunctionValue(BO$1,$BD130,AllTriggers)</f>
        <v>3.1096309260671305E-3</v>
      </c>
      <c r="BP130" s="47">
        <f>_xll.qlPolynomialFunctionValue(BP$1,$BD130,AllTriggers)</f>
        <v>3.110159275318491E-3</v>
      </c>
      <c r="BQ130" s="47">
        <f>_xll.qlPolynomialFunctionValue('12MSynthDepo_used'!$P$18,BD130,AllTriggers)</f>
        <v>3.121441822174901E-3</v>
      </c>
    </row>
    <row r="131" spans="18:69" x14ac:dyDescent="0.2">
      <c r="R131" s="34"/>
      <c r="S131" s="34"/>
      <c r="BC131" s="178">
        <f>_xll.qlCalendarAdvance(Calendar,BC130,"1d","mf",,Trigger)</f>
        <v>42460</v>
      </c>
      <c r="BD131" s="41">
        <f>_xll.qlDayCounterYearFraction(DayCounter,SettlementDate,BC131,,,Trigger)</f>
        <v>0.50277777777777777</v>
      </c>
      <c r="BE131" s="47">
        <f>_xll.qlPolynomialFunctionValue(BE$1,$BD131,AllTriggers)</f>
        <v>3.1263993701755718E-3</v>
      </c>
      <c r="BF131" s="47">
        <f>_xll.qlPolynomialFunctionValue(BF$1,$BD131,AllTriggers)</f>
        <v>3.1122888342361888E-3</v>
      </c>
      <c r="BG131" s="47">
        <f>_xll.qlPolynomialFunctionValue(BG$1,$BD131,AllTriggers)</f>
        <v>3.1224107931425876E-3</v>
      </c>
      <c r="BH131" s="47">
        <f>_xll.qlPolynomialFunctionValue(BH$1,$BD131,AllTriggers)</f>
        <v>3.1108930131712202E-3</v>
      </c>
      <c r="BI131" s="47">
        <f>_xll.qlPolynomialFunctionValue(BI$1,$BD131,AllTriggers)</f>
        <v>3.1268517309821419E-3</v>
      </c>
      <c r="BJ131" s="47">
        <f>_xll.qlPolynomialFunctionValue(BJ$1,$BD131,AllTriggers)</f>
        <v>3.1159061117670005E-3</v>
      </c>
      <c r="BK131" s="47">
        <f>_xll.qlPolynomialFunctionValue(BK$1,$BD131,AllTriggers)</f>
        <v>3.1237569634030619E-3</v>
      </c>
      <c r="BL131" s="47">
        <f>_xll.qlPolynomialFunctionValue(BL$1,$BD131,AllTriggers)</f>
        <v>3.1117942023382709E-3</v>
      </c>
      <c r="BM131" s="47">
        <f>_xll.qlPolynomialFunctionValue(BM$1,$BD131,AllTriggers)</f>
        <v>3.1180948100638572E-3</v>
      </c>
      <c r="BN131" s="47">
        <f>_xll.qlPolynomialFunctionValue(BN$1,$BD131,AllTriggers)</f>
        <v>3.1154930902777831E-3</v>
      </c>
      <c r="BO131" s="47">
        <f>_xll.qlPolynomialFunctionValue(BO$1,$BD131,AllTriggers)</f>
        <v>3.1113644434709298E-3</v>
      </c>
      <c r="BP131" s="47">
        <f>_xll.qlPolynomialFunctionValue(BP$1,$BD131,AllTriggers)</f>
        <v>3.1118288551393539E-3</v>
      </c>
      <c r="BQ131" s="47">
        <f>_xll.qlPolynomialFunctionValue('12MSynthDepo_used'!$P$18,BD131,AllTriggers)</f>
        <v>3.1231318433569185E-3</v>
      </c>
    </row>
    <row r="132" spans="18:69" x14ac:dyDescent="0.2">
      <c r="R132" s="34"/>
      <c r="S132" s="34"/>
      <c r="BC132" s="178">
        <f>_xll.qlCalendarAdvance(Calendar,BC131,"1d","mf",,Trigger)</f>
        <v>42461</v>
      </c>
      <c r="BD132" s="41">
        <f>_xll.qlDayCounterYearFraction(DayCounter,SettlementDate,BC132,,,Trigger)</f>
        <v>0.50555555555555554</v>
      </c>
      <c r="BE132" s="47">
        <f>_xll.qlPolynomialFunctionValue(BE$1,$BD132,AllTriggers)</f>
        <v>3.1278793850259582E-3</v>
      </c>
      <c r="BF132" s="47">
        <f>_xll.qlPolynomialFunctionValue(BF$1,$BD132,AllTriggers)</f>
        <v>3.1137245174904637E-3</v>
      </c>
      <c r="BG132" s="47">
        <f>_xll.qlPolynomialFunctionValue(BG$1,$BD132,AllTriggers)</f>
        <v>3.1240098699939585E-3</v>
      </c>
      <c r="BH132" s="47">
        <f>_xll.qlPolynomialFunctionValue(BH$1,$BD132,AllTriggers)</f>
        <v>3.1123061644011294E-3</v>
      </c>
      <c r="BI132" s="47">
        <f>_xll.qlPolynomialFunctionValue(BI$1,$BD132,AllTriggers)</f>
        <v>3.128358943611952E-3</v>
      </c>
      <c r="BJ132" s="47">
        <f>_xll.qlPolynomialFunctionValue(BJ$1,$BD132,AllTriggers)</f>
        <v>3.1173814130487486E-3</v>
      </c>
      <c r="BK132" s="47">
        <f>_xll.qlPolynomialFunctionValue(BK$1,$BD132,AllTriggers)</f>
        <v>3.1253579568686013E-3</v>
      </c>
      <c r="BL132" s="47">
        <f>_xll.qlPolynomialFunctionValue(BL$1,$BD132,AllTriggers)</f>
        <v>3.1132036719243488E-3</v>
      </c>
      <c r="BM132" s="47">
        <f>_xll.qlPolynomialFunctionValue(BM$1,$BD132,AllTriggers)</f>
        <v>3.119784207208375E-3</v>
      </c>
      <c r="BN132" s="47">
        <f>_xll.qlPolynomialFunctionValue(BN$1,$BD132,AllTriggers)</f>
        <v>3.1170131172143338E-3</v>
      </c>
      <c r="BO132" s="47">
        <f>_xll.qlPolynomialFunctionValue(BO$1,$BD132,AllTriggers)</f>
        <v>3.1130979608747287E-3</v>
      </c>
      <c r="BP132" s="47">
        <f>_xll.qlPolynomialFunctionValue(BP$1,$BD132,AllTriggers)</f>
        <v>3.1134988790616908E-3</v>
      </c>
      <c r="BQ132" s="47">
        <f>_xll.qlPolynomialFunctionValue('12MSynthDepo_used'!$P$18,BD132,AllTriggers)</f>
        <v>3.1248223643987709E-3</v>
      </c>
    </row>
    <row r="133" spans="18:69" x14ac:dyDescent="0.2">
      <c r="R133" s="35"/>
      <c r="S133" s="34"/>
      <c r="BC133" s="178">
        <f>_xll.qlCalendarAdvance(Calendar,BC132,"1d","mf",,Trigger)</f>
        <v>42464</v>
      </c>
      <c r="BD133" s="41">
        <f>_xll.qlDayCounterYearFraction(DayCounter,SettlementDate,BC133,,,Trigger)</f>
        <v>0.51388888888888884</v>
      </c>
      <c r="BE133" s="47">
        <f>_xll.qlPolynomialFunctionValue(BE$1,$BD133,AllTriggers)</f>
        <v>3.1323194295771167E-3</v>
      </c>
      <c r="BF133" s="47">
        <f>_xll.qlPolynomialFunctionValue(BF$1,$BD133,AllTriggers)</f>
        <v>3.1180467666576694E-3</v>
      </c>
      <c r="BG133" s="47">
        <f>_xll.qlPolynomialFunctionValue(BG$1,$BD133,AllTriggers)</f>
        <v>3.1288071005480707E-3</v>
      </c>
      <c r="BH133" s="47">
        <f>_xll.qlPolynomialFunctionValue(BH$1,$BD133,AllTriggers)</f>
        <v>3.1165629134975049E-3</v>
      </c>
      <c r="BI133" s="47">
        <f>_xll.qlPolynomialFunctionValue(BI$1,$BD133,AllTriggers)</f>
        <v>3.132880581501382E-3</v>
      </c>
      <c r="BJ133" s="47">
        <f>_xll.qlPolynomialFunctionValue(BJ$1,$BD133,AllTriggers)</f>
        <v>3.1218191005362226E-3</v>
      </c>
      <c r="BK133" s="47">
        <f>_xll.qlPolynomialFunctionValue(BK$1,$BD133,AllTriggers)</f>
        <v>3.1301609372652202E-3</v>
      </c>
      <c r="BL133" s="47">
        <f>_xll.qlPolynomialFunctionValue(BL$1,$BD133,AllTriggers)</f>
        <v>3.1174500360462831E-3</v>
      </c>
      <c r="BM133" s="47">
        <f>_xll.qlPolynomialFunctionValue(BM$1,$BD133,AllTriggers)</f>
        <v>3.1248523986419298E-3</v>
      </c>
      <c r="BN133" s="47">
        <f>_xll.qlPolynomialFunctionValue(BN$1,$BD133,AllTriggers)</f>
        <v>3.1215814157030453E-3</v>
      </c>
      <c r="BO133" s="47">
        <f>_xll.qlPolynomialFunctionValue(BO$1,$BD133,AllTriggers)</f>
        <v>3.1182985130861259E-3</v>
      </c>
      <c r="BP133" s="47">
        <f>_xll.qlPolynomialFunctionValue(BP$1,$BD133,AllTriggers)</f>
        <v>3.1185116154375404E-3</v>
      </c>
      <c r="BQ133" s="47">
        <f>_xll.qlPolynomialFunctionValue('12MSynthDepo_used'!$P$18,BD133,AllTriggers)</f>
        <v>3.1298968804256617E-3</v>
      </c>
    </row>
    <row r="134" spans="18:69" x14ac:dyDescent="0.2">
      <c r="R134" s="35"/>
      <c r="S134" s="34"/>
      <c r="BC134" s="178">
        <f>_xll.qlCalendarAdvance(Calendar,BC133,"1d","mf",,Trigger)</f>
        <v>42465</v>
      </c>
      <c r="BD134" s="41">
        <f>_xll.qlDayCounterYearFraction(DayCounter,SettlementDate,BC134,,,Trigger)</f>
        <v>0.51666666666666672</v>
      </c>
      <c r="BE134" s="47">
        <f>_xll.qlPolynomialFunctionValue(BE$1,$BD134,AllTriggers)</f>
        <v>3.1337994444275031E-3</v>
      </c>
      <c r="BF134" s="47">
        <f>_xll.qlPolynomialFunctionValue(BF$1,$BD134,AllTriggers)</f>
        <v>3.1194925828481983E-3</v>
      </c>
      <c r="BG134" s="47">
        <f>_xll.qlPolynomialFunctionValue(BG$1,$BD134,AllTriggers)</f>
        <v>3.1304061773994416E-3</v>
      </c>
      <c r="BH134" s="47">
        <f>_xll.qlPolynomialFunctionValue(BH$1,$BD134,AllTriggers)</f>
        <v>3.1179875949985123E-3</v>
      </c>
      <c r="BI134" s="47">
        <f>_xll.qlPolynomialFunctionValue(BI$1,$BD134,AllTriggers)</f>
        <v>3.134387794131192E-3</v>
      </c>
      <c r="BJ134" s="47">
        <f>_xll.qlPolynomialFunctionValue(BJ$1,$BD134,AllTriggers)</f>
        <v>3.1233022575794574E-3</v>
      </c>
      <c r="BK134" s="47">
        <f>_xll.qlPolynomialFunctionValue(BK$1,$BD134,AllTriggers)</f>
        <v>3.1317619307307601E-3</v>
      </c>
      <c r="BL134" s="47">
        <f>_xll.qlPolynomialFunctionValue(BL$1,$BD134,AllTriggers)</f>
        <v>3.1188714758748274E-3</v>
      </c>
      <c r="BM134" s="47">
        <f>_xll.qlPolynomialFunctionValue(BM$1,$BD134,AllTriggers)</f>
        <v>3.1265417957864481E-3</v>
      </c>
      <c r="BN134" s="47">
        <f>_xll.qlPolynomialFunctionValue(BN$1,$BD134,AllTriggers)</f>
        <v>3.1231069210923027E-3</v>
      </c>
      <c r="BO134" s="47">
        <f>_xll.qlPolynomialFunctionValue(BO$1,$BD134,AllTriggers)</f>
        <v>3.1200320304899253E-3</v>
      </c>
      <c r="BP134" s="47">
        <f>_xll.qlPolynomialFunctionValue(BP$1,$BD134,AllTriggers)</f>
        <v>3.1201834157657702E-3</v>
      </c>
      <c r="BQ134" s="47">
        <f>_xll.qlPolynomialFunctionValue('12MSynthDepo_used'!$P$18,BD134,AllTriggers)</f>
        <v>3.1315893546491791E-3</v>
      </c>
    </row>
    <row r="135" spans="18:69" x14ac:dyDescent="0.2">
      <c r="R135" s="35"/>
      <c r="S135" s="34"/>
      <c r="BC135" s="178">
        <f>_xll.qlCalendarAdvance(Calendar,BC134,"1d","mf",,Trigger)</f>
        <v>42466</v>
      </c>
      <c r="BD135" s="41">
        <f>_xll.qlDayCounterYearFraction(DayCounter,SettlementDate,BC135,,,Trigger)</f>
        <v>0.51944444444444449</v>
      </c>
      <c r="BE135" s="47">
        <f>_xll.qlPolynomialFunctionValue(BE$1,$BD135,AllTriggers)</f>
        <v>3.1352794592778891E-3</v>
      </c>
      <c r="BF135" s="47">
        <f>_xll.qlPolynomialFunctionValue(BF$1,$BD135,AllTriggers)</f>
        <v>3.1209409322727906E-3</v>
      </c>
      <c r="BG135" s="47">
        <f>_xll.qlPolynomialFunctionValue(BG$1,$BD135,AllTriggers)</f>
        <v>3.1320052542508124E-3</v>
      </c>
      <c r="BH135" s="47">
        <f>_xll.qlPolynomialFunctionValue(BH$1,$BD135,AllTriggers)</f>
        <v>3.1194151590672944E-3</v>
      </c>
      <c r="BI135" s="47">
        <f>_xll.qlPolynomialFunctionValue(BI$1,$BD135,AllTriggers)</f>
        <v>3.135895006761002E-3</v>
      </c>
      <c r="BJ135" s="47">
        <f>_xll.qlPolynomialFunctionValue(BJ$1,$BD135,AllTriggers)</f>
        <v>3.1247873785630641E-3</v>
      </c>
      <c r="BK135" s="47">
        <f>_xll.qlPolynomialFunctionValue(BK$1,$BD135,AllTriggers)</f>
        <v>3.1333629241962996E-3</v>
      </c>
      <c r="BL135" s="47">
        <f>_xll.qlPolynomialFunctionValue(BL$1,$BD135,AllTriggers)</f>
        <v>3.1202959082639887E-3</v>
      </c>
      <c r="BM135" s="47">
        <f>_xll.qlPolynomialFunctionValue(BM$1,$BD135,AllTriggers)</f>
        <v>3.1282311929309663E-3</v>
      </c>
      <c r="BN135" s="47">
        <f>_xll.qlPolynomialFunctionValue(BN$1,$BD135,AllTriggers)</f>
        <v>3.1246337960947374E-3</v>
      </c>
      <c r="BO135" s="47">
        <f>_xll.qlPolynomialFunctionValue(BO$1,$BD135,AllTriggers)</f>
        <v>3.1217655478937242E-3</v>
      </c>
      <c r="BP135" s="47">
        <f>_xll.qlPolynomialFunctionValue(BP$1,$BD135,AllTriggers)</f>
        <v>3.1218556601954731E-3</v>
      </c>
      <c r="BQ135" s="47">
        <f>_xll.qlPolynomialFunctionValue('12MSynthDepo_used'!$P$18,BD135,AllTriggers)</f>
        <v>3.1332823056036941E-3</v>
      </c>
    </row>
    <row r="136" spans="18:69" x14ac:dyDescent="0.2">
      <c r="R136" s="35"/>
      <c r="S136" s="34"/>
      <c r="BC136" s="178">
        <f>_xll.qlCalendarAdvance(Calendar,BC135,"1d","mf",,Trigger)</f>
        <v>42467</v>
      </c>
      <c r="BD136" s="41">
        <f>_xll.qlDayCounterYearFraction(DayCounter,SettlementDate,BC136,,,Trigger)</f>
        <v>0.52222222222222225</v>
      </c>
      <c r="BE136" s="47">
        <f>_xll.qlPolynomialFunctionValue(BE$1,$BD136,AllTriggers)</f>
        <v>3.1367594741282751E-3</v>
      </c>
      <c r="BF136" s="47">
        <f>_xll.qlPolynomialFunctionValue(BF$1,$BD136,AllTriggers)</f>
        <v>3.1223918149314465E-3</v>
      </c>
      <c r="BG136" s="47">
        <f>_xll.qlPolynomialFunctionValue(BG$1,$BD136,AllTriggers)</f>
        <v>3.1336043311021833E-3</v>
      </c>
      <c r="BH136" s="47">
        <f>_xll.qlPolynomialFunctionValue(BH$1,$BD136,AllTriggers)</f>
        <v>3.1208456057038514E-3</v>
      </c>
      <c r="BI136" s="47">
        <f>_xll.qlPolynomialFunctionValue(BI$1,$BD136,AllTriggers)</f>
        <v>3.137402219390812E-3</v>
      </c>
      <c r="BJ136" s="47">
        <f>_xll.qlPolynomialFunctionValue(BJ$1,$BD136,AllTriggers)</f>
        <v>3.1262744634870426E-3</v>
      </c>
      <c r="BK136" s="47">
        <f>_xll.qlPolynomialFunctionValue(BK$1,$BD136,AllTriggers)</f>
        <v>3.134963917661839E-3</v>
      </c>
      <c r="BL136" s="47">
        <f>_xll.qlPolynomialFunctionValue(BL$1,$BD136,AllTriggers)</f>
        <v>3.1217233332137663E-3</v>
      </c>
      <c r="BM136" s="47">
        <f>_xll.qlPolynomialFunctionValue(BM$1,$BD136,AllTriggers)</f>
        <v>3.1299205900754846E-3</v>
      </c>
      <c r="BN136" s="47">
        <f>_xll.qlPolynomialFunctionValue(BN$1,$BD136,AllTriggers)</f>
        <v>3.1261620407103488E-3</v>
      </c>
      <c r="BO136" s="47">
        <f>_xll.qlPolynomialFunctionValue(BO$1,$BD136,AllTriggers)</f>
        <v>3.1234990652975231E-3</v>
      </c>
      <c r="BP136" s="47">
        <f>_xll.qlPolynomialFunctionValue(BP$1,$BD136,AllTriggers)</f>
        <v>3.12352834872665E-3</v>
      </c>
      <c r="BQ136" s="47">
        <f>_xll.qlPolynomialFunctionValue('12MSynthDepo_used'!$P$18,BD136,AllTriggers)</f>
        <v>3.1349757286634385E-3</v>
      </c>
    </row>
    <row r="137" spans="18:69" x14ac:dyDescent="0.2">
      <c r="R137" s="35"/>
      <c r="S137" s="34"/>
      <c r="BC137" s="178">
        <f>_xll.qlCalendarAdvance(Calendar,BC136,"1d","mf",,Trigger)</f>
        <v>42468</v>
      </c>
      <c r="BD137" s="41">
        <f>_xll.qlDayCounterYearFraction(DayCounter,SettlementDate,BC137,,,Trigger)</f>
        <v>0.52500000000000002</v>
      </c>
      <c r="BE137" s="47">
        <f>_xll.qlPolynomialFunctionValue(BE$1,$BD137,AllTriggers)</f>
        <v>3.1382394889786615E-3</v>
      </c>
      <c r="BF137" s="47">
        <f>_xll.qlPolynomialFunctionValue(BF$1,$BD137,AllTriggers)</f>
        <v>3.1238452308241663E-3</v>
      </c>
      <c r="BG137" s="47">
        <f>_xll.qlPolynomialFunctionValue(BG$1,$BD137,AllTriggers)</f>
        <v>3.1352034079535538E-3</v>
      </c>
      <c r="BH137" s="47">
        <f>_xll.qlPolynomialFunctionValue(BH$1,$BD137,AllTriggers)</f>
        <v>3.1222789349081826E-3</v>
      </c>
      <c r="BI137" s="47">
        <f>_xll.qlPolynomialFunctionValue(BI$1,$BD137,AllTriggers)</f>
        <v>3.138909432020622E-3</v>
      </c>
      <c r="BJ137" s="47">
        <f>_xll.qlPolynomialFunctionValue(BJ$1,$BD137,AllTriggers)</f>
        <v>3.1277635123513926E-3</v>
      </c>
      <c r="BK137" s="47">
        <f>_xll.qlPolynomialFunctionValue(BK$1,$BD137,AllTriggers)</f>
        <v>3.1365649111273789E-3</v>
      </c>
      <c r="BL137" s="47">
        <f>_xll.qlPolynomialFunctionValue(BL$1,$BD137,AllTriggers)</f>
        <v>3.1231537507241608E-3</v>
      </c>
      <c r="BM137" s="47">
        <f>_xll.qlPolynomialFunctionValue(BM$1,$BD137,AllTriggers)</f>
        <v>3.1316099872200024E-3</v>
      </c>
      <c r="BN137" s="47">
        <f>_xll.qlPolynomialFunctionValue(BN$1,$BD137,AllTriggers)</f>
        <v>3.1276916549391374E-3</v>
      </c>
      <c r="BO137" s="47">
        <f>_xll.qlPolynomialFunctionValue(BO$1,$BD137,AllTriggers)</f>
        <v>3.1252325827013224E-3</v>
      </c>
      <c r="BP137" s="47">
        <f>_xll.qlPolynomialFunctionValue(BP$1,$BD137,AllTriggers)</f>
        <v>3.1252014813592994E-3</v>
      </c>
      <c r="BQ137" s="47">
        <f>_xll.qlPolynomialFunctionValue('12MSynthDepo_used'!$P$18,BD137,AllTriggers)</f>
        <v>3.136669619202647E-3</v>
      </c>
    </row>
    <row r="138" spans="18:69" x14ac:dyDescent="0.2">
      <c r="R138" s="35"/>
      <c r="S138" s="34"/>
      <c r="BC138" s="178">
        <f>_xll.qlCalendarAdvance(Calendar,BC137,"1d","mf",,Trigger)</f>
        <v>42471</v>
      </c>
      <c r="BD138" s="41">
        <f>_xll.qlDayCounterYearFraction(DayCounter,SettlementDate,BC138,,,Trigger)</f>
        <v>0.53333333333333333</v>
      </c>
      <c r="BE138" s="47">
        <f>_xll.qlPolynomialFunctionValue(BE$1,$BD138,AllTriggers)</f>
        <v>3.1426795335298199E-3</v>
      </c>
      <c r="BF138" s="47">
        <f>_xll.qlPolynomialFunctionValue(BF$1,$BD138,AllTriggers)</f>
        <v>3.1282206779067053E-3</v>
      </c>
      <c r="BG138" s="47">
        <f>_xll.qlPolynomialFunctionValue(BG$1,$BD138,AllTriggers)</f>
        <v>3.1400006385076664E-3</v>
      </c>
      <c r="BH138" s="47">
        <f>_xll.qlPolynomialFunctionValue(BH$1,$BD138,AllTriggers)</f>
        <v>3.1265962179278248E-3</v>
      </c>
      <c r="BI138" s="47">
        <f>_xll.qlPolynomialFunctionValue(BI$1,$BD138,AllTriggers)</f>
        <v>3.1434310699100521E-3</v>
      </c>
      <c r="BJ138" s="47">
        <f>_xll.qlPolynomialFunctionValue(BJ$1,$BD138,AllTriggers)</f>
        <v>3.1322424425866734E-3</v>
      </c>
      <c r="BK138" s="47">
        <f>_xll.qlPolynomialFunctionValue(BK$1,$BD138,AllTriggers)</f>
        <v>3.1413678915239978E-3</v>
      </c>
      <c r="BL138" s="47">
        <f>_xll.qlPolynomialFunctionValue(BL$1,$BD138,AllTriggers)</f>
        <v>3.1274629586190432E-3</v>
      </c>
      <c r="BM138" s="47">
        <f>_xll.qlPolynomialFunctionValue(BM$1,$BD138,AllTriggers)</f>
        <v>3.1366781786535572E-3</v>
      </c>
      <c r="BN138" s="47">
        <f>_xll.qlPolynomialFunctionValue(BN$1,$BD138,AllTriggers)</f>
        <v>3.1322887153045643E-3</v>
      </c>
      <c r="BO138" s="47">
        <f>_xll.qlPolynomialFunctionValue(BO$1,$BD138,AllTriggers)</f>
        <v>3.1304331349127196E-3</v>
      </c>
      <c r="BP138" s="47">
        <f>_xll.qlPolynomialFunctionValue(BP$1,$BD138,AllTriggers)</f>
        <v>3.1302235438660886E-3</v>
      </c>
      <c r="BQ138" s="47">
        <f>_xll.qlPolynomialFunctionValue('12MSynthDepo_used'!$P$18,BD138,AllTriggers)</f>
        <v>3.1417540494393741E-3</v>
      </c>
    </row>
    <row r="139" spans="18:69" x14ac:dyDescent="0.2">
      <c r="R139" s="35"/>
      <c r="S139" s="35"/>
      <c r="BC139" s="178">
        <f>_xll.qlCalendarAdvance(Calendar,BC138,"1d","mf",,Trigger)</f>
        <v>42472</v>
      </c>
      <c r="BD139" s="41">
        <f>_xll.qlDayCounterYearFraction(DayCounter,SettlementDate,BC139,,,Trigger)</f>
        <v>0.53611111111111109</v>
      </c>
      <c r="BE139" s="47">
        <f>_xll.qlPolynomialFunctionValue(BE$1,$BD139,AllTriggers)</f>
        <v>3.1441595483802064E-3</v>
      </c>
      <c r="BF139" s="47">
        <f>_xll.qlPolynomialFunctionValue(BF$1,$BD139,AllTriggers)</f>
        <v>3.1296842267356786E-3</v>
      </c>
      <c r="BG139" s="47">
        <f>_xll.qlPolynomialFunctionValue(BG$1,$BD139,AllTriggers)</f>
        <v>3.1415997153590373E-3</v>
      </c>
      <c r="BH139" s="47">
        <f>_xll.qlPolynomialFunctionValue(BH$1,$BD139,AllTriggers)</f>
        <v>3.1280410774032542E-3</v>
      </c>
      <c r="BI139" s="47">
        <f>_xll.qlPolynomialFunctionValue(BI$1,$BD139,AllTriggers)</f>
        <v>3.1449382825398616E-3</v>
      </c>
      <c r="BJ139" s="47">
        <f>_xll.qlPolynomialFunctionValue(BJ$1,$BD139,AllTriggers)</f>
        <v>3.1337393472125104E-3</v>
      </c>
      <c r="BK139" s="47">
        <f>_xll.qlPolynomialFunctionValue(BK$1,$BD139,AllTriggers)</f>
        <v>3.1429688849895373E-3</v>
      </c>
      <c r="BL139" s="47">
        <f>_xll.qlPolynomialFunctionValue(BL$1,$BD139,AllTriggers)</f>
        <v>3.1289053463719038E-3</v>
      </c>
      <c r="BM139" s="47">
        <f>_xll.qlPolynomialFunctionValue(BM$1,$BD139,AllTriggers)</f>
        <v>3.1383675757980754E-3</v>
      </c>
      <c r="BN139" s="47">
        <f>_xll.qlPolynomialFunctionValue(BN$1,$BD139,AllTriggers)</f>
        <v>3.13382380798606E-3</v>
      </c>
      <c r="BO139" s="47">
        <f>_xll.qlPolynomialFunctionValue(BO$1,$BD139,AllTriggers)</f>
        <v>3.1321666523165185E-3</v>
      </c>
      <c r="BP139" s="47">
        <f>_xll.qlPolynomialFunctionValue(BP$1,$BD139,AllTriggers)</f>
        <v>3.1318984529046315E-3</v>
      </c>
      <c r="BQ139" s="47">
        <f>_xll.qlPolynomialFunctionValue('12MSynthDepo_used'!$P$18,BD139,AllTriggers)</f>
        <v>3.143449763638759E-3</v>
      </c>
    </row>
    <row r="140" spans="18:69" x14ac:dyDescent="0.2">
      <c r="R140" s="35"/>
      <c r="S140" s="35"/>
      <c r="BC140" s="178">
        <f>_xll.qlCalendarAdvance(Calendar,BC139,"1d","mf",,Trigger)</f>
        <v>42473</v>
      </c>
      <c r="BD140" s="41">
        <f>_xll.qlDayCounterYearFraction(DayCounter,SettlementDate,BC140,,,Trigger)</f>
        <v>0.53888888888888886</v>
      </c>
      <c r="BE140" s="47">
        <f>_xll.qlPolynomialFunctionValue(BE$1,$BD140,AllTriggers)</f>
        <v>3.1456395632305924E-3</v>
      </c>
      <c r="BF140" s="47">
        <f>_xll.qlPolynomialFunctionValue(BF$1,$BD140,AllTriggers)</f>
        <v>3.1311503087987158E-3</v>
      </c>
      <c r="BG140" s="47">
        <f>_xll.qlPolynomialFunctionValue(BG$1,$BD140,AllTriggers)</f>
        <v>3.1431987922104082E-3</v>
      </c>
      <c r="BH140" s="47">
        <f>_xll.qlPolynomialFunctionValue(BH$1,$BD140,AllTriggers)</f>
        <v>3.1294888194464592E-3</v>
      </c>
      <c r="BI140" s="47">
        <f>_xll.qlPolynomialFunctionValue(BI$1,$BD140,AllTriggers)</f>
        <v>3.1464454951696716E-3</v>
      </c>
      <c r="BJ140" s="47">
        <f>_xll.qlPolynomialFunctionValue(BJ$1,$BD140,AllTriggers)</f>
        <v>3.1352382157787194E-3</v>
      </c>
      <c r="BK140" s="47">
        <f>_xll.qlPolynomialFunctionValue(BK$1,$BD140,AllTriggers)</f>
        <v>3.1445698784550767E-3</v>
      </c>
      <c r="BL140" s="47">
        <f>_xll.qlPolynomialFunctionValue(BL$1,$BD140,AllTriggers)</f>
        <v>3.1303507266853812E-3</v>
      </c>
      <c r="BM140" s="47">
        <f>_xll.qlPolynomialFunctionValue(BM$1,$BD140,AllTriggers)</f>
        <v>3.1400569729425933E-3</v>
      </c>
      <c r="BN140" s="47">
        <f>_xll.qlPolynomialFunctionValue(BN$1,$BD140,AllTriggers)</f>
        <v>3.1353602702807329E-3</v>
      </c>
      <c r="BO140" s="47">
        <f>_xll.qlPolynomialFunctionValue(BO$1,$BD140,AllTriggers)</f>
        <v>3.1339001697203179E-3</v>
      </c>
      <c r="BP140" s="47">
        <f>_xll.qlPolynomialFunctionValue(BP$1,$BD140,AllTriggers)</f>
        <v>3.1335738060446479E-3</v>
      </c>
      <c r="BQ140" s="47">
        <f>_xll.qlPolynomialFunctionValue('12MSynthDepo_used'!$P$18,BD140,AllTriggers)</f>
        <v>3.1451459221887705E-3</v>
      </c>
    </row>
    <row r="141" spans="18:69" x14ac:dyDescent="0.2">
      <c r="R141" s="35"/>
      <c r="S141" s="35"/>
      <c r="BC141" s="178">
        <f>_xll.qlCalendarAdvance(Calendar,BC140,"1d","mf",,Trigger)</f>
        <v>42474</v>
      </c>
      <c r="BD141" s="41">
        <f>_xll.qlDayCounterYearFraction(DayCounter,SettlementDate,BC141,,,Trigger)</f>
        <v>0.54166666666666663</v>
      </c>
      <c r="BE141" s="47">
        <f>_xll.qlPolynomialFunctionValue(BE$1,$BD141,AllTriggers)</f>
        <v>3.1471195780809784E-3</v>
      </c>
      <c r="BF141" s="47">
        <f>_xll.qlPolynomialFunctionValue(BF$1,$BD141,AllTriggers)</f>
        <v>3.1326189240958161E-3</v>
      </c>
      <c r="BG141" s="47">
        <f>_xll.qlPolynomialFunctionValue(BG$1,$BD141,AllTriggers)</f>
        <v>3.1447978690617787E-3</v>
      </c>
      <c r="BH141" s="47">
        <f>_xll.qlPolynomialFunctionValue(BH$1,$BD141,AllTriggers)</f>
        <v>3.1309394440574381E-3</v>
      </c>
      <c r="BI141" s="47">
        <f>_xll.qlPolynomialFunctionValue(BI$1,$BD141,AllTriggers)</f>
        <v>3.1479527077994817E-3</v>
      </c>
      <c r="BJ141" s="47">
        <f>_xll.qlPolynomialFunctionValue(BJ$1,$BD141,AllTriggers)</f>
        <v>3.1367390482853002E-3</v>
      </c>
      <c r="BK141" s="47">
        <f>_xll.qlPolynomialFunctionValue(BK$1,$BD141,AllTriggers)</f>
        <v>3.1461708719206162E-3</v>
      </c>
      <c r="BL141" s="47">
        <f>_xll.qlPolynomialFunctionValue(BL$1,$BD141,AllTriggers)</f>
        <v>3.131799099559475E-3</v>
      </c>
      <c r="BM141" s="47">
        <f>_xll.qlPolynomialFunctionValue(BM$1,$BD141,AllTriggers)</f>
        <v>3.1417463700871115E-3</v>
      </c>
      <c r="BN141" s="47">
        <f>_xll.qlPolynomialFunctionValue(BN$1,$BD141,AllTriggers)</f>
        <v>3.1368981021885826E-3</v>
      </c>
      <c r="BO141" s="47">
        <f>_xll.qlPolynomialFunctionValue(BO$1,$BD141,AllTriggers)</f>
        <v>3.1356336871241168E-3</v>
      </c>
      <c r="BP141" s="47">
        <f>_xll.qlPolynomialFunctionValue(BP$1,$BD141,AllTriggers)</f>
        <v>3.1352496032861373E-3</v>
      </c>
      <c r="BQ141" s="47">
        <f>_xll.qlPolynomialFunctionValue('12MSynthDepo_used'!$P$18,BD141,AllTriggers)</f>
        <v>3.14684252046364E-3</v>
      </c>
    </row>
    <row r="142" spans="18:69" x14ac:dyDescent="0.2">
      <c r="R142" s="35"/>
      <c r="S142" s="35"/>
      <c r="BC142" s="178">
        <f>_xll.qlCalendarAdvance(Calendar,BC141,"1d","mf",,Trigger)</f>
        <v>42475</v>
      </c>
      <c r="BD142" s="41">
        <f>_xll.qlDayCounterYearFraction(DayCounter,SettlementDate,BC142,,,Trigger)</f>
        <v>0.5444444444444444</v>
      </c>
      <c r="BE142" s="47">
        <f>_xll.qlPolynomialFunctionValue(BE$1,$BD142,AllTriggers)</f>
        <v>3.1485995929313648E-3</v>
      </c>
      <c r="BF142" s="47">
        <f>_xll.qlPolynomialFunctionValue(BF$1,$BD142,AllTriggers)</f>
        <v>3.1340900726269804E-3</v>
      </c>
      <c r="BG142" s="47">
        <f>_xll.qlPolynomialFunctionValue(BG$1,$BD142,AllTriggers)</f>
        <v>3.1463969459131495E-3</v>
      </c>
      <c r="BH142" s="47">
        <f>_xll.qlPolynomialFunctionValue(BH$1,$BD142,AllTriggers)</f>
        <v>3.1323929512361917E-3</v>
      </c>
      <c r="BI142" s="47">
        <f>_xll.qlPolynomialFunctionValue(BI$1,$BD142,AllTriggers)</f>
        <v>3.1494599204292917E-3</v>
      </c>
      <c r="BJ142" s="47">
        <f>_xll.qlPolynomialFunctionValue(BJ$1,$BD142,AllTriggers)</f>
        <v>3.1382418447322524E-3</v>
      </c>
      <c r="BK142" s="47">
        <f>_xll.qlPolynomialFunctionValue(BK$1,$BD142,AllTriggers)</f>
        <v>3.1477718653861557E-3</v>
      </c>
      <c r="BL142" s="47">
        <f>_xll.qlPolynomialFunctionValue(BL$1,$BD142,AllTriggers)</f>
        <v>3.1332504649941853E-3</v>
      </c>
      <c r="BM142" s="47">
        <f>_xll.qlPolynomialFunctionValue(BM$1,$BD142,AllTriggers)</f>
        <v>3.1434357672316298E-3</v>
      </c>
      <c r="BN142" s="47">
        <f>_xll.qlPolynomialFunctionValue(BN$1,$BD142,AllTriggers)</f>
        <v>3.13843730370961E-3</v>
      </c>
      <c r="BO142" s="47">
        <f>_xll.qlPolynomialFunctionValue(BO$1,$BD142,AllTriggers)</f>
        <v>3.1373672045279157E-3</v>
      </c>
      <c r="BP142" s="47">
        <f>_xll.qlPolynomialFunctionValue(BP$1,$BD142,AllTriggers)</f>
        <v>3.1369258446291002E-3</v>
      </c>
      <c r="BQ142" s="47">
        <f>_xll.qlPolynomialFunctionValue('12MSynthDepo_used'!$P$18,BD142,AllTriggers)</f>
        <v>3.1485395538376005E-3</v>
      </c>
    </row>
    <row r="143" spans="18:69" x14ac:dyDescent="0.2">
      <c r="R143" s="35"/>
      <c r="S143" s="35"/>
      <c r="BC143" s="178">
        <f>_xll.qlCalendarAdvance(Calendar,BC142,"1d","mf",,Trigger)</f>
        <v>42478</v>
      </c>
      <c r="BD143" s="41">
        <f>_xll.qlDayCounterYearFraction(DayCounter,SettlementDate,BC143,,,Trigger)</f>
        <v>0.55277777777777781</v>
      </c>
      <c r="BE143" s="47">
        <f>_xll.qlPolynomialFunctionValue(BE$1,$BD143,AllTriggers)</f>
        <v>3.1530396374825232E-3</v>
      </c>
      <c r="BF143" s="47">
        <f>_xll.qlPolynomialFunctionValue(BF$1,$BD143,AllTriggers)</f>
        <v>3.1385187176248526E-3</v>
      </c>
      <c r="BG143" s="47">
        <f>_xll.qlPolynomialFunctionValue(BG$1,$BD143,AllTriggers)</f>
        <v>3.1511941764672622E-3</v>
      </c>
      <c r="BH143" s="47">
        <f>_xll.qlPolynomialFunctionValue(BH$1,$BD143,AllTriggers)</f>
        <v>3.1367707681791003E-3</v>
      </c>
      <c r="BI143" s="47">
        <f>_xll.qlPolynomialFunctionValue(BI$1,$BD143,AllTriggers)</f>
        <v>3.1539815583187217E-3</v>
      </c>
      <c r="BJ143" s="47">
        <f>_xll.qlPolynomialFunctionValue(BJ$1,$BD143,AllTriggers)</f>
        <v>3.1427620177153399E-3</v>
      </c>
      <c r="BK143" s="47">
        <f>_xll.qlPolynomialFunctionValue(BK$1,$BD143,AllTriggers)</f>
        <v>3.1525748457827745E-3</v>
      </c>
      <c r="BL143" s="47">
        <f>_xll.qlPolynomialFunctionValue(BL$1,$BD143,AllTriggers)</f>
        <v>3.1376225166620162E-3</v>
      </c>
      <c r="BM143" s="47">
        <f>_xll.qlPolynomialFunctionValue(BM$1,$BD143,AllTriggers)</f>
        <v>3.1485039586651845E-3</v>
      </c>
      <c r="BN143" s="47">
        <f>_xll.qlPolynomialFunctionValue(BN$1,$BD143,AllTriggers)</f>
        <v>3.1430631259517518E-3</v>
      </c>
      <c r="BO143" s="47">
        <f>_xll.qlPolynomialFunctionValue(BO$1,$BD143,AllTriggers)</f>
        <v>3.1425677567393133E-3</v>
      </c>
      <c r="BP143" s="47">
        <f>_xll.qlPolynomialFunctionValue(BP$1,$BD143,AllTriggers)</f>
        <v>3.1419572332668289E-3</v>
      </c>
      <c r="BQ143" s="47">
        <f>_xll.qlPolynomialFunctionValue('12MSynthDepo_used'!$P$18,BD143,AllTriggers)</f>
        <v>3.153633218296354E-3</v>
      </c>
    </row>
    <row r="144" spans="18:69" x14ac:dyDescent="0.2">
      <c r="R144" s="35"/>
      <c r="S144" s="35"/>
      <c r="BC144" s="178">
        <f>_xll.qlCalendarAdvance(Calendar,BC143,"1d","mf",,Trigger)</f>
        <v>42479</v>
      </c>
      <c r="BD144" s="41">
        <f>_xll.qlDayCounterYearFraction(DayCounter,SettlementDate,BC144,,,Trigger)</f>
        <v>0.55555555555555558</v>
      </c>
      <c r="BE144" s="47">
        <f>_xll.qlPolynomialFunctionValue(BE$1,$BD144,AllTriggers)</f>
        <v>3.1545196523329096E-3</v>
      </c>
      <c r="BF144" s="47">
        <f>_xll.qlPolynomialFunctionValue(BF$1,$BD144,AllTriggers)</f>
        <v>3.1399999990922708E-3</v>
      </c>
      <c r="BG144" s="47">
        <f>_xll.qlPolynomialFunctionValue(BG$1,$BD144,AllTriggers)</f>
        <v>3.1527932533186327E-3</v>
      </c>
      <c r="BH144" s="47">
        <f>_xll.qlPolynomialFunctionValue(BH$1,$BD144,AllTriggers)</f>
        <v>3.1382358056289521E-3</v>
      </c>
      <c r="BI144" s="47">
        <f>_xll.qlPolynomialFunctionValue(BI$1,$BD144,AllTriggers)</f>
        <v>3.1554887709485317E-3</v>
      </c>
      <c r="BJ144" s="47">
        <f>_xll.qlPolynomialFunctionValue(BJ$1,$BD144,AllTriggers)</f>
        <v>3.1442726699237793E-3</v>
      </c>
      <c r="BK144" s="47">
        <f>_xll.qlPolynomialFunctionValue(BK$1,$BD144,AllTriggers)</f>
        <v>3.1541758392483145E-3</v>
      </c>
      <c r="BL144" s="47">
        <f>_xll.qlPolynomialFunctionValue(BL$1,$BD144,AllTriggers)</f>
        <v>3.1390858523391929E-3</v>
      </c>
      <c r="BM144" s="47">
        <f>_xll.qlPolynomialFunctionValue(BM$1,$BD144,AllTriggers)</f>
        <v>3.1501933558097028E-3</v>
      </c>
      <c r="BN144" s="47">
        <f>_xll.qlPolynomialFunctionValue(BN$1,$BD144,AllTriggers)</f>
        <v>3.1446078059254863E-3</v>
      </c>
      <c r="BO144" s="47">
        <f>_xll.qlPolynomialFunctionValue(BO$1,$BD144,AllTriggers)</f>
        <v>3.1443012741431122E-3</v>
      </c>
      <c r="BP144" s="47">
        <f>_xll.qlPolynomialFunctionValue(BP$1,$BD144,AllTriggers)</f>
        <v>3.1436352510156853E-3</v>
      </c>
      <c r="BQ144" s="47">
        <f>_xll.qlPolynomialFunctionValue('12MSynthDepo_used'!$P$18,BD144,AllTriggers)</f>
        <v>3.1553319458090044E-3</v>
      </c>
    </row>
    <row r="145" spans="18:69" x14ac:dyDescent="0.2">
      <c r="R145" s="35"/>
      <c r="S145" s="35"/>
      <c r="BC145" s="178">
        <f>_xll.qlCalendarAdvance(Calendar,BC144,"1d","mf",,Trigger)</f>
        <v>42480</v>
      </c>
      <c r="BD145" s="41">
        <f>_xll.qlDayCounterYearFraction(DayCounter,SettlementDate,BC145,,,Trigger)</f>
        <v>0.55833333333333335</v>
      </c>
      <c r="BE145" s="47">
        <f>_xll.qlPolynomialFunctionValue(BE$1,$BD145,AllTriggers)</f>
        <v>3.1559996671832956E-3</v>
      </c>
      <c r="BF145" s="47">
        <f>_xll.qlPolynomialFunctionValue(BF$1,$BD145,AllTriggers)</f>
        <v>3.1414838137937525E-3</v>
      </c>
      <c r="BG145" s="47">
        <f>_xll.qlPolynomialFunctionValue(BG$1,$BD145,AllTriggers)</f>
        <v>3.1543923301700035E-3</v>
      </c>
      <c r="BH145" s="47">
        <f>_xll.qlPolynomialFunctionValue(BH$1,$BD145,AllTriggers)</f>
        <v>3.1397037256465786E-3</v>
      </c>
      <c r="BI145" s="47">
        <f>_xll.qlPolynomialFunctionValue(BI$1,$BD145,AllTriggers)</f>
        <v>3.1569959835783417E-3</v>
      </c>
      <c r="BJ145" s="47">
        <f>_xll.qlPolynomialFunctionValue(BJ$1,$BD145,AllTriggers)</f>
        <v>3.1457852860725904E-3</v>
      </c>
      <c r="BK145" s="47">
        <f>_xll.qlPolynomialFunctionValue(BK$1,$BD145,AllTriggers)</f>
        <v>3.1557768327138539E-3</v>
      </c>
      <c r="BL145" s="47">
        <f>_xll.qlPolynomialFunctionValue(BL$1,$BD145,AllTriggers)</f>
        <v>3.1405521805769865E-3</v>
      </c>
      <c r="BM145" s="47">
        <f>_xll.qlPolynomialFunctionValue(BM$1,$BD145,AllTriggers)</f>
        <v>3.1518827529542206E-3</v>
      </c>
      <c r="BN145" s="47">
        <f>_xll.qlPolynomialFunctionValue(BN$1,$BD145,AllTriggers)</f>
        <v>3.1461538555123975E-3</v>
      </c>
      <c r="BO145" s="47">
        <f>_xll.qlPolynomialFunctionValue(BO$1,$BD145,AllTriggers)</f>
        <v>3.1460347915469112E-3</v>
      </c>
      <c r="BP145" s="47">
        <f>_xll.qlPolynomialFunctionValue(BP$1,$BD145,AllTriggers)</f>
        <v>3.1453137128660148E-3</v>
      </c>
      <c r="BQ145" s="47">
        <f>_xll.qlPolynomialFunctionValue('12MSynthDepo_used'!$P$18,BD145,AllTriggers)</f>
        <v>3.1570310852919083E-3</v>
      </c>
    </row>
    <row r="146" spans="18:69" x14ac:dyDescent="0.2">
      <c r="R146" s="35"/>
      <c r="S146" s="35"/>
      <c r="BC146" s="178">
        <f>_xll.qlCalendarAdvance(Calendar,BC145,"1d","mf",,Trigger)</f>
        <v>42481</v>
      </c>
      <c r="BD146" s="41">
        <f>_xll.qlDayCounterYearFraction(DayCounter,SettlementDate,BC146,,,Trigger)</f>
        <v>0.56111111111111112</v>
      </c>
      <c r="BE146" s="47">
        <f>_xll.qlPolynomialFunctionValue(BE$1,$BD146,AllTriggers)</f>
        <v>3.1574796820336816E-3</v>
      </c>
      <c r="BF146" s="47">
        <f>_xll.qlPolynomialFunctionValue(BF$1,$BD146,AllTriggers)</f>
        <v>3.1429701617292972E-3</v>
      </c>
      <c r="BG146" s="47">
        <f>_xll.qlPolynomialFunctionValue(BG$1,$BD146,AllTriggers)</f>
        <v>3.1559914070213744E-3</v>
      </c>
      <c r="BH146" s="47">
        <f>_xll.qlPolynomialFunctionValue(BH$1,$BD146,AllTriggers)</f>
        <v>3.1411745282319795E-3</v>
      </c>
      <c r="BI146" s="47">
        <f>_xll.qlPolynomialFunctionValue(BI$1,$BD146,AllTriggers)</f>
        <v>3.1585031962081517E-3</v>
      </c>
      <c r="BJ146" s="47">
        <f>_xll.qlPolynomialFunctionValue(BJ$1,$BD146,AllTriggers)</f>
        <v>3.1472998661617731E-3</v>
      </c>
      <c r="BK146" s="47">
        <f>_xll.qlPolynomialFunctionValue(BK$1,$BD146,AllTriggers)</f>
        <v>3.1573778261793934E-3</v>
      </c>
      <c r="BL146" s="47">
        <f>_xll.qlPolynomialFunctionValue(BL$1,$BD146,AllTriggers)</f>
        <v>3.1420215013753961E-3</v>
      </c>
      <c r="BM146" s="47">
        <f>_xll.qlPolynomialFunctionValue(BM$1,$BD146,AllTriggers)</f>
        <v>3.1535721500987389E-3</v>
      </c>
      <c r="BN146" s="47">
        <f>_xll.qlPolynomialFunctionValue(BN$1,$BD146,AllTriggers)</f>
        <v>3.1477012747124864E-3</v>
      </c>
      <c r="BO146" s="47">
        <f>_xll.qlPolynomialFunctionValue(BO$1,$BD146,AllTriggers)</f>
        <v>3.1477683089507105E-3</v>
      </c>
      <c r="BP146" s="47">
        <f>_xll.qlPolynomialFunctionValue(BP$1,$BD146,AllTriggers)</f>
        <v>3.1469926188178172E-3</v>
      </c>
      <c r="BQ146" s="47">
        <f>_xll.qlPolynomialFunctionValue('12MSynthDepo_used'!$P$18,BD146,AllTriggers)</f>
        <v>3.158730632119299E-3</v>
      </c>
    </row>
    <row r="147" spans="18:69" x14ac:dyDescent="0.2">
      <c r="R147" s="35"/>
      <c r="S147" s="35"/>
      <c r="BC147" s="178">
        <f>_xll.qlCalendarAdvance(Calendar,BC146,"1d","mf",,Trigger)</f>
        <v>42482</v>
      </c>
      <c r="BD147" s="41">
        <f>_xll.qlDayCounterYearFraction(DayCounter,SettlementDate,BC147,,,Trigger)</f>
        <v>0.56388888888888888</v>
      </c>
      <c r="BE147" s="47">
        <f>_xll.qlPolynomialFunctionValue(BE$1,$BD147,AllTriggers)</f>
        <v>3.1589596968840681E-3</v>
      </c>
      <c r="BF147" s="47">
        <f>_xll.qlPolynomialFunctionValue(BF$1,$BD147,AllTriggers)</f>
        <v>3.1444590428989054E-3</v>
      </c>
      <c r="BG147" s="47">
        <f>_xll.qlPolynomialFunctionValue(BG$1,$BD147,AllTriggers)</f>
        <v>3.1575904838727453E-3</v>
      </c>
      <c r="BH147" s="47">
        <f>_xll.qlPolynomialFunctionValue(BH$1,$BD147,AllTriggers)</f>
        <v>3.142648213385156E-3</v>
      </c>
      <c r="BI147" s="47">
        <f>_xll.qlPolynomialFunctionValue(BI$1,$BD147,AllTriggers)</f>
        <v>3.1600104088379617E-3</v>
      </c>
      <c r="BJ147" s="47">
        <f>_xll.qlPolynomialFunctionValue(BJ$1,$BD147,AllTriggers)</f>
        <v>3.148816410191328E-3</v>
      </c>
      <c r="BK147" s="47">
        <f>_xll.qlPolynomialFunctionValue(BK$1,$BD147,AllTriggers)</f>
        <v>3.1589788196449333E-3</v>
      </c>
      <c r="BL147" s="47">
        <f>_xll.qlPolynomialFunctionValue(BL$1,$BD147,AllTriggers)</f>
        <v>3.143493814734423E-3</v>
      </c>
      <c r="BM147" s="47">
        <f>_xll.qlPolynomialFunctionValue(BM$1,$BD147,AllTriggers)</f>
        <v>3.1552615472432571E-3</v>
      </c>
      <c r="BN147" s="47">
        <f>_xll.qlPolynomialFunctionValue(BN$1,$BD147,AllTriggers)</f>
        <v>3.1492500635257512E-3</v>
      </c>
      <c r="BO147" s="47">
        <f>_xll.qlPolynomialFunctionValue(BO$1,$BD147,AllTriggers)</f>
        <v>3.1495018263545094E-3</v>
      </c>
      <c r="BP147" s="47">
        <f>_xll.qlPolynomialFunctionValue(BP$1,$BD147,AllTriggers)</f>
        <v>3.1486719688710932E-3</v>
      </c>
      <c r="BQ147" s="47">
        <f>_xll.qlPolynomialFunctionValue('12MSynthDepo_used'!$P$18,BD147,AllTriggers)</f>
        <v>3.1604305816654086E-3</v>
      </c>
    </row>
    <row r="148" spans="18:69" x14ac:dyDescent="0.2">
      <c r="R148" s="35"/>
      <c r="S148" s="35"/>
      <c r="BC148" s="178">
        <f>_xll.qlCalendarAdvance(Calendar,BC147,"1d","mf",,Trigger)</f>
        <v>42485</v>
      </c>
      <c r="BD148" s="41">
        <f>_xll.qlDayCounterYearFraction(DayCounter,SettlementDate,BC148,,,Trigger)</f>
        <v>0.57222222222222219</v>
      </c>
      <c r="BE148" s="47">
        <f>_xll.qlPolynomialFunctionValue(BE$1,$BD148,AllTriggers)</f>
        <v>3.1633997414352265E-3</v>
      </c>
      <c r="BF148" s="47">
        <f>_xll.qlPolynomialFunctionValue(BF$1,$BD148,AllTriggers)</f>
        <v>3.1489408858121118E-3</v>
      </c>
      <c r="BG148" s="47">
        <f>_xll.qlPolynomialFunctionValue(BG$1,$BD148,AllTriggers)</f>
        <v>3.1623877144268575E-3</v>
      </c>
      <c r="BH148" s="47">
        <f>_xll.qlPolynomialFunctionValue(BH$1,$BD148,AllTriggers)</f>
        <v>3.1470865642513304E-3</v>
      </c>
      <c r="BI148" s="47">
        <f>_xll.qlPolynomialFunctionValue(BI$1,$BD148,AllTriggers)</f>
        <v>3.1645320467273918E-3</v>
      </c>
      <c r="BJ148" s="47">
        <f>_xll.qlPolynomialFunctionValue(BJ$1,$BD148,AllTriggers)</f>
        <v>3.1533778259222223E-3</v>
      </c>
      <c r="BK148" s="47">
        <f>_xll.qlPolynomialFunctionValue(BK$1,$BD148,AllTriggers)</f>
        <v>3.1637818000415522E-3</v>
      </c>
      <c r="BL148" s="47">
        <f>_xll.qlPolynomialFunctionValue(BL$1,$BD148,AllTriggers)</f>
        <v>3.1479287101752016E-3</v>
      </c>
      <c r="BM148" s="47">
        <f>_xll.qlPolynomialFunctionValue(BM$1,$BD148,AllTriggers)</f>
        <v>3.1603297386768119E-3</v>
      </c>
      <c r="BN148" s="47">
        <f>_xll.qlPolynomialFunctionValue(BN$1,$BD148,AllTriggers)</f>
        <v>3.1539046476446084E-3</v>
      </c>
      <c r="BO148" s="47">
        <f>_xll.qlPolynomialFunctionValue(BO$1,$BD148,AllTriggers)</f>
        <v>3.1547023785659066E-3</v>
      </c>
      <c r="BP148" s="47">
        <f>_xll.qlPolynomialFunctionValue(BP$1,$BD148,AllTriggers)</f>
        <v>3.1537126836397615E-3</v>
      </c>
      <c r="BQ148" s="47">
        <f>_xll.qlPolynomialFunctionValue('12MSynthDepo_used'!$P$18,BD148,AllTriggers)</f>
        <v>3.1655328003583785E-3</v>
      </c>
    </row>
    <row r="149" spans="18:69" x14ac:dyDescent="0.2">
      <c r="S149" s="35"/>
      <c r="BC149" s="178">
        <f>_xll.qlCalendarAdvance(Calendar,BC148,"1d","mf",,Trigger)</f>
        <v>42486</v>
      </c>
      <c r="BD149" s="41">
        <f>_xll.qlDayCounterYearFraction(DayCounter,SettlementDate,BC149,,,Trigger)</f>
        <v>0.57499999999999996</v>
      </c>
      <c r="BE149" s="47">
        <f>_xll.qlPolynomialFunctionValue(BE$1,$BD149,AllTriggers)</f>
        <v>3.1648797562856125E-3</v>
      </c>
      <c r="BF149" s="47">
        <f>_xll.qlPolynomialFunctionValue(BF$1,$BD149,AllTriggers)</f>
        <v>3.1504398999179744E-3</v>
      </c>
      <c r="BG149" s="47">
        <f>_xll.qlPolynomialFunctionValue(BG$1,$BD149,AllTriggers)</f>
        <v>3.1639867912782284E-3</v>
      </c>
      <c r="BH149" s="47">
        <f>_xll.qlPolynomialFunctionValue(BH$1,$BD149,AllTriggers)</f>
        <v>3.1485717796756046E-3</v>
      </c>
      <c r="BI149" s="47">
        <f>_xll.qlPolynomialFunctionValue(BI$1,$BD149,AllTriggers)</f>
        <v>3.1660392593572018E-3</v>
      </c>
      <c r="BJ149" s="47">
        <f>_xll.qlPolynomialFunctionValue(BJ$1,$BD149,AllTriggers)</f>
        <v>3.1549022257132638E-3</v>
      </c>
      <c r="BK149" s="47">
        <f>_xll.qlPolynomialFunctionValue(BK$1,$BD149,AllTriggers)</f>
        <v>3.1653827935070916E-3</v>
      </c>
      <c r="BL149" s="47">
        <f>_xll.qlPolynomialFunctionValue(BL$1,$BD149,AllTriggers)</f>
        <v>3.1494129937766945E-3</v>
      </c>
      <c r="BM149" s="47">
        <f>_xll.qlPolynomialFunctionValue(BM$1,$BD149,AllTriggers)</f>
        <v>3.1620191358213302E-3</v>
      </c>
      <c r="BN149" s="47">
        <f>_xll.qlPolynomialFunctionValue(BN$1,$BD149,AllTriggers)</f>
        <v>3.1554589149105812E-3</v>
      </c>
      <c r="BO149" s="47">
        <f>_xll.qlPolynomialFunctionValue(BO$1,$BD149,AllTriggers)</f>
        <v>3.1564358959697055E-3</v>
      </c>
      <c r="BP149" s="47">
        <f>_xll.qlPolynomialFunctionValue(BP$1,$BD149,AllTriggers)</f>
        <v>3.1553938100989313E-3</v>
      </c>
      <c r="BQ149" s="47">
        <f>_xll.qlPolynomialFunctionValue('12MSynthDepo_used'!$P$18,BD149,AllTriggers)</f>
        <v>3.1672343145216896E-3</v>
      </c>
    </row>
    <row r="150" spans="18:69" x14ac:dyDescent="0.2">
      <c r="S150" s="35"/>
      <c r="BC150" s="178">
        <f>_xll.qlCalendarAdvance(Calendar,BC149,"1d","mf",,Trigger)</f>
        <v>42487</v>
      </c>
      <c r="BD150" s="41">
        <f>_xll.qlDayCounterYearFraction(DayCounter,SettlementDate,BC150,,,Trigger)</f>
        <v>0.57777777777777772</v>
      </c>
      <c r="BE150" s="47">
        <f>_xll.qlPolynomialFunctionValue(BE$1,$BD150,AllTriggers)</f>
        <v>3.1663597711359989E-3</v>
      </c>
      <c r="BF150" s="47">
        <f>_xll.qlPolynomialFunctionValue(BF$1,$BD150,AllTriggers)</f>
        <v>3.1519414472579005E-3</v>
      </c>
      <c r="BG150" s="47">
        <f>_xll.qlPolynomialFunctionValue(BG$1,$BD150,AllTriggers)</f>
        <v>3.1655858681295993E-3</v>
      </c>
      <c r="BH150" s="47">
        <f>_xll.qlPolynomialFunctionValue(BH$1,$BD150,AllTriggers)</f>
        <v>3.1500598776676536E-3</v>
      </c>
      <c r="BI150" s="47">
        <f>_xll.qlPolynomialFunctionValue(BI$1,$BD150,AllTriggers)</f>
        <v>3.1675464719870118E-3</v>
      </c>
      <c r="BJ150" s="47">
        <f>_xll.qlPolynomialFunctionValue(BJ$1,$BD150,AllTriggers)</f>
        <v>3.1564285894446768E-3</v>
      </c>
      <c r="BK150" s="47">
        <f>_xll.qlPolynomialFunctionValue(BK$1,$BD150,AllTriggers)</f>
        <v>3.1669837869726311E-3</v>
      </c>
      <c r="BL150" s="47">
        <f>_xll.qlPolynomialFunctionValue(BL$1,$BD150,AllTriggers)</f>
        <v>3.1509002699388043E-3</v>
      </c>
      <c r="BM150" s="47">
        <f>_xll.qlPolynomialFunctionValue(BM$1,$BD150,AllTriggers)</f>
        <v>3.163708532965848E-3</v>
      </c>
      <c r="BN150" s="47">
        <f>_xll.qlPolynomialFunctionValue(BN$1,$BD150,AllTriggers)</f>
        <v>3.1570145517897312E-3</v>
      </c>
      <c r="BO150" s="47">
        <f>_xll.qlPolynomialFunctionValue(BO$1,$BD150,AllTriggers)</f>
        <v>3.1581694133735049E-3</v>
      </c>
      <c r="BP150" s="47">
        <f>_xll.qlPolynomialFunctionValue(BP$1,$BD150,AllTriggers)</f>
        <v>3.1570753806595738E-3</v>
      </c>
      <c r="BQ150" s="47">
        <f>_xll.qlPolynomialFunctionValue('12MSynthDepo_used'!$P$18,BD150,AllTriggers)</f>
        <v>3.1689362082748833E-3</v>
      </c>
    </row>
    <row r="151" spans="18:69" x14ac:dyDescent="0.2">
      <c r="S151" s="35"/>
      <c r="BC151" s="178">
        <f>_xll.qlCalendarAdvance(Calendar,BC150,"1d","mf",,Trigger)</f>
        <v>42488</v>
      </c>
      <c r="BD151" s="41">
        <f>_xll.qlDayCounterYearFraction(DayCounter,SettlementDate,BC151,,,Trigger)</f>
        <v>0.5805555555555556</v>
      </c>
      <c r="BE151" s="47">
        <f>_xll.qlPolynomialFunctionValue(BE$1,$BD151,AllTriggers)</f>
        <v>3.1678397859863849E-3</v>
      </c>
      <c r="BF151" s="47">
        <f>_xll.qlPolynomialFunctionValue(BF$1,$BD151,AllTriggers)</f>
        <v>3.1534455278318897E-3</v>
      </c>
      <c r="BG151" s="47">
        <f>_xll.qlPolynomialFunctionValue(BG$1,$BD151,AllTriggers)</f>
        <v>3.1671849449809702E-3</v>
      </c>
      <c r="BH151" s="47">
        <f>_xll.qlPolynomialFunctionValue(BH$1,$BD151,AllTriggers)</f>
        <v>3.1515508582274769E-3</v>
      </c>
      <c r="BI151" s="47">
        <f>_xll.qlPolynomialFunctionValue(BI$1,$BD151,AllTriggers)</f>
        <v>3.1690536846168218E-3</v>
      </c>
      <c r="BJ151" s="47">
        <f>_xll.qlPolynomialFunctionValue(BJ$1,$BD151,AllTriggers)</f>
        <v>3.1579569171164622E-3</v>
      </c>
      <c r="BK151" s="47">
        <f>_xll.qlPolynomialFunctionValue(BK$1,$BD151,AllTriggers)</f>
        <v>3.168584780438171E-3</v>
      </c>
      <c r="BL151" s="47">
        <f>_xll.qlPolynomialFunctionValue(BL$1,$BD151,AllTriggers)</f>
        <v>3.15239053866153E-3</v>
      </c>
      <c r="BM151" s="47">
        <f>_xll.qlPolynomialFunctionValue(BM$1,$BD151,AllTriggers)</f>
        <v>3.1653979301103662E-3</v>
      </c>
      <c r="BN151" s="47">
        <f>_xll.qlPolynomialFunctionValue(BN$1,$BD151,AllTriggers)</f>
        <v>3.1585715582820579E-3</v>
      </c>
      <c r="BO151" s="47">
        <f>_xll.qlPolynomialFunctionValue(BO$1,$BD151,AllTriggers)</f>
        <v>3.1599029307773038E-3</v>
      </c>
      <c r="BP151" s="47">
        <f>_xll.qlPolynomialFunctionValue(BP$1,$BD151,AllTriggers)</f>
        <v>3.1587573953216898E-3</v>
      </c>
      <c r="BQ151" s="47">
        <f>_xll.qlPolynomialFunctionValue('12MSynthDepo_used'!$P$18,BD151,AllTriggers)</f>
        <v>3.1706384769921918E-3</v>
      </c>
    </row>
    <row r="152" spans="18:69" x14ac:dyDescent="0.2">
      <c r="S152" s="35"/>
      <c r="BC152" s="178">
        <f>_xll.qlCalendarAdvance(Calendar,BC151,"1d","mf",,Trigger)</f>
        <v>42489</v>
      </c>
      <c r="BD152" s="41">
        <f>_xll.qlDayCounterYearFraction(DayCounter,SettlementDate,BC152,,,Trigger)</f>
        <v>0.58333333333333337</v>
      </c>
      <c r="BE152" s="47">
        <f>_xll.qlPolynomialFunctionValue(BE$1,$BD152,AllTriggers)</f>
        <v>3.1693198008367713E-3</v>
      </c>
      <c r="BF152" s="47">
        <f>_xll.qlPolynomialFunctionValue(BF$1,$BD152,AllTriggers)</f>
        <v>3.1549521416399428E-3</v>
      </c>
      <c r="BG152" s="47">
        <f>_xll.qlPolynomialFunctionValue(BG$1,$BD152,AllTriggers)</f>
        <v>3.1687840218323411E-3</v>
      </c>
      <c r="BH152" s="47">
        <f>_xll.qlPolynomialFunctionValue(BH$1,$BD152,AllTriggers)</f>
        <v>3.1530447213550749E-3</v>
      </c>
      <c r="BI152" s="47">
        <f>_xll.qlPolynomialFunctionValue(BI$1,$BD152,AllTriggers)</f>
        <v>3.1705608972466318E-3</v>
      </c>
      <c r="BJ152" s="47">
        <f>_xll.qlPolynomialFunctionValue(BJ$1,$BD152,AllTriggers)</f>
        <v>3.1594872087286189E-3</v>
      </c>
      <c r="BK152" s="47">
        <f>_xll.qlPolynomialFunctionValue(BK$1,$BD152,AllTriggers)</f>
        <v>3.1701857739037105E-3</v>
      </c>
      <c r="BL152" s="47">
        <f>_xll.qlPolynomialFunctionValue(BL$1,$BD152,AllTriggers)</f>
        <v>3.1538837999448726E-3</v>
      </c>
      <c r="BM152" s="47">
        <f>_xll.qlPolynomialFunctionValue(BM$1,$BD152,AllTriggers)</f>
        <v>3.1670873272548845E-3</v>
      </c>
      <c r="BN152" s="47">
        <f>_xll.qlPolynomialFunctionValue(BN$1,$BD152,AllTriggers)</f>
        <v>3.1601299343875615E-3</v>
      </c>
      <c r="BO152" s="47">
        <f>_xll.qlPolynomialFunctionValue(BO$1,$BD152,AllTriggers)</f>
        <v>3.1616364481811031E-3</v>
      </c>
      <c r="BP152" s="47">
        <f>_xll.qlPolynomialFunctionValue(BP$1,$BD152,AllTriggers)</f>
        <v>3.1604398540852792E-3</v>
      </c>
      <c r="BQ152" s="47">
        <f>_xll.qlPolynomialFunctionValue('12MSynthDepo_used'!$P$18,BD152,AllTriggers)</f>
        <v>3.1723411160478475E-3</v>
      </c>
    </row>
    <row r="153" spans="18:69" x14ac:dyDescent="0.2">
      <c r="S153" s="35"/>
      <c r="BC153" s="178">
        <f>_xll.qlCalendarAdvance(Calendar,BC152,"1d","mf",,Trigger)</f>
        <v>42492</v>
      </c>
      <c r="BD153" s="41">
        <f>_xll.qlDayCounterYearFraction(DayCounter,SettlementDate,BC153,,,Trigger)</f>
        <v>0.59166666666666667</v>
      </c>
      <c r="BE153" s="47">
        <f>_xll.qlPolynomialFunctionValue(BE$1,$BD153,AllTriggers)</f>
        <v>3.1737598453879298E-3</v>
      </c>
      <c r="BF153" s="47">
        <f>_xll.qlPolynomialFunctionValue(BF$1,$BD153,AllTriggers)</f>
        <v>3.1594871824684829E-3</v>
      </c>
      <c r="BG153" s="47">
        <f>_xll.qlPolynomialFunctionValue(BG$1,$BD153,AllTriggers)</f>
        <v>3.1735812523864533E-3</v>
      </c>
      <c r="BH153" s="47">
        <f>_xll.qlPolynomialFunctionValue(BH$1,$BD153,AllTriggers)</f>
        <v>3.1575436061445166E-3</v>
      </c>
      <c r="BI153" s="47">
        <f>_xll.qlPolynomialFunctionValue(BI$1,$BD153,AllTriggers)</f>
        <v>3.1750825351360614E-3</v>
      </c>
      <c r="BJ153" s="47">
        <f>_xll.qlPolynomialFunctionValue(BJ$1,$BD153,AllTriggers)</f>
        <v>3.16408986720732E-3</v>
      </c>
      <c r="BK153" s="47">
        <f>_xll.qlPolynomialFunctionValue(BK$1,$BD153,AllTriggers)</f>
        <v>3.1749887543003289E-3</v>
      </c>
      <c r="BL153" s="47">
        <f>_xll.qlPolynomialFunctionValue(BL$1,$BD153,AllTriggers)</f>
        <v>3.1583815391585997E-3</v>
      </c>
      <c r="BM153" s="47">
        <f>_xll.qlPolynomialFunctionValue(BM$1,$BD153,AllTriggers)</f>
        <v>3.1721555186884393E-3</v>
      </c>
      <c r="BN153" s="47">
        <f>_xll.qlPolynomialFunctionValue(BN$1,$BD153,AllTriggers)</f>
        <v>3.1648132803831341E-3</v>
      </c>
      <c r="BO153" s="47">
        <f>_xll.qlPolynomialFunctionValue(BO$1,$BD153,AllTriggers)</f>
        <v>3.1668370003925003E-3</v>
      </c>
      <c r="BP153" s="47">
        <f>_xll.qlPolynomialFunctionValue(BP$1,$BD153,AllTriggers)</f>
        <v>3.165489894984887E-3</v>
      </c>
      <c r="BQ153" s="47">
        <f>_xll.qlPolynomialFunctionValue('12MSynthDepo_used'!$P$18,BD153,AllTriggers)</f>
        <v>3.177451208987222E-3</v>
      </c>
    </row>
    <row r="154" spans="18:69" x14ac:dyDescent="0.2">
      <c r="S154" s="35"/>
      <c r="BC154" s="178">
        <f>_xll.qlCalendarAdvance(Calendar,BC153,"1d","mf",,Trigger)</f>
        <v>42493</v>
      </c>
      <c r="BD154" s="41">
        <f>_xll.qlDayCounterYearFraction(DayCounter,SettlementDate,BC154,,,Trigger)</f>
        <v>0.59444444444444444</v>
      </c>
      <c r="BE154" s="47">
        <f>_xll.qlPolynomialFunctionValue(BE$1,$BD154,AllTriggers)</f>
        <v>3.1752398602383157E-3</v>
      </c>
      <c r="BF154" s="47">
        <f>_xll.qlPolynomialFunctionValue(BF$1,$BD154,AllTriggers)</f>
        <v>3.1610039292127895E-3</v>
      </c>
      <c r="BG154" s="47">
        <f>_xll.qlPolynomialFunctionValue(BG$1,$BD154,AllTriggers)</f>
        <v>3.1751803292378242E-3</v>
      </c>
      <c r="BH154" s="47">
        <f>_xll.qlPolynomialFunctionValue(BH$1,$BD154,AllTriggers)</f>
        <v>3.1590489995432128E-3</v>
      </c>
      <c r="BI154" s="47">
        <f>_xll.qlPolynomialFunctionValue(BI$1,$BD154,AllTriggers)</f>
        <v>3.1765897477658714E-3</v>
      </c>
      <c r="BJ154" s="47">
        <f>_xll.qlPolynomialFunctionValue(BJ$1,$BD154,AllTriggers)</f>
        <v>3.1656280145809638E-3</v>
      </c>
      <c r="BK154" s="47">
        <f>_xll.qlPolynomialFunctionValue(BK$1,$BD154,AllTriggers)</f>
        <v>3.1765897477658688E-3</v>
      </c>
      <c r="BL154" s="47">
        <f>_xll.qlPolynomialFunctionValue(BL$1,$BD154,AllTriggers)</f>
        <v>3.1598867706844089E-3</v>
      </c>
      <c r="BM154" s="47">
        <f>_xll.qlPolynomialFunctionValue(BM$1,$BD154,AllTriggers)</f>
        <v>3.1738449158329571E-3</v>
      </c>
      <c r="BN154" s="47">
        <f>_xll.qlPolynomialFunctionValue(BN$1,$BD154,AllTriggers)</f>
        <v>3.1663771349413452E-3</v>
      </c>
      <c r="BO154" s="47">
        <f>_xll.qlPolynomialFunctionValue(BO$1,$BD154,AllTriggers)</f>
        <v>3.1685705177962992E-3</v>
      </c>
      <c r="BP154" s="47">
        <f>_xll.qlPolynomialFunctionValue(BP$1,$BD154,AllTriggers)</f>
        <v>3.1671741301543695E-3</v>
      </c>
      <c r="BQ154" s="47">
        <f>_xll.qlPolynomialFunctionValue('12MSynthDepo_used'!$P$18,BD154,AllTriggers)</f>
        <v>3.1791552831385919E-3</v>
      </c>
    </row>
    <row r="155" spans="18:69" x14ac:dyDescent="0.2">
      <c r="BC155" s="178">
        <f>_xll.qlCalendarAdvance(Calendar,BC154,"1d","mf",,Trigger)</f>
        <v>42494</v>
      </c>
      <c r="BD155" s="41">
        <f>_xll.qlDayCounterYearFraction(DayCounter,SettlementDate,BC155,,,Trigger)</f>
        <v>0.59722222222222221</v>
      </c>
      <c r="BE155" s="47">
        <f>_xll.qlPolynomialFunctionValue(BE$1,$BD155,AllTriggers)</f>
        <v>3.1767198750887022E-3</v>
      </c>
      <c r="BF155" s="47">
        <f>_xll.qlPolynomialFunctionValue(BF$1,$BD155,AllTriggers)</f>
        <v>3.16252320919116E-3</v>
      </c>
      <c r="BG155" s="47">
        <f>_xll.qlPolynomialFunctionValue(BG$1,$BD155,AllTriggers)</f>
        <v>3.1767794060891951E-3</v>
      </c>
      <c r="BH155" s="47">
        <f>_xll.qlPolynomialFunctionValue(BH$1,$BD155,AllTriggers)</f>
        <v>3.1605572755096837E-3</v>
      </c>
      <c r="BI155" s="47">
        <f>_xll.qlPolynomialFunctionValue(BI$1,$BD155,AllTriggers)</f>
        <v>3.1780969603956814E-3</v>
      </c>
      <c r="BJ155" s="47">
        <f>_xll.qlPolynomialFunctionValue(BJ$1,$BD155,AllTriggers)</f>
        <v>3.1671681258949795E-3</v>
      </c>
      <c r="BK155" s="47">
        <f>_xll.qlPolynomialFunctionValue(BK$1,$BD155,AllTriggers)</f>
        <v>3.1781907412314083E-3</v>
      </c>
      <c r="BL155" s="47">
        <f>_xll.qlPolynomialFunctionValue(BL$1,$BD155,AllTriggers)</f>
        <v>3.1613949947708344E-3</v>
      </c>
      <c r="BM155" s="47">
        <f>_xll.qlPolynomialFunctionValue(BM$1,$BD155,AllTriggers)</f>
        <v>3.1755343129774754E-3</v>
      </c>
      <c r="BN155" s="47">
        <f>_xll.qlPolynomialFunctionValue(BN$1,$BD155,AllTriggers)</f>
        <v>3.1679423591127335E-3</v>
      </c>
      <c r="BO155" s="47">
        <f>_xll.qlPolynomialFunctionValue(BO$1,$BD155,AllTriggers)</f>
        <v>3.1703040352000986E-3</v>
      </c>
      <c r="BP155" s="47">
        <f>_xll.qlPolynomialFunctionValue(BP$1,$BD155,AllTriggers)</f>
        <v>3.168858809425325E-3</v>
      </c>
      <c r="BQ155" s="47">
        <f>_xll.qlPolynomialFunctionValue('12MSynthDepo_used'!$P$18,BD155,AllTriggers)</f>
        <v>3.1808597044994721E-3</v>
      </c>
    </row>
    <row r="156" spans="18:69" x14ac:dyDescent="0.2">
      <c r="BC156" s="178">
        <f>_xll.qlCalendarAdvance(Calendar,BC155,"1d","mf",,Trigger)</f>
        <v>42495</v>
      </c>
      <c r="BD156" s="41">
        <f>_xll.qlDayCounterYearFraction(DayCounter,SettlementDate,BC156,,,Trigger)</f>
        <v>0.6</v>
      </c>
      <c r="BE156" s="47">
        <f>_xll.qlPolynomialFunctionValue(BE$1,$BD156,AllTriggers)</f>
        <v>3.1781998899390882E-3</v>
      </c>
      <c r="BF156" s="47">
        <f>_xll.qlPolynomialFunctionValue(BF$1,$BD156,AllTriggers)</f>
        <v>3.164045022403594E-3</v>
      </c>
      <c r="BG156" s="47">
        <f>_xll.qlPolynomialFunctionValue(BG$1,$BD156,AllTriggers)</f>
        <v>3.1783784829405659E-3</v>
      </c>
      <c r="BH156" s="47">
        <f>_xll.qlPolynomialFunctionValue(BH$1,$BD156,AllTriggers)</f>
        <v>3.1620684340439294E-3</v>
      </c>
      <c r="BI156" s="47">
        <f>_xll.qlPolynomialFunctionValue(BI$1,$BD156,AllTriggers)</f>
        <v>3.1796041730254914E-3</v>
      </c>
      <c r="BJ156" s="47">
        <f>_xll.qlPolynomialFunctionValue(BJ$1,$BD156,AllTriggers)</f>
        <v>3.1687102011493666E-3</v>
      </c>
      <c r="BK156" s="47">
        <f>_xll.qlPolynomialFunctionValue(BK$1,$BD156,AllTriggers)</f>
        <v>3.1797917346969478E-3</v>
      </c>
      <c r="BL156" s="47">
        <f>_xll.qlPolynomialFunctionValue(BL$1,$BD156,AllTriggers)</f>
        <v>3.1629062114178763E-3</v>
      </c>
      <c r="BM156" s="47">
        <f>_xll.qlPolynomialFunctionValue(BM$1,$BD156,AllTriggers)</f>
        <v>3.1772237101219936E-3</v>
      </c>
      <c r="BN156" s="47">
        <f>_xll.qlPolynomialFunctionValue(BN$1,$BD156,AllTriggers)</f>
        <v>3.169508952897299E-3</v>
      </c>
      <c r="BO156" s="47">
        <f>_xll.qlPolynomialFunctionValue(BO$1,$BD156,AllTriggers)</f>
        <v>3.1720375526038975E-3</v>
      </c>
      <c r="BP156" s="47">
        <f>_xll.qlPolynomialFunctionValue(BP$1,$BD156,AllTriggers)</f>
        <v>3.170543932797754E-3</v>
      </c>
      <c r="BQ156" s="47">
        <f>_xll.qlPolynomialFunctionValue('12MSynthDepo_used'!$P$18,BD156,AllTriggers)</f>
        <v>3.1825644684440949E-3</v>
      </c>
    </row>
    <row r="157" spans="18:69" x14ac:dyDescent="0.2">
      <c r="BC157" s="178">
        <f>_xll.qlCalendarAdvance(Calendar,BC156,"1d","mf",,Trigger)</f>
        <v>42496</v>
      </c>
      <c r="BD157" s="41">
        <f>_xll.qlDayCounterYearFraction(DayCounter,SettlementDate,BC157,,,Trigger)</f>
        <v>0.60277777777777775</v>
      </c>
      <c r="BE157" s="47">
        <f>_xll.qlPolynomialFunctionValue(BE$1,$BD157,AllTriggers)</f>
        <v>3.1796799047894746E-3</v>
      </c>
      <c r="BF157" s="47">
        <f>_xll.qlPolynomialFunctionValue(BF$1,$BD157,AllTriggers)</f>
        <v>3.1655693688500916E-3</v>
      </c>
      <c r="BG157" s="47">
        <f>_xll.qlPolynomialFunctionValue(BG$1,$BD157,AllTriggers)</f>
        <v>3.1799775597919364E-3</v>
      </c>
      <c r="BH157" s="47">
        <f>_xll.qlPolynomialFunctionValue(BH$1,$BD157,AllTriggers)</f>
        <v>3.1635824751459498E-3</v>
      </c>
      <c r="BI157" s="47">
        <f>_xll.qlPolynomialFunctionValue(BI$1,$BD157,AllTriggers)</f>
        <v>3.1811113856553015E-3</v>
      </c>
      <c r="BJ157" s="47">
        <f>_xll.qlPolynomialFunctionValue(BJ$1,$BD157,AllTriggers)</f>
        <v>3.1702542403441256E-3</v>
      </c>
      <c r="BK157" s="47">
        <f>_xll.qlPolynomialFunctionValue(BK$1,$BD157,AllTriggers)</f>
        <v>3.1813927281624877E-3</v>
      </c>
      <c r="BL157" s="47">
        <f>_xll.qlPolynomialFunctionValue(BL$1,$BD157,AllTriggers)</f>
        <v>3.1644204206255355E-3</v>
      </c>
      <c r="BM157" s="47">
        <f>_xll.qlPolynomialFunctionValue(BM$1,$BD157,AllTriggers)</f>
        <v>3.1789131072665119E-3</v>
      </c>
      <c r="BN157" s="47">
        <f>_xll.qlPolynomialFunctionValue(BN$1,$BD157,AllTriggers)</f>
        <v>3.1710769162950408E-3</v>
      </c>
      <c r="BO157" s="47">
        <f>_xll.qlPolynomialFunctionValue(BO$1,$BD157,AllTriggers)</f>
        <v>3.1737710700076964E-3</v>
      </c>
      <c r="BP157" s="47">
        <f>_xll.qlPolynomialFunctionValue(BP$1,$BD157,AllTriggers)</f>
        <v>3.1722295002716569E-3</v>
      </c>
      <c r="BQ157" s="47">
        <f>_xll.qlPolynomialFunctionValue('12MSynthDepo_used'!$P$18,BD157,AllTriggers)</f>
        <v>3.1842695703466926E-3</v>
      </c>
    </row>
    <row r="158" spans="18:69" x14ac:dyDescent="0.2">
      <c r="BC158" s="178">
        <f>_xll.qlCalendarAdvance(Calendar,BC157,"1d","mf",,Trigger)</f>
        <v>42499</v>
      </c>
      <c r="BD158" s="41">
        <f>_xll.qlDayCounterYearFraction(DayCounter,SettlementDate,BC158,,,Trigger)</f>
        <v>0.61111111111111116</v>
      </c>
      <c r="BE158" s="47">
        <f>_xll.qlPolynomialFunctionValue(BE$1,$BD158,AllTriggers)</f>
        <v>3.184119949340633E-3</v>
      </c>
      <c r="BF158" s="47">
        <f>_xll.qlPolynomialFunctionValue(BF$1,$BD158,AllTriggers)</f>
        <v>3.170157607593965E-3</v>
      </c>
      <c r="BG158" s="47">
        <f>_xll.qlPolynomialFunctionValue(BG$1,$BD158,AllTriggers)</f>
        <v>3.184774790346049E-3</v>
      </c>
      <c r="BH158" s="47">
        <f>_xll.qlPolynomialFunctionValue(BH$1,$BD158,AllTriggers)</f>
        <v>3.1681418938586574E-3</v>
      </c>
      <c r="BI158" s="47">
        <f>_xll.qlPolynomialFunctionValue(BI$1,$BD158,AllTriggers)</f>
        <v>3.1856330235447315E-3</v>
      </c>
      <c r="BJ158" s="47">
        <f>_xll.qlPolynomialFunctionValue(BJ$1,$BD158,AllTriggers)</f>
        <v>3.1748981415706335E-3</v>
      </c>
      <c r="BK158" s="47">
        <f>_xll.qlPolynomialFunctionValue(BK$1,$BD158,AllTriggers)</f>
        <v>3.1861957085591065E-3</v>
      </c>
      <c r="BL158" s="47">
        <f>_xll.qlPolynomialFunctionValue(BL$1,$BD158,AllTriggers)</f>
        <v>3.1689810036122108E-3</v>
      </c>
      <c r="BM158" s="47">
        <f>_xll.qlPolynomialFunctionValue(BM$1,$BD158,AllTriggers)</f>
        <v>3.1839812987000662E-3</v>
      </c>
      <c r="BN158" s="47">
        <f>_xll.qlPolynomialFunctionValue(BN$1,$BD158,AllTriggers)</f>
        <v>3.1757890241673283E-3</v>
      </c>
      <c r="BO158" s="47">
        <f>_xll.qlPolynomialFunctionValue(BO$1,$BD158,AllTriggers)</f>
        <v>3.1789716222190936E-3</v>
      </c>
      <c r="BP158" s="47">
        <f>_xll.qlPolynomialFunctionValue(BP$1,$BD158,AllTriggers)</f>
        <v>3.1772888673022043E-3</v>
      </c>
      <c r="BQ158" s="47">
        <f>_xll.qlPolynomialFunctionValue('12MSynthDepo_used'!$P$18,BD158,AllTriggers)</f>
        <v>3.1893868575446627E-3</v>
      </c>
    </row>
    <row r="159" spans="18:69" x14ac:dyDescent="0.2">
      <c r="BC159" s="178">
        <f>_xll.qlCalendarAdvance(Calendar,BC158,"1d","mf",,Trigger)</f>
        <v>42500</v>
      </c>
      <c r="BD159" s="41">
        <f>_xll.qlDayCounterYearFraction(DayCounter,SettlementDate,BC159,,,Trigger)</f>
        <v>0.61388888888888893</v>
      </c>
      <c r="BE159" s="47">
        <f>_xll.qlPolynomialFunctionValue(BE$1,$BD159,AllTriggers)</f>
        <v>3.185599964191019E-3</v>
      </c>
      <c r="BF159" s="47">
        <f>_xll.qlPolynomialFunctionValue(BF$1,$BD159,AllTriggers)</f>
        <v>3.171692086976716E-3</v>
      </c>
      <c r="BG159" s="47">
        <f>_xll.qlPolynomialFunctionValue(BG$1,$BD159,AllTriggers)</f>
        <v>3.1863738671974199E-3</v>
      </c>
      <c r="BH159" s="47">
        <f>_xll.qlPolynomialFunctionValue(BH$1,$BD159,AllTriggers)</f>
        <v>3.1696674652317764E-3</v>
      </c>
      <c r="BI159" s="47">
        <f>_xll.qlPolynomialFunctionValue(BI$1,$BD159,AllTriggers)</f>
        <v>3.1871402361745415E-3</v>
      </c>
      <c r="BJ159" s="47">
        <f>_xll.qlPolynomialFunctionValue(BJ$1,$BD159,AllTriggers)</f>
        <v>3.17645003652688E-3</v>
      </c>
      <c r="BK159" s="47">
        <f>_xll.qlPolynomialFunctionValue(BK$1,$BD159,AllTriggers)</f>
        <v>3.187796702024646E-3</v>
      </c>
      <c r="BL159" s="47">
        <f>_xll.qlPolynomialFunctionValue(BL$1,$BD159,AllTriggers)</f>
        <v>3.170507183062336E-3</v>
      </c>
      <c r="BM159" s="47">
        <f>_xll.qlPolynomialFunctionValue(BM$1,$BD159,AllTriggers)</f>
        <v>3.1856706958445845E-3</v>
      </c>
      <c r="BN159" s="47">
        <f>_xll.qlPolynomialFunctionValue(BN$1,$BD159,AllTriggers)</f>
        <v>3.1773624660177782E-3</v>
      </c>
      <c r="BO159" s="47">
        <f>_xll.qlPolynomialFunctionValue(BO$1,$BD159,AllTriggers)</f>
        <v>3.1807051396228929E-3</v>
      </c>
      <c r="BP159" s="47">
        <f>_xll.qlPolynomialFunctionValue(BP$1,$BD159,AllTriggers)</f>
        <v>3.1789762111819999E-3</v>
      </c>
      <c r="BQ159" s="47">
        <f>_xll.qlPolynomialFunctionValue('12MSynthDepo_used'!$P$18,BD159,AllTriggers)</f>
        <v>3.1910932650214877E-3</v>
      </c>
    </row>
    <row r="160" spans="18:69" x14ac:dyDescent="0.2">
      <c r="BC160" s="178">
        <f>_xll.qlCalendarAdvance(Calendar,BC159,"1d","mf",,Trigger)</f>
        <v>42501</v>
      </c>
      <c r="BD160" s="41">
        <f>_xll.qlDayCounterYearFraction(DayCounter,SettlementDate,BC160,,,Trigger)</f>
        <v>0.6166666666666667</v>
      </c>
      <c r="BE160" s="47">
        <f>_xll.qlPolynomialFunctionValue(BE$1,$BD160,AllTriggers)</f>
        <v>3.1870799790414055E-3</v>
      </c>
      <c r="BF160" s="47">
        <f>_xll.qlPolynomialFunctionValue(BF$1,$BD160,AllTriggers)</f>
        <v>3.1732290995935314E-3</v>
      </c>
      <c r="BG160" s="47">
        <f>_xll.qlPolynomialFunctionValue(BG$1,$BD160,AllTriggers)</f>
        <v>3.1879729440487908E-3</v>
      </c>
      <c r="BH160" s="47">
        <f>_xll.qlPolynomialFunctionValue(BH$1,$BD160,AllTriggers)</f>
        <v>3.1711959191726693E-3</v>
      </c>
      <c r="BI160" s="47">
        <f>_xll.qlPolynomialFunctionValue(BI$1,$BD160,AllTriggers)</f>
        <v>3.1886474488043515E-3</v>
      </c>
      <c r="BJ160" s="47">
        <f>_xll.qlPolynomialFunctionValue(BJ$1,$BD160,AllTriggers)</f>
        <v>3.1780038954234975E-3</v>
      </c>
      <c r="BK160" s="47">
        <f>_xll.qlPolynomialFunctionValue(BK$1,$BD160,AllTriggers)</f>
        <v>3.1893976954901855E-3</v>
      </c>
      <c r="BL160" s="47">
        <f>_xll.qlPolynomialFunctionValue(BL$1,$BD160,AllTriggers)</f>
        <v>3.1720363550730773E-3</v>
      </c>
      <c r="BM160" s="47">
        <f>_xll.qlPolynomialFunctionValue(BM$1,$BD160,AllTriggers)</f>
        <v>3.1873600929891027E-3</v>
      </c>
      <c r="BN160" s="47">
        <f>_xll.qlPolynomialFunctionValue(BN$1,$BD160,AllTriggers)</f>
        <v>3.1789372774814052E-3</v>
      </c>
      <c r="BO160" s="47">
        <f>_xll.qlPolynomialFunctionValue(BO$1,$BD160,AllTriggers)</f>
        <v>3.1824386570266918E-3</v>
      </c>
      <c r="BP160" s="47">
        <f>_xll.qlPolynomialFunctionValue(BP$1,$BD160,AllTriggers)</f>
        <v>3.1806639991632689E-3</v>
      </c>
      <c r="BQ160" s="47">
        <f>_xll.qlPolynomialFunctionValue('12MSynthDepo_used'!$P$18,BD160,AllTriggers)</f>
        <v>3.1927999873274503E-3</v>
      </c>
    </row>
    <row r="161" spans="55:69" x14ac:dyDescent="0.2">
      <c r="BC161" s="178">
        <f>_xll.qlCalendarAdvance(Calendar,BC160,"1d","mf",,Trigger)</f>
        <v>42502</v>
      </c>
      <c r="BD161" s="41">
        <f>_xll.qlDayCounterYearFraction(DayCounter,SettlementDate,BC161,,,Trigger)</f>
        <v>0.61944444444444446</v>
      </c>
      <c r="BE161" s="47">
        <f>_xll.qlPolynomialFunctionValue(BE$1,$BD161,AllTriggers)</f>
        <v>3.1885599938917914E-3</v>
      </c>
      <c r="BF161" s="47">
        <f>_xll.qlPolynomialFunctionValue(BF$1,$BD161,AllTriggers)</f>
        <v>3.1747686454444098E-3</v>
      </c>
      <c r="BG161" s="47">
        <f>_xll.qlPolynomialFunctionValue(BG$1,$BD161,AllTriggers)</f>
        <v>3.1895720209001613E-3</v>
      </c>
      <c r="BH161" s="47">
        <f>_xll.qlPolynomialFunctionValue(BH$1,$BD161,AllTriggers)</f>
        <v>3.172727255681337E-3</v>
      </c>
      <c r="BI161" s="47">
        <f>_xll.qlPolynomialFunctionValue(BI$1,$BD161,AllTriggers)</f>
        <v>3.1901546614341615E-3</v>
      </c>
      <c r="BJ161" s="47">
        <f>_xll.qlPolynomialFunctionValue(BJ$1,$BD161,AllTriggers)</f>
        <v>3.1795597182604869E-3</v>
      </c>
      <c r="BK161" s="47">
        <f>_xll.qlPolynomialFunctionValue(BK$1,$BD161,AllTriggers)</f>
        <v>3.1909986889557254E-3</v>
      </c>
      <c r="BL161" s="47">
        <f>_xll.qlPolynomialFunctionValue(BL$1,$BD161,AllTriggers)</f>
        <v>3.1735685196444359E-3</v>
      </c>
      <c r="BM161" s="47">
        <f>_xll.qlPolynomialFunctionValue(BM$1,$BD161,AllTriggers)</f>
        <v>3.189049490133621E-3</v>
      </c>
      <c r="BN161" s="47">
        <f>_xll.qlPolynomialFunctionValue(BN$1,$BD161,AllTriggers)</f>
        <v>3.1805134585582086E-3</v>
      </c>
      <c r="BO161" s="47">
        <f>_xll.qlPolynomialFunctionValue(BO$1,$BD161,AllTriggers)</f>
        <v>3.1841721744304908E-3</v>
      </c>
      <c r="BP161" s="47">
        <f>_xll.qlPolynomialFunctionValue(BP$1,$BD161,AllTriggers)</f>
        <v>3.1823522312460113E-3</v>
      </c>
      <c r="BQ161" s="47">
        <f>_xll.qlPolynomialFunctionValue('12MSynthDepo_used'!$P$18,BD161,AllTriggers)</f>
        <v>3.1945070198367833E-3</v>
      </c>
    </row>
    <row r="162" spans="55:69" x14ac:dyDescent="0.2">
      <c r="BC162" s="178">
        <f>_xll.qlCalendarAdvance(Calendar,BC161,"1d","mf",,Trigger)</f>
        <v>42503</v>
      </c>
      <c r="BD162" s="41">
        <f>_xll.qlDayCounterYearFraction(DayCounter,SettlementDate,BC162,,,Trigger)</f>
        <v>0.62222222222222223</v>
      </c>
      <c r="BE162" s="47">
        <f>_xll.qlPolynomialFunctionValue(BE$1,$BD162,AllTriggers)</f>
        <v>3.1900400087421779E-3</v>
      </c>
      <c r="BF162" s="47">
        <f>_xll.qlPolynomialFunctionValue(BF$1,$BD162,AllTriggers)</f>
        <v>3.1763107245293518E-3</v>
      </c>
      <c r="BG162" s="47">
        <f>_xll.qlPolynomialFunctionValue(BG$1,$BD162,AllTriggers)</f>
        <v>3.1911710977515322E-3</v>
      </c>
      <c r="BH162" s="47">
        <f>_xll.qlPolynomialFunctionValue(BH$1,$BD162,AllTriggers)</f>
        <v>3.1742614747577794E-3</v>
      </c>
      <c r="BI162" s="47">
        <f>_xll.qlPolynomialFunctionValue(BI$1,$BD162,AllTriggers)</f>
        <v>3.1916618740639715E-3</v>
      </c>
      <c r="BJ162" s="47">
        <f>_xll.qlPolynomialFunctionValue(BJ$1,$BD162,AllTriggers)</f>
        <v>3.1811175050378486E-3</v>
      </c>
      <c r="BK162" s="47">
        <f>_xll.qlPolynomialFunctionValue(BK$1,$BD162,AllTriggers)</f>
        <v>3.1925996824212649E-3</v>
      </c>
      <c r="BL162" s="47">
        <f>_xll.qlPolynomialFunctionValue(BL$1,$BD162,AllTriggers)</f>
        <v>3.1751036767764104E-3</v>
      </c>
      <c r="BM162" s="47">
        <f>_xll.qlPolynomialFunctionValue(BM$1,$BD162,AllTriggers)</f>
        <v>3.1907388872781392E-3</v>
      </c>
      <c r="BN162" s="47">
        <f>_xll.qlPolynomialFunctionValue(BN$1,$BD162,AllTriggers)</f>
        <v>3.1820910092481888E-3</v>
      </c>
      <c r="BO162" s="47">
        <f>_xll.qlPolynomialFunctionValue(BO$1,$BD162,AllTriggers)</f>
        <v>3.1859056918342901E-3</v>
      </c>
      <c r="BP162" s="47">
        <f>_xll.qlPolynomialFunctionValue(BP$1,$BD162,AllTriggers)</f>
        <v>3.1840409074302268E-3</v>
      </c>
      <c r="BQ162" s="47">
        <f>_xll.qlPolynomialFunctionValue('12MSynthDepo_used'!$P$18,BD162,AllTriggers)</f>
        <v>3.1962143579237203E-3</v>
      </c>
    </row>
    <row r="163" spans="55:69" x14ac:dyDescent="0.2">
      <c r="BC163" s="178">
        <f>_xll.qlCalendarAdvance(Calendar,BC162,"1d","mf",,Trigger)</f>
        <v>42506</v>
      </c>
      <c r="BD163" s="41">
        <f>_xll.qlDayCounterYearFraction(DayCounter,SettlementDate,BC163,,,Trigger)</f>
        <v>0.63055555555555554</v>
      </c>
      <c r="BE163" s="47">
        <f>_xll.qlPolynomialFunctionValue(BE$1,$BD163,AllTriggers)</f>
        <v>3.1944800532933363E-3</v>
      </c>
      <c r="BF163" s="47">
        <f>_xll.qlPolynomialFunctionValue(BF$1,$BD163,AllTriggers)</f>
        <v>3.1809521611885585E-3</v>
      </c>
      <c r="BG163" s="47">
        <f>_xll.qlPolynomialFunctionValue(BG$1,$BD163,AllTriggers)</f>
        <v>3.1959683283056448E-3</v>
      </c>
      <c r="BH163" s="47">
        <f>_xll.qlPolynomialFunctionValue(BH$1,$BD163,AllTriggers)</f>
        <v>3.1788814273937538E-3</v>
      </c>
      <c r="BI163" s="47">
        <f>_xll.qlPolynomialFunctionValue(BI$1,$BD163,AllTriggers)</f>
        <v>3.1961835119534016E-3</v>
      </c>
      <c r="BJ163" s="47">
        <f>_xll.qlPolynomialFunctionValue(BJ$1,$BD163,AllTriggers)</f>
        <v>3.1858026490121632E-3</v>
      </c>
      <c r="BK163" s="47">
        <f>_xll.qlPolynomialFunctionValue(BK$1,$BD163,AllTriggers)</f>
        <v>3.1974026628178833E-3</v>
      </c>
      <c r="BL163" s="47">
        <f>_xll.qlPolynomialFunctionValue(BL$1,$BD163,AllTriggers)</f>
        <v>3.1797271035360342E-3</v>
      </c>
      <c r="BM163" s="47">
        <f>_xll.qlPolynomialFunctionValue(BM$1,$BD163,AllTriggers)</f>
        <v>3.1958070787116936E-3</v>
      </c>
      <c r="BN163" s="47">
        <f>_xll.qlPolynomialFunctionValue(BN$1,$BD163,AllTriggers)</f>
        <v>3.1868318789971917E-3</v>
      </c>
      <c r="BO163" s="47">
        <f>_xll.qlPolynomialFunctionValue(BO$1,$BD163,AllTriggers)</f>
        <v>3.1911062440456873E-3</v>
      </c>
      <c r="BP163" s="47">
        <f>_xll.qlPolynomialFunctionValue(BP$1,$BD163,AllTriggers)</f>
        <v>3.1891096005917138E-3</v>
      </c>
      <c r="BQ163" s="47">
        <f>_xll.qlPolynomialFunctionValue('12MSynthDepo_used'!$P$18,BD163,AllTriggers)</f>
        <v>3.2013381593924764E-3</v>
      </c>
    </row>
    <row r="164" spans="55:69" x14ac:dyDescent="0.2">
      <c r="BC164" s="178">
        <f>_xll.qlCalendarAdvance(Calendar,BC163,"1d","mf",,Trigger)</f>
        <v>42507</v>
      </c>
      <c r="BD164" s="41">
        <f>_xll.qlDayCounterYearFraction(DayCounter,SettlementDate,BC164,,,Trigger)</f>
        <v>0.6333333333333333</v>
      </c>
      <c r="BE164" s="47">
        <f>_xll.qlPolynomialFunctionValue(BE$1,$BD164,AllTriggers)</f>
        <v>3.1959600681437223E-3</v>
      </c>
      <c r="BF164" s="47">
        <f>_xll.qlPolynomialFunctionValue(BF$1,$BD164,AllTriggers)</f>
        <v>3.1825043732097548E-3</v>
      </c>
      <c r="BG164" s="47">
        <f>_xll.qlPolynomialFunctionValue(BG$1,$BD164,AllTriggers)</f>
        <v>3.1975674051570153E-3</v>
      </c>
      <c r="BH164" s="47">
        <f>_xll.qlPolynomialFunctionValue(BH$1,$BD164,AllTriggers)</f>
        <v>3.1804271767412948E-3</v>
      </c>
      <c r="BI164" s="47">
        <f>_xll.qlPolynomialFunctionValue(BI$1,$BD164,AllTriggers)</f>
        <v>3.1976907245832116E-3</v>
      </c>
      <c r="BJ164" s="47">
        <f>_xll.qlPolynomialFunctionValue(BJ$1,$BD164,AllTriggers)</f>
        <v>3.1873682915510111E-3</v>
      </c>
      <c r="BK164" s="47">
        <f>_xll.qlPolynomialFunctionValue(BK$1,$BD164,AllTriggers)</f>
        <v>3.1990036562834232E-3</v>
      </c>
      <c r="BL164" s="47">
        <f>_xll.qlPolynomialFunctionValue(BL$1,$BD164,AllTriggers)</f>
        <v>3.1812742309104756E-3</v>
      </c>
      <c r="BM164" s="47">
        <f>_xll.qlPolynomialFunctionValue(BM$1,$BD164,AllTriggers)</f>
        <v>3.1974964758562118E-3</v>
      </c>
      <c r="BN164" s="47">
        <f>_xll.qlPolynomialFunctionValue(BN$1,$BD164,AllTriggers)</f>
        <v>3.1884149081398798E-3</v>
      </c>
      <c r="BO164" s="47">
        <f>_xll.qlPolynomialFunctionValue(BO$1,$BD164,AllTriggers)</f>
        <v>3.1928397614494862E-3</v>
      </c>
      <c r="BP164" s="47">
        <f>_xll.qlPolynomialFunctionValue(BP$1,$BD164,AllTriggers)</f>
        <v>3.1908000531818228E-3</v>
      </c>
      <c r="BQ164" s="47">
        <f>_xll.qlPolynomialFunctionValue('12MSynthDepo_used'!$P$18,BD164,AllTriggers)</f>
        <v>3.2030466735321521E-3</v>
      </c>
    </row>
    <row r="165" spans="55:69" x14ac:dyDescent="0.2">
      <c r="BC165" s="178">
        <f>_xll.qlCalendarAdvance(Calendar,BC164,"1d","mf",,Trigger)</f>
        <v>42508</v>
      </c>
      <c r="BD165" s="41">
        <f>_xll.qlDayCounterYearFraction(DayCounter,SettlementDate,BC165,,,Trigger)</f>
        <v>0.63611111111111107</v>
      </c>
      <c r="BE165" s="47">
        <f>_xll.qlPolynomialFunctionValue(BE$1,$BD165,AllTriggers)</f>
        <v>3.1974400829941087E-3</v>
      </c>
      <c r="BF165" s="47">
        <f>_xll.qlPolynomialFunctionValue(BF$1,$BD165,AllTriggers)</f>
        <v>3.1840591184650142E-3</v>
      </c>
      <c r="BG165" s="47">
        <f>_xll.qlPolynomialFunctionValue(BG$1,$BD165,AllTriggers)</f>
        <v>3.1991664820083861E-3</v>
      </c>
      <c r="BH165" s="47">
        <f>_xll.qlPolynomialFunctionValue(BH$1,$BD165,AllTriggers)</f>
        <v>3.1819758086566101E-3</v>
      </c>
      <c r="BI165" s="47">
        <f>_xll.qlPolynomialFunctionValue(BI$1,$BD165,AllTriggers)</f>
        <v>3.1991979372130216E-3</v>
      </c>
      <c r="BJ165" s="47">
        <f>_xll.qlPolynomialFunctionValue(BJ$1,$BD165,AllTriggers)</f>
        <v>3.1889358980302313E-3</v>
      </c>
      <c r="BK165" s="47">
        <f>_xll.qlPolynomialFunctionValue(BK$1,$BD165,AllTriggers)</f>
        <v>3.2006046497489627E-3</v>
      </c>
      <c r="BL165" s="47">
        <f>_xll.qlPolynomialFunctionValue(BL$1,$BD165,AllTriggers)</f>
        <v>3.1828243508455331E-3</v>
      </c>
      <c r="BM165" s="47">
        <f>_xll.qlPolynomialFunctionValue(BM$1,$BD165,AllTriggers)</f>
        <v>3.1991858730007301E-3</v>
      </c>
      <c r="BN165" s="47">
        <f>_xll.qlPolynomialFunctionValue(BN$1,$BD165,AllTriggers)</f>
        <v>3.1899993068957447E-3</v>
      </c>
      <c r="BO165" s="47">
        <f>_xll.qlPolynomialFunctionValue(BO$1,$BD165,AllTriggers)</f>
        <v>3.1945732788532855E-3</v>
      </c>
      <c r="BP165" s="47">
        <f>_xll.qlPolynomialFunctionValue(BP$1,$BD165,AllTriggers)</f>
        <v>3.1924909498734053E-3</v>
      </c>
      <c r="BQ165" s="47">
        <f>_xll.qlPolynomialFunctionValue('12MSynthDepo_used'!$P$18,BD165,AllTriggers)</f>
        <v>3.2047554701205945E-3</v>
      </c>
    </row>
    <row r="166" spans="55:69" x14ac:dyDescent="0.2">
      <c r="BC166" s="178">
        <f>_xll.qlCalendarAdvance(Calendar,BC165,"1d","mf",,Trigger)</f>
        <v>42509</v>
      </c>
      <c r="BD166" s="41">
        <f>_xll.qlDayCounterYearFraction(DayCounter,SettlementDate,BC166,,,Trigger)</f>
        <v>0.63888888888888884</v>
      </c>
      <c r="BE166" s="47">
        <f>_xll.qlPolynomialFunctionValue(BE$1,$BD166,AllTriggers)</f>
        <v>3.1989200978444947E-3</v>
      </c>
      <c r="BF166" s="47">
        <f>_xll.qlPolynomialFunctionValue(BF$1,$BD166,AllTriggers)</f>
        <v>3.1856163969543371E-3</v>
      </c>
      <c r="BG166" s="47">
        <f>_xll.qlPolynomialFunctionValue(BG$1,$BD166,AllTriggers)</f>
        <v>3.200765558859757E-3</v>
      </c>
      <c r="BH166" s="47">
        <f>_xll.qlPolynomialFunctionValue(BH$1,$BD166,AllTriggers)</f>
        <v>3.1835273231397001E-3</v>
      </c>
      <c r="BI166" s="47">
        <f>_xll.qlPolynomialFunctionValue(BI$1,$BD166,AllTriggers)</f>
        <v>3.2007051498428316E-3</v>
      </c>
      <c r="BJ166" s="47">
        <f>_xll.qlPolynomialFunctionValue(BJ$1,$BD166,AllTriggers)</f>
        <v>3.1905054684498234E-3</v>
      </c>
      <c r="BK166" s="47">
        <f>_xll.qlPolynomialFunctionValue(BK$1,$BD166,AllTriggers)</f>
        <v>3.2022056432145021E-3</v>
      </c>
      <c r="BL166" s="47">
        <f>_xll.qlPolynomialFunctionValue(BL$1,$BD166,AllTriggers)</f>
        <v>3.1843774633412078E-3</v>
      </c>
      <c r="BM166" s="47">
        <f>_xll.qlPolynomialFunctionValue(BM$1,$BD166,AllTriggers)</f>
        <v>3.2008752701452483E-3</v>
      </c>
      <c r="BN166" s="47">
        <f>_xll.qlPolynomialFunctionValue(BN$1,$BD166,AllTriggers)</f>
        <v>3.1915850752647868E-3</v>
      </c>
      <c r="BO166" s="47">
        <f>_xll.qlPolynomialFunctionValue(BO$1,$BD166,AllTriggers)</f>
        <v>3.1963067962570845E-3</v>
      </c>
      <c r="BP166" s="47">
        <f>_xll.qlPolynomialFunctionValue(BP$1,$BD166,AllTriggers)</f>
        <v>3.1941822906664608E-3</v>
      </c>
      <c r="BQ166" s="47">
        <f>_xll.qlPolynomialFunctionValue('12MSynthDepo_used'!$P$18,BD166,AllTriggers)</f>
        <v>3.2064645445320354E-3</v>
      </c>
    </row>
    <row r="167" spans="55:69" x14ac:dyDescent="0.2">
      <c r="BC167" s="178">
        <f>_xll.qlCalendarAdvance(Calendar,BC166,"1d","mf",,Trigger)</f>
        <v>42510</v>
      </c>
      <c r="BD167" s="41">
        <f>_xll.qlDayCounterYearFraction(DayCounter,SettlementDate,BC167,,,Trigger)</f>
        <v>0.64166666666666672</v>
      </c>
      <c r="BE167" s="47">
        <f>_xll.qlPolynomialFunctionValue(BE$1,$BD167,AllTriggers)</f>
        <v>3.2004001126948812E-3</v>
      </c>
      <c r="BF167" s="47">
        <f>_xll.qlPolynomialFunctionValue(BF$1,$BD167,AllTriggers)</f>
        <v>3.1871762086777239E-3</v>
      </c>
      <c r="BG167" s="47">
        <f>_xll.qlPolynomialFunctionValue(BG$1,$BD167,AllTriggers)</f>
        <v>3.2023646357111279E-3</v>
      </c>
      <c r="BH167" s="47">
        <f>_xll.qlPolynomialFunctionValue(BH$1,$BD167,AllTriggers)</f>
        <v>3.1850817201905645E-3</v>
      </c>
      <c r="BI167" s="47">
        <f>_xll.qlPolynomialFunctionValue(BI$1,$BD167,AllTriggers)</f>
        <v>3.2022123624726416E-3</v>
      </c>
      <c r="BJ167" s="47">
        <f>_xll.qlPolynomialFunctionValue(BJ$1,$BD167,AllTriggers)</f>
        <v>3.1920770028097869E-3</v>
      </c>
      <c r="BK167" s="47">
        <f>_xll.qlPolynomialFunctionValue(BK$1,$BD167,AllTriggers)</f>
        <v>3.203806636680042E-3</v>
      </c>
      <c r="BL167" s="47">
        <f>_xll.qlPolynomialFunctionValue(BL$1,$BD167,AllTriggers)</f>
        <v>3.1859335683974985E-3</v>
      </c>
      <c r="BM167" s="47">
        <f>_xll.qlPolynomialFunctionValue(BM$1,$BD167,AllTriggers)</f>
        <v>3.2025646672897666E-3</v>
      </c>
      <c r="BN167" s="47">
        <f>_xll.qlPolynomialFunctionValue(BN$1,$BD167,AllTriggers)</f>
        <v>3.1931722132470058E-3</v>
      </c>
      <c r="BO167" s="47">
        <f>_xll.qlPolynomialFunctionValue(BO$1,$BD167,AllTriggers)</f>
        <v>3.1980403136608838E-3</v>
      </c>
      <c r="BP167" s="47">
        <f>_xll.qlPolynomialFunctionValue(BP$1,$BD167,AllTriggers)</f>
        <v>3.1958740755609893E-3</v>
      </c>
      <c r="BQ167" s="47">
        <f>_xll.qlPolynomialFunctionValue('12MSynthDepo_used'!$P$18,BD167,AllTriggers)</f>
        <v>3.208173892140708E-3</v>
      </c>
    </row>
    <row r="168" spans="55:69" x14ac:dyDescent="0.2">
      <c r="BC168" s="178">
        <f>_xll.qlCalendarAdvance(Calendar,BC167,"1d","mf",,Trigger)</f>
        <v>42513</v>
      </c>
      <c r="BD168" s="41">
        <f>_xll.qlDayCounterYearFraction(DayCounter,SettlementDate,BC168,,,Trigger)</f>
        <v>0.65</v>
      </c>
      <c r="BE168" s="47">
        <f>_xll.qlPolynomialFunctionValue(BE$1,$BD168,AllTriggers)</f>
        <v>3.2048401572460396E-3</v>
      </c>
      <c r="BF168" s="47">
        <f>_xll.qlPolynomialFunctionValue(BF$1,$BD168,AllTriggers)</f>
        <v>3.1918708432522643E-3</v>
      </c>
      <c r="BG168" s="47">
        <f>_xll.qlPolynomialFunctionValue(BG$1,$BD168,AllTriggers)</f>
        <v>3.2071618662652401E-3</v>
      </c>
      <c r="BH168" s="47">
        <f>_xll.qlPolynomialFunctionValue(BH$1,$BD168,AllTriggers)</f>
        <v>3.1897622067498057E-3</v>
      </c>
      <c r="BI168" s="47">
        <f>_xll.qlPolynomialFunctionValue(BI$1,$BD168,AllTriggers)</f>
        <v>3.2067340003620716E-3</v>
      </c>
      <c r="BJ168" s="47">
        <f>_xll.qlPolynomialFunctionValue(BJ$1,$BD168,AllTriggers)</f>
        <v>3.1968033895319078E-3</v>
      </c>
      <c r="BK168" s="47">
        <f>_xll.qlPolynomialFunctionValue(BK$1,$BD168,AllTriggers)</f>
        <v>3.2086096170766609E-3</v>
      </c>
      <c r="BL168" s="47">
        <f>_xll.qlPolynomialFunctionValue(BL$1,$BD168,AllTriggers)</f>
        <v>3.1906198389300708E-3</v>
      </c>
      <c r="BM168" s="47">
        <f>_xll.qlPolynomialFunctionValue(BM$1,$BD168,AllTriggers)</f>
        <v>3.2076328587233209E-3</v>
      </c>
      <c r="BN168" s="47">
        <f>_xll.qlPolynomialFunctionValue(BN$1,$BD168,AllTriggers)</f>
        <v>3.1979418448727236E-3</v>
      </c>
      <c r="BO168" s="47">
        <f>_xll.qlPolynomialFunctionValue(BO$1,$BD168,AllTriggers)</f>
        <v>3.203240865872281E-3</v>
      </c>
      <c r="BP168" s="47">
        <f>_xll.qlPolynomialFunctionValue(BP$1,$BD168,AllTriggers)</f>
        <v>3.2009520948534159E-3</v>
      </c>
      <c r="BQ168" s="47">
        <f>_xll.qlPolynomialFunctionValue('12MSynthDepo_used'!$P$18,BD168,AllTriggers)</f>
        <v>3.2133035278924392E-3</v>
      </c>
    </row>
    <row r="169" spans="55:69" x14ac:dyDescent="0.2">
      <c r="BC169" s="178">
        <f>_xll.qlCalendarAdvance(Calendar,BC168,"1d","mf",,Trigger)</f>
        <v>42514</v>
      </c>
      <c r="BD169" s="41">
        <f>_xll.qlDayCounterYearFraction(DayCounter,SettlementDate,BC169,,,Trigger)</f>
        <v>0.65277777777777779</v>
      </c>
      <c r="BE169" s="47">
        <f>_xll.qlPolynomialFunctionValue(BE$1,$BD169,AllTriggers)</f>
        <v>3.2063201720964256E-3</v>
      </c>
      <c r="BF169" s="47">
        <f>_xll.qlPolynomialFunctionValue(BF$1,$BD169,AllTriggers)</f>
        <v>3.1934407879119046E-3</v>
      </c>
      <c r="BG169" s="47">
        <f>_xll.qlPolynomialFunctionValue(BG$1,$BD169,AllTriggers)</f>
        <v>3.208760943116611E-3</v>
      </c>
      <c r="BH169" s="47">
        <f>_xll.qlPolynomialFunctionValue(BH$1,$BD169,AllTriggers)</f>
        <v>3.1913281340717687E-3</v>
      </c>
      <c r="BI169" s="47">
        <f>_xll.qlPolynomialFunctionValue(BI$1,$BD169,AllTriggers)</f>
        <v>3.2082412129918816E-3</v>
      </c>
      <c r="BJ169" s="47">
        <f>_xll.qlPolynomialFunctionValue(BJ$1,$BD169,AllTriggers)</f>
        <v>3.1983827796533584E-3</v>
      </c>
      <c r="BK169" s="47">
        <f>_xll.qlPolynomialFunctionValue(BK$1,$BD169,AllTriggers)</f>
        <v>3.2102106105422004E-3</v>
      </c>
      <c r="BL169" s="47">
        <f>_xll.qlPolynomialFunctionValue(BL$1,$BD169,AllTriggers)</f>
        <v>3.192187914228828E-3</v>
      </c>
      <c r="BM169" s="47">
        <f>_xll.qlPolynomialFunctionValue(BM$1,$BD169,AllTriggers)</f>
        <v>3.2093222558678392E-3</v>
      </c>
      <c r="BN169" s="47">
        <f>_xll.qlPolynomialFunctionValue(BN$1,$BD169,AllTriggers)</f>
        <v>3.19953446130765E-3</v>
      </c>
      <c r="BO169" s="47">
        <f>_xll.qlPolynomialFunctionValue(BO$1,$BD169,AllTriggers)</f>
        <v>3.2049743832760799E-3</v>
      </c>
      <c r="BP169" s="47">
        <f>_xll.qlPolynomialFunctionValue(BP$1,$BD169,AllTriggers)</f>
        <v>3.2026456561538384E-3</v>
      </c>
      <c r="BQ169" s="47">
        <f>_xll.qlPolynomialFunctionValue('12MSynthDepo_used'!$P$18,BD169,AllTriggers)</f>
        <v>3.2150139220323629E-3</v>
      </c>
    </row>
    <row r="170" spans="55:69" x14ac:dyDescent="0.2">
      <c r="BC170" s="178">
        <f>_xll.qlCalendarAdvance(Calendar,BC169,"1d","mf",,Trigger)</f>
        <v>42515</v>
      </c>
      <c r="BD170" s="41">
        <f>_xll.qlDayCounterYearFraction(DayCounter,SettlementDate,BC170,,,Trigger)</f>
        <v>0.65555555555555556</v>
      </c>
      <c r="BE170" s="47">
        <f>_xll.qlPolynomialFunctionValue(BE$1,$BD170,AllTriggers)</f>
        <v>3.207800186946812E-3</v>
      </c>
      <c r="BF170" s="47">
        <f>_xll.qlPolynomialFunctionValue(BF$1,$BD170,AllTriggers)</f>
        <v>3.1950132658056089E-3</v>
      </c>
      <c r="BG170" s="47">
        <f>_xll.qlPolynomialFunctionValue(BG$1,$BD170,AllTriggers)</f>
        <v>3.2103600199679819E-3</v>
      </c>
      <c r="BH170" s="47">
        <f>_xll.qlPolynomialFunctionValue(BH$1,$BD170,AllTriggers)</f>
        <v>3.1928969439615059E-3</v>
      </c>
      <c r="BI170" s="47">
        <f>_xll.qlPolynomialFunctionValue(BI$1,$BD170,AllTriggers)</f>
        <v>3.2097484256216917E-3</v>
      </c>
      <c r="BJ170" s="47">
        <f>_xll.qlPolynomialFunctionValue(BJ$1,$BD170,AllTriggers)</f>
        <v>3.1999641337151809E-3</v>
      </c>
      <c r="BK170" s="47">
        <f>_xll.qlPolynomialFunctionValue(BK$1,$BD170,AllTriggers)</f>
        <v>3.2118116040077398E-3</v>
      </c>
      <c r="BL170" s="47">
        <f>_xll.qlPolynomialFunctionValue(BL$1,$BD170,AllTriggers)</f>
        <v>3.1937589820882017E-3</v>
      </c>
      <c r="BM170" s="47">
        <f>_xll.qlPolynomialFunctionValue(BM$1,$BD170,AllTriggers)</f>
        <v>3.2110116530123575E-3</v>
      </c>
      <c r="BN170" s="47">
        <f>_xll.qlPolynomialFunctionValue(BN$1,$BD170,AllTriggers)</f>
        <v>3.2011284473557537E-3</v>
      </c>
      <c r="BO170" s="47">
        <f>_xll.qlPolynomialFunctionValue(BO$1,$BD170,AllTriggers)</f>
        <v>3.2067079006798788E-3</v>
      </c>
      <c r="BP170" s="47">
        <f>_xll.qlPolynomialFunctionValue(BP$1,$BD170,AllTriggers)</f>
        <v>3.2043396615557339E-3</v>
      </c>
      <c r="BQ170" s="47">
        <f>_xll.qlPolynomialFunctionValue('12MSynthDepo_used'!$P$18,BD170,AllTriggers)</f>
        <v>3.2167245662406813E-3</v>
      </c>
    </row>
    <row r="171" spans="55:69" x14ac:dyDescent="0.2">
      <c r="BC171" s="178">
        <f>_xll.qlCalendarAdvance(Calendar,BC170,"1d","mf",,Trigger)</f>
        <v>42516</v>
      </c>
      <c r="BD171" s="41">
        <f>_xll.qlDayCounterYearFraction(DayCounter,SettlementDate,BC171,,,Trigger)</f>
        <v>0.65833333333333333</v>
      </c>
      <c r="BE171" s="47">
        <f>_xll.qlPolynomialFunctionValue(BE$1,$BD171,AllTriggers)</f>
        <v>3.209280201797198E-3</v>
      </c>
      <c r="BF171" s="47">
        <f>_xll.qlPolynomialFunctionValue(BF$1,$BD171,AllTriggers)</f>
        <v>3.1965882769333766E-3</v>
      </c>
      <c r="BG171" s="47">
        <f>_xll.qlPolynomialFunctionValue(BG$1,$BD171,AllTriggers)</f>
        <v>3.2119590968193528E-3</v>
      </c>
      <c r="BH171" s="47">
        <f>_xll.qlPolynomialFunctionValue(BH$1,$BD171,AllTriggers)</f>
        <v>3.194468636419018E-3</v>
      </c>
      <c r="BI171" s="47">
        <f>_xll.qlPolynomialFunctionValue(BI$1,$BD171,AllTriggers)</f>
        <v>3.2112556382515017E-3</v>
      </c>
      <c r="BJ171" s="47">
        <f>_xll.qlPolynomialFunctionValue(BJ$1,$BD171,AllTriggers)</f>
        <v>3.2015474517173748E-3</v>
      </c>
      <c r="BK171" s="47">
        <f>_xll.qlPolynomialFunctionValue(BK$1,$BD171,AllTriggers)</f>
        <v>3.2134125974732797E-3</v>
      </c>
      <c r="BL171" s="47">
        <f>_xll.qlPolynomialFunctionValue(BL$1,$BD171,AllTriggers)</f>
        <v>3.1953330425081921E-3</v>
      </c>
      <c r="BM171" s="47">
        <f>_xll.qlPolynomialFunctionValue(BM$1,$BD171,AllTriggers)</f>
        <v>3.2127010501568757E-3</v>
      </c>
      <c r="BN171" s="47">
        <f>_xll.qlPolynomialFunctionValue(BN$1,$BD171,AllTriggers)</f>
        <v>3.2027238030170341E-3</v>
      </c>
      <c r="BO171" s="47">
        <f>_xll.qlPolynomialFunctionValue(BO$1,$BD171,AllTriggers)</f>
        <v>3.2084414180836782E-3</v>
      </c>
      <c r="BP171" s="47">
        <f>_xll.qlPolynomialFunctionValue(BP$1,$BD171,AllTriggers)</f>
        <v>3.2060341110591024E-3</v>
      </c>
      <c r="BQ171" s="47">
        <f>_xll.qlPolynomialFunctionValue('12MSynthDepo_used'!$P$18,BD171,AllTriggers)</f>
        <v>3.2184354558916261E-3</v>
      </c>
    </row>
    <row r="172" spans="55:69" x14ac:dyDescent="0.2">
      <c r="BC172" s="178">
        <f>_xll.qlCalendarAdvance(Calendar,BC171,"1d","mf",,Trigger)</f>
        <v>42517</v>
      </c>
      <c r="BD172" s="41">
        <f>_xll.qlDayCounterYearFraction(DayCounter,SettlementDate,BC172,,,Trigger)</f>
        <v>0.66111111111111109</v>
      </c>
      <c r="BE172" s="47">
        <f>_xll.qlPolynomialFunctionValue(BE$1,$BD172,AllTriggers)</f>
        <v>3.2107602166475844E-3</v>
      </c>
      <c r="BF172" s="47">
        <f>_xll.qlPolynomialFunctionValue(BF$1,$BD172,AllTriggers)</f>
        <v>3.198165821295207E-3</v>
      </c>
      <c r="BG172" s="47">
        <f>_xll.qlPolynomialFunctionValue(BG$1,$BD172,AllTriggers)</f>
        <v>3.2135581736707237E-3</v>
      </c>
      <c r="BH172" s="47">
        <f>_xll.qlPolynomialFunctionValue(BH$1,$BD172,AllTriggers)</f>
        <v>3.1960432114443047E-3</v>
      </c>
      <c r="BI172" s="47">
        <f>_xll.qlPolynomialFunctionValue(BI$1,$BD172,AllTriggers)</f>
        <v>3.2127628508813112E-3</v>
      </c>
      <c r="BJ172" s="47">
        <f>_xll.qlPolynomialFunctionValue(BJ$1,$BD172,AllTriggers)</f>
        <v>3.2031327336599406E-3</v>
      </c>
      <c r="BK172" s="47">
        <f>_xll.qlPolynomialFunctionValue(BK$1,$BD172,AllTriggers)</f>
        <v>3.2150135909388192E-3</v>
      </c>
      <c r="BL172" s="47">
        <f>_xll.qlPolynomialFunctionValue(BL$1,$BD172,AllTriggers)</f>
        <v>3.196910095488799E-3</v>
      </c>
      <c r="BM172" s="47">
        <f>_xll.qlPolynomialFunctionValue(BM$1,$BD172,AllTriggers)</f>
        <v>3.214390447301394E-3</v>
      </c>
      <c r="BN172" s="47">
        <f>_xll.qlPolynomialFunctionValue(BN$1,$BD172,AllTriggers)</f>
        <v>3.2043205282914914E-3</v>
      </c>
      <c r="BO172" s="47">
        <f>_xll.qlPolynomialFunctionValue(BO$1,$BD172,AllTriggers)</f>
        <v>3.2101749354874771E-3</v>
      </c>
      <c r="BP172" s="47">
        <f>_xll.qlPolynomialFunctionValue(BP$1,$BD172,AllTriggers)</f>
        <v>3.2077290046639445E-3</v>
      </c>
      <c r="BQ172" s="47">
        <f>_xll.qlPolynomialFunctionValue('12MSynthDepo_used'!$P$18,BD172,AllTriggers)</f>
        <v>3.2201465863594303E-3</v>
      </c>
    </row>
    <row r="173" spans="55:69" x14ac:dyDescent="0.2">
      <c r="BC173" s="178">
        <f>_xll.qlCalendarAdvance(Calendar,BC172,"1d","mf",,Trigger)</f>
        <v>42520</v>
      </c>
      <c r="BD173" s="41">
        <f>_xll.qlDayCounterYearFraction(DayCounter,SettlementDate,BC173,,,Trigger)</f>
        <v>0.6694444444444444</v>
      </c>
      <c r="BE173" s="47">
        <f>_xll.qlPolynomialFunctionValue(BE$1,$BD173,AllTriggers)</f>
        <v>3.2152002611987428E-3</v>
      </c>
      <c r="BF173" s="47">
        <f>_xll.qlPolynomialFunctionValue(BF$1,$BD173,AllTriggers)</f>
        <v>3.2029136537850811E-3</v>
      </c>
      <c r="BG173" s="47">
        <f>_xll.qlPolynomialFunctionValue(BG$1,$BD173,AllTriggers)</f>
        <v>3.2183554042248359E-3</v>
      </c>
      <c r="BH173" s="47">
        <f>_xll.qlPolynomialFunctionValue(BH$1,$BD173,AllTriggers)</f>
        <v>3.2007842319268127E-3</v>
      </c>
      <c r="BI173" s="47">
        <f>_xll.qlPolynomialFunctionValue(BI$1,$BD173,AllTriggers)</f>
        <v>3.2172844887707413E-3</v>
      </c>
      <c r="BJ173" s="47">
        <f>_xll.qlPolynomialFunctionValue(BJ$1,$BD173,AllTriggers)</f>
        <v>3.2079003631298687E-3</v>
      </c>
      <c r="BK173" s="47">
        <f>_xll.qlPolynomialFunctionValue(BK$1,$BD173,AllTriggers)</f>
        <v>3.2198165713354376E-3</v>
      </c>
      <c r="BL173" s="47">
        <f>_xll.qlPolynomialFunctionValue(BL$1,$BD173,AllTriggers)</f>
        <v>3.2016592097943194E-3</v>
      </c>
      <c r="BM173" s="47">
        <f>_xll.qlPolynomialFunctionValue(BM$1,$BD173,AllTriggers)</f>
        <v>3.2194586387349483E-3</v>
      </c>
      <c r="BN173" s="47">
        <f>_xll.qlPolynomialFunctionValue(BN$1,$BD173,AllTriggers)</f>
        <v>3.2091189217939246E-3</v>
      </c>
      <c r="BO173" s="47">
        <f>_xll.qlPolynomialFunctionValue(BO$1,$BD173,AllTriggers)</f>
        <v>3.2153754876988743E-3</v>
      </c>
      <c r="BP173" s="47">
        <f>_xll.qlPolynomialFunctionValue(BP$1,$BD173,AllTriggers)</f>
        <v>3.2128163500873106E-3</v>
      </c>
      <c r="BQ173" s="47">
        <f>_xll.qlPolynomialFunctionValue('12MSynthDepo_used'!$P$18,BD173,AllTriggers)</f>
        <v>3.2252813764063271E-3</v>
      </c>
    </row>
    <row r="174" spans="55:69" x14ac:dyDescent="0.2">
      <c r="BC174" s="178">
        <f>_xll.qlCalendarAdvance(Calendar,BC173,"1d","mf",,Trigger)</f>
        <v>42521</v>
      </c>
      <c r="BD174" s="41">
        <f>_xll.qlDayCounterYearFraction(DayCounter,SettlementDate,BC174,,,Trigger)</f>
        <v>0.67222222222222228</v>
      </c>
      <c r="BE174" s="47">
        <f>_xll.qlPolynomialFunctionValue(BE$1,$BD174,AllTriggers)</f>
        <v>3.2166802760491288E-3</v>
      </c>
      <c r="BF174" s="47">
        <f>_xll.qlPolynomialFunctionValue(BF$1,$BD174,AllTriggers)</f>
        <v>3.2045013310831663E-3</v>
      </c>
      <c r="BG174" s="47">
        <f>_xll.qlPolynomialFunctionValue(BG$1,$BD174,AllTriggers)</f>
        <v>3.2199544810762068E-3</v>
      </c>
      <c r="BH174" s="47">
        <f>_xll.qlPolynomialFunctionValue(BH$1,$BD174,AllTriggers)</f>
        <v>3.2023703372231977E-3</v>
      </c>
      <c r="BI174" s="47">
        <f>_xll.qlPolynomialFunctionValue(BI$1,$BD174,AllTriggers)</f>
        <v>3.2187917014005513E-3</v>
      </c>
      <c r="BJ174" s="47">
        <f>_xll.qlPolynomialFunctionValue(BJ$1,$BD174,AllTriggers)</f>
        <v>3.2094935008339215E-3</v>
      </c>
      <c r="BK174" s="47">
        <f>_xll.qlPolynomialFunctionValue(BK$1,$BD174,AllTriggers)</f>
        <v>3.2214175648009775E-3</v>
      </c>
      <c r="BL174" s="47">
        <f>_xll.qlPolynomialFunctionValue(BL$1,$BD174,AllTriggers)</f>
        <v>3.2032482330173928E-3</v>
      </c>
      <c r="BM174" s="47">
        <f>_xll.qlPolynomialFunctionValue(BM$1,$BD174,AllTriggers)</f>
        <v>3.2211480358794666E-3</v>
      </c>
      <c r="BN174" s="47">
        <f>_xll.qlPolynomialFunctionValue(BN$1,$BD174,AllTriggers)</f>
        <v>3.2107211255210893E-3</v>
      </c>
      <c r="BO174" s="47">
        <f>_xll.qlPolynomialFunctionValue(BO$1,$BD174,AllTriggers)</f>
        <v>3.2171090051026736E-3</v>
      </c>
      <c r="BP174" s="47">
        <f>_xll.qlPolynomialFunctionValue(BP$1,$BD174,AllTriggers)</f>
        <v>3.2145130200980461E-3</v>
      </c>
      <c r="BQ174" s="47">
        <f>_xll.qlPolynomialFunctionValue('12MSynthDepo_used'!$P$18,BD174,AllTriggers)</f>
        <v>3.2269934238838955E-3</v>
      </c>
    </row>
    <row r="175" spans="55:69" x14ac:dyDescent="0.2">
      <c r="BC175" s="178">
        <f>_xll.qlCalendarAdvance(Calendar,BC174,"1d","mf",,Trigger)</f>
        <v>42522</v>
      </c>
      <c r="BD175" s="41">
        <f>_xll.qlDayCounterYearFraction(DayCounter,SettlementDate,BC175,,,Trigger)</f>
        <v>0.67500000000000004</v>
      </c>
      <c r="BE175" s="47">
        <f>_xll.qlPolynomialFunctionValue(BE$1,$BD175,AllTriggers)</f>
        <v>3.2181602908995153E-3</v>
      </c>
      <c r="BF175" s="47">
        <f>_xll.qlPolynomialFunctionValue(BF$1,$BD175,AllTriggers)</f>
        <v>3.206091541615315E-3</v>
      </c>
      <c r="BG175" s="47">
        <f>_xll.qlPolynomialFunctionValue(BG$1,$BD175,AllTriggers)</f>
        <v>3.2215535579275777E-3</v>
      </c>
      <c r="BH175" s="47">
        <f>_xll.qlPolynomialFunctionValue(BH$1,$BD175,AllTriggers)</f>
        <v>3.2039593250873578E-3</v>
      </c>
      <c r="BI175" s="47">
        <f>_xll.qlPolynomialFunctionValue(BI$1,$BD175,AllTriggers)</f>
        <v>3.2202989140303613E-3</v>
      </c>
      <c r="BJ175" s="47">
        <f>_xll.qlPolynomialFunctionValue(BJ$1,$BD175,AllTriggers)</f>
        <v>3.2110886024783463E-3</v>
      </c>
      <c r="BK175" s="47">
        <f>_xll.qlPolynomialFunctionValue(BK$1,$BD175,AllTriggers)</f>
        <v>3.223018558266517E-3</v>
      </c>
      <c r="BL175" s="47">
        <f>_xll.qlPolynomialFunctionValue(BL$1,$BD175,AllTriggers)</f>
        <v>3.2048402488010826E-3</v>
      </c>
      <c r="BM175" s="47">
        <f>_xll.qlPolynomialFunctionValue(BM$1,$BD175,AllTriggers)</f>
        <v>3.2228374330239848E-3</v>
      </c>
      <c r="BN175" s="47">
        <f>_xll.qlPolynomialFunctionValue(BN$1,$BD175,AllTriggers)</f>
        <v>3.2123246988614317E-3</v>
      </c>
      <c r="BO175" s="47">
        <f>_xll.qlPolynomialFunctionValue(BO$1,$BD175,AllTriggers)</f>
        <v>3.2188425225064725E-3</v>
      </c>
      <c r="BP175" s="47">
        <f>_xll.qlPolynomialFunctionValue(BP$1,$BD175,AllTriggers)</f>
        <v>3.2162101342102546E-3</v>
      </c>
      <c r="BQ175" s="47">
        <f>_xll.qlPolynomialFunctionValue('12MSynthDepo_used'!$P$18,BD175,AllTriggers)</f>
        <v>3.2287056890494864E-3</v>
      </c>
    </row>
    <row r="176" spans="55:69" x14ac:dyDescent="0.2">
      <c r="BC176" s="178">
        <f>_xll.qlCalendarAdvance(Calendar,BC175,"1d","mf",,Trigger)</f>
        <v>42523</v>
      </c>
      <c r="BD176" s="41">
        <f>_xll.qlDayCounterYearFraction(DayCounter,SettlementDate,BC176,,,Trigger)</f>
        <v>0.67777777777777781</v>
      </c>
      <c r="BE176" s="47">
        <f>_xll.qlPolynomialFunctionValue(BE$1,$BD176,AllTriggers)</f>
        <v>3.2196403057499013E-3</v>
      </c>
      <c r="BF176" s="47">
        <f>_xll.qlPolynomialFunctionValue(BF$1,$BD176,AllTriggers)</f>
        <v>3.2076842853815267E-3</v>
      </c>
      <c r="BG176" s="47">
        <f>_xll.qlPolynomialFunctionValue(BG$1,$BD176,AllTriggers)</f>
        <v>3.2231526347789486E-3</v>
      </c>
      <c r="BH176" s="47">
        <f>_xll.qlPolynomialFunctionValue(BH$1,$BD176,AllTriggers)</f>
        <v>3.2055511955192918E-3</v>
      </c>
      <c r="BI176" s="47">
        <f>_xll.qlPolynomialFunctionValue(BI$1,$BD176,AllTriggers)</f>
        <v>3.2218061266601713E-3</v>
      </c>
      <c r="BJ176" s="47">
        <f>_xll.qlPolynomialFunctionValue(BJ$1,$BD176,AllTriggers)</f>
        <v>3.2126856680631424E-3</v>
      </c>
      <c r="BK176" s="47">
        <f>_xll.qlPolynomialFunctionValue(BK$1,$BD176,AllTriggers)</f>
        <v>3.2246195517320565E-3</v>
      </c>
      <c r="BL176" s="47">
        <f>_xll.qlPolynomialFunctionValue(BL$1,$BD176,AllTriggers)</f>
        <v>3.2064352571453893E-3</v>
      </c>
      <c r="BM176" s="47">
        <f>_xll.qlPolynomialFunctionValue(BM$1,$BD176,AllTriggers)</f>
        <v>3.2245268301685031E-3</v>
      </c>
      <c r="BN176" s="47">
        <f>_xll.qlPolynomialFunctionValue(BN$1,$BD176,AllTriggers)</f>
        <v>3.2139296418149505E-3</v>
      </c>
      <c r="BO176" s="47">
        <f>_xll.qlPolynomialFunctionValue(BO$1,$BD176,AllTriggers)</f>
        <v>3.2205760399102714E-3</v>
      </c>
      <c r="BP176" s="47">
        <f>_xll.qlPolynomialFunctionValue(BP$1,$BD176,AllTriggers)</f>
        <v>3.2179076924239362E-3</v>
      </c>
      <c r="BQ176" s="47">
        <f>_xll.qlPolynomialFunctionValue('12MSynthDepo_used'!$P$18,BD176,AllTriggers)</f>
        <v>3.2304181672773323E-3</v>
      </c>
    </row>
    <row r="177" spans="55:69" x14ac:dyDescent="0.2">
      <c r="BC177" s="178">
        <f>_xll.qlCalendarAdvance(Calendar,BC176,"1d","mf",,Trigger)</f>
        <v>42524</v>
      </c>
      <c r="BD177" s="41">
        <f>_xll.qlDayCounterYearFraction(DayCounter,SettlementDate,BC177,,,Trigger)</f>
        <v>0.68055555555555558</v>
      </c>
      <c r="BE177" s="47">
        <f>_xll.qlPolynomialFunctionValue(BE$1,$BD177,AllTriggers)</f>
        <v>3.2211203206002877E-3</v>
      </c>
      <c r="BF177" s="47">
        <f>_xll.qlPolynomialFunctionValue(BF$1,$BD177,AllTriggers)</f>
        <v>3.2092795623818024E-3</v>
      </c>
      <c r="BG177" s="47">
        <f>_xll.qlPolynomialFunctionValue(BG$1,$BD177,AllTriggers)</f>
        <v>3.2247517116303194E-3</v>
      </c>
      <c r="BH177" s="47">
        <f>_xll.qlPolynomialFunctionValue(BH$1,$BD177,AllTriggers)</f>
        <v>3.2071459485190005E-3</v>
      </c>
      <c r="BI177" s="47">
        <f>_xll.qlPolynomialFunctionValue(BI$1,$BD177,AllTriggers)</f>
        <v>3.2233133392899813E-3</v>
      </c>
      <c r="BJ177" s="47">
        <f>_xll.qlPolynomialFunctionValue(BJ$1,$BD177,AllTriggers)</f>
        <v>3.2142846975883104E-3</v>
      </c>
      <c r="BK177" s="47">
        <f>_xll.qlPolynomialFunctionValue(BK$1,$BD177,AllTriggers)</f>
        <v>3.2262205451975964E-3</v>
      </c>
      <c r="BL177" s="47">
        <f>_xll.qlPolynomialFunctionValue(BL$1,$BD177,AllTriggers)</f>
        <v>3.2080332580503123E-3</v>
      </c>
      <c r="BM177" s="47">
        <f>_xll.qlPolynomialFunctionValue(BM$1,$BD177,AllTriggers)</f>
        <v>3.2262162273130213E-3</v>
      </c>
      <c r="BN177" s="47">
        <f>_xll.qlPolynomialFunctionValue(BN$1,$BD177,AllTriggers)</f>
        <v>3.215535954381646E-3</v>
      </c>
      <c r="BO177" s="47">
        <f>_xll.qlPolynomialFunctionValue(BO$1,$BD177,AllTriggers)</f>
        <v>3.2223095573140708E-3</v>
      </c>
      <c r="BP177" s="47">
        <f>_xll.qlPolynomialFunctionValue(BP$1,$BD177,AllTriggers)</f>
        <v>3.2196056947390917E-3</v>
      </c>
      <c r="BQ177" s="47">
        <f>_xll.qlPolynomialFunctionValue('12MSynthDepo_used'!$P$18,BD177,AllTriggers)</f>
        <v>3.2321308539416654E-3</v>
      </c>
    </row>
    <row r="178" spans="55:69" x14ac:dyDescent="0.2">
      <c r="BC178" s="178">
        <f>_xll.qlCalendarAdvance(Calendar,BC177,"1d","mf",,Trigger)</f>
        <v>42527</v>
      </c>
      <c r="BD178" s="41">
        <f>_xll.qlDayCounterYearFraction(DayCounter,SettlementDate,BC178,,,Trigger)</f>
        <v>0.68888888888888888</v>
      </c>
      <c r="BE178" s="47">
        <f>_xll.qlPolynomialFunctionValue(BE$1,$BD178,AllTriggers)</f>
        <v>3.2255603651514461E-3</v>
      </c>
      <c r="BF178" s="47">
        <f>_xll.qlPolynomialFunctionValue(BF$1,$BD178,AllTriggers)</f>
        <v>3.2140805927870103E-3</v>
      </c>
      <c r="BG178" s="47">
        <f>_xll.qlPolynomialFunctionValue(BG$1,$BD178,AllTriggers)</f>
        <v>3.2295489421844317E-3</v>
      </c>
      <c r="BH178" s="47">
        <f>_xll.qlPolynomialFunctionValue(BH$1,$BD178,AllTriggers)</f>
        <v>3.2119475029247749E-3</v>
      </c>
      <c r="BI178" s="47">
        <f>_xll.qlPolynomialFunctionValue(BI$1,$BD178,AllTriggers)</f>
        <v>3.2278349771794113E-3</v>
      </c>
      <c r="BJ178" s="47">
        <f>_xll.qlPolynomialFunctionValue(BJ$1,$BD178,AllTriggers)</f>
        <v>3.2190935698060454E-3</v>
      </c>
      <c r="BK178" s="47">
        <f>_xll.qlPolynomialFunctionValue(BK$1,$BD178,AllTriggers)</f>
        <v>3.2310235255942153E-3</v>
      </c>
      <c r="BL178" s="47">
        <f>_xll.qlPolynomialFunctionValue(BL$1,$BD178,AllTriggers)</f>
        <v>3.2128452161287813E-3</v>
      </c>
      <c r="BM178" s="47">
        <f>_xll.qlPolynomialFunctionValue(BM$1,$BD178,AllTriggers)</f>
        <v>3.2312844187465757E-3</v>
      </c>
      <c r="BN178" s="47">
        <f>_xll.qlPolynomialFunctionValue(BN$1,$BD178,AllTriggers)</f>
        <v>3.2203631097607946E-3</v>
      </c>
      <c r="BO178" s="47">
        <f>_xll.qlPolynomialFunctionValue(BO$1,$BD178,AllTriggers)</f>
        <v>3.227510109525468E-3</v>
      </c>
      <c r="BP178" s="47">
        <f>_xll.qlPolynomialFunctionValue(BP$1,$BD178,AllTriggers)</f>
        <v>3.224702366293397E-3</v>
      </c>
      <c r="BQ178" s="47">
        <f>_xll.qlPolynomialFunctionValue('12MSynthDepo_used'!$P$18,BD178,AllTriggers)</f>
        <v>3.2372701182959169E-3</v>
      </c>
    </row>
    <row r="179" spans="55:69" x14ac:dyDescent="0.2">
      <c r="BC179" s="178">
        <f>_xll.qlCalendarAdvance(Calendar,BC178,"1d","mf",,Trigger)</f>
        <v>42528</v>
      </c>
      <c r="BD179" s="41">
        <f>_xll.qlDayCounterYearFraction(DayCounter,SettlementDate,BC179,,,Trigger)</f>
        <v>0.69166666666666665</v>
      </c>
      <c r="BE179" s="47">
        <f>_xll.qlPolynomialFunctionValue(BE$1,$BD179,AllTriggers)</f>
        <v>3.2270403800018321E-3</v>
      </c>
      <c r="BF179" s="47">
        <f>_xll.qlPolynomialFunctionValue(BF$1,$BD179,AllTriggers)</f>
        <v>3.2156860027235399E-3</v>
      </c>
      <c r="BG179" s="47">
        <f>_xll.qlPolynomialFunctionValue(BG$1,$BD179,AllTriggers)</f>
        <v>3.2311480190358025E-3</v>
      </c>
      <c r="BH179" s="47">
        <f>_xll.qlPolynomialFunctionValue(BH$1,$BD179,AllTriggers)</f>
        <v>3.2135537861955822E-3</v>
      </c>
      <c r="BI179" s="47">
        <f>_xll.qlPolynomialFunctionValue(BI$1,$BD179,AllTriggers)</f>
        <v>3.2293421898092214E-3</v>
      </c>
      <c r="BJ179" s="47">
        <f>_xll.qlPolynomialFunctionValue(BJ$1,$BD179,AllTriggers)</f>
        <v>3.2207004550927E-3</v>
      </c>
      <c r="BK179" s="47">
        <f>_xll.qlPolynomialFunctionValue(BK$1,$BD179,AllTriggers)</f>
        <v>3.2326245190597547E-3</v>
      </c>
      <c r="BL179" s="47">
        <f>_xll.qlPolynomialFunctionValue(BL$1,$BD179,AllTriggers)</f>
        <v>3.2144551872761704E-3</v>
      </c>
      <c r="BM179" s="47">
        <f>_xll.qlPolynomialFunctionValue(BM$1,$BD179,AllTriggers)</f>
        <v>3.2329738158910939E-3</v>
      </c>
      <c r="BN179" s="47">
        <f>_xll.qlPolynomialFunctionValue(BN$1,$BD179,AllTriggers)</f>
        <v>3.2219749007801977E-3</v>
      </c>
      <c r="BO179" s="47">
        <f>_xll.qlPolynomialFunctionValue(BO$1,$BD179,AllTriggers)</f>
        <v>3.2292436269292669E-3</v>
      </c>
      <c r="BP179" s="47">
        <f>_xll.qlPolynomialFunctionValue(BP$1,$BD179,AllTriggers)</f>
        <v>3.2264021450144459E-3</v>
      </c>
      <c r="BQ179" s="47">
        <f>_xll.qlPolynomialFunctionValue('12MSynthDepo_used'!$P$18,BD179,AllTriggers)</f>
        <v>3.2389835924485264E-3</v>
      </c>
    </row>
    <row r="180" spans="55:69" x14ac:dyDescent="0.2">
      <c r="BC180" s="178">
        <f>_xll.qlCalendarAdvance(Calendar,BC179,"1d","mf",,Trigger)</f>
        <v>42529</v>
      </c>
      <c r="BD180" s="41">
        <f>_xll.qlDayCounterYearFraction(DayCounter,SettlementDate,BC180,,,Trigger)</f>
        <v>0.69444444444444442</v>
      </c>
      <c r="BE180" s="47">
        <f>_xll.qlPolynomialFunctionValue(BE$1,$BD180,AllTriggers)</f>
        <v>3.2285203948522181E-3</v>
      </c>
      <c r="BF180" s="47">
        <f>_xll.qlPolynomialFunctionValue(BF$1,$BD180,AllTriggers)</f>
        <v>3.2172939458941325E-3</v>
      </c>
      <c r="BG180" s="47">
        <f>_xll.qlPolynomialFunctionValue(BG$1,$BD180,AllTriggers)</f>
        <v>3.2327470958871734E-3</v>
      </c>
      <c r="BH180" s="47">
        <f>_xll.qlPolynomialFunctionValue(BH$1,$BD180,AllTriggers)</f>
        <v>3.2151629520341639E-3</v>
      </c>
      <c r="BI180" s="47">
        <f>_xll.qlPolynomialFunctionValue(BI$1,$BD180,AllTriggers)</f>
        <v>3.2308494024390314E-3</v>
      </c>
      <c r="BJ180" s="47">
        <f>_xll.qlPolynomialFunctionValue(BJ$1,$BD180,AllTriggers)</f>
        <v>3.222309304319727E-3</v>
      </c>
      <c r="BK180" s="47">
        <f>_xll.qlPolynomialFunctionValue(BK$1,$BD180,AllTriggers)</f>
        <v>3.2342255125252942E-3</v>
      </c>
      <c r="BL180" s="47">
        <f>_xll.qlPolynomialFunctionValue(BL$1,$BD180,AllTriggers)</f>
        <v>3.2160681509841764E-3</v>
      </c>
      <c r="BM180" s="47">
        <f>_xll.qlPolynomialFunctionValue(BM$1,$BD180,AllTriggers)</f>
        <v>3.2346632130356122E-3</v>
      </c>
      <c r="BN180" s="47">
        <f>_xll.qlPolynomialFunctionValue(BN$1,$BD180,AllTriggers)</f>
        <v>3.2235880614127784E-3</v>
      </c>
      <c r="BO180" s="47">
        <f>_xll.qlPolynomialFunctionValue(BO$1,$BD180,AllTriggers)</f>
        <v>3.2309771443330658E-3</v>
      </c>
      <c r="BP180" s="47">
        <f>_xll.qlPolynomialFunctionValue(BP$1,$BD180,AllTriggers)</f>
        <v>3.2281023678369675E-3</v>
      </c>
      <c r="BQ180" s="47">
        <f>_xll.qlPolynomialFunctionValue('12MSynthDepo_used'!$P$18,BD180,AllTriggers)</f>
        <v>3.2406972519087862E-3</v>
      </c>
    </row>
    <row r="181" spans="55:69" x14ac:dyDescent="0.2">
      <c r="BC181" s="178">
        <f>_xll.qlCalendarAdvance(Calendar,BC180,"1d","mf",,Trigger)</f>
        <v>42530</v>
      </c>
      <c r="BD181" s="41">
        <f>_xll.qlDayCounterYearFraction(DayCounter,SettlementDate,BC181,,,Trigger)</f>
        <v>0.69722222222222219</v>
      </c>
      <c r="BE181" s="47">
        <f>_xll.qlPolynomialFunctionValue(BE$1,$BD181,AllTriggers)</f>
        <v>3.2300004097026045E-3</v>
      </c>
      <c r="BF181" s="47">
        <f>_xll.qlPolynomialFunctionValue(BF$1,$BD181,AllTriggers)</f>
        <v>3.2189044222987891E-3</v>
      </c>
      <c r="BG181" s="47">
        <f>_xll.qlPolynomialFunctionValue(BG$1,$BD181,AllTriggers)</f>
        <v>3.2343461727385439E-3</v>
      </c>
      <c r="BH181" s="47">
        <f>_xll.qlPolynomialFunctionValue(BH$1,$BD181,AllTriggers)</f>
        <v>3.2167750004405203E-3</v>
      </c>
      <c r="BI181" s="47">
        <f>_xll.qlPolynomialFunctionValue(BI$1,$BD181,AllTriggers)</f>
        <v>3.2323566150688414E-3</v>
      </c>
      <c r="BJ181" s="47">
        <f>_xll.qlPolynomialFunctionValue(BJ$1,$BD181,AllTriggers)</f>
        <v>3.2239201174871258E-3</v>
      </c>
      <c r="BK181" s="47">
        <f>_xll.qlPolynomialFunctionValue(BK$1,$BD181,AllTriggers)</f>
        <v>3.2358265059908341E-3</v>
      </c>
      <c r="BL181" s="47">
        <f>_xll.qlPolynomialFunctionValue(BL$1,$BD181,AllTriggers)</f>
        <v>3.2176841072527988E-3</v>
      </c>
      <c r="BM181" s="47">
        <f>_xll.qlPolynomialFunctionValue(BM$1,$BD181,AllTriggers)</f>
        <v>3.23635261018013E-3</v>
      </c>
      <c r="BN181" s="47">
        <f>_xll.qlPolynomialFunctionValue(BN$1,$BD181,AllTriggers)</f>
        <v>3.2252025916585355E-3</v>
      </c>
      <c r="BO181" s="47">
        <f>_xll.qlPolynomialFunctionValue(BO$1,$BD181,AllTriggers)</f>
        <v>3.2327106617368651E-3</v>
      </c>
      <c r="BP181" s="47">
        <f>_xll.qlPolynomialFunctionValue(BP$1,$BD181,AllTriggers)</f>
        <v>3.2298030347609626E-3</v>
      </c>
      <c r="BQ181" s="47">
        <f>_xll.qlPolynomialFunctionValue('12MSynthDepo_used'!$P$18,BD181,AllTriggers)</f>
        <v>3.24241109205093E-3</v>
      </c>
    </row>
    <row r="182" spans="55:69" x14ac:dyDescent="0.2">
      <c r="BC182" s="178">
        <f>_xll.qlCalendarAdvance(Calendar,BC181,"1d","mf",,Trigger)</f>
        <v>42531</v>
      </c>
      <c r="BD182" s="41">
        <f>_xll.qlDayCounterYearFraction(DayCounter,SettlementDate,BC182,,,Trigger)</f>
        <v>0.7</v>
      </c>
      <c r="BE182" s="47">
        <f>_xll.qlPolynomialFunctionValue(BE$1,$BD182,AllTriggers)</f>
        <v>3.2314804245529905E-3</v>
      </c>
      <c r="BF182" s="47">
        <f>_xll.qlPolynomialFunctionValue(BF$1,$BD182,AllTriggers)</f>
        <v>3.2205174319375092E-3</v>
      </c>
      <c r="BG182" s="47">
        <f>_xll.qlPolynomialFunctionValue(BG$1,$BD182,AllTriggers)</f>
        <v>3.2359452495899148E-3</v>
      </c>
      <c r="BH182" s="47">
        <f>_xll.qlPolynomialFunctionValue(BH$1,$BD182,AllTriggers)</f>
        <v>3.2183899314146519E-3</v>
      </c>
      <c r="BI182" s="47">
        <f>_xll.qlPolynomialFunctionValue(BI$1,$BD182,AllTriggers)</f>
        <v>3.2338638276986514E-3</v>
      </c>
      <c r="BJ182" s="47">
        <f>_xll.qlPolynomialFunctionValue(BJ$1,$BD182,AllTriggers)</f>
        <v>3.2255328945948961E-3</v>
      </c>
      <c r="BK182" s="47">
        <f>_xll.qlPolynomialFunctionValue(BK$1,$BD182,AllTriggers)</f>
        <v>3.2374274994563736E-3</v>
      </c>
      <c r="BL182" s="47">
        <f>_xll.qlPolynomialFunctionValue(BL$1,$BD182,AllTriggers)</f>
        <v>3.2193030560820381E-3</v>
      </c>
      <c r="BM182" s="47">
        <f>_xll.qlPolynomialFunctionValue(BM$1,$BD182,AllTriggers)</f>
        <v>3.2380420073246483E-3</v>
      </c>
      <c r="BN182" s="47">
        <f>_xll.qlPolynomialFunctionValue(BN$1,$BD182,AllTriggers)</f>
        <v>3.2268184915174693E-3</v>
      </c>
      <c r="BO182" s="47">
        <f>_xll.qlPolynomialFunctionValue(BO$1,$BD182,AllTriggers)</f>
        <v>3.2344441791406641E-3</v>
      </c>
      <c r="BP182" s="47">
        <f>_xll.qlPolynomialFunctionValue(BP$1,$BD182,AllTriggers)</f>
        <v>3.2315041457864312E-3</v>
      </c>
      <c r="BQ182" s="47">
        <f>_xll.qlPolynomialFunctionValue('12MSynthDepo_used'!$P$18,BD182,AllTriggers)</f>
        <v>3.2441251082491883E-3</v>
      </c>
    </row>
    <row r="183" spans="55:69" x14ac:dyDescent="0.2">
      <c r="BC183" s="178">
        <f>_xll.qlCalendarAdvance(Calendar,BC182,"1d","mf",,Trigger)</f>
        <v>42534</v>
      </c>
      <c r="BD183" s="41">
        <f>_xll.qlDayCounterYearFraction(DayCounter,SettlementDate,BC183,,,Trigger)</f>
        <v>0.70833333333333337</v>
      </c>
      <c r="BE183" s="47">
        <f>_xll.qlPolynomialFunctionValue(BE$1,$BD183,AllTriggers)</f>
        <v>3.2359204691041494E-3</v>
      </c>
      <c r="BF183" s="47">
        <f>_xll.qlPolynomialFunctionValue(BF$1,$BD183,AllTriggers)</f>
        <v>3.2253716602580504E-3</v>
      </c>
      <c r="BG183" s="47">
        <f>_xll.qlPolynomialFunctionValue(BG$1,$BD183,AllTriggers)</f>
        <v>3.2407424801440274E-3</v>
      </c>
      <c r="BH183" s="47">
        <f>_xll.qlPolynomialFunctionValue(BH$1,$BD183,AllTriggers)</f>
        <v>3.2232520197436926E-3</v>
      </c>
      <c r="BI183" s="47">
        <f>_xll.qlPolynomialFunctionValue(BI$1,$BD183,AllTriggers)</f>
        <v>3.2383854655880814E-3</v>
      </c>
      <c r="BJ183" s="47">
        <f>_xll.qlPolynomialFunctionValue(BJ$1,$BD183,AllTriggers)</f>
        <v>3.2303830095604374E-3</v>
      </c>
      <c r="BK183" s="47">
        <f>_xll.qlPolynomialFunctionValue(BK$1,$BD183,AllTriggers)</f>
        <v>3.2422304798529924E-3</v>
      </c>
      <c r="BL183" s="47">
        <f>_xll.qlPolynomialFunctionValue(BL$1,$BD183,AllTriggers)</f>
        <v>3.2241778579334556E-3</v>
      </c>
      <c r="BM183" s="47">
        <f>_xll.qlPolynomialFunctionValue(BM$1,$BD183,AllTriggers)</f>
        <v>3.243110198758203E-3</v>
      </c>
      <c r="BN183" s="47">
        <f>_xll.qlPolynomialFunctionValue(BN$1,$BD183,AllTriggers)</f>
        <v>3.2316744087733332E-3</v>
      </c>
      <c r="BO183" s="47">
        <f>_xll.qlPolynomialFunctionValue(BO$1,$BD183,AllTriggers)</f>
        <v>3.2396447313520612E-3</v>
      </c>
      <c r="BP183" s="47">
        <f>_xll.qlPolynomialFunctionValue(BP$1,$BD183,AllTriggers)</f>
        <v>3.2366101434716764E-3</v>
      </c>
      <c r="BQ183" s="47">
        <f>_xll.qlPolynomialFunctionValue('12MSynthDepo_used'!$P$18,BD183,AllTriggers)</f>
        <v>3.249268166922985E-3</v>
      </c>
    </row>
    <row r="184" spans="55:69" x14ac:dyDescent="0.2">
      <c r="BC184" s="178">
        <f>_xll.qlCalendarAdvance(Calendar,BC183,"1d","mf",,Trigger)</f>
        <v>42535</v>
      </c>
      <c r="BD184" s="41">
        <f>_xll.qlDayCounterYearFraction(DayCounter,SettlementDate,BC184,,,Trigger)</f>
        <v>0.71111111111111114</v>
      </c>
      <c r="BE184" s="47">
        <f>_xll.qlPolynomialFunctionValue(BE$1,$BD184,AllTriggers)</f>
        <v>3.2374004839545354E-3</v>
      </c>
      <c r="BF184" s="47">
        <f>_xll.qlPolynomialFunctionValue(BF$1,$BD184,AllTriggers)</f>
        <v>3.226994802833024E-3</v>
      </c>
      <c r="BG184" s="47">
        <f>_xll.qlPolynomialFunctionValue(BG$1,$BD184,AllTriggers)</f>
        <v>3.2423415569953979E-3</v>
      </c>
      <c r="BH184" s="47">
        <f>_xll.qlPolynomialFunctionValue(BH$1,$BD184,AllTriggers)</f>
        <v>3.2248784809889219E-3</v>
      </c>
      <c r="BI184" s="47">
        <f>_xll.qlPolynomialFunctionValue(BI$1,$BD184,AllTriggers)</f>
        <v>3.2398926782178914E-3</v>
      </c>
      <c r="BJ184" s="47">
        <f>_xll.qlPolynomialFunctionValue(BJ$1,$BD184,AllTriggers)</f>
        <v>3.2320036424296943E-3</v>
      </c>
      <c r="BK184" s="47">
        <f>_xll.qlPolynomialFunctionValue(BK$1,$BD184,AllTriggers)</f>
        <v>3.2438314733185319E-3</v>
      </c>
      <c r="BL184" s="47">
        <f>_xll.qlPolynomialFunctionValue(BL$1,$BD184,AllTriggers)</f>
        <v>3.2258087770051604E-3</v>
      </c>
      <c r="BM184" s="47">
        <f>_xll.qlPolynomialFunctionValue(BM$1,$BD184,AllTriggers)</f>
        <v>3.2447995959027213E-3</v>
      </c>
      <c r="BN184" s="47">
        <f>_xll.qlPolynomialFunctionValue(BN$1,$BD184,AllTriggers)</f>
        <v>3.2332957870849751E-3</v>
      </c>
      <c r="BO184" s="47">
        <f>_xll.qlPolynomialFunctionValue(BO$1,$BD184,AllTriggers)</f>
        <v>3.2413782487558606E-3</v>
      </c>
      <c r="BP184" s="47">
        <f>_xll.qlPolynomialFunctionValue(BP$1,$BD184,AllTriggers)</f>
        <v>3.238313030903038E-3</v>
      </c>
      <c r="BQ184" s="47">
        <f>_xll.qlPolynomialFunctionValue('12MSynthDepo_used'!$P$18,BD184,AllTriggers)</f>
        <v>3.2509828410880316E-3</v>
      </c>
    </row>
    <row r="185" spans="55:69" x14ac:dyDescent="0.2">
      <c r="BC185" s="178">
        <f>_xll.qlCalendarAdvance(Calendar,BC184,"1d","mf",,Trigger)</f>
        <v>42536</v>
      </c>
      <c r="BD185" s="41">
        <f>_xll.qlDayCounterYearFraction(DayCounter,SettlementDate,BC185,,,Trigger)</f>
        <v>0.71388888888888891</v>
      </c>
      <c r="BE185" s="47">
        <f>_xll.qlPolynomialFunctionValue(BE$1,$BD185,AllTriggers)</f>
        <v>3.2388804988049214E-3</v>
      </c>
      <c r="BF185" s="47">
        <f>_xll.qlPolynomialFunctionValue(BF$1,$BD185,AllTriggers)</f>
        <v>3.2286204786420619E-3</v>
      </c>
      <c r="BG185" s="47">
        <f>_xll.qlPolynomialFunctionValue(BG$1,$BD185,AllTriggers)</f>
        <v>3.2439406338467688E-3</v>
      </c>
      <c r="BH185" s="47">
        <f>_xll.qlPolynomialFunctionValue(BH$1,$BD185,AllTriggers)</f>
        <v>3.2265078248019264E-3</v>
      </c>
      <c r="BI185" s="47">
        <f>_xll.qlPolynomialFunctionValue(BI$1,$BD185,AllTriggers)</f>
        <v>3.2413998908477014E-3</v>
      </c>
      <c r="BJ185" s="47">
        <f>_xll.qlPolynomialFunctionValue(BJ$1,$BD185,AllTriggers)</f>
        <v>3.233626239239324E-3</v>
      </c>
      <c r="BK185" s="47">
        <f>_xll.qlPolynomialFunctionValue(BK$1,$BD185,AllTriggers)</f>
        <v>3.2454324667840714E-3</v>
      </c>
      <c r="BL185" s="47">
        <f>_xll.qlPolynomialFunctionValue(BL$1,$BD185,AllTriggers)</f>
        <v>3.227442688637483E-3</v>
      </c>
      <c r="BM185" s="47">
        <f>_xll.qlPolynomialFunctionValue(BM$1,$BD185,AllTriggers)</f>
        <v>3.2464889930472396E-3</v>
      </c>
      <c r="BN185" s="47">
        <f>_xll.qlPolynomialFunctionValue(BN$1,$BD185,AllTriggers)</f>
        <v>3.2349185350097937E-3</v>
      </c>
      <c r="BO185" s="47">
        <f>_xll.qlPolynomialFunctionValue(BO$1,$BD185,AllTriggers)</f>
        <v>3.2431117661596595E-3</v>
      </c>
      <c r="BP185" s="47">
        <f>_xll.qlPolynomialFunctionValue(BP$1,$BD185,AllTriggers)</f>
        <v>3.2400163624358731E-3</v>
      </c>
      <c r="BQ185" s="47">
        <f>_xll.qlPolynomialFunctionValue('12MSynthDepo_used'!$P$18,BD185,AllTriggers)</f>
        <v>3.2526976681803575E-3</v>
      </c>
    </row>
    <row r="186" spans="55:69" x14ac:dyDescent="0.2">
      <c r="BC186" s="178">
        <f>_xll.qlCalendarAdvance(Calendar,BC185,"1d","mf",,Trigger)</f>
        <v>42537</v>
      </c>
      <c r="BD186" s="41">
        <f>_xll.qlDayCounterYearFraction(DayCounter,SettlementDate,BC186,,,Trigger)</f>
        <v>0.71666666666666667</v>
      </c>
      <c r="BE186" s="47">
        <f>_xll.qlPolynomialFunctionValue(BE$1,$BD186,AllTriggers)</f>
        <v>3.2403605136553078E-3</v>
      </c>
      <c r="BF186" s="47">
        <f>_xll.qlPolynomialFunctionValue(BF$1,$BD186,AllTriggers)</f>
        <v>3.230248687685163E-3</v>
      </c>
      <c r="BG186" s="47">
        <f>_xll.qlPolynomialFunctionValue(BG$1,$BD186,AllTriggers)</f>
        <v>3.2455397106981396E-3</v>
      </c>
      <c r="BH186" s="47">
        <f>_xll.qlPolynomialFunctionValue(BH$1,$BD186,AllTriggers)</f>
        <v>3.2281400511827048E-3</v>
      </c>
      <c r="BI186" s="47">
        <f>_xll.qlPolynomialFunctionValue(BI$1,$BD186,AllTriggers)</f>
        <v>3.242907103477511E-3</v>
      </c>
      <c r="BJ186" s="47">
        <f>_xll.qlPolynomialFunctionValue(BJ$1,$BD186,AllTriggers)</f>
        <v>3.2352507999893246E-3</v>
      </c>
      <c r="BK186" s="47">
        <f>_xll.qlPolynomialFunctionValue(BK$1,$BD186,AllTriggers)</f>
        <v>3.2470334602496109E-3</v>
      </c>
      <c r="BL186" s="47">
        <f>_xll.qlPolynomialFunctionValue(BL$1,$BD186,AllTriggers)</f>
        <v>3.2290795928304212E-3</v>
      </c>
      <c r="BM186" s="47">
        <f>_xll.qlPolynomialFunctionValue(BM$1,$BD186,AllTriggers)</f>
        <v>3.2481783901917574E-3</v>
      </c>
      <c r="BN186" s="47">
        <f>_xll.qlPolynomialFunctionValue(BN$1,$BD186,AllTriggers)</f>
        <v>3.236542652547789E-3</v>
      </c>
      <c r="BO186" s="47">
        <f>_xll.qlPolynomialFunctionValue(BO$1,$BD186,AllTriggers)</f>
        <v>3.2448452835634588E-3</v>
      </c>
      <c r="BP186" s="47">
        <f>_xll.qlPolynomialFunctionValue(BP$1,$BD186,AllTriggers)</f>
        <v>3.2417201380701816E-3</v>
      </c>
      <c r="BQ186" s="47">
        <f>_xll.qlPolynomialFunctionValue('12MSynthDepo_used'!$P$18,BD186,AllTriggers)</f>
        <v>3.2544126435741952E-3</v>
      </c>
    </row>
    <row r="187" spans="55:69" x14ac:dyDescent="0.2">
      <c r="BC187" s="178">
        <f>_xll.qlCalendarAdvance(Calendar,BC186,"1d","mf",,Trigger)</f>
        <v>42538</v>
      </c>
      <c r="BD187" s="41">
        <f>_xll.qlDayCounterYearFraction(DayCounter,SettlementDate,BC187,,,Trigger)</f>
        <v>0.71944444444444444</v>
      </c>
      <c r="BE187" s="47">
        <f>_xll.qlPolynomialFunctionValue(BE$1,$BD187,AllTriggers)</f>
        <v>3.2418405285056938E-3</v>
      </c>
      <c r="BF187" s="47">
        <f>_xll.qlPolynomialFunctionValue(BF$1,$BD187,AllTriggers)</f>
        <v>3.2318794299623275E-3</v>
      </c>
      <c r="BG187" s="47">
        <f>_xll.qlPolynomialFunctionValue(BG$1,$BD187,AllTriggers)</f>
        <v>3.2471387875495105E-3</v>
      </c>
      <c r="BH187" s="47">
        <f>_xll.qlPolynomialFunctionValue(BH$1,$BD187,AllTriggers)</f>
        <v>3.2297751601312579E-3</v>
      </c>
      <c r="BI187" s="47">
        <f>_xll.qlPolynomialFunctionValue(BI$1,$BD187,AllTriggers)</f>
        <v>3.244414316107321E-3</v>
      </c>
      <c r="BJ187" s="47">
        <f>_xll.qlPolynomialFunctionValue(BJ$1,$BD187,AllTriggers)</f>
        <v>3.2368773246796967E-3</v>
      </c>
      <c r="BK187" s="47">
        <f>_xll.qlPolynomialFunctionValue(BK$1,$BD187,AllTriggers)</f>
        <v>3.2486344537151508E-3</v>
      </c>
      <c r="BL187" s="47">
        <f>_xll.qlPolynomialFunctionValue(BL$1,$BD187,AllTriggers)</f>
        <v>3.230719489583977E-3</v>
      </c>
      <c r="BM187" s="47">
        <f>_xll.qlPolynomialFunctionValue(BM$1,$BD187,AllTriggers)</f>
        <v>3.2498677873362756E-3</v>
      </c>
      <c r="BN187" s="47">
        <f>_xll.qlPolynomialFunctionValue(BN$1,$BD187,AllTriggers)</f>
        <v>3.2381681396989616E-3</v>
      </c>
      <c r="BO187" s="47">
        <f>_xll.qlPolynomialFunctionValue(BO$1,$BD187,AllTriggers)</f>
        <v>3.2465788009672578E-3</v>
      </c>
      <c r="BP187" s="47">
        <f>_xll.qlPolynomialFunctionValue(BP$1,$BD187,AllTriggers)</f>
        <v>3.2434243578059632E-3</v>
      </c>
      <c r="BQ187" s="47">
        <f>_xll.qlPolynomialFunctionValue('12MSynthDepo_used'!$P$18,BD187,AllTriggers)</f>
        <v>3.256127762643776E-3</v>
      </c>
    </row>
    <row r="188" spans="55:69" x14ac:dyDescent="0.2">
      <c r="BC188" s="178">
        <f>_xll.qlCalendarAdvance(Calendar,BC187,"1d","mf",,Trigger)</f>
        <v>42541</v>
      </c>
      <c r="BD188" s="41">
        <f>_xll.qlDayCounterYearFraction(DayCounter,SettlementDate,BC188,,,Trigger)</f>
        <v>0.72777777777777775</v>
      </c>
      <c r="BE188" s="47">
        <f>_xll.qlPolynomialFunctionValue(BE$1,$BD188,AllTriggers)</f>
        <v>3.2462805730568527E-3</v>
      </c>
      <c r="BF188" s="47">
        <f>_xll.qlPolynomialFunctionValue(BF$1,$BD188,AllTriggers)</f>
        <v>3.2367868561982019E-3</v>
      </c>
      <c r="BG188" s="47">
        <f>_xll.qlPolynomialFunctionValue(BG$1,$BD188,AllTriggers)</f>
        <v>3.2519360181036227E-3</v>
      </c>
      <c r="BH188" s="47">
        <f>_xll.qlPolynomialFunctionValue(BH$1,$BD188,AllTriggers)</f>
        <v>3.2346977823835654E-3</v>
      </c>
      <c r="BI188" s="47">
        <f>_xll.qlPolynomialFunctionValue(BI$1,$BD188,AllTriggers)</f>
        <v>3.2489359539967511E-3</v>
      </c>
      <c r="BJ188" s="47">
        <f>_xll.qlPolynomialFunctionValue(BJ$1,$BD188,AllTriggers)</f>
        <v>3.2417686823930452E-3</v>
      </c>
      <c r="BK188" s="47">
        <f>_xll.qlPolynomialFunctionValue(BK$1,$BD188,AllTriggers)</f>
        <v>3.2534374341117696E-3</v>
      </c>
      <c r="BL188" s="47">
        <f>_xll.qlPolynomialFunctionValue(BL$1,$BD188,AllTriggers)</f>
        <v>3.2356571352083422E-3</v>
      </c>
      <c r="BM188" s="47">
        <f>_xll.qlPolynomialFunctionValue(BM$1,$BD188,AllTriggers)</f>
        <v>3.2549359787698304E-3</v>
      </c>
      <c r="BN188" s="47">
        <f>_xll.qlPolynomialFunctionValue(BN$1,$BD188,AllTriggers)</f>
        <v>3.2430528188315405E-3</v>
      </c>
      <c r="BO188" s="47">
        <f>_xll.qlPolynomialFunctionValue(BO$1,$BD188,AllTriggers)</f>
        <v>3.2517793531786549E-3</v>
      </c>
      <c r="BP188" s="47">
        <f>_xll.qlPolynomialFunctionValue(BP$1,$BD188,AllTriggers)</f>
        <v>3.248539681622148E-3</v>
      </c>
      <c r="BQ188" s="47">
        <f>_xll.qlPolynomialFunctionValue('12MSynthDepo_used'!$P$18,BD188,AllTriggers)</f>
        <v>3.2612739356493066E-3</v>
      </c>
    </row>
    <row r="189" spans="55:69" x14ac:dyDescent="0.2">
      <c r="BC189" s="178">
        <f>_xll.qlCalendarAdvance(Calendar,BC188,"1d","mf",,Trigger)</f>
        <v>42542</v>
      </c>
      <c r="BD189" s="41">
        <f>_xll.qlDayCounterYearFraction(DayCounter,SettlementDate,BC189,,,Trigger)</f>
        <v>0.73055555555555551</v>
      </c>
      <c r="BE189" s="47">
        <f>_xll.qlPolynomialFunctionValue(BE$1,$BD189,AllTriggers)</f>
        <v>3.2477605879072387E-3</v>
      </c>
      <c r="BF189" s="47">
        <f>_xll.qlPolynomialFunctionValue(BF$1,$BD189,AllTriggers)</f>
        <v>3.2384277314116204E-3</v>
      </c>
      <c r="BG189" s="47">
        <f>_xll.qlPolynomialFunctionValue(BG$1,$BD189,AllTriggers)</f>
        <v>3.2535350949549936E-3</v>
      </c>
      <c r="BH189" s="47">
        <f>_xll.qlPolynomialFunctionValue(BH$1,$BD189,AllTriggers)</f>
        <v>3.2363444216032171E-3</v>
      </c>
      <c r="BI189" s="47">
        <f>_xll.qlPolynomialFunctionValue(BI$1,$BD189,AllTriggers)</f>
        <v>3.2504431666265611E-3</v>
      </c>
      <c r="BJ189" s="47">
        <f>_xll.qlPolynomialFunctionValue(BJ$1,$BD189,AllTriggers)</f>
        <v>3.2434030628449048E-3</v>
      </c>
      <c r="BK189" s="47">
        <f>_xll.qlPolynomialFunctionValue(BK$1,$BD189,AllTriggers)</f>
        <v>3.2550384275773091E-3</v>
      </c>
      <c r="BL189" s="47">
        <f>_xll.qlPolynomialFunctionValue(BL$1,$BD189,AllTriggers)</f>
        <v>3.2373090022043637E-3</v>
      </c>
      <c r="BM189" s="47">
        <f>_xll.qlPolynomialFunctionValue(BM$1,$BD189,AllTriggers)</f>
        <v>3.2566253759143487E-3</v>
      </c>
      <c r="BN189" s="47">
        <f>_xll.qlPolynomialFunctionValue(BN$1,$BD189,AllTriggers)</f>
        <v>3.2446837844354206E-3</v>
      </c>
      <c r="BO189" s="47">
        <f>_xll.qlPolynomialFunctionValue(BO$1,$BD189,AllTriggers)</f>
        <v>3.2535128705824539E-3</v>
      </c>
      <c r="BP189" s="47">
        <f>_xll.qlPolynomialFunctionValue(BP$1,$BD189,AllTriggers)</f>
        <v>3.2502456777638226E-3</v>
      </c>
      <c r="BQ189" s="47">
        <f>_xll.qlPolynomialFunctionValue('12MSynthDepo_used'!$P$18,BD189,AllTriggers)</f>
        <v>3.2629895831641884E-3</v>
      </c>
    </row>
    <row r="190" spans="55:69" x14ac:dyDescent="0.2">
      <c r="BC190" s="178">
        <f>_xll.qlCalendarAdvance(Calendar,BC189,"1d","mf",,Trigger)</f>
        <v>42543</v>
      </c>
      <c r="BD190" s="41">
        <f>_xll.qlDayCounterYearFraction(DayCounter,SettlementDate,BC190,,,Trigger)</f>
        <v>0.73333333333333328</v>
      </c>
      <c r="BE190" s="47">
        <f>_xll.qlPolynomialFunctionValue(BE$1,$BD190,AllTriggers)</f>
        <v>3.2492406027576247E-3</v>
      </c>
      <c r="BF190" s="47">
        <f>_xll.qlPolynomialFunctionValue(BF$1,$BD190,AllTriggers)</f>
        <v>3.2400711398591028E-3</v>
      </c>
      <c r="BG190" s="47">
        <f>_xll.qlPolynomialFunctionValue(BG$1,$BD190,AllTriggers)</f>
        <v>3.2551341718063645E-3</v>
      </c>
      <c r="BH190" s="47">
        <f>_xll.qlPolynomialFunctionValue(BH$1,$BD190,AllTriggers)</f>
        <v>3.2379939433906432E-3</v>
      </c>
      <c r="BI190" s="47">
        <f>_xll.qlPolynomialFunctionValue(BI$1,$BD190,AllTriggers)</f>
        <v>3.2519503792563711E-3</v>
      </c>
      <c r="BJ190" s="47">
        <f>_xll.qlPolynomialFunctionValue(BJ$1,$BD190,AllTriggers)</f>
        <v>3.2450394072371363E-3</v>
      </c>
      <c r="BK190" s="47">
        <f>_xll.qlPolynomialFunctionValue(BK$1,$BD190,AllTriggers)</f>
        <v>3.2566394210428486E-3</v>
      </c>
      <c r="BL190" s="47">
        <f>_xll.qlPolynomialFunctionValue(BL$1,$BD190,AllTriggers)</f>
        <v>3.2389638617610021E-3</v>
      </c>
      <c r="BM190" s="47">
        <f>_xll.qlPolynomialFunctionValue(BM$1,$BD190,AllTriggers)</f>
        <v>3.2583147730588669E-3</v>
      </c>
      <c r="BN190" s="47">
        <f>_xll.qlPolynomialFunctionValue(BN$1,$BD190,AllTriggers)</f>
        <v>3.246316119652478E-3</v>
      </c>
      <c r="BO190" s="47">
        <f>_xll.qlPolynomialFunctionValue(BO$1,$BD190,AllTriggers)</f>
        <v>3.2552463879862532E-3</v>
      </c>
      <c r="BP190" s="47">
        <f>_xll.qlPolynomialFunctionValue(BP$1,$BD190,AllTriggers)</f>
        <v>3.2519521180069707E-3</v>
      </c>
      <c r="BQ190" s="47">
        <f>_xll.qlPolynomialFunctionValue('12MSynthDepo_used'!$P$18,BD190,AllTriggers)</f>
        <v>3.2647053512259764E-3</v>
      </c>
    </row>
    <row r="191" spans="55:69" x14ac:dyDescent="0.2">
      <c r="BC191" s="178">
        <f>_xll.qlCalendarAdvance(Calendar,BC190,"1d","mf",,Trigger)</f>
        <v>42544</v>
      </c>
      <c r="BD191" s="41">
        <f>_xll.qlDayCounterYearFraction(DayCounter,SettlementDate,BC191,,,Trigger)</f>
        <v>0.73611111111111116</v>
      </c>
      <c r="BE191" s="47">
        <f>_xll.qlPolynomialFunctionValue(BE$1,$BD191,AllTriggers)</f>
        <v>3.2507206176080111E-3</v>
      </c>
      <c r="BF191" s="47">
        <f>_xll.qlPolynomialFunctionValue(BF$1,$BD191,AllTriggers)</f>
        <v>3.2417170815406482E-3</v>
      </c>
      <c r="BG191" s="47">
        <f>_xll.qlPolynomialFunctionValue(BG$1,$BD191,AllTriggers)</f>
        <v>3.2567332486577354E-3</v>
      </c>
      <c r="BH191" s="47">
        <f>_xll.qlPolynomialFunctionValue(BH$1,$BD191,AllTriggers)</f>
        <v>3.2396463477458444E-3</v>
      </c>
      <c r="BI191" s="47">
        <f>_xll.qlPolynomialFunctionValue(BI$1,$BD191,AllTriggers)</f>
        <v>3.2534575918861811E-3</v>
      </c>
      <c r="BJ191" s="47">
        <f>_xll.qlPolynomialFunctionValue(BJ$1,$BD191,AllTriggers)</f>
        <v>3.2466777155697392E-3</v>
      </c>
      <c r="BK191" s="47">
        <f>_xll.qlPolynomialFunctionValue(BK$1,$BD191,AllTriggers)</f>
        <v>3.2582404145083885E-3</v>
      </c>
      <c r="BL191" s="47">
        <f>_xll.qlPolynomialFunctionValue(BL$1,$BD191,AllTriggers)</f>
        <v>3.2406217138782568E-3</v>
      </c>
      <c r="BM191" s="47">
        <f>_xll.qlPolynomialFunctionValue(BM$1,$BD191,AllTriggers)</f>
        <v>3.2600041702033847E-3</v>
      </c>
      <c r="BN191" s="47">
        <f>_xll.qlPolynomialFunctionValue(BN$1,$BD191,AllTriggers)</f>
        <v>3.2479498244827117E-3</v>
      </c>
      <c r="BO191" s="47">
        <f>_xll.qlPolynomialFunctionValue(BO$1,$BD191,AllTriggers)</f>
        <v>3.2569799053900521E-3</v>
      </c>
      <c r="BP191" s="47">
        <f>_xll.qlPolynomialFunctionValue(BP$1,$BD191,AllTriggers)</f>
        <v>3.2536590023515923E-3</v>
      </c>
      <c r="BQ191" s="47">
        <f>_xll.qlPolynomialFunctionValue('12MSynthDepo_used'!$P$18,BD191,AllTriggers)</f>
        <v>3.2664212352089047E-3</v>
      </c>
    </row>
    <row r="192" spans="55:69" x14ac:dyDescent="0.2">
      <c r="BC192" s="178">
        <f>_xll.qlCalendarAdvance(Calendar,BC191,"1d","mf",,Trigger)</f>
        <v>42545</v>
      </c>
      <c r="BD192" s="41">
        <f>_xll.qlDayCounterYearFraction(DayCounter,SettlementDate,BC192,,,Trigger)</f>
        <v>0.73888888888888893</v>
      </c>
      <c r="BE192" s="47">
        <f>_xll.qlPolynomialFunctionValue(BE$1,$BD192,AllTriggers)</f>
        <v>3.2522006324583971E-3</v>
      </c>
      <c r="BF192" s="47">
        <f>_xll.qlPolynomialFunctionValue(BF$1,$BD192,AllTriggers)</f>
        <v>3.2433655564562576E-3</v>
      </c>
      <c r="BG192" s="47">
        <f>_xll.qlPolynomialFunctionValue(BG$1,$BD192,AllTriggers)</f>
        <v>3.2583323255091063E-3</v>
      </c>
      <c r="BH192" s="47">
        <f>_xll.qlPolynomialFunctionValue(BH$1,$BD192,AllTriggers)</f>
        <v>3.2413016346688195E-3</v>
      </c>
      <c r="BI192" s="47">
        <f>_xll.qlPolynomialFunctionValue(BI$1,$BD192,AllTriggers)</f>
        <v>3.2549648045159911E-3</v>
      </c>
      <c r="BJ192" s="47">
        <f>_xll.qlPolynomialFunctionValue(BJ$1,$BD192,AllTriggers)</f>
        <v>3.248317987842714E-3</v>
      </c>
      <c r="BK192" s="47">
        <f>_xll.qlPolynomialFunctionValue(BK$1,$BD192,AllTriggers)</f>
        <v>3.2598414079739279E-3</v>
      </c>
      <c r="BL192" s="47">
        <f>_xll.qlPolynomialFunctionValue(BL$1,$BD192,AllTriggers)</f>
        <v>3.242282558556128E-3</v>
      </c>
      <c r="BM192" s="47">
        <f>_xll.qlPolynomialFunctionValue(BM$1,$BD192,AllTriggers)</f>
        <v>3.261693567347903E-3</v>
      </c>
      <c r="BN192" s="47">
        <f>_xll.qlPolynomialFunctionValue(BN$1,$BD192,AllTriggers)</f>
        <v>3.2495848989261226E-3</v>
      </c>
      <c r="BO192" s="47">
        <f>_xll.qlPolynomialFunctionValue(BO$1,$BD192,AllTriggers)</f>
        <v>3.2587134227938515E-3</v>
      </c>
      <c r="BP192" s="47">
        <f>_xll.qlPolynomialFunctionValue(BP$1,$BD192,AllTriggers)</f>
        <v>3.255366330797687E-3</v>
      </c>
      <c r="BQ192" s="47">
        <f>_xll.qlPolynomialFunctionValue('12MSynthDepo_used'!$P$18,BD192,AllTriggers)</f>
        <v>3.2681372304872035E-3</v>
      </c>
    </row>
    <row r="193" spans="55:69" x14ac:dyDescent="0.2">
      <c r="BC193" s="178">
        <f>_xll.qlCalendarAdvance(Calendar,BC192,"1d","mf",,Trigger)</f>
        <v>42548</v>
      </c>
      <c r="BD193" s="41">
        <f>_xll.qlDayCounterYearFraction(DayCounter,SettlementDate,BC193,,,Trigger)</f>
        <v>0.74722222222222223</v>
      </c>
      <c r="BE193" s="47">
        <f>_xll.qlPolynomialFunctionValue(BE$1,$BD193,AllTriggers)</f>
        <v>3.2566406770095559E-3</v>
      </c>
      <c r="BF193" s="47">
        <f>_xll.qlPolynomialFunctionValue(BF$1,$BD193,AllTriggers)</f>
        <v>3.2483261806074653E-3</v>
      </c>
      <c r="BG193" s="47">
        <f>_xll.qlPolynomialFunctionValue(BG$1,$BD193,AllTriggers)</f>
        <v>3.2631295560632185E-3</v>
      </c>
      <c r="BH193" s="47">
        <f>_xll.qlPolynomialFunctionValue(BH$1,$BD193,AllTriggers)</f>
        <v>3.2462847908443933E-3</v>
      </c>
      <c r="BI193" s="47">
        <f>_xll.qlPolynomialFunctionValue(BI$1,$BD193,AllTriggers)</f>
        <v>3.2594864424054211E-3</v>
      </c>
      <c r="BJ193" s="47">
        <f>_xll.qlPolynomialFunctionValue(BJ$1,$BD193,AllTriggers)</f>
        <v>3.2532505883038692E-3</v>
      </c>
      <c r="BK193" s="47">
        <f>_xll.qlPolynomialFunctionValue(BK$1,$BD193,AllTriggers)</f>
        <v>3.2646443883705468E-3</v>
      </c>
      <c r="BL193" s="47">
        <f>_xll.qlPolynomialFunctionValue(BL$1,$BD193,AllTriggers)</f>
        <v>3.2472830479534417E-3</v>
      </c>
      <c r="BM193" s="47">
        <f>_xll.qlPolynomialFunctionValue(BM$1,$BD193,AllTriggers)</f>
        <v>3.2667617587814578E-3</v>
      </c>
      <c r="BN193" s="47">
        <f>_xll.qlPolynomialFunctionValue(BN$1,$BD193,AllTriggers)</f>
        <v>3.2544983399354168E-3</v>
      </c>
      <c r="BO193" s="47">
        <f>_xll.qlPolynomialFunctionValue(BO$1,$BD193,AllTriggers)</f>
        <v>3.2639139750052486E-3</v>
      </c>
      <c r="BP193" s="47">
        <f>_xll.qlPolynomialFunctionValue(BP$1,$BD193,AllTriggers)</f>
        <v>3.2604909807448113E-3</v>
      </c>
      <c r="BQ193" s="47">
        <f>_xll.qlPolynomialFunctionValue('12MSynthDepo_used'!$P$18,BD193,AllTriggers)</f>
        <v>3.2732858378366589E-3</v>
      </c>
    </row>
    <row r="194" spans="55:69" x14ac:dyDescent="0.2">
      <c r="BC194" s="178">
        <f>_xll.qlCalendarAdvance(Calendar,BC193,"1d","mf",,Trigger)</f>
        <v>42549</v>
      </c>
      <c r="BD194" s="41">
        <f>_xll.qlDayCounterYearFraction(DayCounter,SettlementDate,BC194,,,Trigger)</f>
        <v>0.75</v>
      </c>
      <c r="BE194" s="47">
        <f>_xll.qlPolynomialFunctionValue(BE$1,$BD194,AllTriggers)</f>
        <v>3.2581206918599419E-3</v>
      </c>
      <c r="BF194" s="47">
        <f>_xll.qlPolynomialFunctionValue(BF$1,$BD194,AllTriggers)</f>
        <v>3.2499847884593287E-3</v>
      </c>
      <c r="BG194" s="47">
        <f>_xll.qlPolynomialFunctionValue(BG$1,$BD194,AllTriggers)</f>
        <v>3.2647286329145894E-3</v>
      </c>
      <c r="BH194" s="47">
        <f>_xll.qlPolynomialFunctionValue(BH$1,$BD194,AllTriggers)</f>
        <v>3.2479516080384675E-3</v>
      </c>
      <c r="BI194" s="47">
        <f>_xll.qlPolynomialFunctionValue(BI$1,$BD194,AllTriggers)</f>
        <v>3.2609936550352311E-3</v>
      </c>
      <c r="BJ194" s="47">
        <f>_xll.qlPolynomialFunctionValue(BJ$1,$BD194,AllTriggers)</f>
        <v>3.2548987163383307E-3</v>
      </c>
      <c r="BK194" s="47">
        <f>_xll.qlPolynomialFunctionValue(BK$1,$BD194,AllTriggers)</f>
        <v>3.2662453818360863E-3</v>
      </c>
      <c r="BL194" s="47">
        <f>_xll.qlPolynomialFunctionValue(BL$1,$BD194,AllTriggers)</f>
        <v>3.2489558628737794E-3</v>
      </c>
      <c r="BM194" s="47">
        <f>_xll.qlPolynomialFunctionValue(BM$1,$BD194,AllTriggers)</f>
        <v>3.268451155925976E-3</v>
      </c>
      <c r="BN194" s="47">
        <f>_xll.qlPolynomialFunctionValue(BN$1,$BD194,AllTriggers)</f>
        <v>3.2561388928315357E-3</v>
      </c>
      <c r="BO194" s="47">
        <f>_xll.qlPolynomialFunctionValue(BO$1,$BD194,AllTriggers)</f>
        <v>3.2656474924090476E-3</v>
      </c>
      <c r="BP194" s="47">
        <f>_xll.qlPolynomialFunctionValue(BP$1,$BD194,AllTriggers)</f>
        <v>3.2622000855967994E-3</v>
      </c>
      <c r="BQ194" s="47">
        <f>_xll.qlPolynomialFunctionValue('12MSynthDepo_used'!$P$18,BD194,AllTriggers)</f>
        <v>3.2750022320387718E-3</v>
      </c>
    </row>
    <row r="195" spans="55:69" x14ac:dyDescent="0.2">
      <c r="BC195" s="178">
        <f>_xll.qlCalendarAdvance(Calendar,BC194,"1d","mf",,Trigger)</f>
        <v>42550</v>
      </c>
      <c r="BD195" s="41">
        <f>_xll.qlDayCounterYearFraction(DayCounter,SettlementDate,BC195,,,Trigger)</f>
        <v>0.75277777777777777</v>
      </c>
      <c r="BE195" s="47">
        <f>_xll.qlPolynomialFunctionValue(BE$1,$BD195,AllTriggers)</f>
        <v>3.2596007067103279E-3</v>
      </c>
      <c r="BF195" s="47">
        <f>_xll.qlPolynomialFunctionValue(BF$1,$BD195,AllTriggers)</f>
        <v>3.2516459295452555E-3</v>
      </c>
      <c r="BG195" s="47">
        <f>_xll.qlPolynomialFunctionValue(BG$1,$BD195,AllTriggers)</f>
        <v>3.2663277097659603E-3</v>
      </c>
      <c r="BH195" s="47">
        <f>_xll.qlPolynomialFunctionValue(BH$1,$BD195,AllTriggers)</f>
        <v>3.2496213078003159E-3</v>
      </c>
      <c r="BI195" s="47">
        <f>_xll.qlPolynomialFunctionValue(BI$1,$BD195,AllTriggers)</f>
        <v>3.2625008676650412E-3</v>
      </c>
      <c r="BJ195" s="47">
        <f>_xll.qlPolynomialFunctionValue(BJ$1,$BD195,AllTriggers)</f>
        <v>3.256548808313164E-3</v>
      </c>
      <c r="BK195" s="47">
        <f>_xll.qlPolynomialFunctionValue(BK$1,$BD195,AllTriggers)</f>
        <v>3.2678463753016257E-3</v>
      </c>
      <c r="BL195" s="47">
        <f>_xll.qlPolynomialFunctionValue(BL$1,$BD195,AllTriggers)</f>
        <v>3.2506316703547339E-3</v>
      </c>
      <c r="BM195" s="47">
        <f>_xll.qlPolynomialFunctionValue(BM$1,$BD195,AllTriggers)</f>
        <v>3.2701405530704943E-3</v>
      </c>
      <c r="BN195" s="47">
        <f>_xll.qlPolynomialFunctionValue(BN$1,$BD195,AllTriggers)</f>
        <v>3.2577808153408309E-3</v>
      </c>
      <c r="BO195" s="47">
        <f>_xll.qlPolynomialFunctionValue(BO$1,$BD195,AllTriggers)</f>
        <v>3.2673810098128465E-3</v>
      </c>
      <c r="BP195" s="47">
        <f>_xll.qlPolynomialFunctionValue(BP$1,$BD195,AllTriggers)</f>
        <v>3.263909634550261E-3</v>
      </c>
      <c r="BQ195" s="47">
        <f>_xll.qlPolynomialFunctionValue('12MSynthDepo_used'!$P$18,BD195,AllTriggers)</f>
        <v>3.2767187144074192E-3</v>
      </c>
    </row>
    <row r="196" spans="55:69" x14ac:dyDescent="0.2">
      <c r="BC196" s="178">
        <f>_xll.qlCalendarAdvance(Calendar,BC195,"1d","mf",,Trigger)</f>
        <v>42551</v>
      </c>
      <c r="BD196" s="41">
        <f>_xll.qlDayCounterYearFraction(DayCounter,SettlementDate,BC196,,,Trigger)</f>
        <v>0.75555555555555554</v>
      </c>
      <c r="BE196" s="47">
        <f>_xll.qlPolynomialFunctionValue(BE$1,$BD196,AllTriggers)</f>
        <v>3.2610807215607144E-3</v>
      </c>
      <c r="BF196" s="47">
        <f>_xll.qlPolynomialFunctionValue(BF$1,$BD196,AllTriggers)</f>
        <v>3.2533096038652454E-3</v>
      </c>
      <c r="BG196" s="47">
        <f>_xll.qlPolynomialFunctionValue(BG$1,$BD196,AllTriggers)</f>
        <v>3.2679267866173312E-3</v>
      </c>
      <c r="BH196" s="47">
        <f>_xll.qlPolynomialFunctionValue(BH$1,$BD196,AllTriggers)</f>
        <v>3.2512938901299387E-3</v>
      </c>
      <c r="BI196" s="47">
        <f>_xll.qlPolynomialFunctionValue(BI$1,$BD196,AllTriggers)</f>
        <v>3.2640080802948512E-3</v>
      </c>
      <c r="BJ196" s="47">
        <f>_xll.qlPolynomialFunctionValue(BJ$1,$BD196,AllTriggers)</f>
        <v>3.2582008642283696E-3</v>
      </c>
      <c r="BK196" s="47">
        <f>_xll.qlPolynomialFunctionValue(BK$1,$BD196,AllTriggers)</f>
        <v>3.2694473687671652E-3</v>
      </c>
      <c r="BL196" s="47">
        <f>_xll.qlPolynomialFunctionValue(BL$1,$BD196,AllTriggers)</f>
        <v>3.2523104703963044E-3</v>
      </c>
      <c r="BM196" s="47">
        <f>_xll.qlPolynomialFunctionValue(BM$1,$BD196,AllTriggers)</f>
        <v>3.2718299502150121E-3</v>
      </c>
      <c r="BN196" s="47">
        <f>_xll.qlPolynomialFunctionValue(BN$1,$BD196,AllTriggers)</f>
        <v>3.2594241074633034E-3</v>
      </c>
      <c r="BO196" s="47">
        <f>_xll.qlPolynomialFunctionValue(BO$1,$BD196,AllTriggers)</f>
        <v>3.2691145272166458E-3</v>
      </c>
      <c r="BP196" s="47">
        <f>_xll.qlPolynomialFunctionValue(BP$1,$BD196,AllTriggers)</f>
        <v>3.2656196276051957E-3</v>
      </c>
      <c r="BQ196" s="47">
        <f>_xll.qlPolynomialFunctionValue('12MSynthDepo_used'!$P$18,BD196,AllTriggers)</f>
        <v>3.2784352803168337E-3</v>
      </c>
    </row>
    <row r="197" spans="55:69" x14ac:dyDescent="0.2">
      <c r="BC197" s="178">
        <f>_xll.qlCalendarAdvance(Calendar,BC196,"1d","mf",,Trigger)</f>
        <v>42552</v>
      </c>
      <c r="BD197" s="41">
        <f>_xll.qlDayCounterYearFraction(DayCounter,SettlementDate,BC197,,,Trigger)</f>
        <v>0.7583333333333333</v>
      </c>
      <c r="BE197" s="47">
        <f>_xll.qlPolynomialFunctionValue(BE$1,$BD197,AllTriggers)</f>
        <v>3.2625607364111004E-3</v>
      </c>
      <c r="BF197" s="47">
        <f>_xll.qlPolynomialFunctionValue(BF$1,$BD197,AllTriggers)</f>
        <v>3.2549758114192987E-3</v>
      </c>
      <c r="BG197" s="47">
        <f>_xll.qlPolynomialFunctionValue(BG$1,$BD197,AllTriggers)</f>
        <v>3.2695258634687016E-3</v>
      </c>
      <c r="BH197" s="47">
        <f>_xll.qlPolynomialFunctionValue(BH$1,$BD197,AllTriggers)</f>
        <v>3.2529693550273362E-3</v>
      </c>
      <c r="BI197" s="47">
        <f>_xll.qlPolynomialFunctionValue(BI$1,$BD197,AllTriggers)</f>
        <v>3.2655152929246612E-3</v>
      </c>
      <c r="BJ197" s="47">
        <f>_xll.qlPolynomialFunctionValue(BJ$1,$BD197,AllTriggers)</f>
        <v>3.2598548840839466E-3</v>
      </c>
      <c r="BK197" s="47">
        <f>_xll.qlPolynomialFunctionValue(BK$1,$BD197,AllTriggers)</f>
        <v>3.2710483622327051E-3</v>
      </c>
      <c r="BL197" s="47">
        <f>_xll.qlPolynomialFunctionValue(BL$1,$BD197,AllTriggers)</f>
        <v>3.2539922629984922E-3</v>
      </c>
      <c r="BM197" s="47">
        <f>_xll.qlPolynomialFunctionValue(BM$1,$BD197,AllTriggers)</f>
        <v>3.2735193473595304E-3</v>
      </c>
      <c r="BN197" s="47">
        <f>_xll.qlPolynomialFunctionValue(BN$1,$BD197,AllTriggers)</f>
        <v>3.261068769198953E-3</v>
      </c>
      <c r="BO197" s="47">
        <f>_xll.qlPolynomialFunctionValue(BO$1,$BD197,AllTriggers)</f>
        <v>3.2708480446204447E-3</v>
      </c>
      <c r="BP197" s="47">
        <f>_xll.qlPolynomialFunctionValue(BP$1,$BD197,AllTriggers)</f>
        <v>3.2673300647616033E-3</v>
      </c>
      <c r="BQ197" s="47">
        <f>_xll.qlPolynomialFunctionValue('12MSynthDepo_used'!$P$18,BD197,AllTriggers)</f>
        <v>3.2801519251412486E-3</v>
      </c>
    </row>
    <row r="198" spans="55:69" x14ac:dyDescent="0.2">
      <c r="BC198" s="178">
        <f>_xll.qlCalendarAdvance(Calendar,BC197,"1d","mf",,Trigger)</f>
        <v>42555</v>
      </c>
      <c r="BD198" s="41">
        <f>_xll.qlDayCounterYearFraction(DayCounter,SettlementDate,BC198,,,Trigger)</f>
        <v>0.76666666666666672</v>
      </c>
      <c r="BE198" s="47">
        <f>_xll.qlPolynomialFunctionValue(BE$1,$BD198,AllTriggers)</f>
        <v>3.2670007809622592E-3</v>
      </c>
      <c r="BF198" s="47">
        <f>_xll.qlPolynomialFunctionValue(BF$1,$BD198,AllTriggers)</f>
        <v>3.2599896334858406E-3</v>
      </c>
      <c r="BG198" s="47">
        <f>_xll.qlPolynomialFunctionValue(BG$1,$BD198,AllTriggers)</f>
        <v>3.2743230940228143E-3</v>
      </c>
      <c r="BH198" s="47">
        <f>_xll.qlPolynomialFunctionValue(BH$1,$BD198,AllTriggers)</f>
        <v>3.2580130451261768E-3</v>
      </c>
      <c r="BI198" s="47">
        <f>_xll.qlPolynomialFunctionValue(BI$1,$BD198,AllTriggers)</f>
        <v>3.2700369308140912E-3</v>
      </c>
      <c r="BJ198" s="47">
        <f>_xll.qlPolynomialFunctionValue(BJ$1,$BD198,AllTriggers)</f>
        <v>3.2648287272929082E-3</v>
      </c>
      <c r="BK198" s="47">
        <f>_xll.qlPolynomialFunctionValue(BK$1,$BD198,AllTriggers)</f>
        <v>3.275851342629324E-3</v>
      </c>
      <c r="BL198" s="47">
        <f>_xll.qlPolynomialFunctionValue(BL$1,$BD198,AllTriggers)</f>
        <v>3.2590555961687535E-3</v>
      </c>
      <c r="BM198" s="47">
        <f>_xll.qlPolynomialFunctionValue(BM$1,$BD198,AllTriggers)</f>
        <v>3.2785875387930851E-3</v>
      </c>
      <c r="BN198" s="47">
        <f>_xll.qlPolynomialFunctionValue(BN$1,$BD198,AllTriggers)</f>
        <v>3.2660109720849622E-3</v>
      </c>
      <c r="BO198" s="47">
        <f>_xll.qlPolynomialFunctionValue(BO$1,$BD198,AllTriggers)</f>
        <v>3.2760485968318419E-3</v>
      </c>
      <c r="BP198" s="47">
        <f>_xll.qlPolynomialFunctionValue(BP$1,$BD198,AllTriggers)</f>
        <v>3.2724640408396673E-3</v>
      </c>
      <c r="BQ198" s="47">
        <f>_xll.qlPolynomialFunctionValue('12MSynthDepo_used'!$P$18,BD198,AllTriggers)</f>
        <v>3.2853022868468184E-3</v>
      </c>
    </row>
    <row r="199" spans="55:69" x14ac:dyDescent="0.2">
      <c r="BC199" s="178">
        <f>_xll.qlCalendarAdvance(Calendar,BC198,"1d","mf",,Trigger)</f>
        <v>42556</v>
      </c>
      <c r="BD199" s="41">
        <f>_xll.qlDayCounterYearFraction(DayCounter,SettlementDate,BC199,,,Trigger)</f>
        <v>0.76944444444444449</v>
      </c>
      <c r="BE199" s="47">
        <f>_xll.qlPolynomialFunctionValue(BE$1,$BD199,AllTriggers)</f>
        <v>3.2684807958126452E-3</v>
      </c>
      <c r="BF199" s="47">
        <f>_xll.qlPolynomialFunctionValue(BF$1,$BD199,AllTriggers)</f>
        <v>3.2616659739761484E-3</v>
      </c>
      <c r="BG199" s="47">
        <f>_xll.qlPolynomialFunctionValue(BG$1,$BD199,AllTriggers)</f>
        <v>3.2759221708741851E-3</v>
      </c>
      <c r="BH199" s="47">
        <f>_xll.qlPolynomialFunctionValue(BH$1,$BD199,AllTriggers)</f>
        <v>3.2597000402946729E-3</v>
      </c>
      <c r="BI199" s="47">
        <f>_xll.qlPolynomialFunctionValue(BI$1,$BD199,AllTriggers)</f>
        <v>3.2715441434439012E-3</v>
      </c>
      <c r="BJ199" s="47">
        <f>_xll.qlPolynomialFunctionValue(BJ$1,$BD199,AllTriggers)</f>
        <v>3.2664906029099723E-3</v>
      </c>
      <c r="BK199" s="47">
        <f>_xll.qlPolynomialFunctionValue(BK$1,$BD199,AllTriggers)</f>
        <v>3.2774523360948635E-3</v>
      </c>
      <c r="BL199" s="47">
        <f>_xll.qlPolynomialFunctionValue(BL$1,$BD199,AllTriggers)</f>
        <v>3.2607493590134078E-3</v>
      </c>
      <c r="BM199" s="47">
        <f>_xll.qlPolynomialFunctionValue(BM$1,$BD199,AllTriggers)</f>
        <v>3.2802769359376034E-3</v>
      </c>
      <c r="BN199" s="47">
        <f>_xll.qlPolynomialFunctionValue(BN$1,$BD199,AllTriggers)</f>
        <v>3.2676611122733194E-3</v>
      </c>
      <c r="BO199" s="47">
        <f>_xll.qlPolynomialFunctionValue(BO$1,$BD199,AllTriggers)</f>
        <v>3.2777821142356413E-3</v>
      </c>
      <c r="BP199" s="47">
        <f>_xll.qlPolynomialFunctionValue(BP$1,$BD199,AllTriggers)</f>
        <v>3.2741762544019688E-3</v>
      </c>
      <c r="BQ199" s="47">
        <f>_xll.qlPolynomialFunctionValue('12MSynthDepo_used'!$P$18,BD199,AllTriggers)</f>
        <v>3.2870192010735579E-3</v>
      </c>
    </row>
    <row r="200" spans="55:69" x14ac:dyDescent="0.2">
      <c r="BC200" s="178">
        <f>_xll.qlCalendarAdvance(Calendar,BC199,"1d","mf",,Trigger)</f>
        <v>42557</v>
      </c>
      <c r="BD200" s="41">
        <f>_xll.qlDayCounterYearFraction(DayCounter,SettlementDate,BC200,,,Trigger)</f>
        <v>0.77222222222222225</v>
      </c>
      <c r="BE200" s="47">
        <f>_xll.qlPolynomialFunctionValue(BE$1,$BD200,AllTriggers)</f>
        <v>3.2699608106630312E-3</v>
      </c>
      <c r="BF200" s="47">
        <f>_xll.qlPolynomialFunctionValue(BF$1,$BD200,AllTriggers)</f>
        <v>3.2633448477005196E-3</v>
      </c>
      <c r="BG200" s="47">
        <f>_xll.qlPolynomialFunctionValue(BG$1,$BD200,AllTriggers)</f>
        <v>3.277521247725556E-3</v>
      </c>
      <c r="BH200" s="47">
        <f>_xll.qlPolynomialFunctionValue(BH$1,$BD200,AllTriggers)</f>
        <v>3.2613899180309438E-3</v>
      </c>
      <c r="BI200" s="47">
        <f>_xll.qlPolynomialFunctionValue(BI$1,$BD200,AllTriggers)</f>
        <v>3.2730513560737112E-3</v>
      </c>
      <c r="BJ200" s="47">
        <f>_xll.qlPolynomialFunctionValue(BJ$1,$BD200,AllTriggers)</f>
        <v>3.2681544424674083E-3</v>
      </c>
      <c r="BK200" s="47">
        <f>_xll.qlPolynomialFunctionValue(BK$1,$BD200,AllTriggers)</f>
        <v>3.2790533295604029E-3</v>
      </c>
      <c r="BL200" s="47">
        <f>_xll.qlPolynomialFunctionValue(BL$1,$BD200,AllTriggers)</f>
        <v>3.2624461144186777E-3</v>
      </c>
      <c r="BM200" s="47">
        <f>_xll.qlPolynomialFunctionValue(BM$1,$BD200,AllTriggers)</f>
        <v>3.2819663330821212E-3</v>
      </c>
      <c r="BN200" s="47">
        <f>_xll.qlPolynomialFunctionValue(BN$1,$BD200,AllTriggers)</f>
        <v>3.2693126220748529E-3</v>
      </c>
      <c r="BO200" s="47">
        <f>_xll.qlPolynomialFunctionValue(BO$1,$BD200,AllTriggers)</f>
        <v>3.2795156316394402E-3</v>
      </c>
      <c r="BP200" s="47">
        <f>_xll.qlPolynomialFunctionValue(BP$1,$BD200,AllTriggers)</f>
        <v>3.2758889120657435E-3</v>
      </c>
      <c r="BQ200" s="47">
        <f>_xll.qlPolynomialFunctionValue('12MSynthDepo_used'!$P$18,BD200,AllTriggers)</f>
        <v>3.2887361710864618E-3</v>
      </c>
    </row>
    <row r="201" spans="55:69" x14ac:dyDescent="0.2">
      <c r="BC201" s="178">
        <f>_xll.qlCalendarAdvance(Calendar,BC200,"1d","mf",,Trigger)</f>
        <v>42558</v>
      </c>
      <c r="BD201" s="41">
        <f>_xll.qlDayCounterYearFraction(DayCounter,SettlementDate,BC201,,,Trigger)</f>
        <v>0.77500000000000002</v>
      </c>
      <c r="BE201" s="47">
        <f>_xll.qlPolynomialFunctionValue(BE$1,$BD201,AllTriggers)</f>
        <v>3.2714408255134176E-3</v>
      </c>
      <c r="BF201" s="47">
        <f>_xll.qlPolynomialFunctionValue(BF$1,$BD201,AllTriggers)</f>
        <v>3.2650262546589544E-3</v>
      </c>
      <c r="BG201" s="47">
        <f>_xll.qlPolynomialFunctionValue(BG$1,$BD201,AllTriggers)</f>
        <v>3.2791203245769265E-3</v>
      </c>
      <c r="BH201" s="47">
        <f>_xll.qlPolynomialFunctionValue(BH$1,$BD201,AllTriggers)</f>
        <v>3.2630826783349889E-3</v>
      </c>
      <c r="BI201" s="47">
        <f>_xll.qlPolynomialFunctionValue(BI$1,$BD201,AllTriggers)</f>
        <v>3.2745585687035212E-3</v>
      </c>
      <c r="BJ201" s="47">
        <f>_xll.qlPolynomialFunctionValue(BJ$1,$BD201,AllTriggers)</f>
        <v>3.2698202459652157E-3</v>
      </c>
      <c r="BK201" s="47">
        <f>_xll.qlPolynomialFunctionValue(BK$1,$BD201,AllTriggers)</f>
        <v>3.2806543230259428E-3</v>
      </c>
      <c r="BL201" s="47">
        <f>_xll.qlPolynomialFunctionValue(BL$1,$BD201,AllTriggers)</f>
        <v>3.2641458623845652E-3</v>
      </c>
      <c r="BM201" s="47">
        <f>_xll.qlPolynomialFunctionValue(BM$1,$BD201,AllTriggers)</f>
        <v>3.2836557302266395E-3</v>
      </c>
      <c r="BN201" s="47">
        <f>_xll.qlPolynomialFunctionValue(BN$1,$BD201,AllTriggers)</f>
        <v>3.2709655014895637E-3</v>
      </c>
      <c r="BO201" s="47">
        <f>_xll.qlPolynomialFunctionValue(BO$1,$BD201,AllTriggers)</f>
        <v>3.2812491490432395E-3</v>
      </c>
      <c r="BP201" s="47">
        <f>_xll.qlPolynomialFunctionValue(BP$1,$BD201,AllTriggers)</f>
        <v>3.2776020138309912E-3</v>
      </c>
      <c r="BQ201" s="47">
        <f>_xll.qlPolynomialFunctionValue('12MSynthDepo_used'!$P$18,BD201,AllTriggers)</f>
        <v>3.2904531922597598E-3</v>
      </c>
    </row>
    <row r="202" spans="55:69" x14ac:dyDescent="0.2">
      <c r="BC202" s="178">
        <f>_xll.qlCalendarAdvance(Calendar,BC201,"1d","mf",,Trigger)</f>
        <v>42559</v>
      </c>
      <c r="BD202" s="41">
        <f>_xll.qlDayCounterYearFraction(DayCounter,SettlementDate,BC202,,,Trigger)</f>
        <v>0.77777777777777779</v>
      </c>
      <c r="BE202" s="47">
        <f>_xll.qlPolynomialFunctionValue(BE$1,$BD202,AllTriggers)</f>
        <v>3.2729208403638036E-3</v>
      </c>
      <c r="BF202" s="47">
        <f>_xll.qlPolynomialFunctionValue(BF$1,$BD202,AllTriggers)</f>
        <v>3.2667101948514517E-3</v>
      </c>
      <c r="BG202" s="47">
        <f>_xll.qlPolynomialFunctionValue(BG$1,$BD202,AllTriggers)</f>
        <v>3.2807194014282974E-3</v>
      </c>
      <c r="BH202" s="47">
        <f>_xll.qlPolynomialFunctionValue(BH$1,$BD202,AllTriggers)</f>
        <v>3.2647783212068084E-3</v>
      </c>
      <c r="BI202" s="47">
        <f>_xll.qlPolynomialFunctionValue(BI$1,$BD202,AllTriggers)</f>
        <v>3.2760657813333312E-3</v>
      </c>
      <c r="BJ202" s="47">
        <f>_xll.qlPolynomialFunctionValue(BJ$1,$BD202,AllTriggers)</f>
        <v>3.2714880134033946E-3</v>
      </c>
      <c r="BK202" s="47">
        <f>_xll.qlPolynomialFunctionValue(BK$1,$BD202,AllTriggers)</f>
        <v>3.2822553164914823E-3</v>
      </c>
      <c r="BL202" s="47">
        <f>_xll.qlPolynomialFunctionValue(BL$1,$BD202,AllTriggers)</f>
        <v>3.2658486029110687E-3</v>
      </c>
      <c r="BM202" s="47">
        <f>_xll.qlPolynomialFunctionValue(BM$1,$BD202,AllTriggers)</f>
        <v>3.2853451273711577E-3</v>
      </c>
      <c r="BN202" s="47">
        <f>_xll.qlPolynomialFunctionValue(BN$1,$BD202,AllTriggers)</f>
        <v>3.2726197505174512E-3</v>
      </c>
      <c r="BO202" s="47">
        <f>_xll.qlPolynomialFunctionValue(BO$1,$BD202,AllTriggers)</f>
        <v>3.2829826664470384E-3</v>
      </c>
      <c r="BP202" s="47">
        <f>_xll.qlPolynomialFunctionValue(BP$1,$BD202,AllTriggers)</f>
        <v>3.2793155596977123E-3</v>
      </c>
      <c r="BQ202" s="47">
        <f>_xll.qlPolynomialFunctionValue('12MSynthDepo_used'!$P$18,BD202,AllTriggers)</f>
        <v>3.2921702599676868E-3</v>
      </c>
    </row>
    <row r="203" spans="55:69" x14ac:dyDescent="0.2">
      <c r="BC203" s="178">
        <f>_xll.qlCalendarAdvance(Calendar,BC202,"1d","mf",,Trigger)</f>
        <v>42562</v>
      </c>
      <c r="BD203" s="41">
        <f>_xll.qlDayCounterYearFraction(DayCounter,SettlementDate,BC203,,,Trigger)</f>
        <v>0.78611111111111109</v>
      </c>
      <c r="BE203" s="47">
        <f>_xll.qlPolynomialFunctionValue(BE$1,$BD203,AllTriggers)</f>
        <v>3.2773608849149625E-3</v>
      </c>
      <c r="BF203" s="47">
        <f>_xll.qlPolynomialFunctionValue(BF$1,$BD203,AllTriggers)</f>
        <v>3.2717772148333274E-3</v>
      </c>
      <c r="BG203" s="47">
        <f>_xll.qlPolynomialFunctionValue(BG$1,$BD203,AllTriggers)</f>
        <v>3.28551663198241E-3</v>
      </c>
      <c r="BH203" s="47">
        <f>_xll.qlPolynomialFunctionValue(BH$1,$BD203,AllTriggers)</f>
        <v>3.2698825452289158E-3</v>
      </c>
      <c r="BI203" s="47">
        <f>_xll.qlPolynomialFunctionValue(BI$1,$BD203,AllTriggers)</f>
        <v>3.2805874192227608E-3</v>
      </c>
      <c r="BJ203" s="47">
        <f>_xll.qlPolynomialFunctionValue(BJ$1,$BD203,AllTriggers)</f>
        <v>3.2765030993601629E-3</v>
      </c>
      <c r="BK203" s="47">
        <f>_xll.qlPolynomialFunctionValue(BK$1,$BD203,AllTriggers)</f>
        <v>3.2870582968881012E-3</v>
      </c>
      <c r="BL203" s="47">
        <f>_xll.qlPolynomialFunctionValue(BL$1,$BD203,AllTriggers)</f>
        <v>3.2709747798542787E-3</v>
      </c>
      <c r="BM203" s="47">
        <f>_xll.qlPolynomialFunctionValue(BM$1,$BD203,AllTriggers)</f>
        <v>3.2904133188047125E-3</v>
      </c>
      <c r="BN203" s="47">
        <f>_xll.qlPolynomialFunctionValue(BN$1,$BD203,AllTriggers)</f>
        <v>3.2775907152801762E-3</v>
      </c>
      <c r="BO203" s="47">
        <f>_xll.qlPolynomialFunctionValue(BO$1,$BD203,AllTriggers)</f>
        <v>3.2881832186584356E-3</v>
      </c>
      <c r="BP203" s="47">
        <f>_xll.qlPolynomialFunctionValue(BP$1,$BD203,AllTriggers)</f>
        <v>3.2844588619067158E-3</v>
      </c>
      <c r="BQ203" s="47">
        <f>_xll.qlPolynomialFunctionValue('12MSynthDepo_used'!$P$18,BD203,AllTriggers)</f>
        <v>3.2973216960415605E-3</v>
      </c>
    </row>
    <row r="204" spans="55:69" x14ac:dyDescent="0.2">
      <c r="BC204" s="178">
        <f>_xll.qlCalendarAdvance(Calendar,BC203,"1d","mf",,Trigger)</f>
        <v>42563</v>
      </c>
      <c r="BD204" s="41">
        <f>_xll.qlDayCounterYearFraction(DayCounter,SettlementDate,BC204,,,Trigger)</f>
        <v>0.78888888888888886</v>
      </c>
      <c r="BE204" s="47">
        <f>_xll.qlPolynomialFunctionValue(BE$1,$BD204,AllTriggers)</f>
        <v>3.2788408997653485E-3</v>
      </c>
      <c r="BF204" s="47">
        <f>_xll.qlPolynomialFunctionValue(BF$1,$BD204,AllTriggers)</f>
        <v>3.2734712879620791E-3</v>
      </c>
      <c r="BG204" s="47">
        <f>_xll.qlPolynomialFunctionValue(BG$1,$BD204,AllTriggers)</f>
        <v>3.2871157088337809E-3</v>
      </c>
      <c r="BH204" s="47">
        <f>_xll.qlPolynomialFunctionValue(BH$1,$BD204,AllTriggers)</f>
        <v>3.2715897183718339E-3</v>
      </c>
      <c r="BI204" s="47">
        <f>_xll.qlPolynomialFunctionValue(BI$1,$BD204,AllTriggers)</f>
        <v>3.2820946318525709E-3</v>
      </c>
      <c r="BJ204" s="47">
        <f>_xll.qlPolynomialFunctionValue(BJ$1,$BD204,AllTriggers)</f>
        <v>3.2781787225598298E-3</v>
      </c>
      <c r="BK204" s="47">
        <f>_xll.qlPolynomialFunctionValue(BK$1,$BD204,AllTriggers)</f>
        <v>3.2886592903536406E-3</v>
      </c>
      <c r="BL204" s="47">
        <f>_xll.qlPolynomialFunctionValue(BL$1,$BD204,AllTriggers)</f>
        <v>3.2726894906232487E-3</v>
      </c>
      <c r="BM204" s="47">
        <f>_xll.qlPolynomialFunctionValue(BM$1,$BD204,AllTriggers)</f>
        <v>3.2921027159492303E-3</v>
      </c>
      <c r="BN204" s="47">
        <f>_xll.qlPolynomialFunctionValue(BN$1,$BD204,AllTriggers)</f>
        <v>3.2792504427607717E-3</v>
      </c>
      <c r="BO204" s="47">
        <f>_xll.qlPolynomialFunctionValue(BO$1,$BD204,AllTriggers)</f>
        <v>3.2899167360622345E-3</v>
      </c>
      <c r="BP204" s="47">
        <f>_xll.qlPolynomialFunctionValue(BP$1,$BD204,AllTriggers)</f>
        <v>3.2861741841793304E-3</v>
      </c>
      <c r="BQ204" s="47">
        <f>_xll.qlPolynomialFunctionValue('12MSynthDepo_used'!$P$18,BD204,AllTriggers)</f>
        <v>3.2990389036303244E-3</v>
      </c>
    </row>
    <row r="205" spans="55:69" x14ac:dyDescent="0.2">
      <c r="BC205" s="178">
        <f>_xll.qlCalendarAdvance(Calendar,BC204,"1d","mf",,Trigger)</f>
        <v>42564</v>
      </c>
      <c r="BD205" s="41">
        <f>_xll.qlDayCounterYearFraction(DayCounter,SettlementDate,BC205,,,Trigger)</f>
        <v>0.79166666666666663</v>
      </c>
      <c r="BE205" s="47">
        <f>_xll.qlPolynomialFunctionValue(BE$1,$BD205,AllTriggers)</f>
        <v>3.2803209146157345E-3</v>
      </c>
      <c r="BF205" s="47">
        <f>_xll.qlPolynomialFunctionValue(BF$1,$BD205,AllTriggers)</f>
        <v>3.2751678943248948E-3</v>
      </c>
      <c r="BG205" s="47">
        <f>_xll.qlPolynomialFunctionValue(BG$1,$BD205,AllTriggers)</f>
        <v>3.2887147856851514E-3</v>
      </c>
      <c r="BH205" s="47">
        <f>_xll.qlPolynomialFunctionValue(BH$1,$BD205,AllTriggers)</f>
        <v>3.2732997740825267E-3</v>
      </c>
      <c r="BI205" s="47">
        <f>_xll.qlPolynomialFunctionValue(BI$1,$BD205,AllTriggers)</f>
        <v>3.2836018444823809E-3</v>
      </c>
      <c r="BJ205" s="47">
        <f>_xll.qlPolynomialFunctionValue(BJ$1,$BD205,AllTriggers)</f>
        <v>3.2798563096998676E-3</v>
      </c>
      <c r="BK205" s="47">
        <f>_xll.qlPolynomialFunctionValue(BK$1,$BD205,AllTriggers)</f>
        <v>3.2902602838191801E-3</v>
      </c>
      <c r="BL205" s="47">
        <f>_xll.qlPolynomialFunctionValue(BL$1,$BD205,AllTriggers)</f>
        <v>3.2744071939528351E-3</v>
      </c>
      <c r="BM205" s="47">
        <f>_xll.qlPolynomialFunctionValue(BM$1,$BD205,AllTriggers)</f>
        <v>3.2937921130937486E-3</v>
      </c>
      <c r="BN205" s="47">
        <f>_xll.qlPolynomialFunctionValue(BN$1,$BD205,AllTriggers)</f>
        <v>3.280911539854544E-3</v>
      </c>
      <c r="BO205" s="47">
        <f>_xll.qlPolynomialFunctionValue(BO$1,$BD205,AllTriggers)</f>
        <v>3.2916502534660339E-3</v>
      </c>
      <c r="BP205" s="47">
        <f>_xll.qlPolynomialFunctionValue(BP$1,$BD205,AllTriggers)</f>
        <v>3.2878899505534181E-3</v>
      </c>
      <c r="BQ205" s="47">
        <f>_xll.qlPolynomialFunctionValue('12MSynthDepo_used'!$P$18,BD205,AllTriggers)</f>
        <v>3.3007561346248804E-3</v>
      </c>
    </row>
    <row r="206" spans="55:69" x14ac:dyDescent="0.2">
      <c r="BC206" s="178">
        <f>_xll.qlCalendarAdvance(Calendar,BC205,"1d","mf",,Trigger)</f>
        <v>42565</v>
      </c>
      <c r="BD206" s="41">
        <f>_xll.qlDayCounterYearFraction(DayCounter,SettlementDate,BC206,,,Trigger)</f>
        <v>0.7944444444444444</v>
      </c>
      <c r="BE206" s="47">
        <f>_xll.qlPolynomialFunctionValue(BE$1,$BD206,AllTriggers)</f>
        <v>3.2818009294661209E-3</v>
      </c>
      <c r="BF206" s="47">
        <f>_xll.qlPolynomialFunctionValue(BF$1,$BD206,AllTriggers)</f>
        <v>3.276867033921774E-3</v>
      </c>
      <c r="BG206" s="47">
        <f>_xll.qlPolynomialFunctionValue(BG$1,$BD206,AllTriggers)</f>
        <v>3.2903138625365222E-3</v>
      </c>
      <c r="BH206" s="47">
        <f>_xll.qlPolynomialFunctionValue(BH$1,$BD206,AllTriggers)</f>
        <v>3.2750127123609939E-3</v>
      </c>
      <c r="BI206" s="47">
        <f>_xll.qlPolynomialFunctionValue(BI$1,$BD206,AllTriggers)</f>
        <v>3.2851090571121909E-3</v>
      </c>
      <c r="BJ206" s="47">
        <f>_xll.qlPolynomialFunctionValue(BJ$1,$BD206,AllTriggers)</f>
        <v>3.2815358607802773E-3</v>
      </c>
      <c r="BK206" s="47">
        <f>_xll.qlPolynomialFunctionValue(BK$1,$BD206,AllTriggers)</f>
        <v>3.2918612772847196E-3</v>
      </c>
      <c r="BL206" s="47">
        <f>_xll.qlPolynomialFunctionValue(BL$1,$BD206,AllTriggers)</f>
        <v>3.276127889843038E-3</v>
      </c>
      <c r="BM206" s="47">
        <f>_xll.qlPolynomialFunctionValue(BM$1,$BD206,AllTriggers)</f>
        <v>3.2954815102382668E-3</v>
      </c>
      <c r="BN206" s="47">
        <f>_xll.qlPolynomialFunctionValue(BN$1,$BD206,AllTriggers)</f>
        <v>3.282574006561493E-3</v>
      </c>
      <c r="BO206" s="47">
        <f>_xll.qlPolynomialFunctionValue(BO$1,$BD206,AllTriggers)</f>
        <v>3.2933837708698328E-3</v>
      </c>
      <c r="BP206" s="47">
        <f>_xll.qlPolynomialFunctionValue(BP$1,$BD206,AllTriggers)</f>
        <v>3.2896061610289793E-3</v>
      </c>
      <c r="BQ206" s="47">
        <f>_xll.qlPolynomialFunctionValue('12MSynthDepo_used'!$P$18,BD206,AllTriggers)</f>
        <v>3.3024733843994591E-3</v>
      </c>
    </row>
    <row r="207" spans="55:69" x14ac:dyDescent="0.2">
      <c r="BC207" s="178">
        <f>_xll.qlCalendarAdvance(Calendar,BC206,"1d","mf",,Trigger)</f>
        <v>42566</v>
      </c>
      <c r="BD207" s="41">
        <f>_xll.qlDayCounterYearFraction(DayCounter,SettlementDate,BC207,,,Trigger)</f>
        <v>0.79722222222222228</v>
      </c>
      <c r="BE207" s="47">
        <f>_xll.qlPolynomialFunctionValue(BE$1,$BD207,AllTriggers)</f>
        <v>3.2832809443165069E-3</v>
      </c>
      <c r="BF207" s="47">
        <f>_xll.qlPolynomialFunctionValue(BF$1,$BD207,AllTriggers)</f>
        <v>3.2785687067527166E-3</v>
      </c>
      <c r="BG207" s="47">
        <f>_xll.qlPolynomialFunctionValue(BG$1,$BD207,AllTriggers)</f>
        <v>3.2919129393878931E-3</v>
      </c>
      <c r="BH207" s="47">
        <f>_xll.qlPolynomialFunctionValue(BH$1,$BD207,AllTriggers)</f>
        <v>3.2767285332072358E-3</v>
      </c>
      <c r="BI207" s="47">
        <f>_xll.qlPolynomialFunctionValue(BI$1,$BD207,AllTriggers)</f>
        <v>3.2866162697420009E-3</v>
      </c>
      <c r="BJ207" s="47">
        <f>_xll.qlPolynomialFunctionValue(BJ$1,$BD207,AllTriggers)</f>
        <v>3.2832173758010588E-3</v>
      </c>
      <c r="BK207" s="47">
        <f>_xll.qlPolynomialFunctionValue(BK$1,$BD207,AllTriggers)</f>
        <v>3.2934622707502595E-3</v>
      </c>
      <c r="BL207" s="47">
        <f>_xll.qlPolynomialFunctionValue(BL$1,$BD207,AllTriggers)</f>
        <v>3.2778515782938577E-3</v>
      </c>
      <c r="BM207" s="47">
        <f>_xll.qlPolynomialFunctionValue(BM$1,$BD207,AllTriggers)</f>
        <v>3.2971709073827851E-3</v>
      </c>
      <c r="BN207" s="47">
        <f>_xll.qlPolynomialFunctionValue(BN$1,$BD207,AllTriggers)</f>
        <v>3.2842378428816193E-3</v>
      </c>
      <c r="BO207" s="47">
        <f>_xll.qlPolynomialFunctionValue(BO$1,$BD207,AllTriggers)</f>
        <v>3.2951172882736317E-3</v>
      </c>
      <c r="BP207" s="47">
        <f>_xll.qlPolynomialFunctionValue(BP$1,$BD207,AllTriggers)</f>
        <v>3.2913228156060139E-3</v>
      </c>
      <c r="BQ207" s="47">
        <f>_xll.qlPolynomialFunctionValue('12MSynthDepo_used'!$P$18,BD207,AllTriggers)</f>
        <v>3.3041906483282941E-3</v>
      </c>
    </row>
    <row r="208" spans="55:69" x14ac:dyDescent="0.2">
      <c r="BC208" s="178">
        <f>_xll.qlCalendarAdvance(Calendar,BC207,"1d","mf",,Trigger)</f>
        <v>42569</v>
      </c>
      <c r="BD208" s="41">
        <f>_xll.qlDayCounterYearFraction(DayCounter,SettlementDate,BC208,,,Trigger)</f>
        <v>0.80555555555555558</v>
      </c>
      <c r="BE208" s="47">
        <f>_xll.qlPolynomialFunctionValue(BE$1,$BD208,AllTriggers)</f>
        <v>3.2877209888676658E-3</v>
      </c>
      <c r="BF208" s="47">
        <f>_xll.qlPolynomialFunctionValue(BF$1,$BD208,AllTriggers)</f>
        <v>3.283688924649926E-3</v>
      </c>
      <c r="BG208" s="47">
        <f>_xll.qlPolynomialFunctionValue(BG$1,$BD208,AllTriggers)</f>
        <v>3.2967101699420054E-3</v>
      </c>
      <c r="BH208" s="47">
        <f>_xll.qlPolynomialFunctionValue(BH$1,$BD208,AllTriggers)</f>
        <v>3.2818932911526095E-3</v>
      </c>
      <c r="BI208" s="47">
        <f>_xll.qlPolynomialFunctionValue(BI$1,$BD208,AllTriggers)</f>
        <v>3.2911379076314309E-3</v>
      </c>
      <c r="BJ208" s="47">
        <f>_xll.qlPolynomialFunctionValue(BJ$1,$BD208,AllTriggers)</f>
        <v>3.2882737045056339E-3</v>
      </c>
      <c r="BK208" s="47">
        <f>_xll.qlPolynomialFunctionValue(BK$1,$BD208,AllTriggers)</f>
        <v>3.2982652511468783E-3</v>
      </c>
      <c r="BL208" s="47">
        <f>_xll.qlPolynomialFunctionValue(BL$1,$BD208,AllTriggers)</f>
        <v>3.2830405990100162E-3</v>
      </c>
      <c r="BM208" s="47">
        <f>_xll.qlPolynomialFunctionValue(BM$1,$BD208,AllTriggers)</f>
        <v>3.3022390988163399E-3</v>
      </c>
      <c r="BN208" s="47">
        <f>_xll.qlPolynomialFunctionValue(BN$1,$BD208,AllTriggers)</f>
        <v>3.2892375695210592E-3</v>
      </c>
      <c r="BO208" s="47">
        <f>_xll.qlPolynomialFunctionValue(BO$1,$BD208,AllTriggers)</f>
        <v>3.3003178404850293E-3</v>
      </c>
      <c r="BP208" s="47">
        <f>_xll.qlPolynomialFunctionValue(BP$1,$BD208,AllTriggers)</f>
        <v>3.2964754439459569E-3</v>
      </c>
      <c r="BQ208" s="47">
        <f>_xll.qlPolynomialFunctionValue('12MSynthDepo_used'!$P$18,BD208,AllTriggers)</f>
        <v>3.3093424787826618E-3</v>
      </c>
    </row>
    <row r="209" spans="55:69" x14ac:dyDescent="0.2">
      <c r="BC209" s="178">
        <f>_xll.qlCalendarAdvance(Calendar,BC208,"1d","mf",,Trigger)</f>
        <v>42570</v>
      </c>
      <c r="BD209" s="41">
        <f>_xll.qlDayCounterYearFraction(DayCounter,SettlementDate,BC209,,,Trigger)</f>
        <v>0.80833333333333335</v>
      </c>
      <c r="BE209" s="47">
        <f>_xll.qlPolynomialFunctionValue(BE$1,$BD209,AllTriggers)</f>
        <v>3.2892010037180518E-3</v>
      </c>
      <c r="BF209" s="47">
        <f>_xll.qlPolynomialFunctionValue(BF$1,$BD209,AllTriggers)</f>
        <v>3.2854007304171221E-3</v>
      </c>
      <c r="BG209" s="47">
        <f>_xll.qlPolynomialFunctionValue(BG$1,$BD209,AllTriggers)</f>
        <v>3.2983092467933762E-3</v>
      </c>
      <c r="BH209" s="47">
        <f>_xll.qlPolynomialFunctionValue(BH$1,$BD209,AllTriggers)</f>
        <v>3.2836206422699496E-3</v>
      </c>
      <c r="BI209" s="47">
        <f>_xll.qlPolynomialFunctionValue(BI$1,$BD209,AllTriggers)</f>
        <v>3.2926451202612409E-3</v>
      </c>
      <c r="BJ209" s="47">
        <f>_xll.qlPolynomialFunctionValue(BJ$1,$BD209,AllTriggers)</f>
        <v>3.2899630752879026E-3</v>
      </c>
      <c r="BK209" s="47">
        <f>_xll.qlPolynomialFunctionValue(BK$1,$BD209,AllTriggers)</f>
        <v>3.2998662446124178E-3</v>
      </c>
      <c r="BL209" s="47">
        <f>_xll.qlPolynomialFunctionValue(BL$1,$BD209,AllTriggers)</f>
        <v>3.2847762577033024E-3</v>
      </c>
      <c r="BM209" s="47">
        <f>_xll.qlPolynomialFunctionValue(BM$1,$BD209,AllTriggers)</f>
        <v>3.3039284959608577E-3</v>
      </c>
      <c r="BN209" s="47">
        <f>_xll.qlPolynomialFunctionValue(BN$1,$BD209,AllTriggers)</f>
        <v>3.290906884293893E-3</v>
      </c>
      <c r="BO209" s="47">
        <f>_xll.qlPolynomialFunctionValue(BO$1,$BD209,AllTriggers)</f>
        <v>3.3020513578888282E-3</v>
      </c>
      <c r="BP209" s="47">
        <f>_xll.qlPolynomialFunctionValue(BP$1,$BD209,AllTriggers)</f>
        <v>3.2981938749288842E-3</v>
      </c>
      <c r="BQ209" s="47">
        <f>_xll.qlPolynomialFunctionValue('12MSynthDepo_used'!$P$18,BD209,AllTriggers)</f>
        <v>3.3110597530708469E-3</v>
      </c>
    </row>
    <row r="210" spans="55:69" x14ac:dyDescent="0.2">
      <c r="BC210" s="178">
        <f>_xll.qlCalendarAdvance(Calendar,BC209,"1d","mf",,Trigger)</f>
        <v>42571</v>
      </c>
      <c r="BD210" s="41">
        <f>_xll.qlDayCounterYearFraction(DayCounter,SettlementDate,BC210,,,Trigger)</f>
        <v>0.81111111111111112</v>
      </c>
      <c r="BE210" s="47">
        <f>_xll.qlPolynomialFunctionValue(BE$1,$BD210,AllTriggers)</f>
        <v>3.2906810185684377E-3</v>
      </c>
      <c r="BF210" s="47">
        <f>_xll.qlPolynomialFunctionValue(BF$1,$BD210,AllTriggers)</f>
        <v>3.2871150694183822E-3</v>
      </c>
      <c r="BG210" s="47">
        <f>_xll.qlPolynomialFunctionValue(BG$1,$BD210,AllTriggers)</f>
        <v>3.2999083236447471E-3</v>
      </c>
      <c r="BH210" s="47">
        <f>_xll.qlPolynomialFunctionValue(BH$1,$BD210,AllTriggers)</f>
        <v>3.2853508759550652E-3</v>
      </c>
      <c r="BI210" s="47">
        <f>_xll.qlPolynomialFunctionValue(BI$1,$BD210,AllTriggers)</f>
        <v>3.2941523328910509E-3</v>
      </c>
      <c r="BJ210" s="47">
        <f>_xll.qlPolynomialFunctionValue(BJ$1,$BD210,AllTriggers)</f>
        <v>3.2916544100105426E-3</v>
      </c>
      <c r="BK210" s="47">
        <f>_xll.qlPolynomialFunctionValue(BK$1,$BD210,AllTriggers)</f>
        <v>3.3014672380779573E-3</v>
      </c>
      <c r="BL210" s="47">
        <f>_xll.qlPolynomialFunctionValue(BL$1,$BD210,AllTriggers)</f>
        <v>3.2865149089572046E-3</v>
      </c>
      <c r="BM210" s="47">
        <f>_xll.qlPolynomialFunctionValue(BM$1,$BD210,AllTriggers)</f>
        <v>3.305617893105376E-3</v>
      </c>
      <c r="BN210" s="47">
        <f>_xll.qlPolynomialFunctionValue(BN$1,$BD210,AllTriggers)</f>
        <v>3.2925775686799036E-3</v>
      </c>
      <c r="BO210" s="47">
        <f>_xll.qlPolynomialFunctionValue(BO$1,$BD210,AllTriggers)</f>
        <v>3.3037848752926272E-3</v>
      </c>
      <c r="BP210" s="47">
        <f>_xll.qlPolynomialFunctionValue(BP$1,$BD210,AllTriggers)</f>
        <v>3.2999127500132853E-3</v>
      </c>
      <c r="BQ210" s="47">
        <f>_xll.qlPolynomialFunctionValue('12MSynthDepo_used'!$P$18,BD210,AllTriggers)</f>
        <v>3.3127770183844513E-3</v>
      </c>
    </row>
    <row r="211" spans="55:69" x14ac:dyDescent="0.2">
      <c r="BC211" s="178">
        <f>_xll.qlCalendarAdvance(Calendar,BC210,"1d","mf",,Trigger)</f>
        <v>42572</v>
      </c>
      <c r="BD211" s="41">
        <f>_xll.qlDayCounterYearFraction(DayCounter,SettlementDate,BC211,,,Trigger)</f>
        <v>0.81388888888888888</v>
      </c>
      <c r="BE211" s="47">
        <f>_xll.qlPolynomialFunctionValue(BE$1,$BD211,AllTriggers)</f>
        <v>3.2921610334188242E-3</v>
      </c>
      <c r="BF211" s="47">
        <f>_xll.qlPolynomialFunctionValue(BF$1,$BD211,AllTriggers)</f>
        <v>3.2888319416537058E-3</v>
      </c>
      <c r="BG211" s="47">
        <f>_xll.qlPolynomialFunctionValue(BG$1,$BD211,AllTriggers)</f>
        <v>3.301507400496118E-3</v>
      </c>
      <c r="BH211" s="47">
        <f>_xll.qlPolynomialFunctionValue(BH$1,$BD211,AllTriggers)</f>
        <v>3.2870839922079544E-3</v>
      </c>
      <c r="BI211" s="47">
        <f>_xll.qlPolynomialFunctionValue(BI$1,$BD211,AllTriggers)</f>
        <v>3.295659545520861E-3</v>
      </c>
      <c r="BJ211" s="47">
        <f>_xll.qlPolynomialFunctionValue(BJ$1,$BD211,AllTriggers)</f>
        <v>3.293347708673555E-3</v>
      </c>
      <c r="BK211" s="47">
        <f>_xll.qlPolynomialFunctionValue(BK$1,$BD211,AllTriggers)</f>
        <v>3.3030682315434972E-3</v>
      </c>
      <c r="BL211" s="47">
        <f>_xll.qlPolynomialFunctionValue(BL$1,$BD211,AllTriggers)</f>
        <v>3.288256552771724E-3</v>
      </c>
      <c r="BM211" s="47">
        <f>_xll.qlPolynomialFunctionValue(BM$1,$BD211,AllTriggers)</f>
        <v>3.3073072902498942E-3</v>
      </c>
      <c r="BN211" s="47">
        <f>_xll.qlPolynomialFunctionValue(BN$1,$BD211,AllTriggers)</f>
        <v>3.294249622679091E-3</v>
      </c>
      <c r="BO211" s="47">
        <f>_xll.qlPolynomialFunctionValue(BO$1,$BD211,AllTriggers)</f>
        <v>3.3055183926964265E-3</v>
      </c>
      <c r="BP211" s="47">
        <f>_xll.qlPolynomialFunctionValue(BP$1,$BD211,AllTriggers)</f>
        <v>3.3016320691991599E-3</v>
      </c>
      <c r="BQ211" s="47">
        <f>_xll.qlPolynomialFunctionValue('12MSynthDepo_used'!$P$18,BD211,AllTriggers)</f>
        <v>3.3144942700977075E-3</v>
      </c>
    </row>
    <row r="212" spans="55:69" x14ac:dyDescent="0.2">
      <c r="BC212" s="178">
        <f>_xll.qlCalendarAdvance(Calendar,BC211,"1d","mf",,Trigger)</f>
        <v>42573</v>
      </c>
      <c r="BD212" s="41">
        <f>_xll.qlDayCounterYearFraction(DayCounter,SettlementDate,BC212,,,Trigger)</f>
        <v>0.81666666666666665</v>
      </c>
      <c r="BE212" s="47">
        <f>_xll.qlPolynomialFunctionValue(BE$1,$BD212,AllTriggers)</f>
        <v>3.2936410482692102E-3</v>
      </c>
      <c r="BF212" s="47">
        <f>_xll.qlPolynomialFunctionValue(BF$1,$BD212,AllTriggers)</f>
        <v>3.2905513471230934E-3</v>
      </c>
      <c r="BG212" s="47">
        <f>_xll.qlPolynomialFunctionValue(BG$1,$BD212,AllTriggers)</f>
        <v>3.3031064773474889E-3</v>
      </c>
      <c r="BH212" s="47">
        <f>_xll.qlPolynomialFunctionValue(BH$1,$BD212,AllTriggers)</f>
        <v>3.2888199910286187E-3</v>
      </c>
      <c r="BI212" s="47">
        <f>_xll.qlPolynomialFunctionValue(BI$1,$BD212,AllTriggers)</f>
        <v>3.297166758150671E-3</v>
      </c>
      <c r="BJ212" s="47">
        <f>_xll.qlPolynomialFunctionValue(BJ$1,$BD212,AllTriggers)</f>
        <v>3.2950429712769384E-3</v>
      </c>
      <c r="BK212" s="47">
        <f>_xll.qlPolynomialFunctionValue(BK$1,$BD212,AllTriggers)</f>
        <v>3.3046692250090367E-3</v>
      </c>
      <c r="BL212" s="47">
        <f>_xll.qlPolynomialFunctionValue(BL$1,$BD212,AllTriggers)</f>
        <v>3.2900011891468595E-3</v>
      </c>
      <c r="BM212" s="47">
        <f>_xll.qlPolynomialFunctionValue(BM$1,$BD212,AllTriggers)</f>
        <v>3.3089966873944125E-3</v>
      </c>
      <c r="BN212" s="47">
        <f>_xll.qlPolynomialFunctionValue(BN$1,$BD212,AllTriggers)</f>
        <v>3.295923046291456E-3</v>
      </c>
      <c r="BO212" s="47">
        <f>_xll.qlPolynomialFunctionValue(BO$1,$BD212,AllTriggers)</f>
        <v>3.3072519101002254E-3</v>
      </c>
      <c r="BP212" s="47">
        <f>_xll.qlPolynomialFunctionValue(BP$1,$BD212,AllTriggers)</f>
        <v>3.3033518324865072E-3</v>
      </c>
      <c r="BQ212" s="47">
        <f>_xll.qlPolynomialFunctionValue('12MSynthDepo_used'!$P$18,BD212,AllTriggers)</f>
        <v>3.3162115035848473E-3</v>
      </c>
    </row>
    <row r="213" spans="55:69" x14ac:dyDescent="0.2">
      <c r="BC213" s="178">
        <f>_xll.qlCalendarAdvance(Calendar,BC212,"1d","mf",,Trigger)</f>
        <v>42576</v>
      </c>
      <c r="BD213" s="41">
        <f>_xll.qlDayCounterYearFraction(DayCounter,SettlementDate,BC213,,,Trigger)</f>
        <v>0.82499999999999996</v>
      </c>
      <c r="BE213" s="47">
        <f>_xll.qlPolynomialFunctionValue(BE$1,$BD213,AllTriggers)</f>
        <v>3.2980810928203686E-3</v>
      </c>
      <c r="BF213" s="47">
        <f>_xll.qlPolynomialFunctionValue(BF$1,$BD213,AllTriggers)</f>
        <v>3.2957247629356351E-3</v>
      </c>
      <c r="BG213" s="47">
        <f>_xll.qlPolynomialFunctionValue(BG$1,$BD213,AllTriggers)</f>
        <v>3.3079037079016011E-3</v>
      </c>
      <c r="BH213" s="47">
        <f>_xll.qlPolynomialFunctionValue(BH$1,$BD213,AllTriggers)</f>
        <v>3.2940452828972588E-3</v>
      </c>
      <c r="BI213" s="47">
        <f>_xll.qlPolynomialFunctionValue(BI$1,$BD213,AllTriggers)</f>
        <v>3.301688396040101E-3</v>
      </c>
      <c r="BJ213" s="47">
        <f>_xll.qlPolynomialFunctionValue(BJ$1,$BD213,AllTriggers)</f>
        <v>3.3001405427293203E-3</v>
      </c>
      <c r="BK213" s="47">
        <f>_xll.qlPolynomialFunctionValue(BK$1,$BD213,AllTriggers)</f>
        <v>3.3094722054056555E-3</v>
      </c>
      <c r="BL213" s="47">
        <f>_xll.qlPolynomialFunctionValue(BL$1,$BD213,AllTriggers)</f>
        <v>3.2952530536359665E-3</v>
      </c>
      <c r="BM213" s="47">
        <f>_xll.qlPolynomialFunctionValue(BM$1,$BD213,AllTriggers)</f>
        <v>3.3140648788279668E-3</v>
      </c>
      <c r="BN213" s="47">
        <f>_xll.qlPolynomialFunctionValue(BN$1,$BD213,AllTriggers)</f>
        <v>3.3009515348076108E-3</v>
      </c>
      <c r="BO213" s="47">
        <f>_xll.qlPolynomialFunctionValue(BO$1,$BD213,AllTriggers)</f>
        <v>3.3124524623116226E-3</v>
      </c>
      <c r="BP213" s="47">
        <f>_xll.qlPolynomialFunctionValue(BP$1,$BD213,AllTriggers)</f>
        <v>3.3085137869573898E-3</v>
      </c>
      <c r="BQ213" s="47">
        <f>_xll.qlPolynomialFunctionValue('12MSynthDepo_used'!$P$18,BD213,AllTriggers)</f>
        <v>3.321363048431899E-3</v>
      </c>
    </row>
    <row r="214" spans="55:69" x14ac:dyDescent="0.2">
      <c r="BC214" s="178">
        <f>_xll.qlCalendarAdvance(Calendar,BC213,"1d","mf",,Trigger)</f>
        <v>42577</v>
      </c>
      <c r="BD214" s="41">
        <f>_xll.qlDayCounterYearFraction(DayCounter,SettlementDate,BC214,,,Trigger)</f>
        <v>0.82777777777777772</v>
      </c>
      <c r="BE214" s="47">
        <f>_xll.qlPolynomialFunctionValue(BE$1,$BD214,AllTriggers)</f>
        <v>3.299561107670755E-3</v>
      </c>
      <c r="BF214" s="47">
        <f>_xll.qlPolynomialFunctionValue(BF$1,$BD214,AllTriggers)</f>
        <v>3.2974543013412766E-3</v>
      </c>
      <c r="BG214" s="47">
        <f>_xll.qlPolynomialFunctionValue(BG$1,$BD214,AllTriggers)</f>
        <v>3.309502784752972E-3</v>
      </c>
      <c r="BH214" s="47">
        <f>_xll.qlPolynomialFunctionValue(BH$1,$BD214,AllTriggers)</f>
        <v>3.2957928119890212E-3</v>
      </c>
      <c r="BI214" s="47">
        <f>_xll.qlPolynomialFunctionValue(BI$1,$BD214,AllTriggers)</f>
        <v>3.303195608669911E-3</v>
      </c>
      <c r="BJ214" s="47">
        <f>_xll.qlPolynomialFunctionValue(BJ$1,$BD214,AllTriggers)</f>
        <v>3.3018436610941912E-3</v>
      </c>
      <c r="BK214" s="47">
        <f>_xll.qlPolynomialFunctionValue(BK$1,$BD214,AllTriggers)</f>
        <v>3.311073198871195E-3</v>
      </c>
      <c r="BL214" s="47">
        <f>_xll.qlPolynomialFunctionValue(BL$1,$BD214,AllTriggers)</f>
        <v>3.2970096602535689E-3</v>
      </c>
      <c r="BM214" s="47">
        <f>_xll.qlPolynomialFunctionValue(BM$1,$BD214,AllTriggers)</f>
        <v>3.3157542759724851E-3</v>
      </c>
      <c r="BN214" s="47">
        <f>_xll.qlPolynomialFunctionValue(BN$1,$BD214,AllTriggers)</f>
        <v>3.302630436872683E-3</v>
      </c>
      <c r="BO214" s="47">
        <f>_xll.qlPolynomialFunctionValue(BO$1,$BD214,AllTriggers)</f>
        <v>3.3141859797154215E-3</v>
      </c>
      <c r="BP214" s="47">
        <f>_xll.qlPolynomialFunctionValue(BP$1,$BD214,AllTriggers)</f>
        <v>3.3102353266506305E-3</v>
      </c>
      <c r="BQ214" s="47">
        <f>_xll.qlPolynomialFunctionValue('12MSynthDepo_used'!$P$18,BD214,AllTriggers)</f>
        <v>3.3230801627569017E-3</v>
      </c>
    </row>
    <row r="215" spans="55:69" x14ac:dyDescent="0.2">
      <c r="BC215" s="178">
        <f>_xll.qlCalendarAdvance(Calendar,BC214,"1d","mf",,Trigger)</f>
        <v>42578</v>
      </c>
      <c r="BD215" s="41">
        <f>_xll.qlDayCounterYearFraction(DayCounter,SettlementDate,BC215,,,Trigger)</f>
        <v>0.8305555555555556</v>
      </c>
      <c r="BE215" s="47">
        <f>_xll.qlPolynomialFunctionValue(BE$1,$BD215,AllTriggers)</f>
        <v>3.301041122521141E-3</v>
      </c>
      <c r="BF215" s="47">
        <f>_xll.qlPolynomialFunctionValue(BF$1,$BD215,AllTriggers)</f>
        <v>3.2991863729809811E-3</v>
      </c>
      <c r="BG215" s="47">
        <f>_xll.qlPolynomialFunctionValue(BG$1,$BD215,AllTriggers)</f>
        <v>3.3111018616043429E-3</v>
      </c>
      <c r="BH215" s="47">
        <f>_xll.qlPolynomialFunctionValue(BH$1,$BD215,AllTriggers)</f>
        <v>3.2975432236485584E-3</v>
      </c>
      <c r="BI215" s="47">
        <f>_xll.qlPolynomialFunctionValue(BI$1,$BD215,AllTriggers)</f>
        <v>3.304702821299721E-3</v>
      </c>
      <c r="BJ215" s="47">
        <f>_xll.qlPolynomialFunctionValue(BJ$1,$BD215,AllTriggers)</f>
        <v>3.3035487433994339E-3</v>
      </c>
      <c r="BK215" s="47">
        <f>_xll.qlPolynomialFunctionValue(BK$1,$BD215,AllTriggers)</f>
        <v>3.3126741923367349E-3</v>
      </c>
      <c r="BL215" s="47">
        <f>_xll.qlPolynomialFunctionValue(BL$1,$BD215,AllTriggers)</f>
        <v>3.2987692594317873E-3</v>
      </c>
      <c r="BM215" s="47">
        <f>_xll.qlPolynomialFunctionValue(BM$1,$BD215,AllTriggers)</f>
        <v>3.3174436731170033E-3</v>
      </c>
      <c r="BN215" s="47">
        <f>_xll.qlPolynomialFunctionValue(BN$1,$BD215,AllTriggers)</f>
        <v>3.3043107085509323E-3</v>
      </c>
      <c r="BO215" s="47">
        <f>_xll.qlPolynomialFunctionValue(BO$1,$BD215,AllTriggers)</f>
        <v>3.3159194971192209E-3</v>
      </c>
      <c r="BP215" s="47">
        <f>_xll.qlPolynomialFunctionValue(BP$1,$BD215,AllTriggers)</f>
        <v>3.3119573104453451E-3</v>
      </c>
      <c r="BQ215" s="47">
        <f>_xll.qlPolynomialFunctionValue('12MSynthDepo_used'!$P$18,BD215,AllTriggers)</f>
        <v>3.3247972357269514E-3</v>
      </c>
    </row>
    <row r="216" spans="55:69" x14ac:dyDescent="0.2">
      <c r="BC216" s="178">
        <f>_xll.qlCalendarAdvance(Calendar,BC215,"1d","mf",,Trigger)</f>
        <v>42579</v>
      </c>
      <c r="BD216" s="41">
        <f>_xll.qlDayCounterYearFraction(DayCounter,SettlementDate,BC216,,,Trigger)</f>
        <v>0.83333333333333337</v>
      </c>
      <c r="BE216" s="47">
        <f>_xll.qlPolynomialFunctionValue(BE$1,$BD216,AllTriggers)</f>
        <v>3.3025211373715275E-3</v>
      </c>
      <c r="BF216" s="47">
        <f>_xll.qlPolynomialFunctionValue(BF$1,$BD216,AllTriggers)</f>
        <v>3.3009209778547496E-3</v>
      </c>
      <c r="BG216" s="47">
        <f>_xll.qlPolynomialFunctionValue(BG$1,$BD216,AllTriggers)</f>
        <v>3.3127009384557138E-3</v>
      </c>
      <c r="BH216" s="47">
        <f>_xll.qlPolynomialFunctionValue(BH$1,$BD216,AllTriggers)</f>
        <v>3.29929651787587E-3</v>
      </c>
      <c r="BI216" s="47">
        <f>_xll.qlPolynomialFunctionValue(BI$1,$BD216,AllTriggers)</f>
        <v>3.306210033929531E-3</v>
      </c>
      <c r="BJ216" s="47">
        <f>_xll.qlPolynomialFunctionValue(BJ$1,$BD216,AllTriggers)</f>
        <v>3.3052557896450481E-3</v>
      </c>
      <c r="BK216" s="47">
        <f>_xll.qlPolynomialFunctionValue(BK$1,$BD216,AllTriggers)</f>
        <v>3.3142751858022744E-3</v>
      </c>
      <c r="BL216" s="47">
        <f>_xll.qlPolynomialFunctionValue(BL$1,$BD216,AllTriggers)</f>
        <v>3.3005318511706225E-3</v>
      </c>
      <c r="BM216" s="47">
        <f>_xll.qlPolynomialFunctionValue(BM$1,$BD216,AllTriggers)</f>
        <v>3.3191330702615216E-3</v>
      </c>
      <c r="BN216" s="47">
        <f>_xll.qlPolynomialFunctionValue(BN$1,$BD216,AllTriggers)</f>
        <v>3.305992349842358E-3</v>
      </c>
      <c r="BO216" s="47">
        <f>_xll.qlPolynomialFunctionValue(BO$1,$BD216,AllTriggers)</f>
        <v>3.3176530145230198E-3</v>
      </c>
      <c r="BP216" s="47">
        <f>_xll.qlPolynomialFunctionValue(BP$1,$BD216,AllTriggers)</f>
        <v>3.3136797383415324E-3</v>
      </c>
      <c r="BQ216" s="47">
        <f>_xll.qlPolynomialFunctionValue('12MSynthDepo_used'!$P$18,BD216,AllTriggers)</f>
        <v>3.3265142627162815E-3</v>
      </c>
    </row>
    <row r="217" spans="55:69" x14ac:dyDescent="0.2">
      <c r="BC217" s="178">
        <f>_xll.qlCalendarAdvance(Calendar,BC216,"1d","mf",,Trigger)</f>
        <v>42580</v>
      </c>
      <c r="BD217" s="41">
        <f>_xll.qlDayCounterYearFraction(DayCounter,SettlementDate,BC217,,,Trigger)</f>
        <v>0.83611111111111114</v>
      </c>
      <c r="BE217" s="47">
        <f>_xll.qlPolynomialFunctionValue(BE$1,$BD217,AllTriggers)</f>
        <v>3.3040011522219134E-3</v>
      </c>
      <c r="BF217" s="47">
        <f>_xll.qlPolynomialFunctionValue(BF$1,$BD217,AllTriggers)</f>
        <v>3.3026581159625811E-3</v>
      </c>
      <c r="BG217" s="47">
        <f>_xll.qlPolynomialFunctionValue(BG$1,$BD217,AllTriggers)</f>
        <v>3.3143000153070847E-3</v>
      </c>
      <c r="BH217" s="47">
        <f>_xll.qlPolynomialFunctionValue(BH$1,$BD217,AllTriggers)</f>
        <v>3.3010526946709567E-3</v>
      </c>
      <c r="BI217" s="47">
        <f>_xll.qlPolynomialFunctionValue(BI$1,$BD217,AllTriggers)</f>
        <v>3.307717246559341E-3</v>
      </c>
      <c r="BJ217" s="47">
        <f>_xll.qlPolynomialFunctionValue(BJ$1,$BD217,AllTriggers)</f>
        <v>3.3069647998310338E-3</v>
      </c>
      <c r="BK217" s="47">
        <f>_xll.qlPolynomialFunctionValue(BK$1,$BD217,AllTriggers)</f>
        <v>3.3158761792678139E-3</v>
      </c>
      <c r="BL217" s="47">
        <f>_xll.qlPolynomialFunctionValue(BL$1,$BD217,AllTriggers)</f>
        <v>3.3022974354700741E-3</v>
      </c>
      <c r="BM217" s="47">
        <f>_xll.qlPolynomialFunctionValue(BM$1,$BD217,AllTriggers)</f>
        <v>3.3208224674060398E-3</v>
      </c>
      <c r="BN217" s="47">
        <f>_xll.qlPolynomialFunctionValue(BN$1,$BD217,AllTriggers)</f>
        <v>3.3076753607469613E-3</v>
      </c>
      <c r="BO217" s="47">
        <f>_xll.qlPolynomialFunctionValue(BO$1,$BD217,AllTriggers)</f>
        <v>3.3193865319268191E-3</v>
      </c>
      <c r="BP217" s="47">
        <f>_xll.qlPolynomialFunctionValue(BP$1,$BD217,AllTriggers)</f>
        <v>3.3154026103391931E-3</v>
      </c>
      <c r="BQ217" s="47">
        <f>_xll.qlPolynomialFunctionValue('12MSynthDepo_used'!$P$18,BD217,AllTriggers)</f>
        <v>3.3282312390991234E-3</v>
      </c>
    </row>
    <row r="218" spans="55:69" x14ac:dyDescent="0.2">
      <c r="BC218" s="178">
        <f>_xll.qlCalendarAdvance(Calendar,BC217,"1d","mf",,Trigger)</f>
        <v>42583</v>
      </c>
      <c r="BD218" s="41">
        <f>_xll.qlDayCounterYearFraction(DayCounter,SettlementDate,BC218,,,Trigger)</f>
        <v>0.84444444444444444</v>
      </c>
      <c r="BE218" s="47">
        <f>_xll.qlPolynomialFunctionValue(BE$1,$BD218,AllTriggers)</f>
        <v>3.3084411967730719E-3</v>
      </c>
      <c r="BF218" s="47">
        <f>_xll.qlPolynomialFunctionValue(BF$1,$BD218,AllTriggers)</f>
        <v>3.307884729690457E-3</v>
      </c>
      <c r="BG218" s="47">
        <f>_xll.qlPolynomialFunctionValue(BG$1,$BD218,AllTriggers)</f>
        <v>3.3190972458611969E-3</v>
      </c>
      <c r="BH218" s="47">
        <f>_xll.qlPolynomialFunctionValue(BH$1,$BD218,AllTriggers)</f>
        <v>3.3063385204628632E-3</v>
      </c>
      <c r="BI218" s="47">
        <f>_xll.qlPolynomialFunctionValue(BI$1,$BD218,AllTriggers)</f>
        <v>3.3122388844487706E-3</v>
      </c>
      <c r="BJ218" s="47">
        <f>_xll.qlPolynomialFunctionValue(BJ$1,$BD218,AllTriggers)</f>
        <v>3.3121036140312224E-3</v>
      </c>
      <c r="BK218" s="47">
        <f>_xll.qlPolynomialFunctionValue(BK$1,$BD218,AllTriggers)</f>
        <v>3.3206791596644327E-3</v>
      </c>
      <c r="BL218" s="47">
        <f>_xll.qlPolynomialFunctionValue(BL$1,$BD218,AllTriggers)</f>
        <v>3.3076121437321292E-3</v>
      </c>
      <c r="BM218" s="47">
        <f>_xll.qlPolynomialFunctionValue(BM$1,$BD218,AllTriggers)</f>
        <v>3.3258906588395942E-3</v>
      </c>
      <c r="BN218" s="47">
        <f>_xll.qlPolynomialFunctionValue(BN$1,$BD218,AllTriggers)</f>
        <v>3.3127326111398315E-3</v>
      </c>
      <c r="BO218" s="47">
        <f>_xll.qlPolynomialFunctionValue(BO$1,$BD218,AllTriggers)</f>
        <v>3.3245870841382163E-3</v>
      </c>
      <c r="BP218" s="47">
        <f>_xll.qlPolynomialFunctionValue(BP$1,$BD218,AllTriggers)</f>
        <v>3.3205738909410152E-3</v>
      </c>
      <c r="BQ218" s="47">
        <f>_xll.qlPolynomialFunctionValue('12MSynthDepo_used'!$P$18,BD218,AllTriggers)</f>
        <v>3.3333818183510478E-3</v>
      </c>
    </row>
    <row r="219" spans="55:69" x14ac:dyDescent="0.2">
      <c r="BC219" s="178">
        <f>_xll.qlCalendarAdvance(Calendar,BC218,"1d","mf",,Trigger)</f>
        <v>42584</v>
      </c>
      <c r="BD219" s="41">
        <f>_xll.qlDayCounterYearFraction(DayCounter,SettlementDate,BC219,,,Trigger)</f>
        <v>0.84722222222222221</v>
      </c>
      <c r="BE219" s="47">
        <f>_xll.qlPolynomialFunctionValue(BE$1,$BD219,AllTriggers)</f>
        <v>3.3099212116234583E-3</v>
      </c>
      <c r="BF219" s="47">
        <f>_xll.qlPolynomialFunctionValue(BF$1,$BD219,AllTriggers)</f>
        <v>3.3096320007345425E-3</v>
      </c>
      <c r="BG219" s="47">
        <f>_xll.qlPolynomialFunctionValue(BG$1,$BD219,AllTriggers)</f>
        <v>3.3206963227125678E-3</v>
      </c>
      <c r="BH219" s="47">
        <f>_xll.qlPolynomialFunctionValue(BH$1,$BD219,AllTriggers)</f>
        <v>3.3081062275290476E-3</v>
      </c>
      <c r="BI219" s="47">
        <f>_xll.qlPolynomialFunctionValue(BI$1,$BD219,AllTriggers)</f>
        <v>3.3137460970785806E-3</v>
      </c>
      <c r="BJ219" s="47">
        <f>_xll.qlPolynomialFunctionValue(BJ$1,$BD219,AllTriggers)</f>
        <v>3.313820479978696E-3</v>
      </c>
      <c r="BK219" s="47">
        <f>_xll.qlPolynomialFunctionValue(BK$1,$BD219,AllTriggers)</f>
        <v>3.3222801531299722E-3</v>
      </c>
      <c r="BL219" s="47">
        <f>_xll.qlPolynomialFunctionValue(BL$1,$BD219,AllTriggers)</f>
        <v>3.3093896982740473E-3</v>
      </c>
      <c r="BM219" s="47">
        <f>_xll.qlPolynomialFunctionValue(BM$1,$BD219,AllTriggers)</f>
        <v>3.3275800559841124E-3</v>
      </c>
      <c r="BN219" s="47">
        <f>_xll.qlPolynomialFunctionValue(BN$1,$BD219,AllTriggers)</f>
        <v>3.314421100497142E-3</v>
      </c>
      <c r="BO219" s="47">
        <f>_xll.qlPolynomialFunctionValue(BO$1,$BD219,AllTriggers)</f>
        <v>3.3263206015420152E-3</v>
      </c>
      <c r="BP219" s="47">
        <f>_xll.qlPolynomialFunctionValue(BP$1,$BD219,AllTriggers)</f>
        <v>3.322298539344569E-3</v>
      </c>
      <c r="BQ219" s="47">
        <f>_xll.qlPolynomialFunctionValue('12MSynthDepo_used'!$P$18,BD219,AllTriggers)</f>
        <v>3.3350985460502648E-3</v>
      </c>
    </row>
    <row r="220" spans="55:69" x14ac:dyDescent="0.2">
      <c r="BC220" s="178">
        <f>_xll.qlCalendarAdvance(Calendar,BC219,"1d","mf",,Trigger)</f>
        <v>42585</v>
      </c>
      <c r="BD220" s="41">
        <f>_xll.qlDayCounterYearFraction(DayCounter,SettlementDate,BC220,,,Trigger)</f>
        <v>0.85</v>
      </c>
      <c r="BE220" s="47">
        <f>_xll.qlPolynomialFunctionValue(BE$1,$BD220,AllTriggers)</f>
        <v>3.3114012264738443E-3</v>
      </c>
      <c r="BF220" s="47">
        <f>_xll.qlPolynomialFunctionValue(BF$1,$BD220,AllTriggers)</f>
        <v>3.3113818050126919E-3</v>
      </c>
      <c r="BG220" s="47">
        <f>_xll.qlPolynomialFunctionValue(BG$1,$BD220,AllTriggers)</f>
        <v>3.3222953995639386E-3</v>
      </c>
      <c r="BH220" s="47">
        <f>_xll.qlPolynomialFunctionValue(BH$1,$BD220,AllTriggers)</f>
        <v>3.3098768171630076E-3</v>
      </c>
      <c r="BI220" s="47">
        <f>_xll.qlPolynomialFunctionValue(BI$1,$BD220,AllTriggers)</f>
        <v>3.3152533097083907E-3</v>
      </c>
      <c r="BJ220" s="47">
        <f>_xll.qlPolynomialFunctionValue(BJ$1,$BD220,AllTriggers)</f>
        <v>3.3155393098665406E-3</v>
      </c>
      <c r="BK220" s="47">
        <f>_xll.qlPolynomialFunctionValue(BK$1,$BD220,AllTriggers)</f>
        <v>3.3238811465955117E-3</v>
      </c>
      <c r="BL220" s="47">
        <f>_xll.qlPolynomialFunctionValue(BL$1,$BD220,AllTriggers)</f>
        <v>3.3111702453765823E-3</v>
      </c>
      <c r="BM220" s="47">
        <f>_xll.qlPolynomialFunctionValue(BM$1,$BD220,AllTriggers)</f>
        <v>3.3292694531286307E-3</v>
      </c>
      <c r="BN220" s="47">
        <f>_xll.qlPolynomialFunctionValue(BN$1,$BD220,AllTriggers)</f>
        <v>3.3161109594676296E-3</v>
      </c>
      <c r="BO220" s="47">
        <f>_xll.qlPolynomialFunctionValue(BO$1,$BD220,AllTriggers)</f>
        <v>3.3280541189458146E-3</v>
      </c>
      <c r="BP220" s="47">
        <f>_xll.qlPolynomialFunctionValue(BP$1,$BD220,AllTriggers)</f>
        <v>3.3240236318495967E-3</v>
      </c>
      <c r="BQ220" s="47">
        <f>_xll.qlPolynomialFunctionValue('12MSynthDepo_used'!$P$18,BD220,AllTriggers)</f>
        <v>3.3368152000141571E-3</v>
      </c>
    </row>
    <row r="221" spans="55:69" x14ac:dyDescent="0.2">
      <c r="BC221" s="178">
        <f>_xll.qlCalendarAdvance(Calendar,BC220,"1d","mf",,Trigger)</f>
        <v>42586</v>
      </c>
      <c r="BD221" s="41">
        <f>_xll.qlDayCounterYearFraction(DayCounter,SettlementDate,BC221,,,Trigger)</f>
        <v>0.85277777777777775</v>
      </c>
      <c r="BE221" s="47">
        <f>_xll.qlPolynomialFunctionValue(BE$1,$BD221,AllTriggers)</f>
        <v>3.3128812413242307E-3</v>
      </c>
      <c r="BF221" s="47">
        <f>_xll.qlPolynomialFunctionValue(BF$1,$BD221,AllTriggers)</f>
        <v>3.3131341425249043E-3</v>
      </c>
      <c r="BG221" s="47">
        <f>_xll.qlPolynomialFunctionValue(BG$1,$BD221,AllTriggers)</f>
        <v>3.3238944764153091E-3</v>
      </c>
      <c r="BH221" s="47">
        <f>_xll.qlPolynomialFunctionValue(BH$1,$BD221,AllTriggers)</f>
        <v>3.3116502893647411E-3</v>
      </c>
      <c r="BI221" s="47">
        <f>_xll.qlPolynomialFunctionValue(BI$1,$BD221,AllTriggers)</f>
        <v>3.3167605223382007E-3</v>
      </c>
      <c r="BJ221" s="47">
        <f>_xll.qlPolynomialFunctionValue(BJ$1,$BD221,AllTriggers)</f>
        <v>3.3172601036947566E-3</v>
      </c>
      <c r="BK221" s="47">
        <f>_xll.qlPolynomialFunctionValue(BK$1,$BD221,AllTriggers)</f>
        <v>3.3254821400610516E-3</v>
      </c>
      <c r="BL221" s="47">
        <f>_xll.qlPolynomialFunctionValue(BL$1,$BD221,AllTriggers)</f>
        <v>3.3129537850397337E-3</v>
      </c>
      <c r="BM221" s="47">
        <f>_xll.qlPolynomialFunctionValue(BM$1,$BD221,AllTriggers)</f>
        <v>3.3309588502731489E-3</v>
      </c>
      <c r="BN221" s="47">
        <f>_xll.qlPolynomialFunctionValue(BN$1,$BD221,AllTriggers)</f>
        <v>3.3178021880512945E-3</v>
      </c>
      <c r="BO221" s="47">
        <f>_xll.qlPolynomialFunctionValue(BO$1,$BD221,AllTriggers)</f>
        <v>3.3297876363496135E-3</v>
      </c>
      <c r="BP221" s="47">
        <f>_xll.qlPolynomialFunctionValue(BP$1,$BD221,AllTriggers)</f>
        <v>3.3257491684560974E-3</v>
      </c>
      <c r="BQ221" s="47">
        <f>_xll.qlPolynomialFunctionValue('12MSynthDepo_used'!$P$18,BD221,AllTriggers)</f>
        <v>3.3385317756169561E-3</v>
      </c>
    </row>
    <row r="222" spans="55:69" x14ac:dyDescent="0.2">
      <c r="BC222" s="178">
        <f>_xll.qlCalendarAdvance(Calendar,BC221,"1d","mf",,Trigger)</f>
        <v>42587</v>
      </c>
      <c r="BD222" s="41">
        <f>_xll.qlDayCounterYearFraction(DayCounter,SettlementDate,BC222,,,Trigger)</f>
        <v>0.85555555555555551</v>
      </c>
      <c r="BE222" s="47">
        <f>_xll.qlPolynomialFunctionValue(BE$1,$BD222,AllTriggers)</f>
        <v>3.3143612561746167E-3</v>
      </c>
      <c r="BF222" s="47">
        <f>_xll.qlPolynomialFunctionValue(BF$1,$BD222,AllTriggers)</f>
        <v>3.3148890132711803E-3</v>
      </c>
      <c r="BG222" s="47">
        <f>_xll.qlPolynomialFunctionValue(BG$1,$BD222,AllTriggers)</f>
        <v>3.32549355326668E-3</v>
      </c>
      <c r="BH222" s="47">
        <f>_xll.qlPolynomialFunctionValue(BH$1,$BD222,AllTriggers)</f>
        <v>3.3134266441342498E-3</v>
      </c>
      <c r="BI222" s="47">
        <f>_xll.qlPolynomialFunctionValue(BI$1,$BD222,AllTriggers)</f>
        <v>3.3182677349680107E-3</v>
      </c>
      <c r="BJ222" s="47">
        <f>_xll.qlPolynomialFunctionValue(BJ$1,$BD222,AllTriggers)</f>
        <v>3.3189828614633454E-3</v>
      </c>
      <c r="BK222" s="47">
        <f>_xll.qlPolynomialFunctionValue(BK$1,$BD222,AllTriggers)</f>
        <v>3.327083133526591E-3</v>
      </c>
      <c r="BL222" s="47">
        <f>_xll.qlPolynomialFunctionValue(BL$1,$BD222,AllTriggers)</f>
        <v>3.3147403172635015E-3</v>
      </c>
      <c r="BM222" s="47">
        <f>_xll.qlPolynomialFunctionValue(BM$1,$BD222,AllTriggers)</f>
        <v>3.3326482474176668E-3</v>
      </c>
      <c r="BN222" s="47">
        <f>_xll.qlPolynomialFunctionValue(BN$1,$BD222,AllTriggers)</f>
        <v>3.3194947862481357E-3</v>
      </c>
      <c r="BO222" s="47">
        <f>_xll.qlPolynomialFunctionValue(BO$1,$BD222,AllTriggers)</f>
        <v>3.3315211537534124E-3</v>
      </c>
      <c r="BP222" s="47">
        <f>_xll.qlPolynomialFunctionValue(BP$1,$BD222,AllTriggers)</f>
        <v>3.3274751491640712E-3</v>
      </c>
      <c r="BQ222" s="47">
        <f>_xll.qlPolynomialFunctionValue('12MSynthDepo_used'!$P$18,BD222,AllTriggers)</f>
        <v>3.3402482682328969E-3</v>
      </c>
    </row>
    <row r="223" spans="55:69" x14ac:dyDescent="0.2">
      <c r="BC223" s="178">
        <f>_xll.qlCalendarAdvance(Calendar,BC222,"1d","mf",,Trigger)</f>
        <v>42590</v>
      </c>
      <c r="BD223" s="41">
        <f>_xll.qlDayCounterYearFraction(DayCounter,SettlementDate,BC223,,,Trigger)</f>
        <v>0.86388888888888893</v>
      </c>
      <c r="BE223" s="47">
        <f>_xll.qlPolynomialFunctionValue(BE$1,$BD223,AllTriggers)</f>
        <v>3.3188013007257751E-3</v>
      </c>
      <c r="BF223" s="47">
        <f>_xll.qlPolynomialFunctionValue(BF$1,$BD223,AllTriggers)</f>
        <v>3.3201688249143899E-3</v>
      </c>
      <c r="BG223" s="47">
        <f>_xll.qlPolynomialFunctionValue(BG$1,$BD223,AllTriggers)</f>
        <v>3.3302907838207926E-3</v>
      </c>
      <c r="BH223" s="47">
        <f>_xll.qlPolynomialFunctionValue(BH$1,$BD223,AllTriggers)</f>
        <v>3.3187730038494231E-3</v>
      </c>
      <c r="BI223" s="47">
        <f>_xll.qlPolynomialFunctionValue(BI$1,$BD223,AllTriggers)</f>
        <v>3.3227893728574407E-3</v>
      </c>
      <c r="BJ223" s="47">
        <f>_xll.qlPolynomialFunctionValue(BJ$1,$BD223,AllTriggers)</f>
        <v>3.3241629184113408E-3</v>
      </c>
      <c r="BK223" s="47">
        <f>_xll.qlPolynomialFunctionValue(BK$1,$BD223,AllTriggers)</f>
        <v>3.3318861139232099E-3</v>
      </c>
      <c r="BL223" s="47">
        <f>_xll.qlPolynomialFunctionValue(BL$1,$BD223,AllTriggers)</f>
        <v>3.3201178692985052E-3</v>
      </c>
      <c r="BM223" s="47">
        <f>_xll.qlPolynomialFunctionValue(BM$1,$BD223,AllTriggers)</f>
        <v>3.3377164388512215E-3</v>
      </c>
      <c r="BN223" s="47">
        <f>_xll.qlPolynomialFunctionValue(BN$1,$BD223,AllTriggers)</f>
        <v>3.3245807985177213E-3</v>
      </c>
      <c r="BO223" s="47">
        <f>_xll.qlPolynomialFunctionValue(BO$1,$BD223,AllTriggers)</f>
        <v>3.33672170596481E-3</v>
      </c>
      <c r="BP223" s="47">
        <f>_xll.qlPolynomialFunctionValue(BP$1,$BD223,AllTriggers)</f>
        <v>3.3326557558968329E-3</v>
      </c>
      <c r="BQ223" s="47">
        <f>_xll.qlPolynomialFunctionValue('12MSynthDepo_used'!$P$18,BD223,AllTriggers)</f>
        <v>3.3453972019018854E-3</v>
      </c>
    </row>
    <row r="224" spans="55:69" x14ac:dyDescent="0.2">
      <c r="BC224" s="178">
        <f>_xll.qlCalendarAdvance(Calendar,BC223,"1d","mf",,Trigger)</f>
        <v>42591</v>
      </c>
      <c r="BD224" s="41">
        <f>_xll.qlDayCounterYearFraction(DayCounter,SettlementDate,BC224,,,Trigger)</f>
        <v>0.8666666666666667</v>
      </c>
      <c r="BE224" s="47">
        <f>_xll.qlPolynomialFunctionValue(BE$1,$BD224,AllTriggers)</f>
        <v>3.3202813155761616E-3</v>
      </c>
      <c r="BF224" s="47">
        <f>_xll.qlPolynomialFunctionValue(BF$1,$BD224,AllTriggers)</f>
        <v>3.3219338285969202E-3</v>
      </c>
      <c r="BG224" s="47">
        <f>_xll.qlPolynomialFunctionValue(BG$1,$BD224,AllTriggers)</f>
        <v>3.3318898606721631E-3</v>
      </c>
      <c r="BH224" s="47">
        <f>_xll.qlPolynomialFunctionValue(BH$1,$BD224,AllTriggers)</f>
        <v>3.3205608888900299E-3</v>
      </c>
      <c r="BI224" s="47">
        <f>_xll.qlPolynomialFunctionValue(BI$1,$BD224,AllTriggers)</f>
        <v>3.3242965854872507E-3</v>
      </c>
      <c r="BJ224" s="47">
        <f>_xll.qlPolynomialFunctionValue(BJ$1,$BD224,AllTriggers)</f>
        <v>3.3258935319414157E-3</v>
      </c>
      <c r="BK224" s="47">
        <f>_xll.qlPolynomialFunctionValue(BK$1,$BD224,AllTriggers)</f>
        <v>3.3334871073887494E-3</v>
      </c>
      <c r="BL224" s="47">
        <f>_xll.qlPolynomialFunctionValue(BL$1,$BD224,AllTriggers)</f>
        <v>3.3219163717647391E-3</v>
      </c>
      <c r="BM224" s="47">
        <f>_xll.qlPolynomialFunctionValue(BM$1,$BD224,AllTriggers)</f>
        <v>3.3394058359957398E-3</v>
      </c>
      <c r="BN224" s="47">
        <f>_xll.qlPolynomialFunctionValue(BN$1,$BD224,AllTriggers)</f>
        <v>3.32627887516727E-3</v>
      </c>
      <c r="BO224" s="47">
        <f>_xll.qlPolynomialFunctionValue(BO$1,$BD224,AllTriggers)</f>
        <v>3.3384552233686089E-3</v>
      </c>
      <c r="BP224" s="47">
        <f>_xll.qlPolynomialFunctionValue(BP$1,$BD224,AllTriggers)</f>
        <v>3.3343835130106997E-3</v>
      </c>
      <c r="BQ224" s="47">
        <f>_xll.qlPolynomialFunctionValue('12MSynthDepo_used'!$P$18,BD224,AllTriggers)</f>
        <v>3.3471133163127131E-3</v>
      </c>
    </row>
    <row r="225" spans="55:69" x14ac:dyDescent="0.2">
      <c r="BC225" s="178">
        <f>_xll.qlCalendarAdvance(Calendar,BC224,"1d","mf",,Trigger)</f>
        <v>42592</v>
      </c>
      <c r="BD225" s="41">
        <f>_xll.qlDayCounterYearFraction(DayCounter,SettlementDate,BC225,,,Trigger)</f>
        <v>0.86944444444444446</v>
      </c>
      <c r="BE225" s="47">
        <f>_xll.qlPolynomialFunctionValue(BE$1,$BD225,AllTriggers)</f>
        <v>3.3217613304265476E-3</v>
      </c>
      <c r="BF225" s="47">
        <f>_xll.qlPolynomialFunctionValue(BF$1,$BD225,AllTriggers)</f>
        <v>3.3237013655135141E-3</v>
      </c>
      <c r="BG225" s="47">
        <f>_xll.qlPolynomialFunctionValue(BG$1,$BD225,AllTriggers)</f>
        <v>3.3334889375235344E-3</v>
      </c>
      <c r="BH225" s="47">
        <f>_xll.qlPolynomialFunctionValue(BH$1,$BD225,AllTriggers)</f>
        <v>3.3223516564984115E-3</v>
      </c>
      <c r="BI225" s="47">
        <f>_xll.qlPolynomialFunctionValue(BI$1,$BD225,AllTriggers)</f>
        <v>3.3258037981170607E-3</v>
      </c>
      <c r="BJ225" s="47">
        <f>_xll.qlPolynomialFunctionValue(BJ$1,$BD225,AllTriggers)</f>
        <v>3.3276261094118626E-3</v>
      </c>
      <c r="BK225" s="47">
        <f>_xll.qlPolynomialFunctionValue(BK$1,$BD225,AllTriggers)</f>
        <v>3.3350881008542893E-3</v>
      </c>
      <c r="BL225" s="47">
        <f>_xll.qlPolynomialFunctionValue(BL$1,$BD225,AllTriggers)</f>
        <v>3.3237178667915902E-3</v>
      </c>
      <c r="BM225" s="47">
        <f>_xll.qlPolynomialFunctionValue(BM$1,$BD225,AllTriggers)</f>
        <v>3.3410952331402581E-3</v>
      </c>
      <c r="BN225" s="47">
        <f>_xll.qlPolynomialFunctionValue(BN$1,$BD225,AllTriggers)</f>
        <v>3.327978321429996E-3</v>
      </c>
      <c r="BO225" s="47">
        <f>_xll.qlPolynomialFunctionValue(BO$1,$BD225,AllTriggers)</f>
        <v>3.3401887407724078E-3</v>
      </c>
      <c r="BP225" s="47">
        <f>_xll.qlPolynomialFunctionValue(BP$1,$BD225,AllTriggers)</f>
        <v>3.3361117142260408E-3</v>
      </c>
      <c r="BQ225" s="47">
        <f>_xll.qlPolynomialFunctionValue('12MSynthDepo_used'!$P$18,BD225,AllTriggers)</f>
        <v>3.3488293246078434E-3</v>
      </c>
    </row>
    <row r="226" spans="55:69" x14ac:dyDescent="0.2">
      <c r="BC226" s="178">
        <f>_xll.qlCalendarAdvance(Calendar,BC225,"1d","mf",,Trigger)</f>
        <v>42593</v>
      </c>
      <c r="BD226" s="41">
        <f>_xll.qlDayCounterYearFraction(DayCounter,SettlementDate,BC226,,,Trigger)</f>
        <v>0.87222222222222223</v>
      </c>
      <c r="BE226" s="47">
        <f>_xll.qlPolynomialFunctionValue(BE$1,$BD226,AllTriggers)</f>
        <v>3.323241345276934E-3</v>
      </c>
      <c r="BF226" s="47">
        <f>_xll.qlPolynomialFunctionValue(BF$1,$BD226,AllTriggers)</f>
        <v>3.3254714356641714E-3</v>
      </c>
      <c r="BG226" s="47">
        <f>_xll.qlPolynomialFunctionValue(BG$1,$BD226,AllTriggers)</f>
        <v>3.3350880143749049E-3</v>
      </c>
      <c r="BH226" s="47">
        <f>_xll.qlPolynomialFunctionValue(BH$1,$BD226,AllTriggers)</f>
        <v>3.3241453066745678E-3</v>
      </c>
      <c r="BI226" s="47">
        <f>_xll.qlPolynomialFunctionValue(BI$1,$BD226,AllTriggers)</f>
        <v>3.3273110107468707E-3</v>
      </c>
      <c r="BJ226" s="47">
        <f>_xll.qlPolynomialFunctionValue(BJ$1,$BD226,AllTriggers)</f>
        <v>3.3293606508226817E-3</v>
      </c>
      <c r="BK226" s="47">
        <f>_xll.qlPolynomialFunctionValue(BK$1,$BD226,AllTriggers)</f>
        <v>3.3366890943198287E-3</v>
      </c>
      <c r="BL226" s="47">
        <f>_xll.qlPolynomialFunctionValue(BL$1,$BD226,AllTriggers)</f>
        <v>3.3255223543790574E-3</v>
      </c>
      <c r="BM226" s="47">
        <f>_xll.qlPolynomialFunctionValue(BM$1,$BD226,AllTriggers)</f>
        <v>3.3427846302847763E-3</v>
      </c>
      <c r="BN226" s="47">
        <f>_xll.qlPolynomialFunctionValue(BN$1,$BD226,AllTriggers)</f>
        <v>3.3296791373058987E-3</v>
      </c>
      <c r="BO226" s="47">
        <f>_xll.qlPolynomialFunctionValue(BO$1,$BD226,AllTriggers)</f>
        <v>3.3419222581762068E-3</v>
      </c>
      <c r="BP226" s="47">
        <f>_xll.qlPolynomialFunctionValue(BP$1,$BD226,AllTriggers)</f>
        <v>3.3378403595428546E-3</v>
      </c>
      <c r="BQ226" s="47">
        <f>_xll.qlPolynomialFunctionValue('12MSynthDepo_used'!$P$18,BD226,AllTriggers)</f>
        <v>3.35054522216151E-3</v>
      </c>
    </row>
    <row r="227" spans="55:69" x14ac:dyDescent="0.2">
      <c r="BC227" s="178">
        <f>_xll.qlCalendarAdvance(Calendar,BC226,"1d","mf",,Trigger)</f>
        <v>42594</v>
      </c>
      <c r="BD227" s="41">
        <f>_xll.qlDayCounterYearFraction(DayCounter,SettlementDate,BC227,,,Trigger)</f>
        <v>0.875</v>
      </c>
      <c r="BE227" s="47">
        <f>_xll.qlPolynomialFunctionValue(BE$1,$BD227,AllTriggers)</f>
        <v>3.32472136012732E-3</v>
      </c>
      <c r="BF227" s="47">
        <f>_xll.qlPolynomialFunctionValue(BF$1,$BD227,AllTriggers)</f>
        <v>3.3272440390488918E-3</v>
      </c>
      <c r="BG227" s="47">
        <f>_xll.qlPolynomialFunctionValue(BG$1,$BD227,AllTriggers)</f>
        <v>3.3366870912262757E-3</v>
      </c>
      <c r="BH227" s="47">
        <f>_xll.qlPolynomialFunctionValue(BH$1,$BD227,AllTriggers)</f>
        <v>3.3259418394184985E-3</v>
      </c>
      <c r="BI227" s="47">
        <f>_xll.qlPolynomialFunctionValue(BI$1,$BD227,AllTriggers)</f>
        <v>3.3288182233766807E-3</v>
      </c>
      <c r="BJ227" s="47">
        <f>_xll.qlPolynomialFunctionValue(BJ$1,$BD227,AllTriggers)</f>
        <v>3.3310971561738723E-3</v>
      </c>
      <c r="BK227" s="47">
        <f>_xll.qlPolynomialFunctionValue(BK$1,$BD227,AllTriggers)</f>
        <v>3.3382900877853682E-3</v>
      </c>
      <c r="BL227" s="47">
        <f>_xll.qlPolynomialFunctionValue(BL$1,$BD227,AllTriggers)</f>
        <v>3.3273298345271414E-3</v>
      </c>
      <c r="BM227" s="47">
        <f>_xll.qlPolynomialFunctionValue(BM$1,$BD227,AllTriggers)</f>
        <v>3.3444740274292941E-3</v>
      </c>
      <c r="BN227" s="47">
        <f>_xll.qlPolynomialFunctionValue(BN$1,$BD227,AllTriggers)</f>
        <v>3.3313813227949787E-3</v>
      </c>
      <c r="BO227" s="47">
        <f>_xll.qlPolynomialFunctionValue(BO$1,$BD227,AllTriggers)</f>
        <v>3.3436557755800061E-3</v>
      </c>
      <c r="BP227" s="47">
        <f>_xll.qlPolynomialFunctionValue(BP$1,$BD227,AllTriggers)</f>
        <v>3.3395694489611414E-3</v>
      </c>
      <c r="BQ227" s="47">
        <f>_xll.qlPolynomialFunctionValue('12MSynthDepo_used'!$P$18,BD227,AllTriggers)</f>
        <v>3.3522610043479457E-3</v>
      </c>
    </row>
    <row r="228" spans="55:69" x14ac:dyDescent="0.2">
      <c r="BC228" s="178">
        <f>_xll.qlCalendarAdvance(Calendar,BC227,"1d","mf",,Trigger)</f>
        <v>42597</v>
      </c>
      <c r="BD228" s="41">
        <f>_xll.qlDayCounterYearFraction(DayCounter,SettlementDate,BC228,,,Trigger)</f>
        <v>0.8833333333333333</v>
      </c>
      <c r="BE228" s="47">
        <f>_xll.qlPolynomialFunctionValue(BE$1,$BD228,AllTriggers)</f>
        <v>3.3291614046784784E-3</v>
      </c>
      <c r="BF228" s="47">
        <f>_xll.qlPolynomialFunctionValue(BF$1,$BD228,AllTriggers)</f>
        <v>3.3325770486074347E-3</v>
      </c>
      <c r="BG228" s="47">
        <f>_xll.qlPolynomialFunctionValue(BG$1,$BD228,AllTriggers)</f>
        <v>3.3414843217803884E-3</v>
      </c>
      <c r="BH228" s="47">
        <f>_xll.qlPolynomialFunctionValue(BH$1,$BD228,AllTriggers)</f>
        <v>3.3313487330569381E-3</v>
      </c>
      <c r="BI228" s="47">
        <f>_xll.qlPolynomialFunctionValue(BI$1,$BD228,AllTriggers)</f>
        <v>3.3333398612661108E-3</v>
      </c>
      <c r="BJ228" s="47">
        <f>_xll.qlPolynomialFunctionValue(BJ$1,$BD228,AllTriggers)</f>
        <v>3.3363184558696741E-3</v>
      </c>
      <c r="BK228" s="47">
        <f>_xll.qlPolynomialFunctionValue(BK$1,$BD228,AllTriggers)</f>
        <v>3.3430930681819871E-3</v>
      </c>
      <c r="BL228" s="47">
        <f>_xll.qlPolynomialFunctionValue(BL$1,$BD228,AllTriggers)</f>
        <v>3.3327702303350931E-3</v>
      </c>
      <c r="BM228" s="47">
        <f>_xll.qlPolynomialFunctionValue(BM$1,$BD228,AllTriggers)</f>
        <v>3.3495422188628489E-3</v>
      </c>
      <c r="BN228" s="47">
        <f>_xll.qlPolynomialFunctionValue(BN$1,$BD228,AllTriggers)</f>
        <v>3.3364960969412792E-3</v>
      </c>
      <c r="BO228" s="47">
        <f>_xll.qlPolynomialFunctionValue(BO$1,$BD228,AllTriggers)</f>
        <v>3.3488563277914033E-3</v>
      </c>
      <c r="BP228" s="47">
        <f>_xll.qlPolynomialFunctionValue(BP$1,$BD228,AllTriggers)</f>
        <v>3.3447593818248427E-3</v>
      </c>
      <c r="BQ228" s="47">
        <f>_xll.qlPolynomialFunctionValue('12MSynthDepo_used'!$P$18,BD228,AllTriggers)</f>
        <v>3.3574076124461877E-3</v>
      </c>
    </row>
    <row r="229" spans="55:69" x14ac:dyDescent="0.2">
      <c r="BC229" s="178">
        <f>_xll.qlCalendarAdvance(Calendar,BC228,"1d","mf",,Trigger)</f>
        <v>42598</v>
      </c>
      <c r="BD229" s="41">
        <f>_xll.qlDayCounterYearFraction(DayCounter,SettlementDate,BC229,,,Trigger)</f>
        <v>0.88611111111111107</v>
      </c>
      <c r="BE229" s="47">
        <f>_xll.qlPolynomialFunctionValue(BE$1,$BD229,AllTriggers)</f>
        <v>3.3306414195288648E-3</v>
      </c>
      <c r="BF229" s="47">
        <f>_xll.qlPolynomialFunctionValue(BF$1,$BD229,AllTriggers)</f>
        <v>3.3343597849284094E-3</v>
      </c>
      <c r="BG229" s="47">
        <f>_xll.qlPolynomialFunctionValue(BG$1,$BD229,AllTriggers)</f>
        <v>3.3430833986317588E-3</v>
      </c>
      <c r="BH229" s="47">
        <f>_xll.qlPolynomialFunctionValue(BH$1,$BD229,AllTriggers)</f>
        <v>3.3331567960719673E-3</v>
      </c>
      <c r="BI229" s="47">
        <f>_xll.qlPolynomialFunctionValue(BI$1,$BD229,AllTriggers)</f>
        <v>3.3348470738959208E-3</v>
      </c>
      <c r="BJ229" s="47">
        <f>_xll.qlPolynomialFunctionValue(BJ$1,$BD229,AllTriggers)</f>
        <v>3.3380628169823517E-3</v>
      </c>
      <c r="BK229" s="47">
        <f>_xll.qlPolynomialFunctionValue(BK$1,$BD229,AllTriggers)</f>
        <v>3.3446940616475265E-3</v>
      </c>
      <c r="BL229" s="47">
        <f>_xll.qlPolynomialFunctionValue(BL$1,$BD229,AllTriggers)</f>
        <v>3.3345896807256432E-3</v>
      </c>
      <c r="BM229" s="47">
        <f>_xll.qlPolynomialFunctionValue(BM$1,$BD229,AllTriggers)</f>
        <v>3.3512316160073672E-3</v>
      </c>
      <c r="BN229" s="47">
        <f>_xll.qlPolynomialFunctionValue(BN$1,$BD229,AllTriggers)</f>
        <v>3.3382037608830667E-3</v>
      </c>
      <c r="BO229" s="47">
        <f>_xll.qlPolynomialFunctionValue(BO$1,$BD229,AllTriggers)</f>
        <v>3.3505898451952022E-3</v>
      </c>
      <c r="BP229" s="47">
        <f>_xll.qlPolynomialFunctionValue(BP$1,$BD229,AllTriggers)</f>
        <v>3.3464902476490234E-3</v>
      </c>
      <c r="BQ229" s="47">
        <f>_xll.qlPolynomialFunctionValue('12MSynthDepo_used'!$P$18,BD229,AllTriggers)</f>
        <v>3.3591228869060217E-3</v>
      </c>
    </row>
    <row r="230" spans="55:69" x14ac:dyDescent="0.2">
      <c r="BC230" s="178">
        <f>_xll.qlCalendarAdvance(Calendar,BC229,"1d","mf",,Trigger)</f>
        <v>42599</v>
      </c>
      <c r="BD230" s="41">
        <f>_xll.qlDayCounterYearFraction(DayCounter,SettlementDate,BC230,,,Trigger)</f>
        <v>0.88888888888888884</v>
      </c>
      <c r="BE230" s="47">
        <f>_xll.qlPolynomialFunctionValue(BE$1,$BD230,AllTriggers)</f>
        <v>3.3321214343792508E-3</v>
      </c>
      <c r="BF230" s="47">
        <f>_xll.qlPolynomialFunctionValue(BF$1,$BD230,AllTriggers)</f>
        <v>3.3361450544834473E-3</v>
      </c>
      <c r="BG230" s="47">
        <f>_xll.qlPolynomialFunctionValue(BG$1,$BD230,AllTriggers)</f>
        <v>3.3446824754831297E-3</v>
      </c>
      <c r="BH230" s="47">
        <f>_xll.qlPolynomialFunctionValue(BH$1,$BD230,AllTriggers)</f>
        <v>3.3349677416547709E-3</v>
      </c>
      <c r="BI230" s="47">
        <f>_xll.qlPolynomialFunctionValue(BI$1,$BD230,AllTriggers)</f>
        <v>3.3363542865257308E-3</v>
      </c>
      <c r="BJ230" s="47">
        <f>_xll.qlPolynomialFunctionValue(BJ$1,$BD230,AllTriggers)</f>
        <v>3.3398091420354012E-3</v>
      </c>
      <c r="BK230" s="47">
        <f>_xll.qlPolynomialFunctionValue(BK$1,$BD230,AllTriggers)</f>
        <v>3.346295055113066E-3</v>
      </c>
      <c r="BL230" s="47">
        <f>_xll.qlPolynomialFunctionValue(BL$1,$BD230,AllTriggers)</f>
        <v>3.3364121236768105E-3</v>
      </c>
      <c r="BM230" s="47">
        <f>_xll.qlPolynomialFunctionValue(BM$1,$BD230,AllTriggers)</f>
        <v>3.3529210131518854E-3</v>
      </c>
      <c r="BN230" s="47">
        <f>_xll.qlPolynomialFunctionValue(BN$1,$BD230,AllTriggers)</f>
        <v>3.339912794438031E-3</v>
      </c>
      <c r="BO230" s="47">
        <f>_xll.qlPolynomialFunctionValue(BO$1,$BD230,AllTriggers)</f>
        <v>3.3523233625990015E-3</v>
      </c>
      <c r="BP230" s="47">
        <f>_xll.qlPolynomialFunctionValue(BP$1,$BD230,AllTriggers)</f>
        <v>3.3482215575746772E-3</v>
      </c>
      <c r="BQ230" s="47">
        <f>_xll.qlPolynomialFunctionValue('12MSynthDepo_used'!$P$18,BD230,AllTriggers)</f>
        <v>3.3608380228697882E-3</v>
      </c>
    </row>
    <row r="231" spans="55:69" x14ac:dyDescent="0.2">
      <c r="BC231" s="178">
        <f>_xll.qlCalendarAdvance(Calendar,BC230,"1d","mf",,Trigger)</f>
        <v>42600</v>
      </c>
      <c r="BD231" s="41">
        <f>_xll.qlDayCounterYearFraction(DayCounter,SettlementDate,BC231,,,Trigger)</f>
        <v>0.89166666666666672</v>
      </c>
      <c r="BE231" s="47">
        <f>_xll.qlPolynomialFunctionValue(BE$1,$BD231,AllTriggers)</f>
        <v>3.3336014492296373E-3</v>
      </c>
      <c r="BF231" s="47">
        <f>_xll.qlPolynomialFunctionValue(BF$1,$BD231,AllTriggers)</f>
        <v>3.337932857272549E-3</v>
      </c>
      <c r="BG231" s="47">
        <f>_xll.qlPolynomialFunctionValue(BG$1,$BD231,AllTriggers)</f>
        <v>3.3462815523345006E-3</v>
      </c>
      <c r="BH231" s="47">
        <f>_xll.qlPolynomialFunctionValue(BH$1,$BD231,AllTriggers)</f>
        <v>3.3367815698053492E-3</v>
      </c>
      <c r="BI231" s="47">
        <f>_xll.qlPolynomialFunctionValue(BI$1,$BD231,AllTriggers)</f>
        <v>3.3378614991555408E-3</v>
      </c>
      <c r="BJ231" s="47">
        <f>_xll.qlPolynomialFunctionValue(BJ$1,$BD231,AllTriggers)</f>
        <v>3.3415574310288218E-3</v>
      </c>
      <c r="BK231" s="47">
        <f>_xll.qlPolynomialFunctionValue(BK$1,$BD231,AllTriggers)</f>
        <v>3.3478960485786059E-3</v>
      </c>
      <c r="BL231" s="47">
        <f>_xll.qlPolynomialFunctionValue(BL$1,$BD231,AllTriggers)</f>
        <v>3.3382375591885938E-3</v>
      </c>
      <c r="BM231" s="47">
        <f>_xll.qlPolynomialFunctionValue(BM$1,$BD231,AllTriggers)</f>
        <v>3.3546104102964037E-3</v>
      </c>
      <c r="BN231" s="47">
        <f>_xll.qlPolynomialFunctionValue(BN$1,$BD231,AllTriggers)</f>
        <v>3.3416231976061725E-3</v>
      </c>
      <c r="BO231" s="47">
        <f>_xll.qlPolynomialFunctionValue(BO$1,$BD231,AllTriggers)</f>
        <v>3.3540568800028005E-3</v>
      </c>
      <c r="BP231" s="47">
        <f>_xll.qlPolynomialFunctionValue(BP$1,$BD231,AllTriggers)</f>
        <v>3.349953311601804E-3</v>
      </c>
      <c r="BQ231" s="47">
        <f>_xll.qlPolynomialFunctionValue('12MSynthDepo_used'!$P$18,BD231,AllTriggers)</f>
        <v>3.3625530157117183E-3</v>
      </c>
    </row>
    <row r="232" spans="55:69" x14ac:dyDescent="0.2">
      <c r="BC232" s="178">
        <f>_xll.qlCalendarAdvance(Calendar,BC231,"1d","mf",,Trigger)</f>
        <v>42601</v>
      </c>
      <c r="BD232" s="41">
        <f>_xll.qlDayCounterYearFraction(DayCounter,SettlementDate,BC232,,,Trigger)</f>
        <v>0.89444444444444449</v>
      </c>
      <c r="BE232" s="47">
        <f>_xll.qlPolynomialFunctionValue(BE$1,$BD232,AllTriggers)</f>
        <v>3.3350814640800233E-3</v>
      </c>
      <c r="BF232" s="47">
        <f>_xll.qlPolynomialFunctionValue(BF$1,$BD232,AllTriggers)</f>
        <v>3.3397231932957142E-3</v>
      </c>
      <c r="BG232" s="47">
        <f>_xll.qlPolynomialFunctionValue(BG$1,$BD232,AllTriggers)</f>
        <v>3.3478806291858715E-3</v>
      </c>
      <c r="BH232" s="47">
        <f>_xll.qlPolynomialFunctionValue(BH$1,$BD232,AllTriggers)</f>
        <v>3.3385982805237023E-3</v>
      </c>
      <c r="BI232" s="47">
        <f>_xll.qlPolynomialFunctionValue(BI$1,$BD232,AllTriggers)</f>
        <v>3.3393687117853508E-3</v>
      </c>
      <c r="BJ232" s="47">
        <f>_xll.qlPolynomialFunctionValue(BJ$1,$BD232,AllTriggers)</f>
        <v>3.3433076839626146E-3</v>
      </c>
      <c r="BK232" s="47">
        <f>_xll.qlPolynomialFunctionValue(BK$1,$BD232,AllTriggers)</f>
        <v>3.3494970420441454E-3</v>
      </c>
      <c r="BL232" s="47">
        <f>_xll.qlPolynomialFunctionValue(BL$1,$BD232,AllTriggers)</f>
        <v>3.340065987260994E-3</v>
      </c>
      <c r="BM232" s="47">
        <f>_xll.qlPolynomialFunctionValue(BM$1,$BD232,AllTriggers)</f>
        <v>3.3562998074409215E-3</v>
      </c>
      <c r="BN232" s="47">
        <f>_xll.qlPolynomialFunctionValue(BN$1,$BD232,AllTriggers)</f>
        <v>3.3433349703874903E-3</v>
      </c>
      <c r="BO232" s="47">
        <f>_xll.qlPolynomialFunctionValue(BO$1,$BD232,AllTriggers)</f>
        <v>3.3557903974065998E-3</v>
      </c>
      <c r="BP232" s="47">
        <f>_xll.qlPolynomialFunctionValue(BP$1,$BD232,AllTriggers)</f>
        <v>3.3516855097304047E-3</v>
      </c>
      <c r="BQ232" s="47">
        <f>_xll.qlPolynomialFunctionValue('12MSynthDepo_used'!$P$18,BD232,AllTriggers)</f>
        <v>3.3642678608060451E-3</v>
      </c>
    </row>
    <row r="233" spans="55:69" x14ac:dyDescent="0.2">
      <c r="BC233" s="178">
        <f>_xll.qlCalendarAdvance(Calendar,BC232,"1d","mf",,Trigger)</f>
        <v>42604</v>
      </c>
      <c r="BD233" s="41">
        <f>_xll.qlDayCounterYearFraction(DayCounter,SettlementDate,BC233,,,Trigger)</f>
        <v>0.90277777777777779</v>
      </c>
      <c r="BE233" s="47">
        <f>_xll.qlPolynomialFunctionValue(BE$1,$BD233,AllTriggers)</f>
        <v>3.3395215086311817E-3</v>
      </c>
      <c r="BF233" s="47">
        <f>_xll.qlPolynomialFunctionValue(BF$1,$BD233,AllTriggers)</f>
        <v>3.3451094007695913E-3</v>
      </c>
      <c r="BG233" s="47">
        <f>_xll.qlPolynomialFunctionValue(BG$1,$BD233,AllTriggers)</f>
        <v>3.3526778597399837E-3</v>
      </c>
      <c r="BH233" s="47">
        <f>_xll.qlPolynomialFunctionValue(BH$1,$BD233,AllTriggers)</f>
        <v>3.3440657080854087E-3</v>
      </c>
      <c r="BI233" s="47">
        <f>_xll.qlPolynomialFunctionValue(BI$1,$BD233,AllTriggers)</f>
        <v>3.3438903496747809E-3</v>
      </c>
      <c r="BJ233" s="47">
        <f>_xll.qlPolynomialFunctionValue(BJ$1,$BD233,AllTriggers)</f>
        <v>3.3485702264062231E-3</v>
      </c>
      <c r="BK233" s="47">
        <f>_xll.qlPolynomialFunctionValue(BK$1,$BD233,AllTriggers)</f>
        <v>3.3543000224407643E-3</v>
      </c>
      <c r="BL233" s="47">
        <f>_xll.qlPolynomialFunctionValue(BL$1,$BD233,AllTriggers)</f>
        <v>3.3455692268418943E-3</v>
      </c>
      <c r="BM233" s="47">
        <f>_xll.qlPolynomialFunctionValue(BM$1,$BD233,AllTriggers)</f>
        <v>3.3613679988744763E-3</v>
      </c>
      <c r="BN233" s="47">
        <f>_xll.qlPolynomialFunctionValue(BN$1,$BD233,AllTriggers)</f>
        <v>3.3484785064105066E-3</v>
      </c>
      <c r="BO233" s="47">
        <f>_xll.qlPolynomialFunctionValue(BO$1,$BD233,AllTriggers)</f>
        <v>3.360990949617997E-3</v>
      </c>
      <c r="BP233" s="47">
        <f>_xll.qlPolynomialFunctionValue(BP$1,$BD233,AllTriggers)</f>
        <v>3.3568847687250455E-3</v>
      </c>
      <c r="BQ233" s="47">
        <f>_xll.qlPolynomialFunctionValue('12MSynthDepo_used'!$P$18,BD233,AllTriggers)</f>
        <v>3.3694114633457299E-3</v>
      </c>
    </row>
    <row r="234" spans="55:69" x14ac:dyDescent="0.2">
      <c r="BC234" s="178">
        <f>_xll.qlCalendarAdvance(Calendar,BC233,"1d","mf",,Trigger)</f>
        <v>42605</v>
      </c>
      <c r="BD234" s="41">
        <f>_xll.qlDayCounterYearFraction(DayCounter,SettlementDate,BC234,,,Trigger)</f>
        <v>0.90555555555555556</v>
      </c>
      <c r="BE234" s="47">
        <f>_xll.qlPolynomialFunctionValue(BE$1,$BD234,AllTriggers)</f>
        <v>3.3410015234815681E-3</v>
      </c>
      <c r="BF234" s="47">
        <f>_xll.qlPolynomialFunctionValue(BF$1,$BD234,AllTriggers)</f>
        <v>3.3469098697290101E-3</v>
      </c>
      <c r="BG234" s="47">
        <f>_xll.qlPolynomialFunctionValue(BG$1,$BD234,AllTriggers)</f>
        <v>3.3542769365913546E-3</v>
      </c>
      <c r="BH234" s="47">
        <f>_xll.qlPolynomialFunctionValue(BH$1,$BD234,AllTriggers)</f>
        <v>3.3458939490748599E-3</v>
      </c>
      <c r="BI234" s="47">
        <f>_xll.qlPolynomialFunctionValue(BI$1,$BD234,AllTriggers)</f>
        <v>3.3453975623045909E-3</v>
      </c>
      <c r="BJ234" s="47">
        <f>_xll.qlPolynomialFunctionValue(BJ$1,$BD234,AllTriggers)</f>
        <v>3.3503283351015035E-3</v>
      </c>
      <c r="BK234" s="47">
        <f>_xll.qlPolynomialFunctionValue(BK$1,$BD234,AllTriggers)</f>
        <v>3.3559010159063037E-3</v>
      </c>
      <c r="BL234" s="47">
        <f>_xll.qlPolynomialFunctionValue(BL$1,$BD234,AllTriggers)</f>
        <v>3.3474096251567605E-3</v>
      </c>
      <c r="BM234" s="47">
        <f>_xll.qlPolynomialFunctionValue(BM$1,$BD234,AllTriggers)</f>
        <v>3.3630573960189945E-3</v>
      </c>
      <c r="BN234" s="47">
        <f>_xll.qlPolynomialFunctionValue(BN$1,$BD234,AllTriggers)</f>
        <v>3.3501957576445324E-3</v>
      </c>
      <c r="BO234" s="47">
        <f>_xll.qlPolynomialFunctionValue(BO$1,$BD234,AllTriggers)</f>
        <v>3.3627244670217959E-3</v>
      </c>
      <c r="BP234" s="47">
        <f>_xll.qlPolynomialFunctionValue(BP$1,$BD234,AllTriggers)</f>
        <v>3.3586187432595388E-3</v>
      </c>
      <c r="BQ234" s="47">
        <f>_xll.qlPolynomialFunctionValue('12MSynthDepo_used'!$P$18,BD234,AllTriggers)</f>
        <v>3.3711256711919683E-3</v>
      </c>
    </row>
    <row r="235" spans="55:69" x14ac:dyDescent="0.2">
      <c r="BC235" s="178">
        <f>_xll.qlCalendarAdvance(Calendar,BC234,"1d","mf",,Trigger)</f>
        <v>42606</v>
      </c>
      <c r="BD235" s="41">
        <f>_xll.qlDayCounterYearFraction(DayCounter,SettlementDate,BC235,,,Trigger)</f>
        <v>0.90833333333333333</v>
      </c>
      <c r="BE235" s="47">
        <f>_xll.qlPolynomialFunctionValue(BE$1,$BD235,AllTriggers)</f>
        <v>3.3424815383319541E-3</v>
      </c>
      <c r="BF235" s="47">
        <f>_xll.qlPolynomialFunctionValue(BF$1,$BD235,AllTriggers)</f>
        <v>3.3487128719224928E-3</v>
      </c>
      <c r="BG235" s="47">
        <f>_xll.qlPolynomialFunctionValue(BG$1,$BD235,AllTriggers)</f>
        <v>3.3558760134427255E-3</v>
      </c>
      <c r="BH235" s="47">
        <f>_xll.qlPolynomialFunctionValue(BH$1,$BD235,AllTriggers)</f>
        <v>3.3477250726320859E-3</v>
      </c>
      <c r="BI235" s="47">
        <f>_xll.qlPolynomialFunctionValue(BI$1,$BD235,AllTriggers)</f>
        <v>3.3469047749344009E-3</v>
      </c>
      <c r="BJ235" s="47">
        <f>_xll.qlPolynomialFunctionValue(BJ$1,$BD235,AllTriggers)</f>
        <v>3.3520884077371548E-3</v>
      </c>
      <c r="BK235" s="47">
        <f>_xll.qlPolynomialFunctionValue(BK$1,$BD235,AllTriggers)</f>
        <v>3.3575020093718436E-3</v>
      </c>
      <c r="BL235" s="47">
        <f>_xll.qlPolynomialFunctionValue(BL$1,$BD235,AllTriggers)</f>
        <v>3.3492530160322436E-3</v>
      </c>
      <c r="BM235" s="47">
        <f>_xll.qlPolynomialFunctionValue(BM$1,$BD235,AllTriggers)</f>
        <v>3.3647467931635128E-3</v>
      </c>
      <c r="BN235" s="47">
        <f>_xll.qlPolynomialFunctionValue(BN$1,$BD235,AllTriggers)</f>
        <v>3.351914378491735E-3</v>
      </c>
      <c r="BO235" s="47">
        <f>_xll.qlPolynomialFunctionValue(BO$1,$BD235,AllTriggers)</f>
        <v>3.3644579844255952E-3</v>
      </c>
      <c r="BP235" s="47">
        <f>_xll.qlPolynomialFunctionValue(BP$1,$BD235,AllTriggers)</f>
        <v>3.3603531618955056E-3</v>
      </c>
      <c r="BQ235" s="47">
        <f>_xll.qlPolynomialFunctionValue('12MSynthDepo_used'!$P$18,BD235,AllTriggers)</f>
        <v>3.3728397081617661E-3</v>
      </c>
    </row>
    <row r="236" spans="55:69" x14ac:dyDescent="0.2">
      <c r="BC236" s="178">
        <f>_xll.qlCalendarAdvance(Calendar,BC235,"1d","mf",,Trigger)</f>
        <v>42607</v>
      </c>
      <c r="BD236" s="41">
        <f>_xll.qlDayCounterYearFraction(DayCounter,SettlementDate,BC236,,,Trigger)</f>
        <v>0.91111111111111109</v>
      </c>
      <c r="BE236" s="47">
        <f>_xll.qlPolynomialFunctionValue(BE$1,$BD236,AllTriggers)</f>
        <v>3.3439615531823405E-3</v>
      </c>
      <c r="BF236" s="47">
        <f>_xll.qlPolynomialFunctionValue(BF$1,$BD236,AllTriggers)</f>
        <v>3.3505184073500389E-3</v>
      </c>
      <c r="BG236" s="47">
        <f>_xll.qlPolynomialFunctionValue(BG$1,$BD236,AllTriggers)</f>
        <v>3.3574750902940964E-3</v>
      </c>
      <c r="BH236" s="47">
        <f>_xll.qlPolynomialFunctionValue(BH$1,$BD236,AllTriggers)</f>
        <v>3.3495590787570861E-3</v>
      </c>
      <c r="BI236" s="47">
        <f>_xll.qlPolynomialFunctionValue(BI$1,$BD236,AllTriggers)</f>
        <v>3.3484119875642109E-3</v>
      </c>
      <c r="BJ236" s="47">
        <f>_xll.qlPolynomialFunctionValue(BJ$1,$BD236,AllTriggers)</f>
        <v>3.3538504443131781E-3</v>
      </c>
      <c r="BK236" s="47">
        <f>_xll.qlPolynomialFunctionValue(BK$1,$BD236,AllTriggers)</f>
        <v>3.3591030028373831E-3</v>
      </c>
      <c r="BL236" s="47">
        <f>_xll.qlPolynomialFunctionValue(BL$1,$BD236,AllTriggers)</f>
        <v>3.3510993994683431E-3</v>
      </c>
      <c r="BM236" s="47">
        <f>_xll.qlPolynomialFunctionValue(BM$1,$BD236,AllTriggers)</f>
        <v>3.366436190308031E-3</v>
      </c>
      <c r="BN236" s="47">
        <f>_xll.qlPolynomialFunctionValue(BN$1,$BD236,AllTriggers)</f>
        <v>3.3536343689521148E-3</v>
      </c>
      <c r="BO236" s="47">
        <f>_xll.qlPolynomialFunctionValue(BO$1,$BD236,AllTriggers)</f>
        <v>3.3661915018293942E-3</v>
      </c>
      <c r="BP236" s="47">
        <f>_xll.qlPolynomialFunctionValue(BP$1,$BD236,AllTriggers)</f>
        <v>3.3620880246329463E-3</v>
      </c>
      <c r="BQ236" s="47">
        <f>_xll.qlPolynomialFunctionValue('12MSynthDepo_used'!$P$18,BD236,AllTriggers)</f>
        <v>3.3745535696293569E-3</v>
      </c>
    </row>
    <row r="237" spans="55:69" x14ac:dyDescent="0.2">
      <c r="BC237" s="178">
        <f>_xll.qlCalendarAdvance(Calendar,BC236,"1d","mf",,Trigger)</f>
        <v>42608</v>
      </c>
      <c r="BD237" s="41">
        <f>_xll.qlDayCounterYearFraction(DayCounter,SettlementDate,BC237,,,Trigger)</f>
        <v>0.91388888888888886</v>
      </c>
      <c r="BE237" s="47">
        <f>_xll.qlPolynomialFunctionValue(BE$1,$BD237,AllTriggers)</f>
        <v>3.3454415680327265E-3</v>
      </c>
      <c r="BF237" s="47">
        <f>_xll.qlPolynomialFunctionValue(BF$1,$BD237,AllTriggers)</f>
        <v>3.3523264760116486E-3</v>
      </c>
      <c r="BG237" s="47">
        <f>_xll.qlPolynomialFunctionValue(BG$1,$BD237,AllTriggers)</f>
        <v>3.3590741671454668E-3</v>
      </c>
      <c r="BH237" s="47">
        <f>_xll.qlPolynomialFunctionValue(BH$1,$BD237,AllTriggers)</f>
        <v>3.3513959674498612E-3</v>
      </c>
      <c r="BI237" s="47">
        <f>_xll.qlPolynomialFunctionValue(BI$1,$BD237,AllTriggers)</f>
        <v>3.3499192001940205E-3</v>
      </c>
      <c r="BJ237" s="47">
        <f>_xll.qlPolynomialFunctionValue(BJ$1,$BD237,AllTriggers)</f>
        <v>3.3556144448295732E-3</v>
      </c>
      <c r="BK237" s="47">
        <f>_xll.qlPolynomialFunctionValue(BK$1,$BD237,AllTriggers)</f>
        <v>3.3607039963029226E-3</v>
      </c>
      <c r="BL237" s="47">
        <f>_xll.qlPolynomialFunctionValue(BL$1,$BD237,AllTriggers)</f>
        <v>3.3529487754650595E-3</v>
      </c>
      <c r="BM237" s="47">
        <f>_xll.qlPolynomialFunctionValue(BM$1,$BD237,AllTriggers)</f>
        <v>3.3681255874525489E-3</v>
      </c>
      <c r="BN237" s="47">
        <f>_xll.qlPolynomialFunctionValue(BN$1,$BD237,AllTriggers)</f>
        <v>3.3553557290256714E-3</v>
      </c>
      <c r="BO237" s="47">
        <f>_xll.qlPolynomialFunctionValue(BO$1,$BD237,AllTriggers)</f>
        <v>3.3679250192331931E-3</v>
      </c>
      <c r="BP237" s="47">
        <f>_xll.qlPolynomialFunctionValue(BP$1,$BD237,AllTriggers)</f>
        <v>3.3638233314718597E-3</v>
      </c>
      <c r="BQ237" s="47">
        <f>_xll.qlPolynomialFunctionValue('12MSynthDepo_used'!$P$18,BD237,AllTriggers)</f>
        <v>3.3762672509689718E-3</v>
      </c>
    </row>
    <row r="238" spans="55:69" x14ac:dyDescent="0.2">
      <c r="BC238" s="178">
        <f>_xll.qlCalendarAdvance(Calendar,BC237,"1d","mf",,Trigger)</f>
        <v>42611</v>
      </c>
      <c r="BD238" s="41">
        <f>_xll.qlDayCounterYearFraction(DayCounter,SettlementDate,BC238,,,Trigger)</f>
        <v>0.92222222222222228</v>
      </c>
      <c r="BE238" s="47">
        <f>_xll.qlPolynomialFunctionValue(BE$1,$BD238,AllTriggers)</f>
        <v>3.349881612583885E-3</v>
      </c>
      <c r="BF238" s="47">
        <f>_xll.qlPolynomialFunctionValue(BF$1,$BD238,AllTriggers)</f>
        <v>3.3577658814008585E-3</v>
      </c>
      <c r="BG238" s="47">
        <f>_xll.qlPolynomialFunctionValue(BG$1,$BD238,AllTriggers)</f>
        <v>3.3638713976995795E-3</v>
      </c>
      <c r="BH238" s="47">
        <f>_xll.qlPolynomialFunctionValue(BH$1,$BD238,AllTriggers)</f>
        <v>3.3569239289348344E-3</v>
      </c>
      <c r="BI238" s="47">
        <f>_xll.qlPolynomialFunctionValue(BI$1,$BD238,AllTriggers)</f>
        <v>3.3544408380834505E-3</v>
      </c>
      <c r="BJ238" s="47">
        <f>_xll.qlPolynomialFunctionValue(BJ$1,$BD238,AllTriggers)</f>
        <v>3.3609182300209889E-3</v>
      </c>
      <c r="BK238" s="47">
        <f>_xll.qlPolynomialFunctionValue(BK$1,$BD238,AllTriggers)</f>
        <v>3.3655069766995414E-3</v>
      </c>
      <c r="BL238" s="47">
        <f>_xll.qlPolynomialFunctionValue(BL$1,$BD238,AllTriggers)</f>
        <v>3.3585148588189074E-3</v>
      </c>
      <c r="BM238" s="47">
        <f>_xll.qlPolynomialFunctionValue(BM$1,$BD238,AllTriggers)</f>
        <v>3.3731937788861036E-3</v>
      </c>
      <c r="BN238" s="47">
        <f>_xll.qlPolynomialFunctionValue(BN$1,$BD238,AllTriggers)</f>
        <v>3.3605280269254027E-3</v>
      </c>
      <c r="BO238" s="47">
        <f>_xll.qlPolynomialFunctionValue(BO$1,$BD238,AllTriggers)</f>
        <v>3.3731255714445903E-3</v>
      </c>
      <c r="BP238" s="47">
        <f>_xll.qlPolynomialFunctionValue(BP$1,$BD238,AllTriggers)</f>
        <v>3.3690319165974401E-3</v>
      </c>
      <c r="BQ238" s="47">
        <f>_xll.qlPolynomialFunctionValue('12MSynthDepo_used'!$P$18,BD238,AllTriggers)</f>
        <v>3.3814071679622898E-3</v>
      </c>
    </row>
    <row r="239" spans="55:69" x14ac:dyDescent="0.2">
      <c r="BC239" s="178">
        <f>_xll.qlCalendarAdvance(Calendar,BC238,"1d","mf",,Trigger)</f>
        <v>42612</v>
      </c>
      <c r="BD239" s="41">
        <f>_xll.qlDayCounterYearFraction(DayCounter,SettlementDate,BC239,,,Trigger)</f>
        <v>0.92500000000000004</v>
      </c>
      <c r="BE239" s="47">
        <f>_xll.qlPolynomialFunctionValue(BE$1,$BD239,AllTriggers)</f>
        <v>3.3513616274342714E-3</v>
      </c>
      <c r="BF239" s="47">
        <f>_xll.qlPolynomialFunctionValue(BF$1,$BD239,AllTriggers)</f>
        <v>3.3595840829987226E-3</v>
      </c>
      <c r="BG239" s="47">
        <f>_xll.qlPolynomialFunctionValue(BG$1,$BD239,AllTriggers)</f>
        <v>3.3654704745509504E-3</v>
      </c>
      <c r="BH239" s="47">
        <f>_xll.qlPolynomialFunctionValue(BH$1,$BD239,AllTriggers)</f>
        <v>3.3587723478987076E-3</v>
      </c>
      <c r="BI239" s="47">
        <f>_xll.qlPolynomialFunctionValue(BI$1,$BD239,AllTriggers)</f>
        <v>3.3559480507132605E-3</v>
      </c>
      <c r="BJ239" s="47">
        <f>_xll.qlPolynomialFunctionValue(BJ$1,$BD239,AllTriggers)</f>
        <v>3.3626900862988706E-3</v>
      </c>
      <c r="BK239" s="47">
        <f>_xll.qlPolynomialFunctionValue(BK$1,$BD239,AllTriggers)</f>
        <v>3.3671079701650809E-3</v>
      </c>
      <c r="BL239" s="47">
        <f>_xll.qlPolynomialFunctionValue(BL$1,$BD239,AllTriggers)</f>
        <v>3.3603762050580899E-3</v>
      </c>
      <c r="BM239" s="47">
        <f>_xll.qlPolynomialFunctionValue(BM$1,$BD239,AllTriggers)</f>
        <v>3.3748831760306219E-3</v>
      </c>
      <c r="BN239" s="47">
        <f>_xll.qlPolynomialFunctionValue(BN$1,$BD239,AllTriggers)</f>
        <v>3.3622548654516668E-3</v>
      </c>
      <c r="BO239" s="47">
        <f>_xll.qlPolynomialFunctionValue(BO$1,$BD239,AllTriggers)</f>
        <v>3.3748590888483896E-3</v>
      </c>
      <c r="BP239" s="47">
        <f>_xll.qlPolynomialFunctionValue(BP$1,$BD239,AllTriggers)</f>
        <v>3.3707689998422469E-3</v>
      </c>
      <c r="BQ239" s="47">
        <f>_xll.qlPolynomialFunctionValue('12MSynthDepo_used'!$P$18,BD239,AllTriggers)</f>
        <v>3.3831200825323285E-3</v>
      </c>
    </row>
    <row r="240" spans="55:69" x14ac:dyDescent="0.2">
      <c r="BC240" s="178">
        <f>_xll.qlCalendarAdvance(Calendar,BC239,"1d","mf",,Trigger)</f>
        <v>42613</v>
      </c>
      <c r="BD240" s="41">
        <f>_xll.qlDayCounterYearFraction(DayCounter,SettlementDate,BC240,,,Trigger)</f>
        <v>0.92777777777777781</v>
      </c>
      <c r="BE240" s="47">
        <f>_xll.qlPolynomialFunctionValue(BE$1,$BD240,AllTriggers)</f>
        <v>3.3528416422846574E-3</v>
      </c>
      <c r="BF240" s="47">
        <f>_xll.qlPolynomialFunctionValue(BF$1,$BD240,AllTriggers)</f>
        <v>3.3614048178306497E-3</v>
      </c>
      <c r="BG240" s="47">
        <f>_xll.qlPolynomialFunctionValue(BG$1,$BD240,AllTriggers)</f>
        <v>3.3670695514023213E-3</v>
      </c>
      <c r="BH240" s="47">
        <f>_xll.qlPolynomialFunctionValue(BH$1,$BD240,AllTriggers)</f>
        <v>3.3606236494303559E-3</v>
      </c>
      <c r="BI240" s="47">
        <f>_xll.qlPolynomialFunctionValue(BI$1,$BD240,AllTriggers)</f>
        <v>3.3574552633430705E-3</v>
      </c>
      <c r="BJ240" s="47">
        <f>_xll.qlPolynomialFunctionValue(BJ$1,$BD240,AllTriggers)</f>
        <v>3.3644639065171242E-3</v>
      </c>
      <c r="BK240" s="47">
        <f>_xll.qlPolynomialFunctionValue(BK$1,$BD240,AllTriggers)</f>
        <v>3.3687089636306204E-3</v>
      </c>
      <c r="BL240" s="47">
        <f>_xll.qlPolynomialFunctionValue(BL$1,$BD240,AllTriggers)</f>
        <v>3.3622405438578896E-3</v>
      </c>
      <c r="BM240" s="47">
        <f>_xll.qlPolynomialFunctionValue(BM$1,$BD240,AllTriggers)</f>
        <v>3.3765725731751402E-3</v>
      </c>
      <c r="BN240" s="47">
        <f>_xll.qlPolynomialFunctionValue(BN$1,$BD240,AllTriggers)</f>
        <v>3.3639830735911077E-3</v>
      </c>
      <c r="BO240" s="47">
        <f>_xll.qlPolynomialFunctionValue(BO$1,$BD240,AllTriggers)</f>
        <v>3.3765926062521885E-3</v>
      </c>
      <c r="BP240" s="47">
        <f>_xll.qlPolynomialFunctionValue(BP$1,$BD240,AllTriggers)</f>
        <v>3.3725065271885271E-3</v>
      </c>
      <c r="BQ240" s="47">
        <f>_xll.qlPolynomialFunctionValue('12MSynthDepo_used'!$P$18,BD240,AllTriggers)</f>
        <v>3.3848327938455556E-3</v>
      </c>
    </row>
    <row r="241" spans="55:69" x14ac:dyDescent="0.2">
      <c r="BC241" s="178">
        <f>_xll.qlCalendarAdvance(Calendar,BC240,"1d","mf",,Trigger)</f>
        <v>42614</v>
      </c>
      <c r="BD241" s="41">
        <f>_xll.qlDayCounterYearFraction(DayCounter,SettlementDate,BC241,,,Trigger)</f>
        <v>0.93055555555555558</v>
      </c>
      <c r="BE241" s="47">
        <f>_xll.qlPolynomialFunctionValue(BE$1,$BD241,AllTriggers)</f>
        <v>3.3543216571350438E-3</v>
      </c>
      <c r="BF241" s="47">
        <f>_xll.qlPolynomialFunctionValue(BF$1,$BD241,AllTriggers)</f>
        <v>3.3632280858966403E-3</v>
      </c>
      <c r="BG241" s="47">
        <f>_xll.qlPolynomialFunctionValue(BG$1,$BD241,AllTriggers)</f>
        <v>3.3686686282536921E-3</v>
      </c>
      <c r="BH241" s="47">
        <f>_xll.qlPolynomialFunctionValue(BH$1,$BD241,AllTriggers)</f>
        <v>3.3624778335297782E-3</v>
      </c>
      <c r="BI241" s="47">
        <f>_xll.qlPolynomialFunctionValue(BI$1,$BD241,AllTriggers)</f>
        <v>3.3589624759728805E-3</v>
      </c>
      <c r="BJ241" s="47">
        <f>_xll.qlPolynomialFunctionValue(BJ$1,$BD241,AllTriggers)</f>
        <v>3.3662396906757501E-3</v>
      </c>
      <c r="BK241" s="47">
        <f>_xll.qlPolynomialFunctionValue(BK$1,$BD241,AllTriggers)</f>
        <v>3.3703099570961603E-3</v>
      </c>
      <c r="BL241" s="47">
        <f>_xll.qlPolynomialFunctionValue(BL$1,$BD241,AllTriggers)</f>
        <v>3.3641078752183048E-3</v>
      </c>
      <c r="BM241" s="47">
        <f>_xll.qlPolynomialFunctionValue(BM$1,$BD241,AllTriggers)</f>
        <v>3.3782619703196584E-3</v>
      </c>
      <c r="BN241" s="47">
        <f>_xll.qlPolynomialFunctionValue(BN$1,$BD241,AllTriggers)</f>
        <v>3.3657126513437262E-3</v>
      </c>
      <c r="BO241" s="47">
        <f>_xll.qlPolynomialFunctionValue(BO$1,$BD241,AllTriggers)</f>
        <v>3.3783261236559874E-3</v>
      </c>
      <c r="BP241" s="47">
        <f>_xll.qlPolynomialFunctionValue(BP$1,$BD241,AllTriggers)</f>
        <v>3.3742444986362805E-3</v>
      </c>
      <c r="BQ241" s="47">
        <f>_xll.qlPolynomialFunctionValue('12MSynthDepo_used'!$P$18,BD241,AllTriggers)</f>
        <v>3.3865452972762023E-3</v>
      </c>
    </row>
    <row r="242" spans="55:69" x14ac:dyDescent="0.2">
      <c r="BC242" s="178">
        <f>_xll.qlCalendarAdvance(Calendar,BC241,"1d","mf",,Trigger)</f>
        <v>42615</v>
      </c>
      <c r="BD242" s="41">
        <f>_xll.qlDayCounterYearFraction(DayCounter,SettlementDate,BC242,,,Trigger)</f>
        <v>0.93333333333333335</v>
      </c>
      <c r="BE242" s="47">
        <f>_xll.qlPolynomialFunctionValue(BE$1,$BD242,AllTriggers)</f>
        <v>3.3558016719854298E-3</v>
      </c>
      <c r="BF242" s="47">
        <f>_xll.qlPolynomialFunctionValue(BF$1,$BD242,AllTriggers)</f>
        <v>3.3650538871966948E-3</v>
      </c>
      <c r="BG242" s="47">
        <f>_xll.qlPolynomialFunctionValue(BG$1,$BD242,AllTriggers)</f>
        <v>3.3702677051050626E-3</v>
      </c>
      <c r="BH242" s="47">
        <f>_xll.qlPolynomialFunctionValue(BH$1,$BD242,AllTriggers)</f>
        <v>3.3643349001969756E-3</v>
      </c>
      <c r="BI242" s="47">
        <f>_xll.qlPolynomialFunctionValue(BI$1,$BD242,AllTriggers)</f>
        <v>3.3604696886026905E-3</v>
      </c>
      <c r="BJ242" s="47">
        <f>_xll.qlPolynomialFunctionValue(BJ$1,$BD242,AllTriggers)</f>
        <v>3.3680174387747471E-3</v>
      </c>
      <c r="BK242" s="47">
        <f>_xll.qlPolynomialFunctionValue(BK$1,$BD242,AllTriggers)</f>
        <v>3.3719109505616998E-3</v>
      </c>
      <c r="BL242" s="47">
        <f>_xll.qlPolynomialFunctionValue(BL$1,$BD242,AllTriggers)</f>
        <v>3.3659781991393373E-3</v>
      </c>
      <c r="BM242" s="47">
        <f>_xll.qlPolynomialFunctionValue(BM$1,$BD242,AllTriggers)</f>
        <v>3.3799513674641762E-3</v>
      </c>
      <c r="BN242" s="47">
        <f>_xll.qlPolynomialFunctionValue(BN$1,$BD242,AllTriggers)</f>
        <v>3.3674435987095207E-3</v>
      </c>
      <c r="BO242" s="47">
        <f>_xll.qlPolynomialFunctionValue(BO$1,$BD242,AllTriggers)</f>
        <v>3.3800596410597868E-3</v>
      </c>
      <c r="BP242" s="47">
        <f>_xll.qlPolynomialFunctionValue(BP$1,$BD242,AllTriggers)</f>
        <v>3.3759829141855073E-3</v>
      </c>
      <c r="BQ242" s="47">
        <f>_xll.qlPolynomialFunctionValue('12MSynthDepo_used'!$P$18,BD242,AllTriggers)</f>
        <v>3.3882575881985012E-3</v>
      </c>
    </row>
    <row r="243" spans="55:69" x14ac:dyDescent="0.2">
      <c r="BC243" s="178">
        <f>_xll.qlCalendarAdvance(Calendar,BC242,"1d","mf",,Trigger)</f>
        <v>42618</v>
      </c>
      <c r="BD243" s="41">
        <f>_xll.qlDayCounterYearFraction(DayCounter,SettlementDate,BC243,,,Trigger)</f>
        <v>0.94166666666666665</v>
      </c>
      <c r="BE243" s="47">
        <f>_xll.qlPolynomialFunctionValue(BE$1,$BD243,AllTriggers)</f>
        <v>3.3602417165365882E-3</v>
      </c>
      <c r="BF243" s="47">
        <f>_xll.qlPolynomialFunctionValue(BF$1,$BD243,AllTriggers)</f>
        <v>3.370546490501238E-3</v>
      </c>
      <c r="BG243" s="47">
        <f>_xll.qlPolynomialFunctionValue(BG$1,$BD243,AllTriggers)</f>
        <v>3.3750649356591752E-3</v>
      </c>
      <c r="BH243" s="47">
        <f>_xll.qlPolynomialFunctionValue(BH$1,$BD243,AllTriggers)</f>
        <v>3.3699233956052152E-3</v>
      </c>
      <c r="BI243" s="47">
        <f>_xll.qlPolynomialFunctionValue(BI$1,$BD243,AllTriggers)</f>
        <v>3.3649913264921206E-3</v>
      </c>
      <c r="BJ243" s="47">
        <f>_xll.qlPolynomialFunctionValue(BJ$1,$BD243,AllTriggers)</f>
        <v>3.3733624667139691E-3</v>
      </c>
      <c r="BK243" s="47">
        <f>_xll.qlPolynomialFunctionValue(BK$1,$BD243,AllTriggers)</f>
        <v>3.3767139309583186E-3</v>
      </c>
      <c r="BL243" s="47">
        <f>_xll.qlPolynomialFunctionValue(BL$1,$BD243,AllTriggers)</f>
        <v>3.3716071262661334E-3</v>
      </c>
      <c r="BM243" s="47">
        <f>_xll.qlPolynomialFunctionValue(BM$1,$BD243,AllTriggers)</f>
        <v>3.385019558897731E-3</v>
      </c>
      <c r="BN243" s="47">
        <f>_xll.qlPolynomialFunctionValue(BN$1,$BD243,AllTriggers)</f>
        <v>3.3726446584859673E-3</v>
      </c>
      <c r="BO243" s="47">
        <f>_xll.qlPolynomialFunctionValue(BO$1,$BD243,AllTriggers)</f>
        <v>3.385260193271184E-3</v>
      </c>
      <c r="BP243" s="47">
        <f>_xll.qlPolynomialFunctionValue(BP$1,$BD243,AllTriggers)</f>
        <v>3.3812008254420272E-3</v>
      </c>
      <c r="BQ243" s="47">
        <f>_xll.qlPolynomialFunctionValue('12MSynthDepo_used'!$P$18,BD243,AllTriggers)</f>
        <v>3.3933931396576428E-3</v>
      </c>
    </row>
    <row r="244" spans="55:69" x14ac:dyDescent="0.2">
      <c r="BC244" s="178">
        <f>_xll.qlCalendarAdvance(Calendar,BC243,"1d","mf",,Trigger)</f>
        <v>42619</v>
      </c>
      <c r="BD244" s="41">
        <f>_xll.qlDayCounterYearFraction(DayCounter,SettlementDate,BC244,,,Trigger)</f>
        <v>0.94444444444444442</v>
      </c>
      <c r="BE244" s="47">
        <f>_xll.qlPolynomialFunctionValue(BE$1,$BD244,AllTriggers)</f>
        <v>3.3617217313869742E-3</v>
      </c>
      <c r="BF244" s="47">
        <f>_xll.qlPolynomialFunctionValue(BF$1,$BD244,AllTriggers)</f>
        <v>3.3723824247375465E-3</v>
      </c>
      <c r="BG244" s="47">
        <f>_xll.qlPolynomialFunctionValue(BG$1,$BD244,AllTriggers)</f>
        <v>3.3766640125105461E-3</v>
      </c>
      <c r="BH244" s="47">
        <f>_xll.qlPolynomialFunctionValue(BH$1,$BD244,AllTriggers)</f>
        <v>3.3717919925435108E-3</v>
      </c>
      <c r="BI244" s="47">
        <f>_xll.qlPolynomialFunctionValue(BI$1,$BD244,AllTriggers)</f>
        <v>3.3664985391219306E-3</v>
      </c>
      <c r="BJ244" s="47">
        <f>_xll.qlPolynomialFunctionValue(BJ$1,$BD244,AllTriggers)</f>
        <v>3.3751480705744535E-3</v>
      </c>
      <c r="BK244" s="47">
        <f>_xll.qlPolynomialFunctionValue(BK$1,$BD244,AllTriggers)</f>
        <v>3.3783149244238581E-3</v>
      </c>
      <c r="BL244" s="47">
        <f>_xll.qlPolynomialFunctionValue(BL$1,$BD244,AllTriggers)</f>
        <v>3.3734894204296324E-3</v>
      </c>
      <c r="BM244" s="47">
        <f>_xll.qlPolynomialFunctionValue(BM$1,$BD244,AllTriggers)</f>
        <v>3.3867089560422493E-3</v>
      </c>
      <c r="BN244" s="47">
        <f>_xll.qlPolynomialFunctionValue(BN$1,$BD244,AllTriggers)</f>
        <v>3.3743810843044697E-3</v>
      </c>
      <c r="BO244" s="47">
        <f>_xll.qlPolynomialFunctionValue(BO$1,$BD244,AllTriggers)</f>
        <v>3.3869937106749829E-3</v>
      </c>
      <c r="BP244" s="47">
        <f>_xll.qlPolynomialFunctionValue(BP$1,$BD244,AllTriggers)</f>
        <v>3.3829410173971471E-3</v>
      </c>
      <c r="BQ244" s="47">
        <f>_xll.qlPolynomialFunctionValue('12MSynthDepo_used'!$P$18,BD244,AllTriggers)</f>
        <v>3.3951045342888787E-3</v>
      </c>
    </row>
    <row r="245" spans="55:69" x14ac:dyDescent="0.2">
      <c r="BC245" s="178">
        <f>_xll.qlCalendarAdvance(Calendar,BC244,"1d","mf",,Trigger)</f>
        <v>42620</v>
      </c>
      <c r="BD245" s="41">
        <f>_xll.qlDayCounterYearFraction(DayCounter,SettlementDate,BC245,,,Trigger)</f>
        <v>0.94722222222222219</v>
      </c>
      <c r="BE245" s="47">
        <f>_xll.qlPolynomialFunctionValue(BE$1,$BD245,AllTriggers)</f>
        <v>3.3632017462373607E-3</v>
      </c>
      <c r="BF245" s="47">
        <f>_xll.qlPolynomialFunctionValue(BF$1,$BD245,AllTriggers)</f>
        <v>3.3742208922079185E-3</v>
      </c>
      <c r="BG245" s="47">
        <f>_xll.qlPolynomialFunctionValue(BG$1,$BD245,AllTriggers)</f>
        <v>3.3782630893619166E-3</v>
      </c>
      <c r="BH245" s="47">
        <f>_xll.qlPolynomialFunctionValue(BH$1,$BD245,AllTriggers)</f>
        <v>3.3736634720495811E-3</v>
      </c>
      <c r="BI245" s="47">
        <f>_xll.qlPolynomialFunctionValue(BI$1,$BD245,AllTriggers)</f>
        <v>3.3680057517517406E-3</v>
      </c>
      <c r="BJ245" s="47">
        <f>_xll.qlPolynomialFunctionValue(BJ$1,$BD245,AllTriggers)</f>
        <v>3.3769356383753098E-3</v>
      </c>
      <c r="BK245" s="47">
        <f>_xll.qlPolynomialFunctionValue(BK$1,$BD245,AllTriggers)</f>
        <v>3.379915917889398E-3</v>
      </c>
      <c r="BL245" s="47">
        <f>_xll.qlPolynomialFunctionValue(BL$1,$BD245,AllTriggers)</f>
        <v>3.3753747071537474E-3</v>
      </c>
      <c r="BM245" s="47">
        <f>_xll.qlPolynomialFunctionValue(BM$1,$BD245,AllTriggers)</f>
        <v>3.3883983531867671E-3</v>
      </c>
      <c r="BN245" s="47">
        <f>_xll.qlPolynomialFunctionValue(BN$1,$BD245,AllTriggers)</f>
        <v>3.3761188797361498E-3</v>
      </c>
      <c r="BO245" s="47">
        <f>_xll.qlPolynomialFunctionValue(BO$1,$BD245,AllTriggers)</f>
        <v>3.3887272280787818E-3</v>
      </c>
      <c r="BP245" s="47">
        <f>_xll.qlPolynomialFunctionValue(BP$1,$BD245,AllTriggers)</f>
        <v>3.38468165345374E-3</v>
      </c>
      <c r="BQ245" s="47">
        <f>_xll.qlPolynomialFunctionValue('12MSynthDepo_used'!$P$18,BD245,AllTriggers)</f>
        <v>3.3968156932829303E-3</v>
      </c>
    </row>
    <row r="246" spans="55:69" x14ac:dyDescent="0.2">
      <c r="BC246" s="178">
        <f>_xll.qlCalendarAdvance(Calendar,BC245,"1d","mf",,Trigger)</f>
        <v>42621</v>
      </c>
      <c r="BD246" s="41">
        <f>_xll.qlDayCounterYearFraction(DayCounter,SettlementDate,BC246,,,Trigger)</f>
        <v>0.95</v>
      </c>
      <c r="BE246" s="47">
        <f>_xll.qlPolynomialFunctionValue(BE$1,$BD246,AllTriggers)</f>
        <v>3.3646817610877467E-3</v>
      </c>
      <c r="BF246" s="47">
        <f>_xll.qlPolynomialFunctionValue(BF$1,$BD246,AllTriggers)</f>
        <v>3.3760618929123535E-3</v>
      </c>
      <c r="BG246" s="47">
        <f>_xll.qlPolynomialFunctionValue(BG$1,$BD246,AllTriggers)</f>
        <v>3.3798621662132875E-3</v>
      </c>
      <c r="BH246" s="47">
        <f>_xll.qlPolynomialFunctionValue(BH$1,$BD246,AllTriggers)</f>
        <v>3.3755378341234258E-3</v>
      </c>
      <c r="BI246" s="47">
        <f>_xll.qlPolynomialFunctionValue(BI$1,$BD246,AllTriggers)</f>
        <v>3.3695129643815506E-3</v>
      </c>
      <c r="BJ246" s="47">
        <f>_xll.qlPolynomialFunctionValue(BJ$1,$BD246,AllTriggers)</f>
        <v>3.3787251701165371E-3</v>
      </c>
      <c r="BK246" s="47">
        <f>_xll.qlPolynomialFunctionValue(BK$1,$BD246,AllTriggers)</f>
        <v>3.3815169113549375E-3</v>
      </c>
      <c r="BL246" s="47">
        <f>_xll.qlPolynomialFunctionValue(BL$1,$BD246,AllTriggers)</f>
        <v>3.3772629864384793E-3</v>
      </c>
      <c r="BM246" s="47">
        <f>_xll.qlPolynomialFunctionValue(BM$1,$BD246,AllTriggers)</f>
        <v>3.3900877503312853E-3</v>
      </c>
      <c r="BN246" s="47">
        <f>_xll.qlPolynomialFunctionValue(BN$1,$BD246,AllTriggers)</f>
        <v>3.3778580447810062E-3</v>
      </c>
      <c r="BO246" s="47">
        <f>_xll.qlPolynomialFunctionValue(BO$1,$BD246,AllTriggers)</f>
        <v>3.3904607454825811E-3</v>
      </c>
      <c r="BP246" s="47">
        <f>_xll.qlPolynomialFunctionValue(BP$1,$BD246,AllTriggers)</f>
        <v>3.3864227336118072E-3</v>
      </c>
      <c r="BQ246" s="47">
        <f>_xll.qlPolynomialFunctionValue('12MSynthDepo_used'!$P$18,BD246,AllTriggers)</f>
        <v>3.3985266120140304E-3</v>
      </c>
    </row>
    <row r="247" spans="55:69" x14ac:dyDescent="0.2">
      <c r="BC247" s="178">
        <f>_xll.qlCalendarAdvance(Calendar,BC246,"1d","mf",,Trigger)</f>
        <v>42622</v>
      </c>
      <c r="BD247" s="41">
        <f>_xll.qlDayCounterYearFraction(DayCounter,SettlementDate,BC247,,,Trigger)</f>
        <v>0.95277777777777772</v>
      </c>
      <c r="BE247" s="47">
        <f>_xll.qlPolynomialFunctionValue(BE$1,$BD247,AllTriggers)</f>
        <v>3.3661617759381331E-3</v>
      </c>
      <c r="BF247" s="47">
        <f>_xll.qlPolynomialFunctionValue(BF$1,$BD247,AllTriggers)</f>
        <v>3.377905426850852E-3</v>
      </c>
      <c r="BG247" s="47">
        <f>_xll.qlPolynomialFunctionValue(BG$1,$BD247,AllTriggers)</f>
        <v>3.3814612430646583E-3</v>
      </c>
      <c r="BH247" s="47">
        <f>_xll.qlPolynomialFunctionValue(BH$1,$BD247,AllTriggers)</f>
        <v>3.3774150787650452E-3</v>
      </c>
      <c r="BI247" s="47">
        <f>_xll.qlPolynomialFunctionValue(BI$1,$BD247,AllTriggers)</f>
        <v>3.3710201770113606E-3</v>
      </c>
      <c r="BJ247" s="47">
        <f>_xll.qlPolynomialFunctionValue(BJ$1,$BD247,AllTriggers)</f>
        <v>3.3805166657981368E-3</v>
      </c>
      <c r="BK247" s="47">
        <f>_xll.qlPolynomialFunctionValue(BK$1,$BD247,AllTriggers)</f>
        <v>3.3831179048204769E-3</v>
      </c>
      <c r="BL247" s="47">
        <f>_xll.qlPolynomialFunctionValue(BL$1,$BD247,AllTriggers)</f>
        <v>3.379154258283828E-3</v>
      </c>
      <c r="BM247" s="47">
        <f>_xll.qlPolynomialFunctionValue(BM$1,$BD247,AllTriggers)</f>
        <v>3.3917771474758036E-3</v>
      </c>
      <c r="BN247" s="47">
        <f>_xll.qlPolynomialFunctionValue(BN$1,$BD247,AllTriggers)</f>
        <v>3.3795985794390394E-3</v>
      </c>
      <c r="BO247" s="47">
        <f>_xll.qlPolynomialFunctionValue(BO$1,$BD247,AllTriggers)</f>
        <v>3.3921942628863801E-3</v>
      </c>
      <c r="BP247" s="47">
        <f>_xll.qlPolynomialFunctionValue(BP$1,$BD247,AllTriggers)</f>
        <v>3.388164257871347E-3</v>
      </c>
      <c r="BQ247" s="47">
        <f>_xll.qlPolynomialFunctionValue('12MSynthDepo_used'!$P$18,BD247,AllTriggers)</f>
        <v>3.4002372858564114E-3</v>
      </c>
    </row>
    <row r="248" spans="55:69" x14ac:dyDescent="0.2">
      <c r="BC248" s="178">
        <f>_xll.qlCalendarAdvance(Calendar,BC247,"1d","mf",,Trigger)</f>
        <v>42625</v>
      </c>
      <c r="BD248" s="41">
        <f>_xll.qlDayCounterYearFraction(DayCounter,SettlementDate,BC248,,,Trigger)</f>
        <v>0.96111111111111114</v>
      </c>
      <c r="BE248" s="47">
        <f>_xll.qlPolynomialFunctionValue(BE$1,$BD248,AllTriggers)</f>
        <v>3.3706018204892915E-3</v>
      </c>
      <c r="BF248" s="47">
        <f>_xll.qlPolynomialFunctionValue(BF$1,$BD248,AllTriggers)</f>
        <v>3.3834512280707294E-3</v>
      </c>
      <c r="BG248" s="47">
        <f>_xll.qlPolynomialFunctionValue(BG$1,$BD248,AllTriggers)</f>
        <v>3.3862584736187706E-3</v>
      </c>
      <c r="BH248" s="47">
        <f>_xll.qlPolynomialFunctionValue(BH$1,$BD248,AllTriggers)</f>
        <v>3.3830641080965515E-3</v>
      </c>
      <c r="BI248" s="47">
        <f>_xll.qlPolynomialFunctionValue(BI$1,$BD248,AllTriggers)</f>
        <v>3.3755418149007906E-3</v>
      </c>
      <c r="BJ248" s="47">
        <f>_xll.qlPolynomialFunctionValue(BJ$1,$BD248,AllTriggers)</f>
        <v>3.3859029364851656E-3</v>
      </c>
      <c r="BK248" s="47">
        <f>_xll.qlPolynomialFunctionValue(BK$1,$BD248,AllTriggers)</f>
        <v>3.3879208852170958E-3</v>
      </c>
      <c r="BL248" s="47">
        <f>_xll.qlPolynomialFunctionValue(BL$1,$BD248,AllTriggers)</f>
        <v>3.3848460291835726E-3</v>
      </c>
      <c r="BM248" s="47">
        <f>_xll.qlPolynomialFunctionValue(BM$1,$BD248,AllTriggers)</f>
        <v>3.3968453389093584E-3</v>
      </c>
      <c r="BN248" s="47">
        <f>_xll.qlPolynomialFunctionValue(BN$1,$BD248,AllTriggers)</f>
        <v>3.384828401092201E-3</v>
      </c>
      <c r="BO248" s="47">
        <f>_xll.qlPolynomialFunctionValue(BO$1,$BD248,AllTriggers)</f>
        <v>3.3973948150977772E-3</v>
      </c>
      <c r="BP248" s="47">
        <f>_xll.qlPolynomialFunctionValue(BP$1,$BD248,AllTriggers)</f>
        <v>3.3933914952588066E-3</v>
      </c>
      <c r="BQ248" s="47">
        <f>_xll.qlPolynomialFunctionValue('12MSynthDepo_used'!$P$18,BD248,AllTriggers)</f>
        <v>3.4053677917935646E-3</v>
      </c>
    </row>
    <row r="249" spans="55:69" x14ac:dyDescent="0.2">
      <c r="BC249" s="178">
        <f>_xll.qlCalendarAdvance(Calendar,BC248,"1d","mf",,Trigger)</f>
        <v>42626</v>
      </c>
      <c r="BD249" s="41">
        <f>_xll.qlDayCounterYearFraction(DayCounter,SettlementDate,BC249,,,Trigger)</f>
        <v>0.96388888888888891</v>
      </c>
      <c r="BE249" s="47">
        <f>_xll.qlPolynomialFunctionValue(BE$1,$BD249,AllTriggers)</f>
        <v>3.3720818353396775E-3</v>
      </c>
      <c r="BF249" s="47">
        <f>_xll.qlPolynomialFunctionValue(BF$1,$BD249,AllTriggers)</f>
        <v>3.3853048949454823E-3</v>
      </c>
      <c r="BG249" s="47">
        <f>_xll.qlPolynomialFunctionValue(BG$1,$BD249,AllTriggers)</f>
        <v>3.3878575504701415E-3</v>
      </c>
      <c r="BH249" s="47">
        <f>_xll.qlPolynomialFunctionValue(BH$1,$BD249,AllTriggers)</f>
        <v>3.3849528830092691E-3</v>
      </c>
      <c r="BI249" s="47">
        <f>_xll.qlPolynomialFunctionValue(BI$1,$BD249,AllTriggers)</f>
        <v>3.3770490275306002E-3</v>
      </c>
      <c r="BJ249" s="47">
        <f>_xll.qlPolynomialFunctionValue(BJ$1,$BD249,AllTriggers)</f>
        <v>3.3877022879282522E-3</v>
      </c>
      <c r="BK249" s="47">
        <f>_xll.qlPolynomialFunctionValue(BK$1,$BD249,AllTriggers)</f>
        <v>3.3895218786826353E-3</v>
      </c>
      <c r="BL249" s="47">
        <f>_xll.qlPolynomialFunctionValue(BL$1,$BD249,AllTriggers)</f>
        <v>3.3867492712713874E-3</v>
      </c>
      <c r="BM249" s="47">
        <f>_xll.qlPolynomialFunctionValue(BM$1,$BD249,AllTriggers)</f>
        <v>3.3985347360538766E-3</v>
      </c>
      <c r="BN249" s="47">
        <f>_xll.qlPolynomialFunctionValue(BN$1,$BD249,AllTriggers)</f>
        <v>3.3865744142029422E-3</v>
      </c>
      <c r="BO249" s="47">
        <f>_xll.qlPolynomialFunctionValue(BO$1,$BD249,AllTriggers)</f>
        <v>3.3991283325015766E-3</v>
      </c>
      <c r="BP249" s="47">
        <f>_xll.qlPolynomialFunctionValue(BP$1,$BD249,AllTriggers)</f>
        <v>3.3951347959242394E-3</v>
      </c>
      <c r="BQ249" s="47">
        <f>_xll.qlPolynomialFunctionValue('12MSynthDepo_used'!$P$18,BD249,AllTriggers)</f>
        <v>3.4070774398233953E-3</v>
      </c>
    </row>
    <row r="250" spans="55:69" x14ac:dyDescent="0.2">
      <c r="BC250" s="178">
        <f>_xll.qlCalendarAdvance(Calendar,BC249,"1d","mf",,Trigger)</f>
        <v>42627</v>
      </c>
      <c r="BD250" s="41">
        <f>_xll.qlDayCounterYearFraction(DayCounter,SettlementDate,BC250,,,Trigger)</f>
        <v>0.96666666666666667</v>
      </c>
      <c r="BE250" s="47">
        <f>_xll.qlPolynomialFunctionValue(BE$1,$BD250,AllTriggers)</f>
        <v>3.3735618501900639E-3</v>
      </c>
      <c r="BF250" s="47">
        <f>_xll.qlPolynomialFunctionValue(BF$1,$BD250,AllTriggers)</f>
        <v>3.3871610950542983E-3</v>
      </c>
      <c r="BG250" s="47">
        <f>_xll.qlPolynomialFunctionValue(BG$1,$BD250,AllTriggers)</f>
        <v>3.3894566273215123E-3</v>
      </c>
      <c r="BH250" s="47">
        <f>_xll.qlPolynomialFunctionValue(BH$1,$BD250,AllTriggers)</f>
        <v>3.3868445404897614E-3</v>
      </c>
      <c r="BI250" s="47">
        <f>_xll.qlPolynomialFunctionValue(BI$1,$BD250,AllTriggers)</f>
        <v>3.3785562401604102E-3</v>
      </c>
      <c r="BJ250" s="47">
        <f>_xll.qlPolynomialFunctionValue(BJ$1,$BD250,AllTriggers)</f>
        <v>3.3895036033117104E-3</v>
      </c>
      <c r="BK250" s="47">
        <f>_xll.qlPolynomialFunctionValue(BK$1,$BD250,AllTriggers)</f>
        <v>3.3911228721481747E-3</v>
      </c>
      <c r="BL250" s="47">
        <f>_xll.qlPolynomialFunctionValue(BL$1,$BD250,AllTriggers)</f>
        <v>3.3886555059198186E-3</v>
      </c>
      <c r="BM250" s="47">
        <f>_xll.qlPolynomialFunctionValue(BM$1,$BD250,AllTriggers)</f>
        <v>3.4002241331983945E-3</v>
      </c>
      <c r="BN250" s="47">
        <f>_xll.qlPolynomialFunctionValue(BN$1,$BD250,AllTriggers)</f>
        <v>3.3883217969268601E-3</v>
      </c>
      <c r="BO250" s="47">
        <f>_xll.qlPolynomialFunctionValue(BO$1,$BD250,AllTriggers)</f>
        <v>3.4008618499053755E-3</v>
      </c>
      <c r="BP250" s="47">
        <f>_xll.qlPolynomialFunctionValue(BP$1,$BD250,AllTriggers)</f>
        <v>3.3968785406911462E-3</v>
      </c>
      <c r="BQ250" s="47">
        <f>_xll.qlPolynomialFunctionValue('12MSynthDepo_used'!$P$18,BD250,AllTriggers)</f>
        <v>3.4087868198356681E-3</v>
      </c>
    </row>
    <row r="251" spans="55:69" x14ac:dyDescent="0.2">
      <c r="BC251" s="178">
        <f>_xll.qlCalendarAdvance(Calendar,BC250,"1d","mf",,Trigger)</f>
        <v>42628</v>
      </c>
      <c r="BD251" s="41">
        <f>_xll.qlDayCounterYearFraction(DayCounter,SettlementDate,BC251,,,Trigger)</f>
        <v>0.96944444444444444</v>
      </c>
      <c r="BE251" s="47">
        <f>_xll.qlPolynomialFunctionValue(BE$1,$BD251,AllTriggers)</f>
        <v>3.3750418650404499E-3</v>
      </c>
      <c r="BF251" s="47">
        <f>_xll.qlPolynomialFunctionValue(BF$1,$BD251,AllTriggers)</f>
        <v>3.3890198283971782E-3</v>
      </c>
      <c r="BG251" s="47">
        <f>_xll.qlPolynomialFunctionValue(BG$1,$BD251,AllTriggers)</f>
        <v>3.3910557041728832E-3</v>
      </c>
      <c r="BH251" s="47">
        <f>_xll.qlPolynomialFunctionValue(BH$1,$BD251,AllTriggers)</f>
        <v>3.3887390805380285E-3</v>
      </c>
      <c r="BI251" s="47">
        <f>_xll.qlPolynomialFunctionValue(BI$1,$BD251,AllTriggers)</f>
        <v>3.3800634527902202E-3</v>
      </c>
      <c r="BJ251" s="47">
        <f>_xll.qlPolynomialFunctionValue(BJ$1,$BD251,AllTriggers)</f>
        <v>3.3913068826355404E-3</v>
      </c>
      <c r="BK251" s="47">
        <f>_xll.qlPolynomialFunctionValue(BK$1,$BD251,AllTriggers)</f>
        <v>3.3927238656137147E-3</v>
      </c>
      <c r="BL251" s="47">
        <f>_xll.qlPolynomialFunctionValue(BL$1,$BD251,AllTriggers)</f>
        <v>3.3905647331288666E-3</v>
      </c>
      <c r="BM251" s="47">
        <f>_xll.qlPolynomialFunctionValue(BM$1,$BD251,AllTriggers)</f>
        <v>3.4019135303429127E-3</v>
      </c>
      <c r="BN251" s="47">
        <f>_xll.qlPolynomialFunctionValue(BN$1,$BD251,AllTriggers)</f>
        <v>3.3900705492639549E-3</v>
      </c>
      <c r="BO251" s="47">
        <f>_xll.qlPolynomialFunctionValue(BO$1,$BD251,AllTriggers)</f>
        <v>3.4025953673091748E-3</v>
      </c>
      <c r="BP251" s="47">
        <f>_xll.qlPolynomialFunctionValue(BP$1,$BD251,AllTriggers)</f>
        <v>3.3986227295595261E-3</v>
      </c>
      <c r="BQ251" s="47">
        <f>_xll.qlPolynomialFunctionValue('12MSynthDepo_used'!$P$18,BD251,AllTriggers)</f>
        <v>3.410495927204619E-3</v>
      </c>
    </row>
    <row r="252" spans="55:69" x14ac:dyDescent="0.2">
      <c r="BC252" s="178">
        <f>_xll.qlCalendarAdvance(Calendar,BC251,"1d","mf",,Trigger)</f>
        <v>42629</v>
      </c>
      <c r="BD252" s="41">
        <f>_xll.qlDayCounterYearFraction(DayCounter,SettlementDate,BC252,,,Trigger)</f>
        <v>0.97222222222222221</v>
      </c>
      <c r="BE252" s="47">
        <f>_xll.qlPolynomialFunctionValue(BE$1,$BD252,AllTriggers)</f>
        <v>3.3765218798908364E-3</v>
      </c>
      <c r="BF252" s="47">
        <f>_xll.qlPolynomialFunctionValue(BF$1,$BD252,AllTriggers)</f>
        <v>3.3908810949741211E-3</v>
      </c>
      <c r="BG252" s="47">
        <f>_xll.qlPolynomialFunctionValue(BG$1,$BD252,AllTriggers)</f>
        <v>3.3926547810242541E-3</v>
      </c>
      <c r="BH252" s="47">
        <f>_xll.qlPolynomialFunctionValue(BH$1,$BD252,AllTriggers)</f>
        <v>3.3906365031540703E-3</v>
      </c>
      <c r="BI252" s="47">
        <f>_xll.qlPolynomialFunctionValue(BI$1,$BD252,AllTriggers)</f>
        <v>3.3815706654200303E-3</v>
      </c>
      <c r="BJ252" s="47">
        <f>_xll.qlPolynomialFunctionValue(BJ$1,$BD252,AllTriggers)</f>
        <v>3.3931121258997422E-3</v>
      </c>
      <c r="BK252" s="47">
        <f>_xll.qlPolynomialFunctionValue(BK$1,$BD252,AllTriggers)</f>
        <v>3.3943248590792541E-3</v>
      </c>
      <c r="BL252" s="47">
        <f>_xll.qlPolynomialFunctionValue(BL$1,$BD252,AllTriggers)</f>
        <v>3.3924769528985307E-3</v>
      </c>
      <c r="BM252" s="47">
        <f>_xll.qlPolynomialFunctionValue(BM$1,$BD252,AllTriggers)</f>
        <v>3.403602927487431E-3</v>
      </c>
      <c r="BN252" s="47">
        <f>_xll.qlPolynomialFunctionValue(BN$1,$BD252,AllTriggers)</f>
        <v>3.3918206712142268E-3</v>
      </c>
      <c r="BO252" s="47">
        <f>_xll.qlPolynomialFunctionValue(BO$1,$BD252,AllTriggers)</f>
        <v>3.4043288847129738E-3</v>
      </c>
      <c r="BP252" s="47">
        <f>_xll.qlPolynomialFunctionValue(BP$1,$BD252,AllTriggers)</f>
        <v>3.400367362529379E-3</v>
      </c>
      <c r="BQ252" s="47">
        <f>_xll.qlPolynomialFunctionValue('12MSynthDepo_used'!$P$18,BD252,AllTriggers)</f>
        <v>3.4122047573044777E-3</v>
      </c>
    </row>
    <row r="253" spans="55:69" x14ac:dyDescent="0.2">
      <c r="BC253" s="178">
        <f>_xll.qlCalendarAdvance(Calendar,BC252,"1d","mf",,Trigger)</f>
        <v>42632</v>
      </c>
      <c r="BD253" s="41">
        <f>_xll.qlDayCounterYearFraction(DayCounter,SettlementDate,BC253,,,Trigger)</f>
        <v>0.98055555555555551</v>
      </c>
      <c r="BE253" s="47">
        <f>_xll.qlPolynomialFunctionValue(BE$1,$BD253,AllTriggers)</f>
        <v>3.3809619244419948E-3</v>
      </c>
      <c r="BF253" s="47">
        <f>_xll.qlPolynomialFunctionValue(BF$1,$BD253,AllTriggers)</f>
        <v>3.3964800941093322E-3</v>
      </c>
      <c r="BG253" s="47">
        <f>_xll.qlPolynomialFunctionValue(BG$1,$BD253,AllTriggers)</f>
        <v>3.3974520115783663E-3</v>
      </c>
      <c r="BH253" s="47">
        <f>_xll.qlPolynomialFunctionValue(BH$1,$BD253,AllTriggers)</f>
        <v>3.3963460664088426E-3</v>
      </c>
      <c r="BI253" s="47">
        <f>_xll.qlPolynomialFunctionValue(BI$1,$BD253,AllTriggers)</f>
        <v>3.3860923033094603E-3</v>
      </c>
      <c r="BJ253" s="47">
        <f>_xll.qlPolynomialFunctionValue(BJ$1,$BD253,AllTriggers)</f>
        <v>3.3985396393345782E-3</v>
      </c>
      <c r="BK253" s="47">
        <f>_xll.qlPolynomialFunctionValue(BK$1,$BD253,AllTriggers)</f>
        <v>3.399127839475873E-3</v>
      </c>
      <c r="BL253" s="47">
        <f>_xll.qlPolynomialFunctionValue(BL$1,$BD253,AllTriggers)</f>
        <v>3.3982315675712238E-3</v>
      </c>
      <c r="BM253" s="47">
        <f>_xll.qlPolynomialFunctionValue(BM$1,$BD253,AllTriggers)</f>
        <v>3.4086711189209853E-3</v>
      </c>
      <c r="BN253" s="47">
        <f>_xll.qlPolynomialFunctionValue(BN$1,$BD253,AllTriggers)</f>
        <v>3.3970792547441037E-3</v>
      </c>
      <c r="BO253" s="47">
        <f>_xll.qlPolynomialFunctionValue(BO$1,$BD253,AllTriggers)</f>
        <v>3.4095294369243709E-3</v>
      </c>
      <c r="BP253" s="47">
        <f>_xll.qlPolynomialFunctionValue(BP$1,$BD253,AllTriggers)</f>
        <v>3.4056039260477781E-3</v>
      </c>
      <c r="BQ253" s="47">
        <f>_xll.qlPolynomialFunctionValue('12MSynthDepo_used'!$P$18,BD253,AllTriggers)</f>
        <v>3.4173295377318328E-3</v>
      </c>
    </row>
    <row r="254" spans="55:69" x14ac:dyDescent="0.2">
      <c r="BC254" s="178">
        <f>_xll.qlCalendarAdvance(Calendar,BC253,"1d","mf",,Trigger)</f>
        <v>42633</v>
      </c>
      <c r="BD254" s="41">
        <f>_xll.qlDayCounterYearFraction(DayCounter,SettlementDate,BC254,,,Trigger)</f>
        <v>0.98333333333333328</v>
      </c>
      <c r="BE254" s="47">
        <f>_xll.qlPolynomialFunctionValue(BE$1,$BD254,AllTriggers)</f>
        <v>3.3824419392923808E-3</v>
      </c>
      <c r="BF254" s="47">
        <f>_xll.qlPolynomialFunctionValue(BF$1,$BD254,AllTriggers)</f>
        <v>3.3983514936225295E-3</v>
      </c>
      <c r="BG254" s="47">
        <f>_xll.qlPolynomialFunctionValue(BG$1,$BD254,AllTriggers)</f>
        <v>3.3990510884297372E-3</v>
      </c>
      <c r="BH254" s="47">
        <f>_xll.qlPolynomialFunctionValue(BH$1,$BD254,AllTriggers)</f>
        <v>3.3982550192959825E-3</v>
      </c>
      <c r="BI254" s="47">
        <f>_xll.qlPolynomialFunctionValue(BI$1,$BD254,AllTriggers)</f>
        <v>3.3875995159392703E-3</v>
      </c>
      <c r="BJ254" s="47">
        <f>_xll.qlPolynomialFunctionValue(BJ$1,$BD254,AllTriggers)</f>
        <v>3.4003527383602667E-3</v>
      </c>
      <c r="BK254" s="47">
        <f>_xll.qlPolynomialFunctionValue(BK$1,$BD254,AllTriggers)</f>
        <v>3.4007288329414125E-3</v>
      </c>
      <c r="BL254" s="47">
        <f>_xll.qlPolynomialFunctionValue(BL$1,$BD254,AllTriggers)</f>
        <v>3.4001557575833552E-3</v>
      </c>
      <c r="BM254" s="47">
        <f>_xll.qlPolynomialFunctionValue(BM$1,$BD254,AllTriggers)</f>
        <v>3.4103605160655036E-3</v>
      </c>
      <c r="BN254" s="47">
        <f>_xll.qlPolynomialFunctionValue(BN$1,$BD254,AllTriggers)</f>
        <v>3.3988348551470828E-3</v>
      </c>
      <c r="BO254" s="47">
        <f>_xll.qlPolynomialFunctionValue(BO$1,$BD254,AllTriggers)</f>
        <v>3.4112629543281703E-3</v>
      </c>
      <c r="BP254" s="47">
        <f>_xll.qlPolynomialFunctionValue(BP$1,$BD254,AllTriggers)</f>
        <v>3.4073503354235249E-3</v>
      </c>
      <c r="BQ254" s="47">
        <f>_xll.qlPolynomialFunctionValue('12MSynthDepo_used'!$P$18,BD254,AllTriggers)</f>
        <v>3.4190372124976538E-3</v>
      </c>
    </row>
    <row r="255" spans="55:69" x14ac:dyDescent="0.2">
      <c r="BC255" s="178">
        <f>_xll.qlCalendarAdvance(Calendar,BC254,"1d","mf",,Trigger)</f>
        <v>42634</v>
      </c>
      <c r="BD255" s="41">
        <f>_xll.qlDayCounterYearFraction(DayCounter,SettlementDate,BC255,,,Trigger)</f>
        <v>0.98611111111111116</v>
      </c>
      <c r="BE255" s="47">
        <f>_xll.qlPolynomialFunctionValue(BE$1,$BD255,AllTriggers)</f>
        <v>3.3839219541427672E-3</v>
      </c>
      <c r="BF255" s="47">
        <f>_xll.qlPolynomialFunctionValue(BF$1,$BD255,AllTriggers)</f>
        <v>3.4002254263697899E-3</v>
      </c>
      <c r="BG255" s="47">
        <f>_xll.qlPolynomialFunctionValue(BG$1,$BD255,AllTriggers)</f>
        <v>3.4006501652811081E-3</v>
      </c>
      <c r="BH255" s="47">
        <f>_xll.qlPolynomialFunctionValue(BH$1,$BD255,AllTriggers)</f>
        <v>3.4001668547508977E-3</v>
      </c>
      <c r="BI255" s="47">
        <f>_xll.qlPolynomialFunctionValue(BI$1,$BD255,AllTriggers)</f>
        <v>3.3891067285690803E-3</v>
      </c>
      <c r="BJ255" s="47">
        <f>_xll.qlPolynomialFunctionValue(BJ$1,$BD255,AllTriggers)</f>
        <v>3.4021678013263271E-3</v>
      </c>
      <c r="BK255" s="47">
        <f>_xll.qlPolynomialFunctionValue(BK$1,$BD255,AllTriggers)</f>
        <v>3.4023298264069524E-3</v>
      </c>
      <c r="BL255" s="47">
        <f>_xll.qlPolynomialFunctionValue(BL$1,$BD255,AllTriggers)</f>
        <v>3.4020829401561021E-3</v>
      </c>
      <c r="BM255" s="47">
        <f>_xll.qlPolynomialFunctionValue(BM$1,$BD255,AllTriggers)</f>
        <v>3.4120499132100218E-3</v>
      </c>
      <c r="BN255" s="47">
        <f>_xll.qlPolynomialFunctionValue(BN$1,$BD255,AllTriggers)</f>
        <v>3.4005918251632395E-3</v>
      </c>
      <c r="BO255" s="47">
        <f>_xll.qlPolynomialFunctionValue(BO$1,$BD255,AllTriggers)</f>
        <v>3.4129964717319692E-3</v>
      </c>
      <c r="BP255" s="47">
        <f>_xll.qlPolynomialFunctionValue(BP$1,$BD255,AllTriggers)</f>
        <v>3.4090971889007443E-3</v>
      </c>
      <c r="BQ255" s="47">
        <f>_xll.qlPolynomialFunctionValue('12MSynthDepo_used'!$P$18,BD255,AllTriggers)</f>
        <v>3.4207445868655456E-3</v>
      </c>
    </row>
    <row r="256" spans="55:69" x14ac:dyDescent="0.2">
      <c r="BC256" s="178">
        <f>_xll.qlCalendarAdvance(Calendar,BC255,"1d","mf",,Trigger)</f>
        <v>42635</v>
      </c>
      <c r="BD256" s="41">
        <f>_xll.qlDayCounterYearFraction(DayCounter,SettlementDate,BC256,,,Trigger)</f>
        <v>0.98888888888888893</v>
      </c>
      <c r="BE256" s="47">
        <f>_xll.qlPolynomialFunctionValue(BE$1,$BD256,AllTriggers)</f>
        <v>3.3854019689931532E-3</v>
      </c>
      <c r="BF256" s="47">
        <f>_xll.qlPolynomialFunctionValue(BF$1,$BD256,AllTriggers)</f>
        <v>3.4021018923511143E-3</v>
      </c>
      <c r="BG256" s="47">
        <f>_xll.qlPolynomialFunctionValue(BG$1,$BD256,AllTriggers)</f>
        <v>3.402249242132479E-3</v>
      </c>
      <c r="BH256" s="47">
        <f>_xll.qlPolynomialFunctionValue(BH$1,$BD256,AllTriggers)</f>
        <v>3.4020815727735867E-3</v>
      </c>
      <c r="BI256" s="47">
        <f>_xll.qlPolynomialFunctionValue(BI$1,$BD256,AllTriggers)</f>
        <v>3.3906139411988903E-3</v>
      </c>
      <c r="BJ256" s="47">
        <f>_xll.qlPolynomialFunctionValue(BJ$1,$BD256,AllTriggers)</f>
        <v>3.4039848282327594E-3</v>
      </c>
      <c r="BK256" s="47">
        <f>_xll.qlPolynomialFunctionValue(BK$1,$BD256,AllTriggers)</f>
        <v>3.4039308198724918E-3</v>
      </c>
      <c r="BL256" s="47">
        <f>_xll.qlPolynomialFunctionValue(BL$1,$BD256,AllTriggers)</f>
        <v>3.4040131152894663E-3</v>
      </c>
      <c r="BM256" s="47">
        <f>_xll.qlPolynomialFunctionValue(BM$1,$BD256,AllTriggers)</f>
        <v>3.4137393103545401E-3</v>
      </c>
      <c r="BN256" s="47">
        <f>_xll.qlPolynomialFunctionValue(BN$1,$BD256,AllTriggers)</f>
        <v>3.402350164792573E-3</v>
      </c>
      <c r="BO256" s="47">
        <f>_xll.qlPolynomialFunctionValue(BO$1,$BD256,AllTriggers)</f>
        <v>3.4147299891357681E-3</v>
      </c>
      <c r="BP256" s="47">
        <f>_xll.qlPolynomialFunctionValue(BP$1,$BD256,AllTriggers)</f>
        <v>3.4108444864794371E-3</v>
      </c>
      <c r="BQ256" s="47">
        <f>_xll.qlPolynomialFunctionValue('12MSynthDepo_used'!$P$18,BD256,AllTriggers)</f>
        <v>3.4224516562097419E-3</v>
      </c>
    </row>
    <row r="257" spans="55:69" x14ac:dyDescent="0.2">
      <c r="BC257" s="178">
        <f>_xll.qlCalendarAdvance(Calendar,BC256,"1d","mf",,Trigger)</f>
        <v>42636</v>
      </c>
      <c r="BD257" s="41">
        <f>_xll.qlDayCounterYearFraction(DayCounter,SettlementDate,BC257,,,Trigger)</f>
        <v>0.9916666666666667</v>
      </c>
      <c r="BE257" s="47">
        <f>_xll.qlPolynomialFunctionValue(BE$1,$BD257,AllTriggers)</f>
        <v>3.3868819838435396E-3</v>
      </c>
      <c r="BF257" s="47">
        <f>_xll.qlPolynomialFunctionValue(BF$1,$BD257,AllTriggers)</f>
        <v>3.4039808915665021E-3</v>
      </c>
      <c r="BG257" s="47">
        <f>_xll.qlPolynomialFunctionValue(BG$1,$BD257,AllTriggers)</f>
        <v>3.4038483189838499E-3</v>
      </c>
      <c r="BH257" s="47">
        <f>_xll.qlPolynomialFunctionValue(BH$1,$BD257,AllTriggers)</f>
        <v>3.4039991733640505E-3</v>
      </c>
      <c r="BI257" s="47">
        <f>_xll.qlPolynomialFunctionValue(BI$1,$BD257,AllTriggers)</f>
        <v>3.3921211538287003E-3</v>
      </c>
      <c r="BJ257" s="47">
        <f>_xll.qlPolynomialFunctionValue(BJ$1,$BD257,AllTriggers)</f>
        <v>3.4058038190795635E-3</v>
      </c>
      <c r="BK257" s="47">
        <f>_xll.qlPolynomialFunctionValue(BK$1,$BD257,AllTriggers)</f>
        <v>3.4055318133380313E-3</v>
      </c>
      <c r="BL257" s="47">
        <f>_xll.qlPolynomialFunctionValue(BL$1,$BD257,AllTriggers)</f>
        <v>3.405946282983447E-3</v>
      </c>
      <c r="BM257" s="47">
        <f>_xll.qlPolynomialFunctionValue(BM$1,$BD257,AllTriggers)</f>
        <v>3.4154287074990583E-3</v>
      </c>
      <c r="BN257" s="47">
        <f>_xll.qlPolynomialFunctionValue(BN$1,$BD257,AllTriggers)</f>
        <v>3.4041098740350828E-3</v>
      </c>
      <c r="BO257" s="47">
        <f>_xll.qlPolynomialFunctionValue(BO$1,$BD257,AllTriggers)</f>
        <v>3.4164635065395675E-3</v>
      </c>
      <c r="BP257" s="47">
        <f>_xll.qlPolynomialFunctionValue(BP$1,$BD257,AllTriggers)</f>
        <v>3.4125922281596039E-3</v>
      </c>
      <c r="BQ257" s="47">
        <f>_xll.qlPolynomialFunctionValue('12MSynthDepo_used'!$P$18,BD257,AllTriggers)</f>
        <v>3.4241584159044759E-3</v>
      </c>
    </row>
    <row r="258" spans="55:69" x14ac:dyDescent="0.2">
      <c r="BC258" s="178">
        <f>_xll.qlCalendarAdvance(Calendar,BC257,"1d","mf",,Trigger)</f>
        <v>42639</v>
      </c>
      <c r="BD258" s="41">
        <f>_xll.qlDayCounterYearFraction(DayCounter,SettlementDate,BC258,,,Trigger)</f>
        <v>1</v>
      </c>
      <c r="BE258" s="47">
        <f>_xll.qlPolynomialFunctionValue(BE$1,$BD258,AllTriggers)</f>
        <v>3.3913220283946981E-3</v>
      </c>
      <c r="BF258" s="47">
        <f>_xll.qlPolynomialFunctionValue(BF$1,$BD258,AllTriggers)</f>
        <v>3.4096330886170464E-3</v>
      </c>
      <c r="BG258" s="47">
        <f>_xll.qlPolynomialFunctionValue(BG$1,$BD258,AllTriggers)</f>
        <v>3.4086455495379621E-3</v>
      </c>
      <c r="BH258" s="47">
        <f>_xll.qlPolynomialFunctionValue(BH$1,$BD258,AllTriggers)</f>
        <v>3.4097692705420896E-3</v>
      </c>
      <c r="BI258" s="47">
        <f>_xll.qlPolynomialFunctionValue(BI$1,$BD258,AllTriggers)</f>
        <v>3.3966427917181304E-3</v>
      </c>
      <c r="BJ258" s="47">
        <f>_xll.qlPolynomialFunctionValue(BJ$1,$BD258,AllTriggers)</f>
        <v>3.4112725752622058E-3</v>
      </c>
      <c r="BK258" s="47">
        <f>_xll.qlPolynomialFunctionValue(BK$1,$BD258,AllTriggers)</f>
        <v>3.4103347937346502E-3</v>
      </c>
      <c r="BL258" s="47">
        <f>_xll.qlPolynomialFunctionValue(BL$1,$BD258,AllTriggers)</f>
        <v>3.4117637414290882E-3</v>
      </c>
      <c r="BM258" s="47">
        <f>_xll.qlPolynomialFunctionValue(BM$1,$BD258,AllTriggers)</f>
        <v>3.4204968989326127E-3</v>
      </c>
      <c r="BN258" s="47">
        <f>_xll.qlPolynomialFunctionValue(BN$1,$BD258,AllTriggers)</f>
        <v>3.4093972194416751E-3</v>
      </c>
      <c r="BO258" s="47">
        <f>_xll.qlPolynomialFunctionValue(BO$1,$BD258,AllTriggers)</f>
        <v>3.4216640587509646E-3</v>
      </c>
      <c r="BP258" s="47">
        <f>_xll.qlPolynomialFunctionValue(BP$1,$BD258,AllTriggers)</f>
        <v>3.4178381178089426E-3</v>
      </c>
      <c r="BQ258" s="47">
        <f>_xll.qlPolynomialFunctionValue('12MSynthDepo_used'!$P$18,BD258,AllTriggers)</f>
        <v>3.4292767908342238E-3</v>
      </c>
    </row>
    <row r="259" spans="55:69" x14ac:dyDescent="0.2">
      <c r="BC259" s="178">
        <f>_xll.qlCalendarAdvance(Calendar,BC258,"1d","mf",,Trigger)</f>
        <v>42640</v>
      </c>
      <c r="BD259" s="41">
        <f>_xll.qlDayCounterYearFraction(DayCounter,SettlementDate,BC259,,,Trigger)</f>
        <v>1.0027777777777778</v>
      </c>
      <c r="BE259" s="47">
        <f>_xll.qlPolynomialFunctionValue(BE$1,$BD259,AllTriggers)</f>
        <v>3.392802043245084E-3</v>
      </c>
      <c r="BF259" s="47">
        <f>_xll.qlPolynomialFunctionValue(BF$1,$BD259,AllTriggers)</f>
        <v>3.4115222207686882E-3</v>
      </c>
      <c r="BG259" s="47">
        <f>_xll.qlPolynomialFunctionValue(BG$1,$BD259,AllTriggers)</f>
        <v>3.410244626389333E-3</v>
      </c>
      <c r="BH259" s="47">
        <f>_xll.qlPolynomialFunctionValue(BH$1,$BD259,AllTriggers)</f>
        <v>3.4116984014036515E-3</v>
      </c>
      <c r="BI259" s="47">
        <f>_xll.qlPolynomialFunctionValue(BI$1,$BD259,AllTriggers)</f>
        <v>3.3981500043479404E-3</v>
      </c>
      <c r="BJ259" s="47">
        <f>_xll.qlPolynomialFunctionValue(BJ$1,$BD259,AllTriggers)</f>
        <v>3.4130994218704966E-3</v>
      </c>
      <c r="BK259" s="47">
        <f>_xll.qlPolynomialFunctionValue(BK$1,$BD259,AllTriggers)</f>
        <v>3.4119357872001896E-3</v>
      </c>
      <c r="BL259" s="47">
        <f>_xll.qlPolynomialFunctionValue(BL$1,$BD259,AllTriggers)</f>
        <v>3.4137088793655354E-3</v>
      </c>
      <c r="BM259" s="47">
        <f>_xll.qlPolynomialFunctionValue(BM$1,$BD259,AllTriggers)</f>
        <v>3.4221862960771309E-3</v>
      </c>
      <c r="BN259" s="47">
        <f>_xll.qlPolynomialFunctionValue(BN$1,$BD259,AllTriggers)</f>
        <v>3.4111624071368929E-3</v>
      </c>
      <c r="BO259" s="47">
        <f>_xll.qlPolynomialFunctionValue(BO$1,$BD259,AllTriggers)</f>
        <v>3.4233975761547636E-3</v>
      </c>
      <c r="BP259" s="47">
        <f>_xll.qlPolynomialFunctionValue(BP$1,$BD259,AllTriggers)</f>
        <v>3.419587635895002E-3</v>
      </c>
      <c r="BQ259" s="47">
        <f>_xll.qlPolynomialFunctionValue('12MSynthDepo_used'!$P$18,BD259,AllTriggers)</f>
        <v>3.4309822656734311E-3</v>
      </c>
    </row>
    <row r="260" spans="55:69" x14ac:dyDescent="0.2">
      <c r="BC260" s="178">
        <f>_xll.qlCalendarAdvance(Calendar,BC259,"1d","mf",,Trigger)</f>
        <v>42641</v>
      </c>
      <c r="BD260" s="41">
        <f>_xll.qlDayCounterYearFraction(DayCounter,SettlementDate,BC260,,,Trigger)</f>
        <v>1.0055555555555555</v>
      </c>
      <c r="BE260" s="47">
        <f>_xll.qlPolynomialFunctionValue(BE$1,$BD260,AllTriggers)</f>
        <v>3.3942820580954705E-3</v>
      </c>
      <c r="BF260" s="47">
        <f>_xll.qlPolynomialFunctionValue(BF$1,$BD260,AllTriggers)</f>
        <v>3.413413886154393E-3</v>
      </c>
      <c r="BG260" s="47">
        <f>_xll.qlPolynomialFunctionValue(BG$1,$BD260,AllTriggers)</f>
        <v>3.4118437032407039E-3</v>
      </c>
      <c r="BH260" s="47">
        <f>_xll.qlPolynomialFunctionValue(BH$1,$BD260,AllTriggers)</f>
        <v>3.4136304148329882E-3</v>
      </c>
      <c r="BI260" s="47">
        <f>_xll.qlPolynomialFunctionValue(BI$1,$BD260,AllTriggers)</f>
        <v>3.3996572169777504E-3</v>
      </c>
      <c r="BJ260" s="47">
        <f>_xll.qlPolynomialFunctionValue(BJ$1,$BD260,AllTriggers)</f>
        <v>3.4149282324191597E-3</v>
      </c>
      <c r="BK260" s="47">
        <f>_xll.qlPolynomialFunctionValue(BK$1,$BD260,AllTriggers)</f>
        <v>3.4135367806657291E-3</v>
      </c>
      <c r="BL260" s="47">
        <f>_xll.qlPolynomialFunctionValue(BL$1,$BD260,AllTriggers)</f>
        <v>3.4156570098625985E-3</v>
      </c>
      <c r="BM260" s="47">
        <f>_xll.qlPolynomialFunctionValue(BM$1,$BD260,AllTriggers)</f>
        <v>3.4238756932216492E-3</v>
      </c>
      <c r="BN260" s="47">
        <f>_xll.qlPolynomialFunctionValue(BN$1,$BD260,AllTriggers)</f>
        <v>3.4129289644452879E-3</v>
      </c>
      <c r="BO260" s="47">
        <f>_xll.qlPolynomialFunctionValue(BO$1,$BD260,AllTriggers)</f>
        <v>3.4251310935585625E-3</v>
      </c>
      <c r="BP260" s="47">
        <f>_xll.qlPolynomialFunctionValue(BP$1,$BD260,AllTriggers)</f>
        <v>3.4213375980825344E-3</v>
      </c>
      <c r="BQ260" s="47">
        <f>_xll.qlPolynomialFunctionValue('12MSynthDepo_used'!$P$18,BD260,AllTriggers)</f>
        <v>3.4326874077343383E-3</v>
      </c>
    </row>
    <row r="261" spans="55:69" x14ac:dyDescent="0.2">
      <c r="BC261" s="178">
        <f>_xll.qlCalendarAdvance(Calendar,BC260,"1d","mf",,Trigger)</f>
        <v>42642</v>
      </c>
      <c r="BD261" s="41">
        <f>_xll.qlDayCounterYearFraction(DayCounter,SettlementDate,BC261,,,Trigger)</f>
        <v>1.0083333333333333</v>
      </c>
      <c r="BE261" s="47">
        <f>_xll.qlPolynomialFunctionValue(BE$1,$BD261,AllTriggers)</f>
        <v>3.3957620729458565E-3</v>
      </c>
      <c r="BF261" s="47">
        <f>_xll.qlPolynomialFunctionValue(BF$1,$BD261,AllTriggers)</f>
        <v>3.4153080847741622E-3</v>
      </c>
      <c r="BG261" s="47">
        <f>_xll.qlPolynomialFunctionValue(BG$1,$BD261,AllTriggers)</f>
        <v>3.4134427800920743E-3</v>
      </c>
      <c r="BH261" s="47">
        <f>_xll.qlPolynomialFunctionValue(BH$1,$BD261,AllTriggers)</f>
        <v>3.4155653108301001E-3</v>
      </c>
      <c r="BI261" s="47">
        <f>_xll.qlPolynomialFunctionValue(BI$1,$BD261,AllTriggers)</f>
        <v>3.4011644296075604E-3</v>
      </c>
      <c r="BJ261" s="47">
        <f>_xll.qlPolynomialFunctionValue(BJ$1,$BD261,AllTriggers)</f>
        <v>3.4167590069081942E-3</v>
      </c>
      <c r="BK261" s="47">
        <f>_xll.qlPolynomialFunctionValue(BK$1,$BD261,AllTriggers)</f>
        <v>3.415137774131269E-3</v>
      </c>
      <c r="BL261" s="47">
        <f>_xll.qlPolynomialFunctionValue(BL$1,$BD261,AllTriggers)</f>
        <v>3.4176081329202789E-3</v>
      </c>
      <c r="BM261" s="47">
        <f>_xll.qlPolynomialFunctionValue(BM$1,$BD261,AllTriggers)</f>
        <v>3.4255650903661674E-3</v>
      </c>
      <c r="BN261" s="47">
        <f>_xll.qlPolynomialFunctionValue(BN$1,$BD261,AllTriggers)</f>
        <v>3.4146968913668593E-3</v>
      </c>
      <c r="BO261" s="47">
        <f>_xll.qlPolynomialFunctionValue(BO$1,$BD261,AllTriggers)</f>
        <v>3.4268646109623618E-3</v>
      </c>
      <c r="BP261" s="47">
        <f>_xll.qlPolynomialFunctionValue(BP$1,$BD261,AllTriggers)</f>
        <v>3.4230880043715412E-3</v>
      </c>
      <c r="BQ261" s="47">
        <f>_xll.qlPolynomialFunctionValue('12MSynthDepo_used'!$P$18,BD261,AllTriggers)</f>
        <v>3.4343922123911776E-3</v>
      </c>
    </row>
    <row r="262" spans="55:69" x14ac:dyDescent="0.2">
      <c r="BC262" s="178">
        <f>_xll.qlCalendarAdvance(Calendar,BC261,"1d","mf",,Trigger)</f>
        <v>42643</v>
      </c>
      <c r="BD262" s="41">
        <f>_xll.qlDayCounterYearFraction(DayCounter,SettlementDate,BC262,,,Trigger)</f>
        <v>1.0111111111111111</v>
      </c>
      <c r="BE262" s="47">
        <f>_xll.qlPolynomialFunctionValue(BE$1,$BD262,AllTriggers)</f>
        <v>3.3972420877962429E-3</v>
      </c>
      <c r="BF262" s="47">
        <f>_xll.qlPolynomialFunctionValue(BF$1,$BD262,AllTriggers)</f>
        <v>3.4172048166279945E-3</v>
      </c>
      <c r="BG262" s="47">
        <f>_xll.qlPolynomialFunctionValue(BG$1,$BD262,AllTriggers)</f>
        <v>3.4150418569434452E-3</v>
      </c>
      <c r="BH262" s="47">
        <f>_xll.qlPolynomialFunctionValue(BH$1,$BD262,AllTriggers)</f>
        <v>3.4175030893949859E-3</v>
      </c>
      <c r="BI262" s="47">
        <f>_xll.qlPolynomialFunctionValue(BI$1,$BD262,AllTriggers)</f>
        <v>3.4026716422373704E-3</v>
      </c>
      <c r="BJ262" s="47">
        <f>_xll.qlPolynomialFunctionValue(BJ$1,$BD262,AllTriggers)</f>
        <v>3.4185917453376001E-3</v>
      </c>
      <c r="BK262" s="47">
        <f>_xll.qlPolynomialFunctionValue(BK$1,$BD262,AllTriggers)</f>
        <v>3.4167387675968085E-3</v>
      </c>
      <c r="BL262" s="47">
        <f>_xll.qlPolynomialFunctionValue(BL$1,$BD262,AllTriggers)</f>
        <v>3.4195622485385753E-3</v>
      </c>
      <c r="BM262" s="47">
        <f>_xll.qlPolynomialFunctionValue(BM$1,$BD262,AllTriggers)</f>
        <v>3.4272544875106857E-3</v>
      </c>
      <c r="BN262" s="47">
        <f>_xll.qlPolynomialFunctionValue(BN$1,$BD262,AllTriggers)</f>
        <v>3.4164661879016078E-3</v>
      </c>
      <c r="BO262" s="47">
        <f>_xll.qlPolynomialFunctionValue(BO$1,$BD262,AllTriggers)</f>
        <v>3.4285981283661607E-3</v>
      </c>
      <c r="BP262" s="47">
        <f>_xll.qlPolynomialFunctionValue(BP$1,$BD262,AllTriggers)</f>
        <v>3.4248388547620206E-3</v>
      </c>
      <c r="BQ262" s="47">
        <f>_xll.qlPolynomialFunctionValue('12MSynthDepo_used'!$P$18,BD262,AllTriggers)</f>
        <v>3.4360966750181824E-3</v>
      </c>
    </row>
    <row r="263" spans="55:69" x14ac:dyDescent="0.2">
      <c r="BC263" s="178">
        <f>_xll.qlCalendarAdvance(Calendar,BC262,"1d","mf",,Trigger)</f>
        <v>42646</v>
      </c>
      <c r="BD263" s="41">
        <f>_xll.qlDayCounterYearFraction(DayCounter,SettlementDate,BC263,,,Trigger)</f>
        <v>1.0194444444444444</v>
      </c>
      <c r="BE263" s="47">
        <f>_xll.qlPolynomialFunctionValue(BE$1,$BD263,AllTriggers)</f>
        <v>3.4016821323474013E-3</v>
      </c>
      <c r="BF263" s="47">
        <f>_xll.qlPolynomialFunctionValue(BF$1,$BD263,AllTriggers)</f>
        <v>3.4229102115938721E-3</v>
      </c>
      <c r="BG263" s="47">
        <f>_xll.qlPolynomialFunctionValue(BG$1,$BD263,AllTriggers)</f>
        <v>3.4198390874975578E-3</v>
      </c>
      <c r="BH263" s="47">
        <f>_xll.qlPolynomialFunctionValue(BH$1,$BD263,AllTriggers)</f>
        <v>3.4233337204962913E-3</v>
      </c>
      <c r="BI263" s="47">
        <f>_xll.qlPolynomialFunctionValue(BI$1,$BD263,AllTriggers)</f>
        <v>3.4071932801268004E-3</v>
      </c>
      <c r="BJ263" s="47">
        <f>_xll.qlPolynomialFunctionValue(BJ$1,$BD263,AllTriggers)</f>
        <v>3.4241017442680492E-3</v>
      </c>
      <c r="BK263" s="47">
        <f>_xll.qlPolynomialFunctionValue(BK$1,$BD263,AllTriggers)</f>
        <v>3.4215417479934273E-3</v>
      </c>
      <c r="BL263" s="47">
        <f>_xll.qlPolynomialFunctionValue(BL$1,$BD263,AllTriggers)</f>
        <v>3.425442550757165E-3</v>
      </c>
      <c r="BM263" s="47">
        <f>_xll.qlPolynomialFunctionValue(BM$1,$BD263,AllTriggers)</f>
        <v>3.43232267894424E-3</v>
      </c>
      <c r="BN263" s="47">
        <f>_xll.qlPolynomialFunctionValue(BN$1,$BD263,AllTriggers)</f>
        <v>3.4217822951849151E-3</v>
      </c>
      <c r="BO263" s="47">
        <f>_xll.qlPolynomialFunctionValue(BO$1,$BD263,AllTriggers)</f>
        <v>3.4337986805775579E-3</v>
      </c>
      <c r="BP263" s="47">
        <f>_xll.qlPolynomialFunctionValue(BP$1,$BD263,AllTriggers)</f>
        <v>3.4300940705422984E-3</v>
      </c>
      <c r="BQ263" s="47">
        <f>_xll.qlPolynomialFunctionValue('12MSynthDepo_used'!$P$18,BD263,AllTriggers)</f>
        <v>3.4412079644625128E-3</v>
      </c>
    </row>
    <row r="264" spans="55:69" x14ac:dyDescent="0.2">
      <c r="BC264" s="182">
        <f>_xll.qlCalendarAdvance(Calendar,BC263,"1d","mf",,Trigger)</f>
        <v>42647</v>
      </c>
      <c r="BD264" s="44">
        <f>_xll.qlDayCounterYearFraction(DayCounter,SettlementDate,BC264,,,Trigger)</f>
        <v>1.0222222222222221</v>
      </c>
      <c r="BE264" s="50">
        <f>_xll.qlPolynomialFunctionValue(BE$1,$BD264,AllTriggers)</f>
        <v>3.4031621471977873E-3</v>
      </c>
      <c r="BF264" s="50">
        <f>_xll.qlPolynomialFunctionValue(BF$1,$BD264,AllTriggers)</f>
        <v>3.4248170763839583E-3</v>
      </c>
      <c r="BG264" s="50">
        <f>_xll.qlPolynomialFunctionValue(BG$1,$BD264,AllTriggers)</f>
        <v>3.4214381643489283E-3</v>
      </c>
      <c r="BH264" s="50">
        <f>_xll.qlPolynomialFunctionValue(BH$1,$BD264,AllTriggers)</f>
        <v>3.4252830293322761E-3</v>
      </c>
      <c r="BI264" s="50">
        <f>_xll.qlPolynomialFunctionValue(BI$1,$BD264,AllTriggers)</f>
        <v>3.4087004927566104E-3</v>
      </c>
      <c r="BJ264" s="50">
        <f>_xll.qlPolynomialFunctionValue(BJ$1,$BD264,AllTriggers)</f>
        <v>3.4259423384589427E-3</v>
      </c>
      <c r="BK264" s="50">
        <f>_xll.qlPolynomialFunctionValue(BK$1,$BD264,AllTriggers)</f>
        <v>3.4231427414589668E-3</v>
      </c>
      <c r="BL264" s="50">
        <f>_xll.qlPolynomialFunctionValue(BL$1,$BD264,AllTriggers)</f>
        <v>3.4274086366179279E-3</v>
      </c>
      <c r="BM264" s="50">
        <f>_xll.qlPolynomialFunctionValue(BM$1,$BD264,AllTriggers)</f>
        <v>3.4340120760887583E-3</v>
      </c>
      <c r="BN264" s="50">
        <f>_xll.qlPolynomialFunctionValue(BN$1,$BD264,AllTriggers)</f>
        <v>3.4235570701723712E-3</v>
      </c>
      <c r="BO264" s="50">
        <f>_xll.qlPolynomialFunctionValue(BO$1,$BD264,AllTriggers)</f>
        <v>3.4355321979813573E-3</v>
      </c>
      <c r="BP264" s="50">
        <f>_xll.qlPolynomialFunctionValue(BP$1,$BD264,AllTriggers)</f>
        <v>3.4318466973386713E-3</v>
      </c>
      <c r="BQ264" s="50">
        <f>_xll.qlPolynomialFunctionValue('12MSynthDepo_used'!$P$18,BD264,AllTriggers)</f>
        <v>3.4429110127125037E-3</v>
      </c>
    </row>
  </sheetData>
  <mergeCells count="16">
    <mergeCell ref="AH14:AH16"/>
    <mergeCell ref="AJ14:AJ16"/>
    <mergeCell ref="AT14:AT16"/>
    <mergeCell ref="AV14:AV16"/>
    <mergeCell ref="AH19:AH21"/>
    <mergeCell ref="AJ19:AJ21"/>
    <mergeCell ref="AT19:AT21"/>
    <mergeCell ref="AV19:AV21"/>
    <mergeCell ref="AH5:AH6"/>
    <mergeCell ref="AJ5:AJ6"/>
    <mergeCell ref="AT5:AT6"/>
    <mergeCell ref="AV5:AV6"/>
    <mergeCell ref="AH9:AH10"/>
    <mergeCell ref="AJ9:AJ10"/>
    <mergeCell ref="AT9:AT10"/>
    <mergeCell ref="AV9:AV10"/>
  </mergeCells>
  <dataValidations count="4">
    <dataValidation type="list" allowBlank="1" showInputMessage="1" showErrorMessage="1" sqref="D27:D28">
      <formula1>"FIXING,ESTIMATED"</formula1>
    </dataValidation>
    <dataValidation type="list" allowBlank="1" showInputMessage="1" showErrorMessage="1" sqref="S15:V20 T10:W10 S4:V8 T9:V9">
      <formula1>"TRUE,FALSE"</formula1>
    </dataValidation>
    <dataValidation type="list" allowBlank="1" showInputMessage="1" showErrorMessage="1" sqref="U3:V3 U14:V14">
      <formula1>"False"</formula1>
    </dataValidation>
    <dataValidation type="list" allowBlank="1" showInputMessage="1" showErrorMessage="1" sqref="S3:T3 S14:T14">
      <formula1>"TRUE"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384"/>
  <sheetViews>
    <sheetView workbookViewId="0">
      <selection activeCell="H1" sqref="H1"/>
    </sheetView>
  </sheetViews>
  <sheetFormatPr defaultRowHeight="11.25" outlineLevelCol="1" x14ac:dyDescent="0.2"/>
  <cols>
    <col min="1" max="1" width="3.1640625" style="19" customWidth="1"/>
    <col min="2" max="2" width="2.33203125" style="19" customWidth="1"/>
    <col min="3" max="3" width="3.1640625" style="19" customWidth="1"/>
    <col min="4" max="4" width="23.1640625" style="19" customWidth="1"/>
    <col min="5" max="5" width="34.83203125" style="19" hidden="1" customWidth="1" outlineLevel="1"/>
    <col min="6" max="6" width="9.33203125" style="19" hidden="1" customWidth="1" outlineLevel="1"/>
    <col min="7" max="7" width="12.83203125" style="19" bestFit="1" customWidth="1" collapsed="1"/>
    <col min="8" max="8" width="12.83203125" style="19" customWidth="1"/>
    <col min="9" max="10" width="11.33203125" style="19" customWidth="1"/>
    <col min="11" max="11" width="10.5" style="19" bestFit="1" customWidth="1"/>
    <col min="12" max="12" width="9.33203125" style="19" bestFit="1" customWidth="1"/>
    <col min="13" max="13" width="8.1640625" style="19" bestFit="1" customWidth="1"/>
    <col min="14" max="14" width="2.83203125" style="19" customWidth="1"/>
    <col min="15" max="15" width="14.1640625" style="19" bestFit="1" customWidth="1"/>
    <col min="16" max="16" width="17.83203125" style="19" bestFit="1" customWidth="1"/>
    <col min="17" max="17" width="2.83203125" style="19" customWidth="1"/>
    <col min="18" max="18" width="12.83203125" style="19" bestFit="1" customWidth="1"/>
    <col min="19" max="19" width="9.33203125" style="19"/>
    <col min="20" max="20" width="0" style="19" hidden="1" customWidth="1" outlineLevel="1"/>
    <col min="21" max="21" width="9.33203125" style="19" collapsed="1"/>
    <col min="22" max="22" width="3.5" style="19" bestFit="1" customWidth="1"/>
    <col min="23" max="24" width="9.33203125" style="19"/>
    <col min="25" max="25" width="12.83203125" style="19" bestFit="1" customWidth="1"/>
    <col min="26" max="26" width="16.5" style="19" bestFit="1" customWidth="1"/>
    <col min="27" max="27" width="12.83203125" style="19" bestFit="1" customWidth="1"/>
    <col min="28" max="16384" width="9.33203125" style="19"/>
  </cols>
  <sheetData>
    <row r="1" spans="1:27" x14ac:dyDescent="0.2">
      <c r="F1" s="19">
        <f>_xll.ohTrigger(F3:F8)</f>
        <v>0</v>
      </c>
      <c r="G1" s="126" t="s">
        <v>49</v>
      </c>
      <c r="H1" s="127" t="s">
        <v>22</v>
      </c>
    </row>
    <row r="2" spans="1:27" ht="26.25" customHeight="1" x14ac:dyDescent="0.2">
      <c r="D2" s="36" t="str">
        <f>H1&amp;" Instruments"</f>
        <v>1M Instruments</v>
      </c>
      <c r="E2" s="36" t="s">
        <v>84</v>
      </c>
      <c r="F2" s="36" t="s">
        <v>85</v>
      </c>
      <c r="G2" s="36" t="s">
        <v>50</v>
      </c>
      <c r="H2" s="36" t="s">
        <v>96</v>
      </c>
      <c r="I2" s="36" t="str">
        <f>"F "&amp;H1</f>
        <v>F 1M</v>
      </c>
      <c r="J2" s="36" t="s">
        <v>56</v>
      </c>
      <c r="K2" s="36" t="s">
        <v>61</v>
      </c>
      <c r="L2" s="36" t="s">
        <v>83</v>
      </c>
      <c r="M2" s="36" t="s">
        <v>63</v>
      </c>
      <c r="N2" s="21"/>
      <c r="R2" s="36" t="s">
        <v>71</v>
      </c>
      <c r="S2" s="36" t="s">
        <v>98</v>
      </c>
      <c r="T2" s="36" t="s">
        <v>89</v>
      </c>
      <c r="U2" s="36" t="s">
        <v>97</v>
      </c>
    </row>
    <row r="3" spans="1:27" ht="11.25" customHeight="1" x14ac:dyDescent="0.2">
      <c r="A3" s="104">
        <v>0</v>
      </c>
      <c r="B3" s="105" t="s">
        <v>20</v>
      </c>
      <c r="C3" s="106" t="str">
        <f>SUBSTITUTE($H$1,"M","")</f>
        <v>1</v>
      </c>
      <c r="D3" s="108" t="str">
        <f>Currency&amp;A3&amp;B3&amp;C3&amp;"F"&amp;"_Estimated"</f>
        <v>EUR0x1F_Estimated</v>
      </c>
      <c r="E3" s="108" t="str">
        <f>_xll.qlSimpleQuote(UPPER("B"&amp;$H$1&amp;"_"&amp;A3&amp;B3&amp;C3&amp;"Estimated"),,,Permanent,Trigger,ObjectOverwrite)</f>
        <v>B1M_0X1ESTIMATED#0007</v>
      </c>
      <c r="F3" s="197" t="e">
        <f>_xll.qlSimpleQuoteSetValue(E3,L3,AllTriggers)</f>
        <v>#N/A</v>
      </c>
      <c r="G3" s="210">
        <f>SettlementDate</f>
        <v>42279</v>
      </c>
      <c r="H3" s="210">
        <f>_xll.qlInterestRateIndexMaturity(PROPER(Currency)&amp;"ibor"&amp;$H$1,G3)</f>
        <v>42310</v>
      </c>
      <c r="I3" s="107">
        <f>L3+$J$4</f>
        <v>-1.1300000000010854E-3</v>
      </c>
      <c r="J3" s="89"/>
      <c r="K3" s="89"/>
      <c r="L3" s="66">
        <f>_xll.qlTenorBasisValue($P$3,G3,Trigger)</f>
        <v>2.7000000000292914E-4</v>
      </c>
      <c r="M3" s="89"/>
      <c r="N3" s="21"/>
      <c r="O3" s="192" t="s">
        <v>82</v>
      </c>
      <c r="P3" s="66" t="str">
        <f>'[2]1MSynthDepo'!TenorBasis1M</f>
        <v>obj_00599#0000</v>
      </c>
      <c r="R3" s="211">
        <f>SettlementDate</f>
        <v>42279</v>
      </c>
      <c r="S3" s="52">
        <f>_xll.qlTenorBasisValue($P$3,R3,AllTriggers)</f>
        <v>2.7000000000292914E-4</v>
      </c>
      <c r="T3" s="46">
        <f>_xll.qlDayCounterYearFraction("actual/365 (fixed)",SettlementDate,R3,,,Trigger)</f>
        <v>0</v>
      </c>
      <c r="U3" s="52">
        <f>_xll.qlPolynomialFunctionValue($P$18,T3,AllTriggers)</f>
        <v>2.0687314390994393E-4</v>
      </c>
    </row>
    <row r="4" spans="1:27" ht="11.25" customHeight="1" x14ac:dyDescent="0.2">
      <c r="A4" s="104">
        <v>0</v>
      </c>
      <c r="B4" s="105" t="s">
        <v>20</v>
      </c>
      <c r="C4" s="106">
        <v>6</v>
      </c>
      <c r="D4" s="97" t="str">
        <f>PROPER(Currency&amp;IborType)&amp;H1&amp;"LastFixing"&amp;QuoteSuffix</f>
        <v>Euribor1MLastFixing_Quote</v>
      </c>
      <c r="E4" s="97" t="str">
        <f>_xll.qlSimpleQuote(UPPER("B"&amp;$H$1&amp;"_"&amp;A4&amp;B4&amp;C4&amp;"FIXING"),,,Permanent,Trigger,ObjectOverwrite)</f>
        <v>B1M_0X6FIXING#0007</v>
      </c>
      <c r="F4" s="198" t="e">
        <f>_xll.qlSimpleQuoteSetValue(E4,K4,AllTriggers)</f>
        <v>#N/A</v>
      </c>
      <c r="G4" s="210">
        <f>SettlementDate</f>
        <v>42279</v>
      </c>
      <c r="H4" s="210">
        <f>_xll.qlInterestRateIndexMaturity(ON_6M_index,G4)</f>
        <v>42464</v>
      </c>
      <c r="I4" s="66">
        <f>_xll.qlQuoteValue(D4,LastFixingsTrigger)</f>
        <v>-1.1299999999999999E-3</v>
      </c>
      <c r="J4" s="66">
        <f>_xll.qlIndexFixing(ON_1M_index,_xll.qlInterestRateIndexFixingDate(ON_1M_index,G4),,AllTriggers)</f>
        <v>-1.4000000000040146E-3</v>
      </c>
      <c r="K4" s="107">
        <f t="shared" ref="K4:K8" si="0">I4-J4</f>
        <v>2.7000000000401464E-4</v>
      </c>
      <c r="L4" s="62">
        <f>_xll.qlTenorBasisValue($P$3,G4,Trigger)</f>
        <v>2.7000000000292914E-4</v>
      </c>
      <c r="M4" s="63">
        <f>(K4-L4)*10000</f>
        <v>1.085503215092487E-11</v>
      </c>
      <c r="N4" s="21"/>
      <c r="R4" s="212">
        <f>_xll.qlCalendarAdvance(Calendar,R3,"1D","f")</f>
        <v>42282</v>
      </c>
      <c r="S4" s="47">
        <f>_xll.qlTenorBasisValue($P$3,R4,AllTriggers)</f>
        <v>2.7715562133098862E-4</v>
      </c>
      <c r="T4" s="41">
        <f>_xll.qlDayCounterYearFraction("actual/365 (fixed)",SettlementDate,R4,,,Trigger)</f>
        <v>8.21917808219178E-3</v>
      </c>
      <c r="U4" s="47">
        <f>_xll.qlPolynomialFunctionValue($P$18,T4,AllTriggers)</f>
        <v>2.2665284065564716E-4</v>
      </c>
    </row>
    <row r="5" spans="1:27" ht="11.25" customHeight="1" x14ac:dyDescent="0.2">
      <c r="A5" s="94">
        <v>0</v>
      </c>
      <c r="B5" s="21" t="s">
        <v>20</v>
      </c>
      <c r="C5" s="101">
        <f t="shared" ref="C5:C8" si="1">A5+SUBSTITUTE($H$1,"M","")</f>
        <v>1</v>
      </c>
      <c r="D5" s="98" t="str">
        <f t="shared" ref="D5:D8" si="2">Currency&amp;A5&amp;B5&amp;C5&amp;"F"&amp;QuoteSuffix</f>
        <v>EUR0x1F_Quote</v>
      </c>
      <c r="E5" s="98" t="str">
        <f>_xll.qlSimpleQuote(UPPER("B"&amp;$H$1&amp;"_"&amp;A5&amp;B5&amp;C5),,,Permanent,Trigger,ObjectOverwrite)</f>
        <v>B1M_0X1#0007</v>
      </c>
      <c r="F5" s="199" t="e">
        <f>_xll.qlSimpleQuoteSetValue(E5,K5,AllTriggers)</f>
        <v>#N/A</v>
      </c>
      <c r="G5" s="211">
        <f>_xll.qlCalendarAdvance("target",SettlementDate,A5&amp;"M","mf",,Trigger)</f>
        <v>42279</v>
      </c>
      <c r="H5" s="211">
        <f>_xll.qlInterestRateIndexMaturity(ON_6M_index,G5)</f>
        <v>42464</v>
      </c>
      <c r="I5" s="52">
        <f>_xll.qlIndexFixing([2]!iborindex1M,_xll.qlInterestRateIndexFixingDate("Euribor1M",G5,Trigger),,AllTriggers)</f>
        <v>-1.1299999999999999E-3</v>
      </c>
      <c r="J5" s="52">
        <f>_xll.qlIndexFixing(ON_1M_index,_xll.qlInterestRateIndexFixingDate(ON_1M_index,G5),,AllTriggers)</f>
        <v>-1.4000000000040146E-3</v>
      </c>
      <c r="K5" s="193">
        <f t="shared" si="0"/>
        <v>2.7000000000401464E-4</v>
      </c>
      <c r="L5" s="52">
        <f>_xll.qlTenorBasisValue($P$3,G5,Trigger)</f>
        <v>2.7000000000292914E-4</v>
      </c>
      <c r="M5" s="91">
        <f t="shared" ref="M5:M8" si="3">(K5-L5)*10000</f>
        <v>1.085503215092487E-11</v>
      </c>
      <c r="N5" s="21"/>
      <c r="O5" s="119" t="s">
        <v>94</v>
      </c>
      <c r="P5" s="120"/>
      <c r="Q5" s="20"/>
      <c r="R5" s="212">
        <f>_xll.qlCalendarAdvance(Calendar,R4,"1D","f")</f>
        <v>42283</v>
      </c>
      <c r="S5" s="47">
        <f>_xll.qlTenorBasisValue($P$3,R5,AllTriggers)</f>
        <v>2.7908383235457232E-4</v>
      </c>
      <c r="T5" s="41">
        <f>_xll.qlDayCounterYearFraction("actual/365 (fixed)",SettlementDate,R5,,,Trigger)</f>
        <v>1.0958904109589041E-2</v>
      </c>
      <c r="U5" s="47">
        <f>_xll.qlPolynomialFunctionValue($P$18,T5,AllTriggers)</f>
        <v>2.3258580297399526E-4</v>
      </c>
    </row>
    <row r="6" spans="1:27" ht="11.25" customHeight="1" x14ac:dyDescent="0.2">
      <c r="A6" s="94">
        <v>1</v>
      </c>
      <c r="B6" s="21" t="s">
        <v>20</v>
      </c>
      <c r="C6" s="101">
        <f t="shared" si="1"/>
        <v>2</v>
      </c>
      <c r="D6" s="99" t="str">
        <f t="shared" si="2"/>
        <v>EUR1x2F_Quote</v>
      </c>
      <c r="E6" s="99" t="str">
        <f>_xll.qlSimpleQuote(UPPER("B"&amp;$H$1&amp;"_"&amp;A6&amp;B6&amp;C6),,,Permanent,Trigger,ObjectOverwrite)</f>
        <v>B1M_1X2#0007</v>
      </c>
      <c r="F6" s="200" t="e">
        <f>_xll.qlSimpleQuoteSetValue(E6,K6,AllTriggers)</f>
        <v>#N/A</v>
      </c>
      <c r="G6" s="212">
        <f>_xll.qlCalendarAdvance("target",SettlementDate,A6&amp;"M","mf",,Trigger)</f>
        <v>42310</v>
      </c>
      <c r="H6" s="212">
        <f>_xll.qlInterestRateIndexMaturity(ON_6M_index,G6)</f>
        <v>42492</v>
      </c>
      <c r="I6" s="47">
        <f>_xll.qlIndexFixing([2]!iborindex1M,_xll.qlInterestRateIndexFixingDate("Euribor1M",G6,Trigger),,AllTriggers)</f>
        <v>-1.2318128047916765E-3</v>
      </c>
      <c r="J6" s="47">
        <f>_xll.qlIndexFixing(ON_1M_index,_xll.qlInterestRateIndexFixingDate(ON_1M_index,G6),,AllTriggers)</f>
        <v>-1.5018477227486393E-3</v>
      </c>
      <c r="K6" s="128">
        <f t="shared" si="0"/>
        <v>2.7003491795696277E-4</v>
      </c>
      <c r="L6" s="47">
        <f>_xll.qlTenorBasisValue($P$3,G6,Trigger)</f>
        <v>2.7003491795696283E-4</v>
      </c>
      <c r="M6" s="64">
        <f t="shared" si="3"/>
        <v>-5.4210108624275222E-16</v>
      </c>
      <c r="N6" s="21"/>
      <c r="O6" s="192" t="s">
        <v>77</v>
      </c>
      <c r="P6" s="66">
        <f t="array" ref="P6:P10">_xll.qlTenorBasisCoefficients(P3)</f>
        <v>2.7000000000292914E-4</v>
      </c>
      <c r="Q6" s="20"/>
      <c r="R6" s="212">
        <f>_xll.qlCalendarAdvance(Calendar,R5,"1D","f")</f>
        <v>42284</v>
      </c>
      <c r="S6" s="47">
        <f>_xll.qlTenorBasisValue($P$3,R6,AllTriggers)</f>
        <v>2.8079432432834869E-4</v>
      </c>
      <c r="T6" s="41">
        <f>_xll.qlDayCounterYearFraction("actual/365 (fixed)",SettlementDate,R6,,,Trigger)</f>
        <v>1.3698630136986301E-2</v>
      </c>
      <c r="U6" s="47">
        <f>_xll.qlPolynomialFunctionValue($P$18,T6,AllTriggers)</f>
        <v>2.3819940932031096E-4</v>
      </c>
    </row>
    <row r="7" spans="1:27" ht="11.25" customHeight="1" x14ac:dyDescent="0.2">
      <c r="A7" s="94">
        <v>2</v>
      </c>
      <c r="B7" s="21" t="s">
        <v>20</v>
      </c>
      <c r="C7" s="101">
        <f t="shared" si="1"/>
        <v>3</v>
      </c>
      <c r="D7" s="99" t="str">
        <f t="shared" si="2"/>
        <v>EUR2x3F_Quote</v>
      </c>
      <c r="E7" s="99" t="str">
        <f>_xll.qlSimpleQuote(UPPER("B"&amp;$H$1&amp;"_"&amp;A7&amp;B7&amp;C7),,,Permanent,Trigger,ObjectOverwrite)</f>
        <v>B1M_2X3#0007</v>
      </c>
      <c r="F7" s="200" t="e">
        <f>_xll.qlSimpleQuoteSetValue(E7,K7,AllTriggers)</f>
        <v>#N/A</v>
      </c>
      <c r="G7" s="212">
        <f>_xll.qlCalendarAdvance("target",SettlementDate,A7&amp;"M","mf",,Trigger)</f>
        <v>42340</v>
      </c>
      <c r="H7" s="212">
        <f>_xll.qlInterestRateIndexMaturity(ON_6M_index,G7)</f>
        <v>42523</v>
      </c>
      <c r="I7" s="47">
        <f>_xll.qlIndexFixing([2]!iborindex1M,_xll.qlInterestRateIndexFixingDate("Euribor1M",G7,Trigger),,AllTriggers)</f>
        <v>-1.1802817101184845E-3</v>
      </c>
      <c r="J7" s="47">
        <f>_xll.qlIndexFixing(ON_1M_index,_xll.qlInterestRateIndexFixingDate(ON_1M_index,G7),,AllTriggers)</f>
        <v>-1.4089419477223623E-3</v>
      </c>
      <c r="K7" s="128">
        <f t="shared" si="0"/>
        <v>2.2866023760387787E-4</v>
      </c>
      <c r="L7" s="47">
        <f>_xll.qlTenorBasisValue($P$3,G7,Trigger)</f>
        <v>2.2866023760387787E-4</v>
      </c>
      <c r="M7" s="64">
        <f t="shared" si="3"/>
        <v>0</v>
      </c>
      <c r="N7" s="21"/>
      <c r="O7" s="192" t="s">
        <v>78</v>
      </c>
      <c r="P7" s="66">
        <v>1.0004244723611562E-3</v>
      </c>
      <c r="Q7" s="20"/>
      <c r="R7" s="212">
        <f>_xll.qlCalendarAdvance(Calendar,R6,"1D","f")</f>
        <v>42285</v>
      </c>
      <c r="S7" s="47">
        <f>_xll.qlTenorBasisValue($P$3,R7,AllTriggers)</f>
        <v>2.8229356464816403E-4</v>
      </c>
      <c r="T7" s="41">
        <f>_xll.qlDayCounterYearFraction("actual/365 (fixed)",SettlementDate,R7,,,Trigger)</f>
        <v>1.643835616438356E-2</v>
      </c>
      <c r="U7" s="47">
        <f>_xll.qlPolynomialFunctionValue($P$18,T7,AllTriggers)</f>
        <v>2.4350012709044061E-4</v>
      </c>
    </row>
    <row r="8" spans="1:27" ht="11.25" customHeight="1" x14ac:dyDescent="0.2">
      <c r="A8" s="94">
        <v>3</v>
      </c>
      <c r="B8" s="21" t="s">
        <v>20</v>
      </c>
      <c r="C8" s="101">
        <f t="shared" si="1"/>
        <v>4</v>
      </c>
      <c r="D8" s="280" t="str">
        <f t="shared" si="2"/>
        <v>EUR3x4F_Quote</v>
      </c>
      <c r="E8" s="100" t="str">
        <f>_xll.qlSimpleQuote(UPPER("B"&amp;$H$1&amp;"_"&amp;A8&amp;B8&amp;C8),,,Permanent,Trigger,ObjectOverwrite)</f>
        <v>B1M_3X4#0007</v>
      </c>
      <c r="F8" s="201" t="e">
        <f>_xll.qlSimpleQuoteSetValue(E8,K8,AllTriggers)</f>
        <v>#N/A</v>
      </c>
      <c r="G8" s="213">
        <f>_xll.qlCalendarAdvance("target",SettlementDate,A8&amp;"M","mf",,Trigger)</f>
        <v>42373</v>
      </c>
      <c r="H8" s="213">
        <f>_xll.qlInterestRateIndexMaturity(ON_6M_index,G8)</f>
        <v>42555</v>
      </c>
      <c r="I8" s="50">
        <f>_xll.qlIndexFixing([2]!iborindex1M,_xll.qlInterestRateIndexFixingDate("Euribor1M",G8,Trigger),,AllTriggers)</f>
        <v>-1.3082474716767075E-3</v>
      </c>
      <c r="J8" s="50">
        <f>_xll.qlIndexFixing(ON_1M_index,_xll.qlInterestRateIndexFixingDate(ON_1M_index,G8),,AllTriggers)</f>
        <v>-1.6550023715929342E-3</v>
      </c>
      <c r="K8" s="115">
        <f t="shared" si="0"/>
        <v>3.4675489991622672E-4</v>
      </c>
      <c r="L8" s="50">
        <f>_xll.qlTenorBasisValue($P$3,G8,Trigger)</f>
        <v>3.4675489991622661E-4</v>
      </c>
      <c r="M8" s="65">
        <f t="shared" si="3"/>
        <v>1.0842021724855044E-15</v>
      </c>
      <c r="N8" s="21"/>
      <c r="O8" s="192" t="s">
        <v>79</v>
      </c>
      <c r="P8" s="66">
        <v>-1.6226047828567951E-2</v>
      </c>
      <c r="Q8" s="20"/>
      <c r="R8" s="212">
        <f>_xll.qlCalendarAdvance(Calendar,R7,"1D","f")</f>
        <v>42286</v>
      </c>
      <c r="S8" s="47">
        <f>_xll.qlTenorBasisValue($P$3,R8,AllTriggers)</f>
        <v>2.835880207098649E-4</v>
      </c>
      <c r="T8" s="41">
        <f>_xll.qlDayCounterYearFraction("actual/365 (fixed)",SettlementDate,R8,,,Trigger)</f>
        <v>1.9178082191780823E-2</v>
      </c>
      <c r="U8" s="47">
        <f>_xll.qlPolynomialFunctionValue($P$18,T8,AllTriggers)</f>
        <v>2.4849442368023064E-4</v>
      </c>
    </row>
    <row r="9" spans="1:27" ht="11.25" customHeight="1" x14ac:dyDescent="0.2">
      <c r="G9" s="60"/>
      <c r="H9" s="60"/>
      <c r="I9" s="35"/>
      <c r="J9" s="35"/>
      <c r="K9" s="35"/>
      <c r="L9" s="21"/>
      <c r="M9" s="21"/>
      <c r="N9" s="21"/>
      <c r="O9" s="192" t="s">
        <v>80</v>
      </c>
      <c r="P9" s="66">
        <v>5.2415144374589974E-2</v>
      </c>
      <c r="Q9" s="20"/>
      <c r="R9" s="212">
        <f>_xll.qlCalendarAdvance(Calendar,R8,"1D","f")</f>
        <v>42289</v>
      </c>
      <c r="S9" s="47">
        <f>_xll.qlTenorBasisValue($P$3,R9,AllTriggers)</f>
        <v>2.8630735730474392E-4</v>
      </c>
      <c r="T9" s="41">
        <f>_xll.qlDayCounterYearFraction("actual/365 (fixed)",SettlementDate,R9,,,Trigger)</f>
        <v>2.7397260273972601E-2</v>
      </c>
      <c r="U9" s="47">
        <f>_xll.qlPolynomialFunctionValue($P$18,T9,AllTriggers)</f>
        <v>2.6170346032602682E-4</v>
      </c>
    </row>
    <row r="10" spans="1:27" ht="11.25" customHeight="1" x14ac:dyDescent="0.2">
      <c r="G10" s="60"/>
      <c r="H10" s="60"/>
      <c r="I10" s="35"/>
      <c r="J10" s="35"/>
      <c r="K10" s="35"/>
      <c r="L10" s="21"/>
      <c r="M10" s="21"/>
      <c r="N10" s="21"/>
      <c r="O10" s="192" t="s">
        <v>81</v>
      </c>
      <c r="P10" s="66" t="e">
        <v>#N/A</v>
      </c>
      <c r="Q10" s="20"/>
      <c r="R10" s="212">
        <f>_xll.qlCalendarAdvance(Calendar,R9,"1D","f")</f>
        <v>42290</v>
      </c>
      <c r="S10" s="47">
        <f>_xll.qlTenorBasisValue($P$3,R10,AllTriggers)</f>
        <v>2.8684735029245055E-4</v>
      </c>
      <c r="T10" s="41">
        <f>_xll.qlDayCounterYearFraction("actual/365 (fixed)",SettlementDate,R10,,,Trigger)</f>
        <v>3.0136986301369864E-2</v>
      </c>
      <c r="U10" s="47">
        <f>_xll.qlPolynomialFunctionValue($P$18,T10,AllTriggers)</f>
        <v>2.655367461529223E-4</v>
      </c>
    </row>
    <row r="11" spans="1:27" ht="11.25" customHeight="1" x14ac:dyDescent="0.2">
      <c r="G11" s="60"/>
      <c r="H11" s="60"/>
      <c r="I11" s="35"/>
      <c r="J11" s="35"/>
      <c r="K11" s="35"/>
      <c r="L11" s="21"/>
      <c r="M11" s="21"/>
      <c r="N11" s="21"/>
      <c r="Q11" s="20"/>
      <c r="R11" s="212">
        <f>_xll.qlCalendarAdvance(Calendar,R10,"1D","f")</f>
        <v>42291</v>
      </c>
      <c r="S11" s="47">
        <f>_xll.qlTenorBasisValue($P$3,R11,AllTriggers)</f>
        <v>2.8721489600127447E-4</v>
      </c>
      <c r="T11" s="41">
        <f>_xll.qlDayCounterYearFraction("actual/365 (fixed)",SettlementDate,R11,,,Trigger)</f>
        <v>3.287671232876712E-2</v>
      </c>
      <c r="U11" s="47">
        <f>_xll.qlPolynomialFunctionValue($P$18,T11,AllTriggers)</f>
        <v>2.6909594777871007E-4</v>
      </c>
    </row>
    <row r="12" spans="1:27" ht="11.25" customHeight="1" x14ac:dyDescent="0.2">
      <c r="G12" s="60"/>
      <c r="H12" s="60"/>
      <c r="I12" s="35"/>
      <c r="J12" s="35"/>
      <c r="K12" s="35"/>
      <c r="L12" s="21"/>
      <c r="M12" s="21"/>
      <c r="N12" s="21"/>
      <c r="O12" s="119" t="s">
        <v>95</v>
      </c>
      <c r="P12" s="120"/>
      <c r="Q12" s="20"/>
      <c r="R12" s="212">
        <f>_xll.qlCalendarAdvance(Calendar,R11,"1D","f")</f>
        <v>42292</v>
      </c>
      <c r="S12" s="47">
        <f>_xll.qlTenorBasisValue($P$3,R12,AllTriggers)</f>
        <v>2.8741646182706235E-4</v>
      </c>
      <c r="T12" s="41">
        <f>_xll.qlDayCounterYearFraction("actual/365 (fixed)",SettlementDate,R12,,,Trigger)</f>
        <v>3.5616438356164383E-2</v>
      </c>
      <c r="U12" s="47">
        <f>_xll.qlPolynomialFunctionValue($P$18,T12,AllTriggers)</f>
        <v>2.7238753259923676E-4</v>
      </c>
    </row>
    <row r="13" spans="1:27" ht="11.25" customHeight="1" x14ac:dyDescent="0.2">
      <c r="G13" s="60"/>
      <c r="H13" s="60"/>
      <c r="I13" s="35"/>
      <c r="J13" s="35"/>
      <c r="K13" s="35"/>
      <c r="L13" s="21"/>
      <c r="M13" s="21"/>
      <c r="N13" s="21"/>
      <c r="O13" s="192" t="s">
        <v>77</v>
      </c>
      <c r="P13" s="66">
        <f t="array" ref="P13:P17">_xll.qlTenorInstCoefficients(P3)</f>
        <v>2.0687314390994393E-4</v>
      </c>
      <c r="Q13" s="20"/>
      <c r="R13" s="212">
        <f>_xll.qlCalendarAdvance(Calendar,R12,"1D","f")</f>
        <v>42293</v>
      </c>
      <c r="S13" s="47">
        <f>_xll.qlTenorBasisValue($P$3,R13,AllTriggers)</f>
        <v>2.8745851516566049E-4</v>
      </c>
      <c r="T13" s="41">
        <f>_xll.qlDayCounterYearFraction("actual/365 (fixed)",SettlementDate,R13,,,Trigger)</f>
        <v>3.8356164383561646E-2</v>
      </c>
      <c r="U13" s="47">
        <f>_xll.qlPolynomialFunctionValue($P$18,T13,AllTriggers)</f>
        <v>2.7541796801034855E-4</v>
      </c>
    </row>
    <row r="14" spans="1:27" ht="11.25" customHeight="1" thickBot="1" x14ac:dyDescent="0.25">
      <c r="G14" s="60"/>
      <c r="H14" s="60"/>
      <c r="I14" s="35"/>
      <c r="J14" s="35"/>
      <c r="K14" s="35"/>
      <c r="L14" s="21"/>
      <c r="M14" s="21"/>
      <c r="N14" s="21"/>
      <c r="O14" s="192" t="s">
        <v>78</v>
      </c>
      <c r="P14" s="66">
        <v>2.591999863092706E-3</v>
      </c>
      <c r="Q14" s="20"/>
      <c r="R14" s="212">
        <f>_xll.qlCalendarAdvance(Calendar,R13,"1D","f")</f>
        <v>42296</v>
      </c>
      <c r="S14" s="47">
        <f>_xll.qlTenorBasisValue($P$3,R14,AllTriggers)</f>
        <v>2.8669227421678048E-4</v>
      </c>
      <c r="T14" s="41">
        <f>_xll.qlDayCounterYearFraction("actual/365 (fixed)",SettlementDate,R14,,,Trigger)</f>
        <v>4.6575342465753428E-2</v>
      </c>
      <c r="U14" s="47">
        <f>_xll.qlPolynomialFunctionValue($P$18,T14,AllTriggers)</f>
        <v>2.8300705174565902E-4</v>
      </c>
      <c r="W14" s="36"/>
      <c r="X14" s="36" t="s">
        <v>49</v>
      </c>
      <c r="Y14" s="36" t="s">
        <v>38</v>
      </c>
      <c r="Z14" s="36" t="s">
        <v>39</v>
      </c>
      <c r="AA14" s="204" t="s">
        <v>93</v>
      </c>
    </row>
    <row r="15" spans="1:27" ht="11.25" customHeight="1" x14ac:dyDescent="0.2">
      <c r="G15" s="60"/>
      <c r="H15" s="60"/>
      <c r="I15" s="35"/>
      <c r="J15" s="35"/>
      <c r="K15" s="35"/>
      <c r="L15" s="21"/>
      <c r="M15" s="21"/>
      <c r="N15" s="21"/>
      <c r="O15" s="192" t="s">
        <v>79</v>
      </c>
      <c r="P15" s="66">
        <v>-2.2996337310285827E-2</v>
      </c>
      <c r="Q15" s="20"/>
      <c r="R15" s="212">
        <f>_xll.qlCalendarAdvance(Calendar,R14,"1D","f")</f>
        <v>42297</v>
      </c>
      <c r="S15" s="47">
        <f>_xll.qlTenorBasisValue($P$3,R15,AllTriggers)</f>
        <v>2.8616095156508371E-4</v>
      </c>
      <c r="T15" s="41">
        <f>_xll.qlDayCounterYearFraction("actual/365 (fixed)",SettlementDate,R15,,,Trigger)</f>
        <v>4.9315068493150684E-2</v>
      </c>
      <c r="U15" s="47">
        <f>_xll.qlPolynomialFunctionValue($P$18,T15,AllTriggers)</f>
        <v>2.850575634775756E-4</v>
      </c>
      <c r="W15" s="45">
        <v>0</v>
      </c>
      <c r="X15" s="45" t="s">
        <v>25</v>
      </c>
      <c r="Y15" s="175">
        <f>_xll.qlCalendarAdvance(Calendar,SettlementDate,W15&amp;"M","mf",TRUE,Trigger)</f>
        <v>42279</v>
      </c>
      <c r="Z15" s="176">
        <f>_xll.qlCalendarAdvance(Calendar,SettlementDate,X15,"Following",,Trigger)</f>
        <v>42282</v>
      </c>
      <c r="AA15" s="205">
        <f>_xll.qlTenorBasisForwardRate2(TenorBasis6M,Y15,Z15,AllTriggers)</f>
        <v>-1.1460180260103314E-3</v>
      </c>
    </row>
    <row r="16" spans="1:27" ht="11.25" customHeight="1" x14ac:dyDescent="0.2">
      <c r="G16" s="60"/>
      <c r="H16" s="60"/>
      <c r="I16" s="35"/>
      <c r="J16" s="35"/>
      <c r="K16" s="35"/>
      <c r="L16" s="21"/>
      <c r="M16" s="21"/>
      <c r="N16" s="21"/>
      <c r="O16" s="192" t="s">
        <v>80</v>
      </c>
      <c r="P16" s="66">
        <v>5.2415144374589974E-2</v>
      </c>
      <c r="Q16" s="20"/>
      <c r="R16" s="212">
        <f>_xll.qlCalendarAdvance(Calendar,R15,"1D","f")</f>
        <v>42298</v>
      </c>
      <c r="S16" s="47">
        <f>_xll.qlTenorBasisValue($P$3,R16,AllTriggers)</f>
        <v>2.8550245340542912E-4</v>
      </c>
      <c r="T16" s="41">
        <f>_xll.qlDayCounterYearFraction("actual/365 (fixed)",SettlementDate,R16,,,Trigger)</f>
        <v>5.2054794520547946E-2</v>
      </c>
      <c r="U16" s="47">
        <f>_xll.qlPolynomialFunctionValue($P$18,T16,AllTriggers)</f>
        <v>2.8687926277930936E-4</v>
      </c>
      <c r="W16" s="48">
        <v>0</v>
      </c>
      <c r="X16" s="48" t="s">
        <v>26</v>
      </c>
      <c r="Y16" s="177">
        <f>_xll.qlCalendarAdvance(Calendar,SettlementDate,W16&amp;"M","mf",TRUE,Trigger)</f>
        <v>42279</v>
      </c>
      <c r="Z16" s="178">
        <f>_xll.qlCalendarAdvance(Calendar,SettlementDate,X16,"Following",,Trigger)</f>
        <v>42286</v>
      </c>
      <c r="AA16" s="206">
        <f>_xll.qlTenorBasisForwardRate2(TenorBasis6M,Y16,Z16,AllTriggers)</f>
        <v>-1.2041417597030701E-3</v>
      </c>
    </row>
    <row r="17" spans="7:27" ht="11.25" customHeight="1" x14ac:dyDescent="0.2">
      <c r="G17" s="60"/>
      <c r="H17" s="60"/>
      <c r="I17" s="35"/>
      <c r="J17" s="35"/>
      <c r="K17" s="35"/>
      <c r="L17" s="21"/>
      <c r="M17" s="21"/>
      <c r="N17" s="21"/>
      <c r="O17" s="192" t="s">
        <v>81</v>
      </c>
      <c r="P17" s="66" t="e">
        <v>#N/A</v>
      </c>
      <c r="Q17" s="20"/>
      <c r="R17" s="212">
        <f>_xll.qlCalendarAdvance(Calendar,R16,"1D","f")</f>
        <v>42299</v>
      </c>
      <c r="S17" s="47">
        <f>_xll.qlTenorBasisValue($P$3,R17,AllTriggers)</f>
        <v>2.8472324713366327E-4</v>
      </c>
      <c r="T17" s="41">
        <f>_xll.qlDayCounterYearFraction("actual/365 (fixed)",SettlementDate,R17,,,Trigger)</f>
        <v>5.4794520547945202E-2</v>
      </c>
      <c r="U17" s="47">
        <f>_xll.qlPolynomialFunctionValue($P$18,T17,AllTriggers)</f>
        <v>2.884786170467067E-4</v>
      </c>
      <c r="W17" s="48">
        <v>0</v>
      </c>
      <c r="X17" s="48" t="s">
        <v>27</v>
      </c>
      <c r="Y17" s="177">
        <f>_xll.qlCalendarAdvance(Calendar,SettlementDate,W17&amp;"M","mf",TRUE,Trigger)</f>
        <v>42279</v>
      </c>
      <c r="Z17" s="178">
        <f>_xll.qlCalendarAdvance(Calendar,SettlementDate,X17,"Following",,Trigger)</f>
        <v>42293</v>
      </c>
      <c r="AA17" s="206">
        <f>_xll.qlTenorBasisForwardRate2(TenorBasis6M,Y17,Z17,AllTriggers)</f>
        <v>-1.1873380266980149E-3</v>
      </c>
    </row>
    <row r="18" spans="7:27" ht="11.25" customHeight="1" x14ac:dyDescent="0.2">
      <c r="G18" s="60"/>
      <c r="H18" s="60"/>
      <c r="I18" s="35"/>
      <c r="J18" s="35"/>
      <c r="K18" s="35"/>
      <c r="L18" s="21"/>
      <c r="M18" s="21"/>
      <c r="N18" s="21"/>
      <c r="O18" s="192" t="s">
        <v>99</v>
      </c>
      <c r="P18" s="66" t="str">
        <f>_xll.qlPolynomialFunction(,_xll.ohPack(P13:P17),,Trigger)</f>
        <v>obj_005e5#0009</v>
      </c>
      <c r="Q18" s="20"/>
      <c r="R18" s="212">
        <f>_xll.qlCalendarAdvance(Calendar,R17,"1D","f")</f>
        <v>42300</v>
      </c>
      <c r="S18" s="47">
        <f>_xll.qlTenorBasisValue($P$3,R18,AllTriggers)</f>
        <v>2.8382980014563246E-4</v>
      </c>
      <c r="T18" s="41">
        <f>_xll.qlDayCounterYearFraction("actual/365 (fixed)",SettlementDate,R18,,,Trigger)</f>
        <v>5.7534246575342465E-2</v>
      </c>
      <c r="U18" s="47">
        <f>_xll.qlPolynomialFunctionValue($P$18,T18,AllTriggers)</f>
        <v>2.8986209367561403E-4</v>
      </c>
      <c r="W18" s="48">
        <v>0</v>
      </c>
      <c r="X18" s="48" t="s">
        <v>28</v>
      </c>
      <c r="Y18" s="177">
        <f>_xll.qlCalendarAdvance(Calendar,SettlementDate,W18&amp;"M","mf",TRUE,Trigger)</f>
        <v>42279</v>
      </c>
      <c r="Z18" s="178">
        <f>_xll.qlCalendarAdvance(Calendar,SettlementDate,X18,"Following",,Trigger)</f>
        <v>42300</v>
      </c>
      <c r="AA18" s="208">
        <f>_xll.qlTenorBasisForwardRate2(TenorBasis6M,Y18,Z18,AllTriggers)</f>
        <v>-1.1750022293981793E-3</v>
      </c>
    </row>
    <row r="19" spans="7:27" ht="11.25" customHeight="1" thickBot="1" x14ac:dyDescent="0.25">
      <c r="G19" s="60"/>
      <c r="H19" s="60"/>
      <c r="I19" s="35"/>
      <c r="J19" s="35"/>
      <c r="K19" s="35"/>
      <c r="L19" s="21"/>
      <c r="M19" s="21"/>
      <c r="N19" s="21"/>
      <c r="Q19" s="20"/>
      <c r="R19" s="212">
        <f>_xll.qlCalendarAdvance(Calendar,R18,"1D","f")</f>
        <v>42303</v>
      </c>
      <c r="S19" s="47">
        <f>_xll.qlTenorBasisValue($P$3,R19,AllTriggers)</f>
        <v>2.8052868884241464E-4</v>
      </c>
      <c r="T19" s="41">
        <f>_xll.qlDayCounterYearFraction("actual/365 (fixed)",SettlementDate,R19,,,Trigger)</f>
        <v>6.575342465753424E-2</v>
      </c>
      <c r="U19" s="47">
        <f>_xll.qlPolynomialFunctionValue($P$18,T19,AllTriggers)</f>
        <v>2.9278193168986018E-4</v>
      </c>
      <c r="W19" s="162">
        <v>0</v>
      </c>
      <c r="X19" s="162" t="s">
        <v>22</v>
      </c>
      <c r="Y19" s="185">
        <f>_xll.qlCalendarAdvance(Calendar,SettlementDate,W19&amp;"M","mf",TRUE,Trigger)</f>
        <v>42279</v>
      </c>
      <c r="Z19" s="295">
        <f>_xll.qlCalendarAdvance(Calendar,SettlementDate,X19,"mf",TRUE,Trigger)</f>
        <v>42310</v>
      </c>
      <c r="AA19" s="209">
        <f>_xll.qlTenorBasisForwardRate2(TenorBasis6M,Y19,Z19,AllTriggers)</f>
        <v>-1.1340445794298794E-3</v>
      </c>
    </row>
    <row r="20" spans="7:27" ht="11.25" customHeight="1" x14ac:dyDescent="0.2">
      <c r="G20" s="60"/>
      <c r="H20" s="60"/>
      <c r="I20" s="35"/>
      <c r="J20" s="35"/>
      <c r="K20" s="35"/>
      <c r="L20" s="21"/>
      <c r="M20" s="21"/>
      <c r="N20" s="21"/>
      <c r="Q20" s="20"/>
      <c r="R20" s="212">
        <f>_xll.qlCalendarAdvance(Calendar,R19,"1D","f")</f>
        <v>42304</v>
      </c>
      <c r="S20" s="47">
        <f>_xll.qlTenorBasisValue($P$3,R20,AllTriggers)</f>
        <v>2.7924295294778825E-4</v>
      </c>
      <c r="T20" s="41">
        <f>_xll.qlDayCounterYearFraction("actual/365 (fixed)",SettlementDate,R20,,,Trigger)</f>
        <v>6.8493150684931503E-2</v>
      </c>
      <c r="U20" s="47">
        <f>_xll.qlPolynomialFunctionValue($P$18,T20,AllTriggers)</f>
        <v>2.9336657172327157E-4</v>
      </c>
      <c r="W20" s="48">
        <v>1</v>
      </c>
      <c r="X20" s="48" t="s">
        <v>29</v>
      </c>
      <c r="Y20" s="177">
        <f>_xll.qlCalendarAdvance(Calendar,SettlementDate,W20&amp;"M","mf",TRUE,Trigger)</f>
        <v>42310</v>
      </c>
      <c r="Z20" s="178">
        <f>_xll.qlCalendarAdvance(Calendar,SettlementDate,X20,"mf",TRUE,Trigger)</f>
        <v>42340</v>
      </c>
      <c r="AA20" s="47">
        <f>_xll.qlTenorBasisForwardRate2(TenorBasis6M,Y20,Z20,AllTriggers)</f>
        <v>-1.234180061679524E-3</v>
      </c>
    </row>
    <row r="21" spans="7:27" ht="11.25" customHeight="1" x14ac:dyDescent="0.2">
      <c r="G21" s="60"/>
      <c r="H21" s="60"/>
      <c r="I21" s="35"/>
      <c r="J21" s="35"/>
      <c r="K21" s="35"/>
      <c r="L21" s="21"/>
      <c r="M21" s="21"/>
      <c r="N21" s="21"/>
      <c r="Q21" s="20"/>
      <c r="R21" s="212">
        <f>_xll.qlCalendarAdvance(Calendar,R20,"1D","f")</f>
        <v>42305</v>
      </c>
      <c r="S21" s="47">
        <f>_xll.qlTenorBasisValue($P$3,R21,AllTriggers)</f>
        <v>2.7787531331612887E-4</v>
      </c>
      <c r="T21" s="41">
        <f>_xll.qlDayCounterYearFraction("actual/365 (fixed)",SettlementDate,R21,,,Trigger)</f>
        <v>7.1232876712328766E-2</v>
      </c>
      <c r="U21" s="47">
        <f>_xll.qlPolynomialFunctionValue($P$18,T21,AllTriggers)</f>
        <v>2.9376767109742493E-4</v>
      </c>
      <c r="W21" s="48">
        <v>2</v>
      </c>
      <c r="X21" s="48" t="s">
        <v>23</v>
      </c>
      <c r="Y21" s="177">
        <f>_xll.qlCalendarAdvance(Calendar,SettlementDate,W21&amp;"M","mf",TRUE,Trigger)</f>
        <v>42340</v>
      </c>
      <c r="Z21" s="178">
        <f>_xll.qlCalendarAdvance(Calendar,SettlementDate,X21,"mf",TRUE,Trigger)</f>
        <v>42373</v>
      </c>
      <c r="AA21" s="47">
        <f>_xll.qlTenorBasisForwardRate2(TenorBasis6M,Y21,Z21,AllTriggers)</f>
        <v>-1.182812412859184E-3</v>
      </c>
    </row>
    <row r="22" spans="7:27" ht="11.25" customHeight="1" x14ac:dyDescent="0.2">
      <c r="G22" s="60"/>
      <c r="H22" s="60"/>
      <c r="I22" s="35"/>
      <c r="J22" s="35"/>
      <c r="K22" s="35"/>
      <c r="L22" s="21"/>
      <c r="M22" s="21"/>
      <c r="N22" s="21"/>
      <c r="Q22" s="20"/>
      <c r="R22" s="212">
        <f>_xll.qlCalendarAdvance(Calendar,R21,"1D","f")</f>
        <v>42306</v>
      </c>
      <c r="S22" s="47">
        <f>_xll.qlTenorBasisValue($P$3,R22,AllTriggers)</f>
        <v>2.7643223734328301E-4</v>
      </c>
      <c r="T22" s="41">
        <f>_xll.qlDayCounterYearFraction("actual/365 (fixed)",SettlementDate,R22,,,Trigger)</f>
        <v>7.3972602739726029E-2</v>
      </c>
      <c r="U22" s="47">
        <f>_xll.qlPolynomialFunctionValue($P$18,T22,AllTriggers)</f>
        <v>2.9399169720816681E-4</v>
      </c>
      <c r="W22" s="48">
        <v>3</v>
      </c>
      <c r="X22" s="48" t="s">
        <v>30</v>
      </c>
      <c r="Y22" s="177">
        <f>_xll.qlCalendarAdvance(Calendar,SettlementDate,W22&amp;"M","mf",TRUE,Trigger)</f>
        <v>42373</v>
      </c>
      <c r="Z22" s="178">
        <f>_xll.qlCalendarAdvance(Calendar,SettlementDate,X22,"mf",TRUE,Trigger)</f>
        <v>42402</v>
      </c>
      <c r="AA22" s="47">
        <f>_xll.qlTenorBasisForwardRate2(TenorBasis6M,Y22,Z22,AllTriggers)</f>
        <v>-1.3242003056658657E-3</v>
      </c>
    </row>
    <row r="23" spans="7:27" ht="11.25" customHeight="1" x14ac:dyDescent="0.2">
      <c r="G23" s="60"/>
      <c r="H23" s="60"/>
      <c r="I23" s="35"/>
      <c r="J23" s="35"/>
      <c r="K23" s="35"/>
      <c r="L23" s="21"/>
      <c r="M23" s="21"/>
      <c r="N23" s="21"/>
      <c r="Q23" s="20"/>
      <c r="R23" s="212">
        <f>_xll.qlCalendarAdvance(Calendar,R22,"1D","f")</f>
        <v>42307</v>
      </c>
      <c r="S23" s="47">
        <f>_xll.qlTenorBasisValue($P$3,R23,AllTriggers)</f>
        <v>2.7492019242509707E-4</v>
      </c>
      <c r="T23" s="41">
        <f>_xll.qlDayCounterYearFraction("actual/365 (fixed)",SettlementDate,R23,,,Trigger)</f>
        <v>7.6712328767123292E-2</v>
      </c>
      <c r="U23" s="47">
        <f>_xll.qlPolynomialFunctionValue($P$18,T23,AllTriggers)</f>
        <v>2.9404511745134351E-4</v>
      </c>
      <c r="W23" s="48">
        <v>4</v>
      </c>
      <c r="X23" s="48" t="s">
        <v>31</v>
      </c>
      <c r="Y23" s="177">
        <f>_xll.qlCalendarAdvance(Calendar,SettlementDate,W23&amp;"M","mf",TRUE,Trigger)</f>
        <v>42402</v>
      </c>
      <c r="Z23" s="178">
        <f>_xll.qlCalendarAdvance(Calendar,SettlementDate,X23,"mf",TRUE,Trigger)</f>
        <v>42431</v>
      </c>
      <c r="AA23" s="47">
        <f>_xll.qlTenorBasisForwardRate2(TenorBasis6M,Y23,Z23,AllTriggers)</f>
        <v>-9.4218785260483389E-4</v>
      </c>
    </row>
    <row r="24" spans="7:27" ht="11.25" customHeight="1" x14ac:dyDescent="0.2">
      <c r="G24" s="60"/>
      <c r="H24" s="60"/>
      <c r="I24" s="35"/>
      <c r="J24" s="35"/>
      <c r="K24" s="35"/>
      <c r="Q24" s="20"/>
      <c r="R24" s="212">
        <f>_xll.qlCalendarAdvance(Calendar,R23,"1D","f")</f>
        <v>42310</v>
      </c>
      <c r="S24" s="47">
        <f>_xll.qlTenorBasisValue($P$3,R24,AllTriggers)</f>
        <v>2.7003491795696283E-4</v>
      </c>
      <c r="T24" s="41">
        <f>_xll.qlDayCounterYearFraction("actual/365 (fixed)",SettlementDate,R24,,,Trigger)</f>
        <v>8.4931506849315067E-2</v>
      </c>
      <c r="U24" s="47">
        <f>_xll.qlPolynomialFunctionValue($P$18,T24,AllTriggers)</f>
        <v>2.9324641693394651E-4</v>
      </c>
      <c r="W24" s="48">
        <v>5</v>
      </c>
      <c r="X24" s="48" t="s">
        <v>24</v>
      </c>
      <c r="Y24" s="177">
        <f>_xll.qlCalendarAdvance(Calendar,SettlementDate,W24&amp;"M","mf",TRUE,Trigger)</f>
        <v>42431</v>
      </c>
      <c r="Z24" s="178">
        <f>_xll.qlCalendarAdvance(Calendar,SettlementDate,X24,"mf",TRUE,Trigger)</f>
        <v>42464</v>
      </c>
      <c r="AA24" s="47">
        <f>_xll.qlTenorBasisForwardRate2(TenorBasis6M,Y24,Z24,AllTriggers)</f>
        <v>-5.1087766544439205E-5</v>
      </c>
    </row>
    <row r="25" spans="7:27" ht="11.25" customHeight="1" x14ac:dyDescent="0.2">
      <c r="G25" s="60"/>
      <c r="H25" s="60"/>
      <c r="I25" s="35"/>
      <c r="J25" s="35"/>
      <c r="K25" s="35"/>
      <c r="R25" s="212">
        <f>_xll.qlCalendarAdvance(Calendar,R24,"1D","f")</f>
        <v>42311</v>
      </c>
      <c r="S25" s="47">
        <f>_xll.qlTenorBasisValue($P$3,R25,AllTriggers)</f>
        <v>2.6831167121588054E-4</v>
      </c>
      <c r="T25" s="41">
        <f>_xll.qlDayCounterYearFraction("actual/365 (fixed)",SettlementDate,R25,,,Trigger)</f>
        <v>8.7671232876712329E-2</v>
      </c>
      <c r="U25" s="47">
        <f>_xll.qlPolynomialFunctionValue($P$18,T25,AllTriggers)</f>
        <v>2.926820876653265E-4</v>
      </c>
      <c r="W25" s="49">
        <v>6</v>
      </c>
      <c r="X25" s="49" t="str">
        <f t="shared" ref="X25" si="4">W25+SUBSTITUTE($H$1,"M","")&amp;"M"</f>
        <v>7M</v>
      </c>
      <c r="Y25" s="181">
        <f>_xll.qlCalendarAdvance(Calendar,SettlementDate,W25&amp;"M","mf",TRUE,Trigger)</f>
        <v>42464</v>
      </c>
      <c r="Z25" s="181">
        <f>_xll.qlCalendarAdvance(Calendar,SettlementDate,X25,"mf",TRUE,Trigger)</f>
        <v>42492</v>
      </c>
      <c r="AA25" s="50">
        <f>_xll.qlTenorBasisTenorForwardRate(TenorBasis6M,Y25,AllTriggers)</f>
        <v>1.6474789458535812E-3</v>
      </c>
    </row>
    <row r="26" spans="7:27" ht="11.25" customHeight="1" x14ac:dyDescent="0.2">
      <c r="R26" s="212">
        <f>_xll.qlCalendarAdvance(Calendar,R25,"1D","f")</f>
        <v>42312</v>
      </c>
      <c r="S26" s="47">
        <f>_xll.qlTenorBasisValue($P$3,R26,AllTriggers)</f>
        <v>2.6655179250869015E-4</v>
      </c>
      <c r="T26" s="41">
        <f>_xll.qlDayCounterYearFraction("actual/365 (fixed)",SettlementDate,R26,,,Trigger)</f>
        <v>9.0410958904109592E-2</v>
      </c>
      <c r="U26" s="47">
        <f>_xll.qlPolynomialFunctionValue($P$18,T26,AllTriggers)</f>
        <v>2.9197948950837344E-4</v>
      </c>
    </row>
    <row r="27" spans="7:27" ht="11.25" customHeight="1" x14ac:dyDescent="0.2">
      <c r="R27" s="212">
        <f>_xll.qlCalendarAdvance(Calendar,R26,"1D","f")</f>
        <v>42313</v>
      </c>
      <c r="S27" s="47">
        <f>_xll.qlTenorBasisValue($P$3,R27,AllTriggers)</f>
        <v>2.6476174923123811E-4</v>
      </c>
      <c r="T27" s="41">
        <f>_xll.qlDayCounterYearFraction("actual/365 (fixed)",SettlementDate,R27,,,Trigger)</f>
        <v>9.3150684931506855E-2</v>
      </c>
      <c r="U27" s="47">
        <f>_xll.qlPolynomialFunctionValue($P$18,T27,AllTriggers)</f>
        <v>2.9114508985893342E-4</v>
      </c>
    </row>
    <row r="28" spans="7:27" ht="11.25" customHeight="1" x14ac:dyDescent="0.2">
      <c r="R28" s="212">
        <f>_xll.qlCalendarAdvance(Calendar,R27,"1D","f")</f>
        <v>42314</v>
      </c>
      <c r="S28" s="47">
        <f>_xll.qlTenorBasisValue($P$3,R28,AllTriggers)</f>
        <v>2.6294800877937083E-4</v>
      </c>
      <c r="T28" s="41">
        <f>_xll.qlDayCounterYearFraction("actual/365 (fixed)",SettlementDate,R28,,,Trigger)</f>
        <v>9.5890410958904104E-2</v>
      </c>
      <c r="U28" s="47">
        <f>_xll.qlPolynomialFunctionValue($P$18,T28,AllTriggers)</f>
        <v>2.9018535611285322E-4</v>
      </c>
    </row>
    <row r="29" spans="7:27" ht="11.25" customHeight="1" x14ac:dyDescent="0.2">
      <c r="R29" s="212">
        <f>_xll.qlCalendarAdvance(Calendar,R28,"1D","f")</f>
        <v>42317</v>
      </c>
      <c r="S29" s="47">
        <f>_xll.qlTenorBasisValue($P$3,R29,AllTriggers)</f>
        <v>2.5742927833574133E-4</v>
      </c>
      <c r="T29" s="41">
        <f>_xll.qlDayCounterYearFraction("actual/365 (fixed)",SettlementDate,R29,,,Trigger)</f>
        <v>0.10410958904109589</v>
      </c>
      <c r="U29" s="47">
        <f>_xll.qlPolynomialFunctionValue($P$18,T29,AllTriggers)</f>
        <v>2.866188242532345E-4</v>
      </c>
    </row>
    <row r="30" spans="7:27" ht="11.25" customHeight="1" x14ac:dyDescent="0.2">
      <c r="R30" s="212">
        <f>_xll.qlCalendarAdvance(Calendar,R29,"1D","f")</f>
        <v>42318</v>
      </c>
      <c r="S30" s="47">
        <f>_xll.qlTenorBasisValue($P$3,R30,AllTriggers)</f>
        <v>2.5558542314467697E-4</v>
      </c>
      <c r="T30" s="41">
        <f>_xll.qlDayCounterYearFraction("actual/365 (fixed)",SettlementDate,R30,,,Trigger)</f>
        <v>0.10684931506849316</v>
      </c>
      <c r="U30" s="47">
        <f>_xll.qlPolynomialFunctionValue($P$18,T30,AllTriggers)</f>
        <v>2.8522242807905686E-4</v>
      </c>
    </row>
    <row r="31" spans="7:27" ht="11.25" customHeight="1" x14ac:dyDescent="0.2">
      <c r="R31" s="212">
        <f>_xll.qlCalendarAdvance(Calendar,R30,"1D","f")</f>
        <v>42319</v>
      </c>
      <c r="S31" s="47">
        <f>_xll.qlTenorBasisValue($P$3,R31,AllTriggers)</f>
        <v>2.5375020775842929E-4</v>
      </c>
      <c r="T31" s="41">
        <f>_xll.qlDayCounterYearFraction("actual/365 (fixed)",SettlementDate,R31,,,Trigger)</f>
        <v>0.1095890410958904</v>
      </c>
      <c r="U31" s="47">
        <f>_xll.qlPolynomialFunctionValue($P$18,T31,AllTriggers)</f>
        <v>2.8373303478747096E-4</v>
      </c>
    </row>
    <row r="32" spans="7:27" ht="11.25" customHeight="1" x14ac:dyDescent="0.2">
      <c r="R32" s="212">
        <f>_xll.qlCalendarAdvance(Calendar,R31,"1D","f")</f>
        <v>42320</v>
      </c>
      <c r="S32" s="47">
        <f>_xll.qlTenorBasisValue($P$3,R32,AllTriggers)</f>
        <v>2.5193009957284485E-4</v>
      </c>
      <c r="T32" s="41">
        <f>_xll.qlDayCounterYearFraction("actual/365 (fixed)",SettlementDate,R32,,,Trigger)</f>
        <v>0.11232876712328767</v>
      </c>
      <c r="U32" s="47">
        <f>_xll.qlPolynomialFunctionValue($P$18,T32,AllTriggers)</f>
        <v>2.8215711177432309E-4</v>
      </c>
    </row>
    <row r="33" spans="7:21" ht="11.25" customHeight="1" x14ac:dyDescent="0.2">
      <c r="R33" s="212">
        <f>_xll.qlCalendarAdvance(Calendar,R32,"1D","f")</f>
        <v>42321</v>
      </c>
      <c r="S33" s="47">
        <f>_xll.qlTenorBasisValue($P$3,R33,AllTriggers)</f>
        <v>2.5013156598376995E-4</v>
      </c>
      <c r="T33" s="41">
        <f>_xll.qlDayCounterYearFraction("actual/365 (fixed)",SettlementDate,R33,,,Trigger)</f>
        <v>0.11506849315068493</v>
      </c>
      <c r="U33" s="47">
        <f>_xll.qlPolynomialFunctionValue($P$18,T33,AllTriggers)</f>
        <v>2.8050112643545976E-4</v>
      </c>
    </row>
    <row r="34" spans="7:21" ht="11.25" customHeight="1" x14ac:dyDescent="0.2">
      <c r="R34" s="212">
        <f>_xll.qlCalendarAdvance(Calendar,R33,"1D","f")</f>
        <v>42324</v>
      </c>
      <c r="S34" s="47">
        <f>_xll.qlTenorBasisValue($P$3,R34,AllTriggers)</f>
        <v>2.4493008675406652E-4</v>
      </c>
      <c r="T34" s="41">
        <f>_xll.qlDayCounterYearFraction("actual/365 (fixed)",SettlementDate,R34,,,Trigger)</f>
        <v>0.12328767123287671</v>
      </c>
      <c r="U34" s="47">
        <f>_xll.qlPolynomialFunctionValue($P$18,T34,AllTriggers)</f>
        <v>2.7511747042304044E-4</v>
      </c>
    </row>
    <row r="35" spans="7:21" ht="11.25" customHeight="1" x14ac:dyDescent="0.2">
      <c r="R35" s="212">
        <f>_xll.qlCalendarAdvance(Calendar,R34,"1D","f")</f>
        <v>42325</v>
      </c>
      <c r="S35" s="47">
        <f>_xll.qlTenorBasisValue($P$3,R35,AllTriggers)</f>
        <v>2.4328252550949388E-4</v>
      </c>
      <c r="T35" s="41">
        <f>_xll.qlDayCounterYearFraction("actual/365 (fixed)",SettlementDate,R35,,,Trigger)</f>
        <v>0.12602739726027398</v>
      </c>
      <c r="U35" s="47">
        <f>_xll.qlPolynomialFunctionValue($P$18,T35,AllTriggers)</f>
        <v>2.73205909739779E-4</v>
      </c>
    </row>
    <row r="36" spans="7:21" ht="11.25" customHeight="1" x14ac:dyDescent="0.2">
      <c r="R36" s="212">
        <f>_xll.qlCalendarAdvance(Calendar,R35,"1D","f")</f>
        <v>42326</v>
      </c>
      <c r="S36" s="47">
        <f>_xll.qlTenorBasisValue($P$3,R36,AllTriggers)</f>
        <v>2.4168887584066268E-4</v>
      </c>
      <c r="T36" s="41">
        <f>_xll.qlDayCounterYearFraction("actual/365 (fixed)",SettlementDate,R36,,,Trigger)</f>
        <v>0.12876712328767123</v>
      </c>
      <c r="U36" s="47">
        <f>_xll.qlPolynomialFunctionValue($P$18,T36,AllTriggers)</f>
        <v>2.7124662371003408E-4</v>
      </c>
    </row>
    <row r="37" spans="7:21" ht="11.25" customHeight="1" x14ac:dyDescent="0.2">
      <c r="R37" s="212">
        <f>_xll.qlCalendarAdvance(Calendar,R36,"1D","f")</f>
        <v>42327</v>
      </c>
      <c r="S37" s="47">
        <f>_xll.qlTenorBasisValue($P$3,R37,AllTriggers)</f>
        <v>2.4015560514341962E-4</v>
      </c>
      <c r="T37" s="41">
        <f>_xll.qlDayCounterYearFraction("actual/365 (fixed)",SettlementDate,R37,,,Trigger)</f>
        <v>0.13150684931506848</v>
      </c>
      <c r="U37" s="47">
        <f>_xll.qlPolynomialFunctionValue($P$18,T37,AllTriggers)</f>
        <v>2.6924607972965203E-4</v>
      </c>
    </row>
    <row r="38" spans="7:21" ht="11.25" customHeight="1" x14ac:dyDescent="0.2">
      <c r="R38" s="212">
        <f>_xll.qlCalendarAdvance(Calendar,R37,"1D","f")</f>
        <v>42328</v>
      </c>
      <c r="S38" s="47">
        <f>_xll.qlTenorBasisValue($P$3,R38,AllTriggers)</f>
        <v>2.3868918081361085E-4</v>
      </c>
      <c r="T38" s="41">
        <f>_xll.qlDayCounterYearFraction("actual/365 (fixed)",SettlementDate,R38,,,Trigger)</f>
        <v>0.13424657534246576</v>
      </c>
      <c r="U38" s="47">
        <f>_xll.qlPolynomialFunctionValue($P$18,T38,AllTriggers)</f>
        <v>2.672107451944793E-4</v>
      </c>
    </row>
    <row r="39" spans="7:21" ht="11.25" customHeight="1" x14ac:dyDescent="0.2">
      <c r="R39" s="212">
        <f>_xll.qlCalendarAdvance(Calendar,R38,"1D","f")</f>
        <v>42331</v>
      </c>
      <c r="S39" s="47">
        <f>_xll.qlTenorBasisValue($P$3,R39,AllTriggers)</f>
        <v>2.347556599872548E-4</v>
      </c>
      <c r="T39" s="41">
        <f>_xll.qlDayCounterYearFraction("actual/365 (fixed)",SettlementDate,R39,,,Trigger)</f>
        <v>0.14246575342465753</v>
      </c>
      <c r="U39" s="47">
        <f>_xll.qlPolynomialFunctionValue($P$18,T39,AllTriggers)</f>
        <v>2.6096067221868081E-4</v>
      </c>
    </row>
    <row r="40" spans="7:21" ht="11.25" customHeight="1" x14ac:dyDescent="0.2">
      <c r="R40" s="212">
        <f>_xll.qlCalendarAdvance(Calendar,R39,"1D","f")</f>
        <v>42332</v>
      </c>
      <c r="S40" s="47">
        <f>_xll.qlTenorBasisValue($P$3,R40,AllTriggers)</f>
        <v>2.3362129508564767E-4</v>
      </c>
      <c r="T40" s="41">
        <f>_xll.qlDayCounterYearFraction("actual/365 (fixed)",SettlementDate,R40,,,Trigger)</f>
        <v>0.14520547945205478</v>
      </c>
      <c r="U40" s="47">
        <f>_xll.qlPolynomialFunctionValue($P$18,T40,AllTriggers)</f>
        <v>2.5885084942280936E-4</v>
      </c>
    </row>
    <row r="41" spans="7:21" ht="11.25" customHeight="1" x14ac:dyDescent="0.2">
      <c r="R41" s="212">
        <f>_xll.qlCalendarAdvance(Calendar,R40,"1D","f")</f>
        <v>42333</v>
      </c>
      <c r="S41" s="47">
        <f>_xll.qlTenorBasisValue($P$3,R41,AllTriggers)</f>
        <v>2.3258611353070679E-4</v>
      </c>
      <c r="T41" s="41">
        <f>_xll.qlDayCounterYearFraction("actual/365 (fixed)",SettlementDate,R41,,,Trigger)</f>
        <v>0.14794520547945206</v>
      </c>
      <c r="U41" s="47">
        <f>_xll.qlPolynomialFunctionValue($P$18,T41,AllTriggers)</f>
        <v>2.5673857305137909E-4</v>
      </c>
    </row>
    <row r="42" spans="7:21" ht="11.25" customHeight="1" x14ac:dyDescent="0.2">
      <c r="R42" s="212">
        <f>_xll.qlCalendarAdvance(Calendar,R41,"1D","f")</f>
        <v>42334</v>
      </c>
      <c r="S42" s="47">
        <f>_xll.qlTenorBasisValue($P$3,R42,AllTriggers)</f>
        <v>2.3165658271827877E-4</v>
      </c>
      <c r="T42" s="41">
        <f>_xll.qlDayCounterYearFraction("actual/365 (fixed)",SettlementDate,R42,,,Trigger)</f>
        <v>0.15068493150684931</v>
      </c>
      <c r="U42" s="47">
        <f>_xll.qlPolynomialFunctionValue($P$18,T42,AllTriggers)</f>
        <v>2.5463031050023668E-4</v>
      </c>
    </row>
    <row r="43" spans="7:21" ht="11.25" customHeight="1" x14ac:dyDescent="0.2">
      <c r="G43" s="60"/>
      <c r="H43" s="60"/>
      <c r="I43" s="35"/>
      <c r="J43" s="35"/>
      <c r="K43" s="35"/>
      <c r="R43" s="212">
        <f>_xll.qlCalendarAdvance(Calendar,R42,"1D","f")</f>
        <v>42335</v>
      </c>
      <c r="S43" s="47">
        <f>_xll.qlTenorBasisValue($P$3,R43,AllTriggers)</f>
        <v>2.3083917004420988E-4</v>
      </c>
      <c r="T43" s="41">
        <f>_xll.qlDayCounterYearFraction("actual/365 (fixed)",SettlementDate,R43,,,Trigger)</f>
        <v>0.15342465753424658</v>
      </c>
      <c r="U43" s="47">
        <f>_xll.qlPolynomialFunctionValue($P$18,T43,AllTriggers)</f>
        <v>2.5253252916522827E-4</v>
      </c>
    </row>
    <row r="44" spans="7:21" ht="11.25" customHeight="1" x14ac:dyDescent="0.2">
      <c r="G44" s="60"/>
      <c r="H44" s="60"/>
      <c r="I44" s="35"/>
      <c r="J44" s="35"/>
      <c r="K44" s="35"/>
      <c r="R44" s="212">
        <f>_xll.qlCalendarAdvance(Calendar,R43,"1D","f")</f>
        <v>42338</v>
      </c>
      <c r="S44" s="47">
        <f>_xll.qlTenorBasisValue($P$3,R44,AllTriggers)</f>
        <v>2.2912431481062268E-4</v>
      </c>
      <c r="T44" s="41">
        <f>_xll.qlDayCounterYearFraction("actual/365 (fixed)",SettlementDate,R44,,,Trigger)</f>
        <v>0.16164383561643836</v>
      </c>
      <c r="U44" s="47">
        <f>_xll.qlPolynomialFunctionValue($P$18,T44,AllTriggers)</f>
        <v>2.4636674641547189E-4</v>
      </c>
    </row>
    <row r="45" spans="7:21" ht="11.25" customHeight="1" x14ac:dyDescent="0.2">
      <c r="G45" s="60"/>
      <c r="H45" s="60"/>
      <c r="I45" s="35"/>
      <c r="J45" s="35"/>
      <c r="K45" s="35"/>
      <c r="R45" s="212">
        <f>_xll.qlCalendarAdvance(Calendar,R44,"1D","f")</f>
        <v>42339</v>
      </c>
      <c r="S45" s="47">
        <f>_xll.qlTenorBasisValue($P$3,R45,AllTriggers)</f>
        <v>2.2882004864845467E-4</v>
      </c>
      <c r="T45" s="41">
        <f>_xll.qlDayCounterYearFraction("actual/365 (fixed)",SettlementDate,R45,,,Trigger)</f>
        <v>0.16438356164383561</v>
      </c>
      <c r="U45" s="47">
        <f>_xll.qlPolynomialFunctionValue($P$18,T45,AllTriggers)</f>
        <v>2.4437556390346409E-4</v>
      </c>
    </row>
    <row r="46" spans="7:21" ht="11.25" customHeight="1" x14ac:dyDescent="0.2">
      <c r="G46" s="60"/>
      <c r="H46" s="60"/>
      <c r="I46" s="35"/>
      <c r="J46" s="35"/>
      <c r="K46" s="35"/>
      <c r="R46" s="212">
        <f>_xll.qlCalendarAdvance(Calendar,R45,"1D","f")</f>
        <v>42340</v>
      </c>
      <c r="S46" s="47">
        <f>_xll.qlTenorBasisValue($P$3,R46,AllTriggers)</f>
        <v>2.2866023760387787E-4</v>
      </c>
      <c r="T46" s="41">
        <f>_xll.qlDayCounterYearFraction("actual/365 (fixed)",SettlementDate,R46,,,Trigger)</f>
        <v>0.16712328767123288</v>
      </c>
      <c r="U46" s="47">
        <f>_xll.qlPolynomialFunctionValue($P$18,T46,AllTriggers)</f>
        <v>2.4242719958682241E-4</v>
      </c>
    </row>
    <row r="47" spans="7:21" ht="11.25" customHeight="1" x14ac:dyDescent="0.2">
      <c r="G47" s="60"/>
      <c r="H47" s="60"/>
      <c r="I47" s="35"/>
      <c r="J47" s="35"/>
      <c r="K47" s="35"/>
      <c r="R47" s="212">
        <f>_xll.qlCalendarAdvance(Calendar,R46,"1D","f")</f>
        <v>42341</v>
      </c>
      <c r="S47" s="47">
        <f>_xll.qlTenorBasisValue($P$3,R47,AllTriggers)</f>
        <v>2.2865134907273872E-4</v>
      </c>
      <c r="T47" s="41">
        <f>_xll.qlDayCounterYearFraction("actual/365 (fixed)",SettlementDate,R47,,,Trigger)</f>
        <v>0.16986301369863013</v>
      </c>
      <c r="U47" s="47">
        <f>_xll.qlPolynomialFunctionValue($P$18,T47,AllTriggers)</f>
        <v>2.4052812086139327E-4</v>
      </c>
    </row>
    <row r="48" spans="7:21" ht="11.25" customHeight="1" x14ac:dyDescent="0.2">
      <c r="G48" s="60"/>
      <c r="H48" s="60"/>
      <c r="I48" s="35"/>
      <c r="J48" s="35"/>
      <c r="K48" s="35"/>
      <c r="R48" s="212">
        <f>_xll.qlCalendarAdvance(Calendar,R47,"1D","f")</f>
        <v>42342</v>
      </c>
      <c r="S48" s="47">
        <f>_xll.qlTenorBasisValue($P$3,R48,AllTriggers)</f>
        <v>2.2879985045088356E-4</v>
      </c>
      <c r="T48" s="41">
        <f>_xll.qlDayCounterYearFraction("actual/365 (fixed)",SettlementDate,R48,,,Trigger)</f>
        <v>0.17260273972602741</v>
      </c>
      <c r="U48" s="47">
        <f>_xll.qlPolynomialFunctionValue($P$18,T48,AllTriggers)</f>
        <v>2.3868479512302305E-4</v>
      </c>
    </row>
    <row r="49" spans="7:21" ht="11.25" customHeight="1" x14ac:dyDescent="0.2">
      <c r="G49" s="60"/>
      <c r="H49" s="60"/>
      <c r="I49" s="35"/>
      <c r="J49" s="35"/>
      <c r="K49" s="35"/>
      <c r="R49" s="212">
        <f>_xll.qlCalendarAdvance(Calendar,R48,"1D","f")</f>
        <v>42345</v>
      </c>
      <c r="S49" s="47">
        <f>_xll.qlTenorBasisValue($P$3,R49,AllTriggers)</f>
        <v>2.3025436799948629E-4</v>
      </c>
      <c r="T49" s="41">
        <f>_xll.qlDayCounterYearFraction("actual/365 (fixed)",SettlementDate,R49,,,Trigger)</f>
        <v>0.18082191780821918</v>
      </c>
      <c r="U49" s="47">
        <f>_xll.qlPolynomialFunctionValue($P$18,T49,AllTriggers)</f>
        <v>2.3355400978873018E-4</v>
      </c>
    </row>
    <row r="50" spans="7:21" ht="11.25" customHeight="1" x14ac:dyDescent="0.2">
      <c r="G50" s="60"/>
      <c r="H50" s="60"/>
      <c r="I50" s="35"/>
      <c r="J50" s="35"/>
      <c r="K50" s="35"/>
      <c r="R50" s="212">
        <f>_xll.qlCalendarAdvance(Calendar,R49,"1D","f")</f>
        <v>42346</v>
      </c>
      <c r="S50" s="47">
        <f>_xll.qlTenorBasisValue($P$3,R50,AllTriggers)</f>
        <v>2.3109710297323127E-4</v>
      </c>
      <c r="T50" s="41">
        <f>_xll.qlDayCounterYearFraction("actual/365 (fixed)",SettlementDate,R50,,,Trigger)</f>
        <v>0.18356164383561643</v>
      </c>
      <c r="U50" s="47">
        <f>_xll.qlPolynomialFunctionValue($P$18,T50,AllTriggers)</f>
        <v>2.3199836995705975E-4</v>
      </c>
    </row>
    <row r="51" spans="7:21" ht="11.25" customHeight="1" x14ac:dyDescent="0.2">
      <c r="G51" s="60"/>
      <c r="H51" s="60"/>
      <c r="I51" s="35"/>
      <c r="J51" s="35"/>
      <c r="K51" s="35"/>
      <c r="R51" s="212">
        <f>_xll.qlCalendarAdvance(Calendar,R50,"1D","f")</f>
        <v>42347</v>
      </c>
      <c r="S51" s="47">
        <f>_xll.qlTenorBasisValue($P$3,R51,AllTriggers)</f>
        <v>2.3212956483549221E-4</v>
      </c>
      <c r="T51" s="41">
        <f>_xll.qlDayCounterYearFraction("actual/365 (fixed)",SettlementDate,R51,,,Trigger)</f>
        <v>0.18630136986301371</v>
      </c>
      <c r="U51" s="47">
        <f>_xll.qlPolynomialFunctionValue($P$18,T51,AllTriggers)</f>
        <v>2.3053082009168022E-4</v>
      </c>
    </row>
    <row r="52" spans="7:21" ht="11.25" customHeight="1" x14ac:dyDescent="0.2">
      <c r="G52" s="60"/>
      <c r="H52" s="60"/>
      <c r="I52" s="35"/>
      <c r="J52" s="35"/>
      <c r="K52" s="35"/>
      <c r="R52" s="212">
        <f>_xll.qlCalendarAdvance(Calendar,R51,"1D","f")</f>
        <v>42348</v>
      </c>
      <c r="S52" s="47">
        <f>_xll.qlTenorBasisValue($P$3,R52,AllTriggers)</f>
        <v>2.3335822098211582E-4</v>
      </c>
      <c r="T52" s="41">
        <f>_xll.qlDayCounterYearFraction("actual/365 (fixed)",SettlementDate,R52,,,Trigger)</f>
        <v>0.18904109589041096</v>
      </c>
      <c r="U52" s="47">
        <f>_xll.qlPolynomialFunctionValue($P$18,T52,AllTriggers)</f>
        <v>2.2915782758843839E-4</v>
      </c>
    </row>
    <row r="53" spans="7:21" ht="11.25" customHeight="1" x14ac:dyDescent="0.2">
      <c r="G53" s="60"/>
      <c r="H53" s="60"/>
      <c r="I53" s="35"/>
      <c r="J53" s="35"/>
      <c r="K53" s="35"/>
      <c r="R53" s="212">
        <f>_xll.qlCalendarAdvance(Calendar,R52,"1D","f")</f>
        <v>42349</v>
      </c>
      <c r="S53" s="47">
        <f>_xll.qlTenorBasisValue($P$3,R53,AllTriggers)</f>
        <v>2.3478953880894804E-4</v>
      </c>
      <c r="T53" s="41">
        <f>_xll.qlDayCounterYearFraction("actual/365 (fixed)",SettlementDate,R53,,,Trigger)</f>
        <v>0.19178082191780821</v>
      </c>
      <c r="U53" s="47">
        <f>_xll.qlPolynomialFunctionValue($P$18,T53,AllTriggers)</f>
        <v>2.2788585984318005E-4</v>
      </c>
    </row>
    <row r="54" spans="7:21" x14ac:dyDescent="0.2">
      <c r="R54" s="212">
        <f>_xll.qlCalendarAdvance(Calendar,R53,"1D","f")</f>
        <v>42352</v>
      </c>
      <c r="S54" s="47">
        <f>_xll.qlTenorBasisValue($P$3,R54,AllTriggers)</f>
        <v>2.4036413632916212E-4</v>
      </c>
      <c r="T54" s="41">
        <f>_xll.qlDayCounterYearFraction("actual/365 (fixed)",SettlementDate,R54,,,Trigger)</f>
        <v>0.2</v>
      </c>
      <c r="U54" s="47">
        <f>_xll.qlPolynomialFunctionValue($P$18,T54,AllTriggers)</f>
        <v>2.2474077911377189E-4</v>
      </c>
    </row>
    <row r="55" spans="7:21" x14ac:dyDescent="0.2">
      <c r="R55" s="212">
        <f>_xll.qlCalendarAdvance(Calendar,R54,"1D","f")</f>
        <v>42353</v>
      </c>
      <c r="S55" s="47">
        <f>_xll.qlTenorBasisValue($P$3,R55,AllTriggers)</f>
        <v>2.4267077483529397E-4</v>
      </c>
      <c r="T55" s="41">
        <f>_xll.qlDayCounterYearFraction("actual/365 (fixed)",SettlementDate,R55,,,Trigger)</f>
        <v>0.20273972602739726</v>
      </c>
      <c r="U55" s="47">
        <f>_xll.qlPolynomialFunctionValue($P$18,T55,AllTriggers)</f>
        <v>2.2393758435891283E-4</v>
      </c>
    </row>
    <row r="56" spans="7:21" x14ac:dyDescent="0.2">
      <c r="R56" s="212">
        <f>_xll.qlCalendarAdvance(Calendar,R55,"1D","f")</f>
        <v>42354</v>
      </c>
      <c r="S56" s="47">
        <f>_xll.qlTenorBasisValue($P$3,R56,AllTriggers)</f>
        <v>2.452124120008665E-4</v>
      </c>
      <c r="T56" s="41">
        <f>_xll.qlDayCounterYearFraction("actual/365 (fixed)",SettlementDate,R56,,,Trigger)</f>
        <v>0.20547945205479451</v>
      </c>
      <c r="U56" s="47">
        <f>_xll.qlPolynomialFunctionValue($P$18,T56,AllTriggers)</f>
        <v>2.232677513412695E-4</v>
      </c>
    </row>
    <row r="57" spans="7:21" x14ac:dyDescent="0.2">
      <c r="R57" s="212">
        <f>_xll.qlCalendarAdvance(Calendar,R56,"1D","f")</f>
        <v>42355</v>
      </c>
      <c r="S57" s="47">
        <f>_xll.qlTenorBasisValue($P$3,R57,AllTriggers)</f>
        <v>2.4799551522172643E-4</v>
      </c>
      <c r="T57" s="41">
        <f>_xll.qlDayCounterYearFraction("actual/365 (fixed)",SettlementDate,R57,,,Trigger)</f>
        <v>0.20821917808219179</v>
      </c>
      <c r="U57" s="47">
        <f>_xll.qlPolynomialFunctionValue($P$18,T57,AllTriggers)</f>
        <v>2.2273774745668816E-4</v>
      </c>
    </row>
    <row r="58" spans="7:21" x14ac:dyDescent="0.2">
      <c r="R58" s="212">
        <f>_xll.qlCalendarAdvance(Calendar,R57,"1D","f")</f>
        <v>42356</v>
      </c>
      <c r="S58" s="47">
        <f>_xll.qlTenorBasisValue($P$3,R58,AllTriggers)</f>
        <v>2.5102655189371986E-4</v>
      </c>
      <c r="T58" s="41">
        <f>_xll.qlDayCounterYearFraction("actual/365 (fixed)",SettlementDate,R58,,,Trigger)</f>
        <v>0.21095890410958903</v>
      </c>
      <c r="U58" s="47">
        <f>_xll.qlPolynomialFunctionValue($P$18,T58,AllTriggers)</f>
        <v>2.2235404010101563E-4</v>
      </c>
    </row>
    <row r="59" spans="7:21" x14ac:dyDescent="0.2">
      <c r="R59" s="212">
        <f>_xll.qlCalendarAdvance(Calendar,R58,"1D","f")</f>
        <v>42359</v>
      </c>
      <c r="S59" s="47">
        <f>_xll.qlTenorBasisValue($P$3,R59,AllTriggers)</f>
        <v>2.6167193657496656E-4</v>
      </c>
      <c r="T59" s="41">
        <f>_xll.qlDayCounterYearFraction("actual/365 (fixed)",SettlementDate,R59,,,Trigger)</f>
        <v>0.21917808219178081</v>
      </c>
      <c r="U59" s="47">
        <f>_xll.qlPolynomialFunctionValue($P$18,T59,AllTriggers)</f>
        <v>2.2214537116591363E-4</v>
      </c>
    </row>
    <row r="60" spans="7:21" x14ac:dyDescent="0.2">
      <c r="R60" s="212">
        <f>_xll.qlCalendarAdvance(Calendar,R59,"1D","f")</f>
        <v>42360</v>
      </c>
      <c r="S60" s="47">
        <f>_xll.qlTenorBasisValue($P$3,R60,AllTriggers)</f>
        <v>2.657593810099589E-4</v>
      </c>
      <c r="T60" s="41">
        <f>_xll.qlDayCounterYearFraction("actual/365 (fixed)",SettlementDate,R60,,,Trigger)</f>
        <v>0.22191780821917809</v>
      </c>
      <c r="U60" s="47">
        <f>_xll.qlPolynomialFunctionValue($P$18,T60,AllTriggers)</f>
        <v>2.2241152388433917E-4</v>
      </c>
    </row>
    <row r="61" spans="7:21" x14ac:dyDescent="0.2">
      <c r="R61" s="212">
        <f>_xll.qlCalendarAdvance(Calendar,R60,"1D","f")</f>
        <v>42361</v>
      </c>
      <c r="S61" s="47">
        <f>_xll.qlTenorBasisValue($P$3,R61,AllTriggers)</f>
        <v>2.701270958753168E-4</v>
      </c>
      <c r="T61" s="41">
        <f>_xll.qlDayCounterYearFraction("actual/365 (fixed)",SettlementDate,R61,,,Trigger)</f>
        <v>0.22465753424657534</v>
      </c>
      <c r="U61" s="47">
        <f>_xll.qlPolynomialFunctionValue($P$18,T61,AllTriggers)</f>
        <v>2.2285631011090582E-4</v>
      </c>
    </row>
    <row r="62" spans="7:21" x14ac:dyDescent="0.2">
      <c r="R62" s="212">
        <f>_xll.qlCalendarAdvance(Calendar,R61,"1D","f")</f>
        <v>42362</v>
      </c>
      <c r="S62" s="47">
        <f>_xll.qlTenorBasisValue($P$3,R62,AllTriggers)</f>
        <v>2.7478154856688689E-4</v>
      </c>
      <c r="T62" s="41">
        <f>_xll.qlDayCounterYearFraction("actual/365 (fixed)",SettlementDate,R62,,,Trigger)</f>
        <v>0.22739726027397261</v>
      </c>
      <c r="U62" s="47">
        <f>_xll.qlPolynomialFunctionValue($P$18,T62,AllTriggers)</f>
        <v>2.2348619724145934E-4</v>
      </c>
    </row>
    <row r="63" spans="7:21" x14ac:dyDescent="0.2">
      <c r="R63" s="212">
        <f>_xll.qlCalendarAdvance(Calendar,R62,"1D","f")</f>
        <v>42366</v>
      </c>
      <c r="S63" s="47">
        <f>_xll.qlTenorBasisValue($P$3,R63,AllTriggers)</f>
        <v>2.96396085512216E-4</v>
      </c>
      <c r="T63" s="41">
        <f>_xll.qlDayCounterYearFraction("actual/365 (fixed)",SettlementDate,R63,,,Trigger)</f>
        <v>0.23835616438356164</v>
      </c>
      <c r="U63" s="47">
        <f>_xll.qlPolynomialFunctionValue($P$18,T63,AllTriggers)</f>
        <v>2.2798610272047124E-4</v>
      </c>
    </row>
    <row r="64" spans="7:21" x14ac:dyDescent="0.2">
      <c r="R64" s="212">
        <f>_xll.qlCalendarAdvance(Calendar,R63,"1D","f")</f>
        <v>42367</v>
      </c>
      <c r="S64" s="47">
        <f>_xll.qlTenorBasisValue($P$3,R64,AllTriggers)</f>
        <v>3.0258123827254255E-4</v>
      </c>
      <c r="T64" s="41">
        <f>_xll.qlDayCounterYearFraction("actual/365 (fixed)",SettlementDate,R64,,,Trigger)</f>
        <v>0.24109589041095891</v>
      </c>
      <c r="U64" s="47">
        <f>_xll.qlPolynomialFunctionValue($P$18,T64,AllTriggers)</f>
        <v>2.2963850530865592E-4</v>
      </c>
    </row>
    <row r="65" spans="18:21" x14ac:dyDescent="0.2">
      <c r="R65" s="212">
        <f>_xll.qlCalendarAdvance(Calendar,R64,"1D","f")</f>
        <v>42368</v>
      </c>
      <c r="S65" s="47">
        <f>_xll.qlTenorBasisValue($P$3,R65,AllTriggers)</f>
        <v>3.0909193323415971E-4</v>
      </c>
      <c r="T65" s="41">
        <f>_xll.qlDayCounterYearFraction("actual/365 (fixed)",SettlementDate,R65,,,Trigger)</f>
        <v>0.24383561643835616</v>
      </c>
      <c r="U65" s="47">
        <f>_xll.qlPolynomialFunctionValue($P$18,T65,AllTriggers)</f>
        <v>2.31514813175906E-4</v>
      </c>
    </row>
    <row r="66" spans="18:21" x14ac:dyDescent="0.2">
      <c r="R66" s="212">
        <f>_xll.qlCalendarAdvance(Calendar,R65,"1D","f")</f>
        <v>42369</v>
      </c>
      <c r="S66" s="47">
        <f>_xll.qlTenorBasisValue($P$3,R66,AllTriggers)</f>
        <v>3.1593463779291356E-4</v>
      </c>
      <c r="T66" s="41">
        <f>_xll.qlDayCounterYearFraction("actual/365 (fixed)",SettlementDate,R66,,,Trigger)</f>
        <v>0.24657534246575341</v>
      </c>
      <c r="U66" s="47">
        <f>_xll.qlPolynomialFunctionValue($P$18,T66,AllTriggers)</f>
        <v>2.3362149371806767E-4</v>
      </c>
    </row>
    <row r="67" spans="18:21" x14ac:dyDescent="0.2">
      <c r="R67" s="212">
        <f>_xll.qlCalendarAdvance(Calendar,R66,"1D","f")</f>
        <v>42373</v>
      </c>
      <c r="S67" s="47">
        <f>_xll.qlTenorBasisValue($P$3,R67,AllTriggers)</f>
        <v>3.4675489991622661E-4</v>
      </c>
      <c r="T67" s="41">
        <f>_xll.qlDayCounterYearFraction("actual/365 (fixed)",SettlementDate,R67,,,Trigger)</f>
        <v>0.25753424657534246</v>
      </c>
      <c r="U67" s="47">
        <f>_xll.qlPolynomialFunctionValue($P$18,T67,AllTriggers)</f>
        <v>2.4448129055276171E-4</v>
      </c>
    </row>
    <row r="68" spans="18:21" x14ac:dyDescent="0.2">
      <c r="R68" s="212">
        <f>_xll.qlCalendarAdvance(Calendar,R67,"1D","f")</f>
        <v>42374</v>
      </c>
      <c r="S68" s="47">
        <f>_xll.qlTenorBasisValue($P$3,R68,AllTriggers)</f>
        <v>3.5535466339836142E-4</v>
      </c>
      <c r="T68" s="41">
        <f>_xll.qlDayCounterYearFraction("actual/365 (fixed)",SettlementDate,R68,,,Trigger)</f>
        <v>0.26027397260273971</v>
      </c>
      <c r="U68" s="47">
        <f>_xll.qlPolynomialFunctionValue($P$18,T68,AllTriggers)</f>
        <v>2.4783684540717892E-4</v>
      </c>
    </row>
    <row r="69" spans="18:21" x14ac:dyDescent="0.2">
      <c r="R69" s="212">
        <f>_xll.qlCalendarAdvance(Calendar,R68,"1D","f")</f>
        <v>42375</v>
      </c>
      <c r="S69" s="47">
        <f>_xll.qlTenorBasisValue($P$3,R69,AllTriggers)</f>
        <v>3.6432524085271134E-4</v>
      </c>
      <c r="T69" s="41">
        <f>_xll.qlDayCounterYearFraction("actual/365 (fixed)",SettlementDate,R69,,,Trigger)</f>
        <v>0.26301369863013696</v>
      </c>
      <c r="U69" s="47">
        <f>_xll.qlPolynomialFunctionValue($P$18,T69,AllTriggers)</f>
        <v>2.5146157731158615E-4</v>
      </c>
    </row>
    <row r="70" spans="18:21" x14ac:dyDescent="0.2">
      <c r="R70" s="213">
        <f>_xll.qlCalendarAdvance(Calendar,R69,"1D","f")</f>
        <v>42376</v>
      </c>
      <c r="S70" s="50">
        <f>_xll.qlTenorBasisValue($P$3,R70,AllTriggers)</f>
        <v>3.7367309967512301E-4</v>
      </c>
      <c r="T70" s="44">
        <f>_xll.qlDayCounterYearFraction("actual/365 (fixed)",SettlementDate,R70,,,Trigger)</f>
        <v>0.26575342465753427</v>
      </c>
      <c r="U70" s="50">
        <f>_xll.qlPolynomialFunctionValue($P$18,T70,AllTriggers)</f>
        <v>2.5536195366183034E-4</v>
      </c>
    </row>
    <row r="71" spans="18:21" x14ac:dyDescent="0.2">
      <c r="R71" s="61"/>
    </row>
    <row r="72" spans="18:21" x14ac:dyDescent="0.2">
      <c r="R72" s="61"/>
    </row>
    <row r="73" spans="18:21" x14ac:dyDescent="0.2">
      <c r="R73" s="61"/>
    </row>
    <row r="74" spans="18:21" x14ac:dyDescent="0.2">
      <c r="R74" s="61"/>
    </row>
    <row r="75" spans="18:21" x14ac:dyDescent="0.2">
      <c r="R75" s="61"/>
    </row>
    <row r="76" spans="18:21" x14ac:dyDescent="0.2">
      <c r="R76" s="61"/>
    </row>
    <row r="77" spans="18:21" x14ac:dyDescent="0.2">
      <c r="R77" s="61"/>
    </row>
    <row r="78" spans="18:21" x14ac:dyDescent="0.2">
      <c r="R78" s="61"/>
    </row>
    <row r="79" spans="18:21" x14ac:dyDescent="0.2">
      <c r="R79" s="61"/>
    </row>
    <row r="80" spans="18:21" x14ac:dyDescent="0.2">
      <c r="R80" s="61"/>
    </row>
    <row r="81" spans="18:18" x14ac:dyDescent="0.2">
      <c r="R81" s="61"/>
    </row>
    <row r="82" spans="18:18" x14ac:dyDescent="0.2">
      <c r="R82" s="61"/>
    </row>
    <row r="83" spans="18:18" x14ac:dyDescent="0.2">
      <c r="R83" s="61"/>
    </row>
    <row r="84" spans="18:18" x14ac:dyDescent="0.2">
      <c r="R84" s="61"/>
    </row>
    <row r="85" spans="18:18" x14ac:dyDescent="0.2">
      <c r="R85" s="61"/>
    </row>
    <row r="86" spans="18:18" x14ac:dyDescent="0.2">
      <c r="R86" s="61"/>
    </row>
    <row r="87" spans="18:18" x14ac:dyDescent="0.2">
      <c r="R87" s="61"/>
    </row>
    <row r="88" spans="18:18" x14ac:dyDescent="0.2">
      <c r="R88" s="61"/>
    </row>
    <row r="89" spans="18:18" x14ac:dyDescent="0.2">
      <c r="R89" s="61"/>
    </row>
    <row r="90" spans="18:18" x14ac:dyDescent="0.2">
      <c r="R90" s="61"/>
    </row>
    <row r="91" spans="18:18" x14ac:dyDescent="0.2">
      <c r="R91" s="61"/>
    </row>
    <row r="92" spans="18:18" x14ac:dyDescent="0.2">
      <c r="R92" s="61"/>
    </row>
    <row r="93" spans="18:18" x14ac:dyDescent="0.2">
      <c r="R93" s="61"/>
    </row>
    <row r="94" spans="18:18" x14ac:dyDescent="0.2">
      <c r="R94" s="61"/>
    </row>
    <row r="95" spans="18:18" x14ac:dyDescent="0.2">
      <c r="R95" s="61"/>
    </row>
    <row r="96" spans="18:18" x14ac:dyDescent="0.2">
      <c r="R96" s="61"/>
    </row>
    <row r="97" spans="18:18" x14ac:dyDescent="0.2">
      <c r="R97" s="61"/>
    </row>
    <row r="98" spans="18:18" x14ac:dyDescent="0.2">
      <c r="R98" s="61"/>
    </row>
    <row r="99" spans="18:18" x14ac:dyDescent="0.2">
      <c r="R99" s="61"/>
    </row>
    <row r="100" spans="18:18" x14ac:dyDescent="0.2">
      <c r="R100" s="61"/>
    </row>
    <row r="101" spans="18:18" x14ac:dyDescent="0.2">
      <c r="R101" s="61"/>
    </row>
    <row r="102" spans="18:18" x14ac:dyDescent="0.2">
      <c r="R102" s="61"/>
    </row>
    <row r="103" spans="18:18" x14ac:dyDescent="0.2">
      <c r="R103" s="61"/>
    </row>
    <row r="104" spans="18:18" x14ac:dyDescent="0.2">
      <c r="R104" s="61"/>
    </row>
    <row r="105" spans="18:18" x14ac:dyDescent="0.2">
      <c r="R105" s="61"/>
    </row>
    <row r="106" spans="18:18" x14ac:dyDescent="0.2">
      <c r="R106" s="61"/>
    </row>
    <row r="107" spans="18:18" x14ac:dyDescent="0.2">
      <c r="R107" s="61"/>
    </row>
    <row r="108" spans="18:18" x14ac:dyDescent="0.2">
      <c r="R108" s="61"/>
    </row>
    <row r="109" spans="18:18" x14ac:dyDescent="0.2">
      <c r="R109" s="61"/>
    </row>
    <row r="110" spans="18:18" x14ac:dyDescent="0.2">
      <c r="R110" s="61"/>
    </row>
    <row r="111" spans="18:18" x14ac:dyDescent="0.2">
      <c r="R111" s="61"/>
    </row>
    <row r="112" spans="18:18" x14ac:dyDescent="0.2">
      <c r="R112" s="61"/>
    </row>
    <row r="113" spans="18:18" x14ac:dyDescent="0.2">
      <c r="R113" s="61"/>
    </row>
    <row r="114" spans="18:18" x14ac:dyDescent="0.2">
      <c r="R114" s="61"/>
    </row>
    <row r="115" spans="18:18" x14ac:dyDescent="0.2">
      <c r="R115" s="61"/>
    </row>
    <row r="116" spans="18:18" x14ac:dyDescent="0.2">
      <c r="R116" s="61"/>
    </row>
    <row r="117" spans="18:18" x14ac:dyDescent="0.2">
      <c r="R117" s="61"/>
    </row>
    <row r="118" spans="18:18" x14ac:dyDescent="0.2">
      <c r="R118" s="61"/>
    </row>
    <row r="119" spans="18:18" x14ac:dyDescent="0.2">
      <c r="R119" s="61"/>
    </row>
    <row r="120" spans="18:18" x14ac:dyDescent="0.2">
      <c r="R120" s="61"/>
    </row>
    <row r="121" spans="18:18" x14ac:dyDescent="0.2">
      <c r="R121" s="61"/>
    </row>
    <row r="122" spans="18:18" x14ac:dyDescent="0.2">
      <c r="R122" s="61"/>
    </row>
    <row r="123" spans="18:18" x14ac:dyDescent="0.2">
      <c r="R123" s="61"/>
    </row>
    <row r="124" spans="18:18" x14ac:dyDescent="0.2">
      <c r="R124" s="61"/>
    </row>
    <row r="125" spans="18:18" x14ac:dyDescent="0.2">
      <c r="R125" s="61"/>
    </row>
    <row r="126" spans="18:18" x14ac:dyDescent="0.2">
      <c r="R126" s="61"/>
    </row>
    <row r="127" spans="18:18" x14ac:dyDescent="0.2">
      <c r="R127" s="61"/>
    </row>
    <row r="128" spans="18:18" x14ac:dyDescent="0.2">
      <c r="R128" s="61"/>
    </row>
    <row r="129" spans="18:18" x14ac:dyDescent="0.2">
      <c r="R129" s="61"/>
    </row>
    <row r="130" spans="18:18" x14ac:dyDescent="0.2">
      <c r="R130" s="61"/>
    </row>
    <row r="131" spans="18:18" x14ac:dyDescent="0.2">
      <c r="R131" s="61"/>
    </row>
    <row r="132" spans="18:18" x14ac:dyDescent="0.2">
      <c r="R132" s="61"/>
    </row>
    <row r="133" spans="18:18" x14ac:dyDescent="0.2">
      <c r="R133" s="61"/>
    </row>
    <row r="134" spans="18:18" x14ac:dyDescent="0.2">
      <c r="R134" s="61"/>
    </row>
    <row r="135" spans="18:18" x14ac:dyDescent="0.2">
      <c r="R135" s="61"/>
    </row>
    <row r="136" spans="18:18" x14ac:dyDescent="0.2">
      <c r="R136" s="61"/>
    </row>
    <row r="137" spans="18:18" x14ac:dyDescent="0.2">
      <c r="R137" s="61"/>
    </row>
    <row r="138" spans="18:18" x14ac:dyDescent="0.2">
      <c r="R138" s="61"/>
    </row>
    <row r="139" spans="18:18" x14ac:dyDescent="0.2">
      <c r="R139" s="61"/>
    </row>
    <row r="140" spans="18:18" x14ac:dyDescent="0.2">
      <c r="R140" s="61"/>
    </row>
    <row r="141" spans="18:18" x14ac:dyDescent="0.2">
      <c r="R141" s="61"/>
    </row>
    <row r="142" spans="18:18" x14ac:dyDescent="0.2">
      <c r="R142" s="61"/>
    </row>
    <row r="143" spans="18:18" x14ac:dyDescent="0.2">
      <c r="R143" s="61"/>
    </row>
    <row r="144" spans="18:18" x14ac:dyDescent="0.2">
      <c r="R144" s="61"/>
    </row>
    <row r="145" spans="18:18" x14ac:dyDescent="0.2">
      <c r="R145" s="61"/>
    </row>
    <row r="146" spans="18:18" x14ac:dyDescent="0.2">
      <c r="R146" s="61"/>
    </row>
    <row r="147" spans="18:18" x14ac:dyDescent="0.2">
      <c r="R147" s="61"/>
    </row>
    <row r="148" spans="18:18" x14ac:dyDescent="0.2">
      <c r="R148" s="61"/>
    </row>
    <row r="149" spans="18:18" x14ac:dyDescent="0.2">
      <c r="R149" s="61"/>
    </row>
    <row r="150" spans="18:18" x14ac:dyDescent="0.2">
      <c r="R150" s="61"/>
    </row>
    <row r="151" spans="18:18" x14ac:dyDescent="0.2">
      <c r="R151" s="61"/>
    </row>
    <row r="152" spans="18:18" x14ac:dyDescent="0.2">
      <c r="R152" s="61"/>
    </row>
    <row r="153" spans="18:18" x14ac:dyDescent="0.2">
      <c r="R153" s="61"/>
    </row>
    <row r="154" spans="18:18" x14ac:dyDescent="0.2">
      <c r="R154" s="61"/>
    </row>
    <row r="155" spans="18:18" x14ac:dyDescent="0.2">
      <c r="R155" s="61"/>
    </row>
    <row r="156" spans="18:18" x14ac:dyDescent="0.2">
      <c r="R156" s="61"/>
    </row>
    <row r="157" spans="18:18" x14ac:dyDescent="0.2">
      <c r="R157" s="61"/>
    </row>
    <row r="158" spans="18:18" x14ac:dyDescent="0.2">
      <c r="R158" s="61"/>
    </row>
    <row r="159" spans="18:18" x14ac:dyDescent="0.2">
      <c r="R159" s="61"/>
    </row>
    <row r="160" spans="18:18" x14ac:dyDescent="0.2">
      <c r="R160" s="61"/>
    </row>
    <row r="161" spans="18:18" x14ac:dyDescent="0.2">
      <c r="R161" s="61"/>
    </row>
    <row r="162" spans="18:18" x14ac:dyDescent="0.2">
      <c r="R162" s="61"/>
    </row>
    <row r="163" spans="18:18" x14ac:dyDescent="0.2">
      <c r="R163" s="61"/>
    </row>
    <row r="164" spans="18:18" x14ac:dyDescent="0.2">
      <c r="R164" s="61"/>
    </row>
    <row r="165" spans="18:18" x14ac:dyDescent="0.2">
      <c r="R165" s="61"/>
    </row>
    <row r="166" spans="18:18" x14ac:dyDescent="0.2">
      <c r="R166" s="61"/>
    </row>
    <row r="167" spans="18:18" x14ac:dyDescent="0.2">
      <c r="R167" s="61"/>
    </row>
    <row r="168" spans="18:18" x14ac:dyDescent="0.2">
      <c r="R168" s="61"/>
    </row>
    <row r="169" spans="18:18" x14ac:dyDescent="0.2">
      <c r="R169" s="61"/>
    </row>
    <row r="170" spans="18:18" x14ac:dyDescent="0.2">
      <c r="R170" s="61"/>
    </row>
    <row r="171" spans="18:18" x14ac:dyDescent="0.2">
      <c r="R171" s="61"/>
    </row>
    <row r="172" spans="18:18" x14ac:dyDescent="0.2">
      <c r="R172" s="61"/>
    </row>
    <row r="173" spans="18:18" x14ac:dyDescent="0.2">
      <c r="R173" s="61"/>
    </row>
    <row r="174" spans="18:18" x14ac:dyDescent="0.2">
      <c r="R174" s="61"/>
    </row>
    <row r="175" spans="18:18" x14ac:dyDescent="0.2">
      <c r="R175" s="61"/>
    </row>
    <row r="176" spans="18:18" x14ac:dyDescent="0.2">
      <c r="R176" s="61"/>
    </row>
    <row r="177" spans="18:18" x14ac:dyDescent="0.2">
      <c r="R177" s="61"/>
    </row>
    <row r="178" spans="18:18" x14ac:dyDescent="0.2">
      <c r="R178" s="61"/>
    </row>
    <row r="179" spans="18:18" x14ac:dyDescent="0.2">
      <c r="R179" s="61"/>
    </row>
    <row r="180" spans="18:18" x14ac:dyDescent="0.2">
      <c r="R180" s="61"/>
    </row>
    <row r="181" spans="18:18" x14ac:dyDescent="0.2">
      <c r="R181" s="61"/>
    </row>
    <row r="182" spans="18:18" x14ac:dyDescent="0.2">
      <c r="R182" s="61"/>
    </row>
    <row r="183" spans="18:18" x14ac:dyDescent="0.2">
      <c r="R183" s="61"/>
    </row>
    <row r="184" spans="18:18" x14ac:dyDescent="0.2">
      <c r="R184" s="61"/>
    </row>
    <row r="185" spans="18:18" x14ac:dyDescent="0.2">
      <c r="R185" s="61"/>
    </row>
    <row r="186" spans="18:18" x14ac:dyDescent="0.2">
      <c r="R186" s="61"/>
    </row>
    <row r="187" spans="18:18" x14ac:dyDescent="0.2">
      <c r="R187" s="61"/>
    </row>
    <row r="188" spans="18:18" x14ac:dyDescent="0.2">
      <c r="R188" s="61"/>
    </row>
    <row r="189" spans="18:18" x14ac:dyDescent="0.2">
      <c r="R189" s="61"/>
    </row>
    <row r="190" spans="18:18" x14ac:dyDescent="0.2">
      <c r="R190" s="61"/>
    </row>
    <row r="191" spans="18:18" x14ac:dyDescent="0.2">
      <c r="R191" s="61"/>
    </row>
    <row r="192" spans="18:18" x14ac:dyDescent="0.2">
      <c r="R192" s="61"/>
    </row>
    <row r="193" spans="18:18" x14ac:dyDescent="0.2">
      <c r="R193" s="61"/>
    </row>
    <row r="194" spans="18:18" x14ac:dyDescent="0.2">
      <c r="R194" s="61"/>
    </row>
    <row r="195" spans="18:18" x14ac:dyDescent="0.2">
      <c r="R195" s="61"/>
    </row>
    <row r="196" spans="18:18" x14ac:dyDescent="0.2">
      <c r="R196" s="61"/>
    </row>
    <row r="197" spans="18:18" x14ac:dyDescent="0.2">
      <c r="R197" s="61"/>
    </row>
    <row r="198" spans="18:18" x14ac:dyDescent="0.2">
      <c r="R198" s="61"/>
    </row>
    <row r="199" spans="18:18" x14ac:dyDescent="0.2">
      <c r="R199" s="61"/>
    </row>
    <row r="200" spans="18:18" x14ac:dyDescent="0.2">
      <c r="R200" s="61"/>
    </row>
    <row r="201" spans="18:18" x14ac:dyDescent="0.2">
      <c r="R201" s="61"/>
    </row>
    <row r="202" spans="18:18" x14ac:dyDescent="0.2">
      <c r="R202" s="61"/>
    </row>
    <row r="203" spans="18:18" x14ac:dyDescent="0.2">
      <c r="R203" s="61"/>
    </row>
    <row r="204" spans="18:18" x14ac:dyDescent="0.2">
      <c r="R204" s="61"/>
    </row>
    <row r="205" spans="18:18" x14ac:dyDescent="0.2">
      <c r="R205" s="61"/>
    </row>
    <row r="206" spans="18:18" x14ac:dyDescent="0.2">
      <c r="R206" s="61"/>
    </row>
    <row r="207" spans="18:18" x14ac:dyDescent="0.2">
      <c r="R207" s="61"/>
    </row>
    <row r="208" spans="18:18" x14ac:dyDescent="0.2">
      <c r="R208" s="61"/>
    </row>
    <row r="209" spans="18:18" x14ac:dyDescent="0.2">
      <c r="R209" s="61"/>
    </row>
    <row r="210" spans="18:18" x14ac:dyDescent="0.2">
      <c r="R210" s="61"/>
    </row>
    <row r="211" spans="18:18" x14ac:dyDescent="0.2">
      <c r="R211" s="61"/>
    </row>
    <row r="212" spans="18:18" x14ac:dyDescent="0.2">
      <c r="R212" s="61"/>
    </row>
    <row r="213" spans="18:18" x14ac:dyDescent="0.2">
      <c r="R213" s="61"/>
    </row>
    <row r="214" spans="18:18" x14ac:dyDescent="0.2">
      <c r="R214" s="61"/>
    </row>
    <row r="215" spans="18:18" x14ac:dyDescent="0.2">
      <c r="R215" s="61"/>
    </row>
    <row r="216" spans="18:18" x14ac:dyDescent="0.2">
      <c r="R216" s="61"/>
    </row>
    <row r="217" spans="18:18" x14ac:dyDescent="0.2">
      <c r="R217" s="61"/>
    </row>
    <row r="218" spans="18:18" x14ac:dyDescent="0.2">
      <c r="R218" s="61"/>
    </row>
    <row r="219" spans="18:18" x14ac:dyDescent="0.2">
      <c r="R219" s="61"/>
    </row>
    <row r="220" spans="18:18" x14ac:dyDescent="0.2">
      <c r="R220" s="61"/>
    </row>
    <row r="221" spans="18:18" x14ac:dyDescent="0.2">
      <c r="R221" s="61"/>
    </row>
    <row r="222" spans="18:18" x14ac:dyDescent="0.2">
      <c r="R222" s="61"/>
    </row>
    <row r="223" spans="18:18" x14ac:dyDescent="0.2">
      <c r="R223" s="61"/>
    </row>
    <row r="224" spans="18:18" x14ac:dyDescent="0.2">
      <c r="R224" s="61"/>
    </row>
    <row r="225" spans="18:18" x14ac:dyDescent="0.2">
      <c r="R225" s="61"/>
    </row>
    <row r="226" spans="18:18" x14ac:dyDescent="0.2">
      <c r="R226" s="61"/>
    </row>
    <row r="227" spans="18:18" x14ac:dyDescent="0.2">
      <c r="R227" s="61"/>
    </row>
    <row r="228" spans="18:18" x14ac:dyDescent="0.2">
      <c r="R228" s="61"/>
    </row>
    <row r="229" spans="18:18" x14ac:dyDescent="0.2">
      <c r="R229" s="61"/>
    </row>
    <row r="230" spans="18:18" x14ac:dyDescent="0.2">
      <c r="R230" s="61"/>
    </row>
    <row r="231" spans="18:18" x14ac:dyDescent="0.2">
      <c r="R231" s="61"/>
    </row>
    <row r="232" spans="18:18" x14ac:dyDescent="0.2">
      <c r="R232" s="61"/>
    </row>
    <row r="233" spans="18:18" x14ac:dyDescent="0.2">
      <c r="R233" s="61"/>
    </row>
    <row r="234" spans="18:18" x14ac:dyDescent="0.2">
      <c r="R234" s="61"/>
    </row>
    <row r="235" spans="18:18" x14ac:dyDescent="0.2">
      <c r="R235" s="61"/>
    </row>
    <row r="236" spans="18:18" x14ac:dyDescent="0.2">
      <c r="R236" s="61"/>
    </row>
    <row r="237" spans="18:18" x14ac:dyDescent="0.2">
      <c r="R237" s="61"/>
    </row>
    <row r="238" spans="18:18" x14ac:dyDescent="0.2">
      <c r="R238" s="61"/>
    </row>
    <row r="239" spans="18:18" x14ac:dyDescent="0.2">
      <c r="R239" s="61"/>
    </row>
    <row r="240" spans="18:18" x14ac:dyDescent="0.2">
      <c r="R240" s="61"/>
    </row>
    <row r="241" spans="18:18" x14ac:dyDescent="0.2">
      <c r="R241" s="61"/>
    </row>
    <row r="242" spans="18:18" x14ac:dyDescent="0.2">
      <c r="R242" s="61"/>
    </row>
    <row r="243" spans="18:18" x14ac:dyDescent="0.2">
      <c r="R243" s="61"/>
    </row>
    <row r="244" spans="18:18" x14ac:dyDescent="0.2">
      <c r="R244" s="61"/>
    </row>
    <row r="245" spans="18:18" x14ac:dyDescent="0.2">
      <c r="R245" s="61"/>
    </row>
    <row r="246" spans="18:18" x14ac:dyDescent="0.2">
      <c r="R246" s="61"/>
    </row>
    <row r="247" spans="18:18" x14ac:dyDescent="0.2">
      <c r="R247" s="61"/>
    </row>
    <row r="248" spans="18:18" x14ac:dyDescent="0.2">
      <c r="R248" s="61"/>
    </row>
    <row r="249" spans="18:18" x14ac:dyDescent="0.2">
      <c r="R249" s="61"/>
    </row>
    <row r="250" spans="18:18" x14ac:dyDescent="0.2">
      <c r="R250" s="61"/>
    </row>
    <row r="251" spans="18:18" x14ac:dyDescent="0.2">
      <c r="R251" s="61"/>
    </row>
    <row r="252" spans="18:18" x14ac:dyDescent="0.2">
      <c r="R252" s="61"/>
    </row>
    <row r="253" spans="18:18" x14ac:dyDescent="0.2">
      <c r="R253" s="61"/>
    </row>
    <row r="254" spans="18:18" x14ac:dyDescent="0.2">
      <c r="R254" s="61"/>
    </row>
    <row r="255" spans="18:18" x14ac:dyDescent="0.2">
      <c r="R255" s="61"/>
    </row>
    <row r="256" spans="18:18" x14ac:dyDescent="0.2">
      <c r="R256" s="61"/>
    </row>
    <row r="257" spans="18:18" x14ac:dyDescent="0.2">
      <c r="R257" s="61"/>
    </row>
    <row r="258" spans="18:18" x14ac:dyDescent="0.2">
      <c r="R258" s="61"/>
    </row>
    <row r="259" spans="18:18" x14ac:dyDescent="0.2">
      <c r="R259" s="61"/>
    </row>
    <row r="260" spans="18:18" x14ac:dyDescent="0.2">
      <c r="R260" s="61"/>
    </row>
    <row r="261" spans="18:18" x14ac:dyDescent="0.2">
      <c r="R261" s="61"/>
    </row>
    <row r="262" spans="18:18" x14ac:dyDescent="0.2">
      <c r="R262" s="61"/>
    </row>
    <row r="263" spans="18:18" x14ac:dyDescent="0.2">
      <c r="R263" s="61"/>
    </row>
    <row r="264" spans="18:18" x14ac:dyDescent="0.2">
      <c r="R264" s="61"/>
    </row>
    <row r="265" spans="18:18" x14ac:dyDescent="0.2">
      <c r="R265" s="61"/>
    </row>
    <row r="266" spans="18:18" x14ac:dyDescent="0.2">
      <c r="R266" s="61"/>
    </row>
    <row r="267" spans="18:18" x14ac:dyDescent="0.2">
      <c r="R267" s="61"/>
    </row>
    <row r="268" spans="18:18" x14ac:dyDescent="0.2">
      <c r="R268" s="61"/>
    </row>
    <row r="269" spans="18:18" x14ac:dyDescent="0.2">
      <c r="R269" s="61"/>
    </row>
    <row r="270" spans="18:18" x14ac:dyDescent="0.2">
      <c r="R270" s="61"/>
    </row>
    <row r="271" spans="18:18" x14ac:dyDescent="0.2">
      <c r="R271" s="61"/>
    </row>
    <row r="272" spans="18:18" x14ac:dyDescent="0.2">
      <c r="R272" s="61"/>
    </row>
    <row r="273" spans="18:18" x14ac:dyDescent="0.2">
      <c r="R273" s="61"/>
    </row>
    <row r="274" spans="18:18" x14ac:dyDescent="0.2">
      <c r="R274" s="61"/>
    </row>
    <row r="275" spans="18:18" x14ac:dyDescent="0.2">
      <c r="R275" s="61"/>
    </row>
    <row r="276" spans="18:18" x14ac:dyDescent="0.2">
      <c r="R276" s="61"/>
    </row>
    <row r="277" spans="18:18" x14ac:dyDescent="0.2">
      <c r="R277" s="61"/>
    </row>
    <row r="278" spans="18:18" x14ac:dyDescent="0.2">
      <c r="R278" s="61"/>
    </row>
    <row r="279" spans="18:18" x14ac:dyDescent="0.2">
      <c r="R279" s="61"/>
    </row>
    <row r="280" spans="18:18" x14ac:dyDescent="0.2">
      <c r="R280" s="61"/>
    </row>
    <row r="281" spans="18:18" x14ac:dyDescent="0.2">
      <c r="R281" s="61"/>
    </row>
    <row r="282" spans="18:18" x14ac:dyDescent="0.2">
      <c r="R282" s="61"/>
    </row>
    <row r="283" spans="18:18" x14ac:dyDescent="0.2">
      <c r="R283" s="61"/>
    </row>
    <row r="284" spans="18:18" x14ac:dyDescent="0.2">
      <c r="R284" s="61"/>
    </row>
    <row r="285" spans="18:18" x14ac:dyDescent="0.2">
      <c r="R285" s="61"/>
    </row>
    <row r="286" spans="18:18" x14ac:dyDescent="0.2">
      <c r="R286" s="61"/>
    </row>
    <row r="287" spans="18:18" x14ac:dyDescent="0.2">
      <c r="R287" s="61"/>
    </row>
    <row r="288" spans="18:18" x14ac:dyDescent="0.2">
      <c r="R288" s="61"/>
    </row>
    <row r="289" spans="18:18" x14ac:dyDescent="0.2">
      <c r="R289" s="61"/>
    </row>
    <row r="290" spans="18:18" x14ac:dyDescent="0.2">
      <c r="R290" s="61"/>
    </row>
    <row r="291" spans="18:18" x14ac:dyDescent="0.2">
      <c r="R291" s="61"/>
    </row>
    <row r="292" spans="18:18" x14ac:dyDescent="0.2">
      <c r="R292" s="61"/>
    </row>
    <row r="293" spans="18:18" x14ac:dyDescent="0.2">
      <c r="R293" s="61"/>
    </row>
    <row r="294" spans="18:18" x14ac:dyDescent="0.2">
      <c r="R294" s="61"/>
    </row>
    <row r="295" spans="18:18" x14ac:dyDescent="0.2">
      <c r="R295" s="61"/>
    </row>
    <row r="296" spans="18:18" x14ac:dyDescent="0.2">
      <c r="R296" s="61"/>
    </row>
    <row r="297" spans="18:18" x14ac:dyDescent="0.2">
      <c r="R297" s="61"/>
    </row>
    <row r="298" spans="18:18" x14ac:dyDescent="0.2">
      <c r="R298" s="61"/>
    </row>
    <row r="299" spans="18:18" x14ac:dyDescent="0.2">
      <c r="R299" s="61"/>
    </row>
    <row r="300" spans="18:18" x14ac:dyDescent="0.2">
      <c r="R300" s="61"/>
    </row>
    <row r="301" spans="18:18" x14ac:dyDescent="0.2">
      <c r="R301" s="61"/>
    </row>
    <row r="302" spans="18:18" x14ac:dyDescent="0.2">
      <c r="R302" s="61"/>
    </row>
    <row r="303" spans="18:18" x14ac:dyDescent="0.2">
      <c r="R303" s="61"/>
    </row>
    <row r="304" spans="18:18" x14ac:dyDescent="0.2">
      <c r="R304" s="61"/>
    </row>
    <row r="305" spans="18:18" x14ac:dyDescent="0.2">
      <c r="R305" s="61"/>
    </row>
    <row r="306" spans="18:18" x14ac:dyDescent="0.2">
      <c r="R306" s="61"/>
    </row>
    <row r="307" spans="18:18" x14ac:dyDescent="0.2">
      <c r="R307" s="61"/>
    </row>
    <row r="308" spans="18:18" x14ac:dyDescent="0.2">
      <c r="R308" s="61"/>
    </row>
    <row r="309" spans="18:18" x14ac:dyDescent="0.2">
      <c r="R309" s="61"/>
    </row>
    <row r="310" spans="18:18" x14ac:dyDescent="0.2">
      <c r="R310" s="61"/>
    </row>
    <row r="311" spans="18:18" x14ac:dyDescent="0.2">
      <c r="R311" s="61"/>
    </row>
    <row r="312" spans="18:18" x14ac:dyDescent="0.2">
      <c r="R312" s="61"/>
    </row>
    <row r="313" spans="18:18" x14ac:dyDescent="0.2">
      <c r="R313" s="61"/>
    </row>
    <row r="314" spans="18:18" x14ac:dyDescent="0.2">
      <c r="R314" s="61"/>
    </row>
    <row r="315" spans="18:18" x14ac:dyDescent="0.2">
      <c r="R315" s="61"/>
    </row>
    <row r="316" spans="18:18" x14ac:dyDescent="0.2">
      <c r="R316" s="61"/>
    </row>
    <row r="317" spans="18:18" x14ac:dyDescent="0.2">
      <c r="R317" s="61"/>
    </row>
    <row r="318" spans="18:18" x14ac:dyDescent="0.2">
      <c r="R318" s="61"/>
    </row>
    <row r="319" spans="18:18" x14ac:dyDescent="0.2">
      <c r="R319" s="61"/>
    </row>
    <row r="320" spans="18:18" x14ac:dyDescent="0.2">
      <c r="R320" s="61"/>
    </row>
    <row r="321" spans="18:18" x14ac:dyDescent="0.2">
      <c r="R321" s="61"/>
    </row>
    <row r="322" spans="18:18" x14ac:dyDescent="0.2">
      <c r="R322" s="61"/>
    </row>
    <row r="323" spans="18:18" x14ac:dyDescent="0.2">
      <c r="R323" s="61"/>
    </row>
    <row r="324" spans="18:18" x14ac:dyDescent="0.2">
      <c r="R324" s="61"/>
    </row>
    <row r="325" spans="18:18" x14ac:dyDescent="0.2">
      <c r="R325" s="61"/>
    </row>
    <row r="326" spans="18:18" x14ac:dyDescent="0.2">
      <c r="R326" s="61"/>
    </row>
    <row r="327" spans="18:18" x14ac:dyDescent="0.2">
      <c r="R327" s="61"/>
    </row>
    <row r="328" spans="18:18" x14ac:dyDescent="0.2">
      <c r="R328" s="61"/>
    </row>
    <row r="329" spans="18:18" x14ac:dyDescent="0.2">
      <c r="R329" s="61"/>
    </row>
    <row r="330" spans="18:18" x14ac:dyDescent="0.2">
      <c r="R330" s="61"/>
    </row>
    <row r="331" spans="18:18" x14ac:dyDescent="0.2">
      <c r="R331" s="61"/>
    </row>
    <row r="332" spans="18:18" x14ac:dyDescent="0.2">
      <c r="R332" s="61"/>
    </row>
    <row r="333" spans="18:18" x14ac:dyDescent="0.2">
      <c r="R333" s="61"/>
    </row>
    <row r="334" spans="18:18" x14ac:dyDescent="0.2">
      <c r="R334" s="61"/>
    </row>
    <row r="335" spans="18:18" x14ac:dyDescent="0.2">
      <c r="R335" s="61"/>
    </row>
    <row r="336" spans="18:18" x14ac:dyDescent="0.2">
      <c r="R336" s="61"/>
    </row>
    <row r="337" spans="18:18" x14ac:dyDescent="0.2">
      <c r="R337" s="61"/>
    </row>
    <row r="338" spans="18:18" x14ac:dyDescent="0.2">
      <c r="R338" s="61"/>
    </row>
    <row r="339" spans="18:18" x14ac:dyDescent="0.2">
      <c r="R339" s="61"/>
    </row>
    <row r="340" spans="18:18" x14ac:dyDescent="0.2">
      <c r="R340" s="61"/>
    </row>
    <row r="341" spans="18:18" x14ac:dyDescent="0.2">
      <c r="R341" s="61"/>
    </row>
    <row r="342" spans="18:18" x14ac:dyDescent="0.2">
      <c r="R342" s="61"/>
    </row>
    <row r="343" spans="18:18" x14ac:dyDescent="0.2">
      <c r="R343" s="61"/>
    </row>
    <row r="344" spans="18:18" x14ac:dyDescent="0.2">
      <c r="R344" s="61"/>
    </row>
    <row r="345" spans="18:18" x14ac:dyDescent="0.2">
      <c r="R345" s="61"/>
    </row>
    <row r="346" spans="18:18" x14ac:dyDescent="0.2">
      <c r="R346" s="61"/>
    </row>
    <row r="347" spans="18:18" x14ac:dyDescent="0.2">
      <c r="R347" s="61"/>
    </row>
    <row r="348" spans="18:18" x14ac:dyDescent="0.2">
      <c r="R348" s="61"/>
    </row>
    <row r="349" spans="18:18" x14ac:dyDescent="0.2">
      <c r="R349" s="61"/>
    </row>
    <row r="350" spans="18:18" x14ac:dyDescent="0.2">
      <c r="R350" s="61"/>
    </row>
    <row r="351" spans="18:18" x14ac:dyDescent="0.2">
      <c r="R351" s="61"/>
    </row>
    <row r="352" spans="18:18" x14ac:dyDescent="0.2">
      <c r="R352" s="61"/>
    </row>
    <row r="353" spans="18:18" x14ac:dyDescent="0.2">
      <c r="R353" s="61"/>
    </row>
    <row r="354" spans="18:18" x14ac:dyDescent="0.2">
      <c r="R354" s="61"/>
    </row>
    <row r="355" spans="18:18" x14ac:dyDescent="0.2">
      <c r="R355" s="61"/>
    </row>
    <row r="356" spans="18:18" x14ac:dyDescent="0.2">
      <c r="R356" s="61"/>
    </row>
    <row r="357" spans="18:18" x14ac:dyDescent="0.2">
      <c r="R357" s="61"/>
    </row>
    <row r="358" spans="18:18" x14ac:dyDescent="0.2">
      <c r="R358" s="61"/>
    </row>
    <row r="359" spans="18:18" x14ac:dyDescent="0.2">
      <c r="R359" s="61"/>
    </row>
    <row r="360" spans="18:18" x14ac:dyDescent="0.2">
      <c r="R360" s="61"/>
    </row>
    <row r="361" spans="18:18" x14ac:dyDescent="0.2">
      <c r="R361" s="61"/>
    </row>
    <row r="362" spans="18:18" x14ac:dyDescent="0.2">
      <c r="R362" s="61"/>
    </row>
    <row r="363" spans="18:18" x14ac:dyDescent="0.2">
      <c r="R363" s="61"/>
    </row>
    <row r="364" spans="18:18" x14ac:dyDescent="0.2">
      <c r="R364" s="61"/>
    </row>
    <row r="365" spans="18:18" x14ac:dyDescent="0.2">
      <c r="R365" s="61"/>
    </row>
    <row r="366" spans="18:18" x14ac:dyDescent="0.2">
      <c r="R366" s="61"/>
    </row>
    <row r="367" spans="18:18" x14ac:dyDescent="0.2">
      <c r="R367" s="61"/>
    </row>
    <row r="368" spans="18:18" x14ac:dyDescent="0.2">
      <c r="R368" s="61"/>
    </row>
    <row r="369" spans="18:18" x14ac:dyDescent="0.2">
      <c r="R369" s="61"/>
    </row>
    <row r="370" spans="18:18" x14ac:dyDescent="0.2">
      <c r="R370" s="61"/>
    </row>
    <row r="371" spans="18:18" x14ac:dyDescent="0.2">
      <c r="R371" s="61"/>
    </row>
    <row r="372" spans="18:18" x14ac:dyDescent="0.2">
      <c r="R372" s="61"/>
    </row>
    <row r="373" spans="18:18" x14ac:dyDescent="0.2">
      <c r="R373" s="61"/>
    </row>
    <row r="374" spans="18:18" x14ac:dyDescent="0.2">
      <c r="R374" s="61"/>
    </row>
    <row r="375" spans="18:18" x14ac:dyDescent="0.2">
      <c r="R375" s="61"/>
    </row>
    <row r="376" spans="18:18" x14ac:dyDescent="0.2">
      <c r="R376" s="61"/>
    </row>
    <row r="377" spans="18:18" x14ac:dyDescent="0.2">
      <c r="R377" s="61"/>
    </row>
    <row r="378" spans="18:18" x14ac:dyDescent="0.2">
      <c r="R378" s="61"/>
    </row>
    <row r="379" spans="18:18" x14ac:dyDescent="0.2">
      <c r="R379" s="61"/>
    </row>
    <row r="380" spans="18:18" x14ac:dyDescent="0.2">
      <c r="R380" s="61"/>
    </row>
    <row r="381" spans="18:18" x14ac:dyDescent="0.2">
      <c r="R381" s="61"/>
    </row>
    <row r="382" spans="18:18" x14ac:dyDescent="0.2">
      <c r="R382" s="61"/>
    </row>
    <row r="383" spans="18:18" x14ac:dyDescent="0.2">
      <c r="R383" s="61"/>
    </row>
    <row r="384" spans="18:18" x14ac:dyDescent="0.2">
      <c r="R384" s="61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Q154"/>
  <sheetViews>
    <sheetView workbookViewId="0"/>
  </sheetViews>
  <sheetFormatPr defaultColWidth="9.5" defaultRowHeight="11.25" outlineLevelCol="1" x14ac:dyDescent="0.2"/>
  <cols>
    <col min="1" max="2" width="3.5" style="19" customWidth="1"/>
    <col min="3" max="3" width="19.5" style="19" customWidth="1"/>
    <col min="4" max="4" width="17.83203125" style="19" bestFit="1" customWidth="1"/>
    <col min="5" max="5" width="12.83203125" style="19" bestFit="1" customWidth="1"/>
    <col min="6" max="6" width="16.83203125" style="19" customWidth="1"/>
    <col min="7" max="8" width="14.83203125" style="19" customWidth="1"/>
    <col min="9" max="18" width="14.83203125" style="19" hidden="1" customWidth="1" outlineLevel="1"/>
    <col min="19" max="19" width="14.83203125" style="19" customWidth="1" collapsed="1"/>
    <col min="20" max="30" width="14.83203125" style="19" customWidth="1"/>
    <col min="31" max="33" width="5.83203125" style="19" bestFit="1" customWidth="1"/>
    <col min="34" max="34" width="2.33203125" style="19" bestFit="1" customWidth="1"/>
    <col min="35" max="35" width="10.5" style="19" bestFit="1" customWidth="1"/>
    <col min="36" max="36" width="2.33203125" style="19" bestFit="1" customWidth="1" collapsed="1"/>
    <col min="37" max="37" width="9.33203125" style="19" bestFit="1" customWidth="1"/>
    <col min="38" max="38" width="8.1640625" style="19" hidden="1" customWidth="1" outlineLevel="1"/>
    <col min="39" max="39" width="9.33203125" style="19" hidden="1" customWidth="1" outlineLevel="1"/>
    <col min="40" max="40" width="8.1640625" style="19" hidden="1" customWidth="1" outlineLevel="1"/>
    <col min="41" max="41" width="2.83203125" style="19" customWidth="1" collapsed="1"/>
    <col min="42" max="42" width="2.83203125" style="19" customWidth="1"/>
    <col min="43" max="45" width="5.83203125" style="19" bestFit="1" customWidth="1"/>
    <col min="46" max="46" width="2.33203125" style="19" bestFit="1" customWidth="1"/>
    <col min="47" max="47" width="10.5" style="19" bestFit="1" customWidth="1"/>
    <col min="48" max="48" width="2.33203125" style="19" bestFit="1" customWidth="1"/>
    <col min="49" max="49" width="9.33203125" style="19" bestFit="1" customWidth="1"/>
    <col min="50" max="52" width="9.33203125" style="19" hidden="1" customWidth="1" outlineLevel="1"/>
    <col min="53" max="53" width="2.83203125" style="19" customWidth="1" collapsed="1"/>
    <col min="54" max="54" width="2.83203125" style="19" customWidth="1"/>
    <col min="55" max="55" width="12.83203125" style="19" bestFit="1" customWidth="1"/>
    <col min="56" max="56" width="8.1640625" style="19" bestFit="1" customWidth="1"/>
    <col min="57" max="69" width="14.83203125" style="19" customWidth="1"/>
    <col min="70" max="16384" width="9.5" style="19"/>
  </cols>
  <sheetData>
    <row r="1" spans="1:69" x14ac:dyDescent="0.2">
      <c r="C1" s="116" t="s">
        <v>66</v>
      </c>
      <c r="D1" s="117"/>
      <c r="E1" s="117"/>
      <c r="F1" s="117"/>
      <c r="G1" s="117"/>
      <c r="H1" s="117"/>
      <c r="I1" s="117"/>
      <c r="J1" s="117"/>
      <c r="K1" s="117"/>
      <c r="L1" s="117"/>
      <c r="M1" s="223"/>
      <c r="N1" s="223"/>
      <c r="O1" s="223"/>
      <c r="P1" s="223"/>
      <c r="Q1" s="223"/>
      <c r="R1" s="223"/>
      <c r="S1" s="116" t="str">
        <f>"with 0X"&amp;SUBSTITUTE($D$21,"M","")</f>
        <v>with 0X1</v>
      </c>
      <c r="T1" s="118"/>
      <c r="U1" s="117" t="str">
        <f>"without 0X"&amp;SUBSTITUTE($D$21,"M","")</f>
        <v>without 0X1</v>
      </c>
      <c r="V1" s="118"/>
      <c r="AG1" s="225"/>
      <c r="AH1" s="225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E1" s="19" t="str">
        <f>_xll.qlPolynomialFunction(,_xll.qlTenorInstCoefficients(G$24),,_xll.ohTrigger(Trigger,G$25:G$28))</f>
        <v>obj_00640#0002</v>
      </c>
      <c r="BF1" s="19" t="str">
        <f>_xll.qlPolynomialFunction(,_xll.qlTenorInstCoefficients(H$24),,_xll.ohTrigger(Trigger,H$25:H$28))</f>
        <v>obj_00646#0002</v>
      </c>
      <c r="BG1" s="19" t="str">
        <f>_xll.qlPolynomialFunction(,_xll.qlTenorInstCoefficients(S$24),,_xll.ohTrigger(Trigger,S$25:S$28))</f>
        <v>obj_00644#0002</v>
      </c>
      <c r="BH1" s="19" t="str">
        <f>_xll.qlPolynomialFunction(,_xll.qlTenorInstCoefficients(T$24),,_xll.ohTrigger(Trigger,T$25:T$28))</f>
        <v>obj_00643#0002</v>
      </c>
      <c r="BI1" s="19" t="str">
        <f>_xll.qlPolynomialFunction(,U$25:U$28,,_xll.ohTrigger(Trigger,G$25:G$28))</f>
        <v>obj_0063a#0002</v>
      </c>
      <c r="BJ1" s="19" t="str">
        <f>_xll.qlPolynomialFunction(,V$25:V$28,,_xll.ohTrigger(Trigger,H$25:H$28))</f>
        <v>obj_00647#0002</v>
      </c>
      <c r="BK1" s="19" t="str">
        <f>_xll.qlPolynomialFunction(,W$25:W$28,,_xll.ohTrigger(Trigger,S$25:S$28))</f>
        <v>obj_0064c#0002</v>
      </c>
      <c r="BL1" s="19" t="str">
        <f>_xll.qlPolynomialFunction(,X$25:X$28,,_xll.ohTrigger(Trigger,T$25:T$28))</f>
        <v>obj_0063b#0002</v>
      </c>
      <c r="BM1" s="19" t="str">
        <f>_xll.qlPolynomialFunction(,_xll.qlTenorInstCoefficients(Y$24),,_xll.ohTrigger(Trigger,G$25:G$28))</f>
        <v>obj_0064f#0002</v>
      </c>
      <c r="BN1" s="19" t="str">
        <f>_xll.qlPolynomialFunction(,_xll.qlTenorInstCoefficients(Z$24),,_xll.ohTrigger(Trigger,H$25:H$28))</f>
        <v>obj_00652#0002</v>
      </c>
      <c r="BO1" s="19" t="str">
        <f>_xll.qlPolynomialFunction(,_xll.qlTenorInstCoefficients(AA$24),,_xll.ohTrigger(Trigger,S$25:S$28))</f>
        <v>obj_00655#0002</v>
      </c>
      <c r="BP1" s="19" t="str">
        <f>_xll.qlPolynomialFunction(,_xll.qlTenorInstCoefficients(AB$24),,_xll.ohTrigger(Trigger,T$25:T$28))</f>
        <v>obj_00653#0002</v>
      </c>
    </row>
    <row r="2" spans="1:69" ht="21.75" customHeight="1" x14ac:dyDescent="0.2">
      <c r="C2" s="36" t="s">
        <v>43</v>
      </c>
      <c r="D2" s="36" t="s">
        <v>101</v>
      </c>
      <c r="E2" s="36" t="s">
        <v>102</v>
      </c>
      <c r="F2" s="36" t="s">
        <v>56</v>
      </c>
      <c r="G2" s="36" t="str">
        <f>"F "&amp;$D$21</f>
        <v>F 1M</v>
      </c>
      <c r="H2" s="36" t="str">
        <f>"B "&amp;$D$21</f>
        <v>B 1M</v>
      </c>
      <c r="I2" s="36" t="s">
        <v>89</v>
      </c>
      <c r="J2" s="36" t="s">
        <v>46</v>
      </c>
      <c r="K2" s="37" t="s">
        <v>47</v>
      </c>
      <c r="L2" s="36" t="s">
        <v>48</v>
      </c>
      <c r="M2" s="36" t="s">
        <v>57</v>
      </c>
      <c r="N2" s="36" t="s">
        <v>59</v>
      </c>
      <c r="O2" s="36" t="s">
        <v>60</v>
      </c>
      <c r="P2" s="36" t="s">
        <v>46</v>
      </c>
      <c r="Q2" s="37" t="s">
        <v>47</v>
      </c>
      <c r="R2" s="36" t="s">
        <v>48</v>
      </c>
      <c r="S2" s="36" t="s">
        <v>41</v>
      </c>
      <c r="T2" s="36" t="s">
        <v>42</v>
      </c>
      <c r="U2" s="36" t="s">
        <v>41</v>
      </c>
      <c r="V2" s="36" t="s">
        <v>42</v>
      </c>
      <c r="AD2" s="19" t="s">
        <v>103</v>
      </c>
      <c r="AP2" s="19" t="s">
        <v>100</v>
      </c>
      <c r="BE2" s="125" t="s">
        <v>66</v>
      </c>
      <c r="BF2" s="121"/>
      <c r="BG2" s="121"/>
      <c r="BH2" s="120"/>
      <c r="BI2" s="121"/>
      <c r="BJ2" s="121"/>
      <c r="BK2" s="121"/>
      <c r="BL2" s="121"/>
      <c r="BM2" s="125" t="s">
        <v>67</v>
      </c>
      <c r="BN2" s="121"/>
      <c r="BO2" s="121"/>
      <c r="BP2" s="120"/>
    </row>
    <row r="3" spans="1:69" ht="12" customHeight="1" x14ac:dyDescent="0.2">
      <c r="A3" s="21">
        <f>'6MSynthDepo_used'!A3</f>
        <v>0</v>
      </c>
      <c r="B3" s="55">
        <f>A3+SUBSTITUTE($D$21,"M","")</f>
        <v>1</v>
      </c>
      <c r="C3" s="171" t="str">
        <f>"B"&amp;$D$21&amp;"_"&amp;A3&amp;"X"&amp;B3&amp;$D$24</f>
        <v>B1M_0X1ESTIMATED</v>
      </c>
      <c r="D3" s="186">
        <f>SettlementDate</f>
        <v>42279</v>
      </c>
      <c r="E3" s="186">
        <f>_xll.qlInterestRateIndexMaturity($D$22,D3)</f>
        <v>42310</v>
      </c>
      <c r="F3" s="172">
        <f>_xll.qlIndexFixing(ON_1M_index,_xll.qlInterestRateIndexFixingDate(ON_1M_index,D3,Trigger),,AllTriggers)</f>
        <v>-1.4000000000040146E-3</v>
      </c>
      <c r="G3" s="172">
        <f>H3+F3</f>
        <v>-1.1300000000010854E-3</v>
      </c>
      <c r="H3" s="226">
        <f>_xll.qlQuoteValue(C3,_xll.ohTrigger(InterestRatesTrigger,'1MSynthDepo_used'!$F$1))</f>
        <v>2.7000000000292914E-4</v>
      </c>
      <c r="I3" s="173">
        <f>_xll.qlDayCounterYearFraction(DayCounter,SettlementDate,D3,,,Trigger)</f>
        <v>0</v>
      </c>
      <c r="J3" s="173">
        <f>1</f>
        <v>1</v>
      </c>
      <c r="K3" s="173">
        <f t="shared" ref="K3:K6" si="0">I3</f>
        <v>0</v>
      </c>
      <c r="L3" s="173">
        <f t="shared" ref="L3:L6" si="1">I3^2</f>
        <v>0</v>
      </c>
      <c r="M3" s="217">
        <f>LN((1+G3*_xll.qlDayCounterYearFraction(DayCounter,D3,E3,,,Trigger))/(1+F3*_xll.qlDayCounterYearFraction(DayCounter,D3,E3,,,Trigger)))</f>
        <v>2.3252532912641858E-5</v>
      </c>
      <c r="N3" s="173">
        <f>_xll.qlDayCounterYearFraction(DayCounter,SettlementDate,D3,,,Trigger)</f>
        <v>0</v>
      </c>
      <c r="O3" s="173">
        <f>_xll.qlDayCounterYearFraction(DayCounter,SettlementDate,E3,,,Trigger)</f>
        <v>8.611111111111111E-2</v>
      </c>
      <c r="P3" s="173">
        <f>O3-N3</f>
        <v>8.611111111111111E-2</v>
      </c>
      <c r="Q3" s="173">
        <f>(O3^2-N3^2)/2</f>
        <v>3.7075617283950616E-3</v>
      </c>
      <c r="R3" s="173">
        <f>(O3^3-N3^3)/3</f>
        <v>2.1284150663008689E-4</v>
      </c>
      <c r="S3" s="174" t="b">
        <v>1</v>
      </c>
      <c r="T3" s="174" t="b">
        <v>1</v>
      </c>
      <c r="U3" s="174" t="b">
        <v>0</v>
      </c>
      <c r="V3" s="174" t="b">
        <v>0</v>
      </c>
      <c r="AD3" s="219" t="s">
        <v>41</v>
      </c>
      <c r="AE3" s="220"/>
      <c r="AF3" s="220"/>
      <c r="AG3" s="220"/>
      <c r="AH3" s="220"/>
      <c r="AI3" s="220"/>
      <c r="AJ3" s="220"/>
      <c r="AK3" s="220"/>
      <c r="AL3" s="220"/>
      <c r="AM3" s="221"/>
      <c r="AN3" s="221"/>
      <c r="AO3" s="222"/>
      <c r="AP3" s="219"/>
      <c r="AQ3" s="220"/>
      <c r="AR3" s="220"/>
      <c r="AS3" s="220"/>
      <c r="AT3" s="220"/>
      <c r="AU3" s="220"/>
      <c r="AV3" s="220"/>
      <c r="AW3" s="220"/>
      <c r="AX3" s="220"/>
      <c r="AY3" s="221"/>
      <c r="AZ3" s="221"/>
      <c r="BA3" s="222"/>
      <c r="BE3" s="125" t="s">
        <v>109</v>
      </c>
      <c r="BF3" s="121"/>
      <c r="BG3" s="121"/>
      <c r="BH3" s="120"/>
      <c r="BI3" s="125" t="s">
        <v>108</v>
      </c>
      <c r="BJ3" s="121"/>
      <c r="BK3" s="121"/>
      <c r="BL3" s="120"/>
      <c r="BM3" s="125" t="s">
        <v>109</v>
      </c>
      <c r="BN3" s="121"/>
      <c r="BO3" s="121"/>
      <c r="BP3" s="120"/>
    </row>
    <row r="4" spans="1:69" ht="12" customHeight="1" x14ac:dyDescent="0.2">
      <c r="A4" s="21">
        <f>'6MSynthDepo_used'!A5</f>
        <v>1</v>
      </c>
      <c r="B4" s="55">
        <f>A4+SUBSTITUTE($D$21,"M","")</f>
        <v>2</v>
      </c>
      <c r="C4" s="39" t="str">
        <f>"B"&amp;$D$21&amp;"_"&amp;A4&amp;"X"&amp;B4</f>
        <v>B1M_1X2</v>
      </c>
      <c r="D4" s="177">
        <f>_xll.qlCalendarAdvance(Calendar,SettlementDate,A4&amp;"M","mf")</f>
        <v>42310</v>
      </c>
      <c r="E4" s="177">
        <f>_xll.qlInterestRateIndexMaturity($D$22,D4)</f>
        <v>42340</v>
      </c>
      <c r="F4" s="53">
        <f>_xll.qlIndexFixing(ON_1M_index,_xll.qlInterestRateIndexFixingDate(ON_1M_index,D4,Trigger),,AllTriggers)</f>
        <v>-1.5018477227486393E-3</v>
      </c>
      <c r="G4" s="53">
        <f t="shared" ref="G4:G6" si="2">H4+F4</f>
        <v>-1.2318128047916765E-3</v>
      </c>
      <c r="H4" s="202">
        <f>_xll.qlQuoteValue(C4,_xll.ohTrigger(InterestRatesTrigger,'1MSynthDepo_used'!$F$1))</f>
        <v>2.7003491795696277E-4</v>
      </c>
      <c r="I4" s="41">
        <f>_xll.qlDayCounterYearFraction(DayCounter,SettlementDate,D4,,,Trigger)</f>
        <v>8.611111111111111E-2</v>
      </c>
      <c r="J4" s="41">
        <f>1</f>
        <v>1</v>
      </c>
      <c r="K4" s="41">
        <f t="shared" si="0"/>
        <v>8.611111111111111E-2</v>
      </c>
      <c r="L4" s="41">
        <f t="shared" si="1"/>
        <v>7.4151234567901231E-3</v>
      </c>
      <c r="M4" s="40">
        <f>LN((1+G4*_xll.qlDayCounterYearFraction(DayCounter,D4,E4,,,Trigger))/(1+F4*_xll.qlDayCounterYearFraction(DayCounter,D4,E4,,,Trigger)))</f>
        <v>2.2505473260794292E-5</v>
      </c>
      <c r="N4" s="41">
        <f>_xll.qlDayCounterYearFraction(DayCounter,SettlementDate,D4,,,Trigger)</f>
        <v>8.611111111111111E-2</v>
      </c>
      <c r="O4" s="41">
        <f>_xll.qlDayCounterYearFraction(DayCounter,SettlementDate,E4,,,Trigger)</f>
        <v>0.16944444444444445</v>
      </c>
      <c r="P4" s="41">
        <f t="shared" ref="P4:P6" si="3">O4-N4</f>
        <v>8.3333333333333343E-2</v>
      </c>
      <c r="Q4" s="41">
        <f t="shared" ref="Q4:Q6" si="4">(O4^2-N4^2)/2</f>
        <v>1.064814814814815E-2</v>
      </c>
      <c r="R4" s="41">
        <f t="shared" ref="R4:R6" si="5">(O4^3-N4^3)/3</f>
        <v>1.4088220164609055E-3</v>
      </c>
      <c r="S4" s="114" t="b">
        <v>1</v>
      </c>
      <c r="T4" s="114" t="b">
        <v>1</v>
      </c>
      <c r="U4" s="114" t="b">
        <v>1</v>
      </c>
      <c r="V4" s="114" t="b">
        <v>1</v>
      </c>
      <c r="AD4" s="94" t="s">
        <v>64</v>
      </c>
      <c r="AE4" s="21"/>
      <c r="AF4" s="21"/>
      <c r="AG4" s="21"/>
      <c r="AH4" s="21"/>
      <c r="AI4" s="112" t="s">
        <v>45</v>
      </c>
      <c r="AJ4" s="33"/>
      <c r="AK4" s="22"/>
      <c r="AL4" s="21"/>
      <c r="AM4" s="21"/>
      <c r="AN4" s="21"/>
      <c r="AO4" s="101"/>
      <c r="AP4" s="94"/>
      <c r="AQ4" s="21"/>
      <c r="AR4" s="21"/>
      <c r="AS4" s="21"/>
      <c r="AT4" s="21"/>
      <c r="AU4" s="112" t="s">
        <v>45</v>
      </c>
      <c r="AV4" s="33"/>
      <c r="AW4" s="22"/>
      <c r="AX4" s="21"/>
      <c r="AY4" s="21"/>
      <c r="AZ4" s="21"/>
      <c r="BA4" s="101"/>
      <c r="BE4" s="116" t="str">
        <f>G31</f>
        <v>with 0X1</v>
      </c>
      <c r="BF4" s="118"/>
      <c r="BG4" s="117" t="str">
        <f>S31</f>
        <v>without 0X1</v>
      </c>
      <c r="BH4" s="118"/>
      <c r="BI4" s="116" t="str">
        <f>U31</f>
        <v>with 0X1</v>
      </c>
      <c r="BJ4" s="118"/>
      <c r="BK4" s="117" t="str">
        <f>W31</f>
        <v>without 0X1</v>
      </c>
      <c r="BL4" s="118"/>
      <c r="BM4" s="116" t="str">
        <f>Y31</f>
        <v>with 0X1</v>
      </c>
      <c r="BN4" s="118"/>
      <c r="BO4" s="117" t="str">
        <f>AA31</f>
        <v>without 0X1</v>
      </c>
      <c r="BP4" s="118"/>
    </row>
    <row r="5" spans="1:69" ht="12" customHeight="1" x14ac:dyDescent="0.2">
      <c r="A5" s="21">
        <f>'6MSynthDepo_used'!A6</f>
        <v>2</v>
      </c>
      <c r="B5" s="55">
        <f>A5+SUBSTITUTE($D$21,"M","")</f>
        <v>3</v>
      </c>
      <c r="C5" s="39" t="str">
        <f>"B"&amp;$D$21&amp;"_"&amp;A5&amp;"X"&amp;B5</f>
        <v>B1M_2X3</v>
      </c>
      <c r="D5" s="177">
        <f>_xll.qlCalendarAdvance(Calendar,SettlementDate,A5&amp;"M","mf")</f>
        <v>42340</v>
      </c>
      <c r="E5" s="177">
        <f>_xll.qlInterestRateIndexMaturity($D$22,D5)</f>
        <v>42373</v>
      </c>
      <c r="F5" s="53">
        <f>_xll.qlIndexFixing(ON_1M_index,_xll.qlInterestRateIndexFixingDate(ON_1M_index,D5,Trigger),,AllTriggers)</f>
        <v>-1.4089419477223623E-3</v>
      </c>
      <c r="G5" s="53">
        <f t="shared" si="2"/>
        <v>-1.1802817101184845E-3</v>
      </c>
      <c r="H5" s="202">
        <f>_xll.qlQuoteValue(C5,_xll.ohTrigger(InterestRatesTrigger,'1MSynthDepo_used'!$F$1))</f>
        <v>2.2866023760387787E-4</v>
      </c>
      <c r="I5" s="41">
        <f>_xll.qlDayCounterYearFraction(DayCounter,SettlementDate,D5,,,Trigger)</f>
        <v>0.16944444444444445</v>
      </c>
      <c r="J5" s="41">
        <f>1</f>
        <v>1</v>
      </c>
      <c r="K5" s="41">
        <f t="shared" si="0"/>
        <v>0.16944444444444445</v>
      </c>
      <c r="L5" s="41">
        <f t="shared" si="1"/>
        <v>2.8711419753086422E-2</v>
      </c>
      <c r="M5" s="40">
        <f>LN((1+G5*_xll.qlDayCounterYearFraction(DayCounter,D5,E5,,,Trigger))/(1+F5*_xll.qlDayCounterYearFraction(DayCounter,D5,E5,,,Trigger)))</f>
        <v>2.0963009519077813E-5</v>
      </c>
      <c r="N5" s="41">
        <f>_xll.qlDayCounterYearFraction(DayCounter,SettlementDate,D5,,,Trigger)</f>
        <v>0.16944444444444445</v>
      </c>
      <c r="O5" s="41">
        <f>_xll.qlDayCounterYearFraction(DayCounter,SettlementDate,E5,,,Trigger)</f>
        <v>0.26111111111111113</v>
      </c>
      <c r="P5" s="41">
        <f t="shared" si="3"/>
        <v>9.1666666666666674E-2</v>
      </c>
      <c r="Q5" s="41">
        <f t="shared" si="4"/>
        <v>1.9733796296296301E-2</v>
      </c>
      <c r="R5" s="41">
        <f t="shared" si="5"/>
        <v>4.312435699588479E-3</v>
      </c>
      <c r="S5" s="114" t="b">
        <v>1</v>
      </c>
      <c r="T5" s="114" t="b">
        <v>1</v>
      </c>
      <c r="U5" s="114" t="b">
        <v>1</v>
      </c>
      <c r="V5" s="114" t="b">
        <v>1</v>
      </c>
      <c r="AD5" s="94"/>
      <c r="AE5" s="124"/>
      <c r="AF5" s="27">
        <f t="array" ref="AF5:AF6">_xll.ohFilter(K3:K9,S3:S9)</f>
        <v>0</v>
      </c>
      <c r="AG5" s="28">
        <f t="array" ref="AG5:AG6">_xll.ohFilter(J3:J9,S3:S9)</f>
        <v>1</v>
      </c>
      <c r="AH5" s="303" t="s">
        <v>20</v>
      </c>
      <c r="AI5" s="29">
        <f t="array" ref="AI5:AI6">MMULT(AL5:AM6,AK5:AK6)</f>
        <v>4.0549882103588925E-7</v>
      </c>
      <c r="AJ5" s="303" t="s">
        <v>21</v>
      </c>
      <c r="AK5" s="30">
        <f t="array" ref="AK5:AK6">_xll.ohFilter(H3:H9,S3:S9)</f>
        <v>2.7000000000292914E-4</v>
      </c>
      <c r="AL5" s="27">
        <f t="array" ref="AL5:AM6">MINVERSE(AF5:AG6)</f>
        <v>-11.612903225806452</v>
      </c>
      <c r="AM5" s="28">
        <v>11.612903225806452</v>
      </c>
      <c r="AN5" s="21"/>
      <c r="AO5" s="101"/>
      <c r="AP5" s="94"/>
      <c r="AQ5" s="124"/>
      <c r="AR5" s="27">
        <f t="array" ref="AR5:AR6">_xll.ohFilter(Q3:Q9,S3:S9)</f>
        <v>3.7075617283950616E-3</v>
      </c>
      <c r="AS5" s="28">
        <f t="array" ref="AS5:AS6">_xll.ohFilter(P3:P9,S3:S9)</f>
        <v>8.611111111111111E-2</v>
      </c>
      <c r="AT5" s="303" t="s">
        <v>20</v>
      </c>
      <c r="AU5" s="29">
        <f t="array" ref="AU5:AU6">MMULT(AX5:AY6,AW5:AW6)</f>
        <v>4.2804189020291192E-7</v>
      </c>
      <c r="AV5" s="303" t="s">
        <v>21</v>
      </c>
      <c r="AW5" s="56">
        <f t="array" ref="AW5:AW6">_xll.ohFilter(M3:M9,S3:S9)</f>
        <v>2.3252532912641858E-5</v>
      </c>
      <c r="AX5" s="27">
        <f t="array" ref="AX5:AY6">MINVERSE(AR5:AS6)</f>
        <v>-137.07033315705974</v>
      </c>
      <c r="AY5" s="28">
        <v>141.63934426229505</v>
      </c>
      <c r="AZ5" s="21"/>
      <c r="BA5" s="101"/>
      <c r="BC5" s="36" t="s">
        <v>38</v>
      </c>
      <c r="BD5" s="36" t="s">
        <v>55</v>
      </c>
      <c r="BE5" s="36" t="str">
        <f>G32</f>
        <v>Linear</v>
      </c>
      <c r="BF5" s="36" t="str">
        <f>H32</f>
        <v>Quadratic</v>
      </c>
      <c r="BG5" s="36" t="str">
        <f>S32</f>
        <v>Linear</v>
      </c>
      <c r="BH5" s="36" t="str">
        <f>T32</f>
        <v>Quadratic</v>
      </c>
      <c r="BI5" s="36" t="str">
        <f>U32</f>
        <v>Linear</v>
      </c>
      <c r="BJ5" s="36" t="str">
        <f>V32</f>
        <v>Quadratic</v>
      </c>
      <c r="BK5" s="36" t="str">
        <f>W32</f>
        <v>Linear</v>
      </c>
      <c r="BL5" s="36" t="str">
        <f>X32</f>
        <v>Quadratic</v>
      </c>
      <c r="BM5" s="36" t="str">
        <f>Y32</f>
        <v>Linear</v>
      </c>
      <c r="BN5" s="36" t="str">
        <f>Z32</f>
        <v>Quadratic</v>
      </c>
      <c r="BO5" s="36" t="str">
        <f>AA32</f>
        <v>Linear</v>
      </c>
      <c r="BP5" s="36" t="str">
        <f>AB32</f>
        <v>Quadratic</v>
      </c>
      <c r="BQ5" s="36" t="s">
        <v>105</v>
      </c>
    </row>
    <row r="6" spans="1:69" ht="12" customHeight="1" x14ac:dyDescent="0.2">
      <c r="A6" s="21">
        <f>'6MSynthDepo_used'!A7</f>
        <v>3</v>
      </c>
      <c r="B6" s="55">
        <f>A6+SUBSTITUTE($D$21,"M","")</f>
        <v>4</v>
      </c>
      <c r="C6" s="42" t="str">
        <f>"B"&amp;$D$21&amp;"_"&amp;A6&amp;"X"&amp;B6</f>
        <v>B1M_3X4</v>
      </c>
      <c r="D6" s="181">
        <f>_xll.qlCalendarAdvance(Calendar,SettlementDate,A6&amp;"M","mf")</f>
        <v>42373</v>
      </c>
      <c r="E6" s="181">
        <f>_xll.qlInterestRateIndexMaturity($D$22,D6)</f>
        <v>42404</v>
      </c>
      <c r="F6" s="54">
        <f>_xll.qlIndexFixing(ON_1M_index,_xll.qlInterestRateIndexFixingDate(ON_1M_index,D6,Trigger),,AllTriggers)</f>
        <v>-1.6550023715929342E-3</v>
      </c>
      <c r="G6" s="54">
        <f t="shared" si="2"/>
        <v>-1.3082474716767075E-3</v>
      </c>
      <c r="H6" s="203">
        <f>_xll.qlQuoteValue(C6,_xll.ohTrigger(InterestRatesTrigger,'1MSynthDepo_used'!$F$1))</f>
        <v>3.4675489991622672E-4</v>
      </c>
      <c r="I6" s="44">
        <f>_xll.qlDayCounterYearFraction(DayCounter,SettlementDate,D6,,,Trigger)</f>
        <v>0.26111111111111113</v>
      </c>
      <c r="J6" s="44">
        <f>1</f>
        <v>1</v>
      </c>
      <c r="K6" s="44">
        <f t="shared" si="0"/>
        <v>0.26111111111111113</v>
      </c>
      <c r="L6" s="44">
        <f t="shared" si="1"/>
        <v>6.8179012345679024E-2</v>
      </c>
      <c r="M6" s="43">
        <f>LN((1+G6*_xll.qlDayCounterYearFraction(DayCounter,D6,E6,,,Trigger))/(1+F6*_xll.qlDayCounterYearFraction(DayCounter,D6,E6,,,Trigger)))</f>
        <v>2.9863259802313281E-5</v>
      </c>
      <c r="N6" s="44">
        <f>_xll.qlDayCounterYearFraction(DayCounter,SettlementDate,D6,,,Trigger)</f>
        <v>0.26111111111111113</v>
      </c>
      <c r="O6" s="44">
        <f>_xll.qlDayCounterYearFraction(DayCounter,SettlementDate,E6,,,Trigger)</f>
        <v>0.34722222222222221</v>
      </c>
      <c r="P6" s="44">
        <f t="shared" si="3"/>
        <v>8.6111111111111083E-2</v>
      </c>
      <c r="Q6" s="44">
        <f t="shared" si="4"/>
        <v>2.6192129629629621E-2</v>
      </c>
      <c r="R6" s="44">
        <f t="shared" si="5"/>
        <v>8.0199831390031975E-3</v>
      </c>
      <c r="S6" s="150" t="b">
        <v>0</v>
      </c>
      <c r="T6" s="150" t="b">
        <v>0</v>
      </c>
      <c r="U6" s="150" t="b">
        <v>1</v>
      </c>
      <c r="V6" s="150" t="b">
        <v>1</v>
      </c>
      <c r="AD6" s="94"/>
      <c r="AE6" s="21"/>
      <c r="AF6" s="27">
        <v>8.611111111111111E-2</v>
      </c>
      <c r="AG6" s="28">
        <v>1</v>
      </c>
      <c r="AH6" s="303"/>
      <c r="AI6" s="29">
        <v>2.7000000000292914E-4</v>
      </c>
      <c r="AJ6" s="303"/>
      <c r="AK6" s="30">
        <v>2.7003491795696277E-4</v>
      </c>
      <c r="AL6" s="27">
        <v>1</v>
      </c>
      <c r="AM6" s="28">
        <v>0</v>
      </c>
      <c r="AN6" s="21"/>
      <c r="AO6" s="101"/>
      <c r="AP6" s="94"/>
      <c r="AQ6" s="21"/>
      <c r="AR6" s="27">
        <v>1.064814814814815E-2</v>
      </c>
      <c r="AS6" s="28">
        <v>8.3333333333333343E-2</v>
      </c>
      <c r="AT6" s="303"/>
      <c r="AU6" s="29">
        <v>2.7001098488800557E-4</v>
      </c>
      <c r="AV6" s="303"/>
      <c r="AW6" s="56">
        <v>2.2505473260794292E-5</v>
      </c>
      <c r="AX6" s="27">
        <v>17.514542570068745</v>
      </c>
      <c r="AY6" s="28">
        <v>-6.0983606557377028</v>
      </c>
      <c r="AZ6" s="21"/>
      <c r="BA6" s="101"/>
      <c r="BC6" s="176">
        <f>SettlementDate</f>
        <v>42279</v>
      </c>
      <c r="BD6" s="41">
        <f>_xll.qlDayCounterYearFraction(DayCounter,SettlementDate,BC6,,,Trigger)</f>
        <v>0</v>
      </c>
      <c r="BE6" s="47">
        <f>_xll.qlPolynomialFunctionValue(BE$1,$BD6,AllTriggers)</f>
        <v>2.6998254102591232E-4</v>
      </c>
      <c r="BF6" s="52">
        <f>_xll.qlPolynomialFunctionValue(BF$1,$BD6,AllTriggers)</f>
        <v>2.5548580459000488E-4</v>
      </c>
      <c r="BG6" s="47">
        <f>_xll.qlPolynomialFunctionValue(BG$1,$BD6,AllTriggers)</f>
        <v>3.3416567250424439E-4</v>
      </c>
      <c r="BH6" s="52">
        <f>_xll.qlPolynomialFunctionValue(BH$1,$BD6,AllTriggers)</f>
        <v>6.0780114562029234E-4</v>
      </c>
      <c r="BI6" s="52">
        <f>_xll.qlPolynomialFunctionValue(BI$1,$BD6,AllTriggers)</f>
        <v>2.7001098488800557E-4</v>
      </c>
      <c r="BJ6" s="52">
        <f>_xll.qlPolynomialFunctionValue(BJ$1,$BD6,AllTriggers)</f>
        <v>2.5678619680661295E-4</v>
      </c>
      <c r="BK6" s="52">
        <f>_xll.qlPolynomialFunctionValue(BK$1,$BD6,AllTriggers)</f>
        <v>3.3049113683294675E-4</v>
      </c>
      <c r="BL6" s="52">
        <f>_xll.qlPolynomialFunctionValue(BL$1,$BD6,AllTriggers)</f>
        <v>6.1104098199966602E-4</v>
      </c>
      <c r="BM6" s="52">
        <f>_xll.qlPolynomialFunctionValue(BM$1,$BD6,AllTriggers)</f>
        <v>2.4007730606420642E-4</v>
      </c>
      <c r="BN6" s="52">
        <f>_xll.qlPolynomialFunctionValue(BN$1,$BD6,AllTriggers)</f>
        <v>3.1848739450824666E-4</v>
      </c>
      <c r="BO6" s="52">
        <f>_xll.qlPolynomialFunctionValue(BO$1,$BD6,AllTriggers)</f>
        <v>1.8439871286026486E-4</v>
      </c>
      <c r="BP6" s="52">
        <f>_xll.qlPolynomialFunctionValue(BP$1,$BD6,AllTriggers)</f>
        <v>6.0780114562029213E-4</v>
      </c>
      <c r="BQ6" s="52">
        <f>_xll.qlPolynomialFunctionValue('1MSynthDepo_used'!$P$18,BD6,AllTriggers)</f>
        <v>2.0687314390994393E-4</v>
      </c>
    </row>
    <row r="7" spans="1:69" ht="12" customHeight="1" x14ac:dyDescent="0.2">
      <c r="A7" s="21"/>
      <c r="B7" s="55"/>
      <c r="C7" s="22"/>
      <c r="D7" s="23"/>
      <c r="E7" s="23"/>
      <c r="F7" s="122"/>
      <c r="G7" s="122"/>
      <c r="H7" s="123"/>
      <c r="I7" s="24"/>
      <c r="J7" s="25"/>
      <c r="K7" s="25"/>
      <c r="L7" s="25"/>
      <c r="M7" s="25"/>
      <c r="N7" s="25"/>
      <c r="O7" s="25"/>
      <c r="P7" s="25"/>
      <c r="Q7" s="25"/>
      <c r="R7" s="25"/>
      <c r="S7" s="25"/>
      <c r="T7" s="26"/>
      <c r="U7" s="26"/>
      <c r="V7" s="26"/>
      <c r="AD7" s="94"/>
      <c r="AE7" s="21"/>
      <c r="AF7" s="21"/>
      <c r="AG7" s="21"/>
      <c r="AH7" s="21"/>
      <c r="AI7" s="111"/>
      <c r="AJ7" s="33"/>
      <c r="AK7" s="22"/>
      <c r="AL7" s="21"/>
      <c r="AM7" s="21"/>
      <c r="AN7" s="21"/>
      <c r="AO7" s="101"/>
      <c r="AP7" s="94"/>
      <c r="AQ7" s="21"/>
      <c r="AR7" s="21"/>
      <c r="AS7" s="21"/>
      <c r="AT7" s="21"/>
      <c r="AU7" s="111"/>
      <c r="AV7" s="33"/>
      <c r="AW7" s="218"/>
      <c r="AX7" s="21"/>
      <c r="AY7" s="21"/>
      <c r="AZ7" s="21"/>
      <c r="BA7" s="101"/>
      <c r="BC7" s="178">
        <f>_xll.qlCalendarAdvance(Calendar,BC6,"1d","mf",,Trigger)</f>
        <v>42282</v>
      </c>
      <c r="BD7" s="41">
        <f>_xll.qlDayCounterYearFraction(DayCounter,SettlementDate,BC7,,,Trigger)</f>
        <v>8.3333333333333332E-3</v>
      </c>
      <c r="BE7" s="47">
        <f>_xll.qlPolynomialFunctionValue(BE$1,$BD7,AllTriggers)</f>
        <v>2.6998592018275431E-4</v>
      </c>
      <c r="BF7" s="47">
        <f>_xll.qlPolynomialFunctionValue(BF$1,$BD7,AllTriggers)</f>
        <v>2.5949426545728748E-4</v>
      </c>
      <c r="BG7" s="47">
        <f>_xll.qlPolynomialFunctionValue(BG$1,$BD7,AllTriggers)</f>
        <v>3.3002820446893587E-4</v>
      </c>
      <c r="BH7" s="47">
        <f>_xll.qlPolynomialFunctionValue(BH$1,$BD7,AllTriggers)</f>
        <v>5.7533349391385971E-4</v>
      </c>
      <c r="BI7" s="47">
        <f>_xll.qlPolynomialFunctionValue(BI$1,$BD7,AllTriggers)</f>
        <v>2.7001455190375724E-4</v>
      </c>
      <c r="BJ7" s="47">
        <f>_xll.qlPolynomialFunctionValue(BJ$1,$BD7,AllTriggers)</f>
        <v>2.6046137341661694E-4</v>
      </c>
      <c r="BK7" s="47">
        <f>_xll.qlPolynomialFunctionValue(BK$1,$BD7,AllTriggers)</f>
        <v>3.265503461131588E-4</v>
      </c>
      <c r="BL7" s="47">
        <f>_xll.qlPolynomialFunctionValue(BL$1,$BD7,AllTriggers)</f>
        <v>5.7811083921739052E-4</v>
      </c>
      <c r="BM7" s="47">
        <f>_xll.qlPolynomialFunctionValue(BM$1,$BD7,AllTriggers)</f>
        <v>2.4195400966764698E-4</v>
      </c>
      <c r="BN7" s="47">
        <f>_xll.qlPolynomialFunctionValue(BN$1,$BD7,AllTriggers)</f>
        <v>3.0940093945335375E-4</v>
      </c>
      <c r="BO7" s="47">
        <f>_xll.qlPolynomialFunctionValue(BO$1,$BD7,AllTriggers)</f>
        <v>1.8816973114279596E-4</v>
      </c>
      <c r="BP7" s="47">
        <f>_xll.qlPolynomialFunctionValue(BP$1,$BD7,AllTriggers)</f>
        <v>5.7533349391385949E-4</v>
      </c>
      <c r="BQ7" s="47">
        <f>_xll.qlPolynomialFunctionValue('1MSynthDepo_used'!$P$18,BD7,AllTriggers)</f>
        <v>2.269065077384597E-4</v>
      </c>
    </row>
    <row r="8" spans="1:69" ht="12" customHeight="1" x14ac:dyDescent="0.2">
      <c r="A8" s="21"/>
      <c r="B8" s="55"/>
      <c r="C8" s="22"/>
      <c r="D8" s="23"/>
      <c r="E8" s="23"/>
      <c r="F8" s="122"/>
      <c r="G8" s="122"/>
      <c r="H8" s="123"/>
      <c r="I8" s="24"/>
      <c r="J8" s="25"/>
      <c r="K8" s="25"/>
      <c r="L8" s="25"/>
      <c r="M8" s="25"/>
      <c r="N8" s="25"/>
      <c r="O8" s="25"/>
      <c r="P8" s="25"/>
      <c r="Q8" s="25"/>
      <c r="R8" s="25"/>
      <c r="S8" s="25"/>
      <c r="T8" s="26"/>
      <c r="U8" s="26"/>
      <c r="V8" s="26"/>
      <c r="AD8" s="94" t="s">
        <v>65</v>
      </c>
      <c r="AE8" s="21"/>
      <c r="AF8" s="21"/>
      <c r="AG8" s="21"/>
      <c r="AH8" s="21"/>
      <c r="AI8" s="112" t="s">
        <v>45</v>
      </c>
      <c r="AJ8" s="33"/>
      <c r="AK8" s="22"/>
      <c r="AL8" s="21"/>
      <c r="AM8" s="21"/>
      <c r="AN8" s="21"/>
      <c r="AO8" s="101"/>
      <c r="AP8" s="94"/>
      <c r="AQ8" s="21"/>
      <c r="AR8" s="21"/>
      <c r="AS8" s="21"/>
      <c r="AT8" s="21"/>
      <c r="AU8" s="112" t="s">
        <v>45</v>
      </c>
      <c r="AV8" s="33"/>
      <c r="AW8" s="218"/>
      <c r="AX8" s="21"/>
      <c r="AY8" s="21"/>
      <c r="AZ8" s="21"/>
      <c r="BA8" s="101"/>
      <c r="BC8" s="178">
        <f>_xll.qlCalendarAdvance(Calendar,BC7,"1d","mf",,Trigger)</f>
        <v>42283</v>
      </c>
      <c r="BD8" s="41">
        <f>_xll.qlDayCounterYearFraction(DayCounter,SettlementDate,BC8,,,Trigger)</f>
        <v>1.1111111111111112E-2</v>
      </c>
      <c r="BE8" s="47">
        <f>_xll.qlPolynomialFunctionValue(BE$1,$BD8,AllTriggers)</f>
        <v>2.6998704656836826E-4</v>
      </c>
      <c r="BF8" s="47">
        <f>_xll.qlPolynomialFunctionValue(BF$1,$BD8,AllTriggers)</f>
        <v>2.6073990875857508E-4</v>
      </c>
      <c r="BG8" s="47">
        <f>_xll.qlPolynomialFunctionValue(BG$1,$BD8,AllTriggers)</f>
        <v>3.2864904845716642E-4</v>
      </c>
      <c r="BH8" s="47">
        <f>_xll.qlPolynomialFunctionValue(BH$1,$BD8,AllTriggers)</f>
        <v>5.648257231636168E-4</v>
      </c>
      <c r="BI8" s="47">
        <f>_xll.qlPolynomialFunctionValue(BI$1,$BD8,AllTriggers)</f>
        <v>2.7001574090900783E-4</v>
      </c>
      <c r="BJ8" s="47">
        <f>_xll.qlPolynomialFunctionValue(BJ$1,$BD8,AllTriggers)</f>
        <v>2.6160250978160679E-4</v>
      </c>
      <c r="BK8" s="47">
        <f>_xll.qlPolynomialFunctionValue(BK$1,$BD8,AllTriggers)</f>
        <v>3.252367492065628E-4</v>
      </c>
      <c r="BL8" s="47">
        <f>_xll.qlPolynomialFunctionValue(BL$1,$BD8,AllTriggers)</f>
        <v>5.6745356685263719E-4</v>
      </c>
      <c r="BM8" s="47">
        <f>_xll.qlPolynomialFunctionValue(BM$1,$BD8,AllTriggers)</f>
        <v>2.4257957753546049E-4</v>
      </c>
      <c r="BN8" s="47">
        <f>_xll.qlPolynomialFunctionValue(BN$1,$BD8,AllTriggers)</f>
        <v>3.0649171899530252E-4</v>
      </c>
      <c r="BO8" s="47">
        <f>_xll.qlPolynomialFunctionValue(BO$1,$BD8,AllTriggers)</f>
        <v>1.8942673723697299E-4</v>
      </c>
      <c r="BP8" s="47">
        <f>_xll.qlPolynomialFunctionValue(BP$1,$BD8,AllTriggers)</f>
        <v>5.6482572316361669E-4</v>
      </c>
      <c r="BQ8" s="47">
        <f>_xll.qlPolynomialFunctionValue('1MSynthDepo_used'!$P$18,BD8,AllTriggers)</f>
        <v>2.3290598846069808E-4</v>
      </c>
    </row>
    <row r="9" spans="1:69" ht="12" customHeight="1" x14ac:dyDescent="0.2">
      <c r="A9" s="21"/>
      <c r="B9" s="55"/>
      <c r="C9" s="22"/>
      <c r="D9" s="23"/>
      <c r="E9" s="23"/>
      <c r="F9" s="122"/>
      <c r="G9" s="122"/>
      <c r="H9" s="123"/>
      <c r="I9" s="24"/>
      <c r="J9" s="25"/>
      <c r="K9" s="25"/>
      <c r="L9" s="25"/>
      <c r="M9" s="25"/>
      <c r="N9" s="25"/>
      <c r="O9" s="25"/>
      <c r="P9" s="25"/>
      <c r="Q9" s="25"/>
      <c r="R9" s="25"/>
      <c r="S9" s="25"/>
      <c r="T9" s="26"/>
      <c r="U9" s="26"/>
      <c r="V9" s="26"/>
      <c r="AD9" s="94"/>
      <c r="AE9" s="32"/>
      <c r="AF9" s="27">
        <f t="array" ref="AF9:AF10">_xll.ohFilter(K3:K9,U3:U9)</f>
        <v>8.611111111111111E-2</v>
      </c>
      <c r="AG9" s="28">
        <f t="array" ref="AG9:AG10">_xll.ohFilter(J3:J9,U3:U9)</f>
        <v>1</v>
      </c>
      <c r="AH9" s="303" t="s">
        <v>20</v>
      </c>
      <c r="AI9" s="29">
        <f t="array" ref="AI9:AI10">MMULT(AL9:AM10,AK9:AK10)</f>
        <v>-4.9649616423701887E-4</v>
      </c>
      <c r="AJ9" s="303" t="s">
        <v>21</v>
      </c>
      <c r="AK9" s="30">
        <f t="array" ref="AK9:AK10">_xll.ohFilter(H3:H9,U3:U9)</f>
        <v>2.7003491795696277E-4</v>
      </c>
      <c r="AL9" s="27">
        <f t="array" ref="AL9:AM10">MINVERSE(AF9:AG10)</f>
        <v>-11.999999999999998</v>
      </c>
      <c r="AM9" s="28">
        <v>11.999999999999998</v>
      </c>
      <c r="AN9" s="21"/>
      <c r="AO9" s="101"/>
      <c r="AP9" s="94"/>
      <c r="AQ9" s="32"/>
      <c r="AR9" s="27">
        <f t="array" ref="AR9:AR10">_xll.ohFilter(Q3:Q9,U3:U9)</f>
        <v>1.064814814814815E-2</v>
      </c>
      <c r="AS9" s="28">
        <f t="array" ref="AS9:AS10">_xll.ohFilter(P3:P9,U3:U9)</f>
        <v>8.3333333333333343E-2</v>
      </c>
      <c r="AT9" s="303" t="s">
        <v>20</v>
      </c>
      <c r="AU9" s="29">
        <f t="array" ref="AU9:AU10">MMULT(AX9:AY10,AW9:AW10)</f>
        <v>-4.7289488637455466E-4</v>
      </c>
      <c r="AV9" s="303" t="s">
        <v>21</v>
      </c>
      <c r="AW9" s="56">
        <f t="array" ref="AW9:AW10">_xll.ohFilter(M3:M9,U3:U9)</f>
        <v>2.2505473260794292E-5</v>
      </c>
      <c r="AX9" s="27">
        <f t="array" ref="AX9:AY10">MINVERSE(AR9:AS10)</f>
        <v>-137.14285714285708</v>
      </c>
      <c r="AY9" s="28">
        <v>124.6753246753246</v>
      </c>
      <c r="AZ9" s="21"/>
      <c r="BA9" s="101"/>
      <c r="BC9" s="178">
        <f>_xll.qlCalendarAdvance(Calendar,BC8,"1d","mf",,Trigger)</f>
        <v>42284</v>
      </c>
      <c r="BD9" s="41">
        <f>_xll.qlDayCounterYearFraction(DayCounter,SettlementDate,BC9,,,Trigger)</f>
        <v>1.3888888888888888E-2</v>
      </c>
      <c r="BE9" s="47">
        <f>_xll.qlPolynomialFunctionValue(BE$1,$BD9,AllTriggers)</f>
        <v>2.6998817295398228E-4</v>
      </c>
      <c r="BF9" s="47">
        <f>_xll.qlPolynomialFunctionValue(BF$1,$BD9,AllTriggers)</f>
        <v>2.6194029689929275E-4</v>
      </c>
      <c r="BG9" s="47">
        <f>_xll.qlPolynomialFunctionValue(BG$1,$BD9,AllTriggers)</f>
        <v>3.2726989244539692E-4</v>
      </c>
      <c r="BH9" s="47">
        <f>_xll.qlPolynomialFunctionValue(BH$1,$BD9,AllTriggers)</f>
        <v>5.5447534232265798E-4</v>
      </c>
      <c r="BI9" s="47">
        <f>_xll.qlPolynomialFunctionValue(BI$1,$BD9,AllTriggers)</f>
        <v>2.7001692991425837E-4</v>
      </c>
      <c r="BJ9" s="47">
        <f>_xll.qlPolynomialFunctionValue(BJ$1,$BD9,AllTriggers)</f>
        <v>2.6270168489409094E-4</v>
      </c>
      <c r="BK9" s="47">
        <f>_xll.qlPolynomialFunctionValue(BK$1,$BD9,AllTriggers)</f>
        <v>3.2392315229996685E-4</v>
      </c>
      <c r="BL9" s="47">
        <f>_xll.qlPolynomialFunctionValue(BL$1,$BD9,AllTriggers)</f>
        <v>5.5695601543588678E-4</v>
      </c>
      <c r="BM9" s="47">
        <f>_xll.qlPolynomialFunctionValue(BM$1,$BD9,AllTriggers)</f>
        <v>2.43205145403274E-4</v>
      </c>
      <c r="BN9" s="47">
        <f>_xll.qlPolynomialFunctionValue(BN$1,$BD9,AllTriggers)</f>
        <v>3.0364229748404127E-4</v>
      </c>
      <c r="BO9" s="47">
        <f>_xll.qlPolynomialFunctionValue(BO$1,$BD9,AllTriggers)</f>
        <v>1.9068374333115003E-4</v>
      </c>
      <c r="BP9" s="47">
        <f>_xll.qlPolynomialFunctionValue(BP$1,$BD9,AllTriggers)</f>
        <v>5.5447534232265787E-4</v>
      </c>
      <c r="BQ9" s="47">
        <f>_xll.qlPolynomialFunctionValue('1MSynthDepo_used'!$P$18,BD9,AllTriggers)</f>
        <v>2.3857754995714738E-4</v>
      </c>
    </row>
    <row r="10" spans="1:69" ht="12" customHeight="1" x14ac:dyDescent="0.2">
      <c r="A10" s="21"/>
      <c r="B10" s="55"/>
      <c r="C10" s="22"/>
      <c r="D10" s="23"/>
      <c r="E10" s="23"/>
      <c r="F10" s="122"/>
      <c r="G10" s="122"/>
      <c r="H10" s="123"/>
      <c r="I10" s="24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6"/>
      <c r="U10" s="26"/>
      <c r="V10" s="26"/>
      <c r="W10" s="26"/>
      <c r="AD10" s="94"/>
      <c r="AE10" s="32"/>
      <c r="AF10" s="27">
        <v>0.16944444444444445</v>
      </c>
      <c r="AG10" s="28">
        <v>1</v>
      </c>
      <c r="AH10" s="303"/>
      <c r="AI10" s="29">
        <v>3.1278875432181718E-4</v>
      </c>
      <c r="AJ10" s="303"/>
      <c r="AK10" s="30">
        <v>2.2866023760387787E-4</v>
      </c>
      <c r="AL10" s="27">
        <v>2.0333333333333332</v>
      </c>
      <c r="AM10" s="28">
        <v>-1.0333333333333334</v>
      </c>
      <c r="AN10" s="21"/>
      <c r="AO10" s="101"/>
      <c r="AP10" s="94"/>
      <c r="AQ10" s="32"/>
      <c r="AR10" s="27">
        <v>1.9733796296296301E-2</v>
      </c>
      <c r="AS10" s="28">
        <v>9.1666666666666674E-2</v>
      </c>
      <c r="AT10" s="303"/>
      <c r="AU10" s="29">
        <v>3.3049113683294675E-4</v>
      </c>
      <c r="AV10" s="303"/>
      <c r="AW10" s="56">
        <v>2.0963009519077813E-5</v>
      </c>
      <c r="AX10" s="27">
        <v>29.523809523809515</v>
      </c>
      <c r="AY10" s="28">
        <v>-15.930735930735924</v>
      </c>
      <c r="AZ10" s="21"/>
      <c r="BA10" s="101"/>
      <c r="BC10" s="178">
        <f>_xll.qlCalendarAdvance(Calendar,BC9,"1d","mf",,Trigger)</f>
        <v>42285</v>
      </c>
      <c r="BD10" s="41">
        <f>_xll.qlDayCounterYearFraction(DayCounter,SettlementDate,BC10,,,Trigger)</f>
        <v>1.6666666666666666E-2</v>
      </c>
      <c r="BE10" s="47">
        <f>_xll.qlPolynomialFunctionValue(BE$1,$BD10,AllTriggers)</f>
        <v>2.6998929933959623E-4</v>
      </c>
      <c r="BF10" s="47">
        <f>_xll.qlPolynomialFunctionValue(BF$1,$BD10,AllTriggers)</f>
        <v>2.6309542987944045E-4</v>
      </c>
      <c r="BG10" s="47">
        <f>_xll.qlPolynomialFunctionValue(BG$1,$BD10,AllTriggers)</f>
        <v>3.2589073643362742E-4</v>
      </c>
      <c r="BH10" s="47">
        <f>_xll.qlPolynomialFunctionValue(BH$1,$BD10,AllTriggers)</f>
        <v>5.4428235139098325E-4</v>
      </c>
      <c r="BI10" s="47">
        <f>_xll.qlPolynomialFunctionValue(BI$1,$BD10,AllTriggers)</f>
        <v>2.7001811891950897E-4</v>
      </c>
      <c r="BJ10" s="47">
        <f>_xll.qlPolynomialFunctionValue(BJ$1,$BD10,AllTriggers)</f>
        <v>2.6375889875406927E-4</v>
      </c>
      <c r="BK10" s="47">
        <f>_xll.qlPolynomialFunctionValue(BK$1,$BD10,AllTriggers)</f>
        <v>3.2260955539337085E-4</v>
      </c>
      <c r="BL10" s="47">
        <f>_xll.qlPolynomialFunctionValue(BL$1,$BD10,AllTriggers)</f>
        <v>5.4661818496713895E-4</v>
      </c>
      <c r="BM10" s="47">
        <f>_xll.qlPolynomialFunctionValue(BM$1,$BD10,AllTriggers)</f>
        <v>2.4383071327108754E-4</v>
      </c>
      <c r="BN10" s="47">
        <f>_xll.qlPolynomialFunctionValue(BN$1,$BD10,AllTriggers)</f>
        <v>3.0085267491956988E-4</v>
      </c>
      <c r="BO10" s="47">
        <f>_xll.qlPolynomialFunctionValue(BO$1,$BD10,AllTriggers)</f>
        <v>1.9194074942532706E-4</v>
      </c>
      <c r="BP10" s="47">
        <f>_xll.qlPolynomialFunctionValue(BP$1,$BD10,AllTriggers)</f>
        <v>5.4428235139098314E-4</v>
      </c>
      <c r="BQ10" s="47">
        <f>_xll.qlPolynomialFunctionValue('1MSynthDepo_used'!$P$18,BD10,AllTriggers)</f>
        <v>2.4392793285851419E-4</v>
      </c>
    </row>
    <row r="11" spans="1:69" ht="12" customHeight="1" x14ac:dyDescent="0.2">
      <c r="A11" s="21"/>
      <c r="B11" s="55"/>
      <c r="C11" s="21"/>
      <c r="D11" s="21"/>
      <c r="E11" s="21"/>
      <c r="F11" s="21"/>
      <c r="G11" s="21"/>
      <c r="AD11" s="94"/>
      <c r="AE11" s="21"/>
      <c r="AF11" s="21"/>
      <c r="AG11" s="21"/>
      <c r="AH11" s="21"/>
      <c r="AI11" s="111"/>
      <c r="AJ11" s="33"/>
      <c r="AK11" s="22"/>
      <c r="AL11" s="21"/>
      <c r="AM11" s="21"/>
      <c r="AN11" s="21"/>
      <c r="AO11" s="101"/>
      <c r="AP11" s="94"/>
      <c r="AQ11" s="21"/>
      <c r="AR11" s="21"/>
      <c r="AS11" s="21"/>
      <c r="AT11" s="21"/>
      <c r="AU11" s="111"/>
      <c r="AV11" s="33"/>
      <c r="AW11" s="22"/>
      <c r="AX11" s="21"/>
      <c r="AY11" s="21"/>
      <c r="AZ11" s="21"/>
      <c r="BA11" s="101"/>
      <c r="BC11" s="178">
        <f>_xll.qlCalendarAdvance(Calendar,BC10,"1d","mf",,Trigger)</f>
        <v>42286</v>
      </c>
      <c r="BD11" s="41">
        <f>_xll.qlDayCounterYearFraction(DayCounter,SettlementDate,BC11,,,Trigger)</f>
        <v>1.9444444444444445E-2</v>
      </c>
      <c r="BE11" s="47">
        <f>_xll.qlPolynomialFunctionValue(BE$1,$BD11,AllTriggers)</f>
        <v>2.6999042572521025E-4</v>
      </c>
      <c r="BF11" s="47">
        <f>_xll.qlPolynomialFunctionValue(BF$1,$BD11,AllTriggers)</f>
        <v>2.6420530769901828E-4</v>
      </c>
      <c r="BG11" s="47">
        <f>_xll.qlPolynomialFunctionValue(BG$1,$BD11,AllTriggers)</f>
        <v>3.2451158042185791E-4</v>
      </c>
      <c r="BH11" s="47">
        <f>_xll.qlPolynomialFunctionValue(BH$1,$BD11,AllTriggers)</f>
        <v>5.342467503685925E-4</v>
      </c>
      <c r="BI11" s="47">
        <f>_xll.qlPolynomialFunctionValue(BI$1,$BD11,AllTriggers)</f>
        <v>2.7001930792475951E-4</v>
      </c>
      <c r="BJ11" s="47">
        <f>_xll.qlPolynomialFunctionValue(BJ$1,$BD11,AllTriggers)</f>
        <v>2.6477415136154191E-4</v>
      </c>
      <c r="BK11" s="47">
        <f>_xll.qlPolynomialFunctionValue(BK$1,$BD11,AllTriggers)</f>
        <v>3.2129595848677485E-4</v>
      </c>
      <c r="BL11" s="47">
        <f>_xll.qlPolynomialFunctionValue(BL$1,$BD11,AllTriggers)</f>
        <v>5.3644007544639393E-4</v>
      </c>
      <c r="BM11" s="47">
        <f>_xll.qlPolynomialFunctionValue(BM$1,$BD11,AllTriggers)</f>
        <v>2.4445628113890105E-4</v>
      </c>
      <c r="BN11" s="47">
        <f>_xll.qlPolynomialFunctionValue(BN$1,$BD11,AllTriggers)</f>
        <v>2.9812285130188841E-4</v>
      </c>
      <c r="BO11" s="47">
        <f>_xll.qlPolynomialFunctionValue(BO$1,$BD11,AllTriggers)</f>
        <v>1.931977555195041E-4</v>
      </c>
      <c r="BP11" s="47">
        <f>_xll.qlPolynomialFunctionValue(BP$1,$BD11,AllTriggers)</f>
        <v>5.3424675036859229E-4</v>
      </c>
      <c r="BQ11" s="47">
        <f>_xll.qlPolynomialFunctionValue('1MSynthDepo_used'!$P$18,BD11,AllTriggers)</f>
        <v>2.4896387779550517E-4</v>
      </c>
    </row>
    <row r="12" spans="1:69" ht="12" customHeight="1" x14ac:dyDescent="0.2">
      <c r="B12" s="21"/>
      <c r="C12" s="116" t="s">
        <v>67</v>
      </c>
      <c r="D12" s="117"/>
      <c r="E12" s="117"/>
      <c r="F12" s="117"/>
      <c r="G12" s="117"/>
      <c r="H12" s="117"/>
      <c r="I12" s="116"/>
      <c r="J12" s="116"/>
      <c r="P12" s="55"/>
      <c r="Q12" s="55"/>
      <c r="R12" s="55"/>
      <c r="S12" s="116" t="str">
        <f>"with 0X"&amp;SUBSTITUTE($D$21,"M","")</f>
        <v>with 0X1</v>
      </c>
      <c r="T12" s="118"/>
      <c r="U12" s="117" t="str">
        <f>"without 0X"&amp;SUBSTITUTE($D$21,"M","")</f>
        <v>without 0X1</v>
      </c>
      <c r="V12" s="118"/>
      <c r="AD12" s="219" t="s">
        <v>42</v>
      </c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2"/>
      <c r="AP12" s="219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2"/>
      <c r="BC12" s="178">
        <f>_xll.qlCalendarAdvance(Calendar,BC11,"1d","mf",,Trigger)</f>
        <v>42289</v>
      </c>
      <c r="BD12" s="41">
        <f>_xll.qlDayCounterYearFraction(DayCounter,SettlementDate,BC12,,,Trigger)</f>
        <v>2.7777777777777776E-2</v>
      </c>
      <c r="BE12" s="47">
        <f>_xll.qlPolynomialFunctionValue(BE$1,$BD12,AllTriggers)</f>
        <v>2.6999380488205223E-4</v>
      </c>
      <c r="BF12" s="47">
        <f>_xll.qlPolynomialFunctionValue(BF$1,$BD12,AllTriggers)</f>
        <v>2.6726341019433185E-4</v>
      </c>
      <c r="BG12" s="47">
        <f>_xll.qlPolynomialFunctionValue(BG$1,$BD12,AllTriggers)</f>
        <v>3.203741123865494E-4</v>
      </c>
      <c r="BH12" s="47">
        <f>_xll.qlPolynomialFunctionValue(BH$1,$BD12,AllTriggers)</f>
        <v>5.0508428675712428E-4</v>
      </c>
      <c r="BI12" s="47">
        <f>_xll.qlPolynomialFunctionValue(BI$1,$BD12,AllTriggers)</f>
        <v>2.7002287494051118E-4</v>
      </c>
      <c r="BJ12" s="47">
        <f>_xll.qlPolynomialFunctionValue(BJ$1,$BD12,AllTriggers)</f>
        <v>2.6756814166892538E-4</v>
      </c>
      <c r="BK12" s="47">
        <f>_xll.qlPolynomialFunctionValue(BK$1,$BD12,AllTriggers)</f>
        <v>3.1735516776698689E-4</v>
      </c>
      <c r="BL12" s="47">
        <f>_xll.qlPolynomialFunctionValue(BL$1,$BD12,AllTriggers)</f>
        <v>5.0686407257217471E-4</v>
      </c>
      <c r="BM12" s="47">
        <f>_xll.qlPolynomialFunctionValue(BM$1,$BD12,AllTriggers)</f>
        <v>2.4633298474234158E-4</v>
      </c>
      <c r="BN12" s="47">
        <f>_xll.qlPolynomialFunctionValue(BN$1,$BD12,AllTriggers)</f>
        <v>2.902921741295833E-4</v>
      </c>
      <c r="BO12" s="47">
        <f>_xll.qlPolynomialFunctionValue(BO$1,$BD12,AllTriggers)</f>
        <v>1.969687738020352E-4</v>
      </c>
      <c r="BP12" s="47">
        <f>_xll.qlPolynomialFunctionValue(BP$1,$BD12,AllTriggers)</f>
        <v>5.0508428675712406E-4</v>
      </c>
      <c r="BQ12" s="47">
        <f>_xll.qlPolynomialFunctionValue('1MSynthDepo_used'!$P$18,BD12,AllTriggers)</f>
        <v>2.6225249112728888E-4</v>
      </c>
    </row>
    <row r="13" spans="1:69" ht="22.5" customHeight="1" x14ac:dyDescent="0.2">
      <c r="C13" s="36" t="s">
        <v>43</v>
      </c>
      <c r="D13" s="36" t="s">
        <v>101</v>
      </c>
      <c r="E13" s="36" t="s">
        <v>102</v>
      </c>
      <c r="F13" s="36" t="s">
        <v>56</v>
      </c>
      <c r="G13" s="36" t="str">
        <f>"F "&amp;$D$21</f>
        <v>F 1M</v>
      </c>
      <c r="H13" s="36" t="str">
        <f>"B "&amp;$D$21</f>
        <v>B 1M</v>
      </c>
      <c r="I13" s="36" t="s">
        <v>89</v>
      </c>
      <c r="J13" s="36" t="s">
        <v>104</v>
      </c>
      <c r="P13" s="55"/>
      <c r="Q13" s="55"/>
      <c r="R13" s="55"/>
      <c r="S13" s="36" t="s">
        <v>41</v>
      </c>
      <c r="T13" s="36" t="s">
        <v>42</v>
      </c>
      <c r="U13" s="36" t="s">
        <v>41</v>
      </c>
      <c r="V13" s="36" t="s">
        <v>42</v>
      </c>
      <c r="AD13" s="94" t="s">
        <v>64</v>
      </c>
      <c r="AE13" s="21"/>
      <c r="AF13" s="21"/>
      <c r="AG13" s="21"/>
      <c r="AH13" s="21"/>
      <c r="AI13" s="113" t="s">
        <v>44</v>
      </c>
      <c r="AJ13" s="21"/>
      <c r="AK13" s="21"/>
      <c r="AL13" s="21"/>
      <c r="AM13" s="21"/>
      <c r="AN13" s="21"/>
      <c r="AO13" s="101"/>
      <c r="AP13" s="94"/>
      <c r="AQ13" s="21"/>
      <c r="AR13" s="21"/>
      <c r="AS13" s="21"/>
      <c r="AT13" s="21"/>
      <c r="AU13" s="113" t="s">
        <v>44</v>
      </c>
      <c r="AV13" s="21"/>
      <c r="AW13" s="21"/>
      <c r="AX13" s="21"/>
      <c r="AY13" s="21"/>
      <c r="AZ13" s="21"/>
      <c r="BA13" s="101"/>
      <c r="BC13" s="178">
        <f>_xll.qlCalendarAdvance(Calendar,BC12,"1d","mf",,Trigger)</f>
        <v>42290</v>
      </c>
      <c r="BD13" s="41">
        <f>_xll.qlDayCounterYearFraction(DayCounter,SettlementDate,BC13,,,Trigger)</f>
        <v>3.0555555555555555E-2</v>
      </c>
      <c r="BE13" s="47">
        <f>_xll.qlPolynomialFunctionValue(BE$1,$BD13,AllTriggers)</f>
        <v>2.6999493126766619E-4</v>
      </c>
      <c r="BF13" s="47">
        <f>_xll.qlPolynomialFunctionValue(BF$1,$BD13,AllTriggers)</f>
        <v>2.6819226737162977E-4</v>
      </c>
      <c r="BG13" s="47">
        <f>_xll.qlPolynomialFunctionValue(BG$1,$BD13,AllTriggers)</f>
        <v>3.189949563747799E-4</v>
      </c>
      <c r="BH13" s="47">
        <f>_xll.qlPolynomialFunctionValue(BH$1,$BD13,AllTriggers)</f>
        <v>4.9567824537186957E-4</v>
      </c>
      <c r="BI13" s="47">
        <f>_xll.qlPolynomialFunctionValue(BI$1,$BD13,AllTriggers)</f>
        <v>2.7002406394576177E-4</v>
      </c>
      <c r="BJ13" s="47">
        <f>_xll.qlPolynomialFunctionValue(BJ$1,$BD13,AllTriggers)</f>
        <v>2.6841554926637504E-4</v>
      </c>
      <c r="BK13" s="47">
        <f>_xll.qlPolynomialFunctionValue(BK$1,$BD13,AllTriggers)</f>
        <v>3.1604157086039089E-4</v>
      </c>
      <c r="BL13" s="47">
        <f>_xll.qlPolynomialFunctionValue(BL$1,$BD13,AllTriggers)</f>
        <v>4.9732484684344037E-4</v>
      </c>
      <c r="BM13" s="47">
        <f>_xll.qlPolynomialFunctionValue(BM$1,$BD13,AllTriggers)</f>
        <v>2.4695855261015515E-4</v>
      </c>
      <c r="BN13" s="47">
        <f>_xll.qlPolynomialFunctionValue(BN$1,$BD13,AllTriggers)</f>
        <v>2.8780154629906129E-4</v>
      </c>
      <c r="BO13" s="47">
        <f>_xll.qlPolynomialFunctionValue(BO$1,$BD13,AllTriggers)</f>
        <v>1.9822577989621223E-4</v>
      </c>
      <c r="BP13" s="47">
        <f>_xll.qlPolynomialFunctionValue(BP$1,$BD13,AllTriggers)</f>
        <v>4.9567824537186946E-4</v>
      </c>
      <c r="BQ13" s="47">
        <f>_xll.qlPolynomialFunctionValue('1MSynthDepo_used'!$P$18,BD13,AllTriggers)</f>
        <v>2.660980905138425E-4</v>
      </c>
    </row>
    <row r="14" spans="1:69" ht="12" customHeight="1" x14ac:dyDescent="0.2">
      <c r="A14" s="19">
        <f>A3</f>
        <v>0</v>
      </c>
      <c r="B14" s="55">
        <f>A14+SUBSTITUTE($D$21,"M","")</f>
        <v>1</v>
      </c>
      <c r="C14" s="171" t="str">
        <f>"B"&amp;$D$21&amp;"_"&amp;A14&amp;"X"&amp;B14&amp;$D$25</f>
        <v>B1M_0X1ESTIMATED</v>
      </c>
      <c r="D14" s="186">
        <f>SettlementDate</f>
        <v>42279</v>
      </c>
      <c r="E14" s="186">
        <f>_xll.qlInterestRateIndexMaturity($D$22,D14)</f>
        <v>42310</v>
      </c>
      <c r="F14" s="172">
        <f>_xll.qlIndexFixing(ON_1M_index,_xll.qlInterestRateIndexFixingDate(ON_1M_index,D14,Trigger),,AllTriggers)</f>
        <v>-1.4000000000040146E-3</v>
      </c>
      <c r="G14" s="172">
        <f>H14+F14</f>
        <v>-1.1300000000010854E-3</v>
      </c>
      <c r="H14" s="226">
        <f>_xll.qlQuoteValue(C14,_xll.ohTrigger(InterestRatesTrigger,'1MSynthDepo_used'!$F$1))</f>
        <v>2.7000000000292914E-4</v>
      </c>
      <c r="I14" s="173">
        <f>_xll.qlDayCounterYearFraction(DayCounter,SettlementDate,D14,,,Trigger)</f>
        <v>0</v>
      </c>
      <c r="J14" s="244">
        <v>1</v>
      </c>
      <c r="P14" s="55"/>
      <c r="Q14" s="55"/>
      <c r="R14" s="55"/>
      <c r="S14" s="174" t="b">
        <v>1</v>
      </c>
      <c r="T14" s="174" t="b">
        <v>1</v>
      </c>
      <c r="U14" s="174" t="b">
        <v>0</v>
      </c>
      <c r="V14" s="174" t="b">
        <v>0</v>
      </c>
      <c r="AD14" s="94"/>
      <c r="AE14" s="27">
        <f t="array" ref="AE14:AE16">_xll.ohFilter(L3:L9,T3:T9)</f>
        <v>0</v>
      </c>
      <c r="AF14" s="31">
        <f t="array" ref="AF14:AF16">_xll.ohFilter(K3:K9,T3:T9)</f>
        <v>0</v>
      </c>
      <c r="AG14" s="28">
        <f t="array" ref="AG14:AG16">_xll.ohFilter(J3:J9,T3:T9)</f>
        <v>1</v>
      </c>
      <c r="AH14" s="303" t="s">
        <v>20</v>
      </c>
      <c r="AI14" s="29">
        <f t="array" ref="AI14:AI16">MMULT(AL14:AN16,AK14:AK16)</f>
        <v>-2.9325344049327788E-3</v>
      </c>
      <c r="AJ14" s="303" t="s">
        <v>21</v>
      </c>
      <c r="AK14" s="56">
        <f t="array" ref="AK14:AK16">_xll.ohFilter(H3:H9,T3:T9)</f>
        <v>2.7000000000292914E-4</v>
      </c>
      <c r="AL14" s="27">
        <f t="array" ref="AL14:AN16">MINVERSE(AE14:AG16)</f>
        <v>68.535166578529882</v>
      </c>
      <c r="AM14" s="31">
        <v>-139.35483870967741</v>
      </c>
      <c r="AN14" s="28">
        <v>70.819672131147527</v>
      </c>
      <c r="AO14" s="101"/>
      <c r="AP14" s="94"/>
      <c r="AQ14" s="27">
        <f t="array" ref="AQ14:AQ16">_xll.ohFilter(R3:R9,T3:T9)</f>
        <v>2.1284150663008689E-4</v>
      </c>
      <c r="AR14" s="31">
        <f t="array" ref="AR14:AR16">_xll.ohFilter(Q3:Q9,T3:T9)</f>
        <v>3.7075617283950616E-3</v>
      </c>
      <c r="AS14" s="28">
        <f t="array" ref="AS14:AS16">_xll.ohFilter(P3:P9,T3:T9)</f>
        <v>8.611111111111111E-2</v>
      </c>
      <c r="AT14" s="303" t="s">
        <v>20</v>
      </c>
      <c r="AU14" s="29">
        <f t="array" ref="AU14:AU16">MMULT(AX14:AZ16,AW14:AW16)</f>
        <v>-2.7190891623720004E-3</v>
      </c>
      <c r="AV14" s="303" t="s">
        <v>21</v>
      </c>
      <c r="AW14" s="56">
        <f t="array" ref="AW14:AW16">_xll.ohFilter(M3:M9,T3:T9)</f>
        <v>2.3252532912641858E-5</v>
      </c>
      <c r="AX14" s="27">
        <f t="array" ref="AX14:AZ16">MINVERSE(AQ14:AS16)</f>
        <v>787.42531813630001</v>
      </c>
      <c r="AY14" s="31">
        <v>-1601.5147740295961</v>
      </c>
      <c r="AZ14" s="28">
        <v>716.21995026250272</v>
      </c>
      <c r="BA14" s="101"/>
      <c r="BC14" s="178">
        <f>_xll.qlCalendarAdvance(Calendar,BC13,"1d","mf",,Trigger)</f>
        <v>42291</v>
      </c>
      <c r="BD14" s="41">
        <f>_xll.qlDayCounterYearFraction(DayCounter,SettlementDate,BC14,,,Trigger)</f>
        <v>3.3333333333333333E-2</v>
      </c>
      <c r="BE14" s="47">
        <f>_xll.qlPolynomialFunctionValue(BE$1,$BD14,AllTriggers)</f>
        <v>2.699960576532802E-4</v>
      </c>
      <c r="BF14" s="47">
        <f>_xll.qlPolynomialFunctionValue(BF$1,$BD14,AllTriggers)</f>
        <v>2.6907586938835788E-4</v>
      </c>
      <c r="BG14" s="47">
        <f>_xll.qlPolynomialFunctionValue(BG$1,$BD14,AllTriggers)</f>
        <v>3.1761580036301045E-4</v>
      </c>
      <c r="BH14" s="47">
        <f>_xll.qlPolynomialFunctionValue(BH$1,$BD14,AllTriggers)</f>
        <v>4.864295938958989E-4</v>
      </c>
      <c r="BI14" s="47">
        <f>_xll.qlPolynomialFunctionValue(BI$1,$BD14,AllTriggers)</f>
        <v>2.7002525295101231E-4</v>
      </c>
      <c r="BJ14" s="47">
        <f>_xll.qlPolynomialFunctionValue(BJ$1,$BD14,AllTriggers)</f>
        <v>2.6922099561131895E-4</v>
      </c>
      <c r="BK14" s="47">
        <f>_xll.qlPolynomialFunctionValue(BK$1,$BD14,AllTriggers)</f>
        <v>3.1472797395379494E-4</v>
      </c>
      <c r="BL14" s="47">
        <f>_xll.qlPolynomialFunctionValue(BL$1,$BD14,AllTriggers)</f>
        <v>4.8794534206270872E-4</v>
      </c>
      <c r="BM14" s="47">
        <f>_xll.qlPolynomialFunctionValue(BM$1,$BD14,AllTriggers)</f>
        <v>2.4758412047796866E-4</v>
      </c>
      <c r="BN14" s="47">
        <f>_xll.qlPolynomialFunctionValue(BN$1,$BD14,AllTriggers)</f>
        <v>2.8537071741532931E-4</v>
      </c>
      <c r="BO14" s="47">
        <f>_xll.qlPolynomialFunctionValue(BO$1,$BD14,AllTriggers)</f>
        <v>1.9948278599038924E-4</v>
      </c>
      <c r="BP14" s="47">
        <f>_xll.qlPolynomialFunctionValue(BP$1,$BD14,AllTriggers)</f>
        <v>4.864295938958988E-4</v>
      </c>
      <c r="BQ14" s="47">
        <f>_xll.qlPolynomialFunctionValue('1MSynthDepo_used'!$P$18,BD14,AllTriggers)</f>
        <v>2.6966295508955323E-4</v>
      </c>
    </row>
    <row r="15" spans="1:69" ht="12" customHeight="1" x14ac:dyDescent="0.2">
      <c r="A15" s="21">
        <f t="shared" ref="A15:A17" si="6">A4</f>
        <v>1</v>
      </c>
      <c r="B15" s="55">
        <f>A15+SUBSTITUTE($D$21,"M","")</f>
        <v>2</v>
      </c>
      <c r="C15" s="39" t="str">
        <f>"B"&amp;$D$21&amp;"_"&amp;A15&amp;"X"&amp;B15</f>
        <v>B1M_1X2</v>
      </c>
      <c r="D15" s="177">
        <f>_xll.qlCalendarAdvance(Calendar,SettlementDate,A15&amp;"M","mf")</f>
        <v>42310</v>
      </c>
      <c r="E15" s="177">
        <f>_xll.qlInterestRateIndexMaturity($D$22,D15)</f>
        <v>42340</v>
      </c>
      <c r="F15" s="53">
        <f>_xll.qlIndexFixing(ON_1M_index,_xll.qlInterestRateIndexFixingDate(ON_1M_index,D15,Trigger),,AllTriggers)</f>
        <v>-1.5018477227486393E-3</v>
      </c>
      <c r="G15" s="53">
        <f t="shared" ref="G15:G17" si="7">H15+F15</f>
        <v>-1.2318128047916765E-3</v>
      </c>
      <c r="H15" s="202">
        <f>_xll.qlQuoteValue(C15,_xll.ohTrigger(InterestRatesTrigger,'1MSynthDepo_used'!$F$1))</f>
        <v>2.7003491795696277E-4</v>
      </c>
      <c r="I15" s="41">
        <f>_xll.qlDayCounterYearFraction(DayCounter,SettlementDate,D15,,,Trigger)</f>
        <v>8.611111111111111E-2</v>
      </c>
      <c r="J15" s="242">
        <v>1</v>
      </c>
      <c r="P15" s="55"/>
      <c r="Q15" s="55"/>
      <c r="R15" s="55"/>
      <c r="S15" s="114" t="b">
        <v>1</v>
      </c>
      <c r="T15" s="114" t="b">
        <v>1</v>
      </c>
      <c r="U15" s="114" t="b">
        <v>1</v>
      </c>
      <c r="V15" s="114" t="b">
        <v>1</v>
      </c>
      <c r="AD15" s="94"/>
      <c r="AE15" s="27">
        <v>7.4151234567901231E-3</v>
      </c>
      <c r="AF15" s="31">
        <v>8.611111111111111E-2</v>
      </c>
      <c r="AG15" s="28">
        <v>1</v>
      </c>
      <c r="AH15" s="303"/>
      <c r="AI15" s="29">
        <v>2.5292929480135872E-4</v>
      </c>
      <c r="AJ15" s="303"/>
      <c r="AK15" s="56">
        <v>2.7003491795696277E-4</v>
      </c>
      <c r="AL15" s="27">
        <v>-17.514542570068745</v>
      </c>
      <c r="AM15" s="31">
        <v>23.612903225806452</v>
      </c>
      <c r="AN15" s="28">
        <v>-6.0983606557377046</v>
      </c>
      <c r="AO15" s="101"/>
      <c r="AP15" s="94"/>
      <c r="AQ15" s="27">
        <v>1.4088220164609055E-3</v>
      </c>
      <c r="AR15" s="31">
        <v>1.064814814814815E-2</v>
      </c>
      <c r="AS15" s="28">
        <v>8.3333333333333343E-2</v>
      </c>
      <c r="AT15" s="303"/>
      <c r="AU15" s="29">
        <v>4.6368026955358101E-4</v>
      </c>
      <c r="AV15" s="303"/>
      <c r="AW15" s="56">
        <v>2.2505473260794292E-5</v>
      </c>
      <c r="AX15" s="27">
        <v>-271.22427624694785</v>
      </c>
      <c r="AY15" s="31">
        <v>414.4900094673373</v>
      </c>
      <c r="AZ15" s="28">
        <v>-122.02265819287079</v>
      </c>
      <c r="BA15" s="101"/>
      <c r="BC15" s="178">
        <f>_xll.qlCalendarAdvance(Calendar,BC14,"1d","mf",,Trigger)</f>
        <v>42292</v>
      </c>
      <c r="BD15" s="41">
        <f>_xll.qlDayCounterYearFraction(DayCounter,SettlementDate,BC15,,,Trigger)</f>
        <v>3.6111111111111108E-2</v>
      </c>
      <c r="BE15" s="47">
        <f>_xll.qlPolynomialFunctionValue(BE$1,$BD15,AllTriggers)</f>
        <v>2.6999718403889416E-4</v>
      </c>
      <c r="BF15" s="47">
        <f>_xll.qlPolynomialFunctionValue(BF$1,$BD15,AllTriggers)</f>
        <v>2.699142162445159E-4</v>
      </c>
      <c r="BG15" s="47">
        <f>_xll.qlPolynomialFunctionValue(BG$1,$BD15,AllTriggers)</f>
        <v>3.1623664435124094E-4</v>
      </c>
      <c r="BH15" s="47">
        <f>_xll.qlPolynomialFunctionValue(BH$1,$BD15,AllTriggers)</f>
        <v>4.7733833232921233E-4</v>
      </c>
      <c r="BI15" s="47">
        <f>_xll.qlPolynomialFunctionValue(BI$1,$BD15,AllTriggers)</f>
        <v>2.7002644195626291E-4</v>
      </c>
      <c r="BJ15" s="47">
        <f>_xll.qlPolynomialFunctionValue(BJ$1,$BD15,AllTriggers)</f>
        <v>2.6998448070375715E-4</v>
      </c>
      <c r="BK15" s="47">
        <f>_xll.qlPolynomialFunctionValue(BK$1,$BD15,AllTriggers)</f>
        <v>3.1341437704719894E-4</v>
      </c>
      <c r="BL15" s="47">
        <f>_xll.qlPolynomialFunctionValue(BL$1,$BD15,AllTriggers)</f>
        <v>4.7872555822997976E-4</v>
      </c>
      <c r="BM15" s="47">
        <f>_xll.qlPolynomialFunctionValue(BM$1,$BD15,AllTriggers)</f>
        <v>2.4820968834578217E-4</v>
      </c>
      <c r="BN15" s="47">
        <f>_xll.qlPolynomialFunctionValue(BN$1,$BD15,AllTriggers)</f>
        <v>2.8299968747838718E-4</v>
      </c>
      <c r="BO15" s="47">
        <f>_xll.qlPolynomialFunctionValue(BO$1,$BD15,AllTriggers)</f>
        <v>2.0073979208456628E-4</v>
      </c>
      <c r="BP15" s="47">
        <f>_xll.qlPolynomialFunctionValue(BP$1,$BD15,AllTriggers)</f>
        <v>4.7733833232921217E-4</v>
      </c>
      <c r="BQ15" s="47">
        <f>_xll.qlPolynomialFunctionValue('1MSynthDepo_used'!$P$18,BD15,AllTriggers)</f>
        <v>2.7295382548512772E-4</v>
      </c>
    </row>
    <row r="16" spans="1:69" ht="12" customHeight="1" x14ac:dyDescent="0.2">
      <c r="A16" s="21">
        <f t="shared" si="6"/>
        <v>2</v>
      </c>
      <c r="B16" s="55">
        <f>A16+SUBSTITUTE($D$21,"M","")</f>
        <v>3</v>
      </c>
      <c r="C16" s="39" t="str">
        <f>"B"&amp;$D$21&amp;"_"&amp;A16&amp;"X"&amp;B16</f>
        <v>B1M_2X3</v>
      </c>
      <c r="D16" s="177">
        <f>_xll.qlCalendarAdvance(Calendar,SettlementDate,A16&amp;"M","mf")</f>
        <v>42340</v>
      </c>
      <c r="E16" s="177">
        <f>_xll.qlInterestRateIndexMaturity($D$22,D16)</f>
        <v>42373</v>
      </c>
      <c r="F16" s="53">
        <f>_xll.qlIndexFixing(ON_1M_index,_xll.qlInterestRateIndexFixingDate(ON_1M_index,D16,Trigger),,AllTriggers)</f>
        <v>-1.4089419477223623E-3</v>
      </c>
      <c r="G16" s="53">
        <f t="shared" si="7"/>
        <v>-1.1802817101184845E-3</v>
      </c>
      <c r="H16" s="202">
        <f>_xll.qlQuoteValue(C16,_xll.ohTrigger(InterestRatesTrigger,'1MSynthDepo_used'!$F$1))</f>
        <v>2.2866023760387787E-4</v>
      </c>
      <c r="I16" s="41">
        <f>_xll.qlDayCounterYearFraction(DayCounter,SettlementDate,D16,,,Trigger)</f>
        <v>0.16944444444444445</v>
      </c>
      <c r="J16" s="242">
        <v>1</v>
      </c>
      <c r="P16" s="55"/>
      <c r="Q16" s="55"/>
      <c r="R16" s="55"/>
      <c r="S16" s="114" t="b">
        <v>1</v>
      </c>
      <c r="T16" s="114" t="b">
        <v>1</v>
      </c>
      <c r="U16" s="114" t="b">
        <v>1</v>
      </c>
      <c r="V16" s="114" t="b">
        <v>1</v>
      </c>
      <c r="AD16" s="94"/>
      <c r="AE16" s="27">
        <v>2.8711419753086422E-2</v>
      </c>
      <c r="AF16" s="31">
        <v>0.16944444444444445</v>
      </c>
      <c r="AG16" s="28">
        <v>1</v>
      </c>
      <c r="AH16" s="303"/>
      <c r="AI16" s="29">
        <v>2.7000000000292914E-4</v>
      </c>
      <c r="AJ16" s="303"/>
      <c r="AK16" s="56">
        <v>2.2866023760387787E-4</v>
      </c>
      <c r="AL16" s="27">
        <v>1</v>
      </c>
      <c r="AM16" s="31">
        <v>0</v>
      </c>
      <c r="AN16" s="28">
        <v>0</v>
      </c>
      <c r="AO16" s="101"/>
      <c r="AP16" s="94"/>
      <c r="AQ16" s="27">
        <v>4.312435699588479E-3</v>
      </c>
      <c r="AR16" s="31">
        <v>1.9733796296296301E-2</v>
      </c>
      <c r="AS16" s="28">
        <v>9.1666666666666674E-2</v>
      </c>
      <c r="AT16" s="303"/>
      <c r="AU16" s="29">
        <v>2.5678619680661295E-4</v>
      </c>
      <c r="AV16" s="303"/>
      <c r="AW16" s="56">
        <v>2.0963009519077813E-5</v>
      </c>
      <c r="AX16" s="27">
        <v>21.344329804111293</v>
      </c>
      <c r="AY16" s="31">
        <v>-13.887621040742754</v>
      </c>
      <c r="AZ16" s="28">
        <v>3.4834668877222001</v>
      </c>
      <c r="BA16" s="101"/>
      <c r="BC16" s="178">
        <f>_xll.qlCalendarAdvance(Calendar,BC15,"1d","mf",,Trigger)</f>
        <v>42293</v>
      </c>
      <c r="BD16" s="41">
        <f>_xll.qlDayCounterYearFraction(DayCounter,SettlementDate,BC16,,,Trigger)</f>
        <v>3.888888888888889E-2</v>
      </c>
      <c r="BE16" s="47">
        <f>_xll.qlPolynomialFunctionValue(BE$1,$BD16,AllTriggers)</f>
        <v>2.6999831042450817E-4</v>
      </c>
      <c r="BF16" s="47">
        <f>_xll.qlPolynomialFunctionValue(BF$1,$BD16,AllTriggers)</f>
        <v>2.7070730794010405E-4</v>
      </c>
      <c r="BG16" s="47">
        <f>_xll.qlPolynomialFunctionValue(BG$1,$BD16,AllTriggers)</f>
        <v>3.1485748833947144E-4</v>
      </c>
      <c r="BH16" s="47">
        <f>_xll.qlPolynomialFunctionValue(BH$1,$BD16,AllTriggers)</f>
        <v>4.6840446067180974E-4</v>
      </c>
      <c r="BI16" s="47">
        <f>_xll.qlPolynomialFunctionValue(BI$1,$BD16,AllTriggers)</f>
        <v>2.7002763096151345E-4</v>
      </c>
      <c r="BJ16" s="47">
        <f>_xll.qlPolynomialFunctionValue(BJ$1,$BD16,AllTriggers)</f>
        <v>2.707060045436896E-4</v>
      </c>
      <c r="BK16" s="47">
        <f>_xll.qlPolynomialFunctionValue(BK$1,$BD16,AllTriggers)</f>
        <v>3.1210078014060294E-4</v>
      </c>
      <c r="BL16" s="47">
        <f>_xll.qlPolynomialFunctionValue(BL$1,$BD16,AllTriggers)</f>
        <v>4.6966549534525345E-4</v>
      </c>
      <c r="BM16" s="47">
        <f>_xll.qlPolynomialFunctionValue(BM$1,$BD16,AllTriggers)</f>
        <v>2.4883525621359568E-4</v>
      </c>
      <c r="BN16" s="47">
        <f>_xll.qlPolynomialFunctionValue(BN$1,$BD16,AllTriggers)</f>
        <v>2.8068845648823493E-4</v>
      </c>
      <c r="BO16" s="47">
        <f>_xll.qlPolynomialFunctionValue(BO$1,$BD16,AllTriggers)</f>
        <v>2.0199679817874331E-4</v>
      </c>
      <c r="BP16" s="47">
        <f>_xll.qlPolynomialFunctionValue(BP$1,$BD16,AllTriggers)</f>
        <v>4.6840446067180957E-4</v>
      </c>
      <c r="BQ16" s="47">
        <f>_xll.qlPolynomialFunctionValue('1MSynthDepo_used'!$P$18,BD16,AllTriggers)</f>
        <v>2.7597744233127269E-4</v>
      </c>
    </row>
    <row r="17" spans="1:69" ht="12" customHeight="1" x14ac:dyDescent="0.2">
      <c r="A17" s="21">
        <f t="shared" si="6"/>
        <v>3</v>
      </c>
      <c r="B17" s="55">
        <f>A17+SUBSTITUTE($D$21,"M","")</f>
        <v>4</v>
      </c>
      <c r="C17" s="42" t="str">
        <f>"B"&amp;$D$21&amp;"_"&amp;A17&amp;"X"&amp;B17</f>
        <v>B1M_3X4</v>
      </c>
      <c r="D17" s="181">
        <f>_xll.qlCalendarAdvance(Calendar,SettlementDate,A17&amp;"M","mf")</f>
        <v>42373</v>
      </c>
      <c r="E17" s="181">
        <f>_xll.qlInterestRateIndexMaturity($D$22,D17)</f>
        <v>42404</v>
      </c>
      <c r="F17" s="54">
        <f>_xll.qlIndexFixing(ON_1M_index,_xll.qlInterestRateIndexFixingDate(ON_1M_index,D17,Trigger),,AllTriggers)</f>
        <v>-1.6550023715929342E-3</v>
      </c>
      <c r="G17" s="54">
        <f t="shared" si="7"/>
        <v>-1.3082474716767075E-3</v>
      </c>
      <c r="H17" s="203">
        <f>_xll.qlQuoteValue(C17,_xll.ohTrigger(InterestRatesTrigger,'1MSynthDepo_used'!$F$1))</f>
        <v>3.4675489991622672E-4</v>
      </c>
      <c r="I17" s="44">
        <f>_xll.qlDayCounterYearFraction(DayCounter,SettlementDate,D17,,,Trigger)</f>
        <v>0.26111111111111113</v>
      </c>
      <c r="J17" s="243">
        <v>1</v>
      </c>
      <c r="K17" s="96"/>
      <c r="L17" s="96"/>
      <c r="M17" s="96"/>
      <c r="N17" s="96"/>
      <c r="O17" s="96"/>
      <c r="P17" s="294"/>
      <c r="Q17" s="294"/>
      <c r="R17" s="294"/>
      <c r="S17" s="150" t="b">
        <v>1</v>
      </c>
      <c r="T17" s="150" t="b">
        <v>1</v>
      </c>
      <c r="U17" s="150" t="b">
        <v>1</v>
      </c>
      <c r="V17" s="150" t="b">
        <v>1</v>
      </c>
      <c r="AD17" s="94"/>
      <c r="AE17" s="21"/>
      <c r="AF17" s="21"/>
      <c r="AG17" s="21"/>
      <c r="AH17" s="21"/>
      <c r="AI17" s="111"/>
      <c r="AJ17" s="33"/>
      <c r="AK17" s="22"/>
      <c r="AL17" s="21"/>
      <c r="AM17" s="21"/>
      <c r="AN17" s="21"/>
      <c r="AO17" s="101"/>
      <c r="AP17" s="94"/>
      <c r="AQ17" s="21"/>
      <c r="AR17" s="21"/>
      <c r="AS17" s="21"/>
      <c r="AT17" s="21"/>
      <c r="AU17" s="111"/>
      <c r="AV17" s="33"/>
      <c r="AW17" s="22"/>
      <c r="AX17" s="21"/>
      <c r="AY17" s="21"/>
      <c r="AZ17" s="21"/>
      <c r="BA17" s="101"/>
      <c r="BC17" s="178">
        <f>_xll.qlCalendarAdvance(Calendar,BC16,"1d","mf",,Trigger)</f>
        <v>42296</v>
      </c>
      <c r="BD17" s="41">
        <f>_xll.qlDayCounterYearFraction(DayCounter,SettlementDate,BC17,,,Trigger)</f>
        <v>4.7222222222222221E-2</v>
      </c>
      <c r="BE17" s="47">
        <f>_xll.qlPolynomialFunctionValue(BE$1,$BD17,AllTriggers)</f>
        <v>2.700016895813501E-4</v>
      </c>
      <c r="BF17" s="47">
        <f>_xll.qlPolynomialFunctionValue(BF$1,$BD17,AllTriggers)</f>
        <v>2.728150520634487E-4</v>
      </c>
      <c r="BG17" s="47">
        <f>_xll.qlPolynomialFunctionValue(BG$1,$BD17,AllTriggers)</f>
        <v>3.1072002030416293E-4</v>
      </c>
      <c r="BH17" s="47">
        <f>_xll.qlPolynomialFunctionValue(BH$1,$BD17,AllTriggers)</f>
        <v>4.4254718515530602E-4</v>
      </c>
      <c r="BI17" s="47">
        <f>_xll.qlPolynomialFunctionValue(BI$1,$BD17,AllTriggers)</f>
        <v>2.7003119797726517E-4</v>
      </c>
      <c r="BJ17" s="47">
        <f>_xll.qlPolynomialFunctionValue(BJ$1,$BD17,AllTriggers)</f>
        <v>2.726188085484525E-4</v>
      </c>
      <c r="BK17" s="47">
        <f>_xll.qlPolynomialFunctionValue(BK$1,$BD17,AllTriggers)</f>
        <v>3.0815998942081499E-4</v>
      </c>
      <c r="BL17" s="47">
        <f>_xll.qlPolynomialFunctionValue(BL$1,$BD17,AllTriggers)</f>
        <v>4.4344363237909073E-4</v>
      </c>
      <c r="BM17" s="47">
        <f>_xll.qlPolynomialFunctionValue(BM$1,$BD17,AllTriggers)</f>
        <v>2.5071195981703621E-4</v>
      </c>
      <c r="BN17" s="47">
        <f>_xll.qlPolynomialFunctionValue(BN$1,$BD17,AllTriggers)</f>
        <v>2.7411355719851761E-4</v>
      </c>
      <c r="BO17" s="47">
        <f>_xll.qlPolynomialFunctionValue(BO$1,$BD17,AllTriggers)</f>
        <v>2.0576781646127441E-4</v>
      </c>
      <c r="BP17" s="47">
        <f>_xll.qlPolynomialFunctionValue(BP$1,$BD17,AllTriggers)</f>
        <v>4.4254718515530591E-4</v>
      </c>
      <c r="BQ17" s="47">
        <f>_xll.qlPolynomialFunctionValue('1MSynthDepo_used'!$P$18,BD17,AllTriggers)</f>
        <v>2.8351217788019579E-4</v>
      </c>
    </row>
    <row r="18" spans="1:69" ht="12" customHeight="1" x14ac:dyDescent="0.2">
      <c r="H18" s="21"/>
      <c r="I18" s="21"/>
      <c r="J18" s="21"/>
      <c r="L18" s="21"/>
      <c r="M18" s="21"/>
      <c r="N18" s="21"/>
      <c r="P18" s="21"/>
      <c r="Q18" s="21"/>
      <c r="R18" s="21"/>
      <c r="AD18" s="94" t="s">
        <v>65</v>
      </c>
      <c r="AE18" s="21"/>
      <c r="AF18" s="21"/>
      <c r="AG18" s="21"/>
      <c r="AH18" s="21"/>
      <c r="AI18" s="113" t="s">
        <v>44</v>
      </c>
      <c r="AJ18" s="21"/>
      <c r="AK18" s="21"/>
      <c r="AL18" s="21"/>
      <c r="AM18" s="21"/>
      <c r="AN18" s="21"/>
      <c r="AO18" s="101"/>
      <c r="AP18" s="94"/>
      <c r="AQ18" s="21"/>
      <c r="AR18" s="21"/>
      <c r="AS18" s="21"/>
      <c r="AT18" s="21"/>
      <c r="AU18" s="113" t="s">
        <v>44</v>
      </c>
      <c r="AV18" s="21"/>
      <c r="AW18" s="21"/>
      <c r="AX18" s="21"/>
      <c r="AY18" s="21"/>
      <c r="AZ18" s="21"/>
      <c r="BA18" s="101"/>
      <c r="BC18" s="178">
        <f>_xll.qlCalendarAdvance(Calendar,BC17,"1d","mf",,Trigger)</f>
        <v>42297</v>
      </c>
      <c r="BD18" s="41">
        <f>_xll.qlDayCounterYearFraction(DayCounter,SettlementDate,BC18,,,Trigger)</f>
        <v>0.05</v>
      </c>
      <c r="BE18" s="47">
        <f>_xll.qlPolynomialFunctionValue(BE$1,$BD18,AllTriggers)</f>
        <v>2.7000281596696412E-4</v>
      </c>
      <c r="BF18" s="47">
        <f>_xll.qlPolynomialFunctionValue(BF$1,$BD18,AllTriggers)</f>
        <v>2.7342712311675699E-4</v>
      </c>
      <c r="BG18" s="47">
        <f>_xll.qlPolynomialFunctionValue(BG$1,$BD18,AllTriggers)</f>
        <v>3.0934086429239342E-4</v>
      </c>
      <c r="BH18" s="47">
        <f>_xll.qlPolynomialFunctionValue(BH$1,$BD18,AllTriggers)</f>
        <v>4.3424287313503947E-4</v>
      </c>
      <c r="BI18" s="47">
        <f>_xll.qlPolynomialFunctionValue(BI$1,$BD18,AllTriggers)</f>
        <v>2.7003238698251571E-4</v>
      </c>
      <c r="BJ18" s="47">
        <f>_xll.qlPolynomialFunctionValue(BJ$1,$BD18,AllTriggers)</f>
        <v>2.7317248737836197E-4</v>
      </c>
      <c r="BK18" s="47">
        <f>_xll.qlPolynomialFunctionValue(BK$1,$BD18,AllTriggers)</f>
        <v>3.0684639251421904E-4</v>
      </c>
      <c r="BL18" s="47">
        <f>_xll.qlPolynomialFunctionValue(BL$1,$BD18,AllTriggers)</f>
        <v>4.3502245328637515E-4</v>
      </c>
      <c r="BM18" s="47">
        <f>_xll.qlPolynomialFunctionValue(BM$1,$BD18,AllTriggers)</f>
        <v>2.5133752768484978E-4</v>
      </c>
      <c r="BN18" s="47">
        <f>_xll.qlPolynomialFunctionValue(BN$1,$BD18,AllTriggers)</f>
        <v>2.7204152199552492E-4</v>
      </c>
      <c r="BO18" s="47">
        <f>_xll.qlPolynomialFunctionValue(BO$1,$BD18,AllTriggers)</f>
        <v>2.0702482255545145E-4</v>
      </c>
      <c r="BP18" s="47">
        <f>_xll.qlPolynomialFunctionValue(BP$1,$BD18,AllTriggers)</f>
        <v>4.3424287313503936E-4</v>
      </c>
      <c r="BQ18" s="47">
        <f>_xll.qlPolynomialFunctionValue('1MSynthDepo_used'!$P$18,BD18,AllTriggers)</f>
        <v>2.8553418683568841E-4</v>
      </c>
    </row>
    <row r="19" spans="1:69" ht="12" customHeight="1" x14ac:dyDescent="0.2">
      <c r="A19" s="21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W19" s="55"/>
      <c r="AD19" s="94"/>
      <c r="AE19" s="27">
        <f t="array" ref="AE19:AE21">_xll.ohFilter(L3:L9,V3:V9)</f>
        <v>7.4151234567901231E-3</v>
      </c>
      <c r="AF19" s="31">
        <f t="array" ref="AF19:AF21">_xll.ohFilter(K3:K9,V3:V9)</f>
        <v>8.611111111111111E-2</v>
      </c>
      <c r="AG19" s="28">
        <f t="array" ref="AG19:AG21">_xll.ohFilter(J3:J9,V3:V9)</f>
        <v>1</v>
      </c>
      <c r="AH19" s="303" t="s">
        <v>20</v>
      </c>
      <c r="AI19" s="29">
        <f t="array" ref="AI19:AI21">MMULT(AL19:AN21,AK19:AK21)</f>
        <v>1.019886612160471E-2</v>
      </c>
      <c r="AJ19" s="303" t="s">
        <v>21</v>
      </c>
      <c r="AK19" s="56">
        <f t="array" ref="AK19:AK21">_xll.ohFilter(H3:H9,V3:V9)</f>
        <v>2.7003491795696277E-4</v>
      </c>
      <c r="AL19" s="27">
        <f t="array" ref="AL19:AN21">MINVERSE(AE19:AG21)</f>
        <v>68.571428571428513</v>
      </c>
      <c r="AM19" s="31">
        <v>-130.90909090909076</v>
      </c>
      <c r="AN19" s="28">
        <v>62.33766233766228</v>
      </c>
      <c r="AO19" s="101"/>
      <c r="AP19" s="94"/>
      <c r="AQ19" s="27">
        <f t="array" ref="AQ19:AQ21">_xll.ohFilter(R3:R9,V3:V9)</f>
        <v>1.4088220164609055E-3</v>
      </c>
      <c r="AR19" s="31">
        <f t="array" ref="AR19:AR21">_xll.ohFilter(Q3:Q9,V3:V9)</f>
        <v>1.064814814814815E-2</v>
      </c>
      <c r="AS19" s="28">
        <f t="array" ref="AS19:AS21">_xll.ohFilter(P3:P9,V3:V9)</f>
        <v>8.3333333333333343E-2</v>
      </c>
      <c r="AT19" s="303" t="s">
        <v>20</v>
      </c>
      <c r="AU19" s="29">
        <f t="array" ref="AU19:AU21">MMULT(AX19:AZ21,AW19:AW21)</f>
        <v>1.0349917430574094E-2</v>
      </c>
      <c r="AV19" s="303" t="s">
        <v>21</v>
      </c>
      <c r="AW19" s="56">
        <f t="array" ref="AW19:AW21">_xll.ohFilter(M3:M9,V3:V9)</f>
        <v>2.2505473260794292E-5</v>
      </c>
      <c r="AX19" s="27">
        <f t="array" ref="AX19:AZ21">MINVERSE(AQ19:AS21)</f>
        <v>787.84194528875355</v>
      </c>
      <c r="AY19" s="31">
        <v>-1421.2489638021559</v>
      </c>
      <c r="AZ19" s="28">
        <v>750.51475634866267</v>
      </c>
      <c r="BA19" s="101"/>
      <c r="BC19" s="178">
        <f>_xll.qlCalendarAdvance(Calendar,BC18,"1d","mf",,Trigger)</f>
        <v>42298</v>
      </c>
      <c r="BD19" s="41">
        <f>_xll.qlDayCounterYearFraction(DayCounter,SettlementDate,BC19,,,Trigger)</f>
        <v>5.2777777777777778E-2</v>
      </c>
      <c r="BE19" s="47">
        <f>_xll.qlPolynomialFunctionValue(BE$1,$BD19,AllTriggers)</f>
        <v>2.7000394235257813E-4</v>
      </c>
      <c r="BF19" s="47">
        <f>_xll.qlPolynomialFunctionValue(BF$1,$BD19,AllTriggers)</f>
        <v>2.7399393900949537E-4</v>
      </c>
      <c r="BG19" s="47">
        <f>_xll.qlPolynomialFunctionValue(BG$1,$BD19,AllTriggers)</f>
        <v>3.0796170828062397E-4</v>
      </c>
      <c r="BH19" s="47">
        <f>_xll.qlPolynomialFunctionValue(BH$1,$BD19,AllTriggers)</f>
        <v>4.2609595102405701E-4</v>
      </c>
      <c r="BI19" s="47">
        <f>_xll.qlPolynomialFunctionValue(BI$1,$BD19,AllTriggers)</f>
        <v>2.7003357598776625E-4</v>
      </c>
      <c r="BJ19" s="47">
        <f>_xll.qlPolynomialFunctionValue(BJ$1,$BD19,AllTriggers)</f>
        <v>2.7368420495576574E-4</v>
      </c>
      <c r="BK19" s="47">
        <f>_xll.qlPolynomialFunctionValue(BK$1,$BD19,AllTriggers)</f>
        <v>3.0553279560762304E-4</v>
      </c>
      <c r="BL19" s="47">
        <f>_xll.qlPolynomialFunctionValue(BL$1,$BD19,AllTriggers)</f>
        <v>4.2676099514166231E-4</v>
      </c>
      <c r="BM19" s="47">
        <f>_xll.qlPolynomialFunctionValue(BM$1,$BD19,AllTriggers)</f>
        <v>2.5196309555266329E-4</v>
      </c>
      <c r="BN19" s="47">
        <f>_xll.qlPolynomialFunctionValue(BN$1,$BD19,AllTriggers)</f>
        <v>2.7002928573932215E-4</v>
      </c>
      <c r="BO19" s="47">
        <f>_xll.qlPolynomialFunctionValue(BO$1,$BD19,AllTriggers)</f>
        <v>2.0828182864962848E-4</v>
      </c>
      <c r="BP19" s="47">
        <f>_xll.qlPolynomialFunctionValue(BP$1,$BD19,AllTriggers)</f>
        <v>4.2609595102405685E-4</v>
      </c>
      <c r="BQ19" s="47">
        <f>_xll.qlPolynomialFunctionValue('1MSynthDepo_used'!$P$18,BD19,AllTriggers)</f>
        <v>2.8732264539528443E-4</v>
      </c>
    </row>
    <row r="20" spans="1:69" ht="12" customHeight="1" x14ac:dyDescent="0.2">
      <c r="W20" s="21"/>
      <c r="X20" s="21"/>
      <c r="Y20" s="21"/>
      <c r="Z20" s="21"/>
      <c r="AA20" s="21"/>
      <c r="AB20" s="21"/>
      <c r="AC20" s="21"/>
      <c r="AD20" s="94"/>
      <c r="AE20" s="27">
        <v>2.8711419753086422E-2</v>
      </c>
      <c r="AF20" s="31">
        <v>0.16944444444444445</v>
      </c>
      <c r="AG20" s="28">
        <v>1</v>
      </c>
      <c r="AH20" s="303"/>
      <c r="AI20" s="29">
        <v>-3.1028730619804424E-3</v>
      </c>
      <c r="AJ20" s="303"/>
      <c r="AK20" s="56">
        <v>2.2866023760387787E-4</v>
      </c>
      <c r="AL20" s="27">
        <v>-29.523809523809504</v>
      </c>
      <c r="AM20" s="31">
        <v>45.454545454545418</v>
      </c>
      <c r="AN20" s="28">
        <v>-15.930735930735915</v>
      </c>
      <c r="AO20" s="101"/>
      <c r="AP20" s="94"/>
      <c r="AQ20" s="27">
        <v>4.312435699588479E-3</v>
      </c>
      <c r="AR20" s="31">
        <v>1.9733796296296301E-2</v>
      </c>
      <c r="AS20" s="28">
        <v>9.1666666666666674E-2</v>
      </c>
      <c r="AT20" s="303"/>
      <c r="AU20" s="29">
        <v>-4.0378664457945222E-3</v>
      </c>
      <c r="AV20" s="303"/>
      <c r="AW20" s="56">
        <v>2.0963009519077813E-5</v>
      </c>
      <c r="AX20" s="27">
        <v>-408.51063829787222</v>
      </c>
      <c r="AY20" s="31">
        <v>614.21663442940053</v>
      </c>
      <c r="AZ20" s="28">
        <v>-258.51063829787273</v>
      </c>
      <c r="BA20" s="101"/>
      <c r="BC20" s="178">
        <f>_xll.qlCalendarAdvance(Calendar,BC19,"1d","mf",,Trigger)</f>
        <v>42299</v>
      </c>
      <c r="BD20" s="41">
        <f>_xll.qlDayCounterYearFraction(DayCounter,SettlementDate,BC20,,,Trigger)</f>
        <v>5.5555555555555552E-2</v>
      </c>
      <c r="BE20" s="47">
        <f>_xll.qlPolynomialFunctionValue(BE$1,$BD20,AllTriggers)</f>
        <v>2.7000506873819209E-4</v>
      </c>
      <c r="BF20" s="47">
        <f>_xll.qlPolynomialFunctionValue(BF$1,$BD20,AllTriggers)</f>
        <v>2.7451549974166376E-4</v>
      </c>
      <c r="BG20" s="47">
        <f>_xll.qlPolynomialFunctionValue(BG$1,$BD20,AllTriggers)</f>
        <v>3.0658255226885447E-4</v>
      </c>
      <c r="BH20" s="47">
        <f>_xll.qlPolynomialFunctionValue(BH$1,$BD20,AllTriggers)</f>
        <v>4.1810641882235853E-4</v>
      </c>
      <c r="BI20" s="47">
        <f>_xll.qlPolynomialFunctionValue(BI$1,$BD20,AllTriggers)</f>
        <v>2.7003476499301685E-4</v>
      </c>
      <c r="BJ20" s="47">
        <f>_xll.qlPolynomialFunctionValue(BJ$1,$BD20,AllTriggers)</f>
        <v>2.741539612806637E-4</v>
      </c>
      <c r="BK20" s="47">
        <f>_xll.qlPolynomialFunctionValue(BK$1,$BD20,AllTriggers)</f>
        <v>3.0421919870102704E-4</v>
      </c>
      <c r="BL20" s="47">
        <f>_xll.qlPolynomialFunctionValue(BL$1,$BD20,AllTriggers)</f>
        <v>4.1865925794495212E-4</v>
      </c>
      <c r="BM20" s="47">
        <f>_xll.qlPolynomialFunctionValue(BM$1,$BD20,AllTriggers)</f>
        <v>2.525886634204768E-4</v>
      </c>
      <c r="BN20" s="47">
        <f>_xll.qlPolynomialFunctionValue(BN$1,$BD20,AllTriggers)</f>
        <v>2.6807684842990929E-4</v>
      </c>
      <c r="BO20" s="47">
        <f>_xll.qlPolynomialFunctionValue(BO$1,$BD20,AllTriggers)</f>
        <v>2.0953883474380552E-4</v>
      </c>
      <c r="BP20" s="47">
        <f>_xll.qlPolynomialFunctionValue(BP$1,$BD20,AllTriggers)</f>
        <v>4.1810641882235842E-4</v>
      </c>
      <c r="BQ20" s="47">
        <f>_xll.qlPolynomialFunctionValue('1MSynthDepo_used'!$P$18,BD20,AllTriggers)</f>
        <v>2.8888429418969045E-4</v>
      </c>
    </row>
    <row r="21" spans="1:69" ht="12" customHeight="1" x14ac:dyDescent="0.2">
      <c r="A21" s="21"/>
      <c r="B21" s="55"/>
      <c r="C21" s="36" t="s">
        <v>62</v>
      </c>
      <c r="D21" s="51" t="s">
        <v>22</v>
      </c>
      <c r="F21" s="187" t="s">
        <v>90</v>
      </c>
      <c r="G21" s="188" t="b">
        <v>1</v>
      </c>
      <c r="H21" s="235"/>
      <c r="S21" s="236"/>
      <c r="T21" s="237"/>
      <c r="U21" s="188" t="b">
        <v>0</v>
      </c>
      <c r="V21" s="235"/>
      <c r="W21" s="236"/>
      <c r="X21" s="237"/>
      <c r="Y21" s="188" t="b">
        <v>1</v>
      </c>
      <c r="Z21" s="235"/>
      <c r="AA21" s="236"/>
      <c r="AB21" s="236"/>
      <c r="AD21" s="94"/>
      <c r="AE21" s="27">
        <v>6.8179012345679024E-2</v>
      </c>
      <c r="AF21" s="31">
        <v>0.26111111111111113</v>
      </c>
      <c r="AG21" s="28">
        <v>1</v>
      </c>
      <c r="AH21" s="303"/>
      <c r="AI21" s="29">
        <v>4.6160091354986114E-4</v>
      </c>
      <c r="AJ21" s="303"/>
      <c r="AK21" s="56">
        <v>3.4675489991622672E-4</v>
      </c>
      <c r="AL21" s="27">
        <v>3.0338624338624327</v>
      </c>
      <c r="AM21" s="31">
        <v>-2.9434343434343413</v>
      </c>
      <c r="AN21" s="28">
        <v>0.9095719095719087</v>
      </c>
      <c r="AO21" s="101"/>
      <c r="AP21" s="94"/>
      <c r="AQ21" s="27">
        <v>8.0199831390031975E-3</v>
      </c>
      <c r="AR21" s="31">
        <v>2.6192129629629621E-2</v>
      </c>
      <c r="AS21" s="28">
        <v>8.6111111111111083E-2</v>
      </c>
      <c r="AT21" s="303"/>
      <c r="AU21" s="29">
        <v>6.1104098199966602E-4</v>
      </c>
      <c r="AV21" s="303"/>
      <c r="AW21" s="56">
        <v>2.9863259802313281E-5</v>
      </c>
      <c r="AX21" s="27">
        <v>50.879432624113463</v>
      </c>
      <c r="AY21" s="31">
        <v>-54.455794648613811</v>
      </c>
      <c r="AZ21" s="28">
        <v>20.343814344543613</v>
      </c>
      <c r="BA21" s="101"/>
      <c r="BC21" s="178">
        <f>_xll.qlCalendarAdvance(Calendar,BC20,"1d","mf",,Trigger)</f>
        <v>42300</v>
      </c>
      <c r="BD21" s="41">
        <f>_xll.qlDayCounterYearFraction(DayCounter,SettlementDate,BC21,,,Trigger)</f>
        <v>5.8333333333333334E-2</v>
      </c>
      <c r="BE21" s="47">
        <f>_xll.qlPolynomialFunctionValue(BE$1,$BD21,AllTriggers)</f>
        <v>2.700061951238061E-4</v>
      </c>
      <c r="BF21" s="47">
        <f>_xll.qlPolynomialFunctionValue(BF$1,$BD21,AllTriggers)</f>
        <v>2.7499180531326229E-4</v>
      </c>
      <c r="BG21" s="47">
        <f>_xll.qlPolynomialFunctionValue(BG$1,$BD21,AllTriggers)</f>
        <v>3.0520339625708496E-4</v>
      </c>
      <c r="BH21" s="47">
        <f>_xll.qlPolynomialFunctionValue(BH$1,$BD21,AllTriggers)</f>
        <v>4.1027427652994409E-4</v>
      </c>
      <c r="BI21" s="47">
        <f>_xll.qlPolynomialFunctionValue(BI$1,$BD21,AllTriggers)</f>
        <v>2.7003595399826739E-4</v>
      </c>
      <c r="BJ21" s="47">
        <f>_xll.qlPolynomialFunctionValue(BJ$1,$BD21,AllTriggers)</f>
        <v>2.7458175635305601E-4</v>
      </c>
      <c r="BK21" s="47">
        <f>_xll.qlPolynomialFunctionValue(BK$1,$BD21,AllTriggers)</f>
        <v>3.0290560179443103E-4</v>
      </c>
      <c r="BL21" s="47">
        <f>_xll.qlPolynomialFunctionValue(BL$1,$BD21,AllTriggers)</f>
        <v>4.1071724169624467E-4</v>
      </c>
      <c r="BM21" s="47">
        <f>_xll.qlPolynomialFunctionValue(BM$1,$BD21,AllTriggers)</f>
        <v>2.5321423128829031E-4</v>
      </c>
      <c r="BN21" s="47">
        <f>_xll.qlPolynomialFunctionValue(BN$1,$BD21,AllTriggers)</f>
        <v>2.661842100672863E-4</v>
      </c>
      <c r="BO21" s="47">
        <f>_xll.qlPolynomialFunctionValue(BO$1,$BD21,AllTriggers)</f>
        <v>2.1079584083798255E-4</v>
      </c>
      <c r="BP21" s="47">
        <f>_xll.qlPolynomialFunctionValue(BP$1,$BD21,AllTriggers)</f>
        <v>4.1027427652994399E-4</v>
      </c>
      <c r="BQ21" s="47">
        <f>_xll.qlPolynomialFunctionValue('1MSynthDepo_used'!$P$18,BD21,AllTriggers)</f>
        <v>2.9022587384961319E-4</v>
      </c>
    </row>
    <row r="22" spans="1:69" ht="12" customHeight="1" x14ac:dyDescent="0.2">
      <c r="C22" s="36" t="s">
        <v>53</v>
      </c>
      <c r="D22" s="51" t="str">
        <f>PROPER(Currency)&amp;IborType&amp;$D$21</f>
        <v>Euribor1M</v>
      </c>
      <c r="E22" s="23"/>
      <c r="F22" s="187" t="s">
        <v>91</v>
      </c>
      <c r="G22" s="89"/>
      <c r="H22" s="89"/>
      <c r="S22" s="89"/>
      <c r="T22" s="89"/>
      <c r="U22" s="89"/>
      <c r="V22" s="89"/>
      <c r="W22" s="89"/>
      <c r="X22" s="238"/>
      <c r="Y22" s="228" t="str">
        <f>_xll.qlPolynomialCalibration(,_xll.ohFilter($I$14:$I$17,$S$14:$S$17),_xll.ohFilter($H$14:$H$17,$S$14:$S$17),_xll.ohFilter($J$14:$J$17,$S$14:$S$17),G$25:G$26,,,,,Trigger)</f>
        <v>obj_0064d#0002</v>
      </c>
      <c r="Z22" s="188" t="str">
        <f>_xll.qlPolynomialCalibration(,_xll.ohFilter($I$14:$I$17,$T$14:$T$17),_xll.ohFilter($H$14:$H$17,$T$14:$T$17),_xll.ohFilter($J$14:$J$17,$T$14:$T$17),H$25:H$27,,,,,Trigger)</f>
        <v>obj_00648#0002</v>
      </c>
      <c r="AA22" s="188" t="str">
        <f>_xll.qlPolynomialCalibration(,_xll.ohFilter($I$14:$I$17,$U$14:$U$17),_xll.ohFilter($H$14:$H$17,$U$14:$U$17),_xll.ohFilter($J$14:$J$17,$U$14:$U$17),S$25:S$26,,,,,Trigger)</f>
        <v>obj_0064a#0002</v>
      </c>
      <c r="AB22" s="188" t="str">
        <f>_xll.qlPolynomialCalibration(,_xll.ohFilter($I$14:$I$17,$V$14:$V$17),_xll.ohFilter($H$14:$H$17,$V$14:$V$17),_xll.ohFilter($J$14:$J$17,$V$14:$V$17),T$25:T$27,,,,,Trigger)</f>
        <v>obj_0064b#0002</v>
      </c>
      <c r="AC22" s="19" t="s">
        <v>70</v>
      </c>
      <c r="AD22" s="95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103"/>
      <c r="AP22" s="95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103"/>
      <c r="BC22" s="178">
        <f>_xll.qlCalendarAdvance(Calendar,BC21,"1d","mf",,Trigger)</f>
        <v>42303</v>
      </c>
      <c r="BD22" s="41">
        <f>_xll.qlDayCounterYearFraction(DayCounter,SettlementDate,BC22,,,Trigger)</f>
        <v>6.6666666666666666E-2</v>
      </c>
      <c r="BE22" s="47">
        <f>_xll.qlPolynomialFunctionValue(BE$1,$BD22,AllTriggers)</f>
        <v>2.7000957428064803E-4</v>
      </c>
      <c r="BF22" s="47">
        <f>_xll.qlPolynomialFunctionValue(BF$1,$BD22,AllTriggers)</f>
        <v>2.7614919106463796E-4</v>
      </c>
      <c r="BG22" s="47">
        <f>_xll.qlPolynomialFunctionValue(BG$1,$BD22,AllTriggers)</f>
        <v>3.0106592822177645E-4</v>
      </c>
      <c r="BH22" s="47">
        <f>_xll.qlPolynomialFunctionValue(BH$1,$BD22,AllTriggers)</f>
        <v>3.8772218910840489E-4</v>
      </c>
      <c r="BI22" s="47">
        <f>_xll.qlPolynomialFunctionValue(BI$1,$BD22,AllTriggers)</f>
        <v>2.7003952101401911E-4</v>
      </c>
      <c r="BJ22" s="47">
        <f>_xll.qlPolynomialFunctionValue(BJ$1,$BD22,AllTriggers)</f>
        <v>2.7561337405519829E-4</v>
      </c>
      <c r="BK22" s="47">
        <f>_xll.qlPolynomialFunctionValue(BK$1,$BD22,AllTriggers)</f>
        <v>2.9896481107464308E-4</v>
      </c>
      <c r="BL22" s="47">
        <f>_xll.qlPolynomialFunctionValue(BL$1,$BD22,AllTriggers)</f>
        <v>3.878495186381383E-4</v>
      </c>
      <c r="BM22" s="47">
        <f>_xll.qlPolynomialFunctionValue(BM$1,$BD22,AllTriggers)</f>
        <v>2.550909348917309E-4</v>
      </c>
      <c r="BN22" s="47">
        <f>_xll.qlPolynomialFunctionValue(BN$1,$BD22,AllTriggers)</f>
        <v>2.6086508866015673E-4</v>
      </c>
      <c r="BO22" s="47">
        <f>_xll.qlPolynomialFunctionValue(BO$1,$BD22,AllTriggers)</f>
        <v>2.1456685912051365E-4</v>
      </c>
      <c r="BP22" s="47">
        <f>_xll.qlPolynomialFunctionValue(BP$1,$BD22,AllTriggers)</f>
        <v>3.8772218910840484E-4</v>
      </c>
      <c r="BQ22" s="47">
        <f>_xll.qlPolynomialFunctionValue('1MSynthDepo_used'!$P$18,BD22,AllTriggers)</f>
        <v>2.9299760432954737E-4</v>
      </c>
    </row>
    <row r="23" spans="1:69" ht="12" customHeight="1" x14ac:dyDescent="0.2">
      <c r="C23" s="36" t="s">
        <v>116</v>
      </c>
      <c r="D23" s="51" t="str">
        <f>_xll.qlIborIndex(,,'1MSynthDepo_allScenario'!D21,2,Currency,Calendar,"mf",TRUE,DayCounter,Discounting,,Trigger)</f>
        <v>obj_0059c#0007</v>
      </c>
      <c r="E23" s="23"/>
      <c r="F23" s="187" t="s">
        <v>92</v>
      </c>
      <c r="G23" s="89"/>
      <c r="H23" s="89"/>
      <c r="S23" s="89"/>
      <c r="T23" s="89"/>
      <c r="U23" s="89"/>
      <c r="V23" s="89"/>
      <c r="W23" s="89"/>
      <c r="X23" s="238"/>
      <c r="Y23" s="239" t="b">
        <f>_xll.qlPolynomialCalibrationCompute(Y$22,AllTriggers)</f>
        <v>1</v>
      </c>
      <c r="Z23" s="188" t="b">
        <f>_xll.qlPolynomialCalibrationCompute(Z$22,AllTriggers)</f>
        <v>1</v>
      </c>
      <c r="AA23" s="188" t="b">
        <f>_xll.qlPolynomialCalibrationCompute(AA$22,AllTriggers)</f>
        <v>1</v>
      </c>
      <c r="AB23" s="188" t="b">
        <f>_xll.qlPolynomialCalibrationCompute(AB$22,AllTriggers)</f>
        <v>1</v>
      </c>
      <c r="AC23" s="19" t="s">
        <v>70</v>
      </c>
      <c r="AD23" s="93"/>
      <c r="AE23" s="93"/>
      <c r="AF23" s="93"/>
      <c r="AG23" s="93"/>
      <c r="AH23" s="93"/>
      <c r="BC23" s="178">
        <f>_xll.qlCalendarAdvance(Calendar,BC22,"1d","mf",,Trigger)</f>
        <v>42304</v>
      </c>
      <c r="BD23" s="41">
        <f>_xll.qlDayCounterYearFraction(DayCounter,SettlementDate,BC23,,,Trigger)</f>
        <v>6.9444444444444448E-2</v>
      </c>
      <c r="BE23" s="47">
        <f>_xll.qlPolynomialFunctionValue(BE$1,$BD23,AllTriggers)</f>
        <v>2.7001070066626204E-4</v>
      </c>
      <c r="BF23" s="47">
        <f>_xll.qlPolynomialFunctionValue(BF$1,$BD23,AllTriggers)</f>
        <v>2.7644447599395664E-4</v>
      </c>
      <c r="BG23" s="47">
        <f>_xll.qlPolynomialFunctionValue(BG$1,$BD23,AllTriggers)</f>
        <v>2.9968677221000695E-4</v>
      </c>
      <c r="BH23" s="47">
        <f>_xll.qlPolynomialFunctionValue(BH$1,$BD23,AllTriggers)</f>
        <v>3.8051960645312655E-4</v>
      </c>
      <c r="BI23" s="47">
        <f>_xll.qlPolynomialFunctionValue(BI$1,$BD23,AllTriggers)</f>
        <v>2.7004071001926965E-4</v>
      </c>
      <c r="BJ23" s="47">
        <f>_xll.qlPolynomialFunctionValue(BJ$1,$BD23,AllTriggers)</f>
        <v>2.7587332411756768E-4</v>
      </c>
      <c r="BK23" s="47">
        <f>_xll.qlPolynomialFunctionValue(BK$1,$BD23,AllTriggers)</f>
        <v>2.9765121416804713E-4</v>
      </c>
      <c r="BL23" s="47">
        <f>_xll.qlPolynomialFunctionValue(BL$1,$BD23,AllTriggers)</f>
        <v>3.8054638618144153E-4</v>
      </c>
      <c r="BM23" s="47">
        <f>_xll.qlPolynomialFunctionValue(BM$1,$BD23,AllTriggers)</f>
        <v>2.5571650275954441E-4</v>
      </c>
      <c r="BN23" s="47">
        <f>_xll.qlPolynomialFunctionValue(BN$1,$BD23,AllTriggers)</f>
        <v>2.5921164608469331E-4</v>
      </c>
      <c r="BO23" s="47">
        <f>_xll.qlPolynomialFunctionValue(BO$1,$BD23,AllTriggers)</f>
        <v>2.1582386521469069E-4</v>
      </c>
      <c r="BP23" s="47">
        <f>_xll.qlPolynomialFunctionValue(BP$1,$BD23,AllTriggers)</f>
        <v>3.8051960645312644E-4</v>
      </c>
      <c r="BQ23" s="47">
        <f>_xll.qlPolynomialFunctionValue('1MSynthDepo_used'!$P$18,BD23,AllTriggers)</f>
        <v>2.9352631375860271E-4</v>
      </c>
    </row>
    <row r="24" spans="1:69" ht="12" customHeight="1" x14ac:dyDescent="0.2">
      <c r="A24" s="21"/>
      <c r="B24" s="55"/>
      <c r="C24" s="36" t="s">
        <v>117</v>
      </c>
      <c r="D24" s="51" t="s">
        <v>86</v>
      </c>
      <c r="E24" s="23"/>
      <c r="F24" s="187" t="s">
        <v>82</v>
      </c>
      <c r="G24" s="188" t="str">
        <f>_xll.qlPolynomialTenorBasis(,$D$22,Discounting,SettlementDate,IsSimple,G$25:G$28,,Trigger)</f>
        <v>obj_0063c#0002</v>
      </c>
      <c r="H24" s="188" t="str">
        <f>_xll.qlPolynomialTenorBasis(,$D$22,Discounting,SettlementDate,IsSimple,H$25:H$28,,Trigger)</f>
        <v>obj_00645#0002</v>
      </c>
      <c r="S24" s="188" t="str">
        <f>_xll.qlPolynomialTenorBasis(,$D$22,Discounting,SettlementDate,IsSimple,S$25:S$28,,Trigger)</f>
        <v>obj_00641#0002</v>
      </c>
      <c r="T24" s="188" t="str">
        <f>_xll.qlPolynomialTenorBasis(,$D$22,Discounting,SettlementDate,IsSimple,T$25:T$28,,Trigger)</f>
        <v>obj_0063f#0002</v>
      </c>
      <c r="U24" s="188" t="str">
        <f>_xll.qlPolynomialTenorBasis(,$D$22,Discounting,SettlementDate,$U$21,U$25:U$28,,Trigger)</f>
        <v>obj_00642#0002</v>
      </c>
      <c r="V24" s="188" t="str">
        <f>_xll.qlPolynomialTenorBasis(,$D$22,Discounting,SettlementDate,$U$21,V$25:V$28,,Trigger)</f>
        <v>obj_0063e#0002</v>
      </c>
      <c r="W24" s="188" t="str">
        <f>_xll.qlPolynomialTenorBasis(,$D$22,Discounting,SettlementDate,$U$21,W$25:W$28,,Trigger)</f>
        <v>obj_00649#0002</v>
      </c>
      <c r="X24" s="227" t="str">
        <f>_xll.qlPolynomialTenorBasis(,$D$22,Discounting,SettlementDate,$U$21,X$25:X$28,,Trigger)</f>
        <v>obj_0063d#0002</v>
      </c>
      <c r="Y24" s="228" t="str">
        <f>_xll.qlPolynomialTenorBasis(,$D$22,Discounting,SettlementDate,$Y$21,Y$25:Y$28,,Trigger)</f>
        <v>obj_0064e#0002</v>
      </c>
      <c r="Z24" s="188" t="str">
        <f>_xll.qlPolynomialTenorBasis(,$D$22,Discounting,SettlementDate,$Y$21,Z$25:Z$28,,Trigger)</f>
        <v>obj_00650#0002</v>
      </c>
      <c r="AA24" s="188" t="str">
        <f>_xll.qlPolynomialTenorBasis(,$D$22,Discounting,SettlementDate,$Y$21,AA$25:AA$28,,Trigger)</f>
        <v>obj_00654#0002</v>
      </c>
      <c r="AB24" s="188" t="str">
        <f>_xll.qlPolynomialTenorBasis(,$D$22,Discounting,SettlementDate,$Y$21,AB$25:AB$28,,Trigger)</f>
        <v>obj_00651#0002</v>
      </c>
      <c r="AC24" s="19" t="s">
        <v>70</v>
      </c>
      <c r="BC24" s="178">
        <f>_xll.qlCalendarAdvance(Calendar,BC23,"1d","mf",,Trigger)</f>
        <v>42305</v>
      </c>
      <c r="BD24" s="41">
        <f>_xll.qlDayCounterYearFraction(DayCounter,SettlementDate,BC24,,,Trigger)</f>
        <v>7.2222222222222215E-2</v>
      </c>
      <c r="BE24" s="47">
        <f>_xll.qlPolynomialFunctionValue(BE$1,$BD24,AllTriggers)</f>
        <v>2.70011827051876E-4</v>
      </c>
      <c r="BF24" s="47">
        <f>_xll.qlPolynomialFunctionValue(BF$1,$BD24,AllTriggers)</f>
        <v>2.7669450576270533E-4</v>
      </c>
      <c r="BG24" s="47">
        <f>_xll.qlPolynomialFunctionValue(BG$1,$BD24,AllTriggers)</f>
        <v>2.9830761619823744E-4</v>
      </c>
      <c r="BH24" s="47">
        <f>_xll.qlPolynomialFunctionValue(BH$1,$BD24,AllTriggers)</f>
        <v>3.7347441370713219E-4</v>
      </c>
      <c r="BI24" s="47">
        <f>_xll.qlPolynomialFunctionValue(BI$1,$BD24,AllTriggers)</f>
        <v>2.7004189902452025E-4</v>
      </c>
      <c r="BJ24" s="47">
        <f>_xll.qlPolynomialFunctionValue(BJ$1,$BD24,AllTriggers)</f>
        <v>2.7609131292743116E-4</v>
      </c>
      <c r="BK24" s="47">
        <f>_xll.qlPolynomialFunctionValue(BK$1,$BD24,AllTriggers)</f>
        <v>2.9633761726145113E-4</v>
      </c>
      <c r="BL24" s="47">
        <f>_xll.qlPolynomialFunctionValue(BL$1,$BD24,AllTriggers)</f>
        <v>3.7340297467274751E-4</v>
      </c>
      <c r="BM24" s="47">
        <f>_xll.qlPolynomialFunctionValue(BM$1,$BD24,AllTriggers)</f>
        <v>2.5634207062735792E-4</v>
      </c>
      <c r="BN24" s="47">
        <f>_xll.qlPolynomialFunctionValue(BN$1,$BD24,AllTriggers)</f>
        <v>2.576180024560198E-4</v>
      </c>
      <c r="BO24" s="47">
        <f>_xll.qlPolynomialFunctionValue(BO$1,$BD24,AllTriggers)</f>
        <v>2.1708087130886772E-4</v>
      </c>
      <c r="BP24" s="47">
        <f>_xll.qlPolynomialFunctionValue(BP$1,$BD24,AllTriggers)</f>
        <v>3.7347441370713219E-4</v>
      </c>
      <c r="BQ24" s="47">
        <f>_xll.qlPolynomialFunctionValue('1MSynthDepo_used'!$P$18,BD24,AllTriggers)</f>
        <v>2.9386865720670786E-4</v>
      </c>
    </row>
    <row r="25" spans="1:69" ht="12" customHeight="1" x14ac:dyDescent="0.2">
      <c r="A25" s="21"/>
      <c r="B25" s="55"/>
      <c r="C25" s="36" t="s">
        <v>118</v>
      </c>
      <c r="D25" s="51" t="s">
        <v>86</v>
      </c>
      <c r="E25" s="35"/>
      <c r="F25" s="133" t="s">
        <v>73</v>
      </c>
      <c r="G25" s="90">
        <f>AI6</f>
        <v>2.7000000000292914E-4</v>
      </c>
      <c r="H25" s="90">
        <f>AI16</f>
        <v>2.7000000000292914E-4</v>
      </c>
      <c r="S25" s="90">
        <f>AI10</f>
        <v>3.1278875432181718E-4</v>
      </c>
      <c r="T25" s="90">
        <f>AI21</f>
        <v>4.6160091354986114E-4</v>
      </c>
      <c r="U25" s="90">
        <f>AU6</f>
        <v>2.7001098488800557E-4</v>
      </c>
      <c r="V25" s="90">
        <f>AU16</f>
        <v>2.5678619680661295E-4</v>
      </c>
      <c r="W25" s="90">
        <f>AU10</f>
        <v>3.3049113683294675E-4</v>
      </c>
      <c r="X25" s="229">
        <f>AU21</f>
        <v>6.1104098199966602E-4</v>
      </c>
      <c r="Y25" s="230">
        <f t="array" ref="Y25:Y26">_xll.qlPolynomialCalibrationCoefficients($Y$22,$Y$23)</f>
        <v>2.4977360801531595E-4</v>
      </c>
      <c r="Z25" s="90">
        <f t="array" ref="Z25:Z27">_xll.qlPolynomialCalibrationCoefficients($Z$22,$Z$23)</f>
        <v>2.7972818252261625E-4</v>
      </c>
      <c r="AA25" s="90">
        <f t="array" ref="AA25:AA26">_xll.qlPolynomialCalibrationCoefficients($AA$22,$AA$23)</f>
        <v>2.0388230732000886E-4</v>
      </c>
      <c r="AB25" s="90">
        <f t="array" ref="AB25:AB27">_xll.qlPolynomialCalibrationCoefficients($AB$22,$AB$23)</f>
        <v>4.6160091354986097E-4</v>
      </c>
      <c r="AC25" s="19" t="s">
        <v>70</v>
      </c>
      <c r="BC25" s="178">
        <f>_xll.qlCalendarAdvance(Calendar,BC24,"1d","mf",,Trigger)</f>
        <v>42306</v>
      </c>
      <c r="BD25" s="41">
        <f>_xll.qlDayCounterYearFraction(DayCounter,SettlementDate,BC25,,,Trigger)</f>
        <v>7.4999999999999997E-2</v>
      </c>
      <c r="BE25" s="47">
        <f>_xll.qlPolynomialFunctionValue(BE$1,$BD25,AllTriggers)</f>
        <v>2.7001295343749001E-4</v>
      </c>
      <c r="BF25" s="47">
        <f>_xll.qlPolynomialFunctionValue(BF$1,$BD25,AllTriggers)</f>
        <v>2.7689928037088411E-4</v>
      </c>
      <c r="BG25" s="47">
        <f>_xll.qlPolynomialFunctionValue(BG$1,$BD25,AllTriggers)</f>
        <v>2.9692846018646799E-4</v>
      </c>
      <c r="BH25" s="47">
        <f>_xll.qlPolynomialFunctionValue(BH$1,$BD25,AllTriggers)</f>
        <v>3.6658661087042192E-4</v>
      </c>
      <c r="BI25" s="47">
        <f>_xll.qlPolynomialFunctionValue(BI$1,$BD25,AllTriggers)</f>
        <v>2.7004308802977079E-4</v>
      </c>
      <c r="BJ25" s="47">
        <f>_xll.qlPolynomialFunctionValue(BJ$1,$BD25,AllTriggers)</f>
        <v>2.7626734048478903E-4</v>
      </c>
      <c r="BK25" s="47">
        <f>_xll.qlPolynomialFunctionValue(BK$1,$BD25,AllTriggers)</f>
        <v>2.9502402035485513E-4</v>
      </c>
      <c r="BL25" s="47">
        <f>_xll.qlPolynomialFunctionValue(BL$1,$BD25,AllTriggers)</f>
        <v>3.6641928411205614E-4</v>
      </c>
      <c r="BM25" s="47">
        <f>_xll.qlPolynomialFunctionValue(BM$1,$BD25,AllTriggers)</f>
        <v>2.5696763849517143E-4</v>
      </c>
      <c r="BN25" s="47">
        <f>_xll.qlPolynomialFunctionValue(BN$1,$BD25,AllTriggers)</f>
        <v>2.5608415777413621E-4</v>
      </c>
      <c r="BO25" s="47">
        <f>_xll.qlPolynomialFunctionValue(BO$1,$BD25,AllTriggers)</f>
        <v>2.1833787740304476E-4</v>
      </c>
      <c r="BP25" s="47">
        <f>_xll.qlPolynomialFunctionValue(BP$1,$BD25,AllTriggers)</f>
        <v>3.6658661087042181E-4</v>
      </c>
      <c r="BQ25" s="47">
        <f>_xll.qlPolynomialFunctionValue('1MSynthDepo_used'!$P$18,BD25,AllTriggers)</f>
        <v>2.9403137530456921E-4</v>
      </c>
    </row>
    <row r="26" spans="1:69" ht="12" customHeight="1" x14ac:dyDescent="0.2">
      <c r="A26" s="21"/>
      <c r="B26" s="55"/>
      <c r="E26" s="35"/>
      <c r="F26" s="133" t="s">
        <v>74</v>
      </c>
      <c r="G26" s="90">
        <f>AI5</f>
        <v>4.0549882103588925E-7</v>
      </c>
      <c r="H26" s="90">
        <f>AI15</f>
        <v>2.5292929480135872E-4</v>
      </c>
      <c r="S26" s="90">
        <f>AI9</f>
        <v>-4.9649616423701887E-4</v>
      </c>
      <c r="T26" s="90">
        <f>AI20</f>
        <v>-3.1028730619804424E-3</v>
      </c>
      <c r="U26" s="90">
        <f>AU5</f>
        <v>4.2804189020291192E-7</v>
      </c>
      <c r="V26" s="90">
        <f>AU15</f>
        <v>4.6368026955358101E-4</v>
      </c>
      <c r="W26" s="90">
        <f>AU9</f>
        <v>-4.7289488637455466E-4</v>
      </c>
      <c r="X26" s="229">
        <f>AU20</f>
        <v>-4.0378664457945222E-3</v>
      </c>
      <c r="Y26" s="230">
        <v>2.252044324128667E-4</v>
      </c>
      <c r="Z26" s="90">
        <v>-7.8898791476608244E-4</v>
      </c>
      <c r="AA26" s="90">
        <v>4.5252219390373195E-4</v>
      </c>
      <c r="AB26" s="90">
        <v>-3.1028730619804411E-3</v>
      </c>
      <c r="AC26" s="19" t="s">
        <v>70</v>
      </c>
      <c r="BC26" s="178">
        <f>_xll.qlCalendarAdvance(Calendar,BC25,"1d","mf",,Trigger)</f>
        <v>42307</v>
      </c>
      <c r="BD26" s="41">
        <f>_xll.qlDayCounterYearFraction(DayCounter,SettlementDate,BC26,,,Trigger)</f>
        <v>7.7777777777777779E-2</v>
      </c>
      <c r="BE26" s="47">
        <f>_xll.qlPolynomialFunctionValue(BE$1,$BD26,AllTriggers)</f>
        <v>2.7001407982310403E-4</v>
      </c>
      <c r="BF26" s="47">
        <f>_xll.qlPolynomialFunctionValue(BF$1,$BD26,AllTriggers)</f>
        <v>2.7705879981849291E-4</v>
      </c>
      <c r="BG26" s="47">
        <f>_xll.qlPolynomialFunctionValue(BG$1,$BD26,AllTriggers)</f>
        <v>2.9554930417469849E-4</v>
      </c>
      <c r="BH26" s="47">
        <f>_xll.qlPolynomialFunctionValue(BH$1,$BD26,AllTriggers)</f>
        <v>3.5985619794299563E-4</v>
      </c>
      <c r="BI26" s="47">
        <f>_xll.qlPolynomialFunctionValue(BI$1,$BD26,AllTriggers)</f>
        <v>2.7004427703502133E-4</v>
      </c>
      <c r="BJ26" s="47">
        <f>_xll.qlPolynomialFunctionValue(BJ$1,$BD26,AllTriggers)</f>
        <v>2.764014067896411E-4</v>
      </c>
      <c r="BK26" s="47">
        <f>_xll.qlPolynomialFunctionValue(BK$1,$BD26,AllTriggers)</f>
        <v>2.9371042344825918E-4</v>
      </c>
      <c r="BL26" s="47">
        <f>_xll.qlPolynomialFunctionValue(BL$1,$BD26,AllTriggers)</f>
        <v>3.5959531449936746E-4</v>
      </c>
      <c r="BM26" s="47">
        <f>_xll.qlPolynomialFunctionValue(BM$1,$BD26,AllTriggers)</f>
        <v>2.5759320636298494E-4</v>
      </c>
      <c r="BN26" s="47">
        <f>_xll.qlPolynomialFunctionValue(BN$1,$BD26,AllTriggers)</f>
        <v>2.5461011203904249E-4</v>
      </c>
      <c r="BO26" s="47">
        <f>_xll.qlPolynomialFunctionValue(BO$1,$BD26,AllTriggers)</f>
        <v>2.1959488349722179E-4</v>
      </c>
      <c r="BP26" s="47">
        <f>_xll.qlPolynomialFunctionValue(BP$1,$BD26,AllTriggers)</f>
        <v>3.5985619794299552E-4</v>
      </c>
      <c r="BQ26" s="47">
        <f>_xll.qlPolynomialFunctionValue('1MSynthDepo_used'!$P$18,BD26,AllTriggers)</f>
        <v>2.9402120868289355E-4</v>
      </c>
    </row>
    <row r="27" spans="1:69" ht="12" customHeight="1" x14ac:dyDescent="0.2">
      <c r="B27" s="22"/>
      <c r="F27" s="133" t="s">
        <v>75</v>
      </c>
      <c r="G27" s="89"/>
      <c r="H27" s="90">
        <f>AI14</f>
        <v>-2.9325344049327788E-3</v>
      </c>
      <c r="S27" s="89"/>
      <c r="T27" s="90">
        <f>AI19</f>
        <v>1.019886612160471E-2</v>
      </c>
      <c r="U27" s="89"/>
      <c r="V27" s="90">
        <f>AU14</f>
        <v>-2.7190891623720004E-3</v>
      </c>
      <c r="W27" s="89"/>
      <c r="X27" s="229">
        <f>AU19</f>
        <v>1.0349917430574094E-2</v>
      </c>
      <c r="Y27" s="231"/>
      <c r="Z27" s="90">
        <v>3.8749717519851413E-3</v>
      </c>
      <c r="AA27" s="89"/>
      <c r="AB27" s="90">
        <v>1.0198866121604701E-2</v>
      </c>
      <c r="AC27" s="19" t="s">
        <v>70</v>
      </c>
      <c r="BC27" s="178">
        <f>_xll.qlCalendarAdvance(Calendar,BC26,"1d","mf",,Trigger)</f>
        <v>42310</v>
      </c>
      <c r="BD27" s="41">
        <f>_xll.qlDayCounterYearFraction(DayCounter,SettlementDate,BC27,,,Trigger)</f>
        <v>8.611111111111111E-2</v>
      </c>
      <c r="BE27" s="47">
        <f>_xll.qlPolynomialFunctionValue(BE$1,$BD27,AllTriggers)</f>
        <v>2.7001745897994596E-4</v>
      </c>
      <c r="BF27" s="47">
        <f>_xll.qlPolynomialFunctionValue(BF$1,$BD27,AllTriggers)</f>
        <v>2.7726582719789965E-4</v>
      </c>
      <c r="BG27" s="47">
        <f>_xll.qlPolynomialFunctionValue(BG$1,$BD27,AllTriggers)</f>
        <v>2.9141183613938998E-4</v>
      </c>
      <c r="BH27" s="47">
        <f>_xll.qlPolynomialFunctionValue(BH$1,$BD27,AllTriggers)</f>
        <v>3.4060929861642089E-4</v>
      </c>
      <c r="BI27" s="47">
        <f>_xll.qlPolynomialFunctionValue(BI$1,$BD27,AllTriggers)</f>
        <v>2.7004784405077305E-4</v>
      </c>
      <c r="BJ27" s="47">
        <f>_xll.qlPolynomialFunctionValue(BJ$1,$BD27,AllTriggers)</f>
        <v>2.7655183818916292E-4</v>
      </c>
      <c r="BK27" s="47">
        <f>_xll.qlPolynomialFunctionValue(BK$1,$BD27,AllTriggers)</f>
        <v>2.8976963272847123E-4</v>
      </c>
      <c r="BL27" s="47">
        <f>_xll.qlPolynomialFunctionValue(BL$1,$BD27,AllTriggers)</f>
        <v>3.4008173134931753E-4</v>
      </c>
      <c r="BM27" s="47">
        <f>_xll.qlPolynomialFunctionValue(BM$1,$BD27,AllTriggers)</f>
        <v>2.5946990996642547E-4</v>
      </c>
      <c r="BN27" s="47">
        <f>_xll.qlPolynomialFunctionValue(BN$1,$BD27,AllTriggers)</f>
        <v>2.5054676851450066E-4</v>
      </c>
      <c r="BO27" s="47">
        <f>_xll.qlPolynomialFunctionValue(BO$1,$BD27,AllTriggers)</f>
        <v>2.2336590177975287E-4</v>
      </c>
      <c r="BP27" s="47">
        <f>_xll.qlPolynomialFunctionValue(BP$1,$BD27,AllTriggers)</f>
        <v>3.4060929861642089E-4</v>
      </c>
      <c r="BQ27" s="47">
        <f>_xll.qlPolynomialFunctionValue('1MSynthDepo_used'!$P$18,BD27,AllTriggers)</f>
        <v>2.9302080680771017E-4</v>
      </c>
    </row>
    <row r="28" spans="1:69" ht="12" customHeight="1" thickBot="1" x14ac:dyDescent="0.25">
      <c r="F28" s="133" t="s">
        <v>76</v>
      </c>
      <c r="G28" s="89"/>
      <c r="H28" s="89"/>
      <c r="S28" s="89"/>
      <c r="T28" s="89"/>
      <c r="U28" s="89"/>
      <c r="V28" s="89"/>
      <c r="W28" s="89"/>
      <c r="X28" s="232"/>
      <c r="Y28" s="233"/>
      <c r="Z28" s="89"/>
      <c r="AA28" s="89"/>
      <c r="AB28" s="234"/>
      <c r="BC28" s="178">
        <f>_xll.qlCalendarAdvance(Calendar,BC27,"1d","mf",,Trigger)</f>
        <v>42311</v>
      </c>
      <c r="BD28" s="41">
        <f>_xll.qlDayCounterYearFraction(DayCounter,SettlementDate,BC28,,,Trigger)</f>
        <v>8.8888888888888892E-2</v>
      </c>
      <c r="BE28" s="47">
        <f>_xll.qlPolynomialFunctionValue(BE$1,$BD28,AllTriggers)</f>
        <v>2.7001858536555997E-4</v>
      </c>
      <c r="BF28" s="47">
        <f>_xll.qlPolynomialFunctionValue(BF$1,$BD28,AllTriggers)</f>
        <v>2.772443260032287E-4</v>
      </c>
      <c r="BG28" s="47">
        <f>_xll.qlPolynomialFunctionValue(BG$1,$BD28,AllTriggers)</f>
        <v>2.9003268012762047E-4</v>
      </c>
      <c r="BH28" s="47">
        <f>_xll.qlPolynomialFunctionValue(BH$1,$BD28,AllTriggers)</f>
        <v>3.3450844532613075E-4</v>
      </c>
      <c r="BI28" s="47">
        <f>_xll.qlPolynomialFunctionValue(BI$1,$BD28,AllTriggers)</f>
        <v>2.7004903305602359E-4</v>
      </c>
      <c r="BJ28" s="47">
        <f>_xll.qlPolynomialFunctionValue(BJ$1,$BD28,AllTriggers)</f>
        <v>2.7651805948399202E-4</v>
      </c>
      <c r="BK28" s="47">
        <f>_xll.qlPolynomialFunctionValue(BK$1,$BD28,AllTriggers)</f>
        <v>2.8845603582187523E-4</v>
      </c>
      <c r="BL28" s="47">
        <f>_xll.qlPolynomialFunctionValue(BL$1,$BD28,AllTriggers)</f>
        <v>3.3389664552863963E-4</v>
      </c>
      <c r="BM28" s="47">
        <f>_xll.qlPolynomialFunctionValue(BM$1,$BD28,AllTriggers)</f>
        <v>2.6009547783423904E-4</v>
      </c>
      <c r="BN28" s="47">
        <f>_xll.qlPolynomialFunctionValue(BN$1,$BD28,AllTriggers)</f>
        <v>2.493119185665665E-4</v>
      </c>
      <c r="BO28" s="47">
        <f>_xll.qlPolynomialFunctionValue(BO$1,$BD28,AllTriggers)</f>
        <v>2.2462290787392993E-4</v>
      </c>
      <c r="BP28" s="47">
        <f>_xll.qlPolynomialFunctionValue(BP$1,$BD28,AllTriggers)</f>
        <v>3.3450844532613064E-4</v>
      </c>
      <c r="BQ28" s="47">
        <f>_xll.qlPolynomialFunctionValue('1MSynthDepo_used'!$P$18,BD28,AllTriggers)</f>
        <v>2.923865076149523E-4</v>
      </c>
    </row>
    <row r="29" spans="1:69" ht="12" customHeight="1" x14ac:dyDescent="0.2">
      <c r="G29" s="147" t="s">
        <v>66</v>
      </c>
      <c r="H29" s="148"/>
      <c r="S29" s="148"/>
      <c r="T29" s="148"/>
      <c r="U29" s="148"/>
      <c r="V29" s="148"/>
      <c r="W29" s="148"/>
      <c r="X29" s="149"/>
      <c r="Y29" s="147" t="s">
        <v>67</v>
      </c>
      <c r="Z29" s="148"/>
      <c r="AA29" s="148"/>
      <c r="AB29" s="149"/>
      <c r="BC29" s="178">
        <f>_xll.qlCalendarAdvance(Calendar,BC28,"1d","mf",,Trigger)</f>
        <v>42312</v>
      </c>
      <c r="BD29" s="41">
        <f>_xll.qlDayCounterYearFraction(DayCounter,SettlementDate,BC29,,,Trigger)</f>
        <v>9.166666666666666E-2</v>
      </c>
      <c r="BE29" s="47">
        <f>_xll.qlPolynomialFunctionValue(BE$1,$BD29,AllTriggers)</f>
        <v>2.7001971175117393E-4</v>
      </c>
      <c r="BF29" s="47">
        <f>_xll.qlPolynomialFunctionValue(BF$1,$BD29,AllTriggers)</f>
        <v>2.7717756964798772E-4</v>
      </c>
      <c r="BG29" s="47">
        <f>_xll.qlPolynomialFunctionValue(BG$1,$BD29,AllTriggers)</f>
        <v>2.8865352411585102E-4</v>
      </c>
      <c r="BH29" s="47">
        <f>_xll.qlPolynomialFunctionValue(BH$1,$BD29,AllTriggers)</f>
        <v>3.2856498194512454E-4</v>
      </c>
      <c r="BI29" s="47">
        <f>_xll.qlPolynomialFunctionValue(BI$1,$BD29,AllTriggers)</f>
        <v>2.7005022206127419E-4</v>
      </c>
      <c r="BJ29" s="47">
        <f>_xll.qlPolynomialFunctionValue(BJ$1,$BD29,AllTriggers)</f>
        <v>2.7644231952631541E-4</v>
      </c>
      <c r="BK29" s="47">
        <f>_xll.qlPolynomialFunctionValue(BK$1,$BD29,AllTriggers)</f>
        <v>2.8714243891527923E-4</v>
      </c>
      <c r="BL29" s="47">
        <f>_xll.qlPolynomialFunctionValue(BL$1,$BD29,AllTriggers)</f>
        <v>3.2787128065596438E-4</v>
      </c>
      <c r="BM29" s="47">
        <f>_xll.qlPolynomialFunctionValue(BM$1,$BD29,AllTriggers)</f>
        <v>2.6072104570205255E-4</v>
      </c>
      <c r="BN29" s="47">
        <f>_xll.qlPolynomialFunctionValue(BN$1,$BD29,AllTriggers)</f>
        <v>2.4813686756542226E-4</v>
      </c>
      <c r="BO29" s="47">
        <f>_xll.qlPolynomialFunctionValue(BO$1,$BD29,AllTriggers)</f>
        <v>2.2587991396810694E-4</v>
      </c>
      <c r="BP29" s="47">
        <f>_xll.qlPolynomialFunctionValue(BP$1,$BD29,AllTriggers)</f>
        <v>3.2856498194512454E-4</v>
      </c>
      <c r="BQ29" s="47">
        <f>_xll.qlPolynomialFunctionValue('1MSynthDepo_used'!$P$18,BD29,AllTriggers)</f>
        <v>2.9161302685619026E-4</v>
      </c>
    </row>
    <row r="30" spans="1:69" ht="12" customHeight="1" x14ac:dyDescent="0.2">
      <c r="G30" s="214" t="s">
        <v>106</v>
      </c>
      <c r="H30" s="215"/>
      <c r="S30" s="215"/>
      <c r="T30" s="216"/>
      <c r="U30" s="214" t="s">
        <v>107</v>
      </c>
      <c r="V30" s="215"/>
      <c r="W30" s="215"/>
      <c r="X30" s="216"/>
      <c r="Y30" s="214" t="s">
        <v>106</v>
      </c>
      <c r="Z30" s="215"/>
      <c r="AA30" s="215"/>
      <c r="AB30" s="216"/>
      <c r="BC30" s="178">
        <f>_xll.qlCalendarAdvance(Calendar,BC29,"1d","mf",,Trigger)</f>
        <v>42313</v>
      </c>
      <c r="BD30" s="41">
        <f>_xll.qlDayCounterYearFraction(DayCounter,SettlementDate,BC30,,,Trigger)</f>
        <v>9.4444444444444442E-2</v>
      </c>
      <c r="BE30" s="47">
        <f>_xll.qlPolynomialFunctionValue(BE$1,$BD30,AllTriggers)</f>
        <v>2.7002083813678794E-4</v>
      </c>
      <c r="BF30" s="47">
        <f>_xll.qlPolynomialFunctionValue(BF$1,$BD30,AllTriggers)</f>
        <v>2.7706555813217682E-4</v>
      </c>
      <c r="BG30" s="47">
        <f>_xll.qlPolynomialFunctionValue(BG$1,$BD30,AllTriggers)</f>
        <v>2.8727436810408152E-4</v>
      </c>
      <c r="BH30" s="47">
        <f>_xll.qlPolynomialFunctionValue(BH$1,$BD30,AllTriggers)</f>
        <v>3.2277890847340243E-4</v>
      </c>
      <c r="BI30" s="47">
        <f>_xll.qlPolynomialFunctionValue(BI$1,$BD30,AllTriggers)</f>
        <v>2.7005141106652473E-4</v>
      </c>
      <c r="BJ30" s="47">
        <f>_xll.qlPolynomialFunctionValue(BJ$1,$BD30,AllTriggers)</f>
        <v>2.7632461831613304E-4</v>
      </c>
      <c r="BK30" s="47">
        <f>_xll.qlPolynomialFunctionValue(BK$1,$BD30,AllTriggers)</f>
        <v>2.8582884200868328E-4</v>
      </c>
      <c r="BL30" s="47">
        <f>_xll.qlPolynomialFunctionValue(BL$1,$BD30,AllTriggers)</f>
        <v>3.2200563673129181E-4</v>
      </c>
      <c r="BM30" s="47">
        <f>_xll.qlPolynomialFunctionValue(BM$1,$BD30,AllTriggers)</f>
        <v>2.6134661356986606E-4</v>
      </c>
      <c r="BN30" s="47">
        <f>_xll.qlPolynomialFunctionValue(BN$1,$BD30,AllTriggers)</f>
        <v>2.4702161551106794E-4</v>
      </c>
      <c r="BO30" s="47">
        <f>_xll.qlPolynomialFunctionValue(BO$1,$BD30,AllTriggers)</f>
        <v>2.2713692006228397E-4</v>
      </c>
      <c r="BP30" s="47">
        <f>_xll.qlPolynomialFunctionValue(BP$1,$BD30,AllTriggers)</f>
        <v>3.2277890847340237E-4</v>
      </c>
      <c r="BQ30" s="47">
        <f>_xll.qlPolynomialFunctionValue('1MSynthDepo_used'!$P$18,BD30,AllTriggers)</f>
        <v>2.9070710516213092E-4</v>
      </c>
    </row>
    <row r="31" spans="1:69" ht="12" customHeight="1" thickBot="1" x14ac:dyDescent="0.25">
      <c r="G31" s="134" t="str">
        <f>"with 0X"&amp;SUBSTITUTE($D$21,"M","")</f>
        <v>with 0X1</v>
      </c>
      <c r="H31" s="110"/>
      <c r="S31" s="109" t="str">
        <f>"without 0X"&amp;SUBSTITUTE($D$21,"M","")</f>
        <v>without 0X1</v>
      </c>
      <c r="T31" s="135"/>
      <c r="U31" s="134" t="str">
        <f>"with 0X"&amp;SUBSTITUTE($D$21,"M","")</f>
        <v>with 0X1</v>
      </c>
      <c r="V31" s="110"/>
      <c r="W31" s="109" t="str">
        <f>"without 0X"&amp;SUBSTITUTE($D$21,"M","")</f>
        <v>without 0X1</v>
      </c>
      <c r="X31" s="135"/>
      <c r="Y31" s="134" t="str">
        <f>"with 0X"&amp;SUBSTITUTE($D$21,"M","")</f>
        <v>with 0X1</v>
      </c>
      <c r="Z31" s="110"/>
      <c r="AA31" s="109" t="str">
        <f>"without 0X"&amp;SUBSTITUTE($D$21,"M","")</f>
        <v>without 0X1</v>
      </c>
      <c r="AB31" s="135"/>
      <c r="BC31" s="178">
        <f>_xll.qlCalendarAdvance(Calendar,BC30,"1d","mf",,Trigger)</f>
        <v>42314</v>
      </c>
      <c r="BD31" s="41">
        <f>_xll.qlDayCounterYearFraction(DayCounter,SettlementDate,BC31,,,Trigger)</f>
        <v>9.7222222222222224E-2</v>
      </c>
      <c r="BE31" s="47">
        <f>_xll.qlPolynomialFunctionValue(BE$1,$BD31,AllTriggers)</f>
        <v>2.700219645224019E-4</v>
      </c>
      <c r="BF31" s="47">
        <f>_xll.qlPolynomialFunctionValue(BF$1,$BD31,AllTriggers)</f>
        <v>2.7690829145579605E-4</v>
      </c>
      <c r="BG31" s="47">
        <f>_xll.qlPolynomialFunctionValue(BG$1,$BD31,AllTriggers)</f>
        <v>2.8589521209231201E-4</v>
      </c>
      <c r="BH31" s="47">
        <f>_xll.qlPolynomialFunctionValue(BH$1,$BD31,AllTriggers)</f>
        <v>3.1715022491096429E-4</v>
      </c>
      <c r="BI31" s="47">
        <f>_xll.qlPolynomialFunctionValue(BI$1,$BD31,AllTriggers)</f>
        <v>2.7005260007177532E-4</v>
      </c>
      <c r="BJ31" s="47">
        <f>_xll.qlPolynomialFunctionValue(BJ$1,$BD31,AllTriggers)</f>
        <v>2.7616495585344492E-4</v>
      </c>
      <c r="BK31" s="47">
        <f>_xll.qlPolynomialFunctionValue(BK$1,$BD31,AllTriggers)</f>
        <v>2.8451524510208728E-4</v>
      </c>
      <c r="BL31" s="47">
        <f>_xll.qlPolynomialFunctionValue(BL$1,$BD31,AllTriggers)</f>
        <v>3.1629971375462195E-4</v>
      </c>
      <c r="BM31" s="47">
        <f>_xll.qlPolynomialFunctionValue(BM$1,$BD31,AllTriggers)</f>
        <v>2.6197218143767957E-4</v>
      </c>
      <c r="BN31" s="47">
        <f>_xll.qlPolynomialFunctionValue(BN$1,$BD31,AllTriggers)</f>
        <v>2.4596616240350348E-4</v>
      </c>
      <c r="BO31" s="47">
        <f>_xll.qlPolynomialFunctionValue(BO$1,$BD31,AllTriggers)</f>
        <v>2.2839392615646101E-4</v>
      </c>
      <c r="BP31" s="47">
        <f>_xll.qlPolynomialFunctionValue(BP$1,$BD31,AllTriggers)</f>
        <v>3.1715022491096429E-4</v>
      </c>
      <c r="BQ31" s="47">
        <f>_xll.qlPolynomialFunctionValue('1MSynthDepo_used'!$P$18,BD31,AllTriggers)</f>
        <v>2.8967548316348067E-4</v>
      </c>
    </row>
    <row r="32" spans="1:69" ht="12" customHeight="1" x14ac:dyDescent="0.2">
      <c r="D32" s="36" t="s">
        <v>49</v>
      </c>
      <c r="E32" s="36" t="s">
        <v>38</v>
      </c>
      <c r="F32" s="36" t="s">
        <v>39</v>
      </c>
      <c r="G32" s="136" t="str">
        <f>IF(COUNT(G$25:G$28)=2,"Linear","Quadratic")</f>
        <v>Linear</v>
      </c>
      <c r="H32" s="38" t="str">
        <f>IF(COUNT(H$25:H$28)=2,"Linear","Quadratic")</f>
        <v>Quadratic</v>
      </c>
      <c r="S32" s="38" t="str">
        <f t="shared" ref="S32:AB32" si="8">IF(COUNT(S$25:S$28)=2,"Linear","Quadratic")</f>
        <v>Linear</v>
      </c>
      <c r="T32" s="137" t="str">
        <f t="shared" si="8"/>
        <v>Quadratic</v>
      </c>
      <c r="U32" s="136" t="str">
        <f t="shared" si="8"/>
        <v>Linear</v>
      </c>
      <c r="V32" s="38" t="str">
        <f t="shared" si="8"/>
        <v>Quadratic</v>
      </c>
      <c r="W32" s="38" t="str">
        <f t="shared" si="8"/>
        <v>Linear</v>
      </c>
      <c r="X32" s="137" t="str">
        <f t="shared" si="8"/>
        <v>Quadratic</v>
      </c>
      <c r="Y32" s="136" t="str">
        <f t="shared" si="8"/>
        <v>Linear</v>
      </c>
      <c r="Z32" s="38" t="str">
        <f t="shared" si="8"/>
        <v>Quadratic</v>
      </c>
      <c r="AA32" s="38" t="str">
        <f t="shared" si="8"/>
        <v>Linear</v>
      </c>
      <c r="AB32" s="137" t="str">
        <f t="shared" si="8"/>
        <v>Quadratic</v>
      </c>
      <c r="AC32" s="255" t="s">
        <v>105</v>
      </c>
      <c r="BC32" s="178">
        <f>_xll.qlCalendarAdvance(Calendar,BC31,"1d","mf",,Trigger)</f>
        <v>42317</v>
      </c>
      <c r="BD32" s="41">
        <f>_xll.qlDayCounterYearFraction(DayCounter,SettlementDate,BC32,,,Trigger)</f>
        <v>0.10555555555555556</v>
      </c>
      <c r="BE32" s="47">
        <f>_xll.qlPolynomialFunctionValue(BE$1,$BD32,AllTriggers)</f>
        <v>2.7002534367924388E-4</v>
      </c>
      <c r="BF32" s="47">
        <f>_xll.qlPolynomialFunctionValue(BF$1,$BD32,AllTriggers)</f>
        <v>2.7616496046323376E-4</v>
      </c>
      <c r="BG32" s="47">
        <f>_xll.qlPolynomialFunctionValue(BG$1,$BD32,AllTriggers)</f>
        <v>2.817577440570035E-4</v>
      </c>
      <c r="BH32" s="47">
        <f>_xll.qlPolynomialFunctionValue(BH$1,$BD32,AllTriggers)</f>
        <v>3.0120851367935406E-4</v>
      </c>
      <c r="BI32" s="47">
        <f>_xll.qlPolynomialFunctionValue(BI$1,$BD32,AllTriggers)</f>
        <v>2.7005616708752699E-4</v>
      </c>
      <c r="BJ32" s="47">
        <f>_xll.qlPolynomialFunctionValue(BJ$1,$BD32,AllTriggers)</f>
        <v>2.7543420095034612E-4</v>
      </c>
      <c r="BK32" s="47">
        <f>_xll.qlPolynomialFunctionValue(BK$1,$BD32,AllTriggers)</f>
        <v>2.8057445438229932E-4</v>
      </c>
      <c r="BL32" s="47">
        <f>_xll.qlPolynomialFunctionValue(BL$1,$BD32,AllTriggers)</f>
        <v>3.0014027051262842E-4</v>
      </c>
      <c r="BM32" s="47">
        <f>_xll.qlPolynomialFunctionValue(BM$1,$BD32,AllTriggers)</f>
        <v>2.6384888504112016E-4</v>
      </c>
      <c r="BN32" s="47">
        <f>_xll.qlPolynomialFunctionValue(BN$1,$BD32,AllTriggers)</f>
        <v>2.4315859676154946E-4</v>
      </c>
      <c r="BO32" s="47">
        <f>_xll.qlPolynomialFunctionValue(BO$1,$BD32,AllTriggers)</f>
        <v>2.3216494443899211E-4</v>
      </c>
      <c r="BP32" s="47">
        <f>_xll.qlPolynomialFunctionValue(BP$1,$BD32,AllTriggers)</f>
        <v>3.0120851367935401E-4</v>
      </c>
      <c r="BQ32" s="47">
        <f>_xll.qlPolynomialFunctionValue('1MSynthDepo_used'!$P$18,BD32,AllTriggers)</f>
        <v>2.8589382164705113E-4</v>
      </c>
    </row>
    <row r="33" spans="3:69" ht="12" customHeight="1" x14ac:dyDescent="0.2">
      <c r="C33" s="19">
        <v>0</v>
      </c>
      <c r="D33" s="45" t="s">
        <v>25</v>
      </c>
      <c r="E33" s="175">
        <f>_xll.qlCalendarAdvance(Calendar,SettlementDate,C33&amp;"M","mf",TRUE,Trigger)</f>
        <v>42279</v>
      </c>
      <c r="F33" s="245">
        <f>_xll.qlCalendarAdvance(Calendar,SettlementDate,D33,"Following",,Trigger)</f>
        <v>42282</v>
      </c>
      <c r="G33" s="253">
        <f>_xll.qlTenorBasisForwardRate2(G$24,$E33,$F33,InterestRatesTrigger)</f>
        <v>-1.093774552343163E-3</v>
      </c>
      <c r="H33" s="193">
        <f>_xll.qlTenorBasisForwardRate2(H$24,$E33,$F33,InterestRatesTrigger)</f>
        <v>-1.1060906154991557E-3</v>
      </c>
      <c r="S33" s="193">
        <f>_xll.qlTenorBasisForwardRate2(S$24,$E33,$F33,InterestRatesTrigger)</f>
        <v>-1.0324852730114742E-3</v>
      </c>
      <c r="T33" s="254">
        <f>_xll.qlTenorBasisForwardRate2(T$24,$E33,$F33,InterestRatesTrigger)</f>
        <v>-7.7649780236388466E-4</v>
      </c>
      <c r="U33" s="253">
        <f>_xll.qlTenorBasisForwardRate2(U$24,$E33,$F33,InterestRatesTrigger)</f>
        <v>-1.0937464069904479E-3</v>
      </c>
      <c r="V33" s="193">
        <f>_xll.qlTenorBasisForwardRate2(V$24,$E33,$F33,InterestRatesTrigger)</f>
        <v>-1.1049726240797142E-3</v>
      </c>
      <c r="W33" s="193">
        <f>_xll.qlTenorBasisForwardRate2(W$24,$E33,$F33,InterestRatesTrigger)</f>
        <v>-1.0360137792453372E-3</v>
      </c>
      <c r="X33" s="254">
        <f>_xll.qlTenorBasisForwardRate2(X$24,$E33,$F33,InterestRatesTrigger)</f>
        <v>-7.7352906721284143E-4</v>
      </c>
      <c r="Y33" s="253">
        <f>_xll.qlTenorBasisForwardRate2(Y$24,$E33,$F33,InterestRatesTrigger)</f>
        <v>-1.1223586865893864E-3</v>
      </c>
      <c r="Z33" s="193">
        <f>_xll.qlTenorBasisForwardRate2(Z$24,$E33,$F33,InterestRatesTrigger)</f>
        <v>-1.0504006122902254E-3</v>
      </c>
      <c r="AA33" s="193">
        <f>_xll.qlTenorBasisForwardRate2(AA$24,$E33,$F33,InterestRatesTrigger)</f>
        <v>-1.1763526566310745E-3</v>
      </c>
      <c r="AB33" s="254">
        <f>_xll.qlTenorBasisForwardRate2(AB$24,$E33,$F33,InterestRatesTrigger)</f>
        <v>-7.7649780236388466E-4</v>
      </c>
      <c r="AC33" s="254">
        <f>'1MSynthDepo_used'!AA15</f>
        <v>-1.1460180260103314E-3</v>
      </c>
      <c r="BC33" s="178">
        <f>_xll.qlCalendarAdvance(Calendar,BC32,"1d","mf",,Trigger)</f>
        <v>42318</v>
      </c>
      <c r="BD33" s="41">
        <f>_xll.qlDayCounterYearFraction(DayCounter,SettlementDate,BC33,,,Trigger)</f>
        <v>0.10833333333333334</v>
      </c>
      <c r="BE33" s="47">
        <f>_xll.qlPolynomialFunctionValue(BE$1,$BD33,AllTriggers)</f>
        <v>2.7002647006485789E-4</v>
      </c>
      <c r="BF33" s="47">
        <f>_xll.qlPolynomialFunctionValue(BF$1,$BD33,AllTriggers)</f>
        <v>2.7582667314457313E-4</v>
      </c>
      <c r="BG33" s="47">
        <f>_xll.qlPolynomialFunctionValue(BG$1,$BD33,AllTriggers)</f>
        <v>2.80378588045234E-4</v>
      </c>
      <c r="BH33" s="47">
        <f>_xll.qlPolynomialFunctionValue(BH$1,$BD33,AllTriggers)</f>
        <v>2.9620938975405208E-4</v>
      </c>
      <c r="BI33" s="47">
        <f>_xll.qlPolynomialFunctionValue(BI$1,$BD33,AllTriggers)</f>
        <v>2.7005735609277753E-4</v>
      </c>
      <c r="BJ33" s="47">
        <f>_xll.qlPolynomialFunctionValue(BJ$1,$BD33,AllTriggers)</f>
        <v>2.7510669347763508E-4</v>
      </c>
      <c r="BK33" s="47">
        <f>_xll.qlPolynomialFunctionValue(BK$1,$BD33,AllTriggers)</f>
        <v>2.7926085747570332E-4</v>
      </c>
      <c r="BL33" s="47">
        <f>_xll.qlPolynomialFunctionValue(BL$1,$BD33,AllTriggers)</f>
        <v>2.9507323132796934E-4</v>
      </c>
      <c r="BM33" s="47">
        <f>_xll.qlPolynomialFunctionValue(BM$1,$BD33,AllTriggers)</f>
        <v>2.6447445290893367E-4</v>
      </c>
      <c r="BN33" s="47">
        <f>_xll.qlPolynomialFunctionValue(BN$1,$BD33,AllTriggers)</f>
        <v>2.4234233944114456E-4</v>
      </c>
      <c r="BO33" s="47">
        <f>_xll.qlPolynomialFunctionValue(BO$1,$BD33,AllTriggers)</f>
        <v>2.3342195053316914E-4</v>
      </c>
      <c r="BP33" s="47">
        <f>_xll.qlPolynomialFunctionValue(BP$1,$BD33,AllTriggers)</f>
        <v>2.9620938975405203E-4</v>
      </c>
      <c r="BQ33" s="47">
        <f>_xll.qlPolynomialFunctionValue('1MSynthDepo_used'!$P$18,BD33,AllTriggers)</f>
        <v>2.8442680473710373E-4</v>
      </c>
    </row>
    <row r="34" spans="3:69" ht="12" customHeight="1" x14ac:dyDescent="0.2">
      <c r="C34" s="19">
        <v>0</v>
      </c>
      <c r="D34" s="48" t="s">
        <v>26</v>
      </c>
      <c r="E34" s="177">
        <f>_xll.qlCalendarAdvance(Calendar,SettlementDate,C34&amp;"M","mf",TRUE,Trigger)</f>
        <v>42279</v>
      </c>
      <c r="F34" s="246">
        <f>_xll.qlCalendarAdvance(Calendar,SettlementDate,D34,"Following",,Trigger)</f>
        <v>42286</v>
      </c>
      <c r="G34" s="138">
        <f>_xll.qlTenorBasisForwardRate2(G$24,$E34,$F34,InterestRatesTrigger)</f>
        <v>-1.1637187297740071E-3</v>
      </c>
      <c r="H34" s="128">
        <f>_xll.qlTenorBasisForwardRate2(H$24,$E34,$F34,InterestRatesTrigger)</f>
        <v>-1.173594678175936E-3</v>
      </c>
      <c r="S34" s="128">
        <f>_xll.qlTenorBasisForwardRate2(S$24,$E34,$F34,InterestRatesTrigger)</f>
        <v>-1.1051156510699656E-3</v>
      </c>
      <c r="T34" s="139">
        <f>_xll.qlTenorBasisForwardRate2(T$24,$E34,$F34,InterestRatesTrigger)</f>
        <v>-8.6695629284681635E-4</v>
      </c>
      <c r="U34" s="138">
        <f>_xll.qlTenorBasisForwardRate2(U$24,$E34,$F34,InterestRatesTrigger)</f>
        <v>-1.1636904629850975E-3</v>
      </c>
      <c r="V34" s="128">
        <f>_xll.qlTenorBasisForwardRate2(V$24,$E34,$F34,InterestRatesTrigger)</f>
        <v>-1.1726813847122231E-3</v>
      </c>
      <c r="W34" s="128">
        <f>_xll.qlTenorBasisForwardRate2(W$24,$E34,$F34,InterestRatesTrigger)</f>
        <v>-1.1085165639983835E-3</v>
      </c>
      <c r="X34" s="139">
        <f>_xll.qlTenorBasisForwardRate2(X$24,$E34,$F34,InterestRatesTrigger)</f>
        <v>-8.6427941401393373E-4</v>
      </c>
      <c r="Y34" s="138">
        <f>_xll.qlTenorBasisForwardRate2(Y$24,$E34,$F34,InterestRatesTrigger)</f>
        <v>-1.1910876000241289E-3</v>
      </c>
      <c r="Z34" s="128">
        <f>_xll.qlTenorBasisForwardRate2(Z$24,$E34,$F34,InterestRatesTrigger)</f>
        <v>-1.1260322592069169E-3</v>
      </c>
      <c r="AA34" s="128">
        <f>_xll.qlTenorBasisForwardRate2(AA$24,$E34,$F34,InterestRatesTrigger)</f>
        <v>-1.2438523239970728E-3</v>
      </c>
      <c r="AB34" s="139">
        <f>_xll.qlTenorBasisForwardRate2(AB$24,$E34,$F34,InterestRatesTrigger)</f>
        <v>-8.6695629284681635E-4</v>
      </c>
      <c r="AC34" s="139">
        <f>'1MSynthDepo_used'!AA16</f>
        <v>-1.2041417597030701E-3</v>
      </c>
      <c r="BC34" s="178">
        <f>_xll.qlCalendarAdvance(Calendar,BC33,"1d","mf",,Trigger)</f>
        <v>42319</v>
      </c>
      <c r="BD34" s="41">
        <f>_xll.qlDayCounterYearFraction(DayCounter,SettlementDate,BC34,,,Trigger)</f>
        <v>0.1111111111111111</v>
      </c>
      <c r="BE34" s="47">
        <f>_xll.qlPolynomialFunctionValue(BE$1,$BD34,AllTriggers)</f>
        <v>2.7002759645047185E-4</v>
      </c>
      <c r="BF34" s="47">
        <f>_xll.qlPolynomialFunctionValue(BF$1,$BD34,AllTriggers)</f>
        <v>2.7544313066534259E-4</v>
      </c>
      <c r="BG34" s="47">
        <f>_xll.qlPolynomialFunctionValue(BG$1,$BD34,AllTriggers)</f>
        <v>2.7899943203346449E-4</v>
      </c>
      <c r="BH34" s="47">
        <f>_xll.qlPolynomialFunctionValue(BH$1,$BD34,AllTriggers)</f>
        <v>2.9136765573803408E-4</v>
      </c>
      <c r="BI34" s="47">
        <f>_xll.qlPolynomialFunctionValue(BI$1,$BD34,AllTriggers)</f>
        <v>2.7005854509802813E-4</v>
      </c>
      <c r="BJ34" s="47">
        <f>_xll.qlPolynomialFunctionValue(BJ$1,$BD34,AllTriggers)</f>
        <v>2.7473722475241822E-4</v>
      </c>
      <c r="BK34" s="47">
        <f>_xll.qlPolynomialFunctionValue(BK$1,$BD34,AllTriggers)</f>
        <v>2.7794726056910737E-4</v>
      </c>
      <c r="BL34" s="47">
        <f>_xll.qlPolynomialFunctionValue(BL$1,$BD34,AllTriggers)</f>
        <v>2.901659130913129E-4</v>
      </c>
      <c r="BM34" s="47">
        <f>_xll.qlPolynomialFunctionValue(BM$1,$BD34,AllTriggers)</f>
        <v>2.6510002077674718E-4</v>
      </c>
      <c r="BN34" s="47">
        <f>_xll.qlPolynomialFunctionValue(BN$1,$BD34,AllTriggers)</f>
        <v>2.4158588106752959E-4</v>
      </c>
      <c r="BO34" s="47">
        <f>_xll.qlPolynomialFunctionValue(BO$1,$BD34,AllTriggers)</f>
        <v>2.3467895662734618E-4</v>
      </c>
      <c r="BP34" s="47">
        <f>_xll.qlPolynomialFunctionValue(BP$1,$BD34,AllTriggers)</f>
        <v>2.9136765573803403E-4</v>
      </c>
      <c r="BQ34" s="47">
        <f>_xll.qlPolynomialFunctionValue('1MSynthDepo_used'!$P$18,BD34,AllTriggers)</f>
        <v>2.828677906760985E-4</v>
      </c>
    </row>
    <row r="35" spans="3:69" ht="12" customHeight="1" x14ac:dyDescent="0.2">
      <c r="C35" s="19">
        <v>0</v>
      </c>
      <c r="D35" s="48" t="s">
        <v>27</v>
      </c>
      <c r="E35" s="177">
        <f>_xll.qlCalendarAdvance(Calendar,SettlementDate,C35&amp;"M","mf",TRUE,Trigger)</f>
        <v>42279</v>
      </c>
      <c r="F35" s="246">
        <f>_xll.qlCalendarAdvance(Calendar,SettlementDate,D35,"Following",,Trigger)</f>
        <v>42293</v>
      </c>
      <c r="G35" s="138">
        <f>_xll.qlTenorBasisForwardRate2(G$24,$E35,$F35,InterestRatesTrigger)</f>
        <v>-1.1637216105382059E-3</v>
      </c>
      <c r="H35" s="128">
        <f>_xll.qlTenorBasisForwardRate2(H$24,$E35,$F35,InterestRatesTrigger)</f>
        <v>-1.1698847306296223E-3</v>
      </c>
      <c r="S35" s="128">
        <f>_xll.qlTenorBasisForwardRate2(S$24,$E35,$F35,InterestRatesTrigger)</f>
        <v>-1.1098191612370276E-3</v>
      </c>
      <c r="T35" s="139">
        <f>_xll.qlTenorBasisForwardRate2(T$24,$E35,$F35,InterestRatesTrigger)</f>
        <v>-9.0092002481651737E-4</v>
      </c>
      <c r="U35" s="138">
        <f>_xll.qlTenorBasisForwardRate2(U$24,$E35,$F35,InterestRatesTrigger)</f>
        <v>-1.1636931312021734E-3</v>
      </c>
      <c r="V35" s="128">
        <f>_xll.qlTenorBasisForwardRate2(V$24,$E35,$F35,InterestRatesTrigger)</f>
        <v>-1.1692890880771983E-3</v>
      </c>
      <c r="W35" s="128">
        <f>_xll.qlTenorBasisForwardRate2(W$24,$E35,$F35,InterestRatesTrigger)</f>
        <v>-1.1129967965804533E-3</v>
      </c>
      <c r="X35" s="139">
        <f>_xll.qlTenorBasisForwardRate2(X$24,$E35,$F35,InterestRatesTrigger)</f>
        <v>-8.98725178603169E-4</v>
      </c>
      <c r="Y35" s="138">
        <f>_xll.qlTenorBasisForwardRate2(Y$24,$E35,$F35,InterestRatesTrigger)</f>
        <v>-1.1889638752252526E-3</v>
      </c>
      <c r="Z35" s="128">
        <f>_xll.qlTenorBasisForwardRate2(Z$24,$E35,$F35,InterestRatesTrigger)</f>
        <v>-1.1352515431745885E-3</v>
      </c>
      <c r="AA35" s="128">
        <f>_xll.qlTenorBasisForwardRate2(AA$24,$E35,$F35,InterestRatesTrigger)</f>
        <v>-1.2395775585211893E-3</v>
      </c>
      <c r="AB35" s="139">
        <f>_xll.qlTenorBasisForwardRate2(AB$24,$E35,$F35,InterestRatesTrigger)</f>
        <v>-9.0092002481651737E-4</v>
      </c>
      <c r="AC35" s="139">
        <f>'1MSynthDepo_used'!AA17</f>
        <v>-1.1873380266980149E-3</v>
      </c>
      <c r="BC35" s="178">
        <f>_xll.qlCalendarAdvance(Calendar,BC34,"1d","mf",,Trigger)</f>
        <v>42320</v>
      </c>
      <c r="BD35" s="41">
        <f>_xll.qlDayCounterYearFraction(DayCounter,SettlementDate,BC35,,,Trigger)</f>
        <v>0.11388888888888889</v>
      </c>
      <c r="BE35" s="47">
        <f>_xll.qlPolynomialFunctionValue(BE$1,$BD35,AllTriggers)</f>
        <v>2.7002872283608587E-4</v>
      </c>
      <c r="BF35" s="47">
        <f>_xll.qlPolynomialFunctionValue(BF$1,$BD35,AllTriggers)</f>
        <v>2.7501433302554206E-4</v>
      </c>
      <c r="BG35" s="47">
        <f>_xll.qlPolynomialFunctionValue(BG$1,$BD35,AllTriggers)</f>
        <v>2.7762027602169499E-4</v>
      </c>
      <c r="BH35" s="47">
        <f>_xll.qlPolynomialFunctionValue(BH$1,$BD35,AllTriggers)</f>
        <v>2.8668331163130006E-4</v>
      </c>
      <c r="BI35" s="47">
        <f>_xll.qlPolynomialFunctionValue(BI$1,$BD35,AllTriggers)</f>
        <v>2.7005973410327866E-4</v>
      </c>
      <c r="BJ35" s="47">
        <f>_xll.qlPolynomialFunctionValue(BJ$1,$BD35,AllTriggers)</f>
        <v>2.7432579477469567E-4</v>
      </c>
      <c r="BK35" s="47">
        <f>_xll.qlPolynomialFunctionValue(BK$1,$BD35,AllTriggers)</f>
        <v>2.7663366366251137E-4</v>
      </c>
      <c r="BL35" s="47">
        <f>_xll.qlPolynomialFunctionValue(BL$1,$BD35,AllTriggers)</f>
        <v>2.854183158026591E-4</v>
      </c>
      <c r="BM35" s="47">
        <f>_xll.qlPolynomialFunctionValue(BM$1,$BD35,AllTriggers)</f>
        <v>2.6572558864456069E-4</v>
      </c>
      <c r="BN35" s="47">
        <f>_xll.qlPolynomialFunctionValue(BN$1,$BD35,AllTriggers)</f>
        <v>2.4088922164070448E-4</v>
      </c>
      <c r="BO35" s="47">
        <f>_xll.qlPolynomialFunctionValue(BO$1,$BD35,AllTriggers)</f>
        <v>2.3593596272152321E-4</v>
      </c>
      <c r="BP35" s="47">
        <f>_xll.qlPolynomialFunctionValue(BP$1,$BD35,AllTriggers)</f>
        <v>2.8668331163130006E-4</v>
      </c>
      <c r="BQ35" s="47">
        <f>_xll.qlPolynomialFunctionValue('1MSynthDepo_used'!$P$18,BD35,AllTriggers)</f>
        <v>2.8122352009474216E-4</v>
      </c>
    </row>
    <row r="36" spans="3:69" ht="12" customHeight="1" x14ac:dyDescent="0.2">
      <c r="C36" s="19">
        <v>0</v>
      </c>
      <c r="D36" s="48" t="s">
        <v>28</v>
      </c>
      <c r="E36" s="177">
        <f>_xll.qlCalendarAdvance(Calendar,SettlementDate,C36&amp;"M","mf",TRUE,Trigger)</f>
        <v>42279</v>
      </c>
      <c r="F36" s="246">
        <f>_xll.qlCalendarAdvance(Calendar,SettlementDate,D36,"Following",,Trigger)</f>
        <v>42300</v>
      </c>
      <c r="G36" s="138">
        <f>_xll.qlTenorBasisForwardRate2(G$24,$E36,$F36,InterestRatesTrigger)</f>
        <v>-1.1637244902118482E-3</v>
      </c>
      <c r="H36" s="128">
        <f>_xll.qlTenorBasisForwardRate2(H$24,$E36,$F36,InterestRatesTrigger)</f>
        <v>-1.1668841071837172E-3</v>
      </c>
      <c r="S36" s="128">
        <f>_xll.qlTenorBasisForwardRate2(S$24,$E36,$F36,InterestRatesTrigger)</f>
        <v>-1.1145224666212325E-3</v>
      </c>
      <c r="T36" s="139">
        <f>_xll.qlTenorBasisForwardRate2(T$24,$E36,$F36,InterestRatesTrigger)</f>
        <v>-9.3241615837870635E-4</v>
      </c>
      <c r="U36" s="138">
        <f>_xll.qlTenorBasisForwardRate2(U$24,$E36,$F36,InterestRatesTrigger)</f>
        <v>-1.1636957983229834E-3</v>
      </c>
      <c r="V36" s="128">
        <f>_xll.qlTenorBasisForwardRate2(V$24,$E36,$F36,InterestRatesTrigger)</f>
        <v>-1.1665544849646737E-3</v>
      </c>
      <c r="W36" s="128">
        <f>_xll.qlTenorBasisForwardRate2(W$24,$E36,$F36,InterestRatesTrigger)</f>
        <v>-1.1174768335342478E-3</v>
      </c>
      <c r="X36" s="139">
        <f>_xll.qlTenorBasisForwardRate2(X$24,$E36,$F36,InterestRatesTrigger)</f>
        <v>-9.3066680099213831E-4</v>
      </c>
      <c r="Y36" s="138">
        <f>_xll.qlTenorBasisForwardRate2(Y$24,$E36,$F36,InterestRatesTrigger)</f>
        <v>-1.1868402474554277E-3</v>
      </c>
      <c r="Z36" s="128">
        <f>_xll.qlTenorBasisForwardRate2(Z$24,$E36,$F36,InterestRatesTrigger)</f>
        <v>-1.143533353951755E-3</v>
      </c>
      <c r="AA36" s="128">
        <f>_xll.qlTenorBasisForwardRate2(AA$24,$E36,$F36,InterestRatesTrigger)</f>
        <v>-1.2353029973542562E-3</v>
      </c>
      <c r="AB36" s="139">
        <f>_xll.qlTenorBasisForwardRate2(AB$24,$E36,$F36,InterestRatesTrigger)</f>
        <v>-9.3241615837870635E-4</v>
      </c>
      <c r="AC36" s="139">
        <f>'1MSynthDepo_used'!AA18</f>
        <v>-1.1750022293981793E-3</v>
      </c>
      <c r="AD36" s="132" t="str">
        <f>"Fixing "&amp;DAY(_xll.qlInterestRateIndexFixingDate($D$22,'6MSynthDepo_used'!G4))&amp;"/"&amp;MONTH(_xll.qlInterestRateIndexFixingDate($D$22,'6MSynthDepo_used'!G4))</f>
        <v>Fixing 30/9</v>
      </c>
      <c r="BC36" s="178">
        <f>_xll.qlCalendarAdvance(Calendar,BC35,"1d","mf",,Trigger)</f>
        <v>42321</v>
      </c>
      <c r="BD36" s="41">
        <f>_xll.qlDayCounterYearFraction(DayCounter,SettlementDate,BC36,,,Trigger)</f>
        <v>0.11666666666666667</v>
      </c>
      <c r="BE36" s="47">
        <f>_xll.qlPolynomialFunctionValue(BE$1,$BD36,AllTriggers)</f>
        <v>2.7002984922169982E-4</v>
      </c>
      <c r="BF36" s="47">
        <f>_xll.qlPolynomialFunctionValue(BF$1,$BD36,AllTriggers)</f>
        <v>2.7454028022517156E-4</v>
      </c>
      <c r="BG36" s="47">
        <f>_xll.qlPolynomialFunctionValue(BG$1,$BD36,AllTriggers)</f>
        <v>2.7624112000992554E-4</v>
      </c>
      <c r="BH36" s="47">
        <f>_xll.qlPolynomialFunctionValue(BH$1,$BD36,AllTriggers)</f>
        <v>2.8215635743385014E-4</v>
      </c>
      <c r="BI36" s="47">
        <f>_xll.qlPolynomialFunctionValue(BI$1,$BD36,AllTriggers)</f>
        <v>2.7006092310852926E-4</v>
      </c>
      <c r="BJ36" s="47">
        <f>_xll.qlPolynomialFunctionValue(BJ$1,$BD36,AllTriggers)</f>
        <v>2.7387240354446741E-4</v>
      </c>
      <c r="BK36" s="47">
        <f>_xll.qlPolynomialFunctionValue(BK$1,$BD36,AllTriggers)</f>
        <v>2.7532006675591537E-4</v>
      </c>
      <c r="BL36" s="47">
        <f>_xll.qlPolynomialFunctionValue(BL$1,$BD36,AllTriggers)</f>
        <v>2.8083043946200805E-4</v>
      </c>
      <c r="BM36" s="47">
        <f>_xll.qlPolynomialFunctionValue(BM$1,$BD36,AllTriggers)</f>
        <v>2.663511565123742E-4</v>
      </c>
      <c r="BN36" s="47">
        <f>_xll.qlPolynomialFunctionValue(BN$1,$BD36,AllTriggers)</f>
        <v>2.4025236116066929E-4</v>
      </c>
      <c r="BO36" s="47">
        <f>_xll.qlPolynomialFunctionValue(BO$1,$BD36,AllTriggers)</f>
        <v>2.3719296881570025E-4</v>
      </c>
      <c r="BP36" s="47">
        <f>_xll.qlPolynomialFunctionValue(BP$1,$BD36,AllTriggers)</f>
        <v>2.8215635743385008E-4</v>
      </c>
      <c r="BQ36" s="47">
        <f>_xll.qlPolynomialFunctionValue('1MSynthDepo_used'!$P$18,BD36,AllTriggers)</f>
        <v>2.7950073362374131E-4</v>
      </c>
    </row>
    <row r="37" spans="3:69" ht="12" customHeight="1" thickBot="1" x14ac:dyDescent="0.25">
      <c r="C37" s="19">
        <v>0</v>
      </c>
      <c r="D37" s="129" t="s">
        <v>22</v>
      </c>
      <c r="E37" s="179">
        <f>_xll.qlCalendarAdvance(Calendar,SettlementDate,C37&amp;"M","mf",TRUE,Trigger)</f>
        <v>42279</v>
      </c>
      <c r="F37" s="247">
        <f>_xll.qlCalendarAdvance(Calendar,SettlementDate,D37,"mf",TRUE,Trigger)</f>
        <v>42310</v>
      </c>
      <c r="G37" s="284">
        <f>_xll.qlTenorBasisForwardRate2(G$24,$E37,$F37,InterestRatesTrigger)</f>
        <v>-1.1337279171115767E-3</v>
      </c>
      <c r="H37" s="285">
        <f>_xll.qlTenorBasisForwardRate2(H$24,$E37,$F37,InterestRatesTrigger)</f>
        <v>-1.133827181503122E-3</v>
      </c>
      <c r="S37" s="285">
        <f>_xll.qlTenorBasisForwardRate2(S$24,$E37,$F37,InterestRatesTrigger)</f>
        <v>-1.0912403217444577E-3</v>
      </c>
      <c r="T37" s="287">
        <f>_xll.qlTenorBasisForwardRate2(T$24,$E37,$F37,InterestRatesTrigger)</f>
        <v>-9.4312910197956055E-4</v>
      </c>
      <c r="U37" s="284">
        <f>_xll.qlTenorBasisForwardRate2(U$24,$E37,$F37,InterestRatesTrigger)</f>
        <v>-1.1336989215275785E-3</v>
      </c>
      <c r="V37" s="285">
        <f>_xll.qlTenorBasisForwardRate2(V$24,$E37,$F37,InterestRatesTrigger)</f>
        <v>-1.1337880320439636E-3</v>
      </c>
      <c r="W37" s="285">
        <f>_xll.qlTenorBasisForwardRate2(W$24,$E37,$F37,InterestRatesTrigger)</f>
        <v>-1.0938757566947288E-3</v>
      </c>
      <c r="X37" s="287">
        <f>_xll.qlTenorBasisForwardRate2(X$24,$E37,$F37,InterestRatesTrigger)</f>
        <v>-9.4195276265812526E-4</v>
      </c>
      <c r="Y37" s="284">
        <f>_xll.qlTenorBasisForwardRate2(Y$24,$E37,$F37,InterestRatesTrigger)</f>
        <v>-1.1538060281588865E-3</v>
      </c>
      <c r="Z37" s="285">
        <f>_xll.qlTenorBasisForwardRate2(Z$24,$E37,$F37,InterestRatesTrigger)</f>
        <v>-1.1237376904785301E-3</v>
      </c>
      <c r="AA37" s="285">
        <f>_xll.qlTenorBasisForwardRate2(AA$24,$E37,$F37,InterestRatesTrigger)</f>
        <v>-1.1991963178405935E-3</v>
      </c>
      <c r="AB37" s="287">
        <f>_xll.qlTenorBasisForwardRate2(AB$24,$E37,$F37,InterestRatesTrigger)</f>
        <v>-9.4312910197956055E-4</v>
      </c>
      <c r="AC37" s="287">
        <f>'1MSynthDepo_used'!AA19</f>
        <v>-1.1340445794298794E-3</v>
      </c>
      <c r="AD37" s="144">
        <f>'1MSynthDepo_used'!AA19</f>
        <v>-1.1340445794298794E-3</v>
      </c>
      <c r="BC37" s="178">
        <f>_xll.qlCalendarAdvance(Calendar,BC36,"1d","mf",,Trigger)</f>
        <v>42324</v>
      </c>
      <c r="BD37" s="41">
        <f>_xll.qlDayCounterYearFraction(DayCounter,SettlementDate,BC37,,,Trigger)</f>
        <v>0.125</v>
      </c>
      <c r="BE37" s="47">
        <f>_xll.qlPolynomialFunctionValue(BE$1,$BD37,AllTriggers)</f>
        <v>2.7003322837854181E-4</v>
      </c>
      <c r="BF37" s="47">
        <f>_xll.qlPolynomialFunctionValue(BF$1,$BD37,AllTriggers)</f>
        <v>2.728465908606404E-4</v>
      </c>
      <c r="BG37" s="47">
        <f>_xll.qlPolynomialFunctionValue(BG$1,$BD37,AllTriggers)</f>
        <v>2.7210365197461703E-4</v>
      </c>
      <c r="BH37" s="47">
        <f>_xll.qlPolynomialFunctionValue(BH$1,$BD37,AllTriggers)</f>
        <v>2.6951983429720442E-4</v>
      </c>
      <c r="BI37" s="47">
        <f>_xll.qlPolynomialFunctionValue(BI$1,$BD37,AllTriggers)</f>
        <v>2.7006449012428093E-4</v>
      </c>
      <c r="BJ37" s="47">
        <f>_xll.qlPolynomialFunctionValue(BJ$1,$BD37,AllTriggers)</f>
        <v>2.722604623387481E-4</v>
      </c>
      <c r="BK37" s="47">
        <f>_xll.qlPolynomialFunctionValue(BK$1,$BD37,AllTriggers)</f>
        <v>2.7137927603612742E-4</v>
      </c>
      <c r="BL37" s="47">
        <f>_xll.qlPolynomialFunctionValue(BL$1,$BD37,AllTriggers)</f>
        <v>2.6802513612807097E-4</v>
      </c>
      <c r="BM37" s="47">
        <f>_xll.qlPolynomialFunctionValue(BM$1,$BD37,AllTriggers)</f>
        <v>2.6822786011581479E-4</v>
      </c>
      <c r="BN37" s="47">
        <f>_xll.qlPolynomialFunctionValue(BN$1,$BD37,AllTriggers)</f>
        <v>2.3870057340130303E-4</v>
      </c>
      <c r="BO37" s="47">
        <f>_xll.qlPolynomialFunctionValue(BO$1,$BD37,AllTriggers)</f>
        <v>2.4096398709823135E-4</v>
      </c>
      <c r="BP37" s="47">
        <f>_xll.qlPolynomialFunctionValue(BP$1,$BD37,AllTriggers)</f>
        <v>2.6951983429720437E-4</v>
      </c>
      <c r="BQ37" s="47">
        <f>_xll.qlPolynomialFunctionValue('1MSynthDepo_used'!$P$18,BD37,AllTriggers)</f>
        <v>2.739286851799372E-4</v>
      </c>
    </row>
    <row r="38" spans="3:69" ht="12" customHeight="1" x14ac:dyDescent="0.2">
      <c r="C38" s="19">
        <v>1</v>
      </c>
      <c r="D38" s="48" t="s">
        <v>29</v>
      </c>
      <c r="E38" s="177">
        <f>_xll.qlCalendarAdvance(Calendar,SettlementDate,C38&amp;"M","mf",TRUE,Trigger)</f>
        <v>42310</v>
      </c>
      <c r="F38" s="246">
        <f>_xll.qlCalendarAdvance(Calendar,SettlementDate,D38,"mf",TRUE,Trigger)</f>
        <v>42340</v>
      </c>
      <c r="G38" s="296">
        <f>_xll.qlTenorBasisForwardRate2(G$24,$E38,$F38,InterestRatesTrigger)</f>
        <v>-1.235543546378004E-3</v>
      </c>
      <c r="H38" s="292">
        <f>_xll.qlTenorBasisForwardRate2(H$24,$E38,$F38,InterestRatesTrigger)</f>
        <v>-1.2346312719007102E-3</v>
      </c>
      <c r="S38" s="292">
        <f>_xll.qlTenorBasisForwardRate2(S$24,$E38,$F38,InterestRatesTrigger)</f>
        <v>-1.2340051651076323E-3</v>
      </c>
      <c r="T38" s="297">
        <f>_xll.qlTenorBasisForwardRate2(T$24,$E38,$F38,InterestRatesTrigger)</f>
        <v>-1.2318276697329544E-3</v>
      </c>
      <c r="U38" s="296">
        <f>_xll.qlTenorBasisForwardRate2(U$24,$E38,$F38,InterestRatesTrigger)</f>
        <v>-1.235512693207319E-3</v>
      </c>
      <c r="V38" s="292">
        <f>_xll.qlTenorBasisForwardRate2(V$24,$E38,$F38,InterestRatesTrigger)</f>
        <v>-1.2350788455548489E-3</v>
      </c>
      <c r="W38" s="292">
        <f>_xll.qlTenorBasisForwardRate2(W$24,$E38,$F38,InterestRatesTrigger)</f>
        <v>-1.234695631331828E-3</v>
      </c>
      <c r="X38" s="297">
        <f>_xll.qlTenorBasisForwardRate2(X$24,$E38,$F38,InterestRatesTrigger)</f>
        <v>-1.2332369679164401E-3</v>
      </c>
      <c r="Y38" s="296">
        <f>_xll.qlTenorBasisForwardRate2(Y$24,$E38,$F38,InterestRatesTrigger)</f>
        <v>-1.237096229581347E-3</v>
      </c>
      <c r="Z38" s="292">
        <f>_xll.qlTenorBasisForwardRate2(Z$24,$E38,$F38,InterestRatesTrigger)</f>
        <v>-1.2644447654133195E-3</v>
      </c>
      <c r="AA38" s="292">
        <f>_xll.qlTenorBasisForwardRate2(AA$24,$E38,$F38,InterestRatesTrigger)</f>
        <v>-1.2637535004640377E-3</v>
      </c>
      <c r="AB38" s="297">
        <f>_xll.qlTenorBasisForwardRate2(AB$24,$E38,$F38,InterestRatesTrigger)</f>
        <v>-1.2318276697329544E-3</v>
      </c>
      <c r="AC38" s="297">
        <f>'1MSynthDepo_used'!AA20</f>
        <v>-1.234180061679524E-3</v>
      </c>
      <c r="AD38" s="200">
        <f>'1MSynthDepo_used'!AA20</f>
        <v>-1.234180061679524E-3</v>
      </c>
      <c r="BC38" s="178">
        <f>_xll.qlCalendarAdvance(Calendar,BC37,"1d","mf",,Trigger)</f>
        <v>42325</v>
      </c>
      <c r="BD38" s="41">
        <f>_xll.qlDayCounterYearFraction(DayCounter,SettlementDate,BC38,,,Trigger)</f>
        <v>0.12777777777777777</v>
      </c>
      <c r="BE38" s="47">
        <f>_xll.qlPolynomialFunctionValue(BE$1,$BD38,AllTriggers)</f>
        <v>2.7003435476415582E-4</v>
      </c>
      <c r="BF38" s="47">
        <f>_xll.qlPolynomialFunctionValue(BF$1,$BD38,AllTriggers)</f>
        <v>2.721915174179901E-4</v>
      </c>
      <c r="BG38" s="47">
        <f>_xll.qlPolynomialFunctionValue(BG$1,$BD38,AllTriggers)</f>
        <v>2.7072449596284752E-4</v>
      </c>
      <c r="BH38" s="47">
        <f>_xll.qlPolynomialFunctionValue(BH$1,$BD38,AllTriggers)</f>
        <v>2.6562243973689054E-4</v>
      </c>
      <c r="BI38" s="47">
        <f>_xll.qlPolynomialFunctionValue(BI$1,$BD38,AllTriggers)</f>
        <v>2.7006567912953147E-4</v>
      </c>
      <c r="BJ38" s="47">
        <f>_xll.qlPolynomialFunctionValue(BJ$1,$BD38,AllTriggers)</f>
        <v>2.7163922609849681E-4</v>
      </c>
      <c r="BK38" s="47">
        <f>_xll.qlPolynomialFunctionValue(BK$1,$BD38,AllTriggers)</f>
        <v>2.7006567912953142E-4</v>
      </c>
      <c r="BL38" s="47">
        <f>_xll.qlPolynomialFunctionValue(BL$1,$BD38,AllTriggers)</f>
        <v>2.640761435794306E-4</v>
      </c>
      <c r="BM38" s="47">
        <f>_xll.qlPolynomialFunctionValue(BM$1,$BD38,AllTriggers)</f>
        <v>2.688534279836283E-4</v>
      </c>
      <c r="BN38" s="47">
        <f>_xll.qlPolynomialFunctionValue(BN$1,$BD38,AllTriggers)</f>
        <v>2.383029087084274E-4</v>
      </c>
      <c r="BO38" s="47">
        <f>_xll.qlPolynomialFunctionValue(BO$1,$BD38,AllTriggers)</f>
        <v>2.4222099319240838E-4</v>
      </c>
      <c r="BP38" s="47">
        <f>_xll.qlPolynomialFunctionValue(BP$1,$BD38,AllTriggers)</f>
        <v>2.6562243973689048E-4</v>
      </c>
      <c r="BQ38" s="47">
        <f>_xll.qlPolynomialFunctionValue('1MSynthDepo_used'!$P$18,BD38,AllTriggers)</f>
        <v>2.7195924145742415E-4</v>
      </c>
    </row>
    <row r="39" spans="3:69" x14ac:dyDescent="0.2">
      <c r="C39" s="19">
        <v>2</v>
      </c>
      <c r="D39" s="48" t="s">
        <v>23</v>
      </c>
      <c r="E39" s="177">
        <f>_xll.qlCalendarAdvance(Calendar,SettlementDate,C39&amp;"M","mf",TRUE,Trigger)</f>
        <v>42340</v>
      </c>
      <c r="F39" s="246">
        <f>_xll.qlCalendarAdvance(Calendar,SettlementDate,D39,"mf",TRUE,Trigger)</f>
        <v>42373</v>
      </c>
      <c r="G39" s="296">
        <f>_xll.qlTenorBasisForwardRate2(G$24,$E39,$F39,InterestRatesTrigger)</f>
        <v>-1.1426040288162944E-3</v>
      </c>
      <c r="H39" s="292">
        <f>_xll.qlTenorBasisForwardRate2(H$24,$E39,$F39,InterestRatesTrigger)</f>
        <v>-1.1834987394765406E-3</v>
      </c>
      <c r="S39" s="292">
        <f>_xll.qlTenorBasisForwardRate2(S$24,$E39,$F39,InterestRatesTrigger)</f>
        <v>-1.1833569960595369E-3</v>
      </c>
      <c r="T39" s="297">
        <f>_xll.qlTenorBasisForwardRate2(T$24,$E39,$F39,InterestRatesTrigger)</f>
        <v>-1.1828640360558105E-3</v>
      </c>
      <c r="U39" s="296">
        <f>_xll.qlTenorBasisForwardRate2(U$24,$E39,$F39,InterestRatesTrigger)</f>
        <v>-1.1425712570564432E-3</v>
      </c>
      <c r="V39" s="292">
        <f>_xll.qlTenorBasisForwardRate2(V$24,$E39,$F39,InterestRatesTrigger)</f>
        <v>-1.1813300242521666E-3</v>
      </c>
      <c r="W39" s="292">
        <f>_xll.qlTenorBasisForwardRate2(W$24,$E39,$F39,InterestRatesTrigger)</f>
        <v>-1.1820387553150948E-3</v>
      </c>
      <c r="X39" s="297">
        <f>_xll.qlTenorBasisForwardRate2(X$24,$E39,$F39,InterestRatesTrigger)</f>
        <v>-1.18473646267078E-3</v>
      </c>
      <c r="Y39" s="296">
        <f>_xll.qlTenorBasisForwardRate2(Y$24,$E39,$F39,InterestRatesTrigger)</f>
        <v>-1.1250240030950694E-3</v>
      </c>
      <c r="Z39" s="292">
        <f>_xll.qlTenorBasisForwardRate2(Z$24,$E39,$F39,InterestRatesTrigger)</f>
        <v>-1.1550485437742096E-3</v>
      </c>
      <c r="AA39" s="292">
        <f>_xll.qlTenorBasisForwardRate2(AA$24,$E39,$F39,InterestRatesTrigger)</f>
        <v>-1.1323341988456193E-3</v>
      </c>
      <c r="AB39" s="297">
        <f>_xll.qlTenorBasisForwardRate2(AB$24,$E39,$F39,InterestRatesTrigger)</f>
        <v>-1.1828640360558105E-3</v>
      </c>
      <c r="AC39" s="297">
        <f>'1MSynthDepo_used'!AA21</f>
        <v>-1.182812412859184E-3</v>
      </c>
      <c r="AD39" s="200">
        <f>'1MSynthDepo_used'!AA21</f>
        <v>-1.182812412859184E-3</v>
      </c>
      <c r="BC39" s="178">
        <f>_xll.qlCalendarAdvance(Calendar,BC38,"1d","mf",,Trigger)</f>
        <v>42326</v>
      </c>
      <c r="BD39" s="41">
        <f>_xll.qlDayCounterYearFraction(DayCounter,SettlementDate,BC39,,,Trigger)</f>
        <v>0.13055555555555556</v>
      </c>
      <c r="BE39" s="47">
        <f>_xll.qlPolynomialFunctionValue(BE$1,$BD39,AllTriggers)</f>
        <v>2.7003548114976978E-4</v>
      </c>
      <c r="BF39" s="47">
        <f>_xll.qlPolynomialFunctionValue(BF$1,$BD39,AllTriggers)</f>
        <v>2.7149118881476982E-4</v>
      </c>
      <c r="BG39" s="47">
        <f>_xll.qlPolynomialFunctionValue(BG$1,$BD39,AllTriggers)</f>
        <v>2.6934533995107802E-4</v>
      </c>
      <c r="BH39" s="47">
        <f>_xll.qlPolynomialFunctionValue(BH$1,$BD39,AllTriggers)</f>
        <v>2.6188243508586063E-4</v>
      </c>
      <c r="BI39" s="47">
        <f>_xll.qlPolynomialFunctionValue(BI$1,$BD39,AllTriggers)</f>
        <v>2.7006686813478206E-4</v>
      </c>
      <c r="BJ39" s="47">
        <f>_xll.qlPolynomialFunctionValue(BJ$1,$BD39,AllTriggers)</f>
        <v>2.7097602860573982E-4</v>
      </c>
      <c r="BK39" s="47">
        <f>_xll.qlPolynomialFunctionValue(BK$1,$BD39,AllTriggers)</f>
        <v>2.6875208222293541E-4</v>
      </c>
      <c r="BL39" s="47">
        <f>_xll.qlPolynomialFunctionValue(BL$1,$BD39,AllTriggers)</f>
        <v>2.6028687197879297E-4</v>
      </c>
      <c r="BM39" s="47">
        <f>_xll.qlPolynomialFunctionValue(BM$1,$BD39,AllTriggers)</f>
        <v>2.6947899585144181E-4</v>
      </c>
      <c r="BN39" s="47">
        <f>_xll.qlPolynomialFunctionValue(BN$1,$BD39,AllTriggers)</f>
        <v>2.3796504296234167E-4</v>
      </c>
      <c r="BO39" s="47">
        <f>_xll.qlPolynomialFunctionValue(BO$1,$BD39,AllTriggers)</f>
        <v>2.4347799928658542E-4</v>
      </c>
      <c r="BP39" s="47">
        <f>_xll.qlPolynomialFunctionValue(BP$1,$BD39,AllTriggers)</f>
        <v>2.6188243508586074E-4</v>
      </c>
      <c r="BQ39" s="47">
        <f>_xll.qlPolynomialFunctionValue('1MSynthDepo_used'!$P$18,BD39,AllTriggers)</f>
        <v>2.6994498499879947E-4</v>
      </c>
    </row>
    <row r="40" spans="3:69" x14ac:dyDescent="0.2">
      <c r="C40" s="19">
        <v>3</v>
      </c>
      <c r="D40" s="49" t="s">
        <v>30</v>
      </c>
      <c r="E40" s="181">
        <f>_xll.qlCalendarAdvance(Calendar,SettlementDate,C40&amp;"M","mf",TRUE,Trigger)</f>
        <v>42373</v>
      </c>
      <c r="F40" s="300">
        <f>_xll.qlCalendarAdvance(Calendar,SettlementDate,D40,"mf",TRUE,Trigger)</f>
        <v>42402</v>
      </c>
      <c r="G40" s="298">
        <f>_xll.qlTenorBasisForwardRate2(G$24,$E40,$F40,InterestRatesTrigger)</f>
        <v>-1.3878185126634445E-3</v>
      </c>
      <c r="H40" s="293">
        <f>_xll.qlTenorBasisForwardRate2(H$24,$E40,$F40,InterestRatesTrigger)</f>
        <v>-1.5111295805979928E-3</v>
      </c>
      <c r="S40" s="293">
        <f>_xll.qlTenorBasisForwardRate2(S$24,$E40,$F40,InterestRatesTrigger)</f>
        <v>-1.4701908306768985E-3</v>
      </c>
      <c r="T40" s="299">
        <f>_xll.qlTenorBasisForwardRate2(T$24,$E40,$F40,InterestRatesTrigger)</f>
        <v>-1.3278116271559905E-3</v>
      </c>
      <c r="U40" s="298">
        <f>_xll.qlTenorBasisForwardRate2(U$24,$E40,$F40,InterestRatesTrigger)</f>
        <v>-1.3877838529566158E-3</v>
      </c>
      <c r="V40" s="293">
        <f>_xll.qlTenorBasisForwardRate2(V$24,$E40,$F40,InterestRatesTrigger)</f>
        <v>-1.503382058538233E-3</v>
      </c>
      <c r="W40" s="293">
        <f>_xll.qlTenorBasisForwardRate2(W$24,$E40,$F40,InterestRatesTrigger)</f>
        <v>-1.466895803549888E-3</v>
      </c>
      <c r="X40" s="299">
        <f>_xll.qlTenorBasisForwardRate2(X$24,$E40,$F40,InterestRatesTrigger)</f>
        <v>-1.3280138575704739E-3</v>
      </c>
      <c r="Y40" s="298">
        <f>_xll.qlTenorBasisForwardRate2(Y$24,$E40,$F40,InterestRatesTrigger)</f>
        <v>-1.3514097061310241E-3</v>
      </c>
      <c r="Z40" s="293">
        <f>_xll.qlTenorBasisForwardRate2(Z$24,$E40,$F40,InterestRatesTrigger)</f>
        <v>-1.3295290909051394E-3</v>
      </c>
      <c r="AA40" s="293">
        <f>_xll.qlTenorBasisForwardRate2(AA$24,$E40,$F40,InterestRatesTrigger)</f>
        <v>-1.3396799615912182E-3</v>
      </c>
      <c r="AB40" s="299">
        <f>_xll.qlTenorBasisForwardRate2(AB$24,$E40,$F40,InterestRatesTrigger)</f>
        <v>-1.3278116271559905E-3</v>
      </c>
      <c r="AC40" s="299">
        <f>'1MSynthDepo_used'!AA22</f>
        <v>-1.3242003056658657E-3</v>
      </c>
      <c r="AD40" s="275">
        <f>'1MSynthDepo_used'!AA22</f>
        <v>-1.3242003056658657E-3</v>
      </c>
      <c r="BC40" s="178">
        <f>_xll.qlCalendarAdvance(Calendar,BC39,"1d","mf",,Trigger)</f>
        <v>42327</v>
      </c>
      <c r="BD40" s="41">
        <f>_xll.qlDayCounterYearFraction(DayCounter,SettlementDate,BC40,,,Trigger)</f>
        <v>0.13333333333333333</v>
      </c>
      <c r="BE40" s="47">
        <f>_xll.qlPolynomialFunctionValue(BE$1,$BD40,AllTriggers)</f>
        <v>2.7003660753538379E-4</v>
      </c>
      <c r="BF40" s="47">
        <f>_xll.qlPolynomialFunctionValue(BF$1,$BD40,AllTriggers)</f>
        <v>2.7074560505097967E-4</v>
      </c>
      <c r="BG40" s="47">
        <f>_xll.qlPolynomialFunctionValue(BG$1,$BD40,AllTriggers)</f>
        <v>2.6796618393930857E-4</v>
      </c>
      <c r="BH40" s="47">
        <f>_xll.qlPolynomialFunctionValue(BH$1,$BD40,AllTriggers)</f>
        <v>2.5829982034411493E-4</v>
      </c>
      <c r="BI40" s="47">
        <f>_xll.qlPolynomialFunctionValue(BI$1,$BD40,AllTriggers)</f>
        <v>2.700680571400326E-4</v>
      </c>
      <c r="BJ40" s="47">
        <f>_xll.qlPolynomialFunctionValue(BJ$1,$BD40,AllTriggers)</f>
        <v>2.7027086986047708E-4</v>
      </c>
      <c r="BK40" s="47">
        <f>_xll.qlPolynomialFunctionValue(BK$1,$BD40,AllTriggers)</f>
        <v>2.6743848531633947E-4</v>
      </c>
      <c r="BL40" s="47">
        <f>_xll.qlPolynomialFunctionValue(BL$1,$BD40,AllTriggers)</f>
        <v>2.5665732132615815E-4</v>
      </c>
      <c r="BM40" s="47">
        <f>_xll.qlPolynomialFunctionValue(BM$1,$BD40,AllTriggers)</f>
        <v>2.7010456371925532E-4</v>
      </c>
      <c r="BN40" s="47">
        <f>_xll.qlPolynomialFunctionValue(BN$1,$BD40,AllTriggers)</f>
        <v>2.3768697616304582E-4</v>
      </c>
      <c r="BO40" s="47">
        <f>_xll.qlPolynomialFunctionValue(BO$1,$BD40,AllTriggers)</f>
        <v>2.4473500538076245E-4</v>
      </c>
      <c r="BP40" s="47">
        <f>_xll.qlPolynomialFunctionValue(BP$1,$BD40,AllTriggers)</f>
        <v>2.5829982034411488E-4</v>
      </c>
      <c r="BQ40" s="47">
        <f>_xll.qlPolynomialFunctionValue('1MSynthDepo_used'!$P$18,BD40,AllTriggers)</f>
        <v>2.6789265643476997E-4</v>
      </c>
    </row>
    <row r="41" spans="3:69" x14ac:dyDescent="0.2">
      <c r="BC41" s="178">
        <f>_xll.qlCalendarAdvance(Calendar,BC40,"1d","mf",,Trigger)</f>
        <v>42328</v>
      </c>
      <c r="BD41" s="41">
        <f>_xll.qlDayCounterYearFraction(DayCounter,SettlementDate,BC41,,,Trigger)</f>
        <v>0.1361111111111111</v>
      </c>
      <c r="BE41" s="47">
        <f>_xll.qlPolynomialFunctionValue(BE$1,$BD41,AllTriggers)</f>
        <v>2.7003773392099775E-4</v>
      </c>
      <c r="BF41" s="47">
        <f>_xll.qlPolynomialFunctionValue(BF$1,$BD41,AllTriggers)</f>
        <v>2.6995476612661949E-4</v>
      </c>
      <c r="BG41" s="47">
        <f>_xll.qlPolynomialFunctionValue(BG$1,$BD41,AllTriggers)</f>
        <v>2.6658702792753907E-4</v>
      </c>
      <c r="BH41" s="47">
        <f>_xll.qlPolynomialFunctionValue(BH$1,$BD41,AllTriggers)</f>
        <v>2.5487459551165311E-4</v>
      </c>
      <c r="BI41" s="47">
        <f>_xll.qlPolynomialFunctionValue(BI$1,$BD41,AllTriggers)</f>
        <v>2.700692461452832E-4</v>
      </c>
      <c r="BJ41" s="47">
        <f>_xll.qlPolynomialFunctionValue(BJ$1,$BD41,AllTriggers)</f>
        <v>2.6952374986270858E-4</v>
      </c>
      <c r="BK41" s="47">
        <f>_xll.qlPolynomialFunctionValue(BK$1,$BD41,AllTriggers)</f>
        <v>2.6612488840974346E-4</v>
      </c>
      <c r="BL41" s="47">
        <f>_xll.qlPolynomialFunctionValue(BL$1,$BD41,AllTriggers)</f>
        <v>2.5318749162152586E-4</v>
      </c>
      <c r="BM41" s="47">
        <f>_xll.qlPolynomialFunctionValue(BM$1,$BD41,AllTriggers)</f>
        <v>2.7073013158706883E-4</v>
      </c>
      <c r="BN41" s="47">
        <f>_xll.qlPolynomialFunctionValue(BN$1,$BD41,AllTriggers)</f>
        <v>2.374687083105399E-4</v>
      </c>
      <c r="BO41" s="47">
        <f>_xll.qlPolynomialFunctionValue(BO$1,$BD41,AllTriggers)</f>
        <v>2.4599201147493949E-4</v>
      </c>
      <c r="BP41" s="47">
        <f>_xll.qlPolynomialFunctionValue(BP$1,$BD41,AllTriggers)</f>
        <v>2.5487459551165311E-4</v>
      </c>
      <c r="BQ41" s="47">
        <f>_xll.qlPolynomialFunctionValue('1MSynthDepo_used'!$P$18,BD41,AllTriggers)</f>
        <v>2.6580899639604214E-4</v>
      </c>
    </row>
    <row r="42" spans="3:69" x14ac:dyDescent="0.2">
      <c r="F42" s="125" t="s">
        <v>69</v>
      </c>
      <c r="G42" s="125" t="s">
        <v>68</v>
      </c>
      <c r="H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0"/>
      <c r="AC42" s="256"/>
      <c r="BC42" s="178">
        <f>_xll.qlCalendarAdvance(Calendar,BC41,"1d","mf",,Trigger)</f>
        <v>42331</v>
      </c>
      <c r="BD42" s="41">
        <f>_xll.qlDayCounterYearFraction(DayCounter,SettlementDate,BC42,,,Trigger)</f>
        <v>0.14444444444444443</v>
      </c>
      <c r="BE42" s="47">
        <f>_xll.qlPolynomialFunctionValue(BE$1,$BD42,AllTriggers)</f>
        <v>2.7004111307783973E-4</v>
      </c>
      <c r="BF42" s="47">
        <f>_xll.qlPolynomialFunctionValue(BF$1,$BD42,AllTriggers)</f>
        <v>2.6731071839011941E-4</v>
      </c>
      <c r="BG42" s="47">
        <f>_xll.qlPolynomialFunctionValue(BG$1,$BD42,AllTriggers)</f>
        <v>2.6244955989223055E-4</v>
      </c>
      <c r="BH42" s="47">
        <f>_xll.qlPolynomialFunctionValue(BH$1,$BD42,AllTriggers)</f>
        <v>2.4554326046997185E-4</v>
      </c>
      <c r="BI42" s="47">
        <f>_xll.qlPolynomialFunctionValue(BI$1,$BD42,AllTriggers)</f>
        <v>2.7007281316103487E-4</v>
      </c>
      <c r="BJ42" s="47">
        <f>_xll.qlPolynomialFunctionValue(BJ$1,$BD42,AllTriggers)</f>
        <v>2.6703062235436869E-4</v>
      </c>
      <c r="BK42" s="47">
        <f>_xll.qlPolynomialFunctionValue(BK$1,$BD42,AllTriggers)</f>
        <v>2.6218409768995551E-4</v>
      </c>
      <c r="BL42" s="47">
        <f>_xll.qlPolynomialFunctionValue(BL$1,$BD42,AllTriggers)</f>
        <v>2.4373632819564513E-4</v>
      </c>
      <c r="BM42" s="47">
        <f>_xll.qlPolynomialFunctionValue(BM$1,$BD42,AllTriggers)</f>
        <v>2.7260683519050942E-4</v>
      </c>
      <c r="BN42" s="47">
        <f>_xll.qlPolynomialFunctionValue(BN$1,$BD42,AllTriggers)</f>
        <v>2.3717269843376144E-4</v>
      </c>
      <c r="BO42" s="47">
        <f>_xll.qlPolynomialFunctionValue(BO$1,$BD42,AllTriggers)</f>
        <v>2.4976302975747059E-4</v>
      </c>
      <c r="BP42" s="47">
        <f>_xll.qlPolynomialFunctionValue(BP$1,$BD42,AllTriggers)</f>
        <v>2.4554326046997185E-4</v>
      </c>
      <c r="BQ42" s="47">
        <f>_xll.qlPolynomialFunctionValue('1MSynthDepo_used'!$P$18,BD42,AllTriggers)</f>
        <v>2.5943743373873498E-4</v>
      </c>
    </row>
    <row r="43" spans="3:69" ht="11.25" customHeight="1" x14ac:dyDescent="0.2">
      <c r="F43" s="189" t="str">
        <f>C37&amp;"x"&amp;C37+SUBSTITUTE($D$21,"M","")&amp;"F"</f>
        <v>0x1F</v>
      </c>
      <c r="G43" s="156">
        <f t="shared" ref="G43:AC43" si="9">$AD37-G37</f>
        <v>-3.1666231830262091E-7</v>
      </c>
      <c r="H43" s="156">
        <f t="shared" si="9"/>
        <v>-2.17397926757356E-7</v>
      </c>
      <c r="I43" s="19">
        <f t="shared" si="9"/>
        <v>-1.1340445794298794E-3</v>
      </c>
      <c r="J43" s="19">
        <f t="shared" si="9"/>
        <v>-1.1340445794298794E-3</v>
      </c>
      <c r="K43" s="19">
        <f t="shared" si="9"/>
        <v>-1.1340445794298794E-3</v>
      </c>
      <c r="L43" s="19">
        <f t="shared" si="9"/>
        <v>-1.1340445794298794E-3</v>
      </c>
      <c r="M43" s="19">
        <f t="shared" si="9"/>
        <v>-1.1340445794298794E-3</v>
      </c>
      <c r="N43" s="19">
        <f t="shared" si="9"/>
        <v>-1.1340445794298794E-3</v>
      </c>
      <c r="O43" s="19">
        <f t="shared" si="9"/>
        <v>-1.1340445794298794E-3</v>
      </c>
      <c r="P43" s="19">
        <f t="shared" si="9"/>
        <v>-1.1340445794298794E-3</v>
      </c>
      <c r="Q43" s="19">
        <f t="shared" si="9"/>
        <v>-1.1340445794298794E-3</v>
      </c>
      <c r="R43" s="19">
        <f t="shared" si="9"/>
        <v>-1.1340445794298794E-3</v>
      </c>
      <c r="S43" s="156">
        <f t="shared" si="9"/>
        <v>-4.2804257685421631E-5</v>
      </c>
      <c r="T43" s="157">
        <f t="shared" si="9"/>
        <v>-1.9091547745031881E-4</v>
      </c>
      <c r="U43" s="158">
        <f t="shared" si="9"/>
        <v>-3.4565790230089988E-7</v>
      </c>
      <c r="V43" s="156">
        <f t="shared" si="9"/>
        <v>-2.5654738591580212E-7</v>
      </c>
      <c r="W43" s="156">
        <f t="shared" si="9"/>
        <v>-4.0168822735150555E-5</v>
      </c>
      <c r="X43" s="157">
        <f t="shared" si="9"/>
        <v>-1.920918167717541E-4</v>
      </c>
      <c r="Y43" s="158">
        <f t="shared" si="9"/>
        <v>1.9761448729007161E-5</v>
      </c>
      <c r="Z43" s="240">
        <f t="shared" si="9"/>
        <v>-1.0306888951349237E-5</v>
      </c>
      <c r="AA43" s="156">
        <f t="shared" si="9"/>
        <v>6.5151738410714139E-5</v>
      </c>
      <c r="AB43" s="156">
        <f t="shared" si="9"/>
        <v>-1.9091547745031881E-4</v>
      </c>
      <c r="AC43" s="156">
        <f t="shared" si="9"/>
        <v>0</v>
      </c>
      <c r="BC43" s="178">
        <f>_xll.qlCalendarAdvance(Calendar,BC42,"1d","mf",,Trigger)</f>
        <v>42332</v>
      </c>
      <c r="BD43" s="41">
        <f>_xll.qlDayCounterYearFraction(DayCounter,SettlementDate,BC43,,,Trigger)</f>
        <v>0.14722222222222223</v>
      </c>
      <c r="BE43" s="47">
        <f>_xll.qlPolynomialFunctionValue(BE$1,$BD43,AllTriggers)</f>
        <v>2.7004223946345369E-4</v>
      </c>
      <c r="BF43" s="47">
        <f>_xll.qlPolynomialFunctionValue(BF$1,$BD43,AllTriggers)</f>
        <v>2.6633885882347948E-4</v>
      </c>
      <c r="BG43" s="47">
        <f>_xll.qlPolynomialFunctionValue(BG$1,$BD43,AllTriggers)</f>
        <v>2.6107040388046105E-4</v>
      </c>
      <c r="BH43" s="47">
        <f>_xll.qlPolynomialFunctionValue(BH$1,$BD43,AllTriggers)</f>
        <v>2.427475952746462E-4</v>
      </c>
      <c r="BI43" s="47">
        <f>_xll.qlPolynomialFunctionValue(BI$1,$BD43,AllTriggers)</f>
        <v>2.7007400216628546E-4</v>
      </c>
      <c r="BJ43" s="47">
        <f>_xll.qlPolynomialFunctionValue(BJ$1,$BD43,AllTriggers)</f>
        <v>2.6611565734657727E-4</v>
      </c>
      <c r="BK43" s="47">
        <f>_xll.qlPolynomialFunctionValue(BK$1,$BD43,AllTriggers)</f>
        <v>2.6087050078335951E-4</v>
      </c>
      <c r="BL43" s="47">
        <f>_xll.qlPolynomialFunctionValue(BL$1,$BD43,AllTriggers)</f>
        <v>2.409053822830237E-4</v>
      </c>
      <c r="BM43" s="47">
        <f>_xll.qlPolynomialFunctionValue(BM$1,$BD43,AllTriggers)</f>
        <v>2.7323240305832293E-4</v>
      </c>
      <c r="BN43" s="47">
        <f>_xll.qlPolynomialFunctionValue(BN$1,$BD43,AllTriggers)</f>
        <v>2.3719362636841508E-4</v>
      </c>
      <c r="BO43" s="47">
        <f>_xll.qlPolynomialFunctionValue(BO$1,$BD43,AllTriggers)</f>
        <v>2.5102003585164762E-4</v>
      </c>
      <c r="BP43" s="47">
        <f>_xll.qlPolynomialFunctionValue(BP$1,$BD43,AllTriggers)</f>
        <v>2.4274759527464612E-4</v>
      </c>
      <c r="BQ43" s="47">
        <f>_xll.qlPolynomialFunctionValue('1MSynthDepo_used'!$P$18,BD43,AllTriggers)</f>
        <v>2.5729585410828003E-4</v>
      </c>
    </row>
    <row r="44" spans="3:69" x14ac:dyDescent="0.2">
      <c r="F44" s="190" t="str">
        <f>C38&amp;"x"&amp;C38+SUBSTITUTE($D$21,"M","")&amp;"F"</f>
        <v>1x2F</v>
      </c>
      <c r="G44" s="47">
        <f t="shared" ref="G44:AC44" si="10">$AD38-G38</f>
        <v>1.363484698480022E-6</v>
      </c>
      <c r="H44" s="47">
        <f t="shared" si="10"/>
        <v>4.5121022118621568E-7</v>
      </c>
      <c r="I44" s="19">
        <f t="shared" si="10"/>
        <v>-1.234180061679524E-3</v>
      </c>
      <c r="J44" s="19">
        <f t="shared" si="10"/>
        <v>-1.234180061679524E-3</v>
      </c>
      <c r="K44" s="19">
        <f t="shared" si="10"/>
        <v>-1.234180061679524E-3</v>
      </c>
      <c r="L44" s="19">
        <f t="shared" si="10"/>
        <v>-1.234180061679524E-3</v>
      </c>
      <c r="M44" s="19">
        <f t="shared" si="10"/>
        <v>-1.234180061679524E-3</v>
      </c>
      <c r="N44" s="19">
        <f t="shared" si="10"/>
        <v>-1.234180061679524E-3</v>
      </c>
      <c r="O44" s="19">
        <f t="shared" si="10"/>
        <v>-1.234180061679524E-3</v>
      </c>
      <c r="P44" s="19">
        <f t="shared" si="10"/>
        <v>-1.234180061679524E-3</v>
      </c>
      <c r="Q44" s="19">
        <f t="shared" si="10"/>
        <v>-1.234180061679524E-3</v>
      </c>
      <c r="R44" s="19">
        <f t="shared" si="10"/>
        <v>-1.234180061679524E-3</v>
      </c>
      <c r="S44" s="47">
        <f t="shared" si="10"/>
        <v>-1.7489657189173613E-7</v>
      </c>
      <c r="T44" s="154">
        <f t="shared" si="10"/>
        <v>-2.3523919465695542E-6</v>
      </c>
      <c r="U44" s="155">
        <f t="shared" si="10"/>
        <v>1.3326315277950584E-6</v>
      </c>
      <c r="V44" s="47">
        <f t="shared" si="10"/>
        <v>8.9878387532493775E-7</v>
      </c>
      <c r="W44" s="47">
        <f t="shared" si="10"/>
        <v>5.1556965230403762E-7</v>
      </c>
      <c r="X44" s="154">
        <f t="shared" si="10"/>
        <v>-9.4309376308387982E-7</v>
      </c>
      <c r="Y44" s="155">
        <f t="shared" si="10"/>
        <v>2.9161679018230302E-6</v>
      </c>
      <c r="Z44" s="200">
        <f t="shared" si="10"/>
        <v>3.0264703733795528E-5</v>
      </c>
      <c r="AA44" s="47">
        <f t="shared" si="10"/>
        <v>2.9573438784513684E-5</v>
      </c>
      <c r="AB44" s="47">
        <f t="shared" si="10"/>
        <v>-2.3523919465695542E-6</v>
      </c>
      <c r="AC44" s="47">
        <f t="shared" si="10"/>
        <v>0</v>
      </c>
      <c r="BC44" s="178">
        <f>_xll.qlCalendarAdvance(Calendar,BC43,"1d","mf",,Trigger)</f>
        <v>42333</v>
      </c>
      <c r="BD44" s="41">
        <f>_xll.qlDayCounterYearFraction(DayCounter,SettlementDate,BC44,,,Trigger)</f>
        <v>0.15</v>
      </c>
      <c r="BE44" s="47">
        <f>_xll.qlPolynomialFunctionValue(BE$1,$BD44,AllTriggers)</f>
        <v>2.700433658490677E-4</v>
      </c>
      <c r="BF44" s="47">
        <f>_xll.qlPolynomialFunctionValue(BF$1,$BD44,AllTriggers)</f>
        <v>2.6532174409626958E-4</v>
      </c>
      <c r="BG44" s="47">
        <f>_xll.qlPolynomialFunctionValue(BG$1,$BD44,AllTriggers)</f>
        <v>2.5969124786869155E-4</v>
      </c>
      <c r="BH44" s="47">
        <f>_xll.qlPolynomialFunctionValue(BH$1,$BD44,AllTriggers)</f>
        <v>2.401093199886045E-4</v>
      </c>
      <c r="BI44" s="47">
        <f>_xll.qlPolynomialFunctionValue(BI$1,$BD44,AllTriggers)</f>
        <v>2.70075191171536E-4</v>
      </c>
      <c r="BJ44" s="47">
        <f>_xll.qlPolynomialFunctionValue(BJ$1,$BD44,AllTriggers)</f>
        <v>2.6515873108628009E-4</v>
      </c>
      <c r="BK44" s="47">
        <f>_xll.qlPolynomialFunctionValue(BK$1,$BD44,AllTriggers)</f>
        <v>2.5955690387676356E-4</v>
      </c>
      <c r="BL44" s="47">
        <f>_xll.qlPolynomialFunctionValue(BL$1,$BD44,AllTriggers)</f>
        <v>2.3823415731840484E-4</v>
      </c>
      <c r="BM44" s="47">
        <f>_xll.qlPolynomialFunctionValue(BM$1,$BD44,AllTriggers)</f>
        <v>2.7385797092613644E-4</v>
      </c>
      <c r="BN44" s="47">
        <f>_xll.qlPolynomialFunctionValue(BN$1,$BD44,AllTriggers)</f>
        <v>2.3727435324985861E-4</v>
      </c>
      <c r="BO44" s="47">
        <f>_xll.qlPolynomialFunctionValue(BO$1,$BD44,AllTriggers)</f>
        <v>2.5227704194582466E-4</v>
      </c>
      <c r="BP44" s="47">
        <f>_xll.qlPolynomialFunctionValue(BP$1,$BD44,AllTriggers)</f>
        <v>2.4010931998860442E-4</v>
      </c>
      <c r="BQ44" s="47">
        <f>_xll.qlPolynomialFunctionValue('1MSynthDepo_used'!$P$18,BD44,AllTriggers)</f>
        <v>2.5515664615665984E-4</v>
      </c>
    </row>
    <row r="45" spans="3:69" x14ac:dyDescent="0.2">
      <c r="F45" s="190" t="str">
        <f>C39&amp;"x"&amp;C39+SUBSTITUTE($D$21,"M","")&amp;"F"</f>
        <v>2x3F</v>
      </c>
      <c r="G45" s="47">
        <f t="shared" ref="G45:AC45" si="11">$AD39-G39</f>
        <v>-4.0208384042889631E-5</v>
      </c>
      <c r="H45" s="47">
        <f t="shared" si="11"/>
        <v>6.8632661735660086E-7</v>
      </c>
      <c r="I45" s="19">
        <f t="shared" si="11"/>
        <v>-1.182812412859184E-3</v>
      </c>
      <c r="J45" s="19">
        <f t="shared" si="11"/>
        <v>-1.182812412859184E-3</v>
      </c>
      <c r="K45" s="19">
        <f t="shared" si="11"/>
        <v>-1.182812412859184E-3</v>
      </c>
      <c r="L45" s="19">
        <f t="shared" si="11"/>
        <v>-1.182812412859184E-3</v>
      </c>
      <c r="M45" s="19">
        <f t="shared" si="11"/>
        <v>-1.182812412859184E-3</v>
      </c>
      <c r="N45" s="19">
        <f t="shared" si="11"/>
        <v>-1.182812412859184E-3</v>
      </c>
      <c r="O45" s="19">
        <f t="shared" si="11"/>
        <v>-1.182812412859184E-3</v>
      </c>
      <c r="P45" s="19">
        <f t="shared" si="11"/>
        <v>-1.182812412859184E-3</v>
      </c>
      <c r="Q45" s="19">
        <f t="shared" si="11"/>
        <v>-1.182812412859184E-3</v>
      </c>
      <c r="R45" s="19">
        <f t="shared" si="11"/>
        <v>-1.182812412859184E-3</v>
      </c>
      <c r="S45" s="47">
        <f t="shared" si="11"/>
        <v>5.4458320035291954E-7</v>
      </c>
      <c r="T45" s="154">
        <f t="shared" si="11"/>
        <v>5.1623196626509119E-8</v>
      </c>
      <c r="U45" s="155">
        <f t="shared" si="11"/>
        <v>-4.0241155802740822E-5</v>
      </c>
      <c r="V45" s="47">
        <f t="shared" si="11"/>
        <v>-1.4823886070173577E-6</v>
      </c>
      <c r="W45" s="47">
        <f t="shared" si="11"/>
        <v>-7.7365754408919261E-7</v>
      </c>
      <c r="X45" s="154">
        <f t="shared" si="11"/>
        <v>1.9240498115959733E-6</v>
      </c>
      <c r="Y45" s="155">
        <f t="shared" si="11"/>
        <v>-5.778840976411459E-5</v>
      </c>
      <c r="Z45" s="200">
        <f t="shared" si="11"/>
        <v>-2.7763869084974436E-5</v>
      </c>
      <c r="AA45" s="47">
        <f t="shared" si="11"/>
        <v>-5.047821401356475E-5</v>
      </c>
      <c r="AB45" s="47">
        <f t="shared" si="11"/>
        <v>5.1623196626509119E-8</v>
      </c>
      <c r="AC45" s="47">
        <f t="shared" si="11"/>
        <v>0</v>
      </c>
      <c r="BC45" s="178">
        <f>_xll.qlCalendarAdvance(Calendar,BC44,"1d","mf",,Trigger)</f>
        <v>42334</v>
      </c>
      <c r="BD45" s="41">
        <f>_xll.qlDayCounterYearFraction(DayCounter,SettlementDate,BC45,,,Trigger)</f>
        <v>0.15277777777777779</v>
      </c>
      <c r="BE45" s="47">
        <f>_xll.qlPolynomialFunctionValue(BE$1,$BD45,AllTriggers)</f>
        <v>2.7004449223468172E-4</v>
      </c>
      <c r="BF45" s="47">
        <f>_xll.qlPolynomialFunctionValue(BF$1,$BD45,AllTriggers)</f>
        <v>2.6425937420848969E-4</v>
      </c>
      <c r="BG45" s="47">
        <f>_xll.qlPolynomialFunctionValue(BG$1,$BD45,AllTriggers)</f>
        <v>2.5831209185692204E-4</v>
      </c>
      <c r="BH45" s="47">
        <f>_xll.qlPolynomialFunctionValue(BH$1,$BD45,AllTriggers)</f>
        <v>2.3762843461184679E-4</v>
      </c>
      <c r="BI45" s="47">
        <f>_xll.qlPolynomialFunctionValue(BI$1,$BD45,AllTriggers)</f>
        <v>2.7007638017678654E-4</v>
      </c>
      <c r="BJ45" s="47">
        <f>_xll.qlPolynomialFunctionValue(BJ$1,$BD45,AllTriggers)</f>
        <v>2.6415984357347716E-4</v>
      </c>
      <c r="BK45" s="47">
        <f>_xll.qlPolynomialFunctionValue(BK$1,$BD45,AllTriggers)</f>
        <v>2.5824330697016756E-4</v>
      </c>
      <c r="BL45" s="47">
        <f>_xll.qlPolynomialFunctionValue(BL$1,$BD45,AllTriggers)</f>
        <v>2.3572265330178865E-4</v>
      </c>
      <c r="BM45" s="47">
        <f>_xll.qlPolynomialFunctionValue(BM$1,$BD45,AllTriggers)</f>
        <v>2.7448353879394995E-4</v>
      </c>
      <c r="BN45" s="47">
        <f>_xll.qlPolynomialFunctionValue(BN$1,$BD45,AllTriggers)</f>
        <v>2.3741487907809203E-4</v>
      </c>
      <c r="BO45" s="47">
        <f>_xll.qlPolynomialFunctionValue(BO$1,$BD45,AllTriggers)</f>
        <v>2.5353404804000169E-4</v>
      </c>
      <c r="BP45" s="47">
        <f>_xll.qlPolynomialFunctionValue(BP$1,$BD45,AllTriggers)</f>
        <v>2.3762843461184682E-4</v>
      </c>
      <c r="BQ45" s="47">
        <f>_xll.qlPolynomialFunctionValue('1MSynthDepo_used'!$P$18,BD45,AllTriggers)</f>
        <v>2.5302655051458108E-4</v>
      </c>
    </row>
    <row r="46" spans="3:69" x14ac:dyDescent="0.2">
      <c r="F46" s="277" t="str">
        <f>C40&amp;"x"&amp;C40+SUBSTITUTE($D$21,"M","")&amp;"F"</f>
        <v>3x4F</v>
      </c>
      <c r="G46" s="50">
        <f t="shared" ref="G46:AC46" si="12">$AD40-G40</f>
        <v>6.3618206997578895E-5</v>
      </c>
      <c r="H46" s="50">
        <f t="shared" si="12"/>
        <v>1.8692927493212715E-4</v>
      </c>
      <c r="I46" s="96">
        <f t="shared" si="12"/>
        <v>-1.3242003056658657E-3</v>
      </c>
      <c r="J46" s="96">
        <f t="shared" si="12"/>
        <v>-1.3242003056658657E-3</v>
      </c>
      <c r="K46" s="96">
        <f t="shared" si="12"/>
        <v>-1.3242003056658657E-3</v>
      </c>
      <c r="L46" s="96">
        <f t="shared" si="12"/>
        <v>-1.3242003056658657E-3</v>
      </c>
      <c r="M46" s="96">
        <f t="shared" si="12"/>
        <v>-1.3242003056658657E-3</v>
      </c>
      <c r="N46" s="96">
        <f t="shared" si="12"/>
        <v>-1.3242003056658657E-3</v>
      </c>
      <c r="O46" s="96">
        <f t="shared" si="12"/>
        <v>-1.3242003056658657E-3</v>
      </c>
      <c r="P46" s="96">
        <f t="shared" si="12"/>
        <v>-1.3242003056658657E-3</v>
      </c>
      <c r="Q46" s="96">
        <f t="shared" si="12"/>
        <v>-1.3242003056658657E-3</v>
      </c>
      <c r="R46" s="96">
        <f t="shared" si="12"/>
        <v>-1.3242003056658657E-3</v>
      </c>
      <c r="S46" s="50">
        <f t="shared" si="12"/>
        <v>1.4599052501103283E-4</v>
      </c>
      <c r="T46" s="276">
        <f t="shared" si="12"/>
        <v>3.6113214901248216E-6</v>
      </c>
      <c r="U46" s="275">
        <f t="shared" si="12"/>
        <v>6.3583547290750131E-5</v>
      </c>
      <c r="V46" s="50">
        <f t="shared" si="12"/>
        <v>1.7918175287236736E-4</v>
      </c>
      <c r="W46" s="50">
        <f t="shared" si="12"/>
        <v>1.426954978840224E-4</v>
      </c>
      <c r="X46" s="276">
        <f t="shared" si="12"/>
        <v>3.8135519046082495E-6</v>
      </c>
      <c r="Y46" s="275">
        <f t="shared" si="12"/>
        <v>2.7209400465158474E-5</v>
      </c>
      <c r="Z46" s="201">
        <f t="shared" si="12"/>
        <v>5.3287852392737509E-6</v>
      </c>
      <c r="AA46" s="50">
        <f t="shared" si="12"/>
        <v>1.5479655925352545E-5</v>
      </c>
      <c r="AB46" s="50">
        <f t="shared" si="12"/>
        <v>3.6113214901248216E-6</v>
      </c>
      <c r="AC46" s="50">
        <f t="shared" si="12"/>
        <v>0</v>
      </c>
      <c r="BC46" s="178">
        <f>_xll.qlCalendarAdvance(Calendar,BC45,"1d","mf",,Trigger)</f>
        <v>42335</v>
      </c>
      <c r="BD46" s="41">
        <f>_xll.qlDayCounterYearFraction(DayCounter,SettlementDate,BC46,,,Trigger)</f>
        <v>0.15555555555555556</v>
      </c>
      <c r="BE46" s="47">
        <f>_xll.qlPolynomialFunctionValue(BE$1,$BD46,AllTriggers)</f>
        <v>2.7004561862029568E-4</v>
      </c>
      <c r="BF46" s="47">
        <f>_xll.qlPolynomialFunctionValue(BF$1,$BD46,AllTriggers)</f>
        <v>2.6315174916013994E-4</v>
      </c>
      <c r="BG46" s="47">
        <f>_xll.qlPolynomialFunctionValue(BG$1,$BD46,AllTriggers)</f>
        <v>2.5693293584515254E-4</v>
      </c>
      <c r="BH46" s="47">
        <f>_xll.qlPolynomialFunctionValue(BH$1,$BD46,AllTriggers)</f>
        <v>2.3530493914437314E-4</v>
      </c>
      <c r="BI46" s="47">
        <f>_xll.qlPolynomialFunctionValue(BI$1,$BD46,AllTriggers)</f>
        <v>2.7007756918203714E-4</v>
      </c>
      <c r="BJ46" s="47">
        <f>_xll.qlPolynomialFunctionValue(BJ$1,$BD46,AllTriggers)</f>
        <v>2.6311899480816847E-4</v>
      </c>
      <c r="BK46" s="47">
        <f>_xll.qlPolynomialFunctionValue(BK$1,$BD46,AllTriggers)</f>
        <v>2.5692971006357156E-4</v>
      </c>
      <c r="BL46" s="47">
        <f>_xll.qlPolynomialFunctionValue(BL$1,$BD46,AllTriggers)</f>
        <v>2.3337087023317518E-4</v>
      </c>
      <c r="BM46" s="47">
        <f>_xll.qlPolynomialFunctionValue(BM$1,$BD46,AllTriggers)</f>
        <v>2.7510910666176346E-4</v>
      </c>
      <c r="BN46" s="47">
        <f>_xll.qlPolynomialFunctionValue(BN$1,$BD46,AllTriggers)</f>
        <v>2.3761520385311532E-4</v>
      </c>
      <c r="BO46" s="47">
        <f>_xll.qlPolynomialFunctionValue(BO$1,$BD46,AllTriggers)</f>
        <v>2.5479105413417873E-4</v>
      </c>
      <c r="BP46" s="47">
        <f>_xll.qlPolynomialFunctionValue(BP$1,$BD46,AllTriggers)</f>
        <v>2.3530493914437314E-4</v>
      </c>
      <c r="BQ46" s="47">
        <f>_xll.qlPolynomialFunctionValue('1MSynthDepo_used'!$P$18,BD46,AllTriggers)</f>
        <v>2.5091230781275022E-4</v>
      </c>
    </row>
    <row r="47" spans="3:69" x14ac:dyDescent="0.2">
      <c r="BC47" s="178">
        <f>_xll.qlCalendarAdvance(Calendar,BC46,"1d","mf",,Trigger)</f>
        <v>42338</v>
      </c>
      <c r="BD47" s="41">
        <f>_xll.qlDayCounterYearFraction(DayCounter,SettlementDate,BC47,,,Trigger)</f>
        <v>0.16388888888888889</v>
      </c>
      <c r="BE47" s="47">
        <f>_xll.qlPolynomialFunctionValue(BE$1,$BD47,AllTriggers)</f>
        <v>2.7004899777713766E-4</v>
      </c>
      <c r="BF47" s="47">
        <f>_xll.qlPolynomialFunctionValue(BF$1,$BD47,AllTriggers)</f>
        <v>2.5955734305167083E-4</v>
      </c>
      <c r="BG47" s="47">
        <f>_xll.qlPolynomialFunctionValue(BG$1,$BD47,AllTriggers)</f>
        <v>2.5279546780984408E-4</v>
      </c>
      <c r="BH47" s="47">
        <f>_xll.qlPolynomialFunctionValue(BH$1,$BD47,AllTriggers)</f>
        <v>2.2927879219765646E-4</v>
      </c>
      <c r="BI47" s="47">
        <f>_xll.qlPolynomialFunctionValue(BI$1,$BD47,AllTriggers)</f>
        <v>2.7008113619778881E-4</v>
      </c>
      <c r="BJ47" s="47">
        <f>_xll.qlPolynomialFunctionValue(BJ$1,$BD47,AllTriggers)</f>
        <v>2.5974468099720807E-4</v>
      </c>
      <c r="BK47" s="47">
        <f>_xll.qlPolynomialFunctionValue(BK$1,$BD47,AllTriggers)</f>
        <v>2.5298891934378361E-4</v>
      </c>
      <c r="BL47" s="47">
        <f>_xll.qlPolynomialFunctionValue(BL$1,$BD47,AllTriggers)</f>
        <v>2.2727384671535099E-4</v>
      </c>
      <c r="BM47" s="47">
        <f>_xll.qlPolynomialFunctionValue(BM$1,$BD47,AllTriggers)</f>
        <v>2.7698581026520404E-4</v>
      </c>
      <c r="BN47" s="47">
        <f>_xll.qlPolynomialFunctionValue(BN$1,$BD47,AllTriggers)</f>
        <v>2.3857497185892463E-4</v>
      </c>
      <c r="BO47" s="47">
        <f>_xll.qlPolynomialFunctionValue(BO$1,$BD47,AllTriggers)</f>
        <v>2.5856207241670983E-4</v>
      </c>
      <c r="BP47" s="47">
        <f>_xll.qlPolynomialFunctionValue(BP$1,$BD47,AllTriggers)</f>
        <v>2.2927879219765646E-4</v>
      </c>
      <c r="BQ47" s="47">
        <f>_xll.qlPolynomialFunctionValue('1MSynthDepo_used'!$P$18,BD47,AllTriggers)</f>
        <v>2.4473210365581153E-4</v>
      </c>
    </row>
    <row r="48" spans="3:69" x14ac:dyDescent="0.2">
      <c r="BC48" s="178">
        <f>_xll.qlCalendarAdvance(Calendar,BC47,"1d","mf",,Trigger)</f>
        <v>42339</v>
      </c>
      <c r="BD48" s="41">
        <f>_xll.qlDayCounterYearFraction(DayCounter,SettlementDate,BC48,,,Trigger)</f>
        <v>0.16666666666666666</v>
      </c>
      <c r="BE48" s="47">
        <f>_xll.qlPolynomialFunctionValue(BE$1,$BD48,AllTriggers)</f>
        <v>2.7005012416275162E-4</v>
      </c>
      <c r="BF48" s="47">
        <f>_xll.qlPolynomialFunctionValue(BF$1,$BD48,AllTriggers)</f>
        <v>2.5826869736104128E-4</v>
      </c>
      <c r="BG48" s="47">
        <f>_xll.qlPolynomialFunctionValue(BG$1,$BD48,AllTriggers)</f>
        <v>2.5141631179807458E-4</v>
      </c>
      <c r="BH48" s="47">
        <f>_xll.qlPolynomialFunctionValue(BH$1,$BD48,AllTriggers)</f>
        <v>2.2758485636731893E-4</v>
      </c>
      <c r="BI48" s="47">
        <f>_xll.qlPolynomialFunctionValue(BI$1,$BD48,AllTriggers)</f>
        <v>2.700823252030394E-4</v>
      </c>
      <c r="BJ48" s="47">
        <f>_xll.qlPolynomialFunctionValue(BJ$1,$BD48,AllTriggers)</f>
        <v>2.5853598722187641E-4</v>
      </c>
      <c r="BK48" s="47">
        <f>_xll.qlPolynomialFunctionValue(BK$1,$BD48,AllTriggers)</f>
        <v>2.5167532243718766E-4</v>
      </c>
      <c r="BL48" s="47">
        <f>_xll.qlPolynomialFunctionValue(BL$1,$BD48,AllTriggers)</f>
        <v>2.2556094743874831E-4</v>
      </c>
      <c r="BM48" s="47">
        <f>_xll.qlPolynomialFunctionValue(BM$1,$BD48,AllTriggers)</f>
        <v>2.7761137813301756E-4</v>
      </c>
      <c r="BN48" s="47">
        <f>_xll.qlPolynomialFunctionValue(BN$1,$BD48,AllTriggers)</f>
        <v>2.3901449242110754E-4</v>
      </c>
      <c r="BO48" s="47">
        <f>_xll.qlPolynomialFunctionValue(BO$1,$BD48,AllTriggers)</f>
        <v>2.5981907851088681E-4</v>
      </c>
      <c r="BP48" s="47">
        <f>_xll.qlPolynomialFunctionValue(BP$1,$BD48,AllTriggers)</f>
        <v>2.2758485636731888E-4</v>
      </c>
      <c r="BQ48" s="47">
        <f>_xll.qlPolynomialFunctionValue('1MSynthDepo_used'!$P$18,BD48,AllTriggers)</f>
        <v>2.4274867902203854E-4</v>
      </c>
    </row>
    <row r="49" spans="3:69" x14ac:dyDescent="0.2">
      <c r="BC49" s="178">
        <f>_xll.qlCalendarAdvance(Calendar,BC48,"1d","mf",,Trigger)</f>
        <v>42340</v>
      </c>
      <c r="BD49" s="41">
        <f>_xll.qlDayCounterYearFraction(DayCounter,SettlementDate,BC49,,,Trigger)</f>
        <v>0.16944444444444445</v>
      </c>
      <c r="BE49" s="47">
        <f>_xll.qlPolynomialFunctionValue(BE$1,$BD49,AllTriggers)</f>
        <v>2.7005125054836563E-4</v>
      </c>
      <c r="BF49" s="47">
        <f>_xll.qlPolynomialFunctionValue(BF$1,$BD49,AllTriggers)</f>
        <v>2.569347965098417E-4</v>
      </c>
      <c r="BG49" s="47">
        <f>_xll.qlPolynomialFunctionValue(BG$1,$BD49,AllTriggers)</f>
        <v>2.5003715578630507E-4</v>
      </c>
      <c r="BH49" s="47">
        <f>_xll.qlPolynomialFunctionValue(BH$1,$BD49,AllTriggers)</f>
        <v>2.2604831044626534E-4</v>
      </c>
      <c r="BI49" s="47">
        <f>_xll.qlPolynomialFunctionValue(BI$1,$BD49,AllTriggers)</f>
        <v>2.7008351420828994E-4</v>
      </c>
      <c r="BJ49" s="47">
        <f>_xll.qlPolynomialFunctionValue(BJ$1,$BD49,AllTriggers)</f>
        <v>2.5728533219403904E-4</v>
      </c>
      <c r="BK49" s="47">
        <f>_xll.qlPolynomialFunctionValue(BK$1,$BD49,AllTriggers)</f>
        <v>2.5036172553059166E-4</v>
      </c>
      <c r="BL49" s="47">
        <f>_xll.qlPolynomialFunctionValue(BL$1,$BD49,AllTriggers)</f>
        <v>2.2400776911014821E-4</v>
      </c>
      <c r="BM49" s="47">
        <f>_xll.qlPolynomialFunctionValue(BM$1,$BD49,AllTriggers)</f>
        <v>2.7823694600083107E-4</v>
      </c>
      <c r="BN49" s="47">
        <f>_xll.qlPolynomialFunctionValue(BN$1,$BD49,AllTriggers)</f>
        <v>2.3951381193008031E-4</v>
      </c>
      <c r="BO49" s="47">
        <f>_xll.qlPolynomialFunctionValue(BO$1,$BD49,AllTriggers)</f>
        <v>2.610760846050639E-4</v>
      </c>
      <c r="BP49" s="47">
        <f>_xll.qlPolynomialFunctionValue(BP$1,$BD49,AllTriggers)</f>
        <v>2.2604831044626534E-4</v>
      </c>
      <c r="BQ49" s="47">
        <f>_xll.qlPolynomialFunctionValue('1MSynthDepo_used'!$P$18,BD49,AllTriggers)</f>
        <v>2.4081481048204655E-4</v>
      </c>
    </row>
    <row r="50" spans="3:69" x14ac:dyDescent="0.2">
      <c r="BC50" s="178">
        <f>_xll.qlCalendarAdvance(Calendar,BC49,"1d","mf",,Trigger)</f>
        <v>42341</v>
      </c>
      <c r="BD50" s="41">
        <f>_xll.qlDayCounterYearFraction(DayCounter,SettlementDate,BC50,,,Trigger)</f>
        <v>0.17222222222222222</v>
      </c>
      <c r="BE50" s="47">
        <f>_xll.qlPolynomialFunctionValue(BE$1,$BD50,AllTriggers)</f>
        <v>2.7005237693397959E-4</v>
      </c>
      <c r="BF50" s="47">
        <f>_xll.qlPolynomialFunctionValue(BF$1,$BD50,AllTriggers)</f>
        <v>2.555556404980722E-4</v>
      </c>
      <c r="BG50" s="47">
        <f>_xll.qlPolynomialFunctionValue(BG$1,$BD50,AllTriggers)</f>
        <v>2.4865799977453557E-4</v>
      </c>
      <c r="BH50" s="47">
        <f>_xll.qlPolynomialFunctionValue(BH$1,$BD50,AllTriggers)</f>
        <v>2.2466915443449583E-4</v>
      </c>
      <c r="BI50" s="47">
        <f>_xll.qlPolynomialFunctionValue(BI$1,$BD50,AllTriggers)</f>
        <v>2.7008470321354054E-4</v>
      </c>
      <c r="BJ50" s="47">
        <f>_xll.qlPolynomialFunctionValue(BJ$1,$BD50,AllTriggers)</f>
        <v>2.5599271591369597E-4</v>
      </c>
      <c r="BK50" s="47">
        <f>_xll.qlPolynomialFunctionValue(BK$1,$BD50,AllTriggers)</f>
        <v>2.4904812862399566E-4</v>
      </c>
      <c r="BL50" s="47">
        <f>_xll.qlPolynomialFunctionValue(BL$1,$BD50,AllTriggers)</f>
        <v>2.2261431172955086E-4</v>
      </c>
      <c r="BM50" s="47">
        <f>_xll.qlPolynomialFunctionValue(BM$1,$BD50,AllTriggers)</f>
        <v>2.7886251386864458E-4</v>
      </c>
      <c r="BN50" s="47">
        <f>_xll.qlPolynomialFunctionValue(BN$1,$BD50,AllTriggers)</f>
        <v>2.4007293038584299E-4</v>
      </c>
      <c r="BO50" s="47">
        <f>_xll.qlPolynomialFunctionValue(BO$1,$BD50,AllTriggers)</f>
        <v>2.6233309069924088E-4</v>
      </c>
      <c r="BP50" s="47">
        <f>_xll.qlPolynomialFunctionValue(BP$1,$BD50,AllTriggers)</f>
        <v>2.2466915443449594E-4</v>
      </c>
      <c r="BQ50" s="47">
        <f>_xll.qlPolynomialFunctionValue('1MSynthDepo_used'!$P$18,BD50,AllTriggers)</f>
        <v>2.3893723866654225E-4</v>
      </c>
    </row>
    <row r="51" spans="3:69" x14ac:dyDescent="0.2">
      <c r="BC51" s="178">
        <f>_xll.qlCalendarAdvance(Calendar,BC50,"1d","mf",,Trigger)</f>
        <v>42342</v>
      </c>
      <c r="BD51" s="41">
        <f>_xll.qlDayCounterYearFraction(DayCounter,SettlementDate,BC51,,,Trigger)</f>
        <v>0.17499999999999999</v>
      </c>
      <c r="BE51" s="47">
        <f>_xll.qlPolynomialFunctionValue(BE$1,$BD51,AllTriggers)</f>
        <v>2.700535033195936E-4</v>
      </c>
      <c r="BF51" s="47">
        <f>_xll.qlPolynomialFunctionValue(BF$1,$BD51,AllTriggers)</f>
        <v>2.5413122932573277E-4</v>
      </c>
      <c r="BG51" s="47">
        <f>_xll.qlPolynomialFunctionValue(BG$1,$BD51,AllTriggers)</f>
        <v>2.4727884376276612E-4</v>
      </c>
      <c r="BH51" s="47">
        <f>_xll.qlPolynomialFunctionValue(BH$1,$BD51,AllTriggers)</f>
        <v>2.2344738833201047E-4</v>
      </c>
      <c r="BI51" s="47">
        <f>_xll.qlPolynomialFunctionValue(BI$1,$BD51,AllTriggers)</f>
        <v>2.7008589221879108E-4</v>
      </c>
      <c r="BJ51" s="47">
        <f>_xll.qlPolynomialFunctionValue(BJ$1,$BD51,AllTriggers)</f>
        <v>2.5465813838084709E-4</v>
      </c>
      <c r="BK51" s="47">
        <f>_xll.qlPolynomialFunctionValue(BK$1,$BD51,AllTriggers)</f>
        <v>2.4773453171739971E-4</v>
      </c>
      <c r="BL51" s="47">
        <f>_xll.qlPolynomialFunctionValue(BL$1,$BD51,AllTriggers)</f>
        <v>2.2138057529695631E-4</v>
      </c>
      <c r="BM51" s="47">
        <f>_xll.qlPolynomialFunctionValue(BM$1,$BD51,AllTriggers)</f>
        <v>2.7948808173645809E-4</v>
      </c>
      <c r="BN51" s="47">
        <f>_xll.qlPolynomialFunctionValue(BN$1,$BD51,AllTriggers)</f>
        <v>2.4069184778839555E-4</v>
      </c>
      <c r="BO51" s="47">
        <f>_xll.qlPolynomialFunctionValue(BO$1,$BD51,AllTriggers)</f>
        <v>2.6359009679341797E-4</v>
      </c>
      <c r="BP51" s="47">
        <f>_xll.qlPolynomialFunctionValue(BP$1,$BD51,AllTriggers)</f>
        <v>2.2344738833201042E-4</v>
      </c>
      <c r="BQ51" s="47">
        <f>_xll.qlPolynomialFunctionValue('1MSynthDepo_used'!$P$18,BD51,AllTriggers)</f>
        <v>2.371227042062321E-4</v>
      </c>
    </row>
    <row r="52" spans="3:69" x14ac:dyDescent="0.2">
      <c r="BC52" s="178">
        <f>_xll.qlCalendarAdvance(Calendar,BC51,"1d","mf",,Trigger)</f>
        <v>42345</v>
      </c>
      <c r="BD52" s="41">
        <f>_xll.qlDayCounterYearFraction(DayCounter,SettlementDate,BC52,,,Trigger)</f>
        <v>0.18333333333333332</v>
      </c>
      <c r="BE52" s="47">
        <f>_xll.qlPolynomialFunctionValue(BE$1,$BD52,AllTriggers)</f>
        <v>2.7005688247643559E-4</v>
      </c>
      <c r="BF52" s="47">
        <f>_xll.qlPolynomialFunctionValue(BF$1,$BD52,AllTriggers)</f>
        <v>2.4958646484529474E-4</v>
      </c>
      <c r="BG52" s="47">
        <f>_xll.qlPolynomialFunctionValue(BG$1,$BD52,AllTriggers)</f>
        <v>2.4314137572745761E-4</v>
      </c>
      <c r="BH52" s="47">
        <f>_xll.qlPolynomialFunctionValue(BH$1,$BD52,AllTriggers)</f>
        <v>2.2072642948025813E-4</v>
      </c>
      <c r="BI52" s="47">
        <f>_xll.qlPolynomialFunctionValue(BI$1,$BD52,AllTriggers)</f>
        <v>2.7008945923454275E-4</v>
      </c>
      <c r="BJ52" s="47">
        <f>_xll.qlPolynomialFunctionValue(BJ$1,$BD52,AllTriggers)</f>
        <v>2.5040263826726613E-4</v>
      </c>
      <c r="BK52" s="47">
        <f>_xll.qlPolynomialFunctionValue(BK$1,$BD52,AllTriggers)</f>
        <v>2.4379374099761176E-4</v>
      </c>
      <c r="BL52" s="47">
        <f>_xll.qlPolynomialFunctionValue(BL$1,$BD52,AllTriggers)</f>
        <v>2.1863769168718842E-4</v>
      </c>
      <c r="BM52" s="47">
        <f>_xll.qlPolynomialFunctionValue(BM$1,$BD52,AllTriggers)</f>
        <v>2.8136478533989867E-4</v>
      </c>
      <c r="BN52" s="47">
        <f>_xll.qlPolynomialFunctionValue(BN$1,$BD52,AllTriggers)</f>
        <v>2.4290739367679263E-4</v>
      </c>
      <c r="BO52" s="47">
        <f>_xll.qlPolynomialFunctionValue(BO$1,$BD52,AllTriggers)</f>
        <v>2.6736111507594902E-4</v>
      </c>
      <c r="BP52" s="47">
        <f>_xll.qlPolynomialFunctionValue(BP$1,$BD52,AllTriggers)</f>
        <v>2.2072642948025819E-4</v>
      </c>
      <c r="BQ52" s="47">
        <f>_xll.qlPolynomialFunctionValue('1MSynthDepo_used'!$P$18,BD52,AllTriggers)</f>
        <v>2.3212473126353334E-4</v>
      </c>
    </row>
    <row r="53" spans="3:69" x14ac:dyDescent="0.2">
      <c r="BC53" s="178">
        <f>_xll.qlCalendarAdvance(Calendar,BC52,"1d","mf",,Trigger)</f>
        <v>42346</v>
      </c>
      <c r="BD53" s="41">
        <f>_xll.qlDayCounterYearFraction(DayCounter,SettlementDate,BC53,,,Trigger)</f>
        <v>0.18611111111111112</v>
      </c>
      <c r="BE53" s="47">
        <f>_xll.qlPolynomialFunctionValue(BE$1,$BD53,AllTriggers)</f>
        <v>2.7005800886204954E-4</v>
      </c>
      <c r="BF53" s="47">
        <f>_xll.qlPolynomialFunctionValue(BF$1,$BD53,AllTriggers)</f>
        <v>2.4798103303067545E-4</v>
      </c>
      <c r="BG53" s="47">
        <f>_xll.qlPolynomialFunctionValue(BG$1,$BD53,AllTriggers)</f>
        <v>2.417622197156881E-4</v>
      </c>
      <c r="BH53" s="47">
        <f>_xll.qlPolynomialFunctionValue(BH$1,$BD53,AllTriggers)</f>
        <v>2.2013422301490876E-4</v>
      </c>
      <c r="BI53" s="47">
        <f>_xll.qlPolynomialFunctionValue(BI$1,$BD53,AllTriggers)</f>
        <v>2.7009064823979334E-4</v>
      </c>
      <c r="BJ53" s="47">
        <f>_xll.qlPolynomialFunctionValue(BJ$1,$BD53,AllTriggers)</f>
        <v>2.4890021572439427E-4</v>
      </c>
      <c r="BK53" s="47">
        <f>_xll.qlPolynomialFunctionValue(BK$1,$BD53,AllTriggers)</f>
        <v>2.4248014409101575E-4</v>
      </c>
      <c r="BL53" s="47">
        <f>_xll.qlPolynomialFunctionValue(BL$1,$BD53,AllTriggers)</f>
        <v>2.1804283904660449E-4</v>
      </c>
      <c r="BM53" s="47">
        <f>_xll.qlPolynomialFunctionValue(BM$1,$BD53,AllTriggers)</f>
        <v>2.8199035320771219E-4</v>
      </c>
      <c r="BN53" s="47">
        <f>_xll.qlPolynomialFunctionValue(BN$1,$BD53,AllTriggers)</f>
        <v>2.437655068665048E-4</v>
      </c>
      <c r="BO53" s="47">
        <f>_xll.qlPolynomialFunctionValue(BO$1,$BD53,AllTriggers)</f>
        <v>2.6861812117012611E-4</v>
      </c>
      <c r="BP53" s="47">
        <f>_xll.qlPolynomialFunctionValue(BP$1,$BD53,AllTriggers)</f>
        <v>2.2013422301490876E-4</v>
      </c>
      <c r="BQ53" s="47">
        <f>_xll.qlPolynomialFunctionValue('1MSynthDepo_used'!$P$18,BD53,AllTriggers)</f>
        <v>2.3062975253106626E-4</v>
      </c>
    </row>
    <row r="54" spans="3:69" x14ac:dyDescent="0.2">
      <c r="BC54" s="178">
        <f>_xll.qlCalendarAdvance(Calendar,BC53,"1d","mf",,Trigger)</f>
        <v>42347</v>
      </c>
      <c r="BD54" s="41">
        <f>_xll.qlDayCounterYearFraction(DayCounter,SettlementDate,BC54,,,Trigger)</f>
        <v>0.18888888888888888</v>
      </c>
      <c r="BE54" s="47">
        <f>_xll.qlPolynomialFunctionValue(BE$1,$BD54,AllTriggers)</f>
        <v>2.7005913524766356E-4</v>
      </c>
      <c r="BF54" s="47">
        <f>_xll.qlPolynomialFunctionValue(BF$1,$BD54,AllTriggers)</f>
        <v>2.463303460554863E-4</v>
      </c>
      <c r="BG54" s="47">
        <f>_xll.qlPolynomialFunctionValue(BG$1,$BD54,AllTriggers)</f>
        <v>2.403830637039186E-4</v>
      </c>
      <c r="BH54" s="47">
        <f>_xll.qlPolynomialFunctionValue(BH$1,$BD54,AllTriggers)</f>
        <v>2.1969940645884348E-4</v>
      </c>
      <c r="BI54" s="47">
        <f>_xll.qlPolynomialFunctionValue(BI$1,$BD54,AllTriggers)</f>
        <v>2.7009183724504388E-4</v>
      </c>
      <c r="BJ54" s="47">
        <f>_xll.qlPolynomialFunctionValue(BJ$1,$BD54,AllTriggers)</f>
        <v>2.4735583192901677E-4</v>
      </c>
      <c r="BK54" s="47">
        <f>_xll.qlPolynomialFunctionValue(BK$1,$BD54,AllTriggers)</f>
        <v>2.4116654718441975E-4</v>
      </c>
      <c r="BL54" s="47">
        <f>_xll.qlPolynomialFunctionValue(BL$1,$BD54,AllTriggers)</f>
        <v>2.1760770735402337E-4</v>
      </c>
      <c r="BM54" s="47">
        <f>_xll.qlPolynomialFunctionValue(BM$1,$BD54,AllTriggers)</f>
        <v>2.826159210755257E-4</v>
      </c>
      <c r="BN54" s="47">
        <f>_xll.qlPolynomialFunctionValue(BN$1,$BD54,AllTriggers)</f>
        <v>2.4468341900300687E-4</v>
      </c>
      <c r="BO54" s="47">
        <f>_xll.qlPolynomialFunctionValue(BO$1,$BD54,AllTriggers)</f>
        <v>2.6987512726430309E-4</v>
      </c>
      <c r="BP54" s="47">
        <f>_xll.qlPolynomialFunctionValue(BP$1,$BD54,AllTriggers)</f>
        <v>2.1969940645884337E-4</v>
      </c>
      <c r="BQ54" s="47">
        <f>_xll.qlPolynomialFunctionValue('1MSynthDepo_used'!$P$18,BD54,AllTriggers)</f>
        <v>2.2923151430732642E-4</v>
      </c>
    </row>
    <row r="55" spans="3:69" x14ac:dyDescent="0.2">
      <c r="BC55" s="178">
        <f>_xll.qlCalendarAdvance(Calendar,BC54,"1d","mf",,Trigger)</f>
        <v>42348</v>
      </c>
      <c r="BD55" s="41">
        <f>_xll.qlDayCounterYearFraction(DayCounter,SettlementDate,BC55,,,Trigger)</f>
        <v>0.19166666666666668</v>
      </c>
      <c r="BE55" s="47">
        <f>_xll.qlPolynomialFunctionValue(BE$1,$BD55,AllTriggers)</f>
        <v>2.7006026163327752E-4</v>
      </c>
      <c r="BF55" s="47">
        <f>_xll.qlPolynomialFunctionValue(BF$1,$BD55,AllTriggers)</f>
        <v>2.4463440391972712E-4</v>
      </c>
      <c r="BG55" s="47">
        <f>_xll.qlPolynomialFunctionValue(BG$1,$BD55,AllTriggers)</f>
        <v>2.3900390769214909E-4</v>
      </c>
      <c r="BH55" s="47">
        <f>_xll.qlPolynomialFunctionValue(BH$1,$BD55,AllTriggers)</f>
        <v>2.1942197981206213E-4</v>
      </c>
      <c r="BI55" s="47">
        <f>_xll.qlPolynomialFunctionValue(BI$1,$BD55,AllTriggers)</f>
        <v>2.7009302625029448E-4</v>
      </c>
      <c r="BJ55" s="47">
        <f>_xll.qlPolynomialFunctionValue(BJ$1,$BD55,AllTriggers)</f>
        <v>2.4576948688113346E-4</v>
      </c>
      <c r="BK55" s="47">
        <f>_xll.qlPolynomialFunctionValue(BK$1,$BD55,AllTriggers)</f>
        <v>2.3985295027782375E-4</v>
      </c>
      <c r="BL55" s="47">
        <f>_xll.qlPolynomialFunctionValue(BL$1,$BD55,AllTriggers)</f>
        <v>2.1733229660944484E-4</v>
      </c>
      <c r="BM55" s="47">
        <f>_xll.qlPolynomialFunctionValue(BM$1,$BD55,AllTriggers)</f>
        <v>2.8324148894333921E-4</v>
      </c>
      <c r="BN55" s="47">
        <f>_xll.qlPolynomialFunctionValue(BN$1,$BD55,AllTriggers)</f>
        <v>2.4566113008629882E-4</v>
      </c>
      <c r="BO55" s="47">
        <f>_xll.qlPolynomialFunctionValue(BO$1,$BD55,AllTriggers)</f>
        <v>2.7113213335848018E-4</v>
      </c>
      <c r="BP55" s="47">
        <f>_xll.qlPolynomialFunctionValue(BP$1,$BD55,AllTriggers)</f>
        <v>2.1942197981206202E-4</v>
      </c>
      <c r="BQ55" s="47">
        <f>_xll.qlPolynomialFunctionValue('1MSynthDepo_used'!$P$18,BD55,AllTriggers)</f>
        <v>2.2793675722302038E-4</v>
      </c>
    </row>
    <row r="56" spans="3:69" x14ac:dyDescent="0.2">
      <c r="BC56" s="178">
        <f>_xll.qlCalendarAdvance(Calendar,BC55,"1d","mf",,Trigger)</f>
        <v>42349</v>
      </c>
      <c r="BD56" s="41">
        <f>_xll.qlDayCounterYearFraction(DayCounter,SettlementDate,BC56,,,Trigger)</f>
        <v>0.19444444444444445</v>
      </c>
      <c r="BE56" s="47">
        <f>_xll.qlPolynomialFunctionValue(BE$1,$BD56,AllTriggers)</f>
        <v>2.7006138801889153E-4</v>
      </c>
      <c r="BF56" s="47">
        <f>_xll.qlPolynomialFunctionValue(BF$1,$BD56,AllTriggers)</f>
        <v>2.4289320662339802E-4</v>
      </c>
      <c r="BG56" s="47">
        <f>_xll.qlPolynomialFunctionValue(BG$1,$BD56,AllTriggers)</f>
        <v>2.3762475168037959E-4</v>
      </c>
      <c r="BH56" s="47">
        <f>_xll.qlPolynomialFunctionValue(BH$1,$BD56,AllTriggers)</f>
        <v>2.1930194307456482E-4</v>
      </c>
      <c r="BI56" s="47">
        <f>_xll.qlPolynomialFunctionValue(BI$1,$BD56,AllTriggers)</f>
        <v>2.7009421525554502E-4</v>
      </c>
      <c r="BJ56" s="47">
        <f>_xll.qlPolynomialFunctionValue(BJ$1,$BD56,AllTriggers)</f>
        <v>2.4414118058074444E-4</v>
      </c>
      <c r="BK56" s="47">
        <f>_xll.qlPolynomialFunctionValue(BK$1,$BD56,AllTriggers)</f>
        <v>2.385393533712278E-4</v>
      </c>
      <c r="BL56" s="47">
        <f>_xll.qlPolynomialFunctionValue(BL$1,$BD56,AllTriggers)</f>
        <v>2.1721660681286894E-4</v>
      </c>
      <c r="BM56" s="47">
        <f>_xll.qlPolynomialFunctionValue(BM$1,$BD56,AllTriggers)</f>
        <v>2.8386705681115272E-4</v>
      </c>
      <c r="BN56" s="47">
        <f>_xll.qlPolynomialFunctionValue(BN$1,$BD56,AllTriggers)</f>
        <v>2.4669864011638064E-4</v>
      </c>
      <c r="BO56" s="47">
        <f>_xll.qlPolynomialFunctionValue(BO$1,$BD56,AllTriggers)</f>
        <v>2.7238913945265716E-4</v>
      </c>
      <c r="BP56" s="47">
        <f>_xll.qlPolynomialFunctionValue(BP$1,$BD56,AllTriggers)</f>
        <v>2.1930194307456482E-4</v>
      </c>
      <c r="BQ56" s="47">
        <f>_xll.qlPolynomialFunctionValue('1MSynthDepo_used'!$P$18,BD56,AllTriggers)</f>
        <v>2.2675222190885499E-4</v>
      </c>
    </row>
    <row r="57" spans="3:69" x14ac:dyDescent="0.2">
      <c r="BC57" s="178">
        <f>_xll.qlCalendarAdvance(Calendar,BC56,"1d","mf",,Trigger)</f>
        <v>42352</v>
      </c>
      <c r="BD57" s="41">
        <f>_xll.qlDayCounterYearFraction(DayCounter,SettlementDate,BC57,,,Trigger)</f>
        <v>0.20277777777777778</v>
      </c>
      <c r="BE57" s="47">
        <f>_xll.qlPolynomialFunctionValue(BE$1,$BD57,AllTriggers)</f>
        <v>2.7006476717573351E-4</v>
      </c>
      <c r="BF57" s="47">
        <f>_xll.qlPolynomialFunctionValue(BF$1,$BD57,AllTriggers)</f>
        <v>2.3739808377099106E-4</v>
      </c>
      <c r="BG57" s="47">
        <f>_xll.qlPolynomialFunctionValue(BG$1,$BD57,AllTriggers)</f>
        <v>2.3348728364507113E-4</v>
      </c>
      <c r="BH57" s="47">
        <f>_xll.qlPolynomialFunctionValue(BH$1,$BD57,AllTriggers)</f>
        <v>2.1988617231777716E-4</v>
      </c>
      <c r="BI57" s="47">
        <f>_xll.qlPolynomialFunctionValue(BI$1,$BD57,AllTriggers)</f>
        <v>2.7009778227129669E-4</v>
      </c>
      <c r="BJ57" s="47">
        <f>_xll.qlPolynomialFunctionValue(BJ$1,$BD57,AllTriggers)</f>
        <v>2.3900449416454291E-4</v>
      </c>
      <c r="BK57" s="47">
        <f>_xll.qlPolynomialFunctionValue(BK$1,$BD57,AllTriggers)</f>
        <v>2.3459856265143985E-4</v>
      </c>
      <c r="BL57" s="47">
        <f>_xll.qlPolynomialFunctionValue(BL$1,$BD57,AllTriggers)</f>
        <v>2.1782786311115766E-4</v>
      </c>
      <c r="BM57" s="47">
        <f>_xll.qlPolynomialFunctionValue(BM$1,$BD57,AllTriggers)</f>
        <v>2.857437604145933E-4</v>
      </c>
      <c r="BN57" s="47">
        <f>_xll.qlPolynomialFunctionValue(BN$1,$BD57,AllTriggers)</f>
        <v>2.501699638873655E-4</v>
      </c>
      <c r="BO57" s="47">
        <f>_xll.qlPolynomialFunctionValue(BO$1,$BD57,AllTriggers)</f>
        <v>2.7616015773518831E-4</v>
      </c>
      <c r="BP57" s="47">
        <f>_xll.qlPolynomialFunctionValue(BP$1,$BD57,AllTriggers)</f>
        <v>2.1988617231777699E-4</v>
      </c>
      <c r="BQ57" s="47">
        <f>_xll.qlPolynomialFunctionValue('1MSynthDepo_used'!$P$18,BD57,AllTriggers)</f>
        <v>2.2392735289426748E-4</v>
      </c>
    </row>
    <row r="58" spans="3:69" x14ac:dyDescent="0.2">
      <c r="BC58" s="178">
        <f>_xll.qlCalendarAdvance(Calendar,BC57,"1d","mf",,Trigger)</f>
        <v>42353</v>
      </c>
      <c r="BD58" s="41">
        <f>_xll.qlDayCounterYearFraction(DayCounter,SettlementDate,BC58,,,Trigger)</f>
        <v>0.20555555555555555</v>
      </c>
      <c r="BE58" s="47">
        <f>_xll.qlPolynomialFunctionValue(BE$1,$BD58,AllTriggers)</f>
        <v>2.7006589356134747E-4</v>
      </c>
      <c r="BF58" s="47">
        <f>_xll.qlPolynomialFunctionValue(BF$1,$BD58,AllTriggers)</f>
        <v>2.3547586583238215E-4</v>
      </c>
      <c r="BG58" s="47">
        <f>_xll.qlPolynomialFunctionValue(BG$1,$BD58,AllTriggers)</f>
        <v>2.3210812763330163E-4</v>
      </c>
      <c r="BH58" s="47">
        <f>_xll.qlPolynomialFunctionValue(BH$1,$BD58,AllTriggers)</f>
        <v>2.2039569521741588E-4</v>
      </c>
      <c r="BI58" s="47">
        <f>_xll.qlPolynomialFunctionValue(BI$1,$BD58,AllTriggers)</f>
        <v>2.7009897127654728E-4</v>
      </c>
      <c r="BJ58" s="47">
        <f>_xll.qlPolynomialFunctionValue(BJ$1,$BD58,AllTriggers)</f>
        <v>2.3720834285413092E-4</v>
      </c>
      <c r="BK58" s="47">
        <f>_xll.qlPolynomialFunctionValue(BK$1,$BD58,AllTriggers)</f>
        <v>2.3328496574484385E-4</v>
      </c>
      <c r="BL58" s="47">
        <f>_xll.qlPolynomialFunctionValue(BL$1,$BD58,AllTriggers)</f>
        <v>2.183510571065925E-4</v>
      </c>
      <c r="BM58" s="47">
        <f>_xll.qlPolynomialFunctionValue(BM$1,$BD58,AllTriggers)</f>
        <v>2.8636932828240681E-4</v>
      </c>
      <c r="BN58" s="47">
        <f>_xll.qlPolynomialFunctionValue(BN$1,$BD58,AllTriggers)</f>
        <v>2.5144666970460688E-4</v>
      </c>
      <c r="BO58" s="47">
        <f>_xll.qlPolynomialFunctionValue(BO$1,$BD58,AllTriggers)</f>
        <v>2.7741716382936529E-4</v>
      </c>
      <c r="BP58" s="47">
        <f>_xll.qlPolynomialFunctionValue(BP$1,$BD58,AllTriggers)</f>
        <v>2.2039569521741583E-4</v>
      </c>
      <c r="BQ58" s="47">
        <f>_xll.qlPolynomialFunctionValue('1MSynthDepo_used'!$P$18,BD58,AllTriggers)</f>
        <v>2.2325111096773012E-4</v>
      </c>
    </row>
    <row r="59" spans="3:69" x14ac:dyDescent="0.2">
      <c r="BC59" s="178">
        <f>_xll.qlCalendarAdvance(Calendar,BC58,"1d","mf",,Trigger)</f>
        <v>42354</v>
      </c>
      <c r="BD59" s="41">
        <f>_xll.qlDayCounterYearFraction(DayCounter,SettlementDate,BC59,,,Trigger)</f>
        <v>0.20833333333333334</v>
      </c>
      <c r="BE59" s="47">
        <f>_xll.qlPolynomialFunctionValue(BE$1,$BD59,AllTriggers)</f>
        <v>2.7006701994696148E-4</v>
      </c>
      <c r="BF59" s="47">
        <f>_xll.qlPolynomialFunctionValue(BF$1,$BD59,AllTriggers)</f>
        <v>2.3350839273320327E-4</v>
      </c>
      <c r="BG59" s="47">
        <f>_xll.qlPolynomialFunctionValue(BG$1,$BD59,AllTriggers)</f>
        <v>2.3072897162153212E-4</v>
      </c>
      <c r="BH59" s="47">
        <f>_xll.qlPolynomialFunctionValue(BH$1,$BD59,AllTriggers)</f>
        <v>2.210626080263387E-4</v>
      </c>
      <c r="BI59" s="47">
        <f>_xll.qlPolynomialFunctionValue(BI$1,$BD59,AllTriggers)</f>
        <v>2.7010016028179782E-4</v>
      </c>
      <c r="BJ59" s="47">
        <f>_xll.qlPolynomialFunctionValue(BJ$1,$BD59,AllTriggers)</f>
        <v>2.3537023029121315E-4</v>
      </c>
      <c r="BK59" s="47">
        <f>_xll.qlPolynomialFunctionValue(BK$1,$BD59,AllTriggers)</f>
        <v>2.3197136883824785E-4</v>
      </c>
      <c r="BL59" s="47">
        <f>_xll.qlPolynomialFunctionValue(BL$1,$BD59,AllTriggers)</f>
        <v>2.1903397205003008E-4</v>
      </c>
      <c r="BM59" s="47">
        <f>_xll.qlPolynomialFunctionValue(BM$1,$BD59,AllTriggers)</f>
        <v>2.8699489615022033E-4</v>
      </c>
      <c r="BN59" s="47">
        <f>_xll.qlPolynomialFunctionValue(BN$1,$BD59,AllTriggers)</f>
        <v>2.5278317446863824E-4</v>
      </c>
      <c r="BO59" s="47">
        <f>_xll.qlPolynomialFunctionValue(BO$1,$BD59,AllTriggers)</f>
        <v>2.7867416992354238E-4</v>
      </c>
      <c r="BP59" s="47">
        <f>_xll.qlPolynomialFunctionValue(BP$1,$BD59,AllTriggers)</f>
        <v>2.2106260802633865E-4</v>
      </c>
      <c r="BQ59" s="47">
        <f>_xll.qlPolynomialFunctionValue('1MSynthDepo_used'!$P$18,BD59,AllTriggers)</f>
        <v>2.2271879396486613E-4</v>
      </c>
    </row>
    <row r="60" spans="3:69" x14ac:dyDescent="0.2">
      <c r="BC60" s="178">
        <f>_xll.qlCalendarAdvance(Calendar,BC59,"1d","mf",,Trigger)</f>
        <v>42355</v>
      </c>
      <c r="BD60" s="41">
        <f>_xll.qlDayCounterYearFraction(DayCounter,SettlementDate,BC60,,,Trigger)</f>
        <v>0.21111111111111111</v>
      </c>
      <c r="BE60" s="47">
        <f>_xll.qlPolynomialFunctionValue(BE$1,$BD60,AllTriggers)</f>
        <v>2.7006814633257544E-4</v>
      </c>
      <c r="BF60" s="47">
        <f>_xll.qlPolynomialFunctionValue(BF$1,$BD60,AllTriggers)</f>
        <v>2.3149566447345452E-4</v>
      </c>
      <c r="BG60" s="47">
        <f>_xll.qlPolynomialFunctionValue(BG$1,$BD60,AllTriggers)</f>
        <v>2.2934981560976262E-4</v>
      </c>
      <c r="BH60" s="47">
        <f>_xll.qlPolynomialFunctionValue(BH$1,$BD60,AllTriggers)</f>
        <v>2.2188691074454545E-4</v>
      </c>
      <c r="BI60" s="47">
        <f>_xll.qlPolynomialFunctionValue(BI$1,$BD60,AllTriggers)</f>
        <v>2.7010134928704842E-4</v>
      </c>
      <c r="BJ60" s="47">
        <f>_xll.qlPolynomialFunctionValue(BJ$1,$BD60,AllTriggers)</f>
        <v>2.3349015647578967E-4</v>
      </c>
      <c r="BK60" s="47">
        <f>_xll.qlPolynomialFunctionValue(BK$1,$BD60,AllTriggers)</f>
        <v>2.306577719316519E-4</v>
      </c>
      <c r="BL60" s="47">
        <f>_xll.qlPolynomialFunctionValue(BL$1,$BD60,AllTriggers)</f>
        <v>2.1987660794147031E-4</v>
      </c>
      <c r="BM60" s="47">
        <f>_xll.qlPolynomialFunctionValue(BM$1,$BD60,AllTriggers)</f>
        <v>2.8762046401803384E-4</v>
      </c>
      <c r="BN60" s="47">
        <f>_xll.qlPolynomialFunctionValue(BN$1,$BD60,AllTriggers)</f>
        <v>2.541794781794594E-4</v>
      </c>
      <c r="BO60" s="47">
        <f>_xll.qlPolynomialFunctionValue(BO$1,$BD60,AllTriggers)</f>
        <v>2.7993117601771936E-4</v>
      </c>
      <c r="BP60" s="47">
        <f>_xll.qlPolynomialFunctionValue(BP$1,$BD60,AllTriggers)</f>
        <v>2.218869107445454E-4</v>
      </c>
      <c r="BQ60" s="47">
        <f>_xll.qlPolynomialFunctionValue('1MSynthDepo_used'!$P$18,BD60,AllTriggers)</f>
        <v>2.2233714251638234E-4</v>
      </c>
    </row>
    <row r="61" spans="3:69" x14ac:dyDescent="0.2">
      <c r="K61" s="55"/>
      <c r="L61" s="55"/>
      <c r="M61" s="55"/>
      <c r="N61" s="55"/>
      <c r="BC61" s="178">
        <f>_xll.qlCalendarAdvance(Calendar,BC60,"1d","mf",,Trigger)</f>
        <v>42356</v>
      </c>
      <c r="BD61" s="41">
        <f>_xll.qlDayCounterYearFraction(DayCounter,SettlementDate,BC61,,,Trigger)</f>
        <v>0.21388888888888888</v>
      </c>
      <c r="BE61" s="47">
        <f>_xll.qlPolynomialFunctionValue(BE$1,$BD61,AllTriggers)</f>
        <v>2.7006927271818945E-4</v>
      </c>
      <c r="BF61" s="47">
        <f>_xll.qlPolynomialFunctionValue(BF$1,$BD61,AllTriggers)</f>
        <v>2.2943768105313571E-4</v>
      </c>
      <c r="BG61" s="47">
        <f>_xll.qlPolynomialFunctionValue(BG$1,$BD61,AllTriggers)</f>
        <v>2.2797065959799311E-4</v>
      </c>
      <c r="BH61" s="47">
        <f>_xll.qlPolynomialFunctionValue(BH$1,$BD61,AllTriggers)</f>
        <v>2.2286860337203634E-4</v>
      </c>
      <c r="BI61" s="47">
        <f>_xll.qlPolynomialFunctionValue(BI$1,$BD61,AllTriggers)</f>
        <v>2.7010253829229896E-4</v>
      </c>
      <c r="BJ61" s="47">
        <f>_xll.qlPolynomialFunctionValue(BJ$1,$BD61,AllTriggers)</f>
        <v>2.3156812140786041E-4</v>
      </c>
      <c r="BK61" s="47">
        <f>_xll.qlPolynomialFunctionValue(BK$1,$BD61,AllTriggers)</f>
        <v>2.293441750250559E-4</v>
      </c>
      <c r="BL61" s="47">
        <f>_xll.qlPolynomialFunctionValue(BL$1,$BD61,AllTriggers)</f>
        <v>2.2087896478091329E-4</v>
      </c>
      <c r="BM61" s="47">
        <f>_xll.qlPolynomialFunctionValue(BM$1,$BD61,AllTriggers)</f>
        <v>2.8824603188584735E-4</v>
      </c>
      <c r="BN61" s="47">
        <f>_xll.qlPolynomialFunctionValue(BN$1,$BD61,AllTriggers)</f>
        <v>2.5563558083707054E-4</v>
      </c>
      <c r="BO61" s="47">
        <f>_xll.qlPolynomialFunctionValue(BO$1,$BD61,AllTriggers)</f>
        <v>2.811881821118964E-4</v>
      </c>
      <c r="BP61" s="47">
        <f>_xll.qlPolynomialFunctionValue(BP$1,$BD61,AllTriggers)</f>
        <v>2.2286860337203634E-4</v>
      </c>
      <c r="BQ61" s="47">
        <f>_xll.qlPolynomialFunctionValue('1MSynthDepo_used'!$P$18,BD61,AllTriggers)</f>
        <v>2.2211289725298535E-4</v>
      </c>
    </row>
    <row r="62" spans="3:69" x14ac:dyDescent="0.2">
      <c r="K62" s="55"/>
      <c r="L62" s="55"/>
      <c r="M62" s="55"/>
      <c r="N62" s="55"/>
      <c r="BC62" s="178">
        <f>_xll.qlCalendarAdvance(Calendar,BC61,"1d","mf",,Trigger)</f>
        <v>42359</v>
      </c>
      <c r="BD62" s="41">
        <f>_xll.qlDayCounterYearFraction(DayCounter,SettlementDate,BC62,,,Trigger)</f>
        <v>0.22222222222222221</v>
      </c>
      <c r="BE62" s="47">
        <f>_xll.qlPolynomialFunctionValue(BE$1,$BD62,AllTriggers)</f>
        <v>2.7007265187503138E-4</v>
      </c>
      <c r="BF62" s="47">
        <f>_xll.qlPolynomialFunctionValue(BF$1,$BD62,AllTriggers)</f>
        <v>2.2299219982875978E-4</v>
      </c>
      <c r="BG62" s="47">
        <f>_xll.qlPolynomialFunctionValue(BG$1,$BD62,AllTriggers)</f>
        <v>2.2383319156268466E-4</v>
      </c>
      <c r="BH62" s="47">
        <f>_xll.qlPolynomialFunctionValue(BH$1,$BD62,AllTriggers)</f>
        <v>2.2675802071021314E-4</v>
      </c>
      <c r="BI62" s="47">
        <f>_xll.qlPolynomialFunctionValue(BI$1,$BD62,AllTriggers)</f>
        <v>2.7010610530805068E-4</v>
      </c>
      <c r="BJ62" s="47">
        <f>_xll.qlPolynomialFunctionValue(BJ$1,$BD62,AllTriggers)</f>
        <v>2.2555024868903836E-4</v>
      </c>
      <c r="BK62" s="47">
        <f>_xll.qlPolynomialFunctionValue(BK$1,$BD62,AllTriggers)</f>
        <v>2.2540338430526794E-4</v>
      </c>
      <c r="BL62" s="47">
        <f>_xll.qlPolynomialFunctionValue(BL$1,$BD62,AllTriggers)</f>
        <v>2.248443609872584E-4</v>
      </c>
      <c r="BM62" s="47">
        <f>_xll.qlPolynomialFunctionValue(BM$1,$BD62,AllTriggers)</f>
        <v>2.9012273548928793E-4</v>
      </c>
      <c r="BN62" s="47">
        <f>_xll.qlPolynomialFunctionValue(BN$1,$BD62,AllTriggers)</f>
        <v>2.603626824906432E-4</v>
      </c>
      <c r="BO62" s="47">
        <f>_xll.qlPolynomialFunctionValue(BO$1,$BD62,AllTriggers)</f>
        <v>2.849592003944275E-4</v>
      </c>
      <c r="BP62" s="47">
        <f>_xll.qlPolynomialFunctionValue(BP$1,$BD62,AllTriggers)</f>
        <v>2.2675802071021303E-4</v>
      </c>
      <c r="BQ62" s="47">
        <f>_xll.qlPolynomialFunctionValue('1MSynthDepo_used'!$P$18,BD62,AllTriggers)</f>
        <v>2.2245200488038065E-4</v>
      </c>
    </row>
    <row r="63" spans="3:69" x14ac:dyDescent="0.2">
      <c r="C63" s="194"/>
      <c r="D63" s="194"/>
      <c r="E63" s="195"/>
      <c r="H63" s="35"/>
      <c r="K63" s="55"/>
      <c r="L63" s="55"/>
      <c r="M63" s="55"/>
      <c r="N63" s="55"/>
      <c r="P63" s="35"/>
      <c r="Q63" s="35"/>
      <c r="R63" s="34"/>
      <c r="S63" s="34"/>
      <c r="BC63" s="178">
        <f>_xll.qlCalendarAdvance(Calendar,BC62,"1d","mf",,Trigger)</f>
        <v>42360</v>
      </c>
      <c r="BD63" s="41">
        <f>_xll.qlDayCounterYearFraction(DayCounter,SettlementDate,BC63,,,Trigger)</f>
        <v>0.22500000000000001</v>
      </c>
      <c r="BE63" s="47">
        <f>_xll.qlPolynomialFunctionValue(BE$1,$BD63,AllTriggers)</f>
        <v>2.700737782606454E-4</v>
      </c>
      <c r="BF63" s="47">
        <f>_xll.qlPolynomialFunctionValue(BF$1,$BD63,AllTriggers)</f>
        <v>2.2075319576616128E-4</v>
      </c>
      <c r="BG63" s="47">
        <f>_xll.qlPolynomialFunctionValue(BG$1,$BD63,AllTriggers)</f>
        <v>2.2245403555091515E-4</v>
      </c>
      <c r="BH63" s="47">
        <f>_xll.qlPolynomialFunctionValue(BH$1,$BD63,AllTriggers)</f>
        <v>2.2836927297484007E-4</v>
      </c>
      <c r="BI63" s="47">
        <f>_xll.qlPolynomialFunctionValue(BI$1,$BD63,AllTriggers)</f>
        <v>2.7010729431330122E-4</v>
      </c>
      <c r="BJ63" s="47">
        <f>_xll.qlPolynomialFunctionValue(BJ$1,$BD63,AllTriggers)</f>
        <v>2.2346036861108616E-4</v>
      </c>
      <c r="BK63" s="47">
        <f>_xll.qlPolynomialFunctionValue(BK$1,$BD63,AllTriggers)</f>
        <v>2.2408978739867194E-4</v>
      </c>
      <c r="BL63" s="47">
        <f>_xll.qlPolynomialFunctionValue(BL$1,$BD63,AllTriggers)</f>
        <v>2.26485601618712E-4</v>
      </c>
      <c r="BM63" s="47">
        <f>_xll.qlPolynomialFunctionValue(BM$1,$BD63,AllTriggers)</f>
        <v>2.9074830335710144E-4</v>
      </c>
      <c r="BN63" s="47">
        <f>_xll.qlPolynomialFunctionValue(BN$1,$BD63,AllTriggers)</f>
        <v>2.6205798093541384E-4</v>
      </c>
      <c r="BO63" s="47">
        <f>_xll.qlPolynomialFunctionValue(BO$1,$BD63,AllTriggers)</f>
        <v>2.8621620648860453E-4</v>
      </c>
      <c r="BP63" s="47">
        <f>_xll.qlPolynomialFunctionValue(BP$1,$BD63,AllTriggers)</f>
        <v>2.2836927297484007E-4</v>
      </c>
      <c r="BQ63" s="47">
        <f>_xll.qlPolynomialFunctionValue('1MSynthDepo_used'!$P$18,BD63,AllTriggers)</f>
        <v>2.229247906643968E-4</v>
      </c>
    </row>
    <row r="64" spans="3:69" x14ac:dyDescent="0.2">
      <c r="C64" s="194"/>
      <c r="D64" s="194"/>
      <c r="E64" s="195"/>
      <c r="H64" s="35"/>
      <c r="K64" s="55"/>
      <c r="L64" s="55"/>
      <c r="M64" s="55"/>
      <c r="N64" s="55"/>
      <c r="P64" s="35"/>
      <c r="Q64" s="35"/>
      <c r="R64" s="35"/>
      <c r="S64" s="35"/>
      <c r="BC64" s="178">
        <f>_xll.qlCalendarAdvance(Calendar,BC63,"1d","mf",,Trigger)</f>
        <v>42361</v>
      </c>
      <c r="BD64" s="41">
        <f>_xll.qlDayCounterYearFraction(DayCounter,SettlementDate,BC64,,,Trigger)</f>
        <v>0.22777777777777777</v>
      </c>
      <c r="BE64" s="47">
        <f>_xll.qlPolynomialFunctionValue(BE$1,$BD64,AllTriggers)</f>
        <v>2.7007490464625941E-4</v>
      </c>
      <c r="BF64" s="47">
        <f>_xll.qlPolynomialFunctionValue(BF$1,$BD64,AllTriggers)</f>
        <v>2.1846893654299277E-4</v>
      </c>
      <c r="BG64" s="47">
        <f>_xll.qlPolynomialFunctionValue(BG$1,$BD64,AllTriggers)</f>
        <v>2.2107487953914565E-4</v>
      </c>
      <c r="BH64" s="47">
        <f>_xll.qlPolynomialFunctionValue(BH$1,$BD64,AllTriggers)</f>
        <v>2.3013791514875099E-4</v>
      </c>
      <c r="BI64" s="47">
        <f>_xll.qlPolynomialFunctionValue(BI$1,$BD64,AllTriggers)</f>
        <v>2.7010848331855176E-4</v>
      </c>
      <c r="BJ64" s="47">
        <f>_xll.qlPolynomialFunctionValue(BJ$1,$BD64,AllTriggers)</f>
        <v>2.2132852728062825E-4</v>
      </c>
      <c r="BK64" s="47">
        <f>_xll.qlPolynomialFunctionValue(BK$1,$BD64,AllTriggers)</f>
        <v>2.2277619049207597E-4</v>
      </c>
      <c r="BL64" s="47">
        <f>_xll.qlPolynomialFunctionValue(BL$1,$BD64,AllTriggers)</f>
        <v>2.282865631981684E-4</v>
      </c>
      <c r="BM64" s="47">
        <f>_xll.qlPolynomialFunctionValue(BM$1,$BD64,AllTriggers)</f>
        <v>2.9137387122491496E-4</v>
      </c>
      <c r="BN64" s="47">
        <f>_xll.qlPolynomialFunctionValue(BN$1,$BD64,AllTriggers)</f>
        <v>2.6381307832697436E-4</v>
      </c>
      <c r="BO64" s="47">
        <f>_xll.qlPolynomialFunctionValue(BO$1,$BD64,AllTriggers)</f>
        <v>2.8747321258278157E-4</v>
      </c>
      <c r="BP64" s="47">
        <f>_xll.qlPolynomialFunctionValue(BP$1,$BD64,AllTriggers)</f>
        <v>2.3013791514875099E-4</v>
      </c>
      <c r="BQ64" s="47">
        <f>_xll.qlPolynomialFunctionValue('1MSynthDepo_used'!$P$18,BD64,AllTriggers)</f>
        <v>2.2358868578703246E-4</v>
      </c>
    </row>
    <row r="65" spans="3:69" x14ac:dyDescent="0.2">
      <c r="C65" s="194"/>
      <c r="D65" s="194"/>
      <c r="E65" s="195"/>
      <c r="H65" s="35"/>
      <c r="K65" s="55"/>
      <c r="L65" s="55"/>
      <c r="M65" s="55"/>
      <c r="N65" s="55"/>
      <c r="P65" s="35"/>
      <c r="Q65" s="35"/>
      <c r="R65" s="35"/>
      <c r="S65" s="35"/>
      <c r="BC65" s="178">
        <f>_xll.qlCalendarAdvance(Calendar,BC64,"1d","mf",,Trigger)</f>
        <v>42362</v>
      </c>
      <c r="BD65" s="41">
        <f>_xll.qlDayCounterYearFraction(DayCounter,SettlementDate,BC65,,,Trigger)</f>
        <v>0.23055555555555557</v>
      </c>
      <c r="BE65" s="47">
        <f>_xll.qlPolynomialFunctionValue(BE$1,$BD65,AllTriggers)</f>
        <v>2.7007603103187337E-4</v>
      </c>
      <c r="BF65" s="47">
        <f>_xll.qlPolynomialFunctionValue(BF$1,$BD65,AllTriggers)</f>
        <v>2.1613942215925429E-4</v>
      </c>
      <c r="BG65" s="47">
        <f>_xll.qlPolynomialFunctionValue(BG$1,$BD65,AllTriggers)</f>
        <v>2.1969572352737614E-4</v>
      </c>
      <c r="BH65" s="47">
        <f>_xll.qlPolynomialFunctionValue(BH$1,$BD65,AllTriggers)</f>
        <v>2.3206394723194611E-4</v>
      </c>
      <c r="BI65" s="47">
        <f>_xll.qlPolynomialFunctionValue(BI$1,$BD65,AllTriggers)</f>
        <v>2.7010967232380236E-4</v>
      </c>
      <c r="BJ65" s="47">
        <f>_xll.qlPolynomialFunctionValue(BJ$1,$BD65,AllTriggers)</f>
        <v>2.1915472469766456E-4</v>
      </c>
      <c r="BK65" s="47">
        <f>_xll.qlPolynomialFunctionValue(BK$1,$BD65,AllTriggers)</f>
        <v>2.2146259358547999E-4</v>
      </c>
      <c r="BL65" s="47">
        <f>_xll.qlPolynomialFunctionValue(BL$1,$BD65,AllTriggers)</f>
        <v>2.3024724572562761E-4</v>
      </c>
      <c r="BM65" s="47">
        <f>_xll.qlPolynomialFunctionValue(BM$1,$BD65,AllTriggers)</f>
        <v>2.9199943909272847E-4</v>
      </c>
      <c r="BN65" s="47">
        <f>_xll.qlPolynomialFunctionValue(BN$1,$BD65,AllTriggers)</f>
        <v>2.6562797466532484E-4</v>
      </c>
      <c r="BO65" s="47">
        <f>_xll.qlPolynomialFunctionValue(BO$1,$BD65,AllTriggers)</f>
        <v>2.887302186769586E-4</v>
      </c>
      <c r="BP65" s="47">
        <f>_xll.qlPolynomialFunctionValue(BP$1,$BD65,AllTriggers)</f>
        <v>2.3206394723194589E-4</v>
      </c>
      <c r="BQ65" s="47">
        <f>_xll.qlPolynomialFunctionValue('1MSynthDepo_used'!$P$18,BD65,AllTriggers)</f>
        <v>2.2445043087899487E-4</v>
      </c>
    </row>
    <row r="66" spans="3:69" x14ac:dyDescent="0.2">
      <c r="C66" s="194"/>
      <c r="D66" s="194"/>
      <c r="E66" s="195"/>
      <c r="H66" s="35"/>
      <c r="K66" s="55"/>
      <c r="L66" s="55"/>
      <c r="M66" s="55"/>
      <c r="N66" s="55"/>
      <c r="P66" s="35"/>
      <c r="Q66" s="35"/>
      <c r="R66" s="35"/>
      <c r="S66" s="35"/>
      <c r="BC66" s="178">
        <f>_xll.qlCalendarAdvance(Calendar,BC65,"1d","mf",,Trigger)</f>
        <v>42366</v>
      </c>
      <c r="BD66" s="41">
        <f>_xll.qlDayCounterYearFraction(DayCounter,SettlementDate,BC66,,,Trigger)</f>
        <v>0.24166666666666667</v>
      </c>
      <c r="BE66" s="47">
        <f>_xll.qlPolynomialFunctionValue(BE$1,$BD66,AllTriggers)</f>
        <v>2.7008053657432931E-4</v>
      </c>
      <c r="BF66" s="47">
        <f>_xll.qlPolynomialFunctionValue(BF$1,$BD66,AllTriggers)</f>
        <v>2.06368813018601E-4</v>
      </c>
      <c r="BG66" s="47">
        <f>_xll.qlPolynomialFunctionValue(BG$1,$BD66,AllTriggers)</f>
        <v>2.1417909948029816E-4</v>
      </c>
      <c r="BH66" s="47">
        <f>_xll.qlPolynomialFunctionValue(BH$1,$BD66,AllTriggers)</f>
        <v>2.4134197465756619E-4</v>
      </c>
      <c r="BI66" s="47">
        <f>_xll.qlPolynomialFunctionValue(BI$1,$BD66,AllTriggers)</f>
        <v>2.7011442834480462E-4</v>
      </c>
      <c r="BJ66" s="47">
        <f>_xll.qlPolynomialFunctionValue(BJ$1,$BD66,AllTriggers)</f>
        <v>2.1003990184075252E-4</v>
      </c>
      <c r="BK66" s="47">
        <f>_xll.qlPolynomialFunctionValue(BK$1,$BD66,AllTriggers)</f>
        <v>2.1620820595909604E-4</v>
      </c>
      <c r="BL66" s="47">
        <f>_xll.qlPolynomialFunctionValue(BL$1,$BD66,AllTriggers)</f>
        <v>2.3968718531549064E-4</v>
      </c>
      <c r="BM66" s="47">
        <f>_xll.qlPolynomialFunctionValue(BM$1,$BD66,AllTriggers)</f>
        <v>2.9450171056398256E-4</v>
      </c>
      <c r="BN66" s="47">
        <f>_xll.qlPolynomialFunctionValue(BN$1,$BD66,AllTriggers)</f>
        <v>2.7348554948662559E-4</v>
      </c>
      <c r="BO66" s="47">
        <f>_xll.qlPolynomialFunctionValue(BO$1,$BD66,AllTriggers)</f>
        <v>2.9375824305366674E-4</v>
      </c>
      <c r="BP66" s="47">
        <f>_xll.qlPolynomialFunctionValue(BP$1,$BD66,AllTriggers)</f>
        <v>2.4134197465756609E-4</v>
      </c>
      <c r="BQ66" s="47">
        <f>_xll.qlPolynomialFunctionValue('1MSynthDepo_used'!$P$18,BD66,AllTriggers)</f>
        <v>2.3001072355423985E-4</v>
      </c>
    </row>
    <row r="67" spans="3:69" x14ac:dyDescent="0.2">
      <c r="C67" s="194"/>
      <c r="D67" s="194"/>
      <c r="E67" s="195"/>
      <c r="H67" s="35"/>
      <c r="K67" s="55"/>
      <c r="L67" s="55"/>
      <c r="M67" s="55"/>
      <c r="N67" s="55"/>
      <c r="P67" s="35"/>
      <c r="Q67" s="35"/>
      <c r="R67" s="35"/>
      <c r="S67" s="35"/>
      <c r="BC67" s="178">
        <f>_xll.qlCalendarAdvance(Calendar,BC66,"1d","mf",,Trigger)</f>
        <v>42367</v>
      </c>
      <c r="BD67" s="41">
        <f>_xll.qlDayCounterYearFraction(DayCounter,SettlementDate,BC67,,,Trigger)</f>
        <v>0.24444444444444444</v>
      </c>
      <c r="BE67" s="47">
        <f>_xll.qlPolynomialFunctionValue(BE$1,$BD67,AllTriggers)</f>
        <v>2.7008166295994332E-4</v>
      </c>
      <c r="BF67" s="47">
        <f>_xll.qlPolynomialFunctionValue(BF$1,$BD67,AllTriggers)</f>
        <v>2.0381302283201279E-4</v>
      </c>
      <c r="BG67" s="47">
        <f>_xll.qlPolynomialFunctionValue(BG$1,$BD67,AllTriggers)</f>
        <v>2.1279994346852868E-4</v>
      </c>
      <c r="BH67" s="47">
        <f>_xll.qlPolynomialFunctionValue(BH$1,$BD67,AllTriggers)</f>
        <v>2.4405495628718145E-4</v>
      </c>
      <c r="BI67" s="47">
        <f>_xll.qlPolynomialFunctionValue(BI$1,$BD67,AllTriggers)</f>
        <v>2.7011561735005516E-4</v>
      </c>
      <c r="BJ67" s="47">
        <f>_xll.qlPolynomialFunctionValue(BJ$1,$BD67,AllTriggers)</f>
        <v>2.0765629299526015E-4</v>
      </c>
      <c r="BK67" s="47">
        <f>_xll.qlPolynomialFunctionValue(BK$1,$BD67,AllTriggers)</f>
        <v>2.1489460905250006E-4</v>
      </c>
      <c r="BL67" s="47">
        <f>_xll.qlPolynomialFunctionValue(BL$1,$BD67,AllTriggers)</f>
        <v>2.4244647258296322E-4</v>
      </c>
      <c r="BM67" s="47">
        <f>_xll.qlPolynomialFunctionValue(BM$1,$BD67,AllTriggers)</f>
        <v>2.9512727843179607E-4</v>
      </c>
      <c r="BN67" s="47">
        <f>_xll.qlPolynomialFunctionValue(BN$1,$BD67,AllTriggers)</f>
        <v>2.7559944055892556E-4</v>
      </c>
      <c r="BO67" s="47">
        <f>_xll.qlPolynomialFunctionValue(BO$1,$BD67,AllTriggers)</f>
        <v>2.9501524914784377E-4</v>
      </c>
      <c r="BP67" s="47">
        <f>_xll.qlPolynomialFunctionValue(BP$1,$BD67,AllTriggers)</f>
        <v>2.4405495628718123E-4</v>
      </c>
      <c r="BQ67" s="47">
        <f>_xll.qlPolynomialFunctionValue('1MSynthDepo_used'!$P$18,BD67,AllTriggers)</f>
        <v>2.319628279534333E-4</v>
      </c>
    </row>
    <row r="68" spans="3:69" x14ac:dyDescent="0.2">
      <c r="C68" s="194"/>
      <c r="D68" s="194"/>
      <c r="E68" s="195"/>
      <c r="H68" s="35"/>
      <c r="K68" s="55"/>
      <c r="L68" s="55"/>
      <c r="M68" s="55"/>
      <c r="N68" s="55"/>
      <c r="P68" s="35"/>
      <c r="Q68" s="35"/>
      <c r="R68" s="35"/>
      <c r="S68" s="35"/>
      <c r="BC68" s="178">
        <f>_xll.qlCalendarAdvance(Calendar,BC67,"1d","mf",,Trigger)</f>
        <v>42368</v>
      </c>
      <c r="BD68" s="41">
        <f>_xll.qlDayCounterYearFraction(DayCounter,SettlementDate,BC68,,,Trigger)</f>
        <v>0.24722222222222223</v>
      </c>
      <c r="BE68" s="47">
        <f>_xll.qlPolynomialFunctionValue(BE$1,$BD68,AllTriggers)</f>
        <v>2.7008278934555728E-4</v>
      </c>
      <c r="BF68" s="47">
        <f>_xll.qlPolynomialFunctionValue(BF$1,$BD68,AllTriggers)</f>
        <v>2.0121197748485466E-4</v>
      </c>
      <c r="BG68" s="47">
        <f>_xll.qlPolynomialFunctionValue(BG$1,$BD68,AllTriggers)</f>
        <v>2.1142078745675917E-4</v>
      </c>
      <c r="BH68" s="47">
        <f>_xll.qlPolynomialFunctionValue(BH$1,$BD68,AllTriggers)</f>
        <v>2.4692532782608046E-4</v>
      </c>
      <c r="BI68" s="47">
        <f>_xll.qlPolynomialFunctionValue(BI$1,$BD68,AllTriggers)</f>
        <v>2.7011680635530576E-4</v>
      </c>
      <c r="BJ68" s="47">
        <f>_xll.qlPolynomialFunctionValue(BJ$1,$BD68,AllTriggers)</f>
        <v>2.05230722897262E-4</v>
      </c>
      <c r="BK68" s="47">
        <f>_xll.qlPolynomialFunctionValue(BK$1,$BD68,AllTriggers)</f>
        <v>2.1358101214590406E-4</v>
      </c>
      <c r="BL68" s="47">
        <f>_xll.qlPolynomialFunctionValue(BL$1,$BD68,AllTriggers)</f>
        <v>2.4536548079843838E-4</v>
      </c>
      <c r="BM68" s="47">
        <f>_xll.qlPolynomialFunctionValue(BM$1,$BD68,AllTriggers)</f>
        <v>2.9575284629960958E-4</v>
      </c>
      <c r="BN68" s="47">
        <f>_xll.qlPolynomialFunctionValue(BN$1,$BD68,AllTriggers)</f>
        <v>2.777731305780154E-4</v>
      </c>
      <c r="BO68" s="47">
        <f>_xll.qlPolynomialFunctionValue(BO$1,$BD68,AllTriggers)</f>
        <v>2.9627225524202081E-4</v>
      </c>
      <c r="BP68" s="47">
        <f>_xll.qlPolynomialFunctionValue(BP$1,$BD68,AllTriggers)</f>
        <v>2.4692532782608035E-4</v>
      </c>
      <c r="BQ68" s="47">
        <f>_xll.qlPolynomialFunctionValue('1MSynthDepo_used'!$P$18,BD68,AllTriggers)</f>
        <v>2.3415322610619265E-4</v>
      </c>
    </row>
    <row r="69" spans="3:69" x14ac:dyDescent="0.2">
      <c r="C69" s="194"/>
      <c r="D69" s="194"/>
      <c r="E69" s="195"/>
      <c r="G69" s="196"/>
      <c r="H69" s="35"/>
      <c r="J69" s="196"/>
      <c r="K69" s="55"/>
      <c r="L69" s="55"/>
      <c r="M69" s="55"/>
      <c r="N69" s="55"/>
      <c r="P69" s="35"/>
      <c r="Q69" s="35"/>
      <c r="R69" s="35"/>
      <c r="S69" s="35"/>
      <c r="BC69" s="178">
        <f>_xll.qlCalendarAdvance(Calendar,BC68,"1d","mf",,Trigger)</f>
        <v>42369</v>
      </c>
      <c r="BD69" s="41">
        <f>_xll.qlDayCounterYearFraction(DayCounter,SettlementDate,BC69,,,Trigger)</f>
        <v>0.25</v>
      </c>
      <c r="BE69" s="47">
        <f>_xll.qlPolynomialFunctionValue(BE$1,$BD69,AllTriggers)</f>
        <v>2.7008391573117129E-4</v>
      </c>
      <c r="BF69" s="47">
        <f>_xll.qlPolynomialFunctionValue(BF$1,$BD69,AllTriggers)</f>
        <v>1.985656769771265E-4</v>
      </c>
      <c r="BG69" s="47">
        <f>_xll.qlPolynomialFunctionValue(BG$1,$BD69,AllTriggers)</f>
        <v>2.1004163144498967E-4</v>
      </c>
      <c r="BH69" s="47">
        <f>_xll.qlPolynomialFunctionValue(BH$1,$BD69,AllTriggers)</f>
        <v>2.4995308927426368E-4</v>
      </c>
      <c r="BI69" s="47">
        <f>_xll.qlPolynomialFunctionValue(BI$1,$BD69,AllTriggers)</f>
        <v>2.701179953605563E-4</v>
      </c>
      <c r="BJ69" s="47">
        <f>_xll.qlPolynomialFunctionValue(BJ$1,$BD69,AllTriggers)</f>
        <v>2.0276319154675817E-4</v>
      </c>
      <c r="BK69" s="47">
        <f>_xll.qlPolynomialFunctionValue(BK$1,$BD69,AllTriggers)</f>
        <v>2.1226741523930809E-4</v>
      </c>
      <c r="BL69" s="47">
        <f>_xll.qlPolynomialFunctionValue(BL$1,$BD69,AllTriggers)</f>
        <v>2.4844420996191635E-4</v>
      </c>
      <c r="BM69" s="47">
        <f>_xll.qlPolynomialFunctionValue(BM$1,$BD69,AllTriggers)</f>
        <v>2.963784141674231E-4</v>
      </c>
      <c r="BN69" s="47">
        <f>_xll.qlPolynomialFunctionValue(BN$1,$BD69,AllTriggers)</f>
        <v>2.800066195438951E-4</v>
      </c>
      <c r="BO69" s="47">
        <f>_xll.qlPolynomialFunctionValue(BO$1,$BD69,AllTriggers)</f>
        <v>2.9752926133619784E-4</v>
      </c>
      <c r="BP69" s="47">
        <f>_xll.qlPolynomialFunctionValue(BP$1,$BD69,AllTriggers)</f>
        <v>2.4995308927426357E-4</v>
      </c>
      <c r="BQ69" s="47">
        <f>_xll.qlPolynomialFunctionValue('1MSynthDepo_used'!$P$18,BD69,AllTriggers)</f>
        <v>2.3658865864322463E-4</v>
      </c>
    </row>
    <row r="70" spans="3:69" x14ac:dyDescent="0.2">
      <c r="C70" s="194"/>
      <c r="D70" s="194"/>
      <c r="E70" s="195"/>
      <c r="H70" s="35"/>
      <c r="K70" s="55"/>
      <c r="L70" s="55"/>
      <c r="M70" s="55"/>
      <c r="N70" s="55"/>
      <c r="P70" s="35"/>
      <c r="Q70" s="35"/>
      <c r="R70" s="35"/>
      <c r="S70" s="35"/>
      <c r="T70" s="35"/>
      <c r="BC70" s="178">
        <f>_xll.qlCalendarAdvance(Calendar,BC69,"1d","mf",,Trigger)</f>
        <v>42373</v>
      </c>
      <c r="BD70" s="41">
        <f>_xll.qlDayCounterYearFraction(DayCounter,SettlementDate,BC70,,,Trigger)</f>
        <v>0.26111111111111113</v>
      </c>
      <c r="BE70" s="47">
        <f>_xll.qlPolynomialFunctionValue(BE$1,$BD70,AllTriggers)</f>
        <v>2.7008842127362724E-4</v>
      </c>
      <c r="BF70" s="47">
        <f>_xll.qlPolynomialFunctionValue(BF$1,$BD70,AllTriggers)</f>
        <v>1.8752792334051461E-4</v>
      </c>
      <c r="BG70" s="47">
        <f>_xll.qlPolynomialFunctionValue(BG$1,$BD70,AllTriggers)</f>
        <v>2.0452500739791168E-4</v>
      </c>
      <c r="BH70" s="47">
        <f>_xll.qlPolynomialFunctionValue(BH$1,$BD70,AllTriggers)</f>
        <v>2.6363803415983659E-4</v>
      </c>
      <c r="BI70" s="47">
        <f>_xll.qlPolynomialFunctionValue(BI$1,$BD70,AllTriggers)</f>
        <v>2.7012275138155856E-4</v>
      </c>
      <c r="BJ70" s="47">
        <f>_xll.qlPolynomialFunctionValue(BJ$1,$BD70,AllTriggers)</f>
        <v>1.9247345361968532E-4</v>
      </c>
      <c r="BK70" s="47">
        <f>_xll.qlPolynomialFunctionValue(BK$1,$BD70,AllTriggers)</f>
        <v>2.0701302761292413E-4</v>
      </c>
      <c r="BL70" s="47">
        <f>_xll.qlPolynomialFunctionValue(BL$1,$BD70,AllTriggers)</f>
        <v>2.6235633609585475E-4</v>
      </c>
      <c r="BM70" s="47">
        <f>_xll.qlPolynomialFunctionValue(BM$1,$BD70,AllTriggers)</f>
        <v>2.9888068563867719E-4</v>
      </c>
      <c r="BN70" s="47">
        <f>_xll.qlPolynomialFunctionValue(BN$1,$BD70,AllTriggers)</f>
        <v>2.8953856487531291E-4</v>
      </c>
      <c r="BO70" s="47">
        <f>_xll.qlPolynomialFunctionValue(BO$1,$BD70,AllTriggers)</f>
        <v>3.0255728571290598E-4</v>
      </c>
      <c r="BP70" s="47">
        <f>_xll.qlPolynomialFunctionValue(BP$1,$BD70,AllTriggers)</f>
        <v>2.6363803415983659E-4</v>
      </c>
      <c r="BQ70" s="47">
        <f>_xll.qlPolynomialFunctionValue('1MSynthDepo_used'!$P$18,BD70,AllTriggers)</f>
        <v>2.4891554524821176E-4</v>
      </c>
    </row>
    <row r="71" spans="3:69" x14ac:dyDescent="0.2">
      <c r="C71" s="194"/>
      <c r="D71" s="194"/>
      <c r="K71" s="55"/>
      <c r="L71" s="55"/>
      <c r="M71" s="55"/>
      <c r="N71" s="55"/>
      <c r="S71" s="35"/>
      <c r="T71" s="35"/>
      <c r="BC71" s="178">
        <f>_xll.qlCalendarAdvance(Calendar,BC70,"1d","mf",,Trigger)</f>
        <v>42374</v>
      </c>
      <c r="BD71" s="41">
        <f>_xll.qlDayCounterYearFraction(DayCounter,SettlementDate,BC71,,,Trigger)</f>
        <v>0.2638888888888889</v>
      </c>
      <c r="BE71" s="47">
        <f>_xll.qlPolynomialFunctionValue(BE$1,$BD71,AllTriggers)</f>
        <v>2.7008954765924125E-4</v>
      </c>
      <c r="BF71" s="47">
        <f>_xll.qlPolynomialFunctionValue(BF$1,$BD71,AllTriggers)</f>
        <v>1.8465534702993673E-4</v>
      </c>
      <c r="BG71" s="47">
        <f>_xll.qlPolynomialFunctionValue(BG$1,$BD71,AllTriggers)</f>
        <v>2.0314585138614218E-4</v>
      </c>
      <c r="BH71" s="47">
        <f>_xll.qlPolynomialFunctionValue(BH$1,$BD71,AllTriggers)</f>
        <v>2.6745274515443983E-4</v>
      </c>
      <c r="BI71" s="47">
        <f>_xll.qlPolynomialFunctionValue(BI$1,$BD71,AllTriggers)</f>
        <v>2.701239403868091E-4</v>
      </c>
      <c r="BJ71" s="47">
        <f>_xll.qlPolynomialFunctionValue(BJ$1,$BD71,AllTriggers)</f>
        <v>1.8979611600665279E-4</v>
      </c>
      <c r="BK71" s="47">
        <f>_xll.qlPolynomialFunctionValue(BK$1,$BD71,AllTriggers)</f>
        <v>2.0569943070632816E-4</v>
      </c>
      <c r="BL71" s="47">
        <f>_xll.qlPolynomialFunctionValue(BL$1,$BD71,AllTriggers)</f>
        <v>2.6623366999934609E-4</v>
      </c>
      <c r="BM71" s="47">
        <f>_xll.qlPolynomialFunctionValue(BM$1,$BD71,AllTriggers)</f>
        <v>2.995062535064907E-4</v>
      </c>
      <c r="BN71" s="47">
        <f>_xll.qlPolynomialFunctionValue(BN$1,$BD71,AllTriggers)</f>
        <v>2.9207104857514209E-4</v>
      </c>
      <c r="BO71" s="47">
        <f>_xll.qlPolynomialFunctionValue(BO$1,$BD71,AllTriggers)</f>
        <v>3.0381429180708302E-4</v>
      </c>
      <c r="BP71" s="47">
        <f>_xll.qlPolynomialFunctionValue(BP$1,$BD71,AllTriggers)</f>
        <v>2.6745274515443973E-4</v>
      </c>
      <c r="BQ71" s="47">
        <f>_xll.qlPolynomialFunctionValue('1MSynthDepo_used'!$P$18,BD71,AllTriggers)</f>
        <v>2.5267725916720612E-4</v>
      </c>
    </row>
    <row r="72" spans="3:69" x14ac:dyDescent="0.2">
      <c r="C72" s="194"/>
      <c r="D72" s="194"/>
      <c r="K72" s="55"/>
      <c r="L72" s="55"/>
      <c r="M72" s="55"/>
      <c r="N72" s="55"/>
      <c r="S72" s="35"/>
      <c r="T72" s="35"/>
      <c r="BC72" s="178">
        <f>_xll.qlCalendarAdvance(Calendar,BC71,"1d","mf",,Trigger)</f>
        <v>42375</v>
      </c>
      <c r="BD72" s="41">
        <f>_xll.qlDayCounterYearFraction(DayCounter,SettlementDate,BC72,,,Trigger)</f>
        <v>0.26666666666666666</v>
      </c>
      <c r="BE72" s="47">
        <f>_xll.qlPolynomialFunctionValue(BE$1,$BD72,AllTriggers)</f>
        <v>2.7009067404485521E-4</v>
      </c>
      <c r="BF72" s="47">
        <f>_xll.qlPolynomialFunctionValue(BF$1,$BD72,AllTriggers)</f>
        <v>1.8173751555878898E-4</v>
      </c>
      <c r="BG72" s="47">
        <f>_xll.qlPolynomialFunctionValue(BG$1,$BD72,AllTriggers)</f>
        <v>2.017666953743727E-4</v>
      </c>
      <c r="BH72" s="47">
        <f>_xll.qlPolynomialFunctionValue(BH$1,$BD72,AllTriggers)</f>
        <v>2.7142484605832727E-4</v>
      </c>
      <c r="BI72" s="47">
        <f>_xll.qlPolynomialFunctionValue(BI$1,$BD72,AllTriggers)</f>
        <v>2.701251293920597E-4</v>
      </c>
      <c r="BJ72" s="47">
        <f>_xll.qlPolynomialFunctionValue(BJ$1,$BD72,AllTriggers)</f>
        <v>1.8707681714111451E-4</v>
      </c>
      <c r="BK72" s="47">
        <f>_xll.qlPolynomialFunctionValue(BK$1,$BD72,AllTriggers)</f>
        <v>2.0438583379973218E-4</v>
      </c>
      <c r="BL72" s="47">
        <f>_xll.qlPolynomialFunctionValue(BL$1,$BD72,AllTriggers)</f>
        <v>2.7027072485084024E-4</v>
      </c>
      <c r="BM72" s="47">
        <f>_xll.qlPolynomialFunctionValue(BM$1,$BD72,AllTriggers)</f>
        <v>3.0013182137430421E-4</v>
      </c>
      <c r="BN72" s="47">
        <f>_xll.qlPolynomialFunctionValue(BN$1,$BD72,AllTriggers)</f>
        <v>2.9466333122176119E-4</v>
      </c>
      <c r="BO72" s="47">
        <f>_xll.qlPolynomialFunctionValue(BO$1,$BD72,AllTriggers)</f>
        <v>3.0507129790126005E-4</v>
      </c>
      <c r="BP72" s="47">
        <f>_xll.qlPolynomialFunctionValue(BP$1,$BD72,AllTriggers)</f>
        <v>2.7142484605832706E-4</v>
      </c>
      <c r="BQ72" s="47">
        <f>_xll.qlPolynomialFunctionValue('1MSynthDepo_used'!$P$18,BD72,AllTriggers)</f>
        <v>2.5672445125471302E-4</v>
      </c>
    </row>
    <row r="73" spans="3:69" ht="11.25" customHeight="1" x14ac:dyDescent="0.2">
      <c r="C73" s="194"/>
      <c r="D73" s="194"/>
      <c r="K73" s="55"/>
      <c r="L73" s="55"/>
      <c r="M73" s="55"/>
      <c r="N73" s="55"/>
      <c r="S73" s="35"/>
      <c r="T73" s="35"/>
      <c r="BC73" s="182">
        <f>_xll.qlCalendarAdvance(Calendar,BC72,"1d","mf",,Trigger)</f>
        <v>42376</v>
      </c>
      <c r="BD73" s="44">
        <f>_xll.qlDayCounterYearFraction(DayCounter,SettlementDate,BC73,,,Trigger)</f>
        <v>0.26944444444444443</v>
      </c>
      <c r="BE73" s="50">
        <f>_xll.qlPolynomialFunctionValue(BE$1,$BD73,AllTriggers)</f>
        <v>2.7009180043046922E-4</v>
      </c>
      <c r="BF73" s="50">
        <f>_xll.qlPolynomialFunctionValue(BF$1,$BD73,AllTriggers)</f>
        <v>1.7877442892707125E-4</v>
      </c>
      <c r="BG73" s="50">
        <f>_xll.qlPolynomialFunctionValue(BG$1,$BD73,AllTriggers)</f>
        <v>2.003875393626032E-4</v>
      </c>
      <c r="BH73" s="50">
        <f>_xll.qlPolynomialFunctionValue(BH$1,$BD73,AllTriggers)</f>
        <v>2.7555433687149837E-4</v>
      </c>
      <c r="BI73" s="50">
        <f>_xll.qlPolynomialFunctionValue(BI$1,$BD73,AllTriggers)</f>
        <v>2.7012631839731023E-4</v>
      </c>
      <c r="BJ73" s="50">
        <f>_xll.qlPolynomialFunctionValue(BJ$1,$BD73,AllTriggers)</f>
        <v>1.8431555702307052E-4</v>
      </c>
      <c r="BK73" s="50">
        <f>_xll.qlPolynomialFunctionValue(BK$1,$BD73,AllTriggers)</f>
        <v>2.0307223689313621E-4</v>
      </c>
      <c r="BL73" s="50">
        <f>_xll.qlPolynomialFunctionValue(BL$1,$BD73,AllTriggers)</f>
        <v>2.7446750065033664E-4</v>
      </c>
      <c r="BM73" s="50">
        <f>_xll.qlPolynomialFunctionValue(BM$1,$BD73,AllTriggers)</f>
        <v>3.0075738924211773E-4</v>
      </c>
      <c r="BN73" s="50">
        <f>_xll.qlPolynomialFunctionValue(BN$1,$BD73,AllTriggers)</f>
        <v>2.973154128151701E-4</v>
      </c>
      <c r="BO73" s="50">
        <f>_xll.qlPolynomialFunctionValue(BO$1,$BD73,AllTriggers)</f>
        <v>3.0632830399543708E-4</v>
      </c>
      <c r="BP73" s="50">
        <f>_xll.qlPolynomialFunctionValue(BP$1,$BD73,AllTriggers)</f>
        <v>2.7555433687149816E-4</v>
      </c>
      <c r="BQ73" s="50">
        <f>_xll.qlPolynomialFunctionValue('1MSynthDepo_used'!$P$18,BD73,AllTriggers)</f>
        <v>2.6106386214143882E-4</v>
      </c>
    </row>
    <row r="74" spans="3:69" x14ac:dyDescent="0.2">
      <c r="C74" s="194"/>
      <c r="D74" s="194"/>
      <c r="K74" s="55"/>
      <c r="L74" s="55"/>
      <c r="M74" s="55"/>
      <c r="N74" s="55"/>
      <c r="S74" s="35"/>
      <c r="T74" s="35"/>
    </row>
    <row r="75" spans="3:69" x14ac:dyDescent="0.2">
      <c r="C75" s="194"/>
      <c r="D75" s="194"/>
      <c r="K75" s="55"/>
      <c r="L75" s="55"/>
      <c r="M75" s="55"/>
      <c r="N75" s="55"/>
      <c r="S75" s="35"/>
      <c r="T75" s="35"/>
    </row>
    <row r="76" spans="3:69" x14ac:dyDescent="0.2">
      <c r="C76" s="194"/>
      <c r="D76" s="194"/>
      <c r="K76" s="55"/>
      <c r="L76" s="55"/>
      <c r="M76" s="55"/>
      <c r="N76" s="55"/>
      <c r="S76" s="35"/>
    </row>
    <row r="77" spans="3:69" x14ac:dyDescent="0.2">
      <c r="K77" s="55"/>
      <c r="L77" s="55"/>
      <c r="M77" s="55"/>
      <c r="N77" s="55"/>
      <c r="S77" s="35"/>
    </row>
    <row r="78" spans="3:69" x14ac:dyDescent="0.2">
      <c r="K78" s="55"/>
      <c r="L78" s="55"/>
      <c r="M78" s="55"/>
      <c r="N78" s="55"/>
    </row>
    <row r="79" spans="3:69" x14ac:dyDescent="0.2">
      <c r="K79" s="55"/>
      <c r="L79" s="55"/>
      <c r="M79" s="55"/>
      <c r="N79" s="55"/>
    </row>
    <row r="80" spans="3:69" x14ac:dyDescent="0.2">
      <c r="K80" s="55"/>
      <c r="L80" s="55"/>
      <c r="M80" s="55"/>
      <c r="N80" s="55"/>
      <c r="R80" s="34"/>
    </row>
    <row r="81" spans="8:19" x14ac:dyDescent="0.2">
      <c r="K81" s="55"/>
      <c r="L81" s="55"/>
      <c r="M81" s="55"/>
      <c r="N81" s="55"/>
      <c r="R81" s="34"/>
    </row>
    <row r="82" spans="8:19" x14ac:dyDescent="0.2">
      <c r="K82" s="55"/>
      <c r="L82" s="55"/>
      <c r="M82" s="55"/>
      <c r="N82" s="55"/>
      <c r="R82" s="34"/>
    </row>
    <row r="83" spans="8:19" x14ac:dyDescent="0.2">
      <c r="K83" s="55"/>
      <c r="L83" s="55"/>
      <c r="M83" s="55"/>
      <c r="N83" s="55"/>
      <c r="R83" s="34"/>
    </row>
    <row r="84" spans="8:19" x14ac:dyDescent="0.2">
      <c r="H84" s="35"/>
      <c r="K84" s="55"/>
      <c r="L84" s="55"/>
      <c r="M84" s="55"/>
      <c r="N84" s="55"/>
      <c r="R84" s="34"/>
    </row>
    <row r="85" spans="8:19" x14ac:dyDescent="0.2">
      <c r="K85" s="55"/>
      <c r="L85" s="55"/>
      <c r="M85" s="55"/>
      <c r="N85" s="55"/>
      <c r="R85" s="34"/>
    </row>
    <row r="86" spans="8:19" x14ac:dyDescent="0.2">
      <c r="K86" s="55"/>
      <c r="L86" s="55"/>
      <c r="M86" s="55"/>
      <c r="N86" s="55"/>
      <c r="R86" s="34"/>
      <c r="S86" s="34"/>
    </row>
    <row r="87" spans="8:19" x14ac:dyDescent="0.2">
      <c r="K87" s="55"/>
      <c r="L87" s="55"/>
      <c r="M87" s="55"/>
      <c r="N87" s="55"/>
      <c r="R87" s="34"/>
      <c r="S87" s="34"/>
    </row>
    <row r="88" spans="8:19" x14ac:dyDescent="0.2">
      <c r="K88" s="55"/>
      <c r="L88" s="55"/>
      <c r="M88" s="55"/>
      <c r="N88" s="55"/>
      <c r="R88" s="34"/>
      <c r="S88" s="34"/>
    </row>
    <row r="89" spans="8:19" x14ac:dyDescent="0.2">
      <c r="K89" s="55"/>
      <c r="L89" s="55"/>
      <c r="M89" s="55"/>
      <c r="N89" s="55"/>
      <c r="R89" s="34"/>
      <c r="S89" s="34"/>
    </row>
    <row r="90" spans="8:19" x14ac:dyDescent="0.2">
      <c r="K90" s="55"/>
      <c r="L90" s="55"/>
      <c r="M90" s="55"/>
      <c r="N90" s="55"/>
      <c r="R90" s="34"/>
      <c r="S90" s="34"/>
    </row>
    <row r="91" spans="8:19" x14ac:dyDescent="0.2">
      <c r="K91" s="55"/>
      <c r="L91" s="55"/>
      <c r="M91" s="55"/>
      <c r="N91" s="55"/>
      <c r="R91" s="34"/>
      <c r="S91" s="34"/>
    </row>
    <row r="92" spans="8:19" x14ac:dyDescent="0.2">
      <c r="K92" s="55"/>
      <c r="L92" s="55"/>
      <c r="M92" s="55"/>
      <c r="N92" s="55"/>
      <c r="R92" s="34"/>
      <c r="S92" s="34"/>
    </row>
    <row r="93" spans="8:19" x14ac:dyDescent="0.2">
      <c r="K93" s="55"/>
      <c r="L93" s="55"/>
      <c r="M93" s="55"/>
      <c r="N93" s="55"/>
      <c r="R93" s="34"/>
      <c r="S93" s="34"/>
    </row>
    <row r="94" spans="8:19" x14ac:dyDescent="0.2">
      <c r="K94" s="55"/>
      <c r="L94" s="55"/>
      <c r="M94" s="55"/>
      <c r="N94" s="55"/>
      <c r="R94" s="34"/>
      <c r="S94" s="34"/>
    </row>
    <row r="95" spans="8:19" x14ac:dyDescent="0.2">
      <c r="K95" s="55"/>
      <c r="L95" s="55"/>
      <c r="M95" s="55"/>
      <c r="N95" s="55"/>
      <c r="R95" s="34"/>
      <c r="S95" s="34"/>
    </row>
    <row r="96" spans="8:19" x14ac:dyDescent="0.2">
      <c r="K96" s="55"/>
      <c r="L96" s="55"/>
      <c r="M96" s="55"/>
      <c r="N96" s="55"/>
      <c r="R96" s="34"/>
      <c r="S96" s="34"/>
    </row>
    <row r="97" spans="11:19" x14ac:dyDescent="0.2">
      <c r="K97" s="55"/>
      <c r="L97" s="55"/>
      <c r="M97" s="55"/>
      <c r="N97" s="55"/>
      <c r="R97" s="34"/>
      <c r="S97" s="34"/>
    </row>
    <row r="98" spans="11:19" x14ac:dyDescent="0.2">
      <c r="K98" s="55"/>
      <c r="L98" s="55"/>
      <c r="M98" s="55"/>
      <c r="N98" s="55"/>
      <c r="R98" s="34"/>
      <c r="S98" s="34"/>
    </row>
    <row r="99" spans="11:19" x14ac:dyDescent="0.2">
      <c r="K99" s="55"/>
      <c r="L99" s="55"/>
      <c r="M99" s="55"/>
      <c r="N99" s="55"/>
      <c r="R99" s="34"/>
      <c r="S99" s="34"/>
    </row>
    <row r="100" spans="11:19" x14ac:dyDescent="0.2">
      <c r="K100" s="55"/>
      <c r="L100" s="55"/>
      <c r="M100" s="55"/>
      <c r="N100" s="55"/>
      <c r="R100" s="34"/>
      <c r="S100" s="34"/>
    </row>
    <row r="101" spans="11:19" x14ac:dyDescent="0.2">
      <c r="K101" s="55"/>
      <c r="L101" s="55"/>
      <c r="M101" s="55"/>
      <c r="N101" s="55"/>
      <c r="R101" s="34"/>
      <c r="S101" s="34"/>
    </row>
    <row r="102" spans="11:19" x14ac:dyDescent="0.2">
      <c r="K102" s="55"/>
      <c r="L102" s="55"/>
      <c r="M102" s="55"/>
      <c r="N102" s="55"/>
      <c r="R102" s="34"/>
      <c r="S102" s="34"/>
    </row>
    <row r="103" spans="11:19" x14ac:dyDescent="0.2">
      <c r="K103" s="55"/>
      <c r="L103" s="55"/>
      <c r="M103" s="55"/>
      <c r="N103" s="55"/>
      <c r="R103" s="34"/>
      <c r="S103" s="34"/>
    </row>
    <row r="104" spans="11:19" x14ac:dyDescent="0.2">
      <c r="K104" s="55"/>
      <c r="L104" s="55"/>
      <c r="M104" s="55"/>
      <c r="N104" s="55"/>
      <c r="R104" s="34"/>
      <c r="S104" s="34"/>
    </row>
    <row r="105" spans="11:19" x14ac:dyDescent="0.2">
      <c r="R105" s="34"/>
      <c r="S105" s="34"/>
    </row>
    <row r="106" spans="11:19" x14ac:dyDescent="0.2">
      <c r="R106" s="34"/>
      <c r="S106" s="34"/>
    </row>
    <row r="107" spans="11:19" x14ac:dyDescent="0.2">
      <c r="R107" s="34"/>
      <c r="S107" s="34"/>
    </row>
    <row r="108" spans="11:19" x14ac:dyDescent="0.2">
      <c r="R108" s="34"/>
      <c r="S108" s="34"/>
    </row>
    <row r="109" spans="11:19" x14ac:dyDescent="0.2">
      <c r="R109" s="34"/>
      <c r="S109" s="34"/>
    </row>
    <row r="110" spans="11:19" x14ac:dyDescent="0.2">
      <c r="R110" s="34"/>
      <c r="S110" s="34"/>
    </row>
    <row r="111" spans="11:19" x14ac:dyDescent="0.2">
      <c r="R111" s="34"/>
      <c r="S111" s="34"/>
    </row>
    <row r="112" spans="11:19" x14ac:dyDescent="0.2">
      <c r="R112" s="34"/>
      <c r="S112" s="34"/>
    </row>
    <row r="113" spans="18:19" x14ac:dyDescent="0.2">
      <c r="R113" s="34"/>
      <c r="S113" s="34"/>
    </row>
    <row r="114" spans="18:19" x14ac:dyDescent="0.2">
      <c r="R114" s="34"/>
      <c r="S114" s="34"/>
    </row>
    <row r="115" spans="18:19" x14ac:dyDescent="0.2">
      <c r="R115" s="34"/>
      <c r="S115" s="34"/>
    </row>
    <row r="116" spans="18:19" x14ac:dyDescent="0.2">
      <c r="R116" s="34"/>
      <c r="S116" s="34"/>
    </row>
    <row r="117" spans="18:19" x14ac:dyDescent="0.2">
      <c r="R117" s="34"/>
      <c r="S117" s="34"/>
    </row>
    <row r="118" spans="18:19" x14ac:dyDescent="0.2">
      <c r="R118" s="34"/>
      <c r="S118" s="34"/>
    </row>
    <row r="119" spans="18:19" x14ac:dyDescent="0.2">
      <c r="R119" s="34"/>
      <c r="S119" s="34"/>
    </row>
    <row r="120" spans="18:19" x14ac:dyDescent="0.2">
      <c r="R120" s="34"/>
      <c r="S120" s="34"/>
    </row>
    <row r="121" spans="18:19" x14ac:dyDescent="0.2">
      <c r="R121" s="34"/>
      <c r="S121" s="34"/>
    </row>
    <row r="122" spans="18:19" x14ac:dyDescent="0.2">
      <c r="R122" s="34"/>
      <c r="S122" s="34"/>
    </row>
    <row r="123" spans="18:19" x14ac:dyDescent="0.2">
      <c r="R123" s="34"/>
      <c r="S123" s="34"/>
    </row>
    <row r="124" spans="18:19" x14ac:dyDescent="0.2">
      <c r="R124" s="34"/>
      <c r="S124" s="34"/>
    </row>
    <row r="125" spans="18:19" x14ac:dyDescent="0.2">
      <c r="R125" s="34"/>
      <c r="S125" s="34"/>
    </row>
    <row r="126" spans="18:19" x14ac:dyDescent="0.2">
      <c r="R126" s="34"/>
      <c r="S126" s="34"/>
    </row>
    <row r="127" spans="18:19" x14ac:dyDescent="0.2">
      <c r="R127" s="34"/>
      <c r="S127" s="34"/>
    </row>
    <row r="128" spans="18:19" x14ac:dyDescent="0.2">
      <c r="R128" s="34"/>
      <c r="S128" s="34"/>
    </row>
    <row r="129" spans="18:19" x14ac:dyDescent="0.2">
      <c r="R129" s="34"/>
      <c r="S129" s="34"/>
    </row>
    <row r="130" spans="18:19" x14ac:dyDescent="0.2">
      <c r="R130" s="34"/>
      <c r="S130" s="34"/>
    </row>
    <row r="131" spans="18:19" x14ac:dyDescent="0.2">
      <c r="R131" s="34"/>
      <c r="S131" s="34"/>
    </row>
    <row r="132" spans="18:19" x14ac:dyDescent="0.2">
      <c r="R132" s="34"/>
      <c r="S132" s="34"/>
    </row>
    <row r="133" spans="18:19" x14ac:dyDescent="0.2">
      <c r="R133" s="35"/>
      <c r="S133" s="34"/>
    </row>
    <row r="134" spans="18:19" x14ac:dyDescent="0.2">
      <c r="R134" s="35"/>
      <c r="S134" s="34"/>
    </row>
    <row r="135" spans="18:19" x14ac:dyDescent="0.2">
      <c r="R135" s="35"/>
      <c r="S135" s="34"/>
    </row>
    <row r="136" spans="18:19" x14ac:dyDescent="0.2">
      <c r="R136" s="35"/>
      <c r="S136" s="34"/>
    </row>
    <row r="137" spans="18:19" x14ac:dyDescent="0.2">
      <c r="R137" s="35"/>
      <c r="S137" s="34"/>
    </row>
    <row r="138" spans="18:19" x14ac:dyDescent="0.2">
      <c r="R138" s="35"/>
      <c r="S138" s="34"/>
    </row>
    <row r="139" spans="18:19" x14ac:dyDescent="0.2">
      <c r="R139" s="35"/>
      <c r="S139" s="35"/>
    </row>
    <row r="140" spans="18:19" x14ac:dyDescent="0.2">
      <c r="R140" s="35"/>
      <c r="S140" s="35"/>
    </row>
    <row r="141" spans="18:19" x14ac:dyDescent="0.2">
      <c r="R141" s="35"/>
      <c r="S141" s="35"/>
    </row>
    <row r="142" spans="18:19" x14ac:dyDescent="0.2">
      <c r="R142" s="35"/>
      <c r="S142" s="35"/>
    </row>
    <row r="143" spans="18:19" x14ac:dyDescent="0.2">
      <c r="R143" s="35"/>
      <c r="S143" s="35"/>
    </row>
    <row r="144" spans="18:19" x14ac:dyDescent="0.2">
      <c r="R144" s="35"/>
      <c r="S144" s="35"/>
    </row>
    <row r="145" spans="18:19" x14ac:dyDescent="0.2">
      <c r="R145" s="35"/>
      <c r="S145" s="35"/>
    </row>
    <row r="146" spans="18:19" x14ac:dyDescent="0.2">
      <c r="R146" s="35"/>
      <c r="S146" s="35"/>
    </row>
    <row r="147" spans="18:19" x14ac:dyDescent="0.2">
      <c r="R147" s="35"/>
      <c r="S147" s="35"/>
    </row>
    <row r="148" spans="18:19" x14ac:dyDescent="0.2">
      <c r="R148" s="35"/>
      <c r="S148" s="35"/>
    </row>
    <row r="149" spans="18:19" x14ac:dyDescent="0.2">
      <c r="S149" s="35"/>
    </row>
    <row r="150" spans="18:19" x14ac:dyDescent="0.2">
      <c r="S150" s="35"/>
    </row>
    <row r="151" spans="18:19" x14ac:dyDescent="0.2">
      <c r="S151" s="35"/>
    </row>
    <row r="152" spans="18:19" x14ac:dyDescent="0.2">
      <c r="S152" s="35"/>
    </row>
    <row r="153" spans="18:19" x14ac:dyDescent="0.2">
      <c r="S153" s="35"/>
    </row>
    <row r="154" spans="18:19" x14ac:dyDescent="0.2">
      <c r="S154" s="35"/>
    </row>
  </sheetData>
  <mergeCells count="16">
    <mergeCell ref="AH14:AH16"/>
    <mergeCell ref="AJ14:AJ16"/>
    <mergeCell ref="AT14:AT16"/>
    <mergeCell ref="AV14:AV16"/>
    <mergeCell ref="AH19:AH21"/>
    <mergeCell ref="AJ19:AJ21"/>
    <mergeCell ref="AT19:AT21"/>
    <mergeCell ref="AV19:AV21"/>
    <mergeCell ref="AH5:AH6"/>
    <mergeCell ref="AJ5:AJ6"/>
    <mergeCell ref="AT5:AT6"/>
    <mergeCell ref="AV5:AV6"/>
    <mergeCell ref="AH9:AH10"/>
    <mergeCell ref="AJ9:AJ10"/>
    <mergeCell ref="AT9:AT10"/>
    <mergeCell ref="AV9:AV10"/>
  </mergeCells>
  <dataValidations count="4">
    <dataValidation type="list" allowBlank="1" showInputMessage="1" showErrorMessage="1" sqref="D24:D25">
      <formula1>"FIXING,ESTIMATED"</formula1>
    </dataValidation>
    <dataValidation type="list" allowBlank="1" showInputMessage="1" showErrorMessage="1" sqref="T7:V9 T10:W10 S4:V6 S15:V17">
      <formula1>"TRUE,FALSE"</formula1>
    </dataValidation>
    <dataValidation type="list" allowBlank="1" showInputMessage="1" showErrorMessage="1" sqref="U3:V3 U14:V14">
      <formula1>"False"</formula1>
    </dataValidation>
    <dataValidation type="list" allowBlank="1" showInputMessage="1" showErrorMessage="1" sqref="S3:T3 S14:T14">
      <formula1>"TRUE"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33</vt:i4>
      </vt:variant>
    </vt:vector>
  </HeadingPairs>
  <TitlesOfParts>
    <vt:vector size="42" baseType="lpstr">
      <vt:lpstr>General Settings</vt:lpstr>
      <vt:lpstr>6MSynthDepo_used</vt:lpstr>
      <vt:lpstr>6MSynthDepo_allScenario</vt:lpstr>
      <vt:lpstr>3MSynthDepo_used</vt:lpstr>
      <vt:lpstr>3MSynthDepo_allScenario</vt:lpstr>
      <vt:lpstr>12MSynthDepo_used</vt:lpstr>
      <vt:lpstr>12MSynthDepo_allScenario</vt:lpstr>
      <vt:lpstr>1MSynthDepo_used</vt:lpstr>
      <vt:lpstr>1MSynthDepo_allScenario</vt:lpstr>
      <vt:lpstr>AllTriggers</vt:lpstr>
      <vt:lpstr>'12MSynthDepo_used'!Basis_coef</vt:lpstr>
      <vt:lpstr>'1MSynthDepo_used'!Basis_coef</vt:lpstr>
      <vt:lpstr>'3MSynthDepo_used'!Basis_coef</vt:lpstr>
      <vt:lpstr>'6MSynthDepo_used'!Basis_coef</vt:lpstr>
      <vt:lpstr>Calendar</vt:lpstr>
      <vt:lpstr>Currency</vt:lpstr>
      <vt:lpstr>DayCounter</vt:lpstr>
      <vt:lpstr>Discounting</vt:lpstr>
      <vt:lpstr>EvaluationDate</vt:lpstr>
      <vt:lpstr>IborType</vt:lpstr>
      <vt:lpstr>InterestRatesTrigger</vt:lpstr>
      <vt:lpstr>'12MSynthDepo_allScenario'!IsSimple</vt:lpstr>
      <vt:lpstr>'1MSynthDepo_allScenario'!IsSimple</vt:lpstr>
      <vt:lpstr>'3MSynthDepo_allScenario'!IsSimple</vt:lpstr>
      <vt:lpstr>'6MSynthDepo_allScenario'!IsSimple</vt:lpstr>
      <vt:lpstr>LastFixingsTrigger</vt:lpstr>
      <vt:lpstr>ObjectOverwrite</vt:lpstr>
      <vt:lpstr>OisCurve</vt:lpstr>
      <vt:lpstr>ON_12M_index</vt:lpstr>
      <vt:lpstr>ON_1M_index</vt:lpstr>
      <vt:lpstr>ON_3M_index</vt:lpstr>
      <vt:lpstr>ON_6M_index</vt:lpstr>
      <vt:lpstr>OvernightIndex</vt:lpstr>
      <vt:lpstr>Permanent</vt:lpstr>
      <vt:lpstr>QuoteSuffix</vt:lpstr>
      <vt:lpstr>SettlementDate</vt:lpstr>
      <vt:lpstr>'12MSynthDepo_used'!TenorBasis6M</vt:lpstr>
      <vt:lpstr>'1MSynthDepo_used'!TenorBasis6M</vt:lpstr>
      <vt:lpstr>'3MSynthDepo_used'!TenorBasis6M</vt:lpstr>
      <vt:lpstr>TenorBasis6M</vt:lpstr>
      <vt:lpstr>Trigger</vt:lpstr>
      <vt:lpstr>TriggerCounter</vt:lpstr>
    </vt:vector>
  </TitlesOfParts>
  <Company>Banca Caboto s.p.a.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Mazzocchi</dc:creator>
  <cp:lastModifiedBy>Mazzocchi, Paolo (IT - Milano)</cp:lastModifiedBy>
  <cp:lastPrinted>2014-03-18T13:51:31Z</cp:lastPrinted>
  <dcterms:created xsi:type="dcterms:W3CDTF">2007-10-30T15:41:10Z</dcterms:created>
  <dcterms:modified xsi:type="dcterms:W3CDTF">2015-11-29T20:36:39Z</dcterms:modified>
</cp:coreProperties>
</file>