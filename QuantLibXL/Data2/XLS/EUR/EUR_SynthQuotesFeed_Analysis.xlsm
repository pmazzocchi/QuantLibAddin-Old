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240" windowHeight="13350"/>
  </bookViews>
  <sheets>
    <sheet name="General Settings" sheetId="29" r:id="rId1"/>
    <sheet name="6MSynthDepo_used" sheetId="40" r:id="rId2"/>
    <sheet name="6MSynthDepo_allScenario" sheetId="39" r:id="rId3"/>
    <sheet name="3MSynthDepo_used" sheetId="53" r:id="rId4"/>
    <sheet name="3MSynthDepo_allScenario" sheetId="54" r:id="rId5"/>
    <sheet name="1MSynthDepo" sheetId="48" r:id="rId6"/>
    <sheet name="1YSynthDepo" sheetId="49" r:id="rId7"/>
    <sheet name="SynthFra" sheetId="35" r:id="rId8"/>
    <sheet name="Delta 1M" sheetId="45" r:id="rId9"/>
    <sheet name="1Y Delta" sheetId="47" r:id="rId10"/>
  </sheets>
  <externalReferences>
    <externalReference r:id="rId11"/>
    <externalReference r:id="rId12"/>
  </externalReferences>
  <definedNames>
    <definedName name="Accuracy">'General Settings'!$D$30</definedName>
    <definedName name="AllTriggers">'General Settings'!$I$17:$I$21</definedName>
    <definedName name="B3Minterpolation">#REF!</definedName>
    <definedName name="Basis_coef" localSheetId="3">'3MSynthDepo_used'!$P$6:$P$10</definedName>
    <definedName name="Basis_coef" localSheetId="1">'6MSynthDepo_used'!$P$6:$P$10</definedName>
    <definedName name="BasisInterpolation">'General Settings'!$D$40</definedName>
    <definedName name="BasisInterpolator">'General Settings'!$D$41</definedName>
    <definedName name="Calendar">'General Settings'!$D$5</definedName>
    <definedName name="Conventions" localSheetId="9">'1Y Delta'!$S$3:$S$4</definedName>
    <definedName name="Conventions" localSheetId="8">'Delta 1M'!$S$3:$S$4</definedName>
    <definedName name="Currency">'General Settings'!$D$4</definedName>
    <definedName name="DayCounter">'General Settings'!$D$9</definedName>
    <definedName name="Delta1M">'Delta 1M'!$W$26:$W$29</definedName>
    <definedName name="Delta1Y">'1Y Delta'!$W$31:$W$36</definedName>
    <definedName name="Discounting">'General Settings'!$D$8</definedName>
    <definedName name="EvaluationDate">'General Settings'!$I$18</definedName>
    <definedName name="FileOverwrite">'General Settings'!$I$8</definedName>
    <definedName name="GENERAL_SETTINGS">'General Settings'!$B$2</definedName>
    <definedName name="iborindex1M">'General Settings'!$I$28</definedName>
    <definedName name="IborIndex1Y">'General Settings'!$D$28</definedName>
    <definedName name="IborTenor">'General Settings'!$D$26</definedName>
    <definedName name="IborTenor1M">'General Settings'!$I$26</definedName>
    <definedName name="IborType">'General Settings'!$D$6</definedName>
    <definedName name="InterestRatesTrigger">'General Settings'!$I$19</definedName>
    <definedName name="interpolatedbasis3M">#REF!</definedName>
    <definedName name="interpolator3M" localSheetId="5">'1MSynthDepo'!$D$11</definedName>
    <definedName name="interpolator3M" localSheetId="6">'1YSynthDepo'!$D$11</definedName>
    <definedName name="InterpolatorID">'General Settings'!$D$32</definedName>
    <definedName name="IsSimple" localSheetId="4">'3MSynthDepo_allScenario'!$G$24</definedName>
    <definedName name="IsSimple" localSheetId="2">'6MSynthDepo_allScenario'!$G$24</definedName>
    <definedName name="LastFixingsTrigger">'General Settings'!$I$20</definedName>
    <definedName name="LastUpdate">'General Settings'!$D$11</definedName>
    <definedName name="Linear_with" localSheetId="4">'3MSynthDepo_allScenario'!$Y$28:$Y$29</definedName>
    <definedName name="Linear_with" localSheetId="2">'6MSynthDepo_allScenario'!$Y$28:$Y$29</definedName>
    <definedName name="Linear_without" localSheetId="4">'3MSynthDepo_allScenario'!$AA$28:$AA$29</definedName>
    <definedName name="Linear_without" localSheetId="2">'6MSynthDepo_allScenario'!$AA$28:$AA$29</definedName>
    <definedName name="LiveDataFeed">'General Settings'!$D$12</definedName>
    <definedName name="NDays">'General Settings'!$D$27</definedName>
    <definedName name="ObjectOverwrite">'General Settings'!$I$5</definedName>
    <definedName name="OisCurve">'General Settings'!$D$8</definedName>
    <definedName name="OisEngine">'General Settings'!$D$18</definedName>
    <definedName name="ON_3M_index">'3MSynthDepo_allScenario'!$D$26</definedName>
    <definedName name="ON_6M_index">'6MSynthDepo_allScenario'!$D$26</definedName>
    <definedName name="OvernightIndex">'General Settings'!$D$7</definedName>
    <definedName name="Permanent">'General Settings'!$I$4</definedName>
    <definedName name="PriceTickValue">'General Settings'!$I$12</definedName>
    <definedName name="Quadratic_with" localSheetId="4">'3MSynthDepo_allScenario'!$Z$28:$Z$30</definedName>
    <definedName name="Quadratic_with" localSheetId="2">'6MSynthDepo_allScenario'!$Z$28:$Z$30</definedName>
    <definedName name="Quadratic_without" localSheetId="4">'3MSynthDepo_allScenario'!$AB$28:$AB$30</definedName>
    <definedName name="Quadratic_without" localSheetId="2">'6MSynthDepo_allScenario'!$AB$28:$AB$30</definedName>
    <definedName name="QuoteSuffix">'General Settings'!$I$10</definedName>
    <definedName name="RateTickValue">'General Settings'!$I$11</definedName>
    <definedName name="SerializationPath">'General Settings'!$I$7</definedName>
    <definedName name="Serialize">'General Settings'!$I$6</definedName>
    <definedName name="SettlementDate">'General Settings'!$D$17</definedName>
    <definedName name="solver_adj" localSheetId="4" hidden="1">'3MSynthDepo_allScenario'!$AB$28:$AB$30</definedName>
    <definedName name="solver_adj" localSheetId="3" hidden="1">'3MSynthDepo_used'!#REF!</definedName>
    <definedName name="solver_adj" localSheetId="2" hidden="1">'6MSynthDepo_allScenario'!$AB$28:$AB$30</definedName>
    <definedName name="solver_adj" localSheetId="1" hidden="1">'6MSynthDepo_used'!#REF!</definedName>
    <definedName name="solver_cvg" localSheetId="4" hidden="1">0.0000000000001</definedName>
    <definedName name="solver_cvg" localSheetId="3" hidden="1">0.0000000000001</definedName>
    <definedName name="solver_cvg" localSheetId="2" hidden="1">0.0000000000001</definedName>
    <definedName name="solver_cvg" localSheetId="1" hidden="1">0.0000000000001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4" hidden="1">2</definedName>
    <definedName name="solver_neg" localSheetId="3" hidden="1">2</definedName>
    <definedName name="solver_neg" localSheetId="2" hidden="1">2</definedName>
    <definedName name="solver_neg" localSheetId="1" hidden="1">2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4" hidden="1">'3MSynthDepo_allScenario'!#REF!</definedName>
    <definedName name="solver_opt" localSheetId="3" hidden="1">'3MSynthDepo_used'!#REF!</definedName>
    <definedName name="solver_opt" localSheetId="2" hidden="1">'6MSynthDepo_allScenario'!#REF!</definedName>
    <definedName name="solver_opt" localSheetId="1" hidden="1">'6MSynthDepo_used'!#REF!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TenorBasis6M" localSheetId="3">'3MSynthDepo_used'!$P$3</definedName>
    <definedName name="TenorBasis6M">'6MSynthDepo_used'!$P$3</definedName>
    <definedName name="TraitsID">'General Settings'!$D$31</definedName>
    <definedName name="Trigger">'General Settings'!$I$17</definedName>
    <definedName name="TriggerCounter">'General Settings'!$I$21</definedName>
    <definedName name="YieldCurve">'General Settings'!$D$34</definedName>
  </definedNames>
  <calcPr calcId="145621"/>
</workbook>
</file>

<file path=xl/calcChain.xml><?xml version="1.0" encoding="utf-8"?>
<calcChain xmlns="http://schemas.openxmlformats.org/spreadsheetml/2006/main">
  <c r="X30" i="53" l="1"/>
  <c r="X29" i="53"/>
  <c r="X28" i="53"/>
  <c r="X27" i="53"/>
  <c r="X26" i="53"/>
  <c r="X25" i="53"/>
  <c r="F61" i="54"/>
  <c r="G61" i="54"/>
  <c r="H61" i="54"/>
  <c r="I61" i="54"/>
  <c r="J61" i="54"/>
  <c r="K61" i="54"/>
  <c r="L61" i="54"/>
  <c r="M61" i="54"/>
  <c r="N61" i="54"/>
  <c r="O61" i="54"/>
  <c r="P61" i="54"/>
  <c r="Q61" i="54"/>
  <c r="R61" i="54"/>
  <c r="S61" i="54"/>
  <c r="T61" i="54"/>
  <c r="U61" i="54"/>
  <c r="V61" i="54"/>
  <c r="W61" i="54"/>
  <c r="X61" i="54"/>
  <c r="Y61" i="54"/>
  <c r="Z61" i="54"/>
  <c r="AA61" i="54"/>
  <c r="AB61" i="54"/>
  <c r="F62" i="54"/>
  <c r="G62" i="54"/>
  <c r="H62" i="54"/>
  <c r="I62" i="54"/>
  <c r="J62" i="54"/>
  <c r="K62" i="54"/>
  <c r="L62" i="54"/>
  <c r="M62" i="54"/>
  <c r="N62" i="54"/>
  <c r="O62" i="54"/>
  <c r="P62" i="54"/>
  <c r="Q62" i="54"/>
  <c r="R62" i="54"/>
  <c r="S62" i="54"/>
  <c r="T62" i="54"/>
  <c r="U62" i="54"/>
  <c r="V62" i="54"/>
  <c r="W62" i="54"/>
  <c r="X62" i="54"/>
  <c r="Y62" i="54"/>
  <c r="Z62" i="54"/>
  <c r="AA62" i="54"/>
  <c r="AB62" i="54"/>
  <c r="F63" i="54"/>
  <c r="G63" i="54"/>
  <c r="H63" i="54"/>
  <c r="I63" i="54"/>
  <c r="J63" i="54"/>
  <c r="K63" i="54"/>
  <c r="L63" i="54"/>
  <c r="M63" i="54"/>
  <c r="N63" i="54"/>
  <c r="O63" i="54"/>
  <c r="P63" i="54"/>
  <c r="Q63" i="54"/>
  <c r="R63" i="54"/>
  <c r="S63" i="54"/>
  <c r="T63" i="54"/>
  <c r="U63" i="54"/>
  <c r="V63" i="54"/>
  <c r="W63" i="54"/>
  <c r="X63" i="54"/>
  <c r="Y63" i="54"/>
  <c r="Z63" i="54"/>
  <c r="AA63" i="54"/>
  <c r="AB63" i="54"/>
  <c r="AB60" i="54"/>
  <c r="AA60" i="54"/>
  <c r="Z60" i="54"/>
  <c r="Y60" i="54"/>
  <c r="X60" i="54"/>
  <c r="W60" i="54"/>
  <c r="V60" i="54"/>
  <c r="U60" i="54"/>
  <c r="T60" i="54"/>
  <c r="S60" i="54"/>
  <c r="R60" i="54"/>
  <c r="Q60" i="54"/>
  <c r="P60" i="54"/>
  <c r="O60" i="54"/>
  <c r="N60" i="54"/>
  <c r="M60" i="54"/>
  <c r="L60" i="54"/>
  <c r="K60" i="54"/>
  <c r="J60" i="54"/>
  <c r="I60" i="54"/>
  <c r="H60" i="54"/>
  <c r="G60" i="54"/>
  <c r="AB59" i="54"/>
  <c r="AA59" i="54"/>
  <c r="Z59" i="54"/>
  <c r="Y59" i="54"/>
  <c r="X59" i="54"/>
  <c r="W59" i="54"/>
  <c r="V59" i="54"/>
  <c r="U59" i="54"/>
  <c r="T59" i="54"/>
  <c r="S59" i="54"/>
  <c r="R59" i="54"/>
  <c r="Q59" i="54"/>
  <c r="P59" i="54"/>
  <c r="O59" i="54"/>
  <c r="N59" i="54"/>
  <c r="M59" i="54"/>
  <c r="L59" i="54"/>
  <c r="K59" i="54"/>
  <c r="J59" i="54"/>
  <c r="I59" i="54"/>
  <c r="H59" i="54"/>
  <c r="G59" i="54"/>
  <c r="AB58" i="54"/>
  <c r="AA58" i="54"/>
  <c r="Z58" i="54"/>
  <c r="Y58" i="54"/>
  <c r="X58" i="54"/>
  <c r="W58" i="54"/>
  <c r="V58" i="54"/>
  <c r="U58" i="54"/>
  <c r="T58" i="54"/>
  <c r="S58" i="54"/>
  <c r="R58" i="54"/>
  <c r="Q58" i="54"/>
  <c r="P58" i="54"/>
  <c r="O58" i="54"/>
  <c r="N58" i="54"/>
  <c r="M58" i="54"/>
  <c r="L58" i="54"/>
  <c r="K58" i="54"/>
  <c r="J58" i="54"/>
  <c r="I58" i="54"/>
  <c r="H58" i="54"/>
  <c r="G58" i="54"/>
  <c r="AB57" i="54"/>
  <c r="AA57" i="54"/>
  <c r="Z57" i="54"/>
  <c r="Y57" i="54"/>
  <c r="X57" i="54"/>
  <c r="W57" i="54"/>
  <c r="V57" i="54"/>
  <c r="U57" i="54"/>
  <c r="T57" i="54"/>
  <c r="S57" i="54"/>
  <c r="R57" i="54"/>
  <c r="Q57" i="54"/>
  <c r="P57" i="54"/>
  <c r="O57" i="54"/>
  <c r="N57" i="54"/>
  <c r="M57" i="54"/>
  <c r="L57" i="54"/>
  <c r="K57" i="54"/>
  <c r="J57" i="54"/>
  <c r="I57" i="54"/>
  <c r="H57" i="54"/>
  <c r="G57" i="54"/>
  <c r="AB56" i="54"/>
  <c r="AA56" i="54"/>
  <c r="Z56" i="54"/>
  <c r="Y56" i="54"/>
  <c r="X56" i="54"/>
  <c r="W56" i="54"/>
  <c r="V56" i="54"/>
  <c r="U56" i="54"/>
  <c r="T56" i="54"/>
  <c r="S56" i="54"/>
  <c r="R56" i="54"/>
  <c r="Q56" i="54"/>
  <c r="P56" i="54"/>
  <c r="O56" i="54"/>
  <c r="N56" i="54"/>
  <c r="M56" i="54"/>
  <c r="L56" i="54"/>
  <c r="K56" i="54"/>
  <c r="J56" i="54"/>
  <c r="I56" i="54"/>
  <c r="H56" i="54"/>
  <c r="G56" i="54"/>
  <c r="AB55" i="54"/>
  <c r="AA55" i="54"/>
  <c r="Z55" i="54"/>
  <c r="Y55" i="54"/>
  <c r="X55" i="54"/>
  <c r="W55" i="54"/>
  <c r="V55" i="54"/>
  <c r="U55" i="54"/>
  <c r="T55" i="54"/>
  <c r="S55" i="54"/>
  <c r="R55" i="54"/>
  <c r="Q55" i="54"/>
  <c r="P55" i="54"/>
  <c r="O55" i="54"/>
  <c r="N55" i="54"/>
  <c r="M55" i="54"/>
  <c r="L55" i="54"/>
  <c r="K55" i="54"/>
  <c r="J55" i="54"/>
  <c r="I55" i="54"/>
  <c r="H55" i="54"/>
  <c r="G55" i="54"/>
  <c r="AB54" i="54"/>
  <c r="AA54" i="54"/>
  <c r="Z54" i="54"/>
  <c r="Y54" i="54"/>
  <c r="X54" i="54"/>
  <c r="W54" i="54"/>
  <c r="V54" i="54"/>
  <c r="U54" i="54"/>
  <c r="T54" i="54"/>
  <c r="S54" i="54"/>
  <c r="R54" i="54"/>
  <c r="Q54" i="54"/>
  <c r="P54" i="54"/>
  <c r="O54" i="54"/>
  <c r="N54" i="54"/>
  <c r="M54" i="54"/>
  <c r="L54" i="54"/>
  <c r="K54" i="54"/>
  <c r="J54" i="54"/>
  <c r="I54" i="54"/>
  <c r="H54" i="54"/>
  <c r="G54" i="54"/>
  <c r="F60" i="54"/>
  <c r="F59" i="54"/>
  <c r="F58" i="54"/>
  <c r="F57" i="54"/>
  <c r="F56" i="54"/>
  <c r="F55" i="54"/>
  <c r="F54" i="54"/>
  <c r="AD49" i="54"/>
  <c r="AD50" i="54"/>
  <c r="AD51" i="54"/>
  <c r="AD48" i="54"/>
  <c r="AD47" i="54"/>
  <c r="AD46" i="54"/>
  <c r="AD45" i="54"/>
  <c r="AD44" i="54"/>
  <c r="AD43" i="54"/>
  <c r="D45" i="54"/>
  <c r="D44" i="54"/>
  <c r="D43" i="54"/>
  <c r="AC41" i="54"/>
  <c r="AC40" i="54"/>
  <c r="AC39" i="54"/>
  <c r="AC38" i="54"/>
  <c r="AC37" i="54"/>
  <c r="AC36" i="54"/>
  <c r="AD42" i="54"/>
  <c r="H13" i="54"/>
  <c r="C20" i="54"/>
  <c r="C19" i="54"/>
  <c r="C18" i="54"/>
  <c r="C9" i="54"/>
  <c r="C8" i="54"/>
  <c r="C7" i="54"/>
  <c r="B9" i="54"/>
  <c r="B20" i="54" s="1"/>
  <c r="B8" i="54"/>
  <c r="B7" i="54"/>
  <c r="B19" i="54"/>
  <c r="B18" i="54"/>
  <c r="AA34" i="54"/>
  <c r="Y34" i="54"/>
  <c r="BM4" i="54" s="1"/>
  <c r="W34" i="54"/>
  <c r="BK4" i="54" s="1"/>
  <c r="U34" i="54"/>
  <c r="S34" i="54"/>
  <c r="G34" i="54"/>
  <c r="BE4" i="54" s="1"/>
  <c r="A14" i="54"/>
  <c r="B14" i="54" s="1"/>
  <c r="G13" i="54"/>
  <c r="U12" i="54"/>
  <c r="S12" i="54"/>
  <c r="J9" i="54"/>
  <c r="J8" i="54"/>
  <c r="J7" i="54"/>
  <c r="J6" i="54"/>
  <c r="A6" i="54"/>
  <c r="J5" i="54"/>
  <c r="A5" i="54"/>
  <c r="BO4" i="54"/>
  <c r="BI4" i="54"/>
  <c r="BG4" i="54"/>
  <c r="J4" i="54"/>
  <c r="A4" i="54"/>
  <c r="B4" i="54" s="1"/>
  <c r="J3" i="54"/>
  <c r="A3" i="54"/>
  <c r="H2" i="54"/>
  <c r="G2" i="54"/>
  <c r="U1" i="54"/>
  <c r="S1" i="54"/>
  <c r="P3" i="53"/>
  <c r="A8" i="53"/>
  <c r="A7" i="53"/>
  <c r="C6" i="53"/>
  <c r="C5" i="53"/>
  <c r="D5" i="53" s="1"/>
  <c r="C3" i="53"/>
  <c r="D3" i="53" s="1"/>
  <c r="I2" i="53"/>
  <c r="D2" i="53"/>
  <c r="Z30" i="53"/>
  <c r="Z29" i="53"/>
  <c r="Z28" i="53"/>
  <c r="Z27" i="53"/>
  <c r="Z26" i="53"/>
  <c r="Z25" i="53"/>
  <c r="Y30" i="53"/>
  <c r="Y29" i="53"/>
  <c r="Y28" i="53"/>
  <c r="Y27" i="53"/>
  <c r="Y26" i="53"/>
  <c r="Y25" i="53"/>
  <c r="D49" i="54"/>
  <c r="E49" i="54"/>
  <c r="V49" i="54" s="1"/>
  <c r="W49" i="54"/>
  <c r="D50" i="54"/>
  <c r="F49" i="54"/>
  <c r="X49" i="54"/>
  <c r="E50" i="54"/>
  <c r="W50" i="54"/>
  <c r="D51" i="54"/>
  <c r="G49" i="54"/>
  <c r="Y49" i="54"/>
  <c r="F50" i="54"/>
  <c r="X50" i="54"/>
  <c r="E51" i="54"/>
  <c r="W51" i="54"/>
  <c r="H49" i="54"/>
  <c r="Z49" i="54"/>
  <c r="G50" i="54"/>
  <c r="Y50" i="54"/>
  <c r="F51" i="54"/>
  <c r="X51" i="54"/>
  <c r="S49" i="54"/>
  <c r="AA49" i="54"/>
  <c r="H50" i="54"/>
  <c r="Z50" i="54"/>
  <c r="G51" i="54"/>
  <c r="Y51" i="54"/>
  <c r="T49" i="54"/>
  <c r="S50" i="54"/>
  <c r="AA50" i="54"/>
  <c r="H51" i="54"/>
  <c r="Z51" i="54"/>
  <c r="U49" i="54"/>
  <c r="T50" i="54"/>
  <c r="AB50" i="54"/>
  <c r="S51" i="54"/>
  <c r="AA51" i="54"/>
  <c r="AB49" i="54"/>
  <c r="F47" i="54"/>
  <c r="F48" i="54"/>
  <c r="F46" i="54"/>
  <c r="E47" i="54"/>
  <c r="E48" i="54"/>
  <c r="E46" i="54"/>
  <c r="D46" i="54"/>
  <c r="D47" i="54" s="1"/>
  <c r="D48" i="54" s="1"/>
  <c r="AB25" i="54"/>
  <c r="AA25" i="54"/>
  <c r="Y25" i="54"/>
  <c r="D20" i="54"/>
  <c r="D19" i="54"/>
  <c r="D18" i="54"/>
  <c r="D9" i="54"/>
  <c r="D8" i="54"/>
  <c r="D7" i="54"/>
  <c r="H17" i="54"/>
  <c r="H19" i="54"/>
  <c r="H18" i="54"/>
  <c r="H16" i="54"/>
  <c r="H15" i="54"/>
  <c r="H14" i="54"/>
  <c r="H9" i="54"/>
  <c r="H8" i="54"/>
  <c r="H7" i="54"/>
  <c r="H6" i="54"/>
  <c r="H5" i="54"/>
  <c r="H4" i="54"/>
  <c r="H19" i="39"/>
  <c r="H20" i="39"/>
  <c r="H18" i="39"/>
  <c r="H17" i="39"/>
  <c r="H16" i="39"/>
  <c r="H15" i="39"/>
  <c r="H14" i="39"/>
  <c r="H9" i="39"/>
  <c r="H8" i="39"/>
  <c r="H7" i="39"/>
  <c r="H6" i="39"/>
  <c r="H5" i="39"/>
  <c r="H4" i="39"/>
  <c r="H3" i="39"/>
  <c r="AG19" i="54" a="1"/>
  <c r="AG14" i="54" a="1"/>
  <c r="AG9" i="54" a="1"/>
  <c r="AG5" i="54" a="1"/>
  <c r="D26" i="54"/>
  <c r="P13" i="53" a="1"/>
  <c r="P6" i="53" a="1"/>
  <c r="E3" i="53"/>
  <c r="E5" i="53"/>
  <c r="E6" i="53"/>
  <c r="E4" i="53"/>
  <c r="AB26" i="54"/>
  <c r="AB28" i="54" a="1"/>
  <c r="AA26" i="54"/>
  <c r="AA28" i="54" a="1"/>
  <c r="Y26" i="54"/>
  <c r="Y28" i="54" a="1"/>
  <c r="V50" i="54"/>
  <c r="U50" i="54"/>
  <c r="V51" i="54"/>
  <c r="U51" i="54"/>
  <c r="AB51" i="54"/>
  <c r="T51" i="54"/>
  <c r="AB28" i="54" l="1"/>
  <c r="AB29" i="54"/>
  <c r="AB30" i="54"/>
  <c r="AA28" i="54"/>
  <c r="AA29" i="54"/>
  <c r="Y28" i="54"/>
  <c r="Y29" i="54"/>
  <c r="AG6" i="54"/>
  <c r="AG5" i="54"/>
  <c r="AG10" i="54"/>
  <c r="AG9" i="54"/>
  <c r="AG15" i="54"/>
  <c r="AG14" i="54"/>
  <c r="AG16" i="54"/>
  <c r="AG19" i="54"/>
  <c r="AG21" i="54"/>
  <c r="AG20" i="54"/>
  <c r="B5" i="54"/>
  <c r="C5" i="54" s="1"/>
  <c r="B6" i="54"/>
  <c r="C6" i="54" s="1"/>
  <c r="A15" i="54"/>
  <c r="A16" i="54"/>
  <c r="A17" i="54"/>
  <c r="B3" i="54"/>
  <c r="C3" i="54" s="1"/>
  <c r="C14" i="54"/>
  <c r="C4" i="54"/>
  <c r="P9" i="53"/>
  <c r="P8" i="53"/>
  <c r="P7" i="53"/>
  <c r="P6" i="53"/>
  <c r="P10" i="53"/>
  <c r="P17" i="53"/>
  <c r="P14" i="53"/>
  <c r="P13" i="53"/>
  <c r="P16" i="53"/>
  <c r="P15" i="53"/>
  <c r="C8" i="53"/>
  <c r="A9" i="53"/>
  <c r="D6" i="53"/>
  <c r="C7" i="53"/>
  <c r="D7" i="53" s="1"/>
  <c r="U12" i="39"/>
  <c r="S12" i="39"/>
  <c r="AA34" i="39"/>
  <c r="Y34" i="39"/>
  <c r="E7" i="53"/>
  <c r="E8" i="53"/>
  <c r="B17" i="54" l="1"/>
  <c r="C17" i="54" s="1"/>
  <c r="B16" i="54"/>
  <c r="C16" i="54" s="1"/>
  <c r="B15" i="54"/>
  <c r="C15" i="54" s="1"/>
  <c r="D8" i="53"/>
  <c r="C9" i="53"/>
  <c r="D9" i="53" s="1"/>
  <c r="A10" i="53"/>
  <c r="W34" i="39"/>
  <c r="BK4" i="39" s="1"/>
  <c r="U34" i="39"/>
  <c r="BI4" i="39" s="1"/>
  <c r="I2" i="40"/>
  <c r="E9" i="53"/>
  <c r="C10" i="53" l="1"/>
  <c r="D10" i="53" s="1"/>
  <c r="E10" i="53"/>
  <c r="X30" i="40" l="1"/>
  <c r="X29" i="40"/>
  <c r="X28" i="40"/>
  <c r="X27" i="40"/>
  <c r="X26" i="40"/>
  <c r="X25" i="40"/>
  <c r="J9" i="39" l="1"/>
  <c r="J8" i="39"/>
  <c r="J7" i="39"/>
  <c r="J6" i="39"/>
  <c r="J5" i="39"/>
  <c r="J4" i="39"/>
  <c r="J3" i="39"/>
  <c r="E4" i="40"/>
  <c r="C3" i="40" l="1"/>
  <c r="E3" i="40"/>
  <c r="H3" i="54"/>
  <c r="A3" i="39" l="1"/>
  <c r="A4" i="39"/>
  <c r="A5" i="39"/>
  <c r="H13" i="39"/>
  <c r="G13" i="39"/>
  <c r="H2" i="39"/>
  <c r="G2" i="39"/>
  <c r="D26" i="39"/>
  <c r="A16" i="39" l="1"/>
  <c r="A15" i="39"/>
  <c r="A14" i="39"/>
  <c r="F60" i="39" l="1"/>
  <c r="D51" i="39"/>
  <c r="BO4" i="39"/>
  <c r="S34" i="39"/>
  <c r="BG4" i="39" s="1"/>
  <c r="BM4" i="39"/>
  <c r="G34" i="39" l="1"/>
  <c r="BE4" i="39" s="1"/>
  <c r="U1" i="39"/>
  <c r="S1" i="39"/>
  <c r="F59" i="39"/>
  <c r="F58" i="39"/>
  <c r="F57" i="39"/>
  <c r="F56" i="39"/>
  <c r="F55" i="39"/>
  <c r="D50" i="39"/>
  <c r="D49" i="39"/>
  <c r="D48" i="39"/>
  <c r="D47" i="39"/>
  <c r="D46" i="39"/>
  <c r="B16" i="39"/>
  <c r="C16" i="39" s="1"/>
  <c r="B15" i="39"/>
  <c r="C15" i="39" s="1"/>
  <c r="B14" i="39"/>
  <c r="C14" i="39" s="1"/>
  <c r="D3" i="40" l="1"/>
  <c r="J13" i="49" l="1"/>
  <c r="B4" i="39"/>
  <c r="C4" i="39" s="1"/>
  <c r="B5" i="39"/>
  <c r="C5" i="39" s="1"/>
  <c r="B3" i="39"/>
  <c r="C3" i="39" s="1"/>
  <c r="B5" i="48"/>
  <c r="B6" i="48"/>
  <c r="B7" i="48"/>
  <c r="B4" i="48"/>
  <c r="J13" i="48"/>
  <c r="O30" i="47"/>
  <c r="N31" i="47"/>
  <c r="O31" i="47" s="1"/>
  <c r="S30" i="47"/>
  <c r="O29" i="47"/>
  <c r="D2" i="40"/>
  <c r="C6" i="40"/>
  <c r="C5" i="40"/>
  <c r="N27" i="45"/>
  <c r="O27" i="45" s="1"/>
  <c r="N28" i="45"/>
  <c r="O28" i="45" s="1"/>
  <c r="N29" i="45"/>
  <c r="O29" i="45" s="1"/>
  <c r="N26" i="45"/>
  <c r="O26" i="45" s="1"/>
  <c r="S25" i="45"/>
  <c r="O25" i="45"/>
  <c r="O24" i="45"/>
  <c r="G24" i="29"/>
  <c r="B24" i="29"/>
  <c r="K1" i="45"/>
  <c r="E6" i="40"/>
  <c r="E5" i="40"/>
  <c r="B5" i="49" l="1"/>
  <c r="C5" i="49" s="1"/>
  <c r="B6" i="49"/>
  <c r="C6" i="49" s="1"/>
  <c r="B7" i="49"/>
  <c r="C7" i="49" s="1"/>
  <c r="B4" i="49"/>
  <c r="C4" i="49" s="1"/>
  <c r="L4" i="49"/>
  <c r="L3" i="49"/>
  <c r="M32" i="47"/>
  <c r="C5" i="48"/>
  <c r="C6" i="48"/>
  <c r="C7" i="48"/>
  <c r="C4" i="48"/>
  <c r="L4" i="48"/>
  <c r="L3" i="48"/>
  <c r="M33" i="47" l="1"/>
  <c r="N32" i="47"/>
  <c r="O32" i="47" s="1"/>
  <c r="Q3" i="45"/>
  <c r="M34" i="47" l="1"/>
  <c r="N33" i="47"/>
  <c r="O33" i="47"/>
  <c r="Q4" i="47"/>
  <c r="Q3" i="47"/>
  <c r="J6" i="47"/>
  <c r="J7" i="47"/>
  <c r="J8" i="47"/>
  <c r="J9" i="47"/>
  <c r="J10" i="47"/>
  <c r="J5" i="47"/>
  <c r="J4" i="47"/>
  <c r="K1" i="47"/>
  <c r="K4" i="47"/>
  <c r="L4" i="47"/>
  <c r="L1" i="47"/>
  <c r="M35" i="47" l="1"/>
  <c r="N34" i="47"/>
  <c r="O34" i="47" s="1"/>
  <c r="J5" i="45"/>
  <c r="J6" i="45"/>
  <c r="J7" i="45"/>
  <c r="J8" i="45"/>
  <c r="J9" i="45"/>
  <c r="J4" i="45"/>
  <c r="K5" i="47"/>
  <c r="K7" i="45"/>
  <c r="K9" i="47"/>
  <c r="K8" i="47"/>
  <c r="O4" i="47"/>
  <c r="O8" i="47"/>
  <c r="T8" i="47"/>
  <c r="K8" i="45"/>
  <c r="K4" i="45"/>
  <c r="K10" i="47"/>
  <c r="K7" i="47"/>
  <c r="K9" i="45"/>
  <c r="S8" i="47"/>
  <c r="K6" i="47"/>
  <c r="L1" i="45"/>
  <c r="S4" i="47"/>
  <c r="K6" i="45"/>
  <c r="T4" i="47"/>
  <c r="K5" i="45"/>
  <c r="L5" i="45"/>
  <c r="L5" i="47"/>
  <c r="L8" i="47"/>
  <c r="M36" i="47" l="1"/>
  <c r="N35" i="47"/>
  <c r="O35" i="47"/>
  <c r="O8" i="45"/>
  <c r="T10" i="47"/>
  <c r="S7" i="45"/>
  <c r="S6" i="47"/>
  <c r="T7" i="47"/>
  <c r="O7" i="45"/>
  <c r="T9" i="47"/>
  <c r="T7" i="45"/>
  <c r="O6" i="47"/>
  <c r="O10" i="47"/>
  <c r="O9" i="45"/>
  <c r="S10" i="47"/>
  <c r="S8" i="45"/>
  <c r="O5" i="47"/>
  <c r="O5" i="45"/>
  <c r="S4" i="45"/>
  <c r="O9" i="47"/>
  <c r="S7" i="47"/>
  <c r="T6" i="47"/>
  <c r="S9" i="47"/>
  <c r="S6" i="45"/>
  <c r="O4" i="45"/>
  <c r="O6" i="45"/>
  <c r="T4" i="45"/>
  <c r="T8" i="45"/>
  <c r="S5" i="47"/>
  <c r="S9" i="45"/>
  <c r="T5" i="45"/>
  <c r="T6" i="45"/>
  <c r="S5" i="45"/>
  <c r="T5" i="47"/>
  <c r="O7" i="47"/>
  <c r="T9" i="45"/>
  <c r="L9" i="47"/>
  <c r="L9" i="45"/>
  <c r="L4" i="45"/>
  <c r="L7" i="45"/>
  <c r="L6" i="47"/>
  <c r="L6" i="45"/>
  <c r="L7" i="47"/>
  <c r="L8" i="45"/>
  <c r="L10" i="47"/>
  <c r="N36" i="47" l="1"/>
  <c r="O36" i="47" s="1"/>
  <c r="D6" i="40"/>
  <c r="D5" i="40"/>
  <c r="A7" i="40"/>
  <c r="A6" i="39" l="1"/>
  <c r="A17" i="39" s="1"/>
  <c r="A8" i="40"/>
  <c r="C7" i="40"/>
  <c r="E7" i="40"/>
  <c r="B6" i="39" l="1"/>
  <c r="C6" i="39" s="1"/>
  <c r="D7" i="40"/>
  <c r="A7" i="39"/>
  <c r="B17" i="39"/>
  <c r="C17" i="39" s="1"/>
  <c r="A18" i="39"/>
  <c r="B7" i="39"/>
  <c r="C7" i="39" s="1"/>
  <c r="A9" i="40"/>
  <c r="C8" i="40"/>
  <c r="E8" i="40"/>
  <c r="D8" i="40" l="1"/>
  <c r="A8" i="39"/>
  <c r="A19" i="39" s="1"/>
  <c r="B18" i="39"/>
  <c r="C18" i="39" s="1"/>
  <c r="B8" i="39"/>
  <c r="C8" i="39" s="1"/>
  <c r="C9" i="40"/>
  <c r="A10" i="40"/>
  <c r="E9" i="40"/>
  <c r="H20" i="54"/>
  <c r="A9" i="39" l="1"/>
  <c r="A20" i="39" s="1"/>
  <c r="D9" i="40"/>
  <c r="B19" i="39"/>
  <c r="C19" i="39" s="1"/>
  <c r="C10" i="40"/>
  <c r="A11" i="40"/>
  <c r="E10" i="40"/>
  <c r="B9" i="39" l="1"/>
  <c r="C9" i="39" s="1"/>
  <c r="D10" i="40"/>
  <c r="B20" i="39"/>
  <c r="C20" i="39" s="1"/>
  <c r="C11" i="40"/>
  <c r="A12" i="40"/>
  <c r="E11" i="40"/>
  <c r="D11" i="40" l="1"/>
  <c r="C12" i="40"/>
  <c r="A13" i="40"/>
  <c r="E12" i="40"/>
  <c r="D12" i="40" l="1"/>
  <c r="C13" i="40"/>
  <c r="A14" i="40"/>
  <c r="E13" i="40"/>
  <c r="I18" i="29"/>
  <c r="I10" i="53"/>
  <c r="I9" i="53"/>
  <c r="I8" i="53"/>
  <c r="I6" i="53"/>
  <c r="I7" i="53"/>
  <c r="I5" i="53"/>
  <c r="D13" i="40" l="1"/>
  <c r="C14" i="40"/>
  <c r="A15" i="40"/>
  <c r="E14" i="40"/>
  <c r="D17" i="29"/>
  <c r="Y24" i="40"/>
  <c r="Z27" i="40"/>
  <c r="Z16" i="40"/>
  <c r="Y22" i="40"/>
  <c r="Y27" i="40"/>
  <c r="Y17" i="40"/>
  <c r="Y18" i="40"/>
  <c r="Z28" i="40"/>
  <c r="Z19" i="40"/>
  <c r="Y21" i="40"/>
  <c r="Y28" i="40"/>
  <c r="Y15" i="40"/>
  <c r="Z15" i="40"/>
  <c r="Y26" i="40"/>
  <c r="Z25" i="40"/>
  <c r="Y20" i="40"/>
  <c r="Y29" i="40"/>
  <c r="Y19" i="40"/>
  <c r="Z22" i="40"/>
  <c r="Z26" i="40"/>
  <c r="Y16" i="40"/>
  <c r="Y25" i="40"/>
  <c r="Y30" i="40"/>
  <c r="Z23" i="40"/>
  <c r="Z30" i="40"/>
  <c r="Z17" i="40"/>
  <c r="Y23" i="40"/>
  <c r="Z21" i="40"/>
  <c r="Z29" i="40"/>
  <c r="Z24" i="40"/>
  <c r="Z20" i="40"/>
  <c r="Z18" i="40"/>
  <c r="G10" i="53"/>
  <c r="J10" i="53" s="1"/>
  <c r="G9" i="53"/>
  <c r="J9" i="53" s="1"/>
  <c r="G8" i="53"/>
  <c r="J8" i="53" s="1"/>
  <c r="G6" i="53"/>
  <c r="J6" i="53" s="1"/>
  <c r="G7" i="53"/>
  <c r="J7" i="53" s="1"/>
  <c r="Z17" i="53"/>
  <c r="Z19" i="53"/>
  <c r="AA26" i="53"/>
  <c r="Y24" i="53"/>
  <c r="Z24" i="53"/>
  <c r="AA24" i="53" s="1"/>
  <c r="Z20" i="53"/>
  <c r="Y15" i="53"/>
  <c r="Z15" i="53"/>
  <c r="AA15" i="53" s="1"/>
  <c r="AA25" i="53"/>
  <c r="Y20" i="53"/>
  <c r="AA20" i="53" s="1"/>
  <c r="G5" i="53"/>
  <c r="J5" i="53" s="1"/>
  <c r="Y17" i="53"/>
  <c r="AA17" i="53" s="1"/>
  <c r="Y19" i="53"/>
  <c r="AA19" i="53" s="1"/>
  <c r="AA27" i="53"/>
  <c r="Y18" i="53"/>
  <c r="Y23" i="53"/>
  <c r="AA30" i="53"/>
  <c r="Y16" i="53"/>
  <c r="Z18" i="53"/>
  <c r="AA18" i="53" s="1"/>
  <c r="Y21" i="53"/>
  <c r="AA29" i="53"/>
  <c r="Z16" i="53"/>
  <c r="AA16" i="53" s="1"/>
  <c r="Z21" i="53"/>
  <c r="AA21" i="53" s="1"/>
  <c r="Z22" i="53"/>
  <c r="AA28" i="53"/>
  <c r="Y22" i="53"/>
  <c r="AA22" i="53" s="1"/>
  <c r="Z23" i="53"/>
  <c r="AA23" i="53" s="1"/>
  <c r="H10" i="53"/>
  <c r="L10" i="53"/>
  <c r="H9" i="53"/>
  <c r="L9" i="53"/>
  <c r="H8" i="53"/>
  <c r="L8" i="53"/>
  <c r="H6" i="53"/>
  <c r="L6" i="53"/>
  <c r="H7" i="53"/>
  <c r="L7" i="53"/>
  <c r="H5" i="53"/>
  <c r="L5" i="53"/>
  <c r="D16" i="54"/>
  <c r="F16" i="54" s="1"/>
  <c r="D15" i="54"/>
  <c r="F15" i="54" s="1"/>
  <c r="D17" i="54"/>
  <c r="F17" i="54" s="1"/>
  <c r="D4" i="54"/>
  <c r="F4" i="54" s="1"/>
  <c r="F18" i="54"/>
  <c r="F19" i="54"/>
  <c r="D6" i="54"/>
  <c r="F6" i="54" s="1"/>
  <c r="D5" i="54"/>
  <c r="F5" i="54" s="1"/>
  <c r="C11" i="53"/>
  <c r="F20" i="54"/>
  <c r="N4" i="54"/>
  <c r="I5" i="54"/>
  <c r="F7" i="54"/>
  <c r="F36" i="54"/>
  <c r="I17" i="54"/>
  <c r="F37" i="54"/>
  <c r="E37" i="54"/>
  <c r="F8" i="54"/>
  <c r="I15" i="54"/>
  <c r="I19" i="54"/>
  <c r="E40" i="54"/>
  <c r="N7" i="54"/>
  <c r="E38" i="54"/>
  <c r="E41" i="54"/>
  <c r="N5" i="54"/>
  <c r="I16" i="54"/>
  <c r="F40" i="54"/>
  <c r="I4" i="54"/>
  <c r="N6" i="54"/>
  <c r="I20" i="54"/>
  <c r="E45" i="54"/>
  <c r="N8" i="54"/>
  <c r="I6" i="54"/>
  <c r="F9" i="54"/>
  <c r="I18" i="54"/>
  <c r="I9" i="54"/>
  <c r="F41" i="54"/>
  <c r="I7" i="54"/>
  <c r="F45" i="54"/>
  <c r="N9" i="54"/>
  <c r="E42" i="54"/>
  <c r="E39" i="54"/>
  <c r="I8" i="54"/>
  <c r="E36" i="54"/>
  <c r="F39" i="54"/>
  <c r="F43" i="54"/>
  <c r="E44" i="54"/>
  <c r="F38" i="54"/>
  <c r="F42" i="54"/>
  <c r="F44" i="54"/>
  <c r="E43" i="54"/>
  <c r="C12" i="53"/>
  <c r="G11" i="53"/>
  <c r="E11" i="53"/>
  <c r="C13" i="53"/>
  <c r="G12" i="53"/>
  <c r="E12" i="53"/>
  <c r="L11" i="53"/>
  <c r="H11" i="53"/>
  <c r="J11" i="53"/>
  <c r="G13" i="53"/>
  <c r="E13" i="53"/>
  <c r="C14" i="53"/>
  <c r="L12" i="53"/>
  <c r="H12" i="53"/>
  <c r="J12" i="53"/>
  <c r="L13" i="53"/>
  <c r="H13" i="53"/>
  <c r="J13" i="53"/>
  <c r="C15" i="53"/>
  <c r="G14" i="53"/>
  <c r="E14" i="53"/>
  <c r="G15" i="53"/>
  <c r="E15" i="53"/>
  <c r="C16" i="53"/>
  <c r="L14" i="53"/>
  <c r="H14" i="53"/>
  <c r="J14" i="53"/>
  <c r="L15" i="53"/>
  <c r="H15" i="53"/>
  <c r="J15" i="53"/>
  <c r="G16" i="53"/>
  <c r="E16" i="53"/>
  <c r="C17" i="53"/>
  <c r="L16" i="53"/>
  <c r="H16" i="53"/>
  <c r="J16" i="53"/>
  <c r="G17" i="53"/>
  <c r="E17" i="53"/>
  <c r="C18" i="53"/>
  <c r="L17" i="53"/>
  <c r="H17" i="53"/>
  <c r="J17" i="53"/>
  <c r="G18" i="53"/>
  <c r="E18" i="53"/>
  <c r="C19" i="53"/>
  <c r="L18" i="53"/>
  <c r="H18" i="53"/>
  <c r="J18" i="53"/>
  <c r="G19" i="53"/>
  <c r="E19" i="53"/>
  <c r="C20" i="53"/>
  <c r="L19" i="53"/>
  <c r="H19" i="53"/>
  <c r="J19" i="53"/>
  <c r="G20" i="53"/>
  <c r="E20" i="53"/>
  <c r="C21" i="53"/>
  <c r="L20" i="53"/>
  <c r="H20" i="53"/>
  <c r="J20" i="53"/>
  <c r="G21" i="53"/>
  <c r="E21" i="53"/>
  <c r="C22" i="53"/>
  <c r="L21" i="53"/>
  <c r="H21" i="53"/>
  <c r="J21" i="53"/>
  <c r="G22" i="53"/>
  <c r="E22" i="53"/>
  <c r="L22" i="53"/>
  <c r="H22" i="53"/>
  <c r="J22" i="53"/>
  <c r="AC49" i="54" l="1"/>
  <c r="AC61" i="54" s="1"/>
  <c r="AC50" i="54"/>
  <c r="AC62" i="54" s="1"/>
  <c r="AC51" i="54"/>
  <c r="AC63" i="54" s="1"/>
  <c r="AC48" i="54"/>
  <c r="AC60" i="54" s="1"/>
  <c r="AC47" i="54"/>
  <c r="AC59" i="54" s="1"/>
  <c r="AC46" i="54"/>
  <c r="AC58" i="54" s="1"/>
  <c r="AC45" i="54"/>
  <c r="AC57" i="54" s="1"/>
  <c r="AC44" i="54"/>
  <c r="AC56" i="54" s="1"/>
  <c r="AC43" i="54"/>
  <c r="AC55" i="54" s="1"/>
  <c r="AC42" i="54"/>
  <c r="AC54" i="54" s="1"/>
  <c r="D22" i="53"/>
  <c r="D21" i="53"/>
  <c r="D20" i="53"/>
  <c r="D19" i="53"/>
  <c r="D18" i="53"/>
  <c r="D17" i="53"/>
  <c r="D16" i="53"/>
  <c r="D15" i="53"/>
  <c r="D14" i="53"/>
  <c r="D13" i="53"/>
  <c r="D12" i="53"/>
  <c r="L8" i="54"/>
  <c r="K8" i="54"/>
  <c r="L7" i="54"/>
  <c r="K7" i="54"/>
  <c r="L9" i="54"/>
  <c r="K9" i="54"/>
  <c r="G9" i="54"/>
  <c r="K6" i="54"/>
  <c r="L6" i="54"/>
  <c r="K4" i="54"/>
  <c r="L4" i="54"/>
  <c r="G8" i="54"/>
  <c r="G7" i="54"/>
  <c r="K5" i="54"/>
  <c r="L5" i="54"/>
  <c r="G20" i="54"/>
  <c r="D11" i="53"/>
  <c r="G5" i="54"/>
  <c r="G6" i="54"/>
  <c r="G19" i="54"/>
  <c r="G18" i="54"/>
  <c r="G4" i="54"/>
  <c r="G17" i="54"/>
  <c r="G15" i="54"/>
  <c r="G16" i="54"/>
  <c r="BC6" i="54"/>
  <c r="D14" i="54"/>
  <c r="D3" i="54"/>
  <c r="K5" i="53"/>
  <c r="K7" i="53"/>
  <c r="K6" i="53"/>
  <c r="K8" i="53"/>
  <c r="K9" i="53"/>
  <c r="K10" i="53"/>
  <c r="R3" i="53"/>
  <c r="G4" i="53"/>
  <c r="G3" i="53"/>
  <c r="D14" i="40"/>
  <c r="G4" i="40"/>
  <c r="C15" i="40"/>
  <c r="A16" i="40"/>
  <c r="I22" i="53"/>
  <c r="I14" i="53"/>
  <c r="I21" i="53"/>
  <c r="I13" i="53"/>
  <c r="I20" i="53"/>
  <c r="I12" i="53"/>
  <c r="J4" i="53"/>
  <c r="I19" i="53"/>
  <c r="I11" i="53"/>
  <c r="I18" i="53"/>
  <c r="I16" i="53"/>
  <c r="I3" i="54"/>
  <c r="N3" i="54"/>
  <c r="F3" i="54"/>
  <c r="I15" i="53"/>
  <c r="BD6" i="54"/>
  <c r="BC7" i="54"/>
  <c r="I17" i="53"/>
  <c r="I14" i="54"/>
  <c r="F14" i="54"/>
  <c r="F5" i="53"/>
  <c r="F8" i="53"/>
  <c r="H4" i="53"/>
  <c r="L4" i="53"/>
  <c r="F9" i="53"/>
  <c r="H3" i="53"/>
  <c r="L3" i="53"/>
  <c r="F7" i="53"/>
  <c r="F6" i="53"/>
  <c r="T3" i="53"/>
  <c r="S3" i="53"/>
  <c r="R4" i="53"/>
  <c r="F10" i="53"/>
  <c r="E15" i="40"/>
  <c r="F3" i="53"/>
  <c r="T4" i="53"/>
  <c r="R5" i="53"/>
  <c r="S4" i="53"/>
  <c r="T5" i="53"/>
  <c r="R6" i="53"/>
  <c r="S5" i="53"/>
  <c r="T6" i="53"/>
  <c r="S6" i="53"/>
  <c r="R7" i="53"/>
  <c r="T7" i="53"/>
  <c r="R8" i="53"/>
  <c r="S7" i="53"/>
  <c r="T8" i="53"/>
  <c r="S8" i="53"/>
  <c r="R9" i="53"/>
  <c r="T9" i="53"/>
  <c r="R10" i="53"/>
  <c r="S9" i="53"/>
  <c r="T10" i="53"/>
  <c r="S10" i="53"/>
  <c r="R11" i="53"/>
  <c r="T11" i="53"/>
  <c r="R12" i="53"/>
  <c r="S11" i="53"/>
  <c r="T12" i="53"/>
  <c r="S12" i="53"/>
  <c r="R13" i="53"/>
  <c r="T13" i="53"/>
  <c r="S13" i="53"/>
  <c r="R14" i="53"/>
  <c r="T14" i="53"/>
  <c r="S14" i="53"/>
  <c r="R15" i="53"/>
  <c r="T15" i="53"/>
  <c r="S15" i="53"/>
  <c r="R16" i="53"/>
  <c r="T16" i="53"/>
  <c r="S16" i="53"/>
  <c r="R17" i="53"/>
  <c r="T17" i="53"/>
  <c r="R18" i="53"/>
  <c r="S17" i="53"/>
  <c r="T18" i="53"/>
  <c r="S18" i="53"/>
  <c r="R19" i="53"/>
  <c r="T19" i="53"/>
  <c r="S19" i="53"/>
  <c r="R20" i="53"/>
  <c r="T20" i="53"/>
  <c r="S20" i="53"/>
  <c r="R21" i="53"/>
  <c r="T21" i="53"/>
  <c r="R22" i="53"/>
  <c r="S21" i="53"/>
  <c r="T22" i="53"/>
  <c r="S22" i="53"/>
  <c r="R23" i="53"/>
  <c r="T23" i="53"/>
  <c r="S23" i="53"/>
  <c r="R24" i="53"/>
  <c r="T24" i="53"/>
  <c r="S24" i="53"/>
  <c r="R25" i="53"/>
  <c r="T25" i="53"/>
  <c r="R26" i="53"/>
  <c r="S25" i="53"/>
  <c r="T26" i="53"/>
  <c r="R27" i="53"/>
  <c r="S26" i="53"/>
  <c r="T27" i="53"/>
  <c r="R28" i="53"/>
  <c r="S27" i="53"/>
  <c r="T28" i="53"/>
  <c r="S28" i="53"/>
  <c r="R29" i="53"/>
  <c r="T29" i="53"/>
  <c r="R30" i="53"/>
  <c r="S29" i="53"/>
  <c r="T30" i="53"/>
  <c r="S30" i="53"/>
  <c r="R31" i="53"/>
  <c r="T31" i="53"/>
  <c r="S31" i="53"/>
  <c r="R32" i="53"/>
  <c r="T32" i="53"/>
  <c r="S32" i="53"/>
  <c r="R33" i="53"/>
  <c r="T33" i="53"/>
  <c r="R34" i="53"/>
  <c r="S33" i="53"/>
  <c r="T34" i="53"/>
  <c r="S34" i="53"/>
  <c r="R35" i="53"/>
  <c r="T35" i="53"/>
  <c r="R36" i="53"/>
  <c r="S35" i="53"/>
  <c r="T36" i="53"/>
  <c r="S36" i="53"/>
  <c r="R37" i="53"/>
  <c r="T37" i="53"/>
  <c r="R38" i="53"/>
  <c r="S37" i="53"/>
  <c r="T38" i="53"/>
  <c r="S38" i="53"/>
  <c r="R39" i="53"/>
  <c r="T39" i="53"/>
  <c r="S39" i="53"/>
  <c r="R40" i="53"/>
  <c r="T40" i="53"/>
  <c r="S40" i="53"/>
  <c r="R41" i="53"/>
  <c r="T41" i="53"/>
  <c r="S41" i="53"/>
  <c r="R42" i="53"/>
  <c r="T42" i="53"/>
  <c r="R43" i="53"/>
  <c r="S42" i="53"/>
  <c r="T43" i="53"/>
  <c r="S43" i="53"/>
  <c r="R44" i="53"/>
  <c r="T44" i="53"/>
  <c r="R45" i="53"/>
  <c r="S44" i="53"/>
  <c r="T45" i="53"/>
  <c r="R46" i="53"/>
  <c r="S45" i="53"/>
  <c r="T46" i="53"/>
  <c r="S46" i="53"/>
  <c r="R47" i="53"/>
  <c r="T47" i="53"/>
  <c r="S47" i="53"/>
  <c r="R48" i="53"/>
  <c r="T48" i="53"/>
  <c r="S48" i="53"/>
  <c r="R49" i="53"/>
  <c r="T49" i="53"/>
  <c r="R50" i="53"/>
  <c r="S49" i="53"/>
  <c r="T50" i="53"/>
  <c r="S50" i="53"/>
  <c r="R51" i="53"/>
  <c r="T51" i="53"/>
  <c r="R52" i="53"/>
  <c r="S51" i="53"/>
  <c r="T52" i="53"/>
  <c r="R53" i="53"/>
  <c r="S52" i="53"/>
  <c r="T53" i="53"/>
  <c r="R54" i="53"/>
  <c r="S53" i="53"/>
  <c r="T54" i="53"/>
  <c r="S54" i="53"/>
  <c r="R55" i="53"/>
  <c r="T55" i="53"/>
  <c r="S55" i="53"/>
  <c r="R56" i="53"/>
  <c r="T56" i="53"/>
  <c r="R57" i="53"/>
  <c r="S56" i="53"/>
  <c r="T57" i="53"/>
  <c r="S57" i="53"/>
  <c r="R58" i="53"/>
  <c r="T58" i="53"/>
  <c r="R59" i="53"/>
  <c r="S58" i="53"/>
  <c r="T59" i="53"/>
  <c r="S59" i="53"/>
  <c r="R60" i="53"/>
  <c r="T60" i="53"/>
  <c r="R61" i="53"/>
  <c r="S60" i="53"/>
  <c r="T61" i="53"/>
  <c r="S61" i="53"/>
  <c r="R62" i="53"/>
  <c r="T62" i="53"/>
  <c r="S62" i="53"/>
  <c r="R63" i="53"/>
  <c r="T63" i="53"/>
  <c r="R64" i="53"/>
  <c r="S63" i="53"/>
  <c r="T64" i="53"/>
  <c r="S64" i="53"/>
  <c r="R65" i="53"/>
  <c r="T65" i="53"/>
  <c r="R66" i="53"/>
  <c r="S65" i="53"/>
  <c r="T66" i="53"/>
  <c r="S66" i="53"/>
  <c r="R67" i="53"/>
  <c r="T67" i="53"/>
  <c r="R68" i="53"/>
  <c r="S67" i="53"/>
  <c r="T68" i="53"/>
  <c r="S68" i="53"/>
  <c r="R69" i="53"/>
  <c r="T69" i="53"/>
  <c r="R70" i="53"/>
  <c r="S69" i="53"/>
  <c r="T70" i="53"/>
  <c r="R71" i="53"/>
  <c r="S70" i="53"/>
  <c r="T71" i="53"/>
  <c r="S71" i="53"/>
  <c r="R72" i="53"/>
  <c r="T72" i="53"/>
  <c r="S72" i="53"/>
  <c r="R73" i="53"/>
  <c r="T73" i="53"/>
  <c r="S73" i="53"/>
  <c r="R74" i="53"/>
  <c r="T74" i="53"/>
  <c r="R75" i="53"/>
  <c r="S74" i="53"/>
  <c r="T75" i="53"/>
  <c r="S75" i="53"/>
  <c r="R76" i="53"/>
  <c r="T76" i="53"/>
  <c r="R77" i="53"/>
  <c r="S76" i="53"/>
  <c r="T77" i="53"/>
  <c r="R78" i="53"/>
  <c r="S77" i="53"/>
  <c r="T78" i="53"/>
  <c r="S78" i="53"/>
  <c r="R79" i="53"/>
  <c r="T79" i="53"/>
  <c r="S79" i="53"/>
  <c r="R80" i="53"/>
  <c r="T80" i="53"/>
  <c r="S80" i="53"/>
  <c r="R81" i="53"/>
  <c r="T81" i="53"/>
  <c r="R82" i="53"/>
  <c r="S81" i="53"/>
  <c r="T82" i="53"/>
  <c r="S82" i="53"/>
  <c r="R83" i="53"/>
  <c r="T83" i="53"/>
  <c r="R84" i="53"/>
  <c r="S83" i="53"/>
  <c r="T84" i="53"/>
  <c r="S84" i="53"/>
  <c r="R85" i="53"/>
  <c r="T85" i="53"/>
  <c r="R86" i="53"/>
  <c r="S85" i="53"/>
  <c r="T86" i="53"/>
  <c r="S86" i="53"/>
  <c r="R87" i="53"/>
  <c r="T87" i="53"/>
  <c r="S87" i="53"/>
  <c r="R88" i="53"/>
  <c r="T88" i="53"/>
  <c r="S88" i="53"/>
  <c r="R89" i="53"/>
  <c r="T89" i="53"/>
  <c r="S89" i="53"/>
  <c r="R90" i="53"/>
  <c r="T90" i="53"/>
  <c r="R91" i="53"/>
  <c r="S90" i="53"/>
  <c r="T91" i="53"/>
  <c r="S91" i="53"/>
  <c r="R92" i="53"/>
  <c r="T92" i="53"/>
  <c r="R93" i="53"/>
  <c r="S92" i="53"/>
  <c r="T93" i="53"/>
  <c r="S93" i="53"/>
  <c r="R94" i="53"/>
  <c r="T94" i="53"/>
  <c r="S94" i="53"/>
  <c r="R95" i="53"/>
  <c r="T95" i="53"/>
  <c r="S95" i="53"/>
  <c r="R96" i="53"/>
  <c r="T96" i="53"/>
  <c r="S96" i="53"/>
  <c r="R97" i="53"/>
  <c r="T97" i="53"/>
  <c r="R98" i="53"/>
  <c r="S97" i="53"/>
  <c r="T98" i="53"/>
  <c r="S98" i="53"/>
  <c r="R99" i="53"/>
  <c r="T99" i="53"/>
  <c r="R100" i="53"/>
  <c r="S99" i="53"/>
  <c r="T100" i="53"/>
  <c r="S100" i="53"/>
  <c r="R101" i="53"/>
  <c r="T101" i="53"/>
  <c r="R102" i="53"/>
  <c r="S101" i="53"/>
  <c r="T102" i="53"/>
  <c r="S102" i="53"/>
  <c r="R103" i="53"/>
  <c r="T103" i="53"/>
  <c r="S103" i="53"/>
  <c r="R104" i="53"/>
  <c r="T104" i="53"/>
  <c r="S104" i="53"/>
  <c r="R105" i="53"/>
  <c r="T105" i="53"/>
  <c r="S105" i="53"/>
  <c r="R106" i="53"/>
  <c r="T106" i="53"/>
  <c r="R107" i="53"/>
  <c r="S106" i="53"/>
  <c r="T107" i="53"/>
  <c r="S107" i="53"/>
  <c r="R108" i="53"/>
  <c r="T108" i="53"/>
  <c r="R109" i="53"/>
  <c r="S108" i="53"/>
  <c r="T109" i="53"/>
  <c r="S109" i="53"/>
  <c r="R110" i="53"/>
  <c r="T110" i="53"/>
  <c r="S110" i="53"/>
  <c r="R111" i="53"/>
  <c r="T111" i="53"/>
  <c r="R112" i="53"/>
  <c r="S111" i="53"/>
  <c r="T112" i="53"/>
  <c r="S112" i="53"/>
  <c r="R113" i="53"/>
  <c r="T113" i="53"/>
  <c r="R114" i="53"/>
  <c r="S113" i="53"/>
  <c r="T114" i="53"/>
  <c r="S114" i="53"/>
  <c r="R115" i="53"/>
  <c r="T115" i="53"/>
  <c r="R116" i="53"/>
  <c r="S115" i="53"/>
  <c r="T116" i="53"/>
  <c r="S116" i="53"/>
  <c r="R117" i="53"/>
  <c r="T117" i="53"/>
  <c r="R118" i="53"/>
  <c r="S117" i="53"/>
  <c r="T118" i="53"/>
  <c r="R119" i="53"/>
  <c r="S118" i="53"/>
  <c r="T119" i="53"/>
  <c r="S119" i="53"/>
  <c r="R120" i="53"/>
  <c r="T120" i="53"/>
  <c r="S120" i="53"/>
  <c r="R121" i="53"/>
  <c r="T121" i="53"/>
  <c r="S121" i="53"/>
  <c r="R122" i="53"/>
  <c r="T122" i="53"/>
  <c r="R123" i="53"/>
  <c r="S122" i="53"/>
  <c r="T123" i="53"/>
  <c r="S123" i="53"/>
  <c r="R124" i="53"/>
  <c r="T124" i="53"/>
  <c r="R125" i="53"/>
  <c r="S124" i="53"/>
  <c r="T125" i="53"/>
  <c r="R126" i="53"/>
  <c r="S125" i="53"/>
  <c r="T126" i="53"/>
  <c r="S126" i="53"/>
  <c r="R127" i="53"/>
  <c r="T127" i="53"/>
  <c r="S127" i="53"/>
  <c r="R128" i="53"/>
  <c r="T128" i="53"/>
  <c r="S128" i="53"/>
  <c r="R129" i="53"/>
  <c r="T129" i="53"/>
  <c r="R130" i="53"/>
  <c r="S129" i="53"/>
  <c r="T130" i="53"/>
  <c r="S130" i="53"/>
  <c r="R131" i="53"/>
  <c r="T131" i="53"/>
  <c r="R132" i="53"/>
  <c r="S131" i="53"/>
  <c r="T132" i="53"/>
  <c r="R133" i="53"/>
  <c r="S132" i="53"/>
  <c r="T133" i="53"/>
  <c r="R134" i="53"/>
  <c r="S133" i="53"/>
  <c r="T134" i="53"/>
  <c r="R135" i="53"/>
  <c r="S134" i="53"/>
  <c r="T135" i="53"/>
  <c r="S135" i="53"/>
  <c r="R136" i="53"/>
  <c r="T136" i="53"/>
  <c r="R137" i="53"/>
  <c r="S136" i="53"/>
  <c r="T137" i="53"/>
  <c r="S137" i="53"/>
  <c r="R138" i="53"/>
  <c r="T138" i="53"/>
  <c r="R139" i="53"/>
  <c r="S138" i="53"/>
  <c r="T139" i="53"/>
  <c r="S139" i="53"/>
  <c r="R140" i="53"/>
  <c r="T140" i="53"/>
  <c r="R141" i="53"/>
  <c r="S140" i="53"/>
  <c r="T141" i="53"/>
  <c r="S141" i="53"/>
  <c r="R142" i="53"/>
  <c r="T142" i="53"/>
  <c r="S142" i="53"/>
  <c r="R143" i="53"/>
  <c r="T143" i="53"/>
  <c r="R144" i="53"/>
  <c r="S143" i="53"/>
  <c r="T144" i="53"/>
  <c r="S144" i="53"/>
  <c r="R145" i="53"/>
  <c r="T145" i="53"/>
  <c r="R146" i="53"/>
  <c r="S145" i="53"/>
  <c r="T146" i="53"/>
  <c r="S146" i="53"/>
  <c r="R147" i="53"/>
  <c r="T147" i="53"/>
  <c r="R148" i="53"/>
  <c r="S147" i="53"/>
  <c r="T148" i="53"/>
  <c r="S148" i="53"/>
  <c r="R149" i="53"/>
  <c r="T149" i="53"/>
  <c r="R150" i="53"/>
  <c r="S149" i="53"/>
  <c r="T150" i="53"/>
  <c r="S150" i="53"/>
  <c r="R151" i="53"/>
  <c r="T151" i="53"/>
  <c r="S151" i="53"/>
  <c r="R152" i="53"/>
  <c r="T152" i="53"/>
  <c r="S152" i="53"/>
  <c r="R153" i="53"/>
  <c r="T153" i="53"/>
  <c r="S153" i="53"/>
  <c r="R154" i="53"/>
  <c r="T154" i="53"/>
  <c r="R155" i="53"/>
  <c r="S154" i="53"/>
  <c r="T155" i="53"/>
  <c r="S155" i="53"/>
  <c r="R156" i="53"/>
  <c r="T156" i="53"/>
  <c r="R157" i="53"/>
  <c r="S156" i="53"/>
  <c r="T157" i="53"/>
  <c r="S157" i="53"/>
  <c r="R158" i="53"/>
  <c r="T158" i="53"/>
  <c r="S158" i="53"/>
  <c r="R159" i="53"/>
  <c r="T159" i="53"/>
  <c r="S159" i="53"/>
  <c r="R160" i="53"/>
  <c r="T160" i="53"/>
  <c r="S160" i="53"/>
  <c r="R161" i="53"/>
  <c r="T161" i="53"/>
  <c r="R162" i="53"/>
  <c r="S161" i="53"/>
  <c r="T162" i="53"/>
  <c r="S162" i="53"/>
  <c r="R163" i="53"/>
  <c r="T163" i="53"/>
  <c r="R164" i="53"/>
  <c r="S163" i="53"/>
  <c r="T164" i="53"/>
  <c r="S164" i="53"/>
  <c r="R165" i="53"/>
  <c r="T165" i="53"/>
  <c r="R166" i="53"/>
  <c r="S165" i="53"/>
  <c r="T166" i="53"/>
  <c r="S166" i="53"/>
  <c r="R167" i="53"/>
  <c r="T167" i="53"/>
  <c r="S167" i="53"/>
  <c r="R168" i="53"/>
  <c r="T168" i="53"/>
  <c r="S168" i="53"/>
  <c r="R169" i="53"/>
  <c r="T169" i="53"/>
  <c r="S169" i="53"/>
  <c r="R170" i="53"/>
  <c r="T170" i="53"/>
  <c r="R171" i="53"/>
  <c r="S170" i="53"/>
  <c r="T171" i="53"/>
  <c r="S171" i="53"/>
  <c r="R172" i="53"/>
  <c r="T172" i="53"/>
  <c r="R173" i="53"/>
  <c r="S172" i="53"/>
  <c r="T173" i="53"/>
  <c r="R174" i="53"/>
  <c r="S173" i="53"/>
  <c r="T174" i="53"/>
  <c r="S174" i="53"/>
  <c r="R175" i="53"/>
  <c r="T175" i="53"/>
  <c r="R176" i="53"/>
  <c r="S175" i="53"/>
  <c r="T176" i="53"/>
  <c r="S176" i="53"/>
  <c r="R177" i="53"/>
  <c r="T177" i="53"/>
  <c r="R178" i="53"/>
  <c r="S177" i="53"/>
  <c r="T178" i="53"/>
  <c r="S178" i="53"/>
  <c r="R179" i="53"/>
  <c r="T179" i="53"/>
  <c r="R180" i="53"/>
  <c r="S179" i="53"/>
  <c r="T180" i="53"/>
  <c r="R181" i="53"/>
  <c r="S180" i="53"/>
  <c r="T181" i="53"/>
  <c r="R182" i="53"/>
  <c r="S181" i="53"/>
  <c r="T182" i="53"/>
  <c r="S182" i="53"/>
  <c r="R183" i="53"/>
  <c r="T183" i="53"/>
  <c r="S183" i="53"/>
  <c r="R184" i="53"/>
  <c r="T184" i="53"/>
  <c r="R185" i="53"/>
  <c r="S184" i="53"/>
  <c r="T185" i="53"/>
  <c r="S185" i="53"/>
  <c r="R186" i="53"/>
  <c r="T186" i="53"/>
  <c r="R187" i="53"/>
  <c r="S186" i="53"/>
  <c r="T187" i="53"/>
  <c r="S187" i="53"/>
  <c r="R188" i="53"/>
  <c r="T188" i="53"/>
  <c r="R189" i="53"/>
  <c r="S188" i="53"/>
  <c r="T189" i="53"/>
  <c r="S189" i="53"/>
  <c r="R190" i="53"/>
  <c r="T190" i="53"/>
  <c r="S190" i="53"/>
  <c r="R191" i="53"/>
  <c r="T191" i="53"/>
  <c r="R192" i="53"/>
  <c r="S191" i="53"/>
  <c r="T192" i="53"/>
  <c r="S192" i="53"/>
  <c r="R193" i="53"/>
  <c r="T193" i="53"/>
  <c r="R194" i="53"/>
  <c r="S193" i="53"/>
  <c r="T194" i="53"/>
  <c r="S194" i="53"/>
  <c r="R195" i="53"/>
  <c r="T195" i="53"/>
  <c r="R196" i="53"/>
  <c r="S195" i="53"/>
  <c r="T196" i="53"/>
  <c r="R197" i="53"/>
  <c r="S196" i="53"/>
  <c r="T197" i="53"/>
  <c r="R198" i="53"/>
  <c r="S197" i="53"/>
  <c r="T198" i="53"/>
  <c r="R199" i="53"/>
  <c r="S198" i="53"/>
  <c r="T199" i="53"/>
  <c r="S199" i="53"/>
  <c r="R200" i="53"/>
  <c r="T200" i="53"/>
  <c r="S200" i="53"/>
  <c r="R201" i="53"/>
  <c r="T201" i="53"/>
  <c r="S201" i="53"/>
  <c r="R202" i="53"/>
  <c r="T202" i="53"/>
  <c r="R203" i="53"/>
  <c r="S202" i="53"/>
  <c r="T203" i="53"/>
  <c r="S203" i="53"/>
  <c r="R204" i="53"/>
  <c r="T204" i="53"/>
  <c r="R205" i="53"/>
  <c r="S204" i="53"/>
  <c r="T205" i="53"/>
  <c r="R206" i="53"/>
  <c r="S205" i="53"/>
  <c r="T206" i="53"/>
  <c r="S206" i="53"/>
  <c r="R207" i="53"/>
  <c r="T207" i="53"/>
  <c r="S207" i="53"/>
  <c r="R208" i="53"/>
  <c r="T208" i="53"/>
  <c r="S208" i="53"/>
  <c r="R209" i="53"/>
  <c r="T209" i="53"/>
  <c r="R210" i="53"/>
  <c r="S209" i="53"/>
  <c r="T210" i="53"/>
  <c r="S210" i="53"/>
  <c r="R211" i="53"/>
  <c r="T211" i="53"/>
  <c r="R212" i="53"/>
  <c r="S211" i="53"/>
  <c r="T212" i="53"/>
  <c r="S212" i="53"/>
  <c r="R213" i="53"/>
  <c r="T213" i="53"/>
  <c r="S213" i="53"/>
  <c r="R214" i="53"/>
  <c r="T214" i="53"/>
  <c r="R215" i="53"/>
  <c r="S214" i="53"/>
  <c r="T215" i="53"/>
  <c r="S215" i="53"/>
  <c r="R216" i="53"/>
  <c r="T216" i="53"/>
  <c r="S216" i="53"/>
  <c r="R217" i="53"/>
  <c r="T217" i="53"/>
  <c r="R218" i="53"/>
  <c r="S217" i="53"/>
  <c r="T218" i="53"/>
  <c r="S218" i="53"/>
  <c r="R219" i="53"/>
  <c r="T219" i="53"/>
  <c r="R220" i="53"/>
  <c r="S219" i="53"/>
  <c r="T220" i="53"/>
  <c r="S220" i="53"/>
  <c r="R221" i="53"/>
  <c r="T221" i="53"/>
  <c r="S221" i="53"/>
  <c r="R222" i="53"/>
  <c r="T222" i="53"/>
  <c r="R223" i="53"/>
  <c r="S222" i="53"/>
  <c r="T223" i="53"/>
  <c r="S223" i="53"/>
  <c r="R224" i="53"/>
  <c r="T224" i="53"/>
  <c r="S224" i="53"/>
  <c r="R225" i="53"/>
  <c r="T225" i="53"/>
  <c r="R226" i="53"/>
  <c r="S225" i="53"/>
  <c r="T226" i="53"/>
  <c r="S226" i="53"/>
  <c r="R227" i="53"/>
  <c r="T227" i="53"/>
  <c r="R228" i="53"/>
  <c r="S227" i="53"/>
  <c r="T228" i="53"/>
  <c r="S228" i="53"/>
  <c r="R229" i="53"/>
  <c r="T229" i="53"/>
  <c r="S229" i="53"/>
  <c r="R230" i="53"/>
  <c r="T230" i="53"/>
  <c r="R231" i="53"/>
  <c r="S230" i="53"/>
  <c r="T231" i="53"/>
  <c r="S231" i="53"/>
  <c r="R232" i="53"/>
  <c r="T232" i="53"/>
  <c r="S232" i="53"/>
  <c r="R233" i="53"/>
  <c r="T233" i="53"/>
  <c r="R234" i="53"/>
  <c r="S233" i="53"/>
  <c r="T234" i="53"/>
  <c r="S234" i="53"/>
  <c r="R235" i="53"/>
  <c r="T235" i="53"/>
  <c r="R236" i="53"/>
  <c r="S235" i="53"/>
  <c r="T236" i="53"/>
  <c r="S236" i="53"/>
  <c r="R237" i="53"/>
  <c r="T237" i="53"/>
  <c r="S237" i="53"/>
  <c r="R238" i="53"/>
  <c r="T238" i="53"/>
  <c r="R239" i="53"/>
  <c r="S238" i="53"/>
  <c r="T239" i="53"/>
  <c r="S239" i="53"/>
  <c r="R240" i="53"/>
  <c r="T240" i="53"/>
  <c r="S240" i="53"/>
  <c r="R241" i="53"/>
  <c r="T241" i="53"/>
  <c r="R242" i="53"/>
  <c r="S241" i="53"/>
  <c r="T242" i="53"/>
  <c r="S242" i="53"/>
  <c r="R243" i="53"/>
  <c r="T243" i="53"/>
  <c r="R244" i="53"/>
  <c r="S243" i="53"/>
  <c r="T244" i="53"/>
  <c r="S244" i="53"/>
  <c r="R245" i="53"/>
  <c r="T245" i="53"/>
  <c r="S245" i="53"/>
  <c r="R246" i="53"/>
  <c r="T246" i="53"/>
  <c r="R247" i="53"/>
  <c r="S246" i="53"/>
  <c r="T247" i="53"/>
  <c r="S247" i="53"/>
  <c r="R248" i="53"/>
  <c r="T248" i="53"/>
  <c r="S248" i="53"/>
  <c r="R249" i="53"/>
  <c r="T249" i="53"/>
  <c r="R250" i="53"/>
  <c r="S249" i="53"/>
  <c r="T250" i="53"/>
  <c r="S250" i="53"/>
  <c r="R251" i="53"/>
  <c r="T251" i="53"/>
  <c r="R252" i="53"/>
  <c r="S251" i="53"/>
  <c r="T252" i="53"/>
  <c r="S252" i="53"/>
  <c r="R253" i="53"/>
  <c r="T253" i="53"/>
  <c r="S253" i="53"/>
  <c r="R254" i="53"/>
  <c r="T254" i="53"/>
  <c r="R255" i="53"/>
  <c r="S254" i="53"/>
  <c r="T255" i="53"/>
  <c r="S255" i="53"/>
  <c r="R256" i="53"/>
  <c r="T256" i="53"/>
  <c r="S256" i="53"/>
  <c r="R257" i="53"/>
  <c r="T257" i="53"/>
  <c r="R258" i="53"/>
  <c r="S257" i="53"/>
  <c r="T258" i="53"/>
  <c r="S258" i="53"/>
  <c r="R259" i="53"/>
  <c r="T259" i="53"/>
  <c r="R260" i="53"/>
  <c r="S259" i="53"/>
  <c r="T260" i="53"/>
  <c r="S260" i="53"/>
  <c r="R261" i="53"/>
  <c r="T261" i="53"/>
  <c r="S261" i="53"/>
  <c r="R262" i="53"/>
  <c r="T262" i="53"/>
  <c r="S262" i="53"/>
  <c r="BD7" i="54"/>
  <c r="BC8" i="54"/>
  <c r="BD8" i="54"/>
  <c r="BC9" i="54"/>
  <c r="BD9" i="54"/>
  <c r="BC10" i="54"/>
  <c r="BD10" i="54"/>
  <c r="BC11" i="54"/>
  <c r="BD11" i="54"/>
  <c r="BC12" i="54"/>
  <c r="BD12" i="54"/>
  <c r="BC13" i="54"/>
  <c r="BD13" i="54"/>
  <c r="BC14" i="54"/>
  <c r="BD14" i="54"/>
  <c r="BC15" i="54"/>
  <c r="BD15" i="54"/>
  <c r="BC16" i="54"/>
  <c r="BD16" i="54"/>
  <c r="BC17" i="54"/>
  <c r="BD17" i="54"/>
  <c r="BC18" i="54"/>
  <c r="BD18" i="54"/>
  <c r="BC19" i="54"/>
  <c r="BD19" i="54"/>
  <c r="BC20" i="54"/>
  <c r="BD20" i="54"/>
  <c r="BC21" i="54"/>
  <c r="BD21" i="54"/>
  <c r="BC22" i="54"/>
  <c r="BD22" i="54"/>
  <c r="BC23" i="54"/>
  <c r="BD23" i="54"/>
  <c r="BC24" i="54"/>
  <c r="BD24" i="54"/>
  <c r="BC25" i="54"/>
  <c r="BD25" i="54"/>
  <c r="BC26" i="54"/>
  <c r="BD26" i="54"/>
  <c r="BC27" i="54"/>
  <c r="BD27" i="54"/>
  <c r="BC28" i="54"/>
  <c r="BD28" i="54"/>
  <c r="BC29" i="54"/>
  <c r="BD29" i="54"/>
  <c r="BC30" i="54"/>
  <c r="BD30" i="54"/>
  <c r="BC31" i="54"/>
  <c r="BD31" i="54"/>
  <c r="BC32" i="54"/>
  <c r="BD32" i="54"/>
  <c r="BC33" i="54"/>
  <c r="BD33" i="54"/>
  <c r="BC34" i="54"/>
  <c r="BD34" i="54"/>
  <c r="BC35" i="54"/>
  <c r="BD35" i="54"/>
  <c r="BC36" i="54"/>
  <c r="BD36" i="54"/>
  <c r="BC37" i="54"/>
  <c r="BD37" i="54"/>
  <c r="BC38" i="54"/>
  <c r="BD38" i="54"/>
  <c r="BC39" i="54"/>
  <c r="BD39" i="54"/>
  <c r="BC40" i="54"/>
  <c r="BD40" i="54"/>
  <c r="BC41" i="54"/>
  <c r="BD41" i="54"/>
  <c r="BC42" i="54"/>
  <c r="BD42" i="54"/>
  <c r="BC43" i="54"/>
  <c r="BD43" i="54"/>
  <c r="BC44" i="54"/>
  <c r="BD44" i="54"/>
  <c r="BC45" i="54"/>
  <c r="BD45" i="54"/>
  <c r="BC46" i="54"/>
  <c r="BD46" i="54"/>
  <c r="BC47" i="54"/>
  <c r="BD47" i="54"/>
  <c r="BC48" i="54"/>
  <c r="BD48" i="54"/>
  <c r="BC49" i="54"/>
  <c r="BD49" i="54"/>
  <c r="BC50" i="54"/>
  <c r="BD50" i="54"/>
  <c r="BC51" i="54"/>
  <c r="BD51" i="54"/>
  <c r="BC52" i="54"/>
  <c r="BD52" i="54"/>
  <c r="BC53" i="54"/>
  <c r="BD53" i="54"/>
  <c r="BC54" i="54"/>
  <c r="BD54" i="54"/>
  <c r="BC55" i="54"/>
  <c r="BD55" i="54"/>
  <c r="BC56" i="54"/>
  <c r="BD56" i="54"/>
  <c r="BC57" i="54"/>
  <c r="BD57" i="54"/>
  <c r="BC58" i="54"/>
  <c r="BD58" i="54"/>
  <c r="BC59" i="54"/>
  <c r="BD59" i="54"/>
  <c r="BC60" i="54"/>
  <c r="BD60" i="54"/>
  <c r="BC61" i="54"/>
  <c r="BD61" i="54"/>
  <c r="BC62" i="54"/>
  <c r="BD62" i="54"/>
  <c r="BC63" i="54"/>
  <c r="BD63" i="54"/>
  <c r="BC64" i="54"/>
  <c r="BD64" i="54"/>
  <c r="BC65" i="54"/>
  <c r="BD65" i="54"/>
  <c r="BC66" i="54"/>
  <c r="BD66" i="54"/>
  <c r="BC67" i="54"/>
  <c r="BD67" i="54"/>
  <c r="BC68" i="54"/>
  <c r="BD68" i="54"/>
  <c r="BC69" i="54"/>
  <c r="BD69" i="54"/>
  <c r="BC70" i="54"/>
  <c r="BD70" i="54"/>
  <c r="BC71" i="54"/>
  <c r="BD71" i="54"/>
  <c r="BC72" i="54"/>
  <c r="BD72" i="54"/>
  <c r="G14" i="54" l="1"/>
  <c r="K17" i="53"/>
  <c r="K15" i="53"/>
  <c r="G3" i="54"/>
  <c r="L3" i="54"/>
  <c r="K3" i="54"/>
  <c r="K16" i="53"/>
  <c r="K18" i="53"/>
  <c r="K11" i="53"/>
  <c r="K19" i="53"/>
  <c r="K12" i="53"/>
  <c r="M12" i="53" s="1"/>
  <c r="K20" i="53"/>
  <c r="K13" i="53"/>
  <c r="K21" i="53"/>
  <c r="K14" i="53"/>
  <c r="K22" i="53"/>
  <c r="I3" i="53"/>
  <c r="M19" i="53"/>
  <c r="M11" i="53"/>
  <c r="M10" i="53"/>
  <c r="M17" i="53"/>
  <c r="M6" i="53"/>
  <c r="M7" i="53"/>
  <c r="M20" i="53"/>
  <c r="M9" i="53"/>
  <c r="M8" i="53"/>
  <c r="M15" i="53"/>
  <c r="M5" i="53"/>
  <c r="D15" i="40"/>
  <c r="C16" i="40"/>
  <c r="A17" i="40"/>
  <c r="F11" i="53"/>
  <c r="F17" i="53"/>
  <c r="F19" i="53"/>
  <c r="F15" i="53"/>
  <c r="F12" i="53"/>
  <c r="F20" i="53"/>
  <c r="F13" i="53"/>
  <c r="F21" i="53"/>
  <c r="F14" i="53"/>
  <c r="F18" i="53"/>
  <c r="F16" i="53"/>
  <c r="F22" i="53"/>
  <c r="E16" i="40"/>
  <c r="M16" i="53" l="1"/>
  <c r="M18" i="53"/>
  <c r="M13" i="53"/>
  <c r="M14" i="53"/>
  <c r="M21" i="53"/>
  <c r="M22" i="53"/>
  <c r="D16" i="40"/>
  <c r="C17" i="40"/>
  <c r="A18" i="40"/>
  <c r="E17" i="40"/>
  <c r="D17" i="40" l="1"/>
  <c r="C18" i="40"/>
  <c r="A19" i="40"/>
  <c r="E18" i="40"/>
  <c r="D18" i="40" l="1"/>
  <c r="C19" i="40"/>
  <c r="A20" i="40"/>
  <c r="D6" i="29"/>
  <c r="D25" i="54" s="1"/>
  <c r="E4" i="54"/>
  <c r="E15" i="54"/>
  <c r="E7" i="54"/>
  <c r="E8" i="54"/>
  <c r="E19" i="54"/>
  <c r="E9" i="54"/>
  <c r="E5" i="54"/>
  <c r="E6" i="54"/>
  <c r="E16" i="54"/>
  <c r="E20" i="54"/>
  <c r="E17" i="54"/>
  <c r="E3" i="54"/>
  <c r="E14" i="54"/>
  <c r="E18" i="54"/>
  <c r="AD41" i="54"/>
  <c r="E19" i="40"/>
  <c r="M4" i="54"/>
  <c r="O4" i="54"/>
  <c r="M7" i="54"/>
  <c r="O7" i="54"/>
  <c r="M8" i="54"/>
  <c r="O8" i="54"/>
  <c r="M9" i="54"/>
  <c r="O9" i="54"/>
  <c r="M5" i="54"/>
  <c r="O5" i="54"/>
  <c r="M6" i="54"/>
  <c r="O6" i="54"/>
  <c r="M3" i="54"/>
  <c r="O3" i="54"/>
  <c r="R3" i="54" l="1"/>
  <c r="P3" i="54"/>
  <c r="Q3" i="54"/>
  <c r="P6" i="54"/>
  <c r="Q6" i="54"/>
  <c r="R6" i="54"/>
  <c r="P5" i="54"/>
  <c r="R5" i="54"/>
  <c r="Q5" i="54"/>
  <c r="P9" i="54"/>
  <c r="R9" i="54"/>
  <c r="Q9" i="54"/>
  <c r="Q8" i="54"/>
  <c r="R8" i="54"/>
  <c r="P8" i="54"/>
  <c r="R7" i="54"/>
  <c r="Q7" i="54"/>
  <c r="P7" i="54"/>
  <c r="R4" i="54"/>
  <c r="Q4" i="54"/>
  <c r="P4" i="54"/>
  <c r="J19" i="54"/>
  <c r="J20" i="54"/>
  <c r="J14" i="54"/>
  <c r="J17" i="54"/>
  <c r="J18" i="54"/>
  <c r="J15" i="54"/>
  <c r="J16" i="54"/>
  <c r="D4" i="53"/>
  <c r="D19" i="40"/>
  <c r="C20" i="40"/>
  <c r="A21" i="40"/>
  <c r="D4" i="40"/>
  <c r="O11" i="45"/>
  <c r="D10" i="49"/>
  <c r="C3" i="49" s="1"/>
  <c r="D25" i="39"/>
  <c r="D10" i="48"/>
  <c r="C3" i="48" s="1"/>
  <c r="O12" i="47"/>
  <c r="J3" i="45"/>
  <c r="J3" i="47"/>
  <c r="I4" i="53"/>
  <c r="E20" i="40"/>
  <c r="K4" i="53" l="1"/>
  <c r="D20" i="40"/>
  <c r="D21" i="49"/>
  <c r="AB3" i="49"/>
  <c r="D16" i="48"/>
  <c r="D22" i="49"/>
  <c r="D16" i="49"/>
  <c r="D18" i="48"/>
  <c r="D26" i="49"/>
  <c r="P26" i="45"/>
  <c r="D19" i="49"/>
  <c r="D17" i="49"/>
  <c r="D24" i="49"/>
  <c r="D20" i="49"/>
  <c r="D18" i="49"/>
  <c r="D29" i="49"/>
  <c r="D15" i="49"/>
  <c r="D4" i="48"/>
  <c r="D25" i="49"/>
  <c r="D30" i="49"/>
  <c r="AB3" i="48"/>
  <c r="D23" i="49"/>
  <c r="D14" i="39"/>
  <c r="D19" i="48"/>
  <c r="G3" i="40"/>
  <c r="D15" i="48"/>
  <c r="D3" i="39"/>
  <c r="D27" i="49"/>
  <c r="R3" i="40"/>
  <c r="BC6" i="39"/>
  <c r="D28" i="49"/>
  <c r="D4" i="49"/>
  <c r="D17" i="48"/>
  <c r="C21" i="40"/>
  <c r="A22" i="40"/>
  <c r="F4" i="53"/>
  <c r="I14" i="39"/>
  <c r="E21" i="40"/>
  <c r="N3" i="39"/>
  <c r="T3" i="40"/>
  <c r="M4" i="53" l="1"/>
  <c r="D21" i="40"/>
  <c r="C22" i="40"/>
  <c r="AG19" i="39" a="1"/>
  <c r="AG9" i="39" a="1"/>
  <c r="AG14" i="39" a="1"/>
  <c r="E22" i="40"/>
  <c r="D22" i="40" l="1"/>
  <c r="AG16" i="39"/>
  <c r="AG15" i="39"/>
  <c r="AG14" i="39"/>
  <c r="AG9" i="39"/>
  <c r="AG10" i="39"/>
  <c r="AG21" i="39"/>
  <c r="AG19" i="39"/>
  <c r="AG20" i="39"/>
  <c r="AG5" i="39" a="1"/>
  <c r="AG6" i="39" l="1"/>
  <c r="AG5" i="39"/>
  <c r="E40" i="39"/>
  <c r="G7" i="40"/>
  <c r="F45" i="39"/>
  <c r="D14" i="35"/>
  <c r="F37" i="39"/>
  <c r="F39" i="39"/>
  <c r="D40" i="35"/>
  <c r="E21" i="49"/>
  <c r="D12" i="35"/>
  <c r="H4" i="40"/>
  <c r="E41" i="39"/>
  <c r="D33" i="35"/>
  <c r="D2" i="35"/>
  <c r="D35" i="35"/>
  <c r="G18" i="40"/>
  <c r="D6" i="48"/>
  <c r="G19" i="40"/>
  <c r="E28" i="49"/>
  <c r="D10" i="35"/>
  <c r="G4" i="48"/>
  <c r="D21" i="35"/>
  <c r="P31" i="47"/>
  <c r="G22" i="40"/>
  <c r="D18" i="35"/>
  <c r="F48" i="39"/>
  <c r="D34" i="35"/>
  <c r="G8" i="40"/>
  <c r="P33" i="47"/>
  <c r="D8" i="39"/>
  <c r="E37" i="39"/>
  <c r="D16" i="39"/>
  <c r="E46" i="39"/>
  <c r="D18" i="29"/>
  <c r="AB4" i="49"/>
  <c r="E24" i="49"/>
  <c r="B1" i="29"/>
  <c r="D48" i="35"/>
  <c r="G11" i="40"/>
  <c r="F50" i="39"/>
  <c r="P35" i="47"/>
  <c r="K3" i="45"/>
  <c r="G9" i="40"/>
  <c r="D19" i="39"/>
  <c r="I19" i="39" s="1"/>
  <c r="D23" i="35"/>
  <c r="E29" i="49"/>
  <c r="E4" i="49"/>
  <c r="E38" i="39"/>
  <c r="D19" i="35"/>
  <c r="E19" i="48"/>
  <c r="D28" i="35"/>
  <c r="G4" i="49"/>
  <c r="D13" i="35"/>
  <c r="E17" i="48"/>
  <c r="F41" i="39"/>
  <c r="D5" i="48"/>
  <c r="G6" i="40"/>
  <c r="D22" i="35"/>
  <c r="D4" i="39"/>
  <c r="E4" i="39" s="1"/>
  <c r="D5" i="39"/>
  <c r="I5" i="39" s="1"/>
  <c r="D30" i="35"/>
  <c r="H9" i="40"/>
  <c r="F49" i="39"/>
  <c r="H19" i="40"/>
  <c r="I4" i="39"/>
  <c r="F47" i="39"/>
  <c r="E47" i="39"/>
  <c r="E14" i="39"/>
  <c r="E25" i="49"/>
  <c r="F25" i="49" s="1"/>
  <c r="D39" i="35"/>
  <c r="F51" i="39"/>
  <c r="E17" i="49"/>
  <c r="F17" i="49" s="1"/>
  <c r="D37" i="35"/>
  <c r="E15" i="48"/>
  <c r="D4" i="35"/>
  <c r="G21" i="40"/>
  <c r="H21" i="40" s="1"/>
  <c r="G10" i="40"/>
  <c r="D9" i="35"/>
  <c r="AD44" i="39"/>
  <c r="D46" i="35"/>
  <c r="E23" i="49"/>
  <c r="D43" i="35"/>
  <c r="K3" i="47"/>
  <c r="H3" i="40"/>
  <c r="D11" i="35"/>
  <c r="E16" i="49"/>
  <c r="D7" i="48"/>
  <c r="E7" i="48" s="1"/>
  <c r="D7" i="35"/>
  <c r="D16" i="35"/>
  <c r="G5" i="40"/>
  <c r="D17" i="39"/>
  <c r="I17" i="39" s="1"/>
  <c r="F46" i="39"/>
  <c r="D47" i="35"/>
  <c r="D5" i="49"/>
  <c r="G5" i="49" s="1"/>
  <c r="F23" i="49"/>
  <c r="D5" i="35"/>
  <c r="D18" i="39"/>
  <c r="I18" i="39" s="1"/>
  <c r="E48" i="39"/>
  <c r="D50" i="35"/>
  <c r="D49" i="35"/>
  <c r="G13" i="40"/>
  <c r="D6" i="49"/>
  <c r="H4" i="49"/>
  <c r="E42" i="39"/>
  <c r="H11" i="40"/>
  <c r="H7" i="48"/>
  <c r="F42" i="39"/>
  <c r="E5" i="49"/>
  <c r="G20" i="40"/>
  <c r="E27" i="49"/>
  <c r="F27" i="49" s="1"/>
  <c r="E49" i="39"/>
  <c r="F40" i="39"/>
  <c r="E5" i="48"/>
  <c r="E39" i="39"/>
  <c r="D31" i="35"/>
  <c r="AB4" i="48"/>
  <c r="G5" i="48"/>
  <c r="D17" i="35"/>
  <c r="F36" i="39"/>
  <c r="E15" i="49"/>
  <c r="F15" i="49" s="1"/>
  <c r="E44" i="39"/>
  <c r="D6" i="39"/>
  <c r="F15" i="48"/>
  <c r="E43" i="39"/>
  <c r="I3" i="39"/>
  <c r="D45" i="35"/>
  <c r="G14" i="40"/>
  <c r="E6" i="48"/>
  <c r="E3" i="39"/>
  <c r="R4" i="40"/>
  <c r="R5" i="40" s="1"/>
  <c r="D24" i="35"/>
  <c r="G16" i="40"/>
  <c r="H16" i="40" s="1"/>
  <c r="D7" i="39"/>
  <c r="H20" i="40"/>
  <c r="D6" i="35"/>
  <c r="P34" i="47"/>
  <c r="I8" i="39"/>
  <c r="H18" i="40"/>
  <c r="F17" i="48"/>
  <c r="D27" i="35"/>
  <c r="P36" i="47"/>
  <c r="P32" i="47"/>
  <c r="L13" i="45" a="1"/>
  <c r="E19" i="49"/>
  <c r="F19" i="49" s="1"/>
  <c r="E51" i="39"/>
  <c r="D20" i="35"/>
  <c r="D20" i="39"/>
  <c r="D44" i="35"/>
  <c r="E16" i="48"/>
  <c r="F16" i="48" s="1"/>
  <c r="F16" i="49"/>
  <c r="O3" i="47"/>
  <c r="AC3" i="48"/>
  <c r="G15" i="40"/>
  <c r="E4" i="48"/>
  <c r="H4" i="48" s="1"/>
  <c r="E20" i="49"/>
  <c r="G17" i="40"/>
  <c r="H7" i="40"/>
  <c r="E8" i="39"/>
  <c r="L3" i="45"/>
  <c r="AB5" i="48"/>
  <c r="R6" i="40"/>
  <c r="R7" i="40" s="1"/>
  <c r="D36" i="35"/>
  <c r="E18" i="49"/>
  <c r="F18" i="49" s="1"/>
  <c r="E36" i="39"/>
  <c r="H5" i="49"/>
  <c r="E6" i="39"/>
  <c r="H8" i="40"/>
  <c r="D41" i="35"/>
  <c r="E22" i="49"/>
  <c r="E5" i="39"/>
  <c r="D32" i="35"/>
  <c r="F38" i="39"/>
  <c r="F28" i="49"/>
  <c r="I6" i="39"/>
  <c r="S3" i="45"/>
  <c r="AC4" i="48"/>
  <c r="E50" i="39"/>
  <c r="E30" i="49"/>
  <c r="F30" i="49" s="1"/>
  <c r="D7" i="49"/>
  <c r="D26" i="35"/>
  <c r="D15" i="35"/>
  <c r="D15" i="39"/>
  <c r="I15" i="39" s="1"/>
  <c r="E15" i="39"/>
  <c r="H10" i="40"/>
  <c r="D8" i="35"/>
  <c r="D9" i="39"/>
  <c r="D3" i="35"/>
  <c r="AC3" i="49"/>
  <c r="G7" i="48"/>
  <c r="O3" i="45"/>
  <c r="R8" i="40"/>
  <c r="R9" i="40" s="1"/>
  <c r="R10" i="40" s="1"/>
  <c r="R11" i="40" s="1"/>
  <c r="G12" i="40"/>
  <c r="H12" i="40" s="1"/>
  <c r="D38" i="35"/>
  <c r="BD6" i="39"/>
  <c r="D29" i="35"/>
  <c r="E7" i="39"/>
  <c r="BC7" i="39"/>
  <c r="BC8" i="39" s="1"/>
  <c r="D25" i="35"/>
  <c r="L14" i="47" a="1"/>
  <c r="AB5" i="49"/>
  <c r="AB6" i="49" s="1"/>
  <c r="F43" i="39"/>
  <c r="D42" i="35"/>
  <c r="E18" i="48"/>
  <c r="F44" i="39"/>
  <c r="E26" i="49"/>
  <c r="F26" i="49" s="1"/>
  <c r="I7" i="39"/>
  <c r="O5" i="39"/>
  <c r="T11" i="40"/>
  <c r="T6" i="40"/>
  <c r="R12" i="40"/>
  <c r="T3" i="45"/>
  <c r="AC4" i="49"/>
  <c r="O6" i="39"/>
  <c r="N7" i="39"/>
  <c r="T8" i="40"/>
  <c r="AC5" i="49"/>
  <c r="T10" i="40"/>
  <c r="T4" i="40"/>
  <c r="BD7" i="39"/>
  <c r="O8" i="39"/>
  <c r="O4" i="39"/>
  <c r="N4" i="39"/>
  <c r="O3" i="39"/>
  <c r="T9" i="40"/>
  <c r="T5" i="40"/>
  <c r="N8" i="39"/>
  <c r="N6" i="39"/>
  <c r="N5" i="39"/>
  <c r="O7" i="39"/>
  <c r="N9" i="39"/>
  <c r="T7" i="40"/>
  <c r="Q6" i="45"/>
  <c r="Q7" i="47"/>
  <c r="Q8" i="45"/>
  <c r="Q5" i="47"/>
  <c r="Q8" i="47"/>
  <c r="Q10" i="47"/>
  <c r="Q7" i="45"/>
  <c r="Q6" i="47"/>
  <c r="Q9" i="47"/>
  <c r="Q5" i="45"/>
  <c r="Q4" i="45"/>
  <c r="Q9" i="45"/>
  <c r="L3" i="47"/>
  <c r="S3" i="47"/>
  <c r="R14" i="47" s="1" a="1"/>
  <c r="T3" i="47"/>
  <c r="S14" i="47" s="1" a="1"/>
  <c r="G6" i="49"/>
  <c r="E6" i="49"/>
  <c r="H6" i="49" s="1"/>
  <c r="AC5" i="48"/>
  <c r="AB6" i="48"/>
  <c r="E7" i="49"/>
  <c r="H7" i="49" s="1"/>
  <c r="G7" i="49"/>
  <c r="E9" i="39"/>
  <c r="O9" i="39" s="1"/>
  <c r="I9" i="39"/>
  <c r="BC9" i="39"/>
  <c r="AB7" i="49"/>
  <c r="AC6" i="49"/>
  <c r="AB7" i="48"/>
  <c r="AC6" i="48"/>
  <c r="BD9" i="39"/>
  <c r="BC10" i="39"/>
  <c r="AB8" i="49"/>
  <c r="AC7" i="49"/>
  <c r="AC7" i="48"/>
  <c r="AB8" i="48"/>
  <c r="BD10" i="39"/>
  <c r="BC11" i="39"/>
  <c r="AC8" i="49"/>
  <c r="AB9" i="49"/>
  <c r="AB9" i="48"/>
  <c r="AC8" i="48"/>
  <c r="BC12" i="39"/>
  <c r="BD11" i="39"/>
  <c r="AB10" i="49"/>
  <c r="AC9" i="49"/>
  <c r="AB10" i="48"/>
  <c r="AC9" i="48"/>
  <c r="BC13" i="39"/>
  <c r="BD12" i="39"/>
  <c r="AB11" i="49"/>
  <c r="AC10" i="49"/>
  <c r="AB11" i="48"/>
  <c r="AC10" i="48"/>
  <c r="BC14" i="39"/>
  <c r="BD13" i="39"/>
  <c r="AB12" i="49"/>
  <c r="AC11" i="49"/>
  <c r="AC11" i="48"/>
  <c r="AB12" i="48"/>
  <c r="BC15" i="39"/>
  <c r="BD14" i="39"/>
  <c r="AC12" i="49"/>
  <c r="AB13" i="49"/>
  <c r="AC12" i="48"/>
  <c r="AB13" i="48"/>
  <c r="BD15" i="39"/>
  <c r="BC16" i="39"/>
  <c r="AB14" i="49"/>
  <c r="AC13" i="49"/>
  <c r="AC13" i="48"/>
  <c r="AB14" i="48"/>
  <c r="BC17" i="39"/>
  <c r="BD16" i="39"/>
  <c r="AC14" i="49"/>
  <c r="AB15" i="49"/>
  <c r="AB15" i="48"/>
  <c r="AC14" i="48"/>
  <c r="BD17" i="39"/>
  <c r="BC18" i="39"/>
  <c r="AB16" i="49"/>
  <c r="AC15" i="49"/>
  <c r="AC15" i="48"/>
  <c r="AB16" i="48"/>
  <c r="BD18" i="39"/>
  <c r="BC19" i="39"/>
  <c r="AC16" i="49"/>
  <c r="AB17" i="49"/>
  <c r="AC16" i="48"/>
  <c r="AB17" i="48"/>
  <c r="BC20" i="39"/>
  <c r="BD19" i="39"/>
  <c r="AC17" i="49"/>
  <c r="AB18" i="49"/>
  <c r="AB18" i="48"/>
  <c r="AC17" i="48"/>
  <c r="BC21" i="39"/>
  <c r="BD20" i="39"/>
  <c r="AB19" i="49"/>
  <c r="AC18" i="49"/>
  <c r="AB19" i="48"/>
  <c r="AC18" i="48"/>
  <c r="BC22" i="39"/>
  <c r="BD21" i="39"/>
  <c r="AB20" i="49"/>
  <c r="AC19" i="49"/>
  <c r="AC19" i="48"/>
  <c r="AB20" i="48"/>
  <c r="BC23" i="39"/>
  <c r="BD22" i="39"/>
  <c r="AC20" i="49"/>
  <c r="AB21" i="49"/>
  <c r="AC20" i="48"/>
  <c r="AB21" i="48"/>
  <c r="BC24" i="39"/>
  <c r="BD23" i="39"/>
  <c r="AB22" i="49"/>
  <c r="AC21" i="49"/>
  <c r="AC21" i="48"/>
  <c r="AB22" i="48"/>
  <c r="BD24" i="39"/>
  <c r="BC25" i="39"/>
  <c r="AB23" i="49"/>
  <c r="AC22" i="49"/>
  <c r="AB23" i="48"/>
  <c r="AC22" i="48"/>
  <c r="BD25" i="39"/>
  <c r="BC26" i="39"/>
  <c r="AB24" i="49"/>
  <c r="AC23" i="49"/>
  <c r="AC23" i="48"/>
  <c r="AB24" i="48"/>
  <c r="BD26" i="39"/>
  <c r="BC27" i="39"/>
  <c r="AB25" i="49"/>
  <c r="AC24" i="49"/>
  <c r="AC24" i="48"/>
  <c r="AB25" i="48"/>
  <c r="BD27" i="39"/>
  <c r="BC28" i="39"/>
  <c r="AB26" i="49"/>
  <c r="AC25" i="49"/>
  <c r="AC25" i="48"/>
  <c r="AB26" i="48"/>
  <c r="AC26" i="48" s="1"/>
  <c r="BC29" i="39"/>
  <c r="BD28" i="39"/>
  <c r="AB27" i="49"/>
  <c r="AC26" i="49"/>
  <c r="BC30" i="39"/>
  <c r="BD29" i="39"/>
  <c r="AC27" i="49"/>
  <c r="AB28" i="49"/>
  <c r="BC31" i="39"/>
  <c r="BD30" i="39"/>
  <c r="AC28" i="49"/>
  <c r="AB29" i="49"/>
  <c r="BD31" i="39"/>
  <c r="BC32" i="39"/>
  <c r="AC29" i="49"/>
  <c r="AB30" i="49"/>
  <c r="BC33" i="39"/>
  <c r="BD32" i="39"/>
  <c r="AB31" i="49"/>
  <c r="AC30" i="49"/>
  <c r="BC34" i="39"/>
  <c r="BD33" i="39"/>
  <c r="AB32" i="49"/>
  <c r="AC31" i="49"/>
  <c r="BD34" i="39"/>
  <c r="BC35" i="39"/>
  <c r="AB33" i="49"/>
  <c r="AC32" i="49"/>
  <c r="BC36" i="39"/>
  <c r="BD35" i="39"/>
  <c r="AB34" i="49"/>
  <c r="AC33" i="49"/>
  <c r="BD36" i="39"/>
  <c r="BC37" i="39"/>
  <c r="AC34" i="49"/>
  <c r="AB35" i="49"/>
  <c r="BD37" i="39"/>
  <c r="BC38" i="39"/>
  <c r="AC35" i="49"/>
  <c r="AB36" i="49"/>
  <c r="BC39" i="39"/>
  <c r="BD38" i="39"/>
  <c r="AC36" i="49"/>
  <c r="AB37" i="49"/>
  <c r="BD39" i="39"/>
  <c r="BC40" i="39"/>
  <c r="AB38" i="49"/>
  <c r="AC37" i="49"/>
  <c r="BD40" i="39"/>
  <c r="BC41" i="39"/>
  <c r="AC38" i="49"/>
  <c r="AB39" i="49"/>
  <c r="BD41" i="39"/>
  <c r="BC42" i="39"/>
  <c r="AB40" i="49"/>
  <c r="AC39" i="49"/>
  <c r="BD42" i="39"/>
  <c r="BC43" i="39"/>
  <c r="AB41" i="49"/>
  <c r="AC40" i="49"/>
  <c r="BC44" i="39"/>
  <c r="BD43" i="39"/>
  <c r="AB42" i="49"/>
  <c r="AC41" i="49"/>
  <c r="BC45" i="39"/>
  <c r="BD44" i="39"/>
  <c r="AB43" i="49"/>
  <c r="AC42" i="49"/>
  <c r="BD45" i="39"/>
  <c r="BC46" i="39"/>
  <c r="AC43" i="49"/>
  <c r="AB44" i="49"/>
  <c r="BC47" i="39"/>
  <c r="BD46" i="39"/>
  <c r="AB45" i="49"/>
  <c r="AC44" i="49"/>
  <c r="BC48" i="39"/>
  <c r="BD47" i="39"/>
  <c r="AB46" i="49"/>
  <c r="AC45" i="49"/>
  <c r="BC49" i="39"/>
  <c r="BD48" i="39"/>
  <c r="AB47" i="49"/>
  <c r="AC46" i="49"/>
  <c r="BC50" i="39"/>
  <c r="BD49" i="39"/>
  <c r="AB48" i="49"/>
  <c r="AC47" i="49"/>
  <c r="BD50" i="39"/>
  <c r="BC51" i="39"/>
  <c r="AC48" i="49"/>
  <c r="AB49" i="49"/>
  <c r="BC52" i="39"/>
  <c r="BD51" i="39"/>
  <c r="AC49" i="49"/>
  <c r="AB50" i="49"/>
  <c r="BC53" i="39"/>
  <c r="BD52" i="39"/>
  <c r="AC50" i="49"/>
  <c r="AB51" i="49"/>
  <c r="BC54" i="39"/>
  <c r="BD53" i="39"/>
  <c r="AC51" i="49"/>
  <c r="AB52" i="49"/>
  <c r="BC55" i="39"/>
  <c r="BD54" i="39"/>
  <c r="AC52" i="49"/>
  <c r="AB53" i="49"/>
  <c r="BC56" i="39"/>
  <c r="BD55" i="39"/>
  <c r="AC53" i="49"/>
  <c r="AB54" i="49"/>
  <c r="BC57" i="39"/>
  <c r="BD56" i="39"/>
  <c r="AC54" i="49"/>
  <c r="AB55" i="49"/>
  <c r="BC58" i="39"/>
  <c r="BD57" i="39"/>
  <c r="AC55" i="49"/>
  <c r="AB56" i="49"/>
  <c r="BD58" i="39"/>
  <c r="BC59" i="39"/>
  <c r="AC56" i="49"/>
  <c r="AB57" i="49"/>
  <c r="BC60" i="39"/>
  <c r="BD59" i="39"/>
  <c r="AB58" i="49"/>
  <c r="AC57" i="49"/>
  <c r="BC61" i="39"/>
  <c r="BD60" i="39"/>
  <c r="AB59" i="49"/>
  <c r="AC58" i="49"/>
  <c r="BC62" i="39"/>
  <c r="BD61" i="39"/>
  <c r="AB60" i="49"/>
  <c r="AC59" i="49"/>
  <c r="BC63" i="39"/>
  <c r="BD62" i="39"/>
  <c r="AB61" i="49"/>
  <c r="AC60" i="49"/>
  <c r="BC64" i="39"/>
  <c r="BD63" i="39"/>
  <c r="AB62" i="49"/>
  <c r="AC61" i="49"/>
  <c r="BD64" i="39"/>
  <c r="BC65" i="39"/>
  <c r="AB63" i="49"/>
  <c r="AC62" i="49"/>
  <c r="BD65" i="39"/>
  <c r="BC66" i="39"/>
  <c r="AB64" i="49"/>
  <c r="AC63" i="49"/>
  <c r="BD66" i="39"/>
  <c r="BC67" i="39"/>
  <c r="AB65" i="49"/>
  <c r="AC64" i="49"/>
  <c r="BD67" i="39"/>
  <c r="BC68" i="39"/>
  <c r="AC65" i="49"/>
  <c r="AB66" i="49"/>
  <c r="BD68" i="39"/>
  <c r="BC69" i="39"/>
  <c r="AC66" i="49"/>
  <c r="AB67" i="49"/>
  <c r="BD69" i="39"/>
  <c r="BC70" i="39"/>
  <c r="AB68" i="49"/>
  <c r="AC67" i="49"/>
  <c r="BD70" i="39"/>
  <c r="BC71" i="39"/>
  <c r="AB69" i="49"/>
  <c r="AC68" i="49"/>
  <c r="BC72" i="39"/>
  <c r="BD71" i="39"/>
  <c r="AC69" i="49"/>
  <c r="AB70" i="49"/>
  <c r="BD72" i="39"/>
  <c r="BC73" i="39"/>
  <c r="AC70" i="49"/>
  <c r="AB71" i="49"/>
  <c r="BC74" i="39"/>
  <c r="BD73" i="39"/>
  <c r="AB72" i="49"/>
  <c r="AC71" i="49"/>
  <c r="BC75" i="39"/>
  <c r="BD74" i="39"/>
  <c r="AB73" i="49"/>
  <c r="AC72" i="49"/>
  <c r="BD75" i="39"/>
  <c r="BC76" i="39"/>
  <c r="AC73" i="49"/>
  <c r="AB74" i="49"/>
  <c r="BC77" i="39"/>
  <c r="BD76" i="39"/>
  <c r="AB75" i="49"/>
  <c r="AC74" i="49"/>
  <c r="BD77" i="39"/>
  <c r="BC78" i="39"/>
  <c r="AB76" i="49"/>
  <c r="AC75" i="49"/>
  <c r="BD78" i="39"/>
  <c r="BC79" i="39"/>
  <c r="AC76" i="49"/>
  <c r="AB77" i="49"/>
  <c r="BD79" i="39"/>
  <c r="BC80" i="39"/>
  <c r="AB78" i="49"/>
  <c r="AC77" i="49"/>
  <c r="BC81" i="39"/>
  <c r="BD80" i="39"/>
  <c r="AB79" i="49"/>
  <c r="AC78" i="49"/>
  <c r="BC82" i="39"/>
  <c r="BD81" i="39"/>
  <c r="AC79" i="49"/>
  <c r="AB80" i="49"/>
  <c r="BD82" i="39"/>
  <c r="BC83" i="39"/>
  <c r="AC80" i="49"/>
  <c r="AB81" i="49"/>
  <c r="BD83" i="39"/>
  <c r="BC84" i="39"/>
  <c r="AC81" i="49"/>
  <c r="AB82" i="49"/>
  <c r="BC85" i="39"/>
  <c r="BD84" i="39"/>
  <c r="AC82" i="49"/>
  <c r="AB83" i="49"/>
  <c r="BC86" i="39"/>
  <c r="BD85" i="39"/>
  <c r="AB84" i="49"/>
  <c r="AC83" i="49"/>
  <c r="BC87" i="39"/>
  <c r="BD86" i="39"/>
  <c r="AB85" i="49"/>
  <c r="AC84" i="49"/>
  <c r="BC88" i="39"/>
  <c r="BD87" i="39"/>
  <c r="AC85" i="49"/>
  <c r="AB86" i="49"/>
  <c r="BD88" i="39"/>
  <c r="BC89" i="39"/>
  <c r="AC86" i="49"/>
  <c r="AB87" i="49"/>
  <c r="BD89" i="39"/>
  <c r="BC90" i="39"/>
  <c r="AC87" i="49"/>
  <c r="AB88" i="49"/>
  <c r="BC91" i="39"/>
  <c r="BD90" i="39"/>
  <c r="AB89" i="49"/>
  <c r="AC88" i="49"/>
  <c r="BD91" i="39"/>
  <c r="BC92" i="39"/>
  <c r="AB90" i="49"/>
  <c r="AC89" i="49"/>
  <c r="BC93" i="39"/>
  <c r="BD92" i="39"/>
  <c r="AB91" i="49"/>
  <c r="AC90" i="49"/>
  <c r="BC94" i="39"/>
  <c r="BD93" i="39"/>
  <c r="AC91" i="49"/>
  <c r="AB92" i="49"/>
  <c r="BD94" i="39"/>
  <c r="BC95" i="39"/>
  <c r="AB93" i="49"/>
  <c r="AC92" i="49"/>
  <c r="BD95" i="39"/>
  <c r="BC96" i="39"/>
  <c r="AB94" i="49"/>
  <c r="AC93" i="49"/>
  <c r="BC97" i="39"/>
  <c r="BD96" i="39"/>
  <c r="AC94" i="49"/>
  <c r="AB95" i="49"/>
  <c r="BC98" i="39"/>
  <c r="BD97" i="39"/>
  <c r="AC95" i="49"/>
  <c r="AB96" i="49"/>
  <c r="BD98" i="39"/>
  <c r="BC99" i="39"/>
  <c r="AC96" i="49"/>
  <c r="AB97" i="49"/>
  <c r="BD99" i="39"/>
  <c r="BC100" i="39"/>
  <c r="AC97" i="49"/>
  <c r="AB98" i="49"/>
  <c r="BD100" i="39"/>
  <c r="BC101" i="39"/>
  <c r="AC98" i="49"/>
  <c r="AB99" i="49"/>
  <c r="BD101" i="39"/>
  <c r="BC102" i="39"/>
  <c r="AC99" i="49"/>
  <c r="AB100" i="49"/>
  <c r="BC103" i="39"/>
  <c r="BD102" i="39"/>
  <c r="AC100" i="49"/>
  <c r="AB101" i="49"/>
  <c r="BC104" i="39"/>
  <c r="BD103" i="39"/>
  <c r="AB102" i="49"/>
  <c r="AC101" i="49"/>
  <c r="BD104" i="39"/>
  <c r="BC105" i="39"/>
  <c r="AC102" i="49"/>
  <c r="AB103" i="49"/>
  <c r="BD105" i="39"/>
  <c r="BC106" i="39"/>
  <c r="AC103" i="49"/>
  <c r="AB104" i="49"/>
  <c r="BC107" i="39"/>
  <c r="BD106" i="39"/>
  <c r="AB105" i="49"/>
  <c r="AC104" i="49"/>
  <c r="BD107" i="39"/>
  <c r="BC108" i="39"/>
  <c r="AC105" i="49"/>
  <c r="AB106" i="49"/>
  <c r="BC109" i="39"/>
  <c r="BD108" i="39"/>
  <c r="AC106" i="49"/>
  <c r="AB107" i="49"/>
  <c r="BD109" i="39"/>
  <c r="BC110" i="39"/>
  <c r="AB108" i="49"/>
  <c r="AC107" i="49"/>
  <c r="BD110" i="39"/>
  <c r="BC111" i="39"/>
  <c r="AC108" i="49"/>
  <c r="AB109" i="49"/>
  <c r="BD111" i="39"/>
  <c r="BC112" i="39"/>
  <c r="AC109" i="49"/>
  <c r="AB110" i="49"/>
  <c r="BC113" i="39"/>
  <c r="BD112" i="39"/>
  <c r="AB111" i="49"/>
  <c r="AC110" i="49"/>
  <c r="BD113" i="39"/>
  <c r="BC114" i="39"/>
  <c r="AC111" i="49"/>
  <c r="AB112" i="49"/>
  <c r="BD114" i="39"/>
  <c r="BC115" i="39"/>
  <c r="AC112" i="49"/>
  <c r="AB113" i="49"/>
  <c r="BC116" i="39"/>
  <c r="BD115" i="39"/>
  <c r="AB114" i="49"/>
  <c r="AC113" i="49"/>
  <c r="BC117" i="39"/>
  <c r="BD116" i="39"/>
  <c r="AB115" i="49"/>
  <c r="AC114" i="49"/>
  <c r="BC118" i="39"/>
  <c r="BD117" i="39"/>
  <c r="AC115" i="49"/>
  <c r="AB116" i="49"/>
  <c r="BD118" i="39"/>
  <c r="BC119" i="39"/>
  <c r="AC116" i="49"/>
  <c r="AB117" i="49"/>
  <c r="BD119" i="39"/>
  <c r="BC120" i="39"/>
  <c r="AB118" i="49"/>
  <c r="AC117" i="49"/>
  <c r="BD120" i="39"/>
  <c r="BC121" i="39"/>
  <c r="AB119" i="49"/>
  <c r="AC118" i="49"/>
  <c r="BC122" i="39"/>
  <c r="BD121" i="39"/>
  <c r="AB120" i="49"/>
  <c r="AC119" i="49"/>
  <c r="BC123" i="39"/>
  <c r="BD122" i="39"/>
  <c r="AB121" i="49"/>
  <c r="AC120" i="49"/>
  <c r="BC124" i="39"/>
  <c r="BD123" i="39"/>
  <c r="AB122" i="49"/>
  <c r="AC121" i="49"/>
  <c r="BD124" i="39"/>
  <c r="BC125" i="39"/>
  <c r="AB123" i="49"/>
  <c r="AC122" i="49"/>
  <c r="BD125" i="39"/>
  <c r="BC126" i="39"/>
  <c r="AC123" i="49"/>
  <c r="AB124" i="49"/>
  <c r="BC127" i="39"/>
  <c r="BD126" i="39"/>
  <c r="AB125" i="49"/>
  <c r="AC124" i="49"/>
  <c r="BC128" i="39"/>
  <c r="BD127" i="39"/>
  <c r="AB126" i="49"/>
  <c r="AC125" i="49"/>
  <c r="BC129" i="39"/>
  <c r="BD128" i="39"/>
  <c r="AC126" i="49"/>
  <c r="AB127" i="49"/>
  <c r="BD129" i="39"/>
  <c r="BC130" i="39"/>
  <c r="AC127" i="49"/>
  <c r="AB128" i="49"/>
  <c r="BD130" i="39"/>
  <c r="BC131" i="39"/>
  <c r="AC128" i="49"/>
  <c r="AB129" i="49"/>
  <c r="BD131" i="39"/>
  <c r="BC132" i="39"/>
  <c r="AB130" i="49"/>
  <c r="AC129" i="49"/>
  <c r="BC133" i="39"/>
  <c r="BD132" i="39"/>
  <c r="AB131" i="49"/>
  <c r="AC130" i="49"/>
  <c r="BC134" i="39"/>
  <c r="BD133" i="39"/>
  <c r="AB132" i="49"/>
  <c r="AC131" i="49"/>
  <c r="BD134" i="39"/>
  <c r="BC135" i="39"/>
  <c r="AC132" i="49"/>
  <c r="AB133" i="49"/>
  <c r="AB134" i="49"/>
  <c r="AC133" i="49"/>
  <c r="AB135" i="49"/>
  <c r="AC134" i="49"/>
  <c r="AC135" i="49"/>
  <c r="AB136" i="49"/>
  <c r="AB137" i="49"/>
  <c r="AC136" i="49"/>
  <c r="AC137" i="49"/>
  <c r="AB138" i="49"/>
  <c r="AC138" i="49"/>
  <c r="AB139" i="49"/>
  <c r="AB140" i="49"/>
  <c r="AC139" i="49"/>
  <c r="AB141" i="49"/>
  <c r="AC140" i="49"/>
  <c r="AB142" i="49"/>
  <c r="AC141" i="49"/>
  <c r="AB143" i="49"/>
  <c r="AC142" i="49"/>
  <c r="AB144" i="49"/>
  <c r="AC143" i="49"/>
  <c r="AC144" i="49"/>
  <c r="AB145" i="49"/>
  <c r="AC145" i="49"/>
  <c r="AB146" i="49"/>
  <c r="AB147" i="49"/>
  <c r="AC146" i="49"/>
  <c r="AB148" i="49"/>
  <c r="AC147" i="49"/>
  <c r="AB149" i="49"/>
  <c r="AC148" i="49"/>
  <c r="AC149" i="49"/>
  <c r="AB150" i="49"/>
  <c r="AC150" i="49"/>
  <c r="AB151" i="49"/>
  <c r="AC151" i="49"/>
  <c r="AB152" i="49"/>
  <c r="AB153" i="49"/>
  <c r="AC152" i="49"/>
  <c r="AC153" i="49"/>
  <c r="AB154" i="49"/>
  <c r="AB155" i="49"/>
  <c r="AC154" i="49"/>
  <c r="AB156" i="49"/>
  <c r="AC155" i="49"/>
  <c r="AC156" i="49"/>
  <c r="AB157" i="49"/>
  <c r="AB158" i="49"/>
  <c r="AC157" i="49"/>
  <c r="AB159" i="49"/>
  <c r="AC158" i="49"/>
  <c r="AB160" i="49"/>
  <c r="AC159" i="49"/>
  <c r="AC160" i="49"/>
  <c r="AB161" i="49"/>
  <c r="AC161" i="49"/>
  <c r="AB162" i="49"/>
  <c r="AC162" i="49"/>
  <c r="AB163" i="49"/>
  <c r="AC163" i="49"/>
  <c r="AB164" i="49"/>
  <c r="AC164" i="49"/>
  <c r="AB165" i="49"/>
  <c r="AC165" i="49"/>
  <c r="AB166" i="49"/>
  <c r="AB167" i="49"/>
  <c r="AC166" i="49"/>
  <c r="AC167" i="49"/>
  <c r="AB168" i="49"/>
  <c r="AB169" i="49"/>
  <c r="AC168" i="49"/>
  <c r="AC169" i="49"/>
  <c r="AB170" i="49"/>
  <c r="AB171" i="49"/>
  <c r="AC170" i="49"/>
  <c r="AB172" i="49"/>
  <c r="AC171" i="49"/>
  <c r="AB173" i="49"/>
  <c r="AC172" i="49"/>
  <c r="AB174" i="49"/>
  <c r="AC173" i="49"/>
  <c r="AB175" i="49"/>
  <c r="AC174" i="49"/>
  <c r="AC175" i="49"/>
  <c r="AB176" i="49"/>
  <c r="AB177" i="49"/>
  <c r="AC176" i="49"/>
  <c r="AB178" i="49"/>
  <c r="AC177" i="49"/>
  <c r="AB179" i="49"/>
  <c r="AC178" i="49"/>
  <c r="AB180" i="49"/>
  <c r="AC179" i="49"/>
  <c r="AC180" i="49"/>
  <c r="AB181" i="49"/>
  <c r="AC181" i="49"/>
  <c r="AB182" i="49"/>
  <c r="AB183" i="49"/>
  <c r="AC182" i="49"/>
  <c r="AC183" i="49"/>
  <c r="AB184" i="49"/>
  <c r="AB185" i="49"/>
  <c r="AC184" i="49"/>
  <c r="AB186" i="49"/>
  <c r="AC185" i="49"/>
  <c r="AB187" i="49"/>
  <c r="AC186" i="49"/>
  <c r="AB188" i="49"/>
  <c r="AC187" i="49"/>
  <c r="AC188" i="49"/>
  <c r="AB189" i="49"/>
  <c r="AC189" i="49"/>
  <c r="AB190" i="49"/>
  <c r="AB191" i="49"/>
  <c r="AC190" i="49"/>
  <c r="AB192" i="49"/>
  <c r="AC191" i="49"/>
  <c r="AC192" i="49"/>
  <c r="AB193" i="49"/>
  <c r="AB194" i="49"/>
  <c r="AC193" i="49"/>
  <c r="AC194" i="49"/>
  <c r="AB195" i="49"/>
  <c r="AB196" i="49"/>
  <c r="AC195" i="49"/>
  <c r="AB197" i="49"/>
  <c r="AC196" i="49"/>
  <c r="AB198" i="49"/>
  <c r="AC197" i="49"/>
  <c r="AC198" i="49"/>
  <c r="AB199" i="49"/>
  <c r="AC199" i="49"/>
  <c r="AB200" i="49"/>
  <c r="AB201" i="49"/>
  <c r="AC200" i="49"/>
  <c r="AB202" i="49"/>
  <c r="AC201" i="49"/>
  <c r="AC202" i="49"/>
  <c r="AB203" i="49"/>
  <c r="AC203" i="49"/>
  <c r="AB204" i="49"/>
  <c r="AB205" i="49"/>
  <c r="AC204" i="49"/>
  <c r="AB206" i="49"/>
  <c r="AC205" i="49"/>
  <c r="AB207" i="49"/>
  <c r="AC206" i="49"/>
  <c r="AC207" i="49"/>
  <c r="AB208" i="49"/>
  <c r="AC208" i="49"/>
  <c r="AB209" i="49"/>
  <c r="AB210" i="49"/>
  <c r="AC209" i="49"/>
  <c r="AB211" i="49"/>
  <c r="AC210" i="49"/>
  <c r="AC211" i="49"/>
  <c r="AB212" i="49"/>
  <c r="AB213" i="49"/>
  <c r="AC212" i="49"/>
  <c r="AB214" i="49"/>
  <c r="AC213" i="49"/>
  <c r="AB215" i="49"/>
  <c r="AC214" i="49"/>
  <c r="AB216" i="49"/>
  <c r="AC215" i="49"/>
  <c r="AB217" i="49"/>
  <c r="AC216" i="49"/>
  <c r="AC217" i="49"/>
  <c r="AB218" i="49"/>
  <c r="AB219" i="49"/>
  <c r="AC218" i="49"/>
  <c r="AB220" i="49"/>
  <c r="AC219" i="49"/>
  <c r="AB221" i="49"/>
  <c r="AC220" i="49"/>
  <c r="AB222" i="49"/>
  <c r="AC221" i="49"/>
  <c r="AB223" i="49"/>
  <c r="AC222" i="49"/>
  <c r="AC223" i="49"/>
  <c r="AB224" i="49"/>
  <c r="AB225" i="49"/>
  <c r="AC224" i="49"/>
  <c r="AB226" i="49"/>
  <c r="AC225" i="49"/>
  <c r="AB227" i="49"/>
  <c r="AC226" i="49"/>
  <c r="AC227" i="49"/>
  <c r="AB228" i="49"/>
  <c r="AB229" i="49"/>
  <c r="AC228" i="49"/>
  <c r="AC229" i="49"/>
  <c r="AB230" i="49"/>
  <c r="AC230" i="49"/>
  <c r="AB231" i="49"/>
  <c r="AC231" i="49"/>
  <c r="AB232" i="49"/>
  <c r="AC232" i="49"/>
  <c r="AB233" i="49"/>
  <c r="AB234" i="49"/>
  <c r="AC233" i="49"/>
  <c r="AC234" i="49"/>
  <c r="AB235" i="49"/>
  <c r="AB236" i="49"/>
  <c r="AC235" i="49"/>
  <c r="AB237" i="49"/>
  <c r="AC236" i="49"/>
  <c r="AB238" i="49"/>
  <c r="AC237" i="49"/>
  <c r="AC238" i="49"/>
  <c r="AB239" i="49"/>
  <c r="AB240" i="49"/>
  <c r="AC239" i="49"/>
  <c r="AC240" i="49"/>
  <c r="AB241" i="49"/>
  <c r="AB242" i="49"/>
  <c r="AC241" i="49"/>
  <c r="AB243" i="49"/>
  <c r="AC242" i="49"/>
  <c r="AB244" i="49"/>
  <c r="AC243" i="49"/>
  <c r="AC244" i="49"/>
  <c r="AB245" i="49"/>
  <c r="AB246" i="49"/>
  <c r="AC245" i="49"/>
  <c r="AC246" i="49"/>
  <c r="AB247" i="49"/>
  <c r="AC247" i="49"/>
  <c r="AB248" i="49"/>
  <c r="AB249" i="49"/>
  <c r="AC248" i="49"/>
  <c r="AC249" i="49"/>
  <c r="AB250" i="49"/>
  <c r="AB251" i="49"/>
  <c r="AC250" i="49"/>
  <c r="AB252" i="49"/>
  <c r="AC251" i="49"/>
  <c r="AC252" i="49"/>
  <c r="AB253" i="49"/>
  <c r="AC253" i="49"/>
  <c r="AB254" i="49"/>
  <c r="AB255" i="49"/>
  <c r="AC254" i="49"/>
  <c r="AB256" i="49"/>
  <c r="AC255" i="49"/>
  <c r="AC256" i="49"/>
  <c r="AB257" i="49"/>
  <c r="AC257" i="49" s="1"/>
  <c r="I16" i="39"/>
  <c r="E16" i="39"/>
  <c r="I20" i="39"/>
  <c r="E20" i="39"/>
  <c r="J20" i="39" l="1"/>
  <c r="J19" i="39"/>
  <c r="J18" i="39"/>
  <c r="J17" i="39"/>
  <c r="J16" i="39"/>
  <c r="J15" i="39"/>
  <c r="J14" i="39"/>
  <c r="K9" i="39"/>
  <c r="L9" i="39"/>
  <c r="J7" i="49"/>
  <c r="K7" i="49"/>
  <c r="I7" i="49"/>
  <c r="I6" i="49"/>
  <c r="K6" i="49"/>
  <c r="J6" i="49"/>
  <c r="R17" i="47"/>
  <c r="R22" i="47"/>
  <c r="R26" i="47"/>
  <c r="R16" i="47"/>
  <c r="R24" i="47"/>
  <c r="R21" i="47"/>
  <c r="R14" i="47"/>
  <c r="R23" i="47"/>
  <c r="R27" i="47"/>
  <c r="R25" i="47"/>
  <c r="R19" i="47"/>
  <c r="R18" i="47"/>
  <c r="R15" i="47"/>
  <c r="R20" i="47"/>
  <c r="L7" i="39"/>
  <c r="K7" i="39"/>
  <c r="L26" i="47"/>
  <c r="L27" i="47"/>
  <c r="L14" i="47"/>
  <c r="L23" i="47"/>
  <c r="L21" i="47"/>
  <c r="L20" i="47"/>
  <c r="L25" i="47"/>
  <c r="L19" i="47"/>
  <c r="L24" i="47"/>
  <c r="L15" i="47"/>
  <c r="L22" i="47"/>
  <c r="L17" i="47"/>
  <c r="L16" i="47"/>
  <c r="L18" i="47"/>
  <c r="K6" i="39"/>
  <c r="L6" i="39"/>
  <c r="I5" i="49"/>
  <c r="J5" i="49"/>
  <c r="K5" i="49"/>
  <c r="I4" i="48"/>
  <c r="K4" i="48"/>
  <c r="J4" i="48"/>
  <c r="L19" i="45"/>
  <c r="L13" i="45"/>
  <c r="L20" i="45"/>
  <c r="L18" i="45"/>
  <c r="L15" i="45"/>
  <c r="L16" i="45"/>
  <c r="L17" i="45"/>
  <c r="L14" i="45"/>
  <c r="L21" i="45"/>
  <c r="K8" i="39"/>
  <c r="L8" i="39"/>
  <c r="K3" i="39"/>
  <c r="L3" i="39"/>
  <c r="K7" i="48"/>
  <c r="I7" i="48"/>
  <c r="J7" i="48"/>
  <c r="J4" i="49"/>
  <c r="K4" i="49"/>
  <c r="I4" i="49"/>
  <c r="K4" i="39"/>
  <c r="L4" i="39"/>
  <c r="L5" i="39"/>
  <c r="K5" i="39"/>
  <c r="Q3" i="39"/>
  <c r="P3" i="39"/>
  <c r="R3" i="39"/>
  <c r="Q6" i="39"/>
  <c r="P6" i="39"/>
  <c r="R6" i="39"/>
  <c r="Q8" i="39"/>
  <c r="R8" i="39"/>
  <c r="P8" i="39"/>
  <c r="S24" i="47"/>
  <c r="S14" i="47"/>
  <c r="S27" i="47"/>
  <c r="S22" i="47"/>
  <c r="S26" i="47"/>
  <c r="S23" i="47"/>
  <c r="S20" i="47"/>
  <c r="S18" i="47"/>
  <c r="S25" i="47"/>
  <c r="S19" i="47"/>
  <c r="S21" i="47"/>
  <c r="S16" i="47"/>
  <c r="S15" i="47"/>
  <c r="S17" i="47"/>
  <c r="Q9" i="39"/>
  <c r="R9" i="39"/>
  <c r="P9" i="39"/>
  <c r="Q4" i="39"/>
  <c r="P4" i="39"/>
  <c r="R4" i="39"/>
  <c r="Q5" i="39"/>
  <c r="P5" i="39"/>
  <c r="R5" i="39"/>
  <c r="Q7" i="39"/>
  <c r="P7" i="39"/>
  <c r="R7" i="39"/>
  <c r="BD135" i="39"/>
  <c r="H17" i="40"/>
  <c r="H5" i="48"/>
  <c r="F19" i="48"/>
  <c r="H22" i="40"/>
  <c r="R13" i="40"/>
  <c r="H14" i="40"/>
  <c r="E19" i="39"/>
  <c r="H6" i="40"/>
  <c r="O13" i="45" a="1"/>
  <c r="H13" i="40"/>
  <c r="G6" i="48"/>
  <c r="F21" i="49"/>
  <c r="F20" i="49"/>
  <c r="H15" i="40"/>
  <c r="T12" i="40"/>
  <c r="R13" i="45" a="1"/>
  <c r="F22" i="49"/>
  <c r="E18" i="39"/>
  <c r="S13" i="45" a="1"/>
  <c r="O14" i="47" a="1"/>
  <c r="H6" i="48"/>
  <c r="F29" i="49"/>
  <c r="E17" i="39"/>
  <c r="F18" i="48"/>
  <c r="BD8" i="39"/>
  <c r="H5" i="40"/>
  <c r="F24" i="49"/>
  <c r="Q14" i="47" a="1"/>
  <c r="Q13" i="45" a="1"/>
  <c r="I6" i="48" l="1"/>
  <c r="J6" i="48"/>
  <c r="K6" i="48"/>
  <c r="O26" i="47"/>
  <c r="O18" i="47"/>
  <c r="O25" i="47"/>
  <c r="O21" i="47"/>
  <c r="O20" i="47"/>
  <c r="O17" i="47"/>
  <c r="O24" i="47"/>
  <c r="O23" i="47"/>
  <c r="O14" i="47"/>
  <c r="O19" i="47"/>
  <c r="O27" i="47"/>
  <c r="O16" i="47"/>
  <c r="O22" i="47"/>
  <c r="O15" i="47"/>
  <c r="S14" i="45"/>
  <c r="S18" i="45"/>
  <c r="S13" i="45"/>
  <c r="S17" i="45"/>
  <c r="S20" i="45"/>
  <c r="S21" i="45"/>
  <c r="S15" i="45"/>
  <c r="S19" i="45"/>
  <c r="S16" i="45"/>
  <c r="R17" i="45"/>
  <c r="R20" i="45"/>
  <c r="R14" i="45"/>
  <c r="R18" i="45"/>
  <c r="R13" i="45"/>
  <c r="R21" i="45"/>
  <c r="R15" i="45"/>
  <c r="R19" i="45"/>
  <c r="R16" i="45"/>
  <c r="O15" i="45"/>
  <c r="O19" i="45"/>
  <c r="O20" i="45"/>
  <c r="O16" i="45"/>
  <c r="O13" i="45"/>
  <c r="O18" i="45"/>
  <c r="O17" i="45"/>
  <c r="O21" i="45"/>
  <c r="O14" i="45"/>
  <c r="K5" i="48"/>
  <c r="J5" i="48"/>
  <c r="I5" i="48"/>
  <c r="Q19" i="47"/>
  <c r="Q21" i="47"/>
  <c r="Q14" i="47"/>
  <c r="Q18" i="47"/>
  <c r="Q25" i="47"/>
  <c r="Q20" i="47"/>
  <c r="Q17" i="47"/>
  <c r="Q16" i="47"/>
  <c r="Q15" i="47"/>
  <c r="Q22" i="47"/>
  <c r="Q23" i="47"/>
  <c r="Q26" i="47"/>
  <c r="Q24" i="47"/>
  <c r="Q27" i="47"/>
  <c r="Q13" i="45"/>
  <c r="Q15" i="45"/>
  <c r="Q18" i="45"/>
  <c r="Q14" i="45"/>
  <c r="Q17" i="45"/>
  <c r="Q16" i="45"/>
  <c r="Q20" i="45"/>
  <c r="Q19" i="45"/>
  <c r="Q21" i="45"/>
  <c r="R14" i="40"/>
  <c r="T13" i="40"/>
  <c r="T14" i="40"/>
  <c r="R15" i="40"/>
  <c r="T15" i="40"/>
  <c r="R16" i="40"/>
  <c r="R17" i="40"/>
  <c r="T16" i="40"/>
  <c r="T17" i="40"/>
  <c r="R18" i="40"/>
  <c r="F54" i="39" l="1"/>
  <c r="E45" i="39"/>
  <c r="T18" i="40"/>
  <c r="R19" i="40"/>
  <c r="R20" i="40" s="1"/>
  <c r="T20" i="40"/>
  <c r="T19" i="40"/>
  <c r="R21" i="40"/>
  <c r="R22" i="40"/>
  <c r="R23" i="40" s="1"/>
  <c r="T23" i="40" s="1"/>
  <c r="T22" i="40"/>
  <c r="R24" i="40"/>
  <c r="R25" i="40"/>
  <c r="T24" i="40"/>
  <c r="T25" i="40"/>
  <c r="R26" i="40"/>
  <c r="T26" i="40"/>
  <c r="R27" i="40"/>
  <c r="T27" i="40"/>
  <c r="R28" i="40"/>
  <c r="T28" i="40"/>
  <c r="R29" i="40"/>
  <c r="T29" i="40"/>
  <c r="R30" i="40"/>
  <c r="T30" i="40"/>
  <c r="R31" i="40"/>
  <c r="T31" i="40"/>
  <c r="R32" i="40"/>
  <c r="R33" i="40"/>
  <c r="T32" i="40"/>
  <c r="R34" i="40"/>
  <c r="T33" i="40"/>
  <c r="R35" i="40"/>
  <c r="T34" i="40"/>
  <c r="R36" i="40"/>
  <c r="T35" i="40"/>
  <c r="T36" i="40"/>
  <c r="R37" i="40"/>
  <c r="R38" i="40"/>
  <c r="T37" i="40"/>
  <c r="T38" i="40"/>
  <c r="R39" i="40"/>
  <c r="T39" i="40"/>
  <c r="R40" i="40"/>
  <c r="T40" i="40"/>
  <c r="R41" i="40"/>
  <c r="R42" i="40"/>
  <c r="T41" i="40"/>
  <c r="R43" i="40"/>
  <c r="T42" i="40"/>
  <c r="T43" i="40"/>
  <c r="R44" i="40"/>
  <c r="R45" i="40"/>
  <c r="T44" i="40"/>
  <c r="R46" i="40"/>
  <c r="T45" i="40"/>
  <c r="T46" i="40"/>
  <c r="R47" i="40"/>
  <c r="T47" i="40"/>
  <c r="R48" i="40"/>
  <c r="T48" i="40"/>
  <c r="R49" i="40"/>
  <c r="R50" i="40"/>
  <c r="T49" i="40"/>
  <c r="R51" i="40"/>
  <c r="T50" i="40"/>
  <c r="T51" i="40"/>
  <c r="R52" i="40"/>
  <c r="R53" i="40"/>
  <c r="T52" i="40"/>
  <c r="R54" i="40"/>
  <c r="T53" i="40"/>
  <c r="R55" i="40"/>
  <c r="T54" i="40"/>
  <c r="T55" i="40"/>
  <c r="R56" i="40"/>
  <c r="T56" i="40"/>
  <c r="R57" i="40"/>
  <c r="R58" i="40"/>
  <c r="T57" i="40"/>
  <c r="R59" i="40"/>
  <c r="T58" i="40"/>
  <c r="T59" i="40"/>
  <c r="R60" i="40"/>
  <c r="R61" i="40"/>
  <c r="T60" i="40"/>
  <c r="T61" i="40"/>
  <c r="R62" i="40"/>
  <c r="R63" i="40"/>
  <c r="T62" i="40"/>
  <c r="T63" i="40"/>
  <c r="R64" i="40"/>
  <c r="T64" i="40"/>
  <c r="R65" i="40"/>
  <c r="R66" i="40"/>
  <c r="T65" i="40"/>
  <c r="R67" i="40"/>
  <c r="T66" i="40"/>
  <c r="T67" i="40"/>
  <c r="R68" i="40"/>
  <c r="R69" i="40"/>
  <c r="T68" i="40"/>
  <c r="T69" i="40"/>
  <c r="R70" i="40"/>
  <c r="T70" i="40"/>
  <c r="R71" i="40"/>
  <c r="R72" i="40"/>
  <c r="T71" i="40"/>
  <c r="T72" i="40"/>
  <c r="R73" i="40"/>
  <c r="R74" i="40"/>
  <c r="T73" i="40"/>
  <c r="T74" i="40"/>
  <c r="R75" i="40"/>
  <c r="T75" i="40"/>
  <c r="R76" i="40"/>
  <c r="R77" i="40"/>
  <c r="T76" i="40"/>
  <c r="T77" i="40"/>
  <c r="R78" i="40"/>
  <c r="T78" i="40"/>
  <c r="R79" i="40"/>
  <c r="R80" i="40"/>
  <c r="T79" i="40"/>
  <c r="T80" i="40"/>
  <c r="R81" i="40"/>
  <c r="R82" i="40"/>
  <c r="T81" i="40"/>
  <c r="R83" i="40"/>
  <c r="T82" i="40"/>
  <c r="T83" i="40"/>
  <c r="R84" i="40"/>
  <c r="R85" i="40"/>
  <c r="T84" i="40"/>
  <c r="T85" i="40"/>
  <c r="R86" i="40"/>
  <c r="R87" i="40"/>
  <c r="T86" i="40"/>
  <c r="T87" i="40"/>
  <c r="R88" i="40"/>
  <c r="T88" i="40"/>
  <c r="R89" i="40"/>
  <c r="R90" i="40"/>
  <c r="T89" i="40"/>
  <c r="T90" i="40"/>
  <c r="R91" i="40"/>
  <c r="R92" i="40"/>
  <c r="T91" i="40"/>
  <c r="R93" i="40"/>
  <c r="T92" i="40"/>
  <c r="T93" i="40"/>
  <c r="R94" i="40"/>
  <c r="R95" i="40"/>
  <c r="T94" i="40"/>
  <c r="T95" i="40"/>
  <c r="R96" i="40"/>
  <c r="T96" i="40"/>
  <c r="R97" i="40"/>
  <c r="R98" i="40"/>
  <c r="T97" i="40"/>
  <c r="T98" i="40"/>
  <c r="R99" i="40"/>
  <c r="T99" i="40"/>
  <c r="R100" i="40"/>
  <c r="R101" i="40"/>
  <c r="T100" i="40"/>
  <c r="T101" i="40"/>
  <c r="R102" i="40"/>
  <c r="R103" i="40"/>
  <c r="T102" i="40"/>
  <c r="R104" i="40"/>
  <c r="T103" i="40"/>
  <c r="T104" i="40"/>
  <c r="R105" i="40"/>
  <c r="R106" i="40"/>
  <c r="T105" i="40"/>
  <c r="R107" i="40"/>
  <c r="T106" i="40"/>
  <c r="T107" i="40"/>
  <c r="R108" i="40"/>
  <c r="R109" i="40"/>
  <c r="T108" i="40"/>
  <c r="R110" i="40"/>
  <c r="T109" i="40"/>
  <c r="T110" i="40"/>
  <c r="R111" i="40"/>
  <c r="T111" i="40"/>
  <c r="R112" i="40"/>
  <c r="T112" i="40"/>
  <c r="R113" i="40"/>
  <c r="T113" i="40"/>
  <c r="R114" i="40"/>
  <c r="R115" i="40"/>
  <c r="T114" i="40"/>
  <c r="R116" i="40"/>
  <c r="T115" i="40"/>
  <c r="I20" i="29" l="1"/>
  <c r="T116" i="40"/>
  <c r="T21" i="40"/>
  <c r="R117" i="40"/>
  <c r="R118" i="40" s="1"/>
  <c r="R119" i="40" s="1"/>
  <c r="R120" i="40" s="1"/>
  <c r="R121" i="40" s="1"/>
  <c r="R122" i="40" s="1"/>
  <c r="R123" i="40" s="1"/>
  <c r="R124" i="40" s="1"/>
  <c r="R125" i="40" s="1"/>
  <c r="R126" i="40" s="1"/>
  <c r="R127" i="40" s="1"/>
  <c r="R128" i="40" s="1"/>
  <c r="R129" i="40" s="1"/>
  <c r="R130" i="40" s="1"/>
  <c r="R131" i="40" s="1"/>
  <c r="R132" i="40" s="1"/>
  <c r="R133" i="40" s="1"/>
  <c r="R134" i="40" s="1"/>
  <c r="R135" i="40" s="1"/>
  <c r="R136" i="40" s="1"/>
  <c r="R137" i="40"/>
  <c r="R138" i="40" s="1"/>
  <c r="R139" i="40" s="1"/>
  <c r="R140" i="40" s="1"/>
  <c r="R141" i="40" s="1"/>
  <c r="R142" i="40" s="1"/>
  <c r="R143" i="40" s="1"/>
  <c r="R144" i="40" s="1"/>
  <c r="R145" i="40" s="1"/>
  <c r="R146" i="40" s="1"/>
  <c r="R147" i="40" s="1"/>
  <c r="R148" i="40" s="1"/>
  <c r="R149" i="40" s="1"/>
  <c r="R150" i="40"/>
  <c r="R151" i="40" s="1"/>
  <c r="R152" i="40" s="1"/>
  <c r="R153" i="40" s="1"/>
  <c r="R154" i="40" s="1"/>
  <c r="R155" i="40" s="1"/>
  <c r="R156" i="40" s="1"/>
  <c r="R157" i="40" s="1"/>
  <c r="R158" i="40"/>
  <c r="R159" i="40" s="1"/>
  <c r="R160" i="40" s="1"/>
  <c r="R161" i="40" s="1"/>
  <c r="R162" i="40" s="1"/>
  <c r="R163" i="40" s="1"/>
  <c r="R164" i="40" s="1"/>
  <c r="R165" i="40" s="1"/>
  <c r="R166" i="40" s="1"/>
  <c r="R167" i="40" s="1"/>
  <c r="R168" i="40" s="1"/>
  <c r="R169" i="40" s="1"/>
  <c r="R170" i="40" s="1"/>
  <c r="R171" i="40" s="1"/>
  <c r="R172" i="40" s="1"/>
  <c r="R173" i="40" s="1"/>
  <c r="R174" i="40" s="1"/>
  <c r="R175" i="40" s="1"/>
  <c r="R176" i="40" s="1"/>
  <c r="R177" i="40" s="1"/>
  <c r="R178" i="40"/>
  <c r="R179" i="40" s="1"/>
  <c r="R180" i="40" s="1"/>
  <c r="R181" i="40" s="1"/>
  <c r="R182" i="40" s="1"/>
  <c r="R183" i="40" s="1"/>
  <c r="R184" i="40" s="1"/>
  <c r="R185" i="40" s="1"/>
  <c r="R186" i="40" s="1"/>
  <c r="R187" i="40" s="1"/>
  <c r="R188" i="40" s="1"/>
  <c r="R189" i="40" s="1"/>
  <c r="R190" i="40" s="1"/>
  <c r="R191" i="40" s="1"/>
  <c r="R192" i="40" s="1"/>
  <c r="R193" i="40" s="1"/>
  <c r="R194" i="40" s="1"/>
  <c r="R195" i="40" s="1"/>
  <c r="R196" i="40" s="1"/>
  <c r="R197" i="40" s="1"/>
  <c r="R198" i="40" s="1"/>
  <c r="R199" i="40" s="1"/>
  <c r="R200" i="40" s="1"/>
  <c r="R201" i="40" s="1"/>
  <c r="R202" i="40"/>
  <c r="R203" i="40" s="1"/>
  <c r="R204" i="40" s="1"/>
  <c r="R205" i="40" s="1"/>
  <c r="R206" i="40"/>
  <c r="R207" i="40" s="1"/>
  <c r="R208" i="40" s="1"/>
  <c r="R209" i="40" s="1"/>
  <c r="R210" i="40" s="1"/>
  <c r="R211" i="40" s="1"/>
  <c r="R212" i="40" s="1"/>
  <c r="R213" i="40" s="1"/>
  <c r="R214" i="40" s="1"/>
  <c r="R215" i="40" s="1"/>
  <c r="R216" i="40" s="1"/>
  <c r="R217" i="40" s="1"/>
  <c r="R218" i="40" s="1"/>
  <c r="R219" i="40" s="1"/>
  <c r="R220" i="40" s="1"/>
  <c r="R221" i="40" s="1"/>
  <c r="R222" i="40" s="1"/>
  <c r="R223" i="40" s="1"/>
  <c r="R224" i="40" s="1"/>
  <c r="R225" i="40" s="1"/>
  <c r="R226" i="40" s="1"/>
  <c r="R227" i="40" s="1"/>
  <c r="R228" i="40" s="1"/>
  <c r="R229" i="40" s="1"/>
  <c r="R230" i="40"/>
  <c r="R231" i="40" s="1"/>
  <c r="R232" i="40" s="1"/>
  <c r="R233" i="40" s="1"/>
  <c r="R234" i="40" s="1"/>
  <c r="R235" i="40" s="1"/>
  <c r="R236" i="40" s="1"/>
  <c r="R237" i="40" s="1"/>
  <c r="R238" i="40" s="1"/>
  <c r="R239" i="40" s="1"/>
  <c r="R240" i="40" s="1"/>
  <c r="R241" i="40" s="1"/>
  <c r="R242" i="40" s="1"/>
  <c r="R243" i="40" s="1"/>
  <c r="R244" i="40" s="1"/>
  <c r="R245" i="40" s="1"/>
  <c r="R246" i="40" s="1"/>
  <c r="R247" i="40" s="1"/>
  <c r="R248" i="40" s="1"/>
  <c r="R249" i="40" s="1"/>
  <c r="R250" i="40" s="1"/>
  <c r="R251" i="40" s="1"/>
  <c r="R252" i="40" s="1"/>
  <c r="R253" i="40" s="1"/>
  <c r="R254" i="40" s="1"/>
  <c r="R255" i="40" s="1"/>
  <c r="R256" i="40" s="1"/>
  <c r="R257" i="40" s="1"/>
  <c r="R258" i="40" s="1"/>
  <c r="R259" i="40" s="1"/>
  <c r="R260" i="40" s="1"/>
  <c r="R261" i="40" s="1"/>
  <c r="R262" i="40" s="1"/>
  <c r="D3" i="49"/>
  <c r="I4" i="40"/>
  <c r="G3" i="49"/>
  <c r="D3" i="48"/>
  <c r="E3" i="49"/>
  <c r="G3" i="48"/>
  <c r="E3" i="48"/>
  <c r="AD45" i="39" l="1"/>
  <c r="T262" i="40"/>
  <c r="T198" i="40"/>
  <c r="T134" i="40"/>
  <c r="T221" i="40"/>
  <c r="T157" i="40"/>
  <c r="T244" i="40"/>
  <c r="T180" i="40"/>
  <c r="T259" i="40"/>
  <c r="T195" i="40"/>
  <c r="T258" i="40"/>
  <c r="T138" i="40"/>
  <c r="T177" i="40"/>
  <c r="T192" i="40"/>
  <c r="T207" i="40"/>
  <c r="T250" i="40"/>
  <c r="T241" i="40"/>
  <c r="T248" i="40"/>
  <c r="T120" i="40"/>
  <c r="T135" i="40"/>
  <c r="T254" i="40"/>
  <c r="T190" i="40"/>
  <c r="T126" i="40"/>
  <c r="T213" i="40"/>
  <c r="T149" i="40"/>
  <c r="T236" i="40"/>
  <c r="T172" i="40"/>
  <c r="T251" i="40"/>
  <c r="T187" i="40"/>
  <c r="T242" i="40"/>
  <c r="T122" i="40"/>
  <c r="T161" i="40"/>
  <c r="T176" i="40"/>
  <c r="T191" i="40"/>
  <c r="T234" i="40"/>
  <c r="T217" i="40"/>
  <c r="T232" i="40"/>
  <c r="T247" i="40"/>
  <c r="T119" i="40"/>
  <c r="T246" i="40"/>
  <c r="T182" i="40"/>
  <c r="T118" i="40"/>
  <c r="T205" i="40"/>
  <c r="T141" i="40"/>
  <c r="T228" i="40"/>
  <c r="T164" i="40"/>
  <c r="T243" i="40"/>
  <c r="T171" i="40"/>
  <c r="T226" i="40"/>
  <c r="T257" i="40"/>
  <c r="T145" i="40"/>
  <c r="T160" i="40"/>
  <c r="T175" i="40"/>
  <c r="T218" i="40"/>
  <c r="T201" i="40"/>
  <c r="T216" i="40"/>
  <c r="T231" i="40"/>
  <c r="T238" i="40"/>
  <c r="T174" i="40"/>
  <c r="T197" i="40"/>
  <c r="T133" i="40"/>
  <c r="T220" i="40"/>
  <c r="T156" i="40"/>
  <c r="T235" i="40"/>
  <c r="T163" i="40"/>
  <c r="T210" i="40"/>
  <c r="T129" i="40"/>
  <c r="T159" i="40"/>
  <c r="T185" i="40"/>
  <c r="T215" i="40"/>
  <c r="T230" i="40"/>
  <c r="T166" i="40"/>
  <c r="T253" i="40"/>
  <c r="T189" i="40"/>
  <c r="T212" i="40"/>
  <c r="T227" i="40"/>
  <c r="T194" i="40"/>
  <c r="T256" i="40"/>
  <c r="T143" i="40"/>
  <c r="T186" i="40"/>
  <c r="T184" i="40"/>
  <c r="T222" i="40"/>
  <c r="T245" i="40"/>
  <c r="T117" i="40"/>
  <c r="T204" i="40"/>
  <c r="T219" i="40"/>
  <c r="T178" i="40"/>
  <c r="T240" i="40"/>
  <c r="T127" i="40"/>
  <c r="T153" i="40"/>
  <c r="T183" i="40"/>
  <c r="T150" i="40"/>
  <c r="T237" i="40"/>
  <c r="T260" i="40"/>
  <c r="T132" i="40"/>
  <c r="T139" i="40"/>
  <c r="T209" i="40"/>
  <c r="T239" i="40"/>
  <c r="T146" i="40"/>
  <c r="T137" i="40"/>
  <c r="T167" i="40"/>
  <c r="T142" i="40"/>
  <c r="T165" i="40"/>
  <c r="T188" i="40"/>
  <c r="T203" i="40"/>
  <c r="T154" i="40"/>
  <c r="T208" i="40"/>
  <c r="T123" i="40"/>
  <c r="T121" i="40"/>
  <c r="T151" i="40"/>
  <c r="T261" i="40"/>
  <c r="T249" i="40"/>
  <c r="T144" i="40"/>
  <c r="T202" i="40"/>
  <c r="T200" i="40"/>
  <c r="T125" i="40"/>
  <c r="T148" i="40"/>
  <c r="T155" i="40"/>
  <c r="T233" i="40"/>
  <c r="T128" i="40"/>
  <c r="T169" i="40"/>
  <c r="T199" i="40"/>
  <c r="T158" i="40"/>
  <c r="T181" i="40"/>
  <c r="T140" i="40"/>
  <c r="T147" i="40"/>
  <c r="T225" i="40"/>
  <c r="T255" i="40"/>
  <c r="T162" i="40"/>
  <c r="T168" i="40"/>
  <c r="T214" i="40"/>
  <c r="T173" i="40"/>
  <c r="T196" i="40"/>
  <c r="T211" i="40"/>
  <c r="T170" i="40"/>
  <c r="T224" i="40"/>
  <c r="T179" i="40"/>
  <c r="T152" i="40"/>
  <c r="T206" i="40"/>
  <c r="T229" i="40"/>
  <c r="T252" i="40"/>
  <c r="T124" i="40"/>
  <c r="T131" i="40"/>
  <c r="T193" i="40"/>
  <c r="T223" i="40"/>
  <c r="T130" i="40"/>
  <c r="T136" i="40"/>
  <c r="H3" i="49"/>
  <c r="H3" i="48"/>
  <c r="K3" i="48" l="1"/>
  <c r="I3" i="48"/>
  <c r="J3" i="48"/>
  <c r="J3" i="49"/>
  <c r="K3" i="49"/>
  <c r="I3" i="49"/>
  <c r="Q13" i="48" a="1"/>
  <c r="Q9" i="49" a="1"/>
  <c r="P3" i="48" a="1"/>
  <c r="P9" i="48" a="1"/>
  <c r="P9" i="49" a="1"/>
  <c r="P3" i="49" a="1"/>
  <c r="O3" i="48" a="1"/>
  <c r="Q9" i="48" a="1"/>
  <c r="Q13" i="49" a="1"/>
  <c r="Q3" i="48" a="1"/>
  <c r="Q3" i="49" a="1"/>
  <c r="O3" i="49" a="1"/>
  <c r="Q10" i="49" l="1"/>
  <c r="Q9" i="49"/>
  <c r="Q3" i="49"/>
  <c r="Q4" i="49"/>
  <c r="Q5" i="49"/>
  <c r="Q13" i="49"/>
  <c r="W13" i="49" s="1"/>
  <c r="O5" i="49"/>
  <c r="O4" i="49"/>
  <c r="O3" i="49"/>
  <c r="P3" i="49"/>
  <c r="P4" i="49"/>
  <c r="P5" i="49"/>
  <c r="P9" i="49"/>
  <c r="P10" i="49"/>
  <c r="P10" i="48"/>
  <c r="P9" i="48"/>
  <c r="P4" i="48"/>
  <c r="P5" i="48"/>
  <c r="P3" i="48"/>
  <c r="Q13" i="48"/>
  <c r="W13" i="48" s="1"/>
  <c r="Q4" i="48"/>
  <c r="Q3" i="48"/>
  <c r="Q5" i="48"/>
  <c r="Q9" i="48"/>
  <c r="Q10" i="48"/>
  <c r="O4" i="48"/>
  <c r="O3" i="48"/>
  <c r="O5" i="48"/>
  <c r="W3" i="49" l="1" a="1"/>
  <c r="W4" i="49" s="1"/>
  <c r="W3" i="48" a="1"/>
  <c r="Y3" i="48" s="1"/>
  <c r="W9" i="48" a="1"/>
  <c r="W9" i="48" s="1"/>
  <c r="W9" i="49" a="1"/>
  <c r="W10" i="49" s="1"/>
  <c r="X10" i="48"/>
  <c r="X9" i="48"/>
  <c r="X4" i="49"/>
  <c r="W5" i="49"/>
  <c r="X5" i="49"/>
  <c r="Y3" i="49"/>
  <c r="W3" i="49"/>
  <c r="Y5" i="49"/>
  <c r="X3" i="49"/>
  <c r="Y4" i="49"/>
  <c r="X5" i="48"/>
  <c r="W5" i="48"/>
  <c r="W4" i="48" l="1"/>
  <c r="X4" i="48"/>
  <c r="Y4" i="48"/>
  <c r="W3" i="48"/>
  <c r="Y5" i="48"/>
  <c r="W10" i="48"/>
  <c r="X3" i="48"/>
  <c r="W9" i="49"/>
  <c r="X9" i="49"/>
  <c r="X10" i="49"/>
  <c r="AR5" i="39" a="1"/>
  <c r="AS9" i="39" a="1"/>
  <c r="AS5" i="39" a="1"/>
  <c r="AR9" i="39" a="1"/>
  <c r="AQ19" i="39" a="1"/>
  <c r="AQ14" i="39" a="1"/>
  <c r="AR19" i="39" a="1"/>
  <c r="AR14" i="39" a="1"/>
  <c r="AS19" i="39" a="1"/>
  <c r="AS14" i="39" a="1"/>
  <c r="AF5" i="39" a="1"/>
  <c r="AS9" i="39" l="1"/>
  <c r="AS10" i="39"/>
  <c r="AR21" i="39"/>
  <c r="AR19" i="39"/>
  <c r="AR20" i="39"/>
  <c r="AQ16" i="39"/>
  <c r="AQ14" i="39"/>
  <c r="AQ15" i="39"/>
  <c r="AS15" i="39"/>
  <c r="AS16" i="39"/>
  <c r="AS14" i="39"/>
  <c r="AQ21" i="39"/>
  <c r="AQ19" i="39"/>
  <c r="AQ20" i="39"/>
  <c r="AS21" i="39"/>
  <c r="AS20" i="39"/>
  <c r="AS19" i="39"/>
  <c r="AR14" i="39"/>
  <c r="AR16" i="39"/>
  <c r="AR15" i="39"/>
  <c r="AR9" i="39"/>
  <c r="AR10" i="39"/>
  <c r="AR5" i="39"/>
  <c r="AR6" i="39"/>
  <c r="AS6" i="39"/>
  <c r="AS5" i="39"/>
  <c r="AF6" i="39"/>
  <c r="AF5" i="39"/>
  <c r="AL5" i="39" s="1" a="1"/>
  <c r="AX5" i="39" l="1" a="1"/>
  <c r="AL5" i="39"/>
  <c r="AM6" i="39"/>
  <c r="AL6" i="39"/>
  <c r="AM5" i="39"/>
  <c r="AX14" i="39" a="1"/>
  <c r="AX9" i="39" a="1"/>
  <c r="AX19" i="39" a="1"/>
  <c r="AY21" i="39" l="1"/>
  <c r="AY19" i="39"/>
  <c r="AZ21" i="39"/>
  <c r="AZ20" i="39"/>
  <c r="AX20" i="39"/>
  <c r="AY20" i="39"/>
  <c r="AZ19" i="39"/>
  <c r="AX19" i="39"/>
  <c r="AX21" i="39"/>
  <c r="AX9" i="39"/>
  <c r="AY10" i="39"/>
  <c r="AX10" i="39"/>
  <c r="AY9" i="39"/>
  <c r="AZ14" i="39"/>
  <c r="AZ16" i="39"/>
  <c r="AY15" i="39"/>
  <c r="AX16" i="39"/>
  <c r="AX15" i="39"/>
  <c r="AY16" i="39"/>
  <c r="AZ15" i="39"/>
  <c r="AX14" i="39"/>
  <c r="AY14" i="39"/>
  <c r="AX5" i="39"/>
  <c r="AY6" i="39"/>
  <c r="AY5" i="39"/>
  <c r="AX6" i="39"/>
  <c r="I19" i="29" l="1"/>
  <c r="J11" i="40"/>
  <c r="I15" i="40"/>
  <c r="I17" i="40"/>
  <c r="H19" i="49"/>
  <c r="J22" i="40"/>
  <c r="I19" i="40"/>
  <c r="H19" i="48"/>
  <c r="H23" i="49"/>
  <c r="I22" i="40"/>
  <c r="I9" i="40"/>
  <c r="H17" i="48"/>
  <c r="I8" i="40"/>
  <c r="G16" i="48"/>
  <c r="P4" i="47"/>
  <c r="I20" i="40"/>
  <c r="G19" i="49"/>
  <c r="U31" i="47"/>
  <c r="J4" i="40"/>
  <c r="J9" i="40"/>
  <c r="J7" i="40"/>
  <c r="H29" i="49"/>
  <c r="G16" i="49"/>
  <c r="G19" i="48"/>
  <c r="I11" i="40"/>
  <c r="G18" i="49"/>
  <c r="H30" i="49"/>
  <c r="G20" i="49"/>
  <c r="G17" i="48"/>
  <c r="H15" i="48"/>
  <c r="H28" i="49"/>
  <c r="I13" i="40"/>
  <c r="G24" i="49"/>
  <c r="I18" i="40"/>
  <c r="I12" i="40"/>
  <c r="P7" i="45"/>
  <c r="H18" i="49"/>
  <c r="U32" i="47"/>
  <c r="G25" i="49"/>
  <c r="F4" i="39"/>
  <c r="J18" i="40"/>
  <c r="J14" i="40"/>
  <c r="H27" i="49"/>
  <c r="F15" i="39"/>
  <c r="H22" i="49"/>
  <c r="J10" i="40"/>
  <c r="G17" i="49"/>
  <c r="F18" i="39"/>
  <c r="P3" i="45"/>
  <c r="G27" i="49"/>
  <c r="I16" i="40"/>
  <c r="J16" i="40"/>
  <c r="G22" i="49"/>
  <c r="I21" i="40"/>
  <c r="F9" i="39"/>
  <c r="J6" i="40"/>
  <c r="P3" i="47"/>
  <c r="F20" i="39"/>
  <c r="P5" i="45"/>
  <c r="U26" i="45"/>
  <c r="G30" i="49"/>
  <c r="F8" i="39"/>
  <c r="F7" i="39"/>
  <c r="U34" i="47"/>
  <c r="J19" i="40"/>
  <c r="I5" i="40"/>
  <c r="P4" i="45"/>
  <c r="F16" i="39"/>
  <c r="H24" i="49"/>
  <c r="G15" i="48"/>
  <c r="P6" i="45"/>
  <c r="H20" i="49"/>
  <c r="J13" i="40"/>
  <c r="H21" i="49"/>
  <c r="H18" i="48"/>
  <c r="J5" i="40"/>
  <c r="P6" i="47"/>
  <c r="H17" i="49"/>
  <c r="H16" i="49"/>
  <c r="F5" i="39"/>
  <c r="I6" i="40"/>
  <c r="F17" i="39"/>
  <c r="U36" i="47"/>
  <c r="J12" i="40"/>
  <c r="F19" i="39"/>
  <c r="J15" i="40"/>
  <c r="H16" i="48"/>
  <c r="P10" i="47"/>
  <c r="F3" i="39"/>
  <c r="G26" i="49"/>
  <c r="P9" i="45"/>
  <c r="P5" i="47"/>
  <c r="U35" i="47"/>
  <c r="G28" i="49"/>
  <c r="F14" i="39"/>
  <c r="I7" i="40"/>
  <c r="U33" i="47"/>
  <c r="G15" i="49"/>
  <c r="J21" i="40"/>
  <c r="H25" i="49"/>
  <c r="F6" i="39"/>
  <c r="I14" i="40"/>
  <c r="P8" i="47"/>
  <c r="G18" i="48"/>
  <c r="G23" i="49"/>
  <c r="J17" i="40"/>
  <c r="G29" i="49"/>
  <c r="H15" i="49"/>
  <c r="J20" i="40"/>
  <c r="I10" i="40"/>
  <c r="P7" i="47"/>
  <c r="H26" i="49"/>
  <c r="G21" i="49"/>
  <c r="P9" i="47"/>
  <c r="P8" i="45"/>
  <c r="J8" i="40"/>
  <c r="G3" i="39" l="1"/>
  <c r="I21" i="49"/>
  <c r="K10" i="40"/>
  <c r="AD51" i="39"/>
  <c r="G17" i="39"/>
  <c r="I29" i="49"/>
  <c r="I23" i="49"/>
  <c r="I18" i="48"/>
  <c r="K14" i="40"/>
  <c r="G5" i="39"/>
  <c r="G4" i="39"/>
  <c r="G16" i="39"/>
  <c r="I15" i="49"/>
  <c r="AD48" i="39"/>
  <c r="K7" i="40"/>
  <c r="I28" i="49"/>
  <c r="I26" i="49"/>
  <c r="G20" i="39"/>
  <c r="G14" i="39"/>
  <c r="AD47" i="39"/>
  <c r="K6" i="40"/>
  <c r="G7" i="39"/>
  <c r="I15" i="48"/>
  <c r="G15" i="39"/>
  <c r="AD46" i="39"/>
  <c r="K5" i="40"/>
  <c r="I30" i="49"/>
  <c r="K21" i="40"/>
  <c r="G18" i="39"/>
  <c r="I22" i="49"/>
  <c r="K16" i="40"/>
  <c r="I27" i="49"/>
  <c r="G6" i="39"/>
  <c r="I17" i="49"/>
  <c r="I25" i="49"/>
  <c r="G9" i="39"/>
  <c r="G19" i="39"/>
  <c r="K12" i="40"/>
  <c r="K18" i="40"/>
  <c r="I24" i="49"/>
  <c r="K13" i="40"/>
  <c r="I17" i="48"/>
  <c r="I20" i="49"/>
  <c r="I18" i="49"/>
  <c r="K11" i="40"/>
  <c r="I19" i="48"/>
  <c r="I16" i="49"/>
  <c r="K4" i="40"/>
  <c r="I19" i="49"/>
  <c r="K20" i="40"/>
  <c r="I16" i="48"/>
  <c r="K8" i="40"/>
  <c r="AD49" i="39"/>
  <c r="K9" i="40"/>
  <c r="AD50" i="39"/>
  <c r="K22" i="40"/>
  <c r="K19" i="40"/>
  <c r="G8" i="39"/>
  <c r="K17" i="40"/>
  <c r="K15" i="40"/>
  <c r="M5" i="39"/>
  <c r="M7" i="39"/>
  <c r="F16" i="40"/>
  <c r="M9" i="39"/>
  <c r="F11" i="40"/>
  <c r="F19" i="40"/>
  <c r="F13" i="40"/>
  <c r="F8" i="40"/>
  <c r="M3" i="39"/>
  <c r="F5" i="40"/>
  <c r="F17" i="40"/>
  <c r="M4" i="39"/>
  <c r="F18" i="40"/>
  <c r="F4" i="40"/>
  <c r="F22" i="40"/>
  <c r="F6" i="40"/>
  <c r="M8" i="39"/>
  <c r="M6" i="39"/>
  <c r="F21" i="40"/>
  <c r="F20" i="40"/>
  <c r="P13" i="45" a="1"/>
  <c r="F15" i="40"/>
  <c r="F10" i="40"/>
  <c r="F14" i="40"/>
  <c r="F7" i="40"/>
  <c r="F12" i="40"/>
  <c r="F9" i="40"/>
  <c r="P14" i="45" l="1"/>
  <c r="P18" i="45"/>
  <c r="P15" i="45"/>
  <c r="P16" i="45"/>
  <c r="P13" i="45"/>
  <c r="P17" i="45"/>
  <c r="P21" i="45"/>
  <c r="P19" i="45"/>
  <c r="P20" i="45"/>
  <c r="AK5" i="39" a="1"/>
  <c r="AK6" i="39" l="1"/>
  <c r="AK5" i="39"/>
  <c r="AK9" i="39" a="1"/>
  <c r="AK10" i="39" l="1"/>
  <c r="AK9" i="39"/>
  <c r="P14" i="47" a="1"/>
  <c r="P22" i="47" l="1"/>
  <c r="P18" i="47"/>
  <c r="P26" i="47"/>
  <c r="P23" i="47"/>
  <c r="P16" i="47"/>
  <c r="P21" i="47"/>
  <c r="P15" i="47"/>
  <c r="P14" i="47"/>
  <c r="P27" i="47"/>
  <c r="P24" i="47"/>
  <c r="P17" i="47"/>
  <c r="P25" i="47"/>
  <c r="P20" i="47"/>
  <c r="P19" i="47"/>
  <c r="AK14" i="39" a="1"/>
  <c r="AK16" i="39" l="1"/>
  <c r="AK15" i="39"/>
  <c r="AK14" i="39"/>
  <c r="AK19" i="39" a="1"/>
  <c r="AK19" i="39" l="1"/>
  <c r="AK20" i="39"/>
  <c r="AK21" i="39"/>
  <c r="AI5" i="39" a="1"/>
  <c r="AI5" i="39" s="1"/>
  <c r="G29" i="39" s="1"/>
  <c r="AI6" i="39" l="1"/>
  <c r="G28" i="39" s="1"/>
  <c r="G27" i="39"/>
  <c r="G36" i="39"/>
  <c r="G44" i="39"/>
  <c r="G37" i="39"/>
  <c r="G45" i="39"/>
  <c r="G38" i="39"/>
  <c r="G46" i="39"/>
  <c r="G39" i="39"/>
  <c r="G47" i="39"/>
  <c r="G40" i="39"/>
  <c r="G48" i="39"/>
  <c r="G41" i="39"/>
  <c r="G49" i="39"/>
  <c r="G42" i="39"/>
  <c r="G50" i="39"/>
  <c r="G43" i="39"/>
  <c r="G51" i="39"/>
  <c r="BE1" i="39"/>
  <c r="BE93" i="39"/>
  <c r="BE90" i="39"/>
  <c r="BE77" i="39"/>
  <c r="BE74" i="39"/>
  <c r="BE61" i="39"/>
  <c r="BE58" i="39"/>
  <c r="BE134" i="39"/>
  <c r="BE133" i="39"/>
  <c r="BE126" i="39"/>
  <c r="BE125" i="39"/>
  <c r="BE118" i="39"/>
  <c r="BE117" i="39"/>
  <c r="BE110" i="39"/>
  <c r="BE109" i="39"/>
  <c r="BE99" i="39"/>
  <c r="BE96" i="39"/>
  <c r="BE83" i="39"/>
  <c r="BE80" i="39"/>
  <c r="BE67" i="39"/>
  <c r="BE64" i="39"/>
  <c r="BE102" i="39"/>
  <c r="BE131" i="39"/>
  <c r="BE127" i="39"/>
  <c r="BE124" i="39"/>
  <c r="BE120" i="39"/>
  <c r="BE57" i="39"/>
  <c r="BE54" i="39"/>
  <c r="BE53" i="39"/>
  <c r="BE51" i="39"/>
  <c r="BE44" i="39"/>
  <c r="BE43" i="39"/>
  <c r="BE36" i="39"/>
  <c r="BE35" i="39"/>
  <c r="BE28" i="39"/>
  <c r="BE27" i="39"/>
  <c r="BE20" i="39"/>
  <c r="BE19" i="39"/>
  <c r="BE12" i="39"/>
  <c r="BE11" i="39"/>
  <c r="BE9" i="39"/>
  <c r="BE76" i="39"/>
  <c r="BE72" i="39"/>
  <c r="BE71" i="39"/>
  <c r="BE121" i="39"/>
  <c r="BE114" i="39"/>
  <c r="BE63" i="39"/>
  <c r="BE60" i="39"/>
  <c r="BE59" i="39"/>
  <c r="BE56" i="39"/>
  <c r="BE55" i="39"/>
  <c r="BE52" i="39"/>
  <c r="BE10" i="39"/>
  <c r="BE115" i="39"/>
  <c r="BE111" i="39"/>
  <c r="BE108" i="39"/>
  <c r="BE104" i="39"/>
  <c r="BE95" i="39"/>
  <c r="BE94" i="39"/>
  <c r="BE73" i="39"/>
  <c r="BE70" i="39"/>
  <c r="BE69" i="39"/>
  <c r="BE66" i="39"/>
  <c r="BE65" i="39"/>
  <c r="BE62" i="39"/>
  <c r="BE50" i="39"/>
  <c r="BE49" i="39"/>
  <c r="BE42" i="39"/>
  <c r="BE41" i="39"/>
  <c r="BE34" i="39"/>
  <c r="BE33" i="39"/>
  <c r="BE26" i="39"/>
  <c r="BE25" i="39"/>
  <c r="BE18" i="39"/>
  <c r="BE17" i="39"/>
  <c r="BE135" i="39"/>
  <c r="BE132" i="39"/>
  <c r="BE128" i="39"/>
  <c r="BE105" i="39"/>
  <c r="BE101" i="39"/>
  <c r="BE100" i="39"/>
  <c r="BE79" i="39"/>
  <c r="BE75" i="39"/>
  <c r="BE68" i="39"/>
  <c r="BE129" i="39"/>
  <c r="BE122" i="39"/>
  <c r="BE123" i="39"/>
  <c r="BE106" i="39"/>
  <c r="BE29" i="39"/>
  <c r="BE22" i="39"/>
  <c r="BE103" i="39"/>
  <c r="BE98" i="39"/>
  <c r="BE46" i="39"/>
  <c r="BE16" i="39"/>
  <c r="BE86" i="39"/>
  <c r="BE82" i="39"/>
  <c r="BE78" i="39"/>
  <c r="BE47" i="39"/>
  <c r="BE130" i="39"/>
  <c r="BE119" i="39"/>
  <c r="BE30" i="39"/>
  <c r="BE97" i="39"/>
  <c r="BE31" i="39"/>
  <c r="BE24" i="39"/>
  <c r="BE48" i="39"/>
  <c r="BE14" i="39"/>
  <c r="BE85" i="39"/>
  <c r="BE38" i="39"/>
  <c r="BE15" i="39"/>
  <c r="BE112" i="39"/>
  <c r="BE87" i="39"/>
  <c r="BE23" i="39"/>
  <c r="BE40" i="39"/>
  <c r="BE13" i="39"/>
  <c r="BE116" i="39"/>
  <c r="BE88" i="39"/>
  <c r="BE84" i="39"/>
  <c r="BE113" i="39"/>
  <c r="BE92" i="39"/>
  <c r="BE89" i="39"/>
  <c r="BE91" i="39"/>
  <c r="BE37" i="39"/>
  <c r="BE107" i="39"/>
  <c r="BE21" i="39"/>
  <c r="BE7" i="39"/>
  <c r="BE81" i="39"/>
  <c r="BE45" i="39"/>
  <c r="BE8" i="39"/>
  <c r="BE39" i="39"/>
  <c r="BE32" i="39"/>
  <c r="BE6" i="39"/>
  <c r="G35" i="39" l="1"/>
  <c r="BE5" i="39" s="1"/>
  <c r="AW9" i="39" a="1"/>
  <c r="AW19" i="39" a="1"/>
  <c r="AW14" i="39" a="1"/>
  <c r="AW5" i="39" a="1"/>
  <c r="AW15" i="39" l="1"/>
  <c r="AW5" i="39"/>
  <c r="AW20" i="39"/>
  <c r="AW16" i="39"/>
  <c r="AW19" i="39"/>
  <c r="AW14" i="39"/>
  <c r="AW6" i="39"/>
  <c r="AW10" i="39"/>
  <c r="AW9" i="39"/>
  <c r="AW21" i="39"/>
  <c r="AU5" i="39" l="1" a="1"/>
  <c r="AU5" i="39" s="1"/>
  <c r="U29" i="39" s="1"/>
  <c r="AU14" i="39" a="1"/>
  <c r="AU16" i="39" s="1"/>
  <c r="V28" i="39" s="1"/>
  <c r="AU9" i="39" a="1"/>
  <c r="AU10" i="39" s="1"/>
  <c r="W28" i="39" s="1"/>
  <c r="AU19" i="39" a="1"/>
  <c r="AU19" i="39" s="1"/>
  <c r="X30" i="39" s="1"/>
  <c r="AU6" i="39" l="1"/>
  <c r="U28" i="39" s="1"/>
  <c r="AU14" i="39"/>
  <c r="V30" i="39" s="1"/>
  <c r="AU15" i="39"/>
  <c r="V29" i="39" s="1"/>
  <c r="V35" i="39" s="1"/>
  <c r="BJ5" i="39" s="1"/>
  <c r="AU21" i="39"/>
  <c r="X28" i="39" s="1"/>
  <c r="AU9" i="39"/>
  <c r="W29" i="39" s="1"/>
  <c r="AU20" i="39"/>
  <c r="X29" i="39" s="1"/>
  <c r="BI1" i="39"/>
  <c r="V27" i="39"/>
  <c r="V46" i="39"/>
  <c r="V40" i="39"/>
  <c r="X27" i="39"/>
  <c r="X51" i="39"/>
  <c r="X48" i="39"/>
  <c r="V44" i="39"/>
  <c r="V48" i="39"/>
  <c r="W27" i="39"/>
  <c r="X42" i="39"/>
  <c r="W43" i="39"/>
  <c r="V38" i="39"/>
  <c r="X41" i="39"/>
  <c r="W46" i="39"/>
  <c r="V36" i="39"/>
  <c r="X44" i="39"/>
  <c r="W45" i="39"/>
  <c r="V51" i="39"/>
  <c r="X36" i="39"/>
  <c r="W39" i="39"/>
  <c r="V47" i="39"/>
  <c r="W41" i="39"/>
  <c r="V37" i="39"/>
  <c r="X49" i="39"/>
  <c r="W42" i="39"/>
  <c r="W44" i="39"/>
  <c r="W38" i="39"/>
  <c r="V42" i="39"/>
  <c r="W50" i="39"/>
  <c r="V41" i="39"/>
  <c r="X39" i="39"/>
  <c r="V49" i="39"/>
  <c r="X40" i="39"/>
  <c r="V45" i="39"/>
  <c r="X47" i="39"/>
  <c r="W37" i="39"/>
  <c r="V50" i="39"/>
  <c r="U27" i="39"/>
  <c r="V39" i="39"/>
  <c r="X45" i="39"/>
  <c r="X37" i="39"/>
  <c r="U49" i="39"/>
  <c r="W47" i="39"/>
  <c r="W40" i="39"/>
  <c r="U37" i="39"/>
  <c r="X50" i="39"/>
  <c r="W36" i="39"/>
  <c r="U50" i="39"/>
  <c r="U42" i="39"/>
  <c r="U39" i="39"/>
  <c r="X43" i="39"/>
  <c r="V43" i="39"/>
  <c r="X38" i="39"/>
  <c r="X46" i="39"/>
  <c r="W51" i="39"/>
  <c r="W49" i="39"/>
  <c r="W48" i="39"/>
  <c r="U47" i="39"/>
  <c r="U48" i="39"/>
  <c r="U40" i="39"/>
  <c r="U43" i="39"/>
  <c r="U51" i="39"/>
  <c r="U36" i="39"/>
  <c r="U45" i="39"/>
  <c r="U38" i="39"/>
  <c r="U41" i="39"/>
  <c r="U46" i="39"/>
  <c r="U44" i="39"/>
  <c r="BI6" i="39"/>
  <c r="BI19" i="39"/>
  <c r="BI26" i="39"/>
  <c r="BI120" i="39"/>
  <c r="BI124" i="39"/>
  <c r="BI36" i="39"/>
  <c r="BI12" i="39"/>
  <c r="BI61" i="39"/>
  <c r="BI99" i="39"/>
  <c r="BI121" i="39"/>
  <c r="BI18" i="39"/>
  <c r="BI103" i="39"/>
  <c r="BI29" i="39"/>
  <c r="BI109" i="39"/>
  <c r="BI42" i="39"/>
  <c r="BI51" i="39"/>
  <c r="BI57" i="39"/>
  <c r="BI59" i="39"/>
  <c r="BI104" i="39"/>
  <c r="BI92" i="39"/>
  <c r="BI110" i="39"/>
  <c r="BI133" i="39"/>
  <c r="BI34" i="39"/>
  <c r="BI116" i="39"/>
  <c r="BI44" i="39"/>
  <c r="BI128" i="39"/>
  <c r="BI35" i="39"/>
  <c r="BI65" i="39"/>
  <c r="BI11" i="39"/>
  <c r="BI45" i="39"/>
  <c r="BI55" i="39"/>
  <c r="BI21" i="39"/>
  <c r="BI28" i="39"/>
  <c r="BI7" i="39"/>
  <c r="BI27" i="39"/>
  <c r="BI113" i="39"/>
  <c r="BI10" i="39"/>
  <c r="BI37" i="39"/>
  <c r="BI50" i="39"/>
  <c r="BI60" i="39"/>
  <c r="BI64" i="39"/>
  <c r="BI68" i="39"/>
  <c r="BI100" i="39"/>
  <c r="BI117" i="39"/>
  <c r="BI134" i="39"/>
  <c r="BI13" i="39"/>
  <c r="BI20" i="39"/>
  <c r="BI43" i="39"/>
  <c r="BI52" i="39"/>
  <c r="BI54" i="39"/>
  <c r="BI58" i="39"/>
  <c r="BI62" i="39"/>
  <c r="BI93" i="39"/>
  <c r="BI127" i="39"/>
  <c r="BI89" i="39"/>
  <c r="BI97" i="39"/>
  <c r="BI102" i="39"/>
  <c r="BI119" i="39"/>
  <c r="BI126" i="39"/>
  <c r="BI14" i="39"/>
  <c r="BI15" i="39"/>
  <c r="BI22" i="39"/>
  <c r="BI23" i="39"/>
  <c r="BI30" i="39"/>
  <c r="BI31" i="39"/>
  <c r="BI38" i="39"/>
  <c r="BI39" i="39"/>
  <c r="BI46" i="39"/>
  <c r="BI47" i="39"/>
  <c r="BI83" i="39"/>
  <c r="BI86" i="39"/>
  <c r="BI87" i="39"/>
  <c r="BI90" i="39"/>
  <c r="BI96" i="39"/>
  <c r="BI125" i="39"/>
  <c r="BI129" i="39"/>
  <c r="BI132" i="39"/>
  <c r="BI73" i="39"/>
  <c r="BI76" i="39"/>
  <c r="BI77" i="39"/>
  <c r="BI80" i="39"/>
  <c r="BI81" i="39"/>
  <c r="BI84" i="39"/>
  <c r="BI105" i="39"/>
  <c r="BI108" i="39"/>
  <c r="BI112" i="39"/>
  <c r="BI135" i="39"/>
  <c r="BI8" i="39"/>
  <c r="BI9" i="39"/>
  <c r="BI16" i="39"/>
  <c r="BI17" i="39"/>
  <c r="BI24" i="39"/>
  <c r="BI25" i="39"/>
  <c r="BI32" i="39"/>
  <c r="BI33" i="39"/>
  <c r="BI40" i="39"/>
  <c r="BI41" i="39"/>
  <c r="BI48" i="39"/>
  <c r="BI49" i="39"/>
  <c r="BI67" i="39"/>
  <c r="BI70" i="39"/>
  <c r="BI71" i="39"/>
  <c r="BI74" i="39"/>
  <c r="BI75" i="39"/>
  <c r="BI78" i="39"/>
  <c r="BI111" i="39"/>
  <c r="BI118" i="39"/>
  <c r="BI91" i="39"/>
  <c r="BI94" i="39"/>
  <c r="BI53" i="39"/>
  <c r="BI56" i="39"/>
  <c r="BI69" i="39"/>
  <c r="BI72" i="39"/>
  <c r="BI85" i="39"/>
  <c r="BI88" i="39"/>
  <c r="BI101" i="39"/>
  <c r="BI106" i="39"/>
  <c r="BI107" i="39"/>
  <c r="BI114" i="39"/>
  <c r="BI115" i="39"/>
  <c r="BI122" i="39"/>
  <c r="BI123" i="39"/>
  <c r="BI130" i="39"/>
  <c r="BI131" i="39"/>
  <c r="BI63" i="39"/>
  <c r="BI66" i="39"/>
  <c r="BI79" i="39"/>
  <c r="BI82" i="39"/>
  <c r="BI95" i="39"/>
  <c r="BI98" i="39"/>
  <c r="U35" i="39" l="1"/>
  <c r="BI5" i="39" s="1"/>
  <c r="X35" i="39"/>
  <c r="BL5" i="39" s="1"/>
  <c r="U57" i="39"/>
  <c r="U55" i="39"/>
  <c r="U59" i="39"/>
  <c r="U60" i="39"/>
  <c r="U56" i="39"/>
  <c r="U54" i="39"/>
  <c r="U58" i="39"/>
  <c r="V57" i="39"/>
  <c r="V59" i="39"/>
  <c r="V56" i="39"/>
  <c r="V58" i="39"/>
  <c r="V55" i="39"/>
  <c r="V54" i="39"/>
  <c r="V60" i="39"/>
  <c r="W58" i="39"/>
  <c r="W56" i="39"/>
  <c r="W55" i="39"/>
  <c r="W60" i="39"/>
  <c r="W57" i="39"/>
  <c r="W54" i="39"/>
  <c r="W59" i="39"/>
  <c r="X57" i="39"/>
  <c r="X59" i="39"/>
  <c r="X56" i="39"/>
  <c r="X54" i="39"/>
  <c r="X60" i="39"/>
  <c r="X55" i="39"/>
  <c r="X58" i="39"/>
  <c r="W35" i="39"/>
  <c r="BK5" i="39" s="1"/>
  <c r="P3" i="40" l="1"/>
  <c r="S89" i="40"/>
  <c r="S82" i="40"/>
  <c r="S204" i="40"/>
  <c r="S181" i="40"/>
  <c r="S245" i="40"/>
  <c r="S224" i="40"/>
  <c r="S166" i="40"/>
  <c r="S254" i="40"/>
  <c r="S167" i="40"/>
  <c r="S255" i="40"/>
  <c r="S185" i="40"/>
  <c r="S121" i="40"/>
  <c r="S145" i="40"/>
  <c r="S122" i="40"/>
  <c r="S88" i="40"/>
  <c r="S107" i="40"/>
  <c r="L12" i="40"/>
  <c r="S46" i="40"/>
  <c r="S13" i="40"/>
  <c r="S212" i="40"/>
  <c r="S262" i="40"/>
  <c r="S125" i="40"/>
  <c r="S189" i="40"/>
  <c r="S253" i="40"/>
  <c r="S248" i="40"/>
  <c r="S174" i="40"/>
  <c r="S128" i="40"/>
  <c r="S199" i="40"/>
  <c r="S184" i="40"/>
  <c r="S186" i="40"/>
  <c r="S217" i="40"/>
  <c r="S177" i="40"/>
  <c r="S218" i="40"/>
  <c r="S64" i="40"/>
  <c r="S140" i="40"/>
  <c r="L20" i="40"/>
  <c r="L14" i="40"/>
  <c r="S147" i="40"/>
  <c r="AA24" i="40"/>
  <c r="S86" i="40"/>
  <c r="S155" i="40"/>
  <c r="S44" i="40"/>
  <c r="S11" i="40"/>
  <c r="S175" i="40"/>
  <c r="S192" i="40"/>
  <c r="S38" i="40"/>
  <c r="S47" i="40"/>
  <c r="S164" i="40"/>
  <c r="S214" i="40"/>
  <c r="S137" i="40"/>
  <c r="S225" i="40"/>
  <c r="S96" i="40"/>
  <c r="S211" i="40"/>
  <c r="S36" i="40"/>
  <c r="S12" i="40"/>
  <c r="L5" i="40"/>
  <c r="L3" i="40"/>
  <c r="S77" i="40"/>
  <c r="S227" i="40"/>
  <c r="S118" i="40"/>
  <c r="S161" i="40"/>
  <c r="S45" i="40"/>
  <c r="S7" i="40"/>
  <c r="S144" i="40"/>
  <c r="S134" i="40"/>
  <c r="S222" i="40"/>
  <c r="S135" i="40"/>
  <c r="S223" i="40"/>
  <c r="S169" i="40"/>
  <c r="S170" i="40"/>
  <c r="S193" i="40"/>
  <c r="S210" i="40"/>
  <c r="S162" i="40"/>
  <c r="S109" i="40"/>
  <c r="S41" i="40"/>
  <c r="S32" i="40"/>
  <c r="S117" i="40"/>
  <c r="S52" i="40"/>
  <c r="S3" i="40"/>
  <c r="S26" i="40"/>
  <c r="S35" i="40"/>
  <c r="S136" i="40"/>
  <c r="AA18" i="40"/>
  <c r="AA19" i="40"/>
  <c r="S49" i="40"/>
  <c r="S160" i="40"/>
  <c r="S133" i="40"/>
  <c r="S182" i="40"/>
  <c r="S209" i="40"/>
  <c r="S14" i="40"/>
  <c r="S71" i="40"/>
  <c r="S93" i="40"/>
  <c r="S53" i="40"/>
  <c r="L19" i="40"/>
  <c r="S112" i="40"/>
  <c r="S171" i="40"/>
  <c r="S228" i="40"/>
  <c r="S205" i="40"/>
  <c r="S127" i="40"/>
  <c r="S250" i="40"/>
  <c r="L9" i="40"/>
  <c r="S102" i="40"/>
  <c r="S25" i="40"/>
  <c r="S87" i="40"/>
  <c r="S17" i="40"/>
  <c r="S42" i="40"/>
  <c r="S243" i="40"/>
  <c r="S149" i="40"/>
  <c r="P6" i="40" a="1"/>
  <c r="S76" i="40"/>
  <c r="S60" i="40"/>
  <c r="S94" i="40"/>
  <c r="AA27" i="40"/>
  <c r="L21" i="40"/>
  <c r="S4" i="40"/>
  <c r="S6" i="40"/>
  <c r="L11" i="40"/>
  <c r="S54" i="40"/>
  <c r="S92" i="40"/>
  <c r="S8" i="40"/>
  <c r="S51" i="40"/>
  <c r="S55" i="40"/>
  <c r="S91" i="40"/>
  <c r="S19" i="40"/>
  <c r="L22" i="40"/>
  <c r="S98" i="40"/>
  <c r="S27" i="40"/>
  <c r="S123" i="40"/>
  <c r="S187" i="40"/>
  <c r="S251" i="40"/>
  <c r="S256" i="40"/>
  <c r="S180" i="40"/>
  <c r="S244" i="40"/>
  <c r="S168" i="40"/>
  <c r="S157" i="40"/>
  <c r="S221" i="40"/>
  <c r="S152" i="40"/>
  <c r="S142" i="40"/>
  <c r="S230" i="40"/>
  <c r="S143" i="40"/>
  <c r="S231" i="40"/>
  <c r="S201" i="40"/>
  <c r="S202" i="40"/>
  <c r="S257" i="40"/>
  <c r="S242" i="40"/>
  <c r="S194" i="40"/>
  <c r="S81" i="40"/>
  <c r="AA17" i="40"/>
  <c r="AA28" i="40"/>
  <c r="S29" i="40"/>
  <c r="S198" i="40"/>
  <c r="S37" i="40"/>
  <c r="L6" i="40"/>
  <c r="S78" i="40"/>
  <c r="S95" i="40"/>
  <c r="S219" i="40"/>
  <c r="L8" i="40"/>
  <c r="S69" i="40"/>
  <c r="S33" i="40"/>
  <c r="L15" i="40"/>
  <c r="AA21" i="40"/>
  <c r="S163" i="40"/>
  <c r="S220" i="40"/>
  <c r="S261" i="40"/>
  <c r="S207" i="40"/>
  <c r="S129" i="40"/>
  <c r="S85" i="40"/>
  <c r="S90" i="40"/>
  <c r="S113" i="40"/>
  <c r="S43" i="40"/>
  <c r="S235" i="40"/>
  <c r="S120" i="40"/>
  <c r="S190" i="40"/>
  <c r="S215" i="40"/>
  <c r="S138" i="40"/>
  <c r="S15" i="40"/>
  <c r="S106" i="40"/>
  <c r="L10" i="40"/>
  <c r="S18" i="40"/>
  <c r="S84" i="40"/>
  <c r="S232" i="40"/>
  <c r="S183" i="40"/>
  <c r="P13" i="40" a="1"/>
  <c r="S50" i="40"/>
  <c r="S101" i="40"/>
  <c r="S63" i="40"/>
  <c r="S30" i="40"/>
  <c r="S48" i="40"/>
  <c r="L16" i="40"/>
  <c r="AA20" i="40"/>
  <c r="S56" i="40"/>
  <c r="AA16" i="40"/>
  <c r="S57" i="40"/>
  <c r="S114" i="40"/>
  <c r="S62" i="40"/>
  <c r="S79" i="40"/>
  <c r="AA26" i="40"/>
  <c r="S70" i="40"/>
  <c r="L4" i="40"/>
  <c r="S61" i="40"/>
  <c r="S116" i="40"/>
  <c r="S24" i="40"/>
  <c r="AA25" i="40"/>
  <c r="S131" i="40"/>
  <c r="S195" i="40"/>
  <c r="S259" i="40"/>
  <c r="S124" i="40"/>
  <c r="S188" i="40"/>
  <c r="S252" i="40"/>
  <c r="S216" i="40"/>
  <c r="S165" i="40"/>
  <c r="S229" i="40"/>
  <c r="S176" i="40"/>
  <c r="S150" i="40"/>
  <c r="S238" i="40"/>
  <c r="S151" i="40"/>
  <c r="S239" i="40"/>
  <c r="S233" i="40"/>
  <c r="S234" i="40"/>
  <c r="S130" i="40"/>
  <c r="S153" i="40"/>
  <c r="S258" i="40"/>
  <c r="S73" i="40"/>
  <c r="S28" i="40"/>
  <c r="S115" i="40"/>
  <c r="S110" i="40"/>
  <c r="S191" i="40"/>
  <c r="L13" i="40"/>
  <c r="S9" i="40"/>
  <c r="S5" i="40"/>
  <c r="S10" i="40"/>
  <c r="S148" i="40"/>
  <c r="S74" i="40"/>
  <c r="S83" i="40"/>
  <c r="S100" i="40"/>
  <c r="S31" i="40"/>
  <c r="AA30" i="40"/>
  <c r="S80" i="40"/>
  <c r="S156" i="40"/>
  <c r="S197" i="40"/>
  <c r="S119" i="40"/>
  <c r="S154" i="40"/>
  <c r="S58" i="40"/>
  <c r="S111" i="40"/>
  <c r="S16" i="40"/>
  <c r="S21" i="40"/>
  <c r="S103" i="40"/>
  <c r="S39" i="40"/>
  <c r="S105" i="40"/>
  <c r="S208" i="40"/>
  <c r="S141" i="40"/>
  <c r="S126" i="40"/>
  <c r="S241" i="40"/>
  <c r="S75" i="40"/>
  <c r="S67" i="40"/>
  <c r="S99" i="40"/>
  <c r="AA23" i="40"/>
  <c r="S104" i="40"/>
  <c r="L18" i="40"/>
  <c r="S72" i="40"/>
  <c r="S179" i="40"/>
  <c r="S172" i="40"/>
  <c r="S236" i="40"/>
  <c r="S213" i="40"/>
  <c r="L7" i="40"/>
  <c r="S66" i="40"/>
  <c r="AA15" i="40"/>
  <c r="AA22" i="40"/>
  <c r="S68" i="40"/>
  <c r="S59" i="40"/>
  <c r="S40" i="40"/>
  <c r="S97" i="40"/>
  <c r="S34" i="40"/>
  <c r="AA29" i="40"/>
  <c r="S108" i="40"/>
  <c r="S22" i="40"/>
  <c r="S20" i="40"/>
  <c r="S23" i="40"/>
  <c r="L17" i="40"/>
  <c r="S65" i="40"/>
  <c r="S139" i="40"/>
  <c r="S203" i="40"/>
  <c r="S206" i="40"/>
  <c r="S132" i="40"/>
  <c r="S196" i="40"/>
  <c r="S260" i="40"/>
  <c r="S240" i="40"/>
  <c r="S173" i="40"/>
  <c r="S237" i="40"/>
  <c r="S200" i="40"/>
  <c r="S158" i="40"/>
  <c r="S246" i="40"/>
  <c r="S159" i="40"/>
  <c r="S247" i="40"/>
  <c r="S178" i="40"/>
  <c r="S146" i="40"/>
  <c r="S226" i="40"/>
  <c r="S249" i="40"/>
  <c r="F3" i="40"/>
  <c r="AC50" i="39" l="1"/>
  <c r="AC59" i="39" s="1"/>
  <c r="AC43" i="39"/>
  <c r="AC36" i="39"/>
  <c r="AC44" i="39"/>
  <c r="AC51" i="39"/>
  <c r="AC60" i="39" s="1"/>
  <c r="AC46" i="39"/>
  <c r="AC55" i="39" s="1"/>
  <c r="AC47" i="39"/>
  <c r="AC56" i="39" s="1"/>
  <c r="AC37" i="39"/>
  <c r="AC41" i="39"/>
  <c r="AC42" i="39"/>
  <c r="AC49" i="39"/>
  <c r="AC58" i="39" s="1"/>
  <c r="AC38" i="39"/>
  <c r="AC48" i="39"/>
  <c r="AC57" i="39" s="1"/>
  <c r="AC40" i="39"/>
  <c r="AC39" i="39"/>
  <c r="AC45" i="39"/>
  <c r="AC54" i="39" s="1"/>
  <c r="G57" i="39"/>
  <c r="M17" i="40"/>
  <c r="M7" i="40"/>
  <c r="M18" i="40"/>
  <c r="M13" i="40"/>
  <c r="G58" i="39"/>
  <c r="M4" i="40"/>
  <c r="M16" i="40"/>
  <c r="P16" i="40"/>
  <c r="P15" i="40"/>
  <c r="P14" i="40"/>
  <c r="P17" i="40"/>
  <c r="P13" i="40"/>
  <c r="M10" i="40"/>
  <c r="G56" i="39"/>
  <c r="M15" i="40"/>
  <c r="M8" i="40"/>
  <c r="M6" i="40"/>
  <c r="M22" i="40"/>
  <c r="G54" i="39"/>
  <c r="M11" i="40"/>
  <c r="M21" i="40"/>
  <c r="P6" i="40"/>
  <c r="P7" i="40"/>
  <c r="P8" i="40"/>
  <c r="P9" i="40"/>
  <c r="P10" i="40"/>
  <c r="G59" i="39"/>
  <c r="M9" i="40"/>
  <c r="M19" i="40"/>
  <c r="G60" i="39"/>
  <c r="G55" i="39"/>
  <c r="I3" i="40"/>
  <c r="M5" i="40"/>
  <c r="M14" i="40"/>
  <c r="M20" i="40"/>
  <c r="M12" i="40"/>
  <c r="AF14" i="39" a="1"/>
  <c r="AF9" i="39" a="1"/>
  <c r="I34" i="29"/>
  <c r="I28" i="29"/>
  <c r="AF19" i="39" a="1"/>
  <c r="H37" i="29"/>
  <c r="AE19" i="39" a="1"/>
  <c r="D34" i="29"/>
  <c r="D35" i="29"/>
  <c r="C38" i="29"/>
  <c r="C37" i="29"/>
  <c r="AE14" i="39" a="1"/>
  <c r="D33" i="29"/>
  <c r="AE21" i="39"/>
  <c r="AF14" i="39"/>
  <c r="AE20" i="39"/>
  <c r="AF15" i="39"/>
  <c r="AF9" i="39"/>
  <c r="AF16" i="39"/>
  <c r="AE14" i="39"/>
  <c r="AE15" i="39"/>
  <c r="AF21" i="39"/>
  <c r="AF10" i="39"/>
  <c r="AE16" i="39"/>
  <c r="AF19" i="39"/>
  <c r="AF20" i="39"/>
  <c r="AE19" i="39"/>
  <c r="I35" i="29"/>
  <c r="I37" i="29"/>
  <c r="D37" i="29"/>
  <c r="H38" i="29"/>
  <c r="I38" i="29"/>
  <c r="D38" i="29"/>
  <c r="D28" i="29"/>
  <c r="E16" i="35"/>
  <c r="E25" i="35"/>
  <c r="E12" i="35"/>
  <c r="B2" i="35"/>
  <c r="B30" i="35"/>
  <c r="B9" i="35"/>
  <c r="B31" i="35"/>
  <c r="E8" i="35"/>
  <c r="E17" i="35"/>
  <c r="E21" i="35"/>
  <c r="E29" i="35"/>
  <c r="E49" i="35"/>
  <c r="B32" i="35"/>
  <c r="E31" i="35"/>
  <c r="E5" i="35"/>
  <c r="B27" i="35"/>
  <c r="B20" i="35"/>
  <c r="E26" i="35"/>
  <c r="B33" i="35"/>
  <c r="B28" i="35"/>
  <c r="B11" i="35"/>
  <c r="B8" i="35"/>
  <c r="B42" i="35"/>
  <c r="B19" i="35"/>
  <c r="E40" i="35"/>
  <c r="E18" i="35"/>
  <c r="B17" i="35"/>
  <c r="Q31" i="47"/>
  <c r="E9" i="35"/>
  <c r="B16" i="35"/>
  <c r="E41" i="35"/>
  <c r="B6" i="35"/>
  <c r="E37" i="35"/>
  <c r="E42" i="35"/>
  <c r="B29" i="35"/>
  <c r="B7" i="35"/>
  <c r="E10" i="35"/>
  <c r="E36" i="35"/>
  <c r="E23" i="35"/>
  <c r="B21" i="35"/>
  <c r="B35" i="35"/>
  <c r="E2" i="35"/>
  <c r="B41" i="35"/>
  <c r="B44" i="35"/>
  <c r="E7" i="35"/>
  <c r="E35" i="35"/>
  <c r="B45" i="35"/>
  <c r="E32" i="35"/>
  <c r="E22" i="35"/>
  <c r="E24" i="35"/>
  <c r="E48" i="35"/>
  <c r="E30" i="35"/>
  <c r="E33" i="35"/>
  <c r="B39" i="35"/>
  <c r="E27" i="35"/>
  <c r="B22" i="35"/>
  <c r="B38" i="35"/>
  <c r="E50" i="35"/>
  <c r="B26" i="35"/>
  <c r="B18" i="35"/>
  <c r="B50" i="35"/>
  <c r="B34" i="35"/>
  <c r="B25" i="35"/>
  <c r="Q34" i="47"/>
  <c r="B23" i="35"/>
  <c r="E46" i="35"/>
  <c r="E47" i="35"/>
  <c r="B49" i="35"/>
  <c r="B5" i="35"/>
  <c r="E28" i="35"/>
  <c r="B10" i="35"/>
  <c r="B43" i="35"/>
  <c r="E19" i="35"/>
  <c r="E44" i="35"/>
  <c r="E11" i="35"/>
  <c r="B13" i="35"/>
  <c r="E15" i="35"/>
  <c r="Q32" i="47"/>
  <c r="E4" i="35"/>
  <c r="B14" i="35"/>
  <c r="B24" i="35"/>
  <c r="B36" i="35"/>
  <c r="E39" i="35"/>
  <c r="B12" i="35"/>
  <c r="E43" i="35"/>
  <c r="E34" i="35"/>
  <c r="E38" i="35"/>
  <c r="E45" i="35"/>
  <c r="E3" i="35"/>
  <c r="Q26" i="45"/>
  <c r="E13" i="35"/>
  <c r="B40" i="35"/>
  <c r="B15" i="35"/>
  <c r="Q33" i="47"/>
  <c r="B4" i="35"/>
  <c r="B46" i="35"/>
  <c r="E6" i="35"/>
  <c r="B48" i="35"/>
  <c r="B3" i="35"/>
  <c r="Q36" i="47"/>
  <c r="B47" i="35"/>
  <c r="E20" i="35"/>
  <c r="Q35" i="47"/>
  <c r="B37" i="35"/>
  <c r="E14" i="35"/>
  <c r="P27" i="45"/>
  <c r="AL14" i="39" a="1"/>
  <c r="AL19" i="39" a="1"/>
  <c r="AL9" i="39" a="1"/>
  <c r="C35" i="35"/>
  <c r="C31" i="35"/>
  <c r="C21" i="35"/>
  <c r="C39" i="35"/>
  <c r="C29" i="35"/>
  <c r="R26" i="45"/>
  <c r="C19" i="35"/>
  <c r="C6" i="35"/>
  <c r="C26" i="35"/>
  <c r="C16" i="35"/>
  <c r="C15" i="35"/>
  <c r="C3" i="35"/>
  <c r="C49" i="35"/>
  <c r="C27" i="35"/>
  <c r="C12" i="35"/>
  <c r="R33" i="47"/>
  <c r="C42" i="35"/>
  <c r="C41" i="35"/>
  <c r="C7" i="35"/>
  <c r="C20" i="35"/>
  <c r="C28" i="35"/>
  <c r="C30" i="35"/>
  <c r="R36" i="47"/>
  <c r="C38" i="35"/>
  <c r="R35" i="47"/>
  <c r="C9" i="35"/>
  <c r="C32" i="35"/>
  <c r="C47" i="35"/>
  <c r="C23" i="35"/>
  <c r="C11" i="35"/>
  <c r="C8" i="35"/>
  <c r="C2" i="35"/>
  <c r="C43" i="35"/>
  <c r="R32" i="47"/>
  <c r="C4" i="35"/>
  <c r="C13" i="35"/>
  <c r="R31" i="47"/>
  <c r="C34" i="35"/>
  <c r="C24" i="35"/>
  <c r="Q27" i="45"/>
  <c r="C5" i="35"/>
  <c r="C22" i="35"/>
  <c r="C17" i="35"/>
  <c r="C36" i="35"/>
  <c r="C48" i="35"/>
  <c r="C46" i="35"/>
  <c r="C14" i="35"/>
  <c r="C37" i="35"/>
  <c r="C18" i="35"/>
  <c r="R34" i="47"/>
  <c r="C10" i="35"/>
  <c r="C45" i="35"/>
  <c r="C33" i="35"/>
  <c r="C50" i="35"/>
  <c r="C40" i="35"/>
  <c r="C44" i="35"/>
  <c r="C25" i="35"/>
  <c r="AM14" i="39"/>
  <c r="AL21" i="39"/>
  <c r="AL19" i="39"/>
  <c r="AM15" i="39"/>
  <c r="AL20" i="39"/>
  <c r="P28" i="45"/>
  <c r="AL16" i="39"/>
  <c r="AN20" i="39"/>
  <c r="AM10" i="39"/>
  <c r="AN16" i="39"/>
  <c r="AN21" i="39"/>
  <c r="AL9" i="39"/>
  <c r="AL14" i="39"/>
  <c r="AM20" i="39"/>
  <c r="AL10" i="39"/>
  <c r="AN15" i="39"/>
  <c r="AM21" i="39"/>
  <c r="AM9" i="39"/>
  <c r="AL15" i="39"/>
  <c r="AN19" i="39"/>
  <c r="AN14" i="39"/>
  <c r="AM16" i="39"/>
  <c r="AM19" i="39"/>
  <c r="R27" i="45"/>
  <c r="Q28" i="45"/>
  <c r="P29" i="45"/>
  <c r="R28" i="45"/>
  <c r="Q29" i="45"/>
  <c r="R29" i="45"/>
  <c r="S26" i="45"/>
  <c r="F28" i="35"/>
  <c r="F18" i="35"/>
  <c r="T12" i="45" a="1"/>
  <c r="S34" i="47"/>
  <c r="V36" i="47"/>
  <c r="F34" i="35"/>
  <c r="F24" i="35"/>
  <c r="F48" i="35"/>
  <c r="V29" i="45"/>
  <c r="F45" i="35"/>
  <c r="F44" i="35"/>
  <c r="F15" i="35"/>
  <c r="F6" i="35"/>
  <c r="F33" i="35"/>
  <c r="U29" i="45"/>
  <c r="S27" i="45"/>
  <c r="F31" i="35"/>
  <c r="S32" i="47"/>
  <c r="F2" i="35"/>
  <c r="F4" i="35"/>
  <c r="T13" i="47" a="1"/>
  <c r="F10" i="35"/>
  <c r="F11" i="35"/>
  <c r="U28" i="45"/>
  <c r="F49" i="35"/>
  <c r="F38" i="35"/>
  <c r="V31" i="47"/>
  <c r="V34" i="47"/>
  <c r="F7" i="35"/>
  <c r="V32" i="47"/>
  <c r="S35" i="47"/>
  <c r="F47" i="35"/>
  <c r="F46" i="35"/>
  <c r="S36" i="47"/>
  <c r="F25" i="35"/>
  <c r="F32" i="35"/>
  <c r="F36" i="35"/>
  <c r="F40" i="35"/>
  <c r="F13" i="35"/>
  <c r="S29" i="45"/>
  <c r="F17" i="35"/>
  <c r="S28" i="45"/>
  <c r="F12" i="35"/>
  <c r="F20" i="35"/>
  <c r="F21" i="35"/>
  <c r="F19" i="35"/>
  <c r="V26" i="45"/>
  <c r="V28" i="45"/>
  <c r="F14" i="35"/>
  <c r="F42" i="35"/>
  <c r="F16" i="35"/>
  <c r="F23" i="35"/>
  <c r="F5" i="35"/>
  <c r="F39" i="35"/>
  <c r="F30" i="35"/>
  <c r="F43" i="35"/>
  <c r="V33" i="47"/>
  <c r="F35" i="35"/>
  <c r="F22" i="35"/>
  <c r="S33" i="47"/>
  <c r="F27" i="35"/>
  <c r="F3" i="35"/>
  <c r="F9" i="35"/>
  <c r="F26" i="35"/>
  <c r="F8" i="35"/>
  <c r="U27" i="45"/>
  <c r="S31" i="47"/>
  <c r="V27" i="45"/>
  <c r="F50" i="35"/>
  <c r="F37" i="35"/>
  <c r="V35" i="47"/>
  <c r="F41" i="35"/>
  <c r="F29" i="35"/>
  <c r="T27" i="45"/>
  <c r="W27" i="45"/>
  <c r="T35" i="47"/>
  <c r="W35" i="47" s="1"/>
  <c r="T16" i="47"/>
  <c r="T18" i="47"/>
  <c r="T29" i="45"/>
  <c r="W29" i="45" s="1"/>
  <c r="T34" i="47"/>
  <c r="X34" i="47" s="1"/>
  <c r="W34" i="47"/>
  <c r="T21" i="45"/>
  <c r="T23" i="47"/>
  <c r="T16" i="45"/>
  <c r="T24" i="47"/>
  <c r="T31" i="47"/>
  <c r="W31" i="47" s="1"/>
  <c r="T19" i="45"/>
  <c r="T14" i="47"/>
  <c r="T27" i="47"/>
  <c r="T21" i="47"/>
  <c r="T15" i="45"/>
  <c r="T20" i="47"/>
  <c r="T17" i="47"/>
  <c r="T18" i="45"/>
  <c r="T28" i="45"/>
  <c r="W28" i="45"/>
  <c r="T33" i="47"/>
  <c r="W33" i="47" s="1"/>
  <c r="T20" i="45"/>
  <c r="T12" i="45"/>
  <c r="T36" i="47"/>
  <c r="X36" i="47" s="1"/>
  <c r="T19" i="47"/>
  <c r="T26" i="47"/>
  <c r="T26" i="45"/>
  <c r="W26" i="45" s="1"/>
  <c r="T15" i="47"/>
  <c r="T17" i="45"/>
  <c r="T13" i="45"/>
  <c r="T13" i="47"/>
  <c r="T32" i="47"/>
  <c r="X32" i="47" s="1"/>
  <c r="T14" i="45"/>
  <c r="T25" i="47"/>
  <c r="T22" i="47"/>
  <c r="F3" i="48" l="1"/>
  <c r="F4" i="48" a="1"/>
  <c r="F6" i="48" s="1"/>
  <c r="F7" i="48"/>
  <c r="F5" i="48"/>
  <c r="X33" i="47"/>
  <c r="X35" i="47"/>
  <c r="F3" i="49"/>
  <c r="X31" i="47"/>
  <c r="W36" i="47"/>
  <c r="W32" i="47"/>
  <c r="F4" i="48" l="1"/>
  <c r="F4" i="49" a="1"/>
  <c r="U13" i="48" a="1"/>
  <c r="U9" i="48" a="1"/>
  <c r="U3" i="48" a="1"/>
  <c r="U9" i="48" l="1"/>
  <c r="U10" i="48"/>
  <c r="U13" i="48"/>
  <c r="S13" i="48" s="1"/>
  <c r="AD16" i="48" s="1"/>
  <c r="AD6" i="48"/>
  <c r="AD23" i="48"/>
  <c r="F6" i="49"/>
  <c r="F7" i="49"/>
  <c r="F4" i="49"/>
  <c r="F5" i="49"/>
  <c r="AD11" i="48"/>
  <c r="AD9" i="48"/>
  <c r="AD25" i="48"/>
  <c r="AI9" i="39" a="1"/>
  <c r="AI9" i="39" s="1"/>
  <c r="S29" i="39" s="1"/>
  <c r="U3" i="48"/>
  <c r="U5" i="48"/>
  <c r="U4" i="48"/>
  <c r="U13" i="49" a="1"/>
  <c r="U3" i="49" a="1"/>
  <c r="AD21" i="48" l="1"/>
  <c r="AD4" i="48"/>
  <c r="AD22" i="48"/>
  <c r="AD14" i="48"/>
  <c r="AD18" i="48"/>
  <c r="AD13" i="48"/>
  <c r="AD20" i="48"/>
  <c r="AD15" i="48"/>
  <c r="AD10" i="48"/>
  <c r="AD5" i="48"/>
  <c r="AD12" i="48"/>
  <c r="AD19" i="48"/>
  <c r="AD24" i="48"/>
  <c r="AD8" i="48"/>
  <c r="AD26" i="48"/>
  <c r="AD7" i="48"/>
  <c r="AD17" i="48"/>
  <c r="AD3" i="48"/>
  <c r="U3" i="49"/>
  <c r="U4" i="49"/>
  <c r="U5" i="49"/>
  <c r="U13" i="49"/>
  <c r="S13" i="49" s="1"/>
  <c r="AI10" i="39"/>
  <c r="S28" i="39" s="1"/>
  <c r="AI14" i="39" a="1"/>
  <c r="AI14" i="39" s="1"/>
  <c r="H30" i="39" s="1"/>
  <c r="BK1" i="39"/>
  <c r="S27" i="39"/>
  <c r="BG1" i="39" s="1"/>
  <c r="U9" i="49" a="1"/>
  <c r="BK6" i="39"/>
  <c r="BK33" i="39"/>
  <c r="BK117" i="39"/>
  <c r="BK64" i="39"/>
  <c r="BK9" i="39"/>
  <c r="BK93" i="39"/>
  <c r="BK69" i="39"/>
  <c r="BK63" i="39"/>
  <c r="BK107" i="39"/>
  <c r="BK60" i="39"/>
  <c r="BK58" i="39"/>
  <c r="BK19" i="39"/>
  <c r="BK73" i="39"/>
  <c r="BK25" i="39"/>
  <c r="BK53" i="39"/>
  <c r="BK67" i="39"/>
  <c r="BK35" i="39"/>
  <c r="BK57" i="39"/>
  <c r="BK55" i="39"/>
  <c r="BK17" i="39"/>
  <c r="BK56" i="39"/>
  <c r="BK43" i="39"/>
  <c r="BK49" i="39"/>
  <c r="BK54" i="39"/>
  <c r="BK98" i="39"/>
  <c r="BK77" i="39"/>
  <c r="BK71" i="39"/>
  <c r="BK51" i="39"/>
  <c r="BK61" i="39"/>
  <c r="BK99" i="39"/>
  <c r="BK11" i="39"/>
  <c r="BK41" i="39"/>
  <c r="BK72" i="39"/>
  <c r="BK76" i="39"/>
  <c r="BK80" i="39"/>
  <c r="BK27" i="39"/>
  <c r="BK66" i="39"/>
  <c r="BK70" i="39"/>
  <c r="BK74" i="39"/>
  <c r="BK111" i="39"/>
  <c r="BK131" i="39"/>
  <c r="BK123" i="39"/>
  <c r="BK127" i="39"/>
  <c r="BK92" i="39"/>
  <c r="BK103" i="39"/>
  <c r="BK133" i="39"/>
  <c r="BK13" i="39"/>
  <c r="BK21" i="39"/>
  <c r="BK29" i="39"/>
  <c r="BK37" i="39"/>
  <c r="BK45" i="39"/>
  <c r="BK109" i="39"/>
  <c r="BK7" i="39"/>
  <c r="BK85" i="39"/>
  <c r="BK88" i="39"/>
  <c r="BK89" i="39"/>
  <c r="BK101" i="39"/>
  <c r="BK102" i="39"/>
  <c r="BK115" i="39"/>
  <c r="BK119" i="39"/>
  <c r="BK15" i="39"/>
  <c r="BK23" i="39"/>
  <c r="BK31" i="39"/>
  <c r="BK39" i="39"/>
  <c r="BK47" i="39"/>
  <c r="BK79" i="39"/>
  <c r="BK82" i="39"/>
  <c r="BK83" i="39"/>
  <c r="BK86" i="39"/>
  <c r="BK87" i="39"/>
  <c r="BK90" i="39"/>
  <c r="BK95" i="39"/>
  <c r="BK96" i="39"/>
  <c r="BK125" i="39"/>
  <c r="BK135" i="39"/>
  <c r="BK65" i="39"/>
  <c r="BK68" i="39"/>
  <c r="BK81" i="39"/>
  <c r="BK84" i="39"/>
  <c r="BK97" i="39"/>
  <c r="BK100" i="39"/>
  <c r="BK105" i="39"/>
  <c r="BK113" i="39"/>
  <c r="BK121" i="39"/>
  <c r="BK129" i="39"/>
  <c r="BK52" i="39"/>
  <c r="BK8" i="39"/>
  <c r="BK10" i="39"/>
  <c r="BK12" i="39"/>
  <c r="BK14" i="39"/>
  <c r="BK16" i="39"/>
  <c r="BK18" i="39"/>
  <c r="BK20" i="39"/>
  <c r="BK22" i="39"/>
  <c r="BK24" i="39"/>
  <c r="BK26" i="39"/>
  <c r="BK28" i="39"/>
  <c r="BK30" i="39"/>
  <c r="BK32" i="39"/>
  <c r="BK34" i="39"/>
  <c r="BK36" i="39"/>
  <c r="BK38" i="39"/>
  <c r="BK40" i="39"/>
  <c r="BK42" i="39"/>
  <c r="BK44" i="39"/>
  <c r="BK46" i="39"/>
  <c r="BK48" i="39"/>
  <c r="BK50" i="39"/>
  <c r="BK59" i="39"/>
  <c r="BK62" i="39"/>
  <c r="BK75" i="39"/>
  <c r="BK78" i="39"/>
  <c r="BK91" i="39"/>
  <c r="BK94" i="39"/>
  <c r="BK104" i="39"/>
  <c r="BK106" i="39"/>
  <c r="BK108" i="39"/>
  <c r="BK110" i="39"/>
  <c r="BK112" i="39"/>
  <c r="BK114" i="39"/>
  <c r="BK116" i="39"/>
  <c r="BK118" i="39"/>
  <c r="BK120" i="39"/>
  <c r="BK122" i="39"/>
  <c r="BK124" i="39"/>
  <c r="BK126" i="39"/>
  <c r="BK128" i="39"/>
  <c r="BK130" i="39"/>
  <c r="BK132" i="39"/>
  <c r="BK134" i="39"/>
  <c r="BG6" i="39"/>
  <c r="BG12" i="39"/>
  <c r="BG46" i="39"/>
  <c r="BG106" i="39"/>
  <c r="BG55" i="39"/>
  <c r="BG96" i="39"/>
  <c r="BG28" i="39"/>
  <c r="BG110" i="39"/>
  <c r="BG44" i="39"/>
  <c r="BG52" i="39"/>
  <c r="BG97" i="39"/>
  <c r="BG126" i="39"/>
  <c r="BG22" i="39"/>
  <c r="BG53" i="39"/>
  <c r="BG59" i="39"/>
  <c r="BG38" i="39"/>
  <c r="BG14" i="39"/>
  <c r="BG20" i="39"/>
  <c r="BG90" i="39"/>
  <c r="BG30" i="39"/>
  <c r="BG56" i="39"/>
  <c r="BG93" i="39"/>
  <c r="BG114" i="39"/>
  <c r="BG130" i="39"/>
  <c r="BG36" i="39"/>
  <c r="BG120" i="39"/>
  <c r="BG80" i="39"/>
  <c r="BG83" i="39"/>
  <c r="BG84" i="39"/>
  <c r="BG91" i="39"/>
  <c r="BG112" i="39"/>
  <c r="BG8" i="39"/>
  <c r="BG16" i="39"/>
  <c r="BG24" i="39"/>
  <c r="BG32" i="39"/>
  <c r="BG40" i="39"/>
  <c r="BG48" i="39"/>
  <c r="BG74" i="39"/>
  <c r="BG77" i="39"/>
  <c r="BG78" i="39"/>
  <c r="BG81" i="39"/>
  <c r="BG82" i="39"/>
  <c r="BG85" i="39"/>
  <c r="BG118" i="39"/>
  <c r="BG122" i="39"/>
  <c r="BG87" i="39"/>
  <c r="BG64" i="39"/>
  <c r="BG67" i="39"/>
  <c r="BG68" i="39"/>
  <c r="BG71" i="39"/>
  <c r="BG72" i="39"/>
  <c r="BG75" i="39"/>
  <c r="BG100" i="39"/>
  <c r="BG128" i="39"/>
  <c r="BG88" i="39"/>
  <c r="BG10" i="39"/>
  <c r="BG18" i="39"/>
  <c r="BG26" i="39"/>
  <c r="BG34" i="39"/>
  <c r="BG42" i="39"/>
  <c r="BG50" i="39"/>
  <c r="BG58" i="39"/>
  <c r="BG61" i="39"/>
  <c r="BG62" i="39"/>
  <c r="BG65" i="39"/>
  <c r="BG66" i="39"/>
  <c r="BG69" i="39"/>
  <c r="BG94" i="39"/>
  <c r="BG99" i="39"/>
  <c r="BG104" i="39"/>
  <c r="BG134" i="39"/>
  <c r="BG98" i="39"/>
  <c r="BG101" i="39"/>
  <c r="BG63" i="39"/>
  <c r="BG76" i="39"/>
  <c r="BG79" i="39"/>
  <c r="BG92" i="39"/>
  <c r="BG95" i="39"/>
  <c r="BG108" i="39"/>
  <c r="BG116" i="39"/>
  <c r="BG124" i="39"/>
  <c r="BG132" i="39"/>
  <c r="BG60" i="39"/>
  <c r="BG7" i="39"/>
  <c r="BG9" i="39"/>
  <c r="BG11" i="39"/>
  <c r="BG13" i="39"/>
  <c r="BG15" i="39"/>
  <c r="BG17" i="39"/>
  <c r="BG19" i="39"/>
  <c r="BG21" i="39"/>
  <c r="BG23" i="39"/>
  <c r="BG25" i="39"/>
  <c r="BG27" i="39"/>
  <c r="BG29" i="39"/>
  <c r="BG31" i="39"/>
  <c r="BG33" i="39"/>
  <c r="BG35" i="39"/>
  <c r="BG37" i="39"/>
  <c r="BG39" i="39"/>
  <c r="BG41" i="39"/>
  <c r="BG43" i="39"/>
  <c r="BG45" i="39"/>
  <c r="BG47" i="39"/>
  <c r="BG49" i="39"/>
  <c r="BG51" i="39"/>
  <c r="BG54" i="39"/>
  <c r="BG57" i="39"/>
  <c r="BG70" i="39"/>
  <c r="BG73" i="39"/>
  <c r="BG86" i="39"/>
  <c r="BG89" i="39"/>
  <c r="BG102" i="39"/>
  <c r="BG103" i="39"/>
  <c r="BG105" i="39"/>
  <c r="BG107" i="39"/>
  <c r="BG109" i="39"/>
  <c r="BG111" i="39"/>
  <c r="BG113" i="39"/>
  <c r="BG115" i="39"/>
  <c r="BG117" i="39"/>
  <c r="BG119" i="39"/>
  <c r="BG121" i="39"/>
  <c r="BG123" i="39"/>
  <c r="BG125" i="39"/>
  <c r="BG127" i="39"/>
  <c r="BG129" i="39"/>
  <c r="BG131" i="39"/>
  <c r="BG133" i="39"/>
  <c r="BG135" i="39"/>
  <c r="AD18" i="49" l="1"/>
  <c r="AD133" i="49"/>
  <c r="AD11" i="49"/>
  <c r="AD126" i="49"/>
  <c r="AD106" i="49"/>
  <c r="AD150" i="49"/>
  <c r="AD211" i="49"/>
  <c r="AD16" i="49"/>
  <c r="AD257" i="49"/>
  <c r="AD15" i="49"/>
  <c r="AD91" i="49"/>
  <c r="AD223" i="49"/>
  <c r="AD242" i="49"/>
  <c r="AD20" i="49"/>
  <c r="AD237" i="49"/>
  <c r="AD10" i="49"/>
  <c r="AD110" i="49"/>
  <c r="AD114" i="49"/>
  <c r="AD105" i="49"/>
  <c r="AD86" i="49"/>
  <c r="AD164" i="49"/>
  <c r="AD26" i="49"/>
  <c r="AD177" i="49"/>
  <c r="AD112" i="49"/>
  <c r="AD78" i="49"/>
  <c r="AD171" i="49"/>
  <c r="AD156" i="49"/>
  <c r="AD136" i="49"/>
  <c r="AD77" i="49"/>
  <c r="AD163" i="49"/>
  <c r="AD75" i="49"/>
  <c r="AD122" i="49"/>
  <c r="AD6" i="49"/>
  <c r="AD83" i="49"/>
  <c r="AD191" i="49"/>
  <c r="AD256" i="49"/>
  <c r="AD108" i="49"/>
  <c r="AD250" i="49"/>
  <c r="AD25" i="49"/>
  <c r="AD3" i="49"/>
  <c r="AD169" i="49"/>
  <c r="AD181" i="49"/>
  <c r="AD230" i="49"/>
  <c r="AD180" i="49"/>
  <c r="AD68" i="49"/>
  <c r="AD102" i="49"/>
  <c r="AD81" i="49"/>
  <c r="AD153" i="49"/>
  <c r="AD165" i="49"/>
  <c r="AD98" i="49"/>
  <c r="AD151" i="49"/>
  <c r="AD179" i="49"/>
  <c r="AD198" i="49"/>
  <c r="AD210" i="49"/>
  <c r="AD192" i="49"/>
  <c r="AD118" i="49"/>
  <c r="AD67" i="49"/>
  <c r="AD146" i="49"/>
  <c r="AD184" i="49"/>
  <c r="AD111" i="49"/>
  <c r="AD251" i="49"/>
  <c r="AD212" i="49"/>
  <c r="AD227" i="49"/>
  <c r="AD143" i="49"/>
  <c r="AD175" i="49"/>
  <c r="AD134" i="49"/>
  <c r="AD207" i="49"/>
  <c r="AD145" i="49"/>
  <c r="AD7" i="49"/>
  <c r="AD158" i="49"/>
  <c r="AD50" i="49"/>
  <c r="AD53" i="49"/>
  <c r="AD117" i="49"/>
  <c r="AD127" i="49"/>
  <c r="AD147" i="49"/>
  <c r="AD218" i="49"/>
  <c r="AD49" i="49"/>
  <c r="AD73" i="49"/>
  <c r="AD107" i="49"/>
  <c r="AD96" i="49"/>
  <c r="AD248" i="49"/>
  <c r="AD79" i="49"/>
  <c r="AD244" i="49"/>
  <c r="AD60" i="49"/>
  <c r="AD157" i="49"/>
  <c r="AD65" i="49"/>
  <c r="AD155" i="49"/>
  <c r="AD201" i="49"/>
  <c r="AD130" i="49"/>
  <c r="AD187" i="49"/>
  <c r="AD154" i="49"/>
  <c r="AD213" i="49"/>
  <c r="AD166" i="49"/>
  <c r="AD190" i="49"/>
  <c r="AD152" i="49"/>
  <c r="AD224" i="49"/>
  <c r="AD45" i="49"/>
  <c r="AD93" i="49"/>
  <c r="AD47" i="49"/>
  <c r="AD100" i="49"/>
  <c r="AD183" i="49"/>
  <c r="AD35" i="49"/>
  <c r="AD220" i="49"/>
  <c r="AD228" i="49"/>
  <c r="AD186" i="49"/>
  <c r="AD189" i="49"/>
  <c r="AD239" i="49"/>
  <c r="AD124" i="49"/>
  <c r="AD229" i="49"/>
  <c r="AD54" i="49"/>
  <c r="AD129" i="49"/>
  <c r="AD58" i="49"/>
  <c r="AD82" i="49"/>
  <c r="AD123" i="49"/>
  <c r="AD109" i="49"/>
  <c r="AD52" i="49"/>
  <c r="AD142" i="49"/>
  <c r="AD173" i="49"/>
  <c r="AD135" i="49"/>
  <c r="AD125" i="49"/>
  <c r="AD38" i="49"/>
  <c r="AD215" i="49"/>
  <c r="AD168" i="49"/>
  <c r="AD90" i="49"/>
  <c r="AD203" i="49"/>
  <c r="AD19" i="49"/>
  <c r="AD88" i="49"/>
  <c r="AD63" i="49"/>
  <c r="AD174" i="49"/>
  <c r="AD141" i="49"/>
  <c r="AD39" i="49"/>
  <c r="AD28" i="49"/>
  <c r="AD104" i="49"/>
  <c r="AD84" i="49"/>
  <c r="AD103" i="49"/>
  <c r="AD55" i="49"/>
  <c r="AD32" i="49"/>
  <c r="AD131" i="49"/>
  <c r="AD94" i="49"/>
  <c r="AD246" i="49"/>
  <c r="AD252" i="49"/>
  <c r="AD140" i="49"/>
  <c r="AD159" i="49"/>
  <c r="AD101" i="49"/>
  <c r="AD221" i="49"/>
  <c r="AD149" i="49"/>
  <c r="AD255" i="49"/>
  <c r="AD69" i="49"/>
  <c r="AD66" i="49"/>
  <c r="AD72" i="49"/>
  <c r="AD43" i="49"/>
  <c r="AD205" i="49"/>
  <c r="AD194" i="49"/>
  <c r="AD197" i="49"/>
  <c r="AD222" i="49"/>
  <c r="AD36" i="49"/>
  <c r="AD121" i="49"/>
  <c r="AD232" i="49"/>
  <c r="AD57" i="49"/>
  <c r="AD233" i="49"/>
  <c r="AD4" i="49"/>
  <c r="AD97" i="49"/>
  <c r="AD21" i="49"/>
  <c r="AD209" i="49"/>
  <c r="AD231" i="49"/>
  <c r="AD92" i="49"/>
  <c r="AD238" i="49"/>
  <c r="AD23" i="49"/>
  <c r="AD41" i="49"/>
  <c r="AD119" i="49"/>
  <c r="AD29" i="49"/>
  <c r="AD182" i="49"/>
  <c r="AD137" i="49"/>
  <c r="AD225" i="49"/>
  <c r="AD31" i="49"/>
  <c r="AD254" i="49"/>
  <c r="AD138" i="49"/>
  <c r="AD40" i="49"/>
  <c r="AD87" i="49"/>
  <c r="AD188" i="49"/>
  <c r="AD56" i="49"/>
  <c r="AD24" i="49"/>
  <c r="AD170" i="49"/>
  <c r="AD245" i="49"/>
  <c r="AD132" i="49"/>
  <c r="AD236" i="49"/>
  <c r="AD226" i="49"/>
  <c r="AD37" i="49"/>
  <c r="AD200" i="49"/>
  <c r="AD13" i="49"/>
  <c r="AD172" i="49"/>
  <c r="AD59" i="49"/>
  <c r="AD116" i="49"/>
  <c r="AD195" i="49"/>
  <c r="AD247" i="49"/>
  <c r="AD193" i="49"/>
  <c r="AD144" i="49"/>
  <c r="AD241" i="49"/>
  <c r="AD5" i="49"/>
  <c r="AD51" i="49"/>
  <c r="AD235" i="49"/>
  <c r="AD202" i="49"/>
  <c r="AD214" i="49"/>
  <c r="AD216" i="49"/>
  <c r="AD9" i="49"/>
  <c r="AD95" i="49"/>
  <c r="AD8" i="49"/>
  <c r="AD249" i="49"/>
  <c r="AD85" i="49"/>
  <c r="AD99" i="49"/>
  <c r="AD44" i="49"/>
  <c r="AD76" i="49"/>
  <c r="AD128" i="49"/>
  <c r="AD243" i="49"/>
  <c r="AD196" i="49"/>
  <c r="AD42" i="49"/>
  <c r="AD34" i="49"/>
  <c r="AD80" i="49"/>
  <c r="AD208" i="49"/>
  <c r="AD12" i="49"/>
  <c r="AD185" i="49"/>
  <c r="AD33" i="49"/>
  <c r="AD148" i="49"/>
  <c r="AD48" i="49"/>
  <c r="AD120" i="49"/>
  <c r="AD176" i="49"/>
  <c r="AD113" i="49"/>
  <c r="AD219" i="49"/>
  <c r="AD206" i="49"/>
  <c r="AD64" i="49"/>
  <c r="AD27" i="49"/>
  <c r="AD115" i="49"/>
  <c r="AD139" i="49"/>
  <c r="AD30" i="49"/>
  <c r="AD46" i="49"/>
  <c r="AD62" i="49"/>
  <c r="AD74" i="49"/>
  <c r="AD240" i="49"/>
  <c r="AD234" i="49"/>
  <c r="AD70" i="49"/>
  <c r="AD253" i="49"/>
  <c r="AD71" i="49"/>
  <c r="AD217" i="49"/>
  <c r="AD14" i="49"/>
  <c r="AD178" i="49"/>
  <c r="AD204" i="49"/>
  <c r="AD162" i="49"/>
  <c r="AD17" i="49"/>
  <c r="AD160" i="49"/>
  <c r="AD61" i="49"/>
  <c r="AD22" i="49"/>
  <c r="AD161" i="49"/>
  <c r="AD89" i="49"/>
  <c r="AD167" i="49"/>
  <c r="AD199" i="49"/>
  <c r="S35" i="39"/>
  <c r="BG5" i="39" s="1"/>
  <c r="S3" i="49" a="1"/>
  <c r="S4" i="49" s="1"/>
  <c r="S3" i="48" a="1"/>
  <c r="AI16" i="39"/>
  <c r="H28" i="39"/>
  <c r="AI15" i="39"/>
  <c r="H29" i="39"/>
  <c r="AI19" i="39" a="1"/>
  <c r="AI19" i="39" s="1"/>
  <c r="T30" i="39" s="1"/>
  <c r="U10" i="49"/>
  <c r="S9" i="49" s="1" a="1"/>
  <c r="S10" i="49" s="1"/>
  <c r="U9" i="49"/>
  <c r="S9" i="48" a="1"/>
  <c r="S9" i="48" s="1"/>
  <c r="S10" i="48"/>
  <c r="BJ1" i="39"/>
  <c r="S51" i="39"/>
  <c r="S45" i="39"/>
  <c r="S37" i="39"/>
  <c r="S44" i="39"/>
  <c r="S41" i="39"/>
  <c r="S50" i="39"/>
  <c r="S46" i="39"/>
  <c r="S48" i="39"/>
  <c r="S43" i="39"/>
  <c r="S42" i="39"/>
  <c r="D41" i="29"/>
  <c r="G24" i="35"/>
  <c r="S38" i="39"/>
  <c r="G9" i="35"/>
  <c r="G32" i="35"/>
  <c r="S47" i="39"/>
  <c r="G16" i="35"/>
  <c r="G36" i="35"/>
  <c r="G26" i="35"/>
  <c r="S40" i="39"/>
  <c r="G40" i="35"/>
  <c r="G21" i="35"/>
  <c r="S49" i="39"/>
  <c r="G8" i="35"/>
  <c r="S36" i="39"/>
  <c r="G2" i="35"/>
  <c r="G47" i="35"/>
  <c r="G29" i="35"/>
  <c r="G44" i="35"/>
  <c r="G50" i="35"/>
  <c r="G12" i="35"/>
  <c r="H27" i="39"/>
  <c r="BF1" i="39" s="1"/>
  <c r="G4" i="35"/>
  <c r="S39" i="39"/>
  <c r="G35" i="35"/>
  <c r="G46" i="35"/>
  <c r="G11" i="35"/>
  <c r="G34" i="35"/>
  <c r="G23" i="35"/>
  <c r="G7" i="35"/>
  <c r="G18" i="35"/>
  <c r="G45" i="35"/>
  <c r="G33" i="35"/>
  <c r="G49" i="35"/>
  <c r="G41" i="35"/>
  <c r="G3" i="35"/>
  <c r="G5" i="35"/>
  <c r="G17" i="35"/>
  <c r="G30" i="35"/>
  <c r="G48" i="35"/>
  <c r="G43" i="35"/>
  <c r="G25" i="35"/>
  <c r="G39" i="35"/>
  <c r="G14" i="35"/>
  <c r="G22" i="35"/>
  <c r="G28" i="35"/>
  <c r="G15" i="35"/>
  <c r="G6" i="35"/>
  <c r="G31" i="35"/>
  <c r="G20" i="35"/>
  <c r="G42" i="35"/>
  <c r="G37" i="35"/>
  <c r="G10" i="35"/>
  <c r="G38" i="35"/>
  <c r="G27" i="35"/>
  <c r="G19" i="35"/>
  <c r="G13" i="35"/>
  <c r="H50" i="39"/>
  <c r="H38" i="39"/>
  <c r="H37" i="39"/>
  <c r="H48" i="39"/>
  <c r="H39" i="39"/>
  <c r="H47" i="39"/>
  <c r="H36" i="39"/>
  <c r="H45" i="39"/>
  <c r="H44" i="39"/>
  <c r="H46" i="39"/>
  <c r="H42" i="39"/>
  <c r="H49" i="39"/>
  <c r="H40" i="39"/>
  <c r="H43" i="39"/>
  <c r="H51" i="39"/>
  <c r="H41" i="39"/>
  <c r="BJ6" i="39"/>
  <c r="BJ9" i="39"/>
  <c r="BJ43" i="39"/>
  <c r="BJ13" i="39"/>
  <c r="BJ49" i="39"/>
  <c r="BJ54" i="39"/>
  <c r="BJ98" i="39"/>
  <c r="BJ19" i="39"/>
  <c r="BJ63" i="39"/>
  <c r="BJ52" i="39"/>
  <c r="BJ58" i="39"/>
  <c r="BJ93" i="39"/>
  <c r="BJ124" i="39"/>
  <c r="BJ25" i="39"/>
  <c r="BJ51" i="39"/>
  <c r="BJ57" i="39"/>
  <c r="BJ11" i="39"/>
  <c r="BJ41" i="39"/>
  <c r="BJ127" i="39"/>
  <c r="BJ67" i="39"/>
  <c r="BJ118" i="39"/>
  <c r="BJ35" i="39"/>
  <c r="BJ99" i="39"/>
  <c r="BJ21" i="39"/>
  <c r="BJ92" i="39"/>
  <c r="BJ70" i="39"/>
  <c r="BJ103" i="39"/>
  <c r="BJ29" i="39"/>
  <c r="BJ71" i="39"/>
  <c r="BJ61" i="39"/>
  <c r="BJ65" i="39"/>
  <c r="BJ45" i="39"/>
  <c r="BJ55" i="39"/>
  <c r="BJ17" i="39"/>
  <c r="BJ110" i="39"/>
  <c r="BJ27" i="39"/>
  <c r="BJ66" i="39"/>
  <c r="BJ74" i="39"/>
  <c r="BJ111" i="39"/>
  <c r="BJ33" i="39"/>
  <c r="BJ37" i="39"/>
  <c r="BJ60" i="39"/>
  <c r="BJ64" i="39"/>
  <c r="BJ68" i="39"/>
  <c r="BJ117" i="39"/>
  <c r="BJ134" i="39"/>
  <c r="BJ133" i="39"/>
  <c r="BJ109" i="39"/>
  <c r="BJ116" i="39"/>
  <c r="BJ89" i="39"/>
  <c r="BJ102" i="39"/>
  <c r="BJ119" i="39"/>
  <c r="BJ126" i="39"/>
  <c r="BJ7" i="39"/>
  <c r="BJ15" i="39"/>
  <c r="BJ23" i="39"/>
  <c r="BJ39" i="39"/>
  <c r="BJ47" i="39"/>
  <c r="BJ79" i="39"/>
  <c r="BJ82" i="39"/>
  <c r="BJ83" i="39"/>
  <c r="BJ86" i="39"/>
  <c r="BJ87" i="39"/>
  <c r="BJ90" i="39"/>
  <c r="BJ95" i="39"/>
  <c r="BJ96" i="39"/>
  <c r="BJ125" i="39"/>
  <c r="BJ132" i="39"/>
  <c r="BJ31" i="39"/>
  <c r="BJ73" i="39"/>
  <c r="BJ76" i="39"/>
  <c r="BJ77" i="39"/>
  <c r="BJ80" i="39"/>
  <c r="BJ81" i="39"/>
  <c r="BJ84" i="39"/>
  <c r="BJ108" i="39"/>
  <c r="BJ135" i="39"/>
  <c r="BJ97" i="39"/>
  <c r="BJ100" i="39"/>
  <c r="BJ104" i="39"/>
  <c r="BJ105" i="39"/>
  <c r="BJ112" i="39"/>
  <c r="BJ113" i="39"/>
  <c r="BJ120" i="39"/>
  <c r="BJ121" i="39"/>
  <c r="BJ128" i="39"/>
  <c r="BJ129" i="39"/>
  <c r="BJ10" i="39"/>
  <c r="BJ16" i="39"/>
  <c r="BJ20" i="39"/>
  <c r="BJ22" i="39"/>
  <c r="BJ26" i="39"/>
  <c r="BJ32" i="39"/>
  <c r="BJ36" i="39"/>
  <c r="BJ38" i="39"/>
  <c r="BJ42" i="39"/>
  <c r="BJ44" i="39"/>
  <c r="BJ48" i="39"/>
  <c r="BJ59" i="39"/>
  <c r="BJ62" i="39"/>
  <c r="BJ75" i="39"/>
  <c r="BJ78" i="39"/>
  <c r="BJ91" i="39"/>
  <c r="BJ94" i="39"/>
  <c r="BJ8" i="39"/>
  <c r="BJ12" i="39"/>
  <c r="BJ14" i="39"/>
  <c r="BJ18" i="39"/>
  <c r="BJ24" i="39"/>
  <c r="BJ28" i="39"/>
  <c r="BJ30" i="39"/>
  <c r="BJ34" i="39"/>
  <c r="BJ40" i="39"/>
  <c r="BJ46" i="39"/>
  <c r="BJ50" i="39"/>
  <c r="BJ53" i="39"/>
  <c r="BJ56" i="39"/>
  <c r="BJ69" i="39"/>
  <c r="BJ72" i="39"/>
  <c r="BJ85" i="39"/>
  <c r="BJ88" i="39"/>
  <c r="BJ101" i="39"/>
  <c r="BJ106" i="39"/>
  <c r="BJ107" i="39"/>
  <c r="BJ114" i="39"/>
  <c r="BJ115" i="39"/>
  <c r="BJ122" i="39"/>
  <c r="BJ123" i="39"/>
  <c r="BJ130" i="39"/>
  <c r="BJ131" i="39"/>
  <c r="BF6" i="39"/>
  <c r="BF22" i="39"/>
  <c r="BF28" i="39"/>
  <c r="BF32" i="39"/>
  <c r="BF87" i="39"/>
  <c r="BF14" i="39"/>
  <c r="BF53" i="39"/>
  <c r="BF38" i="39"/>
  <c r="BF44" i="39"/>
  <c r="BF48" i="39"/>
  <c r="BF20" i="39"/>
  <c r="BF97" i="39"/>
  <c r="BF84" i="39"/>
  <c r="BF88" i="39"/>
  <c r="BF106" i="39"/>
  <c r="BF91" i="39"/>
  <c r="BF112" i="39"/>
  <c r="BF8" i="39"/>
  <c r="BF7" i="39"/>
  <c r="BF24" i="39"/>
  <c r="BF90" i="39"/>
  <c r="BF113" i="39"/>
  <c r="BF30" i="39"/>
  <c r="BF119" i="39"/>
  <c r="BF130" i="39"/>
  <c r="BF36" i="39"/>
  <c r="BF40" i="39"/>
  <c r="BF120" i="39"/>
  <c r="BF127" i="39"/>
  <c r="BF12" i="39"/>
  <c r="BF16" i="39"/>
  <c r="BF46" i="39"/>
  <c r="BF98" i="39"/>
  <c r="BF103" i="39"/>
  <c r="BF81" i="39"/>
  <c r="BF82" i="39"/>
  <c r="BF85" i="39"/>
  <c r="BF122" i="39"/>
  <c r="BF129" i="39"/>
  <c r="BF74" i="39"/>
  <c r="BF78" i="39"/>
  <c r="BF68" i="39"/>
  <c r="BF71" i="39"/>
  <c r="BF72" i="39"/>
  <c r="BF75" i="39"/>
  <c r="BF76" i="39"/>
  <c r="BF79" i="39"/>
  <c r="BF100" i="39"/>
  <c r="BF101" i="39"/>
  <c r="BF105" i="39"/>
  <c r="BF128" i="39"/>
  <c r="BF135" i="39"/>
  <c r="BF77" i="39"/>
  <c r="BF34" i="39"/>
  <c r="BF50" i="39"/>
  <c r="BF58" i="39"/>
  <c r="BF61" i="39"/>
  <c r="BF62" i="39"/>
  <c r="BF65" i="39"/>
  <c r="BF66" i="39"/>
  <c r="BF69" i="39"/>
  <c r="BF94" i="39"/>
  <c r="BF104" i="39"/>
  <c r="BF111" i="39"/>
  <c r="BF10" i="39"/>
  <c r="BF18" i="39"/>
  <c r="BF26" i="39"/>
  <c r="BF42" i="39"/>
  <c r="BF52" i="39"/>
  <c r="BF55" i="39"/>
  <c r="BF56" i="39"/>
  <c r="BF59" i="39"/>
  <c r="BF60" i="39"/>
  <c r="BF63" i="39"/>
  <c r="BF93" i="39"/>
  <c r="BF114" i="39"/>
  <c r="BF121" i="39"/>
  <c r="BF92" i="39"/>
  <c r="BF95" i="39"/>
  <c r="BF107" i="39"/>
  <c r="BF108" i="39"/>
  <c r="BF115" i="39"/>
  <c r="BF116" i="39"/>
  <c r="BF123" i="39"/>
  <c r="BF124" i="39"/>
  <c r="BF131" i="39"/>
  <c r="BF132" i="39"/>
  <c r="BF9" i="39"/>
  <c r="BF13" i="39"/>
  <c r="BF15" i="39"/>
  <c r="BF19" i="39"/>
  <c r="BF25" i="39"/>
  <c r="BF31" i="39"/>
  <c r="BF35" i="39"/>
  <c r="BF41" i="39"/>
  <c r="BF47" i="39"/>
  <c r="BF51" i="39"/>
  <c r="BF70" i="39"/>
  <c r="BF73" i="39"/>
  <c r="BF86" i="39"/>
  <c r="BF89" i="39"/>
  <c r="BF102" i="39"/>
  <c r="BF11" i="39"/>
  <c r="BF17" i="39"/>
  <c r="BF21" i="39"/>
  <c r="BF23" i="39"/>
  <c r="BF27" i="39"/>
  <c r="BF29" i="39"/>
  <c r="BF33" i="39"/>
  <c r="BF37" i="39"/>
  <c r="BF39" i="39"/>
  <c r="BF43" i="39"/>
  <c r="BF45" i="39"/>
  <c r="BF49" i="39"/>
  <c r="BF54" i="39"/>
  <c r="BF57" i="39"/>
  <c r="BF64" i="39"/>
  <c r="BF67" i="39"/>
  <c r="BF80" i="39"/>
  <c r="BF83" i="39"/>
  <c r="BF96" i="39"/>
  <c r="BF99" i="39"/>
  <c r="BF109" i="39"/>
  <c r="BF110" i="39"/>
  <c r="BF117" i="39"/>
  <c r="BF118" i="39"/>
  <c r="BF125" i="39"/>
  <c r="BF126" i="39"/>
  <c r="BF133" i="39"/>
  <c r="BF134" i="39"/>
  <c r="H35" i="39" l="1"/>
  <c r="BF5" i="39" s="1"/>
  <c r="AI20" i="39"/>
  <c r="T29" i="39" s="1"/>
  <c r="AI21" i="39"/>
  <c r="T28" i="39" s="1"/>
  <c r="AE8" i="48"/>
  <c r="S3" i="48"/>
  <c r="AE23" i="48"/>
  <c r="AE21" i="48"/>
  <c r="H54" i="39"/>
  <c r="AE11" i="48"/>
  <c r="S9" i="49"/>
  <c r="AE172" i="49" s="1"/>
  <c r="AE4" i="48"/>
  <c r="AE7" i="48"/>
  <c r="AE5" i="48"/>
  <c r="AE24" i="48"/>
  <c r="AE9" i="48"/>
  <c r="AE6" i="48"/>
  <c r="S54" i="39"/>
  <c r="AE3" i="48"/>
  <c r="AE13" i="48"/>
  <c r="AE20" i="48"/>
  <c r="S3" i="49"/>
  <c r="S5" i="49"/>
  <c r="AF167" i="49" s="1"/>
  <c r="AE25" i="48"/>
  <c r="AE22" i="48"/>
  <c r="AE15" i="48"/>
  <c r="AE26" i="48"/>
  <c r="AE10" i="48"/>
  <c r="AE56" i="49"/>
  <c r="S5" i="48"/>
  <c r="AE16" i="48"/>
  <c r="AE18" i="48"/>
  <c r="AE12" i="48"/>
  <c r="S4" i="48"/>
  <c r="AE14" i="48"/>
  <c r="AE19" i="48"/>
  <c r="AE17" i="48"/>
  <c r="AE141" i="49"/>
  <c r="AE62" i="49"/>
  <c r="AE117" i="49"/>
  <c r="AE182" i="49"/>
  <c r="AE28" i="49"/>
  <c r="AE83" i="49"/>
  <c r="AE143" i="49"/>
  <c r="AE96" i="49"/>
  <c r="AE226" i="49"/>
  <c r="AE208" i="49"/>
  <c r="AE138" i="49"/>
  <c r="AE51" i="49"/>
  <c r="AE221" i="49"/>
  <c r="AE67" i="49"/>
  <c r="AE184" i="49"/>
  <c r="AE81" i="49"/>
  <c r="AE175" i="49"/>
  <c r="AE192" i="49"/>
  <c r="AE245" i="49"/>
  <c r="AE106" i="49"/>
  <c r="AE232" i="49"/>
  <c r="AE191" i="49"/>
  <c r="AE253" i="49"/>
  <c r="AE64" i="49"/>
  <c r="AE231" i="49"/>
  <c r="AE114" i="49"/>
  <c r="AE82" i="49"/>
  <c r="AE54" i="49"/>
  <c r="AE142" i="49"/>
  <c r="AE30" i="49"/>
  <c r="AE33" i="49"/>
  <c r="AE12" i="49"/>
  <c r="AE58" i="49"/>
  <c r="AE17" i="49"/>
  <c r="AE122" i="49"/>
  <c r="AE86" i="49"/>
  <c r="AE59" i="49"/>
  <c r="AE235" i="49"/>
  <c r="AE186" i="49"/>
  <c r="AE69" i="49"/>
  <c r="AE63" i="49"/>
  <c r="AE77" i="49"/>
  <c r="AE223" i="49"/>
  <c r="AE193" i="49"/>
  <c r="AE25" i="49"/>
  <c r="AE209" i="49"/>
  <c r="AE185" i="49"/>
  <c r="AE94" i="49"/>
  <c r="AE9" i="49"/>
  <c r="AE216" i="49"/>
  <c r="AE55" i="49"/>
  <c r="AE50" i="49"/>
  <c r="AE16" i="49"/>
  <c r="AE118" i="49"/>
  <c r="AE85" i="49"/>
  <c r="AE156" i="49"/>
  <c r="AE137" i="49"/>
  <c r="AE164" i="49"/>
  <c r="AE14" i="49"/>
  <c r="AE210" i="49"/>
  <c r="AE41" i="49"/>
  <c r="AE15" i="49"/>
  <c r="AE160" i="49"/>
  <c r="AE39" i="49"/>
  <c r="AE93" i="49"/>
  <c r="AE200" i="49"/>
  <c r="AE234" i="49"/>
  <c r="AE251" i="49"/>
  <c r="AE247" i="49"/>
  <c r="AE149" i="49"/>
  <c r="AE132" i="49"/>
  <c r="AE80" i="49"/>
  <c r="AE29" i="49"/>
  <c r="AE242" i="49"/>
  <c r="AE196" i="49"/>
  <c r="AE113" i="49"/>
  <c r="AE227" i="49"/>
  <c r="AE78" i="49"/>
  <c r="AE5" i="49"/>
  <c r="AE115" i="49"/>
  <c r="AE121" i="49"/>
  <c r="AE238" i="49"/>
  <c r="AE188" i="49"/>
  <c r="AE203" i="49"/>
  <c r="AE255" i="49"/>
  <c r="AE198" i="49"/>
  <c r="AE79" i="49"/>
  <c r="AE74" i="49"/>
  <c r="AE162" i="49"/>
  <c r="AE108" i="49"/>
  <c r="AE204" i="49"/>
  <c r="AE213" i="49"/>
  <c r="AE218" i="49"/>
  <c r="AE166" i="49"/>
  <c r="AE84" i="49"/>
  <c r="AE105" i="49"/>
  <c r="AE133" i="49"/>
  <c r="AE181" i="49"/>
  <c r="AE256" i="49"/>
  <c r="AE206" i="49"/>
  <c r="AE8" i="49"/>
  <c r="AE47" i="49"/>
  <c r="AE173" i="49"/>
  <c r="AE136" i="49"/>
  <c r="AE60" i="49"/>
  <c r="AE110" i="49"/>
  <c r="AE199" i="49"/>
  <c r="AE53" i="49"/>
  <c r="AE202" i="49"/>
  <c r="AE48" i="49"/>
  <c r="AE257" i="49"/>
  <c r="AE75" i="49"/>
  <c r="AE65" i="49"/>
  <c r="AE225" i="49"/>
  <c r="H35" i="35"/>
  <c r="H15" i="35"/>
  <c r="H39" i="35"/>
  <c r="H31" i="35"/>
  <c r="H47" i="35"/>
  <c r="H3" i="35"/>
  <c r="J18" i="49"/>
  <c r="J20" i="49"/>
  <c r="J16" i="48"/>
  <c r="H57" i="39"/>
  <c r="J15" i="49"/>
  <c r="K29" i="49"/>
  <c r="C48" i="49" s="1"/>
  <c r="H16" i="35"/>
  <c r="H49" i="35"/>
  <c r="H13" i="35"/>
  <c r="H25" i="35"/>
  <c r="H30" i="35"/>
  <c r="S60" i="39"/>
  <c r="H60" i="39"/>
  <c r="L17" i="48"/>
  <c r="C25" i="48" s="1"/>
  <c r="J17" i="48"/>
  <c r="J16" i="49"/>
  <c r="K15" i="48"/>
  <c r="H10" i="35"/>
  <c r="H12" i="35"/>
  <c r="K18" i="48"/>
  <c r="S57" i="39"/>
  <c r="H58" i="39"/>
  <c r="H21" i="35"/>
  <c r="H38" i="35"/>
  <c r="H29" i="35"/>
  <c r="H44" i="35"/>
  <c r="H17" i="35"/>
  <c r="H45" i="35"/>
  <c r="K16" i="48"/>
  <c r="K17" i="49"/>
  <c r="C36" i="49" s="1"/>
  <c r="H11" i="35"/>
  <c r="H20" i="35"/>
  <c r="H26" i="35"/>
  <c r="H7" i="35"/>
  <c r="H9" i="35"/>
  <c r="J19" i="48"/>
  <c r="H37" i="35"/>
  <c r="J29" i="49"/>
  <c r="K25" i="49"/>
  <c r="C44" i="49" s="1"/>
  <c r="H43" i="35"/>
  <c r="H40" i="35"/>
  <c r="K17" i="48"/>
  <c r="H2" i="35"/>
  <c r="H48" i="35"/>
  <c r="H5" i="35"/>
  <c r="H18" i="35"/>
  <c r="S56" i="39"/>
  <c r="J24" i="49"/>
  <c r="H50" i="35"/>
  <c r="H28" i="35"/>
  <c r="H41" i="35"/>
  <c r="H4" i="35"/>
  <c r="H23" i="35"/>
  <c r="J22" i="49"/>
  <c r="J25" i="49"/>
  <c r="J27" i="49"/>
  <c r="H55" i="39"/>
  <c r="H22" i="35"/>
  <c r="H36" i="35"/>
  <c r="K16" i="49"/>
  <c r="C35" i="49" s="1"/>
  <c r="S59" i="39"/>
  <c r="H24" i="35"/>
  <c r="H32" i="35"/>
  <c r="J17" i="49"/>
  <c r="H6" i="35"/>
  <c r="H14" i="35"/>
  <c r="H8" i="35"/>
  <c r="H59" i="39"/>
  <c r="H56" i="39"/>
  <c r="J15" i="48"/>
  <c r="J28" i="49"/>
  <c r="J26" i="49"/>
  <c r="H42" i="35"/>
  <c r="J18" i="48"/>
  <c r="K19" i="48"/>
  <c r="J21" i="49"/>
  <c r="J19" i="49"/>
  <c r="J23" i="49"/>
  <c r="H33" i="35"/>
  <c r="H19" i="35"/>
  <c r="H34" i="35"/>
  <c r="J30" i="49"/>
  <c r="H27" i="35"/>
  <c r="H46" i="35"/>
  <c r="S55" i="39"/>
  <c r="S58" i="39"/>
  <c r="BL1" i="39"/>
  <c r="T27" i="39"/>
  <c r="BH1" i="39" s="1"/>
  <c r="T41" i="39"/>
  <c r="T45" i="39"/>
  <c r="T38" i="39"/>
  <c r="T48" i="39"/>
  <c r="T44" i="39"/>
  <c r="T51" i="39"/>
  <c r="T40" i="39"/>
  <c r="T49" i="39"/>
  <c r="T39" i="39"/>
  <c r="T46" i="39"/>
  <c r="T36" i="39"/>
  <c r="T42" i="39"/>
  <c r="T43" i="39"/>
  <c r="T37" i="39"/>
  <c r="T47" i="39"/>
  <c r="T50" i="39"/>
  <c r="BL6" i="39"/>
  <c r="BL20" i="39"/>
  <c r="BL23" i="39"/>
  <c r="BL16" i="39"/>
  <c r="BL27" i="39"/>
  <c r="BL36" i="39"/>
  <c r="BL49" i="39"/>
  <c r="BL75" i="39"/>
  <c r="BL79" i="39"/>
  <c r="BL42" i="39"/>
  <c r="BL69" i="39"/>
  <c r="BL59" i="39"/>
  <c r="BL107" i="39"/>
  <c r="BL9" i="39"/>
  <c r="BL32" i="39"/>
  <c r="BL8" i="39"/>
  <c r="BL12" i="39"/>
  <c r="BL73" i="39"/>
  <c r="BL25" i="39"/>
  <c r="BL53" i="39"/>
  <c r="BL63" i="39"/>
  <c r="BL67" i="39"/>
  <c r="BL28" i="39"/>
  <c r="BL31" i="39"/>
  <c r="BL11" i="39"/>
  <c r="BL34" i="39"/>
  <c r="BL41" i="39"/>
  <c r="BL95" i="39"/>
  <c r="BL131" i="39"/>
  <c r="BL26" i="39"/>
  <c r="BL33" i="39"/>
  <c r="BL117" i="39"/>
  <c r="BL39" i="39"/>
  <c r="BL43" i="39"/>
  <c r="BL83" i="39"/>
  <c r="BL15" i="39"/>
  <c r="BL19" i="39"/>
  <c r="BL77" i="39"/>
  <c r="BL125" i="39"/>
  <c r="BL18" i="39"/>
  <c r="BL48" i="39"/>
  <c r="BL24" i="39"/>
  <c r="BL35" i="39"/>
  <c r="BL57" i="39"/>
  <c r="BL61" i="39"/>
  <c r="BL99" i="39"/>
  <c r="BL10" i="39"/>
  <c r="BL17" i="39"/>
  <c r="BL40" i="39"/>
  <c r="BL44" i="39"/>
  <c r="BL47" i="39"/>
  <c r="BL50" i="39"/>
  <c r="BL123" i="39"/>
  <c r="BL91" i="39"/>
  <c r="BL133" i="39"/>
  <c r="BL51" i="39"/>
  <c r="BL13" i="39"/>
  <c r="BL21" i="39"/>
  <c r="BL30" i="39"/>
  <c r="BL37" i="39"/>
  <c r="BL45" i="39"/>
  <c r="BL46" i="39"/>
  <c r="BL109" i="39"/>
  <c r="BL14" i="39"/>
  <c r="BL22" i="39"/>
  <c r="BL29" i="39"/>
  <c r="BL38" i="39"/>
  <c r="BL7" i="39"/>
  <c r="BL85" i="39"/>
  <c r="BL89" i="39"/>
  <c r="BL101" i="39"/>
  <c r="BL115" i="39"/>
  <c r="BL93" i="39"/>
  <c r="BL103" i="39"/>
  <c r="BL111" i="39"/>
  <c r="BL119" i="39"/>
  <c r="BL127" i="39"/>
  <c r="BL135" i="39"/>
  <c r="BL71" i="39"/>
  <c r="BL87" i="39"/>
  <c r="BL55" i="39"/>
  <c r="BL65" i="39"/>
  <c r="BL81" i="39"/>
  <c r="BL97" i="39"/>
  <c r="BL105" i="39"/>
  <c r="BL113" i="39"/>
  <c r="BL121" i="39"/>
  <c r="BL129" i="39"/>
  <c r="BL52" i="39"/>
  <c r="BL54" i="39"/>
  <c r="BL56" i="39"/>
  <c r="BL58" i="39"/>
  <c r="BL60" i="39"/>
  <c r="BL62" i="39"/>
  <c r="BL64" i="39"/>
  <c r="BL66" i="39"/>
  <c r="BL68" i="39"/>
  <c r="BL70" i="39"/>
  <c r="BL72" i="39"/>
  <c r="BL74" i="39"/>
  <c r="BL76" i="39"/>
  <c r="BL78" i="39"/>
  <c r="BL80" i="39"/>
  <c r="BL82" i="39"/>
  <c r="BL84" i="39"/>
  <c r="BL86" i="39"/>
  <c r="BL88" i="39"/>
  <c r="BL90" i="39"/>
  <c r="BL92" i="39"/>
  <c r="BL94" i="39"/>
  <c r="BL96" i="39"/>
  <c r="BL98" i="39"/>
  <c r="BL100" i="39"/>
  <c r="BL102" i="39"/>
  <c r="BL104" i="39"/>
  <c r="BL106" i="39"/>
  <c r="BL108" i="39"/>
  <c r="BL110" i="39"/>
  <c r="BL112" i="39"/>
  <c r="BL114" i="39"/>
  <c r="BL116" i="39"/>
  <c r="BL118" i="39"/>
  <c r="BL120" i="39"/>
  <c r="BL122" i="39"/>
  <c r="BL124" i="39"/>
  <c r="BL126" i="39"/>
  <c r="BL128" i="39"/>
  <c r="BL130" i="39"/>
  <c r="BL132" i="39"/>
  <c r="BL134" i="39"/>
  <c r="BH6" i="39"/>
  <c r="BH29" i="39"/>
  <c r="BH36" i="39"/>
  <c r="BH120" i="39"/>
  <c r="BH39" i="39"/>
  <c r="BH11" i="39"/>
  <c r="BH51" i="39"/>
  <c r="BH45" i="39"/>
  <c r="BH28" i="39"/>
  <c r="BH27" i="39"/>
  <c r="BH12" i="39"/>
  <c r="BH35" i="39"/>
  <c r="BH42" i="39"/>
  <c r="BH15" i="39"/>
  <c r="BH94" i="39"/>
  <c r="BH21" i="39"/>
  <c r="BH31" i="39"/>
  <c r="BH37" i="39"/>
  <c r="BH102" i="39"/>
  <c r="BH134" i="39"/>
  <c r="BH20" i="39"/>
  <c r="BH52" i="39"/>
  <c r="BH58" i="39"/>
  <c r="BH46" i="39"/>
  <c r="BH18" i="39"/>
  <c r="BH22" i="39"/>
  <c r="BH104" i="39"/>
  <c r="BH110" i="39"/>
  <c r="BH7" i="39"/>
  <c r="BH34" i="39"/>
  <c r="BH38" i="39"/>
  <c r="BH10" i="39"/>
  <c r="BH14" i="39"/>
  <c r="BH44" i="39"/>
  <c r="BH50" i="39"/>
  <c r="BH13" i="39"/>
  <c r="BH43" i="39"/>
  <c r="BH47" i="39"/>
  <c r="BH54" i="39"/>
  <c r="BH62" i="39"/>
  <c r="BH19" i="39"/>
  <c r="BH23" i="39"/>
  <c r="BH26" i="39"/>
  <c r="BH30" i="39"/>
  <c r="BH56" i="39"/>
  <c r="BH126" i="39"/>
  <c r="BH90" i="39"/>
  <c r="BH96" i="39"/>
  <c r="BH86" i="39"/>
  <c r="BH80" i="39"/>
  <c r="BH84" i="39"/>
  <c r="BH88" i="39"/>
  <c r="BH112" i="39"/>
  <c r="BH9" i="39"/>
  <c r="BH17" i="39"/>
  <c r="BH25" i="39"/>
  <c r="BH32" i="39"/>
  <c r="BH40" i="39"/>
  <c r="BH41" i="39"/>
  <c r="BH48" i="39"/>
  <c r="BH49" i="39"/>
  <c r="BH70" i="39"/>
  <c r="BH74" i="39"/>
  <c r="BH78" i="39"/>
  <c r="BH118" i="39"/>
  <c r="BH8" i="39"/>
  <c r="BH16" i="39"/>
  <c r="BH24" i="39"/>
  <c r="BH33" i="39"/>
  <c r="BH64" i="39"/>
  <c r="BH68" i="39"/>
  <c r="BH72" i="39"/>
  <c r="BH100" i="39"/>
  <c r="BH128" i="39"/>
  <c r="BH106" i="39"/>
  <c r="BH114" i="39"/>
  <c r="BH122" i="39"/>
  <c r="BH130" i="39"/>
  <c r="BH66" i="39"/>
  <c r="BH82" i="39"/>
  <c r="BH98" i="39"/>
  <c r="BH60" i="39"/>
  <c r="BH76" i="39"/>
  <c r="BH92" i="39"/>
  <c r="BH108" i="39"/>
  <c r="BH116" i="39"/>
  <c r="BH124" i="39"/>
  <c r="BH132" i="39"/>
  <c r="BH53" i="39"/>
  <c r="BH55" i="39"/>
  <c r="BH57" i="39"/>
  <c r="BH59" i="39"/>
  <c r="BH61" i="39"/>
  <c r="BH63" i="39"/>
  <c r="BH65" i="39"/>
  <c r="BH67" i="39"/>
  <c r="BH69" i="39"/>
  <c r="BH71" i="39"/>
  <c r="BH73" i="39"/>
  <c r="BH75" i="39"/>
  <c r="BH77" i="39"/>
  <c r="BH79" i="39"/>
  <c r="BH81" i="39"/>
  <c r="BH83" i="39"/>
  <c r="BH85" i="39"/>
  <c r="BH87" i="39"/>
  <c r="BH89" i="39"/>
  <c r="BH91" i="39"/>
  <c r="BH93" i="39"/>
  <c r="BH95" i="39"/>
  <c r="BH97" i="39"/>
  <c r="BH99" i="39"/>
  <c r="BH101" i="39"/>
  <c r="BH103" i="39"/>
  <c r="BH105" i="39"/>
  <c r="BH107" i="39"/>
  <c r="BH109" i="39"/>
  <c r="BH111" i="39"/>
  <c r="BH113" i="39"/>
  <c r="BH115" i="39"/>
  <c r="BH117" i="39"/>
  <c r="BH119" i="39"/>
  <c r="BH121" i="39"/>
  <c r="BH123" i="39"/>
  <c r="BH125" i="39"/>
  <c r="BH127" i="39"/>
  <c r="BH129" i="39"/>
  <c r="BH131" i="39"/>
  <c r="BH133" i="39"/>
  <c r="BH135" i="39"/>
  <c r="L16" i="49" l="1"/>
  <c r="K21" i="49"/>
  <c r="C40" i="49" s="1"/>
  <c r="K15" i="49"/>
  <c r="C34" i="49" s="1"/>
  <c r="AE250" i="49"/>
  <c r="AE246" i="49"/>
  <c r="AE205" i="49"/>
  <c r="AE20" i="49"/>
  <c r="AE6" i="49"/>
  <c r="AE190" i="49"/>
  <c r="AE146" i="49"/>
  <c r="AE161" i="49"/>
  <c r="AE248" i="49"/>
  <c r="AE34" i="49"/>
  <c r="AE116" i="49"/>
  <c r="AE236" i="49"/>
  <c r="AE165" i="49"/>
  <c r="AE71" i="49"/>
  <c r="AE52" i="49"/>
  <c r="AE90" i="49"/>
  <c r="AE222" i="49"/>
  <c r="AE88" i="49"/>
  <c r="AE3" i="49"/>
  <c r="AE49" i="49"/>
  <c r="AE215" i="49"/>
  <c r="AE23" i="49"/>
  <c r="AE212" i="49"/>
  <c r="AE46" i="49"/>
  <c r="AE129" i="49"/>
  <c r="AE31" i="49"/>
  <c r="AE11" i="49"/>
  <c r="AE134" i="49"/>
  <c r="AE99" i="49"/>
  <c r="AE124" i="49"/>
  <c r="AE139" i="49"/>
  <c r="AE95" i="49"/>
  <c r="AE157" i="49"/>
  <c r="AE4" i="49"/>
  <c r="AE201" i="49"/>
  <c r="AF191" i="49"/>
  <c r="AF163" i="49"/>
  <c r="K26" i="49"/>
  <c r="C45" i="49" s="1"/>
  <c r="K20" i="49"/>
  <c r="C39" i="49" s="1"/>
  <c r="K18" i="49"/>
  <c r="C37" i="49" s="1"/>
  <c r="AF197" i="49"/>
  <c r="AE92" i="49"/>
  <c r="AE249" i="49"/>
  <c r="AE104" i="49"/>
  <c r="AE195" i="49"/>
  <c r="AE220" i="49"/>
  <c r="AE7" i="49"/>
  <c r="AE45" i="49"/>
  <c r="AE101" i="49"/>
  <c r="AE167" i="49"/>
  <c r="AE228" i="49"/>
  <c r="AE13" i="49"/>
  <c r="AE57" i="49"/>
  <c r="AE135" i="49"/>
  <c r="AE174" i="49"/>
  <c r="AE73" i="49"/>
  <c r="AE240" i="49"/>
  <c r="AE109" i="49"/>
  <c r="AE230" i="49"/>
  <c r="AE197" i="49"/>
  <c r="AE214" i="49"/>
  <c r="AE24" i="49"/>
  <c r="AF5" i="48"/>
  <c r="AF11" i="48"/>
  <c r="AF193" i="49"/>
  <c r="AF19" i="48"/>
  <c r="AF84" i="49"/>
  <c r="AF33" i="49"/>
  <c r="AF79" i="49"/>
  <c r="K27" i="49"/>
  <c r="C46" i="49" s="1"/>
  <c r="AF150" i="49"/>
  <c r="AE144" i="49"/>
  <c r="AE147" i="49"/>
  <c r="AE140" i="49"/>
  <c r="AE180" i="49"/>
  <c r="AE145" i="49"/>
  <c r="AE87" i="49"/>
  <c r="AE152" i="49"/>
  <c r="AE168" i="49"/>
  <c r="AE103" i="49"/>
  <c r="AE107" i="49"/>
  <c r="AE244" i="49"/>
  <c r="AE252" i="49"/>
  <c r="AE61" i="49"/>
  <c r="AE211" i="49"/>
  <c r="AE187" i="49"/>
  <c r="AE111" i="49"/>
  <c r="AE32" i="49"/>
  <c r="AE148" i="49"/>
  <c r="AE224" i="49"/>
  <c r="AE178" i="49"/>
  <c r="AE170" i="49"/>
  <c r="AE40" i="49"/>
  <c r="AE177" i="49"/>
  <c r="AE158" i="49"/>
  <c r="L20" i="49"/>
  <c r="AF111" i="49"/>
  <c r="AF247" i="49"/>
  <c r="AF143" i="49"/>
  <c r="AF78" i="49"/>
  <c r="AF3" i="48"/>
  <c r="AF51" i="49"/>
  <c r="AF35" i="49"/>
  <c r="AF133" i="49"/>
  <c r="AF180" i="49"/>
  <c r="K30" i="49"/>
  <c r="C49" i="49" s="1"/>
  <c r="K22" i="49"/>
  <c r="C41" i="49" s="1"/>
  <c r="K24" i="49"/>
  <c r="C43" i="49" s="1"/>
  <c r="AE169" i="49"/>
  <c r="AE163" i="49"/>
  <c r="AE207" i="49"/>
  <c r="AE150" i="49"/>
  <c r="AE243" i="49"/>
  <c r="AE98" i="49"/>
  <c r="AE68" i="49"/>
  <c r="AE171" i="49"/>
  <c r="AE130" i="49"/>
  <c r="AE76" i="49"/>
  <c r="AF157" i="49"/>
  <c r="AE127" i="49"/>
  <c r="AE119" i="49"/>
  <c r="AE154" i="49"/>
  <c r="AE100" i="49"/>
  <c r="AE194" i="49"/>
  <c r="AE159" i="49"/>
  <c r="AE126" i="49"/>
  <c r="AE128" i="49"/>
  <c r="AE19" i="49"/>
  <c r="AE217" i="49"/>
  <c r="AE183" i="49"/>
  <c r="AF48" i="49"/>
  <c r="AE176" i="49"/>
  <c r="AE112" i="49"/>
  <c r="AE72" i="49"/>
  <c r="AF24" i="48"/>
  <c r="AE219" i="49"/>
  <c r="AE44" i="49"/>
  <c r="AE38" i="49"/>
  <c r="AF147" i="49"/>
  <c r="AF200" i="49"/>
  <c r="AF159" i="49"/>
  <c r="AF21" i="49"/>
  <c r="AF102" i="49"/>
  <c r="AF138" i="49"/>
  <c r="AF165" i="49"/>
  <c r="L28" i="49"/>
  <c r="AF222" i="49"/>
  <c r="AF236" i="49"/>
  <c r="AF219" i="49"/>
  <c r="AF214" i="49"/>
  <c r="L23" i="49"/>
  <c r="AF216" i="49"/>
  <c r="AF37" i="49"/>
  <c r="AF90" i="49"/>
  <c r="AF24" i="49"/>
  <c r="AF228" i="49"/>
  <c r="AF86" i="49"/>
  <c r="AF74" i="49"/>
  <c r="AF97" i="49"/>
  <c r="AF23" i="48"/>
  <c r="AF246" i="49"/>
  <c r="AF80" i="49"/>
  <c r="AF173" i="49"/>
  <c r="AF162" i="49"/>
  <c r="AF139" i="49"/>
  <c r="K23" i="49"/>
  <c r="C42" i="49" s="1"/>
  <c r="L21" i="49"/>
  <c r="K28" i="49"/>
  <c r="C47" i="49" s="1"/>
  <c r="L19" i="48"/>
  <c r="C27" i="48" s="1"/>
  <c r="AF91" i="49"/>
  <c r="AE35" i="49"/>
  <c r="AE155" i="49"/>
  <c r="AE229" i="49"/>
  <c r="AE66" i="49"/>
  <c r="AE89" i="49"/>
  <c r="AF210" i="49"/>
  <c r="AE102" i="49"/>
  <c r="AE153" i="49"/>
  <c r="AE233" i="49"/>
  <c r="K19" i="49"/>
  <c r="C38" i="49" s="1"/>
  <c r="AE97" i="49"/>
  <c r="AE22" i="49"/>
  <c r="AE179" i="49"/>
  <c r="AE26" i="49"/>
  <c r="AF256" i="49"/>
  <c r="AE10" i="49"/>
  <c r="AE70" i="49"/>
  <c r="AF95" i="49"/>
  <c r="AE237" i="49"/>
  <c r="AE239" i="49"/>
  <c r="AF181" i="49"/>
  <c r="AE18" i="49"/>
  <c r="AE241" i="49"/>
  <c r="AE131" i="49"/>
  <c r="AE254" i="49"/>
  <c r="AE91" i="49"/>
  <c r="AE125" i="49"/>
  <c r="AF141" i="49"/>
  <c r="AE189" i="49"/>
  <c r="AE42" i="49"/>
  <c r="AE37" i="49"/>
  <c r="AE21" i="49"/>
  <c r="AE36" i="49"/>
  <c r="AE151" i="49"/>
  <c r="AE27" i="49"/>
  <c r="AE120" i="49"/>
  <c r="AE43" i="49"/>
  <c r="T59" i="39"/>
  <c r="T56" i="39"/>
  <c r="T55" i="39"/>
  <c r="T58" i="39"/>
  <c r="T60" i="39"/>
  <c r="T57" i="39"/>
  <c r="T54" i="39"/>
  <c r="AF16" i="49"/>
  <c r="AF201" i="49"/>
  <c r="AF164" i="49"/>
  <c r="AF103" i="49"/>
  <c r="AF217" i="49"/>
  <c r="AF52" i="49"/>
  <c r="AF3" i="49"/>
  <c r="AF239" i="49"/>
  <c r="AF123" i="49"/>
  <c r="AF114" i="49"/>
  <c r="AF226" i="49"/>
  <c r="AF29" i="49"/>
  <c r="AF107" i="49"/>
  <c r="AF207" i="49"/>
  <c r="AF57" i="49"/>
  <c r="AF198" i="49"/>
  <c r="AF237" i="49"/>
  <c r="AF45" i="49"/>
  <c r="AF146" i="49"/>
  <c r="AF118" i="49"/>
  <c r="AF124" i="49"/>
  <c r="AF130" i="49"/>
  <c r="AF182" i="49"/>
  <c r="AF244" i="49"/>
  <c r="AF135" i="49"/>
  <c r="AF70" i="49"/>
  <c r="AF50" i="49"/>
  <c r="AF203" i="49"/>
  <c r="AF235" i="49"/>
  <c r="AF44" i="49"/>
  <c r="AF194" i="49"/>
  <c r="AF34" i="49"/>
  <c r="L22" i="49"/>
  <c r="L17" i="49"/>
  <c r="L26" i="49"/>
  <c r="L29" i="49"/>
  <c r="AF227" i="49"/>
  <c r="AF18" i="49"/>
  <c r="AF224" i="49"/>
  <c r="AF127" i="49"/>
  <c r="AF60" i="49"/>
  <c r="AF136" i="49"/>
  <c r="AF232" i="49"/>
  <c r="AF99" i="49"/>
  <c r="AF42" i="49"/>
  <c r="AF10" i="49"/>
  <c r="AF202" i="49"/>
  <c r="AF178" i="49"/>
  <c r="AF238" i="49"/>
  <c r="AF92" i="49"/>
  <c r="AF145" i="49"/>
  <c r="AF169" i="49"/>
  <c r="AF71" i="49"/>
  <c r="AF110" i="49"/>
  <c r="AF151" i="49"/>
  <c r="AF88" i="49"/>
  <c r="AF46" i="49"/>
  <c r="AF154" i="49"/>
  <c r="AF75" i="49"/>
  <c r="AF166" i="49"/>
  <c r="AF255" i="49"/>
  <c r="AF152" i="49"/>
  <c r="AF116" i="49"/>
  <c r="AF177" i="49"/>
  <c r="AF83" i="49"/>
  <c r="AF40" i="49"/>
  <c r="AF89" i="49"/>
  <c r="AF156" i="49"/>
  <c r="AF196" i="49"/>
  <c r="AF186" i="49"/>
  <c r="AF225" i="49"/>
  <c r="AF233" i="49"/>
  <c r="AF140" i="49"/>
  <c r="AF213" i="49"/>
  <c r="AF211" i="49"/>
  <c r="AF122" i="49"/>
  <c r="AF129" i="49"/>
  <c r="AF13" i="49"/>
  <c r="AF218" i="49"/>
  <c r="AF241" i="49"/>
  <c r="AF17" i="49"/>
  <c r="AF26" i="49"/>
  <c r="AF176" i="49"/>
  <c r="AF85" i="49"/>
  <c r="AF56" i="49"/>
  <c r="AF142" i="49"/>
  <c r="AF22" i="49"/>
  <c r="AF39" i="49"/>
  <c r="AF126" i="49"/>
  <c r="AF128" i="49"/>
  <c r="AF98" i="49"/>
  <c r="AF55" i="49"/>
  <c r="AF172" i="49"/>
  <c r="AF188" i="49"/>
  <c r="AF20" i="49"/>
  <c r="AF96" i="49"/>
  <c r="AF212" i="49"/>
  <c r="AF9" i="49"/>
  <c r="AF158" i="49"/>
  <c r="AF189" i="49"/>
  <c r="AF101" i="49"/>
  <c r="AF93" i="49"/>
  <c r="AF7" i="49"/>
  <c r="L18" i="49"/>
  <c r="AF208" i="49"/>
  <c r="AF77" i="49"/>
  <c r="AF192" i="49"/>
  <c r="AF149" i="49"/>
  <c r="AF131" i="49"/>
  <c r="AF254" i="49"/>
  <c r="AF81" i="49"/>
  <c r="AF66" i="49"/>
  <c r="AF87" i="49"/>
  <c r="AF82" i="49"/>
  <c r="AF117" i="49"/>
  <c r="AF174" i="49"/>
  <c r="AF53" i="49"/>
  <c r="AF204" i="49"/>
  <c r="AF23" i="49"/>
  <c r="AF250" i="49"/>
  <c r="AF94" i="49"/>
  <c r="AF5" i="49"/>
  <c r="L15" i="49"/>
  <c r="AF220" i="49"/>
  <c r="L24" i="49"/>
  <c r="AF8" i="49"/>
  <c r="AF132" i="49"/>
  <c r="AF183" i="49"/>
  <c r="AF65" i="49"/>
  <c r="AF28" i="49"/>
  <c r="AF4" i="48"/>
  <c r="AF18" i="48"/>
  <c r="AF6" i="48"/>
  <c r="L18" i="48"/>
  <c r="C26" i="48" s="1"/>
  <c r="AF8" i="48"/>
  <c r="AF9" i="48"/>
  <c r="AF12" i="48"/>
  <c r="AF17" i="48"/>
  <c r="AF10" i="48"/>
  <c r="AF15" i="48"/>
  <c r="AF26" i="48"/>
  <c r="L16" i="48"/>
  <c r="C24" i="48" s="1"/>
  <c r="L15" i="48"/>
  <c r="C23" i="48" s="1"/>
  <c r="AF20" i="48"/>
  <c r="AF21" i="48"/>
  <c r="L30" i="49"/>
  <c r="AF11" i="49"/>
  <c r="AF32" i="49"/>
  <c r="AF4" i="49"/>
  <c r="AF168" i="49"/>
  <c r="AF209" i="49"/>
  <c r="AF58" i="49"/>
  <c r="AF161" i="49"/>
  <c r="AF63" i="49"/>
  <c r="AF62" i="49"/>
  <c r="AF252" i="49"/>
  <c r="AF137" i="49"/>
  <c r="AF187" i="49"/>
  <c r="AF249" i="49"/>
  <c r="AF221" i="49"/>
  <c r="AF205" i="49"/>
  <c r="AF125" i="49"/>
  <c r="AF14" i="49"/>
  <c r="AF230" i="49"/>
  <c r="AF144" i="49"/>
  <c r="AF30" i="49"/>
  <c r="AF170" i="49"/>
  <c r="AF190" i="49"/>
  <c r="AF15" i="49"/>
  <c r="AF59" i="49"/>
  <c r="AF47" i="49"/>
  <c r="AF16" i="48"/>
  <c r="AF155" i="49"/>
  <c r="AF14" i="48"/>
  <c r="AF41" i="49"/>
  <c r="AF104" i="49"/>
  <c r="AF69" i="49"/>
  <c r="AF184" i="49"/>
  <c r="AF54" i="49"/>
  <c r="AF113" i="49"/>
  <c r="AF199" i="49"/>
  <c r="AF76" i="49"/>
  <c r="AF64" i="49"/>
  <c r="AF229" i="49"/>
  <c r="AF248" i="49"/>
  <c r="AF120" i="49"/>
  <c r="AF108" i="49"/>
  <c r="AF148" i="49"/>
  <c r="AF185" i="49"/>
  <c r="AF231" i="49"/>
  <c r="AF153" i="49"/>
  <c r="AF242" i="49"/>
  <c r="AF206" i="49"/>
  <c r="AF27" i="49"/>
  <c r="AF215" i="49"/>
  <c r="AF223" i="49"/>
  <c r="AF38" i="49"/>
  <c r="AF68" i="49"/>
  <c r="AF43" i="49"/>
  <c r="AF49" i="49"/>
  <c r="AF160" i="49"/>
  <c r="AF112" i="49"/>
  <c r="AF119" i="49"/>
  <c r="AF240" i="49"/>
  <c r="AF195" i="49"/>
  <c r="AF36" i="49"/>
  <c r="AF179" i="49"/>
  <c r="AF106" i="49"/>
  <c r="AF67" i="49"/>
  <c r="AF25" i="49"/>
  <c r="AF12" i="49"/>
  <c r="AF109" i="49"/>
  <c r="AF73" i="49"/>
  <c r="AF253" i="49"/>
  <c r="AF115" i="49"/>
  <c r="AF251" i="49"/>
  <c r="L27" i="49"/>
  <c r="L19" i="49"/>
  <c r="L25" i="49"/>
  <c r="AF19" i="49"/>
  <c r="AF7" i="48"/>
  <c r="AF72" i="49"/>
  <c r="AF121" i="49"/>
  <c r="AF257" i="49"/>
  <c r="AF61" i="49"/>
  <c r="AF25" i="48"/>
  <c r="AF6" i="49"/>
  <c r="AF245" i="49"/>
  <c r="AF171" i="49"/>
  <c r="AF105" i="49"/>
  <c r="AF22" i="48"/>
  <c r="AF175" i="49"/>
  <c r="AF13" i="48"/>
  <c r="AF243" i="49"/>
  <c r="AF31" i="49"/>
  <c r="AF100" i="49"/>
  <c r="AF134" i="49"/>
  <c r="AF234" i="49"/>
  <c r="AE123" i="49"/>
  <c r="T35" i="39"/>
  <c r="BH5" i="39" s="1"/>
  <c r="P18" i="40"/>
  <c r="U139" i="40"/>
  <c r="U222" i="40"/>
  <c r="U89" i="40"/>
  <c r="U201" i="40"/>
  <c r="U215" i="40"/>
  <c r="U12" i="40"/>
  <c r="U261" i="40"/>
  <c r="U219" i="40"/>
  <c r="U220" i="40"/>
  <c r="U210" i="40"/>
  <c r="U202" i="40"/>
  <c r="U27" i="40"/>
  <c r="U18" i="40"/>
  <c r="U6" i="40"/>
  <c r="U195" i="40"/>
  <c r="U148" i="40"/>
  <c r="U29" i="40"/>
  <c r="U228" i="40"/>
  <c r="U198" i="40"/>
  <c r="U37" i="40"/>
  <c r="U82" i="40"/>
  <c r="U112" i="40"/>
  <c r="U173" i="40"/>
  <c r="U155" i="40"/>
  <c r="U134" i="40"/>
  <c r="U59" i="40"/>
  <c r="U260" i="40"/>
  <c r="U221" i="40"/>
  <c r="U38" i="40"/>
  <c r="U96" i="40"/>
  <c r="U170" i="40"/>
  <c r="U121" i="40"/>
  <c r="U187" i="40"/>
  <c r="U99" i="40"/>
  <c r="U229" i="40"/>
  <c r="U140" i="40"/>
  <c r="U80" i="40"/>
  <c r="U175" i="40"/>
  <c r="U48" i="40"/>
  <c r="U70" i="40"/>
  <c r="U200" i="40"/>
  <c r="U57" i="40"/>
  <c r="U166" i="40"/>
  <c r="U143" i="40"/>
  <c r="U241" i="40"/>
  <c r="U67" i="40"/>
  <c r="U47" i="40"/>
  <c r="U69" i="40"/>
  <c r="U262" i="40"/>
  <c r="U224" i="40"/>
  <c r="U223" i="40"/>
  <c r="U49" i="40"/>
  <c r="U133" i="40"/>
  <c r="U32" i="40"/>
  <c r="U171" i="40"/>
  <c r="U110" i="40"/>
  <c r="U83" i="40"/>
  <c r="U208" i="40"/>
  <c r="U144" i="40"/>
  <c r="U257" i="40"/>
  <c r="U197" i="40"/>
  <c r="U4" i="40"/>
  <c r="U43" i="40"/>
  <c r="U30" i="40"/>
  <c r="U203" i="40"/>
  <c r="U164" i="40"/>
  <c r="U73" i="40"/>
  <c r="U142" i="40"/>
  <c r="U50" i="40"/>
  <c r="U31" i="40"/>
  <c r="U3" i="40"/>
  <c r="U92" i="40"/>
  <c r="U76" i="40"/>
  <c r="U180" i="40"/>
  <c r="U97" i="40"/>
  <c r="U150" i="40"/>
  <c r="U167" i="40"/>
  <c r="U13" i="40"/>
  <c r="U10" i="40"/>
  <c r="U52" i="40"/>
  <c r="U161" i="40"/>
  <c r="U17" i="40"/>
  <c r="U174" i="40"/>
  <c r="U191" i="40"/>
  <c r="U21" i="40"/>
  <c r="U214" i="40"/>
  <c r="U71" i="40"/>
  <c r="U77" i="40"/>
  <c r="U94" i="40"/>
  <c r="U63" i="40"/>
  <c r="U152" i="40"/>
  <c r="U218" i="40"/>
  <c r="U239" i="40"/>
  <c r="U141" i="40"/>
  <c r="U123" i="40"/>
  <c r="U153" i="40"/>
  <c r="U101" i="40"/>
  <c r="U8" i="40"/>
  <c r="U105" i="40"/>
  <c r="U147" i="40"/>
  <c r="U168" i="40"/>
  <c r="U34" i="40"/>
  <c r="U20" i="40"/>
  <c r="U176" i="40"/>
  <c r="U24" i="40"/>
  <c r="U100" i="40"/>
  <c r="U58" i="40"/>
  <c r="U213" i="40"/>
  <c r="U113" i="40"/>
  <c r="U226" i="40"/>
  <c r="U156" i="40"/>
  <c r="U258" i="40"/>
  <c r="U11" i="40"/>
  <c r="U137" i="40"/>
  <c r="U39" i="40"/>
  <c r="U42" i="40"/>
  <c r="U163" i="40"/>
  <c r="U199" i="40"/>
  <c r="U93" i="40"/>
  <c r="U56" i="40"/>
  <c r="U231" i="40"/>
  <c r="U242" i="40"/>
  <c r="U78" i="40"/>
  <c r="U114" i="40"/>
  <c r="U19" i="40"/>
  <c r="U206" i="40"/>
  <c r="U26" i="40"/>
  <c r="U128" i="40"/>
  <c r="U194" i="40"/>
  <c r="U84" i="40"/>
  <c r="U95" i="40"/>
  <c r="U85" i="40"/>
  <c r="U81" i="40"/>
  <c r="U185" i="40"/>
  <c r="U149" i="40"/>
  <c r="U205" i="40"/>
  <c r="U192" i="40"/>
  <c r="U36" i="40"/>
  <c r="U15" i="40"/>
  <c r="U109" i="40"/>
  <c r="U234" i="40"/>
  <c r="U172" i="40"/>
  <c r="U14" i="40"/>
  <c r="U204" i="40"/>
  <c r="U22" i="40"/>
  <c r="U28" i="40"/>
  <c r="U255" i="40"/>
  <c r="U230" i="40"/>
  <c r="U179" i="40"/>
  <c r="U160" i="40"/>
  <c r="U237" i="40"/>
  <c r="U44" i="40"/>
  <c r="U66" i="40"/>
  <c r="U169" i="40"/>
  <c r="U136" i="40"/>
  <c r="U86" i="40"/>
  <c r="U184" i="40"/>
  <c r="U212" i="40"/>
  <c r="U111" i="40"/>
  <c r="U165" i="40"/>
  <c r="U90" i="40"/>
  <c r="U79" i="40"/>
  <c r="U158" i="40"/>
  <c r="U135" i="40"/>
  <c r="U60" i="40"/>
  <c r="U55" i="40"/>
  <c r="U250" i="40"/>
  <c r="U188" i="40"/>
  <c r="U7" i="40"/>
  <c r="U74" i="40"/>
  <c r="U129" i="40"/>
  <c r="U68" i="40"/>
  <c r="U177" i="40"/>
  <c r="U247" i="40"/>
  <c r="U35" i="40"/>
  <c r="U102" i="40"/>
  <c r="U157" i="40"/>
  <c r="U235" i="40"/>
  <c r="U196" i="40"/>
  <c r="U91" i="40"/>
  <c r="U45" i="40"/>
  <c r="U248" i="40"/>
  <c r="U53" i="40"/>
  <c r="U103" i="40"/>
  <c r="U106" i="40"/>
  <c r="U127" i="40"/>
  <c r="U98" i="40"/>
  <c r="U145" i="40"/>
  <c r="U122" i="40"/>
  <c r="U159" i="40"/>
  <c r="U211" i="40"/>
  <c r="U240" i="40"/>
  <c r="U252" i="40"/>
  <c r="U138" i="40"/>
  <c r="U46" i="40"/>
  <c r="U232" i="40"/>
  <c r="U246" i="40"/>
  <c r="U16" i="40"/>
  <c r="U238" i="40"/>
  <c r="U225" i="40"/>
  <c r="U130" i="40"/>
  <c r="U216" i="40"/>
  <c r="U40" i="40"/>
  <c r="U125" i="40"/>
  <c r="U119" i="40"/>
  <c r="U151" i="40"/>
  <c r="U104" i="40"/>
  <c r="U217" i="40"/>
  <c r="U146" i="40"/>
  <c r="U116" i="40"/>
  <c r="U190" i="40"/>
  <c r="U5" i="40"/>
  <c r="U227" i="40"/>
  <c r="U23" i="40"/>
  <c r="U254" i="40"/>
  <c r="U120" i="40"/>
  <c r="U249" i="40"/>
  <c r="U132" i="40"/>
  <c r="U72" i="40"/>
  <c r="U126" i="40"/>
  <c r="U115" i="40"/>
  <c r="U87" i="40"/>
  <c r="U61" i="40"/>
  <c r="U62" i="40"/>
  <c r="U65" i="40"/>
  <c r="U183" i="40"/>
  <c r="U209" i="40"/>
  <c r="U244" i="40"/>
  <c r="U162" i="40"/>
  <c r="U9" i="40"/>
  <c r="U253" i="40"/>
  <c r="U256" i="40"/>
  <c r="U233" i="40"/>
  <c r="U124" i="40"/>
  <c r="U243" i="40"/>
  <c r="U33" i="40"/>
  <c r="U117" i="40"/>
  <c r="U207" i="40"/>
  <c r="U154" i="40"/>
  <c r="U64" i="40"/>
  <c r="U25" i="40"/>
  <c r="U245" i="40"/>
  <c r="U51" i="40"/>
  <c r="U88" i="40"/>
  <c r="U108" i="40"/>
  <c r="U54" i="40"/>
  <c r="U75" i="40"/>
  <c r="U107" i="40"/>
  <c r="U41" i="40"/>
  <c r="U181" i="40"/>
  <c r="U236" i="40"/>
  <c r="U118" i="40"/>
  <c r="U182" i="40"/>
  <c r="U131" i="40"/>
  <c r="U178" i="40"/>
  <c r="U259" i="40"/>
  <c r="U193" i="40"/>
  <c r="U189" i="40"/>
  <c r="U186" i="40"/>
  <c r="U251" i="40"/>
  <c r="AB25" i="39"/>
  <c r="AA25" i="39"/>
  <c r="Z25" i="39"/>
  <c r="Y25" i="39"/>
  <c r="Y26" i="39"/>
  <c r="Y28" i="39" a="1"/>
  <c r="BQ6" i="39"/>
  <c r="BQ10" i="39"/>
  <c r="BQ16" i="39"/>
  <c r="BQ32" i="39"/>
  <c r="BQ48" i="39"/>
  <c r="BQ64" i="39"/>
  <c r="BQ80" i="39"/>
  <c r="BQ104" i="39"/>
  <c r="BQ120" i="39"/>
  <c r="BQ9" i="39"/>
  <c r="BQ25" i="39"/>
  <c r="BQ41" i="39"/>
  <c r="BQ57" i="39"/>
  <c r="BQ73" i="39"/>
  <c r="BQ89" i="39"/>
  <c r="BQ105" i="39"/>
  <c r="BQ121" i="39"/>
  <c r="BQ18" i="39"/>
  <c r="BQ34" i="39"/>
  <c r="BQ50" i="39"/>
  <c r="BQ66" i="39"/>
  <c r="BQ82" i="39"/>
  <c r="BQ98" i="39"/>
  <c r="BQ114" i="39"/>
  <c r="BQ122" i="39"/>
  <c r="BQ11" i="39"/>
  <c r="BQ27" i="39"/>
  <c r="BQ43" i="39"/>
  <c r="BQ59" i="39"/>
  <c r="BQ75" i="39"/>
  <c r="BQ91" i="39"/>
  <c r="BQ107" i="39"/>
  <c r="BQ123" i="39"/>
  <c r="BQ12" i="39"/>
  <c r="BQ28" i="39"/>
  <c r="BQ44" i="39"/>
  <c r="BQ60" i="39"/>
  <c r="BQ76" i="39"/>
  <c r="BQ92" i="39"/>
  <c r="BQ108" i="39"/>
  <c r="BQ124" i="39"/>
  <c r="BQ13" i="39"/>
  <c r="BQ37" i="39"/>
  <c r="BQ53" i="39"/>
  <c r="BQ69" i="39"/>
  <c r="BQ85" i="39"/>
  <c r="BQ101" i="39"/>
  <c r="BQ117" i="39"/>
  <c r="BQ133" i="39"/>
  <c r="BQ14" i="39"/>
  <c r="BQ22" i="39"/>
  <c r="BQ30" i="39"/>
  <c r="BQ38" i="39"/>
  <c r="BQ46" i="39"/>
  <c r="BQ54" i="39"/>
  <c r="BQ62" i="39"/>
  <c r="BQ70" i="39"/>
  <c r="BQ78" i="39"/>
  <c r="BQ86" i="39"/>
  <c r="BQ94" i="39"/>
  <c r="BQ102" i="39"/>
  <c r="BQ110" i="39"/>
  <c r="BQ118" i="39"/>
  <c r="BQ126" i="39"/>
  <c r="BQ134" i="39"/>
  <c r="BQ8" i="39"/>
  <c r="BQ24" i="39"/>
  <c r="BQ40" i="39"/>
  <c r="BQ56" i="39"/>
  <c r="BQ72" i="39"/>
  <c r="BQ88" i="39"/>
  <c r="BQ96" i="39"/>
  <c r="BQ112" i="39"/>
  <c r="BQ128" i="39"/>
  <c r="BQ17" i="39"/>
  <c r="BQ33" i="39"/>
  <c r="BQ49" i="39"/>
  <c r="BQ65" i="39"/>
  <c r="BQ81" i="39"/>
  <c r="BQ97" i="39"/>
  <c r="BQ113" i="39"/>
  <c r="BQ129" i="39"/>
  <c r="BQ26" i="39"/>
  <c r="BQ42" i="39"/>
  <c r="BQ58" i="39"/>
  <c r="BQ74" i="39"/>
  <c r="BQ90" i="39"/>
  <c r="BQ106" i="39"/>
  <c r="BQ130" i="39"/>
  <c r="BQ19" i="39"/>
  <c r="BQ35" i="39"/>
  <c r="BQ51" i="39"/>
  <c r="BQ67" i="39"/>
  <c r="BQ83" i="39"/>
  <c r="BQ99" i="39"/>
  <c r="BQ115" i="39"/>
  <c r="BQ131" i="39"/>
  <c r="BQ20" i="39"/>
  <c r="BQ36" i="39"/>
  <c r="BQ52" i="39"/>
  <c r="BQ68" i="39"/>
  <c r="BQ84" i="39"/>
  <c r="BQ100" i="39"/>
  <c r="BQ116" i="39"/>
  <c r="BQ132" i="39"/>
  <c r="BQ21" i="39"/>
  <c r="BQ29" i="39"/>
  <c r="BQ45" i="39"/>
  <c r="BQ61" i="39"/>
  <c r="BQ77" i="39"/>
  <c r="BQ93" i="39"/>
  <c r="BQ109" i="39"/>
  <c r="BQ125" i="39"/>
  <c r="BQ7" i="39"/>
  <c r="BQ15" i="39"/>
  <c r="BQ23" i="39"/>
  <c r="BQ31" i="39"/>
  <c r="BQ39" i="39"/>
  <c r="BQ47" i="39"/>
  <c r="BQ55" i="39"/>
  <c r="BQ63" i="39"/>
  <c r="BQ71" i="39"/>
  <c r="BQ79" i="39"/>
  <c r="BQ87" i="39"/>
  <c r="BQ95" i="39"/>
  <c r="BQ103" i="39"/>
  <c r="BQ111" i="39"/>
  <c r="BQ119" i="39"/>
  <c r="BQ127" i="39"/>
  <c r="BQ135" i="39"/>
  <c r="Y28" i="39"/>
  <c r="Y29" i="39"/>
  <c r="Y27" i="39"/>
  <c r="BM1" i="39" s="1"/>
  <c r="Y39" i="39"/>
  <c r="Y50" i="39"/>
  <c r="Y38" i="39"/>
  <c r="Y49" i="39"/>
  <c r="Y51" i="39"/>
  <c r="Y46" i="39"/>
  <c r="Y47" i="39"/>
  <c r="Y40" i="39"/>
  <c r="Y43" i="39"/>
  <c r="Y44" i="39"/>
  <c r="Y48" i="39"/>
  <c r="Y36" i="39"/>
  <c r="Y45" i="39"/>
  <c r="Y42" i="39"/>
  <c r="Y37" i="39"/>
  <c r="Y41" i="39"/>
  <c r="BM6" i="39"/>
  <c r="BM17" i="39"/>
  <c r="BM40" i="39"/>
  <c r="BM10" i="39"/>
  <c r="BM47" i="39"/>
  <c r="BM33" i="39"/>
  <c r="BM23" i="39"/>
  <c r="BM56" i="39"/>
  <c r="BM85" i="39"/>
  <c r="BM124" i="39"/>
  <c r="BM9" i="39"/>
  <c r="BM32" i="39"/>
  <c r="BM75" i="39"/>
  <c r="BM94" i="39"/>
  <c r="BM50" i="39"/>
  <c r="BM16" i="39"/>
  <c r="BM64" i="39"/>
  <c r="BM131" i="39"/>
  <c r="BM81" i="39"/>
  <c r="BM101" i="39"/>
  <c r="BM39" i="39"/>
  <c r="BM79" i="39"/>
  <c r="BM118" i="39"/>
  <c r="BM8" i="39"/>
  <c r="BM15" i="39"/>
  <c r="BM125" i="39"/>
  <c r="BM18" i="39"/>
  <c r="BM25" i="39"/>
  <c r="BM48" i="39"/>
  <c r="BM59" i="39"/>
  <c r="BM63" i="39"/>
  <c r="BM67" i="39"/>
  <c r="BM107" i="39"/>
  <c r="BM31" i="39"/>
  <c r="BM62" i="39"/>
  <c r="BM66" i="39"/>
  <c r="BM70" i="39"/>
  <c r="BM60" i="39"/>
  <c r="BM26" i="39"/>
  <c r="BM89" i="39"/>
  <c r="BM115" i="39"/>
  <c r="BM49" i="39"/>
  <c r="BM83" i="39"/>
  <c r="BM121" i="39"/>
  <c r="BM42" i="39"/>
  <c r="BM65" i="39"/>
  <c r="BM69" i="39"/>
  <c r="BM73" i="39"/>
  <c r="BM53" i="39"/>
  <c r="BM7" i="39"/>
  <c r="BM24" i="39"/>
  <c r="BM78" i="39"/>
  <c r="BM82" i="39"/>
  <c r="BM86" i="39"/>
  <c r="BM108" i="39"/>
  <c r="BM34" i="39"/>
  <c r="BM41" i="39"/>
  <c r="BM72" i="39"/>
  <c r="BM76" i="39"/>
  <c r="BM80" i="39"/>
  <c r="BM95" i="39"/>
  <c r="BM114" i="39"/>
  <c r="BM130" i="39"/>
  <c r="BM134" i="39"/>
  <c r="BM98" i="39"/>
  <c r="BM106" i="39"/>
  <c r="BM110" i="39"/>
  <c r="BM113" i="39"/>
  <c r="BM117" i="39"/>
  <c r="BM11" i="39"/>
  <c r="BM19" i="39"/>
  <c r="BM20" i="39"/>
  <c r="BM27" i="39"/>
  <c r="BM28" i="39"/>
  <c r="BM35" i="39"/>
  <c r="BM36" i="39"/>
  <c r="BM43" i="39"/>
  <c r="BM44" i="39"/>
  <c r="BM51" i="39"/>
  <c r="BM92" i="39"/>
  <c r="BM97" i="39"/>
  <c r="BM116" i="39"/>
  <c r="BM123" i="39"/>
  <c r="BM91" i="39"/>
  <c r="BM122" i="39"/>
  <c r="BM126" i="39"/>
  <c r="BM129" i="39"/>
  <c r="BM133" i="39"/>
  <c r="BM54" i="39"/>
  <c r="BM57" i="39"/>
  <c r="BM12" i="39"/>
  <c r="BM13" i="39"/>
  <c r="BM14" i="39"/>
  <c r="BM21" i="39"/>
  <c r="BM22" i="39"/>
  <c r="BM29" i="39"/>
  <c r="BM30" i="39"/>
  <c r="BM37" i="39"/>
  <c r="BM38" i="39"/>
  <c r="BM45" i="39"/>
  <c r="BM46" i="39"/>
  <c r="BM88" i="39"/>
  <c r="BM102" i="39"/>
  <c r="BM105" i="39"/>
  <c r="BM109" i="39"/>
  <c r="BM132" i="39"/>
  <c r="BM96" i="39"/>
  <c r="BM99" i="39"/>
  <c r="BM61" i="39"/>
  <c r="BM74" i="39"/>
  <c r="BM77" i="39"/>
  <c r="BM90" i="39"/>
  <c r="BM93" i="39"/>
  <c r="BM103" i="39"/>
  <c r="BM104" i="39"/>
  <c r="BM111" i="39"/>
  <c r="BM112" i="39"/>
  <c r="BM119" i="39"/>
  <c r="BM120" i="39"/>
  <c r="BM127" i="39"/>
  <c r="BM128" i="39"/>
  <c r="BM135" i="39"/>
  <c r="BM58" i="39"/>
  <c r="BM52" i="39"/>
  <c r="BM55" i="39"/>
  <c r="BM68" i="39"/>
  <c r="BM71" i="39"/>
  <c r="BM84" i="39"/>
  <c r="BM87" i="39"/>
  <c r="BM100" i="39"/>
  <c r="Y54" i="39"/>
  <c r="Y57" i="39"/>
  <c r="Y56" i="39"/>
  <c r="Y55" i="39"/>
  <c r="Y60" i="39"/>
  <c r="Y58" i="39"/>
  <c r="Y59" i="39"/>
  <c r="Y35" i="39"/>
  <c r="BM5" i="39" s="1"/>
  <c r="Z26" i="39"/>
  <c r="Z28" i="39" a="1"/>
  <c r="AA26" i="39"/>
  <c r="AA28" i="39" a="1"/>
  <c r="AB26" i="39"/>
  <c r="AB28" i="39" a="1"/>
  <c r="AB28" i="39"/>
  <c r="AB29" i="39"/>
  <c r="AB30" i="39"/>
  <c r="AA28" i="39"/>
  <c r="AA29" i="39"/>
  <c r="Z28" i="39"/>
  <c r="Z29" i="39"/>
  <c r="Z30" i="39"/>
  <c r="AB27" i="39"/>
  <c r="BP1" i="39" s="1"/>
  <c r="AA27" i="39"/>
  <c r="BO1" i="39" s="1"/>
  <c r="AB37" i="39"/>
  <c r="AA40" i="39"/>
  <c r="AB43" i="39"/>
  <c r="AB41" i="39"/>
  <c r="AA50" i="39"/>
  <c r="AB50" i="39"/>
  <c r="AB51" i="39"/>
  <c r="AB42" i="39"/>
  <c r="AA48" i="39"/>
  <c r="AB46" i="39"/>
  <c r="AB39" i="39"/>
  <c r="AA38" i="39"/>
  <c r="AA51" i="39"/>
  <c r="AA39" i="39"/>
  <c r="AB36" i="39"/>
  <c r="AA44" i="39"/>
  <c r="AA47" i="39"/>
  <c r="AA36" i="39"/>
  <c r="AA45" i="39"/>
  <c r="AA37" i="39"/>
  <c r="AB47" i="39"/>
  <c r="AA49" i="39"/>
  <c r="AA43" i="39"/>
  <c r="AB38" i="39"/>
  <c r="AA42" i="39"/>
  <c r="AB45" i="39"/>
  <c r="AB40" i="39"/>
  <c r="AB48" i="39"/>
  <c r="AA41" i="39"/>
  <c r="AA46" i="39"/>
  <c r="AB49" i="39"/>
  <c r="AB44" i="39"/>
  <c r="BP6" i="39"/>
  <c r="BP7" i="39"/>
  <c r="BP41" i="39"/>
  <c r="BP44" i="39"/>
  <c r="BP14" i="39"/>
  <c r="BP37" i="39"/>
  <c r="BP88" i="39"/>
  <c r="BP13" i="39"/>
  <c r="BP17" i="39"/>
  <c r="BP74" i="39"/>
  <c r="BP30" i="39"/>
  <c r="BP112" i="39"/>
  <c r="BP36" i="39"/>
  <c r="BP16" i="39"/>
  <c r="BP46" i="39"/>
  <c r="BP84" i="39"/>
  <c r="BP20" i="39"/>
  <c r="BP24" i="39"/>
  <c r="BP47" i="39"/>
  <c r="BP82" i="39"/>
  <c r="BP100" i="39"/>
  <c r="BP23" i="39"/>
  <c r="BP29" i="39"/>
  <c r="BP128" i="39"/>
  <c r="BP12" i="39"/>
  <c r="BP39" i="39"/>
  <c r="BP49" i="39"/>
  <c r="BP15" i="39"/>
  <c r="BP45" i="39"/>
  <c r="BP25" i="39"/>
  <c r="BP28" i="39"/>
  <c r="BP80" i="39"/>
  <c r="BP78" i="39"/>
  <c r="BP96" i="39"/>
  <c r="BP33" i="39"/>
  <c r="BP40" i="39"/>
  <c r="BP9" i="39"/>
  <c r="BP22" i="39"/>
  <c r="BP104" i="39"/>
  <c r="BP21" i="39"/>
  <c r="BP32" i="39"/>
  <c r="BP122" i="39"/>
  <c r="BP8" i="39"/>
  <c r="BP31" i="39"/>
  <c r="BP38" i="39"/>
  <c r="BP90" i="39"/>
  <c r="BP94" i="39"/>
  <c r="BP114" i="39"/>
  <c r="BP64" i="39"/>
  <c r="BP68" i="39"/>
  <c r="BP58" i="39"/>
  <c r="BP62" i="39"/>
  <c r="BP66" i="39"/>
  <c r="BP120" i="39"/>
  <c r="BP48" i="39"/>
  <c r="BP72" i="39"/>
  <c r="BP11" i="39"/>
  <c r="BP19" i="39"/>
  <c r="BP26" i="39"/>
  <c r="BP35" i="39"/>
  <c r="BP42" i="39"/>
  <c r="BP43" i="39"/>
  <c r="BP50" i="39"/>
  <c r="BP52" i="39"/>
  <c r="BP56" i="39"/>
  <c r="BP130" i="39"/>
  <c r="BP10" i="39"/>
  <c r="BP18" i="39"/>
  <c r="BP27" i="39"/>
  <c r="BP34" i="39"/>
  <c r="BP106" i="39"/>
  <c r="BP98" i="39"/>
  <c r="BP108" i="39"/>
  <c r="BP116" i="39"/>
  <c r="BP124" i="39"/>
  <c r="BP132" i="39"/>
  <c r="BP60" i="39"/>
  <c r="BP76" i="39"/>
  <c r="BP92" i="39"/>
  <c r="BP54" i="39"/>
  <c r="BP70" i="39"/>
  <c r="BP86" i="39"/>
  <c r="BP102" i="39"/>
  <c r="BP110" i="39"/>
  <c r="BP118" i="39"/>
  <c r="BP126" i="39"/>
  <c r="BP134" i="39"/>
  <c r="BP51" i="39"/>
  <c r="BP53" i="39"/>
  <c r="BP55" i="39"/>
  <c r="BP57" i="39"/>
  <c r="BP59" i="39"/>
  <c r="BP61" i="39"/>
  <c r="BP63" i="39"/>
  <c r="BP65" i="39"/>
  <c r="BP67" i="39"/>
  <c r="BP69" i="39"/>
  <c r="BP71" i="39"/>
  <c r="BP73" i="39"/>
  <c r="BP75" i="39"/>
  <c r="BP77" i="39"/>
  <c r="BP79" i="39"/>
  <c r="BP81" i="39"/>
  <c r="BP83" i="39"/>
  <c r="BP85" i="39"/>
  <c r="BP87" i="39"/>
  <c r="BP89" i="39"/>
  <c r="BP91" i="39"/>
  <c r="BP93" i="39"/>
  <c r="BP95" i="39"/>
  <c r="BP97" i="39"/>
  <c r="BP99" i="39"/>
  <c r="BP101" i="39"/>
  <c r="BP103" i="39"/>
  <c r="BP105" i="39"/>
  <c r="BP107" i="39"/>
  <c r="BP109" i="39"/>
  <c r="BP111" i="39"/>
  <c r="BP113" i="39"/>
  <c r="BP115" i="39"/>
  <c r="BP117" i="39"/>
  <c r="BP119" i="39"/>
  <c r="BP121" i="39"/>
  <c r="BP123" i="39"/>
  <c r="BP125" i="39"/>
  <c r="BP127" i="39"/>
  <c r="BP129" i="39"/>
  <c r="BP131" i="39"/>
  <c r="BP133" i="39"/>
  <c r="BP135" i="39"/>
  <c r="BO6" i="39"/>
  <c r="BO24" i="39"/>
  <c r="BO74" i="39"/>
  <c r="BO78" i="39"/>
  <c r="BO82" i="39"/>
  <c r="BO100" i="39"/>
  <c r="BO108" i="39"/>
  <c r="BO68" i="39"/>
  <c r="BO40" i="39"/>
  <c r="BO91" i="39"/>
  <c r="BO46" i="39"/>
  <c r="BO87" i="39"/>
  <c r="BO132" i="39"/>
  <c r="BO22" i="39"/>
  <c r="BO76" i="39"/>
  <c r="BO114" i="39"/>
  <c r="BO128" i="39"/>
  <c r="BO16" i="39"/>
  <c r="BO101" i="39"/>
  <c r="BO71" i="39"/>
  <c r="BO75" i="39"/>
  <c r="BO79" i="39"/>
  <c r="BO122" i="39"/>
  <c r="BO8" i="39"/>
  <c r="BO38" i="39"/>
  <c r="BO30" i="39"/>
  <c r="BO72" i="39"/>
  <c r="BO77" i="39"/>
  <c r="BO81" i="39"/>
  <c r="BO85" i="39"/>
  <c r="BO104" i="39"/>
  <c r="BO32" i="39"/>
  <c r="BO94" i="39"/>
  <c r="BO90" i="39"/>
  <c r="BO14" i="39"/>
  <c r="BO48" i="39"/>
  <c r="BO84" i="39"/>
  <c r="BO88" i="39"/>
  <c r="BO93" i="39"/>
  <c r="BO120" i="39"/>
  <c r="BO124" i="39"/>
  <c r="BO58" i="39"/>
  <c r="BO61" i="39"/>
  <c r="BO10" i="39"/>
  <c r="BO18" i="39"/>
  <c r="BO26" i="39"/>
  <c r="BO34" i="39"/>
  <c r="BO42" i="39"/>
  <c r="BO50" i="39"/>
  <c r="BO52" i="39"/>
  <c r="BO55" i="39"/>
  <c r="BO56" i="39"/>
  <c r="BO59" i="39"/>
  <c r="BO60" i="39"/>
  <c r="BO63" i="39"/>
  <c r="BO130" i="39"/>
  <c r="BO62" i="39"/>
  <c r="BO65" i="39"/>
  <c r="BO69" i="39"/>
  <c r="BO53" i="39"/>
  <c r="BO98" i="39"/>
  <c r="BO106" i="39"/>
  <c r="BO66" i="39"/>
  <c r="BO12" i="39"/>
  <c r="BO20" i="39"/>
  <c r="BO28" i="39"/>
  <c r="BO36" i="39"/>
  <c r="BO44" i="39"/>
  <c r="BO97" i="39"/>
  <c r="BO112" i="39"/>
  <c r="BO116" i="39"/>
  <c r="BO92" i="39"/>
  <c r="BO95" i="39"/>
  <c r="BO54" i="39"/>
  <c r="BO57" i="39"/>
  <c r="BO70" i="39"/>
  <c r="BO73" i="39"/>
  <c r="BO86" i="39"/>
  <c r="BO89" i="39"/>
  <c r="BO102" i="39"/>
  <c r="BO110" i="39"/>
  <c r="BO118" i="39"/>
  <c r="BO126" i="39"/>
  <c r="BO134" i="39"/>
  <c r="BO7" i="39"/>
  <c r="BO9" i="39"/>
  <c r="BO11" i="39"/>
  <c r="BO13" i="39"/>
  <c r="BO15" i="39"/>
  <c r="BO17" i="39"/>
  <c r="BO19" i="39"/>
  <c r="BO21" i="39"/>
  <c r="BO23" i="39"/>
  <c r="BO25" i="39"/>
  <c r="BO27" i="39"/>
  <c r="BO29" i="39"/>
  <c r="BO31" i="39"/>
  <c r="BO33" i="39"/>
  <c r="BO35" i="39"/>
  <c r="BO37" i="39"/>
  <c r="BO39" i="39"/>
  <c r="BO41" i="39"/>
  <c r="BO43" i="39"/>
  <c r="BO45" i="39"/>
  <c r="BO47" i="39"/>
  <c r="BO49" i="39"/>
  <c r="BO51" i="39"/>
  <c r="BO64" i="39"/>
  <c r="BO67" i="39"/>
  <c r="BO80" i="39"/>
  <c r="BO83" i="39"/>
  <c r="BO96" i="39"/>
  <c r="BO99" i="39"/>
  <c r="BO103" i="39"/>
  <c r="BO105" i="39"/>
  <c r="BO107" i="39"/>
  <c r="BO109" i="39"/>
  <c r="BO111" i="39"/>
  <c r="BO113" i="39"/>
  <c r="BO115" i="39"/>
  <c r="BO117" i="39"/>
  <c r="BO119" i="39"/>
  <c r="BO121" i="39"/>
  <c r="BO123" i="39"/>
  <c r="BO125" i="39"/>
  <c r="BO127" i="39"/>
  <c r="BO129" i="39"/>
  <c r="BO131" i="39"/>
  <c r="BO133" i="39"/>
  <c r="BO135" i="39"/>
  <c r="AA35" i="39"/>
  <c r="BO5" i="39" s="1"/>
  <c r="AA58" i="39"/>
  <c r="Z35" i="39"/>
  <c r="BN5" i="39" s="1"/>
  <c r="AB35" i="39"/>
  <c r="BP5" i="39" s="1"/>
  <c r="AA57" i="39"/>
  <c r="AB54" i="39"/>
  <c r="AB58" i="39"/>
  <c r="AA54" i="39"/>
  <c r="AA60" i="39"/>
  <c r="AA55" i="39"/>
  <c r="AB57" i="39"/>
  <c r="AA59" i="39"/>
  <c r="AB60" i="39"/>
  <c r="AB55" i="39"/>
  <c r="AB56" i="39"/>
  <c r="AB59" i="39"/>
  <c r="AA56" i="39"/>
  <c r="Z27" i="39"/>
  <c r="BN1" i="39" s="1"/>
  <c r="Z48" i="39"/>
  <c r="Z46" i="39"/>
  <c r="Z49" i="39"/>
  <c r="Z51" i="39"/>
  <c r="Z50" i="39"/>
  <c r="Z47" i="39"/>
  <c r="Z45" i="39"/>
  <c r="Z40" i="39"/>
  <c r="Z38" i="39"/>
  <c r="Z41" i="39"/>
  <c r="Z39" i="39"/>
  <c r="Z42" i="39"/>
  <c r="Z44" i="39"/>
  <c r="Z43" i="39"/>
  <c r="Z36" i="39"/>
  <c r="Z37" i="39"/>
  <c r="BN6" i="39"/>
  <c r="BN30" i="39"/>
  <c r="BN34" i="39"/>
  <c r="BN72" i="39"/>
  <c r="BN40" i="39"/>
  <c r="BN62" i="39"/>
  <c r="BN16" i="39"/>
  <c r="BN22" i="39"/>
  <c r="BN81" i="39"/>
  <c r="BN32" i="39"/>
  <c r="BN68" i="39"/>
  <c r="BN76" i="39"/>
  <c r="BN114" i="39"/>
  <c r="BN70" i="39"/>
  <c r="BN46" i="39"/>
  <c r="BN87" i="39"/>
  <c r="BN85" i="39"/>
  <c r="BN71" i="39"/>
  <c r="BN75" i="39"/>
  <c r="BN79" i="39"/>
  <c r="BN121" i="39"/>
  <c r="BN8" i="39"/>
  <c r="BN42" i="39"/>
  <c r="BN14" i="39"/>
  <c r="BN48" i="39"/>
  <c r="BN95" i="39"/>
  <c r="BN10" i="39"/>
  <c r="BN66" i="39"/>
  <c r="BN132" i="39"/>
  <c r="BN26" i="39"/>
  <c r="BN89" i="39"/>
  <c r="BN101" i="39"/>
  <c r="BN115" i="39"/>
  <c r="BN94" i="39"/>
  <c r="BN38" i="39"/>
  <c r="BN65" i="39"/>
  <c r="BN69" i="39"/>
  <c r="BN73" i="39"/>
  <c r="BN18" i="39"/>
  <c r="BN84" i="39"/>
  <c r="BN88" i="39"/>
  <c r="BN105" i="39"/>
  <c r="BN7" i="39"/>
  <c r="BN24" i="39"/>
  <c r="BN78" i="39"/>
  <c r="BN82" i="39"/>
  <c r="BN86" i="39"/>
  <c r="BN100" i="39"/>
  <c r="BN108" i="39"/>
  <c r="BN124" i="39"/>
  <c r="BN131" i="39"/>
  <c r="BN107" i="39"/>
  <c r="BN130" i="39"/>
  <c r="BN52" i="39"/>
  <c r="BN56" i="39"/>
  <c r="BN53" i="39"/>
  <c r="BN54" i="39"/>
  <c r="BN57" i="39"/>
  <c r="BN98" i="39"/>
  <c r="BN106" i="39"/>
  <c r="BN113" i="39"/>
  <c r="BN55" i="39"/>
  <c r="BN59" i="39"/>
  <c r="BN28" i="39"/>
  <c r="BN44" i="39"/>
  <c r="BN92" i="39"/>
  <c r="BN97" i="39"/>
  <c r="BN116" i="39"/>
  <c r="BN123" i="39"/>
  <c r="BN50" i="39"/>
  <c r="BN60" i="39"/>
  <c r="BN63" i="39"/>
  <c r="BN12" i="39"/>
  <c r="BN20" i="39"/>
  <c r="BN36" i="39"/>
  <c r="BN91" i="39"/>
  <c r="BN122" i="39"/>
  <c r="BN129" i="39"/>
  <c r="BN102" i="39"/>
  <c r="BN109" i="39"/>
  <c r="BN110" i="39"/>
  <c r="BN117" i="39"/>
  <c r="BN118" i="39"/>
  <c r="BN125" i="39"/>
  <c r="BN126" i="39"/>
  <c r="BN133" i="39"/>
  <c r="BN134" i="39"/>
  <c r="BN11" i="39"/>
  <c r="BN17" i="39"/>
  <c r="BN23" i="39"/>
  <c r="BN27" i="39"/>
  <c r="BN29" i="39"/>
  <c r="BN33" i="39"/>
  <c r="BN39" i="39"/>
  <c r="BN45" i="39"/>
  <c r="BN49" i="39"/>
  <c r="BN64" i="39"/>
  <c r="BN80" i="39"/>
  <c r="BN83" i="39"/>
  <c r="BN96" i="39"/>
  <c r="BN99" i="39"/>
  <c r="BN9" i="39"/>
  <c r="BN13" i="39"/>
  <c r="BN15" i="39"/>
  <c r="BN19" i="39"/>
  <c r="BN21" i="39"/>
  <c r="BN25" i="39"/>
  <c r="BN31" i="39"/>
  <c r="BN35" i="39"/>
  <c r="BN37" i="39"/>
  <c r="BN41" i="39"/>
  <c r="BN43" i="39"/>
  <c r="BN47" i="39"/>
  <c r="BN51" i="39"/>
  <c r="BN67" i="39"/>
  <c r="BN58" i="39"/>
  <c r="BN61" i="39"/>
  <c r="BN74" i="39"/>
  <c r="BN77" i="39"/>
  <c r="BN90" i="39"/>
  <c r="BN93" i="39"/>
  <c r="BN103" i="39"/>
  <c r="BN104" i="39"/>
  <c r="BN111" i="39"/>
  <c r="BN112" i="39"/>
  <c r="BN119" i="39"/>
  <c r="BN120" i="39"/>
  <c r="BN127" i="39"/>
  <c r="BN128" i="39"/>
  <c r="BN135" i="39"/>
  <c r="Z54" i="39"/>
  <c r="Z57" i="39"/>
  <c r="Z56" i="39"/>
  <c r="Z59" i="39"/>
  <c r="Z60" i="39"/>
  <c r="Z58" i="39"/>
  <c r="Z55" i="39"/>
  <c r="P18" i="53"/>
  <c r="U59" i="53"/>
  <c r="U45" i="53"/>
  <c r="U177" i="53"/>
  <c r="U225" i="53"/>
  <c r="U49" i="53"/>
  <c r="U7" i="53"/>
  <c r="U11" i="53"/>
  <c r="U31" i="53"/>
  <c r="U111" i="53"/>
  <c r="U257" i="53"/>
  <c r="U231" i="53"/>
  <c r="U93" i="53"/>
  <c r="U155" i="53"/>
  <c r="U83" i="53"/>
  <c r="U145" i="53"/>
  <c r="U203" i="53"/>
  <c r="U247" i="53"/>
  <c r="U8" i="53"/>
  <c r="U18" i="53"/>
  <c r="U65" i="53"/>
  <c r="U123" i="53"/>
  <c r="U189" i="53"/>
  <c r="U51" i="53"/>
  <c r="U109" i="53"/>
  <c r="U175" i="53"/>
  <c r="U217" i="53"/>
  <c r="U233" i="53"/>
  <c r="U249" i="53"/>
  <c r="U97" i="53"/>
  <c r="U159" i="53"/>
  <c r="U75" i="53"/>
  <c r="U10" i="53"/>
  <c r="U13" i="53"/>
  <c r="U15" i="53"/>
  <c r="U127" i="53"/>
  <c r="U47" i="53"/>
  <c r="U171" i="53"/>
  <c r="U17" i="53"/>
  <c r="U30" i="53"/>
  <c r="U91" i="53"/>
  <c r="U99" i="53"/>
  <c r="U157" i="53"/>
  <c r="U161" i="53"/>
  <c r="U163" i="53"/>
  <c r="U16" i="53"/>
  <c r="U20" i="53"/>
  <c r="U79" i="53"/>
  <c r="U141" i="53"/>
  <c r="U207" i="53"/>
  <c r="U215" i="53"/>
  <c r="U6" i="53"/>
  <c r="U12" i="53"/>
  <c r="U25" i="53"/>
  <c r="U61" i="53"/>
  <c r="U131" i="53"/>
  <c r="U193" i="53"/>
  <c r="U43" i="53"/>
  <c r="U113" i="53"/>
  <c r="U179" i="53"/>
  <c r="U3" i="53"/>
  <c r="U23" i="53"/>
  <c r="U33" i="53"/>
  <c r="U95" i="53"/>
  <c r="U77" i="53"/>
  <c r="U81" i="53"/>
  <c r="U139" i="53"/>
  <c r="U143" i="53"/>
  <c r="U147" i="53"/>
  <c r="U205" i="53"/>
  <c r="U209" i="53"/>
  <c r="U223" i="53"/>
  <c r="U239" i="53"/>
  <c r="U255" i="53"/>
  <c r="U73" i="53"/>
  <c r="U105" i="53"/>
  <c r="U121" i="53"/>
  <c r="U137" i="53"/>
  <c r="U153" i="53"/>
  <c r="U169" i="53"/>
  <c r="U185" i="53"/>
  <c r="U201" i="53"/>
  <c r="U213" i="53"/>
  <c r="U221" i="53"/>
  <c r="U229" i="53"/>
  <c r="U237" i="53"/>
  <c r="U245" i="53"/>
  <c r="U253" i="53"/>
  <c r="U261" i="53"/>
  <c r="U21" i="53"/>
  <c r="U28" i="53"/>
  <c r="U41" i="53"/>
  <c r="U89" i="53"/>
  <c r="U39" i="53"/>
  <c r="U71" i="53"/>
  <c r="U87" i="53"/>
  <c r="U103" i="53"/>
  <c r="U119" i="53"/>
  <c r="U135" i="53"/>
  <c r="U151" i="53"/>
  <c r="U167" i="53"/>
  <c r="U183" i="53"/>
  <c r="U199" i="53"/>
  <c r="U57" i="53"/>
  <c r="U22" i="53"/>
  <c r="U27" i="53"/>
  <c r="U55" i="53"/>
  <c r="U5" i="53"/>
  <c r="U19" i="53"/>
  <c r="U26" i="53"/>
  <c r="U37" i="53"/>
  <c r="U53" i="53"/>
  <c r="U69" i="53"/>
  <c r="U85" i="53"/>
  <c r="U101" i="53"/>
  <c r="U117" i="53"/>
  <c r="U133" i="53"/>
  <c r="U149" i="53"/>
  <c r="U165" i="53"/>
  <c r="U181" i="53"/>
  <c r="U197" i="53"/>
  <c r="U211" i="53"/>
  <c r="U219" i="53"/>
  <c r="U227" i="53"/>
  <c r="U235" i="53"/>
  <c r="U243" i="53"/>
  <c r="U251" i="53"/>
  <c r="U259" i="53"/>
  <c r="U32" i="53"/>
  <c r="U34" i="53"/>
  <c r="U36" i="53"/>
  <c r="U38" i="53"/>
  <c r="U40" i="53"/>
  <c r="U42" i="53"/>
  <c r="U44" i="53"/>
  <c r="U46" i="53"/>
  <c r="U48" i="53"/>
  <c r="U50" i="53"/>
  <c r="U52" i="53"/>
  <c r="U54" i="53"/>
  <c r="U56" i="53"/>
  <c r="U58" i="53"/>
  <c r="U60" i="53"/>
  <c r="U62" i="53"/>
  <c r="U64" i="53"/>
  <c r="U66" i="53"/>
  <c r="U68" i="53"/>
  <c r="U70" i="53"/>
  <c r="U72" i="53"/>
  <c r="U74" i="53"/>
  <c r="U76" i="53"/>
  <c r="U78" i="53"/>
  <c r="U80" i="53"/>
  <c r="U82" i="53"/>
  <c r="U84" i="53"/>
  <c r="U86" i="53"/>
  <c r="U88" i="53"/>
  <c r="U90" i="53"/>
  <c r="U92" i="53"/>
  <c r="U94" i="53"/>
  <c r="U96" i="53"/>
  <c r="U98" i="53"/>
  <c r="U100" i="53"/>
  <c r="U102" i="53"/>
  <c r="U104" i="53"/>
  <c r="U106" i="53"/>
  <c r="U108" i="53"/>
  <c r="U110" i="53"/>
  <c r="U112" i="53"/>
  <c r="U114" i="53"/>
  <c r="U116" i="53"/>
  <c r="U118" i="53"/>
  <c r="U120" i="53"/>
  <c r="U122" i="53"/>
  <c r="U124" i="53"/>
  <c r="U126" i="53"/>
  <c r="U128" i="53"/>
  <c r="U130" i="53"/>
  <c r="U132" i="53"/>
  <c r="U134" i="53"/>
  <c r="U136" i="53"/>
  <c r="U138" i="53"/>
  <c r="U140" i="53"/>
  <c r="U142" i="53"/>
  <c r="U144" i="53"/>
  <c r="U146" i="53"/>
  <c r="U148" i="53"/>
  <c r="U150" i="53"/>
  <c r="U152" i="53"/>
  <c r="U154" i="53"/>
  <c r="U156" i="53"/>
  <c r="U158" i="53"/>
  <c r="U160" i="53"/>
  <c r="U162" i="53"/>
  <c r="U164" i="53"/>
  <c r="U166" i="53"/>
  <c r="U168" i="53"/>
  <c r="U170" i="53"/>
  <c r="U172" i="53"/>
  <c r="U174" i="53"/>
  <c r="U176" i="53"/>
  <c r="U178" i="53"/>
  <c r="U180" i="53"/>
  <c r="U182" i="53"/>
  <c r="U184" i="53"/>
  <c r="U186" i="53"/>
  <c r="U188" i="53"/>
  <c r="U190" i="53"/>
  <c r="U192" i="53"/>
  <c r="U194" i="53"/>
  <c r="U196" i="53"/>
  <c r="U198" i="53"/>
  <c r="U200" i="53"/>
  <c r="U202" i="53"/>
  <c r="U204" i="53"/>
  <c r="U206" i="53"/>
  <c r="U208" i="53"/>
  <c r="U210" i="53"/>
  <c r="U212" i="53"/>
  <c r="U214" i="53"/>
  <c r="U216" i="53"/>
  <c r="U218" i="53"/>
  <c r="U220" i="53"/>
  <c r="U222" i="53"/>
  <c r="U224" i="53"/>
  <c r="U226" i="53"/>
  <c r="U228" i="53"/>
  <c r="U230" i="53"/>
  <c r="U232" i="53"/>
  <c r="U234" i="53"/>
  <c r="U236" i="53"/>
  <c r="U238" i="53"/>
  <c r="U240" i="53"/>
  <c r="U242" i="53"/>
  <c r="U244" i="53"/>
  <c r="U246" i="53"/>
  <c r="U248" i="53"/>
  <c r="U250" i="53"/>
  <c r="U252" i="53"/>
  <c r="U254" i="53"/>
  <c r="U256" i="53"/>
  <c r="U258" i="53"/>
  <c r="U260" i="53"/>
  <c r="U262" i="53"/>
  <c r="U125" i="53"/>
  <c r="U67" i="53"/>
  <c r="U24" i="53"/>
  <c r="U14" i="53"/>
  <c r="U9" i="53"/>
  <c r="U107" i="53"/>
  <c r="U195" i="53"/>
  <c r="U29" i="53"/>
  <c r="U241" i="53"/>
  <c r="U173" i="53"/>
  <c r="U63" i="53"/>
  <c r="U4" i="53"/>
  <c r="U191" i="53"/>
  <c r="U35" i="53"/>
  <c r="U115" i="53"/>
  <c r="U129" i="53"/>
  <c r="U187" i="53"/>
  <c r="BQ49" i="54"/>
  <c r="BQ51" i="54"/>
  <c r="BQ21" i="54"/>
  <c r="BQ9" i="54"/>
  <c r="BQ10" i="54"/>
  <c r="BQ25" i="54"/>
  <c r="BQ33" i="54"/>
  <c r="BQ16" i="54"/>
  <c r="BQ29" i="54"/>
  <c r="BQ30" i="54"/>
  <c r="BQ12" i="54"/>
  <c r="BQ44" i="54"/>
  <c r="BQ19" i="54"/>
  <c r="BQ31" i="54"/>
  <c r="BQ7" i="54"/>
  <c r="BQ6" i="54"/>
  <c r="BQ13" i="54"/>
  <c r="BQ20" i="54"/>
  <c r="BQ11" i="54"/>
  <c r="BQ37" i="54"/>
  <c r="BQ15" i="54"/>
  <c r="BQ17" i="54"/>
  <c r="BQ18" i="54"/>
  <c r="BQ41" i="54"/>
  <c r="BQ70" i="54"/>
  <c r="BQ52" i="54"/>
  <c r="BQ57" i="54"/>
  <c r="BQ58" i="54"/>
  <c r="BQ24" i="54"/>
  <c r="BQ26" i="54"/>
  <c r="BQ38" i="54"/>
  <c r="BQ43" i="54"/>
  <c r="BQ45" i="54"/>
  <c r="BQ55" i="54"/>
  <c r="BQ68" i="54"/>
  <c r="BQ23" i="54"/>
  <c r="BQ32" i="54"/>
  <c r="BQ35" i="54"/>
  <c r="BQ42" i="54"/>
  <c r="BQ61" i="54"/>
  <c r="BQ8" i="54"/>
  <c r="BQ14" i="54"/>
  <c r="BQ22" i="54"/>
  <c r="BQ27" i="54"/>
  <c r="BQ28" i="54"/>
  <c r="BQ34" i="54"/>
  <c r="BQ39" i="54"/>
  <c r="BQ47" i="54"/>
  <c r="BQ53" i="54"/>
  <c r="BQ62" i="54"/>
  <c r="BQ67" i="54"/>
  <c r="BQ60" i="54"/>
  <c r="BQ65" i="54"/>
  <c r="BQ36" i="54"/>
  <c r="BQ40" i="54"/>
  <c r="BQ46" i="54"/>
  <c r="BQ48" i="54"/>
  <c r="BQ50" i="54"/>
  <c r="BQ54" i="54"/>
  <c r="BQ59" i="54"/>
  <c r="BQ63" i="54"/>
  <c r="BQ66" i="54"/>
  <c r="BQ56" i="54"/>
  <c r="BQ64" i="54"/>
  <c r="BQ69" i="54"/>
  <c r="BQ72" i="54"/>
  <c r="BQ71" i="54"/>
  <c r="AR14" i="54" a="1"/>
  <c r="AR14" i="54"/>
  <c r="AR15" i="54"/>
  <c r="AR16" i="54"/>
  <c r="AF5" i="54" a="1"/>
  <c r="AF6" i="54"/>
  <c r="AF5" i="54"/>
  <c r="AL5" i="54" a="1"/>
  <c r="AM5" i="54" s="1"/>
  <c r="AK19" i="54" a="1"/>
  <c r="AL5" i="54" l="1"/>
  <c r="AM6" i="54"/>
  <c r="AL6" i="54"/>
  <c r="AK20" i="54"/>
  <c r="AK21" i="54"/>
  <c r="AK19" i="54"/>
  <c r="AE19" i="54" a="1"/>
  <c r="AE20" i="54"/>
  <c r="AE21" i="54"/>
  <c r="AE19" i="54"/>
  <c r="AK14" i="54" a="1"/>
  <c r="AK16" i="54"/>
  <c r="AK14" i="54"/>
  <c r="AK15" i="54"/>
  <c r="AE14" i="54" a="1"/>
  <c r="AE16" i="54"/>
  <c r="AE14" i="54"/>
  <c r="AE15" i="54"/>
  <c r="AR19" i="54" a="1"/>
  <c r="AR19" i="54"/>
  <c r="AR20" i="54"/>
  <c r="AR21" i="54"/>
  <c r="AS14" i="54" a="1"/>
  <c r="AS14" i="54"/>
  <c r="AS15" i="54"/>
  <c r="AS16" i="54"/>
  <c r="AQ19" i="54" a="1"/>
  <c r="AQ19" i="54"/>
  <c r="AQ20" i="54"/>
  <c r="AQ21" i="54"/>
  <c r="AS5" i="54" a="1"/>
  <c r="AS6" i="54"/>
  <c r="AS5" i="54"/>
  <c r="AQ14" i="54" a="1"/>
  <c r="AQ14" i="54"/>
  <c r="AQ15" i="54"/>
  <c r="AQ16" i="54"/>
  <c r="AF19" i="54" a="1"/>
  <c r="AX14" i="54" l="1" a="1"/>
  <c r="AY14" i="54" s="1"/>
  <c r="AF19" i="54"/>
  <c r="AF20" i="54"/>
  <c r="AF21" i="54"/>
  <c r="AK9" i="54" a="1"/>
  <c r="AZ15" i="54" l="1"/>
  <c r="AZ16" i="54"/>
  <c r="AZ14" i="54"/>
  <c r="AY16" i="54"/>
  <c r="AX15" i="54"/>
  <c r="AX16" i="54"/>
  <c r="AY15" i="54"/>
  <c r="AX14" i="54"/>
  <c r="AL19" i="54" a="1"/>
  <c r="AL21" i="54" s="1"/>
  <c r="AK9" i="54"/>
  <c r="AK10" i="54"/>
  <c r="AM20" i="54" l="1"/>
  <c r="AL20" i="54"/>
  <c r="AM21" i="54"/>
  <c r="AN21" i="54"/>
  <c r="AN20" i="54"/>
  <c r="AM19" i="54"/>
  <c r="AN19" i="54"/>
  <c r="AL19" i="54"/>
  <c r="AI19" i="54" s="1" a="1"/>
  <c r="AW14" i="54" a="1"/>
  <c r="AI19" i="54" l="1"/>
  <c r="T30" i="54" s="1"/>
  <c r="AI20" i="54"/>
  <c r="T29" i="54" s="1"/>
  <c r="AI21" i="54"/>
  <c r="T28" i="54" s="1"/>
  <c r="AW14" i="54"/>
  <c r="AW15" i="54"/>
  <c r="AW16" i="54"/>
  <c r="AF9" i="54" a="1"/>
  <c r="AU14" i="54" l="1" a="1"/>
  <c r="AU14" i="54" s="1"/>
  <c r="V30" i="54" s="1"/>
  <c r="T35" i="54"/>
  <c r="BH5" i="54" s="1"/>
  <c r="AF9" i="54"/>
  <c r="AU16" i="54" l="1"/>
  <c r="V28" i="54" s="1"/>
  <c r="V35" i="54" s="1"/>
  <c r="BJ5" i="54" s="1"/>
  <c r="AU15" i="54"/>
  <c r="V29" i="54" s="1"/>
  <c r="AF10" i="54"/>
  <c r="AL9" i="54" s="1" a="1"/>
  <c r="AS19" i="54" a="1"/>
  <c r="AL10" i="54" l="1"/>
  <c r="AL9" i="54"/>
  <c r="AM10" i="54"/>
  <c r="AM9" i="54"/>
  <c r="AS19" i="54"/>
  <c r="AS20" i="54"/>
  <c r="AS21" i="54"/>
  <c r="AS9" i="54" a="1"/>
  <c r="AX19" i="54" l="1" a="1"/>
  <c r="AI9" i="54" a="1"/>
  <c r="AS10" i="54"/>
  <c r="AS9" i="54"/>
  <c r="AF14" i="54" a="1"/>
  <c r="AI10" i="54" l="1"/>
  <c r="S28" i="54" s="1"/>
  <c r="AI9" i="54"/>
  <c r="S29" i="54" s="1"/>
  <c r="AZ21" i="54"/>
  <c r="AY20" i="54"/>
  <c r="AX19" i="54"/>
  <c r="AZ20" i="54"/>
  <c r="AX21" i="54"/>
  <c r="AX20" i="54"/>
  <c r="AY19" i="54"/>
  <c r="AZ19" i="54"/>
  <c r="AY21" i="54"/>
  <c r="AF14" i="54"/>
  <c r="AF15" i="54"/>
  <c r="AF16" i="54"/>
  <c r="AK5" i="54" a="1"/>
  <c r="AL14" i="54" l="1" a="1"/>
  <c r="S35" i="54"/>
  <c r="BG5" i="54" s="1"/>
  <c r="AK5" i="54"/>
  <c r="AK6" i="54"/>
  <c r="AW19" i="54" a="1"/>
  <c r="AI5" i="54" l="1" a="1"/>
  <c r="AI6" i="54" s="1"/>
  <c r="G28" i="54" s="1"/>
  <c r="AN14" i="54"/>
  <c r="AL16" i="54"/>
  <c r="AL15" i="54"/>
  <c r="AM16" i="54"/>
  <c r="AM15" i="54"/>
  <c r="AN16" i="54"/>
  <c r="AN15" i="54"/>
  <c r="AL14" i="54"/>
  <c r="AM14" i="54"/>
  <c r="AW19" i="54"/>
  <c r="AW20" i="54"/>
  <c r="AW21" i="54"/>
  <c r="AW9" i="54" a="1"/>
  <c r="AI5" i="54" l="1"/>
  <c r="G29" i="54" s="1"/>
  <c r="AU19" i="54" a="1"/>
  <c r="AI14" i="54" a="1"/>
  <c r="G35" i="54"/>
  <c r="BE5" i="54" s="1"/>
  <c r="AW10" i="54"/>
  <c r="AW9" i="54"/>
  <c r="AI15" i="54" l="1"/>
  <c r="H29" i="54" s="1"/>
  <c r="AI14" i="54"/>
  <c r="H30" i="54" s="1"/>
  <c r="AI16" i="54"/>
  <c r="H28" i="54" s="1"/>
  <c r="AU21" i="54"/>
  <c r="X28" i="54" s="1"/>
  <c r="AU19" i="54"/>
  <c r="X30" i="54" s="1"/>
  <c r="AU20" i="54"/>
  <c r="X29" i="54" s="1"/>
  <c r="BJ1" i="54"/>
  <c r="BL1" i="54"/>
  <c r="BL32" i="54"/>
  <c r="BL25" i="54"/>
  <c r="BL59" i="54"/>
  <c r="BJ60" i="54"/>
  <c r="BJ52" i="54"/>
  <c r="BJ55" i="54"/>
  <c r="BJ15" i="54"/>
  <c r="BJ12" i="54"/>
  <c r="BJ9" i="54"/>
  <c r="BJ27" i="54"/>
  <c r="BJ19" i="54"/>
  <c r="BJ35" i="54"/>
  <c r="BJ10" i="54"/>
  <c r="BJ21" i="54"/>
  <c r="BJ36" i="54"/>
  <c r="BJ18" i="54"/>
  <c r="BJ20" i="54"/>
  <c r="BJ22" i="54"/>
  <c r="BJ25" i="54"/>
  <c r="BJ32" i="54"/>
  <c r="BJ39" i="54"/>
  <c r="BJ57" i="54"/>
  <c r="BJ17" i="54"/>
  <c r="BJ50" i="54"/>
  <c r="BJ13" i="54"/>
  <c r="BJ44" i="54"/>
  <c r="BJ47" i="54"/>
  <c r="BJ72" i="54"/>
  <c r="BJ65" i="54"/>
  <c r="BJ59" i="54"/>
  <c r="BJ70" i="54"/>
  <c r="BJ66" i="54"/>
  <c r="BJ67" i="54"/>
  <c r="BJ71" i="54"/>
  <c r="BJ68" i="54"/>
  <c r="BJ62" i="54"/>
  <c r="BJ53" i="54"/>
  <c r="BJ43" i="54"/>
  <c r="BJ34" i="54"/>
  <c r="BJ69" i="54"/>
  <c r="BJ51" i="54"/>
  <c r="BJ48" i="54"/>
  <c r="BJ38" i="54"/>
  <c r="BJ23" i="54"/>
  <c r="BJ7" i="54"/>
  <c r="BJ54" i="54"/>
  <c r="BJ41" i="54"/>
  <c r="BJ30" i="54"/>
  <c r="BJ26" i="54"/>
  <c r="BJ24" i="54"/>
  <c r="BJ49" i="54"/>
  <c r="BJ46" i="54"/>
  <c r="BJ37" i="54"/>
  <c r="BJ33" i="54"/>
  <c r="BJ29" i="54"/>
  <c r="BJ64" i="54"/>
  <c r="BJ56" i="54"/>
  <c r="BJ42" i="54"/>
  <c r="BJ40" i="54"/>
  <c r="BJ31" i="54"/>
  <c r="BJ28" i="54"/>
  <c r="BJ11" i="54"/>
  <c r="BL8" i="54"/>
  <c r="BL24" i="54"/>
  <c r="BL52" i="54"/>
  <c r="BL6" i="54"/>
  <c r="BL12" i="54"/>
  <c r="BL50" i="54"/>
  <c r="BL60" i="54"/>
  <c r="BL28" i="54"/>
  <c r="BL48" i="54"/>
  <c r="BL16" i="54"/>
  <c r="BL69" i="54"/>
  <c r="BL20" i="54"/>
  <c r="BL35" i="54"/>
  <c r="BL23" i="54"/>
  <c r="BL14" i="54"/>
  <c r="BL15" i="54"/>
  <c r="BL26" i="54"/>
  <c r="BL27" i="54"/>
  <c r="BL55" i="54"/>
  <c r="BL19" i="54"/>
  <c r="BL67" i="54"/>
  <c r="BL57" i="54"/>
  <c r="BL43" i="54"/>
  <c r="BL68" i="54"/>
  <c r="BL71" i="54"/>
  <c r="BL61" i="54"/>
  <c r="BL70" i="54"/>
  <c r="BL64" i="54"/>
  <c r="BL51" i="54"/>
  <c r="BL49" i="54"/>
  <c r="BL47" i="54"/>
  <c r="BL45" i="54"/>
  <c r="BL30" i="54"/>
  <c r="BL58" i="54"/>
  <c r="BL54" i="54"/>
  <c r="BL46" i="54"/>
  <c r="BL41" i="54"/>
  <c r="BL33" i="54"/>
  <c r="BL29" i="54"/>
  <c r="BL56" i="54"/>
  <c r="BL44" i="54"/>
  <c r="BL37" i="54"/>
  <c r="BL18" i="54"/>
  <c r="BL66" i="54"/>
  <c r="BL65" i="54"/>
  <c r="BL63" i="54"/>
  <c r="BL40" i="54"/>
  <c r="BL31" i="54"/>
  <c r="BL17" i="54"/>
  <c r="BL13" i="54"/>
  <c r="BL9" i="54"/>
  <c r="BL62" i="54"/>
  <c r="BL72" i="54"/>
  <c r="BL38" i="54"/>
  <c r="BL36" i="54"/>
  <c r="BL34" i="54"/>
  <c r="BL21" i="54"/>
  <c r="BL10" i="54"/>
  <c r="BL7" i="54"/>
  <c r="AB35" i="54" l="1"/>
  <c r="BP5" i="54" s="1"/>
  <c r="X35" i="54"/>
  <c r="BL5" i="54" s="1"/>
  <c r="H35" i="54"/>
  <c r="BF5" i="54" s="1"/>
  <c r="AA35" i="54"/>
  <c r="BO5" i="54" s="1"/>
  <c r="BJ16" i="54"/>
  <c r="AW5" i="54" a="1"/>
  <c r="AW5" i="54"/>
  <c r="AW6" i="54"/>
  <c r="BL42" i="54"/>
  <c r="AR9" i="54" a="1"/>
  <c r="AR9" i="54"/>
  <c r="AR10" i="54"/>
  <c r="BJ14" i="54"/>
  <c r="BJ63" i="54"/>
  <c r="BJ61" i="54"/>
  <c r="BJ58" i="54"/>
  <c r="BL53" i="54"/>
  <c r="BJ45" i="54"/>
  <c r="BL39" i="54"/>
  <c r="BL22" i="54"/>
  <c r="BL11" i="54"/>
  <c r="BJ8" i="54"/>
  <c r="BJ6" i="54"/>
  <c r="AR5" i="54" a="1"/>
  <c r="AX9" i="54" l="1" a="1"/>
  <c r="AY9" i="54" s="1"/>
  <c r="AR5" i="54"/>
  <c r="AX5" i="54" a="1"/>
  <c r="AX6" i="54" s="1"/>
  <c r="AR6" i="54"/>
  <c r="S27" i="54"/>
  <c r="S48" i="54"/>
  <c r="S45" i="54"/>
  <c r="S42" i="54"/>
  <c r="S46" i="54"/>
  <c r="S40" i="54"/>
  <c r="S36" i="54"/>
  <c r="S39" i="54"/>
  <c r="S37" i="54"/>
  <c r="S41" i="54"/>
  <c r="S47" i="54"/>
  <c r="BG1" i="54"/>
  <c r="BG68" i="54"/>
  <c r="BG24" i="54"/>
  <c r="BG26" i="54"/>
  <c r="BG47" i="54"/>
  <c r="BG37" i="54"/>
  <c r="BG56" i="54"/>
  <c r="BG18" i="54"/>
  <c r="BG30" i="54"/>
  <c r="BG38" i="54"/>
  <c r="BG40" i="54"/>
  <c r="BG61" i="54"/>
  <c r="BG13" i="54"/>
  <c r="BG41" i="54"/>
  <c r="BG53" i="54"/>
  <c r="BG63" i="54"/>
  <c r="BG67" i="54"/>
  <c r="BG9" i="54"/>
  <c r="BG7" i="54"/>
  <c r="BG36" i="54"/>
  <c r="BG31" i="54"/>
  <c r="BG49" i="54"/>
  <c r="BG6" i="54"/>
  <c r="BG17" i="54"/>
  <c r="BG23" i="54"/>
  <c r="BG66" i="54"/>
  <c r="BG51" i="54"/>
  <c r="BG71" i="54"/>
  <c r="BG8" i="54"/>
  <c r="BG14" i="54"/>
  <c r="BG22" i="54"/>
  <c r="BG32" i="54"/>
  <c r="BG42" i="54"/>
  <c r="BG43" i="54"/>
  <c r="BG57" i="54"/>
  <c r="BG15" i="54"/>
  <c r="BG19" i="54"/>
  <c r="BG21" i="54"/>
  <c r="BG27" i="54"/>
  <c r="BG28" i="54"/>
  <c r="BG34" i="54"/>
  <c r="BG45" i="54"/>
  <c r="BG11" i="54"/>
  <c r="BG10" i="54"/>
  <c r="BG12" i="54"/>
  <c r="BG16" i="54"/>
  <c r="BG20" i="54"/>
  <c r="BG25" i="54"/>
  <c r="BG59" i="54"/>
  <c r="BG46" i="54"/>
  <c r="BG48" i="54"/>
  <c r="BG50" i="54"/>
  <c r="BG54" i="54"/>
  <c r="BG60" i="54"/>
  <c r="BG70" i="54"/>
  <c r="BG29" i="54"/>
  <c r="BG33" i="54"/>
  <c r="BG35" i="54"/>
  <c r="BG39" i="54"/>
  <c r="BG44" i="54"/>
  <c r="BG55" i="54"/>
  <c r="BG65" i="54"/>
  <c r="BG64" i="54"/>
  <c r="BG72" i="54"/>
  <c r="BG52" i="54"/>
  <c r="BG58" i="54"/>
  <c r="BG62" i="54"/>
  <c r="BG69" i="54"/>
  <c r="S38" i="54"/>
  <c r="S44" i="54"/>
  <c r="S43" i="54"/>
  <c r="V27" i="54"/>
  <c r="V42" i="54"/>
  <c r="V46" i="54"/>
  <c r="V44" i="54"/>
  <c r="V38" i="54"/>
  <c r="V43" i="54"/>
  <c r="V39" i="54"/>
  <c r="V36" i="54"/>
  <c r="V48" i="54"/>
  <c r="V40" i="54"/>
  <c r="V37" i="54"/>
  <c r="V41" i="54"/>
  <c r="V45" i="54"/>
  <c r="V47" i="54"/>
  <c r="T27" i="54"/>
  <c r="T48" i="54"/>
  <c r="T44" i="54"/>
  <c r="T39" i="54"/>
  <c r="BH1" i="54"/>
  <c r="BH13" i="54"/>
  <c r="BH62" i="54"/>
  <c r="BH9" i="54"/>
  <c r="BH64" i="54"/>
  <c r="BH24" i="54"/>
  <c r="BH68" i="54"/>
  <c r="BH31" i="54"/>
  <c r="BH37" i="54"/>
  <c r="BH49" i="54"/>
  <c r="BH56" i="54"/>
  <c r="BH20" i="54"/>
  <c r="BH44" i="54"/>
  <c r="BH47" i="54"/>
  <c r="BH10" i="54"/>
  <c r="BH25" i="54"/>
  <c r="BH36" i="54"/>
  <c r="BH6" i="54"/>
  <c r="BH16" i="54"/>
  <c r="BH30" i="54"/>
  <c r="BH33" i="54"/>
  <c r="BH40" i="54"/>
  <c r="BH61" i="54"/>
  <c r="BH26" i="54"/>
  <c r="BH29" i="54"/>
  <c r="BH7" i="54"/>
  <c r="BH17" i="54"/>
  <c r="BH18" i="54"/>
  <c r="BH8" i="54"/>
  <c r="BH12" i="54"/>
  <c r="BH41" i="54"/>
  <c r="BH67" i="54"/>
  <c r="BH66" i="54"/>
  <c r="BH23" i="54"/>
  <c r="BH38" i="54"/>
  <c r="BH51" i="54"/>
  <c r="BH14" i="54"/>
  <c r="BH22" i="54"/>
  <c r="BH32" i="54"/>
  <c r="BH35" i="54"/>
  <c r="BH42" i="54"/>
  <c r="BH43" i="54"/>
  <c r="BH52" i="54"/>
  <c r="BH57" i="54"/>
  <c r="BH11" i="54"/>
  <c r="BH15" i="54"/>
  <c r="BH19" i="54"/>
  <c r="BH21" i="54"/>
  <c r="BH27" i="54"/>
  <c r="BH28" i="54"/>
  <c r="BH34" i="54"/>
  <c r="BH39" i="54"/>
  <c r="BH45" i="54"/>
  <c r="BH55" i="54"/>
  <c r="BH58" i="54"/>
  <c r="BH71" i="54"/>
  <c r="BH46" i="54"/>
  <c r="BH48" i="54"/>
  <c r="BH50" i="54"/>
  <c r="BH54" i="54"/>
  <c r="BH60" i="54"/>
  <c r="BH59" i="54"/>
  <c r="BH65" i="54"/>
  <c r="BH53" i="54"/>
  <c r="BH63" i="54"/>
  <c r="BH69" i="54"/>
  <c r="BH72" i="54"/>
  <c r="BH70" i="54"/>
  <c r="T42" i="54"/>
  <c r="T43" i="54"/>
  <c r="T46" i="54"/>
  <c r="T38" i="54"/>
  <c r="T45" i="54"/>
  <c r="T37" i="54"/>
  <c r="T41" i="54"/>
  <c r="T47" i="54"/>
  <c r="T36" i="54"/>
  <c r="T40" i="54"/>
  <c r="AB27" i="54"/>
  <c r="AB47" i="54"/>
  <c r="AB39" i="54"/>
  <c r="AB42" i="54"/>
  <c r="BP1" i="54"/>
  <c r="BP36" i="54"/>
  <c r="BP57" i="54"/>
  <c r="BP38" i="54"/>
  <c r="BP58" i="54"/>
  <c r="BP18" i="54"/>
  <c r="BP41" i="54"/>
  <c r="BP10" i="54"/>
  <c r="BP31" i="54"/>
  <c r="BP30" i="54"/>
  <c r="BP7" i="54"/>
  <c r="BP16" i="54"/>
  <c r="BP45" i="54"/>
  <c r="BP12" i="54"/>
  <c r="BP37" i="54"/>
  <c r="BP40" i="54"/>
  <c r="BP17" i="54"/>
  <c r="BP6" i="54"/>
  <c r="BP24" i="54"/>
  <c r="BP56" i="54"/>
  <c r="BP25" i="54"/>
  <c r="BP33" i="54"/>
  <c r="BP43" i="54"/>
  <c r="BP8" i="54"/>
  <c r="BP9" i="54"/>
  <c r="BP13" i="54"/>
  <c r="BP20" i="54"/>
  <c r="BP26" i="54"/>
  <c r="BP29" i="54"/>
  <c r="BP49" i="54"/>
  <c r="BP51" i="54"/>
  <c r="BP68" i="54"/>
  <c r="BP23" i="54"/>
  <c r="BP32" i="54"/>
  <c r="BP35" i="54"/>
  <c r="BP42" i="54"/>
  <c r="BP61" i="54"/>
  <c r="BP14" i="54"/>
  <c r="BP22" i="54"/>
  <c r="BP27" i="54"/>
  <c r="BP28" i="54"/>
  <c r="BP34" i="54"/>
  <c r="BP39" i="54"/>
  <c r="BP47" i="54"/>
  <c r="BP60" i="54"/>
  <c r="BP62" i="54"/>
  <c r="BP67" i="54"/>
  <c r="BP11" i="54"/>
  <c r="BP15" i="54"/>
  <c r="BP19" i="54"/>
  <c r="BP21" i="54"/>
  <c r="BP64" i="54"/>
  <c r="BP66" i="54"/>
  <c r="BP71" i="54"/>
  <c r="BP46" i="54"/>
  <c r="BP48" i="54"/>
  <c r="BP50" i="54"/>
  <c r="BP54" i="54"/>
  <c r="BP44" i="54"/>
  <c r="BP52" i="54"/>
  <c r="BP55" i="54"/>
  <c r="BP59" i="54"/>
  <c r="BP65" i="54"/>
  <c r="BP69" i="54"/>
  <c r="BP72" i="54"/>
  <c r="BP53" i="54"/>
  <c r="BP63" i="54"/>
  <c r="BP70" i="54"/>
  <c r="AB48" i="54"/>
  <c r="AB45" i="54"/>
  <c r="AB37" i="54"/>
  <c r="AB44" i="54"/>
  <c r="AB41" i="54"/>
  <c r="AB46" i="54"/>
  <c r="AB38" i="54"/>
  <c r="AB36" i="54"/>
  <c r="AB40" i="54"/>
  <c r="AB43" i="54"/>
  <c r="AA27" i="54"/>
  <c r="AA36" i="54"/>
  <c r="AA39" i="54"/>
  <c r="AA43" i="54"/>
  <c r="AA37" i="54"/>
  <c r="AA40" i="54"/>
  <c r="AA45" i="54"/>
  <c r="AA44" i="54"/>
  <c r="AA47" i="54"/>
  <c r="AA41" i="54"/>
  <c r="AA38" i="54"/>
  <c r="BO1" i="54"/>
  <c r="BO37" i="54"/>
  <c r="BO46" i="54"/>
  <c r="BO57" i="54"/>
  <c r="BO54" i="54"/>
  <c r="BO17" i="54"/>
  <c r="BO38" i="54"/>
  <c r="BO40" i="54"/>
  <c r="BO43" i="54"/>
  <c r="BO7" i="54"/>
  <c r="BO32" i="54"/>
  <c r="BO23" i="54"/>
  <c r="BO18" i="54"/>
  <c r="BO48" i="54"/>
  <c r="BO26" i="54"/>
  <c r="BO51" i="54"/>
  <c r="BO70" i="54"/>
  <c r="BO30" i="54"/>
  <c r="BO65" i="54"/>
  <c r="BO41" i="54"/>
  <c r="BO45" i="54"/>
  <c r="BO42" i="54"/>
  <c r="BO6" i="54"/>
  <c r="BO24" i="54"/>
  <c r="BO9" i="54"/>
  <c r="BO13" i="54"/>
  <c r="BO68" i="54"/>
  <c r="BO8" i="54"/>
  <c r="BO14" i="54"/>
  <c r="BO22" i="54"/>
  <c r="BO27" i="54"/>
  <c r="BO28" i="54"/>
  <c r="BO34" i="54"/>
  <c r="BO47" i="54"/>
  <c r="BO50" i="54"/>
  <c r="BO60" i="54"/>
  <c r="BO67" i="54"/>
  <c r="BO11" i="54"/>
  <c r="BO15" i="54"/>
  <c r="BO19" i="54"/>
  <c r="BO21" i="54"/>
  <c r="BO53" i="54"/>
  <c r="BO71" i="54"/>
  <c r="BO10" i="54"/>
  <c r="BO12" i="54"/>
  <c r="BO16" i="54"/>
  <c r="BO20" i="54"/>
  <c r="BO25" i="54"/>
  <c r="BO31" i="54"/>
  <c r="BO36" i="54"/>
  <c r="BO49" i="54"/>
  <c r="BO56" i="54"/>
  <c r="BO44" i="54"/>
  <c r="BO55" i="54"/>
  <c r="BO59" i="54"/>
  <c r="BO63" i="54"/>
  <c r="BO29" i="54"/>
  <c r="BO33" i="54"/>
  <c r="BO35" i="54"/>
  <c r="BO39" i="54"/>
  <c r="BO61" i="54"/>
  <c r="BO66" i="54"/>
  <c r="BO64" i="54"/>
  <c r="BO72" i="54"/>
  <c r="BO52" i="54"/>
  <c r="BO58" i="54"/>
  <c r="BO62" i="54"/>
  <c r="BO69" i="54"/>
  <c r="AA42" i="54"/>
  <c r="AA46" i="54"/>
  <c r="AA48" i="54"/>
  <c r="X27" i="54"/>
  <c r="X47" i="54"/>
  <c r="X41" i="54"/>
  <c r="X37" i="54"/>
  <c r="X40" i="54"/>
  <c r="X43" i="54"/>
  <c r="X46" i="54"/>
  <c r="X39" i="54"/>
  <c r="X36" i="54"/>
  <c r="X45" i="54"/>
  <c r="X48" i="54"/>
  <c r="X44" i="54"/>
  <c r="X38" i="54"/>
  <c r="X42" i="54"/>
  <c r="G27" i="54"/>
  <c r="G45" i="54"/>
  <c r="BE1" i="54"/>
  <c r="BE54" i="54"/>
  <c r="BE29" i="54"/>
  <c r="BE64" i="54"/>
  <c r="BE66" i="54"/>
  <c r="BE72" i="54"/>
  <c r="BE30" i="54"/>
  <c r="BE41" i="54"/>
  <c r="BE37" i="54"/>
  <c r="BE6" i="54"/>
  <c r="BE49" i="54"/>
  <c r="BE67" i="54"/>
  <c r="BE23" i="54"/>
  <c r="BE32" i="54"/>
  <c r="BE46" i="54"/>
  <c r="BE57" i="54"/>
  <c r="BE7" i="54"/>
  <c r="BE21" i="54"/>
  <c r="BE34" i="54"/>
  <c r="BE8" i="54"/>
  <c r="BE14" i="54"/>
  <c r="BE24" i="54"/>
  <c r="BE27" i="54"/>
  <c r="BE19" i="54"/>
  <c r="BE35" i="54"/>
  <c r="BE11" i="54"/>
  <c r="BE22" i="54"/>
  <c r="BE33" i="54"/>
  <c r="BE43" i="54"/>
  <c r="BE51" i="54"/>
  <c r="BE15" i="54"/>
  <c r="BE9" i="54"/>
  <c r="BE26" i="54"/>
  <c r="BE65" i="54"/>
  <c r="BE10" i="54"/>
  <c r="BE12" i="54"/>
  <c r="BE16" i="54"/>
  <c r="BE20" i="54"/>
  <c r="BE25" i="54"/>
  <c r="BE28" i="54"/>
  <c r="BE39" i="54"/>
  <c r="BE45" i="54"/>
  <c r="BE48" i="54"/>
  <c r="BE70" i="54"/>
  <c r="BE17" i="54"/>
  <c r="BE36" i="54"/>
  <c r="BE13" i="54"/>
  <c r="BE18" i="54"/>
  <c r="BE40" i="54"/>
  <c r="BE47" i="54"/>
  <c r="BE50" i="54"/>
  <c r="BE53" i="54"/>
  <c r="BE61" i="54"/>
  <c r="BE52" i="54"/>
  <c r="BE55" i="54"/>
  <c r="BE59" i="54"/>
  <c r="BE31" i="54"/>
  <c r="BE38" i="54"/>
  <c r="BE42" i="54"/>
  <c r="BE56" i="54"/>
  <c r="BE63" i="54"/>
  <c r="BE58" i="54"/>
  <c r="BE62" i="54"/>
  <c r="BE69" i="54"/>
  <c r="BE44" i="54"/>
  <c r="BE60" i="54"/>
  <c r="BE68" i="54"/>
  <c r="BE71" i="54"/>
  <c r="G39" i="54"/>
  <c r="G41" i="54"/>
  <c r="G37" i="54"/>
  <c r="G36" i="54"/>
  <c r="G40" i="54"/>
  <c r="G43" i="54"/>
  <c r="G38" i="54"/>
  <c r="G47" i="54"/>
  <c r="G42" i="54"/>
  <c r="G46" i="54"/>
  <c r="G48" i="54"/>
  <c r="G44" i="54"/>
  <c r="H27" i="54"/>
  <c r="H36" i="54"/>
  <c r="H37" i="54"/>
  <c r="H40" i="54"/>
  <c r="H43" i="54"/>
  <c r="BF1" i="54"/>
  <c r="BF62" i="54"/>
  <c r="BF60" i="54"/>
  <c r="BF56" i="54"/>
  <c r="BF64" i="54"/>
  <c r="BF26" i="54"/>
  <c r="BF18" i="54"/>
  <c r="BF33" i="54"/>
  <c r="BF41" i="54"/>
  <c r="BF43" i="54"/>
  <c r="BF53" i="54"/>
  <c r="BF67" i="54"/>
  <c r="BF29" i="54"/>
  <c r="BF66" i="54"/>
  <c r="BF6" i="54"/>
  <c r="BF30" i="54"/>
  <c r="BF38" i="54"/>
  <c r="BF40" i="54"/>
  <c r="BF8" i="54"/>
  <c r="BF23" i="54"/>
  <c r="BF42" i="54"/>
  <c r="BF7" i="54"/>
  <c r="BF37" i="54"/>
  <c r="BF22" i="54"/>
  <c r="BF14" i="54"/>
  <c r="BF24" i="54"/>
  <c r="BF68" i="54"/>
  <c r="BF71" i="54"/>
  <c r="BF54" i="54"/>
  <c r="BF57" i="54"/>
  <c r="BF11" i="54"/>
  <c r="BF15" i="54"/>
  <c r="BF19" i="54"/>
  <c r="BF21" i="54"/>
  <c r="BF27" i="54"/>
  <c r="BF34" i="54"/>
  <c r="BF35" i="54"/>
  <c r="BF10" i="54"/>
  <c r="BF12" i="54"/>
  <c r="BF16" i="54"/>
  <c r="BF20" i="54"/>
  <c r="BF25" i="54"/>
  <c r="BF39" i="54"/>
  <c r="BF58" i="54"/>
  <c r="BF70" i="54"/>
  <c r="BF9" i="54"/>
  <c r="BF13" i="54"/>
  <c r="BF17" i="54"/>
  <c r="BF31" i="54"/>
  <c r="BF36" i="54"/>
  <c r="BF44" i="54"/>
  <c r="BF65" i="54"/>
  <c r="BF28" i="54"/>
  <c r="BF32" i="54"/>
  <c r="BF52" i="54"/>
  <c r="BF59" i="54"/>
  <c r="BF63" i="54"/>
  <c r="BF72" i="54"/>
  <c r="BF69" i="54"/>
  <c r="BF45" i="54"/>
  <c r="BF46" i="54"/>
  <c r="BF47" i="54"/>
  <c r="BF48" i="54"/>
  <c r="BF49" i="54"/>
  <c r="BF50" i="54"/>
  <c r="BF51" i="54"/>
  <c r="BF55" i="54"/>
  <c r="BF61" i="54"/>
  <c r="H41" i="54"/>
  <c r="H38" i="54"/>
  <c r="H44" i="54"/>
  <c r="H42" i="54"/>
  <c r="H39" i="54"/>
  <c r="H45" i="54"/>
  <c r="H46" i="54"/>
  <c r="H47" i="54"/>
  <c r="H48" i="54"/>
  <c r="AY10" i="54" l="1"/>
  <c r="AX9" i="54"/>
  <c r="AX10" i="54"/>
  <c r="AY5" i="54"/>
  <c r="AX5" i="54"/>
  <c r="AY6" i="54"/>
  <c r="AU5" i="54" s="1" a="1"/>
  <c r="AU9" i="54" a="1"/>
  <c r="AU6" i="54" l="1"/>
  <c r="U28" i="54" s="1"/>
  <c r="AU5" i="54"/>
  <c r="U29" i="54" s="1"/>
  <c r="AU10" i="54"/>
  <c r="W28" i="54" s="1"/>
  <c r="AU9" i="54"/>
  <c r="W29" i="54" s="1"/>
  <c r="BI1" i="54"/>
  <c r="U27" i="54"/>
  <c r="W27" i="54"/>
  <c r="BK1" i="54"/>
  <c r="W43" i="54"/>
  <c r="W40" i="54"/>
  <c r="W48" i="54"/>
  <c r="W45" i="54"/>
  <c r="W36" i="54"/>
  <c r="W39" i="54"/>
  <c r="W41" i="54"/>
  <c r="W38" i="54"/>
  <c r="W47" i="54"/>
  <c r="W44" i="54"/>
  <c r="W37" i="54"/>
  <c r="W42" i="54"/>
  <c r="W46" i="54"/>
  <c r="BK48" i="54"/>
  <c r="BK31" i="54"/>
  <c r="BK42" i="54"/>
  <c r="BK16" i="54"/>
  <c r="BK50" i="54"/>
  <c r="BK55" i="54"/>
  <c r="BK40" i="54"/>
  <c r="BK14" i="54"/>
  <c r="BK62" i="54"/>
  <c r="BK8" i="54"/>
  <c r="BK59" i="54"/>
  <c r="BK70" i="54"/>
  <c r="BK66" i="54"/>
  <c r="BK54" i="54"/>
  <c r="BK67" i="54"/>
  <c r="BK68" i="54"/>
  <c r="BK60" i="54"/>
  <c r="BK72" i="54"/>
  <c r="BK69" i="54"/>
  <c r="BK41" i="54"/>
  <c r="BK37" i="54"/>
  <c r="BK27" i="54"/>
  <c r="BK64" i="54"/>
  <c r="BK57" i="54"/>
  <c r="BK51" i="54"/>
  <c r="BK49" i="54"/>
  <c r="BK47" i="54"/>
  <c r="BK45" i="54"/>
  <c r="BK30" i="54"/>
  <c r="BK26" i="54"/>
  <c r="BK24" i="54"/>
  <c r="BK6" i="54"/>
  <c r="BK46" i="54"/>
  <c r="BK33" i="54"/>
  <c r="BK29" i="54"/>
  <c r="BK71" i="54"/>
  <c r="BK56" i="54"/>
  <c r="BK44" i="54"/>
  <c r="BK18" i="54"/>
  <c r="BK65" i="54"/>
  <c r="BK63" i="54"/>
  <c r="BK61" i="54"/>
  <c r="BK53" i="54"/>
  <c r="BK39" i="54"/>
  <c r="BK32" i="54"/>
  <c r="BK25" i="54"/>
  <c r="BK22" i="54"/>
  <c r="BK11" i="54"/>
  <c r="BK21" i="54"/>
  <c r="BK35" i="54"/>
  <c r="BK13" i="54"/>
  <c r="BK9" i="54"/>
  <c r="BK58" i="54"/>
  <c r="BK15" i="54"/>
  <c r="BK43" i="54"/>
  <c r="BK38" i="54"/>
  <c r="BK36" i="54"/>
  <c r="BK34" i="54"/>
  <c r="BK10" i="54"/>
  <c r="BK7" i="54"/>
  <c r="BK20" i="54"/>
  <c r="BK52" i="54"/>
  <c r="BK12" i="54"/>
  <c r="BK17" i="54"/>
  <c r="BK28" i="54"/>
  <c r="BK23" i="54"/>
  <c r="BK19" i="54"/>
  <c r="BI10" i="54"/>
  <c r="BI21" i="54"/>
  <c r="BI25" i="54"/>
  <c r="BI39" i="54"/>
  <c r="BI13" i="54"/>
  <c r="BI19" i="54"/>
  <c r="BI44" i="54"/>
  <c r="BI7" i="54"/>
  <c r="BI11" i="54"/>
  <c r="BI34" i="54"/>
  <c r="BI28" i="54"/>
  <c r="BI31" i="54"/>
  <c r="BI37" i="54"/>
  <c r="BI46" i="54"/>
  <c r="BI49" i="54"/>
  <c r="BI55" i="54"/>
  <c r="BI29" i="54"/>
  <c r="BI6" i="54"/>
  <c r="BI15" i="54"/>
  <c r="BI16" i="54"/>
  <c r="BI17" i="54"/>
  <c r="BI18" i="54"/>
  <c r="BI33" i="54"/>
  <c r="BI45" i="54"/>
  <c r="BI58" i="54"/>
  <c r="BI61" i="54"/>
  <c r="BI63" i="54"/>
  <c r="BI67" i="54"/>
  <c r="BI24" i="54"/>
  <c r="BI26" i="54"/>
  <c r="BI30" i="54"/>
  <c r="BI41" i="54"/>
  <c r="BI54" i="54"/>
  <c r="BI23" i="54"/>
  <c r="BI38" i="54"/>
  <c r="BI48" i="54"/>
  <c r="BI51" i="54"/>
  <c r="BI8" i="54"/>
  <c r="BI14" i="54"/>
  <c r="BI22" i="54"/>
  <c r="BI32" i="54"/>
  <c r="BI35" i="54"/>
  <c r="BI42" i="54"/>
  <c r="BI43" i="54"/>
  <c r="BI52" i="54"/>
  <c r="BI57" i="54"/>
  <c r="BI53" i="54"/>
  <c r="BI62" i="54"/>
  <c r="BI68" i="54"/>
  <c r="BI72" i="54"/>
  <c r="BI36" i="54"/>
  <c r="BI40" i="54"/>
  <c r="BI66" i="54"/>
  <c r="BI70" i="54"/>
  <c r="BI56" i="54"/>
  <c r="BI64" i="54"/>
  <c r="BI71" i="54"/>
  <c r="BI20" i="54"/>
  <c r="BI27" i="54"/>
  <c r="BI12" i="54"/>
  <c r="BI47" i="54"/>
  <c r="BI69" i="54"/>
  <c r="BI60" i="54"/>
  <c r="BI9" i="54"/>
  <c r="BI65" i="54"/>
  <c r="BI59" i="54"/>
  <c r="BI50" i="54"/>
  <c r="U48" i="54"/>
  <c r="U36" i="54"/>
  <c r="U38" i="54"/>
  <c r="U39" i="54"/>
  <c r="U41" i="54"/>
  <c r="U44" i="54"/>
  <c r="U42" i="54"/>
  <c r="U43" i="54"/>
  <c r="U46" i="54"/>
  <c r="U40" i="54"/>
  <c r="U37" i="54"/>
  <c r="U45" i="54"/>
  <c r="U47" i="54"/>
  <c r="U35" i="54" l="1"/>
  <c r="BI5" i="54" s="1"/>
  <c r="W35" i="54"/>
  <c r="BK5" i="54" s="1"/>
  <c r="Z25" i="54"/>
  <c r="Z26" i="54"/>
  <c r="Z28" i="54" a="1"/>
  <c r="Z28" i="54" l="1"/>
  <c r="Z29" i="54"/>
  <c r="Z30" i="54"/>
  <c r="Y35" i="54"/>
  <c r="BM5" i="54" s="1"/>
  <c r="Z35" i="54"/>
  <c r="BN5" i="54" s="1"/>
  <c r="Y27" i="54"/>
  <c r="BM1" i="54"/>
  <c r="BM33" i="54"/>
  <c r="BM41" i="54"/>
  <c r="BM11" i="54"/>
  <c r="BM59" i="54"/>
  <c r="BM28" i="54"/>
  <c r="BM24" i="54"/>
  <c r="BM52" i="54"/>
  <c r="BM21" i="54"/>
  <c r="BM34" i="54"/>
  <c r="BM45" i="54"/>
  <c r="BM54" i="54"/>
  <c r="BM6" i="54"/>
  <c r="BM48" i="54"/>
  <c r="BM29" i="54"/>
  <c r="BM47" i="54"/>
  <c r="BM51" i="54"/>
  <c r="BM7" i="54"/>
  <c r="BM22" i="54"/>
  <c r="BM32" i="54"/>
  <c r="BM39" i="54"/>
  <c r="BM14" i="54"/>
  <c r="BM26" i="54"/>
  <c r="BM69" i="54"/>
  <c r="BM9" i="54"/>
  <c r="BM23" i="54"/>
  <c r="BM8" i="54"/>
  <c r="BM15" i="54"/>
  <c r="BM27" i="54"/>
  <c r="BM19" i="54"/>
  <c r="BM30" i="54"/>
  <c r="BM35" i="54"/>
  <c r="BM43" i="54"/>
  <c r="BM46" i="54"/>
  <c r="BM50" i="54"/>
  <c r="BM53" i="54"/>
  <c r="BM55" i="54"/>
  <c r="BM72" i="54"/>
  <c r="BM10" i="54"/>
  <c r="BM12" i="54"/>
  <c r="BM16" i="54"/>
  <c r="BM20" i="54"/>
  <c r="BM25" i="54"/>
  <c r="BM36" i="54"/>
  <c r="BM64" i="54"/>
  <c r="BM13" i="54"/>
  <c r="BM17" i="54"/>
  <c r="BM40" i="54"/>
  <c r="BM49" i="54"/>
  <c r="BM63" i="54"/>
  <c r="BM65" i="54"/>
  <c r="BM66" i="54"/>
  <c r="BM18" i="54"/>
  <c r="BM37" i="54"/>
  <c r="BM70" i="54"/>
  <c r="BM56" i="54"/>
  <c r="BM61" i="54"/>
  <c r="BM67" i="54"/>
  <c r="BM31" i="54"/>
  <c r="BM38" i="54"/>
  <c r="BM42" i="54"/>
  <c r="BM57" i="54"/>
  <c r="BM58" i="54"/>
  <c r="BM62" i="54"/>
  <c r="BM71" i="54"/>
  <c r="BM44" i="54"/>
  <c r="BM60" i="54"/>
  <c r="BM68" i="54"/>
  <c r="Y38" i="54"/>
  <c r="Y40" i="54"/>
  <c r="Y45" i="54"/>
  <c r="Y41" i="54"/>
  <c r="Y36" i="54"/>
  <c r="Y47" i="54"/>
  <c r="Y37" i="54"/>
  <c r="Y42" i="54"/>
  <c r="Y43" i="54"/>
  <c r="Y39" i="54"/>
  <c r="Y46" i="54"/>
  <c r="Y48" i="54"/>
  <c r="Y44" i="54"/>
  <c r="Z27" i="54"/>
  <c r="Z37" i="54"/>
  <c r="Z40" i="54"/>
  <c r="Z41" i="54"/>
  <c r="BN1" i="54"/>
  <c r="BN38" i="54"/>
  <c r="BN18" i="54"/>
  <c r="BN22" i="54"/>
  <c r="BN43" i="54"/>
  <c r="BN33" i="54"/>
  <c r="BN42" i="54"/>
  <c r="BN54" i="54"/>
  <c r="BN26" i="54"/>
  <c r="BN70" i="54"/>
  <c r="BN6" i="54"/>
  <c r="BN8" i="54"/>
  <c r="BN27" i="54"/>
  <c r="BN29" i="54"/>
  <c r="BN30" i="54"/>
  <c r="BN35" i="54"/>
  <c r="BN7" i="54"/>
  <c r="BN34" i="54"/>
  <c r="BN41" i="54"/>
  <c r="BN23" i="54"/>
  <c r="BN14" i="54"/>
  <c r="BN24" i="54"/>
  <c r="BN37" i="54"/>
  <c r="BN57" i="54"/>
  <c r="BN59" i="54"/>
  <c r="BN60" i="54"/>
  <c r="BN11" i="54"/>
  <c r="BN15" i="54"/>
  <c r="BN19" i="54"/>
  <c r="BN21" i="54"/>
  <c r="BN39" i="54"/>
  <c r="BN53" i="54"/>
  <c r="BN62" i="54"/>
  <c r="BN72" i="54"/>
  <c r="BN10" i="54"/>
  <c r="BN12" i="54"/>
  <c r="BN16" i="54"/>
  <c r="BN20" i="54"/>
  <c r="BN25" i="54"/>
  <c r="BN31" i="54"/>
  <c r="BN36" i="54"/>
  <c r="BN64" i="54"/>
  <c r="BN9" i="54"/>
  <c r="BN13" i="54"/>
  <c r="BN17" i="54"/>
  <c r="BN40" i="54"/>
  <c r="BN44" i="54"/>
  <c r="BN65" i="54"/>
  <c r="BN52" i="54"/>
  <c r="BN66" i="54"/>
  <c r="BN28" i="54"/>
  <c r="BN32" i="54"/>
  <c r="BN56" i="54"/>
  <c r="BN58" i="54"/>
  <c r="BN67" i="54"/>
  <c r="BN63" i="54"/>
  <c r="BN69" i="54"/>
  <c r="BN45" i="54"/>
  <c r="BN46" i="54"/>
  <c r="BN47" i="54"/>
  <c r="BN48" i="54"/>
  <c r="BN49" i="54"/>
  <c r="BN50" i="54"/>
  <c r="BN51" i="54"/>
  <c r="BN55" i="54"/>
  <c r="BN61" i="54"/>
  <c r="BN71" i="54"/>
  <c r="BN68" i="54"/>
  <c r="Z36" i="54"/>
  <c r="Z38" i="54"/>
  <c r="Z42" i="54"/>
  <c r="Z43" i="54"/>
  <c r="Z39" i="54"/>
  <c r="Z44" i="54"/>
  <c r="Z45" i="54"/>
  <c r="Z46" i="54"/>
  <c r="Z47" i="54"/>
  <c r="Z48" i="54"/>
</calcChain>
</file>

<file path=xl/comments1.xml><?xml version="1.0" encoding="utf-8"?>
<comments xmlns="http://schemas.openxmlformats.org/spreadsheetml/2006/main">
  <authors>
    <author>Ferdinando Ametrano</author>
  </authors>
  <commentList>
    <comment ref="D2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2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sharedStrings.xml><?xml version="1.0" encoding="utf-8"?>
<sst xmlns="http://schemas.openxmlformats.org/spreadsheetml/2006/main" count="656" uniqueCount="187">
  <si>
    <t>General Settings</t>
  </si>
  <si>
    <t>Currency</t>
  </si>
  <si>
    <t>EUR</t>
  </si>
  <si>
    <t>Calendar</t>
  </si>
  <si>
    <t>TARGET</t>
  </si>
  <si>
    <t>IborType</t>
  </si>
  <si>
    <t>OvenightIndex</t>
  </si>
  <si>
    <t>Eonia</t>
  </si>
  <si>
    <t>Permanent</t>
  </si>
  <si>
    <t>ObjectOverwrite</t>
  </si>
  <si>
    <t>SettlementDate</t>
  </si>
  <si>
    <t>Serialize</t>
  </si>
  <si>
    <t>SerializationPath</t>
  </si>
  <si>
    <t>OisEngine</t>
  </si>
  <si>
    <t>FileOverwrite</t>
  </si>
  <si>
    <t>Actual/360</t>
  </si>
  <si>
    <t>QuoteSuffix</t>
  </si>
  <si>
    <t>_Quote</t>
  </si>
  <si>
    <t>RateTickValue</t>
  </si>
  <si>
    <t>PriceTickValue</t>
  </si>
  <si>
    <t>Last update</t>
  </si>
  <si>
    <t>Live Data Feed</t>
  </si>
  <si>
    <t>Trigger</t>
  </si>
  <si>
    <t>Evaluation Date</t>
  </si>
  <si>
    <t>Interest Rates Trigger</t>
  </si>
  <si>
    <t>LastFixingsTrigger</t>
  </si>
  <si>
    <t>IborTenor</t>
  </si>
  <si>
    <t>1Y</t>
  </si>
  <si>
    <t>TriggerCounter</t>
  </si>
  <si>
    <t>NDays</t>
  </si>
  <si>
    <t>Accuracy</t>
  </si>
  <si>
    <t>TraitsID</t>
  </si>
  <si>
    <t>Discount</t>
  </si>
  <si>
    <t>InterpolatorID</t>
  </si>
  <si>
    <t>OIS</t>
  </si>
  <si>
    <t>α</t>
  </si>
  <si>
    <t>error</t>
  </si>
  <si>
    <t>x</t>
  </si>
  <si>
    <t>=</t>
  </si>
  <si>
    <t>Flat</t>
  </si>
  <si>
    <t>1M</t>
  </si>
  <si>
    <t>3M</t>
  </si>
  <si>
    <t>6M</t>
  </si>
  <si>
    <t>1D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</si>
  <si>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</si>
  <si>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</si>
  <si>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</si>
  <si>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</si>
  <si>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</si>
  <si>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</si>
  <si>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</si>
  <si>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</si>
  <si>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</si>
  <si>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</si>
  <si>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</si>
  <si>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12M</t>
  </si>
  <si>
    <t>Quote</t>
  </si>
  <si>
    <t>RateHelper</t>
  </si>
  <si>
    <t>Quote Value</t>
  </si>
  <si>
    <t>Include Flag</t>
  </si>
  <si>
    <t>Earliest Date</t>
  </si>
  <si>
    <t>Latest Date</t>
  </si>
  <si>
    <t>AB12E</t>
  </si>
  <si>
    <t>BASIS</t>
  </si>
  <si>
    <t>3Y</t>
  </si>
  <si>
    <t>4Y</t>
  </si>
  <si>
    <t>5Y</t>
  </si>
  <si>
    <t>Selected</t>
  </si>
  <si>
    <t>Rate</t>
  </si>
  <si>
    <t>Fixing Date</t>
  </si>
  <si>
    <t>Value Date</t>
  </si>
  <si>
    <t>Maturity Date</t>
  </si>
  <si>
    <t>spread</t>
  </si>
  <si>
    <t>interp. FRA</t>
  </si>
  <si>
    <t>Depo Settings</t>
  </si>
  <si>
    <t>AllowInterpolation</t>
  </si>
  <si>
    <t>IborIndex</t>
  </si>
  <si>
    <t>BasisInterpolation</t>
  </si>
  <si>
    <t>BasisInterpolator</t>
  </si>
  <si>
    <t>MonotonicCubicNaturalSpline</t>
  </si>
  <si>
    <t>PiecewiseYieldCurve</t>
  </si>
  <si>
    <t>Error</t>
  </si>
  <si>
    <t>Triggers</t>
  </si>
  <si>
    <t>Linear</t>
  </si>
  <si>
    <t>Quadratic</t>
  </si>
  <si>
    <t>Instruments</t>
  </si>
  <si>
    <t>quadratic</t>
  </si>
  <si>
    <t>linear</t>
  </si>
  <si>
    <t>flat</t>
  </si>
  <si>
    <t>inverse matrix</t>
  </si>
  <si>
    <t>γ,β,α</t>
  </si>
  <si>
    <t>β,α</t>
  </si>
  <si>
    <t>coef α</t>
  </si>
  <si>
    <t>coef β</t>
  </si>
  <si>
    <t>coef γ</t>
  </si>
  <si>
    <t>tenor</t>
  </si>
  <si>
    <t>start date</t>
  </si>
  <si>
    <t>maturity date</t>
  </si>
  <si>
    <t>Discounting</t>
  </si>
  <si>
    <t>EURON</t>
  </si>
  <si>
    <t>Index</t>
  </si>
  <si>
    <t>selected</t>
  </si>
  <si>
    <t>Contributions</t>
  </si>
  <si>
    <t>Fwd start</t>
  </si>
  <si>
    <t>Freq</t>
  </si>
  <si>
    <t>Business Day Convention</t>
  </si>
  <si>
    <t>Day Count Convention</t>
  </si>
  <si>
    <t>Spread</t>
  </si>
  <si>
    <t>instruments</t>
  </si>
  <si>
    <t>Modified Following</t>
  </si>
  <si>
    <t>Rate Helpers included</t>
  </si>
  <si>
    <t>0D</t>
  </si>
  <si>
    <t>X1S</t>
  </si>
  <si>
    <t>Annual</t>
  </si>
  <si>
    <t>quad</t>
  </si>
  <si>
    <t>LogLinear</t>
  </si>
  <si>
    <t>6Y</t>
  </si>
  <si>
    <t>7Y</t>
  </si>
  <si>
    <t>8Y</t>
  </si>
  <si>
    <t>30/360 (Bond Basis)</t>
  </si>
  <si>
    <t>Discount factor</t>
  </si>
  <si>
    <t>Additional Settings</t>
  </si>
  <si>
    <t>tau</t>
  </si>
  <si>
    <t>P(d)</t>
  </si>
  <si>
    <t>P(d+x)</t>
  </si>
  <si>
    <t>F ON</t>
  </si>
  <si>
    <t>Delta</t>
  </si>
  <si>
    <t>Daycounter</t>
  </si>
  <si>
    <t>Selection</t>
  </si>
  <si>
    <t>Basis Interp</t>
  </si>
  <si>
    <t>tau 1</t>
  </si>
  <si>
    <t>tau 2</t>
  </si>
  <si>
    <t>Delta(0M;1M)extrap</t>
  </si>
  <si>
    <t>Delta(0M;1Y)extrap</t>
  </si>
  <si>
    <t>Basis</t>
  </si>
  <si>
    <t>Discount Factor</t>
  </si>
  <si>
    <t>Tenor</t>
  </si>
  <si>
    <t>Diff (bps)</t>
  </si>
  <si>
    <t>with 0X6</t>
  </si>
  <si>
    <t>without 0X6</t>
  </si>
  <si>
    <t>Exact Fit</t>
  </si>
  <si>
    <t>Best Fit</t>
  </si>
  <si>
    <t>Repricing Error</t>
  </si>
  <si>
    <t>FRA</t>
  </si>
  <si>
    <t xml:space="preserve"> </t>
  </si>
  <si>
    <t>Value date</t>
  </si>
  <si>
    <t>ON 6M Index</t>
  </si>
  <si>
    <t>C0</t>
  </si>
  <si>
    <t>C1</t>
  </si>
  <si>
    <t>C2</t>
  </si>
  <si>
    <t>C3</t>
  </si>
  <si>
    <t>c0</t>
  </si>
  <si>
    <t>c1</t>
  </si>
  <si>
    <t>c2</t>
  </si>
  <si>
    <t>c3</t>
  </si>
  <si>
    <t>c4</t>
  </si>
  <si>
    <t>Tenor Basis</t>
  </si>
  <si>
    <t>Basis BestFit</t>
  </si>
  <si>
    <t>Quote object</t>
  </si>
  <si>
    <t>Set Value</t>
  </si>
  <si>
    <t>ESTIMATED</t>
  </si>
  <si>
    <t>0 X 6 EXACT</t>
  </si>
  <si>
    <t>0 X 6 BEST</t>
  </si>
  <si>
    <t>t</t>
  </si>
  <si>
    <t>Is simple</t>
  </si>
  <si>
    <t>Calibration</t>
  </si>
  <si>
    <t>Compute</t>
  </si>
  <si>
    <t>Synth Depo</t>
  </si>
  <si>
    <t>Simple Basis Coeff</t>
  </si>
  <si>
    <t>Continuous Basis Coeff</t>
  </si>
  <si>
    <t>end date</t>
  </si>
  <si>
    <t xml:space="preserve">Cont Basis </t>
  </si>
  <si>
    <t>Simple Basis</t>
  </si>
  <si>
    <t>function</t>
  </si>
  <si>
    <t>Using Continuous Basis</t>
  </si>
  <si>
    <t>Start Date</t>
  </si>
  <si>
    <t>End Date</t>
  </si>
  <si>
    <t>Using Simple Basis</t>
  </si>
  <si>
    <t>Wheigts</t>
  </si>
  <si>
    <t>Contribution</t>
  </si>
  <si>
    <t>Simple Basis Approximation</t>
  </si>
  <si>
    <t>Continuous Basis Approximation</t>
  </si>
  <si>
    <t>Continuous Basis approximation</t>
  </si>
  <si>
    <t>Simple Basis approximation</t>
  </si>
  <si>
    <t>ON 3M Index</t>
  </si>
  <si>
    <t>0 X 3 EXACT</t>
  </si>
  <si>
    <t>0 X 3 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</si>
</sst>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&quot;£&quot;#,##0;[Red]\-&quot;£&quot;#,##0"/>
    <numFmt numFmtId="165" formatCode="#,##0.0;#,##0.0"/>
    <numFmt numFmtId="166" formatCode="_([$€-2]* #,##0.00_);_([$€-2]* \(#,##0.00\);_([$€-2]* &quot;-&quot;??_)"/>
    <numFmt numFmtId="167" formatCode="General_)"/>
    <numFmt numFmtId="168" formatCode="ddd\,\ dd\-mmm\-yyyy\ h:mm:ss"/>
    <numFmt numFmtId="169" formatCode="ddd\,\ d\-mmm\-yyyy"/>
    <numFmt numFmtId="170" formatCode="ddd\,\ d\-mmm\-yyyy\,\ hh:mm:ss"/>
    <numFmt numFmtId="171" formatCode="ddd\,\ dd\-mmm\-yyyy"/>
    <numFmt numFmtId="172" formatCode="0.0000%"/>
    <numFmt numFmtId="173" formatCode="0.0000"/>
    <numFmt numFmtId="174" formatCode="ddd\,\ dd\-mmm\-yyyy\,\ h:mm:ss"/>
    <numFmt numFmtId="175" formatCode="0.000000000"/>
    <numFmt numFmtId="176" formatCode="ddd\,\ d\-mmm\-yy"/>
    <numFmt numFmtId="177" formatCode="0.E+00"/>
    <numFmt numFmtId="178" formatCode="0.0000E+00"/>
    <numFmt numFmtId="179" formatCode="0.00000"/>
    <numFmt numFmtId="180" formatCode="0.000000"/>
    <numFmt numFmtId="183" formatCode="0.00000000"/>
    <numFmt numFmtId="184" formatCode="dd\-mmm\-yy"/>
  </numFmts>
  <fonts count="23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10"/>
      <name val="Courier New"/>
      <family val="3"/>
    </font>
    <font>
      <sz val="8"/>
      <color rgb="FFFF0000"/>
      <name val="Courier New"/>
      <family val="3"/>
    </font>
    <font>
      <sz val="9"/>
      <name val="Courier New"/>
      <family val="3"/>
    </font>
    <font>
      <sz val="8"/>
      <color theme="1"/>
      <name val="Courier New"/>
      <family val="3"/>
    </font>
  </fonts>
  <fills count="15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fgColor auto="1"/>
        <bgColor theme="0" tint="-0.14996795556505021"/>
      </patternFill>
    </fill>
    <fill>
      <patternFill patternType="solid">
        <fgColor theme="8" tint="0.59999389629810485"/>
        <bgColor theme="8" tint="0.59996337778862885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166" fontId="6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67" fontId="9" fillId="0" borderId="0"/>
    <xf numFmtId="165" fontId="7" fillId="2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0" fillId="0" borderId="0"/>
    <xf numFmtId="0" fontId="4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0" fontId="3" fillId="0" borderId="0"/>
    <xf numFmtId="9" fontId="12" fillId="0" borderId="0" applyFont="0" applyFill="0" applyBorder="0" applyAlignment="0" applyProtection="0"/>
    <xf numFmtId="0" fontId="5" fillId="0" borderId="0"/>
    <xf numFmtId="0" fontId="5" fillId="0" borderId="0"/>
    <xf numFmtId="0" fontId="2" fillId="0" borderId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9" fontId="5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2" fillId="0" borderId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  <xf numFmtId="0" fontId="1" fillId="0" borderId="0"/>
  </cellStyleXfs>
  <cellXfs count="488">
    <xf numFmtId="0" fontId="0" fillId="0" borderId="0" xfId="0"/>
    <xf numFmtId="0" fontId="11" fillId="3" borderId="0" xfId="15" applyFont="1" applyFill="1" applyBorder="1"/>
    <xf numFmtId="0" fontId="11" fillId="4" borderId="2" xfId="15" applyFont="1" applyFill="1" applyBorder="1" applyAlignment="1">
      <alignment horizontal="right"/>
    </xf>
    <xf numFmtId="0" fontId="11" fillId="3" borderId="2" xfId="15" applyFont="1" applyFill="1" applyBorder="1" applyAlignment="1">
      <alignment horizontal="center"/>
    </xf>
    <xf numFmtId="168" fontId="11" fillId="3" borderId="2" xfId="15" applyNumberFormat="1" applyFont="1" applyFill="1" applyBorder="1" applyAlignment="1">
      <alignment horizontal="center"/>
    </xf>
    <xf numFmtId="0" fontId="14" fillId="3" borderId="0" xfId="14" applyFont="1" applyFill="1" applyBorder="1"/>
    <xf numFmtId="169" fontId="11" fillId="3" borderId="2" xfId="17" applyNumberFormat="1" applyFont="1" applyFill="1" applyBorder="1" applyAlignment="1">
      <alignment horizontal="center"/>
    </xf>
    <xf numFmtId="0" fontId="14" fillId="4" borderId="2" xfId="14" applyNumberFormat="1" applyFont="1" applyFill="1" applyBorder="1"/>
    <xf numFmtId="171" fontId="11" fillId="3" borderId="3" xfId="17" applyNumberFormat="1" applyFont="1" applyFill="1" applyBorder="1" applyAlignment="1">
      <alignment horizontal="center"/>
    </xf>
    <xf numFmtId="169" fontId="11" fillId="3" borderId="3" xfId="17" applyNumberFormat="1" applyFont="1" applyFill="1" applyBorder="1" applyAlignment="1">
      <alignment horizontal="center"/>
    </xf>
    <xf numFmtId="0" fontId="11" fillId="3" borderId="0" xfId="0" applyFont="1" applyFill="1" applyBorder="1"/>
    <xf numFmtId="172" fontId="11" fillId="0" borderId="4" xfId="0" applyNumberFormat="1" applyFont="1" applyBorder="1"/>
    <xf numFmtId="0" fontId="11" fillId="0" borderId="0" xfId="14" applyFont="1"/>
    <xf numFmtId="0" fontId="11" fillId="5" borderId="0" xfId="15" applyFont="1" applyFill="1" applyBorder="1" applyAlignment="1">
      <alignment horizontal="right"/>
    </xf>
    <xf numFmtId="171" fontId="11" fillId="5" borderId="0" xfId="17" applyNumberFormat="1" applyFont="1" applyFill="1" applyBorder="1" applyAlignment="1">
      <alignment horizontal="center"/>
    </xf>
    <xf numFmtId="1" fontId="11" fillId="3" borderId="2" xfId="15" applyNumberFormat="1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11" fillId="4" borderId="2" xfId="15" applyFont="1" applyFill="1" applyBorder="1" applyAlignment="1">
      <alignment horizontal="right" vertical="center"/>
    </xf>
    <xf numFmtId="169" fontId="11" fillId="6" borderId="2" xfId="11" applyNumberFormat="1" applyFont="1" applyFill="1" applyBorder="1" applyAlignment="1">
      <alignment horizontal="center"/>
    </xf>
    <xf numFmtId="0" fontId="11" fillId="3" borderId="2" xfId="0" applyNumberFormat="1" applyFont="1" applyFill="1" applyBorder="1" applyAlignment="1">
      <alignment horizontal="center"/>
    </xf>
    <xf numFmtId="169" fontId="11" fillId="3" borderId="9" xfId="0" applyNumberFormat="1" applyFont="1" applyFill="1" applyBorder="1" applyAlignment="1">
      <alignment horizontal="right"/>
    </xf>
    <xf numFmtId="175" fontId="11" fillId="3" borderId="10" xfId="0" applyNumberFormat="1" applyFont="1" applyFill="1" applyBorder="1" applyAlignment="1">
      <alignment horizontal="center"/>
    </xf>
    <xf numFmtId="169" fontId="11" fillId="3" borderId="11" xfId="0" applyNumberFormat="1" applyFont="1" applyFill="1" applyBorder="1" applyAlignment="1">
      <alignment horizontal="right"/>
    </xf>
    <xf numFmtId="0" fontId="11" fillId="3" borderId="8" xfId="0" applyFont="1" applyFill="1" applyBorder="1" applyAlignment="1">
      <alignment horizontal="center"/>
    </xf>
    <xf numFmtId="0" fontId="17" fillId="4" borderId="9" xfId="0" applyFont="1" applyFill="1" applyBorder="1" applyAlignment="1">
      <alignment horizontal="right"/>
    </xf>
    <xf numFmtId="0" fontId="17" fillId="4" borderId="11" xfId="0" applyFont="1" applyFill="1" applyBorder="1" applyAlignment="1">
      <alignment horizontal="right"/>
    </xf>
    <xf numFmtId="0" fontId="15" fillId="3" borderId="0" xfId="15" applyFont="1" applyFill="1" applyBorder="1" applyAlignment="1">
      <alignment horizontal="right" vertical="center"/>
    </xf>
    <xf numFmtId="174" fontId="16" fillId="3" borderId="0" xfId="15" applyNumberFormat="1" applyFont="1" applyFill="1" applyBorder="1" applyAlignment="1">
      <alignment horizontal="right" vertical="center"/>
    </xf>
    <xf numFmtId="0" fontId="16" fillId="3" borderId="0" xfId="15" quotePrefix="1" applyFont="1" applyFill="1" applyBorder="1" applyAlignment="1">
      <alignment horizontal="center" vertical="center"/>
    </xf>
    <xf numFmtId="169" fontId="12" fillId="3" borderId="0" xfId="17" applyNumberFormat="1" applyFont="1" applyFill="1" applyBorder="1" applyAlignment="1">
      <alignment horizontal="center" vertical="center"/>
    </xf>
    <xf numFmtId="171" fontId="11" fillId="3" borderId="2" xfId="15" applyNumberFormat="1" applyFont="1" applyFill="1" applyBorder="1" applyAlignment="1">
      <alignment horizontal="center"/>
    </xf>
    <xf numFmtId="1" fontId="11" fillId="3" borderId="2" xfId="17" applyNumberFormat="1" applyFont="1" applyFill="1" applyBorder="1" applyAlignment="1">
      <alignment horizontal="center"/>
    </xf>
    <xf numFmtId="1" fontId="11" fillId="3" borderId="3" xfId="17" applyNumberFormat="1" applyFont="1" applyFill="1" applyBorder="1" applyAlignment="1">
      <alignment horizontal="center"/>
    </xf>
    <xf numFmtId="0" fontId="11" fillId="5" borderId="4" xfId="14" applyNumberFormat="1" applyFont="1" applyFill="1" applyBorder="1" applyAlignment="1">
      <alignment horizontal="center"/>
    </xf>
    <xf numFmtId="0" fontId="11" fillId="5" borderId="4" xfId="33" applyNumberFormat="1" applyFont="1" applyFill="1" applyBorder="1" applyAlignment="1">
      <alignment horizontal="center"/>
    </xf>
    <xf numFmtId="0" fontId="11" fillId="5" borderId="4" xfId="30" applyNumberFormat="1" applyFont="1" applyFill="1" applyBorder="1" applyAlignment="1">
      <alignment horizontal="center"/>
    </xf>
    <xf numFmtId="0" fontId="11" fillId="5" borderId="4" xfId="14" applyFont="1" applyFill="1" applyBorder="1" applyAlignment="1">
      <alignment horizontal="center"/>
    </xf>
    <xf numFmtId="172" fontId="11" fillId="5" borderId="4" xfId="14" applyNumberFormat="1" applyFont="1" applyFill="1" applyBorder="1" applyAlignment="1">
      <alignment horizontal="left"/>
    </xf>
    <xf numFmtId="0" fontId="11" fillId="5" borderId="4" xfId="14" applyNumberFormat="1" applyFont="1" applyFill="1" applyBorder="1" applyAlignment="1">
      <alignment horizontal="left"/>
    </xf>
    <xf numFmtId="0" fontId="11" fillId="5" borderId="4" xfId="14" applyNumberFormat="1" applyFont="1" applyFill="1" applyBorder="1" applyAlignment="1"/>
    <xf numFmtId="0" fontId="11" fillId="5" borderId="4" xfId="14" applyFont="1" applyFill="1" applyBorder="1"/>
    <xf numFmtId="172" fontId="11" fillId="5" borderId="4" xfId="14" applyNumberFormat="1" applyFont="1" applyFill="1" applyBorder="1"/>
    <xf numFmtId="171" fontId="11" fillId="5" borderId="4" xfId="14" applyNumberFormat="1" applyFont="1" applyFill="1" applyBorder="1"/>
    <xf numFmtId="0" fontId="11" fillId="5" borderId="11" xfId="14" applyNumberFormat="1" applyFont="1" applyFill="1" applyBorder="1" applyAlignment="1">
      <alignment horizontal="center"/>
    </xf>
    <xf numFmtId="0" fontId="11" fillId="5" borderId="11" xfId="33" applyNumberFormat="1" applyFont="1" applyFill="1" applyBorder="1" applyAlignment="1">
      <alignment horizontal="center"/>
    </xf>
    <xf numFmtId="0" fontId="11" fillId="5" borderId="11" xfId="30" applyNumberFormat="1" applyFont="1" applyFill="1" applyBorder="1" applyAlignment="1">
      <alignment horizontal="center"/>
    </xf>
    <xf numFmtId="0" fontId="11" fillId="5" borderId="11" xfId="14" applyFont="1" applyFill="1" applyBorder="1" applyAlignment="1">
      <alignment horizontal="center"/>
    </xf>
    <xf numFmtId="172" fontId="11" fillId="5" borderId="11" xfId="14" applyNumberFormat="1" applyFont="1" applyFill="1" applyBorder="1" applyAlignment="1">
      <alignment horizontal="left"/>
    </xf>
    <xf numFmtId="0" fontId="11" fillId="5" borderId="11" xfId="14" applyFont="1" applyFill="1" applyBorder="1"/>
    <xf numFmtId="172" fontId="11" fillId="5" borderId="11" xfId="14" applyNumberFormat="1" applyFont="1" applyFill="1" applyBorder="1"/>
    <xf numFmtId="171" fontId="11" fillId="5" borderId="11" xfId="14" applyNumberFormat="1" applyFont="1" applyFill="1" applyBorder="1"/>
    <xf numFmtId="175" fontId="11" fillId="5" borderId="9" xfId="14" applyNumberFormat="1" applyFont="1" applyFill="1" applyBorder="1"/>
    <xf numFmtId="175" fontId="11" fillId="5" borderId="4" xfId="14" applyNumberFormat="1" applyFont="1" applyFill="1" applyBorder="1"/>
    <xf numFmtId="175" fontId="11" fillId="5" borderId="11" xfId="14" applyNumberFormat="1" applyFont="1" applyFill="1" applyBorder="1"/>
    <xf numFmtId="0" fontId="11" fillId="0" borderId="9" xfId="14" applyFont="1" applyBorder="1"/>
    <xf numFmtId="0" fontId="11" fillId="0" borderId="4" xfId="14" applyFont="1" applyBorder="1"/>
    <xf numFmtId="0" fontId="11" fillId="0" borderId="11" xfId="14" applyFont="1" applyBorder="1"/>
    <xf numFmtId="0" fontId="11" fillId="6" borderId="2" xfId="11" applyNumberFormat="1" applyFont="1" applyFill="1" applyBorder="1" applyAlignment="1">
      <alignment horizontal="center"/>
    </xf>
    <xf numFmtId="0" fontId="11" fillId="5" borderId="11" xfId="14" applyNumberFormat="1" applyFont="1" applyFill="1" applyBorder="1" applyAlignment="1">
      <alignment horizontal="left"/>
    </xf>
    <xf numFmtId="0" fontId="11" fillId="5" borderId="11" xfId="14" applyNumberFormat="1" applyFont="1" applyFill="1" applyBorder="1" applyAlignment="1"/>
    <xf numFmtId="0" fontId="11" fillId="0" borderId="15" xfId="14" applyFont="1" applyBorder="1"/>
    <xf numFmtId="0" fontId="11" fillId="0" borderId="9" xfId="14" applyFont="1" applyBorder="1" applyAlignment="1">
      <alignment horizontal="left"/>
    </xf>
    <xf numFmtId="0" fontId="11" fillId="0" borderId="14" xfId="14" applyFont="1" applyBorder="1"/>
    <xf numFmtId="0" fontId="11" fillId="0" borderId="15" xfId="30" applyFont="1" applyBorder="1"/>
    <xf numFmtId="0" fontId="11" fillId="0" borderId="10" xfId="14" applyFont="1" applyBorder="1"/>
    <xf numFmtId="0" fontId="11" fillId="5" borderId="9" xfId="14" applyNumberFormat="1" applyFont="1" applyFill="1" applyBorder="1" applyAlignment="1">
      <alignment horizontal="center"/>
    </xf>
    <xf numFmtId="0" fontId="11" fillId="5" borderId="9" xfId="33" applyNumberFormat="1" applyFont="1" applyFill="1" applyBorder="1" applyAlignment="1">
      <alignment horizontal="center"/>
    </xf>
    <xf numFmtId="0" fontId="11" fillId="5" borderId="9" xfId="30" applyNumberFormat="1" applyFont="1" applyFill="1" applyBorder="1" applyAlignment="1">
      <alignment horizontal="center"/>
    </xf>
    <xf numFmtId="0" fontId="11" fillId="5" borderId="9" xfId="14" applyFont="1" applyFill="1" applyBorder="1" applyAlignment="1">
      <alignment horizontal="center"/>
    </xf>
    <xf numFmtId="172" fontId="11" fillId="5" borderId="9" xfId="14" applyNumberFormat="1" applyFont="1" applyFill="1" applyBorder="1" applyAlignment="1">
      <alignment horizontal="left"/>
    </xf>
    <xf numFmtId="0" fontId="11" fillId="5" borderId="9" xfId="14" applyNumberFormat="1" applyFont="1" applyFill="1" applyBorder="1" applyAlignment="1">
      <alignment horizontal="left"/>
    </xf>
    <xf numFmtId="0" fontId="11" fillId="5" borderId="9" xfId="14" applyNumberFormat="1" applyFont="1" applyFill="1" applyBorder="1" applyAlignment="1"/>
    <xf numFmtId="0" fontId="11" fillId="5" borderId="9" xfId="14" applyFont="1" applyFill="1" applyBorder="1"/>
    <xf numFmtId="175" fontId="11" fillId="3" borderId="9" xfId="0" applyNumberFormat="1" applyFont="1" applyFill="1" applyBorder="1" applyAlignment="1">
      <alignment horizontal="center"/>
    </xf>
    <xf numFmtId="175" fontId="11" fillId="3" borderId="11" xfId="0" applyNumberFormat="1" applyFont="1" applyFill="1" applyBorder="1" applyAlignment="1">
      <alignment horizontal="center"/>
    </xf>
    <xf numFmtId="0" fontId="11" fillId="5" borderId="2" xfId="14" applyNumberFormat="1" applyFont="1" applyFill="1" applyBorder="1" applyAlignment="1">
      <alignment horizontal="center"/>
    </xf>
    <xf numFmtId="0" fontId="11" fillId="0" borderId="15" xfId="30" applyFont="1" applyBorder="1" applyAlignment="1">
      <alignment horizontal="center" vertical="center"/>
    </xf>
    <xf numFmtId="0" fontId="11" fillId="0" borderId="14" xfId="14" applyFont="1" applyBorder="1" applyAlignment="1">
      <alignment horizontal="center" vertical="center"/>
    </xf>
    <xf numFmtId="172" fontId="11" fillId="5" borderId="4" xfId="14" applyNumberFormat="1" applyFont="1" applyFill="1" applyBorder="1" applyAlignment="1">
      <alignment horizontal="center" vertical="center"/>
    </xf>
    <xf numFmtId="172" fontId="11" fillId="5" borderId="11" xfId="14" applyNumberFormat="1" applyFont="1" applyFill="1" applyBorder="1" applyAlignment="1">
      <alignment horizontal="center" vertical="center"/>
    </xf>
    <xf numFmtId="172" fontId="11" fillId="5" borderId="9" xfId="14" applyNumberFormat="1" applyFont="1" applyFill="1" applyBorder="1"/>
    <xf numFmtId="172" fontId="11" fillId="5" borderId="9" xfId="14" applyNumberFormat="1" applyFont="1" applyFill="1" applyBorder="1" applyAlignment="1">
      <alignment horizontal="center" vertical="center"/>
    </xf>
    <xf numFmtId="171" fontId="11" fillId="5" borderId="9" xfId="14" applyNumberFormat="1" applyFont="1" applyFill="1" applyBorder="1"/>
    <xf numFmtId="0" fontId="11" fillId="0" borderId="9" xfId="8" applyFont="1" applyBorder="1"/>
    <xf numFmtId="171" fontId="11" fillId="0" borderId="9" xfId="8" applyNumberFormat="1" applyFont="1" applyBorder="1"/>
    <xf numFmtId="0" fontId="11" fillId="0" borderId="4" xfId="8" applyFont="1" applyBorder="1"/>
    <xf numFmtId="171" fontId="11" fillId="0" borderId="4" xfId="8" applyNumberFormat="1" applyFont="1" applyBorder="1"/>
    <xf numFmtId="0" fontId="11" fillId="0" borderId="11" xfId="8" applyFont="1" applyBorder="1"/>
    <xf numFmtId="171" fontId="11" fillId="0" borderId="11" xfId="8" applyNumberFormat="1" applyFont="1" applyBorder="1"/>
    <xf numFmtId="173" fontId="11" fillId="0" borderId="4" xfId="0" applyNumberFormat="1" applyFont="1" applyBorder="1"/>
    <xf numFmtId="175" fontId="11" fillId="0" borderId="4" xfId="0" applyNumberFormat="1" applyFont="1" applyBorder="1"/>
    <xf numFmtId="173" fontId="11" fillId="0" borderId="4" xfId="14" applyNumberFormat="1" applyFont="1" applyBorder="1"/>
    <xf numFmtId="172" fontId="11" fillId="0" borderId="4" xfId="14" applyNumberFormat="1" applyFont="1" applyBorder="1"/>
    <xf numFmtId="173" fontId="11" fillId="0" borderId="9" xfId="0" applyNumberFormat="1" applyFont="1" applyBorder="1"/>
    <xf numFmtId="172" fontId="11" fillId="0" borderId="9" xfId="0" applyNumberFormat="1" applyFont="1" applyBorder="1"/>
    <xf numFmtId="175" fontId="11" fillId="0" borderId="9" xfId="0" applyNumberFormat="1" applyFont="1" applyBorder="1"/>
    <xf numFmtId="173" fontId="11" fillId="0" borderId="11" xfId="14" applyNumberFormat="1" applyFont="1" applyBorder="1"/>
    <xf numFmtId="172" fontId="11" fillId="0" borderId="11" xfId="14" applyNumberFormat="1" applyFont="1" applyBorder="1"/>
    <xf numFmtId="172" fontId="11" fillId="0" borderId="11" xfId="0" applyNumberFormat="1" applyFont="1" applyBorder="1"/>
    <xf numFmtId="175" fontId="11" fillId="0" borderId="11" xfId="0" applyNumberFormat="1" applyFont="1" applyBorder="1"/>
    <xf numFmtId="0" fontId="11" fillId="5" borderId="0" xfId="15" applyFont="1" applyFill="1" applyBorder="1" applyAlignment="1">
      <alignment horizontal="right" vertical="center"/>
    </xf>
    <xf numFmtId="169" fontId="11" fillId="5" borderId="0" xfId="17" applyNumberFormat="1" applyFont="1" applyFill="1" applyBorder="1" applyAlignment="1">
      <alignment horizontal="center"/>
    </xf>
    <xf numFmtId="180" fontId="11" fillId="0" borderId="9" xfId="0" applyNumberFormat="1" applyFont="1" applyBorder="1"/>
    <xf numFmtId="180" fontId="11" fillId="0" borderId="4" xfId="0" applyNumberFormat="1" applyFont="1" applyBorder="1"/>
    <xf numFmtId="180" fontId="11" fillId="0" borderId="11" xfId="0" applyNumberFormat="1" applyFont="1" applyBorder="1"/>
    <xf numFmtId="0" fontId="11" fillId="8" borderId="0" xfId="15" applyFont="1" applyFill="1"/>
    <xf numFmtId="0" fontId="11" fillId="8" borderId="0" xfId="16" applyFont="1" applyFill="1"/>
    <xf numFmtId="0" fontId="11" fillId="8" borderId="0" xfId="15" applyFont="1" applyFill="1" applyBorder="1"/>
    <xf numFmtId="170" fontId="14" fillId="10" borderId="3" xfId="14" applyNumberFormat="1" applyFont="1" applyFill="1" applyBorder="1" applyAlignment="1" applyProtection="1">
      <alignment horizontal="center"/>
    </xf>
    <xf numFmtId="170" fontId="14" fillId="10" borderId="3" xfId="14" quotePrefix="1" applyNumberFormat="1" applyFont="1" applyFill="1" applyBorder="1" applyAlignment="1" applyProtection="1">
      <alignment horizontal="left"/>
    </xf>
    <xf numFmtId="170" fontId="14" fillId="10" borderId="3" xfId="14" quotePrefix="1" applyNumberFormat="1" applyFont="1" applyFill="1" applyBorder="1" applyAlignment="1" applyProtection="1">
      <alignment horizontal="center"/>
    </xf>
    <xf numFmtId="172" fontId="14" fillId="10" borderId="3" xfId="14" quotePrefix="1" applyNumberFormat="1" applyFont="1" applyFill="1" applyBorder="1" applyAlignment="1" applyProtection="1">
      <alignment horizontal="center"/>
    </xf>
    <xf numFmtId="173" fontId="14" fillId="10" borderId="3" xfId="14" quotePrefix="1" applyNumberFormat="1" applyFont="1" applyFill="1" applyBorder="1" applyAlignment="1" applyProtection="1">
      <alignment horizontal="center"/>
    </xf>
    <xf numFmtId="176" fontId="11" fillId="10" borderId="10" xfId="0" quotePrefix="1" applyNumberFormat="1" applyFont="1" applyFill="1" applyBorder="1" applyAlignment="1">
      <alignment horizontal="center"/>
    </xf>
    <xf numFmtId="1" fontId="16" fillId="10" borderId="8" xfId="0" applyNumberFormat="1" applyFont="1" applyFill="1" applyBorder="1" applyAlignment="1">
      <alignment horizontal="left"/>
    </xf>
    <xf numFmtId="0" fontId="11" fillId="8" borderId="0" xfId="0" applyFont="1" applyFill="1"/>
    <xf numFmtId="0" fontId="11" fillId="8" borderId="0" xfId="0" applyNumberFormat="1" applyFont="1" applyFill="1"/>
    <xf numFmtId="0" fontId="11" fillId="8" borderId="0" xfId="0" applyFont="1" applyFill="1" applyBorder="1"/>
    <xf numFmtId="0" fontId="11" fillId="8" borderId="0" xfId="0" applyFont="1" applyFill="1" applyBorder="1" applyAlignment="1"/>
    <xf numFmtId="171" fontId="11" fillId="8" borderId="0" xfId="0" applyNumberFormat="1" applyFont="1" applyFill="1" applyBorder="1" applyAlignment="1"/>
    <xf numFmtId="172" fontId="11" fillId="8" borderId="0" xfId="0" applyNumberFormat="1" applyFont="1" applyFill="1" applyBorder="1" applyAlignment="1"/>
    <xf numFmtId="173" fontId="11" fillId="8" borderId="0" xfId="0" applyNumberFormat="1" applyFont="1" applyFill="1" applyBorder="1"/>
    <xf numFmtId="172" fontId="11" fillId="8" borderId="0" xfId="17" applyNumberFormat="1" applyFont="1" applyFill="1" applyBorder="1"/>
    <xf numFmtId="0" fontId="19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Alignment="1"/>
    <xf numFmtId="2" fontId="11" fillId="8" borderId="0" xfId="0" applyNumberFormat="1" applyFont="1" applyFill="1"/>
    <xf numFmtId="2" fontId="11" fillId="8" borderId="6" xfId="0" applyNumberFormat="1" applyFont="1" applyFill="1" applyBorder="1" applyAlignment="1">
      <alignment horizontal="center" vertical="center"/>
    </xf>
    <xf numFmtId="2" fontId="11" fillId="8" borderId="5" xfId="0" applyNumberFormat="1" applyFont="1" applyFill="1" applyBorder="1" applyAlignment="1">
      <alignment horizontal="center" vertical="center"/>
    </xf>
    <xf numFmtId="172" fontId="11" fillId="8" borderId="4" xfId="0" applyNumberFormat="1" applyFont="1" applyFill="1" applyBorder="1" applyAlignment="1">
      <alignment vertical="center"/>
    </xf>
    <xf numFmtId="172" fontId="11" fillId="8" borderId="4" xfId="0" applyNumberFormat="1" applyFont="1" applyFill="1" applyBorder="1" applyAlignment="1"/>
    <xf numFmtId="0" fontId="11" fillId="8" borderId="0" xfId="0" applyFont="1" applyFill="1" applyAlignment="1">
      <alignment vertical="center"/>
    </xf>
    <xf numFmtId="0" fontId="21" fillId="8" borderId="0" xfId="0" applyFont="1" applyFill="1" applyAlignment="1">
      <alignment horizontal="center" vertical="center"/>
    </xf>
    <xf numFmtId="2" fontId="11" fillId="8" borderId="0" xfId="0" applyNumberFormat="1" applyFont="1" applyFill="1" applyBorder="1" applyAlignment="1">
      <alignment horizontal="center" vertical="center"/>
    </xf>
    <xf numFmtId="2" fontId="11" fillId="8" borderId="0" xfId="0" applyNumberFormat="1" applyFont="1" applyFill="1" applyBorder="1"/>
    <xf numFmtId="2" fontId="11" fillId="8" borderId="0" xfId="0" applyNumberFormat="1" applyFont="1" applyFill="1" applyBorder="1" applyAlignment="1"/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>
      <alignment horizontal="center" vertical="center"/>
    </xf>
    <xf numFmtId="2" fontId="11" fillId="8" borderId="4" xfId="0" applyNumberFormat="1" applyFont="1" applyFill="1" applyBorder="1" applyAlignment="1">
      <alignment horizontal="center" vertical="center"/>
    </xf>
    <xf numFmtId="178" fontId="11" fillId="8" borderId="0" xfId="0" applyNumberFormat="1" applyFont="1" applyFill="1"/>
    <xf numFmtId="172" fontId="11" fillId="8" borderId="0" xfId="0" applyNumberFormat="1" applyFont="1" applyFill="1" applyBorder="1"/>
    <xf numFmtId="172" fontId="11" fillId="8" borderId="0" xfId="0" applyNumberFormat="1" applyFont="1" applyFill="1"/>
    <xf numFmtId="0" fontId="11" fillId="9" borderId="2" xfId="0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17" fillId="7" borderId="9" xfId="0" applyFont="1" applyFill="1" applyBorder="1" applyAlignment="1">
      <alignment horizontal="centerContinuous" vertical="center" wrapText="1"/>
    </xf>
    <xf numFmtId="0" fontId="17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/>
    <xf numFmtId="171" fontId="11" fillId="11" borderId="2" xfId="0" applyNumberFormat="1" applyFont="1" applyFill="1" applyBorder="1" applyAlignment="1"/>
    <xf numFmtId="180" fontId="20" fillId="11" borderId="2" xfId="0" applyNumberFormat="1" applyFont="1" applyFill="1" applyBorder="1" applyAlignment="1"/>
    <xf numFmtId="173" fontId="11" fillId="11" borderId="2" xfId="0" applyNumberFormat="1" applyFont="1" applyFill="1" applyBorder="1"/>
    <xf numFmtId="172" fontId="11" fillId="11" borderId="2" xfId="17" applyNumberFormat="1" applyFont="1" applyFill="1" applyBorder="1"/>
    <xf numFmtId="0" fontId="11" fillId="11" borderId="4" xfId="0" applyFont="1" applyFill="1" applyBorder="1" applyAlignment="1"/>
    <xf numFmtId="171" fontId="11" fillId="11" borderId="4" xfId="0" applyNumberFormat="1" applyFont="1" applyFill="1" applyBorder="1" applyAlignment="1"/>
    <xf numFmtId="180" fontId="11" fillId="11" borderId="4" xfId="0" applyNumberFormat="1" applyFont="1" applyFill="1" applyBorder="1" applyAlignment="1"/>
    <xf numFmtId="173" fontId="11" fillId="11" borderId="4" xfId="0" applyNumberFormat="1" applyFont="1" applyFill="1" applyBorder="1"/>
    <xf numFmtId="172" fontId="11" fillId="11" borderId="4" xfId="17" applyNumberFormat="1" applyFont="1" applyFill="1" applyBorder="1"/>
    <xf numFmtId="0" fontId="11" fillId="11" borderId="11" xfId="0" applyFont="1" applyFill="1" applyBorder="1" applyAlignment="1"/>
    <xf numFmtId="171" fontId="11" fillId="11" borderId="11" xfId="0" applyNumberFormat="1" applyFont="1" applyFill="1" applyBorder="1" applyAlignment="1"/>
    <xf numFmtId="180" fontId="11" fillId="11" borderId="11" xfId="0" applyNumberFormat="1" applyFont="1" applyFill="1" applyBorder="1" applyAlignment="1"/>
    <xf numFmtId="173" fontId="11" fillId="11" borderId="11" xfId="0" applyNumberFormat="1" applyFont="1" applyFill="1" applyBorder="1"/>
    <xf numFmtId="172" fontId="11" fillId="11" borderId="11" xfId="17" applyNumberFormat="1" applyFont="1" applyFill="1" applyBorder="1"/>
    <xf numFmtId="0" fontId="11" fillId="11" borderId="9" xfId="0" applyFont="1" applyFill="1" applyBorder="1" applyAlignment="1">
      <alignment horizontal="center" vertical="center"/>
    </xf>
    <xf numFmtId="171" fontId="11" fillId="11" borderId="9" xfId="0" applyNumberFormat="1" applyFont="1" applyFill="1" applyBorder="1" applyAlignment="1"/>
    <xf numFmtId="171" fontId="11" fillId="11" borderId="9" xfId="0" applyNumberFormat="1" applyFont="1" applyFill="1" applyBorder="1"/>
    <xf numFmtId="173" fontId="11" fillId="11" borderId="9" xfId="0" applyNumberFormat="1" applyFont="1" applyFill="1" applyBorder="1"/>
    <xf numFmtId="175" fontId="11" fillId="11" borderId="9" xfId="0" applyNumberFormat="1" applyFont="1" applyFill="1" applyBorder="1"/>
    <xf numFmtId="172" fontId="11" fillId="11" borderId="4" xfId="0" applyNumberFormat="1" applyFont="1" applyFill="1" applyBorder="1"/>
    <xf numFmtId="0" fontId="11" fillId="11" borderId="4" xfId="0" applyFont="1" applyFill="1" applyBorder="1" applyAlignment="1">
      <alignment horizontal="center" vertical="center"/>
    </xf>
    <xf numFmtId="171" fontId="11" fillId="11" borderId="4" xfId="0" applyNumberFormat="1" applyFont="1" applyFill="1" applyBorder="1"/>
    <xf numFmtId="175" fontId="11" fillId="11" borderId="4" xfId="0" applyNumberFormat="1" applyFont="1" applyFill="1" applyBorder="1"/>
    <xf numFmtId="175" fontId="11" fillId="11" borderId="4" xfId="17" applyNumberFormat="1" applyFont="1" applyFill="1" applyBorder="1"/>
    <xf numFmtId="0" fontId="11" fillId="11" borderId="11" xfId="0" applyFont="1" applyFill="1" applyBorder="1" applyAlignment="1">
      <alignment horizontal="center" vertical="center"/>
    </xf>
    <xf numFmtId="171" fontId="11" fillId="11" borderId="11" xfId="0" applyNumberFormat="1" applyFont="1" applyFill="1" applyBorder="1"/>
    <xf numFmtId="175" fontId="11" fillId="11" borderId="11" xfId="0" applyNumberFormat="1" applyFont="1" applyFill="1" applyBorder="1"/>
    <xf numFmtId="175" fontId="11" fillId="11" borderId="11" xfId="17" applyNumberFormat="1" applyFont="1" applyFill="1" applyBorder="1"/>
    <xf numFmtId="172" fontId="11" fillId="11" borderId="11" xfId="0" applyNumberFormat="1" applyFont="1" applyFill="1" applyBorder="1"/>
    <xf numFmtId="171" fontId="11" fillId="11" borderId="2" xfId="0" applyNumberFormat="1" applyFont="1" applyFill="1" applyBorder="1" applyAlignment="1">
      <alignment horizontal="center" vertical="center"/>
    </xf>
    <xf numFmtId="171" fontId="11" fillId="11" borderId="2" xfId="0" applyNumberFormat="1" applyFont="1" applyFill="1" applyBorder="1" applyAlignment="1">
      <alignment vertical="center"/>
    </xf>
    <xf numFmtId="172" fontId="11" fillId="11" borderId="2" xfId="0" applyNumberFormat="1" applyFont="1" applyFill="1" applyBorder="1" applyAlignment="1">
      <alignment horizontal="center" vertical="center"/>
    </xf>
    <xf numFmtId="172" fontId="11" fillId="11" borderId="9" xfId="0" applyNumberFormat="1" applyFont="1" applyFill="1" applyBorder="1"/>
    <xf numFmtId="172" fontId="11" fillId="11" borderId="4" xfId="0" applyNumberFormat="1" applyFont="1" applyFill="1" applyBorder="1" applyAlignment="1"/>
    <xf numFmtId="172" fontId="11" fillId="11" borderId="11" xfId="0" applyNumberFormat="1" applyFont="1" applyFill="1" applyBorder="1" applyAlignment="1"/>
    <xf numFmtId="175" fontId="11" fillId="11" borderId="14" xfId="0" applyNumberFormat="1" applyFont="1" applyFill="1" applyBorder="1"/>
    <xf numFmtId="172" fontId="11" fillId="11" borderId="6" xfId="0" applyNumberFormat="1" applyFont="1" applyFill="1" applyBorder="1"/>
    <xf numFmtId="175" fontId="11" fillId="11" borderId="6" xfId="0" applyNumberFormat="1" applyFont="1" applyFill="1" applyBorder="1"/>
    <xf numFmtId="175" fontId="11" fillId="11" borderId="7" xfId="0" applyNumberFormat="1" applyFont="1" applyFill="1" applyBorder="1"/>
    <xf numFmtId="172" fontId="11" fillId="11" borderId="7" xfId="0" applyNumberFormat="1" applyFont="1" applyFill="1" applyBorder="1"/>
    <xf numFmtId="0" fontId="11" fillId="8" borderId="0" xfId="0" applyNumberFormat="1" applyFont="1" applyFill="1" applyBorder="1" applyAlignment="1"/>
    <xf numFmtId="179" fontId="11" fillId="8" borderId="4" xfId="0" applyNumberFormat="1" applyFont="1" applyFill="1" applyBorder="1" applyAlignment="1"/>
    <xf numFmtId="0" fontId="11" fillId="9" borderId="2" xfId="8" applyFont="1" applyFill="1" applyBorder="1" applyAlignment="1">
      <alignment horizontal="center" vertical="center" wrapText="1"/>
    </xf>
    <xf numFmtId="0" fontId="11" fillId="8" borderId="0" xfId="8" applyFont="1" applyFill="1"/>
    <xf numFmtId="0" fontId="0" fillId="8" borderId="0" xfId="0" applyFill="1"/>
    <xf numFmtId="172" fontId="11" fillId="8" borderId="0" xfId="8" applyNumberFormat="1" applyFont="1" applyFill="1"/>
    <xf numFmtId="177" fontId="11" fillId="8" borderId="0" xfId="8" applyNumberFormat="1" applyFont="1" applyFill="1"/>
    <xf numFmtId="0" fontId="11" fillId="11" borderId="9" xfId="8" applyFont="1" applyFill="1" applyBorder="1"/>
    <xf numFmtId="171" fontId="11" fillId="11" borderId="9" xfId="8" applyNumberFormat="1" applyFont="1" applyFill="1" applyBorder="1"/>
    <xf numFmtId="172" fontId="11" fillId="11" borderId="9" xfId="11" applyNumberFormat="1" applyFont="1" applyFill="1" applyBorder="1"/>
    <xf numFmtId="172" fontId="11" fillId="11" borderId="9" xfId="8" applyNumberFormat="1" applyFont="1" applyFill="1" applyBorder="1"/>
    <xf numFmtId="0" fontId="11" fillId="11" borderId="4" xfId="8" applyFont="1" applyFill="1" applyBorder="1"/>
    <xf numFmtId="171" fontId="11" fillId="11" borderId="4" xfId="8" applyNumberFormat="1" applyFont="1" applyFill="1" applyBorder="1"/>
    <xf numFmtId="172" fontId="11" fillId="11" borderId="4" xfId="11" applyNumberFormat="1" applyFont="1" applyFill="1" applyBorder="1"/>
    <xf numFmtId="172" fontId="11" fillId="11" borderId="4" xfId="8" applyNumberFormat="1" applyFont="1" applyFill="1" applyBorder="1"/>
    <xf numFmtId="0" fontId="11" fillId="11" borderId="11" xfId="8" applyFont="1" applyFill="1" applyBorder="1"/>
    <xf numFmtId="171" fontId="11" fillId="11" borderId="11" xfId="8" applyNumberFormat="1" applyFont="1" applyFill="1" applyBorder="1"/>
    <xf numFmtId="172" fontId="11" fillId="11" borderId="11" xfId="11" applyNumberFormat="1" applyFont="1" applyFill="1" applyBorder="1"/>
    <xf numFmtId="172" fontId="11" fillId="11" borderId="11" xfId="8" applyNumberFormat="1" applyFont="1" applyFill="1" applyBorder="1"/>
    <xf numFmtId="0" fontId="11" fillId="3" borderId="5" xfId="0" applyFont="1" applyFill="1" applyBorder="1"/>
    <xf numFmtId="0" fontId="11" fillId="3" borderId="21" xfId="0" applyFont="1" applyFill="1" applyBorder="1"/>
    <xf numFmtId="0" fontId="11" fillId="3" borderId="8" xfId="0" applyFont="1" applyFill="1" applyBorder="1"/>
    <xf numFmtId="0" fontId="11" fillId="8" borderId="0" xfId="14" applyFont="1" applyFill="1"/>
    <xf numFmtId="0" fontId="17" fillId="9" borderId="2" xfId="14" applyFont="1" applyFill="1" applyBorder="1" applyAlignment="1">
      <alignment horizontal="center" vertical="center" wrapText="1"/>
    </xf>
    <xf numFmtId="0" fontId="17" fillId="9" borderId="2" xfId="30" applyFont="1" applyFill="1" applyBorder="1" applyAlignment="1">
      <alignment horizontal="center" vertical="center" wrapText="1"/>
    </xf>
    <xf numFmtId="0" fontId="11" fillId="9" borderId="2" xfId="14" applyFont="1" applyFill="1" applyBorder="1" applyAlignment="1">
      <alignment horizontal="center" vertical="center"/>
    </xf>
    <xf numFmtId="0" fontId="11" fillId="9" borderId="2" xfId="14" applyFont="1" applyFill="1" applyBorder="1" applyAlignment="1">
      <alignment horizontal="center" vertical="center" wrapText="1"/>
    </xf>
    <xf numFmtId="0" fontId="11" fillId="9" borderId="12" xfId="14" applyFont="1" applyFill="1" applyBorder="1" applyAlignment="1">
      <alignment horizontal="centerContinuous" vertical="center"/>
    </xf>
    <xf numFmtId="0" fontId="11" fillId="9" borderId="13" xfId="14" applyFont="1" applyFill="1" applyBorder="1" applyAlignment="1">
      <alignment horizontal="centerContinuous" vertical="center"/>
    </xf>
    <xf numFmtId="0" fontId="11" fillId="9" borderId="3" xfId="14" applyFont="1" applyFill="1" applyBorder="1" applyAlignment="1">
      <alignment horizontal="centerContinuous" vertical="center"/>
    </xf>
    <xf numFmtId="0" fontId="11" fillId="9" borderId="14" xfId="14" applyFont="1" applyFill="1" applyBorder="1" applyAlignment="1">
      <alignment horizontal="centerContinuous" vertical="center"/>
    </xf>
    <xf numFmtId="0" fontId="11" fillId="9" borderId="19" xfId="14" applyFont="1" applyFill="1" applyBorder="1" applyAlignment="1">
      <alignment horizontal="centerContinuous" vertical="center"/>
    </xf>
    <xf numFmtId="0" fontId="11" fillId="9" borderId="15" xfId="14" applyFont="1" applyFill="1" applyBorder="1" applyAlignment="1">
      <alignment horizontal="centerContinuous" vertical="center"/>
    </xf>
    <xf numFmtId="0" fontId="11" fillId="9" borderId="20" xfId="14" applyFont="1" applyFill="1" applyBorder="1" applyAlignment="1">
      <alignment horizontal="centerContinuous" vertical="center"/>
    </xf>
    <xf numFmtId="0" fontId="11" fillId="9" borderId="10" xfId="14" applyFont="1" applyFill="1" applyBorder="1" applyAlignment="1">
      <alignment horizontal="centerContinuous" vertical="center"/>
    </xf>
    <xf numFmtId="0" fontId="11" fillId="8" borderId="1" xfId="14" applyFont="1" applyFill="1" applyBorder="1"/>
    <xf numFmtId="0" fontId="11" fillId="8" borderId="1" xfId="14" applyFont="1" applyFill="1" applyBorder="1" applyAlignment="1">
      <alignment horizontal="center"/>
    </xf>
    <xf numFmtId="0" fontId="11" fillId="8" borderId="0" xfId="14" applyFont="1" applyFill="1" applyBorder="1"/>
    <xf numFmtId="0" fontId="11" fillId="8" borderId="0" xfId="14" applyFont="1" applyFill="1" applyBorder="1" applyAlignment="1">
      <alignment horizontal="center" vertical="center"/>
    </xf>
    <xf numFmtId="0" fontId="11" fillId="8" borderId="0" xfId="30" applyFont="1" applyFill="1"/>
    <xf numFmtId="172" fontId="11" fillId="8" borderId="0" xfId="40" applyNumberFormat="1" applyFont="1" applyFill="1"/>
    <xf numFmtId="0" fontId="11" fillId="8" borderId="0" xfId="14" applyFont="1" applyFill="1" applyAlignment="1">
      <alignment horizontal="left"/>
    </xf>
    <xf numFmtId="0" fontId="11" fillId="8" borderId="15" xfId="14" applyFont="1" applyFill="1" applyBorder="1"/>
    <xf numFmtId="171" fontId="11" fillId="8" borderId="0" xfId="0" applyNumberFormat="1" applyFont="1" applyFill="1"/>
    <xf numFmtId="171" fontId="11" fillId="8" borderId="0" xfId="0" applyNumberFormat="1" applyFont="1" applyFill="1" applyBorder="1"/>
    <xf numFmtId="172" fontId="20" fillId="11" borderId="2" xfId="0" applyNumberFormat="1" applyFont="1" applyFill="1" applyBorder="1"/>
    <xf numFmtId="2" fontId="20" fillId="11" borderId="2" xfId="0" applyNumberFormat="1" applyFont="1" applyFill="1" applyBorder="1"/>
    <xf numFmtId="2" fontId="11" fillId="11" borderId="4" xfId="0" applyNumberFormat="1" applyFont="1" applyFill="1" applyBorder="1"/>
    <xf numFmtId="2" fontId="11" fillId="11" borderId="11" xfId="0" applyNumberFormat="1" applyFont="1" applyFill="1" applyBorder="1"/>
    <xf numFmtId="172" fontId="11" fillId="11" borderId="2" xfId="0" applyNumberFormat="1" applyFont="1" applyFill="1" applyBorder="1"/>
    <xf numFmtId="0" fontId="11" fillId="11" borderId="6" xfId="14" applyFont="1" applyFill="1" applyBorder="1"/>
    <xf numFmtId="172" fontId="11" fillId="11" borderId="4" xfId="14" applyNumberFormat="1" applyFont="1" applyFill="1" applyBorder="1"/>
    <xf numFmtId="172" fontId="11" fillId="11" borderId="4" xfId="14" applyNumberFormat="1" applyFont="1" applyFill="1" applyBorder="1" applyAlignment="1">
      <alignment horizontal="center" vertical="center"/>
    </xf>
    <xf numFmtId="171" fontId="11" fillId="11" borderId="4" xfId="14" applyNumberFormat="1" applyFont="1" applyFill="1" applyBorder="1"/>
    <xf numFmtId="175" fontId="11" fillId="11" borderId="4" xfId="14" applyNumberFormat="1" applyFont="1" applyFill="1" applyBorder="1"/>
    <xf numFmtId="0" fontId="11" fillId="11" borderId="7" xfId="14" applyFont="1" applyFill="1" applyBorder="1"/>
    <xf numFmtId="172" fontId="11" fillId="11" borderId="11" xfId="14" applyNumberFormat="1" applyFont="1" applyFill="1" applyBorder="1"/>
    <xf numFmtId="172" fontId="11" fillId="11" borderId="11" xfId="14" applyNumberFormat="1" applyFont="1" applyFill="1" applyBorder="1" applyAlignment="1">
      <alignment horizontal="center" vertical="center"/>
    </xf>
    <xf numFmtId="171" fontId="11" fillId="11" borderId="11" xfId="14" applyNumberFormat="1" applyFont="1" applyFill="1" applyBorder="1"/>
    <xf numFmtId="175" fontId="11" fillId="11" borderId="11" xfId="14" applyNumberFormat="1" applyFont="1" applyFill="1" applyBorder="1"/>
    <xf numFmtId="175" fontId="11" fillId="11" borderId="9" xfId="14" applyNumberFormat="1" applyFont="1" applyFill="1" applyBorder="1"/>
    <xf numFmtId="0" fontId="11" fillId="11" borderId="4" xfId="14" applyFont="1" applyFill="1" applyBorder="1"/>
    <xf numFmtId="172" fontId="11" fillId="11" borderId="4" xfId="14" applyNumberFormat="1" applyFont="1" applyFill="1" applyBorder="1" applyAlignment="1">
      <alignment horizontal="center"/>
    </xf>
    <xf numFmtId="0" fontId="11" fillId="11" borderId="11" xfId="14" applyFont="1" applyFill="1" applyBorder="1"/>
    <xf numFmtId="172" fontId="11" fillId="11" borderId="11" xfId="14" applyNumberFormat="1" applyFont="1" applyFill="1" applyBorder="1" applyAlignment="1">
      <alignment horizontal="center"/>
    </xf>
    <xf numFmtId="0" fontId="22" fillId="11" borderId="4" xfId="41" applyFont="1" applyFill="1" applyBorder="1"/>
    <xf numFmtId="171" fontId="22" fillId="11" borderId="4" xfId="41" applyNumberFormat="1" applyFont="1" applyFill="1" applyBorder="1"/>
    <xf numFmtId="180" fontId="11" fillId="11" borderId="4" xfId="0" applyNumberFormat="1" applyFont="1" applyFill="1" applyBorder="1"/>
    <xf numFmtId="0" fontId="22" fillId="11" borderId="11" xfId="41" applyFont="1" applyFill="1" applyBorder="1"/>
    <xf numFmtId="171" fontId="22" fillId="11" borderId="11" xfId="41" applyNumberFormat="1" applyFont="1" applyFill="1" applyBorder="1"/>
    <xf numFmtId="180" fontId="11" fillId="11" borderId="11" xfId="0" applyNumberFormat="1" applyFont="1" applyFill="1" applyBorder="1"/>
    <xf numFmtId="0" fontId="11" fillId="8" borderId="0" xfId="0" applyFont="1" applyFill="1" applyAlignment="1">
      <alignment horizontal="right"/>
    </xf>
    <xf numFmtId="0" fontId="11" fillId="9" borderId="9" xfId="14" applyFont="1" applyFill="1" applyBorder="1" applyAlignment="1">
      <alignment horizontal="center" vertical="center" wrapText="1"/>
    </xf>
    <xf numFmtId="0" fontId="11" fillId="9" borderId="22" xfId="14" applyFont="1" applyFill="1" applyBorder="1" applyAlignment="1">
      <alignment horizontal="centerContinuous" vertical="center"/>
    </xf>
    <xf numFmtId="0" fontId="11" fillId="9" borderId="25" xfId="14" applyFont="1" applyFill="1" applyBorder="1" applyAlignment="1">
      <alignment horizontal="centerContinuous" vertical="center"/>
    </xf>
    <xf numFmtId="0" fontId="11" fillId="9" borderId="11" xfId="0" applyFont="1" applyFill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center" vertical="center" wrapText="1"/>
    </xf>
    <xf numFmtId="0" fontId="11" fillId="8" borderId="0" xfId="8" applyFont="1" applyFill="1" applyBorder="1"/>
    <xf numFmtId="171" fontId="11" fillId="8" borderId="0" xfId="8" applyNumberFormat="1" applyFont="1" applyFill="1" applyBorder="1"/>
    <xf numFmtId="172" fontId="11" fillId="8" borderId="0" xfId="11" applyNumberFormat="1" applyFont="1" applyFill="1" applyBorder="1"/>
    <xf numFmtId="172" fontId="11" fillId="8" borderId="0" xfId="8" applyNumberFormat="1" applyFont="1" applyFill="1" applyBorder="1"/>
    <xf numFmtId="0" fontId="13" fillId="9" borderId="23" xfId="16" applyFont="1" applyFill="1" applyBorder="1" applyAlignment="1">
      <alignment horizontal="centerContinuous" vertical="center"/>
    </xf>
    <xf numFmtId="0" fontId="13" fillId="9" borderId="24" xfId="16" applyFont="1" applyFill="1" applyBorder="1" applyAlignment="1">
      <alignment horizontal="centerContinuous" vertical="center"/>
    </xf>
    <xf numFmtId="0" fontId="13" fillId="9" borderId="18" xfId="16" applyFont="1" applyFill="1" applyBorder="1" applyAlignment="1">
      <alignment horizontal="centerContinuous" vertical="center"/>
    </xf>
    <xf numFmtId="0" fontId="11" fillId="3" borderId="6" xfId="15" applyFont="1" applyFill="1" applyBorder="1"/>
    <xf numFmtId="0" fontId="11" fillId="3" borderId="5" xfId="15" applyFont="1" applyFill="1" applyBorder="1"/>
    <xf numFmtId="0" fontId="11" fillId="5" borderId="6" xfId="15" applyFont="1" applyFill="1" applyBorder="1"/>
    <xf numFmtId="0" fontId="11" fillId="5" borderId="0" xfId="15" applyFont="1" applyFill="1" applyBorder="1"/>
    <xf numFmtId="0" fontId="11" fillId="3" borderId="7" xfId="15" applyFont="1" applyFill="1" applyBorder="1"/>
    <xf numFmtId="0" fontId="11" fillId="3" borderId="21" xfId="15" applyFont="1" applyFill="1" applyBorder="1" applyAlignment="1">
      <alignment horizontal="center"/>
    </xf>
    <xf numFmtId="0" fontId="15" fillId="3" borderId="21" xfId="15" applyFont="1" applyFill="1" applyBorder="1" applyAlignment="1">
      <alignment horizontal="right" vertical="center"/>
    </xf>
    <xf numFmtId="0" fontId="11" fillId="3" borderId="8" xfId="15" applyFont="1" applyFill="1" applyBorder="1"/>
    <xf numFmtId="0" fontId="14" fillId="3" borderId="6" xfId="14" applyFont="1" applyFill="1" applyBorder="1"/>
    <xf numFmtId="0" fontId="14" fillId="3" borderId="5" xfId="14" applyFont="1" applyFill="1" applyBorder="1"/>
    <xf numFmtId="15" fontId="14" fillId="3" borderId="5" xfId="14" applyNumberFormat="1" applyFont="1" applyFill="1" applyBorder="1"/>
    <xf numFmtId="0" fontId="14" fillId="3" borderId="7" xfId="14" applyFont="1" applyFill="1" applyBorder="1"/>
    <xf numFmtId="0" fontId="14" fillId="3" borderId="21" xfId="14" applyFont="1" applyFill="1" applyBorder="1"/>
    <xf numFmtId="0" fontId="14" fillId="3" borderId="8" xfId="14" applyFont="1" applyFill="1" applyBorder="1"/>
    <xf numFmtId="0" fontId="11" fillId="3" borderId="6" xfId="0" applyFont="1" applyFill="1" applyBorder="1"/>
    <xf numFmtId="0" fontId="11" fillId="3" borderId="7" xfId="0" applyFont="1" applyFill="1" applyBorder="1"/>
    <xf numFmtId="0" fontId="11" fillId="5" borderId="5" xfId="15" applyFont="1" applyFill="1" applyBorder="1"/>
    <xf numFmtId="0" fontId="11" fillId="3" borderId="21" xfId="15" applyFont="1" applyFill="1" applyBorder="1"/>
    <xf numFmtId="0" fontId="16" fillId="3" borderId="5" xfId="15" applyFont="1" applyFill="1" applyBorder="1" applyAlignment="1">
      <alignment horizontal="right"/>
    </xf>
    <xf numFmtId="0" fontId="13" fillId="9" borderId="12" xfId="16" applyFont="1" applyFill="1" applyBorder="1" applyAlignment="1">
      <alignment horizontal="centerContinuous" vertical="center"/>
    </xf>
    <xf numFmtId="0" fontId="13" fillId="9" borderId="22" xfId="16" applyFont="1" applyFill="1" applyBorder="1" applyAlignment="1">
      <alignment horizontal="centerContinuous" vertical="center"/>
    </xf>
    <xf numFmtId="0" fontId="13" fillId="9" borderId="17" xfId="16" applyFont="1" applyFill="1" applyBorder="1" applyAlignment="1">
      <alignment horizontal="centerContinuous" vertical="center"/>
    </xf>
    <xf numFmtId="171" fontId="11" fillId="12" borderId="2" xfId="15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center" vertical="center"/>
    </xf>
    <xf numFmtId="172" fontId="11" fillId="13" borderId="2" xfId="0" applyNumberFormat="1" applyFont="1" applyFill="1" applyBorder="1"/>
    <xf numFmtId="172" fontId="11" fillId="8" borderId="2" xfId="0" applyNumberFormat="1" applyFont="1" applyFill="1" applyBorder="1"/>
    <xf numFmtId="2" fontId="11" fillId="11" borderId="9" xfId="0" applyNumberFormat="1" applyFont="1" applyFill="1" applyBorder="1"/>
    <xf numFmtId="0" fontId="11" fillId="8" borderId="14" xfId="0" applyFont="1" applyFill="1" applyBorder="1"/>
    <xf numFmtId="0" fontId="11" fillId="8" borderId="15" xfId="0" applyFont="1" applyFill="1" applyBorder="1"/>
    <xf numFmtId="0" fontId="11" fillId="8" borderId="6" xfId="0" applyFont="1" applyFill="1" applyBorder="1"/>
    <xf numFmtId="0" fontId="11" fillId="8" borderId="7" xfId="0" applyFont="1" applyFill="1" applyBorder="1"/>
    <xf numFmtId="0" fontId="11" fillId="8" borderId="21" xfId="0" applyFont="1" applyFill="1" applyBorder="1"/>
    <xf numFmtId="0" fontId="11" fillId="11" borderId="3" xfId="0" applyFont="1" applyFill="1" applyBorder="1"/>
    <xf numFmtId="0" fontId="11" fillId="11" borderId="10" xfId="0" applyFont="1" applyFill="1" applyBorder="1"/>
    <xf numFmtId="0" fontId="11" fillId="11" borderId="5" xfId="0" applyFont="1" applyFill="1" applyBorder="1"/>
    <xf numFmtId="0" fontId="11" fillId="11" borderId="8" xfId="0" applyFont="1" applyFill="1" applyBorder="1"/>
    <xf numFmtId="0" fontId="11" fillId="8" borderId="5" xfId="0" applyFont="1" applyFill="1" applyBorder="1"/>
    <xf numFmtId="0" fontId="11" fillId="8" borderId="10" xfId="0" applyFont="1" applyFill="1" applyBorder="1"/>
    <xf numFmtId="0" fontId="11" fillId="8" borderId="8" xfId="0" applyFont="1" applyFill="1" applyBorder="1"/>
    <xf numFmtId="0" fontId="11" fillId="8" borderId="12" xfId="0" applyFont="1" applyFill="1" applyBorder="1"/>
    <xf numFmtId="0" fontId="11" fillId="8" borderId="13" xfId="0" applyFont="1" applyFill="1" applyBorder="1"/>
    <xf numFmtId="0" fontId="11" fillId="8" borderId="3" xfId="0" applyFont="1" applyFill="1" applyBorder="1" applyAlignment="1">
      <alignment horizontal="right"/>
    </xf>
    <xf numFmtId="172" fontId="11" fillId="12" borderId="2" xfId="0" applyNumberFormat="1" applyFont="1" applyFill="1" applyBorder="1"/>
    <xf numFmtId="0" fontId="11" fillId="11" borderId="3" xfId="0" applyFont="1" applyFill="1" applyBorder="1" applyAlignment="1">
      <alignment vertical="center"/>
    </xf>
    <xf numFmtId="0" fontId="17" fillId="7" borderId="12" xfId="0" applyFont="1" applyFill="1" applyBorder="1" applyAlignment="1">
      <alignment horizontal="centerContinuous" vertical="center" wrapText="1"/>
    </xf>
    <xf numFmtId="0" fontId="17" fillId="7" borderId="3" xfId="0" applyFont="1" applyFill="1" applyBorder="1" applyAlignment="1">
      <alignment horizontal="centerContinuous" vertical="center" wrapText="1"/>
    </xf>
    <xf numFmtId="0" fontId="11" fillId="8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horizontal="center" vertical="center"/>
    </xf>
    <xf numFmtId="0" fontId="21" fillId="8" borderId="0" xfId="0" applyFont="1" applyFill="1" applyBorder="1" applyAlignment="1">
      <alignment horizontal="center" vertical="center"/>
    </xf>
    <xf numFmtId="172" fontId="11" fillId="12" borderId="4" xfId="17" applyNumberFormat="1" applyFont="1" applyFill="1" applyBorder="1"/>
    <xf numFmtId="172" fontId="11" fillId="12" borderId="11" xfId="0" applyNumberFormat="1" applyFont="1" applyFill="1" applyBorder="1"/>
    <xf numFmtId="0" fontId="11" fillId="14" borderId="12" xfId="0" applyFont="1" applyFill="1" applyBorder="1" applyAlignment="1">
      <alignment horizontal="centerContinuous" vertical="center"/>
    </xf>
    <xf numFmtId="0" fontId="11" fillId="14" borderId="13" xfId="0" applyFont="1" applyFill="1" applyBorder="1" applyAlignment="1">
      <alignment horizontal="centerContinuous" vertical="center"/>
    </xf>
    <xf numFmtId="0" fontId="11" fillId="14" borderId="3" xfId="0" applyFont="1" applyFill="1" applyBorder="1" applyAlignment="1">
      <alignment horizontal="centerContinuous" vertical="center"/>
    </xf>
    <xf numFmtId="0" fontId="11" fillId="9" borderId="12" xfId="0" applyFont="1" applyFill="1" applyBorder="1" applyAlignment="1">
      <alignment horizontal="centerContinuous" vertical="center" wrapText="1"/>
    </xf>
    <xf numFmtId="0" fontId="11" fillId="9" borderId="3" xfId="0" applyFont="1" applyFill="1" applyBorder="1" applyAlignment="1">
      <alignment horizontal="centerContinuous" vertical="center"/>
    </xf>
    <xf numFmtId="0" fontId="11" fillId="9" borderId="13" xfId="0" applyFont="1" applyFill="1" applyBorder="1" applyAlignment="1">
      <alignment horizontal="centerContinuous" vertical="center"/>
    </xf>
    <xf numFmtId="175" fontId="11" fillId="8" borderId="0" xfId="0" applyNumberFormat="1" applyFont="1" applyFill="1" applyBorder="1" applyAlignment="1"/>
    <xf numFmtId="173" fontId="11" fillId="8" borderId="0" xfId="0" applyNumberFormat="1" applyFont="1" applyFill="1" applyBorder="1" applyAlignment="1"/>
    <xf numFmtId="0" fontId="11" fillId="8" borderId="5" xfId="0" applyFont="1" applyFill="1" applyBorder="1" applyAlignment="1">
      <alignment vertical="center"/>
    </xf>
    <xf numFmtId="0" fontId="11" fillId="9" borderId="12" xfId="0" applyFont="1" applyFill="1" applyBorder="1" applyAlignment="1">
      <alignment horizontal="centerContinuous" vertical="center"/>
    </xf>
    <xf numFmtId="0" fontId="11" fillId="9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172" fontId="11" fillId="12" borderId="4" xfId="0" applyNumberFormat="1" applyFont="1" applyFill="1" applyBorder="1"/>
    <xf numFmtId="0" fontId="11" fillId="11" borderId="26" xfId="0" applyFont="1" applyFill="1" applyBorder="1" applyAlignment="1">
      <alignment horizontal="center" vertical="center"/>
    </xf>
    <xf numFmtId="173" fontId="11" fillId="11" borderId="26" xfId="0" applyNumberFormat="1" applyFont="1" applyFill="1" applyBorder="1"/>
    <xf numFmtId="172" fontId="11" fillId="12" borderId="26" xfId="0" applyNumberFormat="1" applyFont="1" applyFill="1" applyBorder="1"/>
    <xf numFmtId="171" fontId="11" fillId="8" borderId="0" xfId="0" applyNumberFormat="1" applyFont="1" applyFill="1" applyAlignment="1">
      <alignment horizontal="center" vertical="center"/>
    </xf>
    <xf numFmtId="0" fontId="11" fillId="9" borderId="12" xfId="0" applyFont="1" applyFill="1" applyBorder="1" applyAlignment="1">
      <alignment horizontal="center"/>
    </xf>
    <xf numFmtId="0" fontId="17" fillId="7" borderId="22" xfId="0" applyFont="1" applyFill="1" applyBorder="1" applyAlignment="1">
      <alignment horizontal="centerContinuous" vertical="center" wrapText="1"/>
    </xf>
    <xf numFmtId="0" fontId="17" fillId="7" borderId="25" xfId="0" applyFont="1" applyFill="1" applyBorder="1" applyAlignment="1">
      <alignment horizontal="centerContinuous" vertical="center" wrapText="1"/>
    </xf>
    <xf numFmtId="0" fontId="17" fillId="7" borderId="17" xfId="0" applyFont="1" applyFill="1" applyBorder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172" fontId="11" fillId="12" borderId="29" xfId="0" applyNumberFormat="1" applyFont="1" applyFill="1" applyBorder="1"/>
    <xf numFmtId="172" fontId="11" fillId="12" borderId="30" xfId="0" applyNumberFormat="1" applyFont="1" applyFill="1" applyBorder="1"/>
    <xf numFmtId="172" fontId="11" fillId="12" borderId="31" xfId="0" applyNumberFormat="1" applyFont="1" applyFill="1" applyBorder="1"/>
    <xf numFmtId="172" fontId="11" fillId="12" borderId="32" xfId="0" applyNumberFormat="1" applyFont="1" applyFill="1" applyBorder="1"/>
    <xf numFmtId="172" fontId="11" fillId="12" borderId="33" xfId="0" applyNumberFormat="1" applyFont="1" applyFill="1" applyBorder="1"/>
    <xf numFmtId="172" fontId="11" fillId="12" borderId="34" xfId="0" applyNumberFormat="1" applyFont="1" applyFill="1" applyBorder="1"/>
    <xf numFmtId="172" fontId="11" fillId="9" borderId="18" xfId="0" applyNumberFormat="1" applyFont="1" applyFill="1" applyBorder="1"/>
    <xf numFmtId="172" fontId="11" fillId="9" borderId="35" xfId="0" applyNumberFormat="1" applyFont="1" applyFill="1" applyBorder="1"/>
    <xf numFmtId="172" fontId="11" fillId="9" borderId="36" xfId="0" applyNumberFormat="1" applyFont="1" applyFill="1" applyBorder="1"/>
    <xf numFmtId="0" fontId="17" fillId="7" borderId="37" xfId="0" applyFont="1" applyFill="1" applyBorder="1" applyAlignment="1">
      <alignment horizontal="centerContinuous" vertical="center" wrapText="1"/>
    </xf>
    <xf numFmtId="0" fontId="17" fillId="7" borderId="38" xfId="0" applyFont="1" applyFill="1" applyBorder="1" applyAlignment="1">
      <alignment horizontal="centerContinuous" vertical="center" wrapText="1"/>
    </xf>
    <xf numFmtId="0" fontId="17" fillId="7" borderId="39" xfId="0" applyFont="1" applyFill="1" applyBorder="1" applyAlignment="1">
      <alignment horizontal="centerContinuous" vertical="center" wrapText="1"/>
    </xf>
    <xf numFmtId="172" fontId="11" fillId="12" borderId="11" xfId="17" applyNumberFormat="1" applyFont="1" applyFill="1" applyBorder="1"/>
    <xf numFmtId="172" fontId="11" fillId="11" borderId="16" xfId="0" applyNumberFormat="1" applyFont="1" applyFill="1" applyBorder="1"/>
    <xf numFmtId="172" fontId="11" fillId="11" borderId="40" xfId="0" applyNumberFormat="1" applyFont="1" applyFill="1" applyBorder="1"/>
    <xf numFmtId="172" fontId="11" fillId="11" borderId="41" xfId="0" applyNumberFormat="1" applyFont="1" applyFill="1" applyBorder="1"/>
    <xf numFmtId="172" fontId="11" fillId="11" borderId="30" xfId="0" applyNumberFormat="1" applyFont="1" applyFill="1" applyBorder="1"/>
    <xf numFmtId="172" fontId="11" fillId="11" borderId="29" xfId="0" applyNumberFormat="1" applyFont="1" applyFill="1" applyBorder="1"/>
    <xf numFmtId="172" fontId="11" fillId="11" borderId="42" xfId="0" applyNumberFormat="1" applyFont="1" applyFill="1" applyBorder="1"/>
    <xf numFmtId="172" fontId="11" fillId="11" borderId="43" xfId="0" applyNumberFormat="1" applyFont="1" applyFill="1" applyBorder="1"/>
    <xf numFmtId="172" fontId="11" fillId="11" borderId="44" xfId="0" applyNumberFormat="1" applyFont="1" applyFill="1" applyBorder="1"/>
    <xf numFmtId="172" fontId="11" fillId="11" borderId="45" xfId="0" applyNumberFormat="1" applyFont="1" applyFill="1" applyBorder="1"/>
    <xf numFmtId="172" fontId="11" fillId="11" borderId="46" xfId="0" applyNumberFormat="1" applyFont="1" applyFill="1" applyBorder="1"/>
    <xf numFmtId="172" fontId="11" fillId="11" borderId="47" xfId="0" applyNumberFormat="1" applyFont="1" applyFill="1" applyBorder="1"/>
    <xf numFmtId="0" fontId="11" fillId="11" borderId="45" xfId="0" applyFont="1" applyFill="1" applyBorder="1" applyAlignment="1">
      <alignment horizontal="center" vertical="center"/>
    </xf>
    <xf numFmtId="0" fontId="11" fillId="8" borderId="48" xfId="0" applyFont="1" applyFill="1" applyBorder="1"/>
    <xf numFmtId="173" fontId="11" fillId="11" borderId="49" xfId="0" applyNumberFormat="1" applyFont="1" applyFill="1" applyBorder="1"/>
    <xf numFmtId="0" fontId="11" fillId="8" borderId="48" xfId="0" applyNumberFormat="1" applyFont="1" applyFill="1" applyBorder="1" applyAlignment="1"/>
    <xf numFmtId="0" fontId="11" fillId="11" borderId="49" xfId="0" applyFont="1" applyFill="1" applyBorder="1" applyAlignment="1"/>
    <xf numFmtId="0" fontId="11" fillId="11" borderId="26" xfId="0" applyFont="1" applyFill="1" applyBorder="1" applyAlignment="1"/>
    <xf numFmtId="172" fontId="11" fillId="11" borderId="26" xfId="0" applyNumberFormat="1" applyFont="1" applyFill="1" applyBorder="1" applyAlignment="1"/>
    <xf numFmtId="180" fontId="11" fillId="11" borderId="26" xfId="0" applyNumberFormat="1" applyFont="1" applyFill="1" applyBorder="1" applyAlignment="1"/>
    <xf numFmtId="172" fontId="11" fillId="12" borderId="26" xfId="17" applyNumberFormat="1" applyFont="1" applyFill="1" applyBorder="1"/>
    <xf numFmtId="0" fontId="11" fillId="11" borderId="42" xfId="0" applyFont="1" applyFill="1" applyBorder="1" applyAlignment="1"/>
    <xf numFmtId="172" fontId="11" fillId="11" borderId="42" xfId="0" applyNumberFormat="1" applyFont="1" applyFill="1" applyBorder="1" applyAlignment="1"/>
    <xf numFmtId="173" fontId="11" fillId="11" borderId="42" xfId="0" applyNumberFormat="1" applyFont="1" applyFill="1" applyBorder="1"/>
    <xf numFmtId="172" fontId="11" fillId="8" borderId="42" xfId="17" applyNumberFormat="1" applyFont="1" applyFill="1" applyBorder="1"/>
    <xf numFmtId="15" fontId="11" fillId="11" borderId="9" xfId="0" applyNumberFormat="1" applyFont="1" applyFill="1" applyBorder="1" applyAlignment="1"/>
    <xf numFmtId="15" fontId="11" fillId="11" borderId="9" xfId="0" applyNumberFormat="1" applyFont="1" applyFill="1" applyBorder="1"/>
    <xf numFmtId="15" fontId="11" fillId="11" borderId="4" xfId="0" applyNumberFormat="1" applyFont="1" applyFill="1" applyBorder="1" applyAlignment="1"/>
    <xf numFmtId="15" fontId="11" fillId="11" borderId="4" xfId="0" applyNumberFormat="1" applyFont="1" applyFill="1" applyBorder="1"/>
    <xf numFmtId="15" fontId="11" fillId="11" borderId="26" xfId="0" applyNumberFormat="1" applyFont="1" applyFill="1" applyBorder="1" applyAlignment="1"/>
    <xf numFmtId="15" fontId="11" fillId="11" borderId="26" xfId="0" applyNumberFormat="1" applyFont="1" applyFill="1" applyBorder="1"/>
    <xf numFmtId="15" fontId="11" fillId="11" borderId="11" xfId="0" applyNumberFormat="1" applyFont="1" applyFill="1" applyBorder="1" applyAlignment="1"/>
    <xf numFmtId="15" fontId="11" fillId="11" borderId="11" xfId="0" applyNumberFormat="1" applyFont="1" applyFill="1" applyBorder="1"/>
    <xf numFmtId="15" fontId="11" fillId="11" borderId="2" xfId="0" applyNumberFormat="1" applyFont="1" applyFill="1" applyBorder="1" applyAlignment="1"/>
    <xf numFmtId="15" fontId="11" fillId="11" borderId="2" xfId="0" applyNumberFormat="1" applyFont="1" applyFill="1" applyBorder="1"/>
    <xf numFmtId="15" fontId="11" fillId="11" borderId="45" xfId="0" applyNumberFormat="1" applyFont="1" applyFill="1" applyBorder="1" applyAlignment="1"/>
    <xf numFmtId="15" fontId="11" fillId="11" borderId="42" xfId="0" applyNumberFormat="1" applyFont="1" applyFill="1" applyBorder="1" applyAlignment="1"/>
    <xf numFmtId="0" fontId="11" fillId="9" borderId="2" xfId="0" applyFont="1" applyFill="1" applyBorder="1" applyAlignment="1">
      <alignment horizontal="center"/>
    </xf>
    <xf numFmtId="173" fontId="11" fillId="8" borderId="2" xfId="0" applyNumberFormat="1" applyFont="1" applyFill="1" applyBorder="1"/>
    <xf numFmtId="0" fontId="11" fillId="11" borderId="42" xfId="0" applyFont="1" applyFill="1" applyBorder="1" applyAlignment="1">
      <alignment horizontal="right"/>
    </xf>
    <xf numFmtId="0" fontId="11" fillId="11" borderId="4" xfId="0" applyFont="1" applyFill="1" applyBorder="1" applyAlignment="1">
      <alignment horizontal="right"/>
    </xf>
    <xf numFmtId="0" fontId="11" fillId="11" borderId="45" xfId="0" applyFont="1" applyFill="1" applyBorder="1" applyAlignment="1">
      <alignment horizontal="right"/>
    </xf>
    <xf numFmtId="0" fontId="11" fillId="9" borderId="2" xfId="0" applyFont="1" applyFill="1" applyBorder="1" applyAlignment="1">
      <alignment horizontal="right" vertical="center" wrapText="1"/>
    </xf>
    <xf numFmtId="172" fontId="11" fillId="12" borderId="9" xfId="0" applyNumberFormat="1" applyFont="1" applyFill="1" applyBorder="1"/>
    <xf numFmtId="15" fontId="11" fillId="8" borderId="0" xfId="0" applyNumberFormat="1" applyFont="1" applyFill="1"/>
    <xf numFmtId="175" fontId="11" fillId="8" borderId="0" xfId="0" applyNumberFormat="1" applyFont="1" applyFill="1"/>
    <xf numFmtId="183" fontId="11" fillId="8" borderId="0" xfId="0" applyNumberFormat="1" applyFont="1" applyFill="1"/>
    <xf numFmtId="172" fontId="11" fillId="11" borderId="3" xfId="0" applyNumberFormat="1" applyFont="1" applyFill="1" applyBorder="1" applyAlignment="1">
      <alignment vertical="center"/>
    </xf>
    <xf numFmtId="172" fontId="11" fillId="11" borderId="3" xfId="0" applyNumberFormat="1" applyFont="1" applyFill="1" applyBorder="1"/>
    <xf numFmtId="172" fontId="11" fillId="11" borderId="10" xfId="0" applyNumberFormat="1" applyFont="1" applyFill="1" applyBorder="1"/>
    <xf numFmtId="172" fontId="11" fillId="11" borderId="5" xfId="0" applyNumberFormat="1" applyFont="1" applyFill="1" applyBorder="1"/>
    <xf numFmtId="172" fontId="11" fillId="11" borderId="8" xfId="0" applyNumberFormat="1" applyFont="1" applyFill="1" applyBorder="1"/>
    <xf numFmtId="172" fontId="11" fillId="12" borderId="4" xfId="0" applyNumberFormat="1" applyFont="1" applyFill="1" applyBorder="1" applyAlignment="1"/>
    <xf numFmtId="172" fontId="11" fillId="12" borderId="11" xfId="0" applyNumberFormat="1" applyFont="1" applyFill="1" applyBorder="1" applyAlignment="1"/>
    <xf numFmtId="0" fontId="11" fillId="9" borderId="9" xfId="0" applyFont="1" applyFill="1" applyBorder="1" applyAlignment="1">
      <alignment horizontal="center" vertical="center" wrapText="1"/>
    </xf>
    <xf numFmtId="172" fontId="11" fillId="12" borderId="50" xfId="0" applyNumberFormat="1" applyFont="1" applyFill="1" applyBorder="1"/>
    <xf numFmtId="172" fontId="11" fillId="12" borderId="51" xfId="0" applyNumberFormat="1" applyFont="1" applyFill="1" applyBorder="1"/>
    <xf numFmtId="172" fontId="11" fillId="12" borderId="52" xfId="0" applyNumberFormat="1" applyFont="1" applyFill="1" applyBorder="1"/>
    <xf numFmtId="172" fontId="11" fillId="12" borderId="53" xfId="0" applyNumberFormat="1" applyFont="1" applyFill="1" applyBorder="1"/>
    <xf numFmtId="172" fontId="11" fillId="9" borderId="54" xfId="0" applyNumberFormat="1" applyFont="1" applyFill="1" applyBorder="1"/>
    <xf numFmtId="184" fontId="11" fillId="11" borderId="2" xfId="0" applyNumberFormat="1" applyFont="1" applyFill="1" applyBorder="1"/>
    <xf numFmtId="184" fontId="11" fillId="11" borderId="9" xfId="0" applyNumberFormat="1" applyFont="1" applyFill="1" applyBorder="1"/>
    <xf numFmtId="184" fontId="11" fillId="11" borderId="4" xfId="0" applyNumberFormat="1" applyFont="1" applyFill="1" applyBorder="1"/>
    <xf numFmtId="184" fontId="11" fillId="11" borderId="11" xfId="0" applyNumberFormat="1" applyFont="1" applyFill="1" applyBorder="1"/>
    <xf numFmtId="0" fontId="17" fillId="7" borderId="55" xfId="0" applyFont="1" applyFill="1" applyBorder="1" applyAlignment="1">
      <alignment horizontal="centerContinuous" vertical="center" wrapText="1"/>
    </xf>
    <xf numFmtId="0" fontId="17" fillId="7" borderId="21" xfId="0" applyFont="1" applyFill="1" applyBorder="1" applyAlignment="1">
      <alignment horizontal="centerContinuous" vertical="center" wrapText="1"/>
    </xf>
    <xf numFmtId="0" fontId="17" fillId="7" borderId="56" xfId="0" applyFont="1" applyFill="1" applyBorder="1" applyAlignment="1">
      <alignment horizontal="centerContinuous" vertical="center" wrapText="1"/>
    </xf>
    <xf numFmtId="180" fontId="11" fillId="11" borderId="42" xfId="0" applyNumberFormat="1" applyFont="1" applyFill="1" applyBorder="1" applyAlignment="1"/>
    <xf numFmtId="179" fontId="11" fillId="8" borderId="0" xfId="0" applyNumberFormat="1" applyFont="1" applyFill="1" applyBorder="1" applyAlignment="1"/>
    <xf numFmtId="0" fontId="11" fillId="8" borderId="57" xfId="0" applyFont="1" applyFill="1" applyBorder="1"/>
    <xf numFmtId="0" fontId="11" fillId="8" borderId="58" xfId="0" applyFont="1" applyFill="1" applyBorder="1"/>
    <xf numFmtId="0" fontId="11" fillId="8" borderId="58" xfId="0" applyFont="1" applyFill="1" applyBorder="1" applyAlignment="1">
      <alignment horizontal="center" vertical="center"/>
    </xf>
    <xf numFmtId="0" fontId="11" fillId="8" borderId="59" xfId="0" applyFont="1" applyFill="1" applyBorder="1"/>
    <xf numFmtId="0" fontId="11" fillId="9" borderId="0" xfId="0" applyFont="1" applyFill="1"/>
    <xf numFmtId="0" fontId="11" fillId="8" borderId="0" xfId="0" applyFont="1" applyFill="1" applyAlignment="1">
      <alignment horizontal="center" vertical="center"/>
    </xf>
    <xf numFmtId="0" fontId="11" fillId="8" borderId="4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172" fontId="11" fillId="12" borderId="42" xfId="0" applyNumberFormat="1" applyFont="1" applyFill="1" applyBorder="1" applyAlignment="1"/>
    <xf numFmtId="173" fontId="11" fillId="8" borderId="60" xfId="0" applyNumberFormat="1" applyFont="1" applyFill="1" applyBorder="1"/>
    <xf numFmtId="173" fontId="11" fillId="8" borderId="61" xfId="0" applyNumberFormat="1" applyFont="1" applyFill="1" applyBorder="1"/>
    <xf numFmtId="172" fontId="11" fillId="8" borderId="60" xfId="0" applyNumberFormat="1" applyFont="1" applyFill="1" applyBorder="1"/>
    <xf numFmtId="172" fontId="11" fillId="8" borderId="61" xfId="0" applyNumberFormat="1" applyFont="1" applyFill="1" applyBorder="1"/>
    <xf numFmtId="172" fontId="11" fillId="13" borderId="61" xfId="0" applyNumberFormat="1" applyFont="1" applyFill="1" applyBorder="1"/>
    <xf numFmtId="172" fontId="11" fillId="13" borderId="62" xfId="0" applyNumberFormat="1" applyFont="1" applyFill="1" applyBorder="1"/>
    <xf numFmtId="172" fontId="11" fillId="13" borderId="63" xfId="0" applyNumberFormat="1" applyFont="1" applyFill="1" applyBorder="1"/>
    <xf numFmtId="172" fontId="11" fillId="13" borderId="35" xfId="0" applyNumberFormat="1" applyFont="1" applyFill="1" applyBorder="1"/>
    <xf numFmtId="173" fontId="11" fillId="8" borderId="7" xfId="0" applyNumberFormat="1" applyFont="1" applyFill="1" applyBorder="1"/>
    <xf numFmtId="173" fontId="11" fillId="8" borderId="21" xfId="0" applyNumberFormat="1" applyFont="1" applyFill="1" applyBorder="1"/>
    <xf numFmtId="173" fontId="11" fillId="8" borderId="8" xfId="0" applyNumberFormat="1" applyFont="1" applyFill="1" applyBorder="1"/>
    <xf numFmtId="172" fontId="11" fillId="13" borderId="60" xfId="0" applyNumberFormat="1" applyFont="1" applyFill="1" applyBorder="1"/>
    <xf numFmtId="0" fontId="11" fillId="8" borderId="64" xfId="0" applyFont="1" applyFill="1" applyBorder="1"/>
    <xf numFmtId="172" fontId="11" fillId="11" borderId="59" xfId="0" applyNumberFormat="1" applyFont="1" applyFill="1" applyBorder="1"/>
    <xf numFmtId="172" fontId="11" fillId="11" borderId="65" xfId="0" applyNumberFormat="1" applyFont="1" applyFill="1" applyBorder="1"/>
    <xf numFmtId="1" fontId="11" fillId="11" borderId="4" xfId="0" applyNumberFormat="1" applyFont="1" applyFill="1" applyBorder="1"/>
    <xf numFmtId="1" fontId="11" fillId="11" borderId="11" xfId="0" applyNumberFormat="1" applyFont="1" applyFill="1" applyBorder="1"/>
    <xf numFmtId="1" fontId="11" fillId="11" borderId="42" xfId="0" applyNumberFormat="1" applyFont="1" applyFill="1" applyBorder="1"/>
    <xf numFmtId="15" fontId="11" fillId="11" borderId="14" xfId="0" applyNumberFormat="1" applyFont="1" applyFill="1" applyBorder="1"/>
    <xf numFmtId="15" fontId="11" fillId="11" borderId="6" xfId="0" applyNumberFormat="1" applyFont="1" applyFill="1" applyBorder="1"/>
    <xf numFmtId="15" fontId="11" fillId="11" borderId="27" xfId="0" applyNumberFormat="1" applyFont="1" applyFill="1" applyBorder="1"/>
    <xf numFmtId="15" fontId="11" fillId="11" borderId="7" xfId="0" applyNumberFormat="1" applyFont="1" applyFill="1" applyBorder="1"/>
    <xf numFmtId="15" fontId="11" fillId="11" borderId="12" xfId="0" applyNumberFormat="1" applyFont="1" applyFill="1" applyBorder="1"/>
    <xf numFmtId="15" fontId="11" fillId="11" borderId="14" xfId="0" applyNumberFormat="1" applyFont="1" applyFill="1" applyBorder="1" applyAlignment="1"/>
    <xf numFmtId="15" fontId="11" fillId="11" borderId="6" xfId="0" applyNumberFormat="1" applyFont="1" applyFill="1" applyBorder="1" applyAlignment="1"/>
    <xf numFmtId="15" fontId="11" fillId="11" borderId="66" xfId="0" applyNumberFormat="1" applyFont="1" applyFill="1" applyBorder="1" applyAlignment="1"/>
    <xf numFmtId="172" fontId="11" fillId="12" borderId="67" xfId="0" applyNumberFormat="1" applyFont="1" applyFill="1" applyBorder="1"/>
    <xf numFmtId="172" fontId="11" fillId="12" borderId="68" xfId="0" applyNumberFormat="1" applyFont="1" applyFill="1" applyBorder="1"/>
    <xf numFmtId="0" fontId="17" fillId="7" borderId="69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Continuous" vertical="center"/>
    </xf>
    <xf numFmtId="0" fontId="11" fillId="8" borderId="14" xfId="0" applyFont="1" applyFill="1" applyBorder="1" applyAlignment="1">
      <alignment horizontal="centerContinuous" vertical="center"/>
    </xf>
    <xf numFmtId="0" fontId="11" fillId="8" borderId="15" xfId="0" applyFont="1" applyFill="1" applyBorder="1" applyAlignment="1">
      <alignment horizontal="centerContinuous" vertical="center"/>
    </xf>
    <xf numFmtId="0" fontId="11" fillId="8" borderId="6" xfId="0" applyFont="1" applyFill="1" applyBorder="1" applyAlignment="1">
      <alignment horizontal="centerContinuous" vertical="center"/>
    </xf>
    <xf numFmtId="0" fontId="11" fillId="8" borderId="0" xfId="0" applyFont="1" applyFill="1" applyBorder="1" applyAlignment="1">
      <alignment horizontal="centerContinuous" vertical="center"/>
    </xf>
    <xf numFmtId="0" fontId="11" fillId="8" borderId="7" xfId="0" applyFont="1" applyFill="1" applyBorder="1" applyAlignment="1">
      <alignment horizontal="centerContinuous" vertical="center"/>
    </xf>
    <xf numFmtId="0" fontId="11" fillId="8" borderId="21" xfId="0" applyFont="1" applyFill="1" applyBorder="1" applyAlignment="1">
      <alignment horizontal="centerContinuous" vertical="center"/>
    </xf>
    <xf numFmtId="15" fontId="11" fillId="11" borderId="49" xfId="0" applyNumberFormat="1" applyFont="1" applyFill="1" applyBorder="1" applyAlignment="1"/>
    <xf numFmtId="172" fontId="11" fillId="11" borderId="49" xfId="0" applyNumberFormat="1" applyFont="1" applyFill="1" applyBorder="1" applyAlignment="1"/>
    <xf numFmtId="180" fontId="11" fillId="11" borderId="49" xfId="0" applyNumberFormat="1" applyFont="1" applyFill="1" applyBorder="1" applyAlignment="1"/>
    <xf numFmtId="172" fontId="11" fillId="12" borderId="49" xfId="17" applyNumberFormat="1" applyFont="1" applyFill="1" applyBorder="1"/>
    <xf numFmtId="172" fontId="11" fillId="12" borderId="26" xfId="0" applyNumberFormat="1" applyFont="1" applyFill="1" applyBorder="1" applyAlignment="1"/>
    <xf numFmtId="172" fontId="11" fillId="12" borderId="49" xfId="0" applyNumberFormat="1" applyFont="1" applyFill="1" applyBorder="1" applyAlignment="1"/>
    <xf numFmtId="1" fontId="11" fillId="11" borderId="49" xfId="0" applyNumberFormat="1" applyFont="1" applyFill="1" applyBorder="1"/>
    <xf numFmtId="15" fontId="11" fillId="11" borderId="68" xfId="0" applyNumberFormat="1" applyFont="1" applyFill="1" applyBorder="1"/>
    <xf numFmtId="15" fontId="11" fillId="11" borderId="30" xfId="0" applyNumberFormat="1" applyFont="1" applyFill="1" applyBorder="1"/>
    <xf numFmtId="172" fontId="11" fillId="11" borderId="67" xfId="0" applyNumberFormat="1" applyFont="1" applyFill="1" applyBorder="1"/>
    <xf numFmtId="172" fontId="11" fillId="11" borderId="68" xfId="0" applyNumberFormat="1" applyFont="1" applyFill="1" applyBorder="1"/>
    <xf numFmtId="15" fontId="11" fillId="11" borderId="7" xfId="0" applyNumberFormat="1" applyFont="1" applyFill="1" applyBorder="1" applyAlignment="1"/>
    <xf numFmtId="172" fontId="11" fillId="11" borderId="33" xfId="0" applyNumberFormat="1" applyFont="1" applyFill="1" applyBorder="1"/>
    <xf numFmtId="172" fontId="11" fillId="11" borderId="34" xfId="0" applyNumberFormat="1" applyFont="1" applyFill="1" applyBorder="1"/>
    <xf numFmtId="0" fontId="11" fillId="11" borderId="11" xfId="0" applyFont="1" applyFill="1" applyBorder="1" applyAlignment="1">
      <alignment horizontal="right"/>
    </xf>
    <xf numFmtId="0" fontId="11" fillId="11" borderId="9" xfId="0" applyFont="1" applyFill="1" applyBorder="1" applyAlignment="1">
      <alignment horizontal="right"/>
    </xf>
    <xf numFmtId="172" fontId="11" fillId="9" borderId="70" xfId="0" applyNumberFormat="1" applyFont="1" applyFill="1" applyBorder="1"/>
  </cellXfs>
  <cellStyles count="42">
    <cellStyle name="Euro" xfId="1"/>
    <cellStyle name="Euro 2" xfId="28"/>
    <cellStyle name="Migliaia (0)_AZIONI" xfId="2"/>
    <cellStyle name="Migliaia_AZIONI" xfId="3"/>
    <cellStyle name="Normal" xfId="0" builtinId="0"/>
    <cellStyle name="Normal 2" xfId="8"/>
    <cellStyle name="Normal 2 2" xfId="14"/>
    <cellStyle name="Normal 2 2 2" xfId="30"/>
    <cellStyle name="Normal 3" xfId="9"/>
    <cellStyle name="Normal 3 2" xfId="18"/>
    <cellStyle name="Normal 3 2 2" xfId="34"/>
    <cellStyle name="Normal 3 2 2 2" xfId="37"/>
    <cellStyle name="Normal 3 2 3" xfId="35"/>
    <cellStyle name="Normal 3 2 4" xfId="25"/>
    <cellStyle name="Normal 3 3" xfId="31"/>
    <cellStyle name="Normal 3 4" xfId="36"/>
    <cellStyle name="Normal 3 5" xfId="22"/>
    <cellStyle name="Normal 4" xfId="12"/>
    <cellStyle name="Normal 5" xfId="21"/>
    <cellStyle name="Normal 6" xfId="27"/>
    <cellStyle name="Normal 6 2" xfId="39"/>
    <cellStyle name="Normal 7" xfId="20"/>
    <cellStyle name="Normal 8" xfId="41"/>
    <cellStyle name="Normal_InterestRateQuotesFeed" xfId="15"/>
    <cellStyle name="Normal_SwaptionATMVols" xfId="16"/>
    <cellStyle name="Normale_AZIONI" xfId="4"/>
    <cellStyle name="Percent 2" xfId="11"/>
    <cellStyle name="Percent 2 2" xfId="33"/>
    <cellStyle name="Percent 2 2 2" xfId="38"/>
    <cellStyle name="Percent 2 3" xfId="23"/>
    <cellStyle name="Percent 3" xfId="10"/>
    <cellStyle name="Percent 3 2" xfId="19"/>
    <cellStyle name="Percent 3 2 2" xfId="26"/>
    <cellStyle name="Percent 3 3" xfId="32"/>
    <cellStyle name="Percent 4" xfId="13"/>
    <cellStyle name="Percent 5" xfId="17"/>
    <cellStyle name="Percent 5 2" xfId="24"/>
    <cellStyle name="Percent 6" xfId="29"/>
    <cellStyle name="Percent 7" xfId="40"/>
    <cellStyle name="result" xfId="5"/>
    <cellStyle name="Valuta (0)_AZIONI" xfId="6"/>
    <cellStyle name="Valuta_AZIONI" xfId="7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'6MSynthDepo_used'!$G$4</c:f>
              <c:numCache>
                <c:formatCode>d\-mmm\-yy</c:formatCode>
                <c:ptCount val="1"/>
                <c:pt idx="0">
                  <c:v>42138</c:v>
                </c:pt>
              </c:numCache>
            </c:numRef>
          </c:xVal>
          <c:yVal>
            <c:numRef>
              <c:f>'6MSynthDepo_used'!$K$4</c:f>
              <c:numCache>
                <c:formatCode>0.0000%</c:formatCode>
                <c:ptCount val="1"/>
                <c:pt idx="0">
                  <c:v>1.7732423478286257E-3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'6MSynthDepo_used'!$G$5:$G$16</c:f>
              <c:numCache>
                <c:formatCode>d\-mmm\-yy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'6MSynthDepo_used'!$K$5:$K$22</c:f>
              <c:numCache>
                <c:formatCode>0.0000%</c:formatCode>
                <c:ptCount val="18"/>
                <c:pt idx="0">
                  <c:v>1.8605122846826953E-3</c:v>
                </c:pt>
                <c:pt idx="1">
                  <c:v>1.8920227137032052E-3</c:v>
                </c:pt>
                <c:pt idx="2">
                  <c:v>1.9078296020085105E-3</c:v>
                </c:pt>
                <c:pt idx="3">
                  <c:v>1.9363441141031473E-3</c:v>
                </c:pt>
                <c:pt idx="4">
                  <c:v>1.992988021207379E-3</c:v>
                </c:pt>
                <c:pt idx="5">
                  <c:v>2.0121885563962154E-3</c:v>
                </c:pt>
                <c:pt idx="6">
                  <c:v>2.010063809664786E-3</c:v>
                </c:pt>
                <c:pt idx="7">
                  <c:v>2.0397712071434028E-3</c:v>
                </c:pt>
                <c:pt idx="8">
                  <c:v>2.0469626406820719E-3</c:v>
                </c:pt>
                <c:pt idx="9">
                  <c:v>2.0479678338170587E-3</c:v>
                </c:pt>
                <c:pt idx="10">
                  <c:v>2.0909581779939091E-3</c:v>
                </c:pt>
                <c:pt idx="11">
                  <c:v>2.1263282396588308E-3</c:v>
                </c:pt>
                <c:pt idx="12">
                  <c:v>2.1616917755336515E-3</c:v>
                </c:pt>
                <c:pt idx="13">
                  <c:v>2.1667777205701499E-3</c:v>
                </c:pt>
                <c:pt idx="14">
                  <c:v>2.2077508816951063E-3</c:v>
                </c:pt>
                <c:pt idx="15">
                  <c:v>2.2211142620505268E-3</c:v>
                </c:pt>
                <c:pt idx="16">
                  <c:v>2.2314476386361263E-3</c:v>
                </c:pt>
                <c:pt idx="17">
                  <c:v>2.2167577732972407E-3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'6MSynthDepo_used'!$S$2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'6MSynthDepo_used'!$R$3:$R$262</c:f>
              <c:numCache>
                <c:formatCode>d\-mmm\-yy</c:formatCode>
                <c:ptCount val="26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</c:numCache>
            </c:numRef>
          </c:xVal>
          <c:yVal>
            <c:numRef>
              <c:f>'6MSynthDepo_used'!$S$3:$S$262</c:f>
              <c:numCache>
                <c:formatCode>0.0000%</c:formatCode>
                <c:ptCount val="260"/>
                <c:pt idx="0">
                  <c:v>1.8052943197225172E-3</c:v>
                </c:pt>
                <c:pt idx="1">
                  <c:v>1.8069952261724419E-3</c:v>
                </c:pt>
                <c:pt idx="2">
                  <c:v>1.8120307000267274E-3</c:v>
                </c:pt>
                <c:pt idx="3">
                  <c:v>1.8136870269281665E-3</c:v>
                </c:pt>
                <c:pt idx="4">
                  <c:v>1.8153323964288696E-3</c:v>
                </c:pt>
                <c:pt idx="5">
                  <c:v>1.8169668830433951E-3</c:v>
                </c:pt>
                <c:pt idx="6">
                  <c:v>1.8185905610463016E-3</c:v>
                </c:pt>
                <c:pt idx="7">
                  <c:v>1.8233974825309395E-3</c:v>
                </c:pt>
                <c:pt idx="8">
                  <c:v>1.8249786640330103E-3</c:v>
                </c:pt>
                <c:pt idx="9">
                  <c:v>1.8265494046962912E-3</c:v>
                </c:pt>
                <c:pt idx="10">
                  <c:v>1.8281097773553533E-3</c:v>
                </c:pt>
                <c:pt idx="11">
                  <c:v>1.8296598546047704E-3</c:v>
                </c:pt>
                <c:pt idx="12">
                  <c:v>1.8342490362409127E-3</c:v>
                </c:pt>
                <c:pt idx="13">
                  <c:v>1.8357586529975211E-3</c:v>
                </c:pt>
                <c:pt idx="14">
                  <c:v>1.8372583337173808E-3</c:v>
                </c:pt>
                <c:pt idx="15">
                  <c:v>1.8387481495550752E-3</c:v>
                </c:pt>
                <c:pt idx="16">
                  <c:v>1.8402281714251919E-3</c:v>
                </c:pt>
                <c:pt idx="17">
                  <c:v>1.8446101787759751E-3</c:v>
                </c:pt>
                <c:pt idx="18">
                  <c:v>1.8460517291216891E-3</c:v>
                </c:pt>
                <c:pt idx="19">
                  <c:v>1.8474838364727886E-3</c:v>
                </c:pt>
                <c:pt idx="20">
                  <c:v>1.8489065703038725E-3</c:v>
                </c:pt>
                <c:pt idx="21">
                  <c:v>1.8503199998495404E-3</c:v>
                </c:pt>
                <c:pt idx="22">
                  <c:v>1.8545051515200853E-3</c:v>
                </c:pt>
                <c:pt idx="23">
                  <c:v>1.8558820514701336E-3</c:v>
                </c:pt>
                <c:pt idx="24">
                  <c:v>1.8572499897077975E-3</c:v>
                </c:pt>
                <c:pt idx="25">
                  <c:v>1.8586090340276884E-3</c:v>
                </c:pt>
                <c:pt idx="26">
                  <c:v>1.8599592519844205E-3</c:v>
                </c:pt>
                <c:pt idx="27">
                  <c:v>1.8639576196218309E-3</c:v>
                </c:pt>
                <c:pt idx="28">
                  <c:v>1.8652732028721045E-3</c:v>
                </c:pt>
                <c:pt idx="29">
                  <c:v>1.866580293932318E-3</c:v>
                </c:pt>
                <c:pt idx="30">
                  <c:v>1.8678789589170956E-3</c:v>
                </c:pt>
                <c:pt idx="31">
                  <c:v>1.8691692637010657E-3</c:v>
                </c:pt>
                <c:pt idx="32">
                  <c:v>1.8729906719944316E-3</c:v>
                </c:pt>
                <c:pt idx="33">
                  <c:v>1.8742481899214829E-3</c:v>
                </c:pt>
                <c:pt idx="34">
                  <c:v>1.8754976734208916E-3</c:v>
                </c:pt>
                <c:pt idx="35">
                  <c:v>1.8767391869272975E-3</c:v>
                </c:pt>
                <c:pt idx="36">
                  <c:v>1.8779727946353409E-3</c:v>
                </c:pt>
                <c:pt idx="37">
                  <c:v>1.8816268213157356E-3</c:v>
                </c:pt>
                <c:pt idx="38">
                  <c:v>1.8828294429767774E-3</c:v>
                </c:pt>
                <c:pt idx="39">
                  <c:v>1.8840244762126901E-3</c:v>
                </c:pt>
                <c:pt idx="40">
                  <c:v>1.8852119837781266E-3</c:v>
                </c:pt>
                <c:pt idx="41">
                  <c:v>1.8863920281877405E-3</c:v>
                </c:pt>
                <c:pt idx="42">
                  <c:v>1.8898880040282219E-3</c:v>
                </c:pt>
                <c:pt idx="43">
                  <c:v>1.8910388161611292E-3</c:v>
                </c:pt>
                <c:pt idx="44">
                  <c:v>1.8921824741115155E-3</c:v>
                </c:pt>
                <c:pt idx="45">
                  <c:v>1.893319038954046E-3</c:v>
                </c:pt>
                <c:pt idx="46">
                  <c:v>1.8944485715233887E-3</c:v>
                </c:pt>
                <c:pt idx="47">
                  <c:v>1.8977955803389994E-3</c:v>
                </c:pt>
                <c:pt idx="48">
                  <c:v>1.8988975873623088E-3</c:v>
                </c:pt>
                <c:pt idx="49">
                  <c:v>1.899992862685799E-3</c:v>
                </c:pt>
                <c:pt idx="50">
                  <c:v>1.9010814657041491E-3</c:v>
                </c:pt>
                <c:pt idx="51">
                  <c:v>1.9021634555720409E-3</c:v>
                </c:pt>
                <c:pt idx="52">
                  <c:v>1.905370334219807E-3</c:v>
                </c:pt>
                <c:pt idx="53">
                  <c:v>1.9064264582327164E-3</c:v>
                </c:pt>
                <c:pt idx="54">
                  <c:v>1.9074762612686031E-3</c:v>
                </c:pt>
                <c:pt idx="55">
                  <c:v>1.9085198010421599E-3</c:v>
                </c:pt>
                <c:pt idx="56">
                  <c:v>1.9095571350280815E-3</c:v>
                </c:pt>
                <c:pt idx="57">
                  <c:v>1.9126324734070139E-3</c:v>
                </c:pt>
                <c:pt idx="58">
                  <c:v>1.9136455541893828E-3</c:v>
                </c:pt>
                <c:pt idx="59">
                  <c:v>1.9146527129576196E-3</c:v>
                </c:pt>
                <c:pt idx="60">
                  <c:v>1.915654005746431E-3</c:v>
                </c:pt>
                <c:pt idx="61">
                  <c:v>1.9166494883505253E-3</c:v>
                </c:pt>
                <c:pt idx="62">
                  <c:v>1.9196016294016193E-3</c:v>
                </c:pt>
                <c:pt idx="63">
                  <c:v>1.9205744244139679E-3</c:v>
                </c:pt>
                <c:pt idx="64">
                  <c:v>1.9215416846151702E-3</c:v>
                </c:pt>
                <c:pt idx="65">
                  <c:v>1.9225034643599464E-3</c:v>
                </c:pt>
                <c:pt idx="66">
                  <c:v>1.9234598177630179E-3</c:v>
                </c:pt>
                <c:pt idx="67">
                  <c:v>1.9262968574692528E-3</c:v>
                </c:pt>
                <c:pt idx="68">
                  <c:v>1.9272320418527635E-3</c:v>
                </c:pt>
                <c:pt idx="69">
                  <c:v>1.928162066868208E-3</c:v>
                </c:pt>
                <c:pt idx="70">
                  <c:v>1.9290869851903193E-3</c:v>
                </c:pt>
                <c:pt idx="71">
                  <c:v>1.9300068492538334E-3</c:v>
                </c:pt>
                <c:pt idx="72">
                  <c:v>1.932736636640174E-3</c:v>
                </c:pt>
                <c:pt idx="73">
                  <c:v>1.9336368032166903E-3</c:v>
                </c:pt>
                <c:pt idx="74">
                  <c:v>1.9345321741083149E-3</c:v>
                </c:pt>
                <c:pt idx="75">
                  <c:v>1.935422800309795E-3</c:v>
                </c:pt>
                <c:pt idx="76">
                  <c:v>1.9363087325758787E-3</c:v>
                </c:pt>
                <c:pt idx="77">
                  <c:v>1.9389388697092719E-3</c:v>
                </c:pt>
                <c:pt idx="78">
                  <c:v>1.939806528981299E-3</c:v>
                </c:pt>
                <c:pt idx="79">
                  <c:v>1.9406697444917032E-3</c:v>
                </c:pt>
                <c:pt idx="80">
                  <c:v>1.9415285655552453E-3</c:v>
                </c:pt>
                <c:pt idx="81">
                  <c:v>1.9423830412466875E-3</c:v>
                </c:pt>
                <c:pt idx="82">
                  <c:v>1.9449208832360663E-3</c:v>
                </c:pt>
                <c:pt idx="83">
                  <c:v>1.9457584633867707E-3</c:v>
                </c:pt>
                <c:pt idx="84">
                  <c:v>1.9465919399392156E-3</c:v>
                </c:pt>
                <c:pt idx="85">
                  <c:v>1.9474213605281754E-3</c:v>
                </c:pt>
                <c:pt idx="86">
                  <c:v>1.9482467725484257E-3</c:v>
                </c:pt>
                <c:pt idx="87">
                  <c:v>1.9506994275447073E-3</c:v>
                </c:pt>
                <c:pt idx="88">
                  <c:v>1.9515092744379165E-3</c:v>
                </c:pt>
                <c:pt idx="89">
                  <c:v>1.9523153461363249E-3</c:v>
                </c:pt>
                <c:pt idx="90">
                  <c:v>1.9531176885947195E-3</c:v>
                </c:pt>
                <c:pt idx="91">
                  <c:v>1.9539163475278897E-3</c:v>
                </c:pt>
                <c:pt idx="92">
                  <c:v>1.9562906767239749E-3</c:v>
                </c:pt>
                <c:pt idx="93">
                  <c:v>1.9570750539041793E-3</c:v>
                </c:pt>
                <c:pt idx="94">
                  <c:v>1.957855972533134E-3</c:v>
                </c:pt>
                <c:pt idx="95">
                  <c:v>1.9586334768856416E-3</c:v>
                </c:pt>
                <c:pt idx="96">
                  <c:v>1.9594076109965041E-3</c:v>
                </c:pt>
                <c:pt idx="97">
                  <c:v>1.9617102286272788E-3</c:v>
                </c:pt>
                <c:pt idx="98">
                  <c:v>1.962471317319628E-3</c:v>
                </c:pt>
                <c:pt idx="99">
                  <c:v>1.9632292523443754E-3</c:v>
                </c:pt>
                <c:pt idx="100">
                  <c:v>1.9639840762963358E-3</c:v>
                </c:pt>
                <c:pt idx="101">
                  <c:v>1.9647358315303251E-3</c:v>
                </c:pt>
                <c:pt idx="102">
                  <c:v>1.9669731048726586E-3</c:v>
                </c:pt>
                <c:pt idx="103">
                  <c:v>1.9677130039829657E-3</c:v>
                </c:pt>
                <c:pt idx="104">
                  <c:v>1.9684500425494124E-3</c:v>
                </c:pt>
                <c:pt idx="105">
                  <c:v>1.9691842614868267E-3</c:v>
                </c:pt>
                <c:pt idx="106">
                  <c:v>1.9699157014700383E-3</c:v>
                </c:pt>
                <c:pt idx="107">
                  <c:v>1.9720937508427858E-3</c:v>
                </c:pt>
                <c:pt idx="108">
                  <c:v>1.9728144769575245E-3</c:v>
                </c:pt>
                <c:pt idx="109">
                  <c:v>1.9735326238922383E-3</c:v>
                </c:pt>
                <c:pt idx="110">
                  <c:v>1.9742482308817695E-3</c:v>
                </c:pt>
                <c:pt idx="111">
                  <c:v>1.9749613369209611E-3</c:v>
                </c:pt>
                <c:pt idx="112">
                  <c:v>1.9770860356849601E-3</c:v>
                </c:pt>
                <c:pt idx="113">
                  <c:v>1.977789523071264E-3</c:v>
                </c:pt>
                <c:pt idx="114">
                  <c:v>1.9784907008814755E-3</c:v>
                </c:pt>
                <c:pt idx="115">
                  <c:v>1.9791896066704475E-3</c:v>
                </c:pt>
                <c:pt idx="116">
                  <c:v>1.9798862777530369E-3</c:v>
                </c:pt>
                <c:pt idx="117">
                  <c:v>1.9819632523111106E-3</c:v>
                </c:pt>
                <c:pt idx="118">
                  <c:v>1.9826513529167789E-3</c:v>
                </c:pt>
                <c:pt idx="119">
                  <c:v>1.9833374017903778E-3</c:v>
                </c:pt>
                <c:pt idx="120">
                  <c:v>1.9840214348067764E-3</c:v>
                </c:pt>
                <c:pt idx="121">
                  <c:v>1.9847034876008442E-3</c:v>
                </c:pt>
                <c:pt idx="122">
                  <c:v>1.9867381173977999E-3</c:v>
                </c:pt>
                <c:pt idx="123">
                  <c:v>1.9874126008512889E-3</c:v>
                </c:pt>
                <c:pt idx="124">
                  <c:v>1.9880852786568286E-3</c:v>
                </c:pt>
                <c:pt idx="125">
                  <c:v>1.9887561850093004E-3</c:v>
                </c:pt>
                <c:pt idx="126">
                  <c:v>1.9894253538635886E-3</c:v>
                </c:pt>
                <c:pt idx="127">
                  <c:v>1.9914227713862176E-3</c:v>
                </c:pt>
                <c:pt idx="128">
                  <c:v>1.9920853249966474E-3</c:v>
                </c:pt>
                <c:pt idx="129">
                  <c:v>1.9927463072833421E-3</c:v>
                </c:pt>
                <c:pt idx="130">
                  <c:v>1.993405750761196E-3</c:v>
                </c:pt>
                <c:pt idx="131">
                  <c:v>1.9940636877051067E-3</c:v>
                </c:pt>
                <c:pt idx="132">
                  <c:v>1.9960287784821849E-3</c:v>
                </c:pt>
                <c:pt idx="133">
                  <c:v>1.996681007239336E-3</c:v>
                </c:pt>
                <c:pt idx="134">
                  <c:v>1.9973318872370605E-3</c:v>
                </c:pt>
                <c:pt idx="135">
                  <c:v>1.9979814493102663E-3</c:v>
                </c:pt>
                <c:pt idx="136">
                  <c:v>1.9986297240538646E-3</c:v>
                </c:pt>
                <c:pt idx="137">
                  <c:v>2.0005671266561517E-3</c:v>
                </c:pt>
                <c:pt idx="138">
                  <c:v>2.0012105532304673E-3</c:v>
                </c:pt>
                <c:pt idx="139">
                  <c:v>2.0018528418497585E-3</c:v>
                </c:pt>
                <c:pt idx="140">
                  <c:v>2.0024940216689475E-3</c:v>
                </c:pt>
                <c:pt idx="141">
                  <c:v>2.0031341216029592E-3</c:v>
                </c:pt>
                <c:pt idx="142">
                  <c:v>2.0050482276432E-3</c:v>
                </c:pt>
                <c:pt idx="143">
                  <c:v>2.0056842923857829E-3</c:v>
                </c:pt>
                <c:pt idx="144">
                  <c:v>2.00631941821784E-3</c:v>
                </c:pt>
                <c:pt idx="145">
                  <c:v>2.0069536326143048E-3</c:v>
                </c:pt>
                <c:pt idx="146">
                  <c:v>2.0075869628101172E-3</c:v>
                </c:pt>
                <c:pt idx="147">
                  <c:v>2.0094819169430411E-3</c:v>
                </c:pt>
                <c:pt idx="148">
                  <c:v>2.0101119778856572E-3</c:v>
                </c:pt>
                <c:pt idx="149">
                  <c:v>2.0107412872023378E-3</c:v>
                </c:pt>
                <c:pt idx="150">
                  <c:v>2.0113698706880337E-3</c:v>
                </c:pt>
                <c:pt idx="151">
                  <c:v>2.0119977538976944E-3</c:v>
                </c:pt>
                <c:pt idx="152">
                  <c:v>2.0138774538200144E-3</c:v>
                </c:pt>
                <c:pt idx="153">
                  <c:v>2.0145027866750901E-3</c:v>
                </c:pt>
                <c:pt idx="154">
                  <c:v>2.0151275434289176E-3</c:v>
                </c:pt>
                <c:pt idx="155">
                  <c:v>2.0157517481964589E-3</c:v>
                </c:pt>
                <c:pt idx="156">
                  <c:v>2.0163754248526795E-3</c:v>
                </c:pt>
                <c:pt idx="157">
                  <c:v>2.018243521303093E-3</c:v>
                </c:pt>
                <c:pt idx="158">
                  <c:v>2.0188653194637167E-3</c:v>
                </c:pt>
                <c:pt idx="159">
                  <c:v>2.0194867052878728E-3</c:v>
                </c:pt>
                <c:pt idx="160">
                  <c:v>2.0201077012105373E-3</c:v>
                </c:pt>
                <c:pt idx="161">
                  <c:v>2.0225882261858774E-3</c:v>
                </c:pt>
                <c:pt idx="162">
                  <c:v>2.0232076007257989E-3</c:v>
                </c:pt>
                <c:pt idx="163">
                  <c:v>2.0238267149341278E-3</c:v>
                </c:pt>
                <c:pt idx="164">
                  <c:v>2.0244455895658542E-3</c:v>
                </c:pt>
                <c:pt idx="165">
                  <c:v>2.0269190990265993E-3</c:v>
                </c:pt>
                <c:pt idx="166">
                  <c:v>2.0275370787002289E-3</c:v>
                </c:pt>
                <c:pt idx="167">
                  <c:v>2.0281549382872364E-3</c:v>
                </c:pt>
                <c:pt idx="168">
                  <c:v>2.0287726968626243E-3</c:v>
                </c:pt>
                <c:pt idx="169">
                  <c:v>2.0293903732613986E-3</c:v>
                </c:pt>
                <c:pt idx="170">
                  <c:v>2.0312430941481206E-3</c:v>
                </c:pt>
                <c:pt idx="171">
                  <c:v>2.0318606253905314E-3</c:v>
                </c:pt>
                <c:pt idx="172">
                  <c:v>2.0324781650313838E-3</c:v>
                </c:pt>
                <c:pt idx="173">
                  <c:v>2.0330957304656948E-3</c:v>
                </c:pt>
                <c:pt idx="174">
                  <c:v>2.0337133388484835E-3</c:v>
                </c:pt>
                <c:pt idx="175">
                  <c:v>2.0355665896379322E-3</c:v>
                </c:pt>
                <c:pt idx="176">
                  <c:v>2.036184536564858E-3</c:v>
                </c:pt>
                <c:pt idx="177">
                  <c:v>2.0368026086153841E-3</c:v>
                </c:pt>
                <c:pt idx="178">
                  <c:v>2.0374208215045418E-3</c:v>
                </c:pt>
                <c:pt idx="179">
                  <c:v>2.0380391907073628E-3</c:v>
                </c:pt>
                <c:pt idx="180">
                  <c:v>2.0398953873481569E-3</c:v>
                </c:pt>
                <c:pt idx="181">
                  <c:v>2.0405145317559932E-3</c:v>
                </c:pt>
                <c:pt idx="182">
                  <c:v>2.0411339062526828E-3</c:v>
                </c:pt>
                <c:pt idx="183">
                  <c:v>2.0417535248732706E-3</c:v>
                </c:pt>
                <c:pt idx="184">
                  <c:v>2.042373401412802E-3</c:v>
                </c:pt>
                <c:pt idx="185">
                  <c:v>2.0442347128955458E-3</c:v>
                </c:pt>
                <c:pt idx="186">
                  <c:v>2.0448557542613486E-3</c:v>
                </c:pt>
                <c:pt idx="187">
                  <c:v>2.0454771189213536E-3</c:v>
                </c:pt>
                <c:pt idx="188">
                  <c:v>2.0460988192306175E-3</c:v>
                </c:pt>
                <c:pt idx="189">
                  <c:v>2.0467208673041999E-3</c:v>
                </c:pt>
                <c:pt idx="190">
                  <c:v>2.0485892156614808E-3</c:v>
                </c:pt>
                <c:pt idx="191">
                  <c:v>2.0492127711429693E-3</c:v>
                </c:pt>
                <c:pt idx="192">
                  <c:v>2.0498367313641019E-3</c:v>
                </c:pt>
                <c:pt idx="193">
                  <c:v>2.0504611069999492E-3</c:v>
                </c:pt>
                <c:pt idx="194">
                  <c:v>2.0510859084855847E-3</c:v>
                </c:pt>
                <c:pt idx="195">
                  <c:v>2.0529629687919748E-3</c:v>
                </c:pt>
                <c:pt idx="196">
                  <c:v>2.0535895732275286E-3</c:v>
                </c:pt>
                <c:pt idx="197">
                  <c:v>2.0542166520882625E-3</c:v>
                </c:pt>
                <c:pt idx="198">
                  <c:v>2.0548442143692625E-3</c:v>
                </c:pt>
                <c:pt idx="199">
                  <c:v>2.0554722688256146E-3</c:v>
                </c:pt>
                <c:pt idx="200">
                  <c:v>2.0573594691976698E-3</c:v>
                </c:pt>
                <c:pt idx="201">
                  <c:v>2.0579895751063298E-3</c:v>
                </c:pt>
                <c:pt idx="202">
                  <c:v>2.0586202133658017E-3</c:v>
                </c:pt>
                <c:pt idx="203">
                  <c:v>2.0592513912911837E-3</c:v>
                </c:pt>
                <c:pt idx="204">
                  <c:v>2.0598831159575753E-3</c:v>
                </c:pt>
                <c:pt idx="205">
                  <c:v>2.0617816375538378E-3</c:v>
                </c:pt>
                <c:pt idx="206">
                  <c:v>2.0624156151353066E-3</c:v>
                </c:pt>
                <c:pt idx="207">
                  <c:v>2.063050171233313E-3</c:v>
                </c:pt>
                <c:pt idx="208">
                  <c:v>2.0636853114829688E-3</c:v>
                </c:pt>
                <c:pt idx="209">
                  <c:v>2.0643210412793875E-3</c:v>
                </c:pt>
                <c:pt idx="210">
                  <c:v>2.0662318183003814E-3</c:v>
                </c:pt>
                <c:pt idx="211">
                  <c:v>2.066869955435023E-3</c:v>
                </c:pt>
                <c:pt idx="212">
                  <c:v>2.0675087054920225E-3</c:v>
                </c:pt>
                <c:pt idx="213">
                  <c:v>2.0681480724265055E-3</c:v>
                </c:pt>
                <c:pt idx="214">
                  <c:v>2.0687880599535987E-3</c:v>
                </c:pt>
                <c:pt idx="215">
                  <c:v>2.0707117796418336E-3</c:v>
                </c:pt>
                <c:pt idx="216">
                  <c:v>2.0713542818906736E-3</c:v>
                </c:pt>
                <c:pt idx="217">
                  <c:v>2.0719974197077862E-3</c:v>
                </c:pt>
                <c:pt idx="218">
                  <c:v>2.0726411953683101E-3</c:v>
                </c:pt>
                <c:pt idx="219">
                  <c:v>2.0732856109073861E-3</c:v>
                </c:pt>
                <c:pt idx="220">
                  <c:v>2.0752227135473564E-3</c:v>
                </c:pt>
                <c:pt idx="221">
                  <c:v>2.0758697041520814E-3</c:v>
                </c:pt>
                <c:pt idx="222">
                  <c:v>2.0765173412110884E-3</c:v>
                </c:pt>
                <c:pt idx="223">
                  <c:v>2.0771656253195298E-3</c:v>
                </c:pt>
                <c:pt idx="224">
                  <c:v>2.0804167556337013E-3</c:v>
                </c:pt>
                <c:pt idx="225">
                  <c:v>2.081068921097046E-3</c:v>
                </c:pt>
                <c:pt idx="226">
                  <c:v>2.0817217310559418E-3</c:v>
                </c:pt>
                <c:pt idx="227">
                  <c:v>2.0823751841855566E-3</c:v>
                </c:pt>
                <c:pt idx="228">
                  <c:v>2.0843393857504157E-3</c:v>
                </c:pt>
                <c:pt idx="229">
                  <c:v>2.0849953935146172E-3</c:v>
                </c:pt>
                <c:pt idx="230">
                  <c:v>2.0856520342254037E-3</c:v>
                </c:pt>
                <c:pt idx="231">
                  <c:v>2.0863093051179528E-3</c:v>
                </c:pt>
                <c:pt idx="232">
                  <c:v>2.0869672031874464E-3</c:v>
                </c:pt>
                <c:pt idx="233">
                  <c:v>2.0889446268094287E-3</c:v>
                </c:pt>
                <c:pt idx="234">
                  <c:v>2.0896049987385451E-3</c:v>
                </c:pt>
                <c:pt idx="235">
                  <c:v>2.0902659792205384E-3</c:v>
                </c:pt>
                <c:pt idx="236">
                  <c:v>2.0909275638106013E-3</c:v>
                </c:pt>
                <c:pt idx="237">
                  <c:v>2.0915897478239283E-3</c:v>
                </c:pt>
                <c:pt idx="238">
                  <c:v>2.0935798459554636E-3</c:v>
                </c:pt>
                <c:pt idx="239">
                  <c:v>2.0942443760138272E-3</c:v>
                </c:pt>
                <c:pt idx="240">
                  <c:v>2.094909478471455E-3</c:v>
                </c:pt>
                <c:pt idx="241">
                  <c:v>2.0955751472035533E-3</c:v>
                </c:pt>
                <c:pt idx="242">
                  <c:v>2.0962413758453297E-3</c:v>
                </c:pt>
                <c:pt idx="243">
                  <c:v>2.0982433539808339E-3</c:v>
                </c:pt>
                <c:pt idx="244">
                  <c:v>2.0989117538134394E-3</c:v>
                </c:pt>
                <c:pt idx="245">
                  <c:v>2.0995806781317905E-3</c:v>
                </c:pt>
                <c:pt idx="246">
                  <c:v>2.100250119131107E-3</c:v>
                </c:pt>
                <c:pt idx="247">
                  <c:v>2.1009200687666105E-3</c:v>
                </c:pt>
                <c:pt idx="248">
                  <c:v>2.1029328854424842E-3</c:v>
                </c:pt>
                <c:pt idx="249">
                  <c:v>2.1036047843749862E-3</c:v>
                </c:pt>
                <c:pt idx="250">
                  <c:v>2.104277148119811E-3</c:v>
                </c:pt>
                <c:pt idx="251">
                  <c:v>2.1049499671921901E-3</c:v>
                </c:pt>
                <c:pt idx="252">
                  <c:v>2.1056232318673604E-3</c:v>
                </c:pt>
                <c:pt idx="253">
                  <c:v>2.1076455986619859E-3</c:v>
                </c:pt>
                <c:pt idx="254">
                  <c:v>2.1083205437007024E-3</c:v>
                </c:pt>
                <c:pt idx="255">
                  <c:v>2.1089958821184115E-3</c:v>
                </c:pt>
                <c:pt idx="256">
                  <c:v>2.1096716027503605E-3</c:v>
                </c:pt>
                <c:pt idx="257">
                  <c:v>2.1103476941917968E-3</c:v>
                </c:pt>
                <c:pt idx="258">
                  <c:v>2.1123780757255437E-3</c:v>
                </c:pt>
                <c:pt idx="259">
                  <c:v>2.113055531557453E-3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8448"/>
        <c:axId val="202077696"/>
      </c:scatterChart>
      <c:valAx>
        <c:axId val="1568884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02077696"/>
        <c:crosses val="autoZero"/>
        <c:crossBetween val="midCat"/>
      </c:valAx>
      <c:valAx>
        <c:axId val="202077696"/>
        <c:scaling>
          <c:orientation val="minMax"/>
          <c:max val="2.5000000000000005E-3"/>
          <c:min val="1.500000000000000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68884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 0M-6M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'6MSynthDepo_used'!$R$3:$R$133</c:f>
              <c:numCache>
                <c:formatCode>d\-mmm\-yy</c:formatCode>
                <c:ptCount val="131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</c:numCache>
            </c:numRef>
          </c:xVal>
          <c:yVal>
            <c:numRef>
              <c:f>'6MSynthDepo_used'!$U$3:$U$133</c:f>
              <c:numCache>
                <c:formatCode>0.0000%</c:formatCode>
                <c:ptCount val="131"/>
                <c:pt idx="0">
                  <c:v>1.6112128984961903E-3</c:v>
                </c:pt>
                <c:pt idx="1">
                  <c:v>1.6142032837069417E-3</c:v>
                </c:pt>
                <c:pt idx="2">
                  <c:v>1.6230602491401883E-3</c:v>
                </c:pt>
                <c:pt idx="3">
                  <c:v>1.625974833766169E-3</c:v>
                </c:pt>
                <c:pt idx="4">
                  <c:v>1.6288707123068881E-3</c:v>
                </c:pt>
                <c:pt idx="5">
                  <c:v>1.6317479819067211E-3</c:v>
                </c:pt>
                <c:pt idx="6">
                  <c:v>1.6346067394700464E-3</c:v>
                </c:pt>
                <c:pt idx="7">
                  <c:v>1.6430729053847851E-3</c:v>
                </c:pt>
                <c:pt idx="8">
                  <c:v>1.6458585790458983E-3</c:v>
                </c:pt>
                <c:pt idx="9">
                  <c:v>1.6486262215924228E-3</c:v>
                </c:pt>
                <c:pt idx="10">
                  <c:v>1.6513759284887482E-3</c:v>
                </c:pt>
                <c:pt idx="11">
                  <c:v>1.6541077949592661E-3</c:v>
                </c:pt>
                <c:pt idx="12">
                  <c:v>1.6621973004599193E-3</c:v>
                </c:pt>
                <c:pt idx="13">
                  <c:v>1.664858752671161E-3</c:v>
                </c:pt>
                <c:pt idx="14">
                  <c:v>1.6675028369785825E-3</c:v>
                </c:pt>
                <c:pt idx="15">
                  <c:v>1.6701296471665855E-3</c:v>
                </c:pt>
                <c:pt idx="16">
                  <c:v>1.6727392767795759E-3</c:v>
                </c:pt>
                <c:pt idx="17">
                  <c:v>1.6804660140125507E-3</c:v>
                </c:pt>
                <c:pt idx="18">
                  <c:v>1.6830078519695791E-3</c:v>
                </c:pt>
                <c:pt idx="19">
                  <c:v>1.6855329734736489E-3</c:v>
                </c:pt>
                <c:pt idx="20">
                  <c:v>1.6880414706291771E-3</c:v>
                </c:pt>
                <c:pt idx="21">
                  <c:v>1.6905334353005815E-3</c:v>
                </c:pt>
                <c:pt idx="22">
                  <c:v>1.6979110494542687E-3</c:v>
                </c:pt>
                <c:pt idx="23">
                  <c:v>1.7003377980334034E-3</c:v>
                </c:pt>
                <c:pt idx="24">
                  <c:v>1.7027484698505359E-3</c:v>
                </c:pt>
                <c:pt idx="25">
                  <c:v>1.7051431553300966E-3</c:v>
                </c:pt>
                <c:pt idx="26">
                  <c:v>1.7075219446565182E-3</c:v>
                </c:pt>
                <c:pt idx="27">
                  <c:v>1.7145638339612929E-3</c:v>
                </c:pt>
                <c:pt idx="28">
                  <c:v>1.7168799357195144E-3</c:v>
                </c:pt>
                <c:pt idx="29">
                  <c:v>1.7191805886467852E-3</c:v>
                </c:pt>
                <c:pt idx="30">
                  <c:v>1.7214658814875491E-3</c:v>
                </c:pt>
                <c:pt idx="31">
                  <c:v>1.7237359027462513E-3</c:v>
                </c:pt>
                <c:pt idx="32">
                  <c:v>1.7304552184744741E-3</c:v>
                </c:pt>
                <c:pt idx="33">
                  <c:v>1.7326650336494246E-3</c:v>
                </c:pt>
                <c:pt idx="34">
                  <c:v>1.7348600161645703E-3</c:v>
                </c:pt>
                <c:pt idx="35">
                  <c:v>1.7370402530843682E-3</c:v>
                </c:pt>
                <c:pt idx="36">
                  <c:v>1.739205831233277E-3</c:v>
                </c:pt>
                <c:pt idx="37">
                  <c:v>1.7456154776992916E-3</c:v>
                </c:pt>
                <c:pt idx="38">
                  <c:v>1.7477232842092751E-3</c:v>
                </c:pt>
                <c:pt idx="39">
                  <c:v>1.7498168624706936E-3</c:v>
                </c:pt>
                <c:pt idx="40">
                  <c:v>1.7518962978680184E-3</c:v>
                </c:pt>
                <c:pt idx="41">
                  <c:v>1.7539616755457212E-3</c:v>
                </c:pt>
                <c:pt idx="42">
                  <c:v>1.7600743101058563E-3</c:v>
                </c:pt>
                <c:pt idx="43">
                  <c:v>1.7620843035498375E-3</c:v>
                </c:pt>
                <c:pt idx="44">
                  <c:v>1.7640806613965887E-3</c:v>
                </c:pt>
                <c:pt idx="45">
                  <c:v>1.7660634673505944E-3</c:v>
                </c:pt>
                <c:pt idx="46">
                  <c:v>1.7680328048763399E-3</c:v>
                </c:pt>
                <c:pt idx="47">
                  <c:v>1.7738608379289081E-3</c:v>
                </c:pt>
                <c:pt idx="48">
                  <c:v>1.7757771315865137E-3</c:v>
                </c:pt>
                <c:pt idx="49">
                  <c:v>1.7776803705383188E-3</c:v>
                </c:pt>
                <c:pt idx="50">
                  <c:v>1.7795706368088206E-3</c:v>
                </c:pt>
                <c:pt idx="51">
                  <c:v>1.7814480121825188E-3</c:v>
                </c:pt>
                <c:pt idx="52">
                  <c:v>1.7870036071678172E-3</c:v>
                </c:pt>
                <c:pt idx="53">
                  <c:v>1.7888302319993355E-3</c:v>
                </c:pt>
                <c:pt idx="54">
                  <c:v>1.7906443712565764E-3</c:v>
                </c:pt>
                <c:pt idx="55">
                  <c:v>1.7924461052840519E-3</c:v>
                </c:pt>
                <c:pt idx="56">
                  <c:v>1.7942355141862746E-3</c:v>
                </c:pt>
                <c:pt idx="57">
                  <c:v>1.7995305875865846E-3</c:v>
                </c:pt>
                <c:pt idx="58">
                  <c:v>1.8012714922329646E-3</c:v>
                </c:pt>
                <c:pt idx="59">
                  <c:v>1.8030004686766861E-3</c:v>
                </c:pt>
                <c:pt idx="60">
                  <c:v>1.8047175955822731E-3</c:v>
                </c:pt>
                <c:pt idx="61">
                  <c:v>1.8064229513742526E-3</c:v>
                </c:pt>
                <c:pt idx="62">
                  <c:v>1.8114691727138402E-3</c:v>
                </c:pt>
                <c:pt idx="63">
                  <c:v>1.8131282234966934E-3</c:v>
                </c:pt>
                <c:pt idx="64">
                  <c:v>1.8147758916886004E-3</c:v>
                </c:pt>
                <c:pt idx="65">
                  <c:v>1.8164122542740995E-3</c:v>
                </c:pt>
                <c:pt idx="66">
                  <c:v>1.8180373879977307E-3</c:v>
                </c:pt>
                <c:pt idx="67">
                  <c:v>1.8228461798428458E-3</c:v>
                </c:pt>
                <c:pt idx="68">
                  <c:v>1.8244271607644439E-3</c:v>
                </c:pt>
                <c:pt idx="69">
                  <c:v>1.8259972929469033E-3</c:v>
                </c:pt>
                <c:pt idx="70">
                  <c:v>1.8275566516947753E-3</c:v>
                </c:pt>
                <c:pt idx="71">
                  <c:v>1.829105312072614E-3</c:v>
                </c:pt>
                <c:pt idx="72">
                  <c:v>1.8336878500314912E-3</c:v>
                </c:pt>
                <c:pt idx="73">
                  <c:v>1.8351944627747684E-3</c:v>
                </c:pt>
                <c:pt idx="74">
                  <c:v>1.8366907488708087E-3</c:v>
                </c:pt>
                <c:pt idx="75">
                  <c:v>1.8381767819441769E-3</c:v>
                </c:pt>
                <c:pt idx="76">
                  <c:v>1.83965263537944E-3</c:v>
                </c:pt>
                <c:pt idx="77">
                  <c:v>1.8440198481022979E-3</c:v>
                </c:pt>
                <c:pt idx="78">
                  <c:v>1.8454557120308498E-3</c:v>
                </c:pt>
                <c:pt idx="79">
                  <c:v>1.8468817596441602E-3</c:v>
                </c:pt>
                <c:pt idx="80">
                  <c:v>1.8482980628868083E-3</c:v>
                </c:pt>
                <c:pt idx="81">
                  <c:v>1.8497046934633748E-3</c:v>
                </c:pt>
                <c:pt idx="82">
                  <c:v>1.8538672626424166E-3</c:v>
                </c:pt>
                <c:pt idx="83">
                  <c:v>1.8552359148004992E-3</c:v>
                </c:pt>
                <c:pt idx="84">
                  <c:v>1.8565952492154321E-3</c:v>
                </c:pt>
                <c:pt idx="85">
                  <c:v>1.857945336151806E-3</c:v>
                </c:pt>
                <c:pt idx="86">
                  <c:v>1.8592862456342158E-3</c:v>
                </c:pt>
                <c:pt idx="87">
                  <c:v>1.8632546060036292E-3</c:v>
                </c:pt>
                <c:pt idx="88">
                  <c:v>1.8645595011161609E-3</c:v>
                </c:pt>
                <c:pt idx="89">
                  <c:v>1.8658555652977273E-3</c:v>
                </c:pt>
                <c:pt idx="90">
                  <c:v>1.8671428671329343E-3</c:v>
                </c:pt>
                <c:pt idx="91">
                  <c:v>1.8684214749663895E-3</c:v>
                </c:pt>
                <c:pt idx="92">
                  <c:v>1.8722058143023459E-3</c:v>
                </c:pt>
                <c:pt idx="93">
                  <c:v>1.8734503247749064E-3</c:v>
                </c:pt>
                <c:pt idx="94">
                  <c:v>1.8746864793687814E-3</c:v>
                </c:pt>
                <c:pt idx="95">
                  <c:v>1.87591434498859E-3</c:v>
                </c:pt>
                <c:pt idx="96">
                  <c:v>1.8771339882989529E-3</c:v>
                </c:pt>
                <c:pt idx="97">
                  <c:v>1.8807442474196091E-3</c:v>
                </c:pt>
                <c:pt idx="98">
                  <c:v>1.881931663338439E-3</c:v>
                </c:pt>
                <c:pt idx="99">
                  <c:v>1.8831111866709578E-3</c:v>
                </c:pt>
                <c:pt idx="100">
                  <c:v>1.8842828826417977E-3</c:v>
                </c:pt>
                <c:pt idx="101">
                  <c:v>1.8854468162355937E-3</c:v>
                </c:pt>
                <c:pt idx="102">
                  <c:v>1.8888926890010891E-3</c:v>
                </c:pt>
                <c:pt idx="103">
                  <c:v>1.8900262181330912E-3</c:v>
                </c:pt>
                <c:pt idx="104">
                  <c:v>1.8911523062112511E-3</c:v>
                </c:pt>
                <c:pt idx="105">
                  <c:v>1.892271016780214E-3</c:v>
                </c:pt>
                <c:pt idx="106">
                  <c:v>1.8933824131446282E-3</c:v>
                </c:pt>
                <c:pt idx="107">
                  <c:v>1.8966733464570883E-3</c:v>
                </c:pt>
                <c:pt idx="108">
                  <c:v>1.8977561142498268E-3</c:v>
                </c:pt>
                <c:pt idx="109">
                  <c:v>1.8988318807612856E-3</c:v>
                </c:pt>
                <c:pt idx="110">
                  <c:v>1.8999007078561243E-3</c:v>
                </c:pt>
                <c:pt idx="111">
                  <c:v>1.9009626571590047E-3</c:v>
                </c:pt>
                <c:pt idx="112">
                  <c:v>1.9041078509625382E-3</c:v>
                </c:pt>
                <c:pt idx="113">
                  <c:v>1.905142900544238E-3</c:v>
                </c:pt>
                <c:pt idx="114">
                  <c:v>1.9061713768573165E-3</c:v>
                </c:pt>
                <c:pt idx="115">
                  <c:v>1.9071933400864451E-3</c:v>
                </c:pt>
                <c:pt idx="116">
                  <c:v>1.9082088501762998E-3</c:v>
                </c:pt>
                <c:pt idx="117">
                  <c:v>1.9112172574570012E-3</c:v>
                </c:pt>
                <c:pt idx="118">
                  <c:v>1.9122075496365489E-3</c:v>
                </c:pt>
                <c:pt idx="119">
                  <c:v>1.9131916848002272E-3</c:v>
                </c:pt>
                <c:pt idx="120">
                  <c:v>1.9141697214527219E-3</c:v>
                </c:pt>
                <c:pt idx="121">
                  <c:v>1.9151417178587225E-3</c:v>
                </c:pt>
                <c:pt idx="122">
                  <c:v>1.9180220446446679E-3</c:v>
                </c:pt>
                <c:pt idx="123">
                  <c:v>1.9189704579116126E-3</c:v>
                </c:pt>
                <c:pt idx="124">
                  <c:v>1.9199131186555338E-3</c:v>
                </c:pt>
                <c:pt idx="125">
                  <c:v>1.9208500837011317E-3</c:v>
                </c:pt>
                <c:pt idx="126">
                  <c:v>1.9217814096331085E-3</c:v>
                </c:pt>
                <c:pt idx="127">
                  <c:v>1.924542114994361E-3</c:v>
                </c:pt>
                <c:pt idx="128">
                  <c:v>1.9254514455189116E-3</c:v>
                </c:pt>
                <c:pt idx="129">
                  <c:v>1.9263554162533805E-3</c:v>
                </c:pt>
                <c:pt idx="130">
                  <c:v>1.9272540823424803E-3</c:v>
                </c:pt>
              </c:numCache>
            </c:numRef>
          </c:yVal>
          <c:smooth val="0"/>
        </c:ser>
        <c:ser>
          <c:idx val="0"/>
          <c:order val="1"/>
          <c:tx>
            <c:v>Cont Basis 6M-12M</c:v>
          </c:tx>
          <c:marker>
            <c:symbol val="none"/>
          </c:marker>
          <c:xVal>
            <c:numRef>
              <c:f>'6MSynthDepo_used'!$R$134:$R$262</c:f>
              <c:numCache>
                <c:formatCode>d\-mmm\-yy</c:formatCode>
                <c:ptCount val="129"/>
                <c:pt idx="0">
                  <c:v>42321</c:v>
                </c:pt>
                <c:pt idx="1">
                  <c:v>42324</c:v>
                </c:pt>
                <c:pt idx="2">
                  <c:v>42325</c:v>
                </c:pt>
                <c:pt idx="3">
                  <c:v>42326</c:v>
                </c:pt>
                <c:pt idx="4">
                  <c:v>42327</c:v>
                </c:pt>
                <c:pt idx="5">
                  <c:v>42328</c:v>
                </c:pt>
                <c:pt idx="6">
                  <c:v>42331</c:v>
                </c:pt>
                <c:pt idx="7">
                  <c:v>42332</c:v>
                </c:pt>
                <c:pt idx="8">
                  <c:v>42333</c:v>
                </c:pt>
                <c:pt idx="9">
                  <c:v>42334</c:v>
                </c:pt>
                <c:pt idx="10">
                  <c:v>42335</c:v>
                </c:pt>
                <c:pt idx="11">
                  <c:v>42338</c:v>
                </c:pt>
                <c:pt idx="12">
                  <c:v>42339</c:v>
                </c:pt>
                <c:pt idx="13">
                  <c:v>42340</c:v>
                </c:pt>
                <c:pt idx="14">
                  <c:v>42341</c:v>
                </c:pt>
                <c:pt idx="15">
                  <c:v>42342</c:v>
                </c:pt>
                <c:pt idx="16">
                  <c:v>42345</c:v>
                </c:pt>
                <c:pt idx="17">
                  <c:v>42346</c:v>
                </c:pt>
                <c:pt idx="18">
                  <c:v>42347</c:v>
                </c:pt>
                <c:pt idx="19">
                  <c:v>42348</c:v>
                </c:pt>
                <c:pt idx="20">
                  <c:v>42349</c:v>
                </c:pt>
                <c:pt idx="21">
                  <c:v>42352</c:v>
                </c:pt>
                <c:pt idx="22">
                  <c:v>42353</c:v>
                </c:pt>
                <c:pt idx="23">
                  <c:v>42354</c:v>
                </c:pt>
                <c:pt idx="24">
                  <c:v>42355</c:v>
                </c:pt>
                <c:pt idx="25">
                  <c:v>42356</c:v>
                </c:pt>
                <c:pt idx="26">
                  <c:v>42359</c:v>
                </c:pt>
                <c:pt idx="27">
                  <c:v>42360</c:v>
                </c:pt>
                <c:pt idx="28">
                  <c:v>42361</c:v>
                </c:pt>
                <c:pt idx="29">
                  <c:v>42362</c:v>
                </c:pt>
                <c:pt idx="30">
                  <c:v>42366</c:v>
                </c:pt>
                <c:pt idx="31">
                  <c:v>42367</c:v>
                </c:pt>
                <c:pt idx="32">
                  <c:v>42368</c:v>
                </c:pt>
                <c:pt idx="33">
                  <c:v>42369</c:v>
                </c:pt>
                <c:pt idx="34">
                  <c:v>42373</c:v>
                </c:pt>
                <c:pt idx="35">
                  <c:v>42374</c:v>
                </c:pt>
                <c:pt idx="36">
                  <c:v>42375</c:v>
                </c:pt>
                <c:pt idx="37">
                  <c:v>42376</c:v>
                </c:pt>
                <c:pt idx="38">
                  <c:v>42377</c:v>
                </c:pt>
                <c:pt idx="39">
                  <c:v>42380</c:v>
                </c:pt>
                <c:pt idx="40">
                  <c:v>42381</c:v>
                </c:pt>
                <c:pt idx="41">
                  <c:v>42382</c:v>
                </c:pt>
                <c:pt idx="42">
                  <c:v>42383</c:v>
                </c:pt>
                <c:pt idx="43">
                  <c:v>42384</c:v>
                </c:pt>
                <c:pt idx="44">
                  <c:v>42387</c:v>
                </c:pt>
                <c:pt idx="45">
                  <c:v>42388</c:v>
                </c:pt>
                <c:pt idx="46">
                  <c:v>42389</c:v>
                </c:pt>
                <c:pt idx="47">
                  <c:v>42390</c:v>
                </c:pt>
                <c:pt idx="48">
                  <c:v>42391</c:v>
                </c:pt>
                <c:pt idx="49">
                  <c:v>42394</c:v>
                </c:pt>
                <c:pt idx="50">
                  <c:v>42395</c:v>
                </c:pt>
                <c:pt idx="51">
                  <c:v>42396</c:v>
                </c:pt>
                <c:pt idx="52">
                  <c:v>42397</c:v>
                </c:pt>
                <c:pt idx="53">
                  <c:v>42398</c:v>
                </c:pt>
                <c:pt idx="54">
                  <c:v>42401</c:v>
                </c:pt>
                <c:pt idx="55">
                  <c:v>42402</c:v>
                </c:pt>
                <c:pt idx="56">
                  <c:v>42403</c:v>
                </c:pt>
                <c:pt idx="57">
                  <c:v>42404</c:v>
                </c:pt>
                <c:pt idx="58">
                  <c:v>42405</c:v>
                </c:pt>
                <c:pt idx="59">
                  <c:v>42408</c:v>
                </c:pt>
                <c:pt idx="60">
                  <c:v>42409</c:v>
                </c:pt>
                <c:pt idx="61">
                  <c:v>42410</c:v>
                </c:pt>
                <c:pt idx="62">
                  <c:v>42411</c:v>
                </c:pt>
                <c:pt idx="63">
                  <c:v>42412</c:v>
                </c:pt>
                <c:pt idx="64">
                  <c:v>42415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42458</c:v>
                </c:pt>
                <c:pt idx="94">
                  <c:v>42459</c:v>
                </c:pt>
                <c:pt idx="95">
                  <c:v>42460</c:v>
                </c:pt>
                <c:pt idx="96">
                  <c:v>42461</c:v>
                </c:pt>
                <c:pt idx="97">
                  <c:v>42464</c:v>
                </c:pt>
                <c:pt idx="98">
                  <c:v>42465</c:v>
                </c:pt>
                <c:pt idx="99">
                  <c:v>42466</c:v>
                </c:pt>
                <c:pt idx="100">
                  <c:v>42467</c:v>
                </c:pt>
                <c:pt idx="101">
                  <c:v>42468</c:v>
                </c:pt>
                <c:pt idx="102">
                  <c:v>42471</c:v>
                </c:pt>
                <c:pt idx="103">
                  <c:v>42472</c:v>
                </c:pt>
                <c:pt idx="104">
                  <c:v>42473</c:v>
                </c:pt>
                <c:pt idx="105">
                  <c:v>42474</c:v>
                </c:pt>
                <c:pt idx="106">
                  <c:v>42475</c:v>
                </c:pt>
                <c:pt idx="107">
                  <c:v>42478</c:v>
                </c:pt>
                <c:pt idx="108">
                  <c:v>42479</c:v>
                </c:pt>
                <c:pt idx="109">
                  <c:v>42480</c:v>
                </c:pt>
                <c:pt idx="110">
                  <c:v>42481</c:v>
                </c:pt>
                <c:pt idx="111">
                  <c:v>42482</c:v>
                </c:pt>
                <c:pt idx="112">
                  <c:v>42485</c:v>
                </c:pt>
                <c:pt idx="113">
                  <c:v>42486</c:v>
                </c:pt>
                <c:pt idx="114">
                  <c:v>42487</c:v>
                </c:pt>
                <c:pt idx="115">
                  <c:v>42488</c:v>
                </c:pt>
                <c:pt idx="116">
                  <c:v>42489</c:v>
                </c:pt>
                <c:pt idx="117">
                  <c:v>42492</c:v>
                </c:pt>
                <c:pt idx="118">
                  <c:v>42493</c:v>
                </c:pt>
                <c:pt idx="119">
                  <c:v>42494</c:v>
                </c:pt>
                <c:pt idx="120">
                  <c:v>42495</c:v>
                </c:pt>
                <c:pt idx="121">
                  <c:v>42496</c:v>
                </c:pt>
                <c:pt idx="122">
                  <c:v>42499</c:v>
                </c:pt>
                <c:pt idx="123">
                  <c:v>42500</c:v>
                </c:pt>
                <c:pt idx="124">
                  <c:v>42501</c:v>
                </c:pt>
                <c:pt idx="125">
                  <c:v>42502</c:v>
                </c:pt>
                <c:pt idx="126">
                  <c:v>42503</c:v>
                </c:pt>
                <c:pt idx="127">
                  <c:v>42506</c:v>
                </c:pt>
                <c:pt idx="128">
                  <c:v>42507</c:v>
                </c:pt>
              </c:numCache>
            </c:numRef>
          </c:xVal>
          <c:yVal>
            <c:numRef>
              <c:f>'6MSynthDepo_used'!$U$134:$U$262</c:f>
              <c:numCache>
                <c:formatCode>0.0000%</c:formatCode>
                <c:ptCount val="129"/>
                <c:pt idx="0">
                  <c:v>1.9281474986909272E-3</c:v>
                </c:pt>
                <c:pt idx="1">
                  <c:v>1.9307967947395325E-3</c:v>
                </c:pt>
                <c:pt idx="2">
                  <c:v>1.9316697563725609E-3</c:v>
                </c:pt>
                <c:pt idx="3">
                  <c:v>1.9325377391885422E-3</c:v>
                </c:pt>
                <c:pt idx="4">
                  <c:v>1.9334007966522039E-3</c:v>
                </c:pt>
                <c:pt idx="5">
                  <c:v>1.9342589819882753E-3</c:v>
                </c:pt>
                <c:pt idx="6">
                  <c:v>1.9368048338782651E-3</c:v>
                </c:pt>
                <c:pt idx="7">
                  <c:v>1.9376440581513029E-3</c:v>
                </c:pt>
                <c:pt idx="8">
                  <c:v>1.9384786728204239E-3</c:v>
                </c:pt>
                <c:pt idx="9">
                  <c:v>1.9393087296703697E-3</c:v>
                </c:pt>
                <c:pt idx="10">
                  <c:v>1.9401342802458814E-3</c:v>
                </c:pt>
                <c:pt idx="11">
                  <c:v>1.9425844061732708E-3</c:v>
                </c:pt>
                <c:pt idx="12">
                  <c:v>1.9433924422985127E-3</c:v>
                </c:pt>
                <c:pt idx="13">
                  <c:v>1.9441962262730624E-3</c:v>
                </c:pt>
                <c:pt idx="14">
                  <c:v>1.9449958082016739E-3</c:v>
                </c:pt>
                <c:pt idx="15">
                  <c:v>1.9457912379491037E-3</c:v>
                </c:pt>
                <c:pt idx="16">
                  <c:v>1.9481531091518917E-3</c:v>
                </c:pt>
                <c:pt idx="17">
                  <c:v>1.9489324240221924E-3</c:v>
                </c:pt>
                <c:pt idx="18">
                  <c:v>1.9497078324351212E-3</c:v>
                </c:pt>
                <c:pt idx="19">
                  <c:v>1.9504793828154436E-3</c:v>
                </c:pt>
                <c:pt idx="20">
                  <c:v>1.9512471233479305E-3</c:v>
                </c:pt>
                <c:pt idx="21">
                  <c:v>1.9535279641061006E-3</c:v>
                </c:pt>
                <c:pt idx="22">
                  <c:v>1.9542809422949778E-3</c:v>
                </c:pt>
                <c:pt idx="23">
                  <c:v>1.9550303479598957E-3</c:v>
                </c:pt>
                <c:pt idx="24">
                  <c:v>1.9557762278456354E-3</c:v>
                </c:pt>
                <c:pt idx="25">
                  <c:v>1.95651862845698E-3</c:v>
                </c:pt>
                <c:pt idx="26">
                  <c:v>1.9587254160925E-3</c:v>
                </c:pt>
                <c:pt idx="27">
                  <c:v>1.9594543598541315E-3</c:v>
                </c:pt>
                <c:pt idx="28">
                  <c:v>1.9601800532653125E-3</c:v>
                </c:pt>
                <c:pt idx="29">
                  <c:v>1.9609025413908363E-3</c:v>
                </c:pt>
                <c:pt idx="30">
                  <c:v>1.9637613339323228E-3</c:v>
                </c:pt>
                <c:pt idx="31">
                  <c:v>1.9644684632015492E-3</c:v>
                </c:pt>
                <c:pt idx="32">
                  <c:v>1.9651726525339265E-3</c:v>
                </c:pt>
                <c:pt idx="33">
                  <c:v>1.965873945314263E-3</c:v>
                </c:pt>
                <c:pt idx="34">
                  <c:v>1.9686510102114325E-3</c:v>
                </c:pt>
                <c:pt idx="35">
                  <c:v>1.9693384626037536E-3</c:v>
                </c:pt>
                <c:pt idx="36">
                  <c:v>1.9700232737129239E-3</c:v>
                </c:pt>
                <c:pt idx="37">
                  <c:v>1.9707054852437633E-3</c:v>
                </c:pt>
                <c:pt idx="38">
                  <c:v>1.9713851386610965E-3</c:v>
                </c:pt>
                <c:pt idx="39">
                  <c:v>1.9734091612803204E-3</c:v>
                </c:pt>
                <c:pt idx="40">
                  <c:v>1.9740789920919006E-3</c:v>
                </c:pt>
                <c:pt idx="41">
                  <c:v>1.9747464685141206E-3</c:v>
                </c:pt>
                <c:pt idx="42">
                  <c:v>1.9754116305718151E-3</c:v>
                </c:pt>
                <c:pt idx="43">
                  <c:v>1.9760745180498218E-3</c:v>
                </c:pt>
                <c:pt idx="44">
                  <c:v>1.9780499272541107E-3</c:v>
                </c:pt>
                <c:pt idx="45">
                  <c:v>1.9787041094617734E-3</c:v>
                </c:pt>
                <c:pt idx="46">
                  <c:v>1.9793562124139617E-3</c:v>
                </c:pt>
                <c:pt idx="47">
                  <c:v>1.9800062744555241E-3</c:v>
                </c:pt>
                <c:pt idx="48">
                  <c:v>1.9806543336913121E-3</c:v>
                </c:pt>
                <c:pt idx="49">
                  <c:v>1.9825868720125569E-3</c:v>
                </c:pt>
                <c:pt idx="50">
                  <c:v>1.9832272962737874E-3</c:v>
                </c:pt>
                <c:pt idx="51">
                  <c:v>1.9838659046535236E-3</c:v>
                </c:pt>
                <c:pt idx="52">
                  <c:v>1.9845027338166285E-3</c:v>
                </c:pt>
                <c:pt idx="53">
                  <c:v>1.9851378201879667E-3</c:v>
                </c:pt>
                <c:pt idx="54">
                  <c:v>1.9870329832000415E-3</c:v>
                </c:pt>
                <c:pt idx="55">
                  <c:v>1.9876614578529868E-3</c:v>
                </c:pt>
                <c:pt idx="56">
                  <c:v>1.9882883682385134E-3</c:v>
                </c:pt>
                <c:pt idx="57">
                  <c:v>1.9889137493414965E-3</c:v>
                </c:pt>
                <c:pt idx="58">
                  <c:v>1.9895376359068146E-3</c:v>
                </c:pt>
                <c:pt idx="59">
                  <c:v>1.9914006722255777E-3</c:v>
                </c:pt>
                <c:pt idx="60">
                  <c:v>1.9920189232890467E-3</c:v>
                </c:pt>
                <c:pt idx="61">
                  <c:v>1.9926358499392665E-3</c:v>
                </c:pt>
                <c:pt idx="62">
                  <c:v>1.9932514854811255E-3</c:v>
                </c:pt>
                <c:pt idx="63">
                  <c:v>1.9938658629795156E-3</c:v>
                </c:pt>
                <c:pt idx="64">
                  <c:v>1.99570177426281E-3</c:v>
                </c:pt>
                <c:pt idx="65">
                  <c:v>1.9963114454362727E-3</c:v>
                </c:pt>
                <c:pt idx="66">
                  <c:v>1.9969200202907492E-3</c:v>
                </c:pt>
                <c:pt idx="67">
                  <c:v>1.9975275304511433E-3</c:v>
                </c:pt>
                <c:pt idx="68">
                  <c:v>1.9981340073023592E-3</c:v>
                </c:pt>
                <c:pt idx="69">
                  <c:v>1.999947548250012E-3</c:v>
                </c:pt>
                <c:pt idx="70">
                  <c:v>2.0005502009135981E-3</c:v>
                </c:pt>
                <c:pt idx="71">
                  <c:v>2.0011519735925582E-3</c:v>
                </c:pt>
                <c:pt idx="72">
                  <c:v>2.0017528962318074E-3</c:v>
                </c:pt>
                <c:pt idx="73">
                  <c:v>2.0023529985362639E-3</c:v>
                </c:pt>
                <c:pt idx="74">
                  <c:v>2.0041486768900859E-3</c:v>
                </c:pt>
                <c:pt idx="75">
                  <c:v>2.0047457901045899E-3</c:v>
                </c:pt>
                <c:pt idx="76">
                  <c:v>2.0053422279089203E-3</c:v>
                </c:pt>
                <c:pt idx="77">
                  <c:v>2.0059380185680062E-3</c:v>
                </c:pt>
                <c:pt idx="78">
                  <c:v>2.0065331901067793E-3</c:v>
                </c:pt>
                <c:pt idx="79">
                  <c:v>2.0083152666505667E-3</c:v>
                </c:pt>
                <c:pt idx="80">
                  <c:v>2.0089082371574423E-3</c:v>
                </c:pt>
                <c:pt idx="81">
                  <c:v>2.0095007250686922E-3</c:v>
                </c:pt>
                <c:pt idx="82">
                  <c:v>2.0100927569692579E-3</c:v>
                </c:pt>
                <c:pt idx="83">
                  <c:v>2.0106843592040862E-3</c:v>
                </c:pt>
                <c:pt idx="84">
                  <c:v>2.0124568477636181E-3</c:v>
                </c:pt>
                <c:pt idx="85">
                  <c:v>2.0130469899849817E-3</c:v>
                </c:pt>
                <c:pt idx="86">
                  <c:v>2.0136368306653604E-3</c:v>
                </c:pt>
                <c:pt idx="87">
                  <c:v>2.0142263947097107E-3</c:v>
                </c:pt>
                <c:pt idx="88">
                  <c:v>2.0148157067829925E-3</c:v>
                </c:pt>
                <c:pt idx="89">
                  <c:v>2.0165823742260341E-3</c:v>
                </c:pt>
                <c:pt idx="90">
                  <c:v>2.0171709202646618E-3</c:v>
                </c:pt>
                <c:pt idx="91">
                  <c:v>2.0177593340570416E-3</c:v>
                </c:pt>
                <c:pt idx="92">
                  <c:v>2.0183476388281434E-3</c:v>
                </c:pt>
                <c:pt idx="93">
                  <c:v>2.0212883234385698E-3</c:v>
                </c:pt>
                <c:pt idx="94">
                  <c:v>2.021876448366483E-3</c:v>
                </c:pt>
                <c:pt idx="95">
                  <c:v>2.0224646201279632E-3</c:v>
                </c:pt>
                <c:pt idx="96">
                  <c:v>2.0230528600279954E-3</c:v>
                </c:pt>
                <c:pt idx="97">
                  <c:v>2.0248181980092872E-3</c:v>
                </c:pt>
                <c:pt idx="98">
                  <c:v>2.0254069187134204E-3</c:v>
                </c:pt>
                <c:pt idx="99">
                  <c:v>2.0259958104810625E-3</c:v>
                </c:pt>
                <c:pt idx="100">
                  <c:v>2.0265848931772098E-3</c:v>
                </c:pt>
                <c:pt idx="101">
                  <c:v>2.0271741864268614E-3</c:v>
                </c:pt>
                <c:pt idx="102">
                  <c:v>2.0289435221468623E-3</c:v>
                </c:pt>
                <c:pt idx="103">
                  <c:v>2.0295338490605602E-3</c:v>
                </c:pt>
                <c:pt idx="104">
                  <c:v>2.0301244810527869E-3</c:v>
                </c:pt>
                <c:pt idx="105">
                  <c:v>2.030715436308552E-3</c:v>
                </c:pt>
                <c:pt idx="106">
                  <c:v>2.0313067327728681E-3</c:v>
                </c:pt>
                <c:pt idx="107">
                  <c:v>2.0330828452672792E-3</c:v>
                </c:pt>
                <c:pt idx="108">
                  <c:v>2.0336756812159643E-3</c:v>
                </c:pt>
                <c:pt idx="109">
                  <c:v>2.0342689444982922E-3</c:v>
                </c:pt>
                <c:pt idx="110">
                  <c:v>2.0348626516192869E-3</c:v>
                </c:pt>
                <c:pt idx="111">
                  <c:v>2.0354568188439746E-3</c:v>
                </c:pt>
                <c:pt idx="112">
                  <c:v>2.0372422401904824E-3</c:v>
                </c:pt>
                <c:pt idx="113">
                  <c:v>2.0378384056802391E-3</c:v>
                </c:pt>
                <c:pt idx="114">
                  <c:v>2.0384351089988476E-3</c:v>
                </c:pt>
                <c:pt idx="115">
                  <c:v>2.0390323649713453E-3</c:v>
                </c:pt>
                <c:pt idx="116">
                  <c:v>2.0396301881827721E-3</c:v>
                </c:pt>
                <c:pt idx="117">
                  <c:v>2.0414272035010469E-3</c:v>
                </c:pt>
                <c:pt idx="118">
                  <c:v>2.042027436718621E-3</c:v>
                </c:pt>
                <c:pt idx="119">
                  <c:v>2.0426283065003506E-3</c:v>
                </c:pt>
                <c:pt idx="120">
                  <c:v>2.0432298259912855E-3</c:v>
                </c:pt>
                <c:pt idx="121">
                  <c:v>2.0438320080964799E-3</c:v>
                </c:pt>
                <c:pt idx="122">
                  <c:v>2.0456426555481764E-3</c:v>
                </c:pt>
                <c:pt idx="123">
                  <c:v>2.0462476123609759E-3</c:v>
                </c:pt>
                <c:pt idx="124">
                  <c:v>2.0468532927133275E-3</c:v>
                </c:pt>
                <c:pt idx="125">
                  <c:v>2.047459708070297E-3</c:v>
                </c:pt>
                <c:pt idx="126">
                  <c:v>2.04806686965695E-3</c:v>
                </c:pt>
                <c:pt idx="127">
                  <c:v>2.0498929404457068E-3</c:v>
                </c:pt>
                <c:pt idx="128">
                  <c:v>2.0505031944017993E-3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911744"/>
        <c:axId val="608913280"/>
      </c:scatterChart>
      <c:valAx>
        <c:axId val="6089117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08913280"/>
        <c:crosses val="autoZero"/>
        <c:crossBetween val="midCat"/>
      </c:valAx>
      <c:valAx>
        <c:axId val="6089132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891174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'6MSynthDepo_allScenario'!$BE$6:$BE$135</c:f>
              <c:numCache>
                <c:formatCode>0.0000%</c:formatCode>
                <c:ptCount val="130"/>
                <c:pt idx="0">
                  <c:v>1.6448171090569996E-3</c:v>
                </c:pt>
                <c:pt idx="1">
                  <c:v>1.6465426704620051E-3</c:v>
                </c:pt>
                <c:pt idx="2">
                  <c:v>1.6517193546770218E-3</c:v>
                </c:pt>
                <c:pt idx="3">
                  <c:v>1.6534449160820273E-3</c:v>
                </c:pt>
                <c:pt idx="4">
                  <c:v>1.6551704774870331E-3</c:v>
                </c:pt>
                <c:pt idx="5">
                  <c:v>1.6568960388920386E-3</c:v>
                </c:pt>
                <c:pt idx="6">
                  <c:v>1.6586216002970442E-3</c:v>
                </c:pt>
                <c:pt idx="7">
                  <c:v>1.6637982845120608E-3</c:v>
                </c:pt>
                <c:pt idx="8">
                  <c:v>1.6655238459170663E-3</c:v>
                </c:pt>
                <c:pt idx="9">
                  <c:v>1.6672494073220719E-3</c:v>
                </c:pt>
                <c:pt idx="10">
                  <c:v>1.6689749687270774E-3</c:v>
                </c:pt>
                <c:pt idx="11">
                  <c:v>1.670700530132083E-3</c:v>
                </c:pt>
                <c:pt idx="12">
                  <c:v>1.6758772143470998E-3</c:v>
                </c:pt>
                <c:pt idx="13">
                  <c:v>1.6776027757521054E-3</c:v>
                </c:pt>
                <c:pt idx="14">
                  <c:v>1.6793283371571109E-3</c:v>
                </c:pt>
                <c:pt idx="15">
                  <c:v>1.6810538985621165E-3</c:v>
                </c:pt>
                <c:pt idx="16">
                  <c:v>1.682779459967122E-3</c:v>
                </c:pt>
                <c:pt idx="17">
                  <c:v>1.6879561441821387E-3</c:v>
                </c:pt>
                <c:pt idx="18">
                  <c:v>1.6896817055871442E-3</c:v>
                </c:pt>
                <c:pt idx="19">
                  <c:v>1.6914072669921498E-3</c:v>
                </c:pt>
                <c:pt idx="20">
                  <c:v>1.6931328283971555E-3</c:v>
                </c:pt>
                <c:pt idx="21">
                  <c:v>1.6948583898021611E-3</c:v>
                </c:pt>
                <c:pt idx="22">
                  <c:v>1.7000350740171777E-3</c:v>
                </c:pt>
                <c:pt idx="23">
                  <c:v>1.7017606354221833E-3</c:v>
                </c:pt>
                <c:pt idx="24">
                  <c:v>1.7034861968271888E-3</c:v>
                </c:pt>
                <c:pt idx="25">
                  <c:v>1.7052117582321944E-3</c:v>
                </c:pt>
                <c:pt idx="26">
                  <c:v>1.7069373196371999E-3</c:v>
                </c:pt>
                <c:pt idx="27">
                  <c:v>1.7121140038522165E-3</c:v>
                </c:pt>
                <c:pt idx="28">
                  <c:v>1.7138395652572223E-3</c:v>
                </c:pt>
                <c:pt idx="29">
                  <c:v>1.7155651266622279E-3</c:v>
                </c:pt>
                <c:pt idx="30">
                  <c:v>1.7172906880672334E-3</c:v>
                </c:pt>
                <c:pt idx="31">
                  <c:v>1.719016249472239E-3</c:v>
                </c:pt>
                <c:pt idx="32">
                  <c:v>1.7241929336872556E-3</c:v>
                </c:pt>
                <c:pt idx="33">
                  <c:v>1.7259184950922611E-3</c:v>
                </c:pt>
                <c:pt idx="34">
                  <c:v>1.7276440564972667E-3</c:v>
                </c:pt>
                <c:pt idx="35">
                  <c:v>1.7293696179022722E-3</c:v>
                </c:pt>
                <c:pt idx="36">
                  <c:v>1.7310951793072778E-3</c:v>
                </c:pt>
                <c:pt idx="37">
                  <c:v>1.7362718635222946E-3</c:v>
                </c:pt>
                <c:pt idx="38">
                  <c:v>1.7379974249273002E-3</c:v>
                </c:pt>
                <c:pt idx="39">
                  <c:v>1.7397229863323057E-3</c:v>
                </c:pt>
                <c:pt idx="40">
                  <c:v>1.7414485477373113E-3</c:v>
                </c:pt>
                <c:pt idx="41">
                  <c:v>1.7431741091423168E-3</c:v>
                </c:pt>
                <c:pt idx="42">
                  <c:v>1.7483507933573335E-3</c:v>
                </c:pt>
                <c:pt idx="43">
                  <c:v>1.750076354762339E-3</c:v>
                </c:pt>
                <c:pt idx="44">
                  <c:v>1.7518019161673446E-3</c:v>
                </c:pt>
                <c:pt idx="45">
                  <c:v>1.7535274775723503E-3</c:v>
                </c:pt>
                <c:pt idx="46">
                  <c:v>1.7552530389773559E-3</c:v>
                </c:pt>
                <c:pt idx="47">
                  <c:v>1.7604297231923725E-3</c:v>
                </c:pt>
                <c:pt idx="48">
                  <c:v>1.7621552845973781E-3</c:v>
                </c:pt>
                <c:pt idx="49">
                  <c:v>1.7638808460023836E-3</c:v>
                </c:pt>
                <c:pt idx="50">
                  <c:v>1.7656064074073892E-3</c:v>
                </c:pt>
                <c:pt idx="51">
                  <c:v>1.7673319688123947E-3</c:v>
                </c:pt>
                <c:pt idx="52">
                  <c:v>1.7725086530274116E-3</c:v>
                </c:pt>
                <c:pt idx="53">
                  <c:v>1.7742342144324171E-3</c:v>
                </c:pt>
                <c:pt idx="54">
                  <c:v>1.7759597758374226E-3</c:v>
                </c:pt>
                <c:pt idx="55">
                  <c:v>1.7776853372424282E-3</c:v>
                </c:pt>
                <c:pt idx="56">
                  <c:v>1.7794108986474337E-3</c:v>
                </c:pt>
                <c:pt idx="57">
                  <c:v>1.7845875828624504E-3</c:v>
                </c:pt>
                <c:pt idx="58">
                  <c:v>1.7863131442674559E-3</c:v>
                </c:pt>
                <c:pt idx="59">
                  <c:v>1.7880387056724615E-3</c:v>
                </c:pt>
                <c:pt idx="60">
                  <c:v>1.789764267077467E-3</c:v>
                </c:pt>
                <c:pt idx="61">
                  <c:v>1.7914898284824726E-3</c:v>
                </c:pt>
                <c:pt idx="62">
                  <c:v>1.7966665126974894E-3</c:v>
                </c:pt>
                <c:pt idx="63">
                  <c:v>1.798392074102495E-3</c:v>
                </c:pt>
                <c:pt idx="64">
                  <c:v>1.8001176355075005E-3</c:v>
                </c:pt>
                <c:pt idx="65">
                  <c:v>1.8018431969125061E-3</c:v>
                </c:pt>
                <c:pt idx="66">
                  <c:v>1.8035687583175116E-3</c:v>
                </c:pt>
                <c:pt idx="67">
                  <c:v>1.8087454425325285E-3</c:v>
                </c:pt>
                <c:pt idx="68">
                  <c:v>1.810471003937534E-3</c:v>
                </c:pt>
                <c:pt idx="69">
                  <c:v>1.8121965653425396E-3</c:v>
                </c:pt>
                <c:pt idx="70">
                  <c:v>1.8139221267475451E-3</c:v>
                </c:pt>
                <c:pt idx="71">
                  <c:v>1.8156476881525507E-3</c:v>
                </c:pt>
                <c:pt idx="72">
                  <c:v>1.8208243723675673E-3</c:v>
                </c:pt>
                <c:pt idx="73">
                  <c:v>1.8225499337725728E-3</c:v>
                </c:pt>
                <c:pt idx="74">
                  <c:v>1.8242754951775784E-3</c:v>
                </c:pt>
                <c:pt idx="75">
                  <c:v>1.8260010565825839E-3</c:v>
                </c:pt>
                <c:pt idx="76">
                  <c:v>1.8277266179875895E-3</c:v>
                </c:pt>
                <c:pt idx="77">
                  <c:v>1.8329033022026063E-3</c:v>
                </c:pt>
                <c:pt idx="78">
                  <c:v>1.8346288636076119E-3</c:v>
                </c:pt>
                <c:pt idx="79">
                  <c:v>1.8363544250126174E-3</c:v>
                </c:pt>
                <c:pt idx="80">
                  <c:v>1.838079986417623E-3</c:v>
                </c:pt>
                <c:pt idx="81">
                  <c:v>1.8398055478226285E-3</c:v>
                </c:pt>
                <c:pt idx="82">
                  <c:v>1.8449822320376452E-3</c:v>
                </c:pt>
                <c:pt idx="83">
                  <c:v>1.8467077934426507E-3</c:v>
                </c:pt>
                <c:pt idx="84">
                  <c:v>1.8484333548476565E-3</c:v>
                </c:pt>
                <c:pt idx="85">
                  <c:v>1.850158916252662E-3</c:v>
                </c:pt>
                <c:pt idx="86">
                  <c:v>1.8518844776576676E-3</c:v>
                </c:pt>
                <c:pt idx="87">
                  <c:v>1.8570611618726842E-3</c:v>
                </c:pt>
                <c:pt idx="88">
                  <c:v>1.8587867232776898E-3</c:v>
                </c:pt>
                <c:pt idx="89">
                  <c:v>1.8605122846826953E-3</c:v>
                </c:pt>
                <c:pt idx="90">
                  <c:v>1.8622378460877009E-3</c:v>
                </c:pt>
                <c:pt idx="91">
                  <c:v>1.8639634074927064E-3</c:v>
                </c:pt>
                <c:pt idx="92">
                  <c:v>1.8691400917077231E-3</c:v>
                </c:pt>
                <c:pt idx="93">
                  <c:v>1.8708656531127288E-3</c:v>
                </c:pt>
                <c:pt idx="94">
                  <c:v>1.8725912145177344E-3</c:v>
                </c:pt>
                <c:pt idx="95">
                  <c:v>1.8743167759227399E-3</c:v>
                </c:pt>
                <c:pt idx="96">
                  <c:v>1.8760423373277455E-3</c:v>
                </c:pt>
                <c:pt idx="97">
                  <c:v>1.8812190215427621E-3</c:v>
                </c:pt>
                <c:pt idx="98">
                  <c:v>1.8829445829477676E-3</c:v>
                </c:pt>
                <c:pt idx="99">
                  <c:v>1.8846701443527732E-3</c:v>
                </c:pt>
                <c:pt idx="100">
                  <c:v>1.886395705757779E-3</c:v>
                </c:pt>
                <c:pt idx="101">
                  <c:v>1.8881212671627845E-3</c:v>
                </c:pt>
                <c:pt idx="102">
                  <c:v>1.8932979513778011E-3</c:v>
                </c:pt>
                <c:pt idx="103">
                  <c:v>1.8950235127828067E-3</c:v>
                </c:pt>
                <c:pt idx="104">
                  <c:v>1.8967490741878122E-3</c:v>
                </c:pt>
                <c:pt idx="105">
                  <c:v>1.8984746355928178E-3</c:v>
                </c:pt>
                <c:pt idx="106">
                  <c:v>1.9002001969978233E-3</c:v>
                </c:pt>
                <c:pt idx="107">
                  <c:v>1.90537688121284E-3</c:v>
                </c:pt>
                <c:pt idx="108">
                  <c:v>1.9071024426178455E-3</c:v>
                </c:pt>
                <c:pt idx="109">
                  <c:v>1.9088280040228511E-3</c:v>
                </c:pt>
                <c:pt idx="110">
                  <c:v>1.9105535654278568E-3</c:v>
                </c:pt>
                <c:pt idx="111">
                  <c:v>1.9122791268328624E-3</c:v>
                </c:pt>
                <c:pt idx="112">
                  <c:v>1.917455811047879E-3</c:v>
                </c:pt>
                <c:pt idx="113">
                  <c:v>1.9191813724528846E-3</c:v>
                </c:pt>
                <c:pt idx="114">
                  <c:v>1.9209069338578901E-3</c:v>
                </c:pt>
                <c:pt idx="115">
                  <c:v>1.9226324952628957E-3</c:v>
                </c:pt>
                <c:pt idx="116">
                  <c:v>1.9243580566679014E-3</c:v>
                </c:pt>
                <c:pt idx="117">
                  <c:v>1.9295347408829181E-3</c:v>
                </c:pt>
                <c:pt idx="118">
                  <c:v>1.9312603022879236E-3</c:v>
                </c:pt>
                <c:pt idx="119">
                  <c:v>1.9329858636929292E-3</c:v>
                </c:pt>
                <c:pt idx="120">
                  <c:v>1.9347114250979347E-3</c:v>
                </c:pt>
                <c:pt idx="121">
                  <c:v>1.9364369865029402E-3</c:v>
                </c:pt>
                <c:pt idx="122">
                  <c:v>1.9416136707179569E-3</c:v>
                </c:pt>
                <c:pt idx="123">
                  <c:v>1.9433392321229624E-3</c:v>
                </c:pt>
                <c:pt idx="124">
                  <c:v>1.945064793527968E-3</c:v>
                </c:pt>
                <c:pt idx="125">
                  <c:v>1.9467903549329735E-3</c:v>
                </c:pt>
                <c:pt idx="126">
                  <c:v>1.9485159163379791E-3</c:v>
                </c:pt>
                <c:pt idx="127">
                  <c:v>1.9536926005529962E-3</c:v>
                </c:pt>
                <c:pt idx="128">
                  <c:v>1.9554181619580013E-3</c:v>
                </c:pt>
                <c:pt idx="129">
                  <c:v>1.9571437233630072E-3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'6MSynthDepo_allScenario'!$BF$6:$BF$135</c:f>
              <c:numCache>
                <c:formatCode>0.0000%</c:formatCode>
                <c:ptCount val="130"/>
                <c:pt idx="0">
                  <c:v>1.5532418090135273E-3</c:v>
                </c:pt>
                <c:pt idx="1">
                  <c:v>1.5572405161642928E-3</c:v>
                </c:pt>
                <c:pt idx="2">
                  <c:v>1.5691109337043815E-3</c:v>
                </c:pt>
                <c:pt idx="3">
                  <c:v>1.5730258382470085E-3</c:v>
                </c:pt>
                <c:pt idx="4">
                  <c:v>1.5769197921376005E-3</c:v>
                </c:pt>
                <c:pt idx="5">
                  <c:v>1.5807927953761583E-3</c:v>
                </c:pt>
                <c:pt idx="6">
                  <c:v>1.5846448479626813E-3</c:v>
                </c:pt>
                <c:pt idx="7">
                  <c:v>1.596075301810042E-3</c:v>
                </c:pt>
                <c:pt idx="8">
                  <c:v>1.5998435517884265E-3</c:v>
                </c:pt>
                <c:pt idx="9">
                  <c:v>1.6035908511147761E-3</c:v>
                </c:pt>
                <c:pt idx="10">
                  <c:v>1.6073171997890911E-3</c:v>
                </c:pt>
                <c:pt idx="11">
                  <c:v>1.6110225978113715E-3</c:v>
                </c:pt>
                <c:pt idx="12">
                  <c:v>1.6220130879660045E-3</c:v>
                </c:pt>
                <c:pt idx="13">
                  <c:v>1.6256346833801465E-3</c:v>
                </c:pt>
                <c:pt idx="14">
                  <c:v>1.6292353281422535E-3</c:v>
                </c:pt>
                <c:pt idx="15">
                  <c:v>1.632815022252326E-3</c:v>
                </c:pt>
                <c:pt idx="16">
                  <c:v>1.6363737657103638E-3</c:v>
                </c:pt>
                <c:pt idx="17">
                  <c:v>1.6469242921722691E-3</c:v>
                </c:pt>
                <c:pt idx="18">
                  <c:v>1.6503992330221685E-3</c:v>
                </c:pt>
                <c:pt idx="19">
                  <c:v>1.6538532232200328E-3</c:v>
                </c:pt>
                <c:pt idx="20">
                  <c:v>1.6572862627658629E-3</c:v>
                </c:pt>
                <c:pt idx="21">
                  <c:v>1.6606983516596582E-3</c:v>
                </c:pt>
                <c:pt idx="22">
                  <c:v>1.6708089144288356E-3</c:v>
                </c:pt>
                <c:pt idx="23">
                  <c:v>1.6741372007144924E-3</c:v>
                </c:pt>
                <c:pt idx="24">
                  <c:v>1.6774445363481141E-3</c:v>
                </c:pt>
                <c:pt idx="25">
                  <c:v>1.6807309213297016E-3</c:v>
                </c:pt>
                <c:pt idx="26">
                  <c:v>1.6839963556592543E-3</c:v>
                </c:pt>
                <c:pt idx="27">
                  <c:v>1.693666954735704E-3</c:v>
                </c:pt>
                <c:pt idx="28">
                  <c:v>1.6968485864571183E-3</c:v>
                </c:pt>
                <c:pt idx="29">
                  <c:v>1.7000092675264974E-3</c:v>
                </c:pt>
                <c:pt idx="30">
                  <c:v>1.7031489979438422E-3</c:v>
                </c:pt>
                <c:pt idx="31">
                  <c:v>1.7062677777091521E-3</c:v>
                </c:pt>
                <c:pt idx="32">
                  <c:v>1.7154984130928746E-3</c:v>
                </c:pt>
                <c:pt idx="33">
                  <c:v>1.718533390250046E-3</c:v>
                </c:pt>
                <c:pt idx="34">
                  <c:v>1.7215474167551826E-3</c:v>
                </c:pt>
                <c:pt idx="35">
                  <c:v>1.724540492608285E-3</c:v>
                </c:pt>
                <c:pt idx="36">
                  <c:v>1.7275126178093523E-3</c:v>
                </c:pt>
                <c:pt idx="37">
                  <c:v>1.7363032895003469E-3</c:v>
                </c:pt>
                <c:pt idx="38">
                  <c:v>1.7391916120932758E-3</c:v>
                </c:pt>
                <c:pt idx="39">
                  <c:v>1.7420589840341698E-3</c:v>
                </c:pt>
                <c:pt idx="40">
                  <c:v>1.7449054053230294E-3</c:v>
                </c:pt>
                <c:pt idx="41">
                  <c:v>1.7477308759598542E-3</c:v>
                </c:pt>
                <c:pt idx="42">
                  <c:v>1.7560815839581211E-3</c:v>
                </c:pt>
                <c:pt idx="43">
                  <c:v>1.7588232519868074E-3</c:v>
                </c:pt>
                <c:pt idx="44">
                  <c:v>1.761543969363459E-3</c:v>
                </c:pt>
                <c:pt idx="45">
                  <c:v>1.7642437360880761E-3</c:v>
                </c:pt>
                <c:pt idx="46">
                  <c:v>1.7669225521606585E-3</c:v>
                </c:pt>
                <c:pt idx="47">
                  <c:v>1.7748332964661973E-3</c:v>
                </c:pt>
                <c:pt idx="48">
                  <c:v>1.7774283099306412E-3</c:v>
                </c:pt>
                <c:pt idx="49">
                  <c:v>1.7800023727430503E-3</c:v>
                </c:pt>
                <c:pt idx="50">
                  <c:v>1.7825554849034246E-3</c:v>
                </c:pt>
                <c:pt idx="51">
                  <c:v>1.785087646411764E-3</c:v>
                </c:pt>
                <c:pt idx="52">
                  <c:v>1.7925584270245755E-3</c:v>
                </c:pt>
                <c:pt idx="53">
                  <c:v>1.7950067859247767E-3</c:v>
                </c:pt>
                <c:pt idx="54">
                  <c:v>1.797434194172943E-3</c:v>
                </c:pt>
                <c:pt idx="55">
                  <c:v>1.7998406517690749E-3</c:v>
                </c:pt>
                <c:pt idx="56">
                  <c:v>1.8022261587131723E-3</c:v>
                </c:pt>
                <c:pt idx="57">
                  <c:v>1.8092569756332556E-3</c:v>
                </c:pt>
                <c:pt idx="58">
                  <c:v>1.8115586799692142E-3</c:v>
                </c:pt>
                <c:pt idx="59">
                  <c:v>1.813839433653138E-3</c:v>
                </c:pt>
                <c:pt idx="60">
                  <c:v>1.8160992366850273E-3</c:v>
                </c:pt>
                <c:pt idx="61">
                  <c:v>1.8183380890648818E-3</c:v>
                </c:pt>
                <c:pt idx="62">
                  <c:v>1.8249289422922377E-3</c:v>
                </c:pt>
                <c:pt idx="63">
                  <c:v>1.8270839920639537E-3</c:v>
                </c:pt>
                <c:pt idx="64">
                  <c:v>1.8292180911836349E-3</c:v>
                </c:pt>
                <c:pt idx="65">
                  <c:v>1.8313312396512817E-3</c:v>
                </c:pt>
                <c:pt idx="66">
                  <c:v>1.8334234374668937E-3</c:v>
                </c:pt>
                <c:pt idx="67">
                  <c:v>1.8395743270015216E-3</c:v>
                </c:pt>
                <c:pt idx="68">
                  <c:v>1.8415827222089951E-3</c:v>
                </c:pt>
                <c:pt idx="69">
                  <c:v>1.8435701667644337E-3</c:v>
                </c:pt>
                <c:pt idx="70">
                  <c:v>1.845536660667838E-3</c:v>
                </c:pt>
                <c:pt idx="71">
                  <c:v>1.8474822039192072E-3</c:v>
                </c:pt>
                <c:pt idx="72">
                  <c:v>1.8531931297611078E-3</c:v>
                </c:pt>
                <c:pt idx="73">
                  <c:v>1.8550548704043383E-3</c:v>
                </c:pt>
                <c:pt idx="74">
                  <c:v>1.8568956603955346E-3</c:v>
                </c:pt>
                <c:pt idx="75">
                  <c:v>1.8587154997346963E-3</c:v>
                </c:pt>
                <c:pt idx="76">
                  <c:v>1.8605143884218231E-3</c:v>
                </c:pt>
                <c:pt idx="77">
                  <c:v>1.8657853505709956E-3</c:v>
                </c:pt>
                <c:pt idx="78">
                  <c:v>1.867500436649984E-3</c:v>
                </c:pt>
                <c:pt idx="79">
                  <c:v>1.8691945720769377E-3</c:v>
                </c:pt>
                <c:pt idx="80">
                  <c:v>1.8708677568518562E-3</c:v>
                </c:pt>
                <c:pt idx="81">
                  <c:v>1.8725199909747406E-3</c:v>
                </c:pt>
                <c:pt idx="82">
                  <c:v>1.8773509894311857E-3</c:v>
                </c:pt>
                <c:pt idx="83">
                  <c:v>1.8789194209459311E-3</c:v>
                </c:pt>
                <c:pt idx="84">
                  <c:v>1.880466901808642E-3</c:v>
                </c:pt>
                <c:pt idx="85">
                  <c:v>1.8819934320193185E-3</c:v>
                </c:pt>
                <c:pt idx="86">
                  <c:v>1.8834990115779602E-3</c:v>
                </c:pt>
                <c:pt idx="87">
                  <c:v>1.8878900463416774E-3</c:v>
                </c:pt>
                <c:pt idx="88">
                  <c:v>1.8893118232921804E-3</c:v>
                </c:pt>
                <c:pt idx="89">
                  <c:v>1.8907126495906485E-3</c:v>
                </c:pt>
                <c:pt idx="90">
                  <c:v>1.8920925252370825E-3</c:v>
                </c:pt>
                <c:pt idx="91">
                  <c:v>1.8934514502314816E-3</c:v>
                </c:pt>
                <c:pt idx="92">
                  <c:v>1.8974025213024713E-3</c:v>
                </c:pt>
                <c:pt idx="93">
                  <c:v>1.8986776436887315E-3</c:v>
                </c:pt>
                <c:pt idx="94">
                  <c:v>1.8999318154229573E-3</c:v>
                </c:pt>
                <c:pt idx="95">
                  <c:v>1.9011650365051485E-3</c:v>
                </c:pt>
                <c:pt idx="96">
                  <c:v>1.9023773069353053E-3</c:v>
                </c:pt>
                <c:pt idx="97">
                  <c:v>1.9058884143135669E-3</c:v>
                </c:pt>
                <c:pt idx="98">
                  <c:v>1.9070168821355847E-3</c:v>
                </c:pt>
                <c:pt idx="99">
                  <c:v>1.9081243993055682E-3</c:v>
                </c:pt>
                <c:pt idx="100">
                  <c:v>1.9092109658235168E-3</c:v>
                </c:pt>
                <c:pt idx="101">
                  <c:v>1.9102765816894304E-3</c:v>
                </c:pt>
                <c:pt idx="102">
                  <c:v>1.9133477253749642E-3</c:v>
                </c:pt>
                <c:pt idx="103">
                  <c:v>1.9143295386327397E-3</c:v>
                </c:pt>
                <c:pt idx="104">
                  <c:v>1.9152904012384804E-3</c:v>
                </c:pt>
                <c:pt idx="105">
                  <c:v>1.9162303131921867E-3</c:v>
                </c:pt>
                <c:pt idx="106">
                  <c:v>1.9171492744938581E-3</c:v>
                </c:pt>
                <c:pt idx="107">
                  <c:v>1.9197804544866641E-3</c:v>
                </c:pt>
                <c:pt idx="108">
                  <c:v>1.920615613180197E-3</c:v>
                </c:pt>
                <c:pt idx="109">
                  <c:v>1.9214298212216947E-3</c:v>
                </c:pt>
                <c:pt idx="110">
                  <c:v>1.9222230786111582E-3</c:v>
                </c:pt>
                <c:pt idx="111">
                  <c:v>1.9229953853485871E-3</c:v>
                </c:pt>
                <c:pt idx="112">
                  <c:v>1.925186601648666E-3</c:v>
                </c:pt>
                <c:pt idx="113">
                  <c:v>1.9258751057779557E-3</c:v>
                </c:pt>
                <c:pt idx="114">
                  <c:v>1.9265426592552115E-3</c:v>
                </c:pt>
                <c:pt idx="115">
                  <c:v>1.9271892620804322E-3</c:v>
                </c:pt>
                <c:pt idx="116">
                  <c:v>1.9278149142536185E-3</c:v>
                </c:pt>
                <c:pt idx="117">
                  <c:v>1.9295661668609692E-3</c:v>
                </c:pt>
                <c:pt idx="118">
                  <c:v>1.9301080164260168E-3</c:v>
                </c:pt>
                <c:pt idx="119">
                  <c:v>1.9306289153390298E-3</c:v>
                </c:pt>
                <c:pt idx="120">
                  <c:v>1.9311288636000077E-3</c:v>
                </c:pt>
                <c:pt idx="121">
                  <c:v>1.9316078612089515E-3</c:v>
                </c:pt>
                <c:pt idx="122">
                  <c:v>1.9329191501235746E-3</c:v>
                </c:pt>
                <c:pt idx="123">
                  <c:v>1.9333143451243796E-3</c:v>
                </c:pt>
                <c:pt idx="124">
                  <c:v>1.93368858947315E-3</c:v>
                </c:pt>
                <c:pt idx="125">
                  <c:v>1.9340418831698858E-3</c:v>
                </c:pt>
                <c:pt idx="126">
                  <c:v>1.934374226214587E-3</c:v>
                </c:pt>
                <c:pt idx="127">
                  <c:v>1.9352455514364821E-3</c:v>
                </c:pt>
                <c:pt idx="128">
                  <c:v>1.9354940918730446E-3</c:v>
                </c:pt>
                <c:pt idx="129">
                  <c:v>1.935721681657572E-3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'6MSynthDepo_allScenario'!$BG$6:$BG$135</c:f>
              <c:numCache>
                <c:formatCode>0.0000%</c:formatCode>
                <c:ptCount val="130"/>
                <c:pt idx="0">
                  <c:v>1.7246914699391173E-3</c:v>
                </c:pt>
                <c:pt idx="1">
                  <c:v>1.725778036457066E-3</c:v>
                </c:pt>
                <c:pt idx="2">
                  <c:v>1.7290377360109118E-3</c:v>
                </c:pt>
                <c:pt idx="3">
                  <c:v>1.7301243025288605E-3</c:v>
                </c:pt>
                <c:pt idx="4">
                  <c:v>1.7312108690468091E-3</c:v>
                </c:pt>
                <c:pt idx="5">
                  <c:v>1.7322974355647577E-3</c:v>
                </c:pt>
                <c:pt idx="6">
                  <c:v>1.7333840020827063E-3</c:v>
                </c:pt>
                <c:pt idx="7">
                  <c:v>1.7366437016365522E-3</c:v>
                </c:pt>
                <c:pt idx="8">
                  <c:v>1.7377302681545008E-3</c:v>
                </c:pt>
                <c:pt idx="9">
                  <c:v>1.7388168346724494E-3</c:v>
                </c:pt>
                <c:pt idx="10">
                  <c:v>1.7399034011903981E-3</c:v>
                </c:pt>
                <c:pt idx="11">
                  <c:v>1.7409899677083467E-3</c:v>
                </c:pt>
                <c:pt idx="12">
                  <c:v>1.7442496672621926E-3</c:v>
                </c:pt>
                <c:pt idx="13">
                  <c:v>1.7453362337801412E-3</c:v>
                </c:pt>
                <c:pt idx="14">
                  <c:v>1.7464228002980898E-3</c:v>
                </c:pt>
                <c:pt idx="15">
                  <c:v>1.7475093668160384E-3</c:v>
                </c:pt>
                <c:pt idx="16">
                  <c:v>1.7485959333339871E-3</c:v>
                </c:pt>
                <c:pt idx="17">
                  <c:v>1.7518556328878331E-3</c:v>
                </c:pt>
                <c:pt idx="18">
                  <c:v>1.7529421994057818E-3</c:v>
                </c:pt>
                <c:pt idx="19">
                  <c:v>1.7540287659237304E-3</c:v>
                </c:pt>
                <c:pt idx="20">
                  <c:v>1.755115332441679E-3</c:v>
                </c:pt>
                <c:pt idx="21">
                  <c:v>1.7562018989596276E-3</c:v>
                </c:pt>
                <c:pt idx="22">
                  <c:v>1.7594615985134735E-3</c:v>
                </c:pt>
                <c:pt idx="23">
                  <c:v>1.7605481650314221E-3</c:v>
                </c:pt>
                <c:pt idx="24">
                  <c:v>1.7616347315493708E-3</c:v>
                </c:pt>
                <c:pt idx="25">
                  <c:v>1.7627212980673194E-3</c:v>
                </c:pt>
                <c:pt idx="26">
                  <c:v>1.763807864585268E-3</c:v>
                </c:pt>
                <c:pt idx="27">
                  <c:v>1.7670675641391139E-3</c:v>
                </c:pt>
                <c:pt idx="28">
                  <c:v>1.7681541306570625E-3</c:v>
                </c:pt>
                <c:pt idx="29">
                  <c:v>1.7692406971750111E-3</c:v>
                </c:pt>
                <c:pt idx="30">
                  <c:v>1.7703272636929598E-3</c:v>
                </c:pt>
                <c:pt idx="31">
                  <c:v>1.7714138302109084E-3</c:v>
                </c:pt>
                <c:pt idx="32">
                  <c:v>1.7746735297647542E-3</c:v>
                </c:pt>
                <c:pt idx="33">
                  <c:v>1.7757600962827029E-3</c:v>
                </c:pt>
                <c:pt idx="34">
                  <c:v>1.7768466628006515E-3</c:v>
                </c:pt>
                <c:pt idx="35">
                  <c:v>1.7779332293186001E-3</c:v>
                </c:pt>
                <c:pt idx="36">
                  <c:v>1.7790197958365487E-3</c:v>
                </c:pt>
                <c:pt idx="37">
                  <c:v>1.7822794953903946E-3</c:v>
                </c:pt>
                <c:pt idx="38">
                  <c:v>1.7833660619083432E-3</c:v>
                </c:pt>
                <c:pt idx="39">
                  <c:v>1.7844526284262919E-3</c:v>
                </c:pt>
                <c:pt idx="40">
                  <c:v>1.7855391949442405E-3</c:v>
                </c:pt>
                <c:pt idx="41">
                  <c:v>1.7866257614621891E-3</c:v>
                </c:pt>
                <c:pt idx="42">
                  <c:v>1.789885461016035E-3</c:v>
                </c:pt>
                <c:pt idx="43">
                  <c:v>1.7909720275339836E-3</c:v>
                </c:pt>
                <c:pt idx="44">
                  <c:v>1.7920585940519322E-3</c:v>
                </c:pt>
                <c:pt idx="45">
                  <c:v>1.7931451605698809E-3</c:v>
                </c:pt>
                <c:pt idx="46">
                  <c:v>1.7942317270878295E-3</c:v>
                </c:pt>
                <c:pt idx="47">
                  <c:v>1.7974914266416756E-3</c:v>
                </c:pt>
                <c:pt idx="48">
                  <c:v>1.798577993159624E-3</c:v>
                </c:pt>
                <c:pt idx="49">
                  <c:v>1.7996645596775728E-3</c:v>
                </c:pt>
                <c:pt idx="50">
                  <c:v>1.8007511261955214E-3</c:v>
                </c:pt>
                <c:pt idx="51">
                  <c:v>1.8018376927134701E-3</c:v>
                </c:pt>
                <c:pt idx="52">
                  <c:v>1.8050973922673159E-3</c:v>
                </c:pt>
                <c:pt idx="53">
                  <c:v>1.8061839587852646E-3</c:v>
                </c:pt>
                <c:pt idx="54">
                  <c:v>1.8072705253032132E-3</c:v>
                </c:pt>
                <c:pt idx="55">
                  <c:v>1.8083570918211618E-3</c:v>
                </c:pt>
                <c:pt idx="56">
                  <c:v>1.8094436583391104E-3</c:v>
                </c:pt>
                <c:pt idx="57">
                  <c:v>1.8127033578929563E-3</c:v>
                </c:pt>
                <c:pt idx="58">
                  <c:v>1.8137899244109049E-3</c:v>
                </c:pt>
                <c:pt idx="59">
                  <c:v>1.8148764909288535E-3</c:v>
                </c:pt>
                <c:pt idx="60">
                  <c:v>1.8159630574468022E-3</c:v>
                </c:pt>
                <c:pt idx="61">
                  <c:v>1.8170496239647508E-3</c:v>
                </c:pt>
                <c:pt idx="62">
                  <c:v>1.8203093235185967E-3</c:v>
                </c:pt>
                <c:pt idx="63">
                  <c:v>1.8213958900365453E-3</c:v>
                </c:pt>
                <c:pt idx="64">
                  <c:v>1.8224824565544939E-3</c:v>
                </c:pt>
                <c:pt idx="65">
                  <c:v>1.8235690230724425E-3</c:v>
                </c:pt>
                <c:pt idx="66">
                  <c:v>1.8246555895903912E-3</c:v>
                </c:pt>
                <c:pt idx="67">
                  <c:v>1.827915289144237E-3</c:v>
                </c:pt>
                <c:pt idx="68">
                  <c:v>1.8290018556621857E-3</c:v>
                </c:pt>
                <c:pt idx="69">
                  <c:v>1.8300884221801343E-3</c:v>
                </c:pt>
                <c:pt idx="70">
                  <c:v>1.8311749886980829E-3</c:v>
                </c:pt>
                <c:pt idx="71">
                  <c:v>1.8322615552160315E-3</c:v>
                </c:pt>
                <c:pt idx="72">
                  <c:v>1.8355212547698774E-3</c:v>
                </c:pt>
                <c:pt idx="73">
                  <c:v>1.836607821287826E-3</c:v>
                </c:pt>
                <c:pt idx="74">
                  <c:v>1.8376943878057746E-3</c:v>
                </c:pt>
                <c:pt idx="75">
                  <c:v>1.8387809543237233E-3</c:v>
                </c:pt>
                <c:pt idx="76">
                  <c:v>1.8398675208416719E-3</c:v>
                </c:pt>
                <c:pt idx="77">
                  <c:v>1.8431272203955178E-3</c:v>
                </c:pt>
                <c:pt idx="78">
                  <c:v>1.8442137869134666E-3</c:v>
                </c:pt>
                <c:pt idx="79">
                  <c:v>1.845300353431415E-3</c:v>
                </c:pt>
                <c:pt idx="80">
                  <c:v>1.8463869199493639E-3</c:v>
                </c:pt>
                <c:pt idx="81">
                  <c:v>1.8474734864673123E-3</c:v>
                </c:pt>
                <c:pt idx="82">
                  <c:v>1.8507331860211584E-3</c:v>
                </c:pt>
                <c:pt idx="83">
                  <c:v>1.851819752539107E-3</c:v>
                </c:pt>
                <c:pt idx="84">
                  <c:v>1.8529063190570556E-3</c:v>
                </c:pt>
                <c:pt idx="85">
                  <c:v>1.8539928855750042E-3</c:v>
                </c:pt>
                <c:pt idx="86">
                  <c:v>1.8550794520929528E-3</c:v>
                </c:pt>
                <c:pt idx="87">
                  <c:v>1.8583391516467987E-3</c:v>
                </c:pt>
                <c:pt idx="88">
                  <c:v>1.8594257181647473E-3</c:v>
                </c:pt>
                <c:pt idx="89">
                  <c:v>1.860512284682696E-3</c:v>
                </c:pt>
                <c:pt idx="90">
                  <c:v>1.8615988512006446E-3</c:v>
                </c:pt>
                <c:pt idx="91">
                  <c:v>1.8626854177185932E-3</c:v>
                </c:pt>
                <c:pt idx="92">
                  <c:v>1.8659451172724391E-3</c:v>
                </c:pt>
                <c:pt idx="93">
                  <c:v>1.8670316837903877E-3</c:v>
                </c:pt>
                <c:pt idx="94">
                  <c:v>1.8681182503083363E-3</c:v>
                </c:pt>
                <c:pt idx="95">
                  <c:v>1.869204816826285E-3</c:v>
                </c:pt>
                <c:pt idx="96">
                  <c:v>1.8702913833442336E-3</c:v>
                </c:pt>
                <c:pt idx="97">
                  <c:v>1.8735510828980795E-3</c:v>
                </c:pt>
                <c:pt idx="98">
                  <c:v>1.8746376494160281E-3</c:v>
                </c:pt>
                <c:pt idx="99">
                  <c:v>1.8757242159339767E-3</c:v>
                </c:pt>
                <c:pt idx="100">
                  <c:v>1.8768107824519253E-3</c:v>
                </c:pt>
                <c:pt idx="101">
                  <c:v>1.8778973489698739E-3</c:v>
                </c:pt>
                <c:pt idx="102">
                  <c:v>1.8811570485237198E-3</c:v>
                </c:pt>
                <c:pt idx="103">
                  <c:v>1.8822436150416684E-3</c:v>
                </c:pt>
                <c:pt idx="104">
                  <c:v>1.8833301815596171E-3</c:v>
                </c:pt>
                <c:pt idx="105">
                  <c:v>1.8844167480775657E-3</c:v>
                </c:pt>
                <c:pt idx="106">
                  <c:v>1.8855033145955143E-3</c:v>
                </c:pt>
                <c:pt idx="107">
                  <c:v>1.8887630141493602E-3</c:v>
                </c:pt>
                <c:pt idx="108">
                  <c:v>1.8898495806673088E-3</c:v>
                </c:pt>
                <c:pt idx="109">
                  <c:v>1.8909361471852574E-3</c:v>
                </c:pt>
                <c:pt idx="110">
                  <c:v>1.8920227137032061E-3</c:v>
                </c:pt>
                <c:pt idx="111">
                  <c:v>1.8931092802211549E-3</c:v>
                </c:pt>
                <c:pt idx="112">
                  <c:v>1.8963689797750006E-3</c:v>
                </c:pt>
                <c:pt idx="113">
                  <c:v>1.8974555462929494E-3</c:v>
                </c:pt>
                <c:pt idx="114">
                  <c:v>1.8985421128108978E-3</c:v>
                </c:pt>
                <c:pt idx="115">
                  <c:v>1.8996286793288466E-3</c:v>
                </c:pt>
                <c:pt idx="116">
                  <c:v>1.9007152458467953E-3</c:v>
                </c:pt>
                <c:pt idx="117">
                  <c:v>1.9039749454006411E-3</c:v>
                </c:pt>
                <c:pt idx="118">
                  <c:v>1.9050615119185898E-3</c:v>
                </c:pt>
                <c:pt idx="119">
                  <c:v>1.9061480784365384E-3</c:v>
                </c:pt>
                <c:pt idx="120">
                  <c:v>1.907234644954487E-3</c:v>
                </c:pt>
                <c:pt idx="121">
                  <c:v>1.9083212114724356E-3</c:v>
                </c:pt>
                <c:pt idx="122">
                  <c:v>1.9115809110262815E-3</c:v>
                </c:pt>
                <c:pt idx="123">
                  <c:v>1.9126674775442301E-3</c:v>
                </c:pt>
                <c:pt idx="124">
                  <c:v>1.9137540440621788E-3</c:v>
                </c:pt>
                <c:pt idx="125">
                  <c:v>1.9148406105801274E-3</c:v>
                </c:pt>
                <c:pt idx="126">
                  <c:v>1.915927177098076E-3</c:v>
                </c:pt>
                <c:pt idx="127">
                  <c:v>1.9191868766519219E-3</c:v>
                </c:pt>
                <c:pt idx="128">
                  <c:v>1.9202734431698705E-3</c:v>
                </c:pt>
                <c:pt idx="129">
                  <c:v>1.9213600096878191E-3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'6MSynthDepo_allScenario'!$BH$6:$BH$135</c:f>
              <c:numCache>
                <c:formatCode>0.0000%</c:formatCode>
                <c:ptCount val="130"/>
                <c:pt idx="0">
                  <c:v>1.5673863520443479E-3</c:v>
                </c:pt>
                <c:pt idx="1">
                  <c:v>1.5711448085100417E-3</c:v>
                </c:pt>
                <c:pt idx="2">
                  <c:v>1.5823048445280838E-3</c:v>
                </c:pt>
                <c:pt idx="3">
                  <c:v>1.5859864120744182E-3</c:v>
                </c:pt>
                <c:pt idx="4">
                  <c:v>1.5896487573909125E-3</c:v>
                </c:pt>
                <c:pt idx="5">
                  <c:v>1.5932918804775667E-3</c:v>
                </c:pt>
                <c:pt idx="6">
                  <c:v>1.5969157813343813E-3</c:v>
                </c:pt>
                <c:pt idx="7">
                  <c:v>1.6076721505257855E-3</c:v>
                </c:pt>
                <c:pt idx="8">
                  <c:v>1.6112191624632404E-3</c:v>
                </c:pt>
                <c:pt idx="9">
                  <c:v>1.6147469521708556E-3</c:v>
                </c:pt>
                <c:pt idx="10">
                  <c:v>1.6182555196486309E-3</c:v>
                </c:pt>
                <c:pt idx="11">
                  <c:v>1.6217448648965661E-3</c:v>
                </c:pt>
                <c:pt idx="12">
                  <c:v>1.6320975672613328E-3</c:v>
                </c:pt>
                <c:pt idx="13">
                  <c:v>1.6355100235899084E-3</c:v>
                </c:pt>
                <c:pt idx="14">
                  <c:v>1.638903257688644E-3</c:v>
                </c:pt>
                <c:pt idx="15">
                  <c:v>1.6422772695575401E-3</c:v>
                </c:pt>
                <c:pt idx="16">
                  <c:v>1.6456320591965961E-3</c:v>
                </c:pt>
                <c:pt idx="17">
                  <c:v>1.655581094734725E-3</c:v>
                </c:pt>
                <c:pt idx="18">
                  <c:v>1.6588589954544214E-3</c:v>
                </c:pt>
                <c:pt idx="19">
                  <c:v>1.6621176739442781E-3</c:v>
                </c:pt>
                <c:pt idx="20">
                  <c:v>1.6653571302042947E-3</c:v>
                </c:pt>
                <c:pt idx="21">
                  <c:v>1.6685773642344714E-3</c:v>
                </c:pt>
                <c:pt idx="22">
                  <c:v>1.6781227329459626E-3</c:v>
                </c:pt>
                <c:pt idx="23">
                  <c:v>1.6812660780567796E-3</c:v>
                </c:pt>
                <c:pt idx="24">
                  <c:v>1.6843902009377569E-3</c:v>
                </c:pt>
                <c:pt idx="25">
                  <c:v>1.6874951015888944E-3</c:v>
                </c:pt>
                <c:pt idx="26">
                  <c:v>1.690580780010192E-3</c:v>
                </c:pt>
                <c:pt idx="27">
                  <c:v>1.6997224818950452E-3</c:v>
                </c:pt>
                <c:pt idx="28">
                  <c:v>1.7027312713969833E-3</c:v>
                </c:pt>
                <c:pt idx="29">
                  <c:v>1.7057208386690814E-3</c:v>
                </c:pt>
                <c:pt idx="30">
                  <c:v>1.7086911837113396E-3</c:v>
                </c:pt>
                <c:pt idx="31">
                  <c:v>1.711642306523758E-3</c:v>
                </c:pt>
                <c:pt idx="32">
                  <c:v>1.7203803415819733E-3</c:v>
                </c:pt>
                <c:pt idx="33">
                  <c:v>1.723254575475032E-3</c:v>
                </c:pt>
                <c:pt idx="34">
                  <c:v>1.7261095871382508E-3</c:v>
                </c:pt>
                <c:pt idx="35">
                  <c:v>1.7289453765716297E-3</c:v>
                </c:pt>
                <c:pt idx="36">
                  <c:v>1.7317619437751688E-3</c:v>
                </c:pt>
                <c:pt idx="37">
                  <c:v>1.7400963120067466E-3</c:v>
                </c:pt>
                <c:pt idx="38">
                  <c:v>1.7428359902909262E-3</c:v>
                </c:pt>
                <c:pt idx="39">
                  <c:v>1.7455564463452658E-3</c:v>
                </c:pt>
                <c:pt idx="40">
                  <c:v>1.7482576801697654E-3</c:v>
                </c:pt>
                <c:pt idx="41">
                  <c:v>1.750939691764425E-3</c:v>
                </c:pt>
                <c:pt idx="42">
                  <c:v>1.758870393169365E-3</c:v>
                </c:pt>
                <c:pt idx="43">
                  <c:v>1.7614755158446654E-3</c:v>
                </c:pt>
                <c:pt idx="44">
                  <c:v>1.7640614162901256E-3</c:v>
                </c:pt>
                <c:pt idx="45">
                  <c:v>1.766628094505746E-3</c:v>
                </c:pt>
                <c:pt idx="46">
                  <c:v>1.7691755504915265E-3</c:v>
                </c:pt>
                <c:pt idx="47">
                  <c:v>1.776702585069829E-3</c:v>
                </c:pt>
                <c:pt idx="48">
                  <c:v>1.7791731521362498E-3</c:v>
                </c:pt>
                <c:pt idx="49">
                  <c:v>1.781624496972831E-3</c:v>
                </c:pt>
                <c:pt idx="50">
                  <c:v>1.7840566195795721E-3</c:v>
                </c:pt>
                <c:pt idx="51">
                  <c:v>1.7864695199564734E-3</c:v>
                </c:pt>
                <c:pt idx="52">
                  <c:v>1.7935928877081378E-3</c:v>
                </c:pt>
                <c:pt idx="53">
                  <c:v>1.7959288991656794E-3</c:v>
                </c:pt>
                <c:pt idx="54">
                  <c:v>1.7982456883933813E-3</c:v>
                </c:pt>
                <c:pt idx="55">
                  <c:v>1.8005432553912432E-3</c:v>
                </c:pt>
                <c:pt idx="56">
                  <c:v>1.8028216001592654E-3</c:v>
                </c:pt>
                <c:pt idx="57">
                  <c:v>1.8095413010842921E-3</c:v>
                </c:pt>
                <c:pt idx="58">
                  <c:v>1.8117427569329543E-3</c:v>
                </c:pt>
                <c:pt idx="59">
                  <c:v>1.8139249905517771E-3</c:v>
                </c:pt>
                <c:pt idx="60">
                  <c:v>1.8160880019407596E-3</c:v>
                </c:pt>
                <c:pt idx="61">
                  <c:v>1.8182317910999024E-3</c:v>
                </c:pt>
                <c:pt idx="62">
                  <c:v>1.8245478251982916E-3</c:v>
                </c:pt>
                <c:pt idx="63">
                  <c:v>1.8266147254380747E-3</c:v>
                </c:pt>
                <c:pt idx="64">
                  <c:v>1.828662403448018E-3</c:v>
                </c:pt>
                <c:pt idx="65">
                  <c:v>1.8306908592281214E-3</c:v>
                </c:pt>
                <c:pt idx="66">
                  <c:v>1.8327000927783851E-3</c:v>
                </c:pt>
                <c:pt idx="67">
                  <c:v>1.8386124600501363E-3</c:v>
                </c:pt>
                <c:pt idx="68">
                  <c:v>1.8405448046810403E-3</c:v>
                </c:pt>
                <c:pt idx="69">
                  <c:v>1.8424579270821043E-3</c:v>
                </c:pt>
                <c:pt idx="70">
                  <c:v>1.8443518272533283E-3</c:v>
                </c:pt>
                <c:pt idx="71">
                  <c:v>1.8462265051947127E-3</c:v>
                </c:pt>
                <c:pt idx="72">
                  <c:v>1.8517352056398261E-3</c:v>
                </c:pt>
                <c:pt idx="73">
                  <c:v>1.8535329946618507E-3</c:v>
                </c:pt>
                <c:pt idx="74">
                  <c:v>1.8553115614540355E-3</c:v>
                </c:pt>
                <c:pt idx="75">
                  <c:v>1.8570709060163804E-3</c:v>
                </c:pt>
                <c:pt idx="76">
                  <c:v>1.8588110283488854E-3</c:v>
                </c:pt>
                <c:pt idx="77">
                  <c:v>1.8639160619673613E-3</c:v>
                </c:pt>
                <c:pt idx="78">
                  <c:v>1.8655792953805068E-3</c:v>
                </c:pt>
                <c:pt idx="79">
                  <c:v>1.8672233065638122E-3</c:v>
                </c:pt>
                <c:pt idx="80">
                  <c:v>1.8688480955172779E-3</c:v>
                </c:pt>
                <c:pt idx="81">
                  <c:v>1.8704536622409038E-3</c:v>
                </c:pt>
                <c:pt idx="82">
                  <c:v>1.8751550290327418E-3</c:v>
                </c:pt>
                <c:pt idx="83">
                  <c:v>1.8766837068370081E-3</c:v>
                </c:pt>
                <c:pt idx="84">
                  <c:v>1.8781931624114344E-3</c:v>
                </c:pt>
                <c:pt idx="85">
                  <c:v>1.8796833957560207E-3</c:v>
                </c:pt>
                <c:pt idx="86">
                  <c:v>1.8811544068707672E-3</c:v>
                </c:pt>
                <c:pt idx="87">
                  <c:v>1.8854521068359675E-3</c:v>
                </c:pt>
                <c:pt idx="88">
                  <c:v>1.8868462290313546E-3</c:v>
                </c:pt>
                <c:pt idx="89">
                  <c:v>1.8882211289969015E-3</c:v>
                </c:pt>
                <c:pt idx="90">
                  <c:v>1.8895768067326085E-3</c:v>
                </c:pt>
                <c:pt idx="91">
                  <c:v>1.8909132622384761E-3</c:v>
                </c:pt>
                <c:pt idx="92">
                  <c:v>1.8948072953770382E-3</c:v>
                </c:pt>
                <c:pt idx="93">
                  <c:v>1.896066861963546E-3</c:v>
                </c:pt>
                <c:pt idx="94">
                  <c:v>1.8973072063202137E-3</c:v>
                </c:pt>
                <c:pt idx="95">
                  <c:v>1.8985283284470419E-3</c:v>
                </c:pt>
                <c:pt idx="96">
                  <c:v>1.8997302283440297E-3</c:v>
                </c:pt>
                <c:pt idx="97">
                  <c:v>1.9032205946559544E-3</c:v>
                </c:pt>
                <c:pt idx="98">
                  <c:v>1.9043456056335828E-3</c:v>
                </c:pt>
                <c:pt idx="99">
                  <c:v>1.9054513943813714E-3</c:v>
                </c:pt>
                <c:pt idx="100">
                  <c:v>1.90653796089932E-3</c:v>
                </c:pt>
                <c:pt idx="101">
                  <c:v>1.9076053051874289E-3</c:v>
                </c:pt>
                <c:pt idx="102">
                  <c:v>1.9106920046727158E-3</c:v>
                </c:pt>
                <c:pt idx="103">
                  <c:v>1.911682460041465E-3</c:v>
                </c:pt>
                <c:pt idx="104">
                  <c:v>1.9126536931803745E-3</c:v>
                </c:pt>
                <c:pt idx="105">
                  <c:v>1.9136057040894439E-3</c:v>
                </c:pt>
                <c:pt idx="106">
                  <c:v>1.9145384927686734E-3</c:v>
                </c:pt>
                <c:pt idx="107">
                  <c:v>1.9172215254273227E-3</c:v>
                </c:pt>
                <c:pt idx="108">
                  <c:v>1.9180774251871925E-3</c:v>
                </c:pt>
                <c:pt idx="109">
                  <c:v>1.9189141027172222E-3</c:v>
                </c:pt>
                <c:pt idx="110">
                  <c:v>1.9197315580174129E-3</c:v>
                </c:pt>
                <c:pt idx="111">
                  <c:v>1.9205297910877626E-3</c:v>
                </c:pt>
                <c:pt idx="112">
                  <c:v>1.9228091569197742E-3</c:v>
                </c:pt>
                <c:pt idx="113">
                  <c:v>1.9235305010707649E-3</c:v>
                </c:pt>
                <c:pt idx="114">
                  <c:v>1.9242326229919158E-3</c:v>
                </c:pt>
                <c:pt idx="115">
                  <c:v>1.9249155226832267E-3</c:v>
                </c:pt>
                <c:pt idx="116">
                  <c:v>1.9255792001446977E-3</c:v>
                </c:pt>
                <c:pt idx="117">
                  <c:v>1.9274548991500716E-3</c:v>
                </c:pt>
                <c:pt idx="118">
                  <c:v>1.9280416876921828E-3</c:v>
                </c:pt>
                <c:pt idx="119">
                  <c:v>1.9286092540044544E-3</c:v>
                </c:pt>
                <c:pt idx="120">
                  <c:v>1.9291575980868861E-3</c:v>
                </c:pt>
                <c:pt idx="121">
                  <c:v>1.9296867199394779E-3</c:v>
                </c:pt>
                <c:pt idx="122">
                  <c:v>1.9311587521182139E-3</c:v>
                </c:pt>
                <c:pt idx="123">
                  <c:v>1.9316109850514461E-3</c:v>
                </c:pt>
                <c:pt idx="124">
                  <c:v>1.9320439957548384E-3</c:v>
                </c:pt>
                <c:pt idx="125">
                  <c:v>1.9324577842283908E-3</c:v>
                </c:pt>
                <c:pt idx="126">
                  <c:v>1.9328523504721028E-3</c:v>
                </c:pt>
                <c:pt idx="127">
                  <c:v>1.9339207158242016E-3</c:v>
                </c:pt>
                <c:pt idx="128">
                  <c:v>1.9342383931485541E-3</c:v>
                </c:pt>
                <c:pt idx="129">
                  <c:v>1.9345368482430675E-3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43712"/>
        <c:axId val="610245248"/>
      </c:lineChart>
      <c:dateAx>
        <c:axId val="6102437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10245248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10245248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10243712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'6MSynthDepo_allScenario'!$BI$6:$BI$135</c:f>
              <c:numCache>
                <c:formatCode>0.0000%</c:formatCode>
                <c:ptCount val="130"/>
                <c:pt idx="0">
                  <c:v>1.6370432373420405E-3</c:v>
                </c:pt>
                <c:pt idx="1">
                  <c:v>1.6388550041420858E-3</c:v>
                </c:pt>
                <c:pt idx="2">
                  <c:v>1.6442903045422214E-3</c:v>
                </c:pt>
                <c:pt idx="3">
                  <c:v>1.6461020713422667E-3</c:v>
                </c:pt>
                <c:pt idx="4">
                  <c:v>1.6479138381423118E-3</c:v>
                </c:pt>
                <c:pt idx="5">
                  <c:v>1.6497256049423572E-3</c:v>
                </c:pt>
                <c:pt idx="6">
                  <c:v>1.6515373717424023E-3</c:v>
                </c:pt>
                <c:pt idx="7">
                  <c:v>1.6569726721425381E-3</c:v>
                </c:pt>
                <c:pt idx="8">
                  <c:v>1.6587844389425834E-3</c:v>
                </c:pt>
                <c:pt idx="9">
                  <c:v>1.6605962057426285E-3</c:v>
                </c:pt>
                <c:pt idx="10">
                  <c:v>1.6624079725426739E-3</c:v>
                </c:pt>
                <c:pt idx="11">
                  <c:v>1.664219739342719E-3</c:v>
                </c:pt>
                <c:pt idx="12">
                  <c:v>1.6696550397428548E-3</c:v>
                </c:pt>
                <c:pt idx="13">
                  <c:v>1.6714668065429001E-3</c:v>
                </c:pt>
                <c:pt idx="14">
                  <c:v>1.6732785733429452E-3</c:v>
                </c:pt>
                <c:pt idx="15">
                  <c:v>1.6750903401429906E-3</c:v>
                </c:pt>
                <c:pt idx="16">
                  <c:v>1.6769021069430357E-3</c:v>
                </c:pt>
                <c:pt idx="17">
                  <c:v>1.6823374073431715E-3</c:v>
                </c:pt>
                <c:pt idx="18">
                  <c:v>1.6841491741432166E-3</c:v>
                </c:pt>
                <c:pt idx="19">
                  <c:v>1.6859609409432619E-3</c:v>
                </c:pt>
                <c:pt idx="20">
                  <c:v>1.6877727077433072E-3</c:v>
                </c:pt>
                <c:pt idx="21">
                  <c:v>1.6895844745433524E-3</c:v>
                </c:pt>
                <c:pt idx="22">
                  <c:v>1.6950197749434882E-3</c:v>
                </c:pt>
                <c:pt idx="23">
                  <c:v>1.6968315417435333E-3</c:v>
                </c:pt>
                <c:pt idx="24">
                  <c:v>1.6986433085435786E-3</c:v>
                </c:pt>
                <c:pt idx="25">
                  <c:v>1.7004550753436237E-3</c:v>
                </c:pt>
                <c:pt idx="26">
                  <c:v>1.7022668421436691E-3</c:v>
                </c:pt>
                <c:pt idx="27">
                  <c:v>1.7077021425438048E-3</c:v>
                </c:pt>
                <c:pt idx="28">
                  <c:v>1.70951390934385E-3</c:v>
                </c:pt>
                <c:pt idx="29">
                  <c:v>1.7113256761438953E-3</c:v>
                </c:pt>
                <c:pt idx="30">
                  <c:v>1.7131374429439404E-3</c:v>
                </c:pt>
                <c:pt idx="31">
                  <c:v>1.7149492097439858E-3</c:v>
                </c:pt>
                <c:pt idx="32">
                  <c:v>1.7203845101441215E-3</c:v>
                </c:pt>
                <c:pt idx="33">
                  <c:v>1.7221962769441667E-3</c:v>
                </c:pt>
                <c:pt idx="34">
                  <c:v>1.724008043744212E-3</c:v>
                </c:pt>
                <c:pt idx="35">
                  <c:v>1.7258198105442571E-3</c:v>
                </c:pt>
                <c:pt idx="36">
                  <c:v>1.7276315773443024E-3</c:v>
                </c:pt>
                <c:pt idx="37">
                  <c:v>1.733066877744438E-3</c:v>
                </c:pt>
                <c:pt idx="38">
                  <c:v>1.7348786445444834E-3</c:v>
                </c:pt>
                <c:pt idx="39">
                  <c:v>1.7366904113445287E-3</c:v>
                </c:pt>
                <c:pt idx="40">
                  <c:v>1.7385021781445738E-3</c:v>
                </c:pt>
                <c:pt idx="41">
                  <c:v>1.7403139449446191E-3</c:v>
                </c:pt>
                <c:pt idx="42">
                  <c:v>1.7457492453447547E-3</c:v>
                </c:pt>
                <c:pt idx="43">
                  <c:v>1.7475610121448E-3</c:v>
                </c:pt>
                <c:pt idx="44">
                  <c:v>1.7493727789448452E-3</c:v>
                </c:pt>
                <c:pt idx="45">
                  <c:v>1.7511845457448905E-3</c:v>
                </c:pt>
                <c:pt idx="46">
                  <c:v>1.7529963125449358E-3</c:v>
                </c:pt>
                <c:pt idx="47">
                  <c:v>1.7584316129450714E-3</c:v>
                </c:pt>
                <c:pt idx="48">
                  <c:v>1.7602433797451167E-3</c:v>
                </c:pt>
                <c:pt idx="49">
                  <c:v>1.7620551465451619E-3</c:v>
                </c:pt>
                <c:pt idx="50">
                  <c:v>1.7638669133452072E-3</c:v>
                </c:pt>
                <c:pt idx="51">
                  <c:v>1.7656786801452523E-3</c:v>
                </c:pt>
                <c:pt idx="52">
                  <c:v>1.7711139805453881E-3</c:v>
                </c:pt>
                <c:pt idx="53">
                  <c:v>1.7729257473454334E-3</c:v>
                </c:pt>
                <c:pt idx="54">
                  <c:v>1.7747375141454786E-3</c:v>
                </c:pt>
                <c:pt idx="55">
                  <c:v>1.7765492809455239E-3</c:v>
                </c:pt>
                <c:pt idx="56">
                  <c:v>1.778361047745569E-3</c:v>
                </c:pt>
                <c:pt idx="57">
                  <c:v>1.7837963481457048E-3</c:v>
                </c:pt>
                <c:pt idx="58">
                  <c:v>1.7856081149457501E-3</c:v>
                </c:pt>
                <c:pt idx="59">
                  <c:v>1.7874198817457952E-3</c:v>
                </c:pt>
                <c:pt idx="60">
                  <c:v>1.7892316485458406E-3</c:v>
                </c:pt>
                <c:pt idx="61">
                  <c:v>1.7910434153458857E-3</c:v>
                </c:pt>
                <c:pt idx="62">
                  <c:v>1.7964787157460215E-3</c:v>
                </c:pt>
                <c:pt idx="63">
                  <c:v>1.7982904825460666E-3</c:v>
                </c:pt>
                <c:pt idx="64">
                  <c:v>1.8001022493461119E-3</c:v>
                </c:pt>
                <c:pt idx="65">
                  <c:v>1.8019140161461573E-3</c:v>
                </c:pt>
                <c:pt idx="66">
                  <c:v>1.8037257829462024E-3</c:v>
                </c:pt>
                <c:pt idx="67">
                  <c:v>1.8091610833463382E-3</c:v>
                </c:pt>
                <c:pt idx="68">
                  <c:v>1.8109728501463833E-3</c:v>
                </c:pt>
                <c:pt idx="69">
                  <c:v>1.8127846169464286E-3</c:v>
                </c:pt>
                <c:pt idx="70">
                  <c:v>1.8145963837464738E-3</c:v>
                </c:pt>
                <c:pt idx="71">
                  <c:v>1.8164081505465191E-3</c:v>
                </c:pt>
                <c:pt idx="72">
                  <c:v>1.8218434509466549E-3</c:v>
                </c:pt>
                <c:pt idx="73">
                  <c:v>1.8236552177467E-3</c:v>
                </c:pt>
                <c:pt idx="74">
                  <c:v>1.8254669845467453E-3</c:v>
                </c:pt>
                <c:pt idx="75">
                  <c:v>1.8272787513467904E-3</c:v>
                </c:pt>
                <c:pt idx="76">
                  <c:v>1.8290905181468358E-3</c:v>
                </c:pt>
                <c:pt idx="77">
                  <c:v>1.8345258185469716E-3</c:v>
                </c:pt>
                <c:pt idx="78">
                  <c:v>1.8363375853470167E-3</c:v>
                </c:pt>
                <c:pt idx="79">
                  <c:v>1.838149352147062E-3</c:v>
                </c:pt>
                <c:pt idx="80">
                  <c:v>1.8399611189471071E-3</c:v>
                </c:pt>
                <c:pt idx="81">
                  <c:v>1.8417728857471525E-3</c:v>
                </c:pt>
                <c:pt idx="82">
                  <c:v>1.847208186147288E-3</c:v>
                </c:pt>
                <c:pt idx="83">
                  <c:v>1.8490199529473334E-3</c:v>
                </c:pt>
                <c:pt idx="84">
                  <c:v>1.8508317197473787E-3</c:v>
                </c:pt>
                <c:pt idx="85">
                  <c:v>1.8526434865474238E-3</c:v>
                </c:pt>
                <c:pt idx="86">
                  <c:v>1.8544552533474692E-3</c:v>
                </c:pt>
                <c:pt idx="87">
                  <c:v>1.8598905537476047E-3</c:v>
                </c:pt>
                <c:pt idx="88">
                  <c:v>1.8617023205476501E-3</c:v>
                </c:pt>
                <c:pt idx="89">
                  <c:v>1.8635140873476952E-3</c:v>
                </c:pt>
                <c:pt idx="90">
                  <c:v>1.8653258541477405E-3</c:v>
                </c:pt>
                <c:pt idx="91">
                  <c:v>1.8671376209477859E-3</c:v>
                </c:pt>
                <c:pt idx="92">
                  <c:v>1.8725729213479214E-3</c:v>
                </c:pt>
                <c:pt idx="93">
                  <c:v>1.8743846881479668E-3</c:v>
                </c:pt>
                <c:pt idx="94">
                  <c:v>1.8761964549480119E-3</c:v>
                </c:pt>
                <c:pt idx="95">
                  <c:v>1.8780082217480572E-3</c:v>
                </c:pt>
                <c:pt idx="96">
                  <c:v>1.8798199885481023E-3</c:v>
                </c:pt>
                <c:pt idx="97">
                  <c:v>1.8852552889482381E-3</c:v>
                </c:pt>
                <c:pt idx="98">
                  <c:v>1.8870670557482835E-3</c:v>
                </c:pt>
                <c:pt idx="99">
                  <c:v>1.8888788225483286E-3</c:v>
                </c:pt>
                <c:pt idx="100">
                  <c:v>1.8906905893483739E-3</c:v>
                </c:pt>
                <c:pt idx="101">
                  <c:v>1.892502356148419E-3</c:v>
                </c:pt>
                <c:pt idx="102">
                  <c:v>1.8979376565485548E-3</c:v>
                </c:pt>
                <c:pt idx="103">
                  <c:v>1.8997494233486002E-3</c:v>
                </c:pt>
                <c:pt idx="104">
                  <c:v>1.9015611901486453E-3</c:v>
                </c:pt>
                <c:pt idx="105">
                  <c:v>1.9033729569486906E-3</c:v>
                </c:pt>
                <c:pt idx="106">
                  <c:v>1.9051847237487357E-3</c:v>
                </c:pt>
                <c:pt idx="107">
                  <c:v>1.9106200241488715E-3</c:v>
                </c:pt>
                <c:pt idx="108">
                  <c:v>1.9124317909489166E-3</c:v>
                </c:pt>
                <c:pt idx="109">
                  <c:v>1.914243557748962E-3</c:v>
                </c:pt>
                <c:pt idx="110">
                  <c:v>1.9160553245490073E-3</c:v>
                </c:pt>
                <c:pt idx="111">
                  <c:v>1.9178670913490524E-3</c:v>
                </c:pt>
                <c:pt idx="112">
                  <c:v>1.9233023917491882E-3</c:v>
                </c:pt>
                <c:pt idx="113">
                  <c:v>1.9251141585492333E-3</c:v>
                </c:pt>
                <c:pt idx="114">
                  <c:v>1.9269259253492787E-3</c:v>
                </c:pt>
                <c:pt idx="115">
                  <c:v>1.9287376921493238E-3</c:v>
                </c:pt>
                <c:pt idx="116">
                  <c:v>1.9305494589493691E-3</c:v>
                </c:pt>
                <c:pt idx="117">
                  <c:v>1.9359847593495047E-3</c:v>
                </c:pt>
                <c:pt idx="118">
                  <c:v>1.93779652614955E-3</c:v>
                </c:pt>
                <c:pt idx="119">
                  <c:v>1.9396082929495954E-3</c:v>
                </c:pt>
                <c:pt idx="120">
                  <c:v>1.9414200597496405E-3</c:v>
                </c:pt>
                <c:pt idx="121">
                  <c:v>1.9432318265496858E-3</c:v>
                </c:pt>
                <c:pt idx="122">
                  <c:v>1.9486671269498216E-3</c:v>
                </c:pt>
                <c:pt idx="123">
                  <c:v>1.9504788937498667E-3</c:v>
                </c:pt>
                <c:pt idx="124">
                  <c:v>1.952290660549912E-3</c:v>
                </c:pt>
                <c:pt idx="125">
                  <c:v>1.9541024273499572E-3</c:v>
                </c:pt>
                <c:pt idx="126">
                  <c:v>1.9559141941500025E-3</c:v>
                </c:pt>
                <c:pt idx="127">
                  <c:v>1.9613494945501381E-3</c:v>
                </c:pt>
                <c:pt idx="128">
                  <c:v>1.9631612613501834E-3</c:v>
                </c:pt>
                <c:pt idx="129">
                  <c:v>1.9649730281502287E-3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'6MSynthDepo_allScenario'!$BJ$6:$BJ$135</c:f>
              <c:numCache>
                <c:formatCode>0.0000%</c:formatCode>
                <c:ptCount val="130"/>
                <c:pt idx="0">
                  <c:v>1.5405041956403284E-3</c:v>
                </c:pt>
                <c:pt idx="1">
                  <c:v>1.5447810083619093E-3</c:v>
                </c:pt>
                <c:pt idx="2">
                  <c:v>1.5574722278232675E-3</c:v>
                </c:pt>
                <c:pt idx="3">
                  <c:v>1.5616562280759256E-3</c:v>
                </c:pt>
                <c:pt idx="4">
                  <c:v>1.5658170252113527E-3</c:v>
                </c:pt>
                <c:pt idx="5">
                  <c:v>1.5699546192295493E-3</c:v>
                </c:pt>
                <c:pt idx="6">
                  <c:v>1.5740690101305149E-3</c:v>
                </c:pt>
                <c:pt idx="7">
                  <c:v>1.5862729641300283E-3</c:v>
                </c:pt>
                <c:pt idx="8">
                  <c:v>1.5902945425620711E-3</c:v>
                </c:pt>
                <c:pt idx="9">
                  <c:v>1.5942929178768834E-3</c:v>
                </c:pt>
                <c:pt idx="10">
                  <c:v>1.5982680900744647E-3</c:v>
                </c:pt>
                <c:pt idx="11">
                  <c:v>1.6022200591548155E-3</c:v>
                </c:pt>
                <c:pt idx="12">
                  <c:v>1.6139367476924837E-3</c:v>
                </c:pt>
                <c:pt idx="13">
                  <c:v>1.6177959043039117E-3</c:v>
                </c:pt>
                <c:pt idx="14">
                  <c:v>1.6216318577981087E-3</c:v>
                </c:pt>
                <c:pt idx="15">
                  <c:v>1.6254446081750752E-3</c:v>
                </c:pt>
                <c:pt idx="16">
                  <c:v>1.6292341554348109E-3</c:v>
                </c:pt>
                <c:pt idx="17">
                  <c:v>1.6404635785106341E-3</c:v>
                </c:pt>
                <c:pt idx="18">
                  <c:v>1.6441603133014468E-3</c:v>
                </c:pt>
                <c:pt idx="19">
                  <c:v>1.647833844975029E-3</c:v>
                </c:pt>
                <c:pt idx="20">
                  <c:v>1.6514841735313804E-3</c:v>
                </c:pt>
                <c:pt idx="21">
                  <c:v>1.6551112989705013E-3</c:v>
                </c:pt>
                <c:pt idx="22">
                  <c:v>1.6658534565844791E-3</c:v>
                </c:pt>
                <c:pt idx="23">
                  <c:v>1.669387769554677E-3</c:v>
                </c:pt>
                <c:pt idx="24">
                  <c:v>1.6728988794076441E-3</c:v>
                </c:pt>
                <c:pt idx="25">
                  <c:v>1.6763867861433804E-3</c:v>
                </c:pt>
                <c:pt idx="26">
                  <c:v>1.6798514897618864E-3</c:v>
                </c:pt>
                <c:pt idx="27">
                  <c:v>1.6901063819140191E-3</c:v>
                </c:pt>
                <c:pt idx="28">
                  <c:v>1.6934782730636019E-3</c:v>
                </c:pt>
                <c:pt idx="29">
                  <c:v>1.6968269610959539E-3</c:v>
                </c:pt>
                <c:pt idx="30">
                  <c:v>1.7001524460110754E-3</c:v>
                </c:pt>
                <c:pt idx="31">
                  <c:v>1.7034547278089662E-3</c:v>
                </c:pt>
                <c:pt idx="32">
                  <c:v>1.7132223544992539E-3</c:v>
                </c:pt>
                <c:pt idx="33">
                  <c:v>1.7164318238282216E-3</c:v>
                </c:pt>
                <c:pt idx="34">
                  <c:v>1.719618090039959E-3</c:v>
                </c:pt>
                <c:pt idx="35">
                  <c:v>1.722781153134465E-3</c:v>
                </c:pt>
                <c:pt idx="36">
                  <c:v>1.7259210131117409E-3</c:v>
                </c:pt>
                <c:pt idx="37">
                  <c:v>1.7352013743401834E-3</c:v>
                </c:pt>
                <c:pt idx="38">
                  <c:v>1.7382484218485363E-3</c:v>
                </c:pt>
                <c:pt idx="39">
                  <c:v>1.7412722662396584E-3</c:v>
                </c:pt>
                <c:pt idx="40">
                  <c:v>1.7442729075135498E-3</c:v>
                </c:pt>
                <c:pt idx="41">
                  <c:v>1.7472503456702104E-3</c:v>
                </c:pt>
                <c:pt idx="42">
                  <c:v>1.756043441436808E-3</c:v>
                </c:pt>
                <c:pt idx="43">
                  <c:v>1.7589280671245456E-3</c:v>
                </c:pt>
                <c:pt idx="44">
                  <c:v>1.7617894896950529E-3</c:v>
                </c:pt>
                <c:pt idx="45">
                  <c:v>1.7646277091483292E-3</c:v>
                </c:pt>
                <c:pt idx="46">
                  <c:v>1.7674427254843748E-3</c:v>
                </c:pt>
                <c:pt idx="47">
                  <c:v>1.7757485557891273E-3</c:v>
                </c:pt>
                <c:pt idx="48">
                  <c:v>1.7784707596562499E-3</c:v>
                </c:pt>
                <c:pt idx="49">
                  <c:v>1.7811697604061421E-3</c:v>
                </c:pt>
                <c:pt idx="50">
                  <c:v>1.7838455580388034E-3</c:v>
                </c:pt>
                <c:pt idx="51">
                  <c:v>1.7864981525542339E-3</c:v>
                </c:pt>
                <c:pt idx="52">
                  <c:v>1.7943167173971415E-3</c:v>
                </c:pt>
                <c:pt idx="53">
                  <c:v>1.796876499443649E-3</c:v>
                </c:pt>
                <c:pt idx="54">
                  <c:v>1.7994130783729261E-3</c:v>
                </c:pt>
                <c:pt idx="55">
                  <c:v>1.8019264541849723E-3</c:v>
                </c:pt>
                <c:pt idx="56">
                  <c:v>1.8044166268797878E-3</c:v>
                </c:pt>
                <c:pt idx="57">
                  <c:v>1.8117479262608502E-3</c:v>
                </c:pt>
                <c:pt idx="58">
                  <c:v>1.8141452864867428E-3</c:v>
                </c:pt>
                <c:pt idx="59">
                  <c:v>1.8165194435954049E-3</c:v>
                </c:pt>
                <c:pt idx="60">
                  <c:v>1.8188703975868361E-3</c:v>
                </c:pt>
                <c:pt idx="61">
                  <c:v>1.8211981484610367E-3</c:v>
                </c:pt>
                <c:pt idx="62">
                  <c:v>1.8280421823802539E-3</c:v>
                </c:pt>
                <c:pt idx="63">
                  <c:v>1.8302771207855317E-3</c:v>
                </c:pt>
                <c:pt idx="64">
                  <c:v>1.8324888560735785E-3</c:v>
                </c:pt>
                <c:pt idx="65">
                  <c:v>1.8346773882443948E-3</c:v>
                </c:pt>
                <c:pt idx="66">
                  <c:v>1.8368427172979801E-3</c:v>
                </c:pt>
                <c:pt idx="67">
                  <c:v>1.8431994857553524E-3</c:v>
                </c:pt>
                <c:pt idx="68">
                  <c:v>1.8452720023400151E-3</c:v>
                </c:pt>
                <c:pt idx="69">
                  <c:v>1.8473213158074469E-3</c:v>
                </c:pt>
                <c:pt idx="70">
                  <c:v>1.8493474261576479E-3</c:v>
                </c:pt>
                <c:pt idx="71">
                  <c:v>1.8513503333906186E-3</c:v>
                </c:pt>
                <c:pt idx="72">
                  <c:v>1.8572198363861459E-3</c:v>
                </c:pt>
                <c:pt idx="73">
                  <c:v>1.8591299311501936E-3</c:v>
                </c:pt>
                <c:pt idx="74">
                  <c:v>1.8610168227970103E-3</c:v>
                </c:pt>
                <c:pt idx="75">
                  <c:v>1.8628805113265967E-3</c:v>
                </c:pt>
                <c:pt idx="76">
                  <c:v>1.8647209967389518E-3</c:v>
                </c:pt>
                <c:pt idx="77">
                  <c:v>1.870103234272634E-3</c:v>
                </c:pt>
                <c:pt idx="78">
                  <c:v>1.8718509072160668E-3</c:v>
                </c:pt>
                <c:pt idx="79">
                  <c:v>1.8735753770422684E-3</c:v>
                </c:pt>
                <c:pt idx="80">
                  <c:v>1.8752766437512398E-3</c:v>
                </c:pt>
                <c:pt idx="81">
                  <c:v>1.8769547073429799E-3</c:v>
                </c:pt>
                <c:pt idx="82">
                  <c:v>1.881849679414817E-3</c:v>
                </c:pt>
                <c:pt idx="83">
                  <c:v>1.8834349305376346E-3</c:v>
                </c:pt>
                <c:pt idx="84">
                  <c:v>1.8849969785432214E-3</c:v>
                </c:pt>
                <c:pt idx="85">
                  <c:v>1.8865358234315776E-3</c:v>
                </c:pt>
                <c:pt idx="86">
                  <c:v>1.8880514652027027E-3</c:v>
                </c:pt>
                <c:pt idx="87">
                  <c:v>1.8924591718126947E-3</c:v>
                </c:pt>
                <c:pt idx="88">
                  <c:v>1.8938820011148976E-3</c:v>
                </c:pt>
                <c:pt idx="89">
                  <c:v>1.8952816272998691E-3</c:v>
                </c:pt>
                <c:pt idx="90">
                  <c:v>1.8966580503676103E-3</c:v>
                </c:pt>
                <c:pt idx="91">
                  <c:v>1.898011270318121E-3</c:v>
                </c:pt>
                <c:pt idx="92">
                  <c:v>1.9019317114662673E-3</c:v>
                </c:pt>
                <c:pt idx="93">
                  <c:v>1.9031921189478552E-3</c:v>
                </c:pt>
                <c:pt idx="94">
                  <c:v>1.9044293233122117E-3</c:v>
                </c:pt>
                <c:pt idx="95">
                  <c:v>1.9056433245593378E-3</c:v>
                </c:pt>
                <c:pt idx="96">
                  <c:v>1.9068341226892334E-3</c:v>
                </c:pt>
                <c:pt idx="97">
                  <c:v>1.9102672983755348E-3</c:v>
                </c:pt>
                <c:pt idx="98">
                  <c:v>1.9113652840365074E-3</c:v>
                </c:pt>
                <c:pt idx="99">
                  <c:v>1.912440066580249E-3</c:v>
                </c:pt>
                <c:pt idx="100">
                  <c:v>1.9134916460067603E-3</c:v>
                </c:pt>
                <c:pt idx="101">
                  <c:v>1.9145200223160408E-3</c:v>
                </c:pt>
                <c:pt idx="102">
                  <c:v>1.917465932540497E-3</c:v>
                </c:pt>
                <c:pt idx="103">
                  <c:v>1.9184014963808547E-3</c:v>
                </c:pt>
                <c:pt idx="104">
                  <c:v>1.9193138571039813E-3</c:v>
                </c:pt>
                <c:pt idx="105">
                  <c:v>1.9202030147098775E-3</c:v>
                </c:pt>
                <c:pt idx="106">
                  <c:v>1.921068969198543E-3</c:v>
                </c:pt>
                <c:pt idx="107">
                  <c:v>1.9235276139611542E-3</c:v>
                </c:pt>
                <c:pt idx="108">
                  <c:v>1.9243007559808967E-3</c:v>
                </c:pt>
                <c:pt idx="109">
                  <c:v>1.9250506948834084E-3</c:v>
                </c:pt>
                <c:pt idx="110">
                  <c:v>1.9257774306686896E-3</c:v>
                </c:pt>
                <c:pt idx="111">
                  <c:v>1.9264809633367398E-3</c:v>
                </c:pt>
                <c:pt idx="112">
                  <c:v>1.928452342637506E-3</c:v>
                </c:pt>
                <c:pt idx="113">
                  <c:v>1.9290630628366336E-3</c:v>
                </c:pt>
                <c:pt idx="114">
                  <c:v>1.9296505799185301E-3</c:v>
                </c:pt>
                <c:pt idx="115">
                  <c:v>1.9302148938831962E-3</c:v>
                </c:pt>
                <c:pt idx="116">
                  <c:v>1.9307560047306317E-3</c:v>
                </c:pt>
                <c:pt idx="117">
                  <c:v>1.9322401185695528E-3</c:v>
                </c:pt>
                <c:pt idx="118">
                  <c:v>1.9326884169480654E-3</c:v>
                </c:pt>
                <c:pt idx="119">
                  <c:v>1.9331135122093467E-3</c:v>
                </c:pt>
                <c:pt idx="120">
                  <c:v>1.9335154043533978E-3</c:v>
                </c:pt>
                <c:pt idx="121">
                  <c:v>1.9338940933802183E-3</c:v>
                </c:pt>
                <c:pt idx="122">
                  <c:v>1.9348909417572949E-3</c:v>
                </c:pt>
                <c:pt idx="123">
                  <c:v>1.9351768183151919E-3</c:v>
                </c:pt>
                <c:pt idx="124">
                  <c:v>1.9354394917558582E-3</c:v>
                </c:pt>
                <c:pt idx="125">
                  <c:v>1.9356789620792944E-3</c:v>
                </c:pt>
                <c:pt idx="126">
                  <c:v>1.9358952292854999E-3</c:v>
                </c:pt>
                <c:pt idx="127">
                  <c:v>1.9364048122007312E-3</c:v>
                </c:pt>
                <c:pt idx="128">
                  <c:v>1.9365282669380132E-3</c:v>
                </c:pt>
                <c:pt idx="129">
                  <c:v>1.9366285185580647E-3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'6MSynthDepo_allScenario'!$BK$6:$BK$135</c:f>
              <c:numCache>
                <c:formatCode>0.0000%</c:formatCode>
                <c:ptCount val="130"/>
                <c:pt idx="0">
                  <c:v>1.7288298059133511E-3</c:v>
                </c:pt>
                <c:pt idx="1">
                  <c:v>1.7298983616318472E-3</c:v>
                </c:pt>
                <c:pt idx="2">
                  <c:v>1.7331040287873359E-3</c:v>
                </c:pt>
                <c:pt idx="3">
                  <c:v>1.7341725845058319E-3</c:v>
                </c:pt>
                <c:pt idx="4">
                  <c:v>1.7352411402243282E-3</c:v>
                </c:pt>
                <c:pt idx="5">
                  <c:v>1.7363096959428243E-3</c:v>
                </c:pt>
                <c:pt idx="6">
                  <c:v>1.7373782516613206E-3</c:v>
                </c:pt>
                <c:pt idx="7">
                  <c:v>1.7405839188168091E-3</c:v>
                </c:pt>
                <c:pt idx="8">
                  <c:v>1.7416524745353054E-3</c:v>
                </c:pt>
                <c:pt idx="9">
                  <c:v>1.7427210302538014E-3</c:v>
                </c:pt>
                <c:pt idx="10">
                  <c:v>1.7437895859722977E-3</c:v>
                </c:pt>
                <c:pt idx="11">
                  <c:v>1.7448581416907938E-3</c:v>
                </c:pt>
                <c:pt idx="12">
                  <c:v>1.7480638088462823E-3</c:v>
                </c:pt>
                <c:pt idx="13">
                  <c:v>1.7491323645647786E-3</c:v>
                </c:pt>
                <c:pt idx="14">
                  <c:v>1.7502009202832746E-3</c:v>
                </c:pt>
                <c:pt idx="15">
                  <c:v>1.7512694760017709E-3</c:v>
                </c:pt>
                <c:pt idx="16">
                  <c:v>1.752338031720267E-3</c:v>
                </c:pt>
                <c:pt idx="17">
                  <c:v>1.7555436988757557E-3</c:v>
                </c:pt>
                <c:pt idx="18">
                  <c:v>1.7566122545942518E-3</c:v>
                </c:pt>
                <c:pt idx="19">
                  <c:v>1.7576808103127481E-3</c:v>
                </c:pt>
                <c:pt idx="20">
                  <c:v>1.7587493660312441E-3</c:v>
                </c:pt>
                <c:pt idx="21">
                  <c:v>1.7598179217497404E-3</c:v>
                </c:pt>
                <c:pt idx="22">
                  <c:v>1.7630235889052289E-3</c:v>
                </c:pt>
                <c:pt idx="23">
                  <c:v>1.764092144623725E-3</c:v>
                </c:pt>
                <c:pt idx="24">
                  <c:v>1.7651607003422213E-3</c:v>
                </c:pt>
                <c:pt idx="25">
                  <c:v>1.7662292560607174E-3</c:v>
                </c:pt>
                <c:pt idx="26">
                  <c:v>1.7672978117792136E-3</c:v>
                </c:pt>
                <c:pt idx="27">
                  <c:v>1.7705034789347021E-3</c:v>
                </c:pt>
                <c:pt idx="28">
                  <c:v>1.7715720346531984E-3</c:v>
                </c:pt>
                <c:pt idx="29">
                  <c:v>1.7726405903716945E-3</c:v>
                </c:pt>
                <c:pt idx="30">
                  <c:v>1.7737091460901908E-3</c:v>
                </c:pt>
                <c:pt idx="31">
                  <c:v>1.7747777018086869E-3</c:v>
                </c:pt>
                <c:pt idx="32">
                  <c:v>1.7779833689641753E-3</c:v>
                </c:pt>
                <c:pt idx="33">
                  <c:v>1.7790519246826716E-3</c:v>
                </c:pt>
                <c:pt idx="34">
                  <c:v>1.7801204804011677E-3</c:v>
                </c:pt>
                <c:pt idx="35">
                  <c:v>1.781189036119664E-3</c:v>
                </c:pt>
                <c:pt idx="36">
                  <c:v>1.7822575918381601E-3</c:v>
                </c:pt>
                <c:pt idx="37">
                  <c:v>1.7854632589936487E-3</c:v>
                </c:pt>
                <c:pt idx="38">
                  <c:v>1.7865318147121448E-3</c:v>
                </c:pt>
                <c:pt idx="39">
                  <c:v>1.7876003704306411E-3</c:v>
                </c:pt>
                <c:pt idx="40">
                  <c:v>1.7886689261491372E-3</c:v>
                </c:pt>
                <c:pt idx="41">
                  <c:v>1.7897374818676335E-3</c:v>
                </c:pt>
                <c:pt idx="42">
                  <c:v>1.7929431490231219E-3</c:v>
                </c:pt>
                <c:pt idx="43">
                  <c:v>1.7940117047416182E-3</c:v>
                </c:pt>
                <c:pt idx="44">
                  <c:v>1.7950802604601143E-3</c:v>
                </c:pt>
                <c:pt idx="45">
                  <c:v>1.7961488161786104E-3</c:v>
                </c:pt>
                <c:pt idx="46">
                  <c:v>1.7972173718971067E-3</c:v>
                </c:pt>
                <c:pt idx="47">
                  <c:v>1.8004230390525951E-3</c:v>
                </c:pt>
                <c:pt idx="48">
                  <c:v>1.8014915947710914E-3</c:v>
                </c:pt>
                <c:pt idx="49">
                  <c:v>1.8025601504895875E-3</c:v>
                </c:pt>
                <c:pt idx="50">
                  <c:v>1.8036287062080838E-3</c:v>
                </c:pt>
                <c:pt idx="51">
                  <c:v>1.8046972619265799E-3</c:v>
                </c:pt>
                <c:pt idx="52">
                  <c:v>1.8079029290820683E-3</c:v>
                </c:pt>
                <c:pt idx="53">
                  <c:v>1.8089714848005646E-3</c:v>
                </c:pt>
                <c:pt idx="54">
                  <c:v>1.8100400405190607E-3</c:v>
                </c:pt>
                <c:pt idx="55">
                  <c:v>1.811108596237557E-3</c:v>
                </c:pt>
                <c:pt idx="56">
                  <c:v>1.8121771519560531E-3</c:v>
                </c:pt>
                <c:pt idx="57">
                  <c:v>1.8153828191115418E-3</c:v>
                </c:pt>
                <c:pt idx="58">
                  <c:v>1.8164513748300378E-3</c:v>
                </c:pt>
                <c:pt idx="59">
                  <c:v>1.8175199305485341E-3</c:v>
                </c:pt>
                <c:pt idx="60">
                  <c:v>1.8185884862670302E-3</c:v>
                </c:pt>
                <c:pt idx="61">
                  <c:v>1.8196570419855265E-3</c:v>
                </c:pt>
                <c:pt idx="62">
                  <c:v>1.822862709141015E-3</c:v>
                </c:pt>
                <c:pt idx="63">
                  <c:v>1.8239312648595113E-3</c:v>
                </c:pt>
                <c:pt idx="64">
                  <c:v>1.8249998205780073E-3</c:v>
                </c:pt>
                <c:pt idx="65">
                  <c:v>1.8260683762965034E-3</c:v>
                </c:pt>
                <c:pt idx="66">
                  <c:v>1.8271369320149997E-3</c:v>
                </c:pt>
                <c:pt idx="67">
                  <c:v>1.8303425991704882E-3</c:v>
                </c:pt>
                <c:pt idx="68">
                  <c:v>1.8314111548889845E-3</c:v>
                </c:pt>
                <c:pt idx="69">
                  <c:v>1.8324797106074805E-3</c:v>
                </c:pt>
                <c:pt idx="70">
                  <c:v>1.8335482663259768E-3</c:v>
                </c:pt>
                <c:pt idx="71">
                  <c:v>1.8346168220444729E-3</c:v>
                </c:pt>
                <c:pt idx="72">
                  <c:v>1.8378224891999616E-3</c:v>
                </c:pt>
                <c:pt idx="73">
                  <c:v>1.8388910449184577E-3</c:v>
                </c:pt>
                <c:pt idx="74">
                  <c:v>1.8399596006369538E-3</c:v>
                </c:pt>
                <c:pt idx="75">
                  <c:v>1.8410281563554501E-3</c:v>
                </c:pt>
                <c:pt idx="76">
                  <c:v>1.8420967120739463E-3</c:v>
                </c:pt>
                <c:pt idx="77">
                  <c:v>1.8453023792294348E-3</c:v>
                </c:pt>
                <c:pt idx="78">
                  <c:v>1.8463709349479309E-3</c:v>
                </c:pt>
                <c:pt idx="79">
                  <c:v>1.8474394906664272E-3</c:v>
                </c:pt>
                <c:pt idx="80">
                  <c:v>1.8485080463849233E-3</c:v>
                </c:pt>
                <c:pt idx="81">
                  <c:v>1.8495766021034196E-3</c:v>
                </c:pt>
                <c:pt idx="82">
                  <c:v>1.852782269258908E-3</c:v>
                </c:pt>
                <c:pt idx="83">
                  <c:v>1.8538508249774043E-3</c:v>
                </c:pt>
                <c:pt idx="84">
                  <c:v>1.8549193806959004E-3</c:v>
                </c:pt>
                <c:pt idx="85">
                  <c:v>1.8559879364143965E-3</c:v>
                </c:pt>
                <c:pt idx="86">
                  <c:v>1.8570564921328928E-3</c:v>
                </c:pt>
                <c:pt idx="87">
                  <c:v>1.8602621592883812E-3</c:v>
                </c:pt>
                <c:pt idx="88">
                  <c:v>1.8613307150068775E-3</c:v>
                </c:pt>
                <c:pt idx="89">
                  <c:v>1.8623992707253736E-3</c:v>
                </c:pt>
                <c:pt idx="90">
                  <c:v>1.8634678264438699E-3</c:v>
                </c:pt>
                <c:pt idx="91">
                  <c:v>1.864536382162366E-3</c:v>
                </c:pt>
                <c:pt idx="92">
                  <c:v>1.8677420493178546E-3</c:v>
                </c:pt>
                <c:pt idx="93">
                  <c:v>1.8688106050363507E-3</c:v>
                </c:pt>
                <c:pt idx="94">
                  <c:v>1.869879160754847E-3</c:v>
                </c:pt>
                <c:pt idx="95">
                  <c:v>1.8709477164733431E-3</c:v>
                </c:pt>
                <c:pt idx="96">
                  <c:v>1.8720162721918392E-3</c:v>
                </c:pt>
                <c:pt idx="97">
                  <c:v>1.8752219393473278E-3</c:v>
                </c:pt>
                <c:pt idx="98">
                  <c:v>1.8762904950658239E-3</c:v>
                </c:pt>
                <c:pt idx="99">
                  <c:v>1.8773590507843202E-3</c:v>
                </c:pt>
                <c:pt idx="100">
                  <c:v>1.8784276065028163E-3</c:v>
                </c:pt>
                <c:pt idx="101">
                  <c:v>1.8794961622213126E-3</c:v>
                </c:pt>
                <c:pt idx="102">
                  <c:v>1.882701829376801E-3</c:v>
                </c:pt>
                <c:pt idx="103">
                  <c:v>1.8837703850952973E-3</c:v>
                </c:pt>
                <c:pt idx="104">
                  <c:v>1.8848389408137934E-3</c:v>
                </c:pt>
                <c:pt idx="105">
                  <c:v>1.8859074965322897E-3</c:v>
                </c:pt>
                <c:pt idx="106">
                  <c:v>1.8869760522507858E-3</c:v>
                </c:pt>
                <c:pt idx="107">
                  <c:v>1.8901817194062745E-3</c:v>
                </c:pt>
                <c:pt idx="108">
                  <c:v>1.8912502751247705E-3</c:v>
                </c:pt>
                <c:pt idx="109">
                  <c:v>1.8923188308432666E-3</c:v>
                </c:pt>
                <c:pt idx="110">
                  <c:v>1.8933873865617629E-3</c:v>
                </c:pt>
                <c:pt idx="111">
                  <c:v>1.894455942280259E-3</c:v>
                </c:pt>
                <c:pt idx="112">
                  <c:v>1.8976616094357477E-3</c:v>
                </c:pt>
                <c:pt idx="113">
                  <c:v>1.8987301651542437E-3</c:v>
                </c:pt>
                <c:pt idx="114">
                  <c:v>1.89979872087274E-3</c:v>
                </c:pt>
                <c:pt idx="115">
                  <c:v>1.9008672765912361E-3</c:v>
                </c:pt>
                <c:pt idx="116">
                  <c:v>1.9019358323097324E-3</c:v>
                </c:pt>
                <c:pt idx="117">
                  <c:v>1.9051414994652209E-3</c:v>
                </c:pt>
                <c:pt idx="118">
                  <c:v>1.9062100551837172E-3</c:v>
                </c:pt>
                <c:pt idx="119">
                  <c:v>1.9072786109022132E-3</c:v>
                </c:pt>
                <c:pt idx="120">
                  <c:v>1.9083471666207093E-3</c:v>
                </c:pt>
                <c:pt idx="121">
                  <c:v>1.9094157223392056E-3</c:v>
                </c:pt>
                <c:pt idx="122">
                  <c:v>1.9126213894946941E-3</c:v>
                </c:pt>
                <c:pt idx="123">
                  <c:v>1.9136899452131904E-3</c:v>
                </c:pt>
                <c:pt idx="124">
                  <c:v>1.9147585009316865E-3</c:v>
                </c:pt>
                <c:pt idx="125">
                  <c:v>1.9158270566501827E-3</c:v>
                </c:pt>
                <c:pt idx="126">
                  <c:v>1.9168956123686788E-3</c:v>
                </c:pt>
                <c:pt idx="127">
                  <c:v>1.9201012795241673E-3</c:v>
                </c:pt>
                <c:pt idx="128">
                  <c:v>1.9211698352426636E-3</c:v>
                </c:pt>
                <c:pt idx="129">
                  <c:v>1.9222383909611599E-3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'6MSynthDepo_allScenario'!$BL$6:$BL$135</c:f>
              <c:numCache>
                <c:formatCode>0.0000%</c:formatCode>
                <c:ptCount val="130"/>
                <c:pt idx="0">
                  <c:v>1.5779617406501134E-3</c:v>
                </c:pt>
                <c:pt idx="1">
                  <c:v>1.5816004381895806E-3</c:v>
                </c:pt>
                <c:pt idx="2">
                  <c:v>1.5924050023950515E-3</c:v>
                </c:pt>
                <c:pt idx="3">
                  <c:v>1.5959693476592313E-3</c:v>
                </c:pt>
                <c:pt idx="4">
                  <c:v>1.5995151048545893E-3</c:v>
                </c:pt>
                <c:pt idx="5">
                  <c:v>1.6030422739811254E-3</c:v>
                </c:pt>
                <c:pt idx="6">
                  <c:v>1.6065508550388399E-3</c:v>
                </c:pt>
                <c:pt idx="7">
                  <c:v>1.6169650697990512E-3</c:v>
                </c:pt>
                <c:pt idx="8">
                  <c:v>1.6203992985814779E-3</c:v>
                </c:pt>
                <c:pt idx="9">
                  <c:v>1.623814939295083E-3</c:v>
                </c:pt>
                <c:pt idx="10">
                  <c:v>1.6272119919398661E-3</c:v>
                </c:pt>
                <c:pt idx="11">
                  <c:v>1.6305904565158272E-3</c:v>
                </c:pt>
                <c:pt idx="12">
                  <c:v>1.6406143218307798E-3</c:v>
                </c:pt>
                <c:pt idx="13">
                  <c:v>1.6439184341314535E-3</c:v>
                </c:pt>
                <c:pt idx="14">
                  <c:v>1.6472039583633052E-3</c:v>
                </c:pt>
                <c:pt idx="15">
                  <c:v>1.6504708945263354E-3</c:v>
                </c:pt>
                <c:pt idx="16">
                  <c:v>1.6537192426205433E-3</c:v>
                </c:pt>
                <c:pt idx="17">
                  <c:v>1.6633527584902369E-3</c:v>
                </c:pt>
                <c:pt idx="18">
                  <c:v>1.6665267543091574E-3</c:v>
                </c:pt>
                <c:pt idx="19">
                  <c:v>1.6696821620592562E-3</c:v>
                </c:pt>
                <c:pt idx="20">
                  <c:v>1.6728189817405334E-3</c:v>
                </c:pt>
                <c:pt idx="21">
                  <c:v>1.6759372133529884E-3</c:v>
                </c:pt>
                <c:pt idx="22">
                  <c:v>1.6851803797774225E-3</c:v>
                </c:pt>
                <c:pt idx="23">
                  <c:v>1.6882242591145903E-3</c:v>
                </c:pt>
                <c:pt idx="24">
                  <c:v>1.691249550382936E-3</c:v>
                </c:pt>
                <c:pt idx="25">
                  <c:v>1.6942562535824598E-3</c:v>
                </c:pt>
                <c:pt idx="26">
                  <c:v>1.6972443687131619E-3</c:v>
                </c:pt>
                <c:pt idx="27">
                  <c:v>1.7060971856923369E-3</c:v>
                </c:pt>
                <c:pt idx="28">
                  <c:v>1.7090109485477516E-3</c:v>
                </c:pt>
                <c:pt idx="29">
                  <c:v>1.7119061233343443E-3</c:v>
                </c:pt>
                <c:pt idx="30">
                  <c:v>1.714782710052115E-3</c:v>
                </c:pt>
                <c:pt idx="31">
                  <c:v>1.7176407087010643E-3</c:v>
                </c:pt>
                <c:pt idx="32">
                  <c:v>1.7261031762349798E-3</c:v>
                </c:pt>
                <c:pt idx="33">
                  <c:v>1.7288868226086414E-3</c:v>
                </c:pt>
                <c:pt idx="34">
                  <c:v>1.7316518809134813E-3</c:v>
                </c:pt>
                <c:pt idx="35">
                  <c:v>1.7343983511494991E-3</c:v>
                </c:pt>
                <c:pt idx="36">
                  <c:v>1.7371262333166948E-3</c:v>
                </c:pt>
                <c:pt idx="37">
                  <c:v>1.7451983514053518E-3</c:v>
                </c:pt>
                <c:pt idx="38">
                  <c:v>1.7478518812972601E-3</c:v>
                </c:pt>
                <c:pt idx="39">
                  <c:v>1.7504868231203467E-3</c:v>
                </c:pt>
                <c:pt idx="40">
                  <c:v>1.7531031768746115E-3</c:v>
                </c:pt>
                <c:pt idx="41">
                  <c:v>1.7557009425600543E-3</c:v>
                </c:pt>
                <c:pt idx="42">
                  <c:v>1.763382711203452E-3</c:v>
                </c:pt>
                <c:pt idx="43">
                  <c:v>1.7659061246136072E-3</c:v>
                </c:pt>
                <c:pt idx="44">
                  <c:v>1.7684109499549409E-3</c:v>
                </c:pt>
                <c:pt idx="45">
                  <c:v>1.7708971872274527E-3</c:v>
                </c:pt>
                <c:pt idx="46">
                  <c:v>1.7733648364311426E-3</c:v>
                </c:pt>
                <c:pt idx="47">
                  <c:v>1.7806562556292808E-3</c:v>
                </c:pt>
                <c:pt idx="48">
                  <c:v>1.7830495525576833E-3</c:v>
                </c:pt>
                <c:pt idx="49">
                  <c:v>1.7854242614172638E-3</c:v>
                </c:pt>
                <c:pt idx="50">
                  <c:v>1.7877803822080225E-3</c:v>
                </c:pt>
                <c:pt idx="51">
                  <c:v>1.7901179149299592E-3</c:v>
                </c:pt>
                <c:pt idx="52">
                  <c:v>1.7970189846828386E-3</c:v>
                </c:pt>
                <c:pt idx="53">
                  <c:v>1.7992821651294879E-3</c:v>
                </c:pt>
                <c:pt idx="54">
                  <c:v>1.8015267575073152E-3</c:v>
                </c:pt>
                <c:pt idx="55">
                  <c:v>1.8037527618163208E-3</c:v>
                </c:pt>
                <c:pt idx="56">
                  <c:v>1.8059601780565048E-3</c:v>
                </c:pt>
                <c:pt idx="57">
                  <c:v>1.8124708983641247E-3</c:v>
                </c:pt>
                <c:pt idx="58">
                  <c:v>1.8146039623290209E-3</c:v>
                </c:pt>
                <c:pt idx="59">
                  <c:v>1.8167184382250955E-3</c:v>
                </c:pt>
                <c:pt idx="60">
                  <c:v>1.8188143260523481E-3</c:v>
                </c:pt>
                <c:pt idx="61">
                  <c:v>1.8208916258107787E-3</c:v>
                </c:pt>
                <c:pt idx="62">
                  <c:v>1.8270119966731398E-3</c:v>
                </c:pt>
                <c:pt idx="63">
                  <c:v>1.829014944156283E-3</c:v>
                </c:pt>
                <c:pt idx="64">
                  <c:v>1.8309993035706042E-3</c:v>
                </c:pt>
                <c:pt idx="65">
                  <c:v>1.8329650749161037E-3</c:v>
                </c:pt>
                <c:pt idx="66">
                  <c:v>1.8349122581927813E-3</c:v>
                </c:pt>
                <c:pt idx="67">
                  <c:v>1.8406422796098832E-3</c:v>
                </c:pt>
                <c:pt idx="68">
                  <c:v>1.8425151106112733E-3</c:v>
                </c:pt>
                <c:pt idx="69">
                  <c:v>1.8443693535438416E-3</c:v>
                </c:pt>
                <c:pt idx="70">
                  <c:v>1.8462050084075883E-3</c:v>
                </c:pt>
                <c:pt idx="71">
                  <c:v>1.8480220752025128E-3</c:v>
                </c:pt>
                <c:pt idx="72">
                  <c:v>1.8533617471743554E-3</c:v>
                </c:pt>
                <c:pt idx="73">
                  <c:v>1.8551044616939925E-3</c:v>
                </c:pt>
                <c:pt idx="74">
                  <c:v>1.8568285881448076E-3</c:v>
                </c:pt>
                <c:pt idx="75">
                  <c:v>1.8585341265268012E-3</c:v>
                </c:pt>
                <c:pt idx="76">
                  <c:v>1.860221076839973E-3</c:v>
                </c:pt>
                <c:pt idx="77">
                  <c:v>1.8651703993665561E-3</c:v>
                </c:pt>
                <c:pt idx="78">
                  <c:v>1.8667829974044403E-3</c:v>
                </c:pt>
                <c:pt idx="79">
                  <c:v>1.8683770073735027E-3</c:v>
                </c:pt>
                <c:pt idx="80">
                  <c:v>1.8699524292737427E-3</c:v>
                </c:pt>
                <c:pt idx="81">
                  <c:v>1.8715092631051615E-3</c:v>
                </c:pt>
                <c:pt idx="82">
                  <c:v>1.8760682361864858E-3</c:v>
                </c:pt>
                <c:pt idx="83">
                  <c:v>1.8775507177426166E-3</c:v>
                </c:pt>
                <c:pt idx="84">
                  <c:v>1.8790146112299261E-3</c:v>
                </c:pt>
                <c:pt idx="85">
                  <c:v>1.8804599166484131E-3</c:v>
                </c:pt>
                <c:pt idx="86">
                  <c:v>1.8818866339980786E-3</c:v>
                </c:pt>
                <c:pt idx="87">
                  <c:v>1.8860552576341438E-3</c:v>
                </c:pt>
                <c:pt idx="88">
                  <c:v>1.8874076227085217E-3</c:v>
                </c:pt>
                <c:pt idx="89">
                  <c:v>1.888741399714078E-3</c:v>
                </c:pt>
                <c:pt idx="90">
                  <c:v>1.8900565886508123E-3</c:v>
                </c:pt>
                <c:pt idx="91">
                  <c:v>1.8913531895187244E-3</c:v>
                </c:pt>
                <c:pt idx="92">
                  <c:v>1.8951314637095306E-3</c:v>
                </c:pt>
                <c:pt idx="93">
                  <c:v>1.8963537123021558E-3</c:v>
                </c:pt>
                <c:pt idx="94">
                  <c:v>1.8975573728259585E-3</c:v>
                </c:pt>
                <c:pt idx="95">
                  <c:v>1.8987424452809399E-3</c:v>
                </c:pt>
                <c:pt idx="96">
                  <c:v>1.899908929667099E-3</c:v>
                </c:pt>
                <c:pt idx="97">
                  <c:v>1.903296854412646E-3</c:v>
                </c:pt>
                <c:pt idx="98">
                  <c:v>1.904388986523518E-3</c:v>
                </c:pt>
                <c:pt idx="99">
                  <c:v>1.9054625305655677E-3</c:v>
                </c:pt>
                <c:pt idx="100">
                  <c:v>1.9065174865387959E-3</c:v>
                </c:pt>
                <c:pt idx="101">
                  <c:v>1.9075538544432026E-3</c:v>
                </c:pt>
                <c:pt idx="102">
                  <c:v>1.9105514297434898E-3</c:v>
                </c:pt>
                <c:pt idx="103">
                  <c:v>1.9115134453726089E-3</c:v>
                </c:pt>
                <c:pt idx="104">
                  <c:v>1.912456872932906E-3</c:v>
                </c:pt>
                <c:pt idx="105">
                  <c:v>1.9133817124243808E-3</c:v>
                </c:pt>
                <c:pt idx="106">
                  <c:v>1.9142879638470343E-3</c:v>
                </c:pt>
                <c:pt idx="107">
                  <c:v>1.9168951897020629E-3</c:v>
                </c:pt>
                <c:pt idx="108">
                  <c:v>1.9177270888494284E-3</c:v>
                </c:pt>
                <c:pt idx="109">
                  <c:v>1.9185403999279725E-3</c:v>
                </c:pt>
                <c:pt idx="110">
                  <c:v>1.9193351229376944E-3</c:v>
                </c:pt>
                <c:pt idx="111">
                  <c:v>1.9201112578785947E-3</c:v>
                </c:pt>
                <c:pt idx="112">
                  <c:v>1.9223281342883641E-3</c:v>
                </c:pt>
                <c:pt idx="113">
                  <c:v>1.9230299169539767E-3</c:v>
                </c:pt>
                <c:pt idx="114">
                  <c:v>1.9237131115507676E-3</c:v>
                </c:pt>
                <c:pt idx="115">
                  <c:v>1.9243777180787368E-3</c:v>
                </c:pt>
                <c:pt idx="116">
                  <c:v>1.9250237365378837E-3</c:v>
                </c:pt>
                <c:pt idx="117">
                  <c:v>1.9268502635023941E-3</c:v>
                </c:pt>
                <c:pt idx="118">
                  <c:v>1.9274219296862539E-3</c:v>
                </c:pt>
                <c:pt idx="119">
                  <c:v>1.9279750078012915E-3</c:v>
                </c:pt>
                <c:pt idx="120">
                  <c:v>1.9285094978475077E-3</c:v>
                </c:pt>
                <c:pt idx="121">
                  <c:v>1.9290253998249015E-3</c:v>
                </c:pt>
                <c:pt idx="122">
                  <c:v>1.9304615773441526E-3</c:v>
                </c:pt>
                <c:pt idx="123">
                  <c:v>1.9309031270462595E-3</c:v>
                </c:pt>
                <c:pt idx="124">
                  <c:v>1.9313260886795439E-3</c:v>
                </c:pt>
                <c:pt idx="125">
                  <c:v>1.931730462244007E-3</c:v>
                </c:pt>
                <c:pt idx="126">
                  <c:v>1.9321162477396482E-3</c:v>
                </c:pt>
                <c:pt idx="127">
                  <c:v>1.9331620758136399E-3</c:v>
                </c:pt>
                <c:pt idx="128">
                  <c:v>1.9334735090339936E-3</c:v>
                </c:pt>
                <c:pt idx="129">
                  <c:v>1.9337663541855255E-3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586560"/>
        <c:axId val="715593216"/>
      </c:lineChart>
      <c:dateAx>
        <c:axId val="7155865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1559321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71559321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15586560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'6MSynthDepo_allScenario'!$BM$6:$BM$135</c:f>
              <c:numCache>
                <c:formatCode>0.0000%</c:formatCode>
                <c:ptCount val="130"/>
                <c:pt idx="0">
                  <c:v>1.710984018692234E-3</c:v>
                </c:pt>
                <c:pt idx="1">
                  <c:v>1.7120924558959765E-3</c:v>
                </c:pt>
                <c:pt idx="2">
                  <c:v>1.715417767507204E-3</c:v>
                </c:pt>
                <c:pt idx="3">
                  <c:v>1.7165262047109464E-3</c:v>
                </c:pt>
                <c:pt idx="4">
                  <c:v>1.7176346419146889E-3</c:v>
                </c:pt>
                <c:pt idx="5">
                  <c:v>1.7187430791184314E-3</c:v>
                </c:pt>
                <c:pt idx="6">
                  <c:v>1.7198515163221739E-3</c:v>
                </c:pt>
                <c:pt idx="7">
                  <c:v>1.7231768279334014E-3</c:v>
                </c:pt>
                <c:pt idx="8">
                  <c:v>1.7242852651371439E-3</c:v>
                </c:pt>
                <c:pt idx="9">
                  <c:v>1.7253937023408864E-3</c:v>
                </c:pt>
                <c:pt idx="10">
                  <c:v>1.7265021395446289E-3</c:v>
                </c:pt>
                <c:pt idx="11">
                  <c:v>1.7276105767483714E-3</c:v>
                </c:pt>
                <c:pt idx="12">
                  <c:v>1.7309358883595988E-3</c:v>
                </c:pt>
                <c:pt idx="13">
                  <c:v>1.7320443255633413E-3</c:v>
                </c:pt>
                <c:pt idx="14">
                  <c:v>1.7331527627670838E-3</c:v>
                </c:pt>
                <c:pt idx="15">
                  <c:v>1.7342611999708263E-3</c:v>
                </c:pt>
                <c:pt idx="16">
                  <c:v>1.7353696371745688E-3</c:v>
                </c:pt>
                <c:pt idx="17">
                  <c:v>1.7386949487857963E-3</c:v>
                </c:pt>
                <c:pt idx="18">
                  <c:v>1.7398033859895388E-3</c:v>
                </c:pt>
                <c:pt idx="19">
                  <c:v>1.7409118231932815E-3</c:v>
                </c:pt>
                <c:pt idx="20">
                  <c:v>1.742020260397024E-3</c:v>
                </c:pt>
                <c:pt idx="21">
                  <c:v>1.7431286976007665E-3</c:v>
                </c:pt>
                <c:pt idx="22">
                  <c:v>1.7464540092119939E-3</c:v>
                </c:pt>
                <c:pt idx="23">
                  <c:v>1.7475624464157364E-3</c:v>
                </c:pt>
                <c:pt idx="24">
                  <c:v>1.7486708836194789E-3</c:v>
                </c:pt>
                <c:pt idx="25">
                  <c:v>1.7497793208232214E-3</c:v>
                </c:pt>
                <c:pt idx="26">
                  <c:v>1.7508877580269639E-3</c:v>
                </c:pt>
                <c:pt idx="27">
                  <c:v>1.7542130696381914E-3</c:v>
                </c:pt>
                <c:pt idx="28">
                  <c:v>1.7553215068419339E-3</c:v>
                </c:pt>
                <c:pt idx="29">
                  <c:v>1.7564299440456764E-3</c:v>
                </c:pt>
                <c:pt idx="30">
                  <c:v>1.7575383812494189E-3</c:v>
                </c:pt>
                <c:pt idx="31">
                  <c:v>1.7586468184531614E-3</c:v>
                </c:pt>
                <c:pt idx="32">
                  <c:v>1.7619721300643888E-3</c:v>
                </c:pt>
                <c:pt idx="33">
                  <c:v>1.7630805672681313E-3</c:v>
                </c:pt>
                <c:pt idx="34">
                  <c:v>1.7641890044718738E-3</c:v>
                </c:pt>
                <c:pt idx="35">
                  <c:v>1.7652974416756163E-3</c:v>
                </c:pt>
                <c:pt idx="36">
                  <c:v>1.7664058788793588E-3</c:v>
                </c:pt>
                <c:pt idx="37">
                  <c:v>1.7697311904905863E-3</c:v>
                </c:pt>
                <c:pt idx="38">
                  <c:v>1.7708396276943288E-3</c:v>
                </c:pt>
                <c:pt idx="39">
                  <c:v>1.7719480648980713E-3</c:v>
                </c:pt>
                <c:pt idx="40">
                  <c:v>1.7730565021018138E-3</c:v>
                </c:pt>
                <c:pt idx="41">
                  <c:v>1.7741649393055562E-3</c:v>
                </c:pt>
                <c:pt idx="42">
                  <c:v>1.7774902509167837E-3</c:v>
                </c:pt>
                <c:pt idx="43">
                  <c:v>1.7785986881205262E-3</c:v>
                </c:pt>
                <c:pt idx="44">
                  <c:v>1.7797071253242687E-3</c:v>
                </c:pt>
                <c:pt idx="45">
                  <c:v>1.7808155625280112E-3</c:v>
                </c:pt>
                <c:pt idx="46">
                  <c:v>1.7819239997317537E-3</c:v>
                </c:pt>
                <c:pt idx="47">
                  <c:v>1.7852493113429812E-3</c:v>
                </c:pt>
                <c:pt idx="48">
                  <c:v>1.7863577485467237E-3</c:v>
                </c:pt>
                <c:pt idx="49">
                  <c:v>1.7874661857504661E-3</c:v>
                </c:pt>
                <c:pt idx="50">
                  <c:v>1.7885746229542086E-3</c:v>
                </c:pt>
                <c:pt idx="51">
                  <c:v>1.7896830601579511E-3</c:v>
                </c:pt>
                <c:pt idx="52">
                  <c:v>1.7930083717691786E-3</c:v>
                </c:pt>
                <c:pt idx="53">
                  <c:v>1.7941168089729213E-3</c:v>
                </c:pt>
                <c:pt idx="54">
                  <c:v>1.7952252461766638E-3</c:v>
                </c:pt>
                <c:pt idx="55">
                  <c:v>1.7963336833804063E-3</c:v>
                </c:pt>
                <c:pt idx="56">
                  <c:v>1.7974421205841488E-3</c:v>
                </c:pt>
                <c:pt idx="57">
                  <c:v>1.8007674321953763E-3</c:v>
                </c:pt>
                <c:pt idx="58">
                  <c:v>1.8018758693991188E-3</c:v>
                </c:pt>
                <c:pt idx="59">
                  <c:v>1.8029843066028613E-3</c:v>
                </c:pt>
                <c:pt idx="60">
                  <c:v>1.8040927438066037E-3</c:v>
                </c:pt>
                <c:pt idx="61">
                  <c:v>1.8052011810103462E-3</c:v>
                </c:pt>
                <c:pt idx="62">
                  <c:v>1.8085264926215737E-3</c:v>
                </c:pt>
                <c:pt idx="63">
                  <c:v>1.8096349298253162E-3</c:v>
                </c:pt>
                <c:pt idx="64">
                  <c:v>1.8107433670290587E-3</c:v>
                </c:pt>
                <c:pt idx="65">
                  <c:v>1.8118518042328012E-3</c:v>
                </c:pt>
                <c:pt idx="66">
                  <c:v>1.8129602414365437E-3</c:v>
                </c:pt>
                <c:pt idx="67">
                  <c:v>1.8162855530477712E-3</c:v>
                </c:pt>
                <c:pt idx="68">
                  <c:v>1.8173939902515136E-3</c:v>
                </c:pt>
                <c:pt idx="69">
                  <c:v>1.8185024274552561E-3</c:v>
                </c:pt>
                <c:pt idx="70">
                  <c:v>1.8196108646589986E-3</c:v>
                </c:pt>
                <c:pt idx="71">
                  <c:v>1.8207193018627411E-3</c:v>
                </c:pt>
                <c:pt idx="72">
                  <c:v>1.8240446134739686E-3</c:v>
                </c:pt>
                <c:pt idx="73">
                  <c:v>1.8251530506777111E-3</c:v>
                </c:pt>
                <c:pt idx="74">
                  <c:v>1.8262614878814536E-3</c:v>
                </c:pt>
                <c:pt idx="75">
                  <c:v>1.8273699250851961E-3</c:v>
                </c:pt>
                <c:pt idx="76">
                  <c:v>1.8284783622889386E-3</c:v>
                </c:pt>
                <c:pt idx="77">
                  <c:v>1.831803673900166E-3</c:v>
                </c:pt>
                <c:pt idx="78">
                  <c:v>1.8329121111039085E-3</c:v>
                </c:pt>
                <c:pt idx="79">
                  <c:v>1.834020548307651E-3</c:v>
                </c:pt>
                <c:pt idx="80">
                  <c:v>1.8351289855113935E-3</c:v>
                </c:pt>
                <c:pt idx="81">
                  <c:v>1.836237422715136E-3</c:v>
                </c:pt>
                <c:pt idx="82">
                  <c:v>1.8395627343263635E-3</c:v>
                </c:pt>
                <c:pt idx="83">
                  <c:v>1.840671171530106E-3</c:v>
                </c:pt>
                <c:pt idx="84">
                  <c:v>1.8417796087338485E-3</c:v>
                </c:pt>
                <c:pt idx="85">
                  <c:v>1.842888045937591E-3</c:v>
                </c:pt>
                <c:pt idx="86">
                  <c:v>1.8439964831413335E-3</c:v>
                </c:pt>
                <c:pt idx="87">
                  <c:v>1.8473217947525609E-3</c:v>
                </c:pt>
                <c:pt idx="88">
                  <c:v>1.8484302319563034E-3</c:v>
                </c:pt>
                <c:pt idx="89">
                  <c:v>1.8495386691600459E-3</c:v>
                </c:pt>
                <c:pt idx="90">
                  <c:v>1.8506471063637884E-3</c:v>
                </c:pt>
                <c:pt idx="91">
                  <c:v>1.8517555435675309E-3</c:v>
                </c:pt>
                <c:pt idx="92">
                  <c:v>1.8550808551787584E-3</c:v>
                </c:pt>
                <c:pt idx="93">
                  <c:v>1.8561892923825009E-3</c:v>
                </c:pt>
                <c:pt idx="94">
                  <c:v>1.8572977295862434E-3</c:v>
                </c:pt>
                <c:pt idx="95">
                  <c:v>1.8584061667899861E-3</c:v>
                </c:pt>
                <c:pt idx="96">
                  <c:v>1.8595146039937286E-3</c:v>
                </c:pt>
                <c:pt idx="97">
                  <c:v>1.862839915604956E-3</c:v>
                </c:pt>
                <c:pt idx="98">
                  <c:v>1.8639483528086985E-3</c:v>
                </c:pt>
                <c:pt idx="99">
                  <c:v>1.865056790012441E-3</c:v>
                </c:pt>
                <c:pt idx="100">
                  <c:v>1.8661652272161835E-3</c:v>
                </c:pt>
                <c:pt idx="101">
                  <c:v>1.867273664419926E-3</c:v>
                </c:pt>
                <c:pt idx="102">
                  <c:v>1.8705989760311535E-3</c:v>
                </c:pt>
                <c:pt idx="103">
                  <c:v>1.871707413234896E-3</c:v>
                </c:pt>
                <c:pt idx="104">
                  <c:v>1.8728158504386385E-3</c:v>
                </c:pt>
                <c:pt idx="105">
                  <c:v>1.873924287642381E-3</c:v>
                </c:pt>
                <c:pt idx="106">
                  <c:v>1.8750327248461234E-3</c:v>
                </c:pt>
                <c:pt idx="107">
                  <c:v>1.8783580364573509E-3</c:v>
                </c:pt>
                <c:pt idx="108">
                  <c:v>1.8794664736610934E-3</c:v>
                </c:pt>
                <c:pt idx="109">
                  <c:v>1.8805749108648359E-3</c:v>
                </c:pt>
                <c:pt idx="110">
                  <c:v>1.8816833480685784E-3</c:v>
                </c:pt>
                <c:pt idx="111">
                  <c:v>1.8827917852723209E-3</c:v>
                </c:pt>
                <c:pt idx="112">
                  <c:v>1.8861170968835484E-3</c:v>
                </c:pt>
                <c:pt idx="113">
                  <c:v>1.8872255340872909E-3</c:v>
                </c:pt>
                <c:pt idx="114">
                  <c:v>1.8883339712910333E-3</c:v>
                </c:pt>
                <c:pt idx="115">
                  <c:v>1.8894424084947758E-3</c:v>
                </c:pt>
                <c:pt idx="116">
                  <c:v>1.8905508456985183E-3</c:v>
                </c:pt>
                <c:pt idx="117">
                  <c:v>1.8938761573097458E-3</c:v>
                </c:pt>
                <c:pt idx="118">
                  <c:v>1.8949845945134883E-3</c:v>
                </c:pt>
                <c:pt idx="119">
                  <c:v>1.8960930317172308E-3</c:v>
                </c:pt>
                <c:pt idx="120">
                  <c:v>1.8972014689209733E-3</c:v>
                </c:pt>
                <c:pt idx="121">
                  <c:v>1.8983099061247158E-3</c:v>
                </c:pt>
                <c:pt idx="122">
                  <c:v>1.9016352177359433E-3</c:v>
                </c:pt>
                <c:pt idx="123">
                  <c:v>1.9027436549396857E-3</c:v>
                </c:pt>
                <c:pt idx="124">
                  <c:v>1.9038520921434282E-3</c:v>
                </c:pt>
                <c:pt idx="125">
                  <c:v>1.9049605293471707E-3</c:v>
                </c:pt>
                <c:pt idx="126">
                  <c:v>1.9060689665509132E-3</c:v>
                </c:pt>
                <c:pt idx="127">
                  <c:v>1.9093942781621409E-3</c:v>
                </c:pt>
                <c:pt idx="128">
                  <c:v>1.9105027153658834E-3</c:v>
                </c:pt>
                <c:pt idx="129">
                  <c:v>1.9116111525696259E-3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'6MSynthDepo_allScenario'!$BN$6:$BN$135</c:f>
              <c:numCache>
                <c:formatCode>0.0000%</c:formatCode>
                <c:ptCount val="130"/>
                <c:pt idx="0">
                  <c:v>1.6680220904655852E-3</c:v>
                </c:pt>
                <c:pt idx="1">
                  <c:v>1.6698148331942817E-3</c:v>
                </c:pt>
                <c:pt idx="2">
                  <c:v>1.6751669648216666E-3</c:v>
                </c:pt>
                <c:pt idx="3">
                  <c:v>1.67694230984456E-3</c:v>
                </c:pt>
                <c:pt idx="4">
                  <c:v>1.6787133054410024E-3</c:v>
                </c:pt>
                <c:pt idx="5">
                  <c:v>1.6804799516109941E-3</c:v>
                </c:pt>
                <c:pt idx="6">
                  <c:v>1.6822422483545353E-3</c:v>
                </c:pt>
                <c:pt idx="7">
                  <c:v>1.6875030420264534E-3</c:v>
                </c:pt>
                <c:pt idx="8">
                  <c:v>1.689247941064191E-3</c:v>
                </c:pt>
                <c:pt idx="9">
                  <c:v>1.6909884906754782E-3</c:v>
                </c:pt>
                <c:pt idx="10">
                  <c:v>1.6927246908603145E-3</c:v>
                </c:pt>
                <c:pt idx="11">
                  <c:v>1.6944565416187E-3</c:v>
                </c:pt>
                <c:pt idx="12">
                  <c:v>1.6996259973351517E-3</c:v>
                </c:pt>
                <c:pt idx="13">
                  <c:v>1.7013404503877338E-3</c:v>
                </c:pt>
                <c:pt idx="14">
                  <c:v>1.7030505540138654E-3</c:v>
                </c:pt>
                <c:pt idx="15">
                  <c:v>1.704756308213546E-3</c:v>
                </c:pt>
                <c:pt idx="16">
                  <c:v>1.7064577129867759E-3</c:v>
                </c:pt>
                <c:pt idx="17">
                  <c:v>1.7115358307477611E-3</c:v>
                </c:pt>
                <c:pt idx="18">
                  <c:v>1.7132198378151877E-3</c:v>
                </c:pt>
                <c:pt idx="19">
                  <c:v>1.7148994954561637E-3</c:v>
                </c:pt>
                <c:pt idx="20">
                  <c:v>1.716574803670689E-3</c:v>
                </c:pt>
                <c:pt idx="21">
                  <c:v>1.7182457624587632E-3</c:v>
                </c:pt>
                <c:pt idx="22">
                  <c:v>1.7232325422642818E-3</c:v>
                </c:pt>
                <c:pt idx="23">
                  <c:v>1.724886103346553E-3</c:v>
                </c:pt>
                <c:pt idx="24">
                  <c:v>1.7265353150023733E-3</c:v>
                </c:pt>
                <c:pt idx="25">
                  <c:v>1.7281801772317431E-3</c:v>
                </c:pt>
                <c:pt idx="26">
                  <c:v>1.7298206900346618E-3</c:v>
                </c:pt>
                <c:pt idx="27">
                  <c:v>1.7347161318847137E-3</c:v>
                </c:pt>
                <c:pt idx="28">
                  <c:v>1.7363392469818295E-3</c:v>
                </c:pt>
                <c:pt idx="29">
                  <c:v>1.7379580126524945E-3</c:v>
                </c:pt>
                <c:pt idx="30">
                  <c:v>1.7395724288967085E-3</c:v>
                </c:pt>
                <c:pt idx="31">
                  <c:v>1.7411824957144718E-3</c:v>
                </c:pt>
                <c:pt idx="32">
                  <c:v>1.745986599609057E-3</c:v>
                </c:pt>
                <c:pt idx="33">
                  <c:v>1.7475792687210172E-3</c:v>
                </c:pt>
                <c:pt idx="34">
                  <c:v>1.7491675884065267E-3</c:v>
                </c:pt>
                <c:pt idx="35">
                  <c:v>1.7507515586655854E-3</c:v>
                </c:pt>
                <c:pt idx="36">
                  <c:v>1.752331179498193E-3</c:v>
                </c:pt>
                <c:pt idx="37">
                  <c:v>1.7570439454373116E-3</c:v>
                </c:pt>
                <c:pt idx="38">
                  <c:v>1.7586061685641162E-3</c:v>
                </c:pt>
                <c:pt idx="39">
                  <c:v>1.7601640422644702E-3</c:v>
                </c:pt>
                <c:pt idx="40">
                  <c:v>1.7617175665383732E-3</c:v>
                </c:pt>
                <c:pt idx="41">
                  <c:v>1.7632667413858254E-3</c:v>
                </c:pt>
                <c:pt idx="42">
                  <c:v>1.7678881693694777E-3</c:v>
                </c:pt>
                <c:pt idx="43">
                  <c:v>1.7694199465111268E-3</c:v>
                </c:pt>
                <c:pt idx="44">
                  <c:v>1.7709473742263252E-3</c:v>
                </c:pt>
                <c:pt idx="45">
                  <c:v>1.7724704525150725E-3</c:v>
                </c:pt>
                <c:pt idx="46">
                  <c:v>1.7739891813773692E-3</c:v>
                </c:pt>
                <c:pt idx="47">
                  <c:v>1.7785192714055548E-3</c:v>
                </c:pt>
                <c:pt idx="48">
                  <c:v>1.7800206025620484E-3</c:v>
                </c:pt>
                <c:pt idx="49">
                  <c:v>1.7815175842920913E-3</c:v>
                </c:pt>
                <c:pt idx="50">
                  <c:v>1.783010216595683E-3</c:v>
                </c:pt>
                <c:pt idx="51">
                  <c:v>1.7844984994728245E-3</c:v>
                </c:pt>
                <c:pt idx="52">
                  <c:v>1.7889372515455433E-3</c:v>
                </c:pt>
                <c:pt idx="53">
                  <c:v>1.7904081367168814E-3</c:v>
                </c:pt>
                <c:pt idx="54">
                  <c:v>1.7918746724617685E-3</c:v>
                </c:pt>
                <c:pt idx="55">
                  <c:v>1.7933368587802051E-3</c:v>
                </c:pt>
                <c:pt idx="56">
                  <c:v>1.7947946956721908E-3</c:v>
                </c:pt>
                <c:pt idx="57">
                  <c:v>1.799142109789443E-3</c:v>
                </c:pt>
                <c:pt idx="58">
                  <c:v>1.8005825489756256E-3</c:v>
                </c:pt>
                <c:pt idx="59">
                  <c:v>1.8020186387353574E-3</c:v>
                </c:pt>
                <c:pt idx="60">
                  <c:v>1.8034503790686383E-3</c:v>
                </c:pt>
                <c:pt idx="61">
                  <c:v>1.8048777699754685E-3</c:v>
                </c:pt>
                <c:pt idx="62">
                  <c:v>1.8091338461372541E-3</c:v>
                </c:pt>
                <c:pt idx="63">
                  <c:v>1.8105438393382811E-3</c:v>
                </c:pt>
                <c:pt idx="64">
                  <c:v>1.8119494831128572E-3</c:v>
                </c:pt>
                <c:pt idx="65">
                  <c:v>1.8133507774609828E-3</c:v>
                </c:pt>
                <c:pt idx="66">
                  <c:v>1.8147477223826574E-3</c:v>
                </c:pt>
                <c:pt idx="67">
                  <c:v>1.8189124605889765E-3</c:v>
                </c:pt>
                <c:pt idx="68">
                  <c:v>1.820292007804848E-3</c:v>
                </c:pt>
                <c:pt idx="69">
                  <c:v>1.8216672055942685E-3</c:v>
                </c:pt>
                <c:pt idx="70">
                  <c:v>1.8230380539572385E-3</c:v>
                </c:pt>
                <c:pt idx="71">
                  <c:v>1.8244045528937576E-3</c:v>
                </c:pt>
                <c:pt idx="72">
                  <c:v>1.8284779531446101E-3</c:v>
                </c:pt>
                <c:pt idx="73">
                  <c:v>1.8298270543753261E-3</c:v>
                </c:pt>
                <c:pt idx="74">
                  <c:v>1.8311718061795911E-3</c:v>
                </c:pt>
                <c:pt idx="75">
                  <c:v>1.8325122085574056E-3</c:v>
                </c:pt>
                <c:pt idx="76">
                  <c:v>1.8338482615087692E-3</c:v>
                </c:pt>
                <c:pt idx="77">
                  <c:v>1.8378303238041551E-3</c:v>
                </c:pt>
                <c:pt idx="78">
                  <c:v>1.8391489790497153E-3</c:v>
                </c:pt>
                <c:pt idx="79">
                  <c:v>1.840463284868825E-3</c:v>
                </c:pt>
                <c:pt idx="80">
                  <c:v>1.841773241261484E-3</c:v>
                </c:pt>
                <c:pt idx="81">
                  <c:v>1.8430788482276918E-3</c:v>
                </c:pt>
                <c:pt idx="82">
                  <c:v>1.8469695725676113E-3</c:v>
                </c:pt>
                <c:pt idx="83">
                  <c:v>1.848257781828016E-3</c:v>
                </c:pt>
                <c:pt idx="84">
                  <c:v>1.8495416416619702E-3</c:v>
                </c:pt>
                <c:pt idx="85">
                  <c:v>1.8508211520694737E-3</c:v>
                </c:pt>
                <c:pt idx="86">
                  <c:v>1.8520963130505262E-3</c:v>
                </c:pt>
                <c:pt idx="87">
                  <c:v>1.8558956994349789E-3</c:v>
                </c:pt>
                <c:pt idx="88">
                  <c:v>1.857153462710228E-3</c:v>
                </c:pt>
                <c:pt idx="89">
                  <c:v>1.8584068765590267E-3</c:v>
                </c:pt>
                <c:pt idx="90">
                  <c:v>1.8596559409813746E-3</c:v>
                </c:pt>
                <c:pt idx="91">
                  <c:v>1.8609006559772714E-3</c:v>
                </c:pt>
                <c:pt idx="92">
                  <c:v>1.8646087044062575E-3</c:v>
                </c:pt>
                <c:pt idx="93">
                  <c:v>1.8658360216963514E-3</c:v>
                </c:pt>
                <c:pt idx="94">
                  <c:v>1.8670589895599945E-3</c:v>
                </c:pt>
                <c:pt idx="95">
                  <c:v>1.8682776079971867E-3</c:v>
                </c:pt>
                <c:pt idx="96">
                  <c:v>1.8694918770079281E-3</c:v>
                </c:pt>
                <c:pt idx="97">
                  <c:v>1.8731085874814479E-3</c:v>
                </c:pt>
                <c:pt idx="98">
                  <c:v>1.874305458786386E-3</c:v>
                </c:pt>
                <c:pt idx="99">
                  <c:v>1.8754979806648736E-3</c:v>
                </c:pt>
                <c:pt idx="100">
                  <c:v>1.8766861531169102E-3</c:v>
                </c:pt>
                <c:pt idx="101">
                  <c:v>1.8778699761424962E-3</c:v>
                </c:pt>
                <c:pt idx="102">
                  <c:v>1.8813953486605491E-3</c:v>
                </c:pt>
                <c:pt idx="103">
                  <c:v>1.8825617739803319E-3</c:v>
                </c:pt>
                <c:pt idx="104">
                  <c:v>1.883723849873664E-3</c:v>
                </c:pt>
                <c:pt idx="105">
                  <c:v>1.8848815763405449E-3</c:v>
                </c:pt>
                <c:pt idx="106">
                  <c:v>1.8860349533809753E-3</c:v>
                </c:pt>
                <c:pt idx="107">
                  <c:v>1.8894689879435619E-3</c:v>
                </c:pt>
                <c:pt idx="108">
                  <c:v>1.8906049672781891E-3</c:v>
                </c:pt>
                <c:pt idx="109">
                  <c:v>1.8917365971863657E-3</c:v>
                </c:pt>
                <c:pt idx="110">
                  <c:v>1.8928638776680913E-3</c:v>
                </c:pt>
                <c:pt idx="111">
                  <c:v>1.8939868087233659E-3</c:v>
                </c:pt>
                <c:pt idx="112">
                  <c:v>1.8973295053304857E-3</c:v>
                </c:pt>
                <c:pt idx="113">
                  <c:v>1.8984350386799572E-3</c:v>
                </c:pt>
                <c:pt idx="114">
                  <c:v>1.8995362226029784E-3</c:v>
                </c:pt>
                <c:pt idx="115">
                  <c:v>1.9006330570995485E-3</c:v>
                </c:pt>
                <c:pt idx="116">
                  <c:v>1.9017255421696676E-3</c:v>
                </c:pt>
                <c:pt idx="117">
                  <c:v>1.9049769008213212E-3</c:v>
                </c:pt>
                <c:pt idx="118">
                  <c:v>1.9060519881856372E-3</c:v>
                </c:pt>
                <c:pt idx="119">
                  <c:v>1.9071227261235025E-3</c:v>
                </c:pt>
                <c:pt idx="120">
                  <c:v>1.9081891146349172E-3</c:v>
                </c:pt>
                <c:pt idx="121">
                  <c:v>1.9092511537198811E-3</c:v>
                </c:pt>
                <c:pt idx="122">
                  <c:v>1.9124111744160677E-3</c:v>
                </c:pt>
                <c:pt idx="123">
                  <c:v>1.9134558157952281E-3</c:v>
                </c:pt>
                <c:pt idx="124">
                  <c:v>1.9144961077479383E-3</c:v>
                </c:pt>
                <c:pt idx="125">
                  <c:v>1.9155320502741971E-3</c:v>
                </c:pt>
                <c:pt idx="126">
                  <c:v>1.9165636433740056E-3</c:v>
                </c:pt>
                <c:pt idx="127">
                  <c:v>1.9196323261147256E-3</c:v>
                </c:pt>
                <c:pt idx="128">
                  <c:v>1.9206465215087305E-3</c:v>
                </c:pt>
                <c:pt idx="129">
                  <c:v>1.9216563674762847E-3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'6MSynthDepo_allScenario'!$BO$6:$BO$135</c:f>
              <c:numCache>
                <c:formatCode>0.0000%</c:formatCode>
                <c:ptCount val="130"/>
                <c:pt idx="0">
                  <c:v>1.7432830787416295E-3</c:v>
                </c:pt>
                <c:pt idx="1">
                  <c:v>1.7442173736499133E-3</c:v>
                </c:pt>
                <c:pt idx="2">
                  <c:v>1.7470202583747642E-3</c:v>
                </c:pt>
                <c:pt idx="3">
                  <c:v>1.7479545532830478E-3</c:v>
                </c:pt>
                <c:pt idx="4">
                  <c:v>1.7488888481913315E-3</c:v>
                </c:pt>
                <c:pt idx="5">
                  <c:v>1.7498231430996152E-3</c:v>
                </c:pt>
                <c:pt idx="6">
                  <c:v>1.7507574380078988E-3</c:v>
                </c:pt>
                <c:pt idx="7">
                  <c:v>1.7535603227327497E-3</c:v>
                </c:pt>
                <c:pt idx="8">
                  <c:v>1.7544946176410335E-3</c:v>
                </c:pt>
                <c:pt idx="9">
                  <c:v>1.7554289125493172E-3</c:v>
                </c:pt>
                <c:pt idx="10">
                  <c:v>1.7563632074576007E-3</c:v>
                </c:pt>
                <c:pt idx="11">
                  <c:v>1.7572975023658845E-3</c:v>
                </c:pt>
                <c:pt idx="12">
                  <c:v>1.7601003870907355E-3</c:v>
                </c:pt>
                <c:pt idx="13">
                  <c:v>1.7610346819990192E-3</c:v>
                </c:pt>
                <c:pt idx="14">
                  <c:v>1.7619689769073027E-3</c:v>
                </c:pt>
                <c:pt idx="15">
                  <c:v>1.7629032718155864E-3</c:v>
                </c:pt>
                <c:pt idx="16">
                  <c:v>1.7638375667238702E-3</c:v>
                </c:pt>
                <c:pt idx="17">
                  <c:v>1.7666404514487212E-3</c:v>
                </c:pt>
                <c:pt idx="18">
                  <c:v>1.7675747463570047E-3</c:v>
                </c:pt>
                <c:pt idx="19">
                  <c:v>1.7685090412652884E-3</c:v>
                </c:pt>
                <c:pt idx="20">
                  <c:v>1.7694433361735722E-3</c:v>
                </c:pt>
                <c:pt idx="21">
                  <c:v>1.7703776310818557E-3</c:v>
                </c:pt>
                <c:pt idx="22">
                  <c:v>1.7731805158067067E-3</c:v>
                </c:pt>
                <c:pt idx="23">
                  <c:v>1.7741148107149904E-3</c:v>
                </c:pt>
                <c:pt idx="24">
                  <c:v>1.7750491056232741E-3</c:v>
                </c:pt>
                <c:pt idx="25">
                  <c:v>1.7759834005315576E-3</c:v>
                </c:pt>
                <c:pt idx="26">
                  <c:v>1.7769176954398414E-3</c:v>
                </c:pt>
                <c:pt idx="27">
                  <c:v>1.7797205801646924E-3</c:v>
                </c:pt>
                <c:pt idx="28">
                  <c:v>1.7806548750729761E-3</c:v>
                </c:pt>
                <c:pt idx="29">
                  <c:v>1.7815891699812596E-3</c:v>
                </c:pt>
                <c:pt idx="30">
                  <c:v>1.7825234648895434E-3</c:v>
                </c:pt>
                <c:pt idx="31">
                  <c:v>1.7834577597978271E-3</c:v>
                </c:pt>
                <c:pt idx="32">
                  <c:v>1.7862606445226781E-3</c:v>
                </c:pt>
                <c:pt idx="33">
                  <c:v>1.7871949394309616E-3</c:v>
                </c:pt>
                <c:pt idx="34">
                  <c:v>1.7881292343392453E-3</c:v>
                </c:pt>
                <c:pt idx="35">
                  <c:v>1.7890635292475291E-3</c:v>
                </c:pt>
                <c:pt idx="36">
                  <c:v>1.7899978241558126E-3</c:v>
                </c:pt>
                <c:pt idx="37">
                  <c:v>1.7928007088806636E-3</c:v>
                </c:pt>
                <c:pt idx="38">
                  <c:v>1.7937350037889473E-3</c:v>
                </c:pt>
                <c:pt idx="39">
                  <c:v>1.7946692986972311E-3</c:v>
                </c:pt>
                <c:pt idx="40">
                  <c:v>1.7956035936055146E-3</c:v>
                </c:pt>
                <c:pt idx="41">
                  <c:v>1.7965378885137983E-3</c:v>
                </c:pt>
                <c:pt idx="42">
                  <c:v>1.7993407732386493E-3</c:v>
                </c:pt>
                <c:pt idx="43">
                  <c:v>1.800275068146933E-3</c:v>
                </c:pt>
                <c:pt idx="44">
                  <c:v>1.8012093630552165E-3</c:v>
                </c:pt>
                <c:pt idx="45">
                  <c:v>1.8021436579635003E-3</c:v>
                </c:pt>
                <c:pt idx="46">
                  <c:v>1.803077952871784E-3</c:v>
                </c:pt>
                <c:pt idx="47">
                  <c:v>1.805880837596635E-3</c:v>
                </c:pt>
                <c:pt idx="48">
                  <c:v>1.8068151325049185E-3</c:v>
                </c:pt>
                <c:pt idx="49">
                  <c:v>1.8077494274132023E-3</c:v>
                </c:pt>
                <c:pt idx="50">
                  <c:v>1.8086837223214858E-3</c:v>
                </c:pt>
                <c:pt idx="51">
                  <c:v>1.8096180172297695E-3</c:v>
                </c:pt>
                <c:pt idx="52">
                  <c:v>1.8124209019546205E-3</c:v>
                </c:pt>
                <c:pt idx="53">
                  <c:v>1.8133551968629042E-3</c:v>
                </c:pt>
                <c:pt idx="54">
                  <c:v>1.8142894917711878E-3</c:v>
                </c:pt>
                <c:pt idx="55">
                  <c:v>1.8152237866794715E-3</c:v>
                </c:pt>
                <c:pt idx="56">
                  <c:v>1.8161580815877552E-3</c:v>
                </c:pt>
                <c:pt idx="57">
                  <c:v>1.8189609663126062E-3</c:v>
                </c:pt>
                <c:pt idx="58">
                  <c:v>1.8198952612208897E-3</c:v>
                </c:pt>
                <c:pt idx="59">
                  <c:v>1.8208295561291735E-3</c:v>
                </c:pt>
                <c:pt idx="60">
                  <c:v>1.8217638510374572E-3</c:v>
                </c:pt>
                <c:pt idx="61">
                  <c:v>1.8226981459457409E-3</c:v>
                </c:pt>
                <c:pt idx="62">
                  <c:v>1.8255010306705917E-3</c:v>
                </c:pt>
                <c:pt idx="63">
                  <c:v>1.8264353255788754E-3</c:v>
                </c:pt>
                <c:pt idx="64">
                  <c:v>1.8273696204871592E-3</c:v>
                </c:pt>
                <c:pt idx="65">
                  <c:v>1.8283039153954427E-3</c:v>
                </c:pt>
                <c:pt idx="66">
                  <c:v>1.8292382103037264E-3</c:v>
                </c:pt>
                <c:pt idx="67">
                  <c:v>1.8320410950285774E-3</c:v>
                </c:pt>
                <c:pt idx="68">
                  <c:v>1.8329753899368612E-3</c:v>
                </c:pt>
                <c:pt idx="69">
                  <c:v>1.8339096848451447E-3</c:v>
                </c:pt>
                <c:pt idx="70">
                  <c:v>1.8348439797534284E-3</c:v>
                </c:pt>
                <c:pt idx="71">
                  <c:v>1.8357782746617121E-3</c:v>
                </c:pt>
                <c:pt idx="72">
                  <c:v>1.8385811593865631E-3</c:v>
                </c:pt>
                <c:pt idx="73">
                  <c:v>1.8395154542948467E-3</c:v>
                </c:pt>
                <c:pt idx="74">
                  <c:v>1.8404497492031304E-3</c:v>
                </c:pt>
                <c:pt idx="75">
                  <c:v>1.8413840441114141E-3</c:v>
                </c:pt>
                <c:pt idx="76">
                  <c:v>1.8423183390196976E-3</c:v>
                </c:pt>
                <c:pt idx="77">
                  <c:v>1.8451212237445486E-3</c:v>
                </c:pt>
                <c:pt idx="78">
                  <c:v>1.8460555186528324E-3</c:v>
                </c:pt>
                <c:pt idx="79">
                  <c:v>1.8469898135611161E-3</c:v>
                </c:pt>
                <c:pt idx="80">
                  <c:v>1.8479241084693996E-3</c:v>
                </c:pt>
                <c:pt idx="81">
                  <c:v>1.8488584033776834E-3</c:v>
                </c:pt>
                <c:pt idx="82">
                  <c:v>1.8516612881025343E-3</c:v>
                </c:pt>
                <c:pt idx="83">
                  <c:v>1.8525955830108181E-3</c:v>
                </c:pt>
                <c:pt idx="84">
                  <c:v>1.8535298779191016E-3</c:v>
                </c:pt>
                <c:pt idx="85">
                  <c:v>1.8544641728273853E-3</c:v>
                </c:pt>
                <c:pt idx="86">
                  <c:v>1.8553984677356691E-3</c:v>
                </c:pt>
                <c:pt idx="87">
                  <c:v>1.8582013524605201E-3</c:v>
                </c:pt>
                <c:pt idx="88">
                  <c:v>1.8591356473688036E-3</c:v>
                </c:pt>
                <c:pt idx="89">
                  <c:v>1.8600699422770873E-3</c:v>
                </c:pt>
                <c:pt idx="90">
                  <c:v>1.861004237185371E-3</c:v>
                </c:pt>
                <c:pt idx="91">
                  <c:v>1.8619385320936546E-3</c:v>
                </c:pt>
                <c:pt idx="92">
                  <c:v>1.8647414168185055E-3</c:v>
                </c:pt>
                <c:pt idx="93">
                  <c:v>1.8656757117267893E-3</c:v>
                </c:pt>
                <c:pt idx="94">
                  <c:v>1.866610006635073E-3</c:v>
                </c:pt>
                <c:pt idx="95">
                  <c:v>1.8675443015433565E-3</c:v>
                </c:pt>
                <c:pt idx="96">
                  <c:v>1.8684785964516403E-3</c:v>
                </c:pt>
                <c:pt idx="97">
                  <c:v>1.8712814811764913E-3</c:v>
                </c:pt>
                <c:pt idx="98">
                  <c:v>1.872215776084775E-3</c:v>
                </c:pt>
                <c:pt idx="99">
                  <c:v>1.8731500709930585E-3</c:v>
                </c:pt>
                <c:pt idx="100">
                  <c:v>1.8740843659013422E-3</c:v>
                </c:pt>
                <c:pt idx="101">
                  <c:v>1.875018660809626E-3</c:v>
                </c:pt>
                <c:pt idx="102">
                  <c:v>1.877821545534477E-3</c:v>
                </c:pt>
                <c:pt idx="103">
                  <c:v>1.8787558404427605E-3</c:v>
                </c:pt>
                <c:pt idx="104">
                  <c:v>1.8796901353510442E-3</c:v>
                </c:pt>
                <c:pt idx="105">
                  <c:v>1.880624430259328E-3</c:v>
                </c:pt>
                <c:pt idx="106">
                  <c:v>1.8815587251676115E-3</c:v>
                </c:pt>
                <c:pt idx="107">
                  <c:v>1.8843616098924625E-3</c:v>
                </c:pt>
                <c:pt idx="108">
                  <c:v>1.8852959048007462E-3</c:v>
                </c:pt>
                <c:pt idx="109">
                  <c:v>1.8862301997090299E-3</c:v>
                </c:pt>
                <c:pt idx="110">
                  <c:v>1.8871644946173135E-3</c:v>
                </c:pt>
                <c:pt idx="111">
                  <c:v>1.8880987895255972E-3</c:v>
                </c:pt>
                <c:pt idx="112">
                  <c:v>1.8909016742504482E-3</c:v>
                </c:pt>
                <c:pt idx="113">
                  <c:v>1.8918359691587319E-3</c:v>
                </c:pt>
                <c:pt idx="114">
                  <c:v>1.8927702640670154E-3</c:v>
                </c:pt>
                <c:pt idx="115">
                  <c:v>1.8937045589752992E-3</c:v>
                </c:pt>
                <c:pt idx="116">
                  <c:v>1.8946388538835829E-3</c:v>
                </c:pt>
                <c:pt idx="117">
                  <c:v>1.8974417386084339E-3</c:v>
                </c:pt>
                <c:pt idx="118">
                  <c:v>1.8983760335167174E-3</c:v>
                </c:pt>
                <c:pt idx="119">
                  <c:v>1.8993103284250011E-3</c:v>
                </c:pt>
                <c:pt idx="120">
                  <c:v>1.9002446233332849E-3</c:v>
                </c:pt>
                <c:pt idx="121">
                  <c:v>1.9011789182415684E-3</c:v>
                </c:pt>
                <c:pt idx="122">
                  <c:v>1.9039818029664194E-3</c:v>
                </c:pt>
                <c:pt idx="123">
                  <c:v>1.9049160978747031E-3</c:v>
                </c:pt>
                <c:pt idx="124">
                  <c:v>1.9058503927829869E-3</c:v>
                </c:pt>
                <c:pt idx="125">
                  <c:v>1.9067846876912704E-3</c:v>
                </c:pt>
                <c:pt idx="126">
                  <c:v>1.9077189825995541E-3</c:v>
                </c:pt>
                <c:pt idx="127">
                  <c:v>1.9105218673244051E-3</c:v>
                </c:pt>
                <c:pt idx="128">
                  <c:v>1.9114561622326888E-3</c:v>
                </c:pt>
                <c:pt idx="129">
                  <c:v>1.9123904571409724E-3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</c:numCache>
            </c:numRef>
          </c:cat>
          <c:val>
            <c:numRef>
              <c:f>'6MSynthDepo_allScenario'!$BP$6:$BP$135</c:f>
              <c:numCache>
                <c:formatCode>0.0000%</c:formatCode>
                <c:ptCount val="130"/>
                <c:pt idx="0">
                  <c:v>1.8266217598038798E-3</c:v>
                </c:pt>
                <c:pt idx="1">
                  <c:v>1.8264609183674077E-3</c:v>
                </c:pt>
                <c:pt idx="2">
                  <c:v>1.8260156249390095E-3</c:v>
                </c:pt>
                <c:pt idx="3">
                  <c:v>1.8258796040898826E-3</c:v>
                </c:pt>
                <c:pt idx="4">
                  <c:v>1.8257497883875924E-3</c:v>
                </c:pt>
                <c:pt idx="5">
                  <c:v>1.8256261778321387E-3</c:v>
                </c:pt>
                <c:pt idx="6">
                  <c:v>1.8255087724235212E-3</c:v>
                </c:pt>
                <c:pt idx="7">
                  <c:v>1.8251937870786869E-3</c:v>
                </c:pt>
                <c:pt idx="8">
                  <c:v>1.8251012022574146E-3</c:v>
                </c:pt>
                <c:pt idx="9">
                  <c:v>1.825014822582979E-3</c:v>
                </c:pt>
                <c:pt idx="10">
                  <c:v>1.8249346480553798E-3</c:v>
                </c:pt>
                <c:pt idx="11">
                  <c:v>1.8248606786746167E-3</c:v>
                </c:pt>
                <c:pt idx="12">
                  <c:v>1.8246760014133463E-3</c:v>
                </c:pt>
                <c:pt idx="13">
                  <c:v>1.8246268526199291E-3</c:v>
                </c:pt>
                <c:pt idx="14">
                  <c:v>1.8245839089733483E-3</c:v>
                </c:pt>
                <c:pt idx="15">
                  <c:v>1.8245471704736035E-3</c:v>
                </c:pt>
                <c:pt idx="16">
                  <c:v>1.8245166371206952E-3</c:v>
                </c:pt>
                <c:pt idx="17">
                  <c:v>1.8244622679429888E-3</c:v>
                </c:pt>
                <c:pt idx="18">
                  <c:v>1.8244565551774261E-3</c:v>
                </c:pt>
                <c:pt idx="19">
                  <c:v>1.8244570475586998E-3</c:v>
                </c:pt>
                <c:pt idx="20">
                  <c:v>1.8244637450868097E-3</c:v>
                </c:pt>
                <c:pt idx="21">
                  <c:v>1.8244766477617561E-3</c:v>
                </c:pt>
                <c:pt idx="22">
                  <c:v>1.8245525866676137E-3</c:v>
                </c:pt>
                <c:pt idx="23">
                  <c:v>1.8245903099299056E-3</c:v>
                </c:pt>
                <c:pt idx="24">
                  <c:v>1.8246342383390337E-3</c:v>
                </c:pt>
                <c:pt idx="25">
                  <c:v>1.8246843718949985E-3</c:v>
                </c:pt>
                <c:pt idx="26">
                  <c:v>1.8247407105977996E-3</c:v>
                </c:pt>
                <c:pt idx="27">
                  <c:v>1.8249469575872211E-3</c:v>
                </c:pt>
                <c:pt idx="28">
                  <c:v>1.8250281168773676E-3</c:v>
                </c:pt>
                <c:pt idx="29">
                  <c:v>1.8251154813143506E-3</c:v>
                </c:pt>
                <c:pt idx="30">
                  <c:v>1.82520905089817E-3</c:v>
                </c:pt>
                <c:pt idx="31">
                  <c:v>1.8253088256288256E-3</c:v>
                </c:pt>
                <c:pt idx="32">
                  <c:v>1.8256453807018111E-3</c:v>
                </c:pt>
                <c:pt idx="33">
                  <c:v>1.8257699760198122E-3</c:v>
                </c:pt>
                <c:pt idx="34">
                  <c:v>1.8259007764846497E-3</c:v>
                </c:pt>
                <c:pt idx="35">
                  <c:v>1.8260377820963237E-3</c:v>
                </c:pt>
                <c:pt idx="36">
                  <c:v>1.8261809928548339E-3</c:v>
                </c:pt>
                <c:pt idx="37">
                  <c:v>1.8266478560113831E-3</c:v>
                </c:pt>
                <c:pt idx="38">
                  <c:v>1.8268158873572392E-3</c:v>
                </c:pt>
                <c:pt idx="39">
                  <c:v>1.8269901238499315E-3</c:v>
                </c:pt>
                <c:pt idx="40">
                  <c:v>1.8271705654894601E-3</c:v>
                </c:pt>
                <c:pt idx="41">
                  <c:v>1.8273572122758249E-3</c:v>
                </c:pt>
                <c:pt idx="42">
                  <c:v>1.8279543835159381E-3</c:v>
                </c:pt>
                <c:pt idx="43">
                  <c:v>1.8281658508896488E-3</c:v>
                </c:pt>
                <c:pt idx="44">
                  <c:v>1.8283835234101957E-3</c:v>
                </c:pt>
                <c:pt idx="45">
                  <c:v>1.8286074010775788E-3</c:v>
                </c:pt>
                <c:pt idx="46">
                  <c:v>1.8288374838917984E-3</c:v>
                </c:pt>
                <c:pt idx="47">
                  <c:v>1.8295649632154756E-3</c:v>
                </c:pt>
                <c:pt idx="48">
                  <c:v>1.8298198666170408E-3</c:v>
                </c:pt>
                <c:pt idx="49">
                  <c:v>1.8300809751654425E-3</c:v>
                </c:pt>
                <c:pt idx="50">
                  <c:v>1.8303482888606803E-3</c:v>
                </c:pt>
                <c:pt idx="51">
                  <c:v>1.8306218077027544E-3</c:v>
                </c:pt>
                <c:pt idx="52">
                  <c:v>1.8314795951099956E-3</c:v>
                </c:pt>
                <c:pt idx="53">
                  <c:v>1.8317779345394154E-3</c:v>
                </c:pt>
                <c:pt idx="54">
                  <c:v>1.8320824791156715E-3</c:v>
                </c:pt>
                <c:pt idx="55">
                  <c:v>1.8323932288387642E-3</c:v>
                </c:pt>
                <c:pt idx="56">
                  <c:v>1.8327101837086932E-3</c:v>
                </c:pt>
                <c:pt idx="57">
                  <c:v>1.8336982791994981E-3</c:v>
                </c:pt>
                <c:pt idx="58">
                  <c:v>1.8340400546567725E-3</c:v>
                </c:pt>
                <c:pt idx="59">
                  <c:v>1.8343880352608834E-3</c:v>
                </c:pt>
                <c:pt idx="60">
                  <c:v>1.8347422210118307E-3</c:v>
                </c:pt>
                <c:pt idx="61">
                  <c:v>1.8351026119096143E-3</c:v>
                </c:pt>
                <c:pt idx="62">
                  <c:v>1.8362210154839831E-3</c:v>
                </c:pt>
                <c:pt idx="63">
                  <c:v>1.8366062269691121E-3</c:v>
                </c:pt>
                <c:pt idx="64">
                  <c:v>1.8369976436010777E-3</c:v>
                </c:pt>
                <c:pt idx="65">
                  <c:v>1.8373952653798794E-3</c:v>
                </c:pt>
                <c:pt idx="66">
                  <c:v>1.8377990923055176E-3</c:v>
                </c:pt>
                <c:pt idx="67">
                  <c:v>1.8390478039634506E-3</c:v>
                </c:pt>
                <c:pt idx="68">
                  <c:v>1.8394764514764344E-3</c:v>
                </c:pt>
                <c:pt idx="69">
                  <c:v>1.8399113041362544E-3</c:v>
                </c:pt>
                <c:pt idx="70">
                  <c:v>1.8403523619429107E-3</c:v>
                </c:pt>
                <c:pt idx="71">
                  <c:v>1.8407996248964037E-3</c:v>
                </c:pt>
                <c:pt idx="72">
                  <c:v>1.8421786446379007E-3</c:v>
                </c:pt>
                <c:pt idx="73">
                  <c:v>1.842650728178739E-3</c:v>
                </c:pt>
                <c:pt idx="74">
                  <c:v>1.8431290168664139E-3</c:v>
                </c:pt>
                <c:pt idx="75">
                  <c:v>1.8436135107009247E-3</c:v>
                </c:pt>
                <c:pt idx="76">
                  <c:v>1.8441042096822725E-3</c:v>
                </c:pt>
                <c:pt idx="77">
                  <c:v>1.8456135375073332E-3</c:v>
                </c:pt>
                <c:pt idx="78">
                  <c:v>1.8461290570760262E-3</c:v>
                </c:pt>
                <c:pt idx="79">
                  <c:v>1.8466507817915556E-3</c:v>
                </c:pt>
                <c:pt idx="80">
                  <c:v>1.8471787116539214E-3</c:v>
                </c:pt>
                <c:pt idx="81">
                  <c:v>1.8477128466631236E-3</c:v>
                </c:pt>
                <c:pt idx="82">
                  <c:v>1.8493524825717483E-3</c:v>
                </c:pt>
                <c:pt idx="83">
                  <c:v>1.849911438168296E-3</c:v>
                </c:pt>
                <c:pt idx="84">
                  <c:v>1.8504765989116798E-3</c:v>
                </c:pt>
                <c:pt idx="85">
                  <c:v>1.8510479648019005E-3</c:v>
                </c:pt>
                <c:pt idx="86">
                  <c:v>1.8516255358389572E-3</c:v>
                </c:pt>
                <c:pt idx="87">
                  <c:v>1.8533954798311458E-3</c:v>
                </c:pt>
                <c:pt idx="88">
                  <c:v>1.8539978714555479E-3</c:v>
                </c:pt>
                <c:pt idx="89">
                  <c:v>1.8546064682267867E-3</c:v>
                </c:pt>
                <c:pt idx="90">
                  <c:v>1.855221270144862E-3</c:v>
                </c:pt>
                <c:pt idx="91">
                  <c:v>1.8558422772097733E-3</c:v>
                </c:pt>
                <c:pt idx="92">
                  <c:v>1.8577425292855261E-3</c:v>
                </c:pt>
                <c:pt idx="93">
                  <c:v>1.8583883569377828E-3</c:v>
                </c:pt>
                <c:pt idx="94">
                  <c:v>1.8590403897368762E-3</c:v>
                </c:pt>
                <c:pt idx="95">
                  <c:v>1.859698627682806E-3</c:v>
                </c:pt>
                <c:pt idx="96">
                  <c:v>1.8603630707755719E-3</c:v>
                </c:pt>
                <c:pt idx="97">
                  <c:v>1.8623936309348885E-3</c:v>
                </c:pt>
                <c:pt idx="98">
                  <c:v>1.8630828946150002E-3</c:v>
                </c:pt>
                <c:pt idx="99">
                  <c:v>1.8637783634419482E-3</c:v>
                </c:pt>
                <c:pt idx="100">
                  <c:v>1.8644800374157324E-3</c:v>
                </c:pt>
                <c:pt idx="101">
                  <c:v>1.8651879165363532E-3</c:v>
                </c:pt>
                <c:pt idx="102">
                  <c:v>1.8673487847792336E-3</c:v>
                </c:pt>
                <c:pt idx="103">
                  <c:v>1.8680814844871999E-3</c:v>
                </c:pt>
                <c:pt idx="104">
                  <c:v>1.8688203893420026E-3</c:v>
                </c:pt>
                <c:pt idx="105">
                  <c:v>1.8695654993436414E-3</c:v>
                </c:pt>
                <c:pt idx="106">
                  <c:v>1.8703168144921169E-3</c:v>
                </c:pt>
                <c:pt idx="107">
                  <c:v>1.8726079908185614E-3</c:v>
                </c:pt>
                <c:pt idx="108">
                  <c:v>1.8733841265543823E-3</c:v>
                </c:pt>
                <c:pt idx="109">
                  <c:v>1.8741664674370394E-3</c:v>
                </c:pt>
                <c:pt idx="110">
                  <c:v>1.8749550134665332E-3</c:v>
                </c:pt>
                <c:pt idx="111">
                  <c:v>1.8757497646428633E-3</c:v>
                </c:pt>
                <c:pt idx="112">
                  <c:v>1.8781712490528715E-3</c:v>
                </c:pt>
                <c:pt idx="113">
                  <c:v>1.8789908208165472E-3</c:v>
                </c:pt>
                <c:pt idx="114">
                  <c:v>1.8798165977270589E-3</c:v>
                </c:pt>
                <c:pt idx="115">
                  <c:v>1.8806485797844073E-3</c:v>
                </c:pt>
                <c:pt idx="116">
                  <c:v>1.8814867669885919E-3</c:v>
                </c:pt>
                <c:pt idx="117">
                  <c:v>1.8840385594821641E-3</c:v>
                </c:pt>
                <c:pt idx="118">
                  <c:v>1.8849015672736942E-3</c:v>
                </c:pt>
                <c:pt idx="119">
                  <c:v>1.8857707802120609E-3</c:v>
                </c:pt>
                <c:pt idx="120">
                  <c:v>1.8866461982972639E-3</c:v>
                </c:pt>
                <c:pt idx="121">
                  <c:v>1.8875278215293031E-3</c:v>
                </c:pt>
                <c:pt idx="122">
                  <c:v>1.8902099221064393E-3</c:v>
                </c:pt>
                <c:pt idx="123">
                  <c:v>1.8911163659258241E-3</c:v>
                </c:pt>
                <c:pt idx="124">
                  <c:v>1.8920290148920454E-3</c:v>
                </c:pt>
                <c:pt idx="125">
                  <c:v>1.892947869005103E-3</c:v>
                </c:pt>
                <c:pt idx="126">
                  <c:v>1.893872928264997E-3</c:v>
                </c:pt>
                <c:pt idx="127">
                  <c:v>1.8966853369256971E-3</c:v>
                </c:pt>
                <c:pt idx="128">
                  <c:v>1.8976352167729366E-3</c:v>
                </c:pt>
                <c:pt idx="129">
                  <c:v>1.8985913017670125E-3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'6MSynthDepo_allScenario'!$BQ$5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'6MSynthDepo_allScenario'!$BQ$6:$BQ$135</c:f>
              <c:numCache>
                <c:formatCode>0.0000%</c:formatCode>
                <c:ptCount val="130"/>
                <c:pt idx="0">
                  <c:v>1.6112128984961903E-3</c:v>
                </c:pt>
                <c:pt idx="1">
                  <c:v>1.6142446821471286E-3</c:v>
                </c:pt>
                <c:pt idx="2">
                  <c:v>1.6232226629091981E-3</c:v>
                </c:pt>
                <c:pt idx="3">
                  <c:v>1.626176539733852E-3</c:v>
                </c:pt>
                <c:pt idx="4">
                  <c:v>1.6291111941935659E-3</c:v>
                </c:pt>
                <c:pt idx="5">
                  <c:v>1.6320267275177676E-3</c:v>
                </c:pt>
                <c:pt idx="6">
                  <c:v>1.6349232406822742E-3</c:v>
                </c:pt>
                <c:pt idx="7">
                  <c:v>1.6434996651716229E-3</c:v>
                </c:pt>
                <c:pt idx="8">
                  <c:v>1.6463211023832892E-3</c:v>
                </c:pt>
                <c:pt idx="9">
                  <c:v>1.6491240205101718E-3</c:v>
                </c:pt>
                <c:pt idx="10">
                  <c:v>1.6519085190064176E-3</c:v>
                </c:pt>
                <c:pt idx="11">
                  <c:v>1.6546746970725621E-3</c:v>
                </c:pt>
                <c:pt idx="12">
                  <c:v>1.662864296891571E-3</c:v>
                </c:pt>
                <c:pt idx="13">
                  <c:v>1.6655581801704343E-3</c:v>
                </c:pt>
                <c:pt idx="14">
                  <c:v>1.6682342352176993E-3</c:v>
                </c:pt>
                <c:pt idx="15">
                  <c:v>1.6708925597122321E-3</c:v>
                </c:pt>
                <c:pt idx="16">
                  <c:v>1.6735332510792865E-3</c:v>
                </c:pt>
                <c:pt idx="17">
                  <c:v>1.6813504968639442E-3</c:v>
                </c:pt>
                <c:pt idx="18">
                  <c:v>1.6839216249013916E-3</c:v>
                </c:pt>
                <c:pt idx="19">
                  <c:v>1.6864756031334559E-3</c:v>
                </c:pt>
                <c:pt idx="20">
                  <c:v>1.6890125274637213E-3</c:v>
                </c:pt>
                <c:pt idx="21">
                  <c:v>1.6915324935421595E-3</c:v>
                </c:pt>
                <c:pt idx="22">
                  <c:v>1.6989915949620626E-3</c:v>
                </c:pt>
                <c:pt idx="23">
                  <c:v>1.7014446794606849E-3</c:v>
                </c:pt>
                <c:pt idx="24">
                  <c:v>1.7038812801531673E-3</c:v>
                </c:pt>
                <c:pt idx="25">
                  <c:v>1.7063014911678127E-3</c:v>
                </c:pt>
                <c:pt idx="26">
                  <c:v>1.7087054063793117E-3</c:v>
                </c:pt>
                <c:pt idx="27">
                  <c:v>1.7158203121376652E-3</c:v>
                </c:pt>
                <c:pt idx="28">
                  <c:v>1.7181599778112544E-3</c:v>
                </c:pt>
                <c:pt idx="29">
                  <c:v>1.7204838132509766E-3</c:v>
                </c:pt>
                <c:pt idx="30">
                  <c:v>1.7227919108098529E-3</c:v>
                </c:pt>
                <c:pt idx="31">
                  <c:v>1.7250843625872922E-3</c:v>
                </c:pt>
                <c:pt idx="32">
                  <c:v>1.7318687604209078E-3</c:v>
                </c:pt>
                <c:pt idx="33">
                  <c:v>1.7340995449944595E-3</c:v>
                </c:pt>
                <c:pt idx="34">
                  <c:v>1.7363151404794458E-3</c:v>
                </c:pt>
                <c:pt idx="35">
                  <c:v>1.7385156374536059E-3</c:v>
                </c:pt>
                <c:pt idx="36">
                  <c:v>1.740701126241068E-3</c:v>
                </c:pt>
                <c:pt idx="37">
                  <c:v>1.7471684429203652E-3</c:v>
                </c:pt>
                <c:pt idx="38">
                  <c:v>1.7492947971300772E-3</c:v>
                </c:pt>
                <c:pt idx="39">
                  <c:v>1.7514065909695544E-3</c:v>
                </c:pt>
                <c:pt idx="40">
                  <c:v>1.7535039132412541E-3</c:v>
                </c:pt>
                <c:pt idx="41">
                  <c:v>1.7555868524940232E-3</c:v>
                </c:pt>
                <c:pt idx="42">
                  <c:v>1.7617502538230297E-3</c:v>
                </c:pt>
                <c:pt idx="43">
                  <c:v>1.7637765414163027E-3</c:v>
                </c:pt>
                <c:pt idx="44">
                  <c:v>1.7657888849307E-3</c:v>
                </c:pt>
                <c:pt idx="45">
                  <c:v>1.7677873713933981E-3</c:v>
                </c:pt>
                <c:pt idx="46">
                  <c:v>1.7697720875779613E-3</c:v>
                </c:pt>
                <c:pt idx="47">
                  <c:v>1.7756444783943134E-3</c:v>
                </c:pt>
                <c:pt idx="48">
                  <c:v>1.7775749761297498E-3</c:v>
                </c:pt>
                <c:pt idx="49">
                  <c:v>1.7794921336506992E-3</c:v>
                </c:pt>
                <c:pt idx="50">
                  <c:v>1.7813960362090561E-3</c:v>
                </c:pt>
                <c:pt idx="51">
                  <c:v>1.7832867688031037E-3</c:v>
                </c:pt>
                <c:pt idx="52">
                  <c:v>1.7888807929780435E-3</c:v>
                </c:pt>
                <c:pt idx="53">
                  <c:v>1.7907196906254493E-3</c:v>
                </c:pt>
                <c:pt idx="54">
                  <c:v>1.7925458394957856E-3</c:v>
                </c:pt>
                <c:pt idx="55">
                  <c:v>1.7943593230656651E-3</c:v>
                </c:pt>
                <c:pt idx="56">
                  <c:v>1.7961602245580891E-3</c:v>
                </c:pt>
                <c:pt idx="57">
                  <c:v>1.8014882649964683E-3</c:v>
                </c:pt>
                <c:pt idx="58">
                  <c:v>1.8032396653368515E-3</c:v>
                </c:pt>
                <c:pt idx="59">
                  <c:v>1.8049788959106112E-3</c:v>
                </c:pt>
                <c:pt idx="60">
                  <c:v>1.8067060384190793E-3</c:v>
                </c:pt>
                <c:pt idx="61">
                  <c:v>1.8084211743099753E-3</c:v>
                </c:pt>
                <c:pt idx="62">
                  <c:v>1.8134953529502522E-3</c:v>
                </c:pt>
                <c:pt idx="63">
                  <c:v>1.8151632717758237E-3</c:v>
                </c:pt>
                <c:pt idx="64">
                  <c:v>1.816819587418247E-3</c:v>
                </c:pt>
                <c:pt idx="65">
                  <c:v>1.8184643798035722E-3</c:v>
                </c:pt>
                <c:pt idx="66">
                  <c:v>1.8200977286042372E-3</c:v>
                </c:pt>
                <c:pt idx="67">
                  <c:v>1.8249299064184786E-3</c:v>
                </c:pt>
                <c:pt idx="68">
                  <c:v>1.8265182725326517E-3</c:v>
                </c:pt>
                <c:pt idx="69">
                  <c:v>1.8280955896201809E-3</c:v>
                </c:pt>
                <c:pt idx="70">
                  <c:v>1.8296619358318346E-3</c:v>
                </c:pt>
                <c:pt idx="71">
                  <c:v>1.8312173890647691E-3</c:v>
                </c:pt>
                <c:pt idx="72">
                  <c:v>1.8358191660586491E-3</c:v>
                </c:pt>
                <c:pt idx="73">
                  <c:v>1.83733182127604E-3</c:v>
                </c:pt>
                <c:pt idx="74">
                  <c:v>1.8388339691963198E-3</c:v>
                </c:pt>
                <c:pt idx="75">
                  <c:v>1.8403256861949757E-3</c:v>
                </c:pt>
                <c:pt idx="76">
                  <c:v>1.8418070483938824E-3</c:v>
                </c:pt>
                <c:pt idx="77">
                  <c:v>1.8461897636066825E-3</c:v>
                </c:pt>
                <c:pt idx="78">
                  <c:v>1.8476304627531098E-3</c:v>
                </c:pt>
                <c:pt idx="79">
                  <c:v>1.8490611839049882E-3</c:v>
                </c:pt>
                <c:pt idx="80">
                  <c:v>1.8504820016625226E-3</c:v>
                </c:pt>
                <c:pt idx="81">
                  <c:v>1.8518929903723065E-3</c:v>
                </c:pt>
                <c:pt idx="82">
                  <c:v>1.8560677218769173E-3</c:v>
                </c:pt>
                <c:pt idx="83">
                  <c:v>1.8574401327894018E-3</c:v>
                </c:pt>
                <c:pt idx="84">
                  <c:v>1.8588030825829284E-3</c:v>
                </c:pt>
                <c:pt idx="85">
                  <c:v>1.8601566440824206E-3</c:v>
                </c:pt>
                <c:pt idx="86">
                  <c:v>1.8615008898591903E-3</c:v>
                </c:pt>
                <c:pt idx="87">
                  <c:v>1.8654784547621089E-3</c:v>
                </c:pt>
                <c:pt idx="88">
                  <c:v>1.8667861582888742E-3</c:v>
                </c:pt>
                <c:pt idx="89">
                  <c:v>1.8680849051453017E-3</c:v>
                </c:pt>
                <c:pt idx="90">
                  <c:v>1.8693747663810333E-3</c:v>
                </c:pt>
                <c:pt idx="91">
                  <c:v>1.8706558127920992E-3</c:v>
                </c:pt>
                <c:pt idx="92">
                  <c:v>1.8744467672334303E-3</c:v>
                </c:pt>
                <c:pt idx="93">
                  <c:v>1.8756932572339031E-3</c:v>
                </c:pt>
                <c:pt idx="94">
                  <c:v>1.8769312825856869E-3</c:v>
                </c:pt>
                <c:pt idx="95">
                  <c:v>1.8781609125631418E-3</c:v>
                </c:pt>
                <c:pt idx="96">
                  <c:v>1.879382216187017E-3</c:v>
                </c:pt>
                <c:pt idx="97">
                  <c:v>1.8829968553404745E-3</c:v>
                </c:pt>
                <c:pt idx="98">
                  <c:v>1.8841855386852835E-3</c:v>
                </c:pt>
                <c:pt idx="99">
                  <c:v>1.8853662369760814E-3</c:v>
                </c:pt>
                <c:pt idx="100">
                  <c:v>1.8865390177119465E-3</c:v>
                </c:pt>
                <c:pt idx="101">
                  <c:v>1.887703948138347E-3</c:v>
                </c:pt>
                <c:pt idx="102">
                  <c:v>1.8911523062112511E-3</c:v>
                </c:pt>
                <c:pt idx="103">
                  <c:v>1.8922865027822279E-3</c:v>
                </c:pt>
                <c:pt idx="104">
                  <c:v>1.8934131814669004E-3</c:v>
                </c:pt>
                <c:pt idx="105">
                  <c:v>1.8945324079890653E-3</c:v>
                </c:pt>
                <c:pt idx="106">
                  <c:v>1.8956442478189086E-3</c:v>
                </c:pt>
                <c:pt idx="107">
                  <c:v>1.8989360980521878E-3</c:v>
                </c:pt>
                <c:pt idx="108">
                  <c:v>1.9000190407423663E-3</c:v>
                </c:pt>
                <c:pt idx="109">
                  <c:v>1.9010949202869763E-3</c:v>
                </c:pt>
                <c:pt idx="110">
                  <c:v>1.902163800634533E-3</c:v>
                </c:pt>
                <c:pt idx="111">
                  <c:v>1.9032257454799403E-3</c:v>
                </c:pt>
                <c:pt idx="112">
                  <c:v>1.9063706001481316E-3</c:v>
                </c:pt>
                <c:pt idx="113">
                  <c:v>1.9074054348617486E-3</c:v>
                </c:pt>
                <c:pt idx="114">
                  <c:v>1.9084336487435614E-3</c:v>
                </c:pt>
                <c:pt idx="115">
                  <c:v>1.9094553039668042E-3</c:v>
                </c:pt>
                <c:pt idx="116">
                  <c:v>1.9104704624510994E-3</c:v>
                </c:pt>
                <c:pt idx="117">
                  <c:v>1.9134775728623461E-3</c:v>
                </c:pt>
                <c:pt idx="118">
                  <c:v>1.9144673585148411E-3</c:v>
                </c:pt>
                <c:pt idx="119">
                  <c:v>1.915450953222325E-3</c:v>
                </c:pt>
                <c:pt idx="120">
                  <c:v>1.9164284173827512E-3</c:v>
                </c:pt>
                <c:pt idx="121">
                  <c:v>1.9173998111404597E-3</c:v>
                </c:pt>
                <c:pt idx="122">
                  <c:v>1.9202781676365146E-3</c:v>
                </c:pt>
                <c:pt idx="123">
                  <c:v>1.9212258761545288E-3</c:v>
                </c:pt>
                <c:pt idx="124">
                  <c:v>1.9221678111873552E-3</c:v>
                </c:pt>
                <c:pt idx="125">
                  <c:v>1.923104031357664E-3</c:v>
                </c:pt>
                <c:pt idx="126">
                  <c:v>1.924034595034515E-3</c:v>
                </c:pt>
                <c:pt idx="127">
                  <c:v>1.9267929269907373E-3</c:v>
                </c:pt>
                <c:pt idx="128">
                  <c:v>1.9277014433121157E-3</c:v>
                </c:pt>
                <c:pt idx="129">
                  <c:v>1.928604591181157E-3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598208"/>
        <c:axId val="188410496"/>
      </c:lineChart>
      <c:dateAx>
        <c:axId val="1715982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8841049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18841049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1598208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'3MSynthDepo_used'!$G$4</c:f>
              <c:numCache>
                <c:formatCode>d\-mmm\-yy</c:formatCode>
                <c:ptCount val="1"/>
                <c:pt idx="0">
                  <c:v>42138</c:v>
                </c:pt>
              </c:numCache>
            </c:numRef>
          </c:xVal>
          <c:yVal>
            <c:numRef>
              <c:f>'3MSynthDepo_used'!$K$4</c:f>
              <c:numCache>
                <c:formatCode>0.0000%</c:formatCode>
                <c:ptCount val="1"/>
                <c:pt idx="0">
                  <c:v>1.1354993869580972E-3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'3MSynthDepo_used'!$G$5:$G$10</c:f>
              <c:numCache>
                <c:formatCode>d\-mmm\-yy</c:formatCode>
                <c:ptCount val="6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</c:numCache>
            </c:numRef>
          </c:xVal>
          <c:yVal>
            <c:numRef>
              <c:f>'3MSynthDepo_used'!$K$5:$K$10</c:f>
              <c:numCache>
                <c:formatCode>0.0000%</c:formatCode>
                <c:ptCount val="6"/>
                <c:pt idx="0">
                  <c:v>1.1562298961403101E-3</c:v>
                </c:pt>
                <c:pt idx="1">
                  <c:v>1.14327948192148E-3</c:v>
                </c:pt>
                <c:pt idx="2">
                  <c:v>1.1512932207328171E-3</c:v>
                </c:pt>
                <c:pt idx="3">
                  <c:v>1.1968313710886554E-3</c:v>
                </c:pt>
                <c:pt idx="4">
                  <c:v>1.2611657844433951E-3</c:v>
                </c:pt>
                <c:pt idx="5">
                  <c:v>1.2675576725911023E-3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'3MSynthDepo_used'!$S$2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'3MSynthDepo_used'!$R$3:$R$262</c:f>
              <c:numCache>
                <c:formatCode>d\-mmm\-yy</c:formatCode>
                <c:ptCount val="26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</c:numCache>
            </c:numRef>
          </c:xVal>
          <c:yVal>
            <c:numRef>
              <c:f>'3MSynthDepo_used'!$S$3:$S$262</c:f>
              <c:numCache>
                <c:formatCode>0.0000%</c:formatCode>
                <c:ptCount val="260"/>
                <c:pt idx="0">
                  <c:v>1.0492273628900305E-3</c:v>
                </c:pt>
                <c:pt idx="1">
                  <c:v>1.0511009676544083E-3</c:v>
                </c:pt>
                <c:pt idx="2">
                  <c:v>1.0566704449881837E-3</c:v>
                </c:pt>
                <c:pt idx="3">
                  <c:v>1.0585098932149363E-3</c:v>
                </c:pt>
                <c:pt idx="4">
                  <c:v>1.0603408533659364E-3</c:v>
                </c:pt>
                <c:pt idx="5">
                  <c:v>1.0621633458503996E-3</c:v>
                </c:pt>
                <c:pt idx="6">
                  <c:v>1.0639773910704209E-3</c:v>
                </c:pt>
                <c:pt idx="7">
                  <c:v>1.0693690470579243E-3</c:v>
                </c:pt>
                <c:pt idx="8">
                  <c:v>1.071149507098659E-3</c:v>
                </c:pt>
                <c:pt idx="9">
                  <c:v>1.0729216217785797E-3</c:v>
                </c:pt>
                <c:pt idx="10">
                  <c:v>1.074685411457045E-3</c:v>
                </c:pt>
                <c:pt idx="11">
                  <c:v>1.0764408964862903E-3</c:v>
                </c:pt>
                <c:pt idx="12">
                  <c:v>1.081657727094219E-3</c:v>
                </c:pt>
                <c:pt idx="13">
                  <c:v>1.0833801969064847E-3</c:v>
                </c:pt>
                <c:pt idx="14">
                  <c:v>1.0850944637238683E-3</c:v>
                </c:pt>
                <c:pt idx="15">
                  <c:v>1.0868005478558687E-3</c:v>
                </c:pt>
                <c:pt idx="16">
                  <c:v>1.0884984696048635E-3</c:v>
                </c:pt>
                <c:pt idx="17">
                  <c:v>1.0935434634707455E-3</c:v>
                </c:pt>
                <c:pt idx="18">
                  <c:v>1.0952089385690364E-3</c:v>
                </c:pt>
                <c:pt idx="19">
                  <c:v>1.0968663526893679E-3</c:v>
                </c:pt>
                <c:pt idx="20">
                  <c:v>1.098515726091381E-3</c:v>
                </c:pt>
                <c:pt idx="21">
                  <c:v>1.1001570790275951E-3</c:v>
                </c:pt>
                <c:pt idx="22">
                  <c:v>1.1050332174597916E-3</c:v>
                </c:pt>
                <c:pt idx="23">
                  <c:v>1.1066426909155447E-3</c:v>
                </c:pt>
                <c:pt idx="24">
                  <c:v>1.1082442450612538E-3</c:v>
                </c:pt>
                <c:pt idx="25">
                  <c:v>1.1098379001067019E-3</c:v>
                </c:pt>
                <c:pt idx="26">
                  <c:v>1.1114236762545492E-3</c:v>
                </c:pt>
                <c:pt idx="27">
                  <c:v>1.1161339332322537E-3</c:v>
                </c:pt>
                <c:pt idx="28">
                  <c:v>1.1176883956738517E-3</c:v>
                </c:pt>
                <c:pt idx="29">
                  <c:v>1.1192350801243122E-3</c:v>
                </c:pt>
                <c:pt idx="30">
                  <c:v>1.120774006743561E-3</c:v>
                </c:pt>
                <c:pt idx="31">
                  <c:v>1.1223051956843993E-3</c:v>
                </c:pt>
                <c:pt idx="32">
                  <c:v>1.126852537857638E-3</c:v>
                </c:pt>
                <c:pt idx="33">
                  <c:v>1.1283529774704067E-3</c:v>
                </c:pt>
                <c:pt idx="34">
                  <c:v>1.1298457800619373E-3</c:v>
                </c:pt>
                <c:pt idx="35">
                  <c:v>1.1313309657422965E-3</c:v>
                </c:pt>
                <c:pt idx="36">
                  <c:v>1.1328085546144285E-3</c:v>
                </c:pt>
                <c:pt idx="37">
                  <c:v>1.1371959413040598E-3</c:v>
                </c:pt>
                <c:pt idx="38">
                  <c:v>1.1386433438302693E-3</c:v>
                </c:pt>
                <c:pt idx="39">
                  <c:v>1.1400832499561318E-3</c:v>
                </c:pt>
                <c:pt idx="40">
                  <c:v>1.1415156797418562E-3</c:v>
                </c:pt>
                <c:pt idx="41">
                  <c:v>1.1429406532405277E-3</c:v>
                </c:pt>
                <c:pt idx="42">
                  <c:v>1.147171036438243E-3</c:v>
                </c:pt>
                <c:pt idx="43">
                  <c:v>1.1485663851771078E-3</c:v>
                </c:pt>
                <c:pt idx="44">
                  <c:v>1.1499543777875093E-3</c:v>
                </c:pt>
                <c:pt idx="45">
                  <c:v>1.1513350342797967E-3</c:v>
                </c:pt>
                <c:pt idx="46">
                  <c:v>1.1527083746571984E-3</c:v>
                </c:pt>
                <c:pt idx="47">
                  <c:v>1.1567846990255212E-3</c:v>
                </c:pt>
                <c:pt idx="48">
                  <c:v>1.1581289748332005E-3</c:v>
                </c:pt>
                <c:pt idx="49">
                  <c:v>1.1594660344352908E-3</c:v>
                </c:pt>
                <c:pt idx="50">
                  <c:v>1.1607958977922848E-3</c:v>
                </c:pt>
                <c:pt idx="51">
                  <c:v>1.1621185848575512E-3</c:v>
                </c:pt>
                <c:pt idx="52">
                  <c:v>1.1660437877298378E-3</c:v>
                </c:pt>
                <c:pt idx="53">
                  <c:v>1.1673379690194331E-3</c:v>
                </c:pt>
                <c:pt idx="54">
                  <c:v>1.1686250736773075E-3</c:v>
                </c:pt>
                <c:pt idx="55">
                  <c:v>1.1699051216140944E-3</c:v>
                </c:pt>
                <c:pt idx="56">
                  <c:v>1.1711781327333047E-3</c:v>
                </c:pt>
                <c:pt idx="57">
                  <c:v>1.1749551441137436E-3</c:v>
                </c:pt>
                <c:pt idx="58">
                  <c:v>1.1762002068553027E-3</c:v>
                </c:pt>
                <c:pt idx="59">
                  <c:v>1.1774383321900002E-3</c:v>
                </c:pt>
                <c:pt idx="60">
                  <c:v>1.1786695399786111E-3</c:v>
                </c:pt>
                <c:pt idx="61">
                  <c:v>1.1798938500747877E-3</c:v>
                </c:pt>
                <c:pt idx="62">
                  <c:v>1.1835255926384005E-3</c:v>
                </c:pt>
                <c:pt idx="63">
                  <c:v>1.1847225103589144E-3</c:v>
                </c:pt>
                <c:pt idx="64">
                  <c:v>1.1859126295484181E-3</c:v>
                </c:pt>
                <c:pt idx="65">
                  <c:v>1.187095970017828E-3</c:v>
                </c:pt>
                <c:pt idx="66">
                  <c:v>1.1882725515709386E-3</c:v>
                </c:pt>
                <c:pt idx="67">
                  <c:v>1.1917619406635784E-3</c:v>
                </c:pt>
                <c:pt idx="68">
                  <c:v>1.1929116844469824E-3</c:v>
                </c:pt>
                <c:pt idx="69">
                  <c:v>1.1940547682262193E-3</c:v>
                </c:pt>
                <c:pt idx="70">
                  <c:v>1.1951912117623476E-3</c:v>
                </c:pt>
                <c:pt idx="71">
                  <c:v>1.1963210348093036E-3</c:v>
                </c:pt>
                <c:pt idx="72">
                  <c:v>1.199670978447657E-3</c:v>
                </c:pt>
                <c:pt idx="73">
                  <c:v>1.2007745169348306E-3</c:v>
                </c:pt>
                <c:pt idx="74">
                  <c:v>1.2018715335956724E-3</c:v>
                </c:pt>
                <c:pt idx="75">
                  <c:v>1.2029620481413825E-3</c:v>
                </c:pt>
                <c:pt idx="76">
                  <c:v>1.2040460802760394E-3</c:v>
                </c:pt>
                <c:pt idx="77">
                  <c:v>1.207259479147625E-3</c:v>
                </c:pt>
                <c:pt idx="78">
                  <c:v>1.208317778536392E-3</c:v>
                </c:pt>
                <c:pt idx="79">
                  <c:v>1.2093696939276543E-3</c:v>
                </c:pt>
                <c:pt idx="80">
                  <c:v>1.2104152449827542E-3</c:v>
                </c:pt>
                <c:pt idx="81">
                  <c:v>1.2114544513559112E-3</c:v>
                </c:pt>
                <c:pt idx="82">
                  <c:v>1.2145341988190801E-3</c:v>
                </c:pt>
                <c:pt idx="83">
                  <c:v>1.2155482228642079E-3</c:v>
                </c:pt>
                <c:pt idx="84">
                  <c:v>1.2165560003916506E-3</c:v>
                </c:pt>
                <c:pt idx="85">
                  <c:v>1.2175575510128918E-3</c:v>
                </c:pt>
                <c:pt idx="86">
                  <c:v>1.2185528943322933E-3</c:v>
                </c:pt>
                <c:pt idx="87">
                  <c:v>1.2215018764162298E-3</c:v>
                </c:pt>
                <c:pt idx="88">
                  <c:v>1.2224725864294302E-3</c:v>
                </c:pt>
                <c:pt idx="89">
                  <c:v>1.2234371870557573E-3</c:v>
                </c:pt>
                <c:pt idx="90">
                  <c:v>1.2243956978568364E-3</c:v>
                </c:pt>
                <c:pt idx="91">
                  <c:v>1.22534813838717E-3</c:v>
                </c:pt>
                <c:pt idx="92">
                  <c:v>1.2281692337918896E-3</c:v>
                </c:pt>
                <c:pt idx="93">
                  <c:v>1.2290975886418195E-3</c:v>
                </c:pt>
                <c:pt idx="94">
                  <c:v>1.2300199708866789E-3</c:v>
                </c:pt>
                <c:pt idx="95">
                  <c:v>1.2309364000382358E-3</c:v>
                </c:pt>
                <c:pt idx="96">
                  <c:v>1.231846895601134E-3</c:v>
                </c:pt>
                <c:pt idx="97">
                  <c:v>1.2345429756974861E-3</c:v>
                </c:pt>
                <c:pt idx="98">
                  <c:v>1.2354299318097449E-3</c:v>
                </c:pt>
                <c:pt idx="99">
                  <c:v>1.2363110517497292E-3</c:v>
                </c:pt>
                <c:pt idx="100">
                  <c:v>1.2371863549793477E-3</c:v>
                </c:pt>
                <c:pt idx="101">
                  <c:v>1.2380558609533872E-3</c:v>
                </c:pt>
                <c:pt idx="102">
                  <c:v>1.2406297897830532E-3</c:v>
                </c:pt>
                <c:pt idx="103">
                  <c:v>1.241476301140186E-3</c:v>
                </c:pt>
                <c:pt idx="104">
                  <c:v>1.2423171124088313E-3</c:v>
                </c:pt>
                <c:pt idx="105">
                  <c:v>1.2431522430010407E-3</c:v>
                </c:pt>
                <c:pt idx="106">
                  <c:v>1.2439817123217416E-3</c:v>
                </c:pt>
                <c:pt idx="107">
                  <c:v>1.2464363465972347E-3</c:v>
                </c:pt>
                <c:pt idx="108">
                  <c:v>1.24724336473873E-3</c:v>
                </c:pt>
                <c:pt idx="109">
                  <c:v>1.2480448185265176E-3</c:v>
                </c:pt>
                <c:pt idx="110">
                  <c:v>1.2488407273227901E-3</c:v>
                </c:pt>
                <c:pt idx="111">
                  <c:v>1.2496311104826172E-3</c:v>
                </c:pt>
                <c:pt idx="112">
                  <c:v>1.2519692995872839E-3</c:v>
                </c:pt>
                <c:pt idx="113">
                  <c:v>1.2527377736095745E-3</c:v>
                </c:pt>
                <c:pt idx="114">
                  <c:v>1.253500818663929E-3</c:v>
                </c:pt>
                <c:pt idx="115">
                  <c:v>1.2542584540626816E-3</c:v>
                </c:pt>
                <c:pt idx="116">
                  <c:v>1.2550106991110438E-3</c:v>
                </c:pt>
                <c:pt idx="117">
                  <c:v>1.2572352850990635E-3</c:v>
                </c:pt>
                <c:pt idx="118">
                  <c:v>1.2579661616555261E-3</c:v>
                </c:pt>
                <c:pt idx="119">
                  <c:v>1.2586917442808166E-3</c:v>
                </c:pt>
                <c:pt idx="120">
                  <c:v>1.2594120522374103E-3</c:v>
                </c:pt>
                <c:pt idx="121">
                  <c:v>1.2601271047806607E-3</c:v>
                </c:pt>
                <c:pt idx="122">
                  <c:v>1.2622409223770443E-3</c:v>
                </c:pt>
                <c:pt idx="123">
                  <c:v>1.2629351456780004E-3</c:v>
                </c:pt>
                <c:pt idx="124">
                  <c:v>1.26362420973554E-3</c:v>
                </c:pt>
                <c:pt idx="125">
                  <c:v>1.2643081337622801E-3</c:v>
                </c:pt>
                <c:pt idx="126">
                  <c:v>1.2649869369637159E-3</c:v>
                </c:pt>
                <c:pt idx="127">
                  <c:v>1.2669928135643071E-3</c:v>
                </c:pt>
                <c:pt idx="128">
                  <c:v>1.267651325377022E-3</c:v>
                </c:pt>
                <c:pt idx="129">
                  <c:v>1.2683048122850678E-3</c:v>
                </c:pt>
                <c:pt idx="130">
                  <c:v>1.2689532934512041E-3</c:v>
                </c:pt>
                <c:pt idx="131">
                  <c:v>1.2695967880310668E-3</c:v>
                </c:pt>
                <c:pt idx="132">
                  <c:v>1.2714975437025421E-3</c:v>
                </c:pt>
                <c:pt idx="133">
                  <c:v>1.2721212833512251E-3</c:v>
                </c:pt>
                <c:pt idx="134">
                  <c:v>1.2727401320849789E-3</c:v>
                </c:pt>
                <c:pt idx="135">
                  <c:v>1.2733541090167043E-3</c:v>
                </c:pt>
                <c:pt idx="136">
                  <c:v>1.2739632332521794E-3</c:v>
                </c:pt>
                <c:pt idx="137">
                  <c:v>1.2757616807320478E-3</c:v>
                </c:pt>
                <c:pt idx="138">
                  <c:v>1.276351585097853E-3</c:v>
                </c:pt>
                <c:pt idx="139">
                  <c:v>1.2769367321894608E-3</c:v>
                </c:pt>
                <c:pt idx="140">
                  <c:v>1.2775171410699128E-3</c:v>
                </c:pt>
                <c:pt idx="141">
                  <c:v>1.2780928307951302E-3</c:v>
                </c:pt>
                <c:pt idx="142">
                  <c:v>1.2797917754917329E-3</c:v>
                </c:pt>
                <c:pt idx="143">
                  <c:v>1.2803487790127579E-3</c:v>
                </c:pt>
                <c:pt idx="144">
                  <c:v>1.2809011585513089E-3</c:v>
                </c:pt>
                <c:pt idx="145">
                  <c:v>1.2814489331205703E-3</c:v>
                </c:pt>
                <c:pt idx="146">
                  <c:v>1.2819921217266039E-3</c:v>
                </c:pt>
                <c:pt idx="147">
                  <c:v>1.2835943617191148E-3</c:v>
                </c:pt>
                <c:pt idx="148">
                  <c:v>1.2841193963904016E-3</c:v>
                </c:pt>
                <c:pt idx="149">
                  <c:v>1.2846399400219303E-3</c:v>
                </c:pt>
                <c:pt idx="150">
                  <c:v>1.2851560115770266E-3</c:v>
                </c:pt>
                <c:pt idx="151">
                  <c:v>1.2856676300118943E-3</c:v>
                </c:pt>
                <c:pt idx="152">
                  <c:v>1.2871759560503201E-3</c:v>
                </c:pt>
                <c:pt idx="153">
                  <c:v>1.287669951423855E-3</c:v>
                </c:pt>
                <c:pt idx="154">
                  <c:v>1.2881595883513395E-3</c:v>
                </c:pt>
                <c:pt idx="155">
                  <c:v>1.2886448857462409E-3</c:v>
                </c:pt>
                <c:pt idx="156">
                  <c:v>1.2891258625149049E-3</c:v>
                </c:pt>
                <c:pt idx="157">
                  <c:v>1.2905430580200843E-3</c:v>
                </c:pt>
                <c:pt idx="158">
                  <c:v>1.2910069412047976E-3</c:v>
                </c:pt>
                <c:pt idx="159">
                  <c:v>1.2914665981881603E-3</c:v>
                </c:pt>
                <c:pt idx="160">
                  <c:v>1.2919220478337815E-3</c:v>
                </c:pt>
                <c:pt idx="161">
                  <c:v>1.293702150061753E-3</c:v>
                </c:pt>
                <c:pt idx="162">
                  <c:v>1.2941368457235192E-3</c:v>
                </c:pt>
                <c:pt idx="163">
                  <c:v>1.2945674470796265E-3</c:v>
                </c:pt>
                <c:pt idx="164">
                  <c:v>1.2949939729438263E-3</c:v>
                </c:pt>
                <c:pt idx="165">
                  <c:v>1.2966596975072804E-3</c:v>
                </c:pt>
                <c:pt idx="166">
                  <c:v>1.2970661278689181E-3</c:v>
                </c:pt>
                <c:pt idx="167">
                  <c:v>1.2974685954715809E-3</c:v>
                </c:pt>
                <c:pt idx="168">
                  <c:v>1.2978671190791615E-3</c:v>
                </c:pt>
                <c:pt idx="169">
                  <c:v>1.2982617174484303E-3</c:v>
                </c:pt>
                <c:pt idx="170">
                  <c:v>1.2994221485872293E-3</c:v>
                </c:pt>
                <c:pt idx="171">
                  <c:v>1.2998012334285017E-3</c:v>
                </c:pt>
                <c:pt idx="172">
                  <c:v>1.3001764867084751E-3</c:v>
                </c:pt>
                <c:pt idx="173">
                  <c:v>1.3005479271411835E-3</c:v>
                </c:pt>
                <c:pt idx="174">
                  <c:v>1.3009155734335391E-3</c:v>
                </c:pt>
                <c:pt idx="175">
                  <c:v>1.301995934430773E-3</c:v>
                </c:pt>
                <c:pt idx="176">
                  <c:v>1.3023485910883868E-3</c:v>
                </c:pt>
                <c:pt idx="177">
                  <c:v>1.3026975470333696E-3</c:v>
                </c:pt>
                <c:pt idx="178">
                  <c:v>1.3030428209298967E-3</c:v>
                </c:pt>
                <c:pt idx="179">
                  <c:v>1.3033844314350232E-3</c:v>
                </c:pt>
                <c:pt idx="180">
                  <c:v>1.3043874690656929E-3</c:v>
                </c:pt>
                <c:pt idx="181">
                  <c:v>1.3047146124332998E-3</c:v>
                </c:pt>
                <c:pt idx="182">
                  <c:v>1.3050381855879349E-3</c:v>
                </c:pt>
                <c:pt idx="183">
                  <c:v>1.3053582071439168E-3</c:v>
                </c:pt>
                <c:pt idx="184">
                  <c:v>1.3056746957084407E-3</c:v>
                </c:pt>
                <c:pt idx="185">
                  <c:v>1.3066031494183804E-3</c:v>
                </c:pt>
                <c:pt idx="186">
                  <c:v>1.306905691946575E-3</c:v>
                </c:pt>
                <c:pt idx="187">
                  <c:v>1.3072047944124505E-3</c:v>
                </c:pt>
                <c:pt idx="188">
                  <c:v>1.307500475380466E-3</c:v>
                </c:pt>
                <c:pt idx="189">
                  <c:v>1.3077927534079587E-3</c:v>
                </c:pt>
                <c:pt idx="190">
                  <c:v>1.3086493553138353E-3</c:v>
                </c:pt>
                <c:pt idx="191">
                  <c:v>1.3089282070101579E-3</c:v>
                </c:pt>
                <c:pt idx="192">
                  <c:v>1.3092037484458048E-3</c:v>
                </c:pt>
                <c:pt idx="193">
                  <c:v>1.3094759981353778E-3</c:v>
                </c:pt>
                <c:pt idx="194">
                  <c:v>1.3097449745863557E-3</c:v>
                </c:pt>
                <c:pt idx="195">
                  <c:v>1.3105324494756675E-3</c:v>
                </c:pt>
                <c:pt idx="196">
                  <c:v>1.3107885179046012E-3</c:v>
                </c:pt>
                <c:pt idx="197">
                  <c:v>1.3110414055254955E-3</c:v>
                </c:pt>
                <c:pt idx="198">
                  <c:v>1.3112911308030936E-3</c:v>
                </c:pt>
                <c:pt idx="199">
                  <c:v>1.3115377121950158E-3</c:v>
                </c:pt>
                <c:pt idx="200">
                  <c:v>1.3122587775260949E-3</c:v>
                </c:pt>
                <c:pt idx="201">
                  <c:v>1.3124929678090681E-3</c:v>
                </c:pt>
                <c:pt idx="202">
                  <c:v>1.31272410638763E-3</c:v>
                </c:pt>
                <c:pt idx="203">
                  <c:v>1.3129522116766647E-3</c:v>
                </c:pt>
                <c:pt idx="204">
                  <c:v>1.3131773020839356E-3</c:v>
                </c:pt>
                <c:pt idx="205">
                  <c:v>1.3138346679859459E-3</c:v>
                </c:pt>
                <c:pt idx="206">
                  <c:v>1.3140478828013308E-3</c:v>
                </c:pt>
                <c:pt idx="207">
                  <c:v>1.3142581746669239E-3</c:v>
                </c:pt>
                <c:pt idx="208">
                  <c:v>1.3144655619477521E-3</c:v>
                </c:pt>
                <c:pt idx="209">
                  <c:v>1.3146700630017195E-3</c:v>
                </c:pt>
                <c:pt idx="210">
                  <c:v>1.315266432274658E-3</c:v>
                </c:pt>
                <c:pt idx="211">
                  <c:v>1.3154595718577701E-3</c:v>
                </c:pt>
                <c:pt idx="212">
                  <c:v>1.3156499168967028E-3</c:v>
                </c:pt>
                <c:pt idx="213">
                  <c:v>1.3158374857066243E-3</c:v>
                </c:pt>
                <c:pt idx="214">
                  <c:v>1.3160222965955808E-3</c:v>
                </c:pt>
                <c:pt idx="215">
                  <c:v>1.3165603647102757E-3</c:v>
                </c:pt>
                <c:pt idx="216">
                  <c:v>1.3167343268533761E-3</c:v>
                </c:pt>
                <c:pt idx="217">
                  <c:v>1.3169056225089011E-3</c:v>
                </c:pt>
                <c:pt idx="218">
                  <c:v>1.3170742699421605E-3</c:v>
                </c:pt>
                <c:pt idx="219">
                  <c:v>1.3172402874113425E-3</c:v>
                </c:pt>
                <c:pt idx="220">
                  <c:v>1.317722742509456E-3</c:v>
                </c:pt>
                <c:pt idx="221">
                  <c:v>1.3178784225617492E-3</c:v>
                </c:pt>
                <c:pt idx="222">
                  <c:v>1.3180315638340627E-3</c:v>
                </c:pt>
                <c:pt idx="223">
                  <c:v>1.318182184541849E-3</c:v>
                </c:pt>
                <c:pt idx="224">
                  <c:v>1.3188981166550975E-3</c:v>
                </c:pt>
                <c:pt idx="225">
                  <c:v>1.3190339961013406E-3</c:v>
                </c:pt>
                <c:pt idx="226">
                  <c:v>1.3191674822917861E-3</c:v>
                </c:pt>
                <c:pt idx="227">
                  <c:v>1.3192985933849048E-3</c:v>
                </c:pt>
                <c:pt idx="228">
                  <c:v>1.3196778575581701E-3</c:v>
                </c:pt>
                <c:pt idx="229">
                  <c:v>1.3197996497042389E-3</c:v>
                </c:pt>
                <c:pt idx="230">
                  <c:v>1.3199191574384966E-3</c:v>
                </c:pt>
                <c:pt idx="231">
                  <c:v>1.3200363988766783E-3</c:v>
                </c:pt>
                <c:pt idx="232">
                  <c:v>1.3201513921273968E-3</c:v>
                </c:pt>
                <c:pt idx="233">
                  <c:v>1.3204830637340609E-3</c:v>
                </c:pt>
                <c:pt idx="234">
                  <c:v>1.3205892451786014E-3</c:v>
                </c:pt>
                <c:pt idx="235">
                  <c:v>1.3206932688719026E-3</c:v>
                </c:pt>
                <c:pt idx="236">
                  <c:v>1.3207951528798416E-3</c:v>
                </c:pt>
                <c:pt idx="237">
                  <c:v>1.3208949152611735E-3</c:v>
                </c:pt>
                <c:pt idx="238">
                  <c:v>1.3211816531262276E-3</c:v>
                </c:pt>
                <c:pt idx="239">
                  <c:v>1.3212731094462203E-3</c:v>
                </c:pt>
                <c:pt idx="240">
                  <c:v>1.3213625343265385E-3</c:v>
                </c:pt>
                <c:pt idx="241">
                  <c:v>1.3214499457832004E-3</c:v>
                </c:pt>
                <c:pt idx="242">
                  <c:v>1.3215353618251024E-3</c:v>
                </c:pt>
                <c:pt idx="243">
                  <c:v>1.3217798174443708E-3</c:v>
                </c:pt>
                <c:pt idx="244">
                  <c:v>1.3218574317737416E-3</c:v>
                </c:pt>
                <c:pt idx="245">
                  <c:v>1.3219331406259941E-3</c:v>
                </c:pt>
                <c:pt idx="246">
                  <c:v>1.3220069619672885E-3</c:v>
                </c:pt>
                <c:pt idx="247">
                  <c:v>1.3220789137566628E-3</c:v>
                </c:pt>
                <c:pt idx="248">
                  <c:v>1.3222837312968018E-3</c:v>
                </c:pt>
                <c:pt idx="249">
                  <c:v>1.3223483843264204E-3</c:v>
                </c:pt>
                <c:pt idx="250">
                  <c:v>1.3224112574924687E-3</c:v>
                </c:pt>
                <c:pt idx="251">
                  <c:v>1.3224723687112493E-3</c:v>
                </c:pt>
                <c:pt idx="252">
                  <c:v>1.3225317358919405E-3</c:v>
                </c:pt>
                <c:pt idx="253">
                  <c:v>1.32269955219044E-3</c:v>
                </c:pt>
                <c:pt idx="254">
                  <c:v>1.3227521221681204E-3</c:v>
                </c:pt>
                <c:pt idx="255">
                  <c:v>1.3228030375467706E-3</c:v>
                </c:pt>
                <c:pt idx="256">
                  <c:v>1.3228523161928343E-3</c:v>
                </c:pt>
                <c:pt idx="257">
                  <c:v>1.3228999759656334E-3</c:v>
                </c:pt>
                <c:pt idx="258">
                  <c:v>1.3230334205308143E-3</c:v>
                </c:pt>
                <c:pt idx="259">
                  <c:v>1.3230747832613141E-3</c:v>
                </c:pt>
              </c:numCache>
            </c:numRef>
          </c:yVal>
          <c:smooth val="0"/>
        </c:ser>
        <c:ser>
          <c:idx val="2"/>
          <c:order val="3"/>
          <c:tx>
            <c:v>Basis Futures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'3MSynthDepo_used'!$G$11:$G$15</c:f>
              <c:numCache>
                <c:formatCode>d\-mmm\-yy</c:formatCode>
                <c:ptCount val="5"/>
                <c:pt idx="0">
                  <c:v>42144</c:v>
                </c:pt>
                <c:pt idx="1">
                  <c:v>42172</c:v>
                </c:pt>
                <c:pt idx="2">
                  <c:v>42263</c:v>
                </c:pt>
                <c:pt idx="3">
                  <c:v>42354</c:v>
                </c:pt>
                <c:pt idx="4">
                  <c:v>42445</c:v>
                </c:pt>
              </c:numCache>
            </c:numRef>
          </c:xVal>
          <c:yVal>
            <c:numRef>
              <c:f>'3MSynthDepo_used'!$K$11:$K$15</c:f>
              <c:numCache>
                <c:formatCode>0.0000%</c:formatCode>
                <c:ptCount val="5"/>
                <c:pt idx="0">
                  <c:v>1.010278581567673E-3</c:v>
                </c:pt>
                <c:pt idx="1">
                  <c:v>1.1889159582210733E-3</c:v>
                </c:pt>
                <c:pt idx="2">
                  <c:v>1.1790656597291187E-3</c:v>
                </c:pt>
                <c:pt idx="3">
                  <c:v>1.2924355730062642E-3</c:v>
                </c:pt>
                <c:pt idx="4">
                  <c:v>1.3348526095320191E-3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03968"/>
        <c:axId val="171242624"/>
      </c:scatterChart>
      <c:valAx>
        <c:axId val="1712039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71242624"/>
        <c:crosses val="autoZero"/>
        <c:crossBetween val="midCat"/>
      </c:valAx>
      <c:valAx>
        <c:axId val="17124262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120396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4733816551076812"/>
          <c:h val="0.226390096141831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'3MSynthDepo_used'!$R$3:$R$69</c:f>
              <c:numCache>
                <c:formatCode>d\-mmm\-yy</c:formatCode>
                <c:ptCount val="67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xVal>
          <c:yVal>
            <c:numRef>
              <c:f>'3MSynthDepo_used'!$U$3:$U$69</c:f>
              <c:numCache>
                <c:formatCode>0.0000%</c:formatCode>
                <c:ptCount val="67"/>
                <c:pt idx="0">
                  <c:v>9.5541665911505404E-4</c:v>
                </c:pt>
                <c:pt idx="1">
                  <c:v>9.5770524955117095E-4</c:v>
                </c:pt>
                <c:pt idx="2">
                  <c:v>9.6451393409474726E-4</c:v>
                </c:pt>
                <c:pt idx="3">
                  <c:v>9.667645358969304E-4</c:v>
                </c:pt>
                <c:pt idx="4">
                  <c:v>9.6900569242976066E-4</c:v>
                </c:pt>
                <c:pt idx="5">
                  <c:v>9.712374244346451E-4</c:v>
                </c:pt>
                <c:pt idx="6">
                  <c:v>9.7345975264586781E-4</c:v>
                </c:pt>
                <c:pt idx="7">
                  <c:v>9.8007052175357046E-4</c:v>
                </c:pt>
                <c:pt idx="8">
                  <c:v>9.8225544199053859E-4</c:v>
                </c:pt>
                <c:pt idx="9">
                  <c:v>9.8443106199842703E-4</c:v>
                </c:pt>
                <c:pt idx="10">
                  <c:v>9.8659740246878538E-4</c:v>
                </c:pt>
                <c:pt idx="11">
                  <c:v>9.8875448408603916E-4</c:v>
                </c:pt>
                <c:pt idx="12">
                  <c:v>9.9517038255659759E-4</c:v>
                </c:pt>
                <c:pt idx="13">
                  <c:v>9.9729063546324308E-4</c:v>
                </c:pt>
                <c:pt idx="14">
                  <c:v>9.9940173283207586E-4</c:v>
                </c:pt>
                <c:pt idx="15">
                  <c:v>1.0015036953047857E-3</c:v>
                </c:pt>
                <c:pt idx="16">
                  <c:v>1.0035965435159411E-3</c:v>
                </c:pt>
                <c:pt idx="17">
                  <c:v>1.0098206088189155E-3</c:v>
                </c:pt>
                <c:pt idx="18">
                  <c:v>1.011877206187077E-3</c:v>
                </c:pt>
                <c:pt idx="19">
                  <c:v>1.0139247923596831E-3</c:v>
                </c:pt>
                <c:pt idx="20">
                  <c:v>1.0159633879285668E-3</c:v>
                </c:pt>
                <c:pt idx="21">
                  <c:v>1.0179930134784363E-3</c:v>
                </c:pt>
                <c:pt idx="22">
                  <c:v>1.0240282757542215E-3</c:v>
                </c:pt>
                <c:pt idx="23">
                  <c:v>1.0260222269326805E-3</c:v>
                </c:pt>
                <c:pt idx="24">
                  <c:v>1.0280073109088345E-3</c:v>
                </c:pt>
                <c:pt idx="25">
                  <c:v>1.0299835482246575E-3</c:v>
                </c:pt>
                <c:pt idx="26">
                  <c:v>1.0319509594150001E-3</c:v>
                </c:pt>
                <c:pt idx="27">
                  <c:v>1.0378004414748215E-3</c:v>
                </c:pt>
                <c:pt idx="28">
                  <c:v>1.0397327533693042E-3</c:v>
                </c:pt>
                <c:pt idx="29">
                  <c:v>1.041656341705724E-3</c:v>
                </c:pt>
                <c:pt idx="30">
                  <c:v>1.0435712269761964E-3</c:v>
                </c:pt>
                <c:pt idx="31">
                  <c:v>1.0454774296657142E-3</c:v>
                </c:pt>
                <c:pt idx="32">
                  <c:v>1.0511441469916308E-3</c:v>
                </c:pt>
                <c:pt idx="33">
                  <c:v>1.0530158240648077E-3</c:v>
                </c:pt>
                <c:pt idx="34">
                  <c:v>1.0548789208751554E-3</c:v>
                </c:pt>
                <c:pt idx="35">
                  <c:v>1.056733457864932E-3</c:v>
                </c:pt>
                <c:pt idx="36">
                  <c:v>1.0585794554692711E-3</c:v>
                </c:pt>
                <c:pt idx="37">
                  <c:v>1.0640664162141738E-3</c:v>
                </c:pt>
                <c:pt idx="38">
                  <c:v>1.0658784604856593E-3</c:v>
                </c:pt>
                <c:pt idx="39">
                  <c:v>1.0676820674405418E-3</c:v>
                </c:pt>
                <c:pt idx="40">
                  <c:v>1.0694772574712202E-3</c:v>
                </c:pt>
                <c:pt idx="41">
                  <c:v>1.0712640509629714E-3</c:v>
                </c:pt>
                <c:pt idx="42">
                  <c:v>1.0765742559505841E-3</c:v>
                </c:pt>
                <c:pt idx="43">
                  <c:v>1.0783276669969367E-3</c:v>
                </c:pt>
                <c:pt idx="44">
                  <c:v>1.0800727833239045E-3</c:v>
                </c:pt>
                <c:pt idx="45">
                  <c:v>1.0818096252740283E-3</c:v>
                </c:pt>
                <c:pt idx="46">
                  <c:v>1.083538213182726E-3</c:v>
                </c:pt>
                <c:pt idx="47">
                  <c:v>1.0886746559076051E-3</c:v>
                </c:pt>
                <c:pt idx="48">
                  <c:v>1.0903704308623278E-3</c:v>
                </c:pt>
                <c:pt idx="49">
                  <c:v>1.0920580533458754E-3</c:v>
                </c:pt>
                <c:pt idx="50">
                  <c:v>1.0937375436509309E-3</c:v>
                </c:pt>
                <c:pt idx="51">
                  <c:v>1.0954089220630544E-3</c:v>
                </c:pt>
                <c:pt idx="52">
                  <c:v>1.1003745886905886E-3</c:v>
                </c:pt>
                <c:pt idx="53">
                  <c:v>1.1020137222441278E-3</c:v>
                </c:pt>
                <c:pt idx="54">
                  <c:v>1.1036448452256948E-3</c:v>
                </c:pt>
                <c:pt idx="55">
                  <c:v>1.1052679778781132E-3</c:v>
                </c:pt>
                <c:pt idx="56">
                  <c:v>1.1068831404370853E-3</c:v>
                </c:pt>
                <c:pt idx="57">
                  <c:v>1.1116810098034953E-3</c:v>
                </c:pt>
                <c:pt idx="58">
                  <c:v>1.1132644942032429E-3</c:v>
                </c:pt>
                <c:pt idx="59">
                  <c:v>1.1148401095812117E-3</c:v>
                </c:pt>
                <c:pt idx="60">
                  <c:v>1.1164078761303686E-3</c:v>
                </c:pt>
                <c:pt idx="61">
                  <c:v>1.1179678140365561E-3</c:v>
                </c:pt>
                <c:pt idx="62">
                  <c:v>1.1226008576488964E-3</c:v>
                </c:pt>
                <c:pt idx="63">
                  <c:v>1.1241296826991873E-3</c:v>
                </c:pt>
                <c:pt idx="64">
                  <c:v>1.125650779928886E-3</c:v>
                </c:pt>
                <c:pt idx="65">
                  <c:v>1.1271641694811001E-3</c:v>
                </c:pt>
                <c:pt idx="66">
                  <c:v>1.1286698714918146E-3</c:v>
                </c:pt>
              </c:numCache>
            </c:numRef>
          </c:yVal>
          <c:smooth val="0"/>
        </c:ser>
        <c:ser>
          <c:idx val="0"/>
          <c:order val="1"/>
          <c:marker>
            <c:symbol val="none"/>
          </c:marker>
          <c:xVal>
            <c:numRef>
              <c:f>'3MSynthDepo_used'!$R$70:$R$262</c:f>
              <c:numCache>
                <c:formatCode>d\-mmm\-yy</c:formatCode>
                <c:ptCount val="1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42254</c:v>
                </c:pt>
                <c:pt idx="16">
                  <c:v>42255</c:v>
                </c:pt>
                <c:pt idx="17">
                  <c:v>42256</c:v>
                </c:pt>
                <c:pt idx="18">
                  <c:v>42257</c:v>
                </c:pt>
                <c:pt idx="19">
                  <c:v>42258</c:v>
                </c:pt>
                <c:pt idx="20">
                  <c:v>42261</c:v>
                </c:pt>
                <c:pt idx="21">
                  <c:v>42262</c:v>
                </c:pt>
                <c:pt idx="22">
                  <c:v>42263</c:v>
                </c:pt>
                <c:pt idx="23">
                  <c:v>42264</c:v>
                </c:pt>
                <c:pt idx="24">
                  <c:v>42265</c:v>
                </c:pt>
                <c:pt idx="25">
                  <c:v>42268</c:v>
                </c:pt>
                <c:pt idx="26">
                  <c:v>42269</c:v>
                </c:pt>
                <c:pt idx="27">
                  <c:v>42270</c:v>
                </c:pt>
                <c:pt idx="28">
                  <c:v>42271</c:v>
                </c:pt>
                <c:pt idx="29">
                  <c:v>42272</c:v>
                </c:pt>
                <c:pt idx="30">
                  <c:v>42275</c:v>
                </c:pt>
                <c:pt idx="31">
                  <c:v>42276</c:v>
                </c:pt>
                <c:pt idx="32">
                  <c:v>42277</c:v>
                </c:pt>
                <c:pt idx="33">
                  <c:v>42278</c:v>
                </c:pt>
                <c:pt idx="34">
                  <c:v>42279</c:v>
                </c:pt>
                <c:pt idx="35">
                  <c:v>42282</c:v>
                </c:pt>
                <c:pt idx="36">
                  <c:v>42283</c:v>
                </c:pt>
                <c:pt idx="37">
                  <c:v>42284</c:v>
                </c:pt>
                <c:pt idx="38">
                  <c:v>42285</c:v>
                </c:pt>
                <c:pt idx="39">
                  <c:v>42286</c:v>
                </c:pt>
                <c:pt idx="40">
                  <c:v>42289</c:v>
                </c:pt>
                <c:pt idx="41">
                  <c:v>42290</c:v>
                </c:pt>
                <c:pt idx="42">
                  <c:v>42291</c:v>
                </c:pt>
                <c:pt idx="43">
                  <c:v>42292</c:v>
                </c:pt>
                <c:pt idx="44">
                  <c:v>42293</c:v>
                </c:pt>
                <c:pt idx="45">
                  <c:v>42296</c:v>
                </c:pt>
                <c:pt idx="46">
                  <c:v>42297</c:v>
                </c:pt>
                <c:pt idx="47">
                  <c:v>42298</c:v>
                </c:pt>
                <c:pt idx="48">
                  <c:v>42299</c:v>
                </c:pt>
                <c:pt idx="49">
                  <c:v>42300</c:v>
                </c:pt>
                <c:pt idx="50">
                  <c:v>42303</c:v>
                </c:pt>
                <c:pt idx="51">
                  <c:v>42304</c:v>
                </c:pt>
                <c:pt idx="52">
                  <c:v>42305</c:v>
                </c:pt>
                <c:pt idx="53">
                  <c:v>42306</c:v>
                </c:pt>
                <c:pt idx="54">
                  <c:v>42307</c:v>
                </c:pt>
                <c:pt idx="55">
                  <c:v>42310</c:v>
                </c:pt>
                <c:pt idx="56">
                  <c:v>42311</c:v>
                </c:pt>
                <c:pt idx="57">
                  <c:v>42312</c:v>
                </c:pt>
                <c:pt idx="58">
                  <c:v>42313</c:v>
                </c:pt>
                <c:pt idx="59">
                  <c:v>42314</c:v>
                </c:pt>
                <c:pt idx="60">
                  <c:v>42317</c:v>
                </c:pt>
                <c:pt idx="61">
                  <c:v>42318</c:v>
                </c:pt>
                <c:pt idx="62">
                  <c:v>42319</c:v>
                </c:pt>
                <c:pt idx="63">
                  <c:v>42320</c:v>
                </c:pt>
                <c:pt idx="64">
                  <c:v>42321</c:v>
                </c:pt>
                <c:pt idx="65">
                  <c:v>42324</c:v>
                </c:pt>
                <c:pt idx="66">
                  <c:v>42325</c:v>
                </c:pt>
                <c:pt idx="67">
                  <c:v>42326</c:v>
                </c:pt>
                <c:pt idx="68">
                  <c:v>42327</c:v>
                </c:pt>
                <c:pt idx="69">
                  <c:v>42328</c:v>
                </c:pt>
                <c:pt idx="70">
                  <c:v>42331</c:v>
                </c:pt>
                <c:pt idx="71">
                  <c:v>42332</c:v>
                </c:pt>
                <c:pt idx="72">
                  <c:v>42333</c:v>
                </c:pt>
                <c:pt idx="73">
                  <c:v>42334</c:v>
                </c:pt>
                <c:pt idx="74">
                  <c:v>42335</c:v>
                </c:pt>
                <c:pt idx="75">
                  <c:v>42338</c:v>
                </c:pt>
                <c:pt idx="76">
                  <c:v>42339</c:v>
                </c:pt>
                <c:pt idx="77">
                  <c:v>42340</c:v>
                </c:pt>
                <c:pt idx="78">
                  <c:v>42341</c:v>
                </c:pt>
                <c:pt idx="79">
                  <c:v>42342</c:v>
                </c:pt>
                <c:pt idx="80">
                  <c:v>42345</c:v>
                </c:pt>
                <c:pt idx="81">
                  <c:v>42346</c:v>
                </c:pt>
                <c:pt idx="82">
                  <c:v>42347</c:v>
                </c:pt>
                <c:pt idx="83">
                  <c:v>42348</c:v>
                </c:pt>
                <c:pt idx="84">
                  <c:v>42349</c:v>
                </c:pt>
                <c:pt idx="85">
                  <c:v>42352</c:v>
                </c:pt>
                <c:pt idx="86">
                  <c:v>42353</c:v>
                </c:pt>
                <c:pt idx="87">
                  <c:v>42354</c:v>
                </c:pt>
                <c:pt idx="88">
                  <c:v>42355</c:v>
                </c:pt>
                <c:pt idx="89">
                  <c:v>42356</c:v>
                </c:pt>
                <c:pt idx="90">
                  <c:v>42359</c:v>
                </c:pt>
                <c:pt idx="91">
                  <c:v>42360</c:v>
                </c:pt>
                <c:pt idx="92">
                  <c:v>42361</c:v>
                </c:pt>
                <c:pt idx="93">
                  <c:v>42362</c:v>
                </c:pt>
                <c:pt idx="94">
                  <c:v>42366</c:v>
                </c:pt>
                <c:pt idx="95">
                  <c:v>42367</c:v>
                </c:pt>
                <c:pt idx="96">
                  <c:v>42368</c:v>
                </c:pt>
                <c:pt idx="97">
                  <c:v>42369</c:v>
                </c:pt>
                <c:pt idx="98">
                  <c:v>42373</c:v>
                </c:pt>
                <c:pt idx="99">
                  <c:v>42374</c:v>
                </c:pt>
                <c:pt idx="100">
                  <c:v>42375</c:v>
                </c:pt>
                <c:pt idx="101">
                  <c:v>42376</c:v>
                </c:pt>
                <c:pt idx="102">
                  <c:v>42377</c:v>
                </c:pt>
                <c:pt idx="103">
                  <c:v>42380</c:v>
                </c:pt>
                <c:pt idx="104">
                  <c:v>42381</c:v>
                </c:pt>
                <c:pt idx="105">
                  <c:v>42382</c:v>
                </c:pt>
                <c:pt idx="106">
                  <c:v>42383</c:v>
                </c:pt>
                <c:pt idx="107">
                  <c:v>42384</c:v>
                </c:pt>
                <c:pt idx="108">
                  <c:v>42387</c:v>
                </c:pt>
                <c:pt idx="109">
                  <c:v>42388</c:v>
                </c:pt>
                <c:pt idx="110">
                  <c:v>42389</c:v>
                </c:pt>
                <c:pt idx="111">
                  <c:v>42390</c:v>
                </c:pt>
                <c:pt idx="112">
                  <c:v>42391</c:v>
                </c:pt>
                <c:pt idx="113">
                  <c:v>42394</c:v>
                </c:pt>
                <c:pt idx="114">
                  <c:v>42395</c:v>
                </c:pt>
                <c:pt idx="115">
                  <c:v>42396</c:v>
                </c:pt>
                <c:pt idx="116">
                  <c:v>42397</c:v>
                </c:pt>
                <c:pt idx="117">
                  <c:v>42398</c:v>
                </c:pt>
                <c:pt idx="118">
                  <c:v>42401</c:v>
                </c:pt>
                <c:pt idx="119">
                  <c:v>42402</c:v>
                </c:pt>
                <c:pt idx="120">
                  <c:v>42403</c:v>
                </c:pt>
                <c:pt idx="121">
                  <c:v>42404</c:v>
                </c:pt>
                <c:pt idx="122">
                  <c:v>42405</c:v>
                </c:pt>
                <c:pt idx="123">
                  <c:v>42408</c:v>
                </c:pt>
                <c:pt idx="124">
                  <c:v>42409</c:v>
                </c:pt>
                <c:pt idx="125">
                  <c:v>42410</c:v>
                </c:pt>
                <c:pt idx="126">
                  <c:v>42411</c:v>
                </c:pt>
                <c:pt idx="127">
                  <c:v>42412</c:v>
                </c:pt>
                <c:pt idx="128">
                  <c:v>42415</c:v>
                </c:pt>
                <c:pt idx="129">
                  <c:v>42416</c:v>
                </c:pt>
                <c:pt idx="130">
                  <c:v>42417</c:v>
                </c:pt>
                <c:pt idx="131">
                  <c:v>42418</c:v>
                </c:pt>
                <c:pt idx="132">
                  <c:v>42419</c:v>
                </c:pt>
                <c:pt idx="133">
                  <c:v>42422</c:v>
                </c:pt>
                <c:pt idx="134">
                  <c:v>42423</c:v>
                </c:pt>
                <c:pt idx="135">
                  <c:v>42424</c:v>
                </c:pt>
                <c:pt idx="136">
                  <c:v>42425</c:v>
                </c:pt>
                <c:pt idx="137">
                  <c:v>42426</c:v>
                </c:pt>
                <c:pt idx="138">
                  <c:v>42429</c:v>
                </c:pt>
                <c:pt idx="139">
                  <c:v>42430</c:v>
                </c:pt>
                <c:pt idx="140">
                  <c:v>42431</c:v>
                </c:pt>
                <c:pt idx="141">
                  <c:v>42432</c:v>
                </c:pt>
                <c:pt idx="142">
                  <c:v>42433</c:v>
                </c:pt>
                <c:pt idx="143">
                  <c:v>42436</c:v>
                </c:pt>
                <c:pt idx="144">
                  <c:v>42437</c:v>
                </c:pt>
                <c:pt idx="145">
                  <c:v>42438</c:v>
                </c:pt>
                <c:pt idx="146">
                  <c:v>42439</c:v>
                </c:pt>
                <c:pt idx="147">
                  <c:v>42440</c:v>
                </c:pt>
                <c:pt idx="148">
                  <c:v>42443</c:v>
                </c:pt>
                <c:pt idx="149">
                  <c:v>42444</c:v>
                </c:pt>
                <c:pt idx="150">
                  <c:v>42445</c:v>
                </c:pt>
                <c:pt idx="151">
                  <c:v>42446</c:v>
                </c:pt>
                <c:pt idx="152">
                  <c:v>42447</c:v>
                </c:pt>
                <c:pt idx="153">
                  <c:v>42450</c:v>
                </c:pt>
                <c:pt idx="154">
                  <c:v>42451</c:v>
                </c:pt>
                <c:pt idx="155">
                  <c:v>42452</c:v>
                </c:pt>
                <c:pt idx="156">
                  <c:v>42453</c:v>
                </c:pt>
                <c:pt idx="157">
                  <c:v>42458</c:v>
                </c:pt>
                <c:pt idx="158">
                  <c:v>42459</c:v>
                </c:pt>
                <c:pt idx="159">
                  <c:v>42460</c:v>
                </c:pt>
                <c:pt idx="160">
                  <c:v>42461</c:v>
                </c:pt>
                <c:pt idx="161">
                  <c:v>42464</c:v>
                </c:pt>
                <c:pt idx="162">
                  <c:v>42465</c:v>
                </c:pt>
                <c:pt idx="163">
                  <c:v>42466</c:v>
                </c:pt>
                <c:pt idx="164">
                  <c:v>42467</c:v>
                </c:pt>
                <c:pt idx="165">
                  <c:v>42468</c:v>
                </c:pt>
                <c:pt idx="166">
                  <c:v>42471</c:v>
                </c:pt>
                <c:pt idx="167">
                  <c:v>42472</c:v>
                </c:pt>
                <c:pt idx="168">
                  <c:v>42473</c:v>
                </c:pt>
                <c:pt idx="169">
                  <c:v>42474</c:v>
                </c:pt>
                <c:pt idx="170">
                  <c:v>42475</c:v>
                </c:pt>
                <c:pt idx="171">
                  <c:v>42478</c:v>
                </c:pt>
                <c:pt idx="172">
                  <c:v>42479</c:v>
                </c:pt>
                <c:pt idx="173">
                  <c:v>42480</c:v>
                </c:pt>
                <c:pt idx="174">
                  <c:v>42481</c:v>
                </c:pt>
                <c:pt idx="175">
                  <c:v>42482</c:v>
                </c:pt>
                <c:pt idx="176">
                  <c:v>42485</c:v>
                </c:pt>
                <c:pt idx="177">
                  <c:v>42486</c:v>
                </c:pt>
                <c:pt idx="178">
                  <c:v>42487</c:v>
                </c:pt>
                <c:pt idx="179">
                  <c:v>42488</c:v>
                </c:pt>
                <c:pt idx="180">
                  <c:v>42489</c:v>
                </c:pt>
                <c:pt idx="181">
                  <c:v>42492</c:v>
                </c:pt>
                <c:pt idx="182">
                  <c:v>42493</c:v>
                </c:pt>
                <c:pt idx="183">
                  <c:v>42494</c:v>
                </c:pt>
                <c:pt idx="184">
                  <c:v>42495</c:v>
                </c:pt>
                <c:pt idx="185">
                  <c:v>42496</c:v>
                </c:pt>
                <c:pt idx="186">
                  <c:v>42499</c:v>
                </c:pt>
                <c:pt idx="187">
                  <c:v>42500</c:v>
                </c:pt>
                <c:pt idx="188">
                  <c:v>42501</c:v>
                </c:pt>
                <c:pt idx="189">
                  <c:v>42502</c:v>
                </c:pt>
                <c:pt idx="190">
                  <c:v>42503</c:v>
                </c:pt>
                <c:pt idx="191">
                  <c:v>42506</c:v>
                </c:pt>
                <c:pt idx="192">
                  <c:v>42507</c:v>
                </c:pt>
              </c:numCache>
            </c:numRef>
          </c:xVal>
          <c:yVal>
            <c:numRef>
              <c:f>'3MSynthDepo_used'!$U$70:$U$262</c:f>
              <c:numCache>
                <c:formatCode>0.0000%</c:formatCode>
                <c:ptCount val="193"/>
                <c:pt idx="0">
                  <c:v>1.1331410535279712E-3</c:v>
                </c:pt>
                <c:pt idx="1">
                  <c:v>1.1346162065900851E-3</c:v>
                </c:pt>
                <c:pt idx="2">
                  <c:v>1.136083772683785E-3</c:v>
                </c:pt>
                <c:pt idx="3">
                  <c:v>1.13754377190232E-3</c:v>
                </c:pt>
                <c:pt idx="4">
                  <c:v>1.138996224331817E-3</c:v>
                </c:pt>
                <c:pt idx="5">
                  <c:v>1.1433085016405089E-3</c:v>
                </c:pt>
                <c:pt idx="6">
                  <c:v>1.1447309676326691E-3</c:v>
                </c:pt>
                <c:pt idx="7">
                  <c:v>1.1461459871595857E-3</c:v>
                </c:pt>
                <c:pt idx="8">
                  <c:v>1.1475535802646494E-3</c:v>
                </c:pt>
                <c:pt idx="9">
                  <c:v>1.1489537669841291E-3</c:v>
                </c:pt>
                <c:pt idx="10">
                  <c:v>1.1531100890849071E-3</c:v>
                </c:pt>
                <c:pt idx="11">
                  <c:v>1.1544808504822817E-3</c:v>
                </c:pt>
                <c:pt idx="12">
                  <c:v>1.1558443055685751E-3</c:v>
                </c:pt>
                <c:pt idx="13">
                  <c:v>1.1572004743373194E-3</c:v>
                </c:pt>
                <c:pt idx="14">
                  <c:v>1.1585493767749251E-3</c:v>
                </c:pt>
                <c:pt idx="15">
                  <c:v>1.1625526858581735E-3</c:v>
                </c:pt>
                <c:pt idx="16">
                  <c:v>1.1638727226928743E-3</c:v>
                </c:pt>
                <c:pt idx="17">
                  <c:v>1.1651855930216479E-3</c:v>
                </c:pt>
                <c:pt idx="18">
                  <c:v>1.166491316788169E-3</c:v>
                </c:pt>
                <c:pt idx="19">
                  <c:v>1.1677899139289889E-3</c:v>
                </c:pt>
                <c:pt idx="20">
                  <c:v>1.1716431448559243E-3</c:v>
                </c:pt>
                <c:pt idx="21">
                  <c:v>1.1729134347170074E-3</c:v>
                </c:pt>
                <c:pt idx="22">
                  <c:v>1.1741766975283099E-3</c:v>
                </c:pt>
                <c:pt idx="23">
                  <c:v>1.175432953183648E-3</c:v>
                </c:pt>
                <c:pt idx="24">
                  <c:v>1.1766822215697145E-3</c:v>
                </c:pt>
                <c:pt idx="25">
                  <c:v>1.1803883018723853E-3</c:v>
                </c:pt>
                <c:pt idx="26">
                  <c:v>1.1816098199058508E-3</c:v>
                </c:pt>
                <c:pt idx="27">
                  <c:v>1.1828244499966743E-3</c:v>
                </c:pt>
                <c:pt idx="28">
                  <c:v>1.1840322119888137E-3</c:v>
                </c:pt>
                <c:pt idx="29">
                  <c:v>1.1852331257191037E-3</c:v>
                </c:pt>
                <c:pt idx="30">
                  <c:v>1.1887949756003908E-3</c:v>
                </c:pt>
                <c:pt idx="31">
                  <c:v>1.1899686945091843E-3</c:v>
                </c:pt>
                <c:pt idx="32">
                  <c:v>1.1911356642334652E-3</c:v>
                </c:pt>
                <c:pt idx="33">
                  <c:v>1.1922959045673339E-3</c:v>
                </c:pt>
                <c:pt idx="34">
                  <c:v>1.1934494352977673E-3</c:v>
                </c:pt>
                <c:pt idx="35">
                  <c:v>1.1968699676313855E-3</c:v>
                </c:pt>
                <c:pt idx="36">
                  <c:v>1.1979968576753947E-3</c:v>
                </c:pt>
                <c:pt idx="37">
                  <c:v>1.1991171369440143E-3</c:v>
                </c:pt>
                <c:pt idx="38">
                  <c:v>1.2002308251814855E-3</c:v>
                </c:pt>
                <c:pt idx="39">
                  <c:v>1.2013379421249271E-3</c:v>
                </c:pt>
                <c:pt idx="40">
                  <c:v>1.2046200624554221E-3</c:v>
                </c:pt>
                <c:pt idx="41">
                  <c:v>1.2057010914514803E-3</c:v>
                </c:pt>
                <c:pt idx="42">
                  <c:v>1.206775647732263E-3</c:v>
                </c:pt>
                <c:pt idx="43">
                  <c:v>1.2078437509921538E-3</c:v>
                </c:pt>
                <c:pt idx="44">
                  <c:v>1.2089054209184125E-3</c:v>
                </c:pt>
                <c:pt idx="45">
                  <c:v>1.2120520274611639E-3</c:v>
                </c:pt>
                <c:pt idx="46">
                  <c:v>1.2130881607830474E-3</c:v>
                </c:pt>
                <c:pt idx="47">
                  <c:v>1.2141179591007626E-3</c:v>
                </c:pt>
                <c:pt idx="48">
                  <c:v>1.2151414420588336E-3</c:v>
                </c:pt>
                <c:pt idx="49">
                  <c:v>1.216158629294663E-3</c:v>
                </c:pt>
                <c:pt idx="50">
                  <c:v>1.2191726129358814E-3</c:v>
                </c:pt>
                <c:pt idx="51">
                  <c:v>1.2201648135143123E-3</c:v>
                </c:pt>
                <c:pt idx="52">
                  <c:v>1.221150816450673E-3</c:v>
                </c:pt>
                <c:pt idx="53">
                  <c:v>1.2221306413396295E-3</c:v>
                </c:pt>
                <c:pt idx="54">
                  <c:v>1.2231043077687263E-3</c:v>
                </c:pt>
                <c:pt idx="55">
                  <c:v>1.2259885520654564E-3</c:v>
                </c:pt>
                <c:pt idx="56">
                  <c:v>1.2269377803880994E-3</c:v>
                </c:pt>
                <c:pt idx="57">
                  <c:v>1.227880948081763E-3</c:v>
                </c:pt>
                <c:pt idx="58">
                  <c:v>1.2288180746912547E-3</c:v>
                </c:pt>
                <c:pt idx="59">
                  <c:v>1.2297491797542603E-3</c:v>
                </c:pt>
                <c:pt idx="60">
                  <c:v>1.2325065609343783E-3</c:v>
                </c:pt>
                <c:pt idx="61">
                  <c:v>1.2334137750458433E-3</c:v>
                </c:pt>
                <c:pt idx="62">
                  <c:v>1.2343150651924111E-3</c:v>
                </c:pt>
                <c:pt idx="63">
                  <c:v>1.2352104508690316E-3</c:v>
                </c:pt>
                <c:pt idx="64">
                  <c:v>1.236099951563532E-3</c:v>
                </c:pt>
                <c:pt idx="65">
                  <c:v>1.2387333385257462E-3</c:v>
                </c:pt>
                <c:pt idx="66">
                  <c:v>1.2395994940275869E-3</c:v>
                </c:pt>
                <c:pt idx="67">
                  <c:v>1.2404598618796048E-3</c:v>
                </c:pt>
                <c:pt idx="68">
                  <c:v>1.2413144615268919E-3</c:v>
                </c:pt>
                <c:pt idx="69">
                  <c:v>1.2421633124074167E-3</c:v>
                </c:pt>
                <c:pt idx="70">
                  <c:v>1.2446755667212691E-3</c:v>
                </c:pt>
                <c:pt idx="71">
                  <c:v>1.2455016167719833E-3</c:v>
                </c:pt>
                <c:pt idx="72">
                  <c:v>1.2463220151389415E-3</c:v>
                </c:pt>
                <c:pt idx="73">
                  <c:v>1.2471367812173766E-3</c:v>
                </c:pt>
                <c:pt idx="74">
                  <c:v>1.2479459343953997E-3</c:v>
                </c:pt>
                <c:pt idx="75">
                  <c:v>1.2503399103012645E-3</c:v>
                </c:pt>
                <c:pt idx="76">
                  <c:v>1.2511268056162941E-3</c:v>
                </c:pt>
                <c:pt idx="77">
                  <c:v>1.2519081848646261E-3</c:v>
                </c:pt>
                <c:pt idx="78">
                  <c:v>1.2526840673916359E-3</c:v>
                </c:pt>
                <c:pt idx="79">
                  <c:v>1.2534544725355755E-3</c:v>
                </c:pt>
                <c:pt idx="80">
                  <c:v>1.255733016944659E-3</c:v>
                </c:pt>
                <c:pt idx="81">
                  <c:v>1.2564817057963903E-3</c:v>
                </c:pt>
                <c:pt idx="82">
                  <c:v>1.2572250138494748E-3</c:v>
                </c:pt>
                <c:pt idx="83">
                  <c:v>1.2579629603994289E-3</c:v>
                </c:pt>
                <c:pt idx="84">
                  <c:v>1.2586955647346473E-3</c:v>
                </c:pt>
                <c:pt idx="85">
                  <c:v>1.2608615172289882E-3</c:v>
                </c:pt>
                <c:pt idx="86">
                  <c:v>1.261572945446752E-3</c:v>
                </c:pt>
                <c:pt idx="87">
                  <c:v>1.2622791277849112E-3</c:v>
                </c:pt>
                <c:pt idx="88">
                  <c:v>1.2629800834891248E-3</c:v>
                </c:pt>
                <c:pt idx="89">
                  <c:v>1.2636758317979278E-3</c:v>
                </c:pt>
                <c:pt idx="90">
                  <c:v>1.2657320246303983E-3</c:v>
                </c:pt>
                <c:pt idx="91">
                  <c:v>1.2664071356004686E-3</c:v>
                </c:pt>
                <c:pt idx="92">
                  <c:v>1.2670771352609692E-3</c:v>
                </c:pt>
                <c:pt idx="93">
                  <c:v>1.2677420428077002E-3</c:v>
                </c:pt>
                <c:pt idx="94">
                  <c:v>1.2703511355236429E-3</c:v>
                </c:pt>
                <c:pt idx="95">
                  <c:v>1.2709908701892389E-3</c:v>
                </c:pt>
                <c:pt idx="96">
                  <c:v>1.2716256277662912E-3</c:v>
                </c:pt>
                <c:pt idx="97">
                  <c:v>1.2722554274007427E-3</c:v>
                </c:pt>
                <c:pt idx="98">
                  <c:v>1.2747254291820859E-3</c:v>
                </c:pt>
                <c:pt idx="99">
                  <c:v>1.2753307260433698E-3</c:v>
                </c:pt>
                <c:pt idx="100">
                  <c:v>1.2759311796881297E-3</c:v>
                </c:pt>
                <c:pt idx="101">
                  <c:v>1.2765268092124486E-3</c:v>
                </c:pt>
                <c:pt idx="102">
                  <c:v>1.2771176337052878E-3</c:v>
                </c:pt>
                <c:pt idx="103">
                  <c:v>1.2788614677777003E-3</c:v>
                </c:pt>
                <c:pt idx="104">
                  <c:v>1.2794332628917797E-3</c:v>
                </c:pt>
                <c:pt idx="105">
                  <c:v>1.2800003483123452E-3</c:v>
                </c:pt>
                <c:pt idx="106">
                  <c:v>1.280562743085623E-3</c:v>
                </c:pt>
                <c:pt idx="107">
                  <c:v>1.2811204662507151E-3</c:v>
                </c:pt>
                <c:pt idx="108">
                  <c:v>1.2827657963810676E-3</c:v>
                </c:pt>
                <c:pt idx="109">
                  <c:v>1.2833050233619931E-3</c:v>
                </c:pt>
                <c:pt idx="110">
                  <c:v>1.2838396738234085E-3</c:v>
                </c:pt>
                <c:pt idx="111">
                  <c:v>1.2843697667616796E-3</c:v>
                </c:pt>
                <c:pt idx="112">
                  <c:v>1.2848953211660522E-3</c:v>
                </c:pt>
                <c:pt idx="113">
                  <c:v>1.286444942961379E-3</c:v>
                </c:pt>
                <c:pt idx="114">
                  <c:v>1.2869525329801471E-3</c:v>
                </c:pt>
                <c:pt idx="115">
                  <c:v>1.287455679304399E-3</c:v>
                </c:pt>
                <c:pt idx="116">
                  <c:v>1.2879544008806436E-3</c:v>
                </c:pt>
                <c:pt idx="117">
                  <c:v>1.2884487166482672E-3</c:v>
                </c:pt>
                <c:pt idx="118">
                  <c:v>1.2899054183864354E-3</c:v>
                </c:pt>
                <c:pt idx="119">
                  <c:v>1.2903823001709847E-3</c:v>
                </c:pt>
                <c:pt idx="120">
                  <c:v>1.2908548707370052E-3</c:v>
                </c:pt>
                <c:pt idx="121">
                  <c:v>1.2913231489811471E-3</c:v>
                </c:pt>
                <c:pt idx="122">
                  <c:v>1.2917871537929376E-3</c:v>
                </c:pt>
                <c:pt idx="123">
                  <c:v>1.293153716422646E-3</c:v>
                </c:pt>
                <c:pt idx="124">
                  <c:v>1.2936008162578608E-3</c:v>
                </c:pt>
                <c:pt idx="125">
                  <c:v>1.2940437370015253E-3</c:v>
                </c:pt>
                <c:pt idx="126">
                  <c:v>1.2944824975004317E-3</c:v>
                </c:pt>
                <c:pt idx="127">
                  <c:v>1.2949171165942497E-3</c:v>
                </c:pt>
                <c:pt idx="128">
                  <c:v>1.2961963137350296E-3</c:v>
                </c:pt>
                <c:pt idx="129">
                  <c:v>1.2966145554627376E-3</c:v>
                </c:pt>
                <c:pt idx="130">
                  <c:v>1.2970287498768663E-3</c:v>
                </c:pt>
                <c:pt idx="131">
                  <c:v>1.2974389157743493E-3</c:v>
                </c:pt>
                <c:pt idx="132">
                  <c:v>1.2978450719449981E-3</c:v>
                </c:pt>
                <c:pt idx="133">
                  <c:v>1.2990396698872144E-3</c:v>
                </c:pt>
                <c:pt idx="134">
                  <c:v>1.2994299749061876E-3</c:v>
                </c:pt>
                <c:pt idx="135">
                  <c:v>1.2998163640405445E-3</c:v>
                </c:pt>
                <c:pt idx="136">
                  <c:v>1.3001988560373606E-3</c:v>
                </c:pt>
                <c:pt idx="137">
                  <c:v>1.3005774696365885E-3</c:v>
                </c:pt>
                <c:pt idx="138">
                  <c:v>1.301690227341437E-3</c:v>
                </c:pt>
                <c:pt idx="139">
                  <c:v>1.3020535146073921E-3</c:v>
                </c:pt>
                <c:pt idx="140">
                  <c:v>1.3024130170686855E-3</c:v>
                </c:pt>
                <c:pt idx="141">
                  <c:v>1.3027687534225346E-3</c:v>
                </c:pt>
                <c:pt idx="142">
                  <c:v>1.3031207423590345E-3</c:v>
                </c:pt>
                <c:pt idx="143">
                  <c:v>1.3041544114585446E-3</c:v>
                </c:pt>
                <c:pt idx="144">
                  <c:v>1.3044915974841417E-3</c:v>
                </c:pt>
                <c:pt idx="145">
                  <c:v>1.3048251294360241E-3</c:v>
                </c:pt>
                <c:pt idx="146">
                  <c:v>1.3051550259615505E-3</c:v>
                </c:pt>
                <c:pt idx="147">
                  <c:v>1.3054813057009583E-3</c:v>
                </c:pt>
                <c:pt idx="148">
                  <c:v>1.3064386304979918E-3</c:v>
                </c:pt>
                <c:pt idx="149">
                  <c:v>1.3067506293528359E-3</c:v>
                </c:pt>
                <c:pt idx="150">
                  <c:v>1.3070591045159041E-3</c:v>
                </c:pt>
                <c:pt idx="151">
                  <c:v>1.3073640745846968E-3</c:v>
                </c:pt>
                <c:pt idx="152">
                  <c:v>1.3076655581495931E-3</c:v>
                </c:pt>
                <c:pt idx="153">
                  <c:v>1.3085492756178447E-3</c:v>
                </c:pt>
                <c:pt idx="154">
                  <c:v>1.3088369989284836E-3</c:v>
                </c:pt>
                <c:pt idx="155">
                  <c:v>1.3091213285802779E-3</c:v>
                </c:pt>
                <c:pt idx="156">
                  <c:v>1.3094022831208706E-3</c:v>
                </c:pt>
                <c:pt idx="157">
                  <c:v>1.3107570778247031E-3</c:v>
                </c:pt>
                <c:pt idx="158">
                  <c:v>1.311018170799709E-3</c:v>
                </c:pt>
                <c:pt idx="159">
                  <c:v>1.3112760182975773E-3</c:v>
                </c:pt>
                <c:pt idx="160">
                  <c:v>1.3115306388089699E-3</c:v>
                </c:pt>
                <c:pt idx="161">
                  <c:v>1.3122753232240689E-3</c:v>
                </c:pt>
                <c:pt idx="162">
                  <c:v>1.312517220553722E-3</c:v>
                </c:pt>
                <c:pt idx="163">
                  <c:v>1.3127559832433685E-3</c:v>
                </c:pt>
                <c:pt idx="164">
                  <c:v>1.3129916297409338E-3</c:v>
                </c:pt>
                <c:pt idx="165">
                  <c:v>1.3132241784872222E-3</c:v>
                </c:pt>
                <c:pt idx="166">
                  <c:v>1.3139034225196165E-3</c:v>
                </c:pt>
                <c:pt idx="167">
                  <c:v>1.3141237645263764E-3</c:v>
                </c:pt>
                <c:pt idx="168">
                  <c:v>1.3143411008790368E-3</c:v>
                </c:pt>
                <c:pt idx="169">
                  <c:v>1.314555449975665E-3</c:v>
                </c:pt>
                <c:pt idx="170">
                  <c:v>1.3147668302072061E-3</c:v>
                </c:pt>
                <c:pt idx="171">
                  <c:v>1.3153833415139201E-3</c:v>
                </c:pt>
                <c:pt idx="172">
                  <c:v>1.3155830300521122E-3</c:v>
                </c:pt>
                <c:pt idx="173">
                  <c:v>1.3157798415731037E-3</c:v>
                </c:pt>
                <c:pt idx="174">
                  <c:v>1.3159737944251038E-3</c:v>
                </c:pt>
                <c:pt idx="175">
                  <c:v>1.3161649069491999E-3</c:v>
                </c:pt>
                <c:pt idx="176">
                  <c:v>1.3167213858580901E-3</c:v>
                </c:pt>
                <c:pt idx="177">
                  <c:v>1.3169013203389842E-3</c:v>
                </c:pt>
                <c:pt idx="178">
                  <c:v>1.3170785060905687E-3</c:v>
                </c:pt>
                <c:pt idx="179">
                  <c:v>1.3172529614111947E-3</c:v>
                </c:pt>
                <c:pt idx="180">
                  <c:v>1.317424704592091E-3</c:v>
                </c:pt>
                <c:pt idx="181">
                  <c:v>1.3179238441018467E-3</c:v>
                </c:pt>
                <c:pt idx="182">
                  <c:v>1.3180849214936563E-3</c:v>
                </c:pt>
                <c:pt idx="183">
                  <c:v>1.3182433780950401E-3</c:v>
                </c:pt>
                <c:pt idx="184">
                  <c:v>1.3183992321544899E-3</c:v>
                </c:pt>
                <c:pt idx="185">
                  <c:v>1.3185525019133763E-3</c:v>
                </c:pt>
                <c:pt idx="186">
                  <c:v>1.318996987693519E-3</c:v>
                </c:pt>
                <c:pt idx="187">
                  <c:v>1.3191401025214025E-3</c:v>
                </c:pt>
                <c:pt idx="188">
                  <c:v>1.3192807241487344E-3</c:v>
                </c:pt>
                <c:pt idx="189">
                  <c:v>1.3194188707741502E-3</c:v>
                </c:pt>
                <c:pt idx="190">
                  <c:v>1.3195545605891609E-3</c:v>
                </c:pt>
                <c:pt idx="191">
                  <c:v>1.3199470709800451E-3</c:v>
                </c:pt>
                <c:pt idx="192">
                  <c:v>1.3200731153261047E-3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35200"/>
        <c:axId val="171236736"/>
      </c:scatterChart>
      <c:valAx>
        <c:axId val="17123520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71236736"/>
        <c:crosses val="autoZero"/>
        <c:crossBetween val="midCat"/>
      </c:valAx>
      <c:valAx>
        <c:axId val="17123673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123520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'3MSynthDepo_allScenario'!$BE$6:$BE$135</c:f>
              <c:numCache>
                <c:formatCode>0.0000%</c:formatCode>
                <c:ptCount val="130"/>
                <c:pt idx="0">
                  <c:v>1.3478346863614382E-3</c:v>
                </c:pt>
                <c:pt idx="1">
                  <c:v>1.341343222807712E-3</c:v>
                </c:pt>
                <c:pt idx="2">
                  <c:v>1.3218688321465332E-3</c:v>
                </c:pt>
                <c:pt idx="3">
                  <c:v>1.3153773685928068E-3</c:v>
                </c:pt>
                <c:pt idx="4">
                  <c:v>1.3088859050390807E-3</c:v>
                </c:pt>
                <c:pt idx="5">
                  <c:v>1.3023944414853545E-3</c:v>
                </c:pt>
                <c:pt idx="6">
                  <c:v>1.2959029779316281E-3</c:v>
                </c:pt>
                <c:pt idx="7">
                  <c:v>1.2764285872704493E-3</c:v>
                </c:pt>
                <c:pt idx="8">
                  <c:v>1.2699371237167231E-3</c:v>
                </c:pt>
                <c:pt idx="9">
                  <c:v>1.2634456601629969E-3</c:v>
                </c:pt>
                <c:pt idx="10">
                  <c:v>1.2569541966092708E-3</c:v>
                </c:pt>
                <c:pt idx="11">
                  <c:v>1.2504627330555444E-3</c:v>
                </c:pt>
                <c:pt idx="12">
                  <c:v>1.2309883423943656E-3</c:v>
                </c:pt>
                <c:pt idx="13">
                  <c:v>1.2244968788406394E-3</c:v>
                </c:pt>
                <c:pt idx="14">
                  <c:v>1.2180054152869132E-3</c:v>
                </c:pt>
                <c:pt idx="15">
                  <c:v>1.2115139517331868E-3</c:v>
                </c:pt>
                <c:pt idx="16">
                  <c:v>1.2050224881794607E-3</c:v>
                </c:pt>
                <c:pt idx="17">
                  <c:v>1.1855480975182819E-3</c:v>
                </c:pt>
                <c:pt idx="18">
                  <c:v>1.1790566339645557E-3</c:v>
                </c:pt>
                <c:pt idx="19">
                  <c:v>1.1725651704108295E-3</c:v>
                </c:pt>
                <c:pt idx="20">
                  <c:v>1.1660737068571031E-3</c:v>
                </c:pt>
                <c:pt idx="21">
                  <c:v>1.1595822433033769E-3</c:v>
                </c:pt>
                <c:pt idx="22">
                  <c:v>1.1401078526421982E-3</c:v>
                </c:pt>
                <c:pt idx="23">
                  <c:v>1.133616389088472E-3</c:v>
                </c:pt>
                <c:pt idx="24">
                  <c:v>1.1271249255347456E-3</c:v>
                </c:pt>
                <c:pt idx="25">
                  <c:v>1.1206334619810194E-3</c:v>
                </c:pt>
                <c:pt idx="26">
                  <c:v>1.114141998427293E-3</c:v>
                </c:pt>
                <c:pt idx="27">
                  <c:v>1.0946676077661145E-3</c:v>
                </c:pt>
                <c:pt idx="28">
                  <c:v>1.0881761442123883E-3</c:v>
                </c:pt>
                <c:pt idx="29">
                  <c:v>1.0816846806586619E-3</c:v>
                </c:pt>
                <c:pt idx="30">
                  <c:v>1.0751932171049357E-3</c:v>
                </c:pt>
                <c:pt idx="31">
                  <c:v>1.0687017535512093E-3</c:v>
                </c:pt>
                <c:pt idx="32">
                  <c:v>1.0492273628900308E-3</c:v>
                </c:pt>
                <c:pt idx="33">
                  <c:v>1.0427358993363044E-3</c:v>
                </c:pt>
                <c:pt idx="34">
                  <c:v>1.0362444357825782E-3</c:v>
                </c:pt>
                <c:pt idx="35">
                  <c:v>1.0297529722288518E-3</c:v>
                </c:pt>
                <c:pt idx="36">
                  <c:v>1.0232615086751256E-3</c:v>
                </c:pt>
                <c:pt idx="37">
                  <c:v>1.0037871180139468E-3</c:v>
                </c:pt>
                <c:pt idx="38">
                  <c:v>9.9729565446022065E-4</c:v>
                </c:pt>
                <c:pt idx="39">
                  <c:v>9.9080419090649425E-4</c:v>
                </c:pt>
                <c:pt idx="40">
                  <c:v>9.8431272735276807E-4</c:v>
                </c:pt>
                <c:pt idx="41">
                  <c:v>9.7782126379904188E-4</c:v>
                </c:pt>
                <c:pt idx="42">
                  <c:v>9.5834687313786312E-4</c:v>
                </c:pt>
                <c:pt idx="43">
                  <c:v>9.5185540958413683E-4</c:v>
                </c:pt>
                <c:pt idx="44">
                  <c:v>9.4536394603041065E-4</c:v>
                </c:pt>
                <c:pt idx="45">
                  <c:v>9.3887248247668436E-4</c:v>
                </c:pt>
                <c:pt idx="46">
                  <c:v>9.3238101892295817E-4</c:v>
                </c:pt>
                <c:pt idx="47">
                  <c:v>9.1290662826177941E-4</c:v>
                </c:pt>
                <c:pt idx="48">
                  <c:v>9.0641516470805312E-4</c:v>
                </c:pt>
                <c:pt idx="49">
                  <c:v>8.9992370115432683E-4</c:v>
                </c:pt>
                <c:pt idx="50">
                  <c:v>8.9343223760060065E-4</c:v>
                </c:pt>
                <c:pt idx="51">
                  <c:v>8.8694077404687436E-4</c:v>
                </c:pt>
                <c:pt idx="52">
                  <c:v>8.674663833856957E-4</c:v>
                </c:pt>
                <c:pt idx="53">
                  <c:v>8.609749198319693E-4</c:v>
                </c:pt>
                <c:pt idx="54">
                  <c:v>8.5448345627824312E-4</c:v>
                </c:pt>
                <c:pt idx="55">
                  <c:v>8.4799199272451683E-4</c:v>
                </c:pt>
                <c:pt idx="56">
                  <c:v>8.4150052917079054E-4</c:v>
                </c:pt>
                <c:pt idx="57">
                  <c:v>8.2202613850961188E-4</c:v>
                </c:pt>
                <c:pt idx="58">
                  <c:v>8.1553467495588559E-4</c:v>
                </c:pt>
                <c:pt idx="59">
                  <c:v>8.090432114021593E-4</c:v>
                </c:pt>
                <c:pt idx="60">
                  <c:v>8.0255174784843312E-4</c:v>
                </c:pt>
                <c:pt idx="61">
                  <c:v>7.9606028429470683E-4</c:v>
                </c:pt>
                <c:pt idx="62">
                  <c:v>7.7658589363352806E-4</c:v>
                </c:pt>
                <c:pt idx="63">
                  <c:v>7.7009443007980177E-4</c:v>
                </c:pt>
                <c:pt idx="64">
                  <c:v>7.6360296652607559E-4</c:v>
                </c:pt>
                <c:pt idx="65">
                  <c:v>7.5711150297234941E-4</c:v>
                </c:pt>
                <c:pt idx="66">
                  <c:v>7.5062003941862312E-4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'3MSynthDepo_allScenario'!$BF$6:$BF$135</c:f>
              <c:numCache>
                <c:formatCode>0.0000%</c:formatCode>
                <c:ptCount val="130"/>
                <c:pt idx="0">
                  <c:v>1.9863555834756341E-3</c:v>
                </c:pt>
                <c:pt idx="1">
                  <c:v>1.9431428588428108E-3</c:v>
                </c:pt>
                <c:pt idx="2">
                  <c:v>1.8180475213664972E-3</c:v>
                </c:pt>
                <c:pt idx="3">
                  <c:v>1.7778633543484449E-3</c:v>
                </c:pt>
                <c:pt idx="4">
                  <c:v>1.7384363267340852E-3</c:v>
                </c:pt>
                <c:pt idx="5">
                  <c:v>1.6997664385234182E-3</c:v>
                </c:pt>
                <c:pt idx="6">
                  <c:v>1.6618536897164441E-3</c:v>
                </c:pt>
                <c:pt idx="7">
                  <c:v>1.5526582797176778E-3</c:v>
                </c:pt>
                <c:pt idx="8">
                  <c:v>1.5177740885254744E-3</c:v>
                </c:pt>
                <c:pt idx="9">
                  <c:v>1.4836470367369638E-3</c:v>
                </c:pt>
                <c:pt idx="10">
                  <c:v>1.4502771243521458E-3</c:v>
                </c:pt>
                <c:pt idx="11">
                  <c:v>1.4176643513710207E-3</c:v>
                </c:pt>
                <c:pt idx="12">
                  <c:v>1.3243688688498016E-3</c:v>
                </c:pt>
                <c:pt idx="13">
                  <c:v>1.294784653483447E-3</c:v>
                </c:pt>
                <c:pt idx="14">
                  <c:v>1.2659575775207856E-3</c:v>
                </c:pt>
                <c:pt idx="15">
                  <c:v>1.2378876409618166E-3</c:v>
                </c:pt>
                <c:pt idx="16">
                  <c:v>1.2105748438065408E-3</c:v>
                </c:pt>
                <c:pt idx="17">
                  <c:v>1.1331792887628684E-3</c:v>
                </c:pt>
                <c:pt idx="18">
                  <c:v>1.1088950492223635E-3</c:v>
                </c:pt>
                <c:pt idx="19">
                  <c:v>1.0853679490855509E-3</c:v>
                </c:pt>
                <c:pt idx="20">
                  <c:v>1.0625979883524309E-3</c:v>
                </c:pt>
                <c:pt idx="21">
                  <c:v>1.0405851670230041E-3</c:v>
                </c:pt>
                <c:pt idx="22">
                  <c:v>9.7908953945687917E-4</c:v>
                </c:pt>
                <c:pt idx="23">
                  <c:v>9.6010527574222305E-4</c:v>
                </c:pt>
                <c:pt idx="24">
                  <c:v>9.418781514312594E-4</c:v>
                </c:pt>
                <c:pt idx="25">
                  <c:v>9.2440816652398865E-4</c:v>
                </c:pt>
                <c:pt idx="26">
                  <c:v>9.076953210204108E-4</c:v>
                </c:pt>
                <c:pt idx="27">
                  <c:v>8.6209962093183304E-4</c:v>
                </c:pt>
                <c:pt idx="28">
                  <c:v>8.4841533304302614E-4</c:v>
                </c:pt>
                <c:pt idx="29">
                  <c:v>8.354881845579115E-4</c:v>
                </c:pt>
                <c:pt idx="30">
                  <c:v>8.2331817547648986E-4</c:v>
                </c:pt>
                <c:pt idx="31">
                  <c:v>8.1190530579876091E-4</c:v>
                </c:pt>
                <c:pt idx="32">
                  <c:v>7.8220953318773037E-4</c:v>
                </c:pt>
                <c:pt idx="33">
                  <c:v>7.7382522112477248E-4</c:v>
                </c:pt>
                <c:pt idx="34">
                  <c:v>7.6619804846550716E-4</c:v>
                </c:pt>
                <c:pt idx="35">
                  <c:v>7.593280152099342E-4</c:v>
                </c:pt>
                <c:pt idx="36">
                  <c:v>7.5321512135805436E-4</c:v>
                </c:pt>
                <c:pt idx="37">
                  <c:v>7.3941927622457127E-4</c:v>
                </c:pt>
                <c:pt idx="38">
                  <c:v>7.3633493998746238E-4</c:v>
                </c:pt>
                <c:pt idx="39">
                  <c:v>7.3400774315404553E-4</c:v>
                </c:pt>
                <c:pt idx="40">
                  <c:v>7.32437685724322E-4</c:v>
                </c:pt>
                <c:pt idx="41">
                  <c:v>7.3162476769829139E-4</c:v>
                </c:pt>
                <c:pt idx="42">
                  <c:v>7.3372885004235541E-4</c:v>
                </c:pt>
                <c:pt idx="43">
                  <c:v>7.3594448963109531E-4</c:v>
                </c:pt>
                <c:pt idx="44">
                  <c:v>7.3891726862352768E-4</c:v>
                </c:pt>
                <c:pt idx="45">
                  <c:v>7.4264718701965338E-4</c:v>
                </c:pt>
                <c:pt idx="46">
                  <c:v>7.4713424481947155E-4</c:v>
                </c:pt>
                <c:pt idx="47">
                  <c:v>7.651382546410828E-4</c:v>
                </c:pt>
                <c:pt idx="48">
                  <c:v>7.7265387005567149E-4</c:v>
                </c:pt>
                <c:pt idx="49">
                  <c:v>7.8092662487395351E-4</c:v>
                </c:pt>
                <c:pt idx="50">
                  <c:v>7.89956519095928E-4</c:v>
                </c:pt>
                <c:pt idx="51">
                  <c:v>7.9974355272159538E-4</c:v>
                </c:pt>
                <c:pt idx="52">
                  <c:v>8.33647490020753E-4</c:v>
                </c:pt>
                <c:pt idx="53">
                  <c:v>8.4646308126119178E-4</c:v>
                </c:pt>
                <c:pt idx="54">
                  <c:v>8.6003581190532237E-4</c:v>
                </c:pt>
                <c:pt idx="55">
                  <c:v>8.7436568195314607E-4</c:v>
                </c:pt>
                <c:pt idx="56">
                  <c:v>8.8945269140466247E-4</c:v>
                </c:pt>
                <c:pt idx="57">
                  <c:v>9.3925655618136775E-4</c:v>
                </c:pt>
                <c:pt idx="58">
                  <c:v>9.5737212324765487E-4</c:v>
                </c:pt>
                <c:pt idx="59">
                  <c:v>9.7624482971763512E-4</c:v>
                </c:pt>
                <c:pt idx="60">
                  <c:v>9.9587467559130761E-4</c:v>
                </c:pt>
                <c:pt idx="61">
                  <c:v>1.0162616608686732E-3</c:v>
                </c:pt>
                <c:pt idx="62">
                  <c:v>1.0819654531229253E-3</c:v>
                </c:pt>
                <c:pt idx="63">
                  <c:v>1.1053809960150617E-3</c:v>
                </c:pt>
                <c:pt idx="64">
                  <c:v>1.1295536783108907E-3</c:v>
                </c:pt>
                <c:pt idx="65">
                  <c:v>1.154483500010412E-3</c:v>
                </c:pt>
                <c:pt idx="66">
                  <c:v>1.1801704611136264E-3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'3MSynthDepo_allScenario'!$BG$6:$BG$135</c:f>
              <c:numCache>
                <c:formatCode>0.0000%</c:formatCode>
                <c:ptCount val="130"/>
                <c:pt idx="0">
                  <c:v>6.7852345349707268E-4</c:v>
                </c:pt>
                <c:pt idx="1">
                  <c:v>6.8490335980612267E-4</c:v>
                </c:pt>
                <c:pt idx="2">
                  <c:v>7.0404307873327273E-4</c:v>
                </c:pt>
                <c:pt idx="3">
                  <c:v>7.1042298504232272E-4</c:v>
                </c:pt>
                <c:pt idx="4">
                  <c:v>7.168028913513727E-4</c:v>
                </c:pt>
                <c:pt idx="5">
                  <c:v>7.231827976604228E-4</c:v>
                </c:pt>
                <c:pt idx="6">
                  <c:v>7.2956270396947278E-4</c:v>
                </c:pt>
                <c:pt idx="7">
                  <c:v>7.4870242289662285E-4</c:v>
                </c:pt>
                <c:pt idx="8">
                  <c:v>7.5508232920567283E-4</c:v>
                </c:pt>
                <c:pt idx="9">
                  <c:v>7.6146223551472282E-4</c:v>
                </c:pt>
                <c:pt idx="10">
                  <c:v>7.678421418237728E-4</c:v>
                </c:pt>
                <c:pt idx="11">
                  <c:v>7.742220481328229E-4</c:v>
                </c:pt>
                <c:pt idx="12">
                  <c:v>7.9336176705997285E-4</c:v>
                </c:pt>
                <c:pt idx="13">
                  <c:v>7.9974167336902295E-4</c:v>
                </c:pt>
                <c:pt idx="14">
                  <c:v>8.0612157967807293E-4</c:v>
                </c:pt>
                <c:pt idx="15">
                  <c:v>8.1250148598712292E-4</c:v>
                </c:pt>
                <c:pt idx="16">
                  <c:v>8.188813922961729E-4</c:v>
                </c:pt>
                <c:pt idx="17">
                  <c:v>8.3802111122332297E-4</c:v>
                </c:pt>
                <c:pt idx="18">
                  <c:v>8.4440101753237296E-4</c:v>
                </c:pt>
                <c:pt idx="19">
                  <c:v>8.5078092384142305E-4</c:v>
                </c:pt>
                <c:pt idx="20">
                  <c:v>8.5716083015047303E-4</c:v>
                </c:pt>
                <c:pt idx="21">
                  <c:v>8.6354073645952302E-4</c:v>
                </c:pt>
                <c:pt idx="22">
                  <c:v>8.8268045538667309E-4</c:v>
                </c:pt>
                <c:pt idx="23">
                  <c:v>8.8906036169572307E-4</c:v>
                </c:pt>
                <c:pt idx="24">
                  <c:v>8.9544026800477306E-4</c:v>
                </c:pt>
                <c:pt idx="25">
                  <c:v>9.0182017431382315E-4</c:v>
                </c:pt>
                <c:pt idx="26">
                  <c:v>9.0820008062287314E-4</c:v>
                </c:pt>
                <c:pt idx="27">
                  <c:v>9.2733979955002309E-4</c:v>
                </c:pt>
                <c:pt idx="28">
                  <c:v>9.3371970585907319E-4</c:v>
                </c:pt>
                <c:pt idx="29">
                  <c:v>9.4009961216812317E-4</c:v>
                </c:pt>
                <c:pt idx="30">
                  <c:v>9.4647951847717316E-4</c:v>
                </c:pt>
                <c:pt idx="31">
                  <c:v>9.5285942478622325E-4</c:v>
                </c:pt>
                <c:pt idx="32">
                  <c:v>9.7199914371337321E-4</c:v>
                </c:pt>
                <c:pt idx="33">
                  <c:v>9.7837905002242319E-4</c:v>
                </c:pt>
                <c:pt idx="34">
                  <c:v>9.8475895633147329E-4</c:v>
                </c:pt>
                <c:pt idx="35">
                  <c:v>9.9113886264052316E-4</c:v>
                </c:pt>
                <c:pt idx="36">
                  <c:v>9.9751876894957326E-4</c:v>
                </c:pt>
                <c:pt idx="37">
                  <c:v>1.0166584878767233E-3</c:v>
                </c:pt>
                <c:pt idx="38">
                  <c:v>1.0230383941857734E-3</c:v>
                </c:pt>
                <c:pt idx="39">
                  <c:v>1.0294183004948233E-3</c:v>
                </c:pt>
                <c:pt idx="40">
                  <c:v>1.0357982068038734E-3</c:v>
                </c:pt>
                <c:pt idx="41">
                  <c:v>1.0421781131129235E-3</c:v>
                </c:pt>
                <c:pt idx="42">
                  <c:v>1.0613178320400733E-3</c:v>
                </c:pt>
                <c:pt idx="43">
                  <c:v>1.0676977383491234E-3</c:v>
                </c:pt>
                <c:pt idx="44">
                  <c:v>1.0740776446581733E-3</c:v>
                </c:pt>
                <c:pt idx="45">
                  <c:v>1.0804575509672234E-3</c:v>
                </c:pt>
                <c:pt idx="46">
                  <c:v>1.0868374572762735E-3</c:v>
                </c:pt>
                <c:pt idx="47">
                  <c:v>1.1059771762034236E-3</c:v>
                </c:pt>
                <c:pt idx="48">
                  <c:v>1.1123570825124734E-3</c:v>
                </c:pt>
                <c:pt idx="49">
                  <c:v>1.1187369888215235E-3</c:v>
                </c:pt>
                <c:pt idx="50">
                  <c:v>1.1251168951305736E-3</c:v>
                </c:pt>
                <c:pt idx="51">
                  <c:v>1.1314968014396235E-3</c:v>
                </c:pt>
                <c:pt idx="52">
                  <c:v>1.1506365203667736E-3</c:v>
                </c:pt>
                <c:pt idx="53">
                  <c:v>1.1570164266758237E-3</c:v>
                </c:pt>
                <c:pt idx="54">
                  <c:v>1.1633963329848735E-3</c:v>
                </c:pt>
                <c:pt idx="55">
                  <c:v>1.1697762392939236E-3</c:v>
                </c:pt>
                <c:pt idx="56">
                  <c:v>1.1761561456029735E-3</c:v>
                </c:pt>
                <c:pt idx="57">
                  <c:v>1.1952958645301236E-3</c:v>
                </c:pt>
                <c:pt idx="58">
                  <c:v>1.2016757708391737E-3</c:v>
                </c:pt>
                <c:pt idx="59">
                  <c:v>1.2080556771482238E-3</c:v>
                </c:pt>
                <c:pt idx="60">
                  <c:v>1.2144355834572736E-3</c:v>
                </c:pt>
                <c:pt idx="61">
                  <c:v>1.2208154897663237E-3</c:v>
                </c:pt>
                <c:pt idx="62">
                  <c:v>1.2399552086934736E-3</c:v>
                </c:pt>
                <c:pt idx="63">
                  <c:v>1.2463351150025239E-3</c:v>
                </c:pt>
                <c:pt idx="64">
                  <c:v>1.2527150213115738E-3</c:v>
                </c:pt>
                <c:pt idx="65">
                  <c:v>1.2590949276206236E-3</c:v>
                </c:pt>
                <c:pt idx="66">
                  <c:v>1.2654748339296737E-3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'3MSynthDepo_allScenario'!$BH$6:$BH$135</c:f>
              <c:numCache>
                <c:formatCode>0.0000%</c:formatCode>
                <c:ptCount val="130"/>
                <c:pt idx="0">
                  <c:v>4.9016714939429057E-4</c:v>
                </c:pt>
                <c:pt idx="1">
                  <c:v>5.0368947441352906E-4</c:v>
                </c:pt>
                <c:pt idx="2">
                  <c:v>5.4360218210847914E-4</c:v>
                </c:pt>
                <c:pt idx="3">
                  <c:v>5.56688328885874E-4</c:v>
                </c:pt>
                <c:pt idx="4">
                  <c:v>5.696654311028082E-4</c:v>
                </c:pt>
                <c:pt idx="5">
                  <c:v>5.825334887592813E-4</c:v>
                </c:pt>
                <c:pt idx="6">
                  <c:v>5.9529250185529352E-4</c:v>
                </c:pt>
                <c:pt idx="7">
                  <c:v>6.329152737805649E-4</c:v>
                </c:pt>
                <c:pt idx="8">
                  <c:v>6.452381086347335E-4</c:v>
                </c:pt>
                <c:pt idx="9">
                  <c:v>6.5745189892844132E-4</c:v>
                </c:pt>
                <c:pt idx="10">
                  <c:v>6.6955664466168815E-4</c:v>
                </c:pt>
                <c:pt idx="11">
                  <c:v>6.8155234583447421E-4</c:v>
                </c:pt>
                <c:pt idx="12">
                  <c:v>7.1688518199006679E-4</c:v>
                </c:pt>
                <c:pt idx="13">
                  <c:v>7.2844470492100923E-4</c:v>
                </c:pt>
                <c:pt idx="14">
                  <c:v>7.3989518329149078E-4</c:v>
                </c:pt>
                <c:pt idx="15">
                  <c:v>7.5123661710151135E-4</c:v>
                </c:pt>
                <c:pt idx="16">
                  <c:v>7.6246900635107125E-4</c:v>
                </c:pt>
                <c:pt idx="17">
                  <c:v>7.9551190673698502E-4</c:v>
                </c:pt>
                <c:pt idx="18">
                  <c:v>8.0630811774470119E-4</c:v>
                </c:pt>
                <c:pt idx="19">
                  <c:v>8.1699528419195647E-4</c:v>
                </c:pt>
                <c:pt idx="20">
                  <c:v>8.2757340607875088E-4</c:v>
                </c:pt>
                <c:pt idx="21">
                  <c:v>8.380424834050844E-4</c:v>
                </c:pt>
                <c:pt idx="22">
                  <c:v>8.6879544802131938E-4</c:v>
                </c:pt>
                <c:pt idx="23">
                  <c:v>8.7882834710580938E-4</c:v>
                </c:pt>
                <c:pt idx="24">
                  <c:v>8.8875220162983829E-4</c:v>
                </c:pt>
                <c:pt idx="25">
                  <c:v>8.9856701159340654E-4</c:v>
                </c:pt>
                <c:pt idx="26">
                  <c:v>9.0827277699651369E-4</c:v>
                </c:pt>
                <c:pt idx="27">
                  <c:v>9.3673580584307007E-4</c:v>
                </c:pt>
                <c:pt idx="28">
                  <c:v>9.460053930043337E-4</c:v>
                </c:pt>
                <c:pt idx="29">
                  <c:v>9.5516593560513656E-4</c:v>
                </c:pt>
                <c:pt idx="30">
                  <c:v>9.6421743364547854E-4</c:v>
                </c:pt>
                <c:pt idx="31">
                  <c:v>9.7315988712535931E-4</c:v>
                </c:pt>
                <c:pt idx="32">
                  <c:v>9.99332980202237E-4</c:v>
                </c:pt>
                <c:pt idx="33">
                  <c:v>1.0078392554402746E-3</c:v>
                </c:pt>
                <c:pt idx="34">
                  <c:v>1.0162364861178511E-3</c:v>
                </c:pt>
                <c:pt idx="35">
                  <c:v>1.0245246722349667E-3</c:v>
                </c:pt>
                <c:pt idx="36">
                  <c:v>1.0327038137916212E-3</c:v>
                </c:pt>
                <c:pt idx="37">
                  <c:v>1.0565869710988203E-3</c:v>
                </c:pt>
                <c:pt idx="38">
                  <c:v>1.0643299344136312E-3</c:v>
                </c:pt>
                <c:pt idx="39">
                  <c:v>1.0719638531679818E-3</c:v>
                </c:pt>
                <c:pt idx="40">
                  <c:v>1.079488727361871E-3</c:v>
                </c:pt>
                <c:pt idx="41">
                  <c:v>1.0869045569952994E-3</c:v>
                </c:pt>
                <c:pt idx="42">
                  <c:v>1.1084977785328195E-3</c:v>
                </c:pt>
                <c:pt idx="43">
                  <c:v>1.1154774299244044E-3</c:v>
                </c:pt>
                <c:pt idx="44">
                  <c:v>1.1223480367555285E-3</c:v>
                </c:pt>
                <c:pt idx="45">
                  <c:v>1.1291095990261916E-3</c:v>
                </c:pt>
                <c:pt idx="46">
                  <c:v>1.1357621167363938E-3</c:v>
                </c:pt>
                <c:pt idx="47">
                  <c:v>1.1550654025042353E-3</c:v>
                </c:pt>
                <c:pt idx="48">
                  <c:v>1.1612817419725937E-3</c:v>
                </c:pt>
                <c:pt idx="49">
                  <c:v>1.1673890368804917E-3</c:v>
                </c:pt>
                <c:pt idx="50">
                  <c:v>1.1733872872279286E-3</c:v>
                </c:pt>
                <c:pt idx="51">
                  <c:v>1.1792764930149044E-3</c:v>
                </c:pt>
                <c:pt idx="52">
                  <c:v>1.1962898430130672E-3</c:v>
                </c:pt>
                <c:pt idx="53">
                  <c:v>1.2017428705581993E-3</c:v>
                </c:pt>
                <c:pt idx="54">
                  <c:v>1.2070868535428709E-3</c:v>
                </c:pt>
                <c:pt idx="55">
                  <c:v>1.2123217919670819E-3</c:v>
                </c:pt>
                <c:pt idx="56">
                  <c:v>1.2174476858308313E-3</c:v>
                </c:pt>
                <c:pt idx="57">
                  <c:v>1.2321711000593152E-3</c:v>
                </c:pt>
                <c:pt idx="58">
                  <c:v>1.2368608156812214E-3</c:v>
                </c:pt>
                <c:pt idx="59">
                  <c:v>1.2414414867426664E-3</c:v>
                </c:pt>
                <c:pt idx="60">
                  <c:v>1.2459131132436512E-3</c:v>
                </c:pt>
                <c:pt idx="61">
                  <c:v>1.2502756951841745E-3</c:v>
                </c:pt>
                <c:pt idx="62">
                  <c:v>1.2627091736429796E-3</c:v>
                </c:pt>
                <c:pt idx="63">
                  <c:v>1.2666355773416594E-3</c:v>
                </c:pt>
                <c:pt idx="64">
                  <c:v>1.2704529364798785E-3</c:v>
                </c:pt>
                <c:pt idx="65">
                  <c:v>1.2741612510576365E-3</c:v>
                </c:pt>
                <c:pt idx="66">
                  <c:v>1.277760521074934E-3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70816"/>
        <c:axId val="346372352"/>
      </c:lineChart>
      <c:dateAx>
        <c:axId val="3463708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4637235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463723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46370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'3MSynthDepo_allScenario'!$BI$6:$BI$135</c:f>
              <c:numCache>
                <c:formatCode>0.0000%</c:formatCode>
                <c:ptCount val="130"/>
                <c:pt idx="0">
                  <c:v>1.3479875367866804E-3</c:v>
                </c:pt>
                <c:pt idx="1">
                  <c:v>1.3414964737346147E-3</c:v>
                </c:pt>
                <c:pt idx="2">
                  <c:v>1.3220232845784178E-3</c:v>
                </c:pt>
                <c:pt idx="3">
                  <c:v>1.3155322215263521E-3</c:v>
                </c:pt>
                <c:pt idx="4">
                  <c:v>1.3090411584742864E-3</c:v>
                </c:pt>
                <c:pt idx="5">
                  <c:v>1.3025500954222209E-3</c:v>
                </c:pt>
                <c:pt idx="6">
                  <c:v>1.2960590323701552E-3</c:v>
                </c:pt>
                <c:pt idx="7">
                  <c:v>1.2765858432139581E-3</c:v>
                </c:pt>
                <c:pt idx="8">
                  <c:v>1.2700947801618926E-3</c:v>
                </c:pt>
                <c:pt idx="9">
                  <c:v>1.2636037171098269E-3</c:v>
                </c:pt>
                <c:pt idx="10">
                  <c:v>1.2571126540577612E-3</c:v>
                </c:pt>
                <c:pt idx="11">
                  <c:v>1.2506215910056955E-3</c:v>
                </c:pt>
                <c:pt idx="12">
                  <c:v>1.2311484018494986E-3</c:v>
                </c:pt>
                <c:pt idx="13">
                  <c:v>1.2246573387974329E-3</c:v>
                </c:pt>
                <c:pt idx="14">
                  <c:v>1.2181662757453672E-3</c:v>
                </c:pt>
                <c:pt idx="15">
                  <c:v>1.2116752126933017E-3</c:v>
                </c:pt>
                <c:pt idx="16">
                  <c:v>1.205184149641236E-3</c:v>
                </c:pt>
                <c:pt idx="17">
                  <c:v>1.1857109604850391E-3</c:v>
                </c:pt>
                <c:pt idx="18">
                  <c:v>1.1792198974329734E-3</c:v>
                </c:pt>
                <c:pt idx="19">
                  <c:v>1.1727288343809077E-3</c:v>
                </c:pt>
                <c:pt idx="20">
                  <c:v>1.166237771328842E-3</c:v>
                </c:pt>
                <c:pt idx="21">
                  <c:v>1.1597467082767763E-3</c:v>
                </c:pt>
                <c:pt idx="22">
                  <c:v>1.1402735191205794E-3</c:v>
                </c:pt>
                <c:pt idx="23">
                  <c:v>1.1337824560685137E-3</c:v>
                </c:pt>
                <c:pt idx="24">
                  <c:v>1.1272913930164483E-3</c:v>
                </c:pt>
                <c:pt idx="25">
                  <c:v>1.1208003299643826E-3</c:v>
                </c:pt>
                <c:pt idx="26">
                  <c:v>1.1143092669123169E-3</c:v>
                </c:pt>
                <c:pt idx="27">
                  <c:v>1.09483607775612E-3</c:v>
                </c:pt>
                <c:pt idx="28">
                  <c:v>1.0883450147040543E-3</c:v>
                </c:pt>
                <c:pt idx="29">
                  <c:v>1.0818539516519886E-3</c:v>
                </c:pt>
                <c:pt idx="30">
                  <c:v>1.0753628885999229E-3</c:v>
                </c:pt>
                <c:pt idx="31">
                  <c:v>1.0688718255478574E-3</c:v>
                </c:pt>
                <c:pt idx="32">
                  <c:v>1.0493986363916603E-3</c:v>
                </c:pt>
                <c:pt idx="33">
                  <c:v>1.0429075733395946E-3</c:v>
                </c:pt>
                <c:pt idx="34">
                  <c:v>1.0364165102875291E-3</c:v>
                </c:pt>
                <c:pt idx="35">
                  <c:v>1.0299254472354634E-3</c:v>
                </c:pt>
                <c:pt idx="36">
                  <c:v>1.0234343841833977E-3</c:v>
                </c:pt>
                <c:pt idx="37">
                  <c:v>1.0039611950272008E-3</c:v>
                </c:pt>
                <c:pt idx="38">
                  <c:v>9.9747013197513511E-4</c:v>
                </c:pt>
                <c:pt idx="39">
                  <c:v>9.9097906892306941E-4</c:v>
                </c:pt>
                <c:pt idx="40">
                  <c:v>9.8448800587100371E-4</c:v>
                </c:pt>
                <c:pt idx="41">
                  <c:v>9.7799694281893823E-4</c:v>
                </c:pt>
                <c:pt idx="42">
                  <c:v>9.5852375366274124E-4</c:v>
                </c:pt>
                <c:pt idx="43">
                  <c:v>9.5203269061067553E-4</c:v>
                </c:pt>
                <c:pt idx="44">
                  <c:v>9.4554162755860994E-4</c:v>
                </c:pt>
                <c:pt idx="45">
                  <c:v>9.3905056450654424E-4</c:v>
                </c:pt>
                <c:pt idx="46">
                  <c:v>9.3255950145447854E-4</c:v>
                </c:pt>
                <c:pt idx="47">
                  <c:v>9.1308631229828166E-4</c:v>
                </c:pt>
                <c:pt idx="48">
                  <c:v>9.0659524924621595E-4</c:v>
                </c:pt>
                <c:pt idx="49">
                  <c:v>9.0010418619415025E-4</c:v>
                </c:pt>
                <c:pt idx="50">
                  <c:v>8.9361312314208466E-4</c:v>
                </c:pt>
                <c:pt idx="51">
                  <c:v>8.8712206009001907E-4</c:v>
                </c:pt>
                <c:pt idx="52">
                  <c:v>8.6764887093382208E-4</c:v>
                </c:pt>
                <c:pt idx="53">
                  <c:v>8.6115780788175637E-4</c:v>
                </c:pt>
                <c:pt idx="54">
                  <c:v>8.5466674482969078E-4</c:v>
                </c:pt>
                <c:pt idx="55">
                  <c:v>8.4817568177762508E-4</c:v>
                </c:pt>
                <c:pt idx="56">
                  <c:v>8.4168461872555949E-4</c:v>
                </c:pt>
                <c:pt idx="57">
                  <c:v>8.222114295693625E-4</c:v>
                </c:pt>
                <c:pt idx="58">
                  <c:v>8.157203665172969E-4</c:v>
                </c:pt>
                <c:pt idx="59">
                  <c:v>8.092293034652312E-4</c:v>
                </c:pt>
                <c:pt idx="60">
                  <c:v>8.027382404131655E-4</c:v>
                </c:pt>
                <c:pt idx="61">
                  <c:v>7.9624717736109991E-4</c:v>
                </c:pt>
                <c:pt idx="62">
                  <c:v>7.7677398820490292E-4</c:v>
                </c:pt>
                <c:pt idx="63">
                  <c:v>7.7028292515283721E-4</c:v>
                </c:pt>
                <c:pt idx="64">
                  <c:v>7.6379186210077162E-4</c:v>
                </c:pt>
                <c:pt idx="65">
                  <c:v>7.5730079904870603E-4</c:v>
                </c:pt>
                <c:pt idx="66">
                  <c:v>7.5080973599664033E-4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'3MSynthDepo_allScenario'!$BJ$6:$BJ$135</c:f>
              <c:numCache>
                <c:formatCode>0.0000%</c:formatCode>
                <c:ptCount val="130"/>
                <c:pt idx="0">
                  <c:v>1.9865246647883666E-3</c:v>
                </c:pt>
                <c:pt idx="1">
                  <c:v>1.9433114072207891E-3</c:v>
                </c:pt>
                <c:pt idx="2">
                  <c:v>1.818214586416883E-3</c:v>
                </c:pt>
                <c:pt idx="3">
                  <c:v>1.778029963448523E-3</c:v>
                </c:pt>
                <c:pt idx="4">
                  <c:v>1.7386024991299675E-3</c:v>
                </c:pt>
                <c:pt idx="5">
                  <c:v>1.6999321934612161E-3</c:v>
                </c:pt>
                <c:pt idx="6">
                  <c:v>1.6620190464422693E-3</c:v>
                </c:pt>
                <c:pt idx="7">
                  <c:v>1.5528225572842547E-3</c:v>
                </c:pt>
                <c:pt idx="8">
                  <c:v>1.5179380448645254E-3</c:v>
                </c:pt>
                <c:pt idx="9">
                  <c:v>1.4838106910946001E-3</c:v>
                </c:pt>
                <c:pt idx="10">
                  <c:v>1.4504404959744793E-3</c:v>
                </c:pt>
                <c:pt idx="11">
                  <c:v>1.4178274595041632E-3</c:v>
                </c:pt>
                <c:pt idx="12">
                  <c:v>1.3245313019920402E-3</c:v>
                </c:pt>
                <c:pt idx="13">
                  <c:v>1.2949469001209413E-3</c:v>
                </c:pt>
                <c:pt idx="14">
                  <c:v>1.2661196568996467E-3</c:v>
                </c:pt>
                <c:pt idx="15">
                  <c:v>1.2380495723281568E-3</c:v>
                </c:pt>
                <c:pt idx="16">
                  <c:v>1.2107366464064709E-3</c:v>
                </c:pt>
                <c:pt idx="17">
                  <c:v>1.1333408205402395E-3</c:v>
                </c:pt>
                <c:pt idx="18">
                  <c:v>1.1090565292177714E-3</c:v>
                </c:pt>
                <c:pt idx="19">
                  <c:v>1.0855293965451071E-3</c:v>
                </c:pt>
                <c:pt idx="20">
                  <c:v>1.0627594225222476E-3</c:v>
                </c:pt>
                <c:pt idx="21">
                  <c:v>1.0407466071491924E-3</c:v>
                </c:pt>
                <c:pt idx="22">
                  <c:v>9.7925111292885289E-4</c:v>
                </c:pt>
                <c:pt idx="23">
                  <c:v>9.6026693215501505E-4</c:v>
                </c:pt>
                <c:pt idx="24">
                  <c:v>9.4203991003098154E-4</c:v>
                </c:pt>
                <c:pt idx="25">
                  <c:v>9.2457004655675237E-4</c:v>
                </c:pt>
                <c:pt idx="26">
                  <c:v>9.0785734173232796E-4</c:v>
                </c:pt>
                <c:pt idx="27">
                  <c:v>8.6226217915787986E-4</c:v>
                </c:pt>
                <c:pt idx="28">
                  <c:v>8.4857810893267268E-4</c:v>
                </c:pt>
                <c:pt idx="29">
                  <c:v>8.3565119735726971E-4</c:v>
                </c:pt>
                <c:pt idx="30">
                  <c:v>8.2348144443167141E-4</c:v>
                </c:pt>
                <c:pt idx="31">
                  <c:v>8.1206885015587711E-4</c:v>
                </c:pt>
                <c:pt idx="32">
                  <c:v>7.8237401922732108E-4</c:v>
                </c:pt>
                <c:pt idx="33">
                  <c:v>7.7399005955074412E-4</c:v>
                </c:pt>
                <c:pt idx="34">
                  <c:v>7.6636325852397203E-4</c:v>
                </c:pt>
                <c:pt idx="35">
                  <c:v>7.5949361614700383E-4</c:v>
                </c:pt>
                <c:pt idx="36">
                  <c:v>7.5338113241984041E-4</c:v>
                </c:pt>
                <c:pt idx="37">
                  <c:v>7.3958663313717591E-4</c:v>
                </c:pt>
                <c:pt idx="38">
                  <c:v>7.3650278400922949E-4</c:v>
                </c:pt>
                <c:pt idx="39">
                  <c:v>7.3417609353108784E-4</c:v>
                </c:pt>
                <c:pt idx="40">
                  <c:v>7.326065617027503E-4</c:v>
                </c:pt>
                <c:pt idx="41">
                  <c:v>7.3179418852421753E-4</c:v>
                </c:pt>
                <c:pt idx="42">
                  <c:v>7.3390002088744477E-4</c:v>
                </c:pt>
                <c:pt idx="43">
                  <c:v>7.3611628230812868E-4</c:v>
                </c:pt>
                <c:pt idx="44">
                  <c:v>7.3908970237861779E-4</c:v>
                </c:pt>
                <c:pt idx="45">
                  <c:v>7.4282028109891058E-4</c:v>
                </c:pt>
                <c:pt idx="46">
                  <c:v>7.4730801846900835E-4</c:v>
                </c:pt>
                <c:pt idx="47">
                  <c:v>7.6531418247812702E-4</c:v>
                </c:pt>
                <c:pt idx="48">
                  <c:v>7.7283055444744191E-4</c:v>
                </c:pt>
                <c:pt idx="49">
                  <c:v>7.8110408506656135E-4</c:v>
                </c:pt>
                <c:pt idx="50">
                  <c:v>7.901347743354849E-4</c:v>
                </c:pt>
                <c:pt idx="51">
                  <c:v>7.99922622254213E-4</c:v>
                </c:pt>
                <c:pt idx="52">
                  <c:v>8.3382911790922352E-4</c:v>
                </c:pt>
                <c:pt idx="53">
                  <c:v>8.4664560042716896E-4</c:v>
                </c:pt>
                <c:pt idx="54">
                  <c:v>8.6021924159491872E-4</c:v>
                </c:pt>
                <c:pt idx="55">
                  <c:v>8.7455004141247282E-4</c:v>
                </c:pt>
                <c:pt idx="56">
                  <c:v>8.8963799987983169E-4</c:v>
                </c:pt>
                <c:pt idx="57">
                  <c:v>9.3944482718073385E-4</c:v>
                </c:pt>
                <c:pt idx="58">
                  <c:v>9.5756142024730961E-4</c:v>
                </c:pt>
                <c:pt idx="59">
                  <c:v>9.7643517196369057E-4</c:v>
                </c:pt>
                <c:pt idx="60">
                  <c:v>9.9606608232987543E-4</c:v>
                </c:pt>
                <c:pt idx="61">
                  <c:v>1.0164541513458642E-3</c:v>
                </c:pt>
                <c:pt idx="62">
                  <c:v>1.0821613102926582E-3</c:v>
                </c:pt>
                <c:pt idx="63">
                  <c:v>1.1055780139078647E-3</c:v>
                </c:pt>
                <c:pt idx="64">
                  <c:v>1.1297518761728756E-3</c:v>
                </c:pt>
                <c:pt idx="65">
                  <c:v>1.1546828970876903E-3</c:v>
                </c:pt>
                <c:pt idx="66">
                  <c:v>1.1803710766523107E-3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'3MSynthDepo_allScenario'!$BK$6:$BK$135</c:f>
              <c:numCache>
                <c:formatCode>0.0000%</c:formatCode>
                <c:ptCount val="130"/>
                <c:pt idx="0">
                  <c:v>6.7865929035962206E-4</c:v>
                </c:pt>
                <c:pt idx="1">
                  <c:v>6.8503992435423066E-4</c:v>
                </c:pt>
                <c:pt idx="2">
                  <c:v>7.0418182633805648E-4</c:v>
                </c:pt>
                <c:pt idx="3">
                  <c:v>7.1056246033266508E-4</c:v>
                </c:pt>
                <c:pt idx="4">
                  <c:v>7.1694309432727369E-4</c:v>
                </c:pt>
                <c:pt idx="5">
                  <c:v>7.233237283218823E-4</c:v>
                </c:pt>
                <c:pt idx="6">
                  <c:v>7.297043623164909E-4</c:v>
                </c:pt>
                <c:pt idx="7">
                  <c:v>7.4884626430031672E-4</c:v>
                </c:pt>
                <c:pt idx="8">
                  <c:v>7.5522689829492532E-4</c:v>
                </c:pt>
                <c:pt idx="9">
                  <c:v>7.6160753228953382E-4</c:v>
                </c:pt>
                <c:pt idx="10">
                  <c:v>7.6798816628414243E-4</c:v>
                </c:pt>
                <c:pt idx="11">
                  <c:v>7.7436880027875103E-4</c:v>
                </c:pt>
                <c:pt idx="12">
                  <c:v>7.9351070226257685E-4</c:v>
                </c:pt>
                <c:pt idx="13">
                  <c:v>7.9989133625718546E-4</c:v>
                </c:pt>
                <c:pt idx="14">
                  <c:v>8.0627197025179406E-4</c:v>
                </c:pt>
                <c:pt idx="15">
                  <c:v>8.1265260424640267E-4</c:v>
                </c:pt>
                <c:pt idx="16">
                  <c:v>8.1903323824101127E-4</c:v>
                </c:pt>
                <c:pt idx="17">
                  <c:v>8.3817514022483709E-4</c:v>
                </c:pt>
                <c:pt idx="18">
                  <c:v>8.445557742194457E-4</c:v>
                </c:pt>
                <c:pt idx="19">
                  <c:v>8.509364082140543E-4</c:v>
                </c:pt>
                <c:pt idx="20">
                  <c:v>8.5731704220866291E-4</c:v>
                </c:pt>
                <c:pt idx="21">
                  <c:v>8.6369767620327151E-4</c:v>
                </c:pt>
                <c:pt idx="22">
                  <c:v>8.8283957818709733E-4</c:v>
                </c:pt>
                <c:pt idx="23">
                  <c:v>8.8922021218170583E-4</c:v>
                </c:pt>
                <c:pt idx="24">
                  <c:v>8.9560084617631443E-4</c:v>
                </c:pt>
                <c:pt idx="25">
                  <c:v>9.0198148017092304E-4</c:v>
                </c:pt>
                <c:pt idx="26">
                  <c:v>9.0836211416553164E-4</c:v>
                </c:pt>
                <c:pt idx="27">
                  <c:v>9.2750401614935746E-4</c:v>
                </c:pt>
                <c:pt idx="28">
                  <c:v>9.3388465014396607E-4</c:v>
                </c:pt>
                <c:pt idx="29">
                  <c:v>9.4026528413857467E-4</c:v>
                </c:pt>
                <c:pt idx="30">
                  <c:v>9.4664591813318328E-4</c:v>
                </c:pt>
                <c:pt idx="31">
                  <c:v>9.5302655212779188E-4</c:v>
                </c:pt>
                <c:pt idx="32">
                  <c:v>9.721684541116177E-4</c:v>
                </c:pt>
                <c:pt idx="33">
                  <c:v>9.7854908810622631E-4</c:v>
                </c:pt>
                <c:pt idx="34">
                  <c:v>9.8492972210083491E-4</c:v>
                </c:pt>
                <c:pt idx="35">
                  <c:v>9.9131035609544352E-4</c:v>
                </c:pt>
                <c:pt idx="36">
                  <c:v>9.9769099009005212E-4</c:v>
                </c:pt>
                <c:pt idx="37">
                  <c:v>1.0168328920738779E-3</c:v>
                </c:pt>
                <c:pt idx="38">
                  <c:v>1.0232135260684865E-3</c:v>
                </c:pt>
                <c:pt idx="39">
                  <c:v>1.0295941600630952E-3</c:v>
                </c:pt>
                <c:pt idx="40">
                  <c:v>1.0359747940577038E-3</c:v>
                </c:pt>
                <c:pt idx="41">
                  <c:v>1.0423554280523124E-3</c:v>
                </c:pt>
                <c:pt idx="42">
                  <c:v>1.061497330036138E-3</c:v>
                </c:pt>
                <c:pt idx="43">
                  <c:v>1.0678779640307468E-3</c:v>
                </c:pt>
                <c:pt idx="44">
                  <c:v>1.0742585980253552E-3</c:v>
                </c:pt>
                <c:pt idx="45">
                  <c:v>1.080639232019964E-3</c:v>
                </c:pt>
                <c:pt idx="46">
                  <c:v>1.0870198660145726E-3</c:v>
                </c:pt>
                <c:pt idx="47">
                  <c:v>1.1061617679983984E-3</c:v>
                </c:pt>
                <c:pt idx="48">
                  <c:v>1.1125424019930068E-3</c:v>
                </c:pt>
                <c:pt idx="49">
                  <c:v>1.1189230359876156E-3</c:v>
                </c:pt>
                <c:pt idx="50">
                  <c:v>1.125303669982224E-3</c:v>
                </c:pt>
                <c:pt idx="51">
                  <c:v>1.1316843039768326E-3</c:v>
                </c:pt>
                <c:pt idx="52">
                  <c:v>1.1508262059606584E-3</c:v>
                </c:pt>
                <c:pt idx="53">
                  <c:v>1.1572068399552673E-3</c:v>
                </c:pt>
                <c:pt idx="54">
                  <c:v>1.1635874739498757E-3</c:v>
                </c:pt>
                <c:pt idx="55">
                  <c:v>1.1699681079444843E-3</c:v>
                </c:pt>
                <c:pt idx="56">
                  <c:v>1.1763487419390929E-3</c:v>
                </c:pt>
                <c:pt idx="57">
                  <c:v>1.1954906439229189E-3</c:v>
                </c:pt>
                <c:pt idx="58">
                  <c:v>1.2018712779175273E-3</c:v>
                </c:pt>
                <c:pt idx="59">
                  <c:v>1.2082519119121361E-3</c:v>
                </c:pt>
                <c:pt idx="60">
                  <c:v>1.2146325459067445E-3</c:v>
                </c:pt>
                <c:pt idx="61">
                  <c:v>1.2210131799013531E-3</c:v>
                </c:pt>
                <c:pt idx="62">
                  <c:v>1.2401550818851789E-3</c:v>
                </c:pt>
                <c:pt idx="63">
                  <c:v>1.2465357158797875E-3</c:v>
                </c:pt>
                <c:pt idx="64">
                  <c:v>1.2529163498743961E-3</c:v>
                </c:pt>
                <c:pt idx="65">
                  <c:v>1.2592969838690047E-3</c:v>
                </c:pt>
                <c:pt idx="66">
                  <c:v>1.2656776178636133E-3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'3MSynthDepo_allScenario'!$BL$6:$BL$135</c:f>
              <c:numCache>
                <c:formatCode>0.0000%</c:formatCode>
                <c:ptCount val="130"/>
                <c:pt idx="0">
                  <c:v>4.8920450520901625E-4</c:v>
                </c:pt>
                <c:pt idx="1">
                  <c:v>5.0276921200989545E-4</c:v>
                </c:pt>
                <c:pt idx="2">
                  <c:v>5.4280524940737826E-4</c:v>
                </c:pt>
                <c:pt idx="3">
                  <c:v>5.5593123420482108E-4</c:v>
                </c:pt>
                <c:pt idx="4">
                  <c:v>5.6894753850140469E-4</c:v>
                </c:pt>
                <c:pt idx="5">
                  <c:v>5.8185416229712943E-4</c:v>
                </c:pt>
                <c:pt idx="6">
                  <c:v>5.9465110559199486E-4</c:v>
                </c:pt>
                <c:pt idx="7">
                  <c:v>6.3238385247143668E-4</c:v>
                </c:pt>
                <c:pt idx="8">
                  <c:v>6.4474207376286595E-4</c:v>
                </c:pt>
                <c:pt idx="9">
                  <c:v>6.5699061455343601E-4</c:v>
                </c:pt>
                <c:pt idx="10">
                  <c:v>6.6912947484314687E-4</c:v>
                </c:pt>
                <c:pt idx="11">
                  <c:v>6.8115865463199863E-4</c:v>
                </c:pt>
                <c:pt idx="12">
                  <c:v>7.1658811099339968E-4</c:v>
                </c:pt>
                <c:pt idx="13">
                  <c:v>7.2817856877881518E-4</c:v>
                </c:pt>
                <c:pt idx="14">
                  <c:v>7.3965934606337158E-4</c:v>
                </c:pt>
                <c:pt idx="15">
                  <c:v>7.5103044284706899E-4</c:v>
                </c:pt>
                <c:pt idx="16">
                  <c:v>7.6229185912990709E-4</c:v>
                </c:pt>
                <c:pt idx="17">
                  <c:v>7.9541802497326726E-4</c:v>
                </c:pt>
                <c:pt idx="18">
                  <c:v>8.0624071925266899E-4</c:v>
                </c:pt>
                <c:pt idx="19">
                  <c:v>8.1695373303121172E-4</c:v>
                </c:pt>
                <c:pt idx="20">
                  <c:v>8.2755706630889547E-4</c:v>
                </c:pt>
                <c:pt idx="21">
                  <c:v>8.3805071908572002E-4</c:v>
                </c:pt>
                <c:pt idx="22">
                  <c:v>8.688735944110392E-4</c:v>
                </c:pt>
                <c:pt idx="23">
                  <c:v>8.7892852518442737E-4</c:v>
                </c:pt>
                <c:pt idx="24">
                  <c:v>8.8887377545695634E-4</c:v>
                </c:pt>
                <c:pt idx="25">
                  <c:v>8.9870934522862642E-4</c:v>
                </c:pt>
                <c:pt idx="26">
                  <c:v>9.0843523449943742E-4</c:v>
                </c:pt>
                <c:pt idx="27">
                  <c:v>9.369548193067154E-4</c:v>
                </c:pt>
                <c:pt idx="28">
                  <c:v>9.462419865740899E-4</c:v>
                </c:pt>
                <c:pt idx="29">
                  <c:v>9.5541947334060553E-4</c:v>
                </c:pt>
                <c:pt idx="30">
                  <c:v>9.6448727960626206E-4</c:v>
                </c:pt>
                <c:pt idx="31">
                  <c:v>9.7344540537105929E-4</c:v>
                </c:pt>
                <c:pt idx="32">
                  <c:v>9.9966169966029628E-4</c:v>
                </c:pt>
                <c:pt idx="33">
                  <c:v>1.0081811034216572E-3</c:v>
                </c:pt>
                <c:pt idx="34">
                  <c:v>1.0165908266821589E-3</c:v>
                </c:pt>
                <c:pt idx="35">
                  <c:v>1.0248908694418018E-3</c:v>
                </c:pt>
                <c:pt idx="36">
                  <c:v>1.0330812317005855E-3</c:v>
                </c:pt>
                <c:pt idx="37">
                  <c:v>1.0569942354717817E-3</c:v>
                </c:pt>
                <c:pt idx="38">
                  <c:v>1.064745875727129E-3</c:v>
                </c:pt>
                <c:pt idx="39">
                  <c:v>1.0723878354816172E-3</c:v>
                </c:pt>
                <c:pt idx="40">
                  <c:v>1.0799201147352463E-3</c:v>
                </c:pt>
                <c:pt idx="41">
                  <c:v>1.0873427134880161E-3</c:v>
                </c:pt>
                <c:pt idx="42">
                  <c:v>1.1089524267411716E-3</c:v>
                </c:pt>
                <c:pt idx="43">
                  <c:v>1.1159363034905052E-3</c:v>
                </c:pt>
                <c:pt idx="44">
                  <c:v>1.1228104997389795E-3</c:v>
                </c:pt>
                <c:pt idx="45">
                  <c:v>1.1295750154865949E-3</c:v>
                </c:pt>
                <c:pt idx="46">
                  <c:v>1.1362298507333515E-3</c:v>
                </c:pt>
                <c:pt idx="47">
                  <c:v>1.1555362734684659E-3</c:v>
                </c:pt>
                <c:pt idx="48">
                  <c:v>1.1617523867117859E-3</c:v>
                </c:pt>
                <c:pt idx="49">
                  <c:v>1.1678588194542466E-3</c:v>
                </c:pt>
                <c:pt idx="50">
                  <c:v>1.1738555716958483E-3</c:v>
                </c:pt>
                <c:pt idx="51">
                  <c:v>1.179742643436591E-3</c:v>
                </c:pt>
                <c:pt idx="52">
                  <c:v>1.1967457756536647E-3</c:v>
                </c:pt>
                <c:pt idx="53">
                  <c:v>1.202194125390971E-3</c:v>
                </c:pt>
                <c:pt idx="54">
                  <c:v>1.2075327946274182E-3</c:v>
                </c:pt>
                <c:pt idx="55">
                  <c:v>1.2127617833630061E-3</c:v>
                </c:pt>
                <c:pt idx="56">
                  <c:v>1.2178810915977351E-3</c:v>
                </c:pt>
                <c:pt idx="57">
                  <c:v>1.232580933296768E-3</c:v>
                </c:pt>
                <c:pt idx="58">
                  <c:v>1.2372615195280607E-3</c:v>
                </c:pt>
                <c:pt idx="59">
                  <c:v>1.241832425258494E-3</c:v>
                </c:pt>
                <c:pt idx="60">
                  <c:v>1.2462936504880685E-3</c:v>
                </c:pt>
                <c:pt idx="61">
                  <c:v>1.250645195216784E-3</c:v>
                </c:pt>
                <c:pt idx="62">
                  <c:v>1.2630417463977753E-3</c:v>
                </c:pt>
                <c:pt idx="63">
                  <c:v>1.2669545691230547E-3</c:v>
                </c:pt>
                <c:pt idx="64">
                  <c:v>1.2707577113474746E-3</c:v>
                </c:pt>
                <c:pt idx="65">
                  <c:v>1.2744511730710354E-3</c:v>
                </c:pt>
                <c:pt idx="66">
                  <c:v>1.2780349542937373E-3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7392"/>
        <c:axId val="467407616"/>
      </c:lineChart>
      <c:dateAx>
        <c:axId val="4641073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6740761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4674076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64107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'3MSynthDepo_allScenario'!$BM$6:$BM$135</c:f>
              <c:numCache>
                <c:formatCode>0.0000%</c:formatCode>
                <c:ptCount val="130"/>
                <c:pt idx="0">
                  <c:v>1.3478346863614382E-3</c:v>
                </c:pt>
                <c:pt idx="1">
                  <c:v>1.341343222807712E-3</c:v>
                </c:pt>
                <c:pt idx="2">
                  <c:v>1.3218688321465332E-3</c:v>
                </c:pt>
                <c:pt idx="3">
                  <c:v>1.3153773685928068E-3</c:v>
                </c:pt>
                <c:pt idx="4">
                  <c:v>1.3088859050390807E-3</c:v>
                </c:pt>
                <c:pt idx="5">
                  <c:v>1.3023944414853545E-3</c:v>
                </c:pt>
                <c:pt idx="6">
                  <c:v>1.2959029779316281E-3</c:v>
                </c:pt>
                <c:pt idx="7">
                  <c:v>1.2764285872704493E-3</c:v>
                </c:pt>
                <c:pt idx="8">
                  <c:v>1.2699371237167231E-3</c:v>
                </c:pt>
                <c:pt idx="9">
                  <c:v>1.2634456601629969E-3</c:v>
                </c:pt>
                <c:pt idx="10">
                  <c:v>1.2569541966092708E-3</c:v>
                </c:pt>
                <c:pt idx="11">
                  <c:v>1.2504627330555444E-3</c:v>
                </c:pt>
                <c:pt idx="12">
                  <c:v>1.2309883423943656E-3</c:v>
                </c:pt>
                <c:pt idx="13">
                  <c:v>1.2244968788406394E-3</c:v>
                </c:pt>
                <c:pt idx="14">
                  <c:v>1.2180054152869132E-3</c:v>
                </c:pt>
                <c:pt idx="15">
                  <c:v>1.2115139517331868E-3</c:v>
                </c:pt>
                <c:pt idx="16">
                  <c:v>1.2050224881794607E-3</c:v>
                </c:pt>
                <c:pt idx="17">
                  <c:v>1.1855480975182819E-3</c:v>
                </c:pt>
                <c:pt idx="18">
                  <c:v>1.1790566339645557E-3</c:v>
                </c:pt>
                <c:pt idx="19">
                  <c:v>1.1725651704108295E-3</c:v>
                </c:pt>
                <c:pt idx="20">
                  <c:v>1.1660737068571031E-3</c:v>
                </c:pt>
                <c:pt idx="21">
                  <c:v>1.1595822433033769E-3</c:v>
                </c:pt>
                <c:pt idx="22">
                  <c:v>1.1401078526421982E-3</c:v>
                </c:pt>
                <c:pt idx="23">
                  <c:v>1.133616389088472E-3</c:v>
                </c:pt>
                <c:pt idx="24">
                  <c:v>1.1271249255347456E-3</c:v>
                </c:pt>
                <c:pt idx="25">
                  <c:v>1.1206334619810194E-3</c:v>
                </c:pt>
                <c:pt idx="26">
                  <c:v>1.114141998427293E-3</c:v>
                </c:pt>
                <c:pt idx="27">
                  <c:v>1.0946676077661145E-3</c:v>
                </c:pt>
                <c:pt idx="28">
                  <c:v>1.0881761442123883E-3</c:v>
                </c:pt>
                <c:pt idx="29">
                  <c:v>1.0816846806586619E-3</c:v>
                </c:pt>
                <c:pt idx="30">
                  <c:v>1.0751932171049357E-3</c:v>
                </c:pt>
                <c:pt idx="31">
                  <c:v>1.0687017535512093E-3</c:v>
                </c:pt>
                <c:pt idx="32">
                  <c:v>1.0492273628900308E-3</c:v>
                </c:pt>
                <c:pt idx="33">
                  <c:v>1.0427358993363044E-3</c:v>
                </c:pt>
                <c:pt idx="34">
                  <c:v>1.0362444357825782E-3</c:v>
                </c:pt>
                <c:pt idx="35">
                  <c:v>1.0297529722288518E-3</c:v>
                </c:pt>
                <c:pt idx="36">
                  <c:v>1.0232615086751256E-3</c:v>
                </c:pt>
                <c:pt idx="37">
                  <c:v>1.0037871180139468E-3</c:v>
                </c:pt>
                <c:pt idx="38">
                  <c:v>9.9729565446022065E-4</c:v>
                </c:pt>
                <c:pt idx="39">
                  <c:v>9.9080419090649425E-4</c:v>
                </c:pt>
                <c:pt idx="40">
                  <c:v>9.8431272735276807E-4</c:v>
                </c:pt>
                <c:pt idx="41">
                  <c:v>9.7782126379904188E-4</c:v>
                </c:pt>
                <c:pt idx="42">
                  <c:v>9.5834687313786312E-4</c:v>
                </c:pt>
                <c:pt idx="43">
                  <c:v>9.5185540958413683E-4</c:v>
                </c:pt>
                <c:pt idx="44">
                  <c:v>9.4536394603041065E-4</c:v>
                </c:pt>
                <c:pt idx="45">
                  <c:v>9.3887248247668436E-4</c:v>
                </c:pt>
                <c:pt idx="46">
                  <c:v>9.3238101892295817E-4</c:v>
                </c:pt>
                <c:pt idx="47">
                  <c:v>9.1290662826177941E-4</c:v>
                </c:pt>
                <c:pt idx="48">
                  <c:v>9.0641516470805312E-4</c:v>
                </c:pt>
                <c:pt idx="49">
                  <c:v>8.9992370115432683E-4</c:v>
                </c:pt>
                <c:pt idx="50">
                  <c:v>8.9343223760060065E-4</c:v>
                </c:pt>
                <c:pt idx="51">
                  <c:v>8.8694077404687436E-4</c:v>
                </c:pt>
                <c:pt idx="52">
                  <c:v>8.674663833856957E-4</c:v>
                </c:pt>
                <c:pt idx="53">
                  <c:v>8.609749198319693E-4</c:v>
                </c:pt>
                <c:pt idx="54">
                  <c:v>8.5448345627824312E-4</c:v>
                </c:pt>
                <c:pt idx="55">
                  <c:v>8.4799199272451683E-4</c:v>
                </c:pt>
                <c:pt idx="56">
                  <c:v>8.4150052917079054E-4</c:v>
                </c:pt>
                <c:pt idx="57">
                  <c:v>8.2202613850961188E-4</c:v>
                </c:pt>
                <c:pt idx="58">
                  <c:v>8.1553467495588559E-4</c:v>
                </c:pt>
                <c:pt idx="59">
                  <c:v>8.090432114021593E-4</c:v>
                </c:pt>
                <c:pt idx="60">
                  <c:v>8.0255174784843312E-4</c:v>
                </c:pt>
                <c:pt idx="61">
                  <c:v>7.9606028429470683E-4</c:v>
                </c:pt>
                <c:pt idx="62">
                  <c:v>7.7658589363352806E-4</c:v>
                </c:pt>
                <c:pt idx="63">
                  <c:v>7.7009443007980177E-4</c:v>
                </c:pt>
                <c:pt idx="64">
                  <c:v>7.6360296652607559E-4</c:v>
                </c:pt>
                <c:pt idx="65">
                  <c:v>7.5711150297234941E-4</c:v>
                </c:pt>
                <c:pt idx="66">
                  <c:v>7.5062003941862312E-4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'3MSynthDepo_allScenario'!$BN$6:$BN$135</c:f>
              <c:numCache>
                <c:formatCode>0.0000%</c:formatCode>
                <c:ptCount val="130"/>
                <c:pt idx="0">
                  <c:v>1.9863555834756341E-3</c:v>
                </c:pt>
                <c:pt idx="1">
                  <c:v>1.9431428588428108E-3</c:v>
                </c:pt>
                <c:pt idx="2">
                  <c:v>1.8180475213664972E-3</c:v>
                </c:pt>
                <c:pt idx="3">
                  <c:v>1.7778633543484449E-3</c:v>
                </c:pt>
                <c:pt idx="4">
                  <c:v>1.7384363267340852E-3</c:v>
                </c:pt>
                <c:pt idx="5">
                  <c:v>1.6997664385234182E-3</c:v>
                </c:pt>
                <c:pt idx="6">
                  <c:v>1.6618536897164441E-3</c:v>
                </c:pt>
                <c:pt idx="7">
                  <c:v>1.5526582797176778E-3</c:v>
                </c:pt>
                <c:pt idx="8">
                  <c:v>1.5177740885254744E-3</c:v>
                </c:pt>
                <c:pt idx="9">
                  <c:v>1.4836470367369638E-3</c:v>
                </c:pt>
                <c:pt idx="10">
                  <c:v>1.4502771243521458E-3</c:v>
                </c:pt>
                <c:pt idx="11">
                  <c:v>1.4176643513710207E-3</c:v>
                </c:pt>
                <c:pt idx="12">
                  <c:v>1.3243688688498016E-3</c:v>
                </c:pt>
                <c:pt idx="13">
                  <c:v>1.294784653483447E-3</c:v>
                </c:pt>
                <c:pt idx="14">
                  <c:v>1.2659575775207856E-3</c:v>
                </c:pt>
                <c:pt idx="15">
                  <c:v>1.2378876409618166E-3</c:v>
                </c:pt>
                <c:pt idx="16">
                  <c:v>1.2105748438065408E-3</c:v>
                </c:pt>
                <c:pt idx="17">
                  <c:v>1.1331792887628684E-3</c:v>
                </c:pt>
                <c:pt idx="18">
                  <c:v>1.1088950492223635E-3</c:v>
                </c:pt>
                <c:pt idx="19">
                  <c:v>1.0853679490855509E-3</c:v>
                </c:pt>
                <c:pt idx="20">
                  <c:v>1.0625979883524309E-3</c:v>
                </c:pt>
                <c:pt idx="21">
                  <c:v>1.0405851670230041E-3</c:v>
                </c:pt>
                <c:pt idx="22">
                  <c:v>9.7908953945687917E-4</c:v>
                </c:pt>
                <c:pt idx="23">
                  <c:v>9.6010527574222305E-4</c:v>
                </c:pt>
                <c:pt idx="24">
                  <c:v>9.418781514312594E-4</c:v>
                </c:pt>
                <c:pt idx="25">
                  <c:v>9.2440816652398865E-4</c:v>
                </c:pt>
                <c:pt idx="26">
                  <c:v>9.076953210204108E-4</c:v>
                </c:pt>
                <c:pt idx="27">
                  <c:v>8.6209962093183304E-4</c:v>
                </c:pt>
                <c:pt idx="28">
                  <c:v>8.4841533304302614E-4</c:v>
                </c:pt>
                <c:pt idx="29">
                  <c:v>8.354881845579115E-4</c:v>
                </c:pt>
                <c:pt idx="30">
                  <c:v>8.2331817547648986E-4</c:v>
                </c:pt>
                <c:pt idx="31">
                  <c:v>8.1190530579876091E-4</c:v>
                </c:pt>
                <c:pt idx="32">
                  <c:v>7.8220953318773037E-4</c:v>
                </c:pt>
                <c:pt idx="33">
                  <c:v>7.7382522112477248E-4</c:v>
                </c:pt>
                <c:pt idx="34">
                  <c:v>7.6619804846550716E-4</c:v>
                </c:pt>
                <c:pt idx="35">
                  <c:v>7.593280152099342E-4</c:v>
                </c:pt>
                <c:pt idx="36">
                  <c:v>7.5321512135805436E-4</c:v>
                </c:pt>
                <c:pt idx="37">
                  <c:v>7.3941927622457127E-4</c:v>
                </c:pt>
                <c:pt idx="38">
                  <c:v>7.3633493998746238E-4</c:v>
                </c:pt>
                <c:pt idx="39">
                  <c:v>7.3400774315404553E-4</c:v>
                </c:pt>
                <c:pt idx="40">
                  <c:v>7.32437685724322E-4</c:v>
                </c:pt>
                <c:pt idx="41">
                  <c:v>7.3162476769829139E-4</c:v>
                </c:pt>
                <c:pt idx="42">
                  <c:v>7.3372885004235541E-4</c:v>
                </c:pt>
                <c:pt idx="43">
                  <c:v>7.3594448963109531E-4</c:v>
                </c:pt>
                <c:pt idx="44">
                  <c:v>7.3891726862352768E-4</c:v>
                </c:pt>
                <c:pt idx="45">
                  <c:v>7.4264718701965338E-4</c:v>
                </c:pt>
                <c:pt idx="46">
                  <c:v>7.4713424481947155E-4</c:v>
                </c:pt>
                <c:pt idx="47">
                  <c:v>7.651382546410828E-4</c:v>
                </c:pt>
                <c:pt idx="48">
                  <c:v>7.7265387005567149E-4</c:v>
                </c:pt>
                <c:pt idx="49">
                  <c:v>7.8092662487395351E-4</c:v>
                </c:pt>
                <c:pt idx="50">
                  <c:v>7.89956519095928E-4</c:v>
                </c:pt>
                <c:pt idx="51">
                  <c:v>7.9974355272159538E-4</c:v>
                </c:pt>
                <c:pt idx="52">
                  <c:v>8.33647490020753E-4</c:v>
                </c:pt>
                <c:pt idx="53">
                  <c:v>8.4646308126119178E-4</c:v>
                </c:pt>
                <c:pt idx="54">
                  <c:v>8.6003581190532237E-4</c:v>
                </c:pt>
                <c:pt idx="55">
                  <c:v>8.7436568195314607E-4</c:v>
                </c:pt>
                <c:pt idx="56">
                  <c:v>8.8945269140466247E-4</c:v>
                </c:pt>
                <c:pt idx="57">
                  <c:v>9.3925655618136775E-4</c:v>
                </c:pt>
                <c:pt idx="58">
                  <c:v>9.5737212324765487E-4</c:v>
                </c:pt>
                <c:pt idx="59">
                  <c:v>9.7624482971763512E-4</c:v>
                </c:pt>
                <c:pt idx="60">
                  <c:v>9.9587467559130761E-4</c:v>
                </c:pt>
                <c:pt idx="61">
                  <c:v>1.0162616608686732E-3</c:v>
                </c:pt>
                <c:pt idx="62">
                  <c:v>1.0819654531229253E-3</c:v>
                </c:pt>
                <c:pt idx="63">
                  <c:v>1.1053809960150617E-3</c:v>
                </c:pt>
                <c:pt idx="64">
                  <c:v>1.1295536783108907E-3</c:v>
                </c:pt>
                <c:pt idx="65">
                  <c:v>1.154483500010412E-3</c:v>
                </c:pt>
                <c:pt idx="66">
                  <c:v>1.1801704611136264E-3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'3MSynthDepo_allScenario'!$BO$6:$BO$135</c:f>
              <c:numCache>
                <c:formatCode>0.0000%</c:formatCode>
                <c:ptCount val="130"/>
                <c:pt idx="0">
                  <c:v>6.7852345349707268E-4</c:v>
                </c:pt>
                <c:pt idx="1">
                  <c:v>6.8490335980612267E-4</c:v>
                </c:pt>
                <c:pt idx="2">
                  <c:v>7.0404307873327273E-4</c:v>
                </c:pt>
                <c:pt idx="3">
                  <c:v>7.1042298504232272E-4</c:v>
                </c:pt>
                <c:pt idx="4">
                  <c:v>7.168028913513727E-4</c:v>
                </c:pt>
                <c:pt idx="5">
                  <c:v>7.231827976604228E-4</c:v>
                </c:pt>
                <c:pt idx="6">
                  <c:v>7.2956270396947278E-4</c:v>
                </c:pt>
                <c:pt idx="7">
                  <c:v>7.4870242289662285E-4</c:v>
                </c:pt>
                <c:pt idx="8">
                  <c:v>7.5508232920567283E-4</c:v>
                </c:pt>
                <c:pt idx="9">
                  <c:v>7.6146223551472282E-4</c:v>
                </c:pt>
                <c:pt idx="10">
                  <c:v>7.678421418237728E-4</c:v>
                </c:pt>
                <c:pt idx="11">
                  <c:v>7.742220481328229E-4</c:v>
                </c:pt>
                <c:pt idx="12">
                  <c:v>7.9336176705997285E-4</c:v>
                </c:pt>
                <c:pt idx="13">
                  <c:v>7.9974167336902295E-4</c:v>
                </c:pt>
                <c:pt idx="14">
                  <c:v>8.0612157967807293E-4</c:v>
                </c:pt>
                <c:pt idx="15">
                  <c:v>8.1250148598712292E-4</c:v>
                </c:pt>
                <c:pt idx="16">
                  <c:v>8.188813922961729E-4</c:v>
                </c:pt>
                <c:pt idx="17">
                  <c:v>8.3802111122332297E-4</c:v>
                </c:pt>
                <c:pt idx="18">
                  <c:v>8.4440101753237296E-4</c:v>
                </c:pt>
                <c:pt idx="19">
                  <c:v>8.5078092384142305E-4</c:v>
                </c:pt>
                <c:pt idx="20">
                  <c:v>8.5716083015047303E-4</c:v>
                </c:pt>
                <c:pt idx="21">
                  <c:v>8.6354073645952302E-4</c:v>
                </c:pt>
                <c:pt idx="22">
                  <c:v>8.8268045538667309E-4</c:v>
                </c:pt>
                <c:pt idx="23">
                  <c:v>8.8906036169572307E-4</c:v>
                </c:pt>
                <c:pt idx="24">
                  <c:v>8.9544026800477306E-4</c:v>
                </c:pt>
                <c:pt idx="25">
                  <c:v>9.0182017431382315E-4</c:v>
                </c:pt>
                <c:pt idx="26">
                  <c:v>9.0820008062287314E-4</c:v>
                </c:pt>
                <c:pt idx="27">
                  <c:v>9.2733979955002309E-4</c:v>
                </c:pt>
                <c:pt idx="28">
                  <c:v>9.3371970585907319E-4</c:v>
                </c:pt>
                <c:pt idx="29">
                  <c:v>9.4009961216812317E-4</c:v>
                </c:pt>
                <c:pt idx="30">
                  <c:v>9.4647951847717316E-4</c:v>
                </c:pt>
                <c:pt idx="31">
                  <c:v>9.5285942478622325E-4</c:v>
                </c:pt>
                <c:pt idx="32">
                  <c:v>9.7199914371337321E-4</c:v>
                </c:pt>
                <c:pt idx="33">
                  <c:v>9.7837905002242319E-4</c:v>
                </c:pt>
                <c:pt idx="34">
                  <c:v>9.8475895633147329E-4</c:v>
                </c:pt>
                <c:pt idx="35">
                  <c:v>9.9113886264052316E-4</c:v>
                </c:pt>
                <c:pt idx="36">
                  <c:v>9.9751876894957326E-4</c:v>
                </c:pt>
                <c:pt idx="37">
                  <c:v>1.0166584878767233E-3</c:v>
                </c:pt>
                <c:pt idx="38">
                  <c:v>1.0230383941857734E-3</c:v>
                </c:pt>
                <c:pt idx="39">
                  <c:v>1.0294183004948233E-3</c:v>
                </c:pt>
                <c:pt idx="40">
                  <c:v>1.0357982068038734E-3</c:v>
                </c:pt>
                <c:pt idx="41">
                  <c:v>1.0421781131129235E-3</c:v>
                </c:pt>
                <c:pt idx="42">
                  <c:v>1.0613178320400733E-3</c:v>
                </c:pt>
                <c:pt idx="43">
                  <c:v>1.0676977383491234E-3</c:v>
                </c:pt>
                <c:pt idx="44">
                  <c:v>1.0740776446581733E-3</c:v>
                </c:pt>
                <c:pt idx="45">
                  <c:v>1.0804575509672234E-3</c:v>
                </c:pt>
                <c:pt idx="46">
                  <c:v>1.0868374572762735E-3</c:v>
                </c:pt>
                <c:pt idx="47">
                  <c:v>1.1059771762034236E-3</c:v>
                </c:pt>
                <c:pt idx="48">
                  <c:v>1.1123570825124734E-3</c:v>
                </c:pt>
                <c:pt idx="49">
                  <c:v>1.1187369888215235E-3</c:v>
                </c:pt>
                <c:pt idx="50">
                  <c:v>1.1251168951305736E-3</c:v>
                </c:pt>
                <c:pt idx="51">
                  <c:v>1.1314968014396235E-3</c:v>
                </c:pt>
                <c:pt idx="52">
                  <c:v>1.1506365203667736E-3</c:v>
                </c:pt>
                <c:pt idx="53">
                  <c:v>1.1570164266758237E-3</c:v>
                </c:pt>
                <c:pt idx="54">
                  <c:v>1.1633963329848735E-3</c:v>
                </c:pt>
                <c:pt idx="55">
                  <c:v>1.1697762392939236E-3</c:v>
                </c:pt>
                <c:pt idx="56">
                  <c:v>1.1761561456029735E-3</c:v>
                </c:pt>
                <c:pt idx="57">
                  <c:v>1.1952958645301236E-3</c:v>
                </c:pt>
                <c:pt idx="58">
                  <c:v>1.2016757708391737E-3</c:v>
                </c:pt>
                <c:pt idx="59">
                  <c:v>1.2080556771482238E-3</c:v>
                </c:pt>
                <c:pt idx="60">
                  <c:v>1.2144355834572736E-3</c:v>
                </c:pt>
                <c:pt idx="61">
                  <c:v>1.2208154897663237E-3</c:v>
                </c:pt>
                <c:pt idx="62">
                  <c:v>1.2399552086934736E-3</c:v>
                </c:pt>
                <c:pt idx="63">
                  <c:v>1.2463351150025239E-3</c:v>
                </c:pt>
                <c:pt idx="64">
                  <c:v>1.2527150213115738E-3</c:v>
                </c:pt>
                <c:pt idx="65">
                  <c:v>1.2590949276206236E-3</c:v>
                </c:pt>
                <c:pt idx="66">
                  <c:v>1.2654748339296737E-3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</c:numCache>
            </c:numRef>
          </c:cat>
          <c:val>
            <c:numRef>
              <c:f>'3MSynthDepo_allScenario'!$BP$6:$BP$135</c:f>
              <c:numCache>
                <c:formatCode>0.0000%</c:formatCode>
                <c:ptCount val="130"/>
                <c:pt idx="0">
                  <c:v>4.9016714939429057E-4</c:v>
                </c:pt>
                <c:pt idx="1">
                  <c:v>5.0368947441352906E-4</c:v>
                </c:pt>
                <c:pt idx="2">
                  <c:v>5.4360218210847914E-4</c:v>
                </c:pt>
                <c:pt idx="3">
                  <c:v>5.56688328885874E-4</c:v>
                </c:pt>
                <c:pt idx="4">
                  <c:v>5.696654311028082E-4</c:v>
                </c:pt>
                <c:pt idx="5">
                  <c:v>5.825334887592813E-4</c:v>
                </c:pt>
                <c:pt idx="6">
                  <c:v>5.9529250185529352E-4</c:v>
                </c:pt>
                <c:pt idx="7">
                  <c:v>6.329152737805649E-4</c:v>
                </c:pt>
                <c:pt idx="8">
                  <c:v>6.452381086347335E-4</c:v>
                </c:pt>
                <c:pt idx="9">
                  <c:v>6.5745189892844132E-4</c:v>
                </c:pt>
                <c:pt idx="10">
                  <c:v>6.6955664466168815E-4</c:v>
                </c:pt>
                <c:pt idx="11">
                  <c:v>6.8155234583447421E-4</c:v>
                </c:pt>
                <c:pt idx="12">
                  <c:v>7.1688518199006679E-4</c:v>
                </c:pt>
                <c:pt idx="13">
                  <c:v>7.2844470492100923E-4</c:v>
                </c:pt>
                <c:pt idx="14">
                  <c:v>7.3989518329149078E-4</c:v>
                </c:pt>
                <c:pt idx="15">
                  <c:v>7.5123661710151135E-4</c:v>
                </c:pt>
                <c:pt idx="16">
                  <c:v>7.6246900635107125E-4</c:v>
                </c:pt>
                <c:pt idx="17">
                  <c:v>7.9551190673698502E-4</c:v>
                </c:pt>
                <c:pt idx="18">
                  <c:v>8.0630811774470119E-4</c:v>
                </c:pt>
                <c:pt idx="19">
                  <c:v>8.1699528419195647E-4</c:v>
                </c:pt>
                <c:pt idx="20">
                  <c:v>8.2757340607875088E-4</c:v>
                </c:pt>
                <c:pt idx="21">
                  <c:v>8.380424834050844E-4</c:v>
                </c:pt>
                <c:pt idx="22">
                  <c:v>8.6879544802131938E-4</c:v>
                </c:pt>
                <c:pt idx="23">
                  <c:v>8.7882834710580938E-4</c:v>
                </c:pt>
                <c:pt idx="24">
                  <c:v>8.8875220162983829E-4</c:v>
                </c:pt>
                <c:pt idx="25">
                  <c:v>8.9856701159340654E-4</c:v>
                </c:pt>
                <c:pt idx="26">
                  <c:v>9.0827277699651369E-4</c:v>
                </c:pt>
                <c:pt idx="27">
                  <c:v>9.3673580584307007E-4</c:v>
                </c:pt>
                <c:pt idx="28">
                  <c:v>9.460053930043337E-4</c:v>
                </c:pt>
                <c:pt idx="29">
                  <c:v>9.5516593560513656E-4</c:v>
                </c:pt>
                <c:pt idx="30">
                  <c:v>9.6421743364547854E-4</c:v>
                </c:pt>
                <c:pt idx="31">
                  <c:v>9.7315988712535931E-4</c:v>
                </c:pt>
                <c:pt idx="32">
                  <c:v>9.99332980202237E-4</c:v>
                </c:pt>
                <c:pt idx="33">
                  <c:v>1.0078392554402746E-3</c:v>
                </c:pt>
                <c:pt idx="34">
                  <c:v>1.0162364861178511E-3</c:v>
                </c:pt>
                <c:pt idx="35">
                  <c:v>1.0245246722349667E-3</c:v>
                </c:pt>
                <c:pt idx="36">
                  <c:v>1.0327038137916212E-3</c:v>
                </c:pt>
                <c:pt idx="37">
                  <c:v>1.0565869710988203E-3</c:v>
                </c:pt>
                <c:pt idx="38">
                  <c:v>1.0643299344136312E-3</c:v>
                </c:pt>
                <c:pt idx="39">
                  <c:v>1.0719638531679818E-3</c:v>
                </c:pt>
                <c:pt idx="40">
                  <c:v>1.079488727361871E-3</c:v>
                </c:pt>
                <c:pt idx="41">
                  <c:v>1.0869045569952994E-3</c:v>
                </c:pt>
                <c:pt idx="42">
                  <c:v>1.1084977785328195E-3</c:v>
                </c:pt>
                <c:pt idx="43">
                  <c:v>1.1154774299244044E-3</c:v>
                </c:pt>
                <c:pt idx="44">
                  <c:v>1.1223480367555285E-3</c:v>
                </c:pt>
                <c:pt idx="45">
                  <c:v>1.1291095990261916E-3</c:v>
                </c:pt>
                <c:pt idx="46">
                  <c:v>1.1357621167363938E-3</c:v>
                </c:pt>
                <c:pt idx="47">
                  <c:v>1.1550654025042353E-3</c:v>
                </c:pt>
                <c:pt idx="48">
                  <c:v>1.1612817419725937E-3</c:v>
                </c:pt>
                <c:pt idx="49">
                  <c:v>1.1673890368804917E-3</c:v>
                </c:pt>
                <c:pt idx="50">
                  <c:v>1.1733872872279286E-3</c:v>
                </c:pt>
                <c:pt idx="51">
                  <c:v>1.1792764930149044E-3</c:v>
                </c:pt>
                <c:pt idx="52">
                  <c:v>1.1962898430130672E-3</c:v>
                </c:pt>
                <c:pt idx="53">
                  <c:v>1.2017428705581993E-3</c:v>
                </c:pt>
                <c:pt idx="54">
                  <c:v>1.2070868535428709E-3</c:v>
                </c:pt>
                <c:pt idx="55">
                  <c:v>1.2123217919670819E-3</c:v>
                </c:pt>
                <c:pt idx="56">
                  <c:v>1.2174476858308313E-3</c:v>
                </c:pt>
                <c:pt idx="57">
                  <c:v>1.2321711000593152E-3</c:v>
                </c:pt>
                <c:pt idx="58">
                  <c:v>1.2368608156812214E-3</c:v>
                </c:pt>
                <c:pt idx="59">
                  <c:v>1.2414414867426664E-3</c:v>
                </c:pt>
                <c:pt idx="60">
                  <c:v>1.2459131132436512E-3</c:v>
                </c:pt>
                <c:pt idx="61">
                  <c:v>1.2502756951841745E-3</c:v>
                </c:pt>
                <c:pt idx="62">
                  <c:v>1.2627091736429796E-3</c:v>
                </c:pt>
                <c:pt idx="63">
                  <c:v>1.2666355773416594E-3</c:v>
                </c:pt>
                <c:pt idx="64">
                  <c:v>1.2704529364798785E-3</c:v>
                </c:pt>
                <c:pt idx="65">
                  <c:v>1.2741612510576365E-3</c:v>
                </c:pt>
                <c:pt idx="66">
                  <c:v>1.277760521074934E-3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'3MSynthDepo_allScenario'!$BQ$5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'3MSynthDepo_allScenario'!$BQ$6:$BQ$135</c:f>
              <c:numCache>
                <c:formatCode>0.0000%</c:formatCode>
                <c:ptCount val="130"/>
                <c:pt idx="0">
                  <c:v>1.6112128984961903E-3</c:v>
                </c:pt>
                <c:pt idx="1">
                  <c:v>1.6142446821471286E-3</c:v>
                </c:pt>
                <c:pt idx="2">
                  <c:v>1.6232226629091981E-3</c:v>
                </c:pt>
                <c:pt idx="3">
                  <c:v>1.626176539733852E-3</c:v>
                </c:pt>
                <c:pt idx="4">
                  <c:v>1.6291111941935659E-3</c:v>
                </c:pt>
                <c:pt idx="5">
                  <c:v>1.6320267275177676E-3</c:v>
                </c:pt>
                <c:pt idx="6">
                  <c:v>1.6349232406822742E-3</c:v>
                </c:pt>
                <c:pt idx="7">
                  <c:v>1.6434996651716229E-3</c:v>
                </c:pt>
                <c:pt idx="8">
                  <c:v>1.6463211023832892E-3</c:v>
                </c:pt>
                <c:pt idx="9">
                  <c:v>1.6491240205101718E-3</c:v>
                </c:pt>
                <c:pt idx="10">
                  <c:v>1.6519085190064176E-3</c:v>
                </c:pt>
                <c:pt idx="11">
                  <c:v>1.6546746970725621E-3</c:v>
                </c:pt>
                <c:pt idx="12">
                  <c:v>1.662864296891571E-3</c:v>
                </c:pt>
                <c:pt idx="13">
                  <c:v>1.6655581801704343E-3</c:v>
                </c:pt>
                <c:pt idx="14">
                  <c:v>1.6682342352176993E-3</c:v>
                </c:pt>
                <c:pt idx="15">
                  <c:v>1.6708925597122321E-3</c:v>
                </c:pt>
                <c:pt idx="16">
                  <c:v>1.6735332510792865E-3</c:v>
                </c:pt>
                <c:pt idx="17">
                  <c:v>1.6813504968639442E-3</c:v>
                </c:pt>
                <c:pt idx="18">
                  <c:v>1.6839216249013916E-3</c:v>
                </c:pt>
                <c:pt idx="19">
                  <c:v>1.6864756031334559E-3</c:v>
                </c:pt>
                <c:pt idx="20">
                  <c:v>1.6890125274637213E-3</c:v>
                </c:pt>
                <c:pt idx="21">
                  <c:v>1.6915324935421595E-3</c:v>
                </c:pt>
                <c:pt idx="22">
                  <c:v>1.6989915949620626E-3</c:v>
                </c:pt>
                <c:pt idx="23">
                  <c:v>1.7014446794606849E-3</c:v>
                </c:pt>
                <c:pt idx="24">
                  <c:v>1.7038812801531673E-3</c:v>
                </c:pt>
                <c:pt idx="25">
                  <c:v>1.7063014911678127E-3</c:v>
                </c:pt>
                <c:pt idx="26">
                  <c:v>1.7087054063793117E-3</c:v>
                </c:pt>
                <c:pt idx="27">
                  <c:v>1.7158203121376652E-3</c:v>
                </c:pt>
                <c:pt idx="28">
                  <c:v>1.7181599778112544E-3</c:v>
                </c:pt>
                <c:pt idx="29">
                  <c:v>1.7204838132509766E-3</c:v>
                </c:pt>
                <c:pt idx="30">
                  <c:v>1.7227919108098529E-3</c:v>
                </c:pt>
                <c:pt idx="31">
                  <c:v>1.7250843625872922E-3</c:v>
                </c:pt>
                <c:pt idx="32">
                  <c:v>1.7318687604209078E-3</c:v>
                </c:pt>
                <c:pt idx="33">
                  <c:v>1.7340995449944595E-3</c:v>
                </c:pt>
                <c:pt idx="34">
                  <c:v>1.7363151404794458E-3</c:v>
                </c:pt>
                <c:pt idx="35">
                  <c:v>1.7385156374536059E-3</c:v>
                </c:pt>
                <c:pt idx="36">
                  <c:v>1.740701126241068E-3</c:v>
                </c:pt>
                <c:pt idx="37">
                  <c:v>1.7471684429203652E-3</c:v>
                </c:pt>
                <c:pt idx="38">
                  <c:v>1.7492947971300772E-3</c:v>
                </c:pt>
                <c:pt idx="39">
                  <c:v>1.7514065909695544E-3</c:v>
                </c:pt>
                <c:pt idx="40">
                  <c:v>1.7535039132412541E-3</c:v>
                </c:pt>
                <c:pt idx="41">
                  <c:v>1.7555868524940232E-3</c:v>
                </c:pt>
                <c:pt idx="42">
                  <c:v>1.7617502538230297E-3</c:v>
                </c:pt>
                <c:pt idx="43">
                  <c:v>1.7637765414163027E-3</c:v>
                </c:pt>
                <c:pt idx="44">
                  <c:v>1.7657888849307E-3</c:v>
                </c:pt>
                <c:pt idx="45">
                  <c:v>1.7677873713933981E-3</c:v>
                </c:pt>
                <c:pt idx="46">
                  <c:v>1.7697720875779613E-3</c:v>
                </c:pt>
                <c:pt idx="47">
                  <c:v>1.7756444783943134E-3</c:v>
                </c:pt>
                <c:pt idx="48">
                  <c:v>1.7775749761297498E-3</c:v>
                </c:pt>
                <c:pt idx="49">
                  <c:v>1.7794921336506992E-3</c:v>
                </c:pt>
                <c:pt idx="50">
                  <c:v>1.7813960362090561E-3</c:v>
                </c:pt>
                <c:pt idx="51">
                  <c:v>1.7832867688031037E-3</c:v>
                </c:pt>
                <c:pt idx="52">
                  <c:v>1.7888807929780435E-3</c:v>
                </c:pt>
                <c:pt idx="53">
                  <c:v>1.7907196906254493E-3</c:v>
                </c:pt>
                <c:pt idx="54">
                  <c:v>1.7925458394957856E-3</c:v>
                </c:pt>
                <c:pt idx="55">
                  <c:v>1.7943593230656651E-3</c:v>
                </c:pt>
                <c:pt idx="56">
                  <c:v>1.7961602245580891E-3</c:v>
                </c:pt>
                <c:pt idx="57">
                  <c:v>1.8014882649964683E-3</c:v>
                </c:pt>
                <c:pt idx="58">
                  <c:v>1.8032396653368515E-3</c:v>
                </c:pt>
                <c:pt idx="59">
                  <c:v>1.8049788959106112E-3</c:v>
                </c:pt>
                <c:pt idx="60">
                  <c:v>1.8067060384190793E-3</c:v>
                </c:pt>
                <c:pt idx="61">
                  <c:v>1.8084211743099753E-3</c:v>
                </c:pt>
                <c:pt idx="62">
                  <c:v>1.8134953529502522E-3</c:v>
                </c:pt>
                <c:pt idx="63">
                  <c:v>1.8151632717758237E-3</c:v>
                </c:pt>
                <c:pt idx="64">
                  <c:v>1.816819587418247E-3</c:v>
                </c:pt>
                <c:pt idx="65">
                  <c:v>1.8184643798035722E-3</c:v>
                </c:pt>
                <c:pt idx="66">
                  <c:v>1.8200977286042372E-3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85920"/>
        <c:axId val="610387456"/>
      </c:lineChart>
      <c:dateAx>
        <c:axId val="6103859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103874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6103874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10385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18110236220472"/>
          <c:y val="5.1400554097404488E-2"/>
          <c:w val="0.83889238845144354"/>
          <c:h val="0.76201625838436848"/>
        </c:manualLayout>
      </c:layout>
      <c:lineChart>
        <c:grouping val="standard"/>
        <c:varyColors val="0"/>
        <c:ser>
          <c:idx val="0"/>
          <c:order val="0"/>
          <c:tx>
            <c:strRef>
              <c:f>'1MSynthDepo'!$AD$2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numRef>
              <c:f>'1MSynthDepo'!$AB$3:$AB$90</c:f>
              <c:numCache>
                <c:formatCode>ddd\,\ dd\-mmm\-yyyy</c:formatCode>
                <c:ptCount val="88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</c:numCache>
            </c:numRef>
          </c:cat>
          <c:val>
            <c:numRef>
              <c:f>'1MSynthDepo'!$AD$3:$AD$90</c:f>
              <c:numCache>
                <c:formatCode>0.0000%</c:formatCode>
                <c:ptCount val="88"/>
                <c:pt idx="0">
                  <c:v>6.5222417046498975E-4</c:v>
                </c:pt>
                <c:pt idx="1">
                  <c:v>6.5222417046498975E-4</c:v>
                </c:pt>
                <c:pt idx="2">
                  <c:v>6.5222417046498975E-4</c:v>
                </c:pt>
                <c:pt idx="3">
                  <c:v>6.5222417046498975E-4</c:v>
                </c:pt>
                <c:pt idx="4">
                  <c:v>6.5222417046498975E-4</c:v>
                </c:pt>
                <c:pt idx="5">
                  <c:v>6.5222417046498975E-4</c:v>
                </c:pt>
                <c:pt idx="6">
                  <c:v>6.5222417046498975E-4</c:v>
                </c:pt>
                <c:pt idx="7">
                  <c:v>6.5222417046498975E-4</c:v>
                </c:pt>
                <c:pt idx="8">
                  <c:v>6.5222417046498975E-4</c:v>
                </c:pt>
                <c:pt idx="9">
                  <c:v>6.5222417046498975E-4</c:v>
                </c:pt>
                <c:pt idx="10">
                  <c:v>6.5222417046498975E-4</c:v>
                </c:pt>
                <c:pt idx="11">
                  <c:v>6.5222417046498975E-4</c:v>
                </c:pt>
                <c:pt idx="12">
                  <c:v>6.5222417046498975E-4</c:v>
                </c:pt>
                <c:pt idx="13">
                  <c:v>6.5222417046498975E-4</c:v>
                </c:pt>
                <c:pt idx="14">
                  <c:v>6.5222417046498975E-4</c:v>
                </c:pt>
                <c:pt idx="15">
                  <c:v>6.5222417046498975E-4</c:v>
                </c:pt>
                <c:pt idx="16">
                  <c:v>6.5222417046498975E-4</c:v>
                </c:pt>
                <c:pt idx="17">
                  <c:v>6.5222417046498975E-4</c:v>
                </c:pt>
                <c:pt idx="18">
                  <c:v>6.5222417046498975E-4</c:v>
                </c:pt>
                <c:pt idx="19">
                  <c:v>6.5222417046498975E-4</c:v>
                </c:pt>
                <c:pt idx="20">
                  <c:v>6.5222417046498975E-4</c:v>
                </c:pt>
                <c:pt idx="21">
                  <c:v>6.5222417046498975E-4</c:v>
                </c:pt>
                <c:pt idx="22">
                  <c:v>6.5222417046498975E-4</c:v>
                </c:pt>
                <c:pt idx="23">
                  <c:v>6.5222417046498975E-4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'1MSynthDepo'!$AE$2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'1MSynthDepo'!$AB$3:$AB$90</c:f>
              <c:numCache>
                <c:formatCode>ddd\,\ dd\-mmm\-yyyy</c:formatCode>
                <c:ptCount val="88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</c:numCache>
            </c:numRef>
          </c:cat>
          <c:val>
            <c:numRef>
              <c:f>'1MSynthDepo'!$AE$3:$AE$90</c:f>
              <c:numCache>
                <c:formatCode>0.0000%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'1MSynthDepo'!$AF$2</c:f>
              <c:strCache>
                <c:ptCount val="1"/>
                <c:pt idx="0">
                  <c:v>Quadratic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'1MSynthDepo'!$AB$3:$AB$90</c:f>
              <c:numCache>
                <c:formatCode>ddd\,\ dd\-mmm\-yyyy</c:formatCode>
                <c:ptCount val="88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</c:numCache>
            </c:numRef>
          </c:cat>
          <c:val>
            <c:numRef>
              <c:f>'1MSynthDepo'!$AF$3:$AF$90</c:f>
              <c:numCache>
                <c:formatCode>0.0000%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323712"/>
        <c:axId val="720325248"/>
      </c:lineChart>
      <c:dateAx>
        <c:axId val="720323712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>
            <a:prstDash val="sysDash"/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720325248"/>
        <c:crosses val="autoZero"/>
        <c:auto val="1"/>
        <c:lblOffset val="100"/>
        <c:baseTimeUnit val="days"/>
      </c:dateAx>
      <c:valAx>
        <c:axId val="72032524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032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07068387284927"/>
          <c:y val="0.54172915885514306"/>
          <c:w val="0.17981517935258093"/>
          <c:h val="0.287030371203599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18110236220472"/>
          <c:y val="5.1400554097404488E-2"/>
          <c:w val="0.83889238845144354"/>
          <c:h val="0.76201625838436848"/>
        </c:manualLayout>
      </c:layout>
      <c:lineChart>
        <c:grouping val="standard"/>
        <c:varyColors val="0"/>
        <c:ser>
          <c:idx val="0"/>
          <c:order val="0"/>
          <c:tx>
            <c:strRef>
              <c:f>'1YSynthDepo'!$AD$2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numRef>
              <c:f>'1YSynthDepo'!$AB$3:$AB$257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cat>
          <c:val>
            <c:numRef>
              <c:f>'1YSynthDepo'!$AD$3:$AD$257</c:f>
              <c:numCache>
                <c:formatCode>0.0000%</c:formatCode>
                <c:ptCount val="255"/>
                <c:pt idx="0">
                  <c:v>2.9458052625454755E-3</c:v>
                </c:pt>
                <c:pt idx="1">
                  <c:v>2.9458052625454755E-3</c:v>
                </c:pt>
                <c:pt idx="2">
                  <c:v>2.9458052625454755E-3</c:v>
                </c:pt>
                <c:pt idx="3">
                  <c:v>2.9458052625454755E-3</c:v>
                </c:pt>
                <c:pt idx="4">
                  <c:v>2.9458052625454755E-3</c:v>
                </c:pt>
                <c:pt idx="5">
                  <c:v>2.9458052625454755E-3</c:v>
                </c:pt>
                <c:pt idx="6">
                  <c:v>2.9458052625454755E-3</c:v>
                </c:pt>
                <c:pt idx="7">
                  <c:v>2.9458052625454755E-3</c:v>
                </c:pt>
                <c:pt idx="8">
                  <c:v>2.9458052625454755E-3</c:v>
                </c:pt>
                <c:pt idx="9">
                  <c:v>2.9458052625454755E-3</c:v>
                </c:pt>
                <c:pt idx="10">
                  <c:v>2.9458052625454755E-3</c:v>
                </c:pt>
                <c:pt idx="11">
                  <c:v>2.9458052625454755E-3</c:v>
                </c:pt>
                <c:pt idx="12">
                  <c:v>2.9458052625454755E-3</c:v>
                </c:pt>
                <c:pt idx="13">
                  <c:v>2.9458052625454755E-3</c:v>
                </c:pt>
                <c:pt idx="14">
                  <c:v>2.9458052625454755E-3</c:v>
                </c:pt>
                <c:pt idx="15">
                  <c:v>2.9458052625454755E-3</c:v>
                </c:pt>
                <c:pt idx="16">
                  <c:v>2.9458052625454755E-3</c:v>
                </c:pt>
                <c:pt idx="17">
                  <c:v>2.9458052625454755E-3</c:v>
                </c:pt>
                <c:pt idx="18">
                  <c:v>2.9458052625454755E-3</c:v>
                </c:pt>
                <c:pt idx="19">
                  <c:v>2.9458052625454755E-3</c:v>
                </c:pt>
                <c:pt idx="20">
                  <c:v>2.9458052625454755E-3</c:v>
                </c:pt>
                <c:pt idx="21">
                  <c:v>2.9458052625454755E-3</c:v>
                </c:pt>
                <c:pt idx="22">
                  <c:v>2.9458052625454755E-3</c:v>
                </c:pt>
                <c:pt idx="23">
                  <c:v>2.9458052625454755E-3</c:v>
                </c:pt>
                <c:pt idx="24">
                  <c:v>2.9458052625454755E-3</c:v>
                </c:pt>
                <c:pt idx="25">
                  <c:v>2.9458052625454755E-3</c:v>
                </c:pt>
                <c:pt idx="26">
                  <c:v>2.9458052625454755E-3</c:v>
                </c:pt>
                <c:pt idx="27">
                  <c:v>2.9458052625454755E-3</c:v>
                </c:pt>
                <c:pt idx="28">
                  <c:v>2.9458052625454755E-3</c:v>
                </c:pt>
                <c:pt idx="29">
                  <c:v>2.9458052625454755E-3</c:v>
                </c:pt>
                <c:pt idx="30">
                  <c:v>2.9458052625454755E-3</c:v>
                </c:pt>
                <c:pt idx="31">
                  <c:v>2.9458052625454755E-3</c:v>
                </c:pt>
                <c:pt idx="32">
                  <c:v>2.9458052625454755E-3</c:v>
                </c:pt>
                <c:pt idx="33">
                  <c:v>2.9458052625454755E-3</c:v>
                </c:pt>
                <c:pt idx="34">
                  <c:v>2.9458052625454755E-3</c:v>
                </c:pt>
                <c:pt idx="35">
                  <c:v>2.9458052625454755E-3</c:v>
                </c:pt>
                <c:pt idx="36">
                  <c:v>2.9458052625454755E-3</c:v>
                </c:pt>
                <c:pt idx="37">
                  <c:v>2.9458052625454755E-3</c:v>
                </c:pt>
                <c:pt idx="38">
                  <c:v>2.9458052625454755E-3</c:v>
                </c:pt>
                <c:pt idx="39">
                  <c:v>2.9458052625454755E-3</c:v>
                </c:pt>
                <c:pt idx="40">
                  <c:v>2.9458052625454755E-3</c:v>
                </c:pt>
                <c:pt idx="41">
                  <c:v>2.9458052625454755E-3</c:v>
                </c:pt>
                <c:pt idx="42">
                  <c:v>2.9458052625454755E-3</c:v>
                </c:pt>
                <c:pt idx="43">
                  <c:v>2.9458052625454755E-3</c:v>
                </c:pt>
                <c:pt idx="44">
                  <c:v>2.9458052625454755E-3</c:v>
                </c:pt>
                <c:pt idx="45">
                  <c:v>2.9458052625454755E-3</c:v>
                </c:pt>
                <c:pt idx="46">
                  <c:v>2.9458052625454755E-3</c:v>
                </c:pt>
                <c:pt idx="47">
                  <c:v>2.9458052625454755E-3</c:v>
                </c:pt>
                <c:pt idx="48">
                  <c:v>2.9458052625454755E-3</c:v>
                </c:pt>
                <c:pt idx="49">
                  <c:v>2.9458052625454755E-3</c:v>
                </c:pt>
                <c:pt idx="50">
                  <c:v>2.9458052625454755E-3</c:v>
                </c:pt>
                <c:pt idx="51">
                  <c:v>2.9458052625454755E-3</c:v>
                </c:pt>
                <c:pt idx="52">
                  <c:v>2.9458052625454755E-3</c:v>
                </c:pt>
                <c:pt idx="53">
                  <c:v>2.9458052625454755E-3</c:v>
                </c:pt>
                <c:pt idx="54">
                  <c:v>2.9458052625454755E-3</c:v>
                </c:pt>
                <c:pt idx="55">
                  <c:v>2.9458052625454755E-3</c:v>
                </c:pt>
                <c:pt idx="56">
                  <c:v>2.9458052625454755E-3</c:v>
                </c:pt>
                <c:pt idx="57">
                  <c:v>2.9458052625454755E-3</c:v>
                </c:pt>
                <c:pt idx="58">
                  <c:v>2.9458052625454755E-3</c:v>
                </c:pt>
                <c:pt idx="59">
                  <c:v>2.9458052625454755E-3</c:v>
                </c:pt>
                <c:pt idx="60">
                  <c:v>2.9458052625454755E-3</c:v>
                </c:pt>
                <c:pt idx="61">
                  <c:v>2.9458052625454755E-3</c:v>
                </c:pt>
                <c:pt idx="62">
                  <c:v>2.9458052625454755E-3</c:v>
                </c:pt>
                <c:pt idx="63">
                  <c:v>2.9458052625454755E-3</c:v>
                </c:pt>
                <c:pt idx="64">
                  <c:v>2.9458052625454755E-3</c:v>
                </c:pt>
                <c:pt idx="65">
                  <c:v>2.9458052625454755E-3</c:v>
                </c:pt>
                <c:pt idx="66">
                  <c:v>2.9458052625454755E-3</c:v>
                </c:pt>
                <c:pt idx="67">
                  <c:v>2.9458052625454755E-3</c:v>
                </c:pt>
                <c:pt idx="68">
                  <c:v>2.9458052625454755E-3</c:v>
                </c:pt>
                <c:pt idx="69">
                  <c:v>2.9458052625454755E-3</c:v>
                </c:pt>
                <c:pt idx="70">
                  <c:v>2.9458052625454755E-3</c:v>
                </c:pt>
                <c:pt idx="71">
                  <c:v>2.9458052625454755E-3</c:v>
                </c:pt>
                <c:pt idx="72">
                  <c:v>2.9458052625454755E-3</c:v>
                </c:pt>
                <c:pt idx="73">
                  <c:v>2.9458052625454755E-3</c:v>
                </c:pt>
                <c:pt idx="74">
                  <c:v>2.9458052625454755E-3</c:v>
                </c:pt>
                <c:pt idx="75">
                  <c:v>2.9458052625454755E-3</c:v>
                </c:pt>
                <c:pt idx="76">
                  <c:v>2.9458052625454755E-3</c:v>
                </c:pt>
                <c:pt idx="77">
                  <c:v>2.9458052625454755E-3</c:v>
                </c:pt>
                <c:pt idx="78">
                  <c:v>2.9458052625454755E-3</c:v>
                </c:pt>
                <c:pt idx="79">
                  <c:v>2.9458052625454755E-3</c:v>
                </c:pt>
                <c:pt idx="80">
                  <c:v>2.9458052625454755E-3</c:v>
                </c:pt>
                <c:pt idx="81">
                  <c:v>2.9458052625454755E-3</c:v>
                </c:pt>
                <c:pt idx="82">
                  <c:v>2.9458052625454755E-3</c:v>
                </c:pt>
                <c:pt idx="83">
                  <c:v>2.9458052625454755E-3</c:v>
                </c:pt>
                <c:pt idx="84">
                  <c:v>2.9458052625454755E-3</c:v>
                </c:pt>
                <c:pt idx="85">
                  <c:v>2.9458052625454755E-3</c:v>
                </c:pt>
                <c:pt idx="86">
                  <c:v>2.9458052625454755E-3</c:v>
                </c:pt>
                <c:pt idx="87">
                  <c:v>2.9458052625454755E-3</c:v>
                </c:pt>
                <c:pt idx="88">
                  <c:v>2.9458052625454755E-3</c:v>
                </c:pt>
                <c:pt idx="89">
                  <c:v>2.9458052625454755E-3</c:v>
                </c:pt>
                <c:pt idx="90">
                  <c:v>2.9458052625454755E-3</c:v>
                </c:pt>
                <c:pt idx="91">
                  <c:v>2.9458052625454755E-3</c:v>
                </c:pt>
                <c:pt idx="92">
                  <c:v>2.9458052625454755E-3</c:v>
                </c:pt>
                <c:pt idx="93">
                  <c:v>2.9458052625454755E-3</c:v>
                </c:pt>
                <c:pt idx="94">
                  <c:v>2.9458052625454755E-3</c:v>
                </c:pt>
                <c:pt idx="95">
                  <c:v>2.9458052625454755E-3</c:v>
                </c:pt>
                <c:pt idx="96">
                  <c:v>2.9458052625454755E-3</c:v>
                </c:pt>
                <c:pt idx="97">
                  <c:v>2.9458052625454755E-3</c:v>
                </c:pt>
                <c:pt idx="98">
                  <c:v>2.9458052625454755E-3</c:v>
                </c:pt>
                <c:pt idx="99">
                  <c:v>2.9458052625454755E-3</c:v>
                </c:pt>
                <c:pt idx="100">
                  <c:v>2.9458052625454755E-3</c:v>
                </c:pt>
                <c:pt idx="101">
                  <c:v>2.9458052625454755E-3</c:v>
                </c:pt>
                <c:pt idx="102">
                  <c:v>2.9458052625454755E-3</c:v>
                </c:pt>
                <c:pt idx="103">
                  <c:v>2.9458052625454755E-3</c:v>
                </c:pt>
                <c:pt idx="104">
                  <c:v>2.9458052625454755E-3</c:v>
                </c:pt>
                <c:pt idx="105">
                  <c:v>2.9458052625454755E-3</c:v>
                </c:pt>
                <c:pt idx="106">
                  <c:v>2.9458052625454755E-3</c:v>
                </c:pt>
                <c:pt idx="107">
                  <c:v>2.9458052625454755E-3</c:v>
                </c:pt>
                <c:pt idx="108">
                  <c:v>2.9458052625454755E-3</c:v>
                </c:pt>
                <c:pt idx="109">
                  <c:v>2.9458052625454755E-3</c:v>
                </c:pt>
                <c:pt idx="110">
                  <c:v>2.9458052625454755E-3</c:v>
                </c:pt>
                <c:pt idx="111">
                  <c:v>2.9458052625454755E-3</c:v>
                </c:pt>
                <c:pt idx="112">
                  <c:v>2.9458052625454755E-3</c:v>
                </c:pt>
                <c:pt idx="113">
                  <c:v>2.9458052625454755E-3</c:v>
                </c:pt>
                <c:pt idx="114">
                  <c:v>2.9458052625454755E-3</c:v>
                </c:pt>
                <c:pt idx="115">
                  <c:v>2.9458052625454755E-3</c:v>
                </c:pt>
                <c:pt idx="116">
                  <c:v>2.9458052625454755E-3</c:v>
                </c:pt>
                <c:pt idx="117">
                  <c:v>2.9458052625454755E-3</c:v>
                </c:pt>
                <c:pt idx="118">
                  <c:v>2.9458052625454755E-3</c:v>
                </c:pt>
                <c:pt idx="119">
                  <c:v>2.9458052625454755E-3</c:v>
                </c:pt>
                <c:pt idx="120">
                  <c:v>2.9458052625454755E-3</c:v>
                </c:pt>
                <c:pt idx="121">
                  <c:v>2.9458052625454755E-3</c:v>
                </c:pt>
                <c:pt idx="122">
                  <c:v>2.9458052625454755E-3</c:v>
                </c:pt>
                <c:pt idx="123">
                  <c:v>2.9458052625454755E-3</c:v>
                </c:pt>
                <c:pt idx="124">
                  <c:v>2.9458052625454755E-3</c:v>
                </c:pt>
                <c:pt idx="125">
                  <c:v>2.9458052625454755E-3</c:v>
                </c:pt>
                <c:pt idx="126">
                  <c:v>2.9458052625454755E-3</c:v>
                </c:pt>
                <c:pt idx="127">
                  <c:v>2.9458052625454755E-3</c:v>
                </c:pt>
                <c:pt idx="128">
                  <c:v>2.9458052625454755E-3</c:v>
                </c:pt>
                <c:pt idx="129">
                  <c:v>2.9458052625454755E-3</c:v>
                </c:pt>
                <c:pt idx="130">
                  <c:v>2.9458052625454755E-3</c:v>
                </c:pt>
                <c:pt idx="131">
                  <c:v>2.9458052625454755E-3</c:v>
                </c:pt>
                <c:pt idx="132">
                  <c:v>2.9458052625454755E-3</c:v>
                </c:pt>
                <c:pt idx="133">
                  <c:v>2.9458052625454755E-3</c:v>
                </c:pt>
                <c:pt idx="134">
                  <c:v>2.9458052625454755E-3</c:v>
                </c:pt>
                <c:pt idx="135">
                  <c:v>2.9458052625454755E-3</c:v>
                </c:pt>
                <c:pt idx="136">
                  <c:v>2.9458052625454755E-3</c:v>
                </c:pt>
                <c:pt idx="137">
                  <c:v>2.9458052625454755E-3</c:v>
                </c:pt>
                <c:pt idx="138">
                  <c:v>2.9458052625454755E-3</c:v>
                </c:pt>
                <c:pt idx="139">
                  <c:v>2.9458052625454755E-3</c:v>
                </c:pt>
                <c:pt idx="140">
                  <c:v>2.9458052625454755E-3</c:v>
                </c:pt>
                <c:pt idx="141">
                  <c:v>2.9458052625454755E-3</c:v>
                </c:pt>
                <c:pt idx="142">
                  <c:v>2.9458052625454755E-3</c:v>
                </c:pt>
                <c:pt idx="143">
                  <c:v>2.9458052625454755E-3</c:v>
                </c:pt>
                <c:pt idx="144">
                  <c:v>2.9458052625454755E-3</c:v>
                </c:pt>
                <c:pt idx="145">
                  <c:v>2.9458052625454755E-3</c:v>
                </c:pt>
                <c:pt idx="146">
                  <c:v>2.9458052625454755E-3</c:v>
                </c:pt>
                <c:pt idx="147">
                  <c:v>2.9458052625454755E-3</c:v>
                </c:pt>
                <c:pt idx="148">
                  <c:v>2.9458052625454755E-3</c:v>
                </c:pt>
                <c:pt idx="149">
                  <c:v>2.9458052625454755E-3</c:v>
                </c:pt>
                <c:pt idx="150">
                  <c:v>2.9458052625454755E-3</c:v>
                </c:pt>
                <c:pt idx="151">
                  <c:v>2.9458052625454755E-3</c:v>
                </c:pt>
                <c:pt idx="152">
                  <c:v>2.9458052625454755E-3</c:v>
                </c:pt>
                <c:pt idx="153">
                  <c:v>2.9458052625454755E-3</c:v>
                </c:pt>
                <c:pt idx="154">
                  <c:v>2.9458052625454755E-3</c:v>
                </c:pt>
                <c:pt idx="155">
                  <c:v>2.9458052625454755E-3</c:v>
                </c:pt>
                <c:pt idx="156">
                  <c:v>2.9458052625454755E-3</c:v>
                </c:pt>
                <c:pt idx="157">
                  <c:v>2.9458052625454755E-3</c:v>
                </c:pt>
                <c:pt idx="158">
                  <c:v>2.9458052625454755E-3</c:v>
                </c:pt>
                <c:pt idx="159">
                  <c:v>2.9458052625454755E-3</c:v>
                </c:pt>
                <c:pt idx="160">
                  <c:v>2.9458052625454755E-3</c:v>
                </c:pt>
                <c:pt idx="161">
                  <c:v>2.9458052625454755E-3</c:v>
                </c:pt>
                <c:pt idx="162">
                  <c:v>2.9458052625454755E-3</c:v>
                </c:pt>
                <c:pt idx="163">
                  <c:v>2.9458052625454755E-3</c:v>
                </c:pt>
                <c:pt idx="164">
                  <c:v>2.9458052625454755E-3</c:v>
                </c:pt>
                <c:pt idx="165">
                  <c:v>2.9458052625454755E-3</c:v>
                </c:pt>
                <c:pt idx="166">
                  <c:v>2.9458052625454755E-3</c:v>
                </c:pt>
                <c:pt idx="167">
                  <c:v>2.9458052625454755E-3</c:v>
                </c:pt>
                <c:pt idx="168">
                  <c:v>2.9458052625454755E-3</c:v>
                </c:pt>
                <c:pt idx="169">
                  <c:v>2.9458052625454755E-3</c:v>
                </c:pt>
                <c:pt idx="170">
                  <c:v>2.9458052625454755E-3</c:v>
                </c:pt>
                <c:pt idx="171">
                  <c:v>2.9458052625454755E-3</c:v>
                </c:pt>
                <c:pt idx="172">
                  <c:v>2.9458052625454755E-3</c:v>
                </c:pt>
                <c:pt idx="173">
                  <c:v>2.9458052625454755E-3</c:v>
                </c:pt>
                <c:pt idx="174">
                  <c:v>2.9458052625454755E-3</c:v>
                </c:pt>
                <c:pt idx="175">
                  <c:v>2.9458052625454755E-3</c:v>
                </c:pt>
                <c:pt idx="176">
                  <c:v>2.9458052625454755E-3</c:v>
                </c:pt>
                <c:pt idx="177">
                  <c:v>2.9458052625454755E-3</c:v>
                </c:pt>
                <c:pt idx="178">
                  <c:v>2.9458052625454755E-3</c:v>
                </c:pt>
                <c:pt idx="179">
                  <c:v>2.9458052625454755E-3</c:v>
                </c:pt>
                <c:pt idx="180">
                  <c:v>2.9458052625454755E-3</c:v>
                </c:pt>
                <c:pt idx="181">
                  <c:v>2.9458052625454755E-3</c:v>
                </c:pt>
                <c:pt idx="182">
                  <c:v>2.9458052625454755E-3</c:v>
                </c:pt>
                <c:pt idx="183">
                  <c:v>2.9458052625454755E-3</c:v>
                </c:pt>
                <c:pt idx="184">
                  <c:v>2.9458052625454755E-3</c:v>
                </c:pt>
                <c:pt idx="185">
                  <c:v>2.9458052625454755E-3</c:v>
                </c:pt>
                <c:pt idx="186">
                  <c:v>2.9458052625454755E-3</c:v>
                </c:pt>
                <c:pt idx="187">
                  <c:v>2.9458052625454755E-3</c:v>
                </c:pt>
                <c:pt idx="188">
                  <c:v>2.9458052625454755E-3</c:v>
                </c:pt>
                <c:pt idx="189">
                  <c:v>2.9458052625454755E-3</c:v>
                </c:pt>
                <c:pt idx="190">
                  <c:v>2.9458052625454755E-3</c:v>
                </c:pt>
                <c:pt idx="191">
                  <c:v>2.9458052625454755E-3</c:v>
                </c:pt>
                <c:pt idx="192">
                  <c:v>2.9458052625454755E-3</c:v>
                </c:pt>
                <c:pt idx="193">
                  <c:v>2.9458052625454755E-3</c:v>
                </c:pt>
                <c:pt idx="194">
                  <c:v>2.9458052625454755E-3</c:v>
                </c:pt>
                <c:pt idx="195">
                  <c:v>2.9458052625454755E-3</c:v>
                </c:pt>
                <c:pt idx="196">
                  <c:v>2.9458052625454755E-3</c:v>
                </c:pt>
                <c:pt idx="197">
                  <c:v>2.9458052625454755E-3</c:v>
                </c:pt>
                <c:pt idx="198">
                  <c:v>2.9458052625454755E-3</c:v>
                </c:pt>
                <c:pt idx="199">
                  <c:v>2.9458052625454755E-3</c:v>
                </c:pt>
                <c:pt idx="200">
                  <c:v>2.9458052625454755E-3</c:v>
                </c:pt>
                <c:pt idx="201">
                  <c:v>2.9458052625454755E-3</c:v>
                </c:pt>
                <c:pt idx="202">
                  <c:v>2.9458052625454755E-3</c:v>
                </c:pt>
                <c:pt idx="203">
                  <c:v>2.9458052625454755E-3</c:v>
                </c:pt>
                <c:pt idx="204">
                  <c:v>2.9458052625454755E-3</c:v>
                </c:pt>
                <c:pt idx="205">
                  <c:v>2.9458052625454755E-3</c:v>
                </c:pt>
                <c:pt idx="206">
                  <c:v>2.9458052625454755E-3</c:v>
                </c:pt>
                <c:pt idx="207">
                  <c:v>2.9458052625454755E-3</c:v>
                </c:pt>
                <c:pt idx="208">
                  <c:v>2.9458052625454755E-3</c:v>
                </c:pt>
                <c:pt idx="209">
                  <c:v>2.9458052625454755E-3</c:v>
                </c:pt>
                <c:pt idx="210">
                  <c:v>2.9458052625454755E-3</c:v>
                </c:pt>
                <c:pt idx="211">
                  <c:v>2.9458052625454755E-3</c:v>
                </c:pt>
                <c:pt idx="212">
                  <c:v>2.9458052625454755E-3</c:v>
                </c:pt>
                <c:pt idx="213">
                  <c:v>2.9458052625454755E-3</c:v>
                </c:pt>
                <c:pt idx="214">
                  <c:v>2.9458052625454755E-3</c:v>
                </c:pt>
                <c:pt idx="215">
                  <c:v>2.9458052625454755E-3</c:v>
                </c:pt>
                <c:pt idx="216">
                  <c:v>2.9458052625454755E-3</c:v>
                </c:pt>
                <c:pt idx="217">
                  <c:v>2.9458052625454755E-3</c:v>
                </c:pt>
                <c:pt idx="218">
                  <c:v>2.9458052625454755E-3</c:v>
                </c:pt>
                <c:pt idx="219">
                  <c:v>2.9458052625454755E-3</c:v>
                </c:pt>
                <c:pt idx="220">
                  <c:v>2.9458052625454755E-3</c:v>
                </c:pt>
                <c:pt idx="221">
                  <c:v>2.9458052625454755E-3</c:v>
                </c:pt>
                <c:pt idx="222">
                  <c:v>2.9458052625454755E-3</c:v>
                </c:pt>
                <c:pt idx="223">
                  <c:v>2.9458052625454755E-3</c:v>
                </c:pt>
                <c:pt idx="224">
                  <c:v>2.9458052625454755E-3</c:v>
                </c:pt>
                <c:pt idx="225">
                  <c:v>2.9458052625454755E-3</c:v>
                </c:pt>
                <c:pt idx="226">
                  <c:v>2.9458052625454755E-3</c:v>
                </c:pt>
                <c:pt idx="227">
                  <c:v>2.9458052625454755E-3</c:v>
                </c:pt>
                <c:pt idx="228">
                  <c:v>2.9458052625454755E-3</c:v>
                </c:pt>
                <c:pt idx="229">
                  <c:v>2.9458052625454755E-3</c:v>
                </c:pt>
                <c:pt idx="230">
                  <c:v>2.9458052625454755E-3</c:v>
                </c:pt>
                <c:pt idx="231">
                  <c:v>2.9458052625454755E-3</c:v>
                </c:pt>
                <c:pt idx="232">
                  <c:v>2.9458052625454755E-3</c:v>
                </c:pt>
                <c:pt idx="233">
                  <c:v>2.9458052625454755E-3</c:v>
                </c:pt>
                <c:pt idx="234">
                  <c:v>2.9458052625454755E-3</c:v>
                </c:pt>
                <c:pt idx="235">
                  <c:v>2.9458052625454755E-3</c:v>
                </c:pt>
                <c:pt idx="236">
                  <c:v>2.9458052625454755E-3</c:v>
                </c:pt>
                <c:pt idx="237">
                  <c:v>2.9458052625454755E-3</c:v>
                </c:pt>
                <c:pt idx="238">
                  <c:v>2.9458052625454755E-3</c:v>
                </c:pt>
                <c:pt idx="239">
                  <c:v>2.9458052625454755E-3</c:v>
                </c:pt>
                <c:pt idx="240">
                  <c:v>2.9458052625454755E-3</c:v>
                </c:pt>
                <c:pt idx="241">
                  <c:v>2.9458052625454755E-3</c:v>
                </c:pt>
                <c:pt idx="242">
                  <c:v>2.9458052625454755E-3</c:v>
                </c:pt>
                <c:pt idx="243">
                  <c:v>2.9458052625454755E-3</c:v>
                </c:pt>
                <c:pt idx="244">
                  <c:v>2.9458052625454755E-3</c:v>
                </c:pt>
                <c:pt idx="245">
                  <c:v>2.9458052625454755E-3</c:v>
                </c:pt>
                <c:pt idx="246">
                  <c:v>2.9458052625454755E-3</c:v>
                </c:pt>
                <c:pt idx="247">
                  <c:v>2.9458052625454755E-3</c:v>
                </c:pt>
                <c:pt idx="248">
                  <c:v>2.9458052625454755E-3</c:v>
                </c:pt>
                <c:pt idx="249">
                  <c:v>2.9458052625454755E-3</c:v>
                </c:pt>
                <c:pt idx="250">
                  <c:v>2.9458052625454755E-3</c:v>
                </c:pt>
                <c:pt idx="251">
                  <c:v>2.9458052625454755E-3</c:v>
                </c:pt>
                <c:pt idx="252">
                  <c:v>2.9458052625454755E-3</c:v>
                </c:pt>
                <c:pt idx="253">
                  <c:v>2.9458052625454755E-3</c:v>
                </c:pt>
                <c:pt idx="254">
                  <c:v>2.9458052625454755E-3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'1YSynthDepo'!$AE$2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'1YSynthDepo'!$AB$3:$AB$257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cat>
          <c:val>
            <c:numRef>
              <c:f>'1YSynthDepo'!$AE$3:$AE$257</c:f>
              <c:numCache>
                <c:formatCode>0.0000%</c:formatCode>
                <c:ptCount val="255"/>
                <c:pt idx="0">
                  <c:v>2.6950588424330168E-3</c:v>
                </c:pt>
                <c:pt idx="1">
                  <c:v>2.6964215947162368E-3</c:v>
                </c:pt>
                <c:pt idx="2">
                  <c:v>2.7005098515658962E-3</c:v>
                </c:pt>
                <c:pt idx="3">
                  <c:v>2.7018726038491162E-3</c:v>
                </c:pt>
                <c:pt idx="4">
                  <c:v>2.7032353561323359E-3</c:v>
                </c:pt>
                <c:pt idx="5">
                  <c:v>2.7045981084155559E-3</c:v>
                </c:pt>
                <c:pt idx="6">
                  <c:v>2.705960860698776E-3</c:v>
                </c:pt>
                <c:pt idx="7">
                  <c:v>2.7100491175484354E-3</c:v>
                </c:pt>
                <c:pt idx="8">
                  <c:v>2.7114118698316554E-3</c:v>
                </c:pt>
                <c:pt idx="9">
                  <c:v>2.7127746221148755E-3</c:v>
                </c:pt>
                <c:pt idx="10">
                  <c:v>2.7141373743980951E-3</c:v>
                </c:pt>
                <c:pt idx="11">
                  <c:v>2.7155001266813152E-3</c:v>
                </c:pt>
                <c:pt idx="12">
                  <c:v>2.7195883835309746E-3</c:v>
                </c:pt>
                <c:pt idx="13">
                  <c:v>2.7209511358141946E-3</c:v>
                </c:pt>
                <c:pt idx="14">
                  <c:v>2.7223138880974147E-3</c:v>
                </c:pt>
                <c:pt idx="15">
                  <c:v>2.7236766403806343E-3</c:v>
                </c:pt>
                <c:pt idx="16">
                  <c:v>2.7250393926638544E-3</c:v>
                </c:pt>
                <c:pt idx="17">
                  <c:v>2.7291276495135137E-3</c:v>
                </c:pt>
                <c:pt idx="18">
                  <c:v>2.7304904017967338E-3</c:v>
                </c:pt>
                <c:pt idx="19">
                  <c:v>2.7318531540799539E-3</c:v>
                </c:pt>
                <c:pt idx="20">
                  <c:v>2.7332159063631735E-3</c:v>
                </c:pt>
                <c:pt idx="21">
                  <c:v>2.7345786586463936E-3</c:v>
                </c:pt>
                <c:pt idx="22">
                  <c:v>2.7386669154960529E-3</c:v>
                </c:pt>
                <c:pt idx="23">
                  <c:v>2.740029667779273E-3</c:v>
                </c:pt>
                <c:pt idx="24">
                  <c:v>2.7413924200624931E-3</c:v>
                </c:pt>
                <c:pt idx="25">
                  <c:v>2.7427551723457127E-3</c:v>
                </c:pt>
                <c:pt idx="26">
                  <c:v>2.7441179246289328E-3</c:v>
                </c:pt>
                <c:pt idx="27">
                  <c:v>2.7482061814785926E-3</c:v>
                </c:pt>
                <c:pt idx="28">
                  <c:v>2.7495689337618122E-3</c:v>
                </c:pt>
                <c:pt idx="29">
                  <c:v>2.7509316860450323E-3</c:v>
                </c:pt>
                <c:pt idx="30">
                  <c:v>2.7522944383282519E-3</c:v>
                </c:pt>
                <c:pt idx="31">
                  <c:v>2.753657190611472E-3</c:v>
                </c:pt>
                <c:pt idx="32">
                  <c:v>2.7577454474611318E-3</c:v>
                </c:pt>
                <c:pt idx="33">
                  <c:v>2.7591081997443514E-3</c:v>
                </c:pt>
                <c:pt idx="34">
                  <c:v>2.7604709520275715E-3</c:v>
                </c:pt>
                <c:pt idx="35">
                  <c:v>2.7618337043107911E-3</c:v>
                </c:pt>
                <c:pt idx="36">
                  <c:v>2.7631964565940112E-3</c:v>
                </c:pt>
                <c:pt idx="37">
                  <c:v>2.767284713443671E-3</c:v>
                </c:pt>
                <c:pt idx="38">
                  <c:v>2.7686474657268906E-3</c:v>
                </c:pt>
                <c:pt idx="39">
                  <c:v>2.7700102180101107E-3</c:v>
                </c:pt>
                <c:pt idx="40">
                  <c:v>2.7713729702933303E-3</c:v>
                </c:pt>
                <c:pt idx="41">
                  <c:v>2.7727357225765504E-3</c:v>
                </c:pt>
                <c:pt idx="42">
                  <c:v>2.7768239794262102E-3</c:v>
                </c:pt>
                <c:pt idx="43">
                  <c:v>2.7781867317094298E-3</c:v>
                </c:pt>
                <c:pt idx="44">
                  <c:v>2.7795494839926499E-3</c:v>
                </c:pt>
                <c:pt idx="45">
                  <c:v>2.7809122362758695E-3</c:v>
                </c:pt>
                <c:pt idx="46">
                  <c:v>2.7822749885590896E-3</c:v>
                </c:pt>
                <c:pt idx="47">
                  <c:v>2.7863632454087493E-3</c:v>
                </c:pt>
                <c:pt idx="48">
                  <c:v>2.787725997691969E-3</c:v>
                </c:pt>
                <c:pt idx="49">
                  <c:v>2.7890887499751891E-3</c:v>
                </c:pt>
                <c:pt idx="50">
                  <c:v>2.7904515022584087E-3</c:v>
                </c:pt>
                <c:pt idx="51">
                  <c:v>2.7918142545416288E-3</c:v>
                </c:pt>
                <c:pt idx="52">
                  <c:v>2.7959025113912885E-3</c:v>
                </c:pt>
                <c:pt idx="53">
                  <c:v>2.7972652636745082E-3</c:v>
                </c:pt>
                <c:pt idx="54">
                  <c:v>2.7986280159577282E-3</c:v>
                </c:pt>
                <c:pt idx="55">
                  <c:v>2.7999907682409479E-3</c:v>
                </c:pt>
                <c:pt idx="56">
                  <c:v>2.801353520524168E-3</c:v>
                </c:pt>
                <c:pt idx="57">
                  <c:v>2.8054417773738277E-3</c:v>
                </c:pt>
                <c:pt idx="58">
                  <c:v>2.8068045296570474E-3</c:v>
                </c:pt>
                <c:pt idx="59">
                  <c:v>2.8081672819402674E-3</c:v>
                </c:pt>
                <c:pt idx="60">
                  <c:v>2.8095300342234875E-3</c:v>
                </c:pt>
                <c:pt idx="61">
                  <c:v>2.8108927865067071E-3</c:v>
                </c:pt>
                <c:pt idx="62">
                  <c:v>2.8149810433563669E-3</c:v>
                </c:pt>
                <c:pt idx="63">
                  <c:v>2.8163437956395866E-3</c:v>
                </c:pt>
                <c:pt idx="64">
                  <c:v>2.8177065479228066E-3</c:v>
                </c:pt>
                <c:pt idx="65">
                  <c:v>2.8190693002060267E-3</c:v>
                </c:pt>
                <c:pt idx="66">
                  <c:v>2.8204320524892463E-3</c:v>
                </c:pt>
                <c:pt idx="67">
                  <c:v>2.8245203093389061E-3</c:v>
                </c:pt>
                <c:pt idx="68">
                  <c:v>2.8258830616221258E-3</c:v>
                </c:pt>
                <c:pt idx="69">
                  <c:v>2.8272458139053458E-3</c:v>
                </c:pt>
                <c:pt idx="70">
                  <c:v>2.8286085661885659E-3</c:v>
                </c:pt>
                <c:pt idx="71">
                  <c:v>2.8299713184717855E-3</c:v>
                </c:pt>
                <c:pt idx="72">
                  <c:v>2.8340595753214453E-3</c:v>
                </c:pt>
                <c:pt idx="73">
                  <c:v>2.8354223276046654E-3</c:v>
                </c:pt>
                <c:pt idx="74">
                  <c:v>2.836785079887885E-3</c:v>
                </c:pt>
                <c:pt idx="75">
                  <c:v>2.8381478321711051E-3</c:v>
                </c:pt>
                <c:pt idx="76">
                  <c:v>2.8395105844543247E-3</c:v>
                </c:pt>
                <c:pt idx="77">
                  <c:v>2.8435988413039845E-3</c:v>
                </c:pt>
                <c:pt idx="78">
                  <c:v>2.8449615935872046E-3</c:v>
                </c:pt>
                <c:pt idx="79">
                  <c:v>2.8463243458704242E-3</c:v>
                </c:pt>
                <c:pt idx="80">
                  <c:v>2.8476870981536443E-3</c:v>
                </c:pt>
                <c:pt idx="81">
                  <c:v>2.8490498504368639E-3</c:v>
                </c:pt>
                <c:pt idx="82">
                  <c:v>2.8531381072865237E-3</c:v>
                </c:pt>
                <c:pt idx="83">
                  <c:v>2.8545008595697438E-3</c:v>
                </c:pt>
                <c:pt idx="84">
                  <c:v>2.8558636118529634E-3</c:v>
                </c:pt>
                <c:pt idx="85">
                  <c:v>2.8572263641361835E-3</c:v>
                </c:pt>
                <c:pt idx="86">
                  <c:v>2.8585891164194031E-3</c:v>
                </c:pt>
                <c:pt idx="87">
                  <c:v>2.8626773732690629E-3</c:v>
                </c:pt>
                <c:pt idx="88">
                  <c:v>2.864040125552283E-3</c:v>
                </c:pt>
                <c:pt idx="89">
                  <c:v>2.8654028778355026E-3</c:v>
                </c:pt>
                <c:pt idx="90">
                  <c:v>2.8667656301187227E-3</c:v>
                </c:pt>
                <c:pt idx="91">
                  <c:v>2.8681283824019423E-3</c:v>
                </c:pt>
                <c:pt idx="92">
                  <c:v>2.8722166392516021E-3</c:v>
                </c:pt>
                <c:pt idx="93">
                  <c:v>2.8735793915348222E-3</c:v>
                </c:pt>
                <c:pt idx="94">
                  <c:v>2.8749421438180418E-3</c:v>
                </c:pt>
                <c:pt idx="95">
                  <c:v>2.8763048961012619E-3</c:v>
                </c:pt>
                <c:pt idx="96">
                  <c:v>2.8776676483844815E-3</c:v>
                </c:pt>
                <c:pt idx="97">
                  <c:v>2.8817559052341413E-3</c:v>
                </c:pt>
                <c:pt idx="98">
                  <c:v>2.8831186575173614E-3</c:v>
                </c:pt>
                <c:pt idx="99">
                  <c:v>2.884481409800581E-3</c:v>
                </c:pt>
                <c:pt idx="100">
                  <c:v>2.8858441620838011E-3</c:v>
                </c:pt>
                <c:pt idx="101">
                  <c:v>2.8872069143670207E-3</c:v>
                </c:pt>
                <c:pt idx="102">
                  <c:v>2.8912951712166805E-3</c:v>
                </c:pt>
                <c:pt idx="103">
                  <c:v>2.8926579234999006E-3</c:v>
                </c:pt>
                <c:pt idx="104">
                  <c:v>2.8940206757831202E-3</c:v>
                </c:pt>
                <c:pt idx="105">
                  <c:v>2.8953834280663403E-3</c:v>
                </c:pt>
                <c:pt idx="106">
                  <c:v>2.8967461803495603E-3</c:v>
                </c:pt>
                <c:pt idx="107">
                  <c:v>2.9008344371992197E-3</c:v>
                </c:pt>
                <c:pt idx="108">
                  <c:v>2.9021971894824397E-3</c:v>
                </c:pt>
                <c:pt idx="109">
                  <c:v>2.9035599417656594E-3</c:v>
                </c:pt>
                <c:pt idx="110">
                  <c:v>2.9049226940488795E-3</c:v>
                </c:pt>
                <c:pt idx="111">
                  <c:v>2.9062854463320995E-3</c:v>
                </c:pt>
                <c:pt idx="112">
                  <c:v>2.9103737031817589E-3</c:v>
                </c:pt>
                <c:pt idx="113">
                  <c:v>2.9117364554649789E-3</c:v>
                </c:pt>
                <c:pt idx="114">
                  <c:v>2.9130992077481986E-3</c:v>
                </c:pt>
                <c:pt idx="115">
                  <c:v>2.9144619600314186E-3</c:v>
                </c:pt>
                <c:pt idx="116">
                  <c:v>2.9158247123146387E-3</c:v>
                </c:pt>
                <c:pt idx="117">
                  <c:v>2.9199129691642981E-3</c:v>
                </c:pt>
                <c:pt idx="118">
                  <c:v>2.9212757214475181E-3</c:v>
                </c:pt>
                <c:pt idx="119">
                  <c:v>2.9226384737307378E-3</c:v>
                </c:pt>
                <c:pt idx="120">
                  <c:v>2.9240012260139578E-3</c:v>
                </c:pt>
                <c:pt idx="121">
                  <c:v>2.9253639782971779E-3</c:v>
                </c:pt>
                <c:pt idx="122">
                  <c:v>2.9294522351468373E-3</c:v>
                </c:pt>
                <c:pt idx="123">
                  <c:v>2.9308149874300573E-3</c:v>
                </c:pt>
                <c:pt idx="124">
                  <c:v>2.9321777397132774E-3</c:v>
                </c:pt>
                <c:pt idx="125">
                  <c:v>2.933540491996497E-3</c:v>
                </c:pt>
                <c:pt idx="126">
                  <c:v>2.9349032442797171E-3</c:v>
                </c:pt>
                <c:pt idx="127">
                  <c:v>2.9389915011293764E-3</c:v>
                </c:pt>
                <c:pt idx="128">
                  <c:v>2.9403542534125965E-3</c:v>
                </c:pt>
                <c:pt idx="129">
                  <c:v>2.9417170056958166E-3</c:v>
                </c:pt>
                <c:pt idx="130">
                  <c:v>2.9430797579790362E-3</c:v>
                </c:pt>
                <c:pt idx="131">
                  <c:v>2.9444425102622563E-3</c:v>
                </c:pt>
                <c:pt idx="132">
                  <c:v>2.9485307671119161E-3</c:v>
                </c:pt>
                <c:pt idx="133">
                  <c:v>2.9498935193951357E-3</c:v>
                </c:pt>
                <c:pt idx="134">
                  <c:v>2.9512562716783558E-3</c:v>
                </c:pt>
                <c:pt idx="135">
                  <c:v>2.9526190239615754E-3</c:v>
                </c:pt>
                <c:pt idx="136">
                  <c:v>2.9539817762447955E-3</c:v>
                </c:pt>
                <c:pt idx="137">
                  <c:v>2.9580700330944553E-3</c:v>
                </c:pt>
                <c:pt idx="138">
                  <c:v>2.9594327853776749E-3</c:v>
                </c:pt>
                <c:pt idx="139">
                  <c:v>2.960795537660895E-3</c:v>
                </c:pt>
                <c:pt idx="140">
                  <c:v>2.9621582899441146E-3</c:v>
                </c:pt>
                <c:pt idx="141">
                  <c:v>2.9635210422273347E-3</c:v>
                </c:pt>
                <c:pt idx="142">
                  <c:v>2.9676092990769945E-3</c:v>
                </c:pt>
                <c:pt idx="143">
                  <c:v>2.9689720513602141E-3</c:v>
                </c:pt>
                <c:pt idx="144">
                  <c:v>2.9703348036434342E-3</c:v>
                </c:pt>
                <c:pt idx="145">
                  <c:v>2.9716975559266538E-3</c:v>
                </c:pt>
                <c:pt idx="146">
                  <c:v>2.9730603082098739E-3</c:v>
                </c:pt>
                <c:pt idx="147">
                  <c:v>2.9771485650595337E-3</c:v>
                </c:pt>
                <c:pt idx="148">
                  <c:v>2.9785113173427533E-3</c:v>
                </c:pt>
                <c:pt idx="149">
                  <c:v>2.9798740696259734E-3</c:v>
                </c:pt>
                <c:pt idx="150">
                  <c:v>2.981236821909193E-3</c:v>
                </c:pt>
                <c:pt idx="151">
                  <c:v>2.9825995741924131E-3</c:v>
                </c:pt>
                <c:pt idx="152">
                  <c:v>2.9866878310420729E-3</c:v>
                </c:pt>
                <c:pt idx="153">
                  <c:v>2.9880505833252925E-3</c:v>
                </c:pt>
                <c:pt idx="154">
                  <c:v>2.9894133356085126E-3</c:v>
                </c:pt>
                <c:pt idx="155">
                  <c:v>2.9907760878917322E-3</c:v>
                </c:pt>
                <c:pt idx="156">
                  <c:v>2.9921388401749523E-3</c:v>
                </c:pt>
                <c:pt idx="157">
                  <c:v>2.996227097024612E-3</c:v>
                </c:pt>
                <c:pt idx="158">
                  <c:v>2.9975898493078317E-3</c:v>
                </c:pt>
                <c:pt idx="159">
                  <c:v>2.9989526015910518E-3</c:v>
                </c:pt>
                <c:pt idx="160">
                  <c:v>3.0003153538742714E-3</c:v>
                </c:pt>
                <c:pt idx="161">
                  <c:v>3.0057663630071512E-3</c:v>
                </c:pt>
                <c:pt idx="162">
                  <c:v>3.0071291152903709E-3</c:v>
                </c:pt>
                <c:pt idx="163">
                  <c:v>3.0084918675735909E-3</c:v>
                </c:pt>
                <c:pt idx="164">
                  <c:v>3.009854619856811E-3</c:v>
                </c:pt>
                <c:pt idx="165">
                  <c:v>3.0153056289896904E-3</c:v>
                </c:pt>
                <c:pt idx="166">
                  <c:v>3.0166683812729101E-3</c:v>
                </c:pt>
                <c:pt idx="167">
                  <c:v>3.0180311335561301E-3</c:v>
                </c:pt>
                <c:pt idx="168">
                  <c:v>3.0193938858393502E-3</c:v>
                </c:pt>
                <c:pt idx="169">
                  <c:v>3.0207566381225699E-3</c:v>
                </c:pt>
                <c:pt idx="170">
                  <c:v>3.0248448949722296E-3</c:v>
                </c:pt>
                <c:pt idx="171">
                  <c:v>3.0262076472554493E-3</c:v>
                </c:pt>
                <c:pt idx="172">
                  <c:v>3.0275703995386693E-3</c:v>
                </c:pt>
                <c:pt idx="173">
                  <c:v>3.0289331518218894E-3</c:v>
                </c:pt>
                <c:pt idx="174">
                  <c:v>3.030295904105109E-3</c:v>
                </c:pt>
                <c:pt idx="175">
                  <c:v>3.0343841609547688E-3</c:v>
                </c:pt>
                <c:pt idx="176">
                  <c:v>3.0357469132379885E-3</c:v>
                </c:pt>
                <c:pt idx="177">
                  <c:v>3.0371096655212085E-3</c:v>
                </c:pt>
                <c:pt idx="178">
                  <c:v>3.0384724178044286E-3</c:v>
                </c:pt>
                <c:pt idx="179">
                  <c:v>3.0398351700876482E-3</c:v>
                </c:pt>
                <c:pt idx="180">
                  <c:v>3.043923426937308E-3</c:v>
                </c:pt>
                <c:pt idx="181">
                  <c:v>3.0452861792205277E-3</c:v>
                </c:pt>
                <c:pt idx="182">
                  <c:v>3.0466489315037477E-3</c:v>
                </c:pt>
                <c:pt idx="183">
                  <c:v>3.0480116837869678E-3</c:v>
                </c:pt>
                <c:pt idx="184">
                  <c:v>3.0493744360701874E-3</c:v>
                </c:pt>
                <c:pt idx="185">
                  <c:v>3.0534626929198472E-3</c:v>
                </c:pt>
                <c:pt idx="186">
                  <c:v>3.0548254452030668E-3</c:v>
                </c:pt>
                <c:pt idx="187">
                  <c:v>3.0561881974862869E-3</c:v>
                </c:pt>
                <c:pt idx="188">
                  <c:v>3.057550949769507E-3</c:v>
                </c:pt>
                <c:pt idx="189">
                  <c:v>3.0589137020527266E-3</c:v>
                </c:pt>
                <c:pt idx="190">
                  <c:v>3.0630019589023864E-3</c:v>
                </c:pt>
                <c:pt idx="191">
                  <c:v>3.0643647111856065E-3</c:v>
                </c:pt>
                <c:pt idx="192">
                  <c:v>3.0657274634688261E-3</c:v>
                </c:pt>
                <c:pt idx="193">
                  <c:v>3.0670902157520462E-3</c:v>
                </c:pt>
                <c:pt idx="194">
                  <c:v>3.0684529680352658E-3</c:v>
                </c:pt>
                <c:pt idx="195">
                  <c:v>3.0725412248849256E-3</c:v>
                </c:pt>
                <c:pt idx="196">
                  <c:v>3.0739039771681457E-3</c:v>
                </c:pt>
                <c:pt idx="197">
                  <c:v>3.0752667294513653E-3</c:v>
                </c:pt>
                <c:pt idx="198">
                  <c:v>3.0766294817345854E-3</c:v>
                </c:pt>
                <c:pt idx="199">
                  <c:v>3.077992234017805E-3</c:v>
                </c:pt>
                <c:pt idx="200">
                  <c:v>3.0820804908674648E-3</c:v>
                </c:pt>
                <c:pt idx="201">
                  <c:v>3.0834432431506849E-3</c:v>
                </c:pt>
                <c:pt idx="202">
                  <c:v>3.0848059954339045E-3</c:v>
                </c:pt>
                <c:pt idx="203">
                  <c:v>3.0861687477171246E-3</c:v>
                </c:pt>
                <c:pt idx="204">
                  <c:v>3.0875315000003442E-3</c:v>
                </c:pt>
                <c:pt idx="205">
                  <c:v>3.091619756850004E-3</c:v>
                </c:pt>
                <c:pt idx="206">
                  <c:v>3.0929825091332241E-3</c:v>
                </c:pt>
                <c:pt idx="207">
                  <c:v>3.0943452614164437E-3</c:v>
                </c:pt>
                <c:pt idx="208">
                  <c:v>3.0957080136996638E-3</c:v>
                </c:pt>
                <c:pt idx="209">
                  <c:v>3.0970707659828834E-3</c:v>
                </c:pt>
                <c:pt idx="210">
                  <c:v>3.1011590228325432E-3</c:v>
                </c:pt>
                <c:pt idx="211">
                  <c:v>3.1025217751157633E-3</c:v>
                </c:pt>
                <c:pt idx="212">
                  <c:v>3.1038845273989829E-3</c:v>
                </c:pt>
                <c:pt idx="213">
                  <c:v>3.105247279682203E-3</c:v>
                </c:pt>
                <c:pt idx="214">
                  <c:v>3.1066100319654226E-3</c:v>
                </c:pt>
                <c:pt idx="215">
                  <c:v>3.1106982888150824E-3</c:v>
                </c:pt>
                <c:pt idx="216">
                  <c:v>3.1120610410983024E-3</c:v>
                </c:pt>
                <c:pt idx="217">
                  <c:v>3.1134237933815221E-3</c:v>
                </c:pt>
                <c:pt idx="218">
                  <c:v>3.1147865456647422E-3</c:v>
                </c:pt>
                <c:pt idx="219">
                  <c:v>3.1161492979479618E-3</c:v>
                </c:pt>
                <c:pt idx="220">
                  <c:v>3.1202375547976216E-3</c:v>
                </c:pt>
                <c:pt idx="221">
                  <c:v>3.1216003070808416E-3</c:v>
                </c:pt>
                <c:pt idx="222">
                  <c:v>3.1229630593640613E-3</c:v>
                </c:pt>
                <c:pt idx="223">
                  <c:v>3.1243258116472813E-3</c:v>
                </c:pt>
                <c:pt idx="224">
                  <c:v>3.1311395730633808E-3</c:v>
                </c:pt>
                <c:pt idx="225">
                  <c:v>3.1325023253466009E-3</c:v>
                </c:pt>
                <c:pt idx="226">
                  <c:v>3.1338650776298205E-3</c:v>
                </c:pt>
                <c:pt idx="227">
                  <c:v>3.1352278299130406E-3</c:v>
                </c:pt>
                <c:pt idx="228">
                  <c:v>3.1393160867627E-3</c:v>
                </c:pt>
                <c:pt idx="229">
                  <c:v>3.14067883904592E-3</c:v>
                </c:pt>
                <c:pt idx="230">
                  <c:v>3.1420415913291401E-3</c:v>
                </c:pt>
                <c:pt idx="231">
                  <c:v>3.1434043436123597E-3</c:v>
                </c:pt>
                <c:pt idx="232">
                  <c:v>3.1447670958955798E-3</c:v>
                </c:pt>
                <c:pt idx="233">
                  <c:v>3.1488553527452392E-3</c:v>
                </c:pt>
                <c:pt idx="234">
                  <c:v>3.1502181050284592E-3</c:v>
                </c:pt>
                <c:pt idx="235">
                  <c:v>3.1515808573116793E-3</c:v>
                </c:pt>
                <c:pt idx="236">
                  <c:v>3.1529436095948989E-3</c:v>
                </c:pt>
                <c:pt idx="237">
                  <c:v>3.154306361878119E-3</c:v>
                </c:pt>
                <c:pt idx="238">
                  <c:v>3.1583946187277783E-3</c:v>
                </c:pt>
                <c:pt idx="239">
                  <c:v>3.1597573710109984E-3</c:v>
                </c:pt>
                <c:pt idx="240">
                  <c:v>3.1611201232942185E-3</c:v>
                </c:pt>
                <c:pt idx="241">
                  <c:v>3.1624828755774381E-3</c:v>
                </c:pt>
                <c:pt idx="242">
                  <c:v>3.1638456278606582E-3</c:v>
                </c:pt>
                <c:pt idx="243">
                  <c:v>3.1679338847103175E-3</c:v>
                </c:pt>
                <c:pt idx="244">
                  <c:v>3.1692966369935376E-3</c:v>
                </c:pt>
                <c:pt idx="245">
                  <c:v>3.1706593892767577E-3</c:v>
                </c:pt>
                <c:pt idx="246">
                  <c:v>3.1720221415599773E-3</c:v>
                </c:pt>
                <c:pt idx="247">
                  <c:v>3.1733848938431974E-3</c:v>
                </c:pt>
                <c:pt idx="248">
                  <c:v>3.1774731506928567E-3</c:v>
                </c:pt>
                <c:pt idx="249">
                  <c:v>3.1788359029760768E-3</c:v>
                </c:pt>
                <c:pt idx="250">
                  <c:v>3.1801986552592969E-3</c:v>
                </c:pt>
                <c:pt idx="251">
                  <c:v>3.1815614075425165E-3</c:v>
                </c:pt>
                <c:pt idx="252">
                  <c:v>3.1829241598257366E-3</c:v>
                </c:pt>
                <c:pt idx="253">
                  <c:v>3.1870124166753959E-3</c:v>
                </c:pt>
                <c:pt idx="254">
                  <c:v>3.188375168958616E-3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'1YSynthDepo'!$AF$2</c:f>
              <c:strCache>
                <c:ptCount val="1"/>
                <c:pt idx="0">
                  <c:v>Quadratic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'1YSynthDepo'!$AB$3:$AB$257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cat>
          <c:val>
            <c:numRef>
              <c:f>'1YSynthDepo'!$AF$3:$AF$257</c:f>
              <c:numCache>
                <c:formatCode>0.0000%</c:formatCode>
                <c:ptCount val="255"/>
                <c:pt idx="0">
                  <c:v>-1.5627469042723981E-3</c:v>
                </c:pt>
                <c:pt idx="1">
                  <c:v>-1.5117614376197325E-3</c:v>
                </c:pt>
                <c:pt idx="2">
                  <c:v>-1.3601056771799596E-3</c:v>
                </c:pt>
                <c:pt idx="3">
                  <c:v>-1.3099873035394428E-3</c:v>
                </c:pt>
                <c:pt idx="4">
                  <c:v>-1.2600857031519637E-3</c:v>
                </c:pt>
                <c:pt idx="5">
                  <c:v>-1.2104008760175215E-3</c:v>
                </c:pt>
                <c:pt idx="6">
                  <c:v>-1.1609328221361165E-3</c:v>
                </c:pt>
                <c:pt idx="7">
                  <c:v>-1.0138293000101252E-3</c:v>
                </c:pt>
                <c:pt idx="8">
                  <c:v>-9.6522833914086887E-4</c:v>
                </c:pt>
                <c:pt idx="9">
                  <c:v>-9.1684415152465002E-4</c:v>
                </c:pt>
                <c:pt idx="10">
                  <c:v>-8.6867673716146845E-4</c:v>
                </c:pt>
                <c:pt idx="11">
                  <c:v>-8.2072609605132393E-4</c:v>
                </c:pt>
                <c:pt idx="12">
                  <c:v>-6.7817481223911389E-4</c:v>
                </c:pt>
                <c:pt idx="13">
                  <c:v>-6.3109126414111845E-4</c:v>
                </c:pt>
                <c:pt idx="14">
                  <c:v>-5.8422448929616006E-4</c:v>
                </c:pt>
                <c:pt idx="15">
                  <c:v>-5.3757448770423884E-4</c:v>
                </c:pt>
                <c:pt idx="16">
                  <c:v>-4.9114125936535499E-4</c:v>
                </c:pt>
                <c:pt idx="17">
                  <c:v>-3.5314221386692653E-4</c:v>
                </c:pt>
                <c:pt idx="18">
                  <c:v>-3.0757607854019155E-4</c:v>
                </c:pt>
                <c:pt idx="19">
                  <c:v>-2.6222671646649362E-4</c:v>
                </c:pt>
                <c:pt idx="20">
                  <c:v>-2.1709412764583312E-4</c:v>
                </c:pt>
                <c:pt idx="21">
                  <c:v>-1.7217831207820962E-4</c:v>
                </c:pt>
                <c:pt idx="22">
                  <c:v>-3.8731504893562592E-5</c:v>
                </c:pt>
                <c:pt idx="23">
                  <c:v>5.3172176619116371E-6</c:v>
                </c:pt>
                <c:pt idx="24">
                  <c:v>4.9149166964349044E-5</c:v>
                </c:pt>
                <c:pt idx="25">
                  <c:v>9.2764343013749249E-5</c:v>
                </c:pt>
                <c:pt idx="26">
                  <c:v>1.3616274581011221E-4</c:v>
                </c:pt>
                <c:pt idx="27">
                  <c:v>2.6505731468097769E-4</c:v>
                </c:pt>
                <c:pt idx="28">
                  <c:v>3.0758862446519139E-4</c:v>
                </c:pt>
                <c:pt idx="29">
                  <c:v>3.499031609963683E-4</c:v>
                </c:pt>
                <c:pt idx="30">
                  <c:v>3.9200092427450799E-4</c:v>
                </c:pt>
                <c:pt idx="31">
                  <c:v>4.3388191429961047E-4</c:v>
                </c:pt>
                <c:pt idx="32">
                  <c:v>5.582242448566938E-4</c:v>
                </c:pt>
                <c:pt idx="33">
                  <c:v>5.9923814186964774E-4</c:v>
                </c:pt>
                <c:pt idx="34">
                  <c:v>6.4003526562956376E-4</c:v>
                </c:pt>
                <c:pt idx="35">
                  <c:v>6.8061561613644295E-4</c:v>
                </c:pt>
                <c:pt idx="36">
                  <c:v>7.2097919339028486E-4</c:v>
                </c:pt>
                <c:pt idx="37">
                  <c:v>8.4076928563358699E-4</c:v>
                </c:pt>
                <c:pt idx="38">
                  <c:v>8.8026576987528015E-4</c:v>
                </c:pt>
                <c:pt idx="39">
                  <c:v>9.1954548086393604E-4</c:v>
                </c:pt>
                <c:pt idx="40">
                  <c:v>9.5860841859955422E-4</c:v>
                </c:pt>
                <c:pt idx="41">
                  <c:v>9.9745458308213579E-4</c:v>
                </c:pt>
                <c:pt idx="42">
                  <c:v>1.1126924370116562E-3</c:v>
                </c:pt>
                <c:pt idx="43">
                  <c:v>1.1506715084820889E-3</c:v>
                </c:pt>
                <c:pt idx="44">
                  <c:v>1.1884338066994844E-3</c:v>
                </c:pt>
                <c:pt idx="45">
                  <c:v>1.2259793316638421E-3</c:v>
                </c:pt>
                <c:pt idx="46">
                  <c:v>1.2633080833751634E-3</c:v>
                </c:pt>
                <c:pt idx="47">
                  <c:v>1.3739936989909025E-3</c:v>
                </c:pt>
                <c:pt idx="48">
                  <c:v>1.4104553576900741E-3</c:v>
                </c:pt>
                <c:pt idx="49">
                  <c:v>1.4467002431362093E-3</c:v>
                </c:pt>
                <c:pt idx="50">
                  <c:v>1.4827283553293066E-3</c:v>
                </c:pt>
                <c:pt idx="51">
                  <c:v>1.5185396942693666E-3</c:v>
                </c:pt>
                <c:pt idx="52">
                  <c:v>1.6246730715713245E-3</c:v>
                </c:pt>
                <c:pt idx="53">
                  <c:v>1.6596173174992361E-3</c:v>
                </c:pt>
                <c:pt idx="54">
                  <c:v>1.6943447901741099E-3</c:v>
                </c:pt>
                <c:pt idx="55">
                  <c:v>1.7288554895959472E-3</c:v>
                </c:pt>
                <c:pt idx="56">
                  <c:v>1.7631494157647474E-3</c:v>
                </c:pt>
                <c:pt idx="57">
                  <c:v>1.8647305547529235E-3</c:v>
                </c:pt>
                <c:pt idx="58">
                  <c:v>1.898157387909574E-3</c:v>
                </c:pt>
                <c:pt idx="59">
                  <c:v>1.9313674478131882E-3</c:v>
                </c:pt>
                <c:pt idx="60">
                  <c:v>1.9643607344637642E-3</c:v>
                </c:pt>
                <c:pt idx="61">
                  <c:v>1.9971372478613035E-3</c:v>
                </c:pt>
                <c:pt idx="62">
                  <c:v>2.0941661485356978E-3</c:v>
                </c:pt>
                <c:pt idx="63">
                  <c:v>2.1260755689210889E-3</c:v>
                </c:pt>
                <c:pt idx="64">
                  <c:v>2.1577682160534416E-3</c:v>
                </c:pt>
                <c:pt idx="65">
                  <c:v>2.1892440899327573E-3</c:v>
                </c:pt>
                <c:pt idx="66">
                  <c:v>2.220503190559036E-3</c:v>
                </c:pt>
                <c:pt idx="67">
                  <c:v>2.3129798529196496E-3</c:v>
                </c:pt>
                <c:pt idx="68">
                  <c:v>2.3433718605337791E-3</c:v>
                </c:pt>
                <c:pt idx="69">
                  <c:v>2.3735470948948716E-3</c:v>
                </c:pt>
                <c:pt idx="70">
                  <c:v>2.4035055560029275E-3</c:v>
                </c:pt>
                <c:pt idx="71">
                  <c:v>2.4332472438579464E-3</c:v>
                </c:pt>
                <c:pt idx="72">
                  <c:v>2.5211716679047766E-3</c:v>
                </c:pt>
                <c:pt idx="73">
                  <c:v>2.5500462627476468E-3</c:v>
                </c:pt>
                <c:pt idx="74">
                  <c:v>2.5787040843374786E-3</c:v>
                </c:pt>
                <c:pt idx="75">
                  <c:v>2.6071451326742739E-3</c:v>
                </c:pt>
                <c:pt idx="76">
                  <c:v>2.6353694077580312E-3</c:v>
                </c:pt>
                <c:pt idx="77">
                  <c:v>2.718741593491082E-3</c:v>
                </c:pt>
                <c:pt idx="78">
                  <c:v>2.7460987755626902E-3</c:v>
                </c:pt>
                <c:pt idx="79">
                  <c:v>2.7732391843812614E-3</c:v>
                </c:pt>
                <c:pt idx="80">
                  <c:v>2.8001628199467955E-3</c:v>
                </c:pt>
                <c:pt idx="81">
                  <c:v>2.8268696822592943E-3</c:v>
                </c:pt>
                <c:pt idx="82">
                  <c:v>2.9056896296785614E-3</c:v>
                </c:pt>
                <c:pt idx="83">
                  <c:v>2.9315293989789094E-3</c:v>
                </c:pt>
                <c:pt idx="84">
                  <c:v>2.957152395026222E-3</c:v>
                </c:pt>
                <c:pt idx="85">
                  <c:v>2.9825586178204959E-3</c:v>
                </c:pt>
                <c:pt idx="86">
                  <c:v>3.0077480673617323E-3</c:v>
                </c:pt>
                <c:pt idx="87">
                  <c:v>3.08201577646722E-3</c:v>
                </c:pt>
                <c:pt idx="88">
                  <c:v>3.1063381329963077E-3</c:v>
                </c:pt>
                <c:pt idx="89">
                  <c:v>3.1304437162723575E-3</c:v>
                </c:pt>
                <c:pt idx="90">
                  <c:v>3.1543325262953711E-3</c:v>
                </c:pt>
                <c:pt idx="91">
                  <c:v>3.178004563065346E-3</c:v>
                </c:pt>
                <c:pt idx="92">
                  <c:v>3.2477200338570525E-3</c:v>
                </c:pt>
                <c:pt idx="93">
                  <c:v>3.27052497761488E-3</c:v>
                </c:pt>
                <c:pt idx="94">
                  <c:v>3.2931131481196696E-3</c:v>
                </c:pt>
                <c:pt idx="95">
                  <c:v>3.3154845453714234E-3</c:v>
                </c:pt>
                <c:pt idx="96">
                  <c:v>3.3376391693701393E-3</c:v>
                </c:pt>
                <c:pt idx="97">
                  <c:v>3.4028024018480621E-3</c:v>
                </c:pt>
                <c:pt idx="98">
                  <c:v>3.4240899328346298E-3</c:v>
                </c:pt>
                <c:pt idx="99">
                  <c:v>3.4451606905681591E-3</c:v>
                </c:pt>
                <c:pt idx="100">
                  <c:v>3.4660146750486514E-3</c:v>
                </c:pt>
                <c:pt idx="101">
                  <c:v>3.4866518862761062E-3</c:v>
                </c:pt>
                <c:pt idx="102">
                  <c:v>3.5472628804402487E-3</c:v>
                </c:pt>
                <c:pt idx="103">
                  <c:v>3.5670329986555549E-3</c:v>
                </c:pt>
                <c:pt idx="104">
                  <c:v>3.5865863436178235E-3</c:v>
                </c:pt>
                <c:pt idx="105">
                  <c:v>3.6059229153270556E-3</c:v>
                </c:pt>
                <c:pt idx="106">
                  <c:v>3.6250427137832501E-3</c:v>
                </c:pt>
                <c:pt idx="107">
                  <c:v>3.6811014696336111E-3</c:v>
                </c:pt>
                <c:pt idx="108">
                  <c:v>3.6993541750776565E-3</c:v>
                </c:pt>
                <c:pt idx="109">
                  <c:v>3.717390107268665E-3</c:v>
                </c:pt>
                <c:pt idx="110">
                  <c:v>3.7352092662066359E-3</c:v>
                </c:pt>
                <c:pt idx="111">
                  <c:v>3.7528116518915711E-3</c:v>
                </c:pt>
                <c:pt idx="112">
                  <c:v>3.8043181694281496E-3</c:v>
                </c:pt>
                <c:pt idx="113">
                  <c:v>3.8210534621009348E-3</c:v>
                </c:pt>
                <c:pt idx="114">
                  <c:v>3.8375719815206826E-3</c:v>
                </c:pt>
                <c:pt idx="115">
                  <c:v>3.8538737276873946E-3</c:v>
                </c:pt>
                <c:pt idx="116">
                  <c:v>3.8699587006010678E-3</c:v>
                </c:pt>
                <c:pt idx="117">
                  <c:v>3.9169129798238642E-3</c:v>
                </c:pt>
                <c:pt idx="118">
                  <c:v>3.9321308597253905E-3</c:v>
                </c:pt>
                <c:pt idx="119">
                  <c:v>3.947131966373878E-3</c:v>
                </c:pt>
                <c:pt idx="120">
                  <c:v>3.9619162997693276E-3</c:v>
                </c:pt>
                <c:pt idx="121">
                  <c:v>3.9764838599117402E-3</c:v>
                </c:pt>
                <c:pt idx="122">
                  <c:v>4.0188859008207572E-3</c:v>
                </c:pt>
                <c:pt idx="123">
                  <c:v>4.0325863679510215E-3</c:v>
                </c:pt>
                <c:pt idx="124">
                  <c:v>4.046070061828248E-3</c:v>
                </c:pt>
                <c:pt idx="125">
                  <c:v>4.0593369824524373E-3</c:v>
                </c:pt>
                <c:pt idx="126">
                  <c:v>4.0723871298235896E-3</c:v>
                </c:pt>
                <c:pt idx="127">
                  <c:v>4.1102369324188242E-3</c:v>
                </c:pt>
                <c:pt idx="128">
                  <c:v>4.1224199867778283E-3</c:v>
                </c:pt>
                <c:pt idx="129">
                  <c:v>4.1343862678837953E-3</c:v>
                </c:pt>
                <c:pt idx="130">
                  <c:v>4.1461357757367236E-3</c:v>
                </c:pt>
                <c:pt idx="131">
                  <c:v>4.1576685103366156E-3</c:v>
                </c:pt>
                <c:pt idx="132">
                  <c:v>4.1909660746180695E-3</c:v>
                </c:pt>
                <c:pt idx="133">
                  <c:v>4.2016317162058133E-3</c:v>
                </c:pt>
                <c:pt idx="134">
                  <c:v>4.2120805845405184E-3</c:v>
                </c:pt>
                <c:pt idx="135">
                  <c:v>4.2223126796221873E-3</c:v>
                </c:pt>
                <c:pt idx="136">
                  <c:v>4.2323280014508182E-3</c:v>
                </c:pt>
                <c:pt idx="137">
                  <c:v>4.2610733274184897E-3</c:v>
                </c:pt>
                <c:pt idx="138">
                  <c:v>4.2702215562349724E-3</c:v>
                </c:pt>
                <c:pt idx="139">
                  <c:v>4.2791530117984172E-3</c:v>
                </c:pt>
                <c:pt idx="140">
                  <c:v>4.2878676941088267E-3</c:v>
                </c:pt>
                <c:pt idx="141">
                  <c:v>4.2963656031661983E-3</c:v>
                </c:pt>
                <c:pt idx="142">
                  <c:v>4.3205586908200873E-3</c:v>
                </c:pt>
                <c:pt idx="143">
                  <c:v>4.3281895068653098E-3</c:v>
                </c:pt>
                <c:pt idx="144">
                  <c:v>4.3356035496574944E-3</c:v>
                </c:pt>
                <c:pt idx="145">
                  <c:v>4.3428008191966419E-3</c:v>
                </c:pt>
                <c:pt idx="146">
                  <c:v>4.3497813154827524E-3</c:v>
                </c:pt>
                <c:pt idx="147">
                  <c:v>4.3694221648228615E-3</c:v>
                </c:pt>
                <c:pt idx="148">
                  <c:v>4.3755355680968229E-3</c:v>
                </c:pt>
                <c:pt idx="149">
                  <c:v>4.3814321981177472E-3</c:v>
                </c:pt>
                <c:pt idx="150">
                  <c:v>4.3871120548856345E-3</c:v>
                </c:pt>
                <c:pt idx="151">
                  <c:v>4.3925751384004839E-3</c:v>
                </c:pt>
                <c:pt idx="152">
                  <c:v>4.4076637494268106E-3</c:v>
                </c:pt>
                <c:pt idx="153">
                  <c:v>4.4122597399295117E-3</c:v>
                </c:pt>
                <c:pt idx="154">
                  <c:v>4.4166389571791767E-3</c:v>
                </c:pt>
                <c:pt idx="155">
                  <c:v>4.4208014011758038E-3</c:v>
                </c:pt>
                <c:pt idx="156">
                  <c:v>4.4247470719193929E-3</c:v>
                </c:pt>
                <c:pt idx="157">
                  <c:v>4.435283444631938E-3</c:v>
                </c:pt>
                <c:pt idx="158">
                  <c:v>4.438362022363378E-3</c:v>
                </c:pt>
                <c:pt idx="159">
                  <c:v>4.4412238268417819E-3</c:v>
                </c:pt>
                <c:pt idx="160">
                  <c:v>4.4438688580671478E-3</c:v>
                </c:pt>
                <c:pt idx="161">
                  <c:v>4.4522812504382411E-3</c:v>
                </c:pt>
                <c:pt idx="162">
                  <c:v>4.4538424153984218E-3</c:v>
                </c:pt>
                <c:pt idx="163">
                  <c:v>4.4551868071055637E-3</c:v>
                </c:pt>
                <c:pt idx="164">
                  <c:v>4.4563144255596694E-3</c:v>
                </c:pt>
                <c:pt idx="165">
                  <c:v>4.4586571668457208E-3</c:v>
                </c:pt>
                <c:pt idx="166">
                  <c:v>4.4587009190346404E-3</c:v>
                </c:pt>
                <c:pt idx="167">
                  <c:v>4.4585278979705229E-3</c:v>
                </c:pt>
                <c:pt idx="168">
                  <c:v>4.4581381036533675E-3</c:v>
                </c:pt>
                <c:pt idx="169">
                  <c:v>4.4575315360831751E-3</c:v>
                </c:pt>
                <c:pt idx="170">
                  <c:v>4.4544111938543754E-3</c:v>
                </c:pt>
                <c:pt idx="171">
                  <c:v>4.4529375332720339E-3</c:v>
                </c:pt>
                <c:pt idx="172">
                  <c:v>4.4512470994366561E-3</c:v>
                </c:pt>
                <c:pt idx="173">
                  <c:v>4.4493398923482422E-3</c:v>
                </c:pt>
                <c:pt idx="174">
                  <c:v>4.4472159120067896E-3</c:v>
                </c:pt>
                <c:pt idx="175">
                  <c:v>4.4395433314642083E-3</c:v>
                </c:pt>
                <c:pt idx="176">
                  <c:v>4.4365522581106065E-3</c:v>
                </c:pt>
                <c:pt idx="177">
                  <c:v>4.4333444115039677E-3</c:v>
                </c:pt>
                <c:pt idx="178">
                  <c:v>4.4299197916442918E-3</c:v>
                </c:pt>
                <c:pt idx="179">
                  <c:v>4.4262783985315789E-3</c:v>
                </c:pt>
                <c:pt idx="180">
                  <c:v>4.4140535796752178E-3</c:v>
                </c:pt>
                <c:pt idx="181">
                  <c:v>4.4095450935503541E-3</c:v>
                </c:pt>
                <c:pt idx="182">
                  <c:v>4.4048198341724559E-3</c:v>
                </c:pt>
                <c:pt idx="183">
                  <c:v>4.3998778015415197E-3</c:v>
                </c:pt>
                <c:pt idx="184">
                  <c:v>4.3947189956575457E-3</c:v>
                </c:pt>
                <c:pt idx="185">
                  <c:v>4.3779419384874013E-3</c:v>
                </c:pt>
                <c:pt idx="186">
                  <c:v>4.371916039591279E-3</c:v>
                </c:pt>
                <c:pt idx="187">
                  <c:v>4.3656733674421189E-3</c:v>
                </c:pt>
                <c:pt idx="188">
                  <c:v>4.3592139220399225E-3</c:v>
                </c:pt>
                <c:pt idx="189">
                  <c:v>4.3525377033846882E-3</c:v>
                </c:pt>
                <c:pt idx="190">
                  <c:v>4.3312084079007631E-3</c:v>
                </c:pt>
                <c:pt idx="191">
                  <c:v>4.323665096233378E-3</c:v>
                </c:pt>
                <c:pt idx="192">
                  <c:v>4.3159050113129593E-3</c:v>
                </c:pt>
                <c:pt idx="193">
                  <c:v>4.3079281531395019E-3</c:v>
                </c:pt>
                <c:pt idx="194">
                  <c:v>4.2997345217130074E-3</c:v>
                </c:pt>
                <c:pt idx="195">
                  <c:v>4.2738529879153015E-3</c:v>
                </c:pt>
                <c:pt idx="196">
                  <c:v>4.264792263476657E-3</c:v>
                </c:pt>
                <c:pt idx="197">
                  <c:v>4.2555147657849755E-3</c:v>
                </c:pt>
                <c:pt idx="198">
                  <c:v>4.2460204948402587E-3</c:v>
                </c:pt>
                <c:pt idx="199">
                  <c:v>4.2363094506425031E-3</c:v>
                </c:pt>
                <c:pt idx="200">
                  <c:v>4.2058756785310139E-3</c:v>
                </c:pt>
                <c:pt idx="201">
                  <c:v>4.1952975413211101E-3</c:v>
                </c:pt>
                <c:pt idx="202">
                  <c:v>4.1845026308581709E-3</c:v>
                </c:pt>
                <c:pt idx="203">
                  <c:v>4.1734909471421913E-3</c:v>
                </c:pt>
                <c:pt idx="204">
                  <c:v>4.1622624901731745E-3</c:v>
                </c:pt>
                <c:pt idx="205">
                  <c:v>4.1272764797479055E-3</c:v>
                </c:pt>
                <c:pt idx="206">
                  <c:v>4.1151809297667388E-3</c:v>
                </c:pt>
                <c:pt idx="207">
                  <c:v>4.1028686065325386E-3</c:v>
                </c:pt>
                <c:pt idx="208">
                  <c:v>4.0903395100452995E-3</c:v>
                </c:pt>
                <c:pt idx="209">
                  <c:v>4.0775936403050234E-3</c:v>
                </c:pt>
                <c:pt idx="210">
                  <c:v>4.0380553915659728E-3</c:v>
                </c:pt>
                <c:pt idx="211">
                  <c:v>4.0244424288135468E-3</c:v>
                </c:pt>
                <c:pt idx="212">
                  <c:v>4.0106126928080837E-3</c:v>
                </c:pt>
                <c:pt idx="213">
                  <c:v>3.9965661835495853E-3</c:v>
                </c:pt>
                <c:pt idx="214">
                  <c:v>3.9823029010380481E-3</c:v>
                </c:pt>
                <c:pt idx="215">
                  <c:v>3.9382124139852141E-3</c:v>
                </c:pt>
                <c:pt idx="216">
                  <c:v>3.9230820384615304E-3</c:v>
                </c:pt>
                <c:pt idx="217">
                  <c:v>3.9077348896848062E-3</c:v>
                </c:pt>
                <c:pt idx="218">
                  <c:v>3.8921709676550467E-3</c:v>
                </c:pt>
                <c:pt idx="219">
                  <c:v>3.8763902723722484E-3</c:v>
                </c:pt>
                <c:pt idx="220">
                  <c:v>3.8277475470056364E-3</c:v>
                </c:pt>
                <c:pt idx="221">
                  <c:v>3.8110997587106881E-3</c:v>
                </c:pt>
                <c:pt idx="222">
                  <c:v>3.7942351971627063E-3</c:v>
                </c:pt>
                <c:pt idx="223">
                  <c:v>3.7771538623616839E-3</c:v>
                </c:pt>
                <c:pt idx="224">
                  <c:v>3.688495589561025E-3</c:v>
                </c:pt>
                <c:pt idx="225">
                  <c:v>3.6701136152417803E-3</c:v>
                </c:pt>
                <c:pt idx="226">
                  <c:v>3.651514867669502E-3</c:v>
                </c:pt>
                <c:pt idx="227">
                  <c:v>3.6326993468441798E-3</c:v>
                </c:pt>
                <c:pt idx="228">
                  <c:v>3.5749521448500028E-3</c:v>
                </c:pt>
                <c:pt idx="229">
                  <c:v>3.5552695310125358E-3</c:v>
                </c:pt>
                <c:pt idx="230">
                  <c:v>3.5353701439220318E-3</c:v>
                </c:pt>
                <c:pt idx="231">
                  <c:v>3.5152539835784907E-3</c:v>
                </c:pt>
                <c:pt idx="232">
                  <c:v>3.4949210499819125E-3</c:v>
                </c:pt>
                <c:pt idx="233">
                  <c:v>3.4326216096739522E-3</c:v>
                </c:pt>
                <c:pt idx="234">
                  <c:v>3.4114215830652259E-3</c:v>
                </c:pt>
                <c:pt idx="235">
                  <c:v>3.390004783203459E-3</c:v>
                </c:pt>
                <c:pt idx="236">
                  <c:v>3.3683712100886585E-3</c:v>
                </c:pt>
                <c:pt idx="237">
                  <c:v>3.3465208637208192E-3</c:v>
                </c:pt>
                <c:pt idx="238">
                  <c:v>3.2796691850990791E-3</c:v>
                </c:pt>
                <c:pt idx="239">
                  <c:v>3.2569517457190934E-3</c:v>
                </c:pt>
                <c:pt idx="240">
                  <c:v>3.2340175330860654E-3</c:v>
                </c:pt>
                <c:pt idx="241">
                  <c:v>3.2108665472000055E-3</c:v>
                </c:pt>
                <c:pt idx="242">
                  <c:v>3.1874987880609051E-3</c:v>
                </c:pt>
                <c:pt idx="243">
                  <c:v>3.11609487112538E-3</c:v>
                </c:pt>
                <c:pt idx="244">
                  <c:v>3.0918600189741331E-3</c:v>
                </c:pt>
                <c:pt idx="245">
                  <c:v>3.0674083935698458E-3</c:v>
                </c:pt>
                <c:pt idx="246">
                  <c:v>3.0427399949125248E-3</c:v>
                </c:pt>
                <c:pt idx="247">
                  <c:v>3.0178548230021651E-3</c:v>
                </c:pt>
                <c:pt idx="248">
                  <c:v>2.9418986677528583E-3</c:v>
                </c:pt>
                <c:pt idx="249">
                  <c:v>2.9161464028303486E-3</c:v>
                </c:pt>
                <c:pt idx="250">
                  <c:v>2.8901773646548036E-3</c:v>
                </c:pt>
                <c:pt idx="251">
                  <c:v>2.8639915532262181E-3</c:v>
                </c:pt>
                <c:pt idx="252">
                  <c:v>2.837588968544599E-3</c:v>
                </c:pt>
                <c:pt idx="253">
                  <c:v>2.7570805749815141E-3</c:v>
                </c:pt>
                <c:pt idx="254">
                  <c:v>2.729810897287745E-3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15744"/>
        <c:axId val="482417280"/>
      </c:lineChart>
      <c:dateAx>
        <c:axId val="482415744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>
            <a:prstDash val="sysDash"/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482417280"/>
        <c:crosses val="autoZero"/>
        <c:auto val="1"/>
        <c:lblOffset val="100"/>
        <c:baseTimeUnit val="days"/>
      </c:dateAx>
      <c:valAx>
        <c:axId val="4824172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2415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07068387284927"/>
          <c:y val="0.54172915885514306"/>
          <c:w val="0.17981517935258093"/>
          <c:h val="0.287030371203599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66675</xdr:rowOff>
    </xdr:from>
    <xdr:to>
      <xdr:col>18</xdr:col>
      <xdr:colOff>429450</xdr:colOff>
      <xdr:row>86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476250</xdr:colOff>
      <xdr:row>60</xdr:row>
      <xdr:rowOff>66675</xdr:rowOff>
    </xdr:from>
    <xdr:to>
      <xdr:col>26</xdr:col>
      <xdr:colOff>48450</xdr:colOff>
      <xdr:row>86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60</xdr:row>
      <xdr:rowOff>76200</xdr:rowOff>
    </xdr:from>
    <xdr:to>
      <xdr:col>43</xdr:col>
      <xdr:colOff>19050</xdr:colOff>
      <xdr:row>87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63</xdr:row>
      <xdr:rowOff>76200</xdr:rowOff>
    </xdr:from>
    <xdr:to>
      <xdr:col>18</xdr:col>
      <xdr:colOff>429450</xdr:colOff>
      <xdr:row>90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504825</xdr:colOff>
      <xdr:row>63</xdr:row>
      <xdr:rowOff>76200</xdr:rowOff>
    </xdr:from>
    <xdr:to>
      <xdr:col>26</xdr:col>
      <xdr:colOff>77025</xdr:colOff>
      <xdr:row>90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63</xdr:row>
      <xdr:rowOff>95250</xdr:rowOff>
    </xdr:from>
    <xdr:to>
      <xdr:col>43</xdr:col>
      <xdr:colOff>19050</xdr:colOff>
      <xdr:row>90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57151</xdr:colOff>
      <xdr:row>13</xdr:row>
      <xdr:rowOff>85724</xdr:rowOff>
    </xdr:from>
    <xdr:to>
      <xdr:col>26</xdr:col>
      <xdr:colOff>66675</xdr:colOff>
      <xdr:row>40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85726</xdr:colOff>
      <xdr:row>13</xdr:row>
      <xdr:rowOff>66674</xdr:rowOff>
    </xdr:from>
    <xdr:to>
      <xdr:col>26</xdr:col>
      <xdr:colOff>95250</xdr:colOff>
      <xdr:row>40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UR_SynthQuotesFe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2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EUR6M#0001</v>
          </cell>
        </row>
        <row r="7">
          <cell r="D7" t="str">
            <v>EUR6M#0001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EURTND_Quote#0001</v>
          </cell>
        </row>
        <row r="7">
          <cell r="D7" t="str">
            <v>EURSND_Quote#0001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K5</v>
          </cell>
        </row>
        <row r="7">
          <cell r="D7" t="str">
            <v>M5</v>
          </cell>
        </row>
      </sheetData>
      <sheetData sheetId="10">
        <row r="6">
          <cell r="D6" t="str">
            <v>Future Code</v>
          </cell>
        </row>
        <row r="7">
          <cell r="D7" t="str">
            <v>K5</v>
          </cell>
        </row>
      </sheetData>
      <sheetData sheetId="11">
        <row r="6">
          <cell r="D6" t="str">
            <v>K5</v>
          </cell>
        </row>
        <row r="7">
          <cell r="D7" t="str">
            <v>M5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42136</v>
          </cell>
        </row>
        <row r="7">
          <cell r="D7">
            <v>42135</v>
          </cell>
        </row>
      </sheetData>
      <sheetData sheetId="29">
        <row r="6">
          <cell r="D6">
            <v>42136</v>
          </cell>
        </row>
        <row r="7">
          <cell r="D7">
            <v>42135</v>
          </cell>
        </row>
      </sheetData>
      <sheetData sheetId="30">
        <row r="6">
          <cell r="D6">
            <v>42137</v>
          </cell>
        </row>
        <row r="7">
          <cell r="D7">
            <v>42136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1MSynthDepo"/>
      <sheetName val="3MSynthDepo"/>
      <sheetName val="6MSynthDepo"/>
      <sheetName val="1YSynthDepo"/>
      <sheetName val="SynthFra"/>
      <sheetName val="Contribution"/>
    </sheetNames>
    <definedNames>
      <definedName name="TenorBasis3M" refersTo="='3MSynthDepo'!$R$18"/>
      <definedName name="TenorBasis6M" refersTo="='6MSynthDepo'!$R$18"/>
    </definedNames>
    <sheetDataSet>
      <sheetData sheetId="0"/>
      <sheetData sheetId="1"/>
      <sheetData sheetId="2">
        <row r="18">
          <cell r="R18" t="str">
            <v>obj_005e1#0007</v>
          </cell>
        </row>
      </sheetData>
      <sheetData sheetId="3">
        <row r="18">
          <cell r="R18" t="str">
            <v>obj_005e0#0011</v>
          </cell>
        </row>
      </sheetData>
      <sheetData sheetId="4">
        <row r="18">
          <cell r="R18" t="str">
            <v>obj_0086a#0010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42"/>
  <sheetViews>
    <sheetView tabSelected="1" workbookViewId="0">
      <selection activeCell="I17" sqref="I17"/>
    </sheetView>
  </sheetViews>
  <sheetFormatPr defaultColWidth="10.6640625" defaultRowHeight="11.25" x14ac:dyDescent="0.2"/>
  <cols>
    <col min="1" max="2" width="2.83203125" style="105" customWidth="1"/>
    <col min="3" max="3" width="24.33203125" style="105" customWidth="1"/>
    <col min="4" max="4" width="35.83203125" style="105" customWidth="1"/>
    <col min="5" max="7" width="2.83203125" style="105" customWidth="1"/>
    <col min="8" max="8" width="27.5" style="105" bestFit="1" customWidth="1"/>
    <col min="9" max="9" width="39.33203125" style="105" bestFit="1" customWidth="1"/>
    <col min="10" max="10" width="2.83203125" style="105" customWidth="1"/>
    <col min="11" max="16384" width="10.6640625" style="105"/>
  </cols>
  <sheetData>
    <row r="1" spans="1:34" x14ac:dyDescent="0.2">
      <c r="B1" s="105" t="str">
        <f>_xll.qlxlVersion(TRUE,EvaluationDate)</f>
        <v>QuantLibXL 1.6.0 - MS VC++ (version unknown) - Multithreaded Dynamic Runtime library - Release Configuration - Jun 19 2015 10:33:41</v>
      </c>
    </row>
    <row r="2" spans="1:34" ht="19.5" thickBot="1" x14ac:dyDescent="0.25">
      <c r="B2" s="268" t="s">
        <v>0</v>
      </c>
      <c r="C2" s="269"/>
      <c r="D2" s="269"/>
      <c r="E2" s="270"/>
      <c r="G2" s="268" t="s">
        <v>121</v>
      </c>
      <c r="H2" s="269"/>
      <c r="I2" s="269"/>
      <c r="J2" s="270"/>
    </row>
    <row r="3" spans="1:34" x14ac:dyDescent="0.2">
      <c r="B3" s="271"/>
      <c r="C3" s="1"/>
      <c r="D3" s="1"/>
      <c r="E3" s="272"/>
      <c r="G3" s="279"/>
      <c r="H3" s="5"/>
      <c r="I3" s="5"/>
      <c r="J3" s="280"/>
    </row>
    <row r="4" spans="1:34" x14ac:dyDescent="0.2">
      <c r="B4" s="271"/>
      <c r="C4" s="2" t="s">
        <v>1</v>
      </c>
      <c r="D4" s="3" t="s">
        <v>2</v>
      </c>
      <c r="E4" s="272"/>
      <c r="G4" s="279"/>
      <c r="H4" s="7" t="s">
        <v>8</v>
      </c>
      <c r="I4" s="108" t="b">
        <v>1</v>
      </c>
      <c r="J4" s="281"/>
    </row>
    <row r="5" spans="1:34" s="106" customFormat="1" x14ac:dyDescent="0.2">
      <c r="A5" s="105"/>
      <c r="B5" s="271"/>
      <c r="C5" s="2" t="s">
        <v>3</v>
      </c>
      <c r="D5" s="4" t="s">
        <v>4</v>
      </c>
      <c r="E5" s="272"/>
      <c r="F5" s="105"/>
      <c r="G5" s="279"/>
      <c r="H5" s="7" t="s">
        <v>9</v>
      </c>
      <c r="I5" s="108" t="b">
        <v>1</v>
      </c>
      <c r="J5" s="281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</row>
    <row r="6" spans="1:34" s="106" customFormat="1" x14ac:dyDescent="0.2">
      <c r="A6" s="105"/>
      <c r="B6" s="271"/>
      <c r="C6" s="2" t="s">
        <v>5</v>
      </c>
      <c r="D6" s="4" t="str">
        <f>IF(UPPER(Currency)&lt;&gt;"EUR","L","")&amp;"ibor"</f>
        <v>ibor</v>
      </c>
      <c r="E6" s="272"/>
      <c r="F6" s="105"/>
      <c r="G6" s="279"/>
      <c r="H6" s="7" t="s">
        <v>11</v>
      </c>
      <c r="I6" s="108" t="b">
        <v>0</v>
      </c>
      <c r="J6" s="281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</row>
    <row r="7" spans="1:34" x14ac:dyDescent="0.2">
      <c r="B7" s="271"/>
      <c r="C7" s="2" t="s">
        <v>6</v>
      </c>
      <c r="D7" s="6" t="s">
        <v>7</v>
      </c>
      <c r="E7" s="272"/>
      <c r="G7" s="279"/>
      <c r="H7" s="7" t="s">
        <v>12</v>
      </c>
      <c r="I7" s="109"/>
      <c r="J7" s="281"/>
    </row>
    <row r="8" spans="1:34" x14ac:dyDescent="0.2">
      <c r="B8" s="271"/>
      <c r="C8" s="2" t="s">
        <v>98</v>
      </c>
      <c r="D8" s="9" t="s">
        <v>99</v>
      </c>
      <c r="E8" s="272"/>
      <c r="G8" s="279"/>
      <c r="H8" s="7" t="s">
        <v>14</v>
      </c>
      <c r="I8" s="110" t="b">
        <v>1</v>
      </c>
      <c r="J8" s="281"/>
    </row>
    <row r="9" spans="1:34" x14ac:dyDescent="0.2">
      <c r="B9" s="271"/>
      <c r="C9" s="2" t="s">
        <v>127</v>
      </c>
      <c r="D9" s="9" t="s">
        <v>15</v>
      </c>
      <c r="E9" s="272"/>
      <c r="G9" s="279"/>
      <c r="H9" s="5"/>
      <c r="I9" s="5"/>
      <c r="J9" s="280"/>
    </row>
    <row r="10" spans="1:34" x14ac:dyDescent="0.2">
      <c r="B10" s="273"/>
      <c r="C10" s="274"/>
      <c r="D10" s="274"/>
      <c r="E10" s="272"/>
      <c r="G10" s="279"/>
      <c r="H10" s="7" t="s">
        <v>16</v>
      </c>
      <c r="I10" s="110" t="s">
        <v>17</v>
      </c>
      <c r="J10" s="281"/>
    </row>
    <row r="11" spans="1:34" x14ac:dyDescent="0.2">
      <c r="B11" s="271"/>
      <c r="C11" s="26" t="s">
        <v>20</v>
      </c>
      <c r="D11" s="27">
        <v>42121.73238425926</v>
      </c>
      <c r="E11" s="272"/>
      <c r="G11" s="279"/>
      <c r="H11" s="7" t="s">
        <v>18</v>
      </c>
      <c r="I11" s="111">
        <v>1E-4</v>
      </c>
      <c r="J11" s="281"/>
    </row>
    <row r="12" spans="1:34" x14ac:dyDescent="0.2">
      <c r="B12" s="271"/>
      <c r="C12" s="26" t="s">
        <v>21</v>
      </c>
      <c r="D12" s="28" t="b">
        <v>1</v>
      </c>
      <c r="E12" s="272"/>
      <c r="G12" s="279"/>
      <c r="H12" s="7" t="s">
        <v>19</v>
      </c>
      <c r="I12" s="112">
        <v>-0.01</v>
      </c>
      <c r="J12" s="281"/>
    </row>
    <row r="13" spans="1:34" x14ac:dyDescent="0.2">
      <c r="B13" s="275"/>
      <c r="C13" s="276"/>
      <c r="D13" s="277"/>
      <c r="E13" s="278"/>
      <c r="G13" s="282"/>
      <c r="H13" s="283"/>
      <c r="I13" s="283"/>
      <c r="J13" s="284"/>
    </row>
    <row r="14" spans="1:34" x14ac:dyDescent="0.2">
      <c r="C14" s="107"/>
      <c r="D14" s="107"/>
      <c r="E14" s="107"/>
    </row>
    <row r="15" spans="1:34" ht="18.75" x14ac:dyDescent="0.2">
      <c r="B15" s="290" t="s">
        <v>74</v>
      </c>
      <c r="C15" s="291"/>
      <c r="D15" s="291"/>
      <c r="E15" s="292"/>
      <c r="G15" s="290" t="s">
        <v>82</v>
      </c>
      <c r="H15" s="291"/>
      <c r="I15" s="291"/>
      <c r="J15" s="292"/>
    </row>
    <row r="16" spans="1:34" x14ac:dyDescent="0.2">
      <c r="B16" s="273"/>
      <c r="C16" s="13"/>
      <c r="D16" s="14"/>
      <c r="E16" s="287"/>
      <c r="G16" s="285"/>
      <c r="H16" s="10"/>
      <c r="I16" s="10"/>
      <c r="J16" s="206"/>
    </row>
    <row r="17" spans="2:10" x14ac:dyDescent="0.2">
      <c r="B17" s="271"/>
      <c r="C17" s="17" t="s">
        <v>10</v>
      </c>
      <c r="D17" s="8">
        <f>_xll.qlCalendarAdvance(Calendar,_xll.qlCalendarAdjust(Calendar,EvaluationDate,"f",Trigger),"2D","f")</f>
        <v>42138</v>
      </c>
      <c r="E17" s="272"/>
      <c r="G17" s="285"/>
      <c r="H17" s="2" t="s">
        <v>22</v>
      </c>
      <c r="I17" s="293"/>
      <c r="J17" s="206"/>
    </row>
    <row r="18" spans="2:10" x14ac:dyDescent="0.2">
      <c r="B18" s="271"/>
      <c r="C18" s="17" t="s">
        <v>13</v>
      </c>
      <c r="D18" s="9" t="str">
        <f>_xll.qlDiscountingSwapEngine(,OisCurve,,,,,EvaluationDate)</f>
        <v>obj_0089e#0008</v>
      </c>
      <c r="E18" s="272"/>
      <c r="G18" s="285"/>
      <c r="H18" s="2" t="s">
        <v>23</v>
      </c>
      <c r="I18" s="30">
        <f>_xll.qlSettingsEvaluationDate(Trigger)</f>
        <v>42136</v>
      </c>
      <c r="J18" s="206"/>
    </row>
    <row r="19" spans="2:10" x14ac:dyDescent="0.2">
      <c r="B19" s="271"/>
      <c r="C19" s="29"/>
      <c r="D19" s="29"/>
      <c r="E19" s="272"/>
      <c r="G19" s="285"/>
      <c r="H19" s="2" t="s">
        <v>24</v>
      </c>
      <c r="I19" s="31">
        <f>[1]!TriggerCounter</f>
        <v>2</v>
      </c>
      <c r="J19" s="206"/>
    </row>
    <row r="20" spans="2:10" x14ac:dyDescent="0.2">
      <c r="B20" s="271"/>
      <c r="C20" s="29"/>
      <c r="D20" s="29"/>
      <c r="E20" s="272"/>
      <c r="G20" s="285"/>
      <c r="H20" s="2" t="s">
        <v>25</v>
      </c>
      <c r="I20" s="32">
        <f>[1]!LastFixingsTrigger</f>
        <v>1</v>
      </c>
      <c r="J20" s="206"/>
    </row>
    <row r="21" spans="2:10" x14ac:dyDescent="0.2">
      <c r="B21" s="271"/>
      <c r="C21" s="29"/>
      <c r="D21" s="29"/>
      <c r="E21" s="272"/>
      <c r="G21" s="285"/>
      <c r="H21" s="2" t="s">
        <v>28</v>
      </c>
      <c r="I21" s="3">
        <v>0</v>
      </c>
      <c r="J21" s="206"/>
    </row>
    <row r="22" spans="2:10" x14ac:dyDescent="0.2">
      <c r="B22" s="275"/>
      <c r="C22" s="288"/>
      <c r="D22" s="288"/>
      <c r="E22" s="278"/>
      <c r="G22" s="286"/>
      <c r="H22" s="207"/>
      <c r="I22" s="207"/>
      <c r="J22" s="208"/>
    </row>
    <row r="24" spans="2:10" ht="18.75" x14ac:dyDescent="0.2">
      <c r="B24" s="290" t="str">
        <f>IborTenor&amp;" Curve Settings"</f>
        <v>1Y Curve Settings</v>
      </c>
      <c r="C24" s="291"/>
      <c r="D24" s="291"/>
      <c r="E24" s="292"/>
      <c r="G24" s="290" t="str">
        <f>I26&amp;" Curve Settings"</f>
        <v>1M Curve Settings</v>
      </c>
      <c r="H24" s="291"/>
      <c r="I24" s="291"/>
      <c r="J24" s="292"/>
    </row>
    <row r="25" spans="2:10" x14ac:dyDescent="0.2">
      <c r="B25" s="271"/>
      <c r="C25" s="1"/>
      <c r="D25" s="1"/>
      <c r="E25" s="272"/>
      <c r="G25" s="271"/>
      <c r="H25" s="1"/>
      <c r="I25" s="1"/>
      <c r="J25" s="272"/>
    </row>
    <row r="26" spans="2:10" x14ac:dyDescent="0.2">
      <c r="B26" s="271"/>
      <c r="C26" s="17" t="s">
        <v>26</v>
      </c>
      <c r="D26" s="3" t="s">
        <v>27</v>
      </c>
      <c r="E26" s="272"/>
      <c r="G26" s="271"/>
      <c r="H26" s="17" t="s">
        <v>26</v>
      </c>
      <c r="I26" s="3" t="s">
        <v>40</v>
      </c>
      <c r="J26" s="272"/>
    </row>
    <row r="27" spans="2:10" x14ac:dyDescent="0.2">
      <c r="B27" s="271"/>
      <c r="C27" s="17" t="s">
        <v>29</v>
      </c>
      <c r="D27" s="15">
        <v>2</v>
      </c>
      <c r="E27" s="272"/>
      <c r="G27" s="271"/>
      <c r="H27" s="17" t="s">
        <v>29</v>
      </c>
      <c r="I27" s="15">
        <v>2</v>
      </c>
      <c r="J27" s="272"/>
    </row>
    <row r="28" spans="2:10" x14ac:dyDescent="0.2">
      <c r="B28" s="271"/>
      <c r="C28" s="2" t="s">
        <v>76</v>
      </c>
      <c r="D28" s="18" t="str">
        <f>_xll.qlEuribor(,IborTenor,YieldCurve,,D33)</f>
        <v>obj_008a5#0008</v>
      </c>
      <c r="E28" s="272"/>
      <c r="G28" s="271"/>
      <c r="H28" s="2" t="s">
        <v>76</v>
      </c>
      <c r="I28" s="57" t="str">
        <f>_xll.qlEuribor(,"1M",I34,,Trigger)</f>
        <v>obj_008a3#0008</v>
      </c>
      <c r="J28" s="272"/>
    </row>
    <row r="29" spans="2:10" x14ac:dyDescent="0.2">
      <c r="B29" s="273"/>
      <c r="C29" s="274"/>
      <c r="D29" s="274"/>
      <c r="E29" s="287"/>
      <c r="G29" s="273"/>
      <c r="H29" s="274"/>
      <c r="I29" s="274"/>
      <c r="J29" s="287"/>
    </row>
    <row r="30" spans="2:10" x14ac:dyDescent="0.2">
      <c r="B30" s="271"/>
      <c r="C30" s="17" t="s">
        <v>30</v>
      </c>
      <c r="D30" s="4" t="e">
        <v>#N/A</v>
      </c>
      <c r="E30" s="272"/>
      <c r="G30" s="271"/>
      <c r="H30" s="17" t="s">
        <v>30</v>
      </c>
      <c r="I30" s="4" t="e">
        <v>#N/A</v>
      </c>
      <c r="J30" s="272"/>
    </row>
    <row r="31" spans="2:10" x14ac:dyDescent="0.2">
      <c r="B31" s="271"/>
      <c r="C31" s="17" t="s">
        <v>31</v>
      </c>
      <c r="D31" s="6" t="s">
        <v>32</v>
      </c>
      <c r="E31" s="272"/>
      <c r="G31" s="271"/>
      <c r="H31" s="17" t="s">
        <v>31</v>
      </c>
      <c r="I31" s="6" t="s">
        <v>32</v>
      </c>
      <c r="J31" s="272"/>
    </row>
    <row r="32" spans="2:10" x14ac:dyDescent="0.2">
      <c r="B32" s="271"/>
      <c r="C32" s="17" t="s">
        <v>33</v>
      </c>
      <c r="D32" s="9" t="s">
        <v>115</v>
      </c>
      <c r="E32" s="272"/>
      <c r="G32" s="271"/>
      <c r="H32" s="17" t="s">
        <v>33</v>
      </c>
      <c r="I32" s="9" t="s">
        <v>115</v>
      </c>
      <c r="J32" s="272"/>
    </row>
    <row r="33" spans="2:10" x14ac:dyDescent="0.2">
      <c r="B33" s="271"/>
      <c r="C33" s="17" t="s">
        <v>75</v>
      </c>
      <c r="D33" s="16" t="b">
        <f>_xll.qlExtrapolatorEnableExtrapolation(YieldCurve,TRUE)</f>
        <v>1</v>
      </c>
      <c r="E33" s="272"/>
      <c r="G33" s="273"/>
      <c r="H33" s="100"/>
      <c r="I33" s="101"/>
      <c r="J33" s="272"/>
    </row>
    <row r="34" spans="2:10" x14ac:dyDescent="0.2">
      <c r="B34" s="271"/>
      <c r="C34" s="24" t="s">
        <v>80</v>
      </c>
      <c r="D34" s="113" t="str">
        <f>_xll.qlPiecewiseYieldCurve(,NDays,Calendar,_xll.ohPack('1Y Delta'!L14:L27),DayCounter,,,Accuracy,TraitsID,InterpolatorID)</f>
        <v>obj_008a4#0008</v>
      </c>
      <c r="E34" s="272"/>
      <c r="G34" s="271"/>
      <c r="H34" s="24" t="s">
        <v>80</v>
      </c>
      <c r="I34" s="113" t="str">
        <f>_xll.qlPiecewiseYieldCurve(,NDays,Calendar,_xll.ohPack('Delta 1M'!L13:L21),"actual/365",,,Accuracy,I31,I32,,Trigger)</f>
        <v>obj_008a2#0008</v>
      </c>
      <c r="J34" s="272"/>
    </row>
    <row r="35" spans="2:10" x14ac:dyDescent="0.2">
      <c r="B35" s="271"/>
      <c r="C35" s="25" t="s">
        <v>81</v>
      </c>
      <c r="D35" s="114" t="str">
        <f>_xll.ohRangeRetrieveError(YieldCurve)</f>
        <v/>
      </c>
      <c r="E35" s="272"/>
      <c r="G35" s="271"/>
      <c r="H35" s="25" t="s">
        <v>81</v>
      </c>
      <c r="I35" s="114" t="str">
        <f>_xll.ohRangeRetrieveError(YieldCurve)</f>
        <v/>
      </c>
      <c r="J35" s="289"/>
    </row>
    <row r="36" spans="2:10" x14ac:dyDescent="0.2">
      <c r="B36" s="273"/>
      <c r="C36" s="274"/>
      <c r="D36" s="274"/>
      <c r="E36" s="287"/>
      <c r="G36" s="273"/>
      <c r="H36" s="274"/>
      <c r="I36" s="274"/>
      <c r="J36" s="289"/>
    </row>
    <row r="37" spans="2:10" x14ac:dyDescent="0.2">
      <c r="B37" s="271"/>
      <c r="C37" s="20">
        <f>_xll.qlTermStructureReferenceDate(YieldCurve)</f>
        <v>42138</v>
      </c>
      <c r="D37" s="21">
        <f>_xll.qlYieldTSDiscount(YieldCurve,C37,,Trigger)</f>
        <v>1</v>
      </c>
      <c r="E37" s="272"/>
      <c r="G37" s="271"/>
      <c r="H37" s="20">
        <f>_xll.qlTermStructureReferenceDate(I34)</f>
        <v>42138</v>
      </c>
      <c r="I37" s="73">
        <f>_xll.qlYieldTSDiscount(I34,H37,,Trigger)</f>
        <v>1</v>
      </c>
      <c r="J37" s="289"/>
    </row>
    <row r="38" spans="2:10" x14ac:dyDescent="0.2">
      <c r="B38" s="271"/>
      <c r="C38" s="22">
        <f>_xll.qlTermStructureMaxDate(D34)</f>
        <v>42871</v>
      </c>
      <c r="D38" s="23">
        <f>_xll.qlYieldTSDiscount(YieldCurve,C38,,Trigger)</f>
        <v>0.99592251664477383</v>
      </c>
      <c r="E38" s="272"/>
      <c r="G38" s="271"/>
      <c r="H38" s="22">
        <f>_xll.qlTermStructureMaxDate(I34)</f>
        <v>42170</v>
      </c>
      <c r="I38" s="74">
        <f>_xll.qlYieldTSDiscount(I34,H38,,Trigger)</f>
        <v>1.0000302231356326</v>
      </c>
      <c r="J38" s="289"/>
    </row>
    <row r="39" spans="2:10" x14ac:dyDescent="0.2">
      <c r="B39" s="273"/>
      <c r="C39" s="274"/>
      <c r="D39" s="274"/>
      <c r="E39" s="287"/>
      <c r="G39" s="275"/>
      <c r="H39" s="288"/>
      <c r="I39" s="288"/>
      <c r="J39" s="278"/>
    </row>
    <row r="40" spans="2:10" x14ac:dyDescent="0.2">
      <c r="B40" s="271"/>
      <c r="C40" s="2" t="s">
        <v>77</v>
      </c>
      <c r="D40" s="16" t="s">
        <v>79</v>
      </c>
      <c r="E40" s="272"/>
    </row>
    <row r="41" spans="2:10" x14ac:dyDescent="0.2">
      <c r="B41" s="271"/>
      <c r="C41" s="2" t="s">
        <v>78</v>
      </c>
      <c r="D41" s="19" t="str">
        <f>_xll.qlInterpolation(,BasisInterpolation,'1Y Delta'!P31:P36,'1Y Delta'!X31:X36)</f>
        <v>obj_008d7#0008</v>
      </c>
      <c r="E41" s="272"/>
    </row>
    <row r="42" spans="2:10" x14ac:dyDescent="0.2">
      <c r="B42" s="275"/>
      <c r="C42" s="288"/>
      <c r="D42" s="288"/>
      <c r="E42" s="278"/>
    </row>
  </sheetData>
  <conditionalFormatting sqref="D12">
    <cfRule type="cellIs" dxfId="0" priority="3" stopIfTrue="1" operator="equal">
      <formula>TRUE</formula>
    </cfRule>
  </conditionalFormatting>
  <dataValidations count="6"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32 I32:I33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1 I31">
      <formula1>"Discount,ZeroYield,ForwardRate"</formula1>
    </dataValidation>
    <dataValidation type="list" allowBlank="1" showInputMessage="1" showErrorMessage="1" sqref="D40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15" customWidth="1"/>
    <col min="2" max="2" width="2.33203125" style="115" customWidth="1"/>
    <col min="3" max="3" width="3.1640625" style="115" customWidth="1"/>
    <col min="4" max="4" width="23.1640625" style="115" customWidth="1"/>
    <col min="5" max="5" width="34.83203125" style="115" hidden="1" customWidth="1" outlineLevel="1"/>
    <col min="6" max="6" width="9.33203125" style="115" hidden="1" customWidth="1" outlineLevel="1"/>
    <col min="7" max="7" width="12.83203125" style="115" bestFit="1" customWidth="1" collapsed="1"/>
    <col min="8" max="8" width="12.83203125" style="115" customWidth="1"/>
    <col min="9" max="10" width="11.33203125" style="115" customWidth="1"/>
    <col min="11" max="12" width="9.33203125" style="115" bestFit="1" customWidth="1"/>
    <col min="13" max="13" width="8.1640625" style="115" bestFit="1" customWidth="1"/>
    <col min="14" max="14" width="2.83203125" style="115" customWidth="1"/>
    <col min="15" max="15" width="14.1640625" style="115" bestFit="1" customWidth="1"/>
    <col min="16" max="16" width="17.83203125" style="115" bestFit="1" customWidth="1"/>
    <col min="17" max="17" width="2.83203125" style="115" customWidth="1"/>
    <col min="18" max="18" width="12.83203125" style="115" bestFit="1" customWidth="1"/>
    <col min="19" max="19" width="9.33203125" style="115"/>
    <col min="20" max="20" width="0" style="115" hidden="1" customWidth="1" outlineLevel="1"/>
    <col min="21" max="21" width="9.33203125" style="115" collapsed="1"/>
    <col min="22" max="22" width="3.5" style="115" bestFit="1" customWidth="1"/>
    <col min="23" max="24" width="9.33203125" style="115"/>
    <col min="25" max="25" width="12.83203125" style="115" bestFit="1" customWidth="1"/>
    <col min="26" max="26" width="16.5" style="115" bestFit="1" customWidth="1"/>
    <col min="27" max="16384" width="9.33203125" style="115"/>
  </cols>
  <sheetData>
    <row r="1" spans="1:27" x14ac:dyDescent="0.2">
      <c r="G1" s="332" t="s">
        <v>95</v>
      </c>
      <c r="H1" s="333" t="s">
        <v>42</v>
      </c>
    </row>
    <row r="2" spans="1:27" ht="26.25" customHeight="1" x14ac:dyDescent="0.2">
      <c r="D2" s="142" t="str">
        <f>H1&amp;" Instruments"</f>
        <v>6M Instruments</v>
      </c>
      <c r="E2" s="142" t="s">
        <v>158</v>
      </c>
      <c r="F2" s="142" t="s">
        <v>159</v>
      </c>
      <c r="G2" s="142" t="s">
        <v>96</v>
      </c>
      <c r="H2" s="142" t="s">
        <v>170</v>
      </c>
      <c r="I2" s="142" t="str">
        <f>"F "&amp;H1</f>
        <v>F 6M</v>
      </c>
      <c r="J2" s="142" t="s">
        <v>125</v>
      </c>
      <c r="K2" s="142" t="s">
        <v>134</v>
      </c>
      <c r="L2" s="142" t="s">
        <v>157</v>
      </c>
      <c r="M2" s="142" t="s">
        <v>137</v>
      </c>
      <c r="N2" s="117"/>
      <c r="R2" s="142" t="s">
        <v>145</v>
      </c>
      <c r="S2" s="142" t="s">
        <v>172</v>
      </c>
      <c r="T2" s="142" t="s">
        <v>163</v>
      </c>
      <c r="U2" s="142" t="s">
        <v>171</v>
      </c>
    </row>
    <row r="3" spans="1:27" ht="11.25" customHeight="1" x14ac:dyDescent="0.2">
      <c r="A3" s="310">
        <v>0</v>
      </c>
      <c r="B3" s="311" t="s">
        <v>37</v>
      </c>
      <c r="C3" s="312" t="str">
        <f>SUBSTITUTE($H$1,"M","")</f>
        <v>6</v>
      </c>
      <c r="D3" s="314" t="str">
        <f>Currency&amp;A3&amp;B3&amp;C3&amp;"F"&amp;"_Estimated"</f>
        <v>EUR0x6F_Estimated</v>
      </c>
      <c r="E3" s="314" t="str">
        <f>_xll.qlSimpleQuote(UPPER("B"&amp;$H$1&amp;"_"&amp;A3&amp;B3&amp;C3&amp;"Estimated"),,,Permanent,Trigger,ObjectOverwrite)</f>
        <v>B6M_0X6ESTIMATED#0010</v>
      </c>
      <c r="F3" s="403" t="e">
        <f>_xll.qlSimpleQuoteSetValue(E3,L3,AllTriggers)</f>
        <v>#N/A</v>
      </c>
      <c r="G3" s="416">
        <f>SettlementDate</f>
        <v>42138</v>
      </c>
      <c r="H3" s="416">
        <f>_xll.qlInterestRateIndexMaturity(PROPER(Currency)&amp;"ibor"&amp;$H$1,G3)</f>
        <v>42324</v>
      </c>
      <c r="I3" s="313">
        <f>L3+$J$4</f>
        <v>6.4205197189389136E-4</v>
      </c>
      <c r="J3" s="295"/>
      <c r="K3" s="295"/>
      <c r="L3" s="236">
        <f>_xll.qlTenorBasisValue($P$3,G3,Trigger)</f>
        <v>1.8052943197225172E-3</v>
      </c>
      <c r="M3" s="295"/>
      <c r="N3" s="117"/>
      <c r="O3" s="398" t="s">
        <v>156</v>
      </c>
      <c r="P3" s="236" t="str">
        <f>[2]!TenorBasis6M</f>
        <v>obj_005e0#0011</v>
      </c>
      <c r="R3" s="417">
        <f>SettlementDate</f>
        <v>42138</v>
      </c>
      <c r="S3" s="179">
        <f>_xll.qlTenorBasisValue($P$3,R3,AllTriggers)</f>
        <v>1.8052943197225172E-3</v>
      </c>
      <c r="T3" s="164">
        <f>_xll.qlDayCounterYearFraction("actual/365 (fixed)",SettlementDate,R3,,,Trigger)</f>
        <v>0</v>
      </c>
      <c r="U3" s="179">
        <f>_xll.qlPolynomialFunctionValue($P$18,T3,AllTriggers)</f>
        <v>1.6112128984961903E-3</v>
      </c>
    </row>
    <row r="4" spans="1:27" ht="11.25" customHeight="1" x14ac:dyDescent="0.2">
      <c r="A4" s="310">
        <v>0</v>
      </c>
      <c r="B4" s="311" t="s">
        <v>37</v>
      </c>
      <c r="C4" s="312">
        <v>6</v>
      </c>
      <c r="D4" s="303" t="str">
        <f>PROPER(Currency&amp;IborType)&amp;H1&amp;"LastFixing"&amp;QuoteSuffix</f>
        <v>Euribor6MLastFixing_Quote</v>
      </c>
      <c r="E4" s="303" t="str">
        <f>_xll.qlSimpleQuote(UPPER("B"&amp;$H$1&amp;"_"&amp;A4&amp;B4&amp;C4&amp;"FIXING"),,,Permanent,Trigger,ObjectOverwrite)</f>
        <v>B6M_0X6FIXING#0010</v>
      </c>
      <c r="F4" s="404">
        <f>_xll.qlSimpleQuoteSetValue(E4,K4,AllTriggers)</f>
        <v>0</v>
      </c>
      <c r="G4" s="416">
        <f>SettlementDate</f>
        <v>42138</v>
      </c>
      <c r="H4" s="416">
        <f>_xll.qlInterestRateIndexMaturity(ON_6M_index,G4)</f>
        <v>42324</v>
      </c>
      <c r="I4" s="236">
        <f>_xll.qlQuoteValue(D4,LastFixingsTrigger)</f>
        <v>6.0999999999999997E-4</v>
      </c>
      <c r="J4" s="236">
        <f>_xll.qlIndexFixing(ON_6M_index,_xll.qlInterestRateIndexFixingDate(ON_6M_index,G4),,AllTriggers)</f>
        <v>-1.1632423478286258E-3</v>
      </c>
      <c r="K4" s="313">
        <f t="shared" ref="K4:K22" si="0">I4-J4</f>
        <v>1.7732423478286257E-3</v>
      </c>
      <c r="L4" s="232">
        <f>_xll.qlTenorBasisValue($P$3,G4,Trigger)</f>
        <v>1.8052943197225172E-3</v>
      </c>
      <c r="M4" s="233">
        <f>(K4-L4)*10000</f>
        <v>-0.3205197189389149</v>
      </c>
      <c r="N4" s="117"/>
      <c r="R4" s="418">
        <f>_xll.qlCalendarAdvance(Calendar,R3,"1D","f")</f>
        <v>42139</v>
      </c>
      <c r="S4" s="166">
        <f>_xll.qlTenorBasisValue($P$3,R4,AllTriggers)</f>
        <v>1.8069952261724419E-3</v>
      </c>
      <c r="T4" s="154">
        <f>_xll.qlDayCounterYearFraction("actual/365 (fixed)",SettlementDate,R4,,,Trigger)</f>
        <v>2.7397260273972603E-3</v>
      </c>
      <c r="U4" s="166">
        <f>_xll.qlPolynomialFunctionValue($P$18,T4,AllTriggers)</f>
        <v>1.6142032837069417E-3</v>
      </c>
    </row>
    <row r="5" spans="1:27" ht="11.25" customHeight="1" x14ac:dyDescent="0.2">
      <c r="A5" s="300">
        <v>1</v>
      </c>
      <c r="B5" s="117" t="s">
        <v>37</v>
      </c>
      <c r="C5" s="307">
        <f t="shared" ref="C5:C22" si="1">A5+SUBSTITUTE($H$1,"M","")</f>
        <v>7</v>
      </c>
      <c r="D5" s="304" t="str">
        <f t="shared" ref="D5:D22" si="2">Currency&amp;A5&amp;B5&amp;C5&amp;"F"&amp;QuoteSuffix</f>
        <v>EUR1x7F_Quote</v>
      </c>
      <c r="E5" s="304" t="str">
        <f>_xll.qlSimpleQuote(UPPER("B"&amp;$H$1&amp;"_"&amp;A5&amp;B5&amp;C5),,,Permanent,Trigger,ObjectOverwrite)</f>
        <v>B6M_1X7#0010</v>
      </c>
      <c r="F5" s="405">
        <f>_xll.qlSimpleQuoteSetValue(E5,K5,AllTriggers)</f>
        <v>0</v>
      </c>
      <c r="G5" s="417">
        <f>_xll.qlCalendarAdvance("target",SettlementDate,A5&amp;"M","mf",,Trigger)</f>
        <v>42170</v>
      </c>
      <c r="H5" s="417">
        <f>_xll.qlInterestRateIndexMaturity(ON_6M_index,G5)</f>
        <v>42353</v>
      </c>
      <c r="I5" s="179">
        <f>_xll.qlQuoteValue(D5,AllTriggers)</f>
        <v>6.3000000000000003E-4</v>
      </c>
      <c r="J5" s="179">
        <f>_xll.qlIndexFixing(ON_6M_index,_xll.qlInterestRateIndexFixingDate(ON_6M_index,G5),,AllTriggers)</f>
        <v>-1.2305122846826952E-3</v>
      </c>
      <c r="K5" s="399">
        <f t="shared" si="0"/>
        <v>1.8605122846826953E-3</v>
      </c>
      <c r="L5" s="179">
        <f>_xll.qlTenorBasisValue($P$3,G5,Trigger)</f>
        <v>1.8545051515200853E-3</v>
      </c>
      <c r="M5" s="297">
        <f t="shared" ref="M5:M22" si="3">(K5-L5)*10000</f>
        <v>6.0071331626099927E-2</v>
      </c>
      <c r="N5" s="117"/>
      <c r="O5" s="325" t="s">
        <v>168</v>
      </c>
      <c r="P5" s="326"/>
      <c r="Q5" s="116"/>
      <c r="R5" s="418">
        <f>_xll.qlCalendarAdvance(Calendar,R4,"1D","f")</f>
        <v>42142</v>
      </c>
      <c r="S5" s="166">
        <f>_xll.qlTenorBasisValue($P$3,R5,AllTriggers)</f>
        <v>1.8120307000267274E-3</v>
      </c>
      <c r="T5" s="154">
        <f>_xll.qlDayCounterYearFraction("actual/365 (fixed)",SettlementDate,R5,,,Trigger)</f>
        <v>1.0958904109589041E-2</v>
      </c>
      <c r="U5" s="166">
        <f>_xll.qlPolynomialFunctionValue($P$18,T5,AllTriggers)</f>
        <v>1.6230602491401883E-3</v>
      </c>
    </row>
    <row r="6" spans="1:27" ht="11.25" customHeight="1" x14ac:dyDescent="0.2">
      <c r="A6" s="300">
        <v>2</v>
      </c>
      <c r="B6" s="117" t="s">
        <v>37</v>
      </c>
      <c r="C6" s="307">
        <f t="shared" si="1"/>
        <v>8</v>
      </c>
      <c r="D6" s="305" t="str">
        <f t="shared" si="2"/>
        <v>EUR2x8F_Quote</v>
      </c>
      <c r="E6" s="305" t="str">
        <f>_xll.qlSimpleQuote(UPPER("B"&amp;$H$1&amp;"_"&amp;A6&amp;B6&amp;C6),,,Permanent,Trigger,ObjectOverwrite)</f>
        <v>B6M_2X8#0010</v>
      </c>
      <c r="F6" s="406">
        <f>_xll.qlSimpleQuoteSetValue(E6,K6,AllTriggers)</f>
        <v>0</v>
      </c>
      <c r="G6" s="418">
        <f>_xll.qlCalendarAdvance("target",SettlementDate,A6&amp;"M","mf",,Trigger)</f>
        <v>42199</v>
      </c>
      <c r="H6" s="418">
        <f>_xll.qlInterestRateIndexMaturity(ON_6M_index,G6)</f>
        <v>42383</v>
      </c>
      <c r="I6" s="166">
        <f>_xll.qlQuoteValue(D6,AllTriggers)</f>
        <v>6.4000000000000005E-4</v>
      </c>
      <c r="J6" s="166">
        <f>_xll.qlIndexFixing(ON_6M_index,_xll.qlInterestRateIndexFixingDate(ON_6M_index,G6),,AllTriggers)</f>
        <v>-1.2520227137032052E-3</v>
      </c>
      <c r="K6" s="334">
        <f t="shared" si="0"/>
        <v>1.8920227137032052E-3</v>
      </c>
      <c r="L6" s="166">
        <f>_xll.qlTenorBasisValue($P$3,G6,Trigger)</f>
        <v>1.8910388161611292E-3</v>
      </c>
      <c r="M6" s="234">
        <f t="shared" si="3"/>
        <v>9.8389754207600828E-3</v>
      </c>
      <c r="N6" s="117"/>
      <c r="O6" s="398" t="s">
        <v>151</v>
      </c>
      <c r="P6" s="236">
        <f t="array" ref="P6:P10">_xll.qlTenorBasisCoefficients(P3)</f>
        <v>1.8052943197225172E-3</v>
      </c>
      <c r="Q6" s="116"/>
      <c r="R6" s="418">
        <f>_xll.qlCalendarAdvance(Calendar,R5,"1D","f")</f>
        <v>42143</v>
      </c>
      <c r="S6" s="166">
        <f>_xll.qlTenorBasisValue($P$3,R6,AllTriggers)</f>
        <v>1.8136870269281665E-3</v>
      </c>
      <c r="T6" s="154">
        <f>_xll.qlDayCounterYearFraction("actual/365 (fixed)",SettlementDate,R6,,,Trigger)</f>
        <v>1.3698630136986301E-2</v>
      </c>
      <c r="U6" s="166">
        <f>_xll.qlPolynomialFunctionValue($P$18,T6,AllTriggers)</f>
        <v>1.625974833766169E-3</v>
      </c>
    </row>
    <row r="7" spans="1:27" ht="11.25" customHeight="1" x14ac:dyDescent="0.2">
      <c r="A7" s="300">
        <f>A6+1</f>
        <v>3</v>
      </c>
      <c r="B7" s="117" t="s">
        <v>37</v>
      </c>
      <c r="C7" s="307">
        <f t="shared" si="1"/>
        <v>9</v>
      </c>
      <c r="D7" s="305" t="str">
        <f t="shared" si="2"/>
        <v>EUR3x9F_Quote</v>
      </c>
      <c r="E7" s="305" t="str">
        <f>_xll.qlSimpleQuote(UPPER("B"&amp;$H$1&amp;"_"&amp;A7&amp;B7&amp;C7),,,Permanent,Trigger,ObjectOverwrite)</f>
        <v>B6M_3X9#0010</v>
      </c>
      <c r="F7" s="406">
        <f>_xll.qlSimpleQuoteSetValue(E7,K7,AllTriggers)</f>
        <v>0</v>
      </c>
      <c r="G7" s="418">
        <f>_xll.qlCalendarAdvance("target",SettlementDate,A7&amp;"M","mf",,Trigger)</f>
        <v>42230</v>
      </c>
      <c r="H7" s="418">
        <f>_xll.qlInterestRateIndexMaturity(ON_6M_index,G7)</f>
        <v>42415</v>
      </c>
      <c r="I7" s="166">
        <f>_xll.qlQuoteValue(D7,AllTriggers)</f>
        <v>6.4000000000000005E-4</v>
      </c>
      <c r="J7" s="166">
        <f>_xll.qlIndexFixing(ON_6M_index,_xll.qlInterestRateIndexFixingDate(ON_6M_index,G7),,AllTriggers)</f>
        <v>-1.2678296020085104E-3</v>
      </c>
      <c r="K7" s="334">
        <f t="shared" si="0"/>
        <v>1.9078296020085105E-3</v>
      </c>
      <c r="L7" s="166">
        <f>_xll.qlTenorBasisValue($P$3,G7,Trigger)</f>
        <v>1.9234598177630179E-3</v>
      </c>
      <c r="M7" s="234">
        <f t="shared" si="3"/>
        <v>-0.15630215754507343</v>
      </c>
      <c r="N7" s="117"/>
      <c r="O7" s="398" t="s">
        <v>152</v>
      </c>
      <c r="P7" s="236">
        <v>6.228946181174365E-4</v>
      </c>
      <c r="Q7" s="116"/>
      <c r="R7" s="418">
        <f>_xll.qlCalendarAdvance(Calendar,R6,"1D","f")</f>
        <v>42144</v>
      </c>
      <c r="S7" s="166">
        <f>_xll.qlTenorBasisValue($P$3,R7,AllTriggers)</f>
        <v>1.8153323964288696E-3</v>
      </c>
      <c r="T7" s="154">
        <f>_xll.qlDayCounterYearFraction("actual/365 (fixed)",SettlementDate,R7,,,Trigger)</f>
        <v>1.643835616438356E-2</v>
      </c>
      <c r="U7" s="166">
        <f>_xll.qlPolynomialFunctionValue($P$18,T7,AllTriggers)</f>
        <v>1.6288707123068881E-3</v>
      </c>
    </row>
    <row r="8" spans="1:27" ht="11.25" customHeight="1" x14ac:dyDescent="0.2">
      <c r="A8" s="300">
        <f t="shared" ref="A8:A22" si="4">A7+1</f>
        <v>4</v>
      </c>
      <c r="B8" s="117" t="s">
        <v>37</v>
      </c>
      <c r="C8" s="307">
        <f t="shared" si="1"/>
        <v>10</v>
      </c>
      <c r="D8" s="305" t="str">
        <f t="shared" si="2"/>
        <v>EUR4x10F_Quote</v>
      </c>
      <c r="E8" s="305" t="str">
        <f>_xll.qlSimpleQuote(UPPER("B"&amp;$H$1&amp;"_"&amp;A8&amp;B8&amp;C8),,,Permanent,Trigger,ObjectOverwrite)</f>
        <v>B6M_4X10#0010</v>
      </c>
      <c r="F8" s="406">
        <f>_xll.qlSimpleQuoteSetValue(E8,K8,AllTriggers)</f>
        <v>0</v>
      </c>
      <c r="G8" s="418">
        <f>_xll.qlCalendarAdvance("target",SettlementDate,A8&amp;"M","mf",,Trigger)</f>
        <v>42261</v>
      </c>
      <c r="H8" s="418">
        <f>_xll.qlInterestRateIndexMaturity(ON_6M_index,G8)</f>
        <v>42443</v>
      </c>
      <c r="I8" s="166">
        <f>_xll.qlQuoteValue(D8,AllTriggers)</f>
        <v>6.4999999999999997E-4</v>
      </c>
      <c r="J8" s="166">
        <f>_xll.qlIndexFixing(ON_6M_index,_xll.qlInterestRateIndexFixingDate(ON_6M_index,G8),,AllTriggers)</f>
        <v>-1.2863441141031473E-3</v>
      </c>
      <c r="K8" s="334">
        <f t="shared" si="0"/>
        <v>1.9363441141031473E-3</v>
      </c>
      <c r="L8" s="166">
        <f>_xll.qlTenorBasisValue($P$3,G8,Trigger)</f>
        <v>1.9506994275447073E-3</v>
      </c>
      <c r="M8" s="234">
        <f t="shared" si="3"/>
        <v>-0.1435531344156</v>
      </c>
      <c r="N8" s="117"/>
      <c r="O8" s="398" t="s">
        <v>153</v>
      </c>
      <c r="P8" s="236">
        <v>-7.5495633232517388E-4</v>
      </c>
      <c r="Q8" s="116"/>
      <c r="R8" s="418">
        <f>_xll.qlCalendarAdvance(Calendar,R7,"1D","f")</f>
        <v>42145</v>
      </c>
      <c r="S8" s="166">
        <f>_xll.qlTenorBasisValue($P$3,R8,AllTriggers)</f>
        <v>1.8169668830433951E-3</v>
      </c>
      <c r="T8" s="154">
        <f>_xll.qlDayCounterYearFraction("actual/365 (fixed)",SettlementDate,R8,,,Trigger)</f>
        <v>1.9178082191780823E-2</v>
      </c>
      <c r="U8" s="166">
        <f>_xll.qlPolynomialFunctionValue($P$18,T8,AllTriggers)</f>
        <v>1.6317479819067211E-3</v>
      </c>
    </row>
    <row r="9" spans="1:27" ht="11.25" customHeight="1" x14ac:dyDescent="0.2">
      <c r="A9" s="300">
        <f t="shared" si="4"/>
        <v>5</v>
      </c>
      <c r="B9" s="117" t="s">
        <v>37</v>
      </c>
      <c r="C9" s="307">
        <f t="shared" si="1"/>
        <v>11</v>
      </c>
      <c r="D9" s="305" t="str">
        <f t="shared" si="2"/>
        <v>EUR5x11F_Quote</v>
      </c>
      <c r="E9" s="305" t="str">
        <f>_xll.qlSimpleQuote(UPPER("B"&amp;$H$1&amp;"_"&amp;A9&amp;B9&amp;C9),,,Permanent,Trigger,ObjectOverwrite)</f>
        <v>B6M_5X11#0010</v>
      </c>
      <c r="F9" s="406">
        <f>_xll.qlSimpleQuoteSetValue(E9,K9,AllTriggers)</f>
        <v>0</v>
      </c>
      <c r="G9" s="418">
        <f>_xll.qlCalendarAdvance("target",SettlementDate,A9&amp;"M","mf",,Trigger)</f>
        <v>42291</v>
      </c>
      <c r="H9" s="418">
        <f>_xll.qlInterestRateIndexMaturity(ON_6M_index,G9)</f>
        <v>42474</v>
      </c>
      <c r="I9" s="166">
        <f>_xll.qlQuoteValue(D9,AllTriggers)</f>
        <v>6.8000000000000005E-4</v>
      </c>
      <c r="J9" s="166">
        <f>_xll.qlIndexFixing(ON_6M_index,_xll.qlInterestRateIndexFixingDate(ON_6M_index,G9),,AllTriggers)</f>
        <v>-1.3129880212073787E-3</v>
      </c>
      <c r="K9" s="334">
        <f t="shared" si="0"/>
        <v>1.992988021207379E-3</v>
      </c>
      <c r="L9" s="166">
        <f>_xll.qlTenorBasisValue($P$3,G9,Trigger)</f>
        <v>1.9735326238922383E-3</v>
      </c>
      <c r="M9" s="234">
        <f t="shared" si="3"/>
        <v>0.19455397315140677</v>
      </c>
      <c r="N9" s="117"/>
      <c r="O9" s="398" t="s">
        <v>154</v>
      </c>
      <c r="P9" s="236">
        <v>6.1460266879731777E-4</v>
      </c>
      <c r="Q9" s="116"/>
      <c r="R9" s="418">
        <f>_xll.qlCalendarAdvance(Calendar,R8,"1D","f")</f>
        <v>42146</v>
      </c>
      <c r="S9" s="166">
        <f>_xll.qlTenorBasisValue($P$3,R9,AllTriggers)</f>
        <v>1.8185905610463016E-3</v>
      </c>
      <c r="T9" s="154">
        <f>_xll.qlDayCounterYearFraction("actual/365 (fixed)",SettlementDate,R9,,,Trigger)</f>
        <v>2.1917808219178082E-2</v>
      </c>
      <c r="U9" s="166">
        <f>_xll.qlPolynomialFunctionValue($P$18,T9,AllTriggers)</f>
        <v>1.6346067394700464E-3</v>
      </c>
    </row>
    <row r="10" spans="1:27" ht="11.25" customHeight="1" x14ac:dyDescent="0.2">
      <c r="A10" s="300">
        <f t="shared" si="4"/>
        <v>6</v>
      </c>
      <c r="B10" s="117" t="s">
        <v>37</v>
      </c>
      <c r="C10" s="307">
        <f t="shared" si="1"/>
        <v>12</v>
      </c>
      <c r="D10" s="305" t="str">
        <f t="shared" si="2"/>
        <v>EUR6x12F_Quote</v>
      </c>
      <c r="E10" s="305" t="str">
        <f>_xll.qlSimpleQuote(UPPER("B"&amp;$H$1&amp;"_"&amp;A10&amp;B10&amp;C10),,,Permanent,Trigger,ObjectOverwrite)</f>
        <v>B6M_6X12#0010</v>
      </c>
      <c r="F10" s="406">
        <f>_xll.qlSimpleQuoteSetValue(E10,K10,AllTriggers)</f>
        <v>0</v>
      </c>
      <c r="G10" s="418">
        <f>_xll.qlCalendarAdvance("target",SettlementDate,A10&amp;"M","mf",,Trigger)</f>
        <v>42324</v>
      </c>
      <c r="H10" s="418">
        <f>_xll.qlInterestRateIndexMaturity(ON_6M_index,G10)</f>
        <v>42506</v>
      </c>
      <c r="I10" s="166">
        <f>_xll.qlQuoteValue(D10,AllTriggers)</f>
        <v>7.000000000000001E-4</v>
      </c>
      <c r="J10" s="166">
        <f>_xll.qlIndexFixing(ON_6M_index,_xll.qlInterestRateIndexFixingDate(ON_6M_index,G10),,AllTriggers)</f>
        <v>-1.3121885563962153E-3</v>
      </c>
      <c r="K10" s="334">
        <f t="shared" si="0"/>
        <v>2.0121885563962154E-3</v>
      </c>
      <c r="L10" s="166">
        <f>_xll.qlTenorBasisValue($P$3,G10,Trigger)</f>
        <v>1.9960287784821849E-3</v>
      </c>
      <c r="M10" s="234">
        <f t="shared" si="3"/>
        <v>0.16159777914030465</v>
      </c>
      <c r="N10" s="117"/>
      <c r="O10" s="398" t="s">
        <v>155</v>
      </c>
      <c r="P10" s="236">
        <v>-1.7748758012030094E-4</v>
      </c>
      <c r="Q10" s="116"/>
      <c r="R10" s="418">
        <f>_xll.qlCalendarAdvance(Calendar,R9,"1D","f")</f>
        <v>42149</v>
      </c>
      <c r="S10" s="166">
        <f>_xll.qlTenorBasisValue($P$3,R10,AllTriggers)</f>
        <v>1.8233974825309395E-3</v>
      </c>
      <c r="T10" s="154">
        <f>_xll.qlDayCounterYearFraction("actual/365 (fixed)",SettlementDate,R10,,,Trigger)</f>
        <v>3.0136986301369864E-2</v>
      </c>
      <c r="U10" s="166">
        <f>_xll.qlPolynomialFunctionValue($P$18,T10,AllTriggers)</f>
        <v>1.6430729053847851E-3</v>
      </c>
    </row>
    <row r="11" spans="1:27" ht="11.25" customHeight="1" x14ac:dyDescent="0.2">
      <c r="A11" s="298">
        <f t="shared" si="4"/>
        <v>7</v>
      </c>
      <c r="B11" s="299" t="s">
        <v>37</v>
      </c>
      <c r="C11" s="308">
        <f t="shared" si="1"/>
        <v>13</v>
      </c>
      <c r="D11" s="304" t="str">
        <f t="shared" si="2"/>
        <v>EUR7x13F_Quote</v>
      </c>
      <c r="E11" s="304" t="str">
        <f>_xll.qlSimpleQuote(UPPER("B"&amp;$H$1&amp;"_"&amp;A11&amp;B11&amp;C11),,,Permanent,Trigger,ObjectOverwrite)</f>
        <v>B6M_7X13#0010</v>
      </c>
      <c r="F11" s="405">
        <f>_xll.qlSimpleQuoteSetValue(E11,K11,AllTriggers)</f>
        <v>0</v>
      </c>
      <c r="G11" s="417">
        <f>_xll.qlCalendarAdvance("target",SettlementDate,A11&amp;"M","mf",,Trigger)</f>
        <v>42352</v>
      </c>
      <c r="H11" s="417">
        <f>_xll.qlInterestRateIndexMaturity(ON_6M_index,G11)</f>
        <v>42535</v>
      </c>
      <c r="I11" s="179">
        <f>_xll.qlQuoteValue(D11,AllTriggers)</f>
        <v>7.2000000000000005E-4</v>
      </c>
      <c r="J11" s="179">
        <f>_xll.qlIndexFixing(ON_6M_index,_xll.qlInterestRateIndexFixingDate(ON_6M_index,G11),,AllTriggers)</f>
        <v>-1.2900638096647859E-3</v>
      </c>
      <c r="K11" s="399">
        <f t="shared" si="0"/>
        <v>2.010063809664786E-3</v>
      </c>
      <c r="L11" s="179">
        <f>_xll.qlTenorBasisValue($P$3,G11,Trigger)</f>
        <v>2.0138774538200144E-3</v>
      </c>
      <c r="M11" s="297">
        <f t="shared" si="3"/>
        <v>-3.8136441552283698E-2</v>
      </c>
      <c r="N11" s="117"/>
      <c r="Q11" s="116"/>
      <c r="R11" s="418">
        <f>_xll.qlCalendarAdvance(Calendar,R10,"1D","f")</f>
        <v>42150</v>
      </c>
      <c r="S11" s="166">
        <f>_xll.qlTenorBasisValue($P$3,R11,AllTriggers)</f>
        <v>1.8249786640330103E-3</v>
      </c>
      <c r="T11" s="154">
        <f>_xll.qlDayCounterYearFraction("actual/365 (fixed)",SettlementDate,R11,,,Trigger)</f>
        <v>3.287671232876712E-2</v>
      </c>
      <c r="U11" s="166">
        <f>_xll.qlPolynomialFunctionValue($P$18,T11,AllTriggers)</f>
        <v>1.6458585790458983E-3</v>
      </c>
    </row>
    <row r="12" spans="1:27" ht="11.25" customHeight="1" x14ac:dyDescent="0.2">
      <c r="A12" s="300">
        <f t="shared" si="4"/>
        <v>8</v>
      </c>
      <c r="B12" s="117" t="s">
        <v>37</v>
      </c>
      <c r="C12" s="307">
        <f t="shared" si="1"/>
        <v>14</v>
      </c>
      <c r="D12" s="305" t="str">
        <f t="shared" si="2"/>
        <v>EUR8x14F_Quote</v>
      </c>
      <c r="E12" s="305" t="str">
        <f>_xll.qlSimpleQuote(UPPER("B"&amp;$H$1&amp;"_"&amp;A12&amp;B12&amp;C12),,,Permanent,Trigger,ObjectOverwrite)</f>
        <v>B6M_8X14#0010</v>
      </c>
      <c r="F12" s="406">
        <f>_xll.qlSimpleQuoteSetValue(E12,K12,AllTriggers)</f>
        <v>0</v>
      </c>
      <c r="G12" s="418">
        <f>_xll.qlCalendarAdvance("target",SettlementDate,A12&amp;"M","mf",,Trigger)</f>
        <v>42383</v>
      </c>
      <c r="H12" s="418">
        <f>_xll.qlInterestRateIndexMaturity(ON_6M_index,G12)</f>
        <v>42565</v>
      </c>
      <c r="I12" s="166">
        <f>_xll.qlQuoteValue(D12,AllTriggers)</f>
        <v>7.7000000000000018E-4</v>
      </c>
      <c r="J12" s="166">
        <f>_xll.qlIndexFixing(ON_6M_index,_xll.qlInterestRateIndexFixingDate(ON_6M_index,G12),,AllTriggers)</f>
        <v>-1.2697712071434027E-3</v>
      </c>
      <c r="K12" s="334">
        <f t="shared" si="0"/>
        <v>2.0397712071434028E-3</v>
      </c>
      <c r="L12" s="166">
        <f>_xll.qlTenorBasisValue($P$3,G12,Trigger)</f>
        <v>2.0330957304656948E-3</v>
      </c>
      <c r="M12" s="234">
        <f t="shared" si="3"/>
        <v>6.6754766777079796E-2</v>
      </c>
      <c r="N12" s="117"/>
      <c r="O12" s="325" t="s">
        <v>169</v>
      </c>
      <c r="P12" s="326"/>
      <c r="Q12" s="116"/>
      <c r="R12" s="418">
        <f>_xll.qlCalendarAdvance(Calendar,R11,"1D","f")</f>
        <v>42151</v>
      </c>
      <c r="S12" s="166">
        <f>_xll.qlTenorBasisValue($P$3,R12,AllTriggers)</f>
        <v>1.8265494046962912E-3</v>
      </c>
      <c r="T12" s="154">
        <f>_xll.qlDayCounterYearFraction("actual/365 (fixed)",SettlementDate,R12,,,Trigger)</f>
        <v>3.5616438356164383E-2</v>
      </c>
      <c r="U12" s="166">
        <f>_xll.qlPolynomialFunctionValue($P$18,T12,AllTriggers)</f>
        <v>1.6486262215924228E-3</v>
      </c>
    </row>
    <row r="13" spans="1:27" ht="11.25" customHeight="1" x14ac:dyDescent="0.2">
      <c r="A13" s="300">
        <f t="shared" si="4"/>
        <v>9</v>
      </c>
      <c r="B13" s="117" t="s">
        <v>37</v>
      </c>
      <c r="C13" s="307">
        <f t="shared" si="1"/>
        <v>15</v>
      </c>
      <c r="D13" s="305" t="str">
        <f t="shared" si="2"/>
        <v>EUR9x15F_Quote</v>
      </c>
      <c r="E13" s="305" t="str">
        <f>_xll.qlSimpleQuote(UPPER("B"&amp;$H$1&amp;"_"&amp;A13&amp;B13&amp;C13),,,Permanent,Trigger,ObjectOverwrite)</f>
        <v>B6M_9X15#0010</v>
      </c>
      <c r="F13" s="406">
        <f>_xll.qlSimpleQuoteSetValue(E13,K13,AllTriggers)</f>
        <v>0</v>
      </c>
      <c r="G13" s="418">
        <f>_xll.qlCalendarAdvance("target",SettlementDate,A13&amp;"M","mf",,Trigger)</f>
        <v>42415</v>
      </c>
      <c r="H13" s="418">
        <f>_xll.qlInterestRateIndexMaturity(ON_6M_index,G13)</f>
        <v>42597</v>
      </c>
      <c r="I13" s="166">
        <f>_xll.qlQuoteValue(D13,AllTriggers)</f>
        <v>8.200000000000002E-4</v>
      </c>
      <c r="J13" s="166">
        <f>_xll.qlIndexFixing(ON_6M_index,_xll.qlInterestRateIndexFixingDate(ON_6M_index,G13),,AllTriggers)</f>
        <v>-1.2269626406820715E-3</v>
      </c>
      <c r="K13" s="334">
        <f t="shared" si="0"/>
        <v>2.0469626406820719E-3</v>
      </c>
      <c r="L13" s="166">
        <f>_xll.qlTenorBasisValue($P$3,G13,Trigger)</f>
        <v>2.0529629687919748E-3</v>
      </c>
      <c r="M13" s="234">
        <f t="shared" si="3"/>
        <v>-6.0003281099028916E-2</v>
      </c>
      <c r="N13" s="117"/>
      <c r="O13" s="398" t="s">
        <v>151</v>
      </c>
      <c r="P13" s="236">
        <f t="array" ref="P13:P17">_xll.qlTenorInstCoefficients(P3)</f>
        <v>1.6112128984961903E-3</v>
      </c>
      <c r="Q13" s="116"/>
      <c r="R13" s="418">
        <f>_xll.qlCalendarAdvance(Calendar,R12,"1D","f")</f>
        <v>42152</v>
      </c>
      <c r="S13" s="166">
        <f>_xll.qlTenorBasisValue($P$3,R13,AllTriggers)</f>
        <v>1.8281097773553533E-3</v>
      </c>
      <c r="T13" s="154">
        <f>_xll.qlDayCounterYearFraction("actual/365 (fixed)",SettlementDate,R13,,,Trigger)</f>
        <v>3.8356164383561646E-2</v>
      </c>
      <c r="U13" s="166">
        <f>_xll.qlPolynomialFunctionValue($P$18,T13,AllTriggers)</f>
        <v>1.6513759284887482E-3</v>
      </c>
    </row>
    <row r="14" spans="1:27" ht="11.25" customHeight="1" thickBot="1" x14ac:dyDescent="0.25">
      <c r="A14" s="300">
        <f t="shared" si="4"/>
        <v>10</v>
      </c>
      <c r="B14" s="117" t="s">
        <v>37</v>
      </c>
      <c r="C14" s="307">
        <f t="shared" si="1"/>
        <v>16</v>
      </c>
      <c r="D14" s="305" t="str">
        <f t="shared" si="2"/>
        <v>EUR10x16F_Quote</v>
      </c>
      <c r="E14" s="305" t="str">
        <f>_xll.qlSimpleQuote(UPPER("B"&amp;$H$1&amp;"_"&amp;A14&amp;B14&amp;C14),,,Permanent,Trigger,ObjectOverwrite)</f>
        <v>B6M_10X16#0010</v>
      </c>
      <c r="F14" s="406">
        <f>_xll.qlSimpleQuoteSetValue(E14,K14,AllTriggers)</f>
        <v>0</v>
      </c>
      <c r="G14" s="418">
        <f>_xll.qlCalendarAdvance("target",SettlementDate,A14&amp;"M","mf",,Trigger)</f>
        <v>42443</v>
      </c>
      <c r="H14" s="418">
        <f>_xll.qlInterestRateIndexMaturity(ON_6M_index,G14)</f>
        <v>42627</v>
      </c>
      <c r="I14" s="166">
        <f>_xll.qlQuoteValue(D14,AllTriggers)</f>
        <v>8.7000000000000011E-4</v>
      </c>
      <c r="J14" s="166">
        <f>_xll.qlIndexFixing(ON_6M_index,_xll.qlInterestRateIndexFixingDate(ON_6M_index,G14),,AllTriggers)</f>
        <v>-1.1779678338170586E-3</v>
      </c>
      <c r="K14" s="334">
        <f t="shared" si="0"/>
        <v>2.0479678338170587E-3</v>
      </c>
      <c r="L14" s="166">
        <f>_xll.qlTenorBasisValue($P$3,G14,Trigger)</f>
        <v>2.0707117796418336E-3</v>
      </c>
      <c r="M14" s="234">
        <f t="shared" si="3"/>
        <v>-0.22743945824774819</v>
      </c>
      <c r="N14" s="117"/>
      <c r="O14" s="398" t="s">
        <v>152</v>
      </c>
      <c r="P14" s="236">
        <v>1.0949877738068629E-3</v>
      </c>
      <c r="Q14" s="116"/>
      <c r="R14" s="418">
        <f>_xll.qlCalendarAdvance(Calendar,R13,"1D","f")</f>
        <v>42153</v>
      </c>
      <c r="S14" s="166">
        <f>_xll.qlTenorBasisValue($P$3,R14,AllTriggers)</f>
        <v>1.8296598546047704E-3</v>
      </c>
      <c r="T14" s="154">
        <f>_xll.qlDayCounterYearFraction("actual/365 (fixed)",SettlementDate,R14,,,Trigger)</f>
        <v>4.1095890410958902E-2</v>
      </c>
      <c r="U14" s="166">
        <f>_xll.qlPolynomialFunctionValue($P$18,T14,AllTriggers)</f>
        <v>1.6541077949592661E-3</v>
      </c>
      <c r="W14" s="142"/>
      <c r="X14" s="142" t="s">
        <v>95</v>
      </c>
      <c r="Y14" s="142" t="s">
        <v>70</v>
      </c>
      <c r="Z14" s="142" t="s">
        <v>71</v>
      </c>
      <c r="AA14" s="410" t="s">
        <v>167</v>
      </c>
    </row>
    <row r="15" spans="1:27" ht="11.25" customHeight="1" x14ac:dyDescent="0.2">
      <c r="A15" s="300">
        <f t="shared" si="4"/>
        <v>11</v>
      </c>
      <c r="B15" s="117" t="s">
        <v>37</v>
      </c>
      <c r="C15" s="307">
        <f t="shared" si="1"/>
        <v>17</v>
      </c>
      <c r="D15" s="305" t="str">
        <f t="shared" si="2"/>
        <v>EUR11x17F_Quote</v>
      </c>
      <c r="E15" s="305" t="str">
        <f>_xll.qlSimpleQuote(UPPER("B"&amp;$H$1&amp;"_"&amp;A15&amp;B15&amp;C15),,,Permanent,Trigger,ObjectOverwrite)</f>
        <v>B6M_11X17#0010</v>
      </c>
      <c r="F15" s="406">
        <f>_xll.qlSimpleQuoteSetValue(E15,K15,AllTriggers)</f>
        <v>0</v>
      </c>
      <c r="G15" s="418">
        <f>_xll.qlCalendarAdvance("target",SettlementDate,A15&amp;"M","mf",,Trigger)</f>
        <v>42474</v>
      </c>
      <c r="H15" s="418">
        <f>_xll.qlInterestRateIndexMaturity(ON_6M_index,G15)</f>
        <v>42657</v>
      </c>
      <c r="I15" s="166">
        <f>_xll.qlQuoteValue(D15,AllTriggers)</f>
        <v>9.5E-4</v>
      </c>
      <c r="J15" s="166">
        <f>_xll.qlIndexFixing(ON_6M_index,_xll.qlInterestRateIndexFixingDate(ON_6M_index,G15),,AllTriggers)</f>
        <v>-1.140958177993909E-3</v>
      </c>
      <c r="K15" s="334">
        <f t="shared" si="0"/>
        <v>2.0909581779939091E-3</v>
      </c>
      <c r="L15" s="166">
        <f>_xll.qlTenorBasisValue($P$3,G15,Trigger)</f>
        <v>2.0909275638106013E-3</v>
      </c>
      <c r="M15" s="234">
        <f t="shared" si="3"/>
        <v>3.0614183307766524E-4</v>
      </c>
      <c r="N15" s="117"/>
      <c r="O15" s="398" t="s">
        <v>153</v>
      </c>
      <c r="P15" s="236">
        <v>-1.2786527241140978E-3</v>
      </c>
      <c r="Q15" s="116"/>
      <c r="R15" s="418">
        <f>_xll.qlCalendarAdvance(Calendar,R14,"1D","f")</f>
        <v>42156</v>
      </c>
      <c r="S15" s="166">
        <f>_xll.qlTenorBasisValue($P$3,R15,AllTriggers)</f>
        <v>1.8342490362409127E-3</v>
      </c>
      <c r="T15" s="154">
        <f>_xll.qlDayCounterYearFraction("actual/365 (fixed)",SettlementDate,R15,,,Trigger)</f>
        <v>4.9315068493150684E-2</v>
      </c>
      <c r="U15" s="166">
        <f>_xll.qlPolynomialFunctionValue($P$18,T15,AllTriggers)</f>
        <v>1.6621973004599193E-3</v>
      </c>
      <c r="W15" s="161">
        <v>0</v>
      </c>
      <c r="X15" s="161" t="s">
        <v>43</v>
      </c>
      <c r="Y15" s="381">
        <f>_xll.qlCalendarAdvance(Calendar,SettlementDate,W15&amp;"M","mf",TRUE,Trigger)</f>
        <v>42138</v>
      </c>
      <c r="Z15" s="382">
        <f>_xll.qlCalendarAdvance(Calendar,SettlementDate,X15,"Following",,Trigger)</f>
        <v>42139</v>
      </c>
      <c r="AA15" s="411">
        <f>_xll.qlTenorBasisForwardRate2(TenorBasis6M,Y15,Z15,AllTriggers)</f>
        <v>6.0060874521816743E-4</v>
      </c>
    </row>
    <row r="16" spans="1:27" ht="11.25" customHeight="1" x14ac:dyDescent="0.2">
      <c r="A16" s="300">
        <f t="shared" si="4"/>
        <v>12</v>
      </c>
      <c r="B16" s="117" t="s">
        <v>37</v>
      </c>
      <c r="C16" s="307">
        <f t="shared" si="1"/>
        <v>18</v>
      </c>
      <c r="D16" s="305" t="str">
        <f t="shared" si="2"/>
        <v>EUR12x18F_Quote</v>
      </c>
      <c r="E16" s="305" t="str">
        <f>_xll.qlSimpleQuote(UPPER("B"&amp;$H$1&amp;"_"&amp;A16&amp;B16&amp;C16),,,Permanent,Trigger,ObjectOverwrite)</f>
        <v>B6M_12X18#0010</v>
      </c>
      <c r="F16" s="406">
        <f>_xll.qlSimpleQuoteSetValue(E16,K16,AllTriggers)</f>
        <v>0</v>
      </c>
      <c r="G16" s="418">
        <f>_xll.qlCalendarAdvance("target",SettlementDate,A16&amp;"M","mf",,Trigger)</f>
        <v>42506</v>
      </c>
      <c r="H16" s="418">
        <f>_xll.qlInterestRateIndexMaturity(ON_6M_index,G16)</f>
        <v>42690</v>
      </c>
      <c r="I16" s="166">
        <f>_xll.qlQuoteValue(D16,AllTriggers)</f>
        <v>1.0300000000000001E-3</v>
      </c>
      <c r="J16" s="166">
        <f>_xll.qlIndexFixing(ON_6M_index,_xll.qlInterestRateIndexFixingDate(ON_6M_index,G16),,AllTriggers)</f>
        <v>-1.0963282396588307E-3</v>
      </c>
      <c r="K16" s="334">
        <f t="shared" si="0"/>
        <v>2.1263282396588308E-3</v>
      </c>
      <c r="L16" s="166">
        <f>_xll.qlTenorBasisValue($P$3,G16,Trigger)</f>
        <v>2.1123780757255437E-3</v>
      </c>
      <c r="M16" s="234">
        <f t="shared" si="3"/>
        <v>0.13950163933287071</v>
      </c>
      <c r="N16" s="117"/>
      <c r="O16" s="398" t="s">
        <v>154</v>
      </c>
      <c r="P16" s="236">
        <v>7.980065015882954E-4</v>
      </c>
      <c r="Q16" s="116"/>
      <c r="R16" s="418">
        <f>_xll.qlCalendarAdvance(Calendar,R15,"1D","f")</f>
        <v>42157</v>
      </c>
      <c r="S16" s="166">
        <f>_xll.qlTenorBasisValue($P$3,R16,AllTriggers)</f>
        <v>1.8357586529975211E-3</v>
      </c>
      <c r="T16" s="154">
        <f>_xll.qlDayCounterYearFraction("actual/365 (fixed)",SettlementDate,R16,,,Trigger)</f>
        <v>5.2054794520547946E-2</v>
      </c>
      <c r="U16" s="166">
        <f>_xll.qlPolynomialFunctionValue($P$18,T16,AllTriggers)</f>
        <v>1.664858752671161E-3</v>
      </c>
      <c r="W16" s="167">
        <v>0</v>
      </c>
      <c r="X16" s="167" t="s">
        <v>44</v>
      </c>
      <c r="Y16" s="383">
        <f>_xll.qlCalendarAdvance(Calendar,SettlementDate,W16&amp;"M","mf",TRUE,Trigger)</f>
        <v>42138</v>
      </c>
      <c r="Z16" s="384">
        <f>_xll.qlCalendarAdvance(Calendar,SettlementDate,X16,"Following",,Trigger)</f>
        <v>42145</v>
      </c>
      <c r="AA16" s="412">
        <f>_xll.qlTenorBasisForwardRate2(TenorBasis6M,Y16,Z16,AllTriggers)</f>
        <v>6.0933838689055818E-4</v>
      </c>
    </row>
    <row r="17" spans="1:27" ht="11.25" customHeight="1" x14ac:dyDescent="0.2">
      <c r="A17" s="300">
        <f t="shared" si="4"/>
        <v>13</v>
      </c>
      <c r="B17" s="117" t="s">
        <v>37</v>
      </c>
      <c r="C17" s="307">
        <f t="shared" si="1"/>
        <v>19</v>
      </c>
      <c r="D17" s="305" t="str">
        <f t="shared" si="2"/>
        <v>EUR13x19F_Quote</v>
      </c>
      <c r="E17" s="305" t="str">
        <f>_xll.qlSimpleQuote(UPPER("B"&amp;$H$1&amp;"_"&amp;A17&amp;B17&amp;C17),,,Permanent,Trigger,ObjectOverwrite)</f>
        <v>B6M_13X19#0010</v>
      </c>
      <c r="F17" s="406">
        <f>_xll.qlSimpleQuoteSetValue(E17,K17,AllTriggers)</f>
        <v>0</v>
      </c>
      <c r="G17" s="418">
        <f>_xll.qlCalendarAdvance("target",SettlementDate,A17&amp;"M","mf",,Trigger)</f>
        <v>42535</v>
      </c>
      <c r="H17" s="418">
        <f>_xll.qlInterestRateIndexMaturity(ON_6M_index,G17)</f>
        <v>42718</v>
      </c>
      <c r="I17" s="166">
        <f>_xll.qlQuoteValue(D17,AllTriggers)</f>
        <v>1.1099999999999999E-3</v>
      </c>
      <c r="J17" s="166">
        <f>_xll.qlIndexFixing(ON_6M_index,_xll.qlInterestRateIndexFixingDate(ON_6M_index,G17),,AllTriggers)</f>
        <v>-1.0516917755336514E-3</v>
      </c>
      <c r="K17" s="334">
        <f t="shared" si="0"/>
        <v>2.1616917755336515E-3</v>
      </c>
      <c r="L17" s="166">
        <f>_xll.qlTenorBasisValue($P$3,G17,Trigger)</f>
        <v>2.1320975953941527E-3</v>
      </c>
      <c r="M17" s="234">
        <f t="shared" si="3"/>
        <v>0.29594180139498777</v>
      </c>
      <c r="N17" s="117"/>
      <c r="O17" s="398" t="s">
        <v>155</v>
      </c>
      <c r="P17" s="236">
        <v>-1.7748758012030094E-4</v>
      </c>
      <c r="Q17" s="116"/>
      <c r="R17" s="418">
        <f>_xll.qlCalendarAdvance(Calendar,R16,"1D","f")</f>
        <v>42158</v>
      </c>
      <c r="S17" s="166">
        <f>_xll.qlTenorBasisValue($P$3,R17,AllTriggers)</f>
        <v>1.8372583337173808E-3</v>
      </c>
      <c r="T17" s="154">
        <f>_xll.qlDayCounterYearFraction("actual/365 (fixed)",SettlementDate,R17,,,Trigger)</f>
        <v>5.4794520547945202E-2</v>
      </c>
      <c r="U17" s="166">
        <f>_xll.qlPolynomialFunctionValue($P$18,T17,AllTriggers)</f>
        <v>1.6675028369785825E-3</v>
      </c>
      <c r="W17" s="167">
        <v>0</v>
      </c>
      <c r="X17" s="167" t="s">
        <v>45</v>
      </c>
      <c r="Y17" s="383">
        <f>_xll.qlCalendarAdvance(Calendar,SettlementDate,W17&amp;"M","mf",TRUE,Trigger)</f>
        <v>42138</v>
      </c>
      <c r="Z17" s="384">
        <f>_xll.qlCalendarAdvance(Calendar,SettlementDate,X17,"Following",,Trigger)</f>
        <v>42152</v>
      </c>
      <c r="AA17" s="412">
        <f>_xll.qlTenorBasisForwardRate2(TenorBasis6M,Y17,Z17,AllTriggers)</f>
        <v>6.0923392658729369E-4</v>
      </c>
    </row>
    <row r="18" spans="1:27" ht="11.25" customHeight="1" x14ac:dyDescent="0.2">
      <c r="A18" s="300">
        <f t="shared" si="4"/>
        <v>14</v>
      </c>
      <c r="B18" s="117" t="s">
        <v>37</v>
      </c>
      <c r="C18" s="307">
        <f t="shared" si="1"/>
        <v>20</v>
      </c>
      <c r="D18" s="305" t="str">
        <f t="shared" si="2"/>
        <v>EUR14x20F_Quote</v>
      </c>
      <c r="E18" s="305" t="str">
        <f>_xll.qlSimpleQuote(UPPER("B"&amp;$H$1&amp;"_"&amp;A18&amp;B18&amp;C18),,,Permanent,Trigger,ObjectOverwrite)</f>
        <v>B6M_14X20#0010</v>
      </c>
      <c r="F18" s="406">
        <f>_xll.qlSimpleQuoteSetValue(E18,K18,AllTriggers)</f>
        <v>0</v>
      </c>
      <c r="G18" s="418">
        <f>_xll.qlCalendarAdvance("target",SettlementDate,A18&amp;"M","mf",,Trigger)</f>
        <v>42565</v>
      </c>
      <c r="H18" s="418">
        <f>_xll.qlInterestRateIndexMaturity(ON_6M_index,G18)</f>
        <v>42751</v>
      </c>
      <c r="I18" s="166">
        <f>_xll.qlQuoteValue(D18,AllTriggers)</f>
        <v>1.23E-3</v>
      </c>
      <c r="J18" s="166">
        <f>_xll.qlIndexFixing(ON_6M_index,_xll.qlInterestRateIndexFixingDate(ON_6M_index,G18),,AllTriggers)</f>
        <v>-9.3677772057014985E-4</v>
      </c>
      <c r="K18" s="334">
        <f t="shared" si="0"/>
        <v>2.1667777205701499E-3</v>
      </c>
      <c r="L18" s="166">
        <f>_xll.qlTenorBasisValue($P$3,G18,Trigger)</f>
        <v>2.1523518986217328E-3</v>
      </c>
      <c r="M18" s="234">
        <f t="shared" si="3"/>
        <v>0.14425821948417084</v>
      </c>
      <c r="N18" s="117"/>
      <c r="O18" s="398" t="s">
        <v>173</v>
      </c>
      <c r="P18" s="236" t="str">
        <f>_xll.qlPolynomialFunction(,_xll.ohPack(P13:P17),,Trigger)</f>
        <v>obj_0086b#0018</v>
      </c>
      <c r="Q18" s="116"/>
      <c r="R18" s="418">
        <f>_xll.qlCalendarAdvance(Calendar,R17,"1D","f")</f>
        <v>42159</v>
      </c>
      <c r="S18" s="166">
        <f>_xll.qlTenorBasisValue($P$3,R18,AllTriggers)</f>
        <v>1.8387481495550752E-3</v>
      </c>
      <c r="T18" s="154">
        <f>_xll.qlDayCounterYearFraction("actual/365 (fixed)",SettlementDate,R18,,,Trigger)</f>
        <v>5.7534246575342465E-2</v>
      </c>
      <c r="U18" s="166">
        <f>_xll.qlPolynomialFunctionValue($P$18,T18,AllTriggers)</f>
        <v>1.6701296471665855E-3</v>
      </c>
      <c r="W18" s="167">
        <v>0</v>
      </c>
      <c r="X18" s="167" t="s">
        <v>46</v>
      </c>
      <c r="Y18" s="383">
        <f>_xll.qlCalendarAdvance(Calendar,SettlementDate,W18&amp;"M","mf",TRUE,Trigger)</f>
        <v>42138</v>
      </c>
      <c r="Z18" s="384">
        <f>_xll.qlCalendarAdvance(Calendar,SettlementDate,X18,"Following",,Trigger)</f>
        <v>42159</v>
      </c>
      <c r="AA18" s="412">
        <f>_xll.qlTenorBasisForwardRate2(TenorBasis6M,Y18,Z18,AllTriggers)</f>
        <v>6.9884474792582447E-4</v>
      </c>
    </row>
    <row r="19" spans="1:27" ht="11.25" customHeight="1" x14ac:dyDescent="0.2">
      <c r="A19" s="300">
        <f t="shared" si="4"/>
        <v>15</v>
      </c>
      <c r="B19" s="117" t="s">
        <v>37</v>
      </c>
      <c r="C19" s="307">
        <f t="shared" si="1"/>
        <v>21</v>
      </c>
      <c r="D19" s="305" t="str">
        <f t="shared" si="2"/>
        <v>EUR15x21F_Quote</v>
      </c>
      <c r="E19" s="305" t="str">
        <f>_xll.qlSimpleQuote(UPPER("B"&amp;$H$1&amp;"_"&amp;A19&amp;B19&amp;C19),,,Permanent,Trigger,ObjectOverwrite)</f>
        <v>B6M_15X21#0010</v>
      </c>
      <c r="F19" s="406">
        <f>_xll.qlSimpleQuoteSetValue(E19,K19,AllTriggers)</f>
        <v>0</v>
      </c>
      <c r="G19" s="418">
        <f>_xll.qlCalendarAdvance("target",SettlementDate,A19&amp;"M","mf",,Trigger)</f>
        <v>42597</v>
      </c>
      <c r="H19" s="418">
        <f>_xll.qlInterestRateIndexMaturity(ON_6M_index,G19)</f>
        <v>42781</v>
      </c>
      <c r="I19" s="166">
        <f>_xll.qlQuoteValue(D19,AllTriggers)</f>
        <v>1.34E-3</v>
      </c>
      <c r="J19" s="166">
        <f>_xll.qlIndexFixing(ON_6M_index,_xll.qlInterestRateIndexFixingDate(ON_6M_index,G19),,AllTriggers)</f>
        <v>-8.6775088169510639E-4</v>
      </c>
      <c r="K19" s="334">
        <f t="shared" si="0"/>
        <v>2.2077508816951063E-3</v>
      </c>
      <c r="L19" s="166">
        <f>_xll.qlTenorBasisValue($P$3,G19,Trigger)</f>
        <v>2.17309488821028E-3</v>
      </c>
      <c r="M19" s="234">
        <f t="shared" si="3"/>
        <v>0.34655993484826281</v>
      </c>
      <c r="N19" s="117"/>
      <c r="Q19" s="116"/>
      <c r="R19" s="418">
        <f>_xll.qlCalendarAdvance(Calendar,R18,"1D","f")</f>
        <v>42160</v>
      </c>
      <c r="S19" s="166">
        <f>_xll.qlTenorBasisValue($P$3,R19,AllTriggers)</f>
        <v>1.8402281714251919E-3</v>
      </c>
      <c r="T19" s="154">
        <f>_xll.qlDayCounterYearFraction("actual/365 (fixed)",SettlementDate,R19,,,Trigger)</f>
        <v>6.0273972602739728E-2</v>
      </c>
      <c r="U19" s="166">
        <f>_xll.qlPolynomialFunctionValue($P$18,T19,AllTriggers)</f>
        <v>1.6727392767795759E-3</v>
      </c>
      <c r="W19" s="335">
        <v>0</v>
      </c>
      <c r="X19" s="335" t="s">
        <v>40</v>
      </c>
      <c r="Y19" s="385">
        <f>_xll.qlCalendarAdvance(Calendar,SettlementDate,W19&amp;"M","mf",TRUE,Trigger)</f>
        <v>42138</v>
      </c>
      <c r="Z19" s="386">
        <f>_xll.qlCalendarAdvance(Calendar,SettlementDate,X19,"mf",TRUE,Trigger)</f>
        <v>42170</v>
      </c>
      <c r="AA19" s="413">
        <f>_xll.qlTenorBasisForwardRate2(TenorBasis6M,Y19,Z19,AllTriggers)</f>
        <v>6.4117177903250111E-4</v>
      </c>
    </row>
    <row r="20" spans="1:27" ht="11.25" customHeight="1" x14ac:dyDescent="0.2">
      <c r="A20" s="300">
        <f t="shared" si="4"/>
        <v>16</v>
      </c>
      <c r="B20" s="117" t="s">
        <v>37</v>
      </c>
      <c r="C20" s="307">
        <f t="shared" si="1"/>
        <v>22</v>
      </c>
      <c r="D20" s="305" t="str">
        <f t="shared" si="2"/>
        <v>EUR16x22F_Quote</v>
      </c>
      <c r="E20" s="305" t="str">
        <f>_xll.qlSimpleQuote(UPPER("B"&amp;$H$1&amp;"_"&amp;A20&amp;B20&amp;C20),,,Permanent,Trigger,ObjectOverwrite)</f>
        <v>B6M_16X22#0010</v>
      </c>
      <c r="F20" s="406">
        <f>_xll.qlSimpleQuoteSetValue(E20,K20,AllTriggers)</f>
        <v>0</v>
      </c>
      <c r="G20" s="418">
        <f>_xll.qlCalendarAdvance("target",SettlementDate,A20&amp;"M","mf",,Trigger)</f>
        <v>42627</v>
      </c>
      <c r="H20" s="418">
        <f>_xll.qlInterestRateIndexMaturity(ON_6M_index,G20)</f>
        <v>42808</v>
      </c>
      <c r="I20" s="166">
        <f>_xll.qlQuoteValue(D20,AllTriggers)</f>
        <v>1.4499999999999999E-3</v>
      </c>
      <c r="J20" s="166">
        <f>_xll.qlIndexFixing(ON_6M_index,_xll.qlInterestRateIndexFixingDate(ON_6M_index,G20),,AllTriggers)</f>
        <v>-7.7111426205052705E-4</v>
      </c>
      <c r="K20" s="334">
        <f t="shared" si="0"/>
        <v>2.2211142620505268E-3</v>
      </c>
      <c r="L20" s="166">
        <f>_xll.qlTenorBasisValue($P$3,G20,Trigger)</f>
        <v>2.1908642697155332E-3</v>
      </c>
      <c r="M20" s="234">
        <f t="shared" si="3"/>
        <v>0.30249992334993681</v>
      </c>
      <c r="N20" s="117"/>
      <c r="Q20" s="116"/>
      <c r="R20" s="418">
        <f>_xll.qlCalendarAdvance(Calendar,R19,"1D","f")</f>
        <v>42163</v>
      </c>
      <c r="S20" s="166">
        <f>_xll.qlTenorBasisValue($P$3,R20,AllTriggers)</f>
        <v>1.8446101787759751E-3</v>
      </c>
      <c r="T20" s="154">
        <f>_xll.qlDayCounterYearFraction("actual/365 (fixed)",SettlementDate,R20,,,Trigger)</f>
        <v>6.8493150684931503E-2</v>
      </c>
      <c r="U20" s="166">
        <f>_xll.qlPolynomialFunctionValue($P$18,T20,AllTriggers)</f>
        <v>1.6804660140125507E-3</v>
      </c>
      <c r="W20" s="167">
        <v>0</v>
      </c>
      <c r="X20" s="167" t="s">
        <v>47</v>
      </c>
      <c r="Y20" s="383">
        <f>_xll.qlCalendarAdvance(Calendar,SettlementDate,W20&amp;"M","mf",TRUE,Trigger)</f>
        <v>42138</v>
      </c>
      <c r="Z20" s="384">
        <f>_xll.qlCalendarAdvance(Calendar,SettlementDate,X20,"mf",TRUE,Trigger)</f>
        <v>42199</v>
      </c>
      <c r="AA20" s="412">
        <f>_xll.qlTenorBasisForwardRate2(TenorBasis6M,Y20,Z20,AllTriggers)</f>
        <v>6.1080629431446178E-4</v>
      </c>
    </row>
    <row r="21" spans="1:27" ht="11.25" customHeight="1" x14ac:dyDescent="0.2">
      <c r="A21" s="300">
        <f t="shared" si="4"/>
        <v>17</v>
      </c>
      <c r="B21" s="117" t="s">
        <v>37</v>
      </c>
      <c r="C21" s="307">
        <f t="shared" si="1"/>
        <v>23</v>
      </c>
      <c r="D21" s="305" t="str">
        <f t="shared" si="2"/>
        <v>EUR17x23F_Quote</v>
      </c>
      <c r="E21" s="305" t="str">
        <f>_xll.qlSimpleQuote(UPPER("B"&amp;$H$1&amp;"_"&amp;A21&amp;B21&amp;C21),,,Permanent,Trigger,ObjectOverwrite)</f>
        <v>B6M_17X23#0010</v>
      </c>
      <c r="F21" s="406">
        <f>_xll.qlSimpleQuoteSetValue(E21,K21,AllTriggers)</f>
        <v>0</v>
      </c>
      <c r="G21" s="418">
        <f>_xll.qlCalendarAdvance("target",SettlementDate,A21&amp;"M","mf",,Trigger)</f>
        <v>42657</v>
      </c>
      <c r="H21" s="418">
        <f>_xll.qlInterestRateIndexMaturity(ON_6M_index,G21)</f>
        <v>42843</v>
      </c>
      <c r="I21" s="166">
        <f>_xll.qlQuoteValue(D21,AllTriggers)</f>
        <v>1.6099999999999997E-3</v>
      </c>
      <c r="J21" s="166">
        <f>_xll.qlIndexFixing(ON_6M_index,_xll.qlInterestRateIndexFixingDate(ON_6M_index,G21),,AllTriggers)</f>
        <v>-6.2144763863612674E-4</v>
      </c>
      <c r="K21" s="334">
        <f t="shared" si="0"/>
        <v>2.2314476386361263E-3</v>
      </c>
      <c r="L21" s="166">
        <f>_xll.qlTenorBasisValue($P$3,G21,Trigger)</f>
        <v>2.2059671769927977E-3</v>
      </c>
      <c r="M21" s="234">
        <f t="shared" si="3"/>
        <v>0.25480461643328634</v>
      </c>
      <c r="N21" s="117"/>
      <c r="Q21" s="116"/>
      <c r="R21" s="418">
        <f>_xll.qlCalendarAdvance(Calendar,R20,"1D","f")</f>
        <v>42164</v>
      </c>
      <c r="S21" s="166">
        <f>_xll.qlTenorBasisValue($P$3,R21,AllTriggers)</f>
        <v>1.8460517291216891E-3</v>
      </c>
      <c r="T21" s="154">
        <f>_xll.qlDayCounterYearFraction("actual/365 (fixed)",SettlementDate,R21,,,Trigger)</f>
        <v>7.1232876712328766E-2</v>
      </c>
      <c r="U21" s="166">
        <f>_xll.qlPolynomialFunctionValue($P$18,T21,AllTriggers)</f>
        <v>1.6830078519695791E-3</v>
      </c>
      <c r="W21" s="167">
        <v>0</v>
      </c>
      <c r="X21" s="167" t="s">
        <v>41</v>
      </c>
      <c r="Y21" s="383">
        <f>_xll.qlCalendarAdvance(Calendar,SettlementDate,W21&amp;"M","mf",TRUE,Trigger)</f>
        <v>42138</v>
      </c>
      <c r="Z21" s="384">
        <f>_xll.qlCalendarAdvance(Calendar,SettlementDate,X21,"mf",TRUE,Trigger)</f>
        <v>42230</v>
      </c>
      <c r="AA21" s="412">
        <f>_xll.qlTenorBasisForwardRate2(TenorBasis6M,Y21,Z21,AllTriggers)</f>
        <v>5.8693771579139712E-4</v>
      </c>
    </row>
    <row r="22" spans="1:27" ht="11.25" customHeight="1" x14ac:dyDescent="0.2">
      <c r="A22" s="301">
        <f t="shared" si="4"/>
        <v>18</v>
      </c>
      <c r="B22" s="302" t="s">
        <v>37</v>
      </c>
      <c r="C22" s="309">
        <f t="shared" si="1"/>
        <v>24</v>
      </c>
      <c r="D22" s="306" t="str">
        <f t="shared" si="2"/>
        <v>EUR18x24F_Quote</v>
      </c>
      <c r="E22" s="306" t="str">
        <f>_xll.qlSimpleQuote(UPPER("B"&amp;$H$1&amp;"_"&amp;A22&amp;B22&amp;C22),,,Permanent,Trigger,ObjectOverwrite)</f>
        <v>B6M_18X24#0010</v>
      </c>
      <c r="F22" s="407">
        <f>_xll.qlSimpleQuoteSetValue(E22,K22,AllTriggers)</f>
        <v>0</v>
      </c>
      <c r="G22" s="419">
        <f>_xll.qlCalendarAdvance("target",SettlementDate,A22&amp;"M","mf",,Trigger)</f>
        <v>42688</v>
      </c>
      <c r="H22" s="419">
        <f>_xll.qlInterestRateIndexMaturity(ON_6M_index,G22)</f>
        <v>42870</v>
      </c>
      <c r="I22" s="175">
        <f>_xll.qlQuoteValue(D22,AllTriggers)</f>
        <v>1.7499999999999998E-3</v>
      </c>
      <c r="J22" s="175">
        <f>_xll.qlIndexFixing(ON_6M_index,_xll.qlInterestRateIndexFixingDate(ON_6M_index,G22),,AllTriggers)</f>
        <v>-4.6675777329724085E-4</v>
      </c>
      <c r="K22" s="321">
        <f t="shared" si="0"/>
        <v>2.2167577732972407E-3</v>
      </c>
      <c r="L22" s="175">
        <f>_xll.qlTenorBasisValue($P$3,G22,Trigger)</f>
        <v>2.2174763367740387E-3</v>
      </c>
      <c r="M22" s="235">
        <f t="shared" si="3"/>
        <v>-7.1856347679801966E-3</v>
      </c>
      <c r="N22" s="117"/>
      <c r="Q22" s="116"/>
      <c r="R22" s="418">
        <f>_xll.qlCalendarAdvance(Calendar,R21,"1D","f")</f>
        <v>42165</v>
      </c>
      <c r="S22" s="166">
        <f>_xll.qlTenorBasisValue($P$3,R22,AllTriggers)</f>
        <v>1.8474838364727886E-3</v>
      </c>
      <c r="T22" s="154">
        <f>_xll.qlDayCounterYearFraction("actual/365 (fixed)",SettlementDate,R22,,,Trigger)</f>
        <v>7.3972602739726029E-2</v>
      </c>
      <c r="U22" s="166">
        <f>_xll.qlPolynomialFunctionValue($P$18,T22,AllTriggers)</f>
        <v>1.6855329734736489E-3</v>
      </c>
      <c r="W22" s="167">
        <v>0</v>
      </c>
      <c r="X22" s="167" t="s">
        <v>48</v>
      </c>
      <c r="Y22" s="383">
        <f>_xll.qlCalendarAdvance(Calendar,SettlementDate,W22&amp;"M","mf",TRUE,Trigger)</f>
        <v>42138</v>
      </c>
      <c r="Z22" s="384">
        <f>_xll.qlCalendarAdvance(Calendar,SettlementDate,X22,"mf",TRUE,Trigger)</f>
        <v>42261</v>
      </c>
      <c r="AA22" s="412">
        <f>_xll.qlTenorBasisForwardRate2(TenorBasis6M,Y22,Z22,AllTriggers)</f>
        <v>5.8207242480915931E-4</v>
      </c>
    </row>
    <row r="23" spans="1:27" ht="11.25" customHeight="1" x14ac:dyDescent="0.2">
      <c r="G23" s="230"/>
      <c r="H23" s="230"/>
      <c r="I23" s="141"/>
      <c r="J23" s="141"/>
      <c r="K23" s="141"/>
      <c r="L23" s="117"/>
      <c r="M23" s="117"/>
      <c r="N23" s="117"/>
      <c r="Q23" s="116"/>
      <c r="R23" s="418">
        <f>_xll.qlCalendarAdvance(Calendar,R22,"1D","f")</f>
        <v>42166</v>
      </c>
      <c r="S23" s="166">
        <f>_xll.qlTenorBasisValue($P$3,R23,AllTriggers)</f>
        <v>1.8489065703038725E-3</v>
      </c>
      <c r="T23" s="154">
        <f>_xll.qlDayCounterYearFraction("actual/365 (fixed)",SettlementDate,R23,,,Trigger)</f>
        <v>7.6712328767123292E-2</v>
      </c>
      <c r="U23" s="166">
        <f>_xll.qlPolynomialFunctionValue($P$18,T23,AllTriggers)</f>
        <v>1.6880414706291771E-3</v>
      </c>
      <c r="W23" s="171">
        <v>0</v>
      </c>
      <c r="X23" s="171" t="s">
        <v>49</v>
      </c>
      <c r="Y23" s="387">
        <f>_xll.qlCalendarAdvance(Calendar,SettlementDate,W23&amp;"M","mf",TRUE,Trigger)</f>
        <v>42138</v>
      </c>
      <c r="Z23" s="388">
        <f>_xll.qlCalendarAdvance(Calendar,SettlementDate,X23,"mf",TRUE,Trigger)</f>
        <v>42291</v>
      </c>
      <c r="AA23" s="414">
        <f>_xll.qlTenorBasisForwardRate2(TenorBasis6M,Y23,Z23,AllTriggers)</f>
        <v>6.1576345604402402E-4</v>
      </c>
    </row>
    <row r="24" spans="1:27" ht="11.25" customHeight="1" thickBot="1" x14ac:dyDescent="0.25">
      <c r="G24" s="230"/>
      <c r="H24" s="230"/>
      <c r="I24" s="141"/>
      <c r="J24" s="141"/>
      <c r="K24" s="141"/>
      <c r="Q24" s="116"/>
      <c r="R24" s="418">
        <f>_xll.qlCalendarAdvance(Calendar,R23,"1D","f")</f>
        <v>42167</v>
      </c>
      <c r="S24" s="166">
        <f>_xll.qlTenorBasisValue($P$3,R24,AllTriggers)</f>
        <v>1.8503199998495404E-3</v>
      </c>
      <c r="T24" s="154">
        <f>_xll.qlDayCounterYearFraction("actual/365 (fixed)",SettlementDate,R24,,,Trigger)</f>
        <v>7.9452054794520555E-2</v>
      </c>
      <c r="U24" s="166">
        <f>_xll.qlPolynomialFunctionValue($P$18,T24,AllTriggers)</f>
        <v>1.6905334353005815E-3</v>
      </c>
      <c r="W24" s="333">
        <v>0</v>
      </c>
      <c r="X24" s="333" t="s">
        <v>42</v>
      </c>
      <c r="Y24" s="389">
        <f>_xll.qlCalendarAdvance(Calendar,SettlementDate,W24&amp;"M","mf",TRUE,Trigger)</f>
        <v>42138</v>
      </c>
      <c r="Z24" s="390">
        <f>_xll.qlCalendarAdvance(Calendar,SettlementDate,X24,"mf",TRUE,Trigger)</f>
        <v>42324</v>
      </c>
      <c r="AA24" s="415">
        <f>_xll.qlTenorBasisForwardRate2(TenorBasis6M,Y24,Z24,AllTriggers)</f>
        <v>6.1533538085600077E-4</v>
      </c>
    </row>
    <row r="25" spans="1:27" ht="11.25" customHeight="1" x14ac:dyDescent="0.2">
      <c r="G25" s="230"/>
      <c r="H25" s="230"/>
      <c r="I25" s="141"/>
      <c r="J25" s="141"/>
      <c r="K25" s="141"/>
      <c r="R25" s="418">
        <f>_xll.qlCalendarAdvance(Calendar,R24,"1D","f")</f>
        <v>42170</v>
      </c>
      <c r="S25" s="166">
        <f>_xll.qlTenorBasisValue($P$3,R25,AllTriggers)</f>
        <v>1.8545051515200853E-3</v>
      </c>
      <c r="T25" s="154">
        <f>_xll.qlDayCounterYearFraction("actual/365 (fixed)",SettlementDate,R25,,,Trigger)</f>
        <v>8.7671232876712329E-2</v>
      </c>
      <c r="U25" s="166">
        <f>_xll.qlPolynomialFunctionValue($P$18,T25,AllTriggers)</f>
        <v>1.6979110494542687E-3</v>
      </c>
      <c r="W25" s="161">
        <v>1</v>
      </c>
      <c r="X25" s="161" t="str">
        <f t="shared" ref="X25:X30" si="5">W25+SUBSTITUTE($H$1,"M","")&amp;"M"</f>
        <v>7M</v>
      </c>
      <c r="Y25" s="381">
        <f>_xll.qlCalendarAdvance(Calendar,SettlementDate,W25&amp;"M","mf",TRUE,Trigger)</f>
        <v>42170</v>
      </c>
      <c r="Z25" s="381">
        <f>_xll.qlCalendarAdvance(Calendar,SettlementDate,X25,"mf",TRUE,Trigger)</f>
        <v>42352</v>
      </c>
      <c r="AA25" s="357">
        <f>_xll.qlTenorBasisTenorForwardRate(TenorBasis6M,Y25,AllTriggers)</f>
        <v>6.2399286683739014E-4</v>
      </c>
    </row>
    <row r="26" spans="1:27" ht="11.25" customHeight="1" x14ac:dyDescent="0.2">
      <c r="R26" s="418">
        <f>_xll.qlCalendarAdvance(Calendar,R25,"1D","f")</f>
        <v>42171</v>
      </c>
      <c r="S26" s="166">
        <f>_xll.qlTenorBasisValue($P$3,R26,AllTriggers)</f>
        <v>1.8558820514701336E-3</v>
      </c>
      <c r="T26" s="154">
        <f>_xll.qlDayCounterYearFraction("actual/365 (fixed)",SettlementDate,R26,,,Trigger)</f>
        <v>9.0410958904109592E-2</v>
      </c>
      <c r="U26" s="166">
        <f>_xll.qlPolynomialFunctionValue($P$18,T26,AllTriggers)</f>
        <v>1.7003377980334034E-3</v>
      </c>
      <c r="W26" s="167">
        <v>2</v>
      </c>
      <c r="X26" s="167" t="str">
        <f t="shared" si="5"/>
        <v>8M</v>
      </c>
      <c r="Y26" s="383">
        <f>_xll.qlCalendarAdvance(Calendar,SettlementDate,W26&amp;"M","mf",TRUE,Trigger)</f>
        <v>42199</v>
      </c>
      <c r="Z26" s="383">
        <f>_xll.qlCalendarAdvance(Calendar,SettlementDate,X26,"mf",TRUE,Trigger)</f>
        <v>42383</v>
      </c>
      <c r="AA26" s="166">
        <f>_xll.qlTenorBasisTenorForwardRate(TenorBasis6M,Y26,AllTriggers)</f>
        <v>6.3901610245792394E-4</v>
      </c>
    </row>
    <row r="27" spans="1:27" ht="11.25" customHeight="1" x14ac:dyDescent="0.2">
      <c r="R27" s="418">
        <f>_xll.qlCalendarAdvance(Calendar,R26,"1D","f")</f>
        <v>42172</v>
      </c>
      <c r="S27" s="166">
        <f>_xll.qlTenorBasisValue($P$3,R27,AllTriggers)</f>
        <v>1.8572499897077975E-3</v>
      </c>
      <c r="T27" s="154">
        <f>_xll.qlDayCounterYearFraction("actual/365 (fixed)",SettlementDate,R27,,,Trigger)</f>
        <v>9.3150684931506855E-2</v>
      </c>
      <c r="U27" s="166">
        <f>_xll.qlPolynomialFunctionValue($P$18,T27,AllTriggers)</f>
        <v>1.7027484698505359E-3</v>
      </c>
      <c r="W27" s="167">
        <v>3</v>
      </c>
      <c r="X27" s="167" t="str">
        <f t="shared" si="5"/>
        <v>9M</v>
      </c>
      <c r="Y27" s="383">
        <f>_xll.qlCalendarAdvance(Calendar,SettlementDate,W27&amp;"M","mf",TRUE,Trigger)</f>
        <v>42230</v>
      </c>
      <c r="Z27" s="383">
        <f>_xll.qlCalendarAdvance(Calendar,SettlementDate,X27,"mf",TRUE,Trigger)</f>
        <v>42415</v>
      </c>
      <c r="AA27" s="166">
        <f>_xll.qlTenorBasisTenorForwardRate(TenorBasis6M,Y27,AllTriggers)</f>
        <v>6.556302157545075E-4</v>
      </c>
    </row>
    <row r="28" spans="1:27" ht="11.25" customHeight="1" x14ac:dyDescent="0.2">
      <c r="R28" s="418">
        <f>_xll.qlCalendarAdvance(Calendar,R27,"1D","f")</f>
        <v>42173</v>
      </c>
      <c r="S28" s="166">
        <f>_xll.qlTenorBasisValue($P$3,R28,AllTriggers)</f>
        <v>1.8586090340276884E-3</v>
      </c>
      <c r="T28" s="154">
        <f>_xll.qlDayCounterYearFraction("actual/365 (fixed)",SettlementDate,R28,,,Trigger)</f>
        <v>9.5890410958904104E-2</v>
      </c>
      <c r="U28" s="166">
        <f>_xll.qlPolynomialFunctionValue($P$18,T28,AllTriggers)</f>
        <v>1.7051431553300966E-3</v>
      </c>
      <c r="W28" s="167">
        <v>4</v>
      </c>
      <c r="X28" s="167" t="str">
        <f t="shared" si="5"/>
        <v>10M</v>
      </c>
      <c r="Y28" s="383">
        <f>_xll.qlCalendarAdvance(Calendar,SettlementDate,W28&amp;"M","mf",TRUE,Trigger)</f>
        <v>42261</v>
      </c>
      <c r="Z28" s="383">
        <f>_xll.qlCalendarAdvance(Calendar,SettlementDate,X28,"mf",TRUE,Trigger)</f>
        <v>42443</v>
      </c>
      <c r="AA28" s="166">
        <f>_xll.qlTenorBasisTenorForwardRate(TenorBasis6M,Y28,AllTriggers)</f>
        <v>6.6435531344155997E-4</v>
      </c>
    </row>
    <row r="29" spans="1:27" ht="11.25" customHeight="1" x14ac:dyDescent="0.2">
      <c r="R29" s="418">
        <f>_xll.qlCalendarAdvance(Calendar,R28,"1D","f")</f>
        <v>42174</v>
      </c>
      <c r="S29" s="166">
        <f>_xll.qlTenorBasisValue($P$3,R29,AllTriggers)</f>
        <v>1.8599592519844205E-3</v>
      </c>
      <c r="T29" s="154">
        <f>_xll.qlDayCounterYearFraction("actual/365 (fixed)",SettlementDate,R29,,,Trigger)</f>
        <v>9.8630136986301367E-2</v>
      </c>
      <c r="U29" s="166">
        <f>_xll.qlPolynomialFunctionValue($P$18,T29,AllTriggers)</f>
        <v>1.7075219446565182E-3</v>
      </c>
      <c r="W29" s="167">
        <v>5</v>
      </c>
      <c r="X29" s="167" t="str">
        <f t="shared" si="5"/>
        <v>11M</v>
      </c>
      <c r="Y29" s="383">
        <f>_xll.qlCalendarAdvance(Calendar,SettlementDate,W29&amp;"M","mf",TRUE,Trigger)</f>
        <v>42291</v>
      </c>
      <c r="Z29" s="383">
        <f>_xll.qlCalendarAdvance(Calendar,SettlementDate,X29,"mf",TRUE,Trigger)</f>
        <v>42474</v>
      </c>
      <c r="AA29" s="166">
        <f>_xll.qlTenorBasisTenorForwardRate(TenorBasis6M,Y29,AllTriggers)</f>
        <v>6.6054460268485959E-4</v>
      </c>
    </row>
    <row r="30" spans="1:27" ht="11.25" customHeight="1" x14ac:dyDescent="0.2">
      <c r="R30" s="418">
        <f>_xll.qlCalendarAdvance(Calendar,R29,"1D","f")</f>
        <v>42177</v>
      </c>
      <c r="S30" s="166">
        <f>_xll.qlTenorBasisValue($P$3,R30,AllTriggers)</f>
        <v>1.8639576196218309E-3</v>
      </c>
      <c r="T30" s="154">
        <f>_xll.qlDayCounterYearFraction("actual/365 (fixed)",SettlementDate,R30,,,Trigger)</f>
        <v>0.10684931506849316</v>
      </c>
      <c r="U30" s="166">
        <f>_xll.qlPolynomialFunctionValue($P$18,T30,AllTriggers)</f>
        <v>1.7145638339612929E-3</v>
      </c>
      <c r="W30" s="368">
        <v>6</v>
      </c>
      <c r="X30" s="368" t="str">
        <f t="shared" si="5"/>
        <v>12M</v>
      </c>
      <c r="Y30" s="391">
        <f>_xll.qlCalendarAdvance(Calendar,SettlementDate,W30&amp;"M","mf",TRUE,Trigger)</f>
        <v>42324</v>
      </c>
      <c r="Z30" s="391">
        <f>_xll.qlCalendarAdvance(Calendar,SettlementDate,X30,"mf",TRUE,Trigger)</f>
        <v>42506</v>
      </c>
      <c r="AA30" s="365">
        <f>_xll.qlTenorBasisTenorForwardRate(TenorBasis6M,Y30,AllTriggers)</f>
        <v>6.8384022208596964E-4</v>
      </c>
    </row>
    <row r="31" spans="1:27" ht="11.25" customHeight="1" x14ac:dyDescent="0.2">
      <c r="R31" s="418">
        <f>_xll.qlCalendarAdvance(Calendar,R30,"1D","f")</f>
        <v>42178</v>
      </c>
      <c r="S31" s="166">
        <f>_xll.qlTenorBasisValue($P$3,R31,AllTriggers)</f>
        <v>1.8652732028721045E-3</v>
      </c>
      <c r="T31" s="154">
        <f>_xll.qlDayCounterYearFraction("actual/365 (fixed)",SettlementDate,R31,,,Trigger)</f>
        <v>0.1095890410958904</v>
      </c>
      <c r="U31" s="166">
        <f>_xll.qlPolynomialFunctionValue($P$18,T31,AllTriggers)</f>
        <v>1.7168799357195144E-3</v>
      </c>
    </row>
    <row r="32" spans="1:27" ht="11.25" customHeight="1" x14ac:dyDescent="0.2">
      <c r="R32" s="418">
        <f>_xll.qlCalendarAdvance(Calendar,R31,"1D","f")</f>
        <v>42179</v>
      </c>
      <c r="S32" s="166">
        <f>_xll.qlTenorBasisValue($P$3,R32,AllTriggers)</f>
        <v>1.866580293932318E-3</v>
      </c>
      <c r="T32" s="154">
        <f>_xll.qlDayCounterYearFraction("actual/365 (fixed)",SettlementDate,R32,,,Trigger)</f>
        <v>0.11232876712328767</v>
      </c>
      <c r="U32" s="166">
        <f>_xll.qlPolynomialFunctionValue($P$18,T32,AllTriggers)</f>
        <v>1.7191805886467852E-3</v>
      </c>
    </row>
    <row r="33" spans="7:21" ht="11.25" customHeight="1" x14ac:dyDescent="0.2">
      <c r="R33" s="418">
        <f>_xll.qlCalendarAdvance(Calendar,R32,"1D","f")</f>
        <v>42180</v>
      </c>
      <c r="S33" s="166">
        <f>_xll.qlTenorBasisValue($P$3,R33,AllTriggers)</f>
        <v>1.8678789589170956E-3</v>
      </c>
      <c r="T33" s="154">
        <f>_xll.qlDayCounterYearFraction("actual/365 (fixed)",SettlementDate,R33,,,Trigger)</f>
        <v>0.11506849315068493</v>
      </c>
      <c r="U33" s="166">
        <f>_xll.qlPolynomialFunctionValue($P$18,T33,AllTriggers)</f>
        <v>1.7214658814875491E-3</v>
      </c>
    </row>
    <row r="34" spans="7:21" ht="11.25" customHeight="1" x14ac:dyDescent="0.2">
      <c r="R34" s="418">
        <f>_xll.qlCalendarAdvance(Calendar,R33,"1D","f")</f>
        <v>42181</v>
      </c>
      <c r="S34" s="166">
        <f>_xll.qlTenorBasisValue($P$3,R34,AllTriggers)</f>
        <v>1.8691692637010657E-3</v>
      </c>
      <c r="T34" s="154">
        <f>_xll.qlDayCounterYearFraction("actual/365 (fixed)",SettlementDate,R34,,,Trigger)</f>
        <v>0.11780821917808219</v>
      </c>
      <c r="U34" s="166">
        <f>_xll.qlPolynomialFunctionValue($P$18,T34,AllTriggers)</f>
        <v>1.7237359027462513E-3</v>
      </c>
    </row>
    <row r="35" spans="7:21" ht="11.25" customHeight="1" x14ac:dyDescent="0.2">
      <c r="R35" s="418">
        <f>_xll.qlCalendarAdvance(Calendar,R34,"1D","f")</f>
        <v>42184</v>
      </c>
      <c r="S35" s="166">
        <f>_xll.qlTenorBasisValue($P$3,R35,AllTriggers)</f>
        <v>1.8729906719944316E-3</v>
      </c>
      <c r="T35" s="154">
        <f>_xll.qlDayCounterYearFraction("actual/365 (fixed)",SettlementDate,R35,,,Trigger)</f>
        <v>0.12602739726027398</v>
      </c>
      <c r="U35" s="166">
        <f>_xll.qlPolynomialFunctionValue($P$18,T35,AllTriggers)</f>
        <v>1.7304552184744741E-3</v>
      </c>
    </row>
    <row r="36" spans="7:21" ht="11.25" customHeight="1" x14ac:dyDescent="0.2">
      <c r="R36" s="418">
        <f>_xll.qlCalendarAdvance(Calendar,R35,"1D","f")</f>
        <v>42185</v>
      </c>
      <c r="S36" s="166">
        <f>_xll.qlTenorBasisValue($P$3,R36,AllTriggers)</f>
        <v>1.8742481899214829E-3</v>
      </c>
      <c r="T36" s="154">
        <f>_xll.qlDayCounterYearFraction("actual/365 (fixed)",SettlementDate,R36,,,Trigger)</f>
        <v>0.12876712328767123</v>
      </c>
      <c r="U36" s="166">
        <f>_xll.qlPolynomialFunctionValue($P$18,T36,AllTriggers)</f>
        <v>1.7326650336494246E-3</v>
      </c>
    </row>
    <row r="37" spans="7:21" ht="11.25" customHeight="1" x14ac:dyDescent="0.2">
      <c r="R37" s="418">
        <f>_xll.qlCalendarAdvance(Calendar,R36,"1D","f")</f>
        <v>42186</v>
      </c>
      <c r="S37" s="166">
        <f>_xll.qlTenorBasisValue($P$3,R37,AllTriggers)</f>
        <v>1.8754976734208916E-3</v>
      </c>
      <c r="T37" s="154">
        <f>_xll.qlDayCounterYearFraction("actual/365 (fixed)",SettlementDate,R37,,,Trigger)</f>
        <v>0.13150684931506848</v>
      </c>
      <c r="U37" s="166">
        <f>_xll.qlPolynomialFunctionValue($P$18,T37,AllTriggers)</f>
        <v>1.7348600161645703E-3</v>
      </c>
    </row>
    <row r="38" spans="7:21" ht="11.25" customHeight="1" x14ac:dyDescent="0.2">
      <c r="R38" s="418">
        <f>_xll.qlCalendarAdvance(Calendar,R37,"1D","f")</f>
        <v>42187</v>
      </c>
      <c r="S38" s="166">
        <f>_xll.qlTenorBasisValue($P$3,R38,AllTriggers)</f>
        <v>1.8767391869272975E-3</v>
      </c>
      <c r="T38" s="154">
        <f>_xll.qlDayCounterYearFraction("actual/365 (fixed)",SettlementDate,R38,,,Trigger)</f>
        <v>0.13424657534246576</v>
      </c>
      <c r="U38" s="166">
        <f>_xll.qlPolynomialFunctionValue($P$18,T38,AllTriggers)</f>
        <v>1.7370402530843682E-3</v>
      </c>
    </row>
    <row r="39" spans="7:21" ht="11.25" customHeight="1" x14ac:dyDescent="0.2">
      <c r="R39" s="418">
        <f>_xll.qlCalendarAdvance(Calendar,R38,"1D","f")</f>
        <v>42188</v>
      </c>
      <c r="S39" s="166">
        <f>_xll.qlTenorBasisValue($P$3,R39,AllTriggers)</f>
        <v>1.8779727946353409E-3</v>
      </c>
      <c r="T39" s="154">
        <f>_xll.qlDayCounterYearFraction("actual/365 (fixed)",SettlementDate,R39,,,Trigger)</f>
        <v>0.13698630136986301</v>
      </c>
      <c r="U39" s="166">
        <f>_xll.qlPolynomialFunctionValue($P$18,T39,AllTriggers)</f>
        <v>1.739205831233277E-3</v>
      </c>
    </row>
    <row r="40" spans="7:21" ht="11.25" customHeight="1" x14ac:dyDescent="0.2">
      <c r="R40" s="418">
        <f>_xll.qlCalendarAdvance(Calendar,R39,"1D","f")</f>
        <v>42191</v>
      </c>
      <c r="S40" s="166">
        <f>_xll.qlTenorBasisValue($P$3,R40,AllTriggers)</f>
        <v>1.8816268213157356E-3</v>
      </c>
      <c r="T40" s="154">
        <f>_xll.qlDayCounterYearFraction("actual/365 (fixed)",SettlementDate,R40,,,Trigger)</f>
        <v>0.14520547945205478</v>
      </c>
      <c r="U40" s="166">
        <f>_xll.qlPolynomialFunctionValue($P$18,T40,AllTriggers)</f>
        <v>1.7456154776992916E-3</v>
      </c>
    </row>
    <row r="41" spans="7:21" ht="11.25" customHeight="1" x14ac:dyDescent="0.2">
      <c r="R41" s="418">
        <f>_xll.qlCalendarAdvance(Calendar,R40,"1D","f")</f>
        <v>42192</v>
      </c>
      <c r="S41" s="166">
        <f>_xll.qlTenorBasisValue($P$3,R41,AllTriggers)</f>
        <v>1.8828294429767774E-3</v>
      </c>
      <c r="T41" s="154">
        <f>_xll.qlDayCounterYearFraction("actual/365 (fixed)",SettlementDate,R41,,,Trigger)</f>
        <v>0.14794520547945206</v>
      </c>
      <c r="U41" s="166">
        <f>_xll.qlPolynomialFunctionValue($P$18,T41,AllTriggers)</f>
        <v>1.7477232842092751E-3</v>
      </c>
    </row>
    <row r="42" spans="7:21" ht="11.25" customHeight="1" x14ac:dyDescent="0.2">
      <c r="R42" s="418">
        <f>_xll.qlCalendarAdvance(Calendar,R41,"1D","f")</f>
        <v>42193</v>
      </c>
      <c r="S42" s="166">
        <f>_xll.qlTenorBasisValue($P$3,R42,AllTriggers)</f>
        <v>1.8840244762126901E-3</v>
      </c>
      <c r="T42" s="154">
        <f>_xll.qlDayCounterYearFraction("actual/365 (fixed)",SettlementDate,R42,,,Trigger)</f>
        <v>0.15068493150684931</v>
      </c>
      <c r="U42" s="166">
        <f>_xll.qlPolynomialFunctionValue($P$18,T42,AllTriggers)</f>
        <v>1.7498168624706936E-3</v>
      </c>
    </row>
    <row r="43" spans="7:21" ht="11.25" customHeight="1" x14ac:dyDescent="0.2">
      <c r="G43" s="230"/>
      <c r="H43" s="230"/>
      <c r="I43" s="141"/>
      <c r="J43" s="141"/>
      <c r="K43" s="141"/>
      <c r="R43" s="418">
        <f>_xll.qlCalendarAdvance(Calendar,R42,"1D","f")</f>
        <v>42194</v>
      </c>
      <c r="S43" s="166">
        <f>_xll.qlTenorBasisValue($P$3,R43,AllTriggers)</f>
        <v>1.8852119837781266E-3</v>
      </c>
      <c r="T43" s="154">
        <f>_xll.qlDayCounterYearFraction("actual/365 (fixed)",SettlementDate,R43,,,Trigger)</f>
        <v>0.15342465753424658</v>
      </c>
      <c r="U43" s="166">
        <f>_xll.qlPolynomialFunctionValue($P$18,T43,AllTriggers)</f>
        <v>1.7518962978680184E-3</v>
      </c>
    </row>
    <row r="44" spans="7:21" ht="11.25" customHeight="1" x14ac:dyDescent="0.2">
      <c r="G44" s="230"/>
      <c r="H44" s="230"/>
      <c r="I44" s="141"/>
      <c r="J44" s="141"/>
      <c r="K44" s="141"/>
      <c r="R44" s="418">
        <f>_xll.qlCalendarAdvance(Calendar,R43,"1D","f")</f>
        <v>42195</v>
      </c>
      <c r="S44" s="166">
        <f>_xll.qlTenorBasisValue($P$3,R44,AllTriggers)</f>
        <v>1.8863920281877405E-3</v>
      </c>
      <c r="T44" s="154">
        <f>_xll.qlDayCounterYearFraction("actual/365 (fixed)",SettlementDate,R44,,,Trigger)</f>
        <v>0.15616438356164383</v>
      </c>
      <c r="U44" s="166">
        <f>_xll.qlPolynomialFunctionValue($P$18,T44,AllTriggers)</f>
        <v>1.7539616755457212E-3</v>
      </c>
    </row>
    <row r="45" spans="7:21" ht="11.25" customHeight="1" x14ac:dyDescent="0.2">
      <c r="G45" s="230"/>
      <c r="H45" s="230"/>
      <c r="I45" s="141"/>
      <c r="J45" s="141"/>
      <c r="K45" s="141"/>
      <c r="R45" s="418">
        <f>_xll.qlCalendarAdvance(Calendar,R44,"1D","f")</f>
        <v>42198</v>
      </c>
      <c r="S45" s="166">
        <f>_xll.qlTenorBasisValue($P$3,R45,AllTriggers)</f>
        <v>1.8898880040282219E-3</v>
      </c>
      <c r="T45" s="154">
        <f>_xll.qlDayCounterYearFraction("actual/365 (fixed)",SettlementDate,R45,,,Trigger)</f>
        <v>0.16438356164383561</v>
      </c>
      <c r="U45" s="166">
        <f>_xll.qlPolynomialFunctionValue($P$18,T45,AllTriggers)</f>
        <v>1.7600743101058563E-3</v>
      </c>
    </row>
    <row r="46" spans="7:21" ht="11.25" customHeight="1" x14ac:dyDescent="0.2">
      <c r="G46" s="230"/>
      <c r="H46" s="230"/>
      <c r="I46" s="141"/>
      <c r="J46" s="141"/>
      <c r="K46" s="141"/>
      <c r="R46" s="418">
        <f>_xll.qlCalendarAdvance(Calendar,R45,"1D","f")</f>
        <v>42199</v>
      </c>
      <c r="S46" s="166">
        <f>_xll.qlTenorBasisValue($P$3,R46,AllTriggers)</f>
        <v>1.8910388161611292E-3</v>
      </c>
      <c r="T46" s="154">
        <f>_xll.qlDayCounterYearFraction("actual/365 (fixed)",SettlementDate,R46,,,Trigger)</f>
        <v>0.16712328767123288</v>
      </c>
      <c r="U46" s="166">
        <f>_xll.qlPolynomialFunctionValue($P$18,T46,AllTriggers)</f>
        <v>1.7620843035498375E-3</v>
      </c>
    </row>
    <row r="47" spans="7:21" ht="11.25" customHeight="1" x14ac:dyDescent="0.2">
      <c r="G47" s="230"/>
      <c r="H47" s="230"/>
      <c r="I47" s="141"/>
      <c r="J47" s="141"/>
      <c r="K47" s="141"/>
      <c r="R47" s="418">
        <f>_xll.qlCalendarAdvance(Calendar,R46,"1D","f")</f>
        <v>42200</v>
      </c>
      <c r="S47" s="166">
        <f>_xll.qlTenorBasisValue($P$3,R47,AllTriggers)</f>
        <v>1.8921824741115155E-3</v>
      </c>
      <c r="T47" s="154">
        <f>_xll.qlDayCounterYearFraction("actual/365 (fixed)",SettlementDate,R47,,,Trigger)</f>
        <v>0.16986301369863013</v>
      </c>
      <c r="U47" s="166">
        <f>_xll.qlPolynomialFunctionValue($P$18,T47,AllTriggers)</f>
        <v>1.7640806613965887E-3</v>
      </c>
    </row>
    <row r="48" spans="7:21" ht="11.25" customHeight="1" x14ac:dyDescent="0.2">
      <c r="G48" s="230"/>
      <c r="H48" s="230"/>
      <c r="I48" s="141"/>
      <c r="J48" s="141"/>
      <c r="K48" s="141"/>
      <c r="R48" s="418">
        <f>_xll.qlCalendarAdvance(Calendar,R47,"1D","f")</f>
        <v>42201</v>
      </c>
      <c r="S48" s="166">
        <f>_xll.qlTenorBasisValue($P$3,R48,AllTriggers)</f>
        <v>1.893319038954046E-3</v>
      </c>
      <c r="T48" s="154">
        <f>_xll.qlDayCounterYearFraction("actual/365 (fixed)",SettlementDate,R48,,,Trigger)</f>
        <v>0.17260273972602741</v>
      </c>
      <c r="U48" s="166">
        <f>_xll.qlPolynomialFunctionValue($P$18,T48,AllTriggers)</f>
        <v>1.7660634673505944E-3</v>
      </c>
    </row>
    <row r="49" spans="7:21" ht="11.25" customHeight="1" x14ac:dyDescent="0.2">
      <c r="G49" s="230"/>
      <c r="H49" s="230"/>
      <c r="I49" s="141"/>
      <c r="J49" s="141"/>
      <c r="K49" s="141"/>
      <c r="R49" s="418">
        <f>_xll.qlCalendarAdvance(Calendar,R48,"1D","f")</f>
        <v>42202</v>
      </c>
      <c r="S49" s="166">
        <f>_xll.qlTenorBasisValue($P$3,R49,AllTriggers)</f>
        <v>1.8944485715233887E-3</v>
      </c>
      <c r="T49" s="154">
        <f>_xll.qlDayCounterYearFraction("actual/365 (fixed)",SettlementDate,R49,,,Trigger)</f>
        <v>0.17534246575342466</v>
      </c>
      <c r="U49" s="166">
        <f>_xll.qlPolynomialFunctionValue($P$18,T49,AllTriggers)</f>
        <v>1.7680328048763399E-3</v>
      </c>
    </row>
    <row r="50" spans="7:21" ht="11.25" customHeight="1" x14ac:dyDescent="0.2">
      <c r="G50" s="230"/>
      <c r="H50" s="230"/>
      <c r="I50" s="141"/>
      <c r="J50" s="141"/>
      <c r="K50" s="141"/>
      <c r="R50" s="418">
        <f>_xll.qlCalendarAdvance(Calendar,R49,"1D","f")</f>
        <v>42205</v>
      </c>
      <c r="S50" s="166">
        <f>_xll.qlTenorBasisValue($P$3,R50,AllTriggers)</f>
        <v>1.8977955803389994E-3</v>
      </c>
      <c r="T50" s="154">
        <f>_xll.qlDayCounterYearFraction("actual/365 (fixed)",SettlementDate,R50,,,Trigger)</f>
        <v>0.18356164383561643</v>
      </c>
      <c r="U50" s="166">
        <f>_xll.qlPolynomialFunctionValue($P$18,T50,AllTriggers)</f>
        <v>1.7738608379289081E-3</v>
      </c>
    </row>
    <row r="51" spans="7:21" ht="11.25" customHeight="1" x14ac:dyDescent="0.2">
      <c r="G51" s="230"/>
      <c r="H51" s="230"/>
      <c r="I51" s="141"/>
      <c r="J51" s="141"/>
      <c r="K51" s="141"/>
      <c r="R51" s="418">
        <f>_xll.qlCalendarAdvance(Calendar,R50,"1D","f")</f>
        <v>42206</v>
      </c>
      <c r="S51" s="166">
        <f>_xll.qlTenorBasisValue($P$3,R51,AllTriggers)</f>
        <v>1.8988975873623088E-3</v>
      </c>
      <c r="T51" s="154">
        <f>_xll.qlDayCounterYearFraction("actual/365 (fixed)",SettlementDate,R51,,,Trigger)</f>
        <v>0.18630136986301371</v>
      </c>
      <c r="U51" s="166">
        <f>_xll.qlPolynomialFunctionValue($P$18,T51,AllTriggers)</f>
        <v>1.7757771315865137E-3</v>
      </c>
    </row>
    <row r="52" spans="7:21" ht="11.25" customHeight="1" x14ac:dyDescent="0.2">
      <c r="G52" s="230"/>
      <c r="H52" s="230"/>
      <c r="I52" s="141"/>
      <c r="J52" s="141"/>
      <c r="K52" s="141"/>
      <c r="R52" s="418">
        <f>_xll.qlCalendarAdvance(Calendar,R51,"1D","f")</f>
        <v>42207</v>
      </c>
      <c r="S52" s="166">
        <f>_xll.qlTenorBasisValue($P$3,R52,AllTriggers)</f>
        <v>1.899992862685799E-3</v>
      </c>
      <c r="T52" s="154">
        <f>_xll.qlDayCounterYearFraction("actual/365 (fixed)",SettlementDate,R52,,,Trigger)</f>
        <v>0.18904109589041096</v>
      </c>
      <c r="U52" s="166">
        <f>_xll.qlPolynomialFunctionValue($P$18,T52,AllTriggers)</f>
        <v>1.7776803705383188E-3</v>
      </c>
    </row>
    <row r="53" spans="7:21" ht="11.25" customHeight="1" x14ac:dyDescent="0.2">
      <c r="G53" s="230"/>
      <c r="H53" s="230"/>
      <c r="I53" s="141"/>
      <c r="J53" s="141"/>
      <c r="K53" s="141"/>
      <c r="R53" s="418">
        <f>_xll.qlCalendarAdvance(Calendar,R52,"1D","f")</f>
        <v>42208</v>
      </c>
      <c r="S53" s="166">
        <f>_xll.qlTenorBasisValue($P$3,R53,AllTriggers)</f>
        <v>1.9010814657041491E-3</v>
      </c>
      <c r="T53" s="154">
        <f>_xll.qlDayCounterYearFraction("actual/365 (fixed)",SettlementDate,R53,,,Trigger)</f>
        <v>0.19178082191780821</v>
      </c>
      <c r="U53" s="166">
        <f>_xll.qlPolynomialFunctionValue($P$18,T53,AllTriggers)</f>
        <v>1.7795706368088206E-3</v>
      </c>
    </row>
    <row r="54" spans="7:21" x14ac:dyDescent="0.2">
      <c r="R54" s="418">
        <f>_xll.qlCalendarAdvance(Calendar,R53,"1D","f")</f>
        <v>42209</v>
      </c>
      <c r="S54" s="166">
        <f>_xll.qlTenorBasisValue($P$3,R54,AllTriggers)</f>
        <v>1.9021634555720409E-3</v>
      </c>
      <c r="T54" s="154">
        <f>_xll.qlDayCounterYearFraction("actual/365 (fixed)",SettlementDate,R54,,,Trigger)</f>
        <v>0.19452054794520549</v>
      </c>
      <c r="U54" s="166">
        <f>_xll.qlPolynomialFunctionValue($P$18,T54,AllTriggers)</f>
        <v>1.7814480121825188E-3</v>
      </c>
    </row>
    <row r="55" spans="7:21" x14ac:dyDescent="0.2">
      <c r="R55" s="418">
        <f>_xll.qlCalendarAdvance(Calendar,R54,"1D","f")</f>
        <v>42212</v>
      </c>
      <c r="S55" s="166">
        <f>_xll.qlTenorBasisValue($P$3,R55,AllTriggers)</f>
        <v>1.905370334219807E-3</v>
      </c>
      <c r="T55" s="154">
        <f>_xll.qlDayCounterYearFraction("actual/365 (fixed)",SettlementDate,R55,,,Trigger)</f>
        <v>0.20273972602739726</v>
      </c>
      <c r="U55" s="166">
        <f>_xll.qlPolynomialFunctionValue($P$18,T55,AllTriggers)</f>
        <v>1.7870036071678172E-3</v>
      </c>
    </row>
    <row r="56" spans="7:21" x14ac:dyDescent="0.2">
      <c r="R56" s="418">
        <f>_xll.qlCalendarAdvance(Calendar,R55,"1D","f")</f>
        <v>42213</v>
      </c>
      <c r="S56" s="166">
        <f>_xll.qlTenorBasisValue($P$3,R56,AllTriggers)</f>
        <v>1.9064264582327164E-3</v>
      </c>
      <c r="T56" s="154">
        <f>_xll.qlDayCounterYearFraction("actual/365 (fixed)",SettlementDate,R56,,,Trigger)</f>
        <v>0.20547945205479451</v>
      </c>
      <c r="U56" s="166">
        <f>_xll.qlPolynomialFunctionValue($P$18,T56,AllTriggers)</f>
        <v>1.7888302319993355E-3</v>
      </c>
    </row>
    <row r="57" spans="7:21" x14ac:dyDescent="0.2">
      <c r="R57" s="418">
        <f>_xll.qlCalendarAdvance(Calendar,R56,"1D","f")</f>
        <v>42214</v>
      </c>
      <c r="S57" s="166">
        <f>_xll.qlTenorBasisValue($P$3,R57,AllTriggers)</f>
        <v>1.9074762612686031E-3</v>
      </c>
      <c r="T57" s="154">
        <f>_xll.qlDayCounterYearFraction("actual/365 (fixed)",SettlementDate,R57,,,Trigger)</f>
        <v>0.20821917808219179</v>
      </c>
      <c r="U57" s="166">
        <f>_xll.qlPolynomialFunctionValue($P$18,T57,AllTriggers)</f>
        <v>1.7906443712565764E-3</v>
      </c>
    </row>
    <row r="58" spans="7:21" x14ac:dyDescent="0.2">
      <c r="R58" s="418">
        <f>_xll.qlCalendarAdvance(Calendar,R57,"1D","f")</f>
        <v>42215</v>
      </c>
      <c r="S58" s="166">
        <f>_xll.qlTenorBasisValue($P$3,R58,AllTriggers)</f>
        <v>1.9085198010421599E-3</v>
      </c>
      <c r="T58" s="154">
        <f>_xll.qlDayCounterYearFraction("actual/365 (fixed)",SettlementDate,R58,,,Trigger)</f>
        <v>0.21095890410958903</v>
      </c>
      <c r="U58" s="166">
        <f>_xll.qlPolynomialFunctionValue($P$18,T58,AllTriggers)</f>
        <v>1.7924461052840519E-3</v>
      </c>
    </row>
    <row r="59" spans="7:21" x14ac:dyDescent="0.2">
      <c r="R59" s="418">
        <f>_xll.qlCalendarAdvance(Calendar,R58,"1D","f")</f>
        <v>42216</v>
      </c>
      <c r="S59" s="166">
        <f>_xll.qlTenorBasisValue($P$3,R59,AllTriggers)</f>
        <v>1.9095571350280815E-3</v>
      </c>
      <c r="T59" s="154">
        <f>_xll.qlDayCounterYearFraction("actual/365 (fixed)",SettlementDate,R59,,,Trigger)</f>
        <v>0.21369863013698631</v>
      </c>
      <c r="U59" s="166">
        <f>_xll.qlPolynomialFunctionValue($P$18,T59,AllTriggers)</f>
        <v>1.7942355141862746E-3</v>
      </c>
    </row>
    <row r="60" spans="7:21" x14ac:dyDescent="0.2">
      <c r="R60" s="418">
        <f>_xll.qlCalendarAdvance(Calendar,R59,"1D","f")</f>
        <v>42219</v>
      </c>
      <c r="S60" s="166">
        <f>_xll.qlTenorBasisValue($P$3,R60,AllTriggers)</f>
        <v>1.9126324734070139E-3</v>
      </c>
      <c r="T60" s="154">
        <f>_xll.qlDayCounterYearFraction("actual/365 (fixed)",SettlementDate,R60,,,Trigger)</f>
        <v>0.22191780821917809</v>
      </c>
      <c r="U60" s="166">
        <f>_xll.qlPolynomialFunctionValue($P$18,T60,AllTriggers)</f>
        <v>1.7995305875865846E-3</v>
      </c>
    </row>
    <row r="61" spans="7:21" x14ac:dyDescent="0.2">
      <c r="R61" s="418">
        <f>_xll.qlCalendarAdvance(Calendar,R60,"1D","f")</f>
        <v>42220</v>
      </c>
      <c r="S61" s="166">
        <f>_xll.qlTenorBasisValue($P$3,R61,AllTriggers)</f>
        <v>1.9136455541893828E-3</v>
      </c>
      <c r="T61" s="154">
        <f>_xll.qlDayCounterYearFraction("actual/365 (fixed)",SettlementDate,R61,,,Trigger)</f>
        <v>0.22465753424657534</v>
      </c>
      <c r="U61" s="166">
        <f>_xll.qlPolynomialFunctionValue($P$18,T61,AllTriggers)</f>
        <v>1.8012714922329646E-3</v>
      </c>
    </row>
    <row r="62" spans="7:21" x14ac:dyDescent="0.2">
      <c r="R62" s="418">
        <f>_xll.qlCalendarAdvance(Calendar,R61,"1D","f")</f>
        <v>42221</v>
      </c>
      <c r="S62" s="166">
        <f>_xll.qlTenorBasisValue($P$3,R62,AllTriggers)</f>
        <v>1.9146527129576196E-3</v>
      </c>
      <c r="T62" s="154">
        <f>_xll.qlDayCounterYearFraction("actual/365 (fixed)",SettlementDate,R62,,,Trigger)</f>
        <v>0.22739726027397261</v>
      </c>
      <c r="U62" s="166">
        <f>_xll.qlPolynomialFunctionValue($P$18,T62,AllTriggers)</f>
        <v>1.8030004686766861E-3</v>
      </c>
    </row>
    <row r="63" spans="7:21" x14ac:dyDescent="0.2">
      <c r="R63" s="418">
        <f>_xll.qlCalendarAdvance(Calendar,R62,"1D","f")</f>
        <v>42222</v>
      </c>
      <c r="S63" s="166">
        <f>_xll.qlTenorBasisValue($P$3,R63,AllTriggers)</f>
        <v>1.915654005746431E-3</v>
      </c>
      <c r="T63" s="154">
        <f>_xll.qlDayCounterYearFraction("actual/365 (fixed)",SettlementDate,R63,,,Trigger)</f>
        <v>0.23013698630136986</v>
      </c>
      <c r="U63" s="166">
        <f>_xll.qlPolynomialFunctionValue($P$18,T63,AllTriggers)</f>
        <v>1.8047175955822731E-3</v>
      </c>
    </row>
    <row r="64" spans="7:21" x14ac:dyDescent="0.2">
      <c r="R64" s="418">
        <f>_xll.qlCalendarAdvance(Calendar,R63,"1D","f")</f>
        <v>42223</v>
      </c>
      <c r="S64" s="166">
        <f>_xll.qlTenorBasisValue($P$3,R64,AllTriggers)</f>
        <v>1.9166494883505253E-3</v>
      </c>
      <c r="T64" s="154">
        <f>_xll.qlDayCounterYearFraction("actual/365 (fixed)",SettlementDate,R64,,,Trigger)</f>
        <v>0.23287671232876711</v>
      </c>
      <c r="U64" s="166">
        <f>_xll.qlPolynomialFunctionValue($P$18,T64,AllTriggers)</f>
        <v>1.8064229513742526E-3</v>
      </c>
    </row>
    <row r="65" spans="18:21" x14ac:dyDescent="0.2">
      <c r="R65" s="418">
        <f>_xll.qlCalendarAdvance(Calendar,R64,"1D","f")</f>
        <v>42226</v>
      </c>
      <c r="S65" s="166">
        <f>_xll.qlTenorBasisValue($P$3,R65,AllTriggers)</f>
        <v>1.9196016294016193E-3</v>
      </c>
      <c r="T65" s="154">
        <f>_xll.qlDayCounterYearFraction("actual/365 (fixed)",SettlementDate,R65,,,Trigger)</f>
        <v>0.24109589041095891</v>
      </c>
      <c r="U65" s="166">
        <f>_xll.qlPolynomialFunctionValue($P$18,T65,AllTriggers)</f>
        <v>1.8114691727138402E-3</v>
      </c>
    </row>
    <row r="66" spans="18:21" x14ac:dyDescent="0.2">
      <c r="R66" s="418">
        <f>_xll.qlCalendarAdvance(Calendar,R65,"1D","f")</f>
        <v>42227</v>
      </c>
      <c r="S66" s="166">
        <f>_xll.qlTenorBasisValue($P$3,R66,AllTriggers)</f>
        <v>1.9205744244139679E-3</v>
      </c>
      <c r="T66" s="154">
        <f>_xll.qlDayCounterYearFraction("actual/365 (fixed)",SettlementDate,R66,,,Trigger)</f>
        <v>0.24383561643835616</v>
      </c>
      <c r="U66" s="166">
        <f>_xll.qlPolynomialFunctionValue($P$18,T66,AllTriggers)</f>
        <v>1.8131282234966934E-3</v>
      </c>
    </row>
    <row r="67" spans="18:21" x14ac:dyDescent="0.2">
      <c r="R67" s="418">
        <f>_xll.qlCalendarAdvance(Calendar,R66,"1D","f")</f>
        <v>42228</v>
      </c>
      <c r="S67" s="166">
        <f>_xll.qlTenorBasisValue($P$3,R67,AllTriggers)</f>
        <v>1.9215416846151702E-3</v>
      </c>
      <c r="T67" s="154">
        <f>_xll.qlDayCounterYearFraction("actual/365 (fixed)",SettlementDate,R67,,,Trigger)</f>
        <v>0.24657534246575341</v>
      </c>
      <c r="U67" s="166">
        <f>_xll.qlPolynomialFunctionValue($P$18,T67,AllTriggers)</f>
        <v>1.8147758916886004E-3</v>
      </c>
    </row>
    <row r="68" spans="18:21" x14ac:dyDescent="0.2">
      <c r="R68" s="418">
        <f>_xll.qlCalendarAdvance(Calendar,R67,"1D","f")</f>
        <v>42229</v>
      </c>
      <c r="S68" s="166">
        <f>_xll.qlTenorBasisValue($P$3,R68,AllTriggers)</f>
        <v>1.9225034643599464E-3</v>
      </c>
      <c r="T68" s="154">
        <f>_xll.qlDayCounterYearFraction("actual/365 (fixed)",SettlementDate,R68,,,Trigger)</f>
        <v>0.24931506849315069</v>
      </c>
      <c r="U68" s="166">
        <f>_xll.qlPolynomialFunctionValue($P$18,T68,AllTriggers)</f>
        <v>1.8164122542740995E-3</v>
      </c>
    </row>
    <row r="69" spans="18:21" x14ac:dyDescent="0.2">
      <c r="R69" s="418">
        <f>_xll.qlCalendarAdvance(Calendar,R68,"1D","f")</f>
        <v>42230</v>
      </c>
      <c r="S69" s="166">
        <f>_xll.qlTenorBasisValue($P$3,R69,AllTriggers)</f>
        <v>1.9234598177630179E-3</v>
      </c>
      <c r="T69" s="154">
        <f>_xll.qlDayCounterYearFraction("actual/365 (fixed)",SettlementDate,R69,,,Trigger)</f>
        <v>0.25205479452054796</v>
      </c>
      <c r="U69" s="166">
        <f>_xll.qlPolynomialFunctionValue($P$18,T69,AllTriggers)</f>
        <v>1.8180373879977307E-3</v>
      </c>
    </row>
    <row r="70" spans="18:21" x14ac:dyDescent="0.2">
      <c r="R70" s="418">
        <f>_xll.qlCalendarAdvance(Calendar,R69,"1D","f")</f>
        <v>42233</v>
      </c>
      <c r="S70" s="166">
        <f>_xll.qlTenorBasisValue($P$3,R70,AllTriggers)</f>
        <v>1.9262968574692528E-3</v>
      </c>
      <c r="T70" s="154">
        <f>_xll.qlDayCounterYearFraction("actual/365 (fixed)",SettlementDate,R70,,,Trigger)</f>
        <v>0.26027397260273971</v>
      </c>
      <c r="U70" s="166">
        <f>_xll.qlPolynomialFunctionValue($P$18,T70,AllTriggers)</f>
        <v>1.8228461798428458E-3</v>
      </c>
    </row>
    <row r="71" spans="18:21" x14ac:dyDescent="0.2">
      <c r="R71" s="418">
        <f>_xll.qlCalendarAdvance(Calendar,R70,"1D","f")</f>
        <v>42234</v>
      </c>
      <c r="S71" s="166">
        <f>_xll.qlTenorBasisValue($P$3,R71,AllTriggers)</f>
        <v>1.9272320418527635E-3</v>
      </c>
      <c r="T71" s="154">
        <f>_xll.qlDayCounterYearFraction("actual/365 (fixed)",SettlementDate,R71,,,Trigger)</f>
        <v>0.26301369863013696</v>
      </c>
      <c r="U71" s="166">
        <f>_xll.qlPolynomialFunctionValue($P$18,T71,AllTriggers)</f>
        <v>1.8244271607644439E-3</v>
      </c>
    </row>
    <row r="72" spans="18:21" x14ac:dyDescent="0.2">
      <c r="R72" s="418">
        <f>_xll.qlCalendarAdvance(Calendar,R71,"1D","f")</f>
        <v>42235</v>
      </c>
      <c r="S72" s="166">
        <f>_xll.qlTenorBasisValue($P$3,R72,AllTriggers)</f>
        <v>1.928162066868208E-3</v>
      </c>
      <c r="T72" s="154">
        <f>_xll.qlDayCounterYearFraction("actual/365 (fixed)",SettlementDate,R72,,,Trigger)</f>
        <v>0.26575342465753427</v>
      </c>
      <c r="U72" s="166">
        <f>_xll.qlPolynomialFunctionValue($P$18,T72,AllTriggers)</f>
        <v>1.8259972929469033E-3</v>
      </c>
    </row>
    <row r="73" spans="18:21" x14ac:dyDescent="0.2">
      <c r="R73" s="418">
        <f>_xll.qlCalendarAdvance(Calendar,R72,"1D","f")</f>
        <v>42236</v>
      </c>
      <c r="S73" s="166">
        <f>_xll.qlTenorBasisValue($P$3,R73,AllTriggers)</f>
        <v>1.9290869851903193E-3</v>
      </c>
      <c r="T73" s="154">
        <f>_xll.qlDayCounterYearFraction("actual/365 (fixed)",SettlementDate,R73,,,Trigger)</f>
        <v>0.26849315068493151</v>
      </c>
      <c r="U73" s="166">
        <f>_xll.qlPolynomialFunctionValue($P$18,T73,AllTriggers)</f>
        <v>1.8275566516947753E-3</v>
      </c>
    </row>
    <row r="74" spans="18:21" x14ac:dyDescent="0.2">
      <c r="R74" s="418">
        <f>_xll.qlCalendarAdvance(Calendar,R73,"1D","f")</f>
        <v>42237</v>
      </c>
      <c r="S74" s="166">
        <f>_xll.qlTenorBasisValue($P$3,R74,AllTriggers)</f>
        <v>1.9300068492538334E-3</v>
      </c>
      <c r="T74" s="154">
        <f>_xll.qlDayCounterYearFraction("actual/365 (fixed)",SettlementDate,R74,,,Trigger)</f>
        <v>0.27123287671232876</v>
      </c>
      <c r="U74" s="166">
        <f>_xll.qlPolynomialFunctionValue($P$18,T74,AllTriggers)</f>
        <v>1.829105312072614E-3</v>
      </c>
    </row>
    <row r="75" spans="18:21" x14ac:dyDescent="0.2">
      <c r="R75" s="418">
        <f>_xll.qlCalendarAdvance(Calendar,R74,"1D","f")</f>
        <v>42240</v>
      </c>
      <c r="S75" s="166">
        <f>_xll.qlTenorBasisValue($P$3,R75,AllTriggers)</f>
        <v>1.932736636640174E-3</v>
      </c>
      <c r="T75" s="154">
        <f>_xll.qlDayCounterYearFraction("actual/365 (fixed)",SettlementDate,R75,,,Trigger)</f>
        <v>0.27945205479452057</v>
      </c>
      <c r="U75" s="166">
        <f>_xll.qlPolynomialFunctionValue($P$18,T75,AllTriggers)</f>
        <v>1.8336878500314912E-3</v>
      </c>
    </row>
    <row r="76" spans="18:21" x14ac:dyDescent="0.2">
      <c r="R76" s="418">
        <f>_xll.qlCalendarAdvance(Calendar,R75,"1D","f")</f>
        <v>42241</v>
      </c>
      <c r="S76" s="166">
        <f>_xll.qlTenorBasisValue($P$3,R76,AllTriggers)</f>
        <v>1.9336368032166903E-3</v>
      </c>
      <c r="T76" s="154">
        <f>_xll.qlDayCounterYearFraction("actual/365 (fixed)",SettlementDate,R76,,,Trigger)</f>
        <v>0.28219178082191781</v>
      </c>
      <c r="U76" s="166">
        <f>_xll.qlPolynomialFunctionValue($P$18,T76,AllTriggers)</f>
        <v>1.8351944627747684E-3</v>
      </c>
    </row>
    <row r="77" spans="18:21" x14ac:dyDescent="0.2">
      <c r="R77" s="418">
        <f>_xll.qlCalendarAdvance(Calendar,R76,"1D","f")</f>
        <v>42242</v>
      </c>
      <c r="S77" s="166">
        <f>_xll.qlTenorBasisValue($P$3,R77,AllTriggers)</f>
        <v>1.9345321741083149E-3</v>
      </c>
      <c r="T77" s="154">
        <f>_xll.qlDayCounterYearFraction("actual/365 (fixed)",SettlementDate,R77,,,Trigger)</f>
        <v>0.28493150684931506</v>
      </c>
      <c r="U77" s="166">
        <f>_xll.qlPolynomialFunctionValue($P$18,T77,AllTriggers)</f>
        <v>1.8366907488708087E-3</v>
      </c>
    </row>
    <row r="78" spans="18:21" x14ac:dyDescent="0.2">
      <c r="R78" s="418">
        <f>_xll.qlCalendarAdvance(Calendar,R77,"1D","f")</f>
        <v>42243</v>
      </c>
      <c r="S78" s="166">
        <f>_xll.qlTenorBasisValue($P$3,R78,AllTriggers)</f>
        <v>1.935422800309795E-3</v>
      </c>
      <c r="T78" s="154">
        <f>_xll.qlDayCounterYearFraction("actual/365 (fixed)",SettlementDate,R78,,,Trigger)</f>
        <v>0.28767123287671231</v>
      </c>
      <c r="U78" s="166">
        <f>_xll.qlPolynomialFunctionValue($P$18,T78,AllTriggers)</f>
        <v>1.8381767819441769E-3</v>
      </c>
    </row>
    <row r="79" spans="18:21" x14ac:dyDescent="0.2">
      <c r="R79" s="418">
        <f>_xll.qlCalendarAdvance(Calendar,R78,"1D","f")</f>
        <v>42244</v>
      </c>
      <c r="S79" s="166">
        <f>_xll.qlTenorBasisValue($P$3,R79,AllTriggers)</f>
        <v>1.9363087325758787E-3</v>
      </c>
      <c r="T79" s="154">
        <f>_xll.qlDayCounterYearFraction("actual/365 (fixed)",SettlementDate,R79,,,Trigger)</f>
        <v>0.29041095890410956</v>
      </c>
      <c r="U79" s="166">
        <f>_xll.qlPolynomialFunctionValue($P$18,T79,AllTriggers)</f>
        <v>1.83965263537944E-3</v>
      </c>
    </row>
    <row r="80" spans="18:21" x14ac:dyDescent="0.2">
      <c r="R80" s="418">
        <f>_xll.qlCalendarAdvance(Calendar,R79,"1D","f")</f>
        <v>42247</v>
      </c>
      <c r="S80" s="166">
        <f>_xll.qlTenorBasisValue($P$3,R80,AllTriggers)</f>
        <v>1.9389388697092719E-3</v>
      </c>
      <c r="T80" s="154">
        <f>_xll.qlDayCounterYearFraction("actual/365 (fixed)",SettlementDate,R80,,,Trigger)</f>
        <v>0.29863013698630136</v>
      </c>
      <c r="U80" s="166">
        <f>_xll.qlPolynomialFunctionValue($P$18,T80,AllTriggers)</f>
        <v>1.8440198481022979E-3</v>
      </c>
    </row>
    <row r="81" spans="18:21" x14ac:dyDescent="0.2">
      <c r="R81" s="418">
        <f>_xll.qlCalendarAdvance(Calendar,R80,"1D","f")</f>
        <v>42248</v>
      </c>
      <c r="S81" s="166">
        <f>_xll.qlTenorBasisValue($P$3,R81,AllTriggers)</f>
        <v>1.939806528981299E-3</v>
      </c>
      <c r="T81" s="154">
        <f>_xll.qlDayCounterYearFraction("actual/365 (fixed)",SettlementDate,R81,,,Trigger)</f>
        <v>0.30136986301369861</v>
      </c>
      <c r="U81" s="166">
        <f>_xll.qlPolynomialFunctionValue($P$18,T81,AllTriggers)</f>
        <v>1.8454557120308498E-3</v>
      </c>
    </row>
    <row r="82" spans="18:21" x14ac:dyDescent="0.2">
      <c r="R82" s="418">
        <f>_xll.qlCalendarAdvance(Calendar,R81,"1D","f")</f>
        <v>42249</v>
      </c>
      <c r="S82" s="166">
        <f>_xll.qlTenorBasisValue($P$3,R82,AllTriggers)</f>
        <v>1.9406697444917032E-3</v>
      </c>
      <c r="T82" s="154">
        <f>_xll.qlDayCounterYearFraction("actual/365 (fixed)",SettlementDate,R82,,,Trigger)</f>
        <v>0.30410958904109592</v>
      </c>
      <c r="U82" s="166">
        <f>_xll.qlPolynomialFunctionValue($P$18,T82,AllTriggers)</f>
        <v>1.8468817596441602E-3</v>
      </c>
    </row>
    <row r="83" spans="18:21" x14ac:dyDescent="0.2">
      <c r="R83" s="418">
        <f>_xll.qlCalendarAdvance(Calendar,R82,"1D","f")</f>
        <v>42250</v>
      </c>
      <c r="S83" s="166">
        <f>_xll.qlTenorBasisValue($P$3,R83,AllTriggers)</f>
        <v>1.9415285655552453E-3</v>
      </c>
      <c r="T83" s="154">
        <f>_xll.qlDayCounterYearFraction("actual/365 (fixed)",SettlementDate,R83,,,Trigger)</f>
        <v>0.30684931506849317</v>
      </c>
      <c r="U83" s="166">
        <f>_xll.qlPolynomialFunctionValue($P$18,T83,AllTriggers)</f>
        <v>1.8482980628868083E-3</v>
      </c>
    </row>
    <row r="84" spans="18:21" x14ac:dyDescent="0.2">
      <c r="R84" s="418">
        <f>_xll.qlCalendarAdvance(Calendar,R83,"1D","f")</f>
        <v>42251</v>
      </c>
      <c r="S84" s="166">
        <f>_xll.qlTenorBasisValue($P$3,R84,AllTriggers)</f>
        <v>1.9423830412466875E-3</v>
      </c>
      <c r="T84" s="154">
        <f>_xll.qlDayCounterYearFraction("actual/365 (fixed)",SettlementDate,R84,,,Trigger)</f>
        <v>0.30958904109589042</v>
      </c>
      <c r="U84" s="166">
        <f>_xll.qlPolynomialFunctionValue($P$18,T84,AllTriggers)</f>
        <v>1.8497046934633748E-3</v>
      </c>
    </row>
    <row r="85" spans="18:21" x14ac:dyDescent="0.2">
      <c r="R85" s="418">
        <f>_xll.qlCalendarAdvance(Calendar,R84,"1D","f")</f>
        <v>42254</v>
      </c>
      <c r="S85" s="166">
        <f>_xll.qlTenorBasisValue($P$3,R85,AllTriggers)</f>
        <v>1.9449208832360663E-3</v>
      </c>
      <c r="T85" s="154">
        <f>_xll.qlDayCounterYearFraction("actual/365 (fixed)",SettlementDate,R85,,,Trigger)</f>
        <v>0.31780821917808222</v>
      </c>
      <c r="U85" s="166">
        <f>_xll.qlPolynomialFunctionValue($P$18,T85,AllTriggers)</f>
        <v>1.8538672626424166E-3</v>
      </c>
    </row>
    <row r="86" spans="18:21" x14ac:dyDescent="0.2">
      <c r="R86" s="418">
        <f>_xll.qlCalendarAdvance(Calendar,R85,"1D","f")</f>
        <v>42255</v>
      </c>
      <c r="S86" s="166">
        <f>_xll.qlTenorBasisValue($P$3,R86,AllTriggers)</f>
        <v>1.9457584633867707E-3</v>
      </c>
      <c r="T86" s="154">
        <f>_xll.qlDayCounterYearFraction("actual/365 (fixed)",SettlementDate,R86,,,Trigger)</f>
        <v>0.32054794520547947</v>
      </c>
      <c r="U86" s="166">
        <f>_xll.qlPolynomialFunctionValue($P$18,T86,AllTriggers)</f>
        <v>1.8552359148004992E-3</v>
      </c>
    </row>
    <row r="87" spans="18:21" x14ac:dyDescent="0.2">
      <c r="R87" s="418">
        <f>_xll.qlCalendarAdvance(Calendar,R86,"1D","f")</f>
        <v>42256</v>
      </c>
      <c r="S87" s="166">
        <f>_xll.qlTenorBasisValue($P$3,R87,AllTriggers)</f>
        <v>1.9465919399392156E-3</v>
      </c>
      <c r="T87" s="154">
        <f>_xll.qlDayCounterYearFraction("actual/365 (fixed)",SettlementDate,R87,,,Trigger)</f>
        <v>0.32328767123287672</v>
      </c>
      <c r="U87" s="166">
        <f>_xll.qlPolynomialFunctionValue($P$18,T87,AllTriggers)</f>
        <v>1.8565952492154321E-3</v>
      </c>
    </row>
    <row r="88" spans="18:21" x14ac:dyDescent="0.2">
      <c r="R88" s="418">
        <f>_xll.qlCalendarAdvance(Calendar,R87,"1D","f")</f>
        <v>42257</v>
      </c>
      <c r="S88" s="166">
        <f>_xll.qlTenorBasisValue($P$3,R88,AllTriggers)</f>
        <v>1.9474213605281754E-3</v>
      </c>
      <c r="T88" s="154">
        <f>_xll.qlDayCounterYearFraction("actual/365 (fixed)",SettlementDate,R88,,,Trigger)</f>
        <v>0.32602739726027397</v>
      </c>
      <c r="U88" s="166">
        <f>_xll.qlPolynomialFunctionValue($P$18,T88,AllTriggers)</f>
        <v>1.857945336151806E-3</v>
      </c>
    </row>
    <row r="89" spans="18:21" x14ac:dyDescent="0.2">
      <c r="R89" s="418">
        <f>_xll.qlCalendarAdvance(Calendar,R88,"1D","f")</f>
        <v>42258</v>
      </c>
      <c r="S89" s="166">
        <f>_xll.qlTenorBasisValue($P$3,R89,AllTriggers)</f>
        <v>1.9482467725484257E-3</v>
      </c>
      <c r="T89" s="154">
        <f>_xll.qlDayCounterYearFraction("actual/365 (fixed)",SettlementDate,R89,,,Trigger)</f>
        <v>0.32876712328767121</v>
      </c>
      <c r="U89" s="166">
        <f>_xll.qlPolynomialFunctionValue($P$18,T89,AllTriggers)</f>
        <v>1.8592862456342158E-3</v>
      </c>
    </row>
    <row r="90" spans="18:21" x14ac:dyDescent="0.2">
      <c r="R90" s="418">
        <f>_xll.qlCalendarAdvance(Calendar,R89,"1D","f")</f>
        <v>42261</v>
      </c>
      <c r="S90" s="166">
        <f>_xll.qlTenorBasisValue($P$3,R90,AllTriggers)</f>
        <v>1.9506994275447073E-3</v>
      </c>
      <c r="T90" s="154">
        <f>_xll.qlDayCounterYearFraction("actual/365 (fixed)",SettlementDate,R90,,,Trigger)</f>
        <v>0.33698630136986302</v>
      </c>
      <c r="U90" s="166">
        <f>_xll.qlPolynomialFunctionValue($P$18,T90,AllTriggers)</f>
        <v>1.8632546060036292E-3</v>
      </c>
    </row>
    <row r="91" spans="18:21" x14ac:dyDescent="0.2">
      <c r="R91" s="418">
        <f>_xll.qlCalendarAdvance(Calendar,R90,"1D","f")</f>
        <v>42262</v>
      </c>
      <c r="S91" s="166">
        <f>_xll.qlTenorBasisValue($P$3,R91,AllTriggers)</f>
        <v>1.9515092744379165E-3</v>
      </c>
      <c r="T91" s="154">
        <f>_xll.qlDayCounterYearFraction("actual/365 (fixed)",SettlementDate,R91,,,Trigger)</f>
        <v>0.33972602739726027</v>
      </c>
      <c r="U91" s="166">
        <f>_xll.qlPolynomialFunctionValue($P$18,T91,AllTriggers)</f>
        <v>1.8645595011161609E-3</v>
      </c>
    </row>
    <row r="92" spans="18:21" x14ac:dyDescent="0.2">
      <c r="R92" s="418">
        <f>_xll.qlCalendarAdvance(Calendar,R91,"1D","f")</f>
        <v>42263</v>
      </c>
      <c r="S92" s="166">
        <f>_xll.qlTenorBasisValue($P$3,R92,AllTriggers)</f>
        <v>1.9523153461363249E-3</v>
      </c>
      <c r="T92" s="154">
        <f>_xll.qlDayCounterYearFraction("actual/365 (fixed)",SettlementDate,R92,,,Trigger)</f>
        <v>0.34246575342465752</v>
      </c>
      <c r="U92" s="166">
        <f>_xll.qlPolynomialFunctionValue($P$18,T92,AllTriggers)</f>
        <v>1.8658555652977273E-3</v>
      </c>
    </row>
    <row r="93" spans="18:21" x14ac:dyDescent="0.2">
      <c r="R93" s="418">
        <f>_xll.qlCalendarAdvance(Calendar,R92,"1D","f")</f>
        <v>42264</v>
      </c>
      <c r="S93" s="166">
        <f>_xll.qlTenorBasisValue($P$3,R93,AllTriggers)</f>
        <v>1.9531176885947195E-3</v>
      </c>
      <c r="T93" s="154">
        <f>_xll.qlDayCounterYearFraction("actual/365 (fixed)",SettlementDate,R93,,,Trigger)</f>
        <v>0.34520547945205482</v>
      </c>
      <c r="U93" s="166">
        <f>_xll.qlPolynomialFunctionValue($P$18,T93,AllTriggers)</f>
        <v>1.8671428671329343E-3</v>
      </c>
    </row>
    <row r="94" spans="18:21" x14ac:dyDescent="0.2">
      <c r="R94" s="418">
        <f>_xll.qlCalendarAdvance(Calendar,R93,"1D","f")</f>
        <v>42265</v>
      </c>
      <c r="S94" s="166">
        <f>_xll.qlTenorBasisValue($P$3,R94,AllTriggers)</f>
        <v>1.9539163475278897E-3</v>
      </c>
      <c r="T94" s="154">
        <f>_xll.qlDayCounterYearFraction("actual/365 (fixed)",SettlementDate,R94,,,Trigger)</f>
        <v>0.34794520547945207</v>
      </c>
      <c r="U94" s="166">
        <f>_xll.qlPolynomialFunctionValue($P$18,T94,AllTriggers)</f>
        <v>1.8684214749663895E-3</v>
      </c>
    </row>
    <row r="95" spans="18:21" x14ac:dyDescent="0.2">
      <c r="R95" s="418">
        <f>_xll.qlCalendarAdvance(Calendar,R94,"1D","f")</f>
        <v>42268</v>
      </c>
      <c r="S95" s="166">
        <f>_xll.qlTenorBasisValue($P$3,R95,AllTriggers)</f>
        <v>1.9562906767239749E-3</v>
      </c>
      <c r="T95" s="154">
        <f>_xll.qlDayCounterYearFraction("actual/365 (fixed)",SettlementDate,R95,,,Trigger)</f>
        <v>0.35616438356164382</v>
      </c>
      <c r="U95" s="166">
        <f>_xll.qlPolynomialFunctionValue($P$18,T95,AllTriggers)</f>
        <v>1.8722058143023459E-3</v>
      </c>
    </row>
    <row r="96" spans="18:21" x14ac:dyDescent="0.2">
      <c r="R96" s="418">
        <f>_xll.qlCalendarAdvance(Calendar,R95,"1D","f")</f>
        <v>42269</v>
      </c>
      <c r="S96" s="166">
        <f>_xll.qlTenorBasisValue($P$3,R96,AllTriggers)</f>
        <v>1.9570750539041793E-3</v>
      </c>
      <c r="T96" s="154">
        <f>_xll.qlDayCounterYearFraction("actual/365 (fixed)",SettlementDate,R96,,,Trigger)</f>
        <v>0.35890410958904112</v>
      </c>
      <c r="U96" s="166">
        <f>_xll.qlPolynomialFunctionValue($P$18,T96,AllTriggers)</f>
        <v>1.8734503247749064E-3</v>
      </c>
    </row>
    <row r="97" spans="18:21" x14ac:dyDescent="0.2">
      <c r="R97" s="418">
        <f>_xll.qlCalendarAdvance(Calendar,R96,"1D","f")</f>
        <v>42270</v>
      </c>
      <c r="S97" s="166">
        <f>_xll.qlTenorBasisValue($P$3,R97,AllTriggers)</f>
        <v>1.957855972533134E-3</v>
      </c>
      <c r="T97" s="154">
        <f>_xll.qlDayCounterYearFraction("actual/365 (fixed)",SettlementDate,R97,,,Trigger)</f>
        <v>0.36164383561643837</v>
      </c>
      <c r="U97" s="166">
        <f>_xll.qlPolynomialFunctionValue($P$18,T97,AllTriggers)</f>
        <v>1.8746864793687814E-3</v>
      </c>
    </row>
    <row r="98" spans="18:21" x14ac:dyDescent="0.2">
      <c r="R98" s="418">
        <f>_xll.qlCalendarAdvance(Calendar,R97,"1D","f")</f>
        <v>42271</v>
      </c>
      <c r="S98" s="166">
        <f>_xll.qlTenorBasisValue($P$3,R98,AllTriggers)</f>
        <v>1.9586334768856416E-3</v>
      </c>
      <c r="T98" s="154">
        <f>_xll.qlDayCounterYearFraction("actual/365 (fixed)",SettlementDate,R98,,,Trigger)</f>
        <v>0.36438356164383562</v>
      </c>
      <c r="U98" s="166">
        <f>_xll.qlPolynomialFunctionValue($P$18,T98,AllTriggers)</f>
        <v>1.87591434498859E-3</v>
      </c>
    </row>
    <row r="99" spans="18:21" x14ac:dyDescent="0.2">
      <c r="R99" s="418">
        <f>_xll.qlCalendarAdvance(Calendar,R98,"1D","f")</f>
        <v>42272</v>
      </c>
      <c r="S99" s="166">
        <f>_xll.qlTenorBasisValue($P$3,R99,AllTriggers)</f>
        <v>1.9594076109965041E-3</v>
      </c>
      <c r="T99" s="154">
        <f>_xll.qlDayCounterYearFraction("actual/365 (fixed)",SettlementDate,R99,,,Trigger)</f>
        <v>0.36712328767123287</v>
      </c>
      <c r="U99" s="166">
        <f>_xll.qlPolynomialFunctionValue($P$18,T99,AllTriggers)</f>
        <v>1.8771339882989529E-3</v>
      </c>
    </row>
    <row r="100" spans="18:21" x14ac:dyDescent="0.2">
      <c r="R100" s="418">
        <f>_xll.qlCalendarAdvance(Calendar,R99,"1D","f")</f>
        <v>42275</v>
      </c>
      <c r="S100" s="166">
        <f>_xll.qlTenorBasisValue($P$3,R100,AllTriggers)</f>
        <v>1.9617102286272788E-3</v>
      </c>
      <c r="T100" s="154">
        <f>_xll.qlDayCounterYearFraction("actual/365 (fixed)",SettlementDate,R100,,,Trigger)</f>
        <v>0.37534246575342467</v>
      </c>
      <c r="U100" s="166">
        <f>_xll.qlPolynomialFunctionValue($P$18,T100,AllTriggers)</f>
        <v>1.8807442474196091E-3</v>
      </c>
    </row>
    <row r="101" spans="18:21" x14ac:dyDescent="0.2">
      <c r="R101" s="418">
        <f>_xll.qlCalendarAdvance(Calendar,R100,"1D","f")</f>
        <v>42276</v>
      </c>
      <c r="S101" s="166">
        <f>_xll.qlTenorBasisValue($P$3,R101,AllTriggers)</f>
        <v>1.962471317319628E-3</v>
      </c>
      <c r="T101" s="154">
        <f>_xll.qlDayCounterYearFraction("actual/365 (fixed)",SettlementDate,R101,,,Trigger)</f>
        <v>0.37808219178082192</v>
      </c>
      <c r="U101" s="166">
        <f>_xll.qlPolynomialFunctionValue($P$18,T101,AllTriggers)</f>
        <v>1.881931663338439E-3</v>
      </c>
    </row>
    <row r="102" spans="18:21" x14ac:dyDescent="0.2">
      <c r="R102" s="418">
        <f>_xll.qlCalendarAdvance(Calendar,R101,"1D","f")</f>
        <v>42277</v>
      </c>
      <c r="S102" s="166">
        <f>_xll.qlTenorBasisValue($P$3,R102,AllTriggers)</f>
        <v>1.9632292523443754E-3</v>
      </c>
      <c r="T102" s="154">
        <f>_xll.qlDayCounterYearFraction("actual/365 (fixed)",SettlementDate,R102,,,Trigger)</f>
        <v>0.38082191780821917</v>
      </c>
      <c r="U102" s="166">
        <f>_xll.qlPolynomialFunctionValue($P$18,T102,AllTriggers)</f>
        <v>1.8831111866709578E-3</v>
      </c>
    </row>
    <row r="103" spans="18:21" x14ac:dyDescent="0.2">
      <c r="R103" s="418">
        <f>_xll.qlCalendarAdvance(Calendar,R102,"1D","f")</f>
        <v>42278</v>
      </c>
      <c r="S103" s="166">
        <f>_xll.qlTenorBasisValue($P$3,R103,AllTriggers)</f>
        <v>1.9639840762963358E-3</v>
      </c>
      <c r="T103" s="154">
        <f>_xll.qlDayCounterYearFraction("actual/365 (fixed)",SettlementDate,R103,,,Trigger)</f>
        <v>0.38356164383561642</v>
      </c>
      <c r="U103" s="166">
        <f>_xll.qlPolynomialFunctionValue($P$18,T103,AllTriggers)</f>
        <v>1.8842828826417977E-3</v>
      </c>
    </row>
    <row r="104" spans="18:21" x14ac:dyDescent="0.2">
      <c r="R104" s="418">
        <f>_xll.qlCalendarAdvance(Calendar,R103,"1D","f")</f>
        <v>42279</v>
      </c>
      <c r="S104" s="166">
        <f>_xll.qlTenorBasisValue($P$3,R104,AllTriggers)</f>
        <v>1.9647358315303251E-3</v>
      </c>
      <c r="T104" s="154">
        <f>_xll.qlDayCounterYearFraction("actual/365 (fixed)",SettlementDate,R104,,,Trigger)</f>
        <v>0.38630136986301372</v>
      </c>
      <c r="U104" s="166">
        <f>_xll.qlPolynomialFunctionValue($P$18,T104,AllTriggers)</f>
        <v>1.8854468162355937E-3</v>
      </c>
    </row>
    <row r="105" spans="18:21" x14ac:dyDescent="0.2">
      <c r="R105" s="418">
        <f>_xll.qlCalendarAdvance(Calendar,R104,"1D","f")</f>
        <v>42282</v>
      </c>
      <c r="S105" s="166">
        <f>_xll.qlTenorBasisValue($P$3,R105,AllTriggers)</f>
        <v>1.9669731048726586E-3</v>
      </c>
      <c r="T105" s="154">
        <f>_xll.qlDayCounterYearFraction("actual/365 (fixed)",SettlementDate,R105,,,Trigger)</f>
        <v>0.39452054794520547</v>
      </c>
      <c r="U105" s="166">
        <f>_xll.qlPolynomialFunctionValue($P$18,T105,AllTriggers)</f>
        <v>1.8888926890010891E-3</v>
      </c>
    </row>
    <row r="106" spans="18:21" x14ac:dyDescent="0.2">
      <c r="R106" s="418">
        <f>_xll.qlCalendarAdvance(Calendar,R105,"1D","f")</f>
        <v>42283</v>
      </c>
      <c r="S106" s="166">
        <f>_xll.qlTenorBasisValue($P$3,R106,AllTriggers)</f>
        <v>1.9677130039829657E-3</v>
      </c>
      <c r="T106" s="154">
        <f>_xll.qlDayCounterYearFraction("actual/365 (fixed)",SettlementDate,R106,,,Trigger)</f>
        <v>0.39726027397260272</v>
      </c>
      <c r="U106" s="166">
        <f>_xll.qlPolynomialFunctionValue($P$18,T106,AllTriggers)</f>
        <v>1.8900262181330912E-3</v>
      </c>
    </row>
    <row r="107" spans="18:21" x14ac:dyDescent="0.2">
      <c r="R107" s="418">
        <f>_xll.qlCalendarAdvance(Calendar,R106,"1D","f")</f>
        <v>42284</v>
      </c>
      <c r="S107" s="166">
        <f>_xll.qlTenorBasisValue($P$3,R107,AllTriggers)</f>
        <v>1.9684500425494124E-3</v>
      </c>
      <c r="T107" s="154">
        <f>_xll.qlDayCounterYearFraction("actual/365 (fixed)",SettlementDate,R107,,,Trigger)</f>
        <v>0.4</v>
      </c>
      <c r="U107" s="166">
        <f>_xll.qlPolynomialFunctionValue($P$18,T107,AllTriggers)</f>
        <v>1.8911523062112511E-3</v>
      </c>
    </row>
    <row r="108" spans="18:21" x14ac:dyDescent="0.2">
      <c r="R108" s="418">
        <f>_xll.qlCalendarAdvance(Calendar,R107,"1D","f")</f>
        <v>42285</v>
      </c>
      <c r="S108" s="166">
        <f>_xll.qlTenorBasisValue($P$3,R108,AllTriggers)</f>
        <v>1.9691842614868267E-3</v>
      </c>
      <c r="T108" s="154">
        <f>_xll.qlDayCounterYearFraction("actual/365 (fixed)",SettlementDate,R108,,,Trigger)</f>
        <v>0.40273972602739727</v>
      </c>
      <c r="U108" s="166">
        <f>_xll.qlPolynomialFunctionValue($P$18,T108,AllTriggers)</f>
        <v>1.892271016780214E-3</v>
      </c>
    </row>
    <row r="109" spans="18:21" x14ac:dyDescent="0.2">
      <c r="R109" s="418">
        <f>_xll.qlCalendarAdvance(Calendar,R108,"1D","f")</f>
        <v>42286</v>
      </c>
      <c r="S109" s="166">
        <f>_xll.qlTenorBasisValue($P$3,R109,AllTriggers)</f>
        <v>1.9699157014700383E-3</v>
      </c>
      <c r="T109" s="154">
        <f>_xll.qlDayCounterYearFraction("actual/365 (fixed)",SettlementDate,R109,,,Trigger)</f>
        <v>0.40547945205479452</v>
      </c>
      <c r="U109" s="166">
        <f>_xll.qlPolynomialFunctionValue($P$18,T109,AllTriggers)</f>
        <v>1.8933824131446282E-3</v>
      </c>
    </row>
    <row r="110" spans="18:21" x14ac:dyDescent="0.2">
      <c r="R110" s="418">
        <f>_xll.qlCalendarAdvance(Calendar,R109,"1D","f")</f>
        <v>42289</v>
      </c>
      <c r="S110" s="166">
        <f>_xll.qlTenorBasisValue($P$3,R110,AllTriggers)</f>
        <v>1.9720937508427858E-3</v>
      </c>
      <c r="T110" s="154">
        <f>_xll.qlDayCounterYearFraction("actual/365 (fixed)",SettlementDate,R110,,,Trigger)</f>
        <v>0.41369863013698632</v>
      </c>
      <c r="U110" s="166">
        <f>_xll.qlPolynomialFunctionValue($P$18,T110,AllTriggers)</f>
        <v>1.8966733464570883E-3</v>
      </c>
    </row>
    <row r="111" spans="18:21" x14ac:dyDescent="0.2">
      <c r="R111" s="418">
        <f>_xll.qlCalendarAdvance(Calendar,R110,"1D","f")</f>
        <v>42290</v>
      </c>
      <c r="S111" s="166">
        <f>_xll.qlTenorBasisValue($P$3,R111,AllTriggers)</f>
        <v>1.9728144769575245E-3</v>
      </c>
      <c r="T111" s="154">
        <f>_xll.qlDayCounterYearFraction("actual/365 (fixed)",SettlementDate,R111,,,Trigger)</f>
        <v>0.41643835616438357</v>
      </c>
      <c r="U111" s="166">
        <f>_xll.qlPolynomialFunctionValue($P$18,T111,AllTriggers)</f>
        <v>1.8977561142498268E-3</v>
      </c>
    </row>
    <row r="112" spans="18:21" x14ac:dyDescent="0.2">
      <c r="R112" s="418">
        <f>_xll.qlCalendarAdvance(Calendar,R111,"1D","f")</f>
        <v>42291</v>
      </c>
      <c r="S112" s="166">
        <f>_xll.qlTenorBasisValue($P$3,R112,AllTriggers)</f>
        <v>1.9735326238922383E-3</v>
      </c>
      <c r="T112" s="154">
        <f>_xll.qlDayCounterYearFraction("actual/365 (fixed)",SettlementDate,R112,,,Trigger)</f>
        <v>0.41917808219178082</v>
      </c>
      <c r="U112" s="166">
        <f>_xll.qlPolynomialFunctionValue($P$18,T112,AllTriggers)</f>
        <v>1.8988318807612856E-3</v>
      </c>
    </row>
    <row r="113" spans="18:21" x14ac:dyDescent="0.2">
      <c r="R113" s="418">
        <f>_xll.qlCalendarAdvance(Calendar,R112,"1D","f")</f>
        <v>42292</v>
      </c>
      <c r="S113" s="166">
        <f>_xll.qlTenorBasisValue($P$3,R113,AllTriggers)</f>
        <v>1.9742482308817695E-3</v>
      </c>
      <c r="T113" s="154">
        <f>_xll.qlDayCounterYearFraction("actual/365 (fixed)",SettlementDate,R113,,,Trigger)</f>
        <v>0.42191780821917807</v>
      </c>
      <c r="U113" s="166">
        <f>_xll.qlPolynomialFunctionValue($P$18,T113,AllTriggers)</f>
        <v>1.8999007078561243E-3</v>
      </c>
    </row>
    <row r="114" spans="18:21" x14ac:dyDescent="0.2">
      <c r="R114" s="418">
        <f>_xll.qlCalendarAdvance(Calendar,R113,"1D","f")</f>
        <v>42293</v>
      </c>
      <c r="S114" s="166">
        <f>_xll.qlTenorBasisValue($P$3,R114,AllTriggers)</f>
        <v>1.9749613369209611E-3</v>
      </c>
      <c r="T114" s="154">
        <f>_xll.qlDayCounterYearFraction("actual/365 (fixed)",SettlementDate,R114,,,Trigger)</f>
        <v>0.42465753424657532</v>
      </c>
      <c r="U114" s="166">
        <f>_xll.qlPolynomialFunctionValue($P$18,T114,AllTriggers)</f>
        <v>1.9009626571590047E-3</v>
      </c>
    </row>
    <row r="115" spans="18:21" x14ac:dyDescent="0.2">
      <c r="R115" s="418">
        <f>_xll.qlCalendarAdvance(Calendar,R114,"1D","f")</f>
        <v>42296</v>
      </c>
      <c r="S115" s="166">
        <f>_xll.qlTenorBasisValue($P$3,R115,AllTriggers)</f>
        <v>1.9770860356849601E-3</v>
      </c>
      <c r="T115" s="154">
        <f>_xll.qlDayCounterYearFraction("actual/365 (fixed)",SettlementDate,R115,,,Trigger)</f>
        <v>0.43287671232876712</v>
      </c>
      <c r="U115" s="166">
        <f>_xll.qlPolynomialFunctionValue($P$18,T115,AllTriggers)</f>
        <v>1.9041078509625382E-3</v>
      </c>
    </row>
    <row r="116" spans="18:21" x14ac:dyDescent="0.2">
      <c r="R116" s="418">
        <f>_xll.qlCalendarAdvance(Calendar,R115,"1D","f")</f>
        <v>42297</v>
      </c>
      <c r="S116" s="166">
        <f>_xll.qlTenorBasisValue($P$3,R116,AllTriggers)</f>
        <v>1.977789523071264E-3</v>
      </c>
      <c r="T116" s="154">
        <f>_xll.qlDayCounterYearFraction("actual/365 (fixed)",SettlementDate,R116,,,Trigger)</f>
        <v>0.43561643835616437</v>
      </c>
      <c r="U116" s="166">
        <f>_xll.qlPolynomialFunctionValue($P$18,T116,AllTriggers)</f>
        <v>1.905142900544238E-3</v>
      </c>
    </row>
    <row r="117" spans="18:21" x14ac:dyDescent="0.2">
      <c r="R117" s="418">
        <f>_xll.qlCalendarAdvance(Calendar,R116,"1D","f")</f>
        <v>42298</v>
      </c>
      <c r="S117" s="166">
        <f>_xll.qlTenorBasisValue($P$3,R117,AllTriggers)</f>
        <v>1.9784907008814755E-3</v>
      </c>
      <c r="T117" s="154">
        <f>_xll.qlDayCounterYearFraction("actual/365 (fixed)",SettlementDate,R117,,,Trigger)</f>
        <v>0.43835616438356162</v>
      </c>
      <c r="U117" s="166">
        <f>_xll.qlPolynomialFunctionValue($P$18,T117,AllTriggers)</f>
        <v>1.9061713768573165E-3</v>
      </c>
    </row>
    <row r="118" spans="18:21" x14ac:dyDescent="0.2">
      <c r="R118" s="418">
        <f>_xll.qlCalendarAdvance(Calendar,R117,"1D","f")</f>
        <v>42299</v>
      </c>
      <c r="S118" s="166">
        <f>_xll.qlTenorBasisValue($P$3,R118,AllTriggers)</f>
        <v>1.9791896066704475E-3</v>
      </c>
      <c r="T118" s="154">
        <f>_xll.qlDayCounterYearFraction("actual/365 (fixed)",SettlementDate,R118,,,Trigger)</f>
        <v>0.44109589041095892</v>
      </c>
      <c r="U118" s="166">
        <f>_xll.qlPolynomialFunctionValue($P$18,T118,AllTriggers)</f>
        <v>1.9071933400864451E-3</v>
      </c>
    </row>
    <row r="119" spans="18:21" x14ac:dyDescent="0.2">
      <c r="R119" s="418">
        <f>_xll.qlCalendarAdvance(Calendar,R118,"1D","f")</f>
        <v>42300</v>
      </c>
      <c r="S119" s="166">
        <f>_xll.qlTenorBasisValue($P$3,R119,AllTriggers)</f>
        <v>1.9798862777530369E-3</v>
      </c>
      <c r="T119" s="154">
        <f>_xll.qlDayCounterYearFraction("actual/365 (fixed)",SettlementDate,R119,,,Trigger)</f>
        <v>0.44383561643835617</v>
      </c>
      <c r="U119" s="166">
        <f>_xll.qlPolynomialFunctionValue($P$18,T119,AllTriggers)</f>
        <v>1.9082088501762998E-3</v>
      </c>
    </row>
    <row r="120" spans="18:21" x14ac:dyDescent="0.2">
      <c r="R120" s="418">
        <f>_xll.qlCalendarAdvance(Calendar,R119,"1D","f")</f>
        <v>42303</v>
      </c>
      <c r="S120" s="166">
        <f>_xll.qlTenorBasisValue($P$3,R120,AllTriggers)</f>
        <v>1.9819632523111106E-3</v>
      </c>
      <c r="T120" s="154">
        <f>_xll.qlDayCounterYearFraction("actual/365 (fixed)",SettlementDate,R120,,,Trigger)</f>
        <v>0.45205479452054792</v>
      </c>
      <c r="U120" s="166">
        <f>_xll.qlPolynomialFunctionValue($P$18,T120,AllTriggers)</f>
        <v>1.9112172574570012E-3</v>
      </c>
    </row>
    <row r="121" spans="18:21" x14ac:dyDescent="0.2">
      <c r="R121" s="418">
        <f>_xll.qlCalendarAdvance(Calendar,R120,"1D","f")</f>
        <v>42304</v>
      </c>
      <c r="S121" s="166">
        <f>_xll.qlTenorBasisValue($P$3,R121,AllTriggers)</f>
        <v>1.9826513529167789E-3</v>
      </c>
      <c r="T121" s="154">
        <f>_xll.qlDayCounterYearFraction("actual/365 (fixed)",SettlementDate,R121,,,Trigger)</f>
        <v>0.45479452054794522</v>
      </c>
      <c r="U121" s="166">
        <f>_xll.qlPolynomialFunctionValue($P$18,T121,AllTriggers)</f>
        <v>1.9122075496365489E-3</v>
      </c>
    </row>
    <row r="122" spans="18:21" x14ac:dyDescent="0.2">
      <c r="R122" s="418">
        <f>_xll.qlCalendarAdvance(Calendar,R121,"1D","f")</f>
        <v>42305</v>
      </c>
      <c r="S122" s="166">
        <f>_xll.qlTenorBasisValue($P$3,R122,AllTriggers)</f>
        <v>1.9833374017903778E-3</v>
      </c>
      <c r="T122" s="154">
        <f>_xll.qlDayCounterYearFraction("actual/365 (fixed)",SettlementDate,R122,,,Trigger)</f>
        <v>0.45753424657534247</v>
      </c>
      <c r="U122" s="166">
        <f>_xll.qlPolynomialFunctionValue($P$18,T122,AllTriggers)</f>
        <v>1.9131916848002272E-3</v>
      </c>
    </row>
    <row r="123" spans="18:21" x14ac:dyDescent="0.2">
      <c r="R123" s="418">
        <f>_xll.qlCalendarAdvance(Calendar,R122,"1D","f")</f>
        <v>42306</v>
      </c>
      <c r="S123" s="166">
        <f>_xll.qlTenorBasisValue($P$3,R123,AllTriggers)</f>
        <v>1.9840214348067764E-3</v>
      </c>
      <c r="T123" s="154">
        <f>_xll.qlDayCounterYearFraction("actual/365 (fixed)",SettlementDate,R123,,,Trigger)</f>
        <v>0.46027397260273972</v>
      </c>
      <c r="U123" s="166">
        <f>_xll.qlPolynomialFunctionValue($P$18,T123,AllTriggers)</f>
        <v>1.9141697214527219E-3</v>
      </c>
    </row>
    <row r="124" spans="18:21" x14ac:dyDescent="0.2">
      <c r="R124" s="418">
        <f>_xll.qlCalendarAdvance(Calendar,R123,"1D","f")</f>
        <v>42307</v>
      </c>
      <c r="S124" s="166">
        <f>_xll.qlTenorBasisValue($P$3,R124,AllTriggers)</f>
        <v>1.9847034876008442E-3</v>
      </c>
      <c r="T124" s="154">
        <f>_xll.qlDayCounterYearFraction("actual/365 (fixed)",SettlementDate,R124,,,Trigger)</f>
        <v>0.46301369863013697</v>
      </c>
      <c r="U124" s="166">
        <f>_xll.qlPolynomialFunctionValue($P$18,T124,AllTriggers)</f>
        <v>1.9151417178587225E-3</v>
      </c>
    </row>
    <row r="125" spans="18:21" x14ac:dyDescent="0.2">
      <c r="R125" s="418">
        <f>_xll.qlCalendarAdvance(Calendar,R124,"1D","f")</f>
        <v>42310</v>
      </c>
      <c r="S125" s="166">
        <f>_xll.qlTenorBasisValue($P$3,R125,AllTriggers)</f>
        <v>1.9867381173977999E-3</v>
      </c>
      <c r="T125" s="154">
        <f>_xll.qlDayCounterYearFraction("actual/365 (fixed)",SettlementDate,R125,,,Trigger)</f>
        <v>0.47123287671232877</v>
      </c>
      <c r="U125" s="166">
        <f>_xll.qlPolynomialFunctionValue($P$18,T125,AllTriggers)</f>
        <v>1.9180220446446679E-3</v>
      </c>
    </row>
    <row r="126" spans="18:21" x14ac:dyDescent="0.2">
      <c r="R126" s="418">
        <f>_xll.qlCalendarAdvance(Calendar,R125,"1D","f")</f>
        <v>42311</v>
      </c>
      <c r="S126" s="166">
        <f>_xll.qlTenorBasisValue($P$3,R126,AllTriggers)</f>
        <v>1.9874126008512889E-3</v>
      </c>
      <c r="T126" s="154">
        <f>_xll.qlDayCounterYearFraction("actual/365 (fixed)",SettlementDate,R126,,,Trigger)</f>
        <v>0.47397260273972602</v>
      </c>
      <c r="U126" s="166">
        <f>_xll.qlPolynomialFunctionValue($P$18,T126,AllTriggers)</f>
        <v>1.9189704579116126E-3</v>
      </c>
    </row>
    <row r="127" spans="18:21" x14ac:dyDescent="0.2">
      <c r="R127" s="418">
        <f>_xll.qlCalendarAdvance(Calendar,R126,"1D","f")</f>
        <v>42312</v>
      </c>
      <c r="S127" s="166">
        <f>_xll.qlTenorBasisValue($P$3,R127,AllTriggers)</f>
        <v>1.9880852786568286E-3</v>
      </c>
      <c r="T127" s="154">
        <f>_xll.qlDayCounterYearFraction("actual/365 (fixed)",SettlementDate,R127,,,Trigger)</f>
        <v>0.47671232876712327</v>
      </c>
      <c r="U127" s="166">
        <f>_xll.qlPolynomialFunctionValue($P$18,T127,AllTriggers)</f>
        <v>1.9199131186555338E-3</v>
      </c>
    </row>
    <row r="128" spans="18:21" x14ac:dyDescent="0.2">
      <c r="R128" s="418">
        <f>_xll.qlCalendarAdvance(Calendar,R127,"1D","f")</f>
        <v>42313</v>
      </c>
      <c r="S128" s="166">
        <f>_xll.qlTenorBasisValue($P$3,R128,AllTriggers)</f>
        <v>1.9887561850093004E-3</v>
      </c>
      <c r="T128" s="154">
        <f>_xll.qlDayCounterYearFraction("actual/365 (fixed)",SettlementDate,R128,,,Trigger)</f>
        <v>0.47945205479452052</v>
      </c>
      <c r="U128" s="166">
        <f>_xll.qlPolynomialFunctionValue($P$18,T128,AllTriggers)</f>
        <v>1.9208500837011317E-3</v>
      </c>
    </row>
    <row r="129" spans="18:21" x14ac:dyDescent="0.2">
      <c r="R129" s="418">
        <f>_xll.qlCalendarAdvance(Calendar,R128,"1D","f")</f>
        <v>42314</v>
      </c>
      <c r="S129" s="166">
        <f>_xll.qlTenorBasisValue($P$3,R129,AllTriggers)</f>
        <v>1.9894253538635886E-3</v>
      </c>
      <c r="T129" s="154">
        <f>_xll.qlDayCounterYearFraction("actual/365 (fixed)",SettlementDate,R129,,,Trigger)</f>
        <v>0.48219178082191783</v>
      </c>
      <c r="U129" s="166">
        <f>_xll.qlPolynomialFunctionValue($P$18,T129,AllTriggers)</f>
        <v>1.9217814096331085E-3</v>
      </c>
    </row>
    <row r="130" spans="18:21" x14ac:dyDescent="0.2">
      <c r="R130" s="418">
        <f>_xll.qlCalendarAdvance(Calendar,R129,"1D","f")</f>
        <v>42317</v>
      </c>
      <c r="S130" s="166">
        <f>_xll.qlTenorBasisValue($P$3,R130,AllTriggers)</f>
        <v>1.9914227713862176E-3</v>
      </c>
      <c r="T130" s="154">
        <f>_xll.qlDayCounterYearFraction("actual/365 (fixed)",SettlementDate,R130,,,Trigger)</f>
        <v>0.49041095890410957</v>
      </c>
      <c r="U130" s="166">
        <f>_xll.qlPolynomialFunctionValue($P$18,T130,AllTriggers)</f>
        <v>1.924542114994361E-3</v>
      </c>
    </row>
    <row r="131" spans="18:21" x14ac:dyDescent="0.2">
      <c r="R131" s="418">
        <f>_xll.qlCalendarAdvance(Calendar,R130,"1D","f")</f>
        <v>42318</v>
      </c>
      <c r="S131" s="166">
        <f>_xll.qlTenorBasisValue($P$3,R131,AllTriggers)</f>
        <v>1.9920853249966474E-3</v>
      </c>
      <c r="T131" s="154">
        <f>_xll.qlDayCounterYearFraction("actual/365 (fixed)",SettlementDate,R131,,,Trigger)</f>
        <v>0.49315068493150682</v>
      </c>
      <c r="U131" s="166">
        <f>_xll.qlPolynomialFunctionValue($P$18,T131,AllTriggers)</f>
        <v>1.9254514455189116E-3</v>
      </c>
    </row>
    <row r="132" spans="18:21" x14ac:dyDescent="0.2">
      <c r="R132" s="418">
        <f>_xll.qlCalendarAdvance(Calendar,R131,"1D","f")</f>
        <v>42319</v>
      </c>
      <c r="S132" s="166">
        <f>_xll.qlTenorBasisValue($P$3,R132,AllTriggers)</f>
        <v>1.9927463072833421E-3</v>
      </c>
      <c r="T132" s="154">
        <f>_xll.qlDayCounterYearFraction("actual/365 (fixed)",SettlementDate,R132,,,Trigger)</f>
        <v>0.49589041095890413</v>
      </c>
      <c r="U132" s="166">
        <f>_xll.qlPolynomialFunctionValue($P$18,T132,AllTriggers)</f>
        <v>1.9263554162533805E-3</v>
      </c>
    </row>
    <row r="133" spans="18:21" x14ac:dyDescent="0.2">
      <c r="R133" s="419">
        <f>_xll.qlCalendarAdvance(Calendar,R132,"1D","f")</f>
        <v>42320</v>
      </c>
      <c r="S133" s="175">
        <f>_xll.qlTenorBasisValue($P$3,R133,AllTriggers)</f>
        <v>1.993405750761196E-3</v>
      </c>
      <c r="T133" s="159">
        <f>_xll.qlDayCounterYearFraction("actual/365 (fixed)",SettlementDate,R133,,,Trigger)</f>
        <v>0.49863013698630138</v>
      </c>
      <c r="U133" s="175">
        <f>_xll.qlPolynomialFunctionValue($P$18,T133,AllTriggers)</f>
        <v>1.9272540823424803E-3</v>
      </c>
    </row>
    <row r="134" spans="18:21" x14ac:dyDescent="0.2">
      <c r="R134" s="417">
        <f>_xll.qlCalendarAdvance(Calendar,R133,"1D","f")</f>
        <v>42321</v>
      </c>
      <c r="S134" s="179">
        <f>_xll.qlTenorBasisValue($P$3,R134,AllTriggers)</f>
        <v>1.9940636877051067E-3</v>
      </c>
      <c r="T134" s="164">
        <f>_xll.qlDayCounterYearFraction("actual/365 (fixed)",SettlementDate,R134,,,Trigger)</f>
        <v>0.50136986301369868</v>
      </c>
      <c r="U134" s="179">
        <f>_xll.qlPolynomialFunctionValue($P$18,T134,AllTriggers)</f>
        <v>1.9281474986909272E-3</v>
      </c>
    </row>
    <row r="135" spans="18:21" x14ac:dyDescent="0.2">
      <c r="R135" s="418">
        <f>_xll.qlCalendarAdvance(Calendar,R134,"1D","f")</f>
        <v>42324</v>
      </c>
      <c r="S135" s="166">
        <f>_xll.qlTenorBasisValue($P$3,R135,AllTriggers)</f>
        <v>1.9960287784821849E-3</v>
      </c>
      <c r="T135" s="154">
        <f>_xll.qlDayCounterYearFraction("actual/365 (fixed)",SettlementDate,R135,,,Trigger)</f>
        <v>0.50958904109589043</v>
      </c>
      <c r="U135" s="166">
        <f>_xll.qlPolynomialFunctionValue($P$18,T135,AllTriggers)</f>
        <v>1.9307967947395325E-3</v>
      </c>
    </row>
    <row r="136" spans="18:21" x14ac:dyDescent="0.2">
      <c r="R136" s="418">
        <f>_xll.qlCalendarAdvance(Calendar,R135,"1D","f")</f>
        <v>42325</v>
      </c>
      <c r="S136" s="166">
        <f>_xll.qlTenorBasisValue($P$3,R136,AllTriggers)</f>
        <v>1.996681007239336E-3</v>
      </c>
      <c r="T136" s="154">
        <f>_xll.qlDayCounterYearFraction("actual/365 (fixed)",SettlementDate,R136,,,Trigger)</f>
        <v>0.51232876712328768</v>
      </c>
      <c r="U136" s="166">
        <f>_xll.qlPolynomialFunctionValue($P$18,T136,AllTriggers)</f>
        <v>1.9316697563725609E-3</v>
      </c>
    </row>
    <row r="137" spans="18:21" x14ac:dyDescent="0.2">
      <c r="R137" s="418">
        <f>_xll.qlCalendarAdvance(Calendar,R136,"1D","f")</f>
        <v>42326</v>
      </c>
      <c r="S137" s="166">
        <f>_xll.qlTenorBasisValue($P$3,R137,AllTriggers)</f>
        <v>1.9973318872370605E-3</v>
      </c>
      <c r="T137" s="154">
        <f>_xll.qlDayCounterYearFraction("actual/365 (fixed)",SettlementDate,R137,,,Trigger)</f>
        <v>0.51506849315068493</v>
      </c>
      <c r="U137" s="166">
        <f>_xll.qlPolynomialFunctionValue($P$18,T137,AllTriggers)</f>
        <v>1.9325377391885422E-3</v>
      </c>
    </row>
    <row r="138" spans="18:21" x14ac:dyDescent="0.2">
      <c r="R138" s="418">
        <f>_xll.qlCalendarAdvance(Calendar,R137,"1D","f")</f>
        <v>42327</v>
      </c>
      <c r="S138" s="166">
        <f>_xll.qlTenorBasisValue($P$3,R138,AllTriggers)</f>
        <v>1.9979814493102663E-3</v>
      </c>
      <c r="T138" s="154">
        <f>_xll.qlDayCounterYearFraction("actual/365 (fixed)",SettlementDate,R138,,,Trigger)</f>
        <v>0.51780821917808217</v>
      </c>
      <c r="U138" s="166">
        <f>_xll.qlPolynomialFunctionValue($P$18,T138,AllTriggers)</f>
        <v>1.9334007966522039E-3</v>
      </c>
    </row>
    <row r="139" spans="18:21" x14ac:dyDescent="0.2">
      <c r="R139" s="418">
        <f>_xll.qlCalendarAdvance(Calendar,R138,"1D","f")</f>
        <v>42328</v>
      </c>
      <c r="S139" s="166">
        <f>_xll.qlTenorBasisValue($P$3,R139,AllTriggers)</f>
        <v>1.9986297240538646E-3</v>
      </c>
      <c r="T139" s="154">
        <f>_xll.qlDayCounterYearFraction("actual/365 (fixed)",SettlementDate,R139,,,Trigger)</f>
        <v>0.52054794520547942</v>
      </c>
      <c r="U139" s="166">
        <f>_xll.qlPolynomialFunctionValue($P$18,T139,AllTriggers)</f>
        <v>1.9342589819882753E-3</v>
      </c>
    </row>
    <row r="140" spans="18:21" x14ac:dyDescent="0.2">
      <c r="R140" s="418">
        <f>_xll.qlCalendarAdvance(Calendar,R139,"1D","f")</f>
        <v>42331</v>
      </c>
      <c r="S140" s="166">
        <f>_xll.qlTenorBasisValue($P$3,R140,AllTriggers)</f>
        <v>2.0005671266561517E-3</v>
      </c>
      <c r="T140" s="154">
        <f>_xll.qlDayCounterYearFraction("actual/365 (fixed)",SettlementDate,R140,,,Trigger)</f>
        <v>0.52876712328767128</v>
      </c>
      <c r="U140" s="166">
        <f>_xll.qlPolynomialFunctionValue($P$18,T140,AllTriggers)</f>
        <v>1.9368048338782651E-3</v>
      </c>
    </row>
    <row r="141" spans="18:21" x14ac:dyDescent="0.2">
      <c r="R141" s="418">
        <f>_xll.qlCalendarAdvance(Calendar,R140,"1D","f")</f>
        <v>42332</v>
      </c>
      <c r="S141" s="166">
        <f>_xll.qlTenorBasisValue($P$3,R141,AllTriggers)</f>
        <v>2.0012105532304673E-3</v>
      </c>
      <c r="T141" s="154">
        <f>_xll.qlDayCounterYearFraction("actual/365 (fixed)",SettlementDate,R141,,,Trigger)</f>
        <v>0.53150684931506853</v>
      </c>
      <c r="U141" s="166">
        <f>_xll.qlPolynomialFunctionValue($P$18,T141,AllTriggers)</f>
        <v>1.9376440581513029E-3</v>
      </c>
    </row>
    <row r="142" spans="18:21" x14ac:dyDescent="0.2">
      <c r="R142" s="418">
        <f>_xll.qlCalendarAdvance(Calendar,R141,"1D","f")</f>
        <v>42333</v>
      </c>
      <c r="S142" s="166">
        <f>_xll.qlTenorBasisValue($P$3,R142,AllTriggers)</f>
        <v>2.0018528418497585E-3</v>
      </c>
      <c r="T142" s="154">
        <f>_xll.qlDayCounterYearFraction("actual/365 (fixed)",SettlementDate,R142,,,Trigger)</f>
        <v>0.53424657534246578</v>
      </c>
      <c r="U142" s="166">
        <f>_xll.qlPolynomialFunctionValue($P$18,T142,AllTriggers)</f>
        <v>1.9384786728204239E-3</v>
      </c>
    </row>
    <row r="143" spans="18:21" x14ac:dyDescent="0.2">
      <c r="R143" s="418">
        <f>_xll.qlCalendarAdvance(Calendar,R142,"1D","f")</f>
        <v>42334</v>
      </c>
      <c r="S143" s="166">
        <f>_xll.qlTenorBasisValue($P$3,R143,AllTriggers)</f>
        <v>2.0024940216689475E-3</v>
      </c>
      <c r="T143" s="154">
        <f>_xll.qlDayCounterYearFraction("actual/365 (fixed)",SettlementDate,R143,,,Trigger)</f>
        <v>0.53698630136986303</v>
      </c>
      <c r="U143" s="166">
        <f>_xll.qlPolynomialFunctionValue($P$18,T143,AllTriggers)</f>
        <v>1.9393087296703697E-3</v>
      </c>
    </row>
    <row r="144" spans="18:21" x14ac:dyDescent="0.2">
      <c r="R144" s="418">
        <f>_xll.qlCalendarAdvance(Calendar,R143,"1D","f")</f>
        <v>42335</v>
      </c>
      <c r="S144" s="166">
        <f>_xll.qlTenorBasisValue($P$3,R144,AllTriggers)</f>
        <v>2.0031341216029592E-3</v>
      </c>
      <c r="T144" s="154">
        <f>_xll.qlDayCounterYearFraction("actual/365 (fixed)",SettlementDate,R144,,,Trigger)</f>
        <v>0.53972602739726028</v>
      </c>
      <c r="U144" s="166">
        <f>_xll.qlPolynomialFunctionValue($P$18,T144,AllTriggers)</f>
        <v>1.9401342802458814E-3</v>
      </c>
    </row>
    <row r="145" spans="18:21" x14ac:dyDescent="0.2">
      <c r="R145" s="418">
        <f>_xll.qlCalendarAdvance(Calendar,R144,"1D","f")</f>
        <v>42338</v>
      </c>
      <c r="S145" s="166">
        <f>_xll.qlTenorBasisValue($P$3,R145,AllTriggers)</f>
        <v>2.0050482276432E-3</v>
      </c>
      <c r="T145" s="154">
        <f>_xll.qlDayCounterYearFraction("actual/365 (fixed)",SettlementDate,R145,,,Trigger)</f>
        <v>0.54794520547945202</v>
      </c>
      <c r="U145" s="166">
        <f>_xll.qlPolynomialFunctionValue($P$18,T145,AllTriggers)</f>
        <v>1.9425844061732708E-3</v>
      </c>
    </row>
    <row r="146" spans="18:21" x14ac:dyDescent="0.2">
      <c r="R146" s="418">
        <f>_xll.qlCalendarAdvance(Calendar,R145,"1D","f")</f>
        <v>42339</v>
      </c>
      <c r="S146" s="166">
        <f>_xll.qlTenorBasisValue($P$3,R146,AllTriggers)</f>
        <v>2.0056842923857829E-3</v>
      </c>
      <c r="T146" s="154">
        <f>_xll.qlDayCounterYearFraction("actual/365 (fixed)",SettlementDate,R146,,,Trigger)</f>
        <v>0.55068493150684927</v>
      </c>
      <c r="U146" s="166">
        <f>_xll.qlPolynomialFunctionValue($P$18,T146,AllTriggers)</f>
        <v>1.9433924422985127E-3</v>
      </c>
    </row>
    <row r="147" spans="18:21" x14ac:dyDescent="0.2">
      <c r="R147" s="418">
        <f>_xll.qlCalendarAdvance(Calendar,R146,"1D","f")</f>
        <v>42340</v>
      </c>
      <c r="S147" s="166">
        <f>_xll.qlTenorBasisValue($P$3,R147,AllTriggers)</f>
        <v>2.00631941821784E-3</v>
      </c>
      <c r="T147" s="154">
        <f>_xll.qlDayCounterYearFraction("actual/365 (fixed)",SettlementDate,R147,,,Trigger)</f>
        <v>0.55342465753424652</v>
      </c>
      <c r="U147" s="166">
        <f>_xll.qlPolynomialFunctionValue($P$18,T147,AllTriggers)</f>
        <v>1.9441962262730624E-3</v>
      </c>
    </row>
    <row r="148" spans="18:21" x14ac:dyDescent="0.2">
      <c r="R148" s="418">
        <f>_xll.qlCalendarAdvance(Calendar,R147,"1D","f")</f>
        <v>42341</v>
      </c>
      <c r="S148" s="166">
        <f>_xll.qlTenorBasisValue($P$3,R148,AllTriggers)</f>
        <v>2.0069536326143048E-3</v>
      </c>
      <c r="T148" s="154">
        <f>_xll.qlDayCounterYearFraction("actual/365 (fixed)",SettlementDate,R148,,,Trigger)</f>
        <v>0.55616438356164388</v>
      </c>
      <c r="U148" s="166">
        <f>_xll.qlPolynomialFunctionValue($P$18,T148,AllTriggers)</f>
        <v>1.9449958082016739E-3</v>
      </c>
    </row>
    <row r="149" spans="18:21" x14ac:dyDescent="0.2">
      <c r="R149" s="418">
        <f>_xll.qlCalendarAdvance(Calendar,R148,"1D","f")</f>
        <v>42342</v>
      </c>
      <c r="S149" s="166">
        <f>_xll.qlTenorBasisValue($P$3,R149,AllTriggers)</f>
        <v>2.0075869628101172E-3</v>
      </c>
      <c r="T149" s="154">
        <f>_xll.qlDayCounterYearFraction("actual/365 (fixed)",SettlementDate,R149,,,Trigger)</f>
        <v>0.55890410958904113</v>
      </c>
      <c r="U149" s="166">
        <f>_xll.qlPolynomialFunctionValue($P$18,T149,AllTriggers)</f>
        <v>1.9457912379491037E-3</v>
      </c>
    </row>
    <row r="150" spans="18:21" x14ac:dyDescent="0.2">
      <c r="R150" s="418">
        <f>_xll.qlCalendarAdvance(Calendar,R149,"1D","f")</f>
        <v>42345</v>
      </c>
      <c r="S150" s="166">
        <f>_xll.qlTenorBasisValue($P$3,R150,AllTriggers)</f>
        <v>2.0094819169430411E-3</v>
      </c>
      <c r="T150" s="154">
        <f>_xll.qlDayCounterYearFraction("actual/365 (fixed)",SettlementDate,R150,,,Trigger)</f>
        <v>0.56712328767123288</v>
      </c>
      <c r="U150" s="166">
        <f>_xll.qlPolynomialFunctionValue($P$18,T150,AllTriggers)</f>
        <v>1.9481531091518917E-3</v>
      </c>
    </row>
    <row r="151" spans="18:21" x14ac:dyDescent="0.2">
      <c r="R151" s="418">
        <f>_xll.qlCalendarAdvance(Calendar,R150,"1D","f")</f>
        <v>42346</v>
      </c>
      <c r="S151" s="166">
        <f>_xll.qlTenorBasisValue($P$3,R151,AllTriggers)</f>
        <v>2.0101119778856572E-3</v>
      </c>
      <c r="T151" s="154">
        <f>_xll.qlDayCounterYearFraction("actual/365 (fixed)",SettlementDate,R151,,,Trigger)</f>
        <v>0.56986301369863013</v>
      </c>
      <c r="U151" s="166">
        <f>_xll.qlPolynomialFunctionValue($P$18,T151,AllTriggers)</f>
        <v>1.9489324240221924E-3</v>
      </c>
    </row>
    <row r="152" spans="18:21" x14ac:dyDescent="0.2">
      <c r="R152" s="418">
        <f>_xll.qlCalendarAdvance(Calendar,R151,"1D","f")</f>
        <v>42347</v>
      </c>
      <c r="S152" s="166">
        <f>_xll.qlTenorBasisValue($P$3,R152,AllTriggers)</f>
        <v>2.0107412872023378E-3</v>
      </c>
      <c r="T152" s="154">
        <f>_xll.qlDayCounterYearFraction("actual/365 (fixed)",SettlementDate,R152,,,Trigger)</f>
        <v>0.57260273972602738</v>
      </c>
      <c r="U152" s="166">
        <f>_xll.qlPolynomialFunctionValue($P$18,T152,AllTriggers)</f>
        <v>1.9497078324351212E-3</v>
      </c>
    </row>
    <row r="153" spans="18:21" x14ac:dyDescent="0.2">
      <c r="R153" s="418">
        <f>_xll.qlCalendarAdvance(Calendar,R152,"1D","f")</f>
        <v>42348</v>
      </c>
      <c r="S153" s="166">
        <f>_xll.qlTenorBasisValue($P$3,R153,AllTriggers)</f>
        <v>2.0113698706880337E-3</v>
      </c>
      <c r="T153" s="154">
        <f>_xll.qlDayCounterYearFraction("actual/365 (fixed)",SettlementDate,R153,,,Trigger)</f>
        <v>0.57534246575342463</v>
      </c>
      <c r="U153" s="166">
        <f>_xll.qlPolynomialFunctionValue($P$18,T153,AllTriggers)</f>
        <v>1.9504793828154436E-3</v>
      </c>
    </row>
    <row r="154" spans="18:21" x14ac:dyDescent="0.2">
      <c r="R154" s="418">
        <f>_xll.qlCalendarAdvance(Calendar,R153,"1D","f")</f>
        <v>42349</v>
      </c>
      <c r="S154" s="166">
        <f>_xll.qlTenorBasisValue($P$3,R154,AllTriggers)</f>
        <v>2.0119977538976944E-3</v>
      </c>
      <c r="T154" s="154">
        <f>_xll.qlDayCounterYearFraction("actual/365 (fixed)",SettlementDate,R154,,,Trigger)</f>
        <v>0.57808219178082187</v>
      </c>
      <c r="U154" s="166">
        <f>_xll.qlPolynomialFunctionValue($P$18,T154,AllTriggers)</f>
        <v>1.9512471233479305E-3</v>
      </c>
    </row>
    <row r="155" spans="18:21" x14ac:dyDescent="0.2">
      <c r="R155" s="418">
        <f>_xll.qlCalendarAdvance(Calendar,R154,"1D","f")</f>
        <v>42352</v>
      </c>
      <c r="S155" s="166">
        <f>_xll.qlTenorBasisValue($P$3,R155,AllTriggers)</f>
        <v>2.0138774538200144E-3</v>
      </c>
      <c r="T155" s="154">
        <f>_xll.qlDayCounterYearFraction("actual/365 (fixed)",SettlementDate,R155,,,Trigger)</f>
        <v>0.58630136986301373</v>
      </c>
      <c r="U155" s="166">
        <f>_xll.qlPolynomialFunctionValue($P$18,T155,AllTriggers)</f>
        <v>1.9535279641061006E-3</v>
      </c>
    </row>
    <row r="156" spans="18:21" x14ac:dyDescent="0.2">
      <c r="R156" s="418">
        <f>_xll.qlCalendarAdvance(Calendar,R155,"1D","f")</f>
        <v>42353</v>
      </c>
      <c r="S156" s="166">
        <f>_xll.qlTenorBasisValue($P$3,R156,AllTriggers)</f>
        <v>2.0145027866750901E-3</v>
      </c>
      <c r="T156" s="154">
        <f>_xll.qlDayCounterYearFraction("actual/365 (fixed)",SettlementDate,R156,,,Trigger)</f>
        <v>0.58904109589041098</v>
      </c>
      <c r="U156" s="166">
        <f>_xll.qlPolynomialFunctionValue($P$18,T156,AllTriggers)</f>
        <v>1.9542809422949778E-3</v>
      </c>
    </row>
    <row r="157" spans="18:21" x14ac:dyDescent="0.2">
      <c r="R157" s="418">
        <f>_xll.qlCalendarAdvance(Calendar,R156,"1D","f")</f>
        <v>42354</v>
      </c>
      <c r="S157" s="166">
        <f>_xll.qlTenorBasisValue($P$3,R157,AllTriggers)</f>
        <v>2.0151275434289176E-3</v>
      </c>
      <c r="T157" s="154">
        <f>_xll.qlDayCounterYearFraction("actual/365 (fixed)",SettlementDate,R157,,,Trigger)</f>
        <v>0.59178082191780823</v>
      </c>
      <c r="U157" s="166">
        <f>_xll.qlPolynomialFunctionValue($P$18,T157,AllTriggers)</f>
        <v>1.9550303479598957E-3</v>
      </c>
    </row>
    <row r="158" spans="18:21" x14ac:dyDescent="0.2">
      <c r="R158" s="418">
        <f>_xll.qlCalendarAdvance(Calendar,R157,"1D","f")</f>
        <v>42355</v>
      </c>
      <c r="S158" s="166">
        <f>_xll.qlTenorBasisValue($P$3,R158,AllTriggers)</f>
        <v>2.0157517481964589E-3</v>
      </c>
      <c r="T158" s="154">
        <f>_xll.qlDayCounterYearFraction("actual/365 (fixed)",SettlementDate,R158,,,Trigger)</f>
        <v>0.59452054794520548</v>
      </c>
      <c r="U158" s="166">
        <f>_xll.qlPolynomialFunctionValue($P$18,T158,AllTriggers)</f>
        <v>1.9557762278456354E-3</v>
      </c>
    </row>
    <row r="159" spans="18:21" x14ac:dyDescent="0.2">
      <c r="R159" s="418">
        <f>_xll.qlCalendarAdvance(Calendar,R158,"1D","f")</f>
        <v>42356</v>
      </c>
      <c r="S159" s="166">
        <f>_xll.qlTenorBasisValue($P$3,R159,AllTriggers)</f>
        <v>2.0163754248526795E-3</v>
      </c>
      <c r="T159" s="154">
        <f>_xll.qlDayCounterYearFraction("actual/365 (fixed)",SettlementDate,R159,,,Trigger)</f>
        <v>0.59726027397260273</v>
      </c>
      <c r="U159" s="166">
        <f>_xll.qlPolynomialFunctionValue($P$18,T159,AllTriggers)</f>
        <v>1.95651862845698E-3</v>
      </c>
    </row>
    <row r="160" spans="18:21" x14ac:dyDescent="0.2">
      <c r="R160" s="418">
        <f>_xll.qlCalendarAdvance(Calendar,R159,"1D","f")</f>
        <v>42359</v>
      </c>
      <c r="S160" s="166">
        <f>_xll.qlTenorBasisValue($P$3,R160,AllTriggers)</f>
        <v>2.018243521303093E-3</v>
      </c>
      <c r="T160" s="154">
        <f>_xll.qlDayCounterYearFraction("actual/365 (fixed)",SettlementDate,R160,,,Trigger)</f>
        <v>0.60547945205479448</v>
      </c>
      <c r="U160" s="166">
        <f>_xll.qlPolynomialFunctionValue($P$18,T160,AllTriggers)</f>
        <v>1.9587254160925E-3</v>
      </c>
    </row>
    <row r="161" spans="18:21" x14ac:dyDescent="0.2">
      <c r="R161" s="418">
        <f>_xll.qlCalendarAdvance(Calendar,R160,"1D","f")</f>
        <v>42360</v>
      </c>
      <c r="S161" s="166">
        <f>_xll.qlTenorBasisValue($P$3,R161,AllTriggers)</f>
        <v>2.0188653194637167E-3</v>
      </c>
      <c r="T161" s="154">
        <f>_xll.qlDayCounterYearFraction("actual/365 (fixed)",SettlementDate,R161,,,Trigger)</f>
        <v>0.60821917808219184</v>
      </c>
      <c r="U161" s="166">
        <f>_xll.qlPolynomialFunctionValue($P$18,T161,AllTriggers)</f>
        <v>1.9594543598541315E-3</v>
      </c>
    </row>
    <row r="162" spans="18:21" x14ac:dyDescent="0.2">
      <c r="R162" s="418">
        <f>_xll.qlCalendarAdvance(Calendar,R161,"1D","f")</f>
        <v>42361</v>
      </c>
      <c r="S162" s="166">
        <f>_xll.qlTenorBasisValue($P$3,R162,AllTriggers)</f>
        <v>2.0194867052878728E-3</v>
      </c>
      <c r="T162" s="154">
        <f>_xll.qlDayCounterYearFraction("actual/365 (fixed)",SettlementDate,R162,,,Trigger)</f>
        <v>0.61095890410958908</v>
      </c>
      <c r="U162" s="166">
        <f>_xll.qlPolynomialFunctionValue($P$18,T162,AllTriggers)</f>
        <v>1.9601800532653125E-3</v>
      </c>
    </row>
    <row r="163" spans="18:21" x14ac:dyDescent="0.2">
      <c r="R163" s="418">
        <f>_xll.qlCalendarAdvance(Calendar,R162,"1D","f")</f>
        <v>42362</v>
      </c>
      <c r="S163" s="166">
        <f>_xll.qlTenorBasisValue($P$3,R163,AllTriggers)</f>
        <v>2.0201077012105373E-3</v>
      </c>
      <c r="T163" s="154">
        <f>_xll.qlDayCounterYearFraction("actual/365 (fixed)",SettlementDate,R163,,,Trigger)</f>
        <v>0.61369863013698633</v>
      </c>
      <c r="U163" s="166">
        <f>_xll.qlPolynomialFunctionValue($P$18,T163,AllTriggers)</f>
        <v>1.9609025413908363E-3</v>
      </c>
    </row>
    <row r="164" spans="18:21" x14ac:dyDescent="0.2">
      <c r="R164" s="418">
        <f>_xll.qlCalendarAdvance(Calendar,R163,"1D","f")</f>
        <v>42366</v>
      </c>
      <c r="S164" s="166">
        <f>_xll.qlTenorBasisValue($P$3,R164,AllTriggers)</f>
        <v>2.0225882261858774E-3</v>
      </c>
      <c r="T164" s="154">
        <f>_xll.qlDayCounterYearFraction("actual/365 (fixed)",SettlementDate,R164,,,Trigger)</f>
        <v>0.62465753424657533</v>
      </c>
      <c r="U164" s="166">
        <f>_xll.qlPolynomialFunctionValue($P$18,T164,AllTriggers)</f>
        <v>1.9637613339323228E-3</v>
      </c>
    </row>
    <row r="165" spans="18:21" x14ac:dyDescent="0.2">
      <c r="R165" s="418">
        <f>_xll.qlCalendarAdvance(Calendar,R164,"1D","f")</f>
        <v>42367</v>
      </c>
      <c r="S165" s="166">
        <f>_xll.qlTenorBasisValue($P$3,R165,AllTriggers)</f>
        <v>2.0232076007257989E-3</v>
      </c>
      <c r="T165" s="154">
        <f>_xll.qlDayCounterYearFraction("actual/365 (fixed)",SettlementDate,R165,,,Trigger)</f>
        <v>0.62739726027397258</v>
      </c>
      <c r="U165" s="166">
        <f>_xll.qlPolynomialFunctionValue($P$18,T165,AllTriggers)</f>
        <v>1.9644684632015492E-3</v>
      </c>
    </row>
    <row r="166" spans="18:21" x14ac:dyDescent="0.2">
      <c r="R166" s="418">
        <f>_xll.qlCalendarAdvance(Calendar,R165,"1D","f")</f>
        <v>42368</v>
      </c>
      <c r="S166" s="166">
        <f>_xll.qlTenorBasisValue($P$3,R166,AllTriggers)</f>
        <v>2.0238267149341278E-3</v>
      </c>
      <c r="T166" s="154">
        <f>_xll.qlDayCounterYearFraction("actual/365 (fixed)",SettlementDate,R166,,,Trigger)</f>
        <v>0.63013698630136983</v>
      </c>
      <c r="U166" s="166">
        <f>_xll.qlPolynomialFunctionValue($P$18,T166,AllTriggers)</f>
        <v>1.9651726525339265E-3</v>
      </c>
    </row>
    <row r="167" spans="18:21" x14ac:dyDescent="0.2">
      <c r="R167" s="418">
        <f>_xll.qlCalendarAdvance(Calendar,R166,"1D","f")</f>
        <v>42369</v>
      </c>
      <c r="S167" s="166">
        <f>_xll.qlTenorBasisValue($P$3,R167,AllTriggers)</f>
        <v>2.0244455895658542E-3</v>
      </c>
      <c r="T167" s="154">
        <f>_xll.qlDayCounterYearFraction("actual/365 (fixed)",SettlementDate,R167,,,Trigger)</f>
        <v>0.63287671232876708</v>
      </c>
      <c r="U167" s="166">
        <f>_xll.qlPolynomialFunctionValue($P$18,T167,AllTriggers)</f>
        <v>1.965873945314263E-3</v>
      </c>
    </row>
    <row r="168" spans="18:21" x14ac:dyDescent="0.2">
      <c r="R168" s="418">
        <f>_xll.qlCalendarAdvance(Calendar,R167,"1D","f")</f>
        <v>42373</v>
      </c>
      <c r="S168" s="166">
        <f>_xll.qlTenorBasisValue($P$3,R168,AllTriggers)</f>
        <v>2.0269190990265993E-3</v>
      </c>
      <c r="T168" s="154">
        <f>_xll.qlDayCounterYearFraction("actual/365 (fixed)",SettlementDate,R168,,,Trigger)</f>
        <v>0.64383561643835618</v>
      </c>
      <c r="U168" s="166">
        <f>_xll.qlPolynomialFunctionValue($P$18,T168,AllTriggers)</f>
        <v>1.9686510102114325E-3</v>
      </c>
    </row>
    <row r="169" spans="18:21" x14ac:dyDescent="0.2">
      <c r="R169" s="418">
        <f>_xll.qlCalendarAdvance(Calendar,R168,"1D","f")</f>
        <v>42374</v>
      </c>
      <c r="S169" s="166">
        <f>_xll.qlTenorBasisValue($P$3,R169,AllTriggers)</f>
        <v>2.0275370787002289E-3</v>
      </c>
      <c r="T169" s="154">
        <f>_xll.qlDayCounterYearFraction("actual/365 (fixed)",SettlementDate,R169,,,Trigger)</f>
        <v>0.64657534246575343</v>
      </c>
      <c r="U169" s="166">
        <f>_xll.qlPolynomialFunctionValue($P$18,T169,AllTriggers)</f>
        <v>1.9693384626037536E-3</v>
      </c>
    </row>
    <row r="170" spans="18:21" x14ac:dyDescent="0.2">
      <c r="R170" s="418">
        <f>_xll.qlCalendarAdvance(Calendar,R169,"1D","f")</f>
        <v>42375</v>
      </c>
      <c r="S170" s="166">
        <f>_xll.qlTenorBasisValue($P$3,R170,AllTriggers)</f>
        <v>2.0281549382872364E-3</v>
      </c>
      <c r="T170" s="154">
        <f>_xll.qlDayCounterYearFraction("actual/365 (fixed)",SettlementDate,R170,,,Trigger)</f>
        <v>0.64931506849315068</v>
      </c>
      <c r="U170" s="166">
        <f>_xll.qlPolynomialFunctionValue($P$18,T170,AllTriggers)</f>
        <v>1.9700232737129239E-3</v>
      </c>
    </row>
    <row r="171" spans="18:21" x14ac:dyDescent="0.2">
      <c r="R171" s="418">
        <f>_xll.qlCalendarAdvance(Calendar,R170,"1D","f")</f>
        <v>42376</v>
      </c>
      <c r="S171" s="166">
        <f>_xll.qlTenorBasisValue($P$3,R171,AllTriggers)</f>
        <v>2.0287726968626243E-3</v>
      </c>
      <c r="T171" s="154">
        <f>_xll.qlDayCounterYearFraction("actual/365 (fixed)",SettlementDate,R171,,,Trigger)</f>
        <v>0.65205479452054793</v>
      </c>
      <c r="U171" s="166">
        <f>_xll.qlPolynomialFunctionValue($P$18,T171,AllTriggers)</f>
        <v>1.9707054852437633E-3</v>
      </c>
    </row>
    <row r="172" spans="18:21" x14ac:dyDescent="0.2">
      <c r="R172" s="418">
        <f>_xll.qlCalendarAdvance(Calendar,R171,"1D","f")</f>
        <v>42377</v>
      </c>
      <c r="S172" s="166">
        <f>_xll.qlTenorBasisValue($P$3,R172,AllTriggers)</f>
        <v>2.0293903732613986E-3</v>
      </c>
      <c r="T172" s="154">
        <f>_xll.qlDayCounterYearFraction("actual/365 (fixed)",SettlementDate,R172,,,Trigger)</f>
        <v>0.65479452054794518</v>
      </c>
      <c r="U172" s="166">
        <f>_xll.qlPolynomialFunctionValue($P$18,T172,AllTriggers)</f>
        <v>1.9713851386610965E-3</v>
      </c>
    </row>
    <row r="173" spans="18:21" x14ac:dyDescent="0.2">
      <c r="R173" s="418">
        <f>_xll.qlCalendarAdvance(Calendar,R172,"1D","f")</f>
        <v>42380</v>
      </c>
      <c r="S173" s="166">
        <f>_xll.qlTenorBasisValue($P$3,R173,AllTriggers)</f>
        <v>2.0312430941481206E-3</v>
      </c>
      <c r="T173" s="154">
        <f>_xll.qlDayCounterYearFraction("actual/365 (fixed)",SettlementDate,R173,,,Trigger)</f>
        <v>0.66301369863013704</v>
      </c>
      <c r="U173" s="166">
        <f>_xll.qlPolynomialFunctionValue($P$18,T173,AllTriggers)</f>
        <v>1.9734091612803204E-3</v>
      </c>
    </row>
    <row r="174" spans="18:21" x14ac:dyDescent="0.2">
      <c r="R174" s="418">
        <f>_xll.qlCalendarAdvance(Calendar,R173,"1D","f")</f>
        <v>42381</v>
      </c>
      <c r="S174" s="166">
        <f>_xll.qlTenorBasisValue($P$3,R174,AllTriggers)</f>
        <v>2.0318606253905314E-3</v>
      </c>
      <c r="T174" s="154">
        <f>_xll.qlDayCounterYearFraction("actual/365 (fixed)",SettlementDate,R174,,,Trigger)</f>
        <v>0.66575342465753429</v>
      </c>
      <c r="U174" s="166">
        <f>_xll.qlPolynomialFunctionValue($P$18,T174,AllTriggers)</f>
        <v>1.9740789920919006E-3</v>
      </c>
    </row>
    <row r="175" spans="18:21" x14ac:dyDescent="0.2">
      <c r="R175" s="418">
        <f>_xll.qlCalendarAdvance(Calendar,R174,"1D","f")</f>
        <v>42382</v>
      </c>
      <c r="S175" s="166">
        <f>_xll.qlTenorBasisValue($P$3,R175,AllTriggers)</f>
        <v>2.0324781650313838E-3</v>
      </c>
      <c r="T175" s="154">
        <f>_xll.qlDayCounterYearFraction("actual/365 (fixed)",SettlementDate,R175,,,Trigger)</f>
        <v>0.66849315068493154</v>
      </c>
      <c r="U175" s="166">
        <f>_xll.qlPolynomialFunctionValue($P$18,T175,AllTriggers)</f>
        <v>1.9747464685141206E-3</v>
      </c>
    </row>
    <row r="176" spans="18:21" x14ac:dyDescent="0.2">
      <c r="R176" s="418">
        <f>_xll.qlCalendarAdvance(Calendar,R175,"1D","f")</f>
        <v>42383</v>
      </c>
      <c r="S176" s="166">
        <f>_xll.qlTenorBasisValue($P$3,R176,AllTriggers)</f>
        <v>2.0330957304656948E-3</v>
      </c>
      <c r="T176" s="154">
        <f>_xll.qlDayCounterYearFraction("actual/365 (fixed)",SettlementDate,R176,,,Trigger)</f>
        <v>0.67123287671232879</v>
      </c>
      <c r="U176" s="166">
        <f>_xll.qlPolynomialFunctionValue($P$18,T176,AllTriggers)</f>
        <v>1.9754116305718151E-3</v>
      </c>
    </row>
    <row r="177" spans="18:21" x14ac:dyDescent="0.2">
      <c r="R177" s="418">
        <f>_xll.qlCalendarAdvance(Calendar,R176,"1D","f")</f>
        <v>42384</v>
      </c>
      <c r="S177" s="166">
        <f>_xll.qlTenorBasisValue($P$3,R177,AllTriggers)</f>
        <v>2.0337133388484835E-3</v>
      </c>
      <c r="T177" s="154">
        <f>_xll.qlDayCounterYearFraction("actual/365 (fixed)",SettlementDate,R177,,,Trigger)</f>
        <v>0.67397260273972603</v>
      </c>
      <c r="U177" s="166">
        <f>_xll.qlPolynomialFunctionValue($P$18,T177,AllTriggers)</f>
        <v>1.9760745180498218E-3</v>
      </c>
    </row>
    <row r="178" spans="18:21" x14ac:dyDescent="0.2">
      <c r="R178" s="418">
        <f>_xll.qlCalendarAdvance(Calendar,R177,"1D","f")</f>
        <v>42387</v>
      </c>
      <c r="S178" s="166">
        <f>_xll.qlTenorBasisValue($P$3,R178,AllTriggers)</f>
        <v>2.0355665896379322E-3</v>
      </c>
      <c r="T178" s="154">
        <f>_xll.qlDayCounterYearFraction("actual/365 (fixed)",SettlementDate,R178,,,Trigger)</f>
        <v>0.68219178082191778</v>
      </c>
      <c r="U178" s="166">
        <f>_xll.qlPolynomialFunctionValue($P$18,T178,AllTriggers)</f>
        <v>1.9780499272541107E-3</v>
      </c>
    </row>
    <row r="179" spans="18:21" x14ac:dyDescent="0.2">
      <c r="R179" s="418">
        <f>_xll.qlCalendarAdvance(Calendar,R178,"1D","f")</f>
        <v>42388</v>
      </c>
      <c r="S179" s="166">
        <f>_xll.qlTenorBasisValue($P$3,R179,AllTriggers)</f>
        <v>2.036184536564858E-3</v>
      </c>
      <c r="T179" s="154">
        <f>_xll.qlDayCounterYearFraction("actual/365 (fixed)",SettlementDate,R179,,,Trigger)</f>
        <v>0.68493150684931503</v>
      </c>
      <c r="U179" s="166">
        <f>_xll.qlPolynomialFunctionValue($P$18,T179,AllTriggers)</f>
        <v>1.9787041094617734E-3</v>
      </c>
    </row>
    <row r="180" spans="18:21" x14ac:dyDescent="0.2">
      <c r="R180" s="418">
        <f>_xll.qlCalendarAdvance(Calendar,R179,"1D","f")</f>
        <v>42389</v>
      </c>
      <c r="S180" s="166">
        <f>_xll.qlTenorBasisValue($P$3,R180,AllTriggers)</f>
        <v>2.0368026086153841E-3</v>
      </c>
      <c r="T180" s="154">
        <f>_xll.qlDayCounterYearFraction("actual/365 (fixed)",SettlementDate,R180,,,Trigger)</f>
        <v>0.68767123287671228</v>
      </c>
      <c r="U180" s="166">
        <f>_xll.qlPolynomialFunctionValue($P$18,T180,AllTriggers)</f>
        <v>1.9793562124139617E-3</v>
      </c>
    </row>
    <row r="181" spans="18:21" x14ac:dyDescent="0.2">
      <c r="R181" s="418">
        <f>_xll.qlCalendarAdvance(Calendar,R180,"1D","f")</f>
        <v>42390</v>
      </c>
      <c r="S181" s="166">
        <f>_xll.qlTenorBasisValue($P$3,R181,AllTriggers)</f>
        <v>2.0374208215045418E-3</v>
      </c>
      <c r="T181" s="154">
        <f>_xll.qlDayCounterYearFraction("actual/365 (fixed)",SettlementDate,R181,,,Trigger)</f>
        <v>0.69041095890410964</v>
      </c>
      <c r="U181" s="166">
        <f>_xll.qlPolynomialFunctionValue($P$18,T181,AllTriggers)</f>
        <v>1.9800062744555241E-3</v>
      </c>
    </row>
    <row r="182" spans="18:21" x14ac:dyDescent="0.2">
      <c r="R182" s="418">
        <f>_xll.qlCalendarAdvance(Calendar,R181,"1D","f")</f>
        <v>42391</v>
      </c>
      <c r="S182" s="166">
        <f>_xll.qlTenorBasisValue($P$3,R182,AllTriggers)</f>
        <v>2.0380391907073628E-3</v>
      </c>
      <c r="T182" s="154">
        <f>_xll.qlDayCounterYearFraction("actual/365 (fixed)",SettlementDate,R182,,,Trigger)</f>
        <v>0.69315068493150689</v>
      </c>
      <c r="U182" s="166">
        <f>_xll.qlPolynomialFunctionValue($P$18,T182,AllTriggers)</f>
        <v>1.9806543336913121E-3</v>
      </c>
    </row>
    <row r="183" spans="18:21" x14ac:dyDescent="0.2">
      <c r="R183" s="418">
        <f>_xll.qlCalendarAdvance(Calendar,R182,"1D","f")</f>
        <v>42394</v>
      </c>
      <c r="S183" s="166">
        <f>_xll.qlTenorBasisValue($P$3,R183,AllTriggers)</f>
        <v>2.0398953873481569E-3</v>
      </c>
      <c r="T183" s="154">
        <f>_xll.qlDayCounterYearFraction("actual/365 (fixed)",SettlementDate,R183,,,Trigger)</f>
        <v>0.70136986301369864</v>
      </c>
      <c r="U183" s="166">
        <f>_xll.qlPolynomialFunctionValue($P$18,T183,AllTriggers)</f>
        <v>1.9825868720125569E-3</v>
      </c>
    </row>
    <row r="184" spans="18:21" x14ac:dyDescent="0.2">
      <c r="R184" s="418">
        <f>_xll.qlCalendarAdvance(Calendar,R183,"1D","f")</f>
        <v>42395</v>
      </c>
      <c r="S184" s="166">
        <f>_xll.qlTenorBasisValue($P$3,R184,AllTriggers)</f>
        <v>2.0405145317559932E-3</v>
      </c>
      <c r="T184" s="154">
        <f>_xll.qlDayCounterYearFraction("actual/365 (fixed)",SettlementDate,R184,,,Trigger)</f>
        <v>0.70410958904109588</v>
      </c>
      <c r="U184" s="166">
        <f>_xll.qlPolynomialFunctionValue($P$18,T184,AllTriggers)</f>
        <v>1.9832272962737874E-3</v>
      </c>
    </row>
    <row r="185" spans="18:21" x14ac:dyDescent="0.2">
      <c r="R185" s="418">
        <f>_xll.qlCalendarAdvance(Calendar,R184,"1D","f")</f>
        <v>42396</v>
      </c>
      <c r="S185" s="166">
        <f>_xll.qlTenorBasisValue($P$3,R185,AllTriggers)</f>
        <v>2.0411339062526828E-3</v>
      </c>
      <c r="T185" s="154">
        <f>_xll.qlDayCounterYearFraction("actual/365 (fixed)",SettlementDate,R185,,,Trigger)</f>
        <v>0.70684931506849313</v>
      </c>
      <c r="U185" s="166">
        <f>_xll.qlPolynomialFunctionValue($P$18,T185,AllTriggers)</f>
        <v>1.9838659046535236E-3</v>
      </c>
    </row>
    <row r="186" spans="18:21" x14ac:dyDescent="0.2">
      <c r="R186" s="418">
        <f>_xll.qlCalendarAdvance(Calendar,R185,"1D","f")</f>
        <v>42397</v>
      </c>
      <c r="S186" s="166">
        <f>_xll.qlTenorBasisValue($P$3,R186,AllTriggers)</f>
        <v>2.0417535248732706E-3</v>
      </c>
      <c r="T186" s="154">
        <f>_xll.qlDayCounterYearFraction("actual/365 (fixed)",SettlementDate,R186,,,Trigger)</f>
        <v>0.70958904109589038</v>
      </c>
      <c r="U186" s="166">
        <f>_xll.qlPolynomialFunctionValue($P$18,T186,AllTriggers)</f>
        <v>1.9845027338166285E-3</v>
      </c>
    </row>
    <row r="187" spans="18:21" x14ac:dyDescent="0.2">
      <c r="R187" s="418">
        <f>_xll.qlCalendarAdvance(Calendar,R186,"1D","f")</f>
        <v>42398</v>
      </c>
      <c r="S187" s="166">
        <f>_xll.qlTenorBasisValue($P$3,R187,AllTriggers)</f>
        <v>2.042373401412802E-3</v>
      </c>
      <c r="T187" s="154">
        <f>_xll.qlDayCounterYearFraction("actual/365 (fixed)",SettlementDate,R187,,,Trigger)</f>
        <v>0.71232876712328763</v>
      </c>
      <c r="U187" s="166">
        <f>_xll.qlPolynomialFunctionValue($P$18,T187,AllTriggers)</f>
        <v>1.9851378201879667E-3</v>
      </c>
    </row>
    <row r="188" spans="18:21" x14ac:dyDescent="0.2">
      <c r="R188" s="418">
        <f>_xll.qlCalendarAdvance(Calendar,R187,"1D","f")</f>
        <v>42401</v>
      </c>
      <c r="S188" s="166">
        <f>_xll.qlTenorBasisValue($P$3,R188,AllTriggers)</f>
        <v>2.0442347128955458E-3</v>
      </c>
      <c r="T188" s="154">
        <f>_xll.qlDayCounterYearFraction("actual/365 (fixed)",SettlementDate,R188,,,Trigger)</f>
        <v>0.72054794520547949</v>
      </c>
      <c r="U188" s="166">
        <f>_xll.qlPolynomialFunctionValue($P$18,T188,AllTriggers)</f>
        <v>1.9870329832000415E-3</v>
      </c>
    </row>
    <row r="189" spans="18:21" x14ac:dyDescent="0.2">
      <c r="R189" s="418">
        <f>_xll.qlCalendarAdvance(Calendar,R188,"1D","f")</f>
        <v>42402</v>
      </c>
      <c r="S189" s="166">
        <f>_xll.qlTenorBasisValue($P$3,R189,AllTriggers)</f>
        <v>2.0448557542613486E-3</v>
      </c>
      <c r="T189" s="154">
        <f>_xll.qlDayCounterYearFraction("actual/365 (fixed)",SettlementDate,R189,,,Trigger)</f>
        <v>0.72328767123287674</v>
      </c>
      <c r="U189" s="166">
        <f>_xll.qlPolynomialFunctionValue($P$18,T189,AllTriggers)</f>
        <v>1.9876614578529868E-3</v>
      </c>
    </row>
    <row r="190" spans="18:21" x14ac:dyDescent="0.2">
      <c r="R190" s="418">
        <f>_xll.qlCalendarAdvance(Calendar,R189,"1D","f")</f>
        <v>42403</v>
      </c>
      <c r="S190" s="166">
        <f>_xll.qlTenorBasisValue($P$3,R190,AllTriggers)</f>
        <v>2.0454771189213536E-3</v>
      </c>
      <c r="T190" s="154">
        <f>_xll.qlDayCounterYearFraction("actual/365 (fixed)",SettlementDate,R190,,,Trigger)</f>
        <v>0.72602739726027399</v>
      </c>
      <c r="U190" s="166">
        <f>_xll.qlPolynomialFunctionValue($P$18,T190,AllTriggers)</f>
        <v>1.9882883682385134E-3</v>
      </c>
    </row>
    <row r="191" spans="18:21" x14ac:dyDescent="0.2">
      <c r="R191" s="418">
        <f>_xll.qlCalendarAdvance(Calendar,R190,"1D","f")</f>
        <v>42404</v>
      </c>
      <c r="S191" s="166">
        <f>_xll.qlTenorBasisValue($P$3,R191,AllTriggers)</f>
        <v>2.0460988192306175E-3</v>
      </c>
      <c r="T191" s="154">
        <f>_xll.qlDayCounterYearFraction("actual/365 (fixed)",SettlementDate,R191,,,Trigger)</f>
        <v>0.72876712328767124</v>
      </c>
      <c r="U191" s="166">
        <f>_xll.qlPolynomialFunctionValue($P$18,T191,AllTriggers)</f>
        <v>1.9889137493414965E-3</v>
      </c>
    </row>
    <row r="192" spans="18:21" x14ac:dyDescent="0.2">
      <c r="R192" s="418">
        <f>_xll.qlCalendarAdvance(Calendar,R191,"1D","f")</f>
        <v>42405</v>
      </c>
      <c r="S192" s="166">
        <f>_xll.qlTenorBasisValue($P$3,R192,AllTriggers)</f>
        <v>2.0467208673041999E-3</v>
      </c>
      <c r="T192" s="154">
        <f>_xll.qlDayCounterYearFraction("actual/365 (fixed)",SettlementDate,R192,,,Trigger)</f>
        <v>0.73150684931506849</v>
      </c>
      <c r="U192" s="166">
        <f>_xll.qlPolynomialFunctionValue($P$18,T192,AllTriggers)</f>
        <v>1.9895376359068146E-3</v>
      </c>
    </row>
    <row r="193" spans="18:21" x14ac:dyDescent="0.2">
      <c r="R193" s="418">
        <f>_xll.qlCalendarAdvance(Calendar,R192,"1D","f")</f>
        <v>42408</v>
      </c>
      <c r="S193" s="166">
        <f>_xll.qlTenorBasisValue($P$3,R193,AllTriggers)</f>
        <v>2.0485892156614808E-3</v>
      </c>
      <c r="T193" s="154">
        <f>_xll.qlDayCounterYearFraction("actual/365 (fixed)",SettlementDate,R193,,,Trigger)</f>
        <v>0.73972602739726023</v>
      </c>
      <c r="U193" s="166">
        <f>_xll.qlPolynomialFunctionValue($P$18,T193,AllTriggers)</f>
        <v>1.9914006722255777E-3</v>
      </c>
    </row>
    <row r="194" spans="18:21" x14ac:dyDescent="0.2">
      <c r="R194" s="418">
        <f>_xll.qlCalendarAdvance(Calendar,R193,"1D","f")</f>
        <v>42409</v>
      </c>
      <c r="S194" s="166">
        <f>_xll.qlTenorBasisValue($P$3,R194,AllTriggers)</f>
        <v>2.0492127711429693E-3</v>
      </c>
      <c r="T194" s="154">
        <f>_xll.qlDayCounterYearFraction("actual/365 (fixed)",SettlementDate,R194,,,Trigger)</f>
        <v>0.74246575342465748</v>
      </c>
      <c r="U194" s="166">
        <f>_xll.qlPolynomialFunctionValue($P$18,T194,AllTriggers)</f>
        <v>1.9920189232890467E-3</v>
      </c>
    </row>
    <row r="195" spans="18:21" x14ac:dyDescent="0.2">
      <c r="R195" s="418">
        <f>_xll.qlCalendarAdvance(Calendar,R194,"1D","f")</f>
        <v>42410</v>
      </c>
      <c r="S195" s="166">
        <f>_xll.qlTenorBasisValue($P$3,R195,AllTriggers)</f>
        <v>2.0498367313641019E-3</v>
      </c>
      <c r="T195" s="154">
        <f>_xll.qlDayCounterYearFraction("actual/365 (fixed)",SettlementDate,R195,,,Trigger)</f>
        <v>0.74520547945205484</v>
      </c>
      <c r="U195" s="166">
        <f>_xll.qlPolynomialFunctionValue($P$18,T195,AllTriggers)</f>
        <v>1.9926358499392665E-3</v>
      </c>
    </row>
    <row r="196" spans="18:21" x14ac:dyDescent="0.2">
      <c r="R196" s="418">
        <f>_xll.qlCalendarAdvance(Calendar,R195,"1D","f")</f>
        <v>42411</v>
      </c>
      <c r="S196" s="166">
        <f>_xll.qlTenorBasisValue($P$3,R196,AllTriggers)</f>
        <v>2.0504611069999492E-3</v>
      </c>
      <c r="T196" s="154">
        <f>_xll.qlDayCounterYearFraction("actual/365 (fixed)",SettlementDate,R196,,,Trigger)</f>
        <v>0.74794520547945209</v>
      </c>
      <c r="U196" s="166">
        <f>_xll.qlPolynomialFunctionValue($P$18,T196,AllTriggers)</f>
        <v>1.9932514854811255E-3</v>
      </c>
    </row>
    <row r="197" spans="18:21" x14ac:dyDescent="0.2">
      <c r="R197" s="418">
        <f>_xll.qlCalendarAdvance(Calendar,R196,"1D","f")</f>
        <v>42412</v>
      </c>
      <c r="S197" s="166">
        <f>_xll.qlTenorBasisValue($P$3,R197,AllTriggers)</f>
        <v>2.0510859084855847E-3</v>
      </c>
      <c r="T197" s="154">
        <f>_xll.qlDayCounterYearFraction("actual/365 (fixed)",SettlementDate,R197,,,Trigger)</f>
        <v>0.75068493150684934</v>
      </c>
      <c r="U197" s="166">
        <f>_xll.qlPolynomialFunctionValue($P$18,T197,AllTriggers)</f>
        <v>1.9938658629795156E-3</v>
      </c>
    </row>
    <row r="198" spans="18:21" x14ac:dyDescent="0.2">
      <c r="R198" s="418">
        <f>_xll.qlCalendarAdvance(Calendar,R197,"1D","f")</f>
        <v>42415</v>
      </c>
      <c r="S198" s="166">
        <f>_xll.qlTenorBasisValue($P$3,R198,AllTriggers)</f>
        <v>2.0529629687919748E-3</v>
      </c>
      <c r="T198" s="154">
        <f>_xll.qlDayCounterYearFraction("actual/365 (fixed)",SettlementDate,R198,,,Trigger)</f>
        <v>0.75890410958904109</v>
      </c>
      <c r="U198" s="166">
        <f>_xll.qlPolynomialFunctionValue($P$18,T198,AllTriggers)</f>
        <v>1.99570177426281E-3</v>
      </c>
    </row>
    <row r="199" spans="18:21" x14ac:dyDescent="0.2">
      <c r="R199" s="418">
        <f>_xll.qlCalendarAdvance(Calendar,R198,"1D","f")</f>
        <v>42416</v>
      </c>
      <c r="S199" s="166">
        <f>_xll.qlTenorBasisValue($P$3,R199,AllTriggers)</f>
        <v>2.0535895732275286E-3</v>
      </c>
      <c r="T199" s="154">
        <f>_xll.qlDayCounterYearFraction("actual/365 (fixed)",SettlementDate,R199,,,Trigger)</f>
        <v>0.76164383561643834</v>
      </c>
      <c r="U199" s="166">
        <f>_xll.qlPolynomialFunctionValue($P$18,T199,AllTriggers)</f>
        <v>1.9963114454362727E-3</v>
      </c>
    </row>
    <row r="200" spans="18:21" x14ac:dyDescent="0.2">
      <c r="R200" s="418">
        <f>_xll.qlCalendarAdvance(Calendar,R199,"1D","f")</f>
        <v>42417</v>
      </c>
      <c r="S200" s="166">
        <f>_xll.qlTenorBasisValue($P$3,R200,AllTriggers)</f>
        <v>2.0542166520882625E-3</v>
      </c>
      <c r="T200" s="154">
        <f>_xll.qlDayCounterYearFraction("actual/365 (fixed)",SettlementDate,R200,,,Trigger)</f>
        <v>0.76438356164383559</v>
      </c>
      <c r="U200" s="166">
        <f>_xll.qlPolynomialFunctionValue($P$18,T200,AllTriggers)</f>
        <v>1.9969200202907492E-3</v>
      </c>
    </row>
    <row r="201" spans="18:21" x14ac:dyDescent="0.2">
      <c r="R201" s="418">
        <f>_xll.qlCalendarAdvance(Calendar,R200,"1D","f")</f>
        <v>42418</v>
      </c>
      <c r="S201" s="166">
        <f>_xll.qlTenorBasisValue($P$3,R201,AllTriggers)</f>
        <v>2.0548442143692625E-3</v>
      </c>
      <c r="T201" s="154">
        <f>_xll.qlDayCounterYearFraction("actual/365 (fixed)",SettlementDate,R201,,,Trigger)</f>
        <v>0.76712328767123283</v>
      </c>
      <c r="U201" s="166">
        <f>_xll.qlPolynomialFunctionValue($P$18,T201,AllTriggers)</f>
        <v>1.9975275304511433E-3</v>
      </c>
    </row>
    <row r="202" spans="18:21" x14ac:dyDescent="0.2">
      <c r="R202" s="418">
        <f>_xll.qlCalendarAdvance(Calendar,R201,"1D","f")</f>
        <v>42419</v>
      </c>
      <c r="S202" s="166">
        <f>_xll.qlTenorBasisValue($P$3,R202,AllTriggers)</f>
        <v>2.0554722688256146E-3</v>
      </c>
      <c r="T202" s="154">
        <f>_xll.qlDayCounterYearFraction("actual/365 (fixed)",SettlementDate,R202,,,Trigger)</f>
        <v>0.76986301369863008</v>
      </c>
      <c r="U202" s="166">
        <f>_xll.qlPolynomialFunctionValue($P$18,T202,AllTriggers)</f>
        <v>1.9981340073023592E-3</v>
      </c>
    </row>
    <row r="203" spans="18:21" x14ac:dyDescent="0.2">
      <c r="R203" s="418">
        <f>_xll.qlCalendarAdvance(Calendar,R202,"1D","f")</f>
        <v>42422</v>
      </c>
      <c r="S203" s="166">
        <f>_xll.qlTenorBasisValue($P$3,R203,AllTriggers)</f>
        <v>2.0573594691976698E-3</v>
      </c>
      <c r="T203" s="154">
        <f>_xll.qlDayCounterYearFraction("actual/365 (fixed)",SettlementDate,R203,,,Trigger)</f>
        <v>0.77808219178082194</v>
      </c>
      <c r="U203" s="166">
        <f>_xll.qlPolynomialFunctionValue($P$18,T203,AllTriggers)</f>
        <v>1.999947548250012E-3</v>
      </c>
    </row>
    <row r="204" spans="18:21" x14ac:dyDescent="0.2">
      <c r="R204" s="418">
        <f>_xll.qlCalendarAdvance(Calendar,R203,"1D","f")</f>
        <v>42423</v>
      </c>
      <c r="S204" s="166">
        <f>_xll.qlTenorBasisValue($P$3,R204,AllTriggers)</f>
        <v>2.0579895751063298E-3</v>
      </c>
      <c r="T204" s="154">
        <f>_xll.qlDayCounterYearFraction("actual/365 (fixed)",SettlementDate,R204,,,Trigger)</f>
        <v>0.78082191780821919</v>
      </c>
      <c r="U204" s="166">
        <f>_xll.qlPolynomialFunctionValue($P$18,T204,AllTriggers)</f>
        <v>2.0005502009135981E-3</v>
      </c>
    </row>
    <row r="205" spans="18:21" x14ac:dyDescent="0.2">
      <c r="R205" s="418">
        <f>_xll.qlCalendarAdvance(Calendar,R204,"1D","f")</f>
        <v>42424</v>
      </c>
      <c r="S205" s="166">
        <f>_xll.qlTenorBasisValue($P$3,R205,AllTriggers)</f>
        <v>2.0586202133658017E-3</v>
      </c>
      <c r="T205" s="154">
        <f>_xll.qlDayCounterYearFraction("actual/365 (fixed)",SettlementDate,R205,,,Trigger)</f>
        <v>0.78356164383561644</v>
      </c>
      <c r="U205" s="166">
        <f>_xll.qlPolynomialFunctionValue($P$18,T205,AllTriggers)</f>
        <v>2.0011519735925582E-3</v>
      </c>
    </row>
    <row r="206" spans="18:21" x14ac:dyDescent="0.2">
      <c r="R206" s="418">
        <f>_xll.qlCalendarAdvance(Calendar,R205,"1D","f")</f>
        <v>42425</v>
      </c>
      <c r="S206" s="166">
        <f>_xll.qlTenorBasisValue($P$3,R206,AllTriggers)</f>
        <v>2.0592513912911837E-3</v>
      </c>
      <c r="T206" s="154">
        <f>_xll.qlDayCounterYearFraction("actual/365 (fixed)",SettlementDate,R206,,,Trigger)</f>
        <v>0.78630136986301369</v>
      </c>
      <c r="U206" s="166">
        <f>_xll.qlPolynomialFunctionValue($P$18,T206,AllTriggers)</f>
        <v>2.0017528962318074E-3</v>
      </c>
    </row>
    <row r="207" spans="18:21" x14ac:dyDescent="0.2">
      <c r="R207" s="418">
        <f>_xll.qlCalendarAdvance(Calendar,R206,"1D","f")</f>
        <v>42426</v>
      </c>
      <c r="S207" s="166">
        <f>_xll.qlTenorBasisValue($P$3,R207,AllTriggers)</f>
        <v>2.0598831159575753E-3</v>
      </c>
      <c r="T207" s="154">
        <f>_xll.qlDayCounterYearFraction("actual/365 (fixed)",SettlementDate,R207,,,Trigger)</f>
        <v>0.78904109589041094</v>
      </c>
      <c r="U207" s="166">
        <f>_xll.qlPolynomialFunctionValue($P$18,T207,AllTriggers)</f>
        <v>2.0023529985362639E-3</v>
      </c>
    </row>
    <row r="208" spans="18:21" x14ac:dyDescent="0.2">
      <c r="R208" s="418">
        <f>_xll.qlCalendarAdvance(Calendar,R207,"1D","f")</f>
        <v>42429</v>
      </c>
      <c r="S208" s="166">
        <f>_xll.qlTenorBasisValue($P$3,R208,AllTriggers)</f>
        <v>2.0617816375538378E-3</v>
      </c>
      <c r="T208" s="154">
        <f>_xll.qlDayCounterYearFraction("actual/365 (fixed)",SettlementDate,R208,,,Trigger)</f>
        <v>0.79726027397260268</v>
      </c>
      <c r="U208" s="166">
        <f>_xll.qlPolynomialFunctionValue($P$18,T208,AllTriggers)</f>
        <v>2.0041486768900859E-3</v>
      </c>
    </row>
    <row r="209" spans="18:21" x14ac:dyDescent="0.2">
      <c r="R209" s="418">
        <f>_xll.qlCalendarAdvance(Calendar,R208,"1D","f")</f>
        <v>42430</v>
      </c>
      <c r="S209" s="166">
        <f>_xll.qlTenorBasisValue($P$3,R209,AllTriggers)</f>
        <v>2.0624156151353066E-3</v>
      </c>
      <c r="T209" s="154">
        <f>_xll.qlDayCounterYearFraction("actual/365 (fixed)",SettlementDate,R209,,,Trigger)</f>
        <v>0.8</v>
      </c>
      <c r="U209" s="166">
        <f>_xll.qlPolynomialFunctionValue($P$18,T209,AllTriggers)</f>
        <v>2.0047457901045899E-3</v>
      </c>
    </row>
    <row r="210" spans="18:21" x14ac:dyDescent="0.2">
      <c r="R210" s="418">
        <f>_xll.qlCalendarAdvance(Calendar,R209,"1D","f")</f>
        <v>42431</v>
      </c>
      <c r="S210" s="166">
        <f>_xll.qlTenorBasisValue($P$3,R210,AllTriggers)</f>
        <v>2.063050171233313E-3</v>
      </c>
      <c r="T210" s="154">
        <f>_xll.qlDayCounterYearFraction("actual/365 (fixed)",SettlementDate,R210,,,Trigger)</f>
        <v>0.80273972602739729</v>
      </c>
      <c r="U210" s="166">
        <f>_xll.qlPolynomialFunctionValue($P$18,T210,AllTriggers)</f>
        <v>2.0053422279089203E-3</v>
      </c>
    </row>
    <row r="211" spans="18:21" x14ac:dyDescent="0.2">
      <c r="R211" s="418">
        <f>_xll.qlCalendarAdvance(Calendar,R210,"1D","f")</f>
        <v>42432</v>
      </c>
      <c r="S211" s="166">
        <f>_xll.qlTenorBasisValue($P$3,R211,AllTriggers)</f>
        <v>2.0636853114829688E-3</v>
      </c>
      <c r="T211" s="154">
        <f>_xll.qlDayCounterYearFraction("actual/365 (fixed)",SettlementDate,R211,,,Trigger)</f>
        <v>0.80547945205479454</v>
      </c>
      <c r="U211" s="166">
        <f>_xll.qlPolynomialFunctionValue($P$18,T211,AllTriggers)</f>
        <v>2.0059380185680062E-3</v>
      </c>
    </row>
    <row r="212" spans="18:21" x14ac:dyDescent="0.2">
      <c r="R212" s="418">
        <f>_xll.qlCalendarAdvance(Calendar,R211,"1D","f")</f>
        <v>42433</v>
      </c>
      <c r="S212" s="166">
        <f>_xll.qlTenorBasisValue($P$3,R212,AllTriggers)</f>
        <v>2.0643210412793875E-3</v>
      </c>
      <c r="T212" s="154">
        <f>_xll.qlDayCounterYearFraction("actual/365 (fixed)",SettlementDate,R212,,,Trigger)</f>
        <v>0.80821917808219179</v>
      </c>
      <c r="U212" s="166">
        <f>_xll.qlPolynomialFunctionValue($P$18,T212,AllTriggers)</f>
        <v>2.0065331901067793E-3</v>
      </c>
    </row>
    <row r="213" spans="18:21" x14ac:dyDescent="0.2">
      <c r="R213" s="418">
        <f>_xll.qlCalendarAdvance(Calendar,R212,"1D","f")</f>
        <v>42436</v>
      </c>
      <c r="S213" s="166">
        <f>_xll.qlTenorBasisValue($P$3,R213,AllTriggers)</f>
        <v>2.0662318183003814E-3</v>
      </c>
      <c r="T213" s="154">
        <f>_xll.qlDayCounterYearFraction("actual/365 (fixed)",SettlementDate,R213,,,Trigger)</f>
        <v>0.81643835616438354</v>
      </c>
      <c r="U213" s="166">
        <f>_xll.qlPolynomialFunctionValue($P$18,T213,AllTriggers)</f>
        <v>2.0083152666505667E-3</v>
      </c>
    </row>
    <row r="214" spans="18:21" x14ac:dyDescent="0.2">
      <c r="R214" s="418">
        <f>_xll.qlCalendarAdvance(Calendar,R213,"1D","f")</f>
        <v>42437</v>
      </c>
      <c r="S214" s="166">
        <f>_xll.qlTenorBasisValue($P$3,R214,AllTriggers)</f>
        <v>2.066869955435023E-3</v>
      </c>
      <c r="T214" s="154">
        <f>_xll.qlDayCounterYearFraction("actual/365 (fixed)",SettlementDate,R214,,,Trigger)</f>
        <v>0.81917808219178079</v>
      </c>
      <c r="U214" s="166">
        <f>_xll.qlPolynomialFunctionValue($P$18,T214,AllTriggers)</f>
        <v>2.0089082371574423E-3</v>
      </c>
    </row>
    <row r="215" spans="18:21" x14ac:dyDescent="0.2">
      <c r="R215" s="418">
        <f>_xll.qlCalendarAdvance(Calendar,R214,"1D","f")</f>
        <v>42438</v>
      </c>
      <c r="S215" s="166">
        <f>_xll.qlTenorBasisValue($P$3,R215,AllTriggers)</f>
        <v>2.0675087054920225E-3</v>
      </c>
      <c r="T215" s="154">
        <f>_xll.qlDayCounterYearFraction("actual/365 (fixed)",SettlementDate,R215,,,Trigger)</f>
        <v>0.82191780821917804</v>
      </c>
      <c r="U215" s="166">
        <f>_xll.qlPolynomialFunctionValue($P$18,T215,AllTriggers)</f>
        <v>2.0095007250686922E-3</v>
      </c>
    </row>
    <row r="216" spans="18:21" x14ac:dyDescent="0.2">
      <c r="R216" s="418">
        <f>_xll.qlCalendarAdvance(Calendar,R215,"1D","f")</f>
        <v>42439</v>
      </c>
      <c r="S216" s="166">
        <f>_xll.qlTenorBasisValue($P$3,R216,AllTriggers)</f>
        <v>2.0681480724265055E-3</v>
      </c>
      <c r="T216" s="154">
        <f>_xll.qlDayCounterYearFraction("actual/365 (fixed)",SettlementDate,R216,,,Trigger)</f>
        <v>0.8246575342465754</v>
      </c>
      <c r="U216" s="166">
        <f>_xll.qlPolynomialFunctionValue($P$18,T216,AllTriggers)</f>
        <v>2.0100927569692579E-3</v>
      </c>
    </row>
    <row r="217" spans="18:21" x14ac:dyDescent="0.2">
      <c r="R217" s="418">
        <f>_xll.qlCalendarAdvance(Calendar,R216,"1D","f")</f>
        <v>42440</v>
      </c>
      <c r="S217" s="166">
        <f>_xll.qlTenorBasisValue($P$3,R217,AllTriggers)</f>
        <v>2.0687880599535987E-3</v>
      </c>
      <c r="T217" s="154">
        <f>_xll.qlDayCounterYearFraction("actual/365 (fixed)",SettlementDate,R217,,,Trigger)</f>
        <v>0.82739726027397265</v>
      </c>
      <c r="U217" s="166">
        <f>_xll.qlPolynomialFunctionValue($P$18,T217,AllTriggers)</f>
        <v>2.0106843592040862E-3</v>
      </c>
    </row>
    <row r="218" spans="18:21" x14ac:dyDescent="0.2">
      <c r="R218" s="418">
        <f>_xll.qlCalendarAdvance(Calendar,R217,"1D","f")</f>
        <v>42443</v>
      </c>
      <c r="S218" s="166">
        <f>_xll.qlTenorBasisValue($P$3,R218,AllTriggers)</f>
        <v>2.0707117796418336E-3</v>
      </c>
      <c r="T218" s="154">
        <f>_xll.qlDayCounterYearFraction("actual/365 (fixed)",SettlementDate,R218,,,Trigger)</f>
        <v>0.83561643835616439</v>
      </c>
      <c r="U218" s="166">
        <f>_xll.qlPolynomialFunctionValue($P$18,T218,AllTriggers)</f>
        <v>2.0124568477636181E-3</v>
      </c>
    </row>
    <row r="219" spans="18:21" x14ac:dyDescent="0.2">
      <c r="R219" s="418">
        <f>_xll.qlCalendarAdvance(Calendar,R218,"1D","f")</f>
        <v>42444</v>
      </c>
      <c r="S219" s="166">
        <f>_xll.qlTenorBasisValue($P$3,R219,AllTriggers)</f>
        <v>2.0713542818906736E-3</v>
      </c>
      <c r="T219" s="154">
        <f>_xll.qlDayCounterYearFraction("actual/365 (fixed)",SettlementDate,R219,,,Trigger)</f>
        <v>0.83835616438356164</v>
      </c>
      <c r="U219" s="166">
        <f>_xll.qlPolynomialFunctionValue($P$18,T219,AllTriggers)</f>
        <v>2.0130469899849817E-3</v>
      </c>
    </row>
    <row r="220" spans="18:21" x14ac:dyDescent="0.2">
      <c r="R220" s="418">
        <f>_xll.qlCalendarAdvance(Calendar,R219,"1D","f")</f>
        <v>42445</v>
      </c>
      <c r="S220" s="166">
        <f>_xll.qlTenorBasisValue($P$3,R220,AllTriggers)</f>
        <v>2.0719974197077862E-3</v>
      </c>
      <c r="T220" s="154">
        <f>_xll.qlDayCounterYearFraction("actual/365 (fixed)",SettlementDate,R220,,,Trigger)</f>
        <v>0.84109589041095889</v>
      </c>
      <c r="U220" s="166">
        <f>_xll.qlPolynomialFunctionValue($P$18,T220,AllTriggers)</f>
        <v>2.0136368306653604E-3</v>
      </c>
    </row>
    <row r="221" spans="18:21" x14ac:dyDescent="0.2">
      <c r="R221" s="418">
        <f>_xll.qlCalendarAdvance(Calendar,R220,"1D","f")</f>
        <v>42446</v>
      </c>
      <c r="S221" s="166">
        <f>_xll.qlTenorBasisValue($P$3,R221,AllTriggers)</f>
        <v>2.0726411953683101E-3</v>
      </c>
      <c r="T221" s="154">
        <f>_xll.qlDayCounterYearFraction("actual/365 (fixed)",SettlementDate,R221,,,Trigger)</f>
        <v>0.84383561643835614</v>
      </c>
      <c r="U221" s="166">
        <f>_xll.qlPolynomialFunctionValue($P$18,T221,AllTriggers)</f>
        <v>2.0142263947097107E-3</v>
      </c>
    </row>
    <row r="222" spans="18:21" x14ac:dyDescent="0.2">
      <c r="R222" s="418">
        <f>_xll.qlCalendarAdvance(Calendar,R221,"1D","f")</f>
        <v>42447</v>
      </c>
      <c r="S222" s="166">
        <f>_xll.qlTenorBasisValue($P$3,R222,AllTriggers)</f>
        <v>2.0732856109073861E-3</v>
      </c>
      <c r="T222" s="154">
        <f>_xll.qlDayCounterYearFraction("actual/365 (fixed)",SettlementDate,R222,,,Trigger)</f>
        <v>0.84657534246575339</v>
      </c>
      <c r="U222" s="166">
        <f>_xll.qlPolynomialFunctionValue($P$18,T222,AllTriggers)</f>
        <v>2.0148157067829925E-3</v>
      </c>
    </row>
    <row r="223" spans="18:21" x14ac:dyDescent="0.2">
      <c r="R223" s="418">
        <f>_xll.qlCalendarAdvance(Calendar,R222,"1D","f")</f>
        <v>42450</v>
      </c>
      <c r="S223" s="166">
        <f>_xll.qlTenorBasisValue($P$3,R223,AllTriggers)</f>
        <v>2.0752227135473564E-3</v>
      </c>
      <c r="T223" s="154">
        <f>_xll.qlDayCounterYearFraction("actual/365 (fixed)",SettlementDate,R223,,,Trigger)</f>
        <v>0.85479452054794525</v>
      </c>
      <c r="U223" s="166">
        <f>_xll.qlPolynomialFunctionValue($P$18,T223,AllTriggers)</f>
        <v>2.0165823742260341E-3</v>
      </c>
    </row>
    <row r="224" spans="18:21" x14ac:dyDescent="0.2">
      <c r="R224" s="418">
        <f>_xll.qlCalendarAdvance(Calendar,R223,"1D","f")</f>
        <v>42451</v>
      </c>
      <c r="S224" s="166">
        <f>_xll.qlTenorBasisValue($P$3,R224,AllTriggers)</f>
        <v>2.0758697041520814E-3</v>
      </c>
      <c r="T224" s="154">
        <f>_xll.qlDayCounterYearFraction("actual/365 (fixed)",SettlementDate,R224,,,Trigger)</f>
        <v>0.8575342465753425</v>
      </c>
      <c r="U224" s="166">
        <f>_xll.qlPolynomialFunctionValue($P$18,T224,AllTriggers)</f>
        <v>2.0171709202646618E-3</v>
      </c>
    </row>
    <row r="225" spans="18:21" x14ac:dyDescent="0.2">
      <c r="R225" s="418">
        <f>_xll.qlCalendarAdvance(Calendar,R224,"1D","f")</f>
        <v>42452</v>
      </c>
      <c r="S225" s="166">
        <f>_xll.qlTenorBasisValue($P$3,R225,AllTriggers)</f>
        <v>2.0765173412110884E-3</v>
      </c>
      <c r="T225" s="154">
        <f>_xll.qlDayCounterYearFraction("actual/365 (fixed)",SettlementDate,R225,,,Trigger)</f>
        <v>0.86027397260273974</v>
      </c>
      <c r="U225" s="166">
        <f>_xll.qlPolynomialFunctionValue($P$18,T225,AllTriggers)</f>
        <v>2.0177593340570416E-3</v>
      </c>
    </row>
    <row r="226" spans="18:21" x14ac:dyDescent="0.2">
      <c r="R226" s="418">
        <f>_xll.qlCalendarAdvance(Calendar,R225,"1D","f")</f>
        <v>42453</v>
      </c>
      <c r="S226" s="166">
        <f>_xll.qlTenorBasisValue($P$3,R226,AllTriggers)</f>
        <v>2.0771656253195298E-3</v>
      </c>
      <c r="T226" s="154">
        <f>_xll.qlDayCounterYearFraction("actual/365 (fixed)",SettlementDate,R226,,,Trigger)</f>
        <v>0.86301369863013699</v>
      </c>
      <c r="U226" s="166">
        <f>_xll.qlPolynomialFunctionValue($P$18,T226,AllTriggers)</f>
        <v>2.0183476388281434E-3</v>
      </c>
    </row>
    <row r="227" spans="18:21" x14ac:dyDescent="0.2">
      <c r="R227" s="418">
        <f>_xll.qlCalendarAdvance(Calendar,R226,"1D","f")</f>
        <v>42458</v>
      </c>
      <c r="S227" s="166">
        <f>_xll.qlTenorBasisValue($P$3,R227,AllTriggers)</f>
        <v>2.0804167556337013E-3</v>
      </c>
      <c r="T227" s="154">
        <f>_xll.qlDayCounterYearFraction("actual/365 (fixed)",SettlementDate,R227,,,Trigger)</f>
        <v>0.87671232876712324</v>
      </c>
      <c r="U227" s="166">
        <f>_xll.qlPolynomialFunctionValue($P$18,T227,AllTriggers)</f>
        <v>2.0212883234385698E-3</v>
      </c>
    </row>
    <row r="228" spans="18:21" x14ac:dyDescent="0.2">
      <c r="R228" s="418">
        <f>_xll.qlCalendarAdvance(Calendar,R227,"1D","f")</f>
        <v>42459</v>
      </c>
      <c r="S228" s="166">
        <f>_xll.qlTenorBasisValue($P$3,R228,AllTriggers)</f>
        <v>2.081068921097046E-3</v>
      </c>
      <c r="T228" s="154">
        <f>_xll.qlDayCounterYearFraction("actual/365 (fixed)",SettlementDate,R228,,,Trigger)</f>
        <v>0.8794520547945206</v>
      </c>
      <c r="U228" s="166">
        <f>_xll.qlPolynomialFunctionValue($P$18,T228,AllTriggers)</f>
        <v>2.021876448366483E-3</v>
      </c>
    </row>
    <row r="229" spans="18:21" x14ac:dyDescent="0.2">
      <c r="R229" s="418">
        <f>_xll.qlCalendarAdvance(Calendar,R228,"1D","f")</f>
        <v>42460</v>
      </c>
      <c r="S229" s="166">
        <f>_xll.qlTenorBasisValue($P$3,R229,AllTriggers)</f>
        <v>2.0817217310559418E-3</v>
      </c>
      <c r="T229" s="154">
        <f>_xll.qlDayCounterYearFraction("actual/365 (fixed)",SettlementDate,R229,,,Trigger)</f>
        <v>0.88219178082191785</v>
      </c>
      <c r="U229" s="166">
        <f>_xll.qlPolynomialFunctionValue($P$18,T229,AllTriggers)</f>
        <v>2.0224646201279632E-3</v>
      </c>
    </row>
    <row r="230" spans="18:21" x14ac:dyDescent="0.2">
      <c r="R230" s="418">
        <f>_xll.qlCalendarAdvance(Calendar,R229,"1D","f")</f>
        <v>42461</v>
      </c>
      <c r="S230" s="166">
        <f>_xll.qlTenorBasisValue($P$3,R230,AllTriggers)</f>
        <v>2.0823751841855566E-3</v>
      </c>
      <c r="T230" s="154">
        <f>_xll.qlDayCounterYearFraction("actual/365 (fixed)",SettlementDate,R230,,,Trigger)</f>
        <v>0.8849315068493151</v>
      </c>
      <c r="U230" s="166">
        <f>_xll.qlPolynomialFunctionValue($P$18,T230,AllTriggers)</f>
        <v>2.0230528600279954E-3</v>
      </c>
    </row>
    <row r="231" spans="18:21" x14ac:dyDescent="0.2">
      <c r="R231" s="418">
        <f>_xll.qlCalendarAdvance(Calendar,R230,"1D","f")</f>
        <v>42464</v>
      </c>
      <c r="S231" s="166">
        <f>_xll.qlTenorBasisValue($P$3,R231,AllTriggers)</f>
        <v>2.0843393857504157E-3</v>
      </c>
      <c r="T231" s="154">
        <f>_xll.qlDayCounterYearFraction("actual/365 (fixed)",SettlementDate,R231,,,Trigger)</f>
        <v>0.89315068493150684</v>
      </c>
      <c r="U231" s="166">
        <f>_xll.qlPolynomialFunctionValue($P$18,T231,AllTriggers)</f>
        <v>2.0248181980092872E-3</v>
      </c>
    </row>
    <row r="232" spans="18:21" x14ac:dyDescent="0.2">
      <c r="R232" s="418">
        <f>_xll.qlCalendarAdvance(Calendar,R231,"1D","f")</f>
        <v>42465</v>
      </c>
      <c r="S232" s="166">
        <f>_xll.qlTenorBasisValue($P$3,R232,AllTriggers)</f>
        <v>2.0849953935146172E-3</v>
      </c>
      <c r="T232" s="154">
        <f>_xll.qlDayCounterYearFraction("actual/365 (fixed)",SettlementDate,R232,,,Trigger)</f>
        <v>0.89589041095890409</v>
      </c>
      <c r="U232" s="166">
        <f>_xll.qlPolynomialFunctionValue($P$18,T232,AllTriggers)</f>
        <v>2.0254069187134204E-3</v>
      </c>
    </row>
    <row r="233" spans="18:21" x14ac:dyDescent="0.2">
      <c r="R233" s="418">
        <f>_xll.qlCalendarAdvance(Calendar,R232,"1D","f")</f>
        <v>42466</v>
      </c>
      <c r="S233" s="166">
        <f>_xll.qlTenorBasisValue($P$3,R233,AllTriggers)</f>
        <v>2.0856520342254037E-3</v>
      </c>
      <c r="T233" s="154">
        <f>_xll.qlDayCounterYearFraction("actual/365 (fixed)",SettlementDate,R233,,,Trigger)</f>
        <v>0.89863013698630134</v>
      </c>
      <c r="U233" s="166">
        <f>_xll.qlPolynomialFunctionValue($P$18,T233,AllTriggers)</f>
        <v>2.0259958104810625E-3</v>
      </c>
    </row>
    <row r="234" spans="18:21" x14ac:dyDescent="0.2">
      <c r="R234" s="418">
        <f>_xll.qlCalendarAdvance(Calendar,R233,"1D","f")</f>
        <v>42467</v>
      </c>
      <c r="S234" s="166">
        <f>_xll.qlTenorBasisValue($P$3,R234,AllTriggers)</f>
        <v>2.0863093051179528E-3</v>
      </c>
      <c r="T234" s="154">
        <f>_xll.qlDayCounterYearFraction("actual/365 (fixed)",SettlementDate,R234,,,Trigger)</f>
        <v>0.90136986301369859</v>
      </c>
      <c r="U234" s="166">
        <f>_xll.qlPolynomialFunctionValue($P$18,T234,AllTriggers)</f>
        <v>2.0265848931772098E-3</v>
      </c>
    </row>
    <row r="235" spans="18:21" x14ac:dyDescent="0.2">
      <c r="R235" s="418">
        <f>_xll.qlCalendarAdvance(Calendar,R234,"1D","f")</f>
        <v>42468</v>
      </c>
      <c r="S235" s="166">
        <f>_xll.qlTenorBasisValue($P$3,R235,AllTriggers)</f>
        <v>2.0869672031874464E-3</v>
      </c>
      <c r="T235" s="154">
        <f>_xll.qlDayCounterYearFraction("actual/365 (fixed)",SettlementDate,R235,,,Trigger)</f>
        <v>0.90410958904109584</v>
      </c>
      <c r="U235" s="166">
        <f>_xll.qlPolynomialFunctionValue($P$18,T235,AllTriggers)</f>
        <v>2.0271741864268614E-3</v>
      </c>
    </row>
    <row r="236" spans="18:21" x14ac:dyDescent="0.2">
      <c r="R236" s="418">
        <f>_xll.qlCalendarAdvance(Calendar,R235,"1D","f")</f>
        <v>42471</v>
      </c>
      <c r="S236" s="166">
        <f>_xll.qlTenorBasisValue($P$3,R236,AllTriggers)</f>
        <v>2.0889446268094287E-3</v>
      </c>
      <c r="T236" s="154">
        <f>_xll.qlDayCounterYearFraction("actual/365 (fixed)",SettlementDate,R236,,,Trigger)</f>
        <v>0.9123287671232877</v>
      </c>
      <c r="U236" s="166">
        <f>_xll.qlPolynomialFunctionValue($P$18,T236,AllTriggers)</f>
        <v>2.0289435221468623E-3</v>
      </c>
    </row>
    <row r="237" spans="18:21" x14ac:dyDescent="0.2">
      <c r="R237" s="418">
        <f>_xll.qlCalendarAdvance(Calendar,R236,"1D","f")</f>
        <v>42472</v>
      </c>
      <c r="S237" s="166">
        <f>_xll.qlTenorBasisValue($P$3,R237,AllTriggers)</f>
        <v>2.0896049987385451E-3</v>
      </c>
      <c r="T237" s="154">
        <f>_xll.qlDayCounterYearFraction("actual/365 (fixed)",SettlementDate,R237,,,Trigger)</f>
        <v>0.91506849315068495</v>
      </c>
      <c r="U237" s="166">
        <f>_xll.qlPolynomialFunctionValue($P$18,T237,AllTriggers)</f>
        <v>2.0295338490605602E-3</v>
      </c>
    </row>
    <row r="238" spans="18:21" x14ac:dyDescent="0.2">
      <c r="R238" s="418">
        <f>_xll.qlCalendarAdvance(Calendar,R237,"1D","f")</f>
        <v>42473</v>
      </c>
      <c r="S238" s="166">
        <f>_xll.qlTenorBasisValue($P$3,R238,AllTriggers)</f>
        <v>2.0902659792205384E-3</v>
      </c>
      <c r="T238" s="154">
        <f>_xll.qlDayCounterYearFraction("actual/365 (fixed)",SettlementDate,R238,,,Trigger)</f>
        <v>0.9178082191780822</v>
      </c>
      <c r="U238" s="166">
        <f>_xll.qlPolynomialFunctionValue($P$18,T238,AllTriggers)</f>
        <v>2.0301244810527869E-3</v>
      </c>
    </row>
    <row r="239" spans="18:21" x14ac:dyDescent="0.2">
      <c r="R239" s="418">
        <f>_xll.qlCalendarAdvance(Calendar,R238,"1D","f")</f>
        <v>42474</v>
      </c>
      <c r="S239" s="166">
        <f>_xll.qlTenorBasisValue($P$3,R239,AllTriggers)</f>
        <v>2.0909275638106013E-3</v>
      </c>
      <c r="T239" s="154">
        <f>_xll.qlDayCounterYearFraction("actual/365 (fixed)",SettlementDate,R239,,,Trigger)</f>
        <v>0.92054794520547945</v>
      </c>
      <c r="U239" s="166">
        <f>_xll.qlPolynomialFunctionValue($P$18,T239,AllTriggers)</f>
        <v>2.030715436308552E-3</v>
      </c>
    </row>
    <row r="240" spans="18:21" x14ac:dyDescent="0.2">
      <c r="R240" s="418">
        <f>_xll.qlCalendarAdvance(Calendar,R239,"1D","f")</f>
        <v>42475</v>
      </c>
      <c r="S240" s="166">
        <f>_xll.qlTenorBasisValue($P$3,R240,AllTriggers)</f>
        <v>2.0915897478239283E-3</v>
      </c>
      <c r="T240" s="154">
        <f>_xll.qlDayCounterYearFraction("actual/365 (fixed)",SettlementDate,R240,,,Trigger)</f>
        <v>0.92328767123287669</v>
      </c>
      <c r="U240" s="166">
        <f>_xll.qlPolynomialFunctionValue($P$18,T240,AllTriggers)</f>
        <v>2.0313067327728681E-3</v>
      </c>
    </row>
    <row r="241" spans="18:21" x14ac:dyDescent="0.2">
      <c r="R241" s="418">
        <f>_xll.qlCalendarAdvance(Calendar,R240,"1D","f")</f>
        <v>42478</v>
      </c>
      <c r="S241" s="166">
        <f>_xll.qlTenorBasisValue($P$3,R241,AllTriggers)</f>
        <v>2.0935798459554636E-3</v>
      </c>
      <c r="T241" s="154">
        <f>_xll.qlDayCounterYearFraction("actual/365 (fixed)",SettlementDate,R241,,,Trigger)</f>
        <v>0.93150684931506844</v>
      </c>
      <c r="U241" s="166">
        <f>_xll.qlPolynomialFunctionValue($P$18,T241,AllTriggers)</f>
        <v>2.0330828452672792E-3</v>
      </c>
    </row>
    <row r="242" spans="18:21" x14ac:dyDescent="0.2">
      <c r="R242" s="418">
        <f>_xll.qlCalendarAdvance(Calendar,R241,"1D","f")</f>
        <v>42479</v>
      </c>
      <c r="S242" s="166">
        <f>_xll.qlTenorBasisValue($P$3,R242,AllTriggers)</f>
        <v>2.0942443760138272E-3</v>
      </c>
      <c r="T242" s="154">
        <f>_xll.qlDayCounterYearFraction("actual/365 (fixed)",SettlementDate,R242,,,Trigger)</f>
        <v>0.9342465753424658</v>
      </c>
      <c r="U242" s="166">
        <f>_xll.qlPolynomialFunctionValue($P$18,T242,AllTriggers)</f>
        <v>2.0336756812159643E-3</v>
      </c>
    </row>
    <row r="243" spans="18:21" x14ac:dyDescent="0.2">
      <c r="R243" s="418">
        <f>_xll.qlCalendarAdvance(Calendar,R242,"1D","f")</f>
        <v>42480</v>
      </c>
      <c r="S243" s="166">
        <f>_xll.qlTenorBasisValue($P$3,R243,AllTriggers)</f>
        <v>2.094909478471455E-3</v>
      </c>
      <c r="T243" s="154">
        <f>_xll.qlDayCounterYearFraction("actual/365 (fixed)",SettlementDate,R243,,,Trigger)</f>
        <v>0.93698630136986305</v>
      </c>
      <c r="U243" s="166">
        <f>_xll.qlPolynomialFunctionValue($P$18,T243,AllTriggers)</f>
        <v>2.0342689444982922E-3</v>
      </c>
    </row>
    <row r="244" spans="18:21" x14ac:dyDescent="0.2">
      <c r="R244" s="418">
        <f>_xll.qlCalendarAdvance(Calendar,R243,"1D","f")</f>
        <v>42481</v>
      </c>
      <c r="S244" s="166">
        <f>_xll.qlTenorBasisValue($P$3,R244,AllTriggers)</f>
        <v>2.0955751472035533E-3</v>
      </c>
      <c r="T244" s="154">
        <f>_xll.qlDayCounterYearFraction("actual/365 (fixed)",SettlementDate,R244,,,Trigger)</f>
        <v>0.9397260273972603</v>
      </c>
      <c r="U244" s="166">
        <f>_xll.qlPolynomialFunctionValue($P$18,T244,AllTriggers)</f>
        <v>2.0348626516192869E-3</v>
      </c>
    </row>
    <row r="245" spans="18:21" x14ac:dyDescent="0.2">
      <c r="R245" s="418">
        <f>_xll.qlCalendarAdvance(Calendar,R244,"1D","f")</f>
        <v>42482</v>
      </c>
      <c r="S245" s="166">
        <f>_xll.qlTenorBasisValue($P$3,R245,AllTriggers)</f>
        <v>2.0962413758453297E-3</v>
      </c>
      <c r="T245" s="154">
        <f>_xll.qlDayCounterYearFraction("actual/365 (fixed)",SettlementDate,R245,,,Trigger)</f>
        <v>0.94246575342465755</v>
      </c>
      <c r="U245" s="166">
        <f>_xll.qlPolynomialFunctionValue($P$18,T245,AllTriggers)</f>
        <v>2.0354568188439746E-3</v>
      </c>
    </row>
    <row r="246" spans="18:21" x14ac:dyDescent="0.2">
      <c r="R246" s="418">
        <f>_xll.qlCalendarAdvance(Calendar,R245,"1D","f")</f>
        <v>42485</v>
      </c>
      <c r="S246" s="166">
        <f>_xll.qlTenorBasisValue($P$3,R246,AllTriggers)</f>
        <v>2.0982433539808339E-3</v>
      </c>
      <c r="T246" s="154">
        <f>_xll.qlDayCounterYearFraction("actual/365 (fixed)",SettlementDate,R246,,,Trigger)</f>
        <v>0.9506849315068493</v>
      </c>
      <c r="U246" s="166">
        <f>_xll.qlPolynomialFunctionValue($P$18,T246,AllTriggers)</f>
        <v>2.0372422401904824E-3</v>
      </c>
    </row>
    <row r="247" spans="18:21" x14ac:dyDescent="0.2">
      <c r="R247" s="418">
        <f>_xll.qlCalendarAdvance(Calendar,R246,"1D","f")</f>
        <v>42486</v>
      </c>
      <c r="S247" s="166">
        <f>_xll.qlTenorBasisValue($P$3,R247,AllTriggers)</f>
        <v>2.0989117538134394E-3</v>
      </c>
      <c r="T247" s="154">
        <f>_xll.qlDayCounterYearFraction("actual/365 (fixed)",SettlementDate,R247,,,Trigger)</f>
        <v>0.95342465753424654</v>
      </c>
      <c r="U247" s="166">
        <f>_xll.qlPolynomialFunctionValue($P$18,T247,AllTriggers)</f>
        <v>2.0378384056802391E-3</v>
      </c>
    </row>
    <row r="248" spans="18:21" x14ac:dyDescent="0.2">
      <c r="R248" s="418">
        <f>_xll.qlCalendarAdvance(Calendar,R247,"1D","f")</f>
        <v>42487</v>
      </c>
      <c r="S248" s="166">
        <f>_xll.qlTenorBasisValue($P$3,R248,AllTriggers)</f>
        <v>2.0995806781317905E-3</v>
      </c>
      <c r="T248" s="154">
        <f>_xll.qlDayCounterYearFraction("actual/365 (fixed)",SettlementDate,R248,,,Trigger)</f>
        <v>0.95616438356164379</v>
      </c>
      <c r="U248" s="166">
        <f>_xll.qlPolynomialFunctionValue($P$18,T248,AllTriggers)</f>
        <v>2.0384351089988476E-3</v>
      </c>
    </row>
    <row r="249" spans="18:21" x14ac:dyDescent="0.2">
      <c r="R249" s="418">
        <f>_xll.qlCalendarAdvance(Calendar,R248,"1D","f")</f>
        <v>42488</v>
      </c>
      <c r="S249" s="166">
        <f>_xll.qlTenorBasisValue($P$3,R249,AllTriggers)</f>
        <v>2.100250119131107E-3</v>
      </c>
      <c r="T249" s="154">
        <f>_xll.qlDayCounterYearFraction("actual/365 (fixed)",SettlementDate,R249,,,Trigger)</f>
        <v>0.95890410958904104</v>
      </c>
      <c r="U249" s="166">
        <f>_xll.qlPolynomialFunctionValue($P$18,T249,AllTriggers)</f>
        <v>2.0390323649713453E-3</v>
      </c>
    </row>
    <row r="250" spans="18:21" x14ac:dyDescent="0.2">
      <c r="R250" s="418">
        <f>_xll.qlCalendarAdvance(Calendar,R249,"1D","f")</f>
        <v>42489</v>
      </c>
      <c r="S250" s="166">
        <f>_xll.qlTenorBasisValue($P$3,R250,AllTriggers)</f>
        <v>2.1009200687666105E-3</v>
      </c>
      <c r="T250" s="154">
        <f>_xll.qlDayCounterYearFraction("actual/365 (fixed)",SettlementDate,R250,,,Trigger)</f>
        <v>0.9616438356164384</v>
      </c>
      <c r="U250" s="166">
        <f>_xll.qlPolynomialFunctionValue($P$18,T250,AllTriggers)</f>
        <v>2.0396301881827721E-3</v>
      </c>
    </row>
    <row r="251" spans="18:21" x14ac:dyDescent="0.2">
      <c r="R251" s="418">
        <f>_xll.qlCalendarAdvance(Calendar,R250,"1D","f")</f>
        <v>42492</v>
      </c>
      <c r="S251" s="166">
        <f>_xll.qlTenorBasisValue($P$3,R251,AllTriggers)</f>
        <v>2.1029328854424842E-3</v>
      </c>
      <c r="T251" s="154">
        <f>_xll.qlDayCounterYearFraction("actual/365 (fixed)",SettlementDate,R251,,,Trigger)</f>
        <v>0.96986301369863015</v>
      </c>
      <c r="U251" s="166">
        <f>_xll.qlPolynomialFunctionValue($P$18,T251,AllTriggers)</f>
        <v>2.0414272035010469E-3</v>
      </c>
    </row>
    <row r="252" spans="18:21" x14ac:dyDescent="0.2">
      <c r="R252" s="418">
        <f>_xll.qlCalendarAdvance(Calendar,R251,"1D","f")</f>
        <v>42493</v>
      </c>
      <c r="S252" s="166">
        <f>_xll.qlTenorBasisValue($P$3,R252,AllTriggers)</f>
        <v>2.1036047843749862E-3</v>
      </c>
      <c r="T252" s="154">
        <f>_xll.qlDayCounterYearFraction("actual/365 (fixed)",SettlementDate,R252,,,Trigger)</f>
        <v>0.9726027397260274</v>
      </c>
      <c r="U252" s="166">
        <f>_xll.qlPolynomialFunctionValue($P$18,T252,AllTriggers)</f>
        <v>2.042027436718621E-3</v>
      </c>
    </row>
    <row r="253" spans="18:21" x14ac:dyDescent="0.2">
      <c r="R253" s="418">
        <f>_xll.qlCalendarAdvance(Calendar,R252,"1D","f")</f>
        <v>42494</v>
      </c>
      <c r="S253" s="166">
        <f>_xll.qlTenorBasisValue($P$3,R253,AllTriggers)</f>
        <v>2.104277148119811E-3</v>
      </c>
      <c r="T253" s="154">
        <f>_xll.qlDayCounterYearFraction("actual/365 (fixed)",SettlementDate,R253,,,Trigger)</f>
        <v>0.97534246575342465</v>
      </c>
      <c r="U253" s="166">
        <f>_xll.qlPolynomialFunctionValue($P$18,T253,AllTriggers)</f>
        <v>2.0426283065003506E-3</v>
      </c>
    </row>
    <row r="254" spans="18:21" x14ac:dyDescent="0.2">
      <c r="R254" s="418">
        <f>_xll.qlCalendarAdvance(Calendar,R253,"1D","f")</f>
        <v>42495</v>
      </c>
      <c r="S254" s="166">
        <f>_xll.qlTenorBasisValue($P$3,R254,AllTriggers)</f>
        <v>2.1049499671921901E-3</v>
      </c>
      <c r="T254" s="154">
        <f>_xll.qlDayCounterYearFraction("actual/365 (fixed)",SettlementDate,R254,,,Trigger)</f>
        <v>0.9780821917808219</v>
      </c>
      <c r="U254" s="166">
        <f>_xll.qlPolynomialFunctionValue($P$18,T254,AllTriggers)</f>
        <v>2.0432298259912855E-3</v>
      </c>
    </row>
    <row r="255" spans="18:21" x14ac:dyDescent="0.2">
      <c r="R255" s="418">
        <f>_xll.qlCalendarAdvance(Calendar,R254,"1D","f")</f>
        <v>42496</v>
      </c>
      <c r="S255" s="166">
        <f>_xll.qlTenorBasisValue($P$3,R255,AllTriggers)</f>
        <v>2.1056232318673604E-3</v>
      </c>
      <c r="T255" s="154">
        <f>_xll.qlDayCounterYearFraction("actual/365 (fixed)",SettlementDate,R255,,,Trigger)</f>
        <v>0.98082191780821915</v>
      </c>
      <c r="U255" s="166">
        <f>_xll.qlPolynomialFunctionValue($P$18,T255,AllTriggers)</f>
        <v>2.0438320080964799E-3</v>
      </c>
    </row>
    <row r="256" spans="18:21" x14ac:dyDescent="0.2">
      <c r="R256" s="418">
        <f>_xll.qlCalendarAdvance(Calendar,R255,"1D","f")</f>
        <v>42499</v>
      </c>
      <c r="S256" s="166">
        <f>_xll.qlTenorBasisValue($P$3,R256,AllTriggers)</f>
        <v>2.1076455986619859E-3</v>
      </c>
      <c r="T256" s="154">
        <f>_xll.qlDayCounterYearFraction("actual/365 (fixed)",SettlementDate,R256,,,Trigger)</f>
        <v>0.989041095890411</v>
      </c>
      <c r="U256" s="166">
        <f>_xll.qlPolynomialFunctionValue($P$18,T256,AllTriggers)</f>
        <v>2.0456426555481764E-3</v>
      </c>
    </row>
    <row r="257" spans="18:21" x14ac:dyDescent="0.2">
      <c r="R257" s="418">
        <f>_xll.qlCalendarAdvance(Calendar,R256,"1D","f")</f>
        <v>42500</v>
      </c>
      <c r="S257" s="166">
        <f>_xll.qlTenorBasisValue($P$3,R257,AllTriggers)</f>
        <v>2.1083205437007024E-3</v>
      </c>
      <c r="T257" s="154">
        <f>_xll.qlDayCounterYearFraction("actual/365 (fixed)",SettlementDate,R257,,,Trigger)</f>
        <v>0.99178082191780825</v>
      </c>
      <c r="U257" s="166">
        <f>_xll.qlPolynomialFunctionValue($P$18,T257,AllTriggers)</f>
        <v>2.0462476123609759E-3</v>
      </c>
    </row>
    <row r="258" spans="18:21" x14ac:dyDescent="0.2">
      <c r="R258" s="418">
        <f>_xll.qlCalendarAdvance(Calendar,R257,"1D","f")</f>
        <v>42501</v>
      </c>
      <c r="S258" s="166">
        <f>_xll.qlTenorBasisValue($P$3,R258,AllTriggers)</f>
        <v>2.1089958821184115E-3</v>
      </c>
      <c r="T258" s="154">
        <f>_xll.qlDayCounterYearFraction("actual/365 (fixed)",SettlementDate,R258,,,Trigger)</f>
        <v>0.9945205479452055</v>
      </c>
      <c r="U258" s="166">
        <f>_xll.qlPolynomialFunctionValue($P$18,T258,AllTriggers)</f>
        <v>2.0468532927133275E-3</v>
      </c>
    </row>
    <row r="259" spans="18:21" x14ac:dyDescent="0.2">
      <c r="R259" s="418">
        <f>_xll.qlCalendarAdvance(Calendar,R258,"1D","f")</f>
        <v>42502</v>
      </c>
      <c r="S259" s="166">
        <f>_xll.qlTenorBasisValue($P$3,R259,AllTriggers)</f>
        <v>2.1096716027503605E-3</v>
      </c>
      <c r="T259" s="154">
        <f>_xll.qlDayCounterYearFraction("actual/365 (fixed)",SettlementDate,R259,,,Trigger)</f>
        <v>0.99726027397260275</v>
      </c>
      <c r="U259" s="166">
        <f>_xll.qlPolynomialFunctionValue($P$18,T259,AllTriggers)</f>
        <v>2.047459708070297E-3</v>
      </c>
    </row>
    <row r="260" spans="18:21" x14ac:dyDescent="0.2">
      <c r="R260" s="418">
        <f>_xll.qlCalendarAdvance(Calendar,R259,"1D","f")</f>
        <v>42503</v>
      </c>
      <c r="S260" s="166">
        <f>_xll.qlTenorBasisValue($P$3,R260,AllTriggers)</f>
        <v>2.1103476941917968E-3</v>
      </c>
      <c r="T260" s="154">
        <f>_xll.qlDayCounterYearFraction("actual/365 (fixed)",SettlementDate,R260,,,Trigger)</f>
        <v>1</v>
      </c>
      <c r="U260" s="166">
        <f>_xll.qlPolynomialFunctionValue($P$18,T260,AllTriggers)</f>
        <v>2.04806686965695E-3</v>
      </c>
    </row>
    <row r="261" spans="18:21" x14ac:dyDescent="0.2">
      <c r="R261" s="418">
        <f>_xll.qlCalendarAdvance(Calendar,R260,"1D","f")</f>
        <v>42506</v>
      </c>
      <c r="S261" s="166">
        <f>_xll.qlTenorBasisValue($P$3,R261,AllTriggers)</f>
        <v>2.1123780757255437E-3</v>
      </c>
      <c r="T261" s="154">
        <f>_xll.qlDayCounterYearFraction("actual/365 (fixed)",SettlementDate,R261,,,Trigger)</f>
        <v>1.0082191780821919</v>
      </c>
      <c r="U261" s="166">
        <f>_xll.qlPolynomialFunctionValue($P$18,T261,AllTriggers)</f>
        <v>2.0498929404457068E-3</v>
      </c>
    </row>
    <row r="262" spans="18:21" x14ac:dyDescent="0.2">
      <c r="R262" s="419">
        <f>_xll.qlCalendarAdvance(Calendar,R261,"1D","f")</f>
        <v>42507</v>
      </c>
      <c r="S262" s="175">
        <f>_xll.qlTenorBasisValue($P$3,R262,AllTriggers)</f>
        <v>2.113055531557453E-3</v>
      </c>
      <c r="T262" s="159">
        <f>_xll.qlDayCounterYearFraction("actual/365 (fixed)",SettlementDate,R262,,,Trigger)</f>
        <v>1.010958904109589</v>
      </c>
      <c r="U262" s="175">
        <f>_xll.qlPolynomialFunctionValue($P$18,T262,AllTriggers)</f>
        <v>2.0505031944017993E-3</v>
      </c>
    </row>
    <row r="263" spans="18:21" x14ac:dyDescent="0.2">
      <c r="R263" s="231"/>
    </row>
    <row r="264" spans="18:21" x14ac:dyDescent="0.2">
      <c r="R264" s="231"/>
    </row>
    <row r="265" spans="18:21" x14ac:dyDescent="0.2">
      <c r="R265" s="231"/>
    </row>
    <row r="266" spans="18:21" x14ac:dyDescent="0.2">
      <c r="R266" s="231"/>
    </row>
    <row r="267" spans="18:21" x14ac:dyDescent="0.2">
      <c r="R267" s="231"/>
    </row>
    <row r="268" spans="18:21" x14ac:dyDescent="0.2">
      <c r="R268" s="231"/>
    </row>
    <row r="269" spans="18:21" x14ac:dyDescent="0.2">
      <c r="R269" s="231"/>
    </row>
    <row r="270" spans="18:21" x14ac:dyDescent="0.2">
      <c r="R270" s="231"/>
    </row>
    <row r="271" spans="18:21" x14ac:dyDescent="0.2">
      <c r="R271" s="231"/>
    </row>
    <row r="272" spans="18:21" x14ac:dyDescent="0.2">
      <c r="R272" s="231"/>
    </row>
    <row r="273" spans="18:18" x14ac:dyDescent="0.2">
      <c r="R273" s="231"/>
    </row>
    <row r="274" spans="18:18" x14ac:dyDescent="0.2">
      <c r="R274" s="231"/>
    </row>
    <row r="275" spans="18:18" x14ac:dyDescent="0.2">
      <c r="R275" s="231"/>
    </row>
    <row r="276" spans="18:18" x14ac:dyDescent="0.2">
      <c r="R276" s="231"/>
    </row>
    <row r="277" spans="18:18" x14ac:dyDescent="0.2">
      <c r="R277" s="231"/>
    </row>
    <row r="278" spans="18:18" x14ac:dyDescent="0.2">
      <c r="R278" s="231"/>
    </row>
    <row r="279" spans="18:18" x14ac:dyDescent="0.2">
      <c r="R279" s="231"/>
    </row>
    <row r="280" spans="18:18" x14ac:dyDescent="0.2">
      <c r="R280" s="231"/>
    </row>
    <row r="281" spans="18:18" x14ac:dyDescent="0.2">
      <c r="R281" s="231"/>
    </row>
    <row r="282" spans="18:18" x14ac:dyDescent="0.2">
      <c r="R282" s="231"/>
    </row>
    <row r="283" spans="18:18" x14ac:dyDescent="0.2">
      <c r="R283" s="231"/>
    </row>
    <row r="284" spans="18:18" x14ac:dyDescent="0.2">
      <c r="R284" s="231"/>
    </row>
    <row r="285" spans="18:18" x14ac:dyDescent="0.2">
      <c r="R285" s="231"/>
    </row>
    <row r="286" spans="18:18" x14ac:dyDescent="0.2">
      <c r="R286" s="231"/>
    </row>
    <row r="287" spans="18:18" x14ac:dyDescent="0.2">
      <c r="R287" s="231"/>
    </row>
    <row r="288" spans="18:18" x14ac:dyDescent="0.2">
      <c r="R288" s="231"/>
    </row>
    <row r="289" spans="18:18" x14ac:dyDescent="0.2">
      <c r="R289" s="231"/>
    </row>
    <row r="290" spans="18:18" x14ac:dyDescent="0.2">
      <c r="R290" s="231"/>
    </row>
    <row r="291" spans="18:18" x14ac:dyDescent="0.2">
      <c r="R291" s="231"/>
    </row>
    <row r="292" spans="18:18" x14ac:dyDescent="0.2">
      <c r="R292" s="231"/>
    </row>
    <row r="293" spans="18:18" x14ac:dyDescent="0.2">
      <c r="R293" s="231"/>
    </row>
    <row r="294" spans="18:18" x14ac:dyDescent="0.2">
      <c r="R294" s="231"/>
    </row>
    <row r="295" spans="18:18" x14ac:dyDescent="0.2">
      <c r="R295" s="231"/>
    </row>
    <row r="296" spans="18:18" x14ac:dyDescent="0.2">
      <c r="R296" s="231"/>
    </row>
    <row r="297" spans="18:18" x14ac:dyDescent="0.2">
      <c r="R297" s="231"/>
    </row>
    <row r="298" spans="18:18" x14ac:dyDescent="0.2">
      <c r="R298" s="231"/>
    </row>
    <row r="299" spans="18:18" x14ac:dyDescent="0.2">
      <c r="R299" s="231"/>
    </row>
    <row r="300" spans="18:18" x14ac:dyDescent="0.2">
      <c r="R300" s="231"/>
    </row>
    <row r="301" spans="18:18" x14ac:dyDescent="0.2">
      <c r="R301" s="231"/>
    </row>
    <row r="302" spans="18:18" x14ac:dyDescent="0.2">
      <c r="R302" s="231"/>
    </row>
    <row r="303" spans="18:18" x14ac:dyDescent="0.2">
      <c r="R303" s="231"/>
    </row>
    <row r="304" spans="18:18" x14ac:dyDescent="0.2">
      <c r="R304" s="231"/>
    </row>
    <row r="305" spans="18:18" x14ac:dyDescent="0.2">
      <c r="R305" s="231"/>
    </row>
    <row r="306" spans="18:18" x14ac:dyDescent="0.2">
      <c r="R306" s="231"/>
    </row>
    <row r="307" spans="18:18" x14ac:dyDescent="0.2">
      <c r="R307" s="231"/>
    </row>
    <row r="308" spans="18:18" x14ac:dyDescent="0.2">
      <c r="R308" s="231"/>
    </row>
    <row r="309" spans="18:18" x14ac:dyDescent="0.2">
      <c r="R309" s="231"/>
    </row>
    <row r="310" spans="18:18" x14ac:dyDescent="0.2">
      <c r="R310" s="231"/>
    </row>
    <row r="311" spans="18:18" x14ac:dyDescent="0.2">
      <c r="R311" s="231"/>
    </row>
    <row r="312" spans="18:18" x14ac:dyDescent="0.2">
      <c r="R312" s="231"/>
    </row>
    <row r="313" spans="18:18" x14ac:dyDescent="0.2">
      <c r="R313" s="231"/>
    </row>
    <row r="314" spans="18:18" x14ac:dyDescent="0.2">
      <c r="R314" s="231"/>
    </row>
    <row r="315" spans="18:18" x14ac:dyDescent="0.2">
      <c r="R315" s="231"/>
    </row>
    <row r="316" spans="18:18" x14ac:dyDescent="0.2">
      <c r="R316" s="231"/>
    </row>
    <row r="317" spans="18:18" x14ac:dyDescent="0.2">
      <c r="R317" s="231"/>
    </row>
    <row r="318" spans="18:18" x14ac:dyDescent="0.2">
      <c r="R318" s="231"/>
    </row>
    <row r="319" spans="18:18" x14ac:dyDescent="0.2">
      <c r="R319" s="231"/>
    </row>
    <row r="320" spans="18:18" x14ac:dyDescent="0.2">
      <c r="R320" s="231"/>
    </row>
    <row r="321" spans="18:18" x14ac:dyDescent="0.2">
      <c r="R321" s="231"/>
    </row>
    <row r="322" spans="18:18" x14ac:dyDescent="0.2">
      <c r="R322" s="231"/>
    </row>
    <row r="323" spans="18:18" x14ac:dyDescent="0.2">
      <c r="R323" s="231"/>
    </row>
    <row r="324" spans="18:18" x14ac:dyDescent="0.2">
      <c r="R324" s="231"/>
    </row>
    <row r="325" spans="18:18" x14ac:dyDescent="0.2">
      <c r="R325" s="231"/>
    </row>
    <row r="326" spans="18:18" x14ac:dyDescent="0.2">
      <c r="R326" s="231"/>
    </row>
    <row r="327" spans="18:18" x14ac:dyDescent="0.2">
      <c r="R327" s="231"/>
    </row>
    <row r="328" spans="18:18" x14ac:dyDescent="0.2">
      <c r="R328" s="231"/>
    </row>
    <row r="329" spans="18:18" x14ac:dyDescent="0.2">
      <c r="R329" s="231"/>
    </row>
    <row r="330" spans="18:18" x14ac:dyDescent="0.2">
      <c r="R330" s="231"/>
    </row>
    <row r="331" spans="18:18" x14ac:dyDescent="0.2">
      <c r="R331" s="231"/>
    </row>
    <row r="332" spans="18:18" x14ac:dyDescent="0.2">
      <c r="R332" s="231"/>
    </row>
    <row r="333" spans="18:18" x14ac:dyDescent="0.2">
      <c r="R333" s="231"/>
    </row>
    <row r="334" spans="18:18" x14ac:dyDescent="0.2">
      <c r="R334" s="231"/>
    </row>
    <row r="335" spans="18:18" x14ac:dyDescent="0.2">
      <c r="R335" s="231"/>
    </row>
    <row r="336" spans="18:18" x14ac:dyDescent="0.2">
      <c r="R336" s="231"/>
    </row>
    <row r="337" spans="18:18" x14ac:dyDescent="0.2">
      <c r="R337" s="231"/>
    </row>
    <row r="338" spans="18:18" x14ac:dyDescent="0.2">
      <c r="R338" s="231"/>
    </row>
    <row r="339" spans="18:18" x14ac:dyDescent="0.2">
      <c r="R339" s="231"/>
    </row>
    <row r="340" spans="18:18" x14ac:dyDescent="0.2">
      <c r="R340" s="231"/>
    </row>
    <row r="341" spans="18:18" x14ac:dyDescent="0.2">
      <c r="R341" s="231"/>
    </row>
    <row r="342" spans="18:18" x14ac:dyDescent="0.2">
      <c r="R342" s="231"/>
    </row>
    <row r="343" spans="18:18" x14ac:dyDescent="0.2">
      <c r="R343" s="231"/>
    </row>
    <row r="344" spans="18:18" x14ac:dyDescent="0.2">
      <c r="R344" s="231"/>
    </row>
    <row r="345" spans="18:18" x14ac:dyDescent="0.2">
      <c r="R345" s="231"/>
    </row>
    <row r="346" spans="18:18" x14ac:dyDescent="0.2">
      <c r="R346" s="231"/>
    </row>
    <row r="347" spans="18:18" x14ac:dyDescent="0.2">
      <c r="R347" s="231"/>
    </row>
    <row r="348" spans="18:18" x14ac:dyDescent="0.2">
      <c r="R348" s="231"/>
    </row>
    <row r="349" spans="18:18" x14ac:dyDescent="0.2">
      <c r="R349" s="231"/>
    </row>
    <row r="350" spans="18:18" x14ac:dyDescent="0.2">
      <c r="R350" s="231"/>
    </row>
    <row r="351" spans="18:18" x14ac:dyDescent="0.2">
      <c r="R351" s="231"/>
    </row>
    <row r="352" spans="18:18" x14ac:dyDescent="0.2">
      <c r="R352" s="231"/>
    </row>
    <row r="353" spans="18:18" x14ac:dyDescent="0.2">
      <c r="R353" s="231"/>
    </row>
    <row r="354" spans="18:18" x14ac:dyDescent="0.2">
      <c r="R354" s="231"/>
    </row>
    <row r="355" spans="18:18" x14ac:dyDescent="0.2">
      <c r="R355" s="231"/>
    </row>
    <row r="356" spans="18:18" x14ac:dyDescent="0.2">
      <c r="R356" s="231"/>
    </row>
    <row r="357" spans="18:18" x14ac:dyDescent="0.2">
      <c r="R357" s="231"/>
    </row>
    <row r="358" spans="18:18" x14ac:dyDescent="0.2">
      <c r="R358" s="231"/>
    </row>
    <row r="359" spans="18:18" x14ac:dyDescent="0.2">
      <c r="R359" s="231"/>
    </row>
    <row r="360" spans="18:18" x14ac:dyDescent="0.2">
      <c r="R360" s="231"/>
    </row>
    <row r="361" spans="18:18" x14ac:dyDescent="0.2">
      <c r="R361" s="231"/>
    </row>
    <row r="362" spans="18:18" x14ac:dyDescent="0.2">
      <c r="R362" s="231"/>
    </row>
    <row r="363" spans="18:18" x14ac:dyDescent="0.2">
      <c r="R363" s="231"/>
    </row>
    <row r="364" spans="18:18" x14ac:dyDescent="0.2">
      <c r="R364" s="231"/>
    </row>
    <row r="365" spans="18:18" x14ac:dyDescent="0.2">
      <c r="R365" s="231"/>
    </row>
    <row r="366" spans="18:18" x14ac:dyDescent="0.2">
      <c r="R366" s="231"/>
    </row>
    <row r="367" spans="18:18" x14ac:dyDescent="0.2">
      <c r="R367" s="231"/>
    </row>
    <row r="368" spans="18:18" x14ac:dyDescent="0.2">
      <c r="R368" s="231"/>
    </row>
    <row r="369" spans="18:18" x14ac:dyDescent="0.2">
      <c r="R369" s="231"/>
    </row>
    <row r="370" spans="18:18" x14ac:dyDescent="0.2">
      <c r="R370" s="231"/>
    </row>
    <row r="371" spans="18:18" x14ac:dyDescent="0.2">
      <c r="R371" s="231"/>
    </row>
    <row r="372" spans="18:18" x14ac:dyDescent="0.2">
      <c r="R372" s="231"/>
    </row>
    <row r="373" spans="18:18" x14ac:dyDescent="0.2">
      <c r="R373" s="231"/>
    </row>
    <row r="374" spans="18:18" x14ac:dyDescent="0.2">
      <c r="R374" s="231"/>
    </row>
    <row r="375" spans="18:18" x14ac:dyDescent="0.2">
      <c r="R375" s="231"/>
    </row>
    <row r="376" spans="18:18" x14ac:dyDescent="0.2">
      <c r="R376" s="231"/>
    </row>
    <row r="377" spans="18:18" x14ac:dyDescent="0.2">
      <c r="R377" s="231"/>
    </row>
    <row r="378" spans="18:18" x14ac:dyDescent="0.2">
      <c r="R378" s="231"/>
    </row>
    <row r="379" spans="18:18" x14ac:dyDescent="0.2">
      <c r="R379" s="231"/>
    </row>
    <row r="380" spans="18:18" x14ac:dyDescent="0.2">
      <c r="R380" s="231"/>
    </row>
    <row r="381" spans="18:18" x14ac:dyDescent="0.2">
      <c r="R381" s="231"/>
    </row>
    <row r="382" spans="18:18" x14ac:dyDescent="0.2">
      <c r="R382" s="231"/>
    </row>
    <row r="383" spans="18:18" x14ac:dyDescent="0.2">
      <c r="R383" s="231"/>
    </row>
    <row r="384" spans="18:18" x14ac:dyDescent="0.2">
      <c r="R384" s="23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154"/>
  <sheetViews>
    <sheetView workbookViewId="0">
      <selection activeCell="D24" sqref="D24"/>
    </sheetView>
  </sheetViews>
  <sheetFormatPr defaultColWidth="9.5" defaultRowHeight="11.25" outlineLevelCol="1" x14ac:dyDescent="0.2"/>
  <cols>
    <col min="1" max="2" width="3.5" style="115" customWidth="1"/>
    <col min="3" max="3" width="19.5" style="115" customWidth="1"/>
    <col min="4" max="4" width="17.83203125" style="115" bestFit="1" customWidth="1"/>
    <col min="5" max="5" width="12.83203125" style="115" bestFit="1" customWidth="1"/>
    <col min="6" max="6" width="16.83203125" style="115" customWidth="1"/>
    <col min="7" max="8" width="14.83203125" style="115" customWidth="1"/>
    <col min="9" max="18" width="14.83203125" style="115" hidden="1" customWidth="1" outlineLevel="1"/>
    <col min="19" max="19" width="14.83203125" style="115" customWidth="1" collapsed="1"/>
    <col min="20" max="30" width="14.83203125" style="115" customWidth="1"/>
    <col min="31" max="33" width="5.83203125" style="115" bestFit="1" customWidth="1"/>
    <col min="34" max="34" width="2.33203125" style="115" bestFit="1" customWidth="1"/>
    <col min="35" max="35" width="10.5" style="115" bestFit="1" customWidth="1"/>
    <col min="36" max="36" width="2.33203125" style="115" bestFit="1" customWidth="1" collapsed="1"/>
    <col min="37" max="37" width="9.33203125" style="115" bestFit="1" customWidth="1"/>
    <col min="38" max="38" width="8.1640625" style="115" hidden="1" customWidth="1" outlineLevel="1"/>
    <col min="39" max="39" width="9.33203125" style="115" hidden="1" customWidth="1" outlineLevel="1"/>
    <col min="40" max="40" width="8.1640625" style="115" hidden="1" customWidth="1" outlineLevel="1"/>
    <col min="41" max="41" width="2.83203125" style="115" customWidth="1" collapsed="1"/>
    <col min="42" max="42" width="2.83203125" style="115" customWidth="1"/>
    <col min="43" max="45" width="5.83203125" style="115" bestFit="1" customWidth="1"/>
    <col min="46" max="46" width="2.33203125" style="115" bestFit="1" customWidth="1"/>
    <col min="47" max="47" width="10.5" style="115" bestFit="1" customWidth="1"/>
    <col min="48" max="48" width="2.33203125" style="115" bestFit="1" customWidth="1"/>
    <col min="49" max="49" width="9.33203125" style="115" bestFit="1" customWidth="1"/>
    <col min="50" max="52" width="9.33203125" style="115" hidden="1" customWidth="1" outlineLevel="1"/>
    <col min="53" max="53" width="2.83203125" style="115" customWidth="1" collapsed="1"/>
    <col min="54" max="54" width="2.83203125" style="115" customWidth="1"/>
    <col min="55" max="55" width="12.83203125" style="115" bestFit="1" customWidth="1"/>
    <col min="56" max="56" width="8.1640625" style="115" bestFit="1" customWidth="1"/>
    <col min="57" max="69" width="14.83203125" style="115" customWidth="1"/>
    <col min="70" max="16384" width="9.5" style="115"/>
  </cols>
  <sheetData>
    <row r="1" spans="1:69" x14ac:dyDescent="0.2">
      <c r="C1" s="322" t="s">
        <v>140</v>
      </c>
      <c r="D1" s="323"/>
      <c r="E1" s="323"/>
      <c r="F1" s="323"/>
      <c r="G1" s="323"/>
      <c r="H1" s="323"/>
      <c r="I1" s="323"/>
      <c r="J1" s="323"/>
      <c r="K1" s="323"/>
      <c r="L1" s="323"/>
      <c r="M1" s="429"/>
      <c r="N1" s="429"/>
      <c r="O1" s="429"/>
      <c r="P1" s="429"/>
      <c r="Q1" s="429"/>
      <c r="R1" s="429"/>
      <c r="S1" s="322" t="str">
        <f>"with 0X"&amp;SUBSTITUTE($D$24,"M","")</f>
        <v>with 0X6</v>
      </c>
      <c r="T1" s="324"/>
      <c r="U1" s="323" t="str">
        <f>"without 0X"&amp;SUBSTITUTE($D$24,"M","")</f>
        <v>without 0X6</v>
      </c>
      <c r="V1" s="324"/>
      <c r="AG1" s="294"/>
      <c r="AH1" s="294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E1" s="115" t="str">
        <f>_xll.qlPolynomialFunction(,_xll.qlTenorInstCoefficients(G$27),,_xll.ohTrigger(Trigger,G$28:G$31))</f>
        <v>obj_009b5#0069</v>
      </c>
      <c r="BF1" s="115" t="str">
        <f>_xll.qlPolynomialFunction(,_xll.qlTenorInstCoefficients(H$27),,_xll.ohTrigger(Trigger,H$28:H$31))</f>
        <v>obj_009be#0016</v>
      </c>
      <c r="BG1" s="115" t="str">
        <f>_xll.qlPolynomialFunction(,_xll.qlTenorInstCoefficients(S$27),,_xll.ohTrigger(Trigger,S$28:S$31))</f>
        <v>obj_009bb#0017</v>
      </c>
      <c r="BH1" s="115" t="str">
        <f>_xll.qlPolynomialFunction(,_xll.qlTenorInstCoefficients(T$27),,_xll.ohTrigger(Trigger,T$28:T$31))</f>
        <v>obj_009b7#0015</v>
      </c>
      <c r="BI1" s="115" t="str">
        <f>_xll.qlPolynomialFunction(,U$28:U$31,,_xll.ohTrigger(Trigger,G$28:G$31))</f>
        <v>obj_009c0#0064</v>
      </c>
      <c r="BJ1" s="115" t="str">
        <f>_xll.qlPolynomialFunction(,V$28:V$31,,_xll.ohTrigger(Trigger,H$28:H$31))</f>
        <v>obj_009b9#0017</v>
      </c>
      <c r="BK1" s="115" t="str">
        <f>_xll.qlPolynomialFunction(,W$28:W$31,,_xll.ohTrigger(Trigger,S$28:S$31))</f>
        <v>obj_009bc#0018</v>
      </c>
      <c r="BL1" s="115" t="str">
        <f>_xll.qlPolynomialFunction(,X$28:X$31,,_xll.ohTrigger(Trigger,T$28:T$31))</f>
        <v>obj_009b8#0016</v>
      </c>
      <c r="BM1" s="115" t="str">
        <f>_xll.qlPolynomialFunction(,_xll.qlTenorInstCoefficients(Y$27),,_xll.ohTrigger(Trigger,G$28:G$31))</f>
        <v>obj_009bf#0052</v>
      </c>
      <c r="BN1" s="115" t="str">
        <f>_xll.qlPolynomialFunction(,_xll.qlTenorInstCoefficients(Z$27),,_xll.ohTrigger(Trigger,H$28:H$31))</f>
        <v>obj_009bd#0015</v>
      </c>
      <c r="BO1" s="115" t="str">
        <f>_xll.qlPolynomialFunction(,_xll.qlTenorInstCoefficients(AA$27),,_xll.ohTrigger(Trigger,S$28:S$31))</f>
        <v>obj_009ba#0015</v>
      </c>
      <c r="BP1" s="115" t="str">
        <f>_xll.qlPolynomialFunction(,_xll.qlTenorInstCoefficients(AB$27),,_xll.ohTrigger(Trigger,T$28:T$31))</f>
        <v>obj_009b6#0015</v>
      </c>
    </row>
    <row r="2" spans="1:69" ht="21.75" customHeight="1" x14ac:dyDescent="0.2">
      <c r="C2" s="142" t="s">
        <v>85</v>
      </c>
      <c r="D2" s="142" t="s">
        <v>175</v>
      </c>
      <c r="E2" s="142" t="s">
        <v>176</v>
      </c>
      <c r="F2" s="142" t="s">
        <v>125</v>
      </c>
      <c r="G2" s="142" t="str">
        <f>"F "&amp;$D$24</f>
        <v>F 6M</v>
      </c>
      <c r="H2" s="142" t="str">
        <f>"B "&amp;$D$24</f>
        <v>B 6M</v>
      </c>
      <c r="I2" s="142" t="s">
        <v>163</v>
      </c>
      <c r="J2" s="142" t="s">
        <v>92</v>
      </c>
      <c r="K2" s="143" t="s">
        <v>93</v>
      </c>
      <c r="L2" s="142" t="s">
        <v>94</v>
      </c>
      <c r="M2" s="142" t="s">
        <v>126</v>
      </c>
      <c r="N2" s="142" t="s">
        <v>130</v>
      </c>
      <c r="O2" s="142" t="s">
        <v>131</v>
      </c>
      <c r="P2" s="142" t="s">
        <v>92</v>
      </c>
      <c r="Q2" s="143" t="s">
        <v>93</v>
      </c>
      <c r="R2" s="142" t="s">
        <v>94</v>
      </c>
      <c r="S2" s="142" t="s">
        <v>83</v>
      </c>
      <c r="T2" s="142" t="s">
        <v>84</v>
      </c>
      <c r="U2" s="142" t="s">
        <v>83</v>
      </c>
      <c r="V2" s="142" t="s">
        <v>84</v>
      </c>
      <c r="AD2" s="115" t="s">
        <v>177</v>
      </c>
      <c r="AP2" s="115" t="s">
        <v>174</v>
      </c>
      <c r="BE2" s="331" t="s">
        <v>140</v>
      </c>
      <c r="BF2" s="327"/>
      <c r="BG2" s="327"/>
      <c r="BH2" s="326"/>
      <c r="BI2" s="327"/>
      <c r="BJ2" s="327"/>
      <c r="BK2" s="327"/>
      <c r="BL2" s="327"/>
      <c r="BM2" s="331" t="s">
        <v>141</v>
      </c>
      <c r="BN2" s="327"/>
      <c r="BO2" s="327"/>
      <c r="BP2" s="326"/>
    </row>
    <row r="3" spans="1:69" ht="12" customHeight="1" x14ac:dyDescent="0.2">
      <c r="A3" s="117">
        <f>'6MSynthDepo_used'!A3</f>
        <v>0</v>
      </c>
      <c r="B3" s="187">
        <f>A3+SUBSTITUTE($D$24,"M","")</f>
        <v>6</v>
      </c>
      <c r="C3" s="377" t="str">
        <f>"B"&amp;$D$24&amp;"_"&amp;A3&amp;"X"&amp;B3&amp;$D$27</f>
        <v>B6M_0X6ESTIMATED</v>
      </c>
      <c r="D3" s="392">
        <f>SettlementDate</f>
        <v>42138</v>
      </c>
      <c r="E3" s="392">
        <f>_xll.qlInterestRateIndexMaturity($D$25,D3)</f>
        <v>42324</v>
      </c>
      <c r="F3" s="378">
        <f>_xll.qlIndexFixing(ON_6M_index,_xll.qlInterestRateIndexFixingDate(ON_6M_index,D3,Trigger),,AllTriggers)</f>
        <v>-1.1632423478286258E-3</v>
      </c>
      <c r="G3" s="378">
        <f>H3+F3</f>
        <v>6.4205197189389136E-4</v>
      </c>
      <c r="H3" s="434">
        <f>_xll.qlQuoteValue(C3,_xll.ohTrigger(InterestRatesTrigger,'6MSynthDepo_used'!E3))</f>
        <v>1.8052943197225172E-3</v>
      </c>
      <c r="I3" s="379">
        <f>_xll.qlDayCounterYearFraction(DayCounter,SettlementDate,D3,,,Trigger)</f>
        <v>0</v>
      </c>
      <c r="J3" s="379">
        <f>1</f>
        <v>1</v>
      </c>
      <c r="K3" s="379">
        <f t="shared" ref="K3:K9" si="0">I3</f>
        <v>0</v>
      </c>
      <c r="L3" s="379">
        <f t="shared" ref="L3:L9" si="1">I3^2</f>
        <v>0</v>
      </c>
      <c r="M3" s="423">
        <f>LN((1+G3*_xll.qlDayCounterYearFraction(DayCounter,D3,E3,,,Trigger))/(1+F3*_xll.qlDayCounterYearFraction(DayCounter,D3,E3,,,Trigger)))</f>
        <v>9.3286106736889529E-4</v>
      </c>
      <c r="N3" s="379">
        <f>_xll.qlDayCounterYearFraction(DayCounter,SettlementDate,D3,,,Trigger)</f>
        <v>0</v>
      </c>
      <c r="O3" s="379">
        <f>_xll.qlDayCounterYearFraction(DayCounter,SettlementDate,E3,,,Trigger)</f>
        <v>0.51666666666666672</v>
      </c>
      <c r="P3" s="379">
        <f>O3-N3</f>
        <v>0.51666666666666672</v>
      </c>
      <c r="Q3" s="379">
        <f>(O3^2-N3^2)/2</f>
        <v>0.13347222222222224</v>
      </c>
      <c r="R3" s="379">
        <f>(O3^3-N3^3)/3</f>
        <v>4.5973765432098773E-2</v>
      </c>
      <c r="S3" s="380" t="b">
        <v>1</v>
      </c>
      <c r="T3" s="380" t="b">
        <v>1</v>
      </c>
      <c r="U3" s="380" t="b">
        <v>0</v>
      </c>
      <c r="V3" s="380" t="b">
        <v>0</v>
      </c>
      <c r="AD3" s="425" t="s">
        <v>83</v>
      </c>
      <c r="AE3" s="426"/>
      <c r="AF3" s="426"/>
      <c r="AG3" s="426"/>
      <c r="AH3" s="426"/>
      <c r="AI3" s="426"/>
      <c r="AJ3" s="426"/>
      <c r="AK3" s="426"/>
      <c r="AL3" s="426"/>
      <c r="AM3" s="427"/>
      <c r="AN3" s="427"/>
      <c r="AO3" s="428"/>
      <c r="AP3" s="425"/>
      <c r="AQ3" s="426"/>
      <c r="AR3" s="426"/>
      <c r="AS3" s="426"/>
      <c r="AT3" s="426"/>
      <c r="AU3" s="426"/>
      <c r="AV3" s="426"/>
      <c r="AW3" s="426"/>
      <c r="AX3" s="426"/>
      <c r="AY3" s="427"/>
      <c r="AZ3" s="427"/>
      <c r="BA3" s="428"/>
      <c r="BE3" s="331" t="s">
        <v>183</v>
      </c>
      <c r="BF3" s="327"/>
      <c r="BG3" s="327"/>
      <c r="BH3" s="326"/>
      <c r="BI3" s="331" t="s">
        <v>182</v>
      </c>
      <c r="BJ3" s="327"/>
      <c r="BK3" s="327"/>
      <c r="BL3" s="326"/>
      <c r="BM3" s="331" t="s">
        <v>183</v>
      </c>
      <c r="BN3" s="327"/>
      <c r="BO3" s="327"/>
      <c r="BP3" s="326"/>
    </row>
    <row r="4" spans="1:69" ht="12" customHeight="1" x14ac:dyDescent="0.2">
      <c r="A4" s="117">
        <f>'6MSynthDepo_used'!A5</f>
        <v>1</v>
      </c>
      <c r="B4" s="187">
        <f>A4+SUBSTITUTE($D$24,"M","")</f>
        <v>7</v>
      </c>
      <c r="C4" s="151" t="str">
        <f>"B"&amp;$D$24&amp;"_"&amp;A4&amp;"X"&amp;B4</f>
        <v>B6M_1X7</v>
      </c>
      <c r="D4" s="383">
        <f>_xll.qlCalendarAdvance(Calendar,SettlementDate,A4&amp;"M","mf")</f>
        <v>42170</v>
      </c>
      <c r="E4" s="383">
        <f>_xll.qlInterestRateIndexMaturity($D$25,D4)</f>
        <v>42353</v>
      </c>
      <c r="F4" s="180">
        <f>_xll.qlIndexFixing(ON_6M_index,_xll.qlInterestRateIndexFixingDate(ON_6M_index,D4,Trigger),,AllTriggers)</f>
        <v>-1.2305122846826952E-3</v>
      </c>
      <c r="G4" s="180">
        <f t="shared" ref="G4:G9" si="2">H4+F4</f>
        <v>6.3000000000000013E-4</v>
      </c>
      <c r="H4" s="408">
        <f>_xll.qlQuoteValue(C4,_xll.ohTrigger(InterestRatesTrigger,'6MSynthDepo_used'!E4))</f>
        <v>1.8605122846826953E-3</v>
      </c>
      <c r="I4" s="154">
        <f>_xll.qlDayCounterYearFraction(DayCounter,SettlementDate,D4,,,Trigger)</f>
        <v>8.8888888888888892E-2</v>
      </c>
      <c r="J4" s="154">
        <f>1</f>
        <v>1</v>
      </c>
      <c r="K4" s="154">
        <f t="shared" si="0"/>
        <v>8.8888888888888892E-2</v>
      </c>
      <c r="L4" s="154">
        <f t="shared" si="1"/>
        <v>7.9012345679012348E-3</v>
      </c>
      <c r="M4" s="153">
        <f>LN((1+G4*_xll.qlDayCounterYearFraction(DayCounter,D4,E4,,,Trigger))/(1+F4*_xll.qlDayCounterYearFraction(DayCounter,D4,E4,,,Trigger)))</f>
        <v>9.4590485555004445E-4</v>
      </c>
      <c r="N4" s="154">
        <f>_xll.qlDayCounterYearFraction(DayCounter,SettlementDate,D4,,,Trigger)</f>
        <v>8.8888888888888892E-2</v>
      </c>
      <c r="O4" s="154">
        <f>_xll.qlDayCounterYearFraction(DayCounter,SettlementDate,E4,,,Trigger)</f>
        <v>0.59722222222222221</v>
      </c>
      <c r="P4" s="154">
        <f t="shared" ref="P4:P9" si="3">O4-N4</f>
        <v>0.5083333333333333</v>
      </c>
      <c r="Q4" s="154">
        <f t="shared" ref="Q4:Q9" si="4">(O4^2-N4^2)/2</f>
        <v>0.17438657407407404</v>
      </c>
      <c r="R4" s="154">
        <f t="shared" ref="R4:R9" si="5">(O4^3-N4^3)/3</f>
        <v>7.0770511831275709E-2</v>
      </c>
      <c r="S4" s="320" t="b">
        <v>1</v>
      </c>
      <c r="T4" s="320" t="b">
        <v>1</v>
      </c>
      <c r="U4" s="320" t="b">
        <v>1</v>
      </c>
      <c r="V4" s="320" t="b">
        <v>1</v>
      </c>
      <c r="AD4" s="300" t="s">
        <v>138</v>
      </c>
      <c r="AE4" s="117"/>
      <c r="AF4" s="117"/>
      <c r="AG4" s="117"/>
      <c r="AH4" s="117"/>
      <c r="AI4" s="318" t="s">
        <v>91</v>
      </c>
      <c r="AJ4" s="136"/>
      <c r="AK4" s="118"/>
      <c r="AL4" s="117"/>
      <c r="AM4" s="117"/>
      <c r="AN4" s="117"/>
      <c r="AO4" s="307"/>
      <c r="AP4" s="300"/>
      <c r="AQ4" s="117"/>
      <c r="AR4" s="117"/>
      <c r="AS4" s="117"/>
      <c r="AT4" s="117"/>
      <c r="AU4" s="318" t="s">
        <v>91</v>
      </c>
      <c r="AV4" s="136"/>
      <c r="AW4" s="118"/>
      <c r="AX4" s="117"/>
      <c r="AY4" s="117"/>
      <c r="AZ4" s="117"/>
      <c r="BA4" s="307"/>
      <c r="BE4" s="322" t="str">
        <f>G34</f>
        <v>with 0X6</v>
      </c>
      <c r="BF4" s="324"/>
      <c r="BG4" s="323" t="str">
        <f>S34</f>
        <v>without 0X6</v>
      </c>
      <c r="BH4" s="324"/>
      <c r="BI4" s="322" t="str">
        <f>U34</f>
        <v>with 0X6</v>
      </c>
      <c r="BJ4" s="324"/>
      <c r="BK4" s="323" t="str">
        <f>W34</f>
        <v>without 0X6</v>
      </c>
      <c r="BL4" s="324"/>
      <c r="BM4" s="322" t="str">
        <f>Y34</f>
        <v>with 0X6</v>
      </c>
      <c r="BN4" s="324"/>
      <c r="BO4" s="323" t="str">
        <f>AA34</f>
        <v>without 0X6</v>
      </c>
      <c r="BP4" s="324"/>
    </row>
    <row r="5" spans="1:69" ht="12" customHeight="1" x14ac:dyDescent="0.2">
      <c r="A5" s="117">
        <f>'6MSynthDepo_used'!A6</f>
        <v>2</v>
      </c>
      <c r="B5" s="187">
        <f>A5+SUBSTITUTE($D$24,"M","")</f>
        <v>8</v>
      </c>
      <c r="C5" s="151" t="str">
        <f>"B"&amp;$D$24&amp;"_"&amp;A5&amp;"X"&amp;B5</f>
        <v>B6M_2X8</v>
      </c>
      <c r="D5" s="383">
        <f>_xll.qlCalendarAdvance(Calendar,SettlementDate,A5&amp;"M","mf")</f>
        <v>42199</v>
      </c>
      <c r="E5" s="383">
        <f>_xll.qlInterestRateIndexMaturity($D$25,D5)</f>
        <v>42383</v>
      </c>
      <c r="F5" s="180">
        <f>_xll.qlIndexFixing(ON_6M_index,_xll.qlInterestRateIndexFixingDate(ON_6M_index,D5,Trigger),,AllTriggers)</f>
        <v>-1.2520227137032052E-3</v>
      </c>
      <c r="G5" s="180">
        <f t="shared" si="2"/>
        <v>6.3999999999999994E-4</v>
      </c>
      <c r="H5" s="408">
        <f>_xll.qlQuoteValue(C5,_xll.ohTrigger(InterestRatesTrigger,'6MSynthDepo_used'!E5))</f>
        <v>1.8920227137032052E-3</v>
      </c>
      <c r="I5" s="154">
        <f>_xll.qlDayCounterYearFraction(DayCounter,SettlementDate,D5,,,Trigger)</f>
        <v>0.16944444444444445</v>
      </c>
      <c r="J5" s="154">
        <f>1</f>
        <v>1</v>
      </c>
      <c r="K5" s="154">
        <f t="shared" si="0"/>
        <v>0.16944444444444445</v>
      </c>
      <c r="L5" s="154">
        <f t="shared" si="1"/>
        <v>2.8711419753086422E-2</v>
      </c>
      <c r="M5" s="153">
        <f>LN((1+G5*_xll.qlDayCounterYearFraction(DayCounter,D5,E5,,,Trigger))/(1+F5*_xll.qlDayCounterYearFraction(DayCounter,D5,E5,,,Trigger)))</f>
        <v>9.6718518020878026E-4</v>
      </c>
      <c r="N5" s="154">
        <f>_xll.qlDayCounterYearFraction(DayCounter,SettlementDate,D5,,,Trigger)</f>
        <v>0.16944444444444445</v>
      </c>
      <c r="O5" s="154">
        <f>_xll.qlDayCounterYearFraction(DayCounter,SettlementDate,E5,,,Trigger)</f>
        <v>0.68055555555555558</v>
      </c>
      <c r="P5" s="154">
        <f t="shared" si="3"/>
        <v>0.51111111111111107</v>
      </c>
      <c r="Q5" s="154">
        <f t="shared" si="4"/>
        <v>0.21722222222222223</v>
      </c>
      <c r="R5" s="154">
        <f t="shared" si="5"/>
        <v>0.10344610196616372</v>
      </c>
      <c r="S5" s="320" t="b">
        <v>1</v>
      </c>
      <c r="T5" s="320" t="b">
        <v>1</v>
      </c>
      <c r="U5" s="320" t="b">
        <v>1</v>
      </c>
      <c r="V5" s="320" t="b">
        <v>1</v>
      </c>
      <c r="AD5" s="300"/>
      <c r="AE5" s="330"/>
      <c r="AF5" s="127">
        <f t="array" ref="AF5:AF6">_xll.ohFilter(K3:K9,S3:S9)</f>
        <v>0</v>
      </c>
      <c r="AG5" s="128">
        <f t="array" ref="AG5:AG6">_xll.ohFilter(J3:J9,S3:S9)</f>
        <v>1</v>
      </c>
      <c r="AH5" s="431" t="s">
        <v>37</v>
      </c>
      <c r="AI5" s="129">
        <f t="array" ref="AI5:AI6">MMULT(AL5:AM6,AK5:AK6)</f>
        <v>6.2120210580200383E-4</v>
      </c>
      <c r="AJ5" s="431" t="s">
        <v>38</v>
      </c>
      <c r="AK5" s="130">
        <f t="array" ref="AK5:AK6">_xll.ohFilter(H3:H9,S3:S9)</f>
        <v>1.8052943197225172E-3</v>
      </c>
      <c r="AL5" s="127">
        <f t="array" ref="AL5:AM6">MINVERSE(AF5:AG6)</f>
        <v>-11.25</v>
      </c>
      <c r="AM5" s="128">
        <v>11.25</v>
      </c>
      <c r="AN5" s="117"/>
      <c r="AO5" s="307"/>
      <c r="AP5" s="300"/>
      <c r="AQ5" s="330"/>
      <c r="AR5" s="127">
        <f t="array" ref="AR5:AR6">_xll.ohFilter(Q3:Q9,S3:S9)</f>
        <v>0.13347222222222224</v>
      </c>
      <c r="AS5" s="128">
        <f t="array" ref="AS5:AS6">_xll.ohFilter(P3:P9,S3:S9)</f>
        <v>0.51666666666666672</v>
      </c>
      <c r="AT5" s="431" t="s">
        <v>37</v>
      </c>
      <c r="AU5" s="129">
        <f t="array" ref="AU5:AU6">MMULT(AX5:AY6,AW5:AW6)</f>
        <v>6.5223604801628587E-4</v>
      </c>
      <c r="AV5" s="431" t="s">
        <v>38</v>
      </c>
      <c r="AW5" s="188">
        <f t="array" ref="AW5:AW6">_xll.ohFilter(M3:M9,S3:S9)</f>
        <v>9.3286106736889529E-4</v>
      </c>
      <c r="AX5" s="127">
        <f t="array" ref="AX5:AY6">MINVERSE(AR5:AS6)</f>
        <v>-22.845055526176647</v>
      </c>
      <c r="AY5" s="128">
        <v>23.219564633163156</v>
      </c>
      <c r="AZ5" s="117"/>
      <c r="BA5" s="307"/>
      <c r="BC5" s="142" t="s">
        <v>70</v>
      </c>
      <c r="BD5" s="142" t="s">
        <v>122</v>
      </c>
      <c r="BE5" s="142" t="str">
        <f>G35</f>
        <v>Linear</v>
      </c>
      <c r="BF5" s="142" t="str">
        <f>H35</f>
        <v>Quadratic</v>
      </c>
      <c r="BG5" s="142" t="str">
        <f>S35</f>
        <v>Linear</v>
      </c>
      <c r="BH5" s="142" t="str">
        <f>T35</f>
        <v>Quadratic</v>
      </c>
      <c r="BI5" s="142" t="str">
        <f>U35</f>
        <v>Linear</v>
      </c>
      <c r="BJ5" s="142" t="str">
        <f>V35</f>
        <v>Quadratic</v>
      </c>
      <c r="BK5" s="142" t="str">
        <f>W35</f>
        <v>Linear</v>
      </c>
      <c r="BL5" s="142" t="str">
        <f>X35</f>
        <v>Quadratic</v>
      </c>
      <c r="BM5" s="142" t="str">
        <f>Y35</f>
        <v>Linear</v>
      </c>
      <c r="BN5" s="142" t="str">
        <f>Z35</f>
        <v>Quadratic</v>
      </c>
      <c r="BO5" s="142" t="str">
        <f>AA35</f>
        <v>Linear</v>
      </c>
      <c r="BP5" s="142" t="str">
        <f>AB35</f>
        <v>Quadratic</v>
      </c>
      <c r="BQ5" s="142" t="s">
        <v>179</v>
      </c>
    </row>
    <row r="6" spans="1:69" ht="12" customHeight="1" x14ac:dyDescent="0.2">
      <c r="A6" s="117">
        <f>'6MSynthDepo_used'!A7</f>
        <v>3</v>
      </c>
      <c r="B6" s="187">
        <f>A6+SUBSTITUTE($D$24,"M","")</f>
        <v>9</v>
      </c>
      <c r="C6" s="151" t="str">
        <f>"B"&amp;$D$24&amp;"_"&amp;A6&amp;"X"&amp;B6</f>
        <v>B6M_3X9</v>
      </c>
      <c r="D6" s="383">
        <f>_xll.qlCalendarAdvance(Calendar,SettlementDate,A6&amp;"M","mf")</f>
        <v>42230</v>
      </c>
      <c r="E6" s="383">
        <f>_xll.qlInterestRateIndexMaturity($D$25,D6)</f>
        <v>42415</v>
      </c>
      <c r="F6" s="180">
        <f>_xll.qlIndexFixing(ON_6M_index,_xll.qlInterestRateIndexFixingDate(ON_6M_index,D6,Trigger),,AllTriggers)</f>
        <v>-1.2678296020085104E-3</v>
      </c>
      <c r="G6" s="180">
        <f t="shared" si="2"/>
        <v>6.4000000000000016E-4</v>
      </c>
      <c r="H6" s="408">
        <f>_xll.qlQuoteValue(C6,_xll.ohTrigger(InterestRatesTrigger,'6MSynthDepo_used'!E6))</f>
        <v>1.9078296020085105E-3</v>
      </c>
      <c r="I6" s="154">
        <f>_xll.qlDayCounterYearFraction(DayCounter,SettlementDate,D6,,,Trigger)</f>
        <v>0.25555555555555554</v>
      </c>
      <c r="J6" s="154">
        <f>1</f>
        <v>1</v>
      </c>
      <c r="K6" s="154">
        <f t="shared" si="0"/>
        <v>0.25555555555555554</v>
      </c>
      <c r="L6" s="154">
        <f t="shared" si="1"/>
        <v>6.5308641975308626E-2</v>
      </c>
      <c r="M6" s="153">
        <f>LN((1+G6*_xll.qlDayCounterYearFraction(DayCounter,D6,E6,,,Trigger))/(1+F6*_xll.qlDayCounterYearFraction(DayCounter,D6,E6,,,Trigger)))</f>
        <v>9.8057069596735715E-4</v>
      </c>
      <c r="N6" s="154">
        <f>_xll.qlDayCounterYearFraction(DayCounter,SettlementDate,D6,,,Trigger)</f>
        <v>0.25555555555555554</v>
      </c>
      <c r="O6" s="154">
        <f>_xll.qlDayCounterYearFraction(DayCounter,SettlementDate,E6,,,Trigger)</f>
        <v>0.76944444444444449</v>
      </c>
      <c r="P6" s="154">
        <f t="shared" si="3"/>
        <v>0.51388888888888895</v>
      </c>
      <c r="Q6" s="154">
        <f t="shared" si="4"/>
        <v>0.26336805555555559</v>
      </c>
      <c r="R6" s="154">
        <f t="shared" si="5"/>
        <v>0.14628518661408324</v>
      </c>
      <c r="S6" s="320" t="b">
        <v>0</v>
      </c>
      <c r="T6" s="320" t="b">
        <v>0</v>
      </c>
      <c r="U6" s="320" t="b">
        <v>1</v>
      </c>
      <c r="V6" s="320" t="b">
        <v>1</v>
      </c>
      <c r="AD6" s="300"/>
      <c r="AE6" s="117"/>
      <c r="AF6" s="127">
        <v>8.8888888888888892E-2</v>
      </c>
      <c r="AG6" s="128">
        <v>1</v>
      </c>
      <c r="AH6" s="431"/>
      <c r="AI6" s="129">
        <v>1.8052943197225172E-3</v>
      </c>
      <c r="AJ6" s="431"/>
      <c r="AK6" s="130">
        <v>1.8605122846826953E-3</v>
      </c>
      <c r="AL6" s="127">
        <v>1</v>
      </c>
      <c r="AM6" s="128">
        <v>0</v>
      </c>
      <c r="AN6" s="117"/>
      <c r="AO6" s="307"/>
      <c r="AP6" s="300"/>
      <c r="AQ6" s="117"/>
      <c r="AR6" s="127">
        <v>0.17438657407407404</v>
      </c>
      <c r="AS6" s="128">
        <v>0.5083333333333333</v>
      </c>
      <c r="AT6" s="431"/>
      <c r="AU6" s="129">
        <v>1.6370432373420405E-3</v>
      </c>
      <c r="AV6" s="431"/>
      <c r="AW6" s="188">
        <v>9.4590485555004445E-4</v>
      </c>
      <c r="AX6" s="127">
        <v>7.8371232152300436</v>
      </c>
      <c r="AY6" s="128">
        <v>-5.9983875302338161</v>
      </c>
      <c r="AZ6" s="117"/>
      <c r="BA6" s="307"/>
      <c r="BC6" s="382">
        <f>SettlementDate</f>
        <v>42138</v>
      </c>
      <c r="BD6" s="154">
        <f>_xll.qlDayCounterYearFraction(DayCounter,SettlementDate,BC6,,,Trigger)</f>
        <v>0</v>
      </c>
      <c r="BE6" s="166">
        <f>_xll.qlPolynomialFunctionValue(BE$1,$BD6,AllTriggers)</f>
        <v>1.6448171090569996E-3</v>
      </c>
      <c r="BF6" s="179">
        <f>_xll.qlPolynomialFunctionValue(BF$1,$BD6,AllTriggers)</f>
        <v>1.5532418090135273E-3</v>
      </c>
      <c r="BG6" s="166">
        <f>_xll.qlPolynomialFunctionValue(BG$1,$BD6,AllTriggers)</f>
        <v>1.7246914699391173E-3</v>
      </c>
      <c r="BH6" s="179">
        <f>_xll.qlPolynomialFunctionValue(BH$1,$BD6,AllTriggers)</f>
        <v>1.5673863520443479E-3</v>
      </c>
      <c r="BI6" s="179">
        <f>_xll.qlPolynomialFunctionValue(BI$1,$BD6,AllTriggers)</f>
        <v>1.6370432373420405E-3</v>
      </c>
      <c r="BJ6" s="179">
        <f>_xll.qlPolynomialFunctionValue(BJ$1,$BD6,AllTriggers)</f>
        <v>1.5405041956403284E-3</v>
      </c>
      <c r="BK6" s="179">
        <f>_xll.qlPolynomialFunctionValue(BK$1,$BD6,AllTriggers)</f>
        <v>1.7288298059133511E-3</v>
      </c>
      <c r="BL6" s="179">
        <f>_xll.qlPolynomialFunctionValue(BL$1,$BD6,AllTriggers)</f>
        <v>1.5779617406501134E-3</v>
      </c>
      <c r="BM6" s="179">
        <f>_xll.qlPolynomialFunctionValue(BM$1,$BD6,AllTriggers)</f>
        <v>1.710984018692234E-3</v>
      </c>
      <c r="BN6" s="179">
        <f>_xll.qlPolynomialFunctionValue(BN$1,$BD6,AllTriggers)</f>
        <v>1.6680220904655852E-3</v>
      </c>
      <c r="BO6" s="179">
        <f>_xll.qlPolynomialFunctionValue(BO$1,$BD6,AllTriggers)</f>
        <v>1.7432830787416295E-3</v>
      </c>
      <c r="BP6" s="179">
        <f>_xll.qlPolynomialFunctionValue(BP$1,$BD6,AllTriggers)</f>
        <v>1.8266217598038798E-3</v>
      </c>
      <c r="BQ6" s="179">
        <f>_xll.qlPolynomialFunctionValue('6MSynthDepo_used'!$P$18,BD6,AllTriggers)</f>
        <v>1.6112128984961903E-3</v>
      </c>
    </row>
    <row r="7" spans="1:69" ht="12" customHeight="1" x14ac:dyDescent="0.2">
      <c r="A7" s="117">
        <f>'6MSynthDepo_used'!A8</f>
        <v>4</v>
      </c>
      <c r="B7" s="187">
        <f>A7+SUBSTITUTE($D$24,"M","")</f>
        <v>10</v>
      </c>
      <c r="C7" s="151" t="str">
        <f>"B"&amp;$D$24&amp;"_"&amp;A7&amp;"X"&amp;B7</f>
        <v>B6M_4X10</v>
      </c>
      <c r="D7" s="383">
        <f>_xll.qlCalendarAdvance(Calendar,SettlementDate,A7&amp;"M","mf")</f>
        <v>42261</v>
      </c>
      <c r="E7" s="383">
        <f>_xll.qlInterestRateIndexMaturity($D$25,D7)</f>
        <v>42443</v>
      </c>
      <c r="F7" s="180">
        <f>_xll.qlIndexFixing(ON_6M_index,_xll.qlInterestRateIndexFixingDate(ON_6M_index,D7,Trigger),,AllTriggers)</f>
        <v>-1.2863441141031473E-3</v>
      </c>
      <c r="G7" s="180">
        <f t="shared" si="2"/>
        <v>6.4999999999999997E-4</v>
      </c>
      <c r="H7" s="408">
        <f>_xll.qlQuoteValue(C7,_xll.ohTrigger(InterestRatesTrigger,'6MSynthDepo_used'!E7))</f>
        <v>1.9363441141031473E-3</v>
      </c>
      <c r="I7" s="154">
        <f>_xll.qlDayCounterYearFraction(DayCounter,SettlementDate,D7,,,Trigger)</f>
        <v>0.34166666666666667</v>
      </c>
      <c r="J7" s="154">
        <f>1</f>
        <v>1</v>
      </c>
      <c r="K7" s="154">
        <f t="shared" si="0"/>
        <v>0.34166666666666667</v>
      </c>
      <c r="L7" s="154">
        <f t="shared" si="1"/>
        <v>0.11673611111111111</v>
      </c>
      <c r="M7" s="153">
        <f>LN((1+G7*_xll.qlDayCounterYearFraction(DayCounter,D7,E7,,,Trigger))/(1+F7*_xll.qlDayCounterYearFraction(DayCounter,D7,E7,,,Trigger)))</f>
        <v>9.7908709228678305E-4</v>
      </c>
      <c r="N7" s="154">
        <f>_xll.qlDayCounterYearFraction(DayCounter,SettlementDate,D7,,,Trigger)</f>
        <v>0.34166666666666667</v>
      </c>
      <c r="O7" s="154">
        <f>_xll.qlDayCounterYearFraction(DayCounter,SettlementDate,E7,,,Trigger)</f>
        <v>0.84722222222222221</v>
      </c>
      <c r="P7" s="154">
        <f t="shared" si="3"/>
        <v>0.50555555555555554</v>
      </c>
      <c r="Q7" s="154">
        <f t="shared" si="4"/>
        <v>0.30052469135802468</v>
      </c>
      <c r="R7" s="154">
        <f t="shared" si="5"/>
        <v>0.18941299439871973</v>
      </c>
      <c r="S7" s="320" t="b">
        <v>0</v>
      </c>
      <c r="T7" s="320" t="b">
        <v>0</v>
      </c>
      <c r="U7" s="320" t="b">
        <v>0</v>
      </c>
      <c r="V7" s="320" t="b">
        <v>0</v>
      </c>
      <c r="AD7" s="300"/>
      <c r="AE7" s="117"/>
      <c r="AF7" s="117"/>
      <c r="AG7" s="117"/>
      <c r="AH7" s="117"/>
      <c r="AI7" s="317"/>
      <c r="AJ7" s="136"/>
      <c r="AK7" s="118"/>
      <c r="AL7" s="117"/>
      <c r="AM7" s="117"/>
      <c r="AN7" s="117"/>
      <c r="AO7" s="307"/>
      <c r="AP7" s="300"/>
      <c r="AQ7" s="117"/>
      <c r="AR7" s="117"/>
      <c r="AS7" s="117"/>
      <c r="AT7" s="117"/>
      <c r="AU7" s="317"/>
      <c r="AV7" s="136"/>
      <c r="AW7" s="424"/>
      <c r="AX7" s="117"/>
      <c r="AY7" s="117"/>
      <c r="AZ7" s="117"/>
      <c r="BA7" s="307"/>
      <c r="BC7" s="384">
        <f>_xll.qlCalendarAdvance(Calendar,BC6,"1d","mf",,Trigger)</f>
        <v>42139</v>
      </c>
      <c r="BD7" s="154">
        <f>_xll.qlDayCounterYearFraction(DayCounter,SettlementDate,BC7,,,Trigger)</f>
        <v>2.7777777777777779E-3</v>
      </c>
      <c r="BE7" s="166">
        <f>_xll.qlPolynomialFunctionValue(BE$1,$BD7,AllTriggers)</f>
        <v>1.6465426704620051E-3</v>
      </c>
      <c r="BF7" s="166">
        <f>_xll.qlPolynomialFunctionValue(BF$1,$BD7,AllTriggers)</f>
        <v>1.5572405161642928E-3</v>
      </c>
      <c r="BG7" s="166">
        <f>_xll.qlPolynomialFunctionValue(BG$1,$BD7,AllTriggers)</f>
        <v>1.725778036457066E-3</v>
      </c>
      <c r="BH7" s="166">
        <f>_xll.qlPolynomialFunctionValue(BH$1,$BD7,AllTriggers)</f>
        <v>1.5711448085100417E-3</v>
      </c>
      <c r="BI7" s="166">
        <f>_xll.qlPolynomialFunctionValue(BI$1,$BD7,AllTriggers)</f>
        <v>1.6388550041420858E-3</v>
      </c>
      <c r="BJ7" s="166">
        <f>_xll.qlPolynomialFunctionValue(BJ$1,$BD7,AllTriggers)</f>
        <v>1.5447810083619093E-3</v>
      </c>
      <c r="BK7" s="166">
        <f>_xll.qlPolynomialFunctionValue(BK$1,$BD7,AllTriggers)</f>
        <v>1.7298983616318472E-3</v>
      </c>
      <c r="BL7" s="166">
        <f>_xll.qlPolynomialFunctionValue(BL$1,$BD7,AllTriggers)</f>
        <v>1.5816004381895806E-3</v>
      </c>
      <c r="BM7" s="166">
        <f>_xll.qlPolynomialFunctionValue(BM$1,$BD7,AllTriggers)</f>
        <v>1.7120924558959765E-3</v>
      </c>
      <c r="BN7" s="166">
        <f>_xll.qlPolynomialFunctionValue(BN$1,$BD7,AllTriggers)</f>
        <v>1.6698148331942817E-3</v>
      </c>
      <c r="BO7" s="166">
        <f>_xll.qlPolynomialFunctionValue(BO$1,$BD7,AllTriggers)</f>
        <v>1.7442173736499133E-3</v>
      </c>
      <c r="BP7" s="166">
        <f>_xll.qlPolynomialFunctionValue(BP$1,$BD7,AllTriggers)</f>
        <v>1.8264609183674077E-3</v>
      </c>
      <c r="BQ7" s="166">
        <f>_xll.qlPolynomialFunctionValue('6MSynthDepo_used'!$P$18,BD7,AllTriggers)</f>
        <v>1.6142446821471286E-3</v>
      </c>
    </row>
    <row r="8" spans="1:69" ht="12" customHeight="1" x14ac:dyDescent="0.2">
      <c r="A8" s="117">
        <f>'6MSynthDepo_used'!A9</f>
        <v>5</v>
      </c>
      <c r="B8" s="187">
        <f>A8+SUBSTITUTE($D$24,"M","")</f>
        <v>11</v>
      </c>
      <c r="C8" s="151" t="str">
        <f>"B"&amp;$D$24&amp;"_"&amp;A8&amp;"X"&amp;B8</f>
        <v>B6M_5X11</v>
      </c>
      <c r="D8" s="383">
        <f>_xll.qlCalendarAdvance(Calendar,SettlementDate,A8&amp;"M","mf")</f>
        <v>42291</v>
      </c>
      <c r="E8" s="383">
        <f>_xll.qlInterestRateIndexMaturity($D$25,D8)</f>
        <v>42474</v>
      </c>
      <c r="F8" s="180">
        <f>_xll.qlIndexFixing(ON_6M_index,_xll.qlInterestRateIndexFixingDate(ON_6M_index,D8,Trigger),,AllTriggers)</f>
        <v>-1.3129880212073787E-3</v>
      </c>
      <c r="G8" s="180">
        <f t="shared" si="2"/>
        <v>6.8000000000000027E-4</v>
      </c>
      <c r="H8" s="408">
        <f>_xll.qlQuoteValue(C8,_xll.ohTrigger(InterestRatesTrigger,'6MSynthDepo_used'!E8))</f>
        <v>1.992988021207379E-3</v>
      </c>
      <c r="I8" s="154">
        <f>_xll.qlDayCounterYearFraction(DayCounter,SettlementDate,D8,,,Trigger)</f>
        <v>0.42499999999999999</v>
      </c>
      <c r="J8" s="154">
        <f>1</f>
        <v>1</v>
      </c>
      <c r="K8" s="154">
        <f t="shared" si="0"/>
        <v>0.42499999999999999</v>
      </c>
      <c r="L8" s="154">
        <f t="shared" si="1"/>
        <v>0.18062499999999998</v>
      </c>
      <c r="M8" s="153">
        <f>LN((1+G8*_xll.qlDayCounterYearFraction(DayCounter,D8,E8,,,Trigger))/(1+F8*_xll.qlDayCounterYearFraction(DayCounter,D8,E8,,,Trigger)))</f>
        <v>1.0132653494374106E-3</v>
      </c>
      <c r="N8" s="154">
        <f>_xll.qlDayCounterYearFraction(DayCounter,SettlementDate,D8,,,Trigger)</f>
        <v>0.42499999999999999</v>
      </c>
      <c r="O8" s="154">
        <f>_xll.qlDayCounterYearFraction(DayCounter,SettlementDate,E8,,,Trigger)</f>
        <v>0.93333333333333335</v>
      </c>
      <c r="P8" s="154">
        <f t="shared" si="3"/>
        <v>0.5083333333333333</v>
      </c>
      <c r="Q8" s="154">
        <f t="shared" si="4"/>
        <v>0.34524305555555557</v>
      </c>
      <c r="R8" s="154">
        <f t="shared" si="5"/>
        <v>0.24542380401234573</v>
      </c>
      <c r="S8" s="320" t="b">
        <v>0</v>
      </c>
      <c r="T8" s="320" t="b">
        <v>0</v>
      </c>
      <c r="U8" s="320" t="b">
        <v>0</v>
      </c>
      <c r="V8" s="320" t="b">
        <v>0</v>
      </c>
      <c r="AD8" s="300" t="s">
        <v>139</v>
      </c>
      <c r="AE8" s="117"/>
      <c r="AF8" s="117"/>
      <c r="AG8" s="117"/>
      <c r="AH8" s="117"/>
      <c r="AI8" s="318" t="s">
        <v>91</v>
      </c>
      <c r="AJ8" s="136"/>
      <c r="AK8" s="118"/>
      <c r="AL8" s="117"/>
      <c r="AM8" s="117"/>
      <c r="AN8" s="117"/>
      <c r="AO8" s="307"/>
      <c r="AP8" s="300"/>
      <c r="AQ8" s="117"/>
      <c r="AR8" s="117"/>
      <c r="AS8" s="117"/>
      <c r="AT8" s="117"/>
      <c r="AU8" s="318" t="s">
        <v>91</v>
      </c>
      <c r="AV8" s="136"/>
      <c r="AW8" s="424"/>
      <c r="AX8" s="117"/>
      <c r="AY8" s="117"/>
      <c r="AZ8" s="117"/>
      <c r="BA8" s="307"/>
      <c r="BC8" s="384">
        <f>_xll.qlCalendarAdvance(Calendar,BC7,"1d","mf",,Trigger)</f>
        <v>42142</v>
      </c>
      <c r="BD8" s="154">
        <f>_xll.qlDayCounterYearFraction(DayCounter,SettlementDate,BC8,,,Trigger)</f>
        <v>1.1111111111111112E-2</v>
      </c>
      <c r="BE8" s="166">
        <f>_xll.qlPolynomialFunctionValue(BE$1,$BD8,AllTriggers)</f>
        <v>1.6517193546770218E-3</v>
      </c>
      <c r="BF8" s="166">
        <f>_xll.qlPolynomialFunctionValue(BF$1,$BD8,AllTriggers)</f>
        <v>1.5691109337043815E-3</v>
      </c>
      <c r="BG8" s="166">
        <f>_xll.qlPolynomialFunctionValue(BG$1,$BD8,AllTriggers)</f>
        <v>1.7290377360109118E-3</v>
      </c>
      <c r="BH8" s="166">
        <f>_xll.qlPolynomialFunctionValue(BH$1,$BD8,AllTriggers)</f>
        <v>1.5823048445280838E-3</v>
      </c>
      <c r="BI8" s="166">
        <f>_xll.qlPolynomialFunctionValue(BI$1,$BD8,AllTriggers)</f>
        <v>1.6442903045422214E-3</v>
      </c>
      <c r="BJ8" s="166">
        <f>_xll.qlPolynomialFunctionValue(BJ$1,$BD8,AllTriggers)</f>
        <v>1.5574722278232675E-3</v>
      </c>
      <c r="BK8" s="166">
        <f>_xll.qlPolynomialFunctionValue(BK$1,$BD8,AllTriggers)</f>
        <v>1.7331040287873359E-3</v>
      </c>
      <c r="BL8" s="166">
        <f>_xll.qlPolynomialFunctionValue(BL$1,$BD8,AllTriggers)</f>
        <v>1.5924050023950515E-3</v>
      </c>
      <c r="BM8" s="166">
        <f>_xll.qlPolynomialFunctionValue(BM$1,$BD8,AllTriggers)</f>
        <v>1.715417767507204E-3</v>
      </c>
      <c r="BN8" s="166">
        <f>_xll.qlPolynomialFunctionValue(BN$1,$BD8,AllTriggers)</f>
        <v>1.6751669648216666E-3</v>
      </c>
      <c r="BO8" s="166">
        <f>_xll.qlPolynomialFunctionValue(BO$1,$BD8,AllTriggers)</f>
        <v>1.7470202583747642E-3</v>
      </c>
      <c r="BP8" s="166">
        <f>_xll.qlPolynomialFunctionValue(BP$1,$BD8,AllTriggers)</f>
        <v>1.8260156249390095E-3</v>
      </c>
      <c r="BQ8" s="166">
        <f>_xll.qlPolynomialFunctionValue('6MSynthDepo_used'!$P$18,BD8,AllTriggers)</f>
        <v>1.6232226629091981E-3</v>
      </c>
    </row>
    <row r="9" spans="1:69" ht="12" customHeight="1" x14ac:dyDescent="0.2">
      <c r="A9" s="117">
        <f>'6MSynthDepo_used'!A10</f>
        <v>6</v>
      </c>
      <c r="B9" s="187">
        <f>A9+SUBSTITUTE($D$24,"M","")</f>
        <v>12</v>
      </c>
      <c r="C9" s="156" t="str">
        <f>"B"&amp;$D$24&amp;"_"&amp;A9&amp;"X"&amp;B9</f>
        <v>B6M_6X12</v>
      </c>
      <c r="D9" s="387">
        <f>_xll.qlCalendarAdvance(Calendar,SettlementDate,A9&amp;"M","mf")</f>
        <v>42324</v>
      </c>
      <c r="E9" s="387">
        <f>_xll.qlInterestRateIndexMaturity($D$25,D9)</f>
        <v>42506</v>
      </c>
      <c r="F9" s="181">
        <f>_xll.qlIndexFixing(ON_6M_index,_xll.qlInterestRateIndexFixingDate(ON_6M_index,D9,Trigger),,AllTriggers)</f>
        <v>-1.3121885563962153E-3</v>
      </c>
      <c r="G9" s="181">
        <f t="shared" si="2"/>
        <v>7.000000000000001E-4</v>
      </c>
      <c r="H9" s="409">
        <f>_xll.qlQuoteValue(C9,_xll.ohTrigger(InterestRatesTrigger,'6MSynthDepo_used'!E9))</f>
        <v>2.0121885563962154E-3</v>
      </c>
      <c r="I9" s="159">
        <f>_xll.qlDayCounterYearFraction(DayCounter,SettlementDate,D9,,,Trigger)</f>
        <v>0.51666666666666672</v>
      </c>
      <c r="J9" s="159">
        <f>1</f>
        <v>1</v>
      </c>
      <c r="K9" s="159">
        <f t="shared" si="0"/>
        <v>0.51666666666666672</v>
      </c>
      <c r="L9" s="159">
        <f t="shared" si="1"/>
        <v>0.26694444444444448</v>
      </c>
      <c r="M9" s="158">
        <f>LN((1+G9*_xll.qlDayCounterYearFraction(DayCounter,D9,E9,,,Trigger))/(1+F9*_xll.qlDayCounterYearFraction(DayCounter,D9,E9,,,Trigger)))</f>
        <v>1.0174306362784617E-3</v>
      </c>
      <c r="N9" s="159">
        <f>_xll.qlDayCounterYearFraction(DayCounter,SettlementDate,D9,,,Trigger)</f>
        <v>0.51666666666666672</v>
      </c>
      <c r="O9" s="159">
        <f>_xll.qlDayCounterYearFraction(DayCounter,SettlementDate,E9,,,Trigger)</f>
        <v>1.0222222222222221</v>
      </c>
      <c r="P9" s="159">
        <f t="shared" si="3"/>
        <v>0.50555555555555542</v>
      </c>
      <c r="Q9" s="159">
        <f t="shared" si="4"/>
        <v>0.38899691358024679</v>
      </c>
      <c r="R9" s="159">
        <f t="shared" si="5"/>
        <v>0.31007927526291712</v>
      </c>
      <c r="S9" s="356" t="b">
        <v>0</v>
      </c>
      <c r="T9" s="356" t="b">
        <v>0</v>
      </c>
      <c r="U9" s="356" t="b">
        <v>0</v>
      </c>
      <c r="V9" s="356" t="b">
        <v>0</v>
      </c>
      <c r="AD9" s="300"/>
      <c r="AE9" s="134"/>
      <c r="AF9" s="127">
        <f t="array" ref="AF9:AF10">_xll.ohFilter(K3:K9,U3:U9)</f>
        <v>8.8888888888888892E-2</v>
      </c>
      <c r="AG9" s="128">
        <f t="array" ref="AG9:AG10">_xll.ohFilter(J3:J9,U3:U9)</f>
        <v>1</v>
      </c>
      <c r="AH9" s="431" t="s">
        <v>37</v>
      </c>
      <c r="AI9" s="129">
        <f t="array" ref="AI9:AI10">MMULT(AL9:AM10,AK9:AK10)</f>
        <v>3.9116394646150632E-4</v>
      </c>
      <c r="AJ9" s="431" t="s">
        <v>38</v>
      </c>
      <c r="AK9" s="130">
        <f t="array" ref="AK9:AK10">_xll.ohFilter(H3:H9,U3:U9)</f>
        <v>1.8605122846826953E-3</v>
      </c>
      <c r="AL9" s="127">
        <f t="array" ref="AL9:AM10">MINVERSE(AF9:AG10)</f>
        <v>-12.413793103448276</v>
      </c>
      <c r="AM9" s="128">
        <v>12.413793103448278</v>
      </c>
      <c r="AN9" s="117"/>
      <c r="AO9" s="307"/>
      <c r="AP9" s="300"/>
      <c r="AQ9" s="134"/>
      <c r="AR9" s="127">
        <f t="array" ref="AR9:AR10">_xll.ohFilter(Q3:Q9,U3:U9)</f>
        <v>0.17438657407407404</v>
      </c>
      <c r="AS9" s="128">
        <f t="array" ref="AS9:AS10">_xll.ohFilter(P3:P9,U3:U9)</f>
        <v>0.5083333333333333</v>
      </c>
      <c r="AT9" s="431" t="s">
        <v>37</v>
      </c>
      <c r="AU9" s="129">
        <f t="array" ref="AU9:AU10">MMULT(AX9:AY10,AW9:AW10)</f>
        <v>3.8468005865862492E-4</v>
      </c>
      <c r="AV9" s="431" t="s">
        <v>38</v>
      </c>
      <c r="AW9" s="188">
        <f t="array" ref="AW9:AW10">_xll.ohFilter(M3:M9,U3:U9)</f>
        <v>9.4590485555004445E-4</v>
      </c>
      <c r="AX9" s="127">
        <f t="array" ref="AX9:AY10">MINVERSE(AR9:AS10)</f>
        <v>-24.006668519033028</v>
      </c>
      <c r="AY9" s="128">
        <v>23.876197494473065</v>
      </c>
      <c r="AZ9" s="117"/>
      <c r="BA9" s="307"/>
      <c r="BC9" s="384">
        <f>_xll.qlCalendarAdvance(Calendar,BC8,"1d","mf",,Trigger)</f>
        <v>42143</v>
      </c>
      <c r="BD9" s="154">
        <f>_xll.qlDayCounterYearFraction(DayCounter,SettlementDate,BC9,,,Trigger)</f>
        <v>1.3888888888888888E-2</v>
      </c>
      <c r="BE9" s="166">
        <f>_xll.qlPolynomialFunctionValue(BE$1,$BD9,AllTriggers)</f>
        <v>1.6534449160820273E-3</v>
      </c>
      <c r="BF9" s="166">
        <f>_xll.qlPolynomialFunctionValue(BF$1,$BD9,AllTriggers)</f>
        <v>1.5730258382470085E-3</v>
      </c>
      <c r="BG9" s="166">
        <f>_xll.qlPolynomialFunctionValue(BG$1,$BD9,AllTriggers)</f>
        <v>1.7301243025288605E-3</v>
      </c>
      <c r="BH9" s="166">
        <f>_xll.qlPolynomialFunctionValue(BH$1,$BD9,AllTriggers)</f>
        <v>1.5859864120744182E-3</v>
      </c>
      <c r="BI9" s="166">
        <f>_xll.qlPolynomialFunctionValue(BI$1,$BD9,AllTriggers)</f>
        <v>1.6461020713422667E-3</v>
      </c>
      <c r="BJ9" s="166">
        <f>_xll.qlPolynomialFunctionValue(BJ$1,$BD9,AllTriggers)</f>
        <v>1.5616562280759256E-3</v>
      </c>
      <c r="BK9" s="166">
        <f>_xll.qlPolynomialFunctionValue(BK$1,$BD9,AllTriggers)</f>
        <v>1.7341725845058319E-3</v>
      </c>
      <c r="BL9" s="166">
        <f>_xll.qlPolynomialFunctionValue(BL$1,$BD9,AllTriggers)</f>
        <v>1.5959693476592313E-3</v>
      </c>
      <c r="BM9" s="166">
        <f>_xll.qlPolynomialFunctionValue(BM$1,$BD9,AllTriggers)</f>
        <v>1.7165262047109464E-3</v>
      </c>
      <c r="BN9" s="166">
        <f>_xll.qlPolynomialFunctionValue(BN$1,$BD9,AllTriggers)</f>
        <v>1.67694230984456E-3</v>
      </c>
      <c r="BO9" s="166">
        <f>_xll.qlPolynomialFunctionValue(BO$1,$BD9,AllTriggers)</f>
        <v>1.7479545532830478E-3</v>
      </c>
      <c r="BP9" s="166">
        <f>_xll.qlPolynomialFunctionValue(BP$1,$BD9,AllTriggers)</f>
        <v>1.8258796040898826E-3</v>
      </c>
      <c r="BQ9" s="166">
        <f>_xll.qlPolynomialFunctionValue('6MSynthDepo_used'!$P$18,BD9,AllTriggers)</f>
        <v>1.626176539733852E-3</v>
      </c>
    </row>
    <row r="10" spans="1:69" ht="12" customHeight="1" x14ac:dyDescent="0.2">
      <c r="A10" s="117"/>
      <c r="B10" s="187"/>
      <c r="C10" s="118"/>
      <c r="D10" s="119"/>
      <c r="E10" s="119"/>
      <c r="F10" s="328"/>
      <c r="G10" s="328"/>
      <c r="H10" s="329"/>
      <c r="I10" s="120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2"/>
      <c r="U10" s="122"/>
      <c r="V10" s="122"/>
      <c r="W10" s="122"/>
      <c r="AD10" s="300"/>
      <c r="AE10" s="134"/>
      <c r="AF10" s="127">
        <v>0.16944444444444445</v>
      </c>
      <c r="AG10" s="128">
        <v>1</v>
      </c>
      <c r="AH10" s="431"/>
      <c r="AI10" s="129">
        <v>1.8257421561083398E-3</v>
      </c>
      <c r="AJ10" s="431"/>
      <c r="AK10" s="130">
        <v>1.8920227137032052E-3</v>
      </c>
      <c r="AL10" s="127">
        <v>2.103448275862069</v>
      </c>
      <c r="AM10" s="128">
        <v>-1.1034482758620692</v>
      </c>
      <c r="AN10" s="117"/>
      <c r="AO10" s="307"/>
      <c r="AP10" s="300"/>
      <c r="AQ10" s="134"/>
      <c r="AR10" s="127">
        <v>0.21722222222222223</v>
      </c>
      <c r="AS10" s="128">
        <v>0.51111111111111107</v>
      </c>
      <c r="AT10" s="431"/>
      <c r="AU10" s="129">
        <v>1.7288298059133511E-3</v>
      </c>
      <c r="AV10" s="431"/>
      <c r="AW10" s="188">
        <v>9.6718518020878026E-4</v>
      </c>
      <c r="AX10" s="127">
        <v>10.202834120589038</v>
      </c>
      <c r="AY10" s="128">
        <v>-8.1908621960206194</v>
      </c>
      <c r="AZ10" s="117"/>
      <c r="BA10" s="307"/>
      <c r="BC10" s="384">
        <f>_xll.qlCalendarAdvance(Calendar,BC9,"1d","mf",,Trigger)</f>
        <v>42144</v>
      </c>
      <c r="BD10" s="154">
        <f>_xll.qlDayCounterYearFraction(DayCounter,SettlementDate,BC10,,,Trigger)</f>
        <v>1.6666666666666666E-2</v>
      </c>
      <c r="BE10" s="166">
        <f>_xll.qlPolynomialFunctionValue(BE$1,$BD10,AllTriggers)</f>
        <v>1.6551704774870331E-3</v>
      </c>
      <c r="BF10" s="166">
        <f>_xll.qlPolynomialFunctionValue(BF$1,$BD10,AllTriggers)</f>
        <v>1.5769197921376005E-3</v>
      </c>
      <c r="BG10" s="166">
        <f>_xll.qlPolynomialFunctionValue(BG$1,$BD10,AllTriggers)</f>
        <v>1.7312108690468091E-3</v>
      </c>
      <c r="BH10" s="166">
        <f>_xll.qlPolynomialFunctionValue(BH$1,$BD10,AllTriggers)</f>
        <v>1.5896487573909125E-3</v>
      </c>
      <c r="BI10" s="166">
        <f>_xll.qlPolynomialFunctionValue(BI$1,$BD10,AllTriggers)</f>
        <v>1.6479138381423118E-3</v>
      </c>
      <c r="BJ10" s="166">
        <f>_xll.qlPolynomialFunctionValue(BJ$1,$BD10,AllTriggers)</f>
        <v>1.5658170252113527E-3</v>
      </c>
      <c r="BK10" s="166">
        <f>_xll.qlPolynomialFunctionValue(BK$1,$BD10,AllTriggers)</f>
        <v>1.7352411402243282E-3</v>
      </c>
      <c r="BL10" s="166">
        <f>_xll.qlPolynomialFunctionValue(BL$1,$BD10,AllTriggers)</f>
        <v>1.5995151048545893E-3</v>
      </c>
      <c r="BM10" s="166">
        <f>_xll.qlPolynomialFunctionValue(BM$1,$BD10,AllTriggers)</f>
        <v>1.7176346419146889E-3</v>
      </c>
      <c r="BN10" s="166">
        <f>_xll.qlPolynomialFunctionValue(BN$1,$BD10,AllTriggers)</f>
        <v>1.6787133054410024E-3</v>
      </c>
      <c r="BO10" s="166">
        <f>_xll.qlPolynomialFunctionValue(BO$1,$BD10,AllTriggers)</f>
        <v>1.7488888481913315E-3</v>
      </c>
      <c r="BP10" s="166">
        <f>_xll.qlPolynomialFunctionValue(BP$1,$BD10,AllTriggers)</f>
        <v>1.8257497883875924E-3</v>
      </c>
      <c r="BQ10" s="166">
        <f>_xll.qlPolynomialFunctionValue('6MSynthDepo_used'!$P$18,BD10,AllTriggers)</f>
        <v>1.6291111941935659E-3</v>
      </c>
    </row>
    <row r="11" spans="1:69" ht="12" customHeight="1" x14ac:dyDescent="0.2">
      <c r="A11" s="117"/>
      <c r="B11" s="187"/>
      <c r="C11" s="117"/>
      <c r="D11" s="117"/>
      <c r="E11" s="117"/>
      <c r="F11" s="117"/>
      <c r="G11" s="117"/>
      <c r="AD11" s="300"/>
      <c r="AE11" s="117"/>
      <c r="AF11" s="117"/>
      <c r="AG11" s="117"/>
      <c r="AH11" s="117"/>
      <c r="AI11" s="317"/>
      <c r="AJ11" s="136"/>
      <c r="AK11" s="118"/>
      <c r="AL11" s="117"/>
      <c r="AM11" s="117"/>
      <c r="AN11" s="117"/>
      <c r="AO11" s="307"/>
      <c r="AP11" s="300"/>
      <c r="AQ11" s="117"/>
      <c r="AR11" s="117"/>
      <c r="AS11" s="117"/>
      <c r="AT11" s="117"/>
      <c r="AU11" s="317"/>
      <c r="AV11" s="136"/>
      <c r="AW11" s="118"/>
      <c r="AX11" s="117"/>
      <c r="AY11" s="117"/>
      <c r="AZ11" s="117"/>
      <c r="BA11" s="307"/>
      <c r="BC11" s="384">
        <f>_xll.qlCalendarAdvance(Calendar,BC10,"1d","mf",,Trigger)</f>
        <v>42145</v>
      </c>
      <c r="BD11" s="154">
        <f>_xll.qlDayCounterYearFraction(DayCounter,SettlementDate,BC11,,,Trigger)</f>
        <v>1.9444444444444445E-2</v>
      </c>
      <c r="BE11" s="166">
        <f>_xll.qlPolynomialFunctionValue(BE$1,$BD11,AllTriggers)</f>
        <v>1.6568960388920386E-3</v>
      </c>
      <c r="BF11" s="166">
        <f>_xll.qlPolynomialFunctionValue(BF$1,$BD11,AllTriggers)</f>
        <v>1.5807927953761583E-3</v>
      </c>
      <c r="BG11" s="166">
        <f>_xll.qlPolynomialFunctionValue(BG$1,$BD11,AllTriggers)</f>
        <v>1.7322974355647577E-3</v>
      </c>
      <c r="BH11" s="166">
        <f>_xll.qlPolynomialFunctionValue(BH$1,$BD11,AllTriggers)</f>
        <v>1.5932918804775667E-3</v>
      </c>
      <c r="BI11" s="166">
        <f>_xll.qlPolynomialFunctionValue(BI$1,$BD11,AllTriggers)</f>
        <v>1.6497256049423572E-3</v>
      </c>
      <c r="BJ11" s="166">
        <f>_xll.qlPolynomialFunctionValue(BJ$1,$BD11,AllTriggers)</f>
        <v>1.5699546192295493E-3</v>
      </c>
      <c r="BK11" s="166">
        <f>_xll.qlPolynomialFunctionValue(BK$1,$BD11,AllTriggers)</f>
        <v>1.7363096959428243E-3</v>
      </c>
      <c r="BL11" s="166">
        <f>_xll.qlPolynomialFunctionValue(BL$1,$BD11,AllTriggers)</f>
        <v>1.6030422739811254E-3</v>
      </c>
      <c r="BM11" s="166">
        <f>_xll.qlPolynomialFunctionValue(BM$1,$BD11,AllTriggers)</f>
        <v>1.7187430791184314E-3</v>
      </c>
      <c r="BN11" s="166">
        <f>_xll.qlPolynomialFunctionValue(BN$1,$BD11,AllTriggers)</f>
        <v>1.6804799516109941E-3</v>
      </c>
      <c r="BO11" s="166">
        <f>_xll.qlPolynomialFunctionValue(BO$1,$BD11,AllTriggers)</f>
        <v>1.7498231430996152E-3</v>
      </c>
      <c r="BP11" s="166">
        <f>_xll.qlPolynomialFunctionValue(BP$1,$BD11,AllTriggers)</f>
        <v>1.8256261778321387E-3</v>
      </c>
      <c r="BQ11" s="166">
        <f>_xll.qlPolynomialFunctionValue('6MSynthDepo_used'!$P$18,BD11,AllTriggers)</f>
        <v>1.6320267275177676E-3</v>
      </c>
    </row>
    <row r="12" spans="1:69" ht="12" customHeight="1" x14ac:dyDescent="0.2">
      <c r="B12" s="117"/>
      <c r="C12" s="322" t="s">
        <v>141</v>
      </c>
      <c r="D12" s="323"/>
      <c r="E12" s="323"/>
      <c r="F12" s="323"/>
      <c r="G12" s="323"/>
      <c r="H12" s="323"/>
      <c r="I12" s="322"/>
      <c r="J12" s="322"/>
      <c r="P12" s="187"/>
      <c r="Q12" s="187"/>
      <c r="R12" s="187"/>
      <c r="S12" s="322" t="str">
        <f>"with 0X"&amp;SUBSTITUTE($D$24,"M","")</f>
        <v>with 0X6</v>
      </c>
      <c r="T12" s="324"/>
      <c r="U12" s="323" t="str">
        <f>"without 0X"&amp;SUBSTITUTE($D$24,"M","")</f>
        <v>without 0X6</v>
      </c>
      <c r="V12" s="324"/>
      <c r="AD12" s="425" t="s">
        <v>84</v>
      </c>
      <c r="AE12" s="426"/>
      <c r="AF12" s="426"/>
      <c r="AG12" s="426"/>
      <c r="AH12" s="426"/>
      <c r="AI12" s="426"/>
      <c r="AJ12" s="426"/>
      <c r="AK12" s="426"/>
      <c r="AL12" s="426"/>
      <c r="AM12" s="426"/>
      <c r="AN12" s="426"/>
      <c r="AO12" s="428"/>
      <c r="AP12" s="425"/>
      <c r="AQ12" s="426"/>
      <c r="AR12" s="426"/>
      <c r="AS12" s="426"/>
      <c r="AT12" s="426"/>
      <c r="AU12" s="426"/>
      <c r="AV12" s="426"/>
      <c r="AW12" s="426"/>
      <c r="AX12" s="426"/>
      <c r="AY12" s="426"/>
      <c r="AZ12" s="426"/>
      <c r="BA12" s="428"/>
      <c r="BC12" s="384">
        <f>_xll.qlCalendarAdvance(Calendar,BC11,"1d","mf",,Trigger)</f>
        <v>42146</v>
      </c>
      <c r="BD12" s="154">
        <f>_xll.qlDayCounterYearFraction(DayCounter,SettlementDate,BC12,,,Trigger)</f>
        <v>2.2222222222222223E-2</v>
      </c>
      <c r="BE12" s="166">
        <f>_xll.qlPolynomialFunctionValue(BE$1,$BD12,AllTriggers)</f>
        <v>1.6586216002970442E-3</v>
      </c>
      <c r="BF12" s="166">
        <f>_xll.qlPolynomialFunctionValue(BF$1,$BD12,AllTriggers)</f>
        <v>1.5846448479626813E-3</v>
      </c>
      <c r="BG12" s="166">
        <f>_xll.qlPolynomialFunctionValue(BG$1,$BD12,AllTriggers)</f>
        <v>1.7333840020827063E-3</v>
      </c>
      <c r="BH12" s="166">
        <f>_xll.qlPolynomialFunctionValue(BH$1,$BD12,AllTriggers)</f>
        <v>1.5969157813343813E-3</v>
      </c>
      <c r="BI12" s="166">
        <f>_xll.qlPolynomialFunctionValue(BI$1,$BD12,AllTriggers)</f>
        <v>1.6515373717424023E-3</v>
      </c>
      <c r="BJ12" s="166">
        <f>_xll.qlPolynomialFunctionValue(BJ$1,$BD12,AllTriggers)</f>
        <v>1.5740690101305149E-3</v>
      </c>
      <c r="BK12" s="166">
        <f>_xll.qlPolynomialFunctionValue(BK$1,$BD12,AllTriggers)</f>
        <v>1.7373782516613206E-3</v>
      </c>
      <c r="BL12" s="166">
        <f>_xll.qlPolynomialFunctionValue(BL$1,$BD12,AllTriggers)</f>
        <v>1.6065508550388399E-3</v>
      </c>
      <c r="BM12" s="166">
        <f>_xll.qlPolynomialFunctionValue(BM$1,$BD12,AllTriggers)</f>
        <v>1.7198515163221739E-3</v>
      </c>
      <c r="BN12" s="166">
        <f>_xll.qlPolynomialFunctionValue(BN$1,$BD12,AllTriggers)</f>
        <v>1.6822422483545353E-3</v>
      </c>
      <c r="BO12" s="166">
        <f>_xll.qlPolynomialFunctionValue(BO$1,$BD12,AllTriggers)</f>
        <v>1.7507574380078988E-3</v>
      </c>
      <c r="BP12" s="166">
        <f>_xll.qlPolynomialFunctionValue(BP$1,$BD12,AllTriggers)</f>
        <v>1.8255087724235212E-3</v>
      </c>
      <c r="BQ12" s="166">
        <f>_xll.qlPolynomialFunctionValue('6MSynthDepo_used'!$P$18,BD12,AllTriggers)</f>
        <v>1.6349232406822742E-3</v>
      </c>
    </row>
    <row r="13" spans="1:69" ht="22.5" customHeight="1" x14ac:dyDescent="0.2">
      <c r="C13" s="142" t="s">
        <v>85</v>
      </c>
      <c r="D13" s="142" t="s">
        <v>175</v>
      </c>
      <c r="E13" s="142" t="s">
        <v>176</v>
      </c>
      <c r="F13" s="142" t="s">
        <v>125</v>
      </c>
      <c r="G13" s="142" t="str">
        <f>"F "&amp;$D$24</f>
        <v>F 6M</v>
      </c>
      <c r="H13" s="142" t="str">
        <f>"B "&amp;$D$24</f>
        <v>B 6M</v>
      </c>
      <c r="I13" s="142" t="s">
        <v>163</v>
      </c>
      <c r="J13" s="142" t="s">
        <v>178</v>
      </c>
      <c r="P13" s="187"/>
      <c r="Q13" s="187"/>
      <c r="R13" s="187"/>
      <c r="S13" s="142" t="s">
        <v>83</v>
      </c>
      <c r="T13" s="142" t="s">
        <v>84</v>
      </c>
      <c r="U13" s="142" t="s">
        <v>83</v>
      </c>
      <c r="V13" s="142" t="s">
        <v>84</v>
      </c>
      <c r="AD13" s="300" t="s">
        <v>138</v>
      </c>
      <c r="AE13" s="117"/>
      <c r="AF13" s="117"/>
      <c r="AG13" s="117"/>
      <c r="AH13" s="117"/>
      <c r="AI13" s="319" t="s">
        <v>90</v>
      </c>
      <c r="AJ13" s="117"/>
      <c r="AK13" s="117"/>
      <c r="AL13" s="117"/>
      <c r="AM13" s="117"/>
      <c r="AN13" s="117"/>
      <c r="AO13" s="307"/>
      <c r="AP13" s="300"/>
      <c r="AQ13" s="117"/>
      <c r="AR13" s="117"/>
      <c r="AS13" s="117"/>
      <c r="AT13" s="117"/>
      <c r="AU13" s="319" t="s">
        <v>90</v>
      </c>
      <c r="AV13" s="117"/>
      <c r="AW13" s="117"/>
      <c r="AX13" s="117"/>
      <c r="AY13" s="117"/>
      <c r="AZ13" s="117"/>
      <c r="BA13" s="307"/>
      <c r="BC13" s="384">
        <f>_xll.qlCalendarAdvance(Calendar,BC12,"1d","mf",,Trigger)</f>
        <v>42149</v>
      </c>
      <c r="BD13" s="154">
        <f>_xll.qlDayCounterYearFraction(DayCounter,SettlementDate,BC13,,,Trigger)</f>
        <v>3.0555555555555555E-2</v>
      </c>
      <c r="BE13" s="166">
        <f>_xll.qlPolynomialFunctionValue(BE$1,$BD13,AllTriggers)</f>
        <v>1.6637982845120608E-3</v>
      </c>
      <c r="BF13" s="166">
        <f>_xll.qlPolynomialFunctionValue(BF$1,$BD13,AllTriggers)</f>
        <v>1.596075301810042E-3</v>
      </c>
      <c r="BG13" s="166">
        <f>_xll.qlPolynomialFunctionValue(BG$1,$BD13,AllTriggers)</f>
        <v>1.7366437016365522E-3</v>
      </c>
      <c r="BH13" s="166">
        <f>_xll.qlPolynomialFunctionValue(BH$1,$BD13,AllTriggers)</f>
        <v>1.6076721505257855E-3</v>
      </c>
      <c r="BI13" s="166">
        <f>_xll.qlPolynomialFunctionValue(BI$1,$BD13,AllTriggers)</f>
        <v>1.6569726721425381E-3</v>
      </c>
      <c r="BJ13" s="166">
        <f>_xll.qlPolynomialFunctionValue(BJ$1,$BD13,AllTriggers)</f>
        <v>1.5862729641300283E-3</v>
      </c>
      <c r="BK13" s="166">
        <f>_xll.qlPolynomialFunctionValue(BK$1,$BD13,AllTriggers)</f>
        <v>1.7405839188168091E-3</v>
      </c>
      <c r="BL13" s="166">
        <f>_xll.qlPolynomialFunctionValue(BL$1,$BD13,AllTriggers)</f>
        <v>1.6169650697990512E-3</v>
      </c>
      <c r="BM13" s="166">
        <f>_xll.qlPolynomialFunctionValue(BM$1,$BD13,AllTriggers)</f>
        <v>1.7231768279334014E-3</v>
      </c>
      <c r="BN13" s="166">
        <f>_xll.qlPolynomialFunctionValue(BN$1,$BD13,AllTriggers)</f>
        <v>1.6875030420264534E-3</v>
      </c>
      <c r="BO13" s="166">
        <f>_xll.qlPolynomialFunctionValue(BO$1,$BD13,AllTriggers)</f>
        <v>1.7535603227327497E-3</v>
      </c>
      <c r="BP13" s="166">
        <f>_xll.qlPolynomialFunctionValue(BP$1,$BD13,AllTriggers)</f>
        <v>1.8251937870786869E-3</v>
      </c>
      <c r="BQ13" s="166">
        <f>_xll.qlPolynomialFunctionValue('6MSynthDepo_used'!$P$18,BD13,AllTriggers)</f>
        <v>1.6434996651716229E-3</v>
      </c>
    </row>
    <row r="14" spans="1:69" ht="12" customHeight="1" x14ac:dyDescent="0.2">
      <c r="A14" s="115">
        <f>A3</f>
        <v>0</v>
      </c>
      <c r="B14" s="187">
        <f>A14+SUBSTITUTE($D$24,"M","")</f>
        <v>6</v>
      </c>
      <c r="C14" s="377" t="str">
        <f>"B"&amp;$D$24&amp;"_"&amp;A14&amp;"X"&amp;B14&amp;$D$28</f>
        <v>B6M_0X6ESTIMATED</v>
      </c>
      <c r="D14" s="392">
        <f>SettlementDate</f>
        <v>42138</v>
      </c>
      <c r="E14" s="392">
        <f>_xll.qlInterestRateIndexMaturity($D$25,D14)</f>
        <v>42324</v>
      </c>
      <c r="F14" s="378">
        <f>_xll.qlIndexFixing(ON_6M_index,_xll.qlInterestRateIndexFixingDate(ON_6M_index,D14,Trigger),,AllTriggers)</f>
        <v>-1.1632423478286258E-3</v>
      </c>
      <c r="G14" s="378">
        <f>H14+F14</f>
        <v>6.4205197189389136E-4</v>
      </c>
      <c r="H14" s="434">
        <f>_xll.qlQuoteValue(C14,_xll.ohTrigger(InterestRatesTrigger,'6MSynthDepo_used'!E3))</f>
        <v>1.8052943197225172E-3</v>
      </c>
      <c r="I14" s="379">
        <f>_xll.qlDayCounterYearFraction(DayCounter,SettlementDate,D14,,,Trigger)</f>
        <v>0</v>
      </c>
      <c r="J14" s="452">
        <f>($E$14-SettlementDate)-($D14-SettlementDate)</f>
        <v>186</v>
      </c>
      <c r="P14" s="187"/>
      <c r="Q14" s="187"/>
      <c r="R14" s="187"/>
      <c r="S14" s="380" t="b">
        <v>1</v>
      </c>
      <c r="T14" s="380" t="b">
        <v>1</v>
      </c>
      <c r="U14" s="380" t="b">
        <v>0</v>
      </c>
      <c r="V14" s="380" t="b">
        <v>0</v>
      </c>
      <c r="AD14" s="300"/>
      <c r="AE14" s="127">
        <f t="array" ref="AE14:AE16">_xll.ohFilter(L3:L9,T3:T9)</f>
        <v>0</v>
      </c>
      <c r="AF14" s="133">
        <f t="array" ref="AF14:AF16">_xll.ohFilter(K3:K9,T3:T9)</f>
        <v>0</v>
      </c>
      <c r="AG14" s="128">
        <f t="array" ref="AG14:AG16">_xll.ohFilter(J3:J9,T3:T9)</f>
        <v>1</v>
      </c>
      <c r="AH14" s="431" t="s">
        <v>37</v>
      </c>
      <c r="AI14" s="129">
        <f t="array" ref="AI14:AI16">MMULT(AL14:AN16,AK14:AK16)</f>
        <v>-1.3576022518455855E-3</v>
      </c>
      <c r="AJ14" s="431" t="s">
        <v>38</v>
      </c>
      <c r="AK14" s="188">
        <f t="array" ref="AK14:AK16">_xll.ohFilter(H3:H9,T3:T9)</f>
        <v>1.8052943197225172E-3</v>
      </c>
      <c r="AL14" s="127">
        <f t="array" ref="AL14:AN16">MINVERSE(AE14:AG16)</f>
        <v>66.393442622950829</v>
      </c>
      <c r="AM14" s="133">
        <v>-139.65517241379308</v>
      </c>
      <c r="AN14" s="128">
        <v>73.261729790842267</v>
      </c>
      <c r="AO14" s="307"/>
      <c r="AP14" s="300"/>
      <c r="AQ14" s="127">
        <f t="array" ref="AQ14:AQ16">_xll.ohFilter(R3:R9,T3:T9)</f>
        <v>4.5973765432098773E-2</v>
      </c>
      <c r="AR14" s="133">
        <f t="array" ref="AR14:AR16">_xll.ohFilter(Q3:Q9,T3:T9)</f>
        <v>0.13347222222222224</v>
      </c>
      <c r="AS14" s="128">
        <f t="array" ref="AS14:AS16">_xll.ohFilter(P3:P9,T3:T9)</f>
        <v>0.51666666666666672</v>
      </c>
      <c r="AT14" s="431" t="s">
        <v>37</v>
      </c>
      <c r="AU14" s="129">
        <f t="array" ref="AU14:AU16">MMULT(AX14:AZ16,AW14:AW16)</f>
        <v>-1.5035619965505231E-3</v>
      </c>
      <c r="AV14" s="431" t="s">
        <v>38</v>
      </c>
      <c r="AW14" s="188">
        <f t="array" ref="AW14:AW16">_xll.ohFilter(M3:M9,T3:T9)</f>
        <v>9.3286106736889529E-4</v>
      </c>
      <c r="AX14" s="127">
        <f t="array" ref="AX14:AZ16">MINVERSE(AQ14:AS16)</f>
        <v>128.38044620383519</v>
      </c>
      <c r="AY14" s="133">
        <v>-265.39330918492169</v>
      </c>
      <c r="AZ14" s="128">
        <v>134.17506840721367</v>
      </c>
      <c r="BA14" s="307"/>
      <c r="BC14" s="384">
        <f>_xll.qlCalendarAdvance(Calendar,BC13,"1d","mf",,Trigger)</f>
        <v>42150</v>
      </c>
      <c r="BD14" s="154">
        <f>_xll.qlDayCounterYearFraction(DayCounter,SettlementDate,BC14,,,Trigger)</f>
        <v>3.3333333333333333E-2</v>
      </c>
      <c r="BE14" s="166">
        <f>_xll.qlPolynomialFunctionValue(BE$1,$BD14,AllTriggers)</f>
        <v>1.6655238459170663E-3</v>
      </c>
      <c r="BF14" s="166">
        <f>_xll.qlPolynomialFunctionValue(BF$1,$BD14,AllTriggers)</f>
        <v>1.5998435517884265E-3</v>
      </c>
      <c r="BG14" s="166">
        <f>_xll.qlPolynomialFunctionValue(BG$1,$BD14,AllTriggers)</f>
        <v>1.7377302681545008E-3</v>
      </c>
      <c r="BH14" s="166">
        <f>_xll.qlPolynomialFunctionValue(BH$1,$BD14,AllTriggers)</f>
        <v>1.6112191624632404E-3</v>
      </c>
      <c r="BI14" s="166">
        <f>_xll.qlPolynomialFunctionValue(BI$1,$BD14,AllTriggers)</f>
        <v>1.6587844389425834E-3</v>
      </c>
      <c r="BJ14" s="166">
        <f>_xll.qlPolynomialFunctionValue(BJ$1,$BD14,AllTriggers)</f>
        <v>1.5902945425620711E-3</v>
      </c>
      <c r="BK14" s="166">
        <f>_xll.qlPolynomialFunctionValue(BK$1,$BD14,AllTriggers)</f>
        <v>1.7416524745353054E-3</v>
      </c>
      <c r="BL14" s="166">
        <f>_xll.qlPolynomialFunctionValue(BL$1,$BD14,AllTriggers)</f>
        <v>1.6203992985814779E-3</v>
      </c>
      <c r="BM14" s="166">
        <f>_xll.qlPolynomialFunctionValue(BM$1,$BD14,AllTriggers)</f>
        <v>1.7242852651371439E-3</v>
      </c>
      <c r="BN14" s="166">
        <f>_xll.qlPolynomialFunctionValue(BN$1,$BD14,AllTriggers)</f>
        <v>1.689247941064191E-3</v>
      </c>
      <c r="BO14" s="166">
        <f>_xll.qlPolynomialFunctionValue(BO$1,$BD14,AllTriggers)</f>
        <v>1.7544946176410335E-3</v>
      </c>
      <c r="BP14" s="166">
        <f>_xll.qlPolynomialFunctionValue(BP$1,$BD14,AllTriggers)</f>
        <v>1.8251012022574146E-3</v>
      </c>
      <c r="BQ14" s="166">
        <f>_xll.qlPolynomialFunctionValue('6MSynthDepo_used'!$P$18,BD14,AllTriggers)</f>
        <v>1.6463211023832892E-3</v>
      </c>
    </row>
    <row r="15" spans="1:69" ht="12" customHeight="1" x14ac:dyDescent="0.2">
      <c r="A15" s="117">
        <f t="shared" ref="A15:A20" si="6">A4</f>
        <v>1</v>
      </c>
      <c r="B15" s="187">
        <f>A15+SUBSTITUTE($D$24,"M","")</f>
        <v>7</v>
      </c>
      <c r="C15" s="151" t="str">
        <f>"B"&amp;$D$24&amp;"_"&amp;A15&amp;"X"&amp;B15</f>
        <v>B6M_1X7</v>
      </c>
      <c r="D15" s="383">
        <f>_xll.qlCalendarAdvance(Calendar,SettlementDate,A15&amp;"M","mf")</f>
        <v>42170</v>
      </c>
      <c r="E15" s="383">
        <f>_xll.qlInterestRateIndexMaturity($D$25,D15)</f>
        <v>42353</v>
      </c>
      <c r="F15" s="180">
        <f>_xll.qlIndexFixing(ON_6M_index,_xll.qlInterestRateIndexFixingDate(ON_6M_index,D15,Trigger),,AllTriggers)</f>
        <v>-1.2305122846826952E-3</v>
      </c>
      <c r="G15" s="180">
        <f t="shared" ref="G15:G20" si="7">H15+F15</f>
        <v>6.3000000000000013E-4</v>
      </c>
      <c r="H15" s="408">
        <f>_xll.qlQuoteValue(C15,_xll.ohTrigger(InterestRatesTrigger,'6MSynthDepo_used'!E4))</f>
        <v>1.8605122846826953E-3</v>
      </c>
      <c r="I15" s="154">
        <f>_xll.qlDayCounterYearFraction(DayCounter,SettlementDate,D15,,,Trigger)</f>
        <v>8.8888888888888892E-2</v>
      </c>
      <c r="J15" s="450">
        <f>($E$14-SettlementDate)-($D15-SettlementDate)</f>
        <v>154</v>
      </c>
      <c r="P15" s="187"/>
      <c r="Q15" s="187"/>
      <c r="R15" s="187"/>
      <c r="S15" s="320" t="b">
        <v>1</v>
      </c>
      <c r="T15" s="320" t="b">
        <v>1</v>
      </c>
      <c r="U15" s="320" t="b">
        <v>1</v>
      </c>
      <c r="V15" s="320" t="b">
        <v>1</v>
      </c>
      <c r="AD15" s="300"/>
      <c r="AE15" s="127">
        <v>7.9012345679012348E-3</v>
      </c>
      <c r="AF15" s="133">
        <v>8.8888888888888892E-2</v>
      </c>
      <c r="AG15" s="128">
        <v>1</v>
      </c>
      <c r="AH15" s="431"/>
      <c r="AI15" s="129">
        <v>7.4187786152160769E-4</v>
      </c>
      <c r="AJ15" s="431"/>
      <c r="AK15" s="188">
        <v>1.8605122846826953E-3</v>
      </c>
      <c r="AL15" s="127">
        <v>-17.151639344262296</v>
      </c>
      <c r="AM15" s="133">
        <v>23.663793103448274</v>
      </c>
      <c r="AN15" s="128">
        <v>-6.5121537591859795</v>
      </c>
      <c r="AO15" s="307"/>
      <c r="AP15" s="300"/>
      <c r="AQ15" s="127">
        <v>7.0770511831275709E-2</v>
      </c>
      <c r="AR15" s="133">
        <v>0.17438657407407404</v>
      </c>
      <c r="AS15" s="128">
        <v>0.5083333333333333</v>
      </c>
      <c r="AT15" s="431"/>
      <c r="AU15" s="129">
        <v>1.5438291408706312E-3</v>
      </c>
      <c r="AV15" s="431"/>
      <c r="AW15" s="188">
        <v>9.4590485555004445E-4</v>
      </c>
      <c r="AX15" s="127">
        <v>-98.97302321590081</v>
      </c>
      <c r="AY15" s="133">
        <v>180.59441309427663</v>
      </c>
      <c r="AZ15" s="128">
        <v>-79.564104772255789</v>
      </c>
      <c r="BA15" s="307"/>
      <c r="BC15" s="384">
        <f>_xll.qlCalendarAdvance(Calendar,BC14,"1d","mf",,Trigger)</f>
        <v>42151</v>
      </c>
      <c r="BD15" s="154">
        <f>_xll.qlDayCounterYearFraction(DayCounter,SettlementDate,BC15,,,Trigger)</f>
        <v>3.6111111111111108E-2</v>
      </c>
      <c r="BE15" s="166">
        <f>_xll.qlPolynomialFunctionValue(BE$1,$BD15,AllTriggers)</f>
        <v>1.6672494073220719E-3</v>
      </c>
      <c r="BF15" s="166">
        <f>_xll.qlPolynomialFunctionValue(BF$1,$BD15,AllTriggers)</f>
        <v>1.6035908511147761E-3</v>
      </c>
      <c r="BG15" s="166">
        <f>_xll.qlPolynomialFunctionValue(BG$1,$BD15,AllTriggers)</f>
        <v>1.7388168346724494E-3</v>
      </c>
      <c r="BH15" s="166">
        <f>_xll.qlPolynomialFunctionValue(BH$1,$BD15,AllTriggers)</f>
        <v>1.6147469521708556E-3</v>
      </c>
      <c r="BI15" s="166">
        <f>_xll.qlPolynomialFunctionValue(BI$1,$BD15,AllTriggers)</f>
        <v>1.6605962057426285E-3</v>
      </c>
      <c r="BJ15" s="166">
        <f>_xll.qlPolynomialFunctionValue(BJ$1,$BD15,AllTriggers)</f>
        <v>1.5942929178768834E-3</v>
      </c>
      <c r="BK15" s="166">
        <f>_xll.qlPolynomialFunctionValue(BK$1,$BD15,AllTriggers)</f>
        <v>1.7427210302538014E-3</v>
      </c>
      <c r="BL15" s="166">
        <f>_xll.qlPolynomialFunctionValue(BL$1,$BD15,AllTriggers)</f>
        <v>1.623814939295083E-3</v>
      </c>
      <c r="BM15" s="166">
        <f>_xll.qlPolynomialFunctionValue(BM$1,$BD15,AllTriggers)</f>
        <v>1.7253937023408864E-3</v>
      </c>
      <c r="BN15" s="166">
        <f>_xll.qlPolynomialFunctionValue(BN$1,$BD15,AllTriggers)</f>
        <v>1.6909884906754782E-3</v>
      </c>
      <c r="BO15" s="166">
        <f>_xll.qlPolynomialFunctionValue(BO$1,$BD15,AllTriggers)</f>
        <v>1.7554289125493172E-3</v>
      </c>
      <c r="BP15" s="166">
        <f>_xll.qlPolynomialFunctionValue(BP$1,$BD15,AllTriggers)</f>
        <v>1.825014822582979E-3</v>
      </c>
      <c r="BQ15" s="166">
        <f>_xll.qlPolynomialFunctionValue('6MSynthDepo_used'!$P$18,BD15,AllTriggers)</f>
        <v>1.6491240205101718E-3</v>
      </c>
    </row>
    <row r="16" spans="1:69" ht="12" customHeight="1" x14ac:dyDescent="0.2">
      <c r="A16" s="117">
        <f t="shared" si="6"/>
        <v>2</v>
      </c>
      <c r="B16" s="187">
        <f>A16+SUBSTITUTE($D$24,"M","")</f>
        <v>8</v>
      </c>
      <c r="C16" s="151" t="str">
        <f>"B"&amp;$D$24&amp;"_"&amp;A16&amp;"X"&amp;B16</f>
        <v>B6M_2X8</v>
      </c>
      <c r="D16" s="383">
        <f>_xll.qlCalendarAdvance(Calendar,SettlementDate,A16&amp;"M","mf")</f>
        <v>42199</v>
      </c>
      <c r="E16" s="383">
        <f>_xll.qlInterestRateIndexMaturity($D$25,D16)</f>
        <v>42383</v>
      </c>
      <c r="F16" s="180">
        <f>_xll.qlIndexFixing(ON_6M_index,_xll.qlInterestRateIndexFixingDate(ON_6M_index,D16,Trigger),,AllTriggers)</f>
        <v>-1.2520227137032052E-3</v>
      </c>
      <c r="G16" s="180">
        <f t="shared" si="7"/>
        <v>6.3999999999999994E-4</v>
      </c>
      <c r="H16" s="408">
        <f>_xll.qlQuoteValue(C16,_xll.ohTrigger(InterestRatesTrigger,'6MSynthDepo_used'!E5))</f>
        <v>1.8920227137032052E-3</v>
      </c>
      <c r="I16" s="154">
        <f>_xll.qlDayCounterYearFraction(DayCounter,SettlementDate,D16,,,Trigger)</f>
        <v>0.16944444444444445</v>
      </c>
      <c r="J16" s="450">
        <f>($E$14-SettlementDate)-($D16-SettlementDate)</f>
        <v>125</v>
      </c>
      <c r="P16" s="187"/>
      <c r="Q16" s="187"/>
      <c r="R16" s="187"/>
      <c r="S16" s="320" t="b">
        <v>1</v>
      </c>
      <c r="T16" s="320" t="b">
        <v>1</v>
      </c>
      <c r="U16" s="320" t="b">
        <v>1</v>
      </c>
      <c r="V16" s="320" t="b">
        <v>1</v>
      </c>
      <c r="AD16" s="300"/>
      <c r="AE16" s="127">
        <v>2.8711419753086422E-2</v>
      </c>
      <c r="AF16" s="133">
        <v>0.16944444444444445</v>
      </c>
      <c r="AG16" s="128">
        <v>1</v>
      </c>
      <c r="AH16" s="431"/>
      <c r="AI16" s="129">
        <v>1.8052943197225172E-3</v>
      </c>
      <c r="AJ16" s="431"/>
      <c r="AK16" s="188">
        <v>1.8920227137032052E-3</v>
      </c>
      <c r="AL16" s="127">
        <v>1</v>
      </c>
      <c r="AM16" s="133">
        <v>0</v>
      </c>
      <c r="AN16" s="128">
        <v>0</v>
      </c>
      <c r="AO16" s="307"/>
      <c r="AP16" s="300"/>
      <c r="AQ16" s="127">
        <v>0.10344610196616372</v>
      </c>
      <c r="AR16" s="133">
        <v>0.21722222222222223</v>
      </c>
      <c r="AS16" s="128">
        <v>0.51111111111111107</v>
      </c>
      <c r="AT16" s="431"/>
      <c r="AU16" s="129">
        <v>1.5405041956403284E-3</v>
      </c>
      <c r="AV16" s="431"/>
      <c r="AW16" s="188">
        <v>9.6718518020878026E-4</v>
      </c>
      <c r="AX16" s="127">
        <v>16.080032571937895</v>
      </c>
      <c r="AY16" s="133">
        <v>-23.038466889474265</v>
      </c>
      <c r="AZ16" s="128">
        <v>8.6149640347464196</v>
      </c>
      <c r="BA16" s="307"/>
      <c r="BC16" s="384">
        <f>_xll.qlCalendarAdvance(Calendar,BC15,"1d","mf",,Trigger)</f>
        <v>42152</v>
      </c>
      <c r="BD16" s="154">
        <f>_xll.qlDayCounterYearFraction(DayCounter,SettlementDate,BC16,,,Trigger)</f>
        <v>3.888888888888889E-2</v>
      </c>
      <c r="BE16" s="166">
        <f>_xll.qlPolynomialFunctionValue(BE$1,$BD16,AllTriggers)</f>
        <v>1.6689749687270774E-3</v>
      </c>
      <c r="BF16" s="166">
        <f>_xll.qlPolynomialFunctionValue(BF$1,$BD16,AllTriggers)</f>
        <v>1.6073171997890911E-3</v>
      </c>
      <c r="BG16" s="166">
        <f>_xll.qlPolynomialFunctionValue(BG$1,$BD16,AllTriggers)</f>
        <v>1.7399034011903981E-3</v>
      </c>
      <c r="BH16" s="166">
        <f>_xll.qlPolynomialFunctionValue(BH$1,$BD16,AllTriggers)</f>
        <v>1.6182555196486309E-3</v>
      </c>
      <c r="BI16" s="166">
        <f>_xll.qlPolynomialFunctionValue(BI$1,$BD16,AllTriggers)</f>
        <v>1.6624079725426739E-3</v>
      </c>
      <c r="BJ16" s="166">
        <f>_xll.qlPolynomialFunctionValue(BJ$1,$BD16,AllTriggers)</f>
        <v>1.5982680900744647E-3</v>
      </c>
      <c r="BK16" s="166">
        <f>_xll.qlPolynomialFunctionValue(BK$1,$BD16,AllTriggers)</f>
        <v>1.7437895859722977E-3</v>
      </c>
      <c r="BL16" s="166">
        <f>_xll.qlPolynomialFunctionValue(BL$1,$BD16,AllTriggers)</f>
        <v>1.6272119919398661E-3</v>
      </c>
      <c r="BM16" s="166">
        <f>_xll.qlPolynomialFunctionValue(BM$1,$BD16,AllTriggers)</f>
        <v>1.7265021395446289E-3</v>
      </c>
      <c r="BN16" s="166">
        <f>_xll.qlPolynomialFunctionValue(BN$1,$BD16,AllTriggers)</f>
        <v>1.6927246908603145E-3</v>
      </c>
      <c r="BO16" s="166">
        <f>_xll.qlPolynomialFunctionValue(BO$1,$BD16,AllTriggers)</f>
        <v>1.7563632074576007E-3</v>
      </c>
      <c r="BP16" s="166">
        <f>_xll.qlPolynomialFunctionValue(BP$1,$BD16,AllTriggers)</f>
        <v>1.8249346480553798E-3</v>
      </c>
      <c r="BQ16" s="166">
        <f>_xll.qlPolynomialFunctionValue('6MSynthDepo_used'!$P$18,BD16,AllTriggers)</f>
        <v>1.6519085190064176E-3</v>
      </c>
    </row>
    <row r="17" spans="1:69" ht="12" customHeight="1" x14ac:dyDescent="0.2">
      <c r="A17" s="117">
        <f t="shared" si="6"/>
        <v>3</v>
      </c>
      <c r="B17" s="187">
        <f>A17+SUBSTITUTE($D$24,"M","")</f>
        <v>9</v>
      </c>
      <c r="C17" s="151" t="str">
        <f>"B"&amp;$D$24&amp;"_"&amp;A17&amp;"X"&amp;B17</f>
        <v>B6M_3X9</v>
      </c>
      <c r="D17" s="383">
        <f>_xll.qlCalendarAdvance(Calendar,SettlementDate,A17&amp;"M","mf")</f>
        <v>42230</v>
      </c>
      <c r="E17" s="383">
        <f>_xll.qlInterestRateIndexMaturity($D$25,D17)</f>
        <v>42415</v>
      </c>
      <c r="F17" s="180">
        <f>_xll.qlIndexFixing(ON_6M_index,_xll.qlInterestRateIndexFixingDate(ON_6M_index,D17,Trigger),,AllTriggers)</f>
        <v>-1.2678296020085104E-3</v>
      </c>
      <c r="G17" s="180">
        <f t="shared" si="7"/>
        <v>6.4000000000000016E-4</v>
      </c>
      <c r="H17" s="408">
        <f>_xll.qlQuoteValue(C17,_xll.ohTrigger(InterestRatesTrigger,'6MSynthDepo_used'!E6))</f>
        <v>1.9078296020085105E-3</v>
      </c>
      <c r="I17" s="154">
        <f>_xll.qlDayCounterYearFraction(DayCounter,SettlementDate,D17,,,Trigger)</f>
        <v>0.25555555555555554</v>
      </c>
      <c r="J17" s="450">
        <f>($E$14-SettlementDate)-($D17-SettlementDate)</f>
        <v>94</v>
      </c>
      <c r="P17" s="187"/>
      <c r="Q17" s="187"/>
      <c r="R17" s="187"/>
      <c r="S17" s="320" t="b">
        <v>1</v>
      </c>
      <c r="T17" s="320" t="b">
        <v>1</v>
      </c>
      <c r="U17" s="320" t="b">
        <v>1</v>
      </c>
      <c r="V17" s="320" t="b">
        <v>1</v>
      </c>
      <c r="AD17" s="300"/>
      <c r="AE17" s="117"/>
      <c r="AF17" s="117"/>
      <c r="AG17" s="117"/>
      <c r="AH17" s="117"/>
      <c r="AI17" s="317"/>
      <c r="AJ17" s="136"/>
      <c r="AK17" s="118"/>
      <c r="AL17" s="117"/>
      <c r="AM17" s="117"/>
      <c r="AN17" s="117"/>
      <c r="AO17" s="307"/>
      <c r="AP17" s="300"/>
      <c r="AQ17" s="117"/>
      <c r="AR17" s="117"/>
      <c r="AS17" s="117"/>
      <c r="AT17" s="117"/>
      <c r="AU17" s="317"/>
      <c r="AV17" s="136"/>
      <c r="AW17" s="118"/>
      <c r="AX17" s="117"/>
      <c r="AY17" s="117"/>
      <c r="AZ17" s="117"/>
      <c r="BA17" s="307"/>
      <c r="BC17" s="384">
        <f>_xll.qlCalendarAdvance(Calendar,BC16,"1d","mf",,Trigger)</f>
        <v>42153</v>
      </c>
      <c r="BD17" s="154">
        <f>_xll.qlDayCounterYearFraction(DayCounter,SettlementDate,BC17,,,Trigger)</f>
        <v>4.1666666666666664E-2</v>
      </c>
      <c r="BE17" s="166">
        <f>_xll.qlPolynomialFunctionValue(BE$1,$BD17,AllTriggers)</f>
        <v>1.670700530132083E-3</v>
      </c>
      <c r="BF17" s="166">
        <f>_xll.qlPolynomialFunctionValue(BF$1,$BD17,AllTriggers)</f>
        <v>1.6110225978113715E-3</v>
      </c>
      <c r="BG17" s="166">
        <f>_xll.qlPolynomialFunctionValue(BG$1,$BD17,AllTriggers)</f>
        <v>1.7409899677083467E-3</v>
      </c>
      <c r="BH17" s="166">
        <f>_xll.qlPolynomialFunctionValue(BH$1,$BD17,AllTriggers)</f>
        <v>1.6217448648965661E-3</v>
      </c>
      <c r="BI17" s="166">
        <f>_xll.qlPolynomialFunctionValue(BI$1,$BD17,AllTriggers)</f>
        <v>1.664219739342719E-3</v>
      </c>
      <c r="BJ17" s="166">
        <f>_xll.qlPolynomialFunctionValue(BJ$1,$BD17,AllTriggers)</f>
        <v>1.6022200591548155E-3</v>
      </c>
      <c r="BK17" s="166">
        <f>_xll.qlPolynomialFunctionValue(BK$1,$BD17,AllTriggers)</f>
        <v>1.7448581416907938E-3</v>
      </c>
      <c r="BL17" s="166">
        <f>_xll.qlPolynomialFunctionValue(BL$1,$BD17,AllTriggers)</f>
        <v>1.6305904565158272E-3</v>
      </c>
      <c r="BM17" s="166">
        <f>_xll.qlPolynomialFunctionValue(BM$1,$BD17,AllTriggers)</f>
        <v>1.7276105767483714E-3</v>
      </c>
      <c r="BN17" s="166">
        <f>_xll.qlPolynomialFunctionValue(BN$1,$BD17,AllTriggers)</f>
        <v>1.6944565416187E-3</v>
      </c>
      <c r="BO17" s="166">
        <f>_xll.qlPolynomialFunctionValue(BO$1,$BD17,AllTriggers)</f>
        <v>1.7572975023658845E-3</v>
      </c>
      <c r="BP17" s="166">
        <f>_xll.qlPolynomialFunctionValue(BP$1,$BD17,AllTriggers)</f>
        <v>1.8248606786746167E-3</v>
      </c>
      <c r="BQ17" s="166">
        <f>_xll.qlPolynomialFunctionValue('6MSynthDepo_used'!$P$18,BD17,AllTriggers)</f>
        <v>1.6546746970725621E-3</v>
      </c>
    </row>
    <row r="18" spans="1:69" ht="12" customHeight="1" x14ac:dyDescent="0.2">
      <c r="A18" s="117">
        <f t="shared" si="6"/>
        <v>4</v>
      </c>
      <c r="B18" s="187">
        <f>A18+SUBSTITUTE($D$24,"M","")</f>
        <v>10</v>
      </c>
      <c r="C18" s="151" t="str">
        <f>"B"&amp;$D$24&amp;"_"&amp;A18&amp;"X"&amp;B18</f>
        <v>B6M_4X10</v>
      </c>
      <c r="D18" s="383">
        <f>_xll.qlCalendarAdvance(Calendar,SettlementDate,A18&amp;"M","mf")</f>
        <v>42261</v>
      </c>
      <c r="E18" s="383">
        <f>_xll.qlInterestRateIndexMaturity($D$25,D18)</f>
        <v>42443</v>
      </c>
      <c r="F18" s="180">
        <f>_xll.qlIndexFixing(ON_6M_index,_xll.qlInterestRateIndexFixingDate(ON_6M_index,D18,Trigger),,AllTriggers)</f>
        <v>-1.2863441141031473E-3</v>
      </c>
      <c r="G18" s="180">
        <f t="shared" si="7"/>
        <v>6.4999999999999997E-4</v>
      </c>
      <c r="H18" s="408">
        <f>_xll.qlQuoteValue(C18,_xll.ohTrigger(InterestRatesTrigger,'6MSynthDepo_used'!E7))</f>
        <v>1.9363441141031473E-3</v>
      </c>
      <c r="I18" s="154">
        <f>_xll.qlDayCounterYearFraction(DayCounter,SettlementDate,D18,,,Trigger)</f>
        <v>0.34166666666666667</v>
      </c>
      <c r="J18" s="450">
        <f>($E$14-SettlementDate)-($D18-SettlementDate)</f>
        <v>63</v>
      </c>
      <c r="P18" s="187"/>
      <c r="Q18" s="187"/>
      <c r="R18" s="187"/>
      <c r="S18" s="320" t="b">
        <v>1</v>
      </c>
      <c r="T18" s="320" t="b">
        <v>1</v>
      </c>
      <c r="U18" s="320" t="b">
        <v>1</v>
      </c>
      <c r="V18" s="320" t="b">
        <v>1</v>
      </c>
      <c r="AD18" s="300" t="s">
        <v>139</v>
      </c>
      <c r="AE18" s="117"/>
      <c r="AF18" s="117"/>
      <c r="AG18" s="117"/>
      <c r="AH18" s="117"/>
      <c r="AI18" s="319" t="s">
        <v>90</v>
      </c>
      <c r="AJ18" s="117"/>
      <c r="AK18" s="117"/>
      <c r="AL18" s="117"/>
      <c r="AM18" s="117"/>
      <c r="AN18" s="117"/>
      <c r="AO18" s="307"/>
      <c r="AP18" s="300"/>
      <c r="AQ18" s="117"/>
      <c r="AR18" s="117"/>
      <c r="AS18" s="117"/>
      <c r="AT18" s="117"/>
      <c r="AU18" s="319" t="s">
        <v>90</v>
      </c>
      <c r="AV18" s="117"/>
      <c r="AW18" s="117"/>
      <c r="AX18" s="117"/>
      <c r="AY18" s="117"/>
      <c r="AZ18" s="117"/>
      <c r="BA18" s="307"/>
      <c r="BC18" s="384">
        <f>_xll.qlCalendarAdvance(Calendar,BC17,"1d","mf",,Trigger)</f>
        <v>42156</v>
      </c>
      <c r="BD18" s="154">
        <f>_xll.qlDayCounterYearFraction(DayCounter,SettlementDate,BC18,,,Trigger)</f>
        <v>0.05</v>
      </c>
      <c r="BE18" s="166">
        <f>_xll.qlPolynomialFunctionValue(BE$1,$BD18,AllTriggers)</f>
        <v>1.6758772143470998E-3</v>
      </c>
      <c r="BF18" s="166">
        <f>_xll.qlPolynomialFunctionValue(BF$1,$BD18,AllTriggers)</f>
        <v>1.6220130879660045E-3</v>
      </c>
      <c r="BG18" s="166">
        <f>_xll.qlPolynomialFunctionValue(BG$1,$BD18,AllTriggers)</f>
        <v>1.7442496672621926E-3</v>
      </c>
      <c r="BH18" s="166">
        <f>_xll.qlPolynomialFunctionValue(BH$1,$BD18,AllTriggers)</f>
        <v>1.6320975672613328E-3</v>
      </c>
      <c r="BI18" s="166">
        <f>_xll.qlPolynomialFunctionValue(BI$1,$BD18,AllTriggers)</f>
        <v>1.6696550397428548E-3</v>
      </c>
      <c r="BJ18" s="166">
        <f>_xll.qlPolynomialFunctionValue(BJ$1,$BD18,AllTriggers)</f>
        <v>1.6139367476924837E-3</v>
      </c>
      <c r="BK18" s="166">
        <f>_xll.qlPolynomialFunctionValue(BK$1,$BD18,AllTriggers)</f>
        <v>1.7480638088462823E-3</v>
      </c>
      <c r="BL18" s="166">
        <f>_xll.qlPolynomialFunctionValue(BL$1,$BD18,AllTriggers)</f>
        <v>1.6406143218307798E-3</v>
      </c>
      <c r="BM18" s="166">
        <f>_xll.qlPolynomialFunctionValue(BM$1,$BD18,AllTriggers)</f>
        <v>1.7309358883595988E-3</v>
      </c>
      <c r="BN18" s="166">
        <f>_xll.qlPolynomialFunctionValue(BN$1,$BD18,AllTriggers)</f>
        <v>1.6996259973351517E-3</v>
      </c>
      <c r="BO18" s="166">
        <f>_xll.qlPolynomialFunctionValue(BO$1,$BD18,AllTriggers)</f>
        <v>1.7601003870907355E-3</v>
      </c>
      <c r="BP18" s="166">
        <f>_xll.qlPolynomialFunctionValue(BP$1,$BD18,AllTriggers)</f>
        <v>1.8246760014133463E-3</v>
      </c>
      <c r="BQ18" s="166">
        <f>_xll.qlPolynomialFunctionValue('6MSynthDepo_used'!$P$18,BD18,AllTriggers)</f>
        <v>1.662864296891571E-3</v>
      </c>
    </row>
    <row r="19" spans="1:69" ht="12" customHeight="1" x14ac:dyDescent="0.2">
      <c r="A19" s="117">
        <f t="shared" si="6"/>
        <v>5</v>
      </c>
      <c r="B19" s="187">
        <f>A19+SUBSTITUTE($D$24,"M","")</f>
        <v>11</v>
      </c>
      <c r="C19" s="151" t="str">
        <f>"B"&amp;$D$24&amp;"_"&amp;A19&amp;"X"&amp;B19</f>
        <v>B6M_5X11</v>
      </c>
      <c r="D19" s="383">
        <f>_xll.qlCalendarAdvance(Calendar,SettlementDate,A19&amp;"M","mf")</f>
        <v>42291</v>
      </c>
      <c r="E19" s="383">
        <f>_xll.qlInterestRateIndexMaturity($D$25,D19)</f>
        <v>42474</v>
      </c>
      <c r="F19" s="180">
        <f>_xll.qlIndexFixing(ON_6M_index,_xll.qlInterestRateIndexFixingDate(ON_6M_index,D19,Trigger),,AllTriggers)</f>
        <v>-1.3129880212073787E-3</v>
      </c>
      <c r="G19" s="180">
        <f t="shared" si="7"/>
        <v>6.8000000000000027E-4</v>
      </c>
      <c r="H19" s="408">
        <f>_xll.qlQuoteValue(C19,_xll.ohTrigger(InterestRatesTrigger,'6MSynthDepo_used'!E8))</f>
        <v>1.992988021207379E-3</v>
      </c>
      <c r="I19" s="154">
        <f>_xll.qlDayCounterYearFraction(DayCounter,SettlementDate,D19,,,Trigger)</f>
        <v>0.42499999999999999</v>
      </c>
      <c r="J19" s="450">
        <f>($E$14-SettlementDate)-($D19-SettlementDate)</f>
        <v>33</v>
      </c>
      <c r="P19" s="187"/>
      <c r="Q19" s="187"/>
      <c r="R19" s="187"/>
      <c r="S19" s="320" t="b">
        <v>1</v>
      </c>
      <c r="T19" s="320" t="b">
        <v>1</v>
      </c>
      <c r="U19" s="320" t="b">
        <v>1</v>
      </c>
      <c r="V19" s="320" t="b">
        <v>1</v>
      </c>
      <c r="AD19" s="300"/>
      <c r="AE19" s="127">
        <f t="array" ref="AE19:AE21">_xll.ohFilter(L3:L9,V3:V9)</f>
        <v>7.9012345679012348E-3</v>
      </c>
      <c r="AF19" s="133">
        <f t="array" ref="AF19:AF21">_xll.ohFilter(K3:K9,V3:V9)</f>
        <v>8.8888888888888892E-2</v>
      </c>
      <c r="AG19" s="128">
        <f t="array" ref="AG19:AG21">_xll.ohFilter(J3:J9,V3:V9)</f>
        <v>1</v>
      </c>
      <c r="AH19" s="431" t="s">
        <v>37</v>
      </c>
      <c r="AI19" s="129">
        <f t="array" ref="AI19:AI21">MMULT(AL19:AN21,AK19:AK21)</f>
        <v>-1.2456004936250709E-3</v>
      </c>
      <c r="AJ19" s="431" t="s">
        <v>38</v>
      </c>
      <c r="AK19" s="188">
        <f t="array" ref="AK19:AK21">_xll.ohFilter(H3:H9,V3:V9)</f>
        <v>1.8605122846826953E-3</v>
      </c>
      <c r="AL19" s="127">
        <f t="array" ref="AL19:AN21">MINVERSE(AE19:AG21)</f>
        <v>74.482758620689708</v>
      </c>
      <c r="AM19" s="133">
        <v>-144.16017797552843</v>
      </c>
      <c r="AN19" s="128">
        <v>69.677419354838776</v>
      </c>
      <c r="AO19" s="307"/>
      <c r="AP19" s="300"/>
      <c r="AQ19" s="127">
        <f t="array" ref="AQ19:AQ21">_xll.ohFilter(R3:R9,V3:V9)</f>
        <v>7.0770511831275709E-2</v>
      </c>
      <c r="AR19" s="133">
        <f t="array" ref="AR19:AR21">_xll.ohFilter(Q3:Q9,V3:V9)</f>
        <v>0.17438657407407404</v>
      </c>
      <c r="AS19" s="128">
        <f t="array" ref="AS19:AS21">_xll.ohFilter(P3:P9,V3:V9)</f>
        <v>0.5083333333333333</v>
      </c>
      <c r="AT19" s="431" t="s">
        <v>37</v>
      </c>
      <c r="AU19" s="129">
        <f t="array" ref="AU19:AU21">MMULT(AX19:AZ21,AW19:AW21)</f>
        <v>-1.204506859656812E-3</v>
      </c>
      <c r="AV19" s="431" t="s">
        <v>38</v>
      </c>
      <c r="AW19" s="188">
        <f t="array" ref="AW19:AW21">_xll.ohFilter(M3:M9,V3:V9)</f>
        <v>9.4590485555004445E-4</v>
      </c>
      <c r="AX19" s="127">
        <f t="array" ref="AX19:AZ21">MINVERSE(AQ19:AS21)</f>
        <v>141.81943243046052</v>
      </c>
      <c r="AY19" s="133">
        <v>-273.14187788496076</v>
      </c>
      <c r="AZ19" s="128">
        <v>131.3791859246405</v>
      </c>
      <c r="BA19" s="307"/>
      <c r="BC19" s="384">
        <f>_xll.qlCalendarAdvance(Calendar,BC18,"1d","mf",,Trigger)</f>
        <v>42157</v>
      </c>
      <c r="BD19" s="154">
        <f>_xll.qlDayCounterYearFraction(DayCounter,SettlementDate,BC19,,,Trigger)</f>
        <v>5.2777777777777778E-2</v>
      </c>
      <c r="BE19" s="166">
        <f>_xll.qlPolynomialFunctionValue(BE$1,$BD19,AllTriggers)</f>
        <v>1.6776027757521054E-3</v>
      </c>
      <c r="BF19" s="166">
        <f>_xll.qlPolynomialFunctionValue(BF$1,$BD19,AllTriggers)</f>
        <v>1.6256346833801465E-3</v>
      </c>
      <c r="BG19" s="166">
        <f>_xll.qlPolynomialFunctionValue(BG$1,$BD19,AllTriggers)</f>
        <v>1.7453362337801412E-3</v>
      </c>
      <c r="BH19" s="166">
        <f>_xll.qlPolynomialFunctionValue(BH$1,$BD19,AllTriggers)</f>
        <v>1.6355100235899084E-3</v>
      </c>
      <c r="BI19" s="166">
        <f>_xll.qlPolynomialFunctionValue(BI$1,$BD19,AllTriggers)</f>
        <v>1.6714668065429001E-3</v>
      </c>
      <c r="BJ19" s="166">
        <f>_xll.qlPolynomialFunctionValue(BJ$1,$BD19,AllTriggers)</f>
        <v>1.6177959043039117E-3</v>
      </c>
      <c r="BK19" s="166">
        <f>_xll.qlPolynomialFunctionValue(BK$1,$BD19,AllTriggers)</f>
        <v>1.7491323645647786E-3</v>
      </c>
      <c r="BL19" s="166">
        <f>_xll.qlPolynomialFunctionValue(BL$1,$BD19,AllTriggers)</f>
        <v>1.6439184341314535E-3</v>
      </c>
      <c r="BM19" s="166">
        <f>_xll.qlPolynomialFunctionValue(BM$1,$BD19,AllTriggers)</f>
        <v>1.7320443255633413E-3</v>
      </c>
      <c r="BN19" s="166">
        <f>_xll.qlPolynomialFunctionValue(BN$1,$BD19,AllTriggers)</f>
        <v>1.7013404503877338E-3</v>
      </c>
      <c r="BO19" s="166">
        <f>_xll.qlPolynomialFunctionValue(BO$1,$BD19,AllTriggers)</f>
        <v>1.7610346819990192E-3</v>
      </c>
      <c r="BP19" s="166">
        <f>_xll.qlPolynomialFunctionValue(BP$1,$BD19,AllTriggers)</f>
        <v>1.8246268526199291E-3</v>
      </c>
      <c r="BQ19" s="166">
        <f>_xll.qlPolynomialFunctionValue('6MSynthDepo_used'!$P$18,BD19,AllTriggers)</f>
        <v>1.6655581801704343E-3</v>
      </c>
    </row>
    <row r="20" spans="1:69" ht="12" customHeight="1" x14ac:dyDescent="0.2">
      <c r="A20" s="117">
        <f t="shared" si="6"/>
        <v>6</v>
      </c>
      <c r="B20" s="187">
        <f>A20+SUBSTITUTE($D$24,"M","")</f>
        <v>12</v>
      </c>
      <c r="C20" s="156" t="str">
        <f>"B"&amp;$D$24&amp;"_"&amp;A20&amp;"X"&amp;B20</f>
        <v>B6M_6X12</v>
      </c>
      <c r="D20" s="387">
        <f>_xll.qlCalendarAdvance(Calendar,SettlementDate,A20&amp;"M","mf")</f>
        <v>42324</v>
      </c>
      <c r="E20" s="387">
        <f>_xll.qlInterestRateIndexMaturity($D$25,D20)</f>
        <v>42506</v>
      </c>
      <c r="F20" s="181">
        <f>_xll.qlIndexFixing(ON_6M_index,_xll.qlInterestRateIndexFixingDate(ON_6M_index,D20,Trigger),,AllTriggers)</f>
        <v>-1.3121885563962153E-3</v>
      </c>
      <c r="G20" s="181">
        <f t="shared" si="7"/>
        <v>7.000000000000001E-4</v>
      </c>
      <c r="H20" s="409">
        <f>_xll.qlQuoteValue(C20,_xll.ohTrigger(InterestRatesTrigger,'6MSynthDepo_used'!E9))</f>
        <v>2.0121885563962154E-3</v>
      </c>
      <c r="I20" s="159">
        <f>_xll.qlDayCounterYearFraction(DayCounter,SettlementDate,D20,,,Trigger)</f>
        <v>0.51666666666666672</v>
      </c>
      <c r="J20" s="451">
        <f>($E$14-SettlementDate)-($D20-SettlementDate)</f>
        <v>0</v>
      </c>
      <c r="P20" s="187"/>
      <c r="Q20" s="187"/>
      <c r="R20" s="187"/>
      <c r="S20" s="356" t="b">
        <v>1</v>
      </c>
      <c r="T20" s="356" t="b">
        <v>1</v>
      </c>
      <c r="U20" s="356" t="b">
        <v>1</v>
      </c>
      <c r="V20" s="356" t="b">
        <v>1</v>
      </c>
      <c r="AD20" s="300"/>
      <c r="AE20" s="127">
        <v>2.8711419753086422E-2</v>
      </c>
      <c r="AF20" s="133">
        <v>0.16944444444444445</v>
      </c>
      <c r="AG20" s="128">
        <v>1</v>
      </c>
      <c r="AH20" s="431"/>
      <c r="AI20" s="129">
        <v>7.1294407398132809E-4</v>
      </c>
      <c r="AJ20" s="431"/>
      <c r="AK20" s="188">
        <v>1.8920227137032052E-3</v>
      </c>
      <c r="AL20" s="127">
        <v>-31.655172413793114</v>
      </c>
      <c r="AM20" s="133">
        <v>49.655172413793125</v>
      </c>
      <c r="AN20" s="128">
        <v>-18.000000000000018</v>
      </c>
      <c r="AO20" s="307"/>
      <c r="AP20" s="300"/>
      <c r="AQ20" s="127">
        <v>0.10344610196616372</v>
      </c>
      <c r="AR20" s="133">
        <v>0.21722222222222223</v>
      </c>
      <c r="AS20" s="128">
        <v>0.51111111111111107</v>
      </c>
      <c r="AT20" s="431"/>
      <c r="AU20" s="129">
        <v>1.3132769665961663E-3</v>
      </c>
      <c r="AV20" s="431"/>
      <c r="AW20" s="188">
        <v>9.6718518020878026E-4</v>
      </c>
      <c r="AX20" s="127">
        <v>-133.34028117932718</v>
      </c>
      <c r="AY20" s="133">
        <v>234.4509245695015</v>
      </c>
      <c r="AZ20" s="128">
        <v>-101.28485764849403</v>
      </c>
      <c r="BA20" s="307"/>
      <c r="BC20" s="384">
        <f>_xll.qlCalendarAdvance(Calendar,BC19,"1d","mf",,Trigger)</f>
        <v>42158</v>
      </c>
      <c r="BD20" s="154">
        <f>_xll.qlDayCounterYearFraction(DayCounter,SettlementDate,BC20,,,Trigger)</f>
        <v>5.5555555555555552E-2</v>
      </c>
      <c r="BE20" s="166">
        <f>_xll.qlPolynomialFunctionValue(BE$1,$BD20,AllTriggers)</f>
        <v>1.6793283371571109E-3</v>
      </c>
      <c r="BF20" s="166">
        <f>_xll.qlPolynomialFunctionValue(BF$1,$BD20,AllTriggers)</f>
        <v>1.6292353281422535E-3</v>
      </c>
      <c r="BG20" s="166">
        <f>_xll.qlPolynomialFunctionValue(BG$1,$BD20,AllTriggers)</f>
        <v>1.7464228002980898E-3</v>
      </c>
      <c r="BH20" s="166">
        <f>_xll.qlPolynomialFunctionValue(BH$1,$BD20,AllTriggers)</f>
        <v>1.638903257688644E-3</v>
      </c>
      <c r="BI20" s="166">
        <f>_xll.qlPolynomialFunctionValue(BI$1,$BD20,AllTriggers)</f>
        <v>1.6732785733429452E-3</v>
      </c>
      <c r="BJ20" s="166">
        <f>_xll.qlPolynomialFunctionValue(BJ$1,$BD20,AllTriggers)</f>
        <v>1.6216318577981087E-3</v>
      </c>
      <c r="BK20" s="166">
        <f>_xll.qlPolynomialFunctionValue(BK$1,$BD20,AllTriggers)</f>
        <v>1.7502009202832746E-3</v>
      </c>
      <c r="BL20" s="166">
        <f>_xll.qlPolynomialFunctionValue(BL$1,$BD20,AllTriggers)</f>
        <v>1.6472039583633052E-3</v>
      </c>
      <c r="BM20" s="166">
        <f>_xll.qlPolynomialFunctionValue(BM$1,$BD20,AllTriggers)</f>
        <v>1.7331527627670838E-3</v>
      </c>
      <c r="BN20" s="166">
        <f>_xll.qlPolynomialFunctionValue(BN$1,$BD20,AllTriggers)</f>
        <v>1.7030505540138654E-3</v>
      </c>
      <c r="BO20" s="166">
        <f>_xll.qlPolynomialFunctionValue(BO$1,$BD20,AllTriggers)</f>
        <v>1.7619689769073027E-3</v>
      </c>
      <c r="BP20" s="166">
        <f>_xll.qlPolynomialFunctionValue(BP$1,$BD20,AllTriggers)</f>
        <v>1.8245839089733483E-3</v>
      </c>
      <c r="BQ20" s="166">
        <f>_xll.qlPolynomialFunctionValue('6MSynthDepo_used'!$P$18,BD20,AllTriggers)</f>
        <v>1.6682342352176993E-3</v>
      </c>
    </row>
    <row r="21" spans="1:69" ht="12" customHeight="1" x14ac:dyDescent="0.2">
      <c r="A21" s="117"/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W21" s="187"/>
      <c r="AD21" s="300"/>
      <c r="AE21" s="127">
        <v>6.5308641975308626E-2</v>
      </c>
      <c r="AF21" s="133">
        <v>0.25555555555555554</v>
      </c>
      <c r="AG21" s="128">
        <v>1</v>
      </c>
      <c r="AH21" s="431"/>
      <c r="AI21" s="129">
        <v>1.8069812597846027E-3</v>
      </c>
      <c r="AJ21" s="431"/>
      <c r="AK21" s="188">
        <v>1.9078296020085105E-3</v>
      </c>
      <c r="AL21" s="127">
        <v>3.2252873563218398</v>
      </c>
      <c r="AM21" s="133">
        <v>-3.2747497219132384</v>
      </c>
      <c r="AN21" s="128">
        <v>1.0494623655913988</v>
      </c>
      <c r="AO21" s="307"/>
      <c r="AP21" s="300"/>
      <c r="AQ21" s="127">
        <v>0.14628518661408324</v>
      </c>
      <c r="AR21" s="133">
        <v>0.26336805555555559</v>
      </c>
      <c r="AS21" s="128">
        <v>0.51388888888888895</v>
      </c>
      <c r="AT21" s="431"/>
      <c r="AU21" s="129">
        <v>1.5779617406501134E-3</v>
      </c>
      <c r="AV21" s="431"/>
      <c r="AW21" s="188">
        <v>9.8057069596735715E-4</v>
      </c>
      <c r="AX21" s="127">
        <v>27.966139672547978</v>
      </c>
      <c r="AY21" s="133">
        <v>-42.402694472852538</v>
      </c>
      <c r="AZ21" s="128">
        <v>16.455633637451818</v>
      </c>
      <c r="BA21" s="307"/>
      <c r="BC21" s="384">
        <f>_xll.qlCalendarAdvance(Calendar,BC20,"1d","mf",,Trigger)</f>
        <v>42159</v>
      </c>
      <c r="BD21" s="154">
        <f>_xll.qlDayCounterYearFraction(DayCounter,SettlementDate,BC21,,,Trigger)</f>
        <v>5.8333333333333334E-2</v>
      </c>
      <c r="BE21" s="166">
        <f>_xll.qlPolynomialFunctionValue(BE$1,$BD21,AllTriggers)</f>
        <v>1.6810538985621165E-3</v>
      </c>
      <c r="BF21" s="166">
        <f>_xll.qlPolynomialFunctionValue(BF$1,$BD21,AllTriggers)</f>
        <v>1.632815022252326E-3</v>
      </c>
      <c r="BG21" s="166">
        <f>_xll.qlPolynomialFunctionValue(BG$1,$BD21,AllTriggers)</f>
        <v>1.7475093668160384E-3</v>
      </c>
      <c r="BH21" s="166">
        <f>_xll.qlPolynomialFunctionValue(BH$1,$BD21,AllTriggers)</f>
        <v>1.6422772695575401E-3</v>
      </c>
      <c r="BI21" s="166">
        <f>_xll.qlPolynomialFunctionValue(BI$1,$BD21,AllTriggers)</f>
        <v>1.6750903401429906E-3</v>
      </c>
      <c r="BJ21" s="166">
        <f>_xll.qlPolynomialFunctionValue(BJ$1,$BD21,AllTriggers)</f>
        <v>1.6254446081750752E-3</v>
      </c>
      <c r="BK21" s="166">
        <f>_xll.qlPolynomialFunctionValue(BK$1,$BD21,AllTriggers)</f>
        <v>1.7512694760017709E-3</v>
      </c>
      <c r="BL21" s="166">
        <f>_xll.qlPolynomialFunctionValue(BL$1,$BD21,AllTriggers)</f>
        <v>1.6504708945263354E-3</v>
      </c>
      <c r="BM21" s="166">
        <f>_xll.qlPolynomialFunctionValue(BM$1,$BD21,AllTriggers)</f>
        <v>1.7342611999708263E-3</v>
      </c>
      <c r="BN21" s="166">
        <f>_xll.qlPolynomialFunctionValue(BN$1,$BD21,AllTriggers)</f>
        <v>1.704756308213546E-3</v>
      </c>
      <c r="BO21" s="166">
        <f>_xll.qlPolynomialFunctionValue(BO$1,$BD21,AllTriggers)</f>
        <v>1.7629032718155864E-3</v>
      </c>
      <c r="BP21" s="166">
        <f>_xll.qlPolynomialFunctionValue(BP$1,$BD21,AllTriggers)</f>
        <v>1.8245471704736035E-3</v>
      </c>
      <c r="BQ21" s="166">
        <f>_xll.qlPolynomialFunctionValue('6MSynthDepo_used'!$P$18,BD21,AllTriggers)</f>
        <v>1.6708925597122321E-3</v>
      </c>
    </row>
    <row r="22" spans="1:69" ht="12" customHeight="1" x14ac:dyDescent="0.2">
      <c r="H22" s="117"/>
      <c r="I22" s="117"/>
      <c r="J22" s="117"/>
      <c r="L22" s="117"/>
      <c r="M22" s="117"/>
      <c r="N22" s="117"/>
      <c r="P22" s="117"/>
      <c r="Q22" s="117"/>
      <c r="R22" s="117"/>
      <c r="X22" s="117"/>
      <c r="Y22" s="117"/>
      <c r="Z22" s="117"/>
      <c r="AA22" s="117"/>
      <c r="AB22" s="117"/>
      <c r="AC22" s="117"/>
      <c r="AD22" s="301"/>
      <c r="AE22" s="302"/>
      <c r="AF22" s="302"/>
      <c r="AG22" s="302"/>
      <c r="AH22" s="302"/>
      <c r="AI22" s="302"/>
      <c r="AJ22" s="302"/>
      <c r="AK22" s="302"/>
      <c r="AL22" s="302"/>
      <c r="AM22" s="302"/>
      <c r="AN22" s="302"/>
      <c r="AO22" s="309"/>
      <c r="AP22" s="301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9"/>
      <c r="BC22" s="384">
        <f>_xll.qlCalendarAdvance(Calendar,BC21,"1d","mf",,Trigger)</f>
        <v>42160</v>
      </c>
      <c r="BD22" s="154">
        <f>_xll.qlDayCounterYearFraction(DayCounter,SettlementDate,BC22,,,Trigger)</f>
        <v>6.1111111111111109E-2</v>
      </c>
      <c r="BE22" s="166">
        <f>_xll.qlPolynomialFunctionValue(BE$1,$BD22,AllTriggers)</f>
        <v>1.682779459967122E-3</v>
      </c>
      <c r="BF22" s="166">
        <f>_xll.qlPolynomialFunctionValue(BF$1,$BD22,AllTriggers)</f>
        <v>1.6363737657103638E-3</v>
      </c>
      <c r="BG22" s="166">
        <f>_xll.qlPolynomialFunctionValue(BG$1,$BD22,AllTriggers)</f>
        <v>1.7485959333339871E-3</v>
      </c>
      <c r="BH22" s="166">
        <f>_xll.qlPolynomialFunctionValue(BH$1,$BD22,AllTriggers)</f>
        <v>1.6456320591965961E-3</v>
      </c>
      <c r="BI22" s="166">
        <f>_xll.qlPolynomialFunctionValue(BI$1,$BD22,AllTriggers)</f>
        <v>1.6769021069430357E-3</v>
      </c>
      <c r="BJ22" s="166">
        <f>_xll.qlPolynomialFunctionValue(BJ$1,$BD22,AllTriggers)</f>
        <v>1.6292341554348109E-3</v>
      </c>
      <c r="BK22" s="166">
        <f>_xll.qlPolynomialFunctionValue(BK$1,$BD22,AllTriggers)</f>
        <v>1.752338031720267E-3</v>
      </c>
      <c r="BL22" s="166">
        <f>_xll.qlPolynomialFunctionValue(BL$1,$BD22,AllTriggers)</f>
        <v>1.6537192426205433E-3</v>
      </c>
      <c r="BM22" s="166">
        <f>_xll.qlPolynomialFunctionValue(BM$1,$BD22,AllTriggers)</f>
        <v>1.7353696371745688E-3</v>
      </c>
      <c r="BN22" s="166">
        <f>_xll.qlPolynomialFunctionValue(BN$1,$BD22,AllTriggers)</f>
        <v>1.7064577129867759E-3</v>
      </c>
      <c r="BO22" s="166">
        <f>_xll.qlPolynomialFunctionValue(BO$1,$BD22,AllTriggers)</f>
        <v>1.7638375667238702E-3</v>
      </c>
      <c r="BP22" s="166">
        <f>_xll.qlPolynomialFunctionValue(BP$1,$BD22,AllTriggers)</f>
        <v>1.8245166371206952E-3</v>
      </c>
      <c r="BQ22" s="166">
        <f>_xll.qlPolynomialFunctionValue('6MSynthDepo_used'!$P$18,BD22,AllTriggers)</f>
        <v>1.6735332510792865E-3</v>
      </c>
    </row>
    <row r="23" spans="1:69" ht="12" customHeight="1" x14ac:dyDescent="0.2">
      <c r="W23" s="117"/>
      <c r="X23" s="117"/>
      <c r="Y23" s="117"/>
      <c r="Z23" s="117"/>
      <c r="AA23" s="117"/>
      <c r="AB23" s="117"/>
      <c r="AC23" s="117"/>
      <c r="AD23" s="299"/>
      <c r="AE23" s="299"/>
      <c r="AF23" s="299"/>
      <c r="AG23" s="299"/>
      <c r="AH23" s="299"/>
      <c r="BC23" s="384">
        <f>_xll.qlCalendarAdvance(Calendar,BC22,"1d","mf",,Trigger)</f>
        <v>42163</v>
      </c>
      <c r="BD23" s="154">
        <f>_xll.qlDayCounterYearFraction(DayCounter,SettlementDate,BC23,,,Trigger)</f>
        <v>6.9444444444444448E-2</v>
      </c>
      <c r="BE23" s="166">
        <f>_xll.qlPolynomialFunctionValue(BE$1,$BD23,AllTriggers)</f>
        <v>1.6879561441821387E-3</v>
      </c>
      <c r="BF23" s="166">
        <f>_xll.qlPolynomialFunctionValue(BF$1,$BD23,AllTriggers)</f>
        <v>1.6469242921722691E-3</v>
      </c>
      <c r="BG23" s="166">
        <f>_xll.qlPolynomialFunctionValue(BG$1,$BD23,AllTriggers)</f>
        <v>1.7518556328878331E-3</v>
      </c>
      <c r="BH23" s="166">
        <f>_xll.qlPolynomialFunctionValue(BH$1,$BD23,AllTriggers)</f>
        <v>1.655581094734725E-3</v>
      </c>
      <c r="BI23" s="166">
        <f>_xll.qlPolynomialFunctionValue(BI$1,$BD23,AllTriggers)</f>
        <v>1.6823374073431715E-3</v>
      </c>
      <c r="BJ23" s="166">
        <f>_xll.qlPolynomialFunctionValue(BJ$1,$BD23,AllTriggers)</f>
        <v>1.6404635785106341E-3</v>
      </c>
      <c r="BK23" s="166">
        <f>_xll.qlPolynomialFunctionValue(BK$1,$BD23,AllTriggers)</f>
        <v>1.7555436988757557E-3</v>
      </c>
      <c r="BL23" s="166">
        <f>_xll.qlPolynomialFunctionValue(BL$1,$BD23,AllTriggers)</f>
        <v>1.6633527584902369E-3</v>
      </c>
      <c r="BM23" s="166">
        <f>_xll.qlPolynomialFunctionValue(BM$1,$BD23,AllTriggers)</f>
        <v>1.7386949487857963E-3</v>
      </c>
      <c r="BN23" s="166">
        <f>_xll.qlPolynomialFunctionValue(BN$1,$BD23,AllTriggers)</f>
        <v>1.7115358307477611E-3</v>
      </c>
      <c r="BO23" s="166">
        <f>_xll.qlPolynomialFunctionValue(BO$1,$BD23,AllTriggers)</f>
        <v>1.7666404514487212E-3</v>
      </c>
      <c r="BP23" s="166">
        <f>_xll.qlPolynomialFunctionValue(BP$1,$BD23,AllTriggers)</f>
        <v>1.8244622679429888E-3</v>
      </c>
      <c r="BQ23" s="166">
        <f>_xll.qlPolynomialFunctionValue('6MSynthDepo_used'!$P$18,BD23,AllTriggers)</f>
        <v>1.6813504968639442E-3</v>
      </c>
    </row>
    <row r="24" spans="1:69" ht="12" customHeight="1" x14ac:dyDescent="0.2">
      <c r="A24" s="117"/>
      <c r="B24" s="187"/>
      <c r="C24" s="142" t="s">
        <v>136</v>
      </c>
      <c r="D24" s="176" t="s">
        <v>42</v>
      </c>
      <c r="F24" s="393" t="s">
        <v>164</v>
      </c>
      <c r="G24" s="394" t="b">
        <v>1</v>
      </c>
      <c r="H24" s="443"/>
      <c r="S24" s="444"/>
      <c r="T24" s="445"/>
      <c r="U24" s="394" t="b">
        <v>0</v>
      </c>
      <c r="V24" s="443"/>
      <c r="W24" s="444"/>
      <c r="X24" s="445"/>
      <c r="Y24" s="394" t="b">
        <v>1</v>
      </c>
      <c r="Z24" s="443"/>
      <c r="AA24" s="444"/>
      <c r="AB24" s="444"/>
      <c r="BC24" s="384">
        <f>_xll.qlCalendarAdvance(Calendar,BC23,"1d","mf",,Trigger)</f>
        <v>42164</v>
      </c>
      <c r="BD24" s="154">
        <f>_xll.qlDayCounterYearFraction(DayCounter,SettlementDate,BC24,,,Trigger)</f>
        <v>7.2222222222222215E-2</v>
      </c>
      <c r="BE24" s="166">
        <f>_xll.qlPolynomialFunctionValue(BE$1,$BD24,AllTriggers)</f>
        <v>1.6896817055871442E-3</v>
      </c>
      <c r="BF24" s="166">
        <f>_xll.qlPolynomialFunctionValue(BF$1,$BD24,AllTriggers)</f>
        <v>1.6503992330221685E-3</v>
      </c>
      <c r="BG24" s="166">
        <f>_xll.qlPolynomialFunctionValue(BG$1,$BD24,AllTriggers)</f>
        <v>1.7529421994057818E-3</v>
      </c>
      <c r="BH24" s="166">
        <f>_xll.qlPolynomialFunctionValue(BH$1,$BD24,AllTriggers)</f>
        <v>1.6588589954544214E-3</v>
      </c>
      <c r="BI24" s="166">
        <f>_xll.qlPolynomialFunctionValue(BI$1,$BD24,AllTriggers)</f>
        <v>1.6841491741432166E-3</v>
      </c>
      <c r="BJ24" s="166">
        <f>_xll.qlPolynomialFunctionValue(BJ$1,$BD24,AllTriggers)</f>
        <v>1.6441603133014468E-3</v>
      </c>
      <c r="BK24" s="166">
        <f>_xll.qlPolynomialFunctionValue(BK$1,$BD24,AllTriggers)</f>
        <v>1.7566122545942518E-3</v>
      </c>
      <c r="BL24" s="166">
        <f>_xll.qlPolynomialFunctionValue(BL$1,$BD24,AllTriggers)</f>
        <v>1.6665267543091574E-3</v>
      </c>
      <c r="BM24" s="166">
        <f>_xll.qlPolynomialFunctionValue(BM$1,$BD24,AllTriggers)</f>
        <v>1.7398033859895388E-3</v>
      </c>
      <c r="BN24" s="166">
        <f>_xll.qlPolynomialFunctionValue(BN$1,$BD24,AllTriggers)</f>
        <v>1.7132198378151877E-3</v>
      </c>
      <c r="BO24" s="166">
        <f>_xll.qlPolynomialFunctionValue(BO$1,$BD24,AllTriggers)</f>
        <v>1.7675747463570047E-3</v>
      </c>
      <c r="BP24" s="166">
        <f>_xll.qlPolynomialFunctionValue(BP$1,$BD24,AllTriggers)</f>
        <v>1.8244565551774261E-3</v>
      </c>
      <c r="BQ24" s="166">
        <f>_xll.qlPolynomialFunctionValue('6MSynthDepo_used'!$P$18,BD24,AllTriggers)</f>
        <v>1.6839216249013916E-3</v>
      </c>
    </row>
    <row r="25" spans="1:69" ht="12" customHeight="1" x14ac:dyDescent="0.2">
      <c r="A25" s="117"/>
      <c r="B25" s="187"/>
      <c r="C25" s="142" t="s">
        <v>100</v>
      </c>
      <c r="D25" s="176" t="str">
        <f>PROPER(Currency)&amp;IborType&amp;$D$24</f>
        <v>Euribor6M</v>
      </c>
      <c r="E25" s="119"/>
      <c r="F25" s="393" t="s">
        <v>165</v>
      </c>
      <c r="G25" s="295"/>
      <c r="H25" s="295"/>
      <c r="S25" s="295"/>
      <c r="T25" s="295"/>
      <c r="U25" s="295"/>
      <c r="V25" s="295"/>
      <c r="W25" s="295"/>
      <c r="X25" s="446"/>
      <c r="Y25" s="436" t="str">
        <f>_xll.qlPolynomialCalibration(,_xll.ohFilter($I$14:$I$20,$S$14:$S$20),_xll.ohFilter($H$14:$H$20,$S$14:$S$20),_xll.ohFilter($J$14:$J$20,$S$14:$S$20),G$28:G$29,,,,,Trigger)</f>
        <v>obj_008ea#0110</v>
      </c>
      <c r="Z25" s="394" t="str">
        <f>_xll.qlPolynomialCalibration(,_xll.ohFilter($I$14:$I$20,$T$14:$T$20),_xll.ohFilter($H$14:$H$20,$T$14:$T$20),_xll.ohFilter($J$14:$J$20,$T$14:$T$20),H$28:H$30,,,,,Trigger)</f>
        <v>obj_008eb#0038</v>
      </c>
      <c r="AA25" s="394" t="str">
        <f>_xll.qlPolynomialCalibration(,_xll.ohFilter($I$14:$I$20,$U$14:$U$20),_xll.ohFilter($H$14:$H$20,$U$14:$U$20),_xll.ohFilter($J$14:$J$20,$U$14:$U$20),S$28:S$29,,,,,Trigger)</f>
        <v>obj_008ec#0039</v>
      </c>
      <c r="AB25" s="394" t="str">
        <f>_xll.qlPolynomialCalibration(,_xll.ohFilter($I$14:$I$20,$V$14:$V$20),_xll.ohFilter($H$14:$H$20,$V$14:$V$20),_xll.ohFilter($J$14:$J$20,$V$14:$V$20),T$28:T$30,,,,,Trigger)</f>
        <v>obj_008ed#0040</v>
      </c>
      <c r="AC25" s="115" t="s">
        <v>144</v>
      </c>
      <c r="BC25" s="384">
        <f>_xll.qlCalendarAdvance(Calendar,BC24,"1d","mf",,Trigger)</f>
        <v>42165</v>
      </c>
      <c r="BD25" s="154">
        <f>_xll.qlDayCounterYearFraction(DayCounter,SettlementDate,BC25,,,Trigger)</f>
        <v>7.4999999999999997E-2</v>
      </c>
      <c r="BE25" s="166">
        <f>_xll.qlPolynomialFunctionValue(BE$1,$BD25,AllTriggers)</f>
        <v>1.6914072669921498E-3</v>
      </c>
      <c r="BF25" s="166">
        <f>_xll.qlPolynomialFunctionValue(BF$1,$BD25,AllTriggers)</f>
        <v>1.6538532232200328E-3</v>
      </c>
      <c r="BG25" s="166">
        <f>_xll.qlPolynomialFunctionValue(BG$1,$BD25,AllTriggers)</f>
        <v>1.7540287659237304E-3</v>
      </c>
      <c r="BH25" s="166">
        <f>_xll.qlPolynomialFunctionValue(BH$1,$BD25,AllTriggers)</f>
        <v>1.6621176739442781E-3</v>
      </c>
      <c r="BI25" s="166">
        <f>_xll.qlPolynomialFunctionValue(BI$1,$BD25,AllTriggers)</f>
        <v>1.6859609409432619E-3</v>
      </c>
      <c r="BJ25" s="166">
        <f>_xll.qlPolynomialFunctionValue(BJ$1,$BD25,AllTriggers)</f>
        <v>1.647833844975029E-3</v>
      </c>
      <c r="BK25" s="166">
        <f>_xll.qlPolynomialFunctionValue(BK$1,$BD25,AllTriggers)</f>
        <v>1.7576808103127481E-3</v>
      </c>
      <c r="BL25" s="166">
        <f>_xll.qlPolynomialFunctionValue(BL$1,$BD25,AllTriggers)</f>
        <v>1.6696821620592562E-3</v>
      </c>
      <c r="BM25" s="166">
        <f>_xll.qlPolynomialFunctionValue(BM$1,$BD25,AllTriggers)</f>
        <v>1.7409118231932815E-3</v>
      </c>
      <c r="BN25" s="166">
        <f>_xll.qlPolynomialFunctionValue(BN$1,$BD25,AllTriggers)</f>
        <v>1.7148994954561637E-3</v>
      </c>
      <c r="BO25" s="166">
        <f>_xll.qlPolynomialFunctionValue(BO$1,$BD25,AllTriggers)</f>
        <v>1.7685090412652884E-3</v>
      </c>
      <c r="BP25" s="166">
        <f>_xll.qlPolynomialFunctionValue(BP$1,$BD25,AllTriggers)</f>
        <v>1.8244570475586998E-3</v>
      </c>
      <c r="BQ25" s="166">
        <f>_xll.qlPolynomialFunctionValue('6MSynthDepo_used'!$P$18,BD25,AllTriggers)</f>
        <v>1.6864756031334559E-3</v>
      </c>
    </row>
    <row r="26" spans="1:69" ht="12" customHeight="1" x14ac:dyDescent="0.2">
      <c r="A26" s="117"/>
      <c r="B26" s="187"/>
      <c r="C26" s="142" t="s">
        <v>146</v>
      </c>
      <c r="D26" s="176" t="str">
        <f>_xll.qlIborIndex(,,'6MSynthDepo_allScenario'!D24,2,Currency,Calendar,"mf",TRUE,DayCounter,Discounting,,Trigger)</f>
        <v>obj_00878#0045</v>
      </c>
      <c r="E26" s="119"/>
      <c r="F26" s="393" t="s">
        <v>166</v>
      </c>
      <c r="G26" s="295"/>
      <c r="H26" s="295"/>
      <c r="S26" s="295"/>
      <c r="T26" s="295"/>
      <c r="U26" s="295"/>
      <c r="V26" s="295"/>
      <c r="W26" s="295"/>
      <c r="X26" s="446"/>
      <c r="Y26" s="447" t="b">
        <f>_xll.qlPolynomialCalibrationCompute(Y$25,AllTriggers)</f>
        <v>1</v>
      </c>
      <c r="Z26" s="394" t="b">
        <f>_xll.qlPolynomialCalibrationCompute(Z$25,AllTriggers)</f>
        <v>1</v>
      </c>
      <c r="AA26" s="394" t="b">
        <f>_xll.qlPolynomialCalibrationCompute(AA$25,AllTriggers)</f>
        <v>1</v>
      </c>
      <c r="AB26" s="394" t="b">
        <f>_xll.qlPolynomialCalibrationCompute(AB$25,AllTriggers)</f>
        <v>1</v>
      </c>
      <c r="AC26" s="115" t="s">
        <v>144</v>
      </c>
      <c r="BC26" s="384">
        <f>_xll.qlCalendarAdvance(Calendar,BC25,"1d","mf",,Trigger)</f>
        <v>42166</v>
      </c>
      <c r="BD26" s="154">
        <f>_xll.qlDayCounterYearFraction(DayCounter,SettlementDate,BC26,,,Trigger)</f>
        <v>7.7777777777777779E-2</v>
      </c>
      <c r="BE26" s="166">
        <f>_xll.qlPolynomialFunctionValue(BE$1,$BD26,AllTriggers)</f>
        <v>1.6931328283971555E-3</v>
      </c>
      <c r="BF26" s="166">
        <f>_xll.qlPolynomialFunctionValue(BF$1,$BD26,AllTriggers)</f>
        <v>1.6572862627658629E-3</v>
      </c>
      <c r="BG26" s="166">
        <f>_xll.qlPolynomialFunctionValue(BG$1,$BD26,AllTriggers)</f>
        <v>1.755115332441679E-3</v>
      </c>
      <c r="BH26" s="166">
        <f>_xll.qlPolynomialFunctionValue(BH$1,$BD26,AllTriggers)</f>
        <v>1.6653571302042947E-3</v>
      </c>
      <c r="BI26" s="166">
        <f>_xll.qlPolynomialFunctionValue(BI$1,$BD26,AllTriggers)</f>
        <v>1.6877727077433072E-3</v>
      </c>
      <c r="BJ26" s="166">
        <f>_xll.qlPolynomialFunctionValue(BJ$1,$BD26,AllTriggers)</f>
        <v>1.6514841735313804E-3</v>
      </c>
      <c r="BK26" s="166">
        <f>_xll.qlPolynomialFunctionValue(BK$1,$BD26,AllTriggers)</f>
        <v>1.7587493660312441E-3</v>
      </c>
      <c r="BL26" s="166">
        <f>_xll.qlPolynomialFunctionValue(BL$1,$BD26,AllTriggers)</f>
        <v>1.6728189817405334E-3</v>
      </c>
      <c r="BM26" s="166">
        <f>_xll.qlPolynomialFunctionValue(BM$1,$BD26,AllTriggers)</f>
        <v>1.742020260397024E-3</v>
      </c>
      <c r="BN26" s="166">
        <f>_xll.qlPolynomialFunctionValue(BN$1,$BD26,AllTriggers)</f>
        <v>1.716574803670689E-3</v>
      </c>
      <c r="BO26" s="166">
        <f>_xll.qlPolynomialFunctionValue(BO$1,$BD26,AllTriggers)</f>
        <v>1.7694433361735722E-3</v>
      </c>
      <c r="BP26" s="166">
        <f>_xll.qlPolynomialFunctionValue(BP$1,$BD26,AllTriggers)</f>
        <v>1.8244637450868097E-3</v>
      </c>
      <c r="BQ26" s="166">
        <f>_xll.qlPolynomialFunctionValue('6MSynthDepo_used'!$P$18,BD26,AllTriggers)</f>
        <v>1.6890125274637213E-3</v>
      </c>
    </row>
    <row r="27" spans="1:69" ht="12" customHeight="1" x14ac:dyDescent="0.2">
      <c r="B27" s="118"/>
      <c r="C27" s="142" t="s">
        <v>161</v>
      </c>
      <c r="D27" s="176" t="s">
        <v>160</v>
      </c>
      <c r="E27" s="119"/>
      <c r="F27" s="393" t="s">
        <v>156</v>
      </c>
      <c r="G27" s="394" t="str">
        <f>_xll.qlPolynomialTenorBasis(,$D$25,Discounting,SettlementDate,IsSimple,G$28:G$31,,Trigger)</f>
        <v>obj_008de#0094</v>
      </c>
      <c r="H27" s="394" t="str">
        <f>_xll.qlPolynomialTenorBasis(,$D$25,Discounting,SettlementDate,IsSimple,H$28:H$31,,Trigger)</f>
        <v>obj_008e4#0042</v>
      </c>
      <c r="S27" s="394" t="str">
        <f>_xll.qlPolynomialTenorBasis(,$D$25,Discounting,SettlementDate,IsSimple,S$28:S$31,,Trigger)</f>
        <v>obj_008e3#0047</v>
      </c>
      <c r="T27" s="394" t="str">
        <f>_xll.qlPolynomialTenorBasis(,$D$25,Discounting,SettlementDate,IsSimple,T$28:T$31,,Trigger)</f>
        <v>obj_008e5#0043</v>
      </c>
      <c r="U27" s="394" t="str">
        <f>_xll.qlPolynomialTenorBasis(,$D$25,Discounting,SettlementDate,$U$24,U$28:U$31,,Trigger)</f>
        <v>obj_008e2#0093</v>
      </c>
      <c r="V27" s="394" t="str">
        <f>_xll.qlPolynomialTenorBasis(,$D$25,Discounting,SettlementDate,$U$24,V$28:V$31,,Trigger)</f>
        <v>obj_008df#0053</v>
      </c>
      <c r="W27" s="394" t="str">
        <f>_xll.qlPolynomialTenorBasis(,$D$25,Discounting,SettlementDate,$U$24,W$28:W$31,,Trigger)</f>
        <v>obj_008e1#0056</v>
      </c>
      <c r="X27" s="435" t="str">
        <f>_xll.qlPolynomialTenorBasis(,$D$25,Discounting,SettlementDate,$U$24,X$28:X$31,,Trigger)</f>
        <v>obj_008e0#0053</v>
      </c>
      <c r="Y27" s="436" t="str">
        <f>_xll.qlPolynomialTenorBasis(,$D$25,Discounting,SettlementDate,$Y$24,Y$28:Y$31,,Trigger)</f>
        <v>obj_00887#0096</v>
      </c>
      <c r="Z27" s="394" t="str">
        <f>_xll.qlPolynomialTenorBasis(,$D$25,Discounting,SettlementDate,$Y$24,Z$28:Z$31,,Trigger)</f>
        <v>obj_00886#0053</v>
      </c>
      <c r="AA27" s="394" t="str">
        <f>_xll.qlPolynomialTenorBasis(,$D$25,Discounting,SettlementDate,$Y$24,AA$28:AA$31,,Trigger)</f>
        <v>obj_00888#0056</v>
      </c>
      <c r="AB27" s="394" t="str">
        <f>_xll.qlPolynomialTenorBasis(,$D$25,Discounting,SettlementDate,$Y$24,AB$28:AB$31,,Trigger)</f>
        <v>obj_00889#0056</v>
      </c>
      <c r="AC27" s="115" t="s">
        <v>144</v>
      </c>
      <c r="BC27" s="384">
        <f>_xll.qlCalendarAdvance(Calendar,BC26,"1d","mf",,Trigger)</f>
        <v>42167</v>
      </c>
      <c r="BD27" s="154">
        <f>_xll.qlDayCounterYearFraction(DayCounter,SettlementDate,BC27,,,Trigger)</f>
        <v>8.0555555555555561E-2</v>
      </c>
      <c r="BE27" s="166">
        <f>_xll.qlPolynomialFunctionValue(BE$1,$BD27,AllTriggers)</f>
        <v>1.6948583898021611E-3</v>
      </c>
      <c r="BF27" s="166">
        <f>_xll.qlPolynomialFunctionValue(BF$1,$BD27,AllTriggers)</f>
        <v>1.6606983516596582E-3</v>
      </c>
      <c r="BG27" s="166">
        <f>_xll.qlPolynomialFunctionValue(BG$1,$BD27,AllTriggers)</f>
        <v>1.7562018989596276E-3</v>
      </c>
      <c r="BH27" s="166">
        <f>_xll.qlPolynomialFunctionValue(BH$1,$BD27,AllTriggers)</f>
        <v>1.6685773642344714E-3</v>
      </c>
      <c r="BI27" s="166">
        <f>_xll.qlPolynomialFunctionValue(BI$1,$BD27,AllTriggers)</f>
        <v>1.6895844745433524E-3</v>
      </c>
      <c r="BJ27" s="166">
        <f>_xll.qlPolynomialFunctionValue(BJ$1,$BD27,AllTriggers)</f>
        <v>1.6551112989705013E-3</v>
      </c>
      <c r="BK27" s="166">
        <f>_xll.qlPolynomialFunctionValue(BK$1,$BD27,AllTriggers)</f>
        <v>1.7598179217497404E-3</v>
      </c>
      <c r="BL27" s="166">
        <f>_xll.qlPolynomialFunctionValue(BL$1,$BD27,AllTriggers)</f>
        <v>1.6759372133529884E-3</v>
      </c>
      <c r="BM27" s="166">
        <f>_xll.qlPolynomialFunctionValue(BM$1,$BD27,AllTriggers)</f>
        <v>1.7431286976007665E-3</v>
      </c>
      <c r="BN27" s="166">
        <f>_xll.qlPolynomialFunctionValue(BN$1,$BD27,AllTriggers)</f>
        <v>1.7182457624587632E-3</v>
      </c>
      <c r="BO27" s="166">
        <f>_xll.qlPolynomialFunctionValue(BO$1,$BD27,AllTriggers)</f>
        <v>1.7703776310818557E-3</v>
      </c>
      <c r="BP27" s="166">
        <f>_xll.qlPolynomialFunctionValue(BP$1,$BD27,AllTriggers)</f>
        <v>1.8244766477617561E-3</v>
      </c>
      <c r="BQ27" s="166">
        <f>_xll.qlPolynomialFunctionValue('6MSynthDepo_used'!$P$18,BD27,AllTriggers)</f>
        <v>1.6915324935421595E-3</v>
      </c>
    </row>
    <row r="28" spans="1:69" ht="12" customHeight="1" x14ac:dyDescent="0.2">
      <c r="C28" s="142" t="s">
        <v>162</v>
      </c>
      <c r="D28" s="176" t="s">
        <v>160</v>
      </c>
      <c r="E28" s="141"/>
      <c r="F28" s="339" t="s">
        <v>147</v>
      </c>
      <c r="G28" s="296">
        <f>AI6</f>
        <v>1.8052943197225172E-3</v>
      </c>
      <c r="H28" s="296">
        <f>AI16</f>
        <v>1.8052943197225172E-3</v>
      </c>
      <c r="S28" s="296">
        <f>AI10</f>
        <v>1.8257421561083398E-3</v>
      </c>
      <c r="T28" s="296">
        <f>AI21</f>
        <v>1.8069812597846027E-3</v>
      </c>
      <c r="U28" s="296">
        <f>AU6</f>
        <v>1.6370432373420405E-3</v>
      </c>
      <c r="V28" s="296">
        <f>AU16</f>
        <v>1.5405041956403284E-3</v>
      </c>
      <c r="W28" s="296">
        <f>AU10</f>
        <v>1.7288298059133511E-3</v>
      </c>
      <c r="X28" s="437">
        <f>AU21</f>
        <v>1.5779617406501134E-3</v>
      </c>
      <c r="Y28" s="438">
        <f t="array" ref="Y28:Y29">_xll.qlPolynomialCalibrationCoefficients($Y$25,$Y$26)</f>
        <v>1.8140686786402862E-3</v>
      </c>
      <c r="Z28" s="296">
        <f t="array" ref="Z28:Z30">_xll.qlPolynomialCalibrationCoefficients($Z$25,$Z$26)</f>
        <v>1.8098706196490674E-3</v>
      </c>
      <c r="AA28" s="296">
        <f t="array" ref="AA28:AA29">_xll.qlPolynomialCalibrationCoefficients($AA$25,$AA$26)</f>
        <v>1.8301725052120102E-3</v>
      </c>
      <c r="AB28" s="296">
        <f t="array" ref="AB28:AB30">_xll.qlPolynomialCalibrationCoefficients($AB$25,$AB$26)</f>
        <v>1.8471538435426307E-3</v>
      </c>
      <c r="AC28" s="115" t="s">
        <v>144</v>
      </c>
      <c r="BC28" s="384">
        <f>_xll.qlCalendarAdvance(Calendar,BC27,"1d","mf",,Trigger)</f>
        <v>42170</v>
      </c>
      <c r="BD28" s="154">
        <f>_xll.qlDayCounterYearFraction(DayCounter,SettlementDate,BC28,,,Trigger)</f>
        <v>8.8888888888888892E-2</v>
      </c>
      <c r="BE28" s="166">
        <f>_xll.qlPolynomialFunctionValue(BE$1,$BD28,AllTriggers)</f>
        <v>1.7000350740171777E-3</v>
      </c>
      <c r="BF28" s="166">
        <f>_xll.qlPolynomialFunctionValue(BF$1,$BD28,AllTriggers)</f>
        <v>1.6708089144288356E-3</v>
      </c>
      <c r="BG28" s="166">
        <f>_xll.qlPolynomialFunctionValue(BG$1,$BD28,AllTriggers)</f>
        <v>1.7594615985134735E-3</v>
      </c>
      <c r="BH28" s="166">
        <f>_xll.qlPolynomialFunctionValue(BH$1,$BD28,AllTriggers)</f>
        <v>1.6781227329459626E-3</v>
      </c>
      <c r="BI28" s="166">
        <f>_xll.qlPolynomialFunctionValue(BI$1,$BD28,AllTriggers)</f>
        <v>1.6950197749434882E-3</v>
      </c>
      <c r="BJ28" s="166">
        <f>_xll.qlPolynomialFunctionValue(BJ$1,$BD28,AllTriggers)</f>
        <v>1.6658534565844791E-3</v>
      </c>
      <c r="BK28" s="166">
        <f>_xll.qlPolynomialFunctionValue(BK$1,$BD28,AllTriggers)</f>
        <v>1.7630235889052289E-3</v>
      </c>
      <c r="BL28" s="166">
        <f>_xll.qlPolynomialFunctionValue(BL$1,$BD28,AllTriggers)</f>
        <v>1.6851803797774225E-3</v>
      </c>
      <c r="BM28" s="166">
        <f>_xll.qlPolynomialFunctionValue(BM$1,$BD28,AllTriggers)</f>
        <v>1.7464540092119939E-3</v>
      </c>
      <c r="BN28" s="166">
        <f>_xll.qlPolynomialFunctionValue(BN$1,$BD28,AllTriggers)</f>
        <v>1.7232325422642818E-3</v>
      </c>
      <c r="BO28" s="166">
        <f>_xll.qlPolynomialFunctionValue(BO$1,$BD28,AllTriggers)</f>
        <v>1.7731805158067067E-3</v>
      </c>
      <c r="BP28" s="166">
        <f>_xll.qlPolynomialFunctionValue(BP$1,$BD28,AllTriggers)</f>
        <v>1.8245525866676137E-3</v>
      </c>
      <c r="BQ28" s="166">
        <f>_xll.qlPolynomialFunctionValue('6MSynthDepo_used'!$P$18,BD28,AllTriggers)</f>
        <v>1.6989915949620626E-3</v>
      </c>
    </row>
    <row r="29" spans="1:69" ht="12" customHeight="1" x14ac:dyDescent="0.2">
      <c r="E29" s="141"/>
      <c r="F29" s="339" t="s">
        <v>148</v>
      </c>
      <c r="G29" s="296">
        <f>AI5</f>
        <v>6.2120210580200383E-4</v>
      </c>
      <c r="H29" s="296">
        <f>AI15</f>
        <v>7.4187786152160769E-4</v>
      </c>
      <c r="S29" s="296">
        <f>AI9</f>
        <v>3.9116394646150632E-4</v>
      </c>
      <c r="T29" s="296">
        <f>AI20</f>
        <v>7.1294407398132809E-4</v>
      </c>
      <c r="U29" s="296">
        <f>AU5</f>
        <v>6.5223604801628587E-4</v>
      </c>
      <c r="V29" s="296">
        <f>AU15</f>
        <v>1.5438291408706312E-3</v>
      </c>
      <c r="W29" s="296">
        <f>AU9</f>
        <v>3.8468005865862492E-4</v>
      </c>
      <c r="X29" s="437">
        <f>AU20</f>
        <v>1.3132769665961663E-3</v>
      </c>
      <c r="Y29" s="438">
        <v>3.9903739334729862E-4</v>
      </c>
      <c r="Z29" s="296">
        <v>5.0055148151943751E-4</v>
      </c>
      <c r="AA29" s="296">
        <v>3.3634616698211846E-4</v>
      </c>
      <c r="AB29" s="296">
        <v>1.4872847252140166E-4</v>
      </c>
      <c r="AC29" s="115" t="s">
        <v>144</v>
      </c>
      <c r="BC29" s="384">
        <f>_xll.qlCalendarAdvance(Calendar,BC28,"1d","mf",,Trigger)</f>
        <v>42171</v>
      </c>
      <c r="BD29" s="154">
        <f>_xll.qlDayCounterYearFraction(DayCounter,SettlementDate,BC29,,,Trigger)</f>
        <v>9.166666666666666E-2</v>
      </c>
      <c r="BE29" s="166">
        <f>_xll.qlPolynomialFunctionValue(BE$1,$BD29,AllTriggers)</f>
        <v>1.7017606354221833E-3</v>
      </c>
      <c r="BF29" s="166">
        <f>_xll.qlPolynomialFunctionValue(BF$1,$BD29,AllTriggers)</f>
        <v>1.6741372007144924E-3</v>
      </c>
      <c r="BG29" s="166">
        <f>_xll.qlPolynomialFunctionValue(BG$1,$BD29,AllTriggers)</f>
        <v>1.7605481650314221E-3</v>
      </c>
      <c r="BH29" s="166">
        <f>_xll.qlPolynomialFunctionValue(BH$1,$BD29,AllTriggers)</f>
        <v>1.6812660780567796E-3</v>
      </c>
      <c r="BI29" s="166">
        <f>_xll.qlPolynomialFunctionValue(BI$1,$BD29,AllTriggers)</f>
        <v>1.6968315417435333E-3</v>
      </c>
      <c r="BJ29" s="166">
        <f>_xll.qlPolynomialFunctionValue(BJ$1,$BD29,AllTriggers)</f>
        <v>1.669387769554677E-3</v>
      </c>
      <c r="BK29" s="166">
        <f>_xll.qlPolynomialFunctionValue(BK$1,$BD29,AllTriggers)</f>
        <v>1.764092144623725E-3</v>
      </c>
      <c r="BL29" s="166">
        <f>_xll.qlPolynomialFunctionValue(BL$1,$BD29,AllTriggers)</f>
        <v>1.6882242591145903E-3</v>
      </c>
      <c r="BM29" s="166">
        <f>_xll.qlPolynomialFunctionValue(BM$1,$BD29,AllTriggers)</f>
        <v>1.7475624464157364E-3</v>
      </c>
      <c r="BN29" s="166">
        <f>_xll.qlPolynomialFunctionValue(BN$1,$BD29,AllTriggers)</f>
        <v>1.724886103346553E-3</v>
      </c>
      <c r="BO29" s="166">
        <f>_xll.qlPolynomialFunctionValue(BO$1,$BD29,AllTriggers)</f>
        <v>1.7741148107149904E-3</v>
      </c>
      <c r="BP29" s="166">
        <f>_xll.qlPolynomialFunctionValue(BP$1,$BD29,AllTriggers)</f>
        <v>1.8245903099299056E-3</v>
      </c>
      <c r="BQ29" s="166">
        <f>_xll.qlPolynomialFunctionValue('6MSynthDepo_used'!$P$18,BD29,AllTriggers)</f>
        <v>1.7014446794606849E-3</v>
      </c>
    </row>
    <row r="30" spans="1:69" ht="12" customHeight="1" x14ac:dyDescent="0.2">
      <c r="F30" s="339" t="s">
        <v>149</v>
      </c>
      <c r="G30" s="295"/>
      <c r="H30" s="296">
        <f>AI14</f>
        <v>-1.3576022518455855E-3</v>
      </c>
      <c r="S30" s="295"/>
      <c r="T30" s="296">
        <f>AI19</f>
        <v>-1.2456004936250709E-3</v>
      </c>
      <c r="U30" s="295"/>
      <c r="V30" s="296">
        <f>AU14</f>
        <v>-1.5035619965505231E-3</v>
      </c>
      <c r="W30" s="295"/>
      <c r="X30" s="437">
        <f>AU19</f>
        <v>-1.204506859656812E-3</v>
      </c>
      <c r="Y30" s="439"/>
      <c r="Z30" s="296">
        <v>-2.8184283401119043E-4</v>
      </c>
      <c r="AA30" s="295"/>
      <c r="AB30" s="296">
        <v>4.0209351499728881E-4</v>
      </c>
      <c r="AC30" s="115" t="s">
        <v>144</v>
      </c>
      <c r="BC30" s="384">
        <f>_xll.qlCalendarAdvance(Calendar,BC29,"1d","mf",,Trigger)</f>
        <v>42172</v>
      </c>
      <c r="BD30" s="154">
        <f>_xll.qlDayCounterYearFraction(DayCounter,SettlementDate,BC30,,,Trigger)</f>
        <v>9.4444444444444442E-2</v>
      </c>
      <c r="BE30" s="166">
        <f>_xll.qlPolynomialFunctionValue(BE$1,$BD30,AllTriggers)</f>
        <v>1.7034861968271888E-3</v>
      </c>
      <c r="BF30" s="166">
        <f>_xll.qlPolynomialFunctionValue(BF$1,$BD30,AllTriggers)</f>
        <v>1.6774445363481141E-3</v>
      </c>
      <c r="BG30" s="166">
        <f>_xll.qlPolynomialFunctionValue(BG$1,$BD30,AllTriggers)</f>
        <v>1.7616347315493708E-3</v>
      </c>
      <c r="BH30" s="166">
        <f>_xll.qlPolynomialFunctionValue(BH$1,$BD30,AllTriggers)</f>
        <v>1.6843902009377569E-3</v>
      </c>
      <c r="BI30" s="166">
        <f>_xll.qlPolynomialFunctionValue(BI$1,$BD30,AllTriggers)</f>
        <v>1.6986433085435786E-3</v>
      </c>
      <c r="BJ30" s="166">
        <f>_xll.qlPolynomialFunctionValue(BJ$1,$BD30,AllTriggers)</f>
        <v>1.6728988794076441E-3</v>
      </c>
      <c r="BK30" s="166">
        <f>_xll.qlPolynomialFunctionValue(BK$1,$BD30,AllTriggers)</f>
        <v>1.7651607003422213E-3</v>
      </c>
      <c r="BL30" s="166">
        <f>_xll.qlPolynomialFunctionValue(BL$1,$BD30,AllTriggers)</f>
        <v>1.691249550382936E-3</v>
      </c>
      <c r="BM30" s="166">
        <f>_xll.qlPolynomialFunctionValue(BM$1,$BD30,AllTriggers)</f>
        <v>1.7486708836194789E-3</v>
      </c>
      <c r="BN30" s="166">
        <f>_xll.qlPolynomialFunctionValue(BN$1,$BD30,AllTriggers)</f>
        <v>1.7265353150023733E-3</v>
      </c>
      <c r="BO30" s="166">
        <f>_xll.qlPolynomialFunctionValue(BO$1,$BD30,AllTriggers)</f>
        <v>1.7750491056232741E-3</v>
      </c>
      <c r="BP30" s="166">
        <f>_xll.qlPolynomialFunctionValue(BP$1,$BD30,AllTriggers)</f>
        <v>1.8246342383390337E-3</v>
      </c>
      <c r="BQ30" s="166">
        <f>_xll.qlPolynomialFunctionValue('6MSynthDepo_used'!$P$18,BD30,AllTriggers)</f>
        <v>1.7038812801531673E-3</v>
      </c>
    </row>
    <row r="31" spans="1:69" ht="12" customHeight="1" thickBot="1" x14ac:dyDescent="0.25">
      <c r="F31" s="339" t="s">
        <v>150</v>
      </c>
      <c r="G31" s="295"/>
      <c r="H31" s="295"/>
      <c r="S31" s="295"/>
      <c r="T31" s="295"/>
      <c r="U31" s="295"/>
      <c r="V31" s="295"/>
      <c r="W31" s="295"/>
      <c r="X31" s="440"/>
      <c r="Y31" s="441"/>
      <c r="Z31" s="295"/>
      <c r="AA31" s="295"/>
      <c r="AB31" s="442"/>
      <c r="BC31" s="384">
        <f>_xll.qlCalendarAdvance(Calendar,BC30,"1d","mf",,Trigger)</f>
        <v>42173</v>
      </c>
      <c r="BD31" s="154">
        <f>_xll.qlDayCounterYearFraction(DayCounter,SettlementDate,BC31,,,Trigger)</f>
        <v>9.7222222222222224E-2</v>
      </c>
      <c r="BE31" s="166">
        <f>_xll.qlPolynomialFunctionValue(BE$1,$BD31,AllTriggers)</f>
        <v>1.7052117582321944E-3</v>
      </c>
      <c r="BF31" s="166">
        <f>_xll.qlPolynomialFunctionValue(BF$1,$BD31,AllTriggers)</f>
        <v>1.6807309213297016E-3</v>
      </c>
      <c r="BG31" s="166">
        <f>_xll.qlPolynomialFunctionValue(BG$1,$BD31,AllTriggers)</f>
        <v>1.7627212980673194E-3</v>
      </c>
      <c r="BH31" s="166">
        <f>_xll.qlPolynomialFunctionValue(BH$1,$BD31,AllTriggers)</f>
        <v>1.6874951015888944E-3</v>
      </c>
      <c r="BI31" s="166">
        <f>_xll.qlPolynomialFunctionValue(BI$1,$BD31,AllTriggers)</f>
        <v>1.7004550753436237E-3</v>
      </c>
      <c r="BJ31" s="166">
        <f>_xll.qlPolynomialFunctionValue(BJ$1,$BD31,AllTriggers)</f>
        <v>1.6763867861433804E-3</v>
      </c>
      <c r="BK31" s="166">
        <f>_xll.qlPolynomialFunctionValue(BK$1,$BD31,AllTriggers)</f>
        <v>1.7662292560607174E-3</v>
      </c>
      <c r="BL31" s="166">
        <f>_xll.qlPolynomialFunctionValue(BL$1,$BD31,AllTriggers)</f>
        <v>1.6942562535824598E-3</v>
      </c>
      <c r="BM31" s="166">
        <f>_xll.qlPolynomialFunctionValue(BM$1,$BD31,AllTriggers)</f>
        <v>1.7497793208232214E-3</v>
      </c>
      <c r="BN31" s="166">
        <f>_xll.qlPolynomialFunctionValue(BN$1,$BD31,AllTriggers)</f>
        <v>1.7281801772317431E-3</v>
      </c>
      <c r="BO31" s="166">
        <f>_xll.qlPolynomialFunctionValue(BO$1,$BD31,AllTriggers)</f>
        <v>1.7759834005315576E-3</v>
      </c>
      <c r="BP31" s="166">
        <f>_xll.qlPolynomialFunctionValue(BP$1,$BD31,AllTriggers)</f>
        <v>1.8246843718949985E-3</v>
      </c>
      <c r="BQ31" s="166">
        <f>_xll.qlPolynomialFunctionValue('6MSynthDepo_used'!$P$18,BD31,AllTriggers)</f>
        <v>1.7063014911678127E-3</v>
      </c>
    </row>
    <row r="32" spans="1:69" ht="12" customHeight="1" x14ac:dyDescent="0.2">
      <c r="G32" s="353" t="s">
        <v>140</v>
      </c>
      <c r="H32" s="354"/>
      <c r="S32" s="354"/>
      <c r="T32" s="354"/>
      <c r="U32" s="354"/>
      <c r="V32" s="354"/>
      <c r="W32" s="354"/>
      <c r="X32" s="355"/>
      <c r="Y32" s="353" t="s">
        <v>141</v>
      </c>
      <c r="Z32" s="354"/>
      <c r="AA32" s="354"/>
      <c r="AB32" s="355"/>
      <c r="BC32" s="384">
        <f>_xll.qlCalendarAdvance(Calendar,BC31,"1d","mf",,Trigger)</f>
        <v>42174</v>
      </c>
      <c r="BD32" s="154">
        <f>_xll.qlDayCounterYearFraction(DayCounter,SettlementDate,BC32,,,Trigger)</f>
        <v>0.1</v>
      </c>
      <c r="BE32" s="166">
        <f>_xll.qlPolynomialFunctionValue(BE$1,$BD32,AllTriggers)</f>
        <v>1.7069373196371999E-3</v>
      </c>
      <c r="BF32" s="166">
        <f>_xll.qlPolynomialFunctionValue(BF$1,$BD32,AllTriggers)</f>
        <v>1.6839963556592543E-3</v>
      </c>
      <c r="BG32" s="166">
        <f>_xll.qlPolynomialFunctionValue(BG$1,$BD32,AllTriggers)</f>
        <v>1.763807864585268E-3</v>
      </c>
      <c r="BH32" s="166">
        <f>_xll.qlPolynomialFunctionValue(BH$1,$BD32,AllTriggers)</f>
        <v>1.690580780010192E-3</v>
      </c>
      <c r="BI32" s="166">
        <f>_xll.qlPolynomialFunctionValue(BI$1,$BD32,AllTriggers)</f>
        <v>1.7022668421436691E-3</v>
      </c>
      <c r="BJ32" s="166">
        <f>_xll.qlPolynomialFunctionValue(BJ$1,$BD32,AllTriggers)</f>
        <v>1.6798514897618864E-3</v>
      </c>
      <c r="BK32" s="166">
        <f>_xll.qlPolynomialFunctionValue(BK$1,$BD32,AllTriggers)</f>
        <v>1.7672978117792136E-3</v>
      </c>
      <c r="BL32" s="166">
        <f>_xll.qlPolynomialFunctionValue(BL$1,$BD32,AllTriggers)</f>
        <v>1.6972443687131619E-3</v>
      </c>
      <c r="BM32" s="166">
        <f>_xll.qlPolynomialFunctionValue(BM$1,$BD32,AllTriggers)</f>
        <v>1.7508877580269639E-3</v>
      </c>
      <c r="BN32" s="166">
        <f>_xll.qlPolynomialFunctionValue(BN$1,$BD32,AllTriggers)</f>
        <v>1.7298206900346618E-3</v>
      </c>
      <c r="BO32" s="166">
        <f>_xll.qlPolynomialFunctionValue(BO$1,$BD32,AllTriggers)</f>
        <v>1.7769176954398414E-3</v>
      </c>
      <c r="BP32" s="166">
        <f>_xll.qlPolynomialFunctionValue(BP$1,$BD32,AllTriggers)</f>
        <v>1.8247407105977996E-3</v>
      </c>
      <c r="BQ32" s="166">
        <f>_xll.qlPolynomialFunctionValue('6MSynthDepo_used'!$P$18,BD32,AllTriggers)</f>
        <v>1.7087054063793117E-3</v>
      </c>
    </row>
    <row r="33" spans="3:69" ht="12" customHeight="1" x14ac:dyDescent="0.2">
      <c r="G33" s="420" t="s">
        <v>180</v>
      </c>
      <c r="H33" s="421"/>
      <c r="S33" s="421"/>
      <c r="T33" s="422"/>
      <c r="U33" s="420" t="s">
        <v>181</v>
      </c>
      <c r="V33" s="421"/>
      <c r="W33" s="421"/>
      <c r="X33" s="422"/>
      <c r="Y33" s="420" t="s">
        <v>180</v>
      </c>
      <c r="Z33" s="421"/>
      <c r="AA33" s="421"/>
      <c r="AB33" s="422"/>
      <c r="BC33" s="384">
        <f>_xll.qlCalendarAdvance(Calendar,BC32,"1d","mf",,Trigger)</f>
        <v>42177</v>
      </c>
      <c r="BD33" s="154">
        <f>_xll.qlDayCounterYearFraction(DayCounter,SettlementDate,BC33,,,Trigger)</f>
        <v>0.10833333333333334</v>
      </c>
      <c r="BE33" s="166">
        <f>_xll.qlPolynomialFunctionValue(BE$1,$BD33,AllTriggers)</f>
        <v>1.7121140038522165E-3</v>
      </c>
      <c r="BF33" s="166">
        <f>_xll.qlPolynomialFunctionValue(BF$1,$BD33,AllTriggers)</f>
        <v>1.693666954735704E-3</v>
      </c>
      <c r="BG33" s="166">
        <f>_xll.qlPolynomialFunctionValue(BG$1,$BD33,AllTriggers)</f>
        <v>1.7670675641391139E-3</v>
      </c>
      <c r="BH33" s="166">
        <f>_xll.qlPolynomialFunctionValue(BH$1,$BD33,AllTriggers)</f>
        <v>1.6997224818950452E-3</v>
      </c>
      <c r="BI33" s="166">
        <f>_xll.qlPolynomialFunctionValue(BI$1,$BD33,AllTriggers)</f>
        <v>1.7077021425438048E-3</v>
      </c>
      <c r="BJ33" s="166">
        <f>_xll.qlPolynomialFunctionValue(BJ$1,$BD33,AllTriggers)</f>
        <v>1.6901063819140191E-3</v>
      </c>
      <c r="BK33" s="166">
        <f>_xll.qlPolynomialFunctionValue(BK$1,$BD33,AllTriggers)</f>
        <v>1.7705034789347021E-3</v>
      </c>
      <c r="BL33" s="166">
        <f>_xll.qlPolynomialFunctionValue(BL$1,$BD33,AllTriggers)</f>
        <v>1.7060971856923369E-3</v>
      </c>
      <c r="BM33" s="166">
        <f>_xll.qlPolynomialFunctionValue(BM$1,$BD33,AllTriggers)</f>
        <v>1.7542130696381914E-3</v>
      </c>
      <c r="BN33" s="166">
        <f>_xll.qlPolynomialFunctionValue(BN$1,$BD33,AllTriggers)</f>
        <v>1.7347161318847137E-3</v>
      </c>
      <c r="BO33" s="166">
        <f>_xll.qlPolynomialFunctionValue(BO$1,$BD33,AllTriggers)</f>
        <v>1.7797205801646924E-3</v>
      </c>
      <c r="BP33" s="166">
        <f>_xll.qlPolynomialFunctionValue(BP$1,$BD33,AllTriggers)</f>
        <v>1.8249469575872211E-3</v>
      </c>
      <c r="BQ33" s="166">
        <f>_xll.qlPolynomialFunctionValue('6MSynthDepo_used'!$P$18,BD33,AllTriggers)</f>
        <v>1.7158203121376652E-3</v>
      </c>
    </row>
    <row r="34" spans="3:69" ht="12" customHeight="1" thickBot="1" x14ac:dyDescent="0.25">
      <c r="G34" s="340" t="str">
        <f>"with 0X"&amp;SUBSTITUTE($D$24,"M","")</f>
        <v>with 0X6</v>
      </c>
      <c r="H34" s="316"/>
      <c r="S34" s="315" t="str">
        <f>"without 0X"&amp;SUBSTITUTE($D$24,"M","")</f>
        <v>without 0X6</v>
      </c>
      <c r="T34" s="341"/>
      <c r="U34" s="340" t="str">
        <f>"with 0X"&amp;SUBSTITUTE($D$24,"M","")</f>
        <v>with 0X6</v>
      </c>
      <c r="V34" s="316"/>
      <c r="W34" s="315" t="str">
        <f>"without 0X"&amp;SUBSTITUTE($D$24,"M","")</f>
        <v>without 0X6</v>
      </c>
      <c r="X34" s="341"/>
      <c r="Y34" s="340" t="str">
        <f>"with 0X"&amp;SUBSTITUTE($D$24,"M","")</f>
        <v>with 0X6</v>
      </c>
      <c r="Z34" s="316"/>
      <c r="AA34" s="315" t="str">
        <f>"without 0X"&amp;SUBSTITUTE($D$24,"M","")</f>
        <v>without 0X6</v>
      </c>
      <c r="AB34" s="341"/>
      <c r="BC34" s="384">
        <f>_xll.qlCalendarAdvance(Calendar,BC33,"1d","mf",,Trigger)</f>
        <v>42178</v>
      </c>
      <c r="BD34" s="154">
        <f>_xll.qlDayCounterYearFraction(DayCounter,SettlementDate,BC34,,,Trigger)</f>
        <v>0.1111111111111111</v>
      </c>
      <c r="BE34" s="166">
        <f>_xll.qlPolynomialFunctionValue(BE$1,$BD34,AllTriggers)</f>
        <v>1.7138395652572223E-3</v>
      </c>
      <c r="BF34" s="166">
        <f>_xll.qlPolynomialFunctionValue(BF$1,$BD34,AllTriggers)</f>
        <v>1.6968485864571183E-3</v>
      </c>
      <c r="BG34" s="166">
        <f>_xll.qlPolynomialFunctionValue(BG$1,$BD34,AllTriggers)</f>
        <v>1.7681541306570625E-3</v>
      </c>
      <c r="BH34" s="166">
        <f>_xll.qlPolynomialFunctionValue(BH$1,$BD34,AllTriggers)</f>
        <v>1.7027312713969833E-3</v>
      </c>
      <c r="BI34" s="166">
        <f>_xll.qlPolynomialFunctionValue(BI$1,$BD34,AllTriggers)</f>
        <v>1.70951390934385E-3</v>
      </c>
      <c r="BJ34" s="166">
        <f>_xll.qlPolynomialFunctionValue(BJ$1,$BD34,AllTriggers)</f>
        <v>1.6934782730636019E-3</v>
      </c>
      <c r="BK34" s="166">
        <f>_xll.qlPolynomialFunctionValue(BK$1,$BD34,AllTriggers)</f>
        <v>1.7715720346531984E-3</v>
      </c>
      <c r="BL34" s="166">
        <f>_xll.qlPolynomialFunctionValue(BL$1,$BD34,AllTriggers)</f>
        <v>1.7090109485477516E-3</v>
      </c>
      <c r="BM34" s="166">
        <f>_xll.qlPolynomialFunctionValue(BM$1,$BD34,AllTriggers)</f>
        <v>1.7553215068419339E-3</v>
      </c>
      <c r="BN34" s="166">
        <f>_xll.qlPolynomialFunctionValue(BN$1,$BD34,AllTriggers)</f>
        <v>1.7363392469818295E-3</v>
      </c>
      <c r="BO34" s="166">
        <f>_xll.qlPolynomialFunctionValue(BO$1,$BD34,AllTriggers)</f>
        <v>1.7806548750729761E-3</v>
      </c>
      <c r="BP34" s="166">
        <f>_xll.qlPolynomialFunctionValue(BP$1,$BD34,AllTriggers)</f>
        <v>1.8250281168773676E-3</v>
      </c>
      <c r="BQ34" s="166">
        <f>_xll.qlPolynomialFunctionValue('6MSynthDepo_used'!$P$18,BD34,AllTriggers)</f>
        <v>1.7181599778112544E-3</v>
      </c>
    </row>
    <row r="35" spans="3:69" ht="12" customHeight="1" x14ac:dyDescent="0.2">
      <c r="D35" s="142" t="s">
        <v>95</v>
      </c>
      <c r="E35" s="142" t="s">
        <v>70</v>
      </c>
      <c r="F35" s="142" t="s">
        <v>71</v>
      </c>
      <c r="G35" s="342" t="str">
        <f>IF(COUNT(G$28:G$31)=2,"Linear","Quadratic")</f>
        <v>Linear</v>
      </c>
      <c r="H35" s="145" t="str">
        <f>IF(COUNT(H$28:H$31)=2,"Linear","Quadratic")</f>
        <v>Quadratic</v>
      </c>
      <c r="S35" s="145" t="str">
        <f>IF(COUNT(S$28:S$31)=2,"Linear","Quadratic")</f>
        <v>Linear</v>
      </c>
      <c r="T35" s="343" t="str">
        <f>IF(COUNT(T$28:T$31)=2,"Linear","Quadratic")</f>
        <v>Quadratic</v>
      </c>
      <c r="U35" s="342" t="str">
        <f>IF(COUNT(U$28:U$31)=2,"Linear","Quadratic")</f>
        <v>Linear</v>
      </c>
      <c r="V35" s="145" t="str">
        <f>IF(COUNT(V$28:V$31)=2,"Linear","Quadratic")</f>
        <v>Quadratic</v>
      </c>
      <c r="W35" s="145" t="str">
        <f>IF(COUNT(W$28:W$31)=2,"Linear","Quadratic")</f>
        <v>Linear</v>
      </c>
      <c r="X35" s="343" t="str">
        <f>IF(COUNT(X$28:X$31)=2,"Linear","Quadratic")</f>
        <v>Quadratic</v>
      </c>
      <c r="Y35" s="342" t="str">
        <f>IF(COUNT(Y$28:Y$31)=2,"Linear","Quadratic")</f>
        <v>Linear</v>
      </c>
      <c r="Z35" s="145" t="str">
        <f>IF(COUNT(Z$28:Z$31)=2,"Linear","Quadratic")</f>
        <v>Quadratic</v>
      </c>
      <c r="AA35" s="145" t="str">
        <f>IF(COUNT(AA$28:AA$31)=2,"Linear","Quadratic")</f>
        <v>Linear</v>
      </c>
      <c r="AB35" s="343" t="str">
        <f>IF(COUNT(AB$28:AB$31)=2,"Linear","Quadratic")</f>
        <v>Quadratic</v>
      </c>
      <c r="AC35" s="463" t="s">
        <v>179</v>
      </c>
      <c r="BC35" s="384">
        <f>_xll.qlCalendarAdvance(Calendar,BC34,"1d","mf",,Trigger)</f>
        <v>42179</v>
      </c>
      <c r="BD35" s="154">
        <f>_xll.qlDayCounterYearFraction(DayCounter,SettlementDate,BC35,,,Trigger)</f>
        <v>0.11388888888888889</v>
      </c>
      <c r="BE35" s="166">
        <f>_xll.qlPolynomialFunctionValue(BE$1,$BD35,AllTriggers)</f>
        <v>1.7155651266622279E-3</v>
      </c>
      <c r="BF35" s="166">
        <f>_xll.qlPolynomialFunctionValue(BF$1,$BD35,AllTriggers)</f>
        <v>1.7000092675264974E-3</v>
      </c>
      <c r="BG35" s="166">
        <f>_xll.qlPolynomialFunctionValue(BG$1,$BD35,AllTriggers)</f>
        <v>1.7692406971750111E-3</v>
      </c>
      <c r="BH35" s="166">
        <f>_xll.qlPolynomialFunctionValue(BH$1,$BD35,AllTriggers)</f>
        <v>1.7057208386690814E-3</v>
      </c>
      <c r="BI35" s="166">
        <f>_xll.qlPolynomialFunctionValue(BI$1,$BD35,AllTriggers)</f>
        <v>1.7113256761438953E-3</v>
      </c>
      <c r="BJ35" s="166">
        <f>_xll.qlPolynomialFunctionValue(BJ$1,$BD35,AllTriggers)</f>
        <v>1.6968269610959539E-3</v>
      </c>
      <c r="BK35" s="166">
        <f>_xll.qlPolynomialFunctionValue(BK$1,$BD35,AllTriggers)</f>
        <v>1.7726405903716945E-3</v>
      </c>
      <c r="BL35" s="166">
        <f>_xll.qlPolynomialFunctionValue(BL$1,$BD35,AllTriggers)</f>
        <v>1.7119061233343443E-3</v>
      </c>
      <c r="BM35" s="166">
        <f>_xll.qlPolynomialFunctionValue(BM$1,$BD35,AllTriggers)</f>
        <v>1.7564299440456764E-3</v>
      </c>
      <c r="BN35" s="166">
        <f>_xll.qlPolynomialFunctionValue(BN$1,$BD35,AllTriggers)</f>
        <v>1.7379580126524945E-3</v>
      </c>
      <c r="BO35" s="166">
        <f>_xll.qlPolynomialFunctionValue(BO$1,$BD35,AllTriggers)</f>
        <v>1.7815891699812596E-3</v>
      </c>
      <c r="BP35" s="166">
        <f>_xll.qlPolynomialFunctionValue(BP$1,$BD35,AllTriggers)</f>
        <v>1.8251154813143506E-3</v>
      </c>
      <c r="BQ35" s="166">
        <f>_xll.qlPolynomialFunctionValue('6MSynthDepo_used'!$P$18,BD35,AllTriggers)</f>
        <v>1.7204838132509766E-3</v>
      </c>
    </row>
    <row r="36" spans="3:69" ht="12" customHeight="1" x14ac:dyDescent="0.2">
      <c r="C36" s="115">
        <v>0</v>
      </c>
      <c r="D36" s="161" t="s">
        <v>43</v>
      </c>
      <c r="E36" s="381">
        <f>_xll.qlCalendarAdvance(Calendar,SettlementDate,C36&amp;"M","mf",TRUE,Trigger)</f>
        <v>42138</v>
      </c>
      <c r="F36" s="453">
        <f>_xll.qlCalendarAdvance(Calendar,SettlementDate,D36,"Following",,Trigger)</f>
        <v>42139</v>
      </c>
      <c r="G36" s="461">
        <f>_xll.qlTenorBasisForwardRate2(G$27,$E36,$F36,InterestRatesTrigger)</f>
        <v>6.3311570042579035E-4</v>
      </c>
      <c r="H36" s="399">
        <f>_xll.qlTenorBasisForwardRate2(H$27,$E36,$F36,InterestRatesTrigger)</f>
        <v>5.4390210279642304E-4</v>
      </c>
      <c r="S36" s="399">
        <f>_xll.qlTenorBasisForwardRate2(S$27,$E36,$F36,InterestRatesTrigger)</f>
        <v>7.1158523449632582E-4</v>
      </c>
      <c r="T36" s="462">
        <f>_xll.qlTenorBasisForwardRate2(T$27,$E36,$F36,InterestRatesTrigger)</f>
        <v>5.5773590537988582E-4</v>
      </c>
      <c r="U36" s="461">
        <f>_xll.qlTenorBasisForwardRate2(U$27,$E36,$F36,InterestRatesTrigger)</f>
        <v>6.2549023664537629E-4</v>
      </c>
      <c r="V36" s="399">
        <f>_xll.qlTenorBasisForwardRate2(V$27,$E36,$F36,InterestRatesTrigger)</f>
        <v>5.3147441559708852E-4</v>
      </c>
      <c r="W36" s="399">
        <f>_xll.qlTenorBasisForwardRate2(W$27,$E36,$F36,InterestRatesTrigger)</f>
        <v>7.1565812867824263E-4</v>
      </c>
      <c r="X36" s="462">
        <f>_xll.qlTenorBasisForwardRate2(X$27,$E36,$F36,InterestRatesTrigger)</f>
        <v>5.6810813893193313E-4</v>
      </c>
      <c r="Y36" s="461">
        <f>_xll.qlTenorBasisForwardRate2(Y$27,$E36,$F36,InterestRatesTrigger)</f>
        <v>6.9807616791095484E-4</v>
      </c>
      <c r="Z36" s="399">
        <f>_xll.qlTenorBasisForwardRate2(Z$27,$E36,$F36,InterestRatesTrigger)</f>
        <v>6.560358852958359E-4</v>
      </c>
      <c r="AA36" s="399">
        <f>_xll.qlTenorBasisForwardRate2(AA$27,$E36,$F36,InterestRatesTrigger)</f>
        <v>7.29848136087341E-4</v>
      </c>
      <c r="AB36" s="462">
        <f>_xll.qlTenorBasisForwardRate2(AB$27,$E36,$F36,InterestRatesTrigger)</f>
        <v>8.1151218041419781E-4</v>
      </c>
      <c r="AC36" s="462">
        <f>'6MSynthDepo_used'!AA15</f>
        <v>6.0060874521816743E-4</v>
      </c>
      <c r="BC36" s="384">
        <f>_xll.qlCalendarAdvance(Calendar,BC35,"1d","mf",,Trigger)</f>
        <v>42180</v>
      </c>
      <c r="BD36" s="154">
        <f>_xll.qlDayCounterYearFraction(DayCounter,SettlementDate,BC36,,,Trigger)</f>
        <v>0.11666666666666667</v>
      </c>
      <c r="BE36" s="166">
        <f>_xll.qlPolynomialFunctionValue(BE$1,$BD36,AllTriggers)</f>
        <v>1.7172906880672334E-3</v>
      </c>
      <c r="BF36" s="166">
        <f>_xll.qlPolynomialFunctionValue(BF$1,$BD36,AllTriggers)</f>
        <v>1.7031489979438422E-3</v>
      </c>
      <c r="BG36" s="166">
        <f>_xll.qlPolynomialFunctionValue(BG$1,$BD36,AllTriggers)</f>
        <v>1.7703272636929598E-3</v>
      </c>
      <c r="BH36" s="166">
        <f>_xll.qlPolynomialFunctionValue(BH$1,$BD36,AllTriggers)</f>
        <v>1.7086911837113396E-3</v>
      </c>
      <c r="BI36" s="166">
        <f>_xll.qlPolynomialFunctionValue(BI$1,$BD36,AllTriggers)</f>
        <v>1.7131374429439404E-3</v>
      </c>
      <c r="BJ36" s="166">
        <f>_xll.qlPolynomialFunctionValue(BJ$1,$BD36,AllTriggers)</f>
        <v>1.7001524460110754E-3</v>
      </c>
      <c r="BK36" s="166">
        <f>_xll.qlPolynomialFunctionValue(BK$1,$BD36,AllTriggers)</f>
        <v>1.7737091460901908E-3</v>
      </c>
      <c r="BL36" s="166">
        <f>_xll.qlPolynomialFunctionValue(BL$1,$BD36,AllTriggers)</f>
        <v>1.714782710052115E-3</v>
      </c>
      <c r="BM36" s="166">
        <f>_xll.qlPolynomialFunctionValue(BM$1,$BD36,AllTriggers)</f>
        <v>1.7575383812494189E-3</v>
      </c>
      <c r="BN36" s="166">
        <f>_xll.qlPolynomialFunctionValue(BN$1,$BD36,AllTriggers)</f>
        <v>1.7395724288967085E-3</v>
      </c>
      <c r="BO36" s="166">
        <f>_xll.qlPolynomialFunctionValue(BO$1,$BD36,AllTriggers)</f>
        <v>1.7825234648895434E-3</v>
      </c>
      <c r="BP36" s="166">
        <f>_xll.qlPolynomialFunctionValue(BP$1,$BD36,AllTriggers)</f>
        <v>1.82520905089817E-3</v>
      </c>
      <c r="BQ36" s="166">
        <f>_xll.qlPolynomialFunctionValue('6MSynthDepo_used'!$P$18,BD36,AllTriggers)</f>
        <v>1.7227919108098529E-3</v>
      </c>
    </row>
    <row r="37" spans="3:69" ht="12" customHeight="1" x14ac:dyDescent="0.2">
      <c r="C37" s="115">
        <v>0</v>
      </c>
      <c r="D37" s="167" t="s">
        <v>44</v>
      </c>
      <c r="E37" s="383">
        <f>_xll.qlCalendarAdvance(Calendar,SettlementDate,C37&amp;"M","mf",TRUE,Trigger)</f>
        <v>42138</v>
      </c>
      <c r="F37" s="454">
        <f>_xll.qlCalendarAdvance(Calendar,SettlementDate,D37,"Following",,Trigger)</f>
        <v>42145</v>
      </c>
      <c r="G37" s="344">
        <f>_xll.qlTenorBasisForwardRate2(G$27,$E37,$F37,InterestRatesTrigger)</f>
        <v>6.3815493167521499E-4</v>
      </c>
      <c r="H37" s="334">
        <f>_xll.qlTenorBasisForwardRate2(H$27,$E37,$F37,InterestRatesTrigger)</f>
        <v>5.5544416274422304E-4</v>
      </c>
      <c r="S37" s="334">
        <f>_xll.qlTenorBasisForwardRate2(S$27,$E37,$F37,InterestRatesTrigger)</f>
        <v>7.1476050253340057E-4</v>
      </c>
      <c r="T37" s="345">
        <f>_xll.qlTenorBasisForwardRate2(T$27,$E37,$F37,InterestRatesTrigger)</f>
        <v>5.6858769192353568E-4</v>
      </c>
      <c r="U37" s="344">
        <f>_xll.qlTenorBasisForwardRate2(U$27,$E37,$F37,InterestRatesTrigger)</f>
        <v>6.3078096961710628E-4</v>
      </c>
      <c r="V37" s="334">
        <f>_xll.qlTenorBasisForwardRate2(V$27,$E37,$F37,InterestRatesTrigger)</f>
        <v>5.4381398250821376E-4</v>
      </c>
      <c r="W37" s="334">
        <f>_xll.qlTenorBasisForwardRate2(W$27,$E37,$F37,InterestRatesTrigger)</f>
        <v>7.1878088244809693E-4</v>
      </c>
      <c r="X37" s="345">
        <f>_xll.qlTenorBasisForwardRate2(X$27,$E37,$F37,InterestRatesTrigger)</f>
        <v>5.7861446232035764E-4</v>
      </c>
      <c r="Y37" s="344">
        <f>_xll.qlTenorBasisForwardRate2(Y$27,$E37,$F37,InterestRatesTrigger)</f>
        <v>7.013151040588131E-4</v>
      </c>
      <c r="Z37" s="334">
        <f>_xll.qlTenorBasisForwardRate2(Z$27,$E37,$F37,InterestRatesTrigger)</f>
        <v>6.612443889356509E-4</v>
      </c>
      <c r="AA37" s="334">
        <f>_xll.qlTenorBasisForwardRate2(AA$27,$E37,$F37,InterestRatesTrigger)</f>
        <v>7.3257923323006527E-4</v>
      </c>
      <c r="AB37" s="345">
        <f>_xll.qlTenorBasisForwardRate2(AB$27,$E37,$F37,InterestRatesTrigger)</f>
        <v>8.1108684102762897E-4</v>
      </c>
      <c r="AC37" s="345">
        <f>'6MSynthDepo_used'!AA16</f>
        <v>6.0933838689055818E-4</v>
      </c>
      <c r="BC37" s="384">
        <f>_xll.qlCalendarAdvance(Calendar,BC36,"1d","mf",,Trigger)</f>
        <v>42181</v>
      </c>
      <c r="BD37" s="154">
        <f>_xll.qlDayCounterYearFraction(DayCounter,SettlementDate,BC37,,,Trigger)</f>
        <v>0.11944444444444445</v>
      </c>
      <c r="BE37" s="166">
        <f>_xll.qlPolynomialFunctionValue(BE$1,$BD37,AllTriggers)</f>
        <v>1.719016249472239E-3</v>
      </c>
      <c r="BF37" s="166">
        <f>_xll.qlPolynomialFunctionValue(BF$1,$BD37,AllTriggers)</f>
        <v>1.7062677777091521E-3</v>
      </c>
      <c r="BG37" s="166">
        <f>_xll.qlPolynomialFunctionValue(BG$1,$BD37,AllTriggers)</f>
        <v>1.7714138302109084E-3</v>
      </c>
      <c r="BH37" s="166">
        <f>_xll.qlPolynomialFunctionValue(BH$1,$BD37,AllTriggers)</f>
        <v>1.711642306523758E-3</v>
      </c>
      <c r="BI37" s="166">
        <f>_xll.qlPolynomialFunctionValue(BI$1,$BD37,AllTriggers)</f>
        <v>1.7149492097439858E-3</v>
      </c>
      <c r="BJ37" s="166">
        <f>_xll.qlPolynomialFunctionValue(BJ$1,$BD37,AllTriggers)</f>
        <v>1.7034547278089662E-3</v>
      </c>
      <c r="BK37" s="166">
        <f>_xll.qlPolynomialFunctionValue(BK$1,$BD37,AllTriggers)</f>
        <v>1.7747777018086869E-3</v>
      </c>
      <c r="BL37" s="166">
        <f>_xll.qlPolynomialFunctionValue(BL$1,$BD37,AllTriggers)</f>
        <v>1.7176407087010643E-3</v>
      </c>
      <c r="BM37" s="166">
        <f>_xll.qlPolynomialFunctionValue(BM$1,$BD37,AllTriggers)</f>
        <v>1.7586468184531614E-3</v>
      </c>
      <c r="BN37" s="166">
        <f>_xll.qlPolynomialFunctionValue(BN$1,$BD37,AllTriggers)</f>
        <v>1.7411824957144718E-3</v>
      </c>
      <c r="BO37" s="166">
        <f>_xll.qlPolynomialFunctionValue(BO$1,$BD37,AllTriggers)</f>
        <v>1.7834577597978271E-3</v>
      </c>
      <c r="BP37" s="166">
        <f>_xll.qlPolynomialFunctionValue(BP$1,$BD37,AllTriggers)</f>
        <v>1.8253088256288256E-3</v>
      </c>
      <c r="BQ37" s="166">
        <f>_xll.qlPolynomialFunctionValue('6MSynthDepo_used'!$P$18,BD37,AllTriggers)</f>
        <v>1.7250843625872922E-3</v>
      </c>
    </row>
    <row r="38" spans="3:69" ht="12" customHeight="1" x14ac:dyDescent="0.2">
      <c r="C38" s="115">
        <v>0</v>
      </c>
      <c r="D38" s="167" t="s">
        <v>45</v>
      </c>
      <c r="E38" s="383">
        <f>_xll.qlCalendarAdvance(Calendar,SettlementDate,C38&amp;"M","mf",TRUE,Trigger)</f>
        <v>42138</v>
      </c>
      <c r="F38" s="454">
        <f>_xll.qlCalendarAdvance(Calendar,SettlementDate,D38,"Following",,Trigger)</f>
        <v>42152</v>
      </c>
      <c r="G38" s="344">
        <f>_xll.qlTenorBasisForwardRate2(G$27,$E38,$F38,InterestRatesTrigger)</f>
        <v>6.3402400599369248E-4</v>
      </c>
      <c r="H38" s="334">
        <f>_xll.qlTenorBasisForwardRate2(H$27,$E38,$F38,InterestRatesTrigger)</f>
        <v>5.5859515948204167E-4</v>
      </c>
      <c r="S38" s="334">
        <f>_xll.qlTenorBasisForwardRate2(S$27,$E38,$F38,InterestRatesTrigger)</f>
        <v>7.0845488380909065E-4</v>
      </c>
      <c r="T38" s="345">
        <f>_xll.qlTenorBasisForwardRate2(T$27,$E38,$F38,InterestRatesTrigger)</f>
        <v>5.7095850649105774E-4</v>
      </c>
      <c r="U38" s="344">
        <f>_xll.qlTenorBasisForwardRate2(U$27,$E38,$F38,InterestRatesTrigger)</f>
        <v>6.2694347052717953E-4</v>
      </c>
      <c r="V38" s="334">
        <f>_xll.qlTenorBasisForwardRate2(V$27,$E38,$F38,InterestRatesTrigger)</f>
        <v>5.4786264326343675E-4</v>
      </c>
      <c r="W38" s="334">
        <f>_xll.qlTenorBasisForwardRate2(W$27,$E38,$F38,InterestRatesTrigger)</f>
        <v>7.1241399450551663E-4</v>
      </c>
      <c r="X38" s="345">
        <f>_xll.qlTenorBasisForwardRate2(X$27,$E38,$F38,InterestRatesTrigger)</f>
        <v>5.8059145714534869E-4</v>
      </c>
      <c r="Y38" s="344">
        <f>_xll.qlTenorBasisForwardRate2(Y$27,$E38,$F38,InterestRatesTrigger)</f>
        <v>6.9508377011854141E-4</v>
      </c>
      <c r="Z38" s="334">
        <f>_xll.qlTenorBasisForwardRate2(Z$27,$E38,$F38,InterestRatesTrigger)</f>
        <v>6.572476543009742E-4</v>
      </c>
      <c r="AA38" s="334">
        <f>_xll.qlTenorBasisForwardRate2(AA$27,$E38,$F38,InterestRatesTrigger)</f>
        <v>7.257553969854312E-4</v>
      </c>
      <c r="AB38" s="345">
        <f>_xll.qlTenorBasisForwardRate2(AB$27,$E38,$F38,InterestRatesTrigger)</f>
        <v>8.0067066671597937E-4</v>
      </c>
      <c r="AC38" s="345">
        <f>'6MSynthDepo_used'!AA17</f>
        <v>6.0923392658729369E-4</v>
      </c>
      <c r="BC38" s="384">
        <f>_xll.qlCalendarAdvance(Calendar,BC37,"1d","mf",,Trigger)</f>
        <v>42184</v>
      </c>
      <c r="BD38" s="154">
        <f>_xll.qlDayCounterYearFraction(DayCounter,SettlementDate,BC38,,,Trigger)</f>
        <v>0.12777777777777777</v>
      </c>
      <c r="BE38" s="166">
        <f>_xll.qlPolynomialFunctionValue(BE$1,$BD38,AllTriggers)</f>
        <v>1.7241929336872556E-3</v>
      </c>
      <c r="BF38" s="166">
        <f>_xll.qlPolynomialFunctionValue(BF$1,$BD38,AllTriggers)</f>
        <v>1.7154984130928746E-3</v>
      </c>
      <c r="BG38" s="166">
        <f>_xll.qlPolynomialFunctionValue(BG$1,$BD38,AllTriggers)</f>
        <v>1.7746735297647542E-3</v>
      </c>
      <c r="BH38" s="166">
        <f>_xll.qlPolynomialFunctionValue(BH$1,$BD38,AllTriggers)</f>
        <v>1.7203803415819733E-3</v>
      </c>
      <c r="BI38" s="166">
        <f>_xll.qlPolynomialFunctionValue(BI$1,$BD38,AllTriggers)</f>
        <v>1.7203845101441215E-3</v>
      </c>
      <c r="BJ38" s="166">
        <f>_xll.qlPolynomialFunctionValue(BJ$1,$BD38,AllTriggers)</f>
        <v>1.7132223544992539E-3</v>
      </c>
      <c r="BK38" s="166">
        <f>_xll.qlPolynomialFunctionValue(BK$1,$BD38,AllTriggers)</f>
        <v>1.7779833689641753E-3</v>
      </c>
      <c r="BL38" s="166">
        <f>_xll.qlPolynomialFunctionValue(BL$1,$BD38,AllTriggers)</f>
        <v>1.7261031762349798E-3</v>
      </c>
      <c r="BM38" s="166">
        <f>_xll.qlPolynomialFunctionValue(BM$1,$BD38,AllTriggers)</f>
        <v>1.7619721300643888E-3</v>
      </c>
      <c r="BN38" s="166">
        <f>_xll.qlPolynomialFunctionValue(BN$1,$BD38,AllTriggers)</f>
        <v>1.745986599609057E-3</v>
      </c>
      <c r="BO38" s="166">
        <f>_xll.qlPolynomialFunctionValue(BO$1,$BD38,AllTriggers)</f>
        <v>1.7862606445226781E-3</v>
      </c>
      <c r="BP38" s="166">
        <f>_xll.qlPolynomialFunctionValue(BP$1,$BD38,AllTriggers)</f>
        <v>1.8256453807018111E-3</v>
      </c>
      <c r="BQ38" s="166">
        <f>_xll.qlPolynomialFunctionValue('6MSynthDepo_used'!$P$18,BD38,AllTriggers)</f>
        <v>1.7318687604209078E-3</v>
      </c>
    </row>
    <row r="39" spans="3:69" x14ac:dyDescent="0.2">
      <c r="C39" s="115">
        <v>0</v>
      </c>
      <c r="D39" s="167" t="s">
        <v>46</v>
      </c>
      <c r="E39" s="383">
        <f>_xll.qlCalendarAdvance(Calendar,SettlementDate,C39&amp;"M","mf",TRUE,Trigger)</f>
        <v>42138</v>
      </c>
      <c r="F39" s="454">
        <f>_xll.qlCalendarAdvance(Calendar,SettlementDate,D39,"Following",,Trigger)</f>
        <v>42159</v>
      </c>
      <c r="G39" s="344">
        <f>_xll.qlTenorBasisForwardRate2(G$27,$E39,$F39,InterestRatesTrigger)</f>
        <v>7.1990119545998045E-4</v>
      </c>
      <c r="H39" s="334">
        <f>_xll.qlTenorBasisForwardRate2(H$27,$E39,$F39,InterestRatesTrigger)</f>
        <v>6.5142574817806623E-4</v>
      </c>
      <c r="S39" s="334">
        <f>_xll.qlTenorBasisForwardRate2(S$27,$E39,$F39,InterestRatesTrigger)</f>
        <v>7.9215768859925665E-4</v>
      </c>
      <c r="T39" s="345">
        <f>_xll.qlTenorBasisForwardRate2(T$27,$E39,$F39,InterestRatesTrigger)</f>
        <v>6.630360452180334E-4</v>
      </c>
      <c r="U39" s="344">
        <f>_xll.qlTenorBasisForwardRate2(U$27,$E39,$F39,InterestRatesTrigger)</f>
        <v>7.1311405916699546E-4</v>
      </c>
      <c r="V39" s="334">
        <f>_xll.qlTenorBasisForwardRate2(V$27,$E39,$F39,InterestRatesTrigger)</f>
        <v>6.4155556232086449E-4</v>
      </c>
      <c r="W39" s="334">
        <f>_xll.qlTenorBasisForwardRate2(W$27,$E39,$F39,InterestRatesTrigger)</f>
        <v>7.9605554789934682E-4</v>
      </c>
      <c r="X39" s="345">
        <f>_xll.qlTenorBasisForwardRate2(X$27,$E39,$F39,InterestRatesTrigger)</f>
        <v>6.7228515489046819E-4</v>
      </c>
      <c r="Y39" s="344">
        <f>_xll.qlTenorBasisForwardRate2(Y$27,$E39,$F39,InterestRatesTrigger)</f>
        <v>7.7886079513105652E-4</v>
      </c>
      <c r="Z39" s="334">
        <f>_xll.qlTenorBasisForwardRate2(Z$27,$E39,$F39,InterestRatesTrigger)</f>
        <v>7.4319099319605385E-4</v>
      </c>
      <c r="AA39" s="334">
        <f>_xll.qlTenorBasisForwardRate2(AA$27,$E39,$F39,InterestRatesTrigger)</f>
        <v>8.0894005374254618E-4</v>
      </c>
      <c r="AB39" s="345">
        <f>_xll.qlTenorBasisForwardRate2(AB$27,$E39,$F39,InterestRatesTrigger)</f>
        <v>8.8036047794964086E-4</v>
      </c>
      <c r="AC39" s="345">
        <f>'6MSynthDepo_used'!AA18</f>
        <v>6.9884474792582447E-4</v>
      </c>
      <c r="BC39" s="384">
        <f>_xll.qlCalendarAdvance(Calendar,BC38,"1d","mf",,Trigger)</f>
        <v>42185</v>
      </c>
      <c r="BD39" s="154">
        <f>_xll.qlDayCounterYearFraction(DayCounter,SettlementDate,BC39,,,Trigger)</f>
        <v>0.13055555555555556</v>
      </c>
      <c r="BE39" s="166">
        <f>_xll.qlPolynomialFunctionValue(BE$1,$BD39,AllTriggers)</f>
        <v>1.7259184950922611E-3</v>
      </c>
      <c r="BF39" s="166">
        <f>_xll.qlPolynomialFunctionValue(BF$1,$BD39,AllTriggers)</f>
        <v>1.718533390250046E-3</v>
      </c>
      <c r="BG39" s="166">
        <f>_xll.qlPolynomialFunctionValue(BG$1,$BD39,AllTriggers)</f>
        <v>1.7757600962827029E-3</v>
      </c>
      <c r="BH39" s="166">
        <f>_xll.qlPolynomialFunctionValue(BH$1,$BD39,AllTriggers)</f>
        <v>1.723254575475032E-3</v>
      </c>
      <c r="BI39" s="166">
        <f>_xll.qlPolynomialFunctionValue(BI$1,$BD39,AllTriggers)</f>
        <v>1.7221962769441667E-3</v>
      </c>
      <c r="BJ39" s="166">
        <f>_xll.qlPolynomialFunctionValue(BJ$1,$BD39,AllTriggers)</f>
        <v>1.7164318238282216E-3</v>
      </c>
      <c r="BK39" s="166">
        <f>_xll.qlPolynomialFunctionValue(BK$1,$BD39,AllTriggers)</f>
        <v>1.7790519246826716E-3</v>
      </c>
      <c r="BL39" s="166">
        <f>_xll.qlPolynomialFunctionValue(BL$1,$BD39,AllTriggers)</f>
        <v>1.7288868226086414E-3</v>
      </c>
      <c r="BM39" s="166">
        <f>_xll.qlPolynomialFunctionValue(BM$1,$BD39,AllTriggers)</f>
        <v>1.7630805672681313E-3</v>
      </c>
      <c r="BN39" s="166">
        <f>_xll.qlPolynomialFunctionValue(BN$1,$BD39,AllTriggers)</f>
        <v>1.7475792687210172E-3</v>
      </c>
      <c r="BO39" s="166">
        <f>_xll.qlPolynomialFunctionValue(BO$1,$BD39,AllTriggers)</f>
        <v>1.7871949394309616E-3</v>
      </c>
      <c r="BP39" s="166">
        <f>_xll.qlPolynomialFunctionValue(BP$1,$BD39,AllTriggers)</f>
        <v>1.8257699760198122E-3</v>
      </c>
      <c r="BQ39" s="166">
        <f>_xll.qlPolynomialFunctionValue('6MSynthDepo_used'!$P$18,BD39,AllTriggers)</f>
        <v>1.7340995449944595E-3</v>
      </c>
    </row>
    <row r="40" spans="3:69" x14ac:dyDescent="0.2">
      <c r="C40" s="115">
        <v>0</v>
      </c>
      <c r="D40" s="335" t="s">
        <v>40</v>
      </c>
      <c r="E40" s="385">
        <f>_xll.qlCalendarAdvance(Calendar,SettlementDate,C40&amp;"M","mf",TRUE,Trigger)</f>
        <v>42138</v>
      </c>
      <c r="F40" s="455">
        <f>_xll.qlCalendarAdvance(Calendar,SettlementDate,D40,"mf",TRUE,Trigger)</f>
        <v>42170</v>
      </c>
      <c r="G40" s="346">
        <f>_xll.qlTenorBasisForwardRate2(G$27,$E40,$F40,InterestRatesTrigger)</f>
        <v>6.5693299212715717E-4</v>
      </c>
      <c r="H40" s="337">
        <f>_xll.qlTenorBasisForwardRate2(H$27,$E40,$F40,InterestRatesTrigger)</f>
        <v>5.987220139694327E-4</v>
      </c>
      <c r="S40" s="337">
        <f>_xll.qlTenorBasisForwardRate2(S$27,$E40,$F40,InterestRatesTrigger)</f>
        <v>7.2577168441112505E-4</v>
      </c>
      <c r="T40" s="347">
        <f>_xll.qlTenorBasisForwardRate2(T$27,$E40,$F40,InterestRatesTrigger)</f>
        <v>6.092035174695698E-4</v>
      </c>
      <c r="U40" s="346">
        <f>_xll.qlTenorBasisForwardRate2(U$27,$E40,$F40,InterestRatesTrigger)</f>
        <v>6.5060700068397814E-4</v>
      </c>
      <c r="V40" s="337">
        <f>_xll.qlTenorBasisForwardRate2(V$27,$E40,$F40,InterestRatesTrigger)</f>
        <v>5.901357410018071E-4</v>
      </c>
      <c r="W40" s="337">
        <f>_xll.qlTenorBasisForwardRate2(W$27,$E40,$F40,InterestRatesTrigger)</f>
        <v>7.2957324500744214E-4</v>
      </c>
      <c r="X40" s="347">
        <f>_xll.qlTenorBasisForwardRate2(X$27,$E40,$F40,InterestRatesTrigger)</f>
        <v>6.1786941273095364E-4</v>
      </c>
      <c r="Y40" s="346">
        <f>_xll.qlTenorBasisForwardRate2(Y$27,$E40,$F40,InterestRatesTrigger)</f>
        <v>7.1259157344599755E-4</v>
      </c>
      <c r="Z40" s="337">
        <f>_xll.qlTenorBasisForwardRate2(Z$27,$E40,$F40,InterestRatesTrigger)</f>
        <v>6.8018876868913836E-4</v>
      </c>
      <c r="AA40" s="337">
        <f>_xll.qlTenorBasisForwardRate2(AA$27,$E40,$F40,InterestRatesTrigger)</f>
        <v>7.4173960130485828E-4</v>
      </c>
      <c r="AB40" s="347">
        <f>_xll.qlTenorBasisForwardRate2(AB$27,$E40,$F40,InterestRatesTrigger)</f>
        <v>8.0786359419354747E-4</v>
      </c>
      <c r="AC40" s="347">
        <f>'6MSynthDepo_used'!AA19</f>
        <v>6.4117177903250111E-4</v>
      </c>
      <c r="BC40" s="384">
        <f>_xll.qlCalendarAdvance(Calendar,BC39,"1d","mf",,Trigger)</f>
        <v>42186</v>
      </c>
      <c r="BD40" s="154">
        <f>_xll.qlDayCounterYearFraction(DayCounter,SettlementDate,BC40,,,Trigger)</f>
        <v>0.13333333333333333</v>
      </c>
      <c r="BE40" s="166">
        <f>_xll.qlPolynomialFunctionValue(BE$1,$BD40,AllTriggers)</f>
        <v>1.7276440564972667E-3</v>
      </c>
      <c r="BF40" s="166">
        <f>_xll.qlPolynomialFunctionValue(BF$1,$BD40,AllTriggers)</f>
        <v>1.7215474167551826E-3</v>
      </c>
      <c r="BG40" s="166">
        <f>_xll.qlPolynomialFunctionValue(BG$1,$BD40,AllTriggers)</f>
        <v>1.7768466628006515E-3</v>
      </c>
      <c r="BH40" s="166">
        <f>_xll.qlPolynomialFunctionValue(BH$1,$BD40,AllTriggers)</f>
        <v>1.7261095871382508E-3</v>
      </c>
      <c r="BI40" s="166">
        <f>_xll.qlPolynomialFunctionValue(BI$1,$BD40,AllTriggers)</f>
        <v>1.724008043744212E-3</v>
      </c>
      <c r="BJ40" s="166">
        <f>_xll.qlPolynomialFunctionValue(BJ$1,$BD40,AllTriggers)</f>
        <v>1.719618090039959E-3</v>
      </c>
      <c r="BK40" s="166">
        <f>_xll.qlPolynomialFunctionValue(BK$1,$BD40,AllTriggers)</f>
        <v>1.7801204804011677E-3</v>
      </c>
      <c r="BL40" s="166">
        <f>_xll.qlPolynomialFunctionValue(BL$1,$BD40,AllTriggers)</f>
        <v>1.7316518809134813E-3</v>
      </c>
      <c r="BM40" s="166">
        <f>_xll.qlPolynomialFunctionValue(BM$1,$BD40,AllTriggers)</f>
        <v>1.7641890044718738E-3</v>
      </c>
      <c r="BN40" s="166">
        <f>_xll.qlPolynomialFunctionValue(BN$1,$BD40,AllTriggers)</f>
        <v>1.7491675884065267E-3</v>
      </c>
      <c r="BO40" s="166">
        <f>_xll.qlPolynomialFunctionValue(BO$1,$BD40,AllTriggers)</f>
        <v>1.7881292343392453E-3</v>
      </c>
      <c r="BP40" s="166">
        <f>_xll.qlPolynomialFunctionValue(BP$1,$BD40,AllTriggers)</f>
        <v>1.8259007764846497E-3</v>
      </c>
      <c r="BQ40" s="166">
        <f>_xll.qlPolynomialFunctionValue('6MSynthDepo_used'!$P$18,BD40,AllTriggers)</f>
        <v>1.7363151404794458E-3</v>
      </c>
    </row>
    <row r="41" spans="3:69" x14ac:dyDescent="0.2">
      <c r="C41" s="115">
        <v>0</v>
      </c>
      <c r="D41" s="167" t="s">
        <v>47</v>
      </c>
      <c r="E41" s="383">
        <f>_xll.qlCalendarAdvance(Calendar,SettlementDate,C41&amp;"M","mf",TRUE,Trigger)</f>
        <v>42138</v>
      </c>
      <c r="F41" s="454">
        <f>_xll.qlCalendarAdvance(Calendar,SettlementDate,D41,"mf",TRUE,Trigger)</f>
        <v>42199</v>
      </c>
      <c r="G41" s="344">
        <f>_xll.qlTenorBasisForwardRate2(G$27,$E41,$F41,InterestRatesTrigger)</f>
        <v>6.1575281492790327E-4</v>
      </c>
      <c r="H41" s="334">
        <f>_xll.qlTenorBasisForwardRate2(H$27,$E41,$F41,InterestRatesTrigger)</f>
        <v>5.8071747896830232E-4</v>
      </c>
      <c r="S41" s="334">
        <f>_xll.qlTenorBasisForwardRate2(S$27,$E41,$F41,InterestRatesTrigger)</f>
        <v>6.7558050454607143E-4</v>
      </c>
      <c r="T41" s="345">
        <f>_xll.qlTenorBasisForwardRate2(T$27,$E41,$F41,InterestRatesTrigger)</f>
        <v>5.8854359099951763E-4</v>
      </c>
      <c r="U41" s="344">
        <f>_xll.qlTenorBasisForwardRate2(U$27,$E41,$F41,InterestRatesTrigger)</f>
        <v>6.1064262698952312E-4</v>
      </c>
      <c r="V41" s="334">
        <f>_xll.qlTenorBasisForwardRate2(V$27,$E41,$F41,InterestRatesTrigger)</f>
        <v>5.7509836110221347E-4</v>
      </c>
      <c r="W41" s="334">
        <f>_xll.qlTenorBasisForwardRate2(W$27,$E41,$F41,InterestRatesTrigger)</f>
        <v>6.7912817577302426E-4</v>
      </c>
      <c r="X41" s="345">
        <f>_xll.qlTenorBasisForwardRate2(X$27,$E41,$F41,InterestRatesTrigger)</f>
        <v>5.9578951378064693E-4</v>
      </c>
      <c r="Y41" s="344">
        <f>_xll.qlTenorBasisForwardRate2(Y$27,$E41,$F41,InterestRatesTrigger)</f>
        <v>6.627082728655107E-4</v>
      </c>
      <c r="Z41" s="334">
        <f>_xll.qlTenorBasisForwardRate2(Z$27,$E41,$F41,InterestRatesTrigger)</f>
        <v>6.3811206580754456E-4</v>
      </c>
      <c r="AA41" s="334">
        <f>_xll.qlTenorBasisForwardRate2(AA$27,$E41,$F41,InterestRatesTrigger)</f>
        <v>6.8940111691864346E-4</v>
      </c>
      <c r="AB41" s="345">
        <f>_xll.qlTenorBasisForwardRate2(AB$27,$E41,$F41,InterestRatesTrigger)</f>
        <v>7.4271200904435226E-4</v>
      </c>
      <c r="AC41" s="345">
        <f>'6MSynthDepo_used'!AA20</f>
        <v>6.1080629431446178E-4</v>
      </c>
      <c r="AD41" s="117"/>
      <c r="BC41" s="384">
        <f>_xll.qlCalendarAdvance(Calendar,BC40,"1d","mf",,Trigger)</f>
        <v>42187</v>
      </c>
      <c r="BD41" s="154">
        <f>_xll.qlDayCounterYearFraction(DayCounter,SettlementDate,BC41,,,Trigger)</f>
        <v>0.1361111111111111</v>
      </c>
      <c r="BE41" s="166">
        <f>_xll.qlPolynomialFunctionValue(BE$1,$BD41,AllTriggers)</f>
        <v>1.7293696179022722E-3</v>
      </c>
      <c r="BF41" s="166">
        <f>_xll.qlPolynomialFunctionValue(BF$1,$BD41,AllTriggers)</f>
        <v>1.724540492608285E-3</v>
      </c>
      <c r="BG41" s="166">
        <f>_xll.qlPolynomialFunctionValue(BG$1,$BD41,AllTriggers)</f>
        <v>1.7779332293186001E-3</v>
      </c>
      <c r="BH41" s="166">
        <f>_xll.qlPolynomialFunctionValue(BH$1,$BD41,AllTriggers)</f>
        <v>1.7289453765716297E-3</v>
      </c>
      <c r="BI41" s="166">
        <f>_xll.qlPolynomialFunctionValue(BI$1,$BD41,AllTriggers)</f>
        <v>1.7258198105442571E-3</v>
      </c>
      <c r="BJ41" s="166">
        <f>_xll.qlPolynomialFunctionValue(BJ$1,$BD41,AllTriggers)</f>
        <v>1.722781153134465E-3</v>
      </c>
      <c r="BK41" s="166">
        <f>_xll.qlPolynomialFunctionValue(BK$1,$BD41,AllTriggers)</f>
        <v>1.781189036119664E-3</v>
      </c>
      <c r="BL41" s="166">
        <f>_xll.qlPolynomialFunctionValue(BL$1,$BD41,AllTriggers)</f>
        <v>1.7343983511494991E-3</v>
      </c>
      <c r="BM41" s="166">
        <f>_xll.qlPolynomialFunctionValue(BM$1,$BD41,AllTriggers)</f>
        <v>1.7652974416756163E-3</v>
      </c>
      <c r="BN41" s="166">
        <f>_xll.qlPolynomialFunctionValue(BN$1,$BD41,AllTriggers)</f>
        <v>1.7507515586655854E-3</v>
      </c>
      <c r="BO41" s="166">
        <f>_xll.qlPolynomialFunctionValue(BO$1,$BD41,AllTriggers)</f>
        <v>1.7890635292475291E-3</v>
      </c>
      <c r="BP41" s="166">
        <f>_xll.qlPolynomialFunctionValue(BP$1,$BD41,AllTriggers)</f>
        <v>1.8260377820963237E-3</v>
      </c>
      <c r="BQ41" s="166">
        <f>_xll.qlPolynomialFunctionValue('6MSynthDepo_used'!$P$18,BD41,AllTriggers)</f>
        <v>1.7385156374536059E-3</v>
      </c>
    </row>
    <row r="42" spans="3:69" x14ac:dyDescent="0.2">
      <c r="C42" s="115">
        <v>0</v>
      </c>
      <c r="D42" s="167" t="s">
        <v>41</v>
      </c>
      <c r="E42" s="383">
        <f>_xll.qlCalendarAdvance(Calendar,SettlementDate,C42&amp;"M","mf",TRUE,Trigger)</f>
        <v>42138</v>
      </c>
      <c r="F42" s="454">
        <f>_xll.qlCalendarAdvance(Calendar,SettlementDate,D42,"mf",TRUE,Trigger)</f>
        <v>42230</v>
      </c>
      <c r="G42" s="344">
        <f>_xll.qlTenorBasisForwardRate2(G$27,$E42,$F42,InterestRatesTrigger)</f>
        <v>5.8488698389666408E-4</v>
      </c>
      <c r="H42" s="334">
        <f>_xll.qlTenorBasisForwardRate2(H$27,$E42,$F42,InterestRatesTrigger)</f>
        <v>5.6839561896301785E-4</v>
      </c>
      <c r="S42" s="334">
        <f>_xll.qlTenorBasisForwardRate2(S$27,$E42,$F42,InterestRatesTrigger)</f>
        <v>6.3508102672662212E-4</v>
      </c>
      <c r="T42" s="345">
        <f>_xll.qlTenorBasisForwardRate2(T$27,$E42,$F42,InterestRatesTrigger)</f>
        <v>5.7389710109808604E-4</v>
      </c>
      <c r="U42" s="344">
        <f>_xll.qlTenorBasisForwardRate2(U$27,$E42,$F42,InterestRatesTrigger)</f>
        <v>5.8107658585261688E-4</v>
      </c>
      <c r="V42" s="334">
        <f>_xll.qlTenorBasisForwardRate2(V$27,$E42,$F42,InterestRatesTrigger)</f>
        <v>5.6527852977190755E-4</v>
      </c>
      <c r="W42" s="334">
        <f>_xll.qlTenorBasisForwardRate2(W$27,$E42,$F42,InterestRatesTrigger)</f>
        <v>6.3835725247557678E-4</v>
      </c>
      <c r="X42" s="345">
        <f>_xll.qlTenorBasisForwardRate2(X$27,$E42,$F42,InterestRatesTrigger)</f>
        <v>5.7981361646180824E-4</v>
      </c>
      <c r="Y42" s="344">
        <f>_xll.qlTenorBasisForwardRate2(Y$27,$E42,$F42,InterestRatesTrigger)</f>
        <v>6.2253801077812824E-4</v>
      </c>
      <c r="Z42" s="334">
        <f>_xll.qlTenorBasisForwardRate2(Z$27,$E42,$F42,InterestRatesTrigger)</f>
        <v>6.0499383256097238E-4</v>
      </c>
      <c r="AA42" s="334">
        <f>_xll.qlTenorBasisForwardRate2(AA$27,$E42,$F42,InterestRatesTrigger)</f>
        <v>6.4660593858712411E-4</v>
      </c>
      <c r="AB42" s="345">
        <f>_xll.qlTenorBasisForwardRate2(AB$27,$E42,$F42,InterestRatesTrigger)</f>
        <v>6.8806424527740023E-4</v>
      </c>
      <c r="AC42" s="345">
        <f>'6MSynthDepo_used'!AA21</f>
        <v>5.8693771579139712E-4</v>
      </c>
      <c r="AD42" s="117"/>
      <c r="BC42" s="384">
        <f>_xll.qlCalendarAdvance(Calendar,BC41,"1d","mf",,Trigger)</f>
        <v>42188</v>
      </c>
      <c r="BD42" s="154">
        <f>_xll.qlDayCounterYearFraction(DayCounter,SettlementDate,BC42,,,Trigger)</f>
        <v>0.1388888888888889</v>
      </c>
      <c r="BE42" s="166">
        <f>_xll.qlPolynomialFunctionValue(BE$1,$BD42,AllTriggers)</f>
        <v>1.7310951793072778E-3</v>
      </c>
      <c r="BF42" s="166">
        <f>_xll.qlPolynomialFunctionValue(BF$1,$BD42,AllTriggers)</f>
        <v>1.7275126178093523E-3</v>
      </c>
      <c r="BG42" s="166">
        <f>_xll.qlPolynomialFunctionValue(BG$1,$BD42,AllTriggers)</f>
        <v>1.7790197958365487E-3</v>
      </c>
      <c r="BH42" s="166">
        <f>_xll.qlPolynomialFunctionValue(BH$1,$BD42,AllTriggers)</f>
        <v>1.7317619437751688E-3</v>
      </c>
      <c r="BI42" s="166">
        <f>_xll.qlPolynomialFunctionValue(BI$1,$BD42,AllTriggers)</f>
        <v>1.7276315773443024E-3</v>
      </c>
      <c r="BJ42" s="166">
        <f>_xll.qlPolynomialFunctionValue(BJ$1,$BD42,AllTriggers)</f>
        <v>1.7259210131117409E-3</v>
      </c>
      <c r="BK42" s="166">
        <f>_xll.qlPolynomialFunctionValue(BK$1,$BD42,AllTriggers)</f>
        <v>1.7822575918381601E-3</v>
      </c>
      <c r="BL42" s="166">
        <f>_xll.qlPolynomialFunctionValue(BL$1,$BD42,AllTriggers)</f>
        <v>1.7371262333166948E-3</v>
      </c>
      <c r="BM42" s="166">
        <f>_xll.qlPolynomialFunctionValue(BM$1,$BD42,AllTriggers)</f>
        <v>1.7664058788793588E-3</v>
      </c>
      <c r="BN42" s="166">
        <f>_xll.qlPolynomialFunctionValue(BN$1,$BD42,AllTriggers)</f>
        <v>1.752331179498193E-3</v>
      </c>
      <c r="BO42" s="166">
        <f>_xll.qlPolynomialFunctionValue(BO$1,$BD42,AllTriggers)</f>
        <v>1.7899978241558126E-3</v>
      </c>
      <c r="BP42" s="166">
        <f>_xll.qlPolynomialFunctionValue(BP$1,$BD42,AllTriggers)</f>
        <v>1.8261809928548339E-3</v>
      </c>
      <c r="BQ42" s="166">
        <f>_xll.qlPolynomialFunctionValue('6MSynthDepo_used'!$P$18,BD42,AllTriggers)</f>
        <v>1.740701126241068E-3</v>
      </c>
    </row>
    <row r="43" spans="3:69" ht="11.25" customHeight="1" x14ac:dyDescent="0.2">
      <c r="C43" s="115">
        <v>0</v>
      </c>
      <c r="D43" s="167" t="s">
        <v>48</v>
      </c>
      <c r="E43" s="383">
        <f>_xll.qlCalendarAdvance(Calendar,SettlementDate,C43&amp;"M","mf",TRUE,Trigger)</f>
        <v>42138</v>
      </c>
      <c r="F43" s="454">
        <f>_xll.qlCalendarAdvance(Calendar,SettlementDate,D43,"mf",TRUE,Trigger)</f>
        <v>42261</v>
      </c>
      <c r="G43" s="344">
        <f>_xll.qlTenorBasisForwardRate2(G$27,$E43,$F43,InterestRatesTrigger)</f>
        <v>5.7713891882883153E-4</v>
      </c>
      <c r="H43" s="334">
        <f>_xll.qlTenorBasisForwardRate2(H$27,$E43,$F43,InterestRatesTrigger)</f>
        <v>5.7275282149829511E-4</v>
      </c>
      <c r="S43" s="334">
        <f>_xll.qlTenorBasisForwardRate2(S$27,$E43,$F43,InterestRatesTrigger)</f>
        <v>6.1769849029740952E-4</v>
      </c>
      <c r="T43" s="345">
        <f>_xll.qlTenorBasisForwardRate2(T$27,$E43,$F43,InterestRatesTrigger)</f>
        <v>5.7646079890309092E-4</v>
      </c>
      <c r="U43" s="344">
        <f>_xll.qlTenorBasisForwardRate2(U$27,$E43,$F43,InterestRatesTrigger)</f>
        <v>5.7462842111147749E-4</v>
      </c>
      <c r="V43" s="334">
        <f>_xll.qlTenorBasisForwardRate2(V$27,$E43,$F43,InterestRatesTrigger)</f>
        <v>5.7144556655010193E-4</v>
      </c>
      <c r="W43" s="334">
        <f>_xll.qlTenorBasisForwardRate2(W$27,$E43,$F43,InterestRatesTrigger)</f>
        <v>6.2070324723108273E-4</v>
      </c>
      <c r="X43" s="345">
        <f>_xll.qlTenorBasisForwardRate2(X$27,$E43,$F43,InterestRatesTrigger)</f>
        <v>5.8124274364766183E-4</v>
      </c>
      <c r="Y43" s="344">
        <f>_xll.qlTenorBasisForwardRate2(Y$27,$E43,$F43,InterestRatesTrigger)</f>
        <v>6.054847096614315E-4</v>
      </c>
      <c r="Z43" s="334">
        <f>_xll.qlTenorBasisForwardRate2(Z$27,$E43,$F43,InterestRatesTrigger)</f>
        <v>5.9365614051937589E-4</v>
      </c>
      <c r="AA43" s="334">
        <f>_xll.qlTenorBasisForwardRate2(AA$27,$E43,$F43,InterestRatesTrigger)</f>
        <v>6.269274873410693E-4</v>
      </c>
      <c r="AB43" s="345">
        <f>_xll.qlTenorBasisForwardRate2(AB$27,$E43,$F43,InterestRatesTrigger)</f>
        <v>6.584395981792065E-4</v>
      </c>
      <c r="AC43" s="345">
        <f>'6MSynthDepo_used'!AA22</f>
        <v>5.8207242480915931E-4</v>
      </c>
      <c r="AD43" s="117"/>
      <c r="BC43" s="384">
        <f>_xll.qlCalendarAdvance(Calendar,BC42,"1d","mf",,Trigger)</f>
        <v>42191</v>
      </c>
      <c r="BD43" s="154">
        <f>_xll.qlDayCounterYearFraction(DayCounter,SettlementDate,BC43,,,Trigger)</f>
        <v>0.14722222222222223</v>
      </c>
      <c r="BE43" s="166">
        <f>_xll.qlPolynomialFunctionValue(BE$1,$BD43,AllTriggers)</f>
        <v>1.7362718635222946E-3</v>
      </c>
      <c r="BF43" s="166">
        <f>_xll.qlPolynomialFunctionValue(BF$1,$BD43,AllTriggers)</f>
        <v>1.7363032895003469E-3</v>
      </c>
      <c r="BG43" s="166">
        <f>_xll.qlPolynomialFunctionValue(BG$1,$BD43,AllTriggers)</f>
        <v>1.7822794953903946E-3</v>
      </c>
      <c r="BH43" s="166">
        <f>_xll.qlPolynomialFunctionValue(BH$1,$BD43,AllTriggers)</f>
        <v>1.7400963120067466E-3</v>
      </c>
      <c r="BI43" s="166">
        <f>_xll.qlPolynomialFunctionValue(BI$1,$BD43,AllTriggers)</f>
        <v>1.733066877744438E-3</v>
      </c>
      <c r="BJ43" s="166">
        <f>_xll.qlPolynomialFunctionValue(BJ$1,$BD43,AllTriggers)</f>
        <v>1.7352013743401834E-3</v>
      </c>
      <c r="BK43" s="166">
        <f>_xll.qlPolynomialFunctionValue(BK$1,$BD43,AllTriggers)</f>
        <v>1.7854632589936487E-3</v>
      </c>
      <c r="BL43" s="166">
        <f>_xll.qlPolynomialFunctionValue(BL$1,$BD43,AllTriggers)</f>
        <v>1.7451983514053518E-3</v>
      </c>
      <c r="BM43" s="166">
        <f>_xll.qlPolynomialFunctionValue(BM$1,$BD43,AllTriggers)</f>
        <v>1.7697311904905863E-3</v>
      </c>
      <c r="BN43" s="166">
        <f>_xll.qlPolynomialFunctionValue(BN$1,$BD43,AllTriggers)</f>
        <v>1.7570439454373116E-3</v>
      </c>
      <c r="BO43" s="166">
        <f>_xll.qlPolynomialFunctionValue(BO$1,$BD43,AllTriggers)</f>
        <v>1.7928007088806636E-3</v>
      </c>
      <c r="BP43" s="166">
        <f>_xll.qlPolynomialFunctionValue(BP$1,$BD43,AllTriggers)</f>
        <v>1.8266478560113831E-3</v>
      </c>
      <c r="BQ43" s="166">
        <f>_xll.qlPolynomialFunctionValue('6MSynthDepo_used'!$P$18,BD43,AllTriggers)</f>
        <v>1.7471684429203652E-3</v>
      </c>
    </row>
    <row r="44" spans="3:69" x14ac:dyDescent="0.2">
      <c r="C44" s="115">
        <v>0</v>
      </c>
      <c r="D44" s="171" t="s">
        <v>49</v>
      </c>
      <c r="E44" s="387">
        <f>_xll.qlCalendarAdvance(Calendar,SettlementDate,C44&amp;"M","mf",TRUE,Trigger)</f>
        <v>42138</v>
      </c>
      <c r="F44" s="456">
        <f>_xll.qlCalendarAdvance(Calendar,SettlementDate,D44,"mf",TRUE,Trigger)</f>
        <v>42291</v>
      </c>
      <c r="G44" s="348">
        <f>_xll.qlTenorBasisForwardRate2(G$27,$E44,$F44,InterestRatesTrigger)</f>
        <v>6.1141925603776486E-4</v>
      </c>
      <c r="H44" s="321">
        <f>_xll.qlTenorBasisForwardRate2(H$27,$E44,$F44,InterestRatesTrigger)</f>
        <v>6.1261665969634374E-4</v>
      </c>
      <c r="S44" s="321">
        <f>_xll.qlTenorBasisForwardRate2(S$27,$E44,$F44,InterestRatesTrigger)</f>
        <v>6.4265475070487477E-4</v>
      </c>
      <c r="T44" s="349">
        <f>_xll.qlTenorBasisForwardRate2(T$27,$E44,$F44,InterestRatesTrigger)</f>
        <v>6.1509477823495267E-4</v>
      </c>
      <c r="U44" s="348">
        <f>_xll.qlTenorBasisForwardRate2(U$27,$E44,$F44,InterestRatesTrigger)</f>
        <v>6.1016682385888333E-4</v>
      </c>
      <c r="V44" s="321">
        <f>_xll.qlTenorBasisForwardRate2(V$27,$E44,$F44,InterestRatesTrigger)</f>
        <v>6.1240171318607979E-4</v>
      </c>
      <c r="W44" s="321">
        <f>_xll.qlTenorBasisForwardRate2(W$27,$E44,$F44,InterestRatesTrigger)</f>
        <v>6.4539681142296876E-4</v>
      </c>
      <c r="X44" s="349">
        <f>_xll.qlTenorBasisForwardRate2(X$27,$E44,$F44,InterestRatesTrigger)</f>
        <v>6.1896432798590282E-4</v>
      </c>
      <c r="Y44" s="348">
        <f>_xll.qlTenorBasisForwardRate2(Y$27,$E44,$F44,InterestRatesTrigger)</f>
        <v>6.3075943762052841E-4</v>
      </c>
      <c r="Z44" s="321">
        <f>_xll.qlTenorBasisForwardRate2(Z$27,$E44,$F44,InterestRatesTrigger)</f>
        <v>6.231893892383976E-4</v>
      </c>
      <c r="AA44" s="321">
        <f>_xll.qlTenorBasisForwardRate2(AA$27,$E44,$F44,InterestRatesTrigger)</f>
        <v>6.4966178420366354E-4</v>
      </c>
      <c r="AB44" s="349">
        <f>_xll.qlTenorBasisForwardRate2(AB$27,$E44,$F44,InterestRatesTrigger)</f>
        <v>6.7336428787847906E-4</v>
      </c>
      <c r="AC44" s="349">
        <f>'6MSynthDepo_used'!AA23</f>
        <v>6.1576345604402402E-4</v>
      </c>
      <c r="AD44" s="338" t="str">
        <f>"Fixing "&amp;DAY(_xll.qlInterestRateIndexFixingDate($D$25,'6MSynthDepo_used'!G4))&amp;"/"&amp;MONTH(_xll.qlInterestRateIndexFixingDate($D$25,'6MSynthDepo_used'!G4))</f>
        <v>Fixing 12/5</v>
      </c>
      <c r="BC44" s="384">
        <f>_xll.qlCalendarAdvance(Calendar,BC43,"1d","mf",,Trigger)</f>
        <v>42192</v>
      </c>
      <c r="BD44" s="154">
        <f>_xll.qlDayCounterYearFraction(DayCounter,SettlementDate,BC44,,,Trigger)</f>
        <v>0.15</v>
      </c>
      <c r="BE44" s="166">
        <f>_xll.qlPolynomialFunctionValue(BE$1,$BD44,AllTriggers)</f>
        <v>1.7379974249273002E-3</v>
      </c>
      <c r="BF44" s="166">
        <f>_xll.qlPolynomialFunctionValue(BF$1,$BD44,AllTriggers)</f>
        <v>1.7391916120932758E-3</v>
      </c>
      <c r="BG44" s="166">
        <f>_xll.qlPolynomialFunctionValue(BG$1,$BD44,AllTriggers)</f>
        <v>1.7833660619083432E-3</v>
      </c>
      <c r="BH44" s="166">
        <f>_xll.qlPolynomialFunctionValue(BH$1,$BD44,AllTriggers)</f>
        <v>1.7428359902909262E-3</v>
      </c>
      <c r="BI44" s="166">
        <f>_xll.qlPolynomialFunctionValue(BI$1,$BD44,AllTriggers)</f>
        <v>1.7348786445444834E-3</v>
      </c>
      <c r="BJ44" s="166">
        <f>_xll.qlPolynomialFunctionValue(BJ$1,$BD44,AllTriggers)</f>
        <v>1.7382484218485363E-3</v>
      </c>
      <c r="BK44" s="166">
        <f>_xll.qlPolynomialFunctionValue(BK$1,$BD44,AllTriggers)</f>
        <v>1.7865318147121448E-3</v>
      </c>
      <c r="BL44" s="166">
        <f>_xll.qlPolynomialFunctionValue(BL$1,$BD44,AllTriggers)</f>
        <v>1.7478518812972601E-3</v>
      </c>
      <c r="BM44" s="166">
        <f>_xll.qlPolynomialFunctionValue(BM$1,$BD44,AllTriggers)</f>
        <v>1.7708396276943288E-3</v>
      </c>
      <c r="BN44" s="166">
        <f>_xll.qlPolynomialFunctionValue(BN$1,$BD44,AllTriggers)</f>
        <v>1.7586061685641162E-3</v>
      </c>
      <c r="BO44" s="166">
        <f>_xll.qlPolynomialFunctionValue(BO$1,$BD44,AllTriggers)</f>
        <v>1.7937350037889473E-3</v>
      </c>
      <c r="BP44" s="166">
        <f>_xll.qlPolynomialFunctionValue(BP$1,$BD44,AllTriggers)</f>
        <v>1.8268158873572392E-3</v>
      </c>
      <c r="BQ44" s="166">
        <f>_xll.qlPolynomialFunctionValue('6MSynthDepo_used'!$P$18,BD44,AllTriggers)</f>
        <v>1.7492947971300772E-3</v>
      </c>
    </row>
    <row r="45" spans="3:69" ht="12" thickBot="1" x14ac:dyDescent="0.25">
      <c r="C45" s="115">
        <v>0</v>
      </c>
      <c r="D45" s="333" t="s">
        <v>42</v>
      </c>
      <c r="E45" s="389">
        <f>_xll.qlCalendarAdvance(Calendar,SettlementDate,C45&amp;"M","mf",TRUE,Trigger)</f>
        <v>42138</v>
      </c>
      <c r="F45" s="457">
        <f>_xll.qlCalendarAdvance(Calendar,SettlementDate,D45,"mf",TRUE,Trigger)</f>
        <v>42324</v>
      </c>
      <c r="G45" s="350">
        <f>_xll.qlTenorBasisForwardRate2(G$27,$E45,$F45,InterestRatesTrigger)</f>
        <v>6.149016654904433E-4</v>
      </c>
      <c r="H45" s="351">
        <f>_xll.qlTenorBasisForwardRate(H$27,$E45,InterestRatesTrigger)</f>
        <v>6.1527429970210251E-4</v>
      </c>
      <c r="S45" s="351">
        <f>_xll.qlTenorBasisForwardRate(S$27,$E45,InterestRatesTrigger)</f>
        <v>6.3587908097254453E-4</v>
      </c>
      <c r="T45" s="352">
        <f>_xll.qlTenorBasisForwardRate(T$27,$E45,InterestRatesTrigger)</f>
        <v>6.1697417936837807E-4</v>
      </c>
      <c r="U45" s="351">
        <f>_xll.qlTenorBasisForwardRate(U$27,$E45,InterestRatesTrigger)</f>
        <v>6.1503328652021746E-4</v>
      </c>
      <c r="V45" s="351">
        <f>_xll.qlTenorBasisForwardRate(V$27,$E45,InterestRatesTrigger)</f>
        <v>6.1551196239163092E-4</v>
      </c>
      <c r="W45" s="351">
        <f>_xll.qlTenorBasisForwardRate(W$27,$E45,InterestRatesTrigger)</f>
        <v>6.3833210647440939E-4</v>
      </c>
      <c r="X45" s="352">
        <f>_xll.qlTenorBasisForwardRate(X$27,$E45,InterestRatesTrigger)</f>
        <v>6.200508168641149E-4</v>
      </c>
      <c r="Y45" s="350">
        <f>_xll.qlTenorBasisTenorForwardRate(Y$27,$E45,InterestRatesTrigger)</f>
        <v>6.5082633081166037E-4</v>
      </c>
      <c r="Z45" s="351">
        <f>_xll.qlTenorBasisTenorForwardRate(Z$27,$E45,InterestRatesTrigger)</f>
        <v>6.4662827182044159E-4</v>
      </c>
      <c r="AA45" s="351">
        <f>_xll.qlTenorBasisTenorForwardRate(AA$27,$E45,InterestRatesTrigger)</f>
        <v>6.6693015738338436E-4</v>
      </c>
      <c r="AB45" s="352">
        <f>_xll.qlTenorBasisTenorForwardRate(AB$27,$E45,InterestRatesTrigger)</f>
        <v>6.8391149571400494E-4</v>
      </c>
      <c r="AC45" s="352">
        <f>'6MSynthDepo_used'!AA24</f>
        <v>6.1533538085600077E-4</v>
      </c>
      <c r="AD45" s="350">
        <f>'6MSynthDepo_used'!$I$4</f>
        <v>6.0999999999999997E-4</v>
      </c>
      <c r="BC45" s="384">
        <f>_xll.qlCalendarAdvance(Calendar,BC44,"1d","mf",,Trigger)</f>
        <v>42193</v>
      </c>
      <c r="BD45" s="154">
        <f>_xll.qlDayCounterYearFraction(DayCounter,SettlementDate,BC45,,,Trigger)</f>
        <v>0.15277777777777779</v>
      </c>
      <c r="BE45" s="166">
        <f>_xll.qlPolynomialFunctionValue(BE$1,$BD45,AllTriggers)</f>
        <v>1.7397229863323057E-3</v>
      </c>
      <c r="BF45" s="166">
        <f>_xll.qlPolynomialFunctionValue(BF$1,$BD45,AllTriggers)</f>
        <v>1.7420589840341698E-3</v>
      </c>
      <c r="BG45" s="166">
        <f>_xll.qlPolynomialFunctionValue(BG$1,$BD45,AllTriggers)</f>
        <v>1.7844526284262919E-3</v>
      </c>
      <c r="BH45" s="166">
        <f>_xll.qlPolynomialFunctionValue(BH$1,$BD45,AllTriggers)</f>
        <v>1.7455564463452658E-3</v>
      </c>
      <c r="BI45" s="166">
        <f>_xll.qlPolynomialFunctionValue(BI$1,$BD45,AllTriggers)</f>
        <v>1.7366904113445287E-3</v>
      </c>
      <c r="BJ45" s="166">
        <f>_xll.qlPolynomialFunctionValue(BJ$1,$BD45,AllTriggers)</f>
        <v>1.7412722662396584E-3</v>
      </c>
      <c r="BK45" s="166">
        <f>_xll.qlPolynomialFunctionValue(BK$1,$BD45,AllTriggers)</f>
        <v>1.7876003704306411E-3</v>
      </c>
      <c r="BL45" s="166">
        <f>_xll.qlPolynomialFunctionValue(BL$1,$BD45,AllTriggers)</f>
        <v>1.7504868231203467E-3</v>
      </c>
      <c r="BM45" s="166">
        <f>_xll.qlPolynomialFunctionValue(BM$1,$BD45,AllTriggers)</f>
        <v>1.7719480648980713E-3</v>
      </c>
      <c r="BN45" s="166">
        <f>_xll.qlPolynomialFunctionValue(BN$1,$BD45,AllTriggers)</f>
        <v>1.7601640422644702E-3</v>
      </c>
      <c r="BO45" s="166">
        <f>_xll.qlPolynomialFunctionValue(BO$1,$BD45,AllTriggers)</f>
        <v>1.7946692986972311E-3</v>
      </c>
      <c r="BP45" s="166">
        <f>_xll.qlPolynomialFunctionValue(BP$1,$BD45,AllTriggers)</f>
        <v>1.8269901238499315E-3</v>
      </c>
      <c r="BQ45" s="166">
        <f>_xll.qlPolynomialFunctionValue('6MSynthDepo_used'!$P$18,BD45,AllTriggers)</f>
        <v>1.7514065909695544E-3</v>
      </c>
    </row>
    <row r="46" spans="3:69" x14ac:dyDescent="0.2">
      <c r="C46" s="115">
        <v>1</v>
      </c>
      <c r="D46" s="161" t="str">
        <f>C46+SUBSTITUTE($D$24,"M","")&amp;"M"</f>
        <v>7M</v>
      </c>
      <c r="E46" s="381">
        <f>_xll.qlCalendarAdvance(Calendar,SettlementDate,C46&amp;"M","mf",TRUE,Trigger)</f>
        <v>42170</v>
      </c>
      <c r="F46" s="458">
        <f>_xll.qlCalendarAdvance(Calendar,SettlementDate,D46,"mf",TRUE,Trigger)</f>
        <v>42352</v>
      </c>
      <c r="G46" s="359">
        <f>_xll.qlTenorBasisForwardRate2(G$27,$E46,$F46,InterestRatesTrigger)</f>
        <v>5.9864523332443147E-4</v>
      </c>
      <c r="H46" s="357">
        <f>_xll.qlTenorBasisTenorForwardRate(H$27,$E46,InterestRatesTrigger)</f>
        <v>6.2938851818249413E-4</v>
      </c>
      <c r="S46" s="357">
        <f>_xll.qlTenorBasisTenorForwardRate(S$27,$E46,InterestRatesTrigger)</f>
        <v>6.2952369686884507E-4</v>
      </c>
      <c r="T46" s="358">
        <f>_xll.qlTenorBasisTenorForwardRate(T$27,$E46,InterestRatesTrigger)</f>
        <v>6.2939967038154595E-4</v>
      </c>
      <c r="U46" s="357">
        <f>_xll.qlTenorBasisTenorForwardRate(U$27,$E46,InterestRatesTrigger)</f>
        <v>6.322076035197746E-4</v>
      </c>
      <c r="V46" s="357">
        <f>_xll.qlTenorBasisTenorForwardRate(V$27,$E46,InterestRatesTrigger)</f>
        <v>6.3071137066724532E-4</v>
      </c>
      <c r="W46" s="357">
        <f>_xll.qlTenorBasisTenorForwardRate(W$27,$E46,InterestRatesTrigger)</f>
        <v>6.3141857805648822E-4</v>
      </c>
      <c r="X46" s="358">
        <f>_xll.qlTenorBasisTenorForwardRate(X$27,$E46,InterestRatesTrigger)</f>
        <v>6.3085203264398766E-4</v>
      </c>
      <c r="Y46" s="359">
        <f>_xll.qlTenorBasisTenorForwardRate(Y$27,$E46,InterestRatesTrigger)</f>
        <v>6.1854049419625824E-4</v>
      </c>
      <c r="Z46" s="357">
        <f>_xll.qlTenorBasisTenorForwardRate(Z$27,$E46,InterestRatesTrigger)</f>
        <v>6.2107598737485095E-4</v>
      </c>
      <c r="AA46" s="357">
        <f>_xll.qlTenorBasisTenorForwardRate(AA$27,$E46,InterestRatesTrigger)</f>
        <v>6.2914810366199387E-4</v>
      </c>
      <c r="AB46" s="357">
        <f>_xll.qlTenorBasisTenorForwardRate(AB$27,$E46,InterestRatesTrigger)</f>
        <v>6.3277135670874183E-4</v>
      </c>
      <c r="AC46" s="358">
        <f>'6MSynthDepo_used'!AA25</f>
        <v>6.2399286683739014E-4</v>
      </c>
      <c r="AD46" s="406">
        <f>'6MSynthDepo_used'!I5</f>
        <v>6.3000000000000003E-4</v>
      </c>
      <c r="BC46" s="384">
        <f>_xll.qlCalendarAdvance(Calendar,BC45,"1d","mf",,Trigger)</f>
        <v>42194</v>
      </c>
      <c r="BD46" s="154">
        <f>_xll.qlDayCounterYearFraction(DayCounter,SettlementDate,BC46,,,Trigger)</f>
        <v>0.15555555555555556</v>
      </c>
      <c r="BE46" s="166">
        <f>_xll.qlPolynomialFunctionValue(BE$1,$BD46,AllTriggers)</f>
        <v>1.7414485477373113E-3</v>
      </c>
      <c r="BF46" s="166">
        <f>_xll.qlPolynomialFunctionValue(BF$1,$BD46,AllTriggers)</f>
        <v>1.7449054053230294E-3</v>
      </c>
      <c r="BG46" s="166">
        <f>_xll.qlPolynomialFunctionValue(BG$1,$BD46,AllTriggers)</f>
        <v>1.7855391949442405E-3</v>
      </c>
      <c r="BH46" s="166">
        <f>_xll.qlPolynomialFunctionValue(BH$1,$BD46,AllTriggers)</f>
        <v>1.7482576801697654E-3</v>
      </c>
      <c r="BI46" s="166">
        <f>_xll.qlPolynomialFunctionValue(BI$1,$BD46,AllTriggers)</f>
        <v>1.7385021781445738E-3</v>
      </c>
      <c r="BJ46" s="166">
        <f>_xll.qlPolynomialFunctionValue(BJ$1,$BD46,AllTriggers)</f>
        <v>1.7442729075135498E-3</v>
      </c>
      <c r="BK46" s="166">
        <f>_xll.qlPolynomialFunctionValue(BK$1,$BD46,AllTriggers)</f>
        <v>1.7886689261491372E-3</v>
      </c>
      <c r="BL46" s="166">
        <f>_xll.qlPolynomialFunctionValue(BL$1,$BD46,AllTriggers)</f>
        <v>1.7531031768746115E-3</v>
      </c>
      <c r="BM46" s="166">
        <f>_xll.qlPolynomialFunctionValue(BM$1,$BD46,AllTriggers)</f>
        <v>1.7730565021018138E-3</v>
      </c>
      <c r="BN46" s="166">
        <f>_xll.qlPolynomialFunctionValue(BN$1,$BD46,AllTriggers)</f>
        <v>1.7617175665383732E-3</v>
      </c>
      <c r="BO46" s="166">
        <f>_xll.qlPolynomialFunctionValue(BO$1,$BD46,AllTriggers)</f>
        <v>1.7956035936055146E-3</v>
      </c>
      <c r="BP46" s="166">
        <f>_xll.qlPolynomialFunctionValue(BP$1,$BD46,AllTriggers)</f>
        <v>1.8271705654894601E-3</v>
      </c>
      <c r="BQ46" s="166">
        <f>_xll.qlPolynomialFunctionValue('6MSynthDepo_used'!$P$18,BD46,AllTriggers)</f>
        <v>1.7535039132412541E-3</v>
      </c>
    </row>
    <row r="47" spans="3:69" x14ac:dyDescent="0.2">
      <c r="C47" s="115">
        <v>2</v>
      </c>
      <c r="D47" s="167" t="str">
        <f>C47+SUBSTITUTE($D$24,"M","")&amp;"M"</f>
        <v>8M</v>
      </c>
      <c r="E47" s="383">
        <f>_xll.qlCalendarAdvance(Calendar,SettlementDate,C47&amp;"M","mf",TRUE,Trigger)</f>
        <v>42199</v>
      </c>
      <c r="F47" s="459">
        <f>_xll.qlCalendarAdvance(Calendar,SettlementDate,D47,"mf",TRUE,Trigger)</f>
        <v>42383</v>
      </c>
      <c r="G47" s="361">
        <f>_xll.qlTenorBasisForwardRate2(G$27,$E47,$F47,InterestRatesTrigger)</f>
        <v>6.2678952374024648E-4</v>
      </c>
      <c r="H47" s="166">
        <f>_xll.qlTenorBasisTenorForwardRate(H$27,$E47,InterestRatesTrigger)</f>
        <v>6.3933857999312442E-4</v>
      </c>
      <c r="S47" s="166">
        <f>_xll.qlTenorBasisTenorForwardRate(S$27,$E47,InterestRatesTrigger)</f>
        <v>6.3909204715623569E-4</v>
      </c>
      <c r="T47" s="360">
        <f>_xll.qlTenorBasisTenorForwardRate(T$27,$E47,InterestRatesTrigger)</f>
        <v>6.3931824111172482E-4</v>
      </c>
      <c r="U47" s="166">
        <f>_xll.qlTenorBasisTenorForwardRate(U$27,$E47,InterestRatesTrigger)</f>
        <v>6.6251866872521601E-4</v>
      </c>
      <c r="V47" s="166">
        <f>_xll.qlTenorBasisTenorForwardRate(V$27,$E47,InterestRatesTrigger)</f>
        <v>6.3970174471760888E-4</v>
      </c>
      <c r="W47" s="166">
        <f>_xll.qlTenorBasisTenorForwardRate(W$27,$E47,InterestRatesTrigger)</f>
        <v>6.4047177013488261E-4</v>
      </c>
      <c r="X47" s="360">
        <f>_xll.qlTenorBasisTenorForwardRate(X$27,$E47,InterestRatesTrigger)</f>
        <v>6.3985490106040406E-4</v>
      </c>
      <c r="Y47" s="361">
        <f>_xll.qlTenorBasisTenorForwardRate(Y$27,$E47,InterestRatesTrigger)</f>
        <v>6.2873440601704045E-4</v>
      </c>
      <c r="Z47" s="166">
        <f>_xll.qlTenorBasisTenorForwardRate(Z$27,$E47,InterestRatesTrigger)</f>
        <v>6.3362979035700611E-4</v>
      </c>
      <c r="AA47" s="166">
        <f>_xll.qlTenorBasisTenorForwardRate(AA$27,$E47,InterestRatesTrigger)</f>
        <v>6.3436106873047396E-4</v>
      </c>
      <c r="AB47" s="166">
        <f>_xll.qlTenorBasisTenorForwardRate(AB$27,$E47,InterestRatesTrigger)</f>
        <v>6.3121767072885256E-4</v>
      </c>
      <c r="AC47" s="360">
        <f>'6MSynthDepo_used'!AA26</f>
        <v>6.3901610245792394E-4</v>
      </c>
      <c r="AD47" s="406">
        <f>'6MSynthDepo_used'!I6</f>
        <v>6.4000000000000005E-4</v>
      </c>
      <c r="BC47" s="384">
        <f>_xll.qlCalendarAdvance(Calendar,BC46,"1d","mf",,Trigger)</f>
        <v>42195</v>
      </c>
      <c r="BD47" s="154">
        <f>_xll.qlDayCounterYearFraction(DayCounter,SettlementDate,BC47,,,Trigger)</f>
        <v>0.15833333333333333</v>
      </c>
      <c r="BE47" s="166">
        <f>_xll.qlPolynomialFunctionValue(BE$1,$BD47,AllTriggers)</f>
        <v>1.7431741091423168E-3</v>
      </c>
      <c r="BF47" s="166">
        <f>_xll.qlPolynomialFunctionValue(BF$1,$BD47,AllTriggers)</f>
        <v>1.7477308759598542E-3</v>
      </c>
      <c r="BG47" s="166">
        <f>_xll.qlPolynomialFunctionValue(BG$1,$BD47,AllTriggers)</f>
        <v>1.7866257614621891E-3</v>
      </c>
      <c r="BH47" s="166">
        <f>_xll.qlPolynomialFunctionValue(BH$1,$BD47,AllTriggers)</f>
        <v>1.750939691764425E-3</v>
      </c>
      <c r="BI47" s="166">
        <f>_xll.qlPolynomialFunctionValue(BI$1,$BD47,AllTriggers)</f>
        <v>1.7403139449446191E-3</v>
      </c>
      <c r="BJ47" s="166">
        <f>_xll.qlPolynomialFunctionValue(BJ$1,$BD47,AllTriggers)</f>
        <v>1.7472503456702104E-3</v>
      </c>
      <c r="BK47" s="166">
        <f>_xll.qlPolynomialFunctionValue(BK$1,$BD47,AllTriggers)</f>
        <v>1.7897374818676335E-3</v>
      </c>
      <c r="BL47" s="166">
        <f>_xll.qlPolynomialFunctionValue(BL$1,$BD47,AllTriggers)</f>
        <v>1.7557009425600543E-3</v>
      </c>
      <c r="BM47" s="166">
        <f>_xll.qlPolynomialFunctionValue(BM$1,$BD47,AllTriggers)</f>
        <v>1.7741649393055562E-3</v>
      </c>
      <c r="BN47" s="166">
        <f>_xll.qlPolynomialFunctionValue(BN$1,$BD47,AllTriggers)</f>
        <v>1.7632667413858254E-3</v>
      </c>
      <c r="BO47" s="166">
        <f>_xll.qlPolynomialFunctionValue(BO$1,$BD47,AllTriggers)</f>
        <v>1.7965378885137983E-3</v>
      </c>
      <c r="BP47" s="166">
        <f>_xll.qlPolynomialFunctionValue(BP$1,$BD47,AllTriggers)</f>
        <v>1.8273572122758249E-3</v>
      </c>
      <c r="BQ47" s="166">
        <f>_xll.qlPolynomialFunctionValue('6MSynthDepo_used'!$P$18,BD47,AllTriggers)</f>
        <v>1.7555868524940232E-3</v>
      </c>
    </row>
    <row r="48" spans="3:69" x14ac:dyDescent="0.2">
      <c r="C48" s="115">
        <v>3</v>
      </c>
      <c r="D48" s="167" t="str">
        <f>C48+SUBSTITUTE($D$24,"M","")&amp;"M"</f>
        <v>9M</v>
      </c>
      <c r="E48" s="383">
        <f>_xll.qlCalendarAdvance(Calendar,SettlementDate,C48&amp;"M","mf",TRUE,Trigger)</f>
        <v>42230</v>
      </c>
      <c r="F48" s="459">
        <f>_xll.qlCalendarAdvance(Calendar,SettlementDate,D48,"mf",TRUE,Trigger)</f>
        <v>42415</v>
      </c>
      <c r="G48" s="361">
        <f>_xll.qlTenorBasisForwardRate2(G$27,$E48,$F48,InterestRatesTrigger)</f>
        <v>6.6385925100936134E-4</v>
      </c>
      <c r="H48" s="166">
        <f>_xll.qlTenorBasisTenorForwardRate(H$27,$E48,InterestRatesTrigger)</f>
        <v>6.3820792004295828E-4</v>
      </c>
      <c r="S48" s="166">
        <f>_xll.qlTenorBasisTenorForwardRate(S$27,$E48,InterestRatesTrigger)</f>
        <v>6.5650730224903111E-4</v>
      </c>
      <c r="T48" s="360">
        <f>_xll.qlTenorBasisTenorForwardRate(T$27,$E48,InterestRatesTrigger)</f>
        <v>6.3971761331184309E-4</v>
      </c>
      <c r="U48" s="166">
        <f>_xll.qlTenorBasisTenorForwardRate(U$27,$E48,InterestRatesTrigger)</f>
        <v>7.0210717079937615E-4</v>
      </c>
      <c r="V48" s="166">
        <f>_xll.qlTenorBasisTenorForwardRate(V$27,$E48,InterestRatesTrigger)</f>
        <v>6.3550741749802096E-4</v>
      </c>
      <c r="W48" s="166">
        <f>_xll.qlTenorBasisTenorForwardRate(W$27,$E48,InterestRatesTrigger)</f>
        <v>6.5733633886633745E-4</v>
      </c>
      <c r="X48" s="360">
        <f>_xll.qlTenorBasisTenorForwardRate(X$27,$E48,InterestRatesTrigger)</f>
        <v>6.3984914140631293E-4</v>
      </c>
      <c r="Y48" s="361">
        <f>_xll.qlTenorBasisTenorForwardRate(Y$27,$E48,InterestRatesTrigger)</f>
        <v>6.4681836481794426E-4</v>
      </c>
      <c r="Z48" s="166">
        <f>_xll.qlTenorBasisTenorForwardRate(Z$27,$E48,InterestRatesTrigger)</f>
        <v>6.5030148678938055E-4</v>
      </c>
      <c r="AA48" s="166">
        <f>_xll.qlTenorBasisTenorForwardRate(AA$27,$E48,InterestRatesTrigger)</f>
        <v>6.4712056720995169E-4</v>
      </c>
      <c r="AB48" s="166">
        <f>_xll.qlTenorBasisTenorForwardRate(AB$27,$E48,InterestRatesTrigger)</f>
        <v>6.4235761828927685E-4</v>
      </c>
      <c r="AC48" s="360">
        <f>'6MSynthDepo_used'!AA27</f>
        <v>6.556302157545075E-4</v>
      </c>
      <c r="AD48" s="406">
        <f>'6MSynthDepo_used'!I7</f>
        <v>6.4000000000000005E-4</v>
      </c>
      <c r="BC48" s="384">
        <f>_xll.qlCalendarAdvance(Calendar,BC47,"1d","mf",,Trigger)</f>
        <v>42198</v>
      </c>
      <c r="BD48" s="154">
        <f>_xll.qlDayCounterYearFraction(DayCounter,SettlementDate,BC48,,,Trigger)</f>
        <v>0.16666666666666666</v>
      </c>
      <c r="BE48" s="166">
        <f>_xll.qlPolynomialFunctionValue(BE$1,$BD48,AllTriggers)</f>
        <v>1.7483507933573335E-3</v>
      </c>
      <c r="BF48" s="166">
        <f>_xll.qlPolynomialFunctionValue(BF$1,$BD48,AllTriggers)</f>
        <v>1.7560815839581211E-3</v>
      </c>
      <c r="BG48" s="166">
        <f>_xll.qlPolynomialFunctionValue(BG$1,$BD48,AllTriggers)</f>
        <v>1.789885461016035E-3</v>
      </c>
      <c r="BH48" s="166">
        <f>_xll.qlPolynomialFunctionValue(BH$1,$BD48,AllTriggers)</f>
        <v>1.758870393169365E-3</v>
      </c>
      <c r="BI48" s="166">
        <f>_xll.qlPolynomialFunctionValue(BI$1,$BD48,AllTriggers)</f>
        <v>1.7457492453447547E-3</v>
      </c>
      <c r="BJ48" s="166">
        <f>_xll.qlPolynomialFunctionValue(BJ$1,$BD48,AllTriggers)</f>
        <v>1.756043441436808E-3</v>
      </c>
      <c r="BK48" s="166">
        <f>_xll.qlPolynomialFunctionValue(BK$1,$BD48,AllTriggers)</f>
        <v>1.7929431490231219E-3</v>
      </c>
      <c r="BL48" s="166">
        <f>_xll.qlPolynomialFunctionValue(BL$1,$BD48,AllTriggers)</f>
        <v>1.763382711203452E-3</v>
      </c>
      <c r="BM48" s="166">
        <f>_xll.qlPolynomialFunctionValue(BM$1,$BD48,AllTriggers)</f>
        <v>1.7774902509167837E-3</v>
      </c>
      <c r="BN48" s="166">
        <f>_xll.qlPolynomialFunctionValue(BN$1,$BD48,AllTriggers)</f>
        <v>1.7678881693694777E-3</v>
      </c>
      <c r="BO48" s="166">
        <f>_xll.qlPolynomialFunctionValue(BO$1,$BD48,AllTriggers)</f>
        <v>1.7993407732386493E-3</v>
      </c>
      <c r="BP48" s="166">
        <f>_xll.qlPolynomialFunctionValue(BP$1,$BD48,AllTriggers)</f>
        <v>1.8279543835159381E-3</v>
      </c>
      <c r="BQ48" s="166">
        <f>_xll.qlPolynomialFunctionValue('6MSynthDepo_used'!$P$18,BD48,AllTriggers)</f>
        <v>1.7617502538230297E-3</v>
      </c>
    </row>
    <row r="49" spans="3:69" x14ac:dyDescent="0.2">
      <c r="C49" s="115">
        <v>4</v>
      </c>
      <c r="D49" s="167" t="str">
        <f>C49+SUBSTITUTE($D$24,"M","")&amp;"M"</f>
        <v>10M</v>
      </c>
      <c r="E49" s="383">
        <f>_xll.qlCalendarAdvance(Calendar,SettlementDate,C49&amp;"M","mf",TRUE,Trigger)</f>
        <v>42261</v>
      </c>
      <c r="F49" s="459">
        <f>_xll.qlCalendarAdvance(Calendar,SettlementDate,D49,"mf",TRUE,Trigger)</f>
        <v>42443</v>
      </c>
      <c r="G49" s="361">
        <f>_xll.qlTenorBasisForwardRate2(G$27,$E49,$F49,InterestRatesTrigger)</f>
        <v>6.9486727342456278E-4</v>
      </c>
      <c r="H49" s="166">
        <f>_xll.qlTenorBasisTenorForwardRate(H$27,$E49,InterestRatesTrigger)</f>
        <v>6.1478388642132679E-4</v>
      </c>
      <c r="S49" s="166">
        <f>_xll.qlTenorBasisTenorForwardRate(S$27,$E49,InterestRatesTrigger)</f>
        <v>6.7121493355249448E-4</v>
      </c>
      <c r="T49" s="360">
        <f>_xll.qlTenorBasisTenorForwardRate(T$27,$E49,InterestRatesTrigger)</f>
        <v>6.1943943003752973E-4</v>
      </c>
      <c r="U49" s="166">
        <f>_xll.qlTenorBasisTenorForwardRate(U$27,$E49,InterestRatesTrigger)</f>
        <v>7.3898804908420468E-4</v>
      </c>
      <c r="V49" s="166">
        <f>_xll.qlTenorBasisTenorForwardRate(V$27,$E49,InterestRatesTrigger)</f>
        <v>6.0691399598904357E-4</v>
      </c>
      <c r="W49" s="166">
        <f>_xll.qlTenorBasisTenorForwardRate(W$27,$E49,InterestRatesTrigger)</f>
        <v>6.7149328380846046E-4</v>
      </c>
      <c r="X49" s="360">
        <f>_xll.qlTenorBasisTenorForwardRate(X$27,$E49,InterestRatesTrigger)</f>
        <v>6.1975867269916068E-4</v>
      </c>
      <c r="Y49" s="361">
        <f>_xll.qlTenorBasisTenorForwardRate(Y$27,$E49,InterestRatesTrigger)</f>
        <v>6.6219469982951623E-4</v>
      </c>
      <c r="Z49" s="166">
        <f>_xll.qlTenorBasisTenorForwardRate(Z$27,$E49,InterestRatesTrigger)</f>
        <v>6.6019949129979402E-4</v>
      </c>
      <c r="AA49" s="166">
        <f>_xll.qlTenorBasisTenorForwardRate(AA$27,$E49,InterestRatesTrigger)</f>
        <v>6.5717244190009738E-4</v>
      </c>
      <c r="AB49" s="166">
        <f>_xll.qlTenorBasisTenorForwardRate(AB$27,$E49,InterestRatesTrigger)</f>
        <v>6.5659083330318999E-4</v>
      </c>
      <c r="AC49" s="360">
        <f>'6MSynthDepo_used'!AA28</f>
        <v>6.6435531344155997E-4</v>
      </c>
      <c r="AD49" s="406">
        <f>'6MSynthDepo_used'!I8</f>
        <v>6.4999999999999997E-4</v>
      </c>
      <c r="BC49" s="384">
        <f>_xll.qlCalendarAdvance(Calendar,BC48,"1d","mf",,Trigger)</f>
        <v>42199</v>
      </c>
      <c r="BD49" s="154">
        <f>_xll.qlDayCounterYearFraction(DayCounter,SettlementDate,BC49,,,Trigger)</f>
        <v>0.16944444444444445</v>
      </c>
      <c r="BE49" s="166">
        <f>_xll.qlPolynomialFunctionValue(BE$1,$BD49,AllTriggers)</f>
        <v>1.750076354762339E-3</v>
      </c>
      <c r="BF49" s="166">
        <f>_xll.qlPolynomialFunctionValue(BF$1,$BD49,AllTriggers)</f>
        <v>1.7588232519868074E-3</v>
      </c>
      <c r="BG49" s="166">
        <f>_xll.qlPolynomialFunctionValue(BG$1,$BD49,AllTriggers)</f>
        <v>1.7909720275339836E-3</v>
      </c>
      <c r="BH49" s="166">
        <f>_xll.qlPolynomialFunctionValue(BH$1,$BD49,AllTriggers)</f>
        <v>1.7614755158446654E-3</v>
      </c>
      <c r="BI49" s="166">
        <f>_xll.qlPolynomialFunctionValue(BI$1,$BD49,AllTriggers)</f>
        <v>1.7475610121448E-3</v>
      </c>
      <c r="BJ49" s="166">
        <f>_xll.qlPolynomialFunctionValue(BJ$1,$BD49,AllTriggers)</f>
        <v>1.7589280671245456E-3</v>
      </c>
      <c r="BK49" s="166">
        <f>_xll.qlPolynomialFunctionValue(BK$1,$BD49,AllTriggers)</f>
        <v>1.7940117047416182E-3</v>
      </c>
      <c r="BL49" s="166">
        <f>_xll.qlPolynomialFunctionValue(BL$1,$BD49,AllTriggers)</f>
        <v>1.7659061246136072E-3</v>
      </c>
      <c r="BM49" s="166">
        <f>_xll.qlPolynomialFunctionValue(BM$1,$BD49,AllTriggers)</f>
        <v>1.7785986881205262E-3</v>
      </c>
      <c r="BN49" s="166">
        <f>_xll.qlPolynomialFunctionValue(BN$1,$BD49,AllTriggers)</f>
        <v>1.7694199465111268E-3</v>
      </c>
      <c r="BO49" s="166">
        <f>_xll.qlPolynomialFunctionValue(BO$1,$BD49,AllTriggers)</f>
        <v>1.800275068146933E-3</v>
      </c>
      <c r="BP49" s="166">
        <f>_xll.qlPolynomialFunctionValue(BP$1,$BD49,AllTriggers)</f>
        <v>1.8281658508896488E-3</v>
      </c>
      <c r="BQ49" s="166">
        <f>_xll.qlPolynomialFunctionValue('6MSynthDepo_used'!$P$18,BD49,AllTriggers)</f>
        <v>1.7637765414163027E-3</v>
      </c>
    </row>
    <row r="50" spans="3:69" x14ac:dyDescent="0.2">
      <c r="C50" s="115">
        <v>5</v>
      </c>
      <c r="D50" s="167" t="str">
        <f>C50+SUBSTITUTE($D$24,"M","")&amp;"M"</f>
        <v>11M</v>
      </c>
      <c r="E50" s="383">
        <f>_xll.qlCalendarAdvance(Calendar,SettlementDate,C50&amp;"M","mf",TRUE,Trigger)</f>
        <v>42291</v>
      </c>
      <c r="F50" s="459">
        <f>_xll.qlCalendarAdvance(Calendar,SettlementDate,D50,"mf",TRUE,Trigger)</f>
        <v>42474</v>
      </c>
      <c r="G50" s="361">
        <f>_xll.qlTenorBasisForwardRate2(G$27,$E50,$F50,InterestRatesTrigger)</f>
        <v>7.1941053281385453E-4</v>
      </c>
      <c r="H50" s="166">
        <f>_xll.qlTenorBasisTenorForwardRate(H$27,$E50,InterestRatesTrigger)</f>
        <v>5.6474058684856583E-4</v>
      </c>
      <c r="S50" s="166">
        <f>_xll.qlTenorBasisTenorForwardRate(S$27,$E50,InterestRatesTrigger)</f>
        <v>6.7672148780126393E-4</v>
      </c>
      <c r="T50" s="360">
        <f>_xll.qlTenorBasisTenorForwardRate(T$27,$E50,InterestRatesTrigger)</f>
        <v>5.7397897591044203E-4</v>
      </c>
      <c r="U50" s="166">
        <f>_xll.qlTenorBasisTenorForwardRate(U$27,$E50,InterestRatesTrigger)</f>
        <v>7.6595258428268178E-4</v>
      </c>
      <c r="V50" s="166">
        <f>_xll.qlTenorBasisTenorForwardRate(V$27,$E50,InterestRatesTrigger)</f>
        <v>5.4986313647806067E-4</v>
      </c>
      <c r="W50" s="166">
        <f>_xll.qlTenorBasisTenorForwardRate(W$27,$E50,InterestRatesTrigger)</f>
        <v>6.764669157720614E-4</v>
      </c>
      <c r="X50" s="360">
        <f>_xll.qlTenorBasisTenorForwardRate(X$27,$E50,InterestRatesTrigger)</f>
        <v>5.7504434658769477E-4</v>
      </c>
      <c r="Y50" s="361">
        <f>_xll.qlTenorBasisTenorForwardRate(Y$27,$E50,InterestRatesTrigger)</f>
        <v>6.6834838669903546E-4</v>
      </c>
      <c r="Z50" s="166">
        <f>_xll.qlTenorBasisTenorForwardRate(Z$27,$E50,InterestRatesTrigger)</f>
        <v>6.5718012956636506E-4</v>
      </c>
      <c r="AA50" s="166">
        <f>_xll.qlTenorBasisTenorForwardRate(AA$27,$E50,InterestRatesTrigger)</f>
        <v>6.5817342523275218E-4</v>
      </c>
      <c r="AB50" s="166">
        <f>_xll.qlTenorBasisTenorForwardRate(AB$27,$E50,InterestRatesTrigger)</f>
        <v>6.6716149612417483E-4</v>
      </c>
      <c r="AC50" s="360">
        <f>'6MSynthDepo_used'!AA29</f>
        <v>6.6054460268485959E-4</v>
      </c>
      <c r="AD50" s="406">
        <f>'6MSynthDepo_used'!I9</f>
        <v>6.8000000000000005E-4</v>
      </c>
      <c r="BC50" s="384">
        <f>_xll.qlCalendarAdvance(Calendar,BC49,"1d","mf",,Trigger)</f>
        <v>42200</v>
      </c>
      <c r="BD50" s="154">
        <f>_xll.qlDayCounterYearFraction(DayCounter,SettlementDate,BC50,,,Trigger)</f>
        <v>0.17222222222222222</v>
      </c>
      <c r="BE50" s="166">
        <f>_xll.qlPolynomialFunctionValue(BE$1,$BD50,AllTriggers)</f>
        <v>1.7518019161673446E-3</v>
      </c>
      <c r="BF50" s="166">
        <f>_xll.qlPolynomialFunctionValue(BF$1,$BD50,AllTriggers)</f>
        <v>1.761543969363459E-3</v>
      </c>
      <c r="BG50" s="166">
        <f>_xll.qlPolynomialFunctionValue(BG$1,$BD50,AllTriggers)</f>
        <v>1.7920585940519322E-3</v>
      </c>
      <c r="BH50" s="166">
        <f>_xll.qlPolynomialFunctionValue(BH$1,$BD50,AllTriggers)</f>
        <v>1.7640614162901256E-3</v>
      </c>
      <c r="BI50" s="166">
        <f>_xll.qlPolynomialFunctionValue(BI$1,$BD50,AllTriggers)</f>
        <v>1.7493727789448452E-3</v>
      </c>
      <c r="BJ50" s="166">
        <f>_xll.qlPolynomialFunctionValue(BJ$1,$BD50,AllTriggers)</f>
        <v>1.7617894896950529E-3</v>
      </c>
      <c r="BK50" s="166">
        <f>_xll.qlPolynomialFunctionValue(BK$1,$BD50,AllTriggers)</f>
        <v>1.7950802604601143E-3</v>
      </c>
      <c r="BL50" s="166">
        <f>_xll.qlPolynomialFunctionValue(BL$1,$BD50,AllTriggers)</f>
        <v>1.7684109499549409E-3</v>
      </c>
      <c r="BM50" s="166">
        <f>_xll.qlPolynomialFunctionValue(BM$1,$BD50,AllTriggers)</f>
        <v>1.7797071253242687E-3</v>
      </c>
      <c r="BN50" s="166">
        <f>_xll.qlPolynomialFunctionValue(BN$1,$BD50,AllTriggers)</f>
        <v>1.7709473742263252E-3</v>
      </c>
      <c r="BO50" s="166">
        <f>_xll.qlPolynomialFunctionValue(BO$1,$BD50,AllTriggers)</f>
        <v>1.8012093630552165E-3</v>
      </c>
      <c r="BP50" s="166">
        <f>_xll.qlPolynomialFunctionValue(BP$1,$BD50,AllTriggers)</f>
        <v>1.8283835234101957E-3</v>
      </c>
      <c r="BQ50" s="166">
        <f>_xll.qlPolynomialFunctionValue('6MSynthDepo_used'!$P$18,BD50,AllTriggers)</f>
        <v>1.7657888849307E-3</v>
      </c>
    </row>
    <row r="51" spans="3:69" x14ac:dyDescent="0.2">
      <c r="C51" s="115">
        <v>6</v>
      </c>
      <c r="D51" s="368" t="str">
        <f>C51+SUBSTITUTE($D$24,"M","")&amp;"M"</f>
        <v>12M</v>
      </c>
      <c r="E51" s="391">
        <f>_xll.qlCalendarAdvance(Calendar,SettlementDate,C51&amp;"M","mf",TRUE,Trigger)</f>
        <v>42324</v>
      </c>
      <c r="F51" s="460">
        <f>_xll.qlCalendarAdvance(Calendar,SettlementDate,D51,"mf",TRUE,Trigger)</f>
        <v>42506</v>
      </c>
      <c r="G51" s="367">
        <f>_xll.qlTenorBasisForwardRate2(G$27,$E51,$F51,InterestRatesTrigger)</f>
        <v>7.7478792522042066E-4</v>
      </c>
      <c r="H51" s="365">
        <f>_xll.qlTenorBasisTenorForwardRate(H$27,$E51,InterestRatesTrigger)</f>
        <v>5.1861509351096725E-4</v>
      </c>
      <c r="S51" s="365">
        <f>_xll.qlTenorBasisTenorForwardRate(S$27,$E51,InterestRatesTrigger)</f>
        <v>7.1288646010072773E-4</v>
      </c>
      <c r="T51" s="366">
        <f>_xll.qlTenorBasisTenorForwardRate(T$27,$E51,InterestRatesTrigger)</f>
        <v>5.3464242007173791E-4</v>
      </c>
      <c r="U51" s="365">
        <f>_xll.qlTenorBasisTenorForwardRate(U$27,$E51,InterestRatesTrigger)</f>
        <v>8.2572133562682469E-4</v>
      </c>
      <c r="V51" s="365">
        <f>_xll.qlTenorBasisTenorForwardRate(V$27,$E51,InterestRatesTrigger)</f>
        <v>4.937515992351274E-4</v>
      </c>
      <c r="W51" s="365">
        <f>_xll.qlTenorBasisTenorForwardRate(W$27,$E51,InterestRatesTrigger)</f>
        <v>7.1204567355784027E-4</v>
      </c>
      <c r="X51" s="366">
        <f>_xll.qlTenorBasisTenorForwardRate(X$27,$E51,InterestRatesTrigger)</f>
        <v>5.3716980508856189E-4</v>
      </c>
      <c r="Y51" s="367">
        <f>_xll.qlTenorBasisTenorForwardRate(Y$27,$E51,InterestRatesTrigger)</f>
        <v>7.0522520488132444E-4</v>
      </c>
      <c r="Z51" s="365">
        <f>_xll.qlTenorBasisTenorForwardRate(Z$27,$E51,InterestRatesTrigger)</f>
        <v>6.7956838635214621E-4</v>
      </c>
      <c r="AA51" s="365">
        <f>_xll.qlTenorBasisTenorForwardRate(AA$27,$E51,InterestRatesTrigger)</f>
        <v>6.8938226952449094E-4</v>
      </c>
      <c r="AB51" s="365">
        <f>_xll.qlTenorBasisTenorForwardRate(AB$27,$E51,InterestRatesTrigger)</f>
        <v>7.1517172921302559E-4</v>
      </c>
      <c r="AC51" s="366">
        <f>'6MSynthDepo_used'!AA30</f>
        <v>6.8384022208596964E-4</v>
      </c>
      <c r="AD51" s="449">
        <f>'6MSynthDepo_used'!I10</f>
        <v>7.000000000000001E-4</v>
      </c>
      <c r="BC51" s="384">
        <f>_xll.qlCalendarAdvance(Calendar,BC50,"1d","mf",,Trigger)</f>
        <v>42201</v>
      </c>
      <c r="BD51" s="154">
        <f>_xll.qlDayCounterYearFraction(DayCounter,SettlementDate,BC51,,,Trigger)</f>
        <v>0.17499999999999999</v>
      </c>
      <c r="BE51" s="166">
        <f>_xll.qlPolynomialFunctionValue(BE$1,$BD51,AllTriggers)</f>
        <v>1.7535274775723503E-3</v>
      </c>
      <c r="BF51" s="166">
        <f>_xll.qlPolynomialFunctionValue(BF$1,$BD51,AllTriggers)</f>
        <v>1.7642437360880761E-3</v>
      </c>
      <c r="BG51" s="166">
        <f>_xll.qlPolynomialFunctionValue(BG$1,$BD51,AllTriggers)</f>
        <v>1.7931451605698809E-3</v>
      </c>
      <c r="BH51" s="166">
        <f>_xll.qlPolynomialFunctionValue(BH$1,$BD51,AllTriggers)</f>
        <v>1.766628094505746E-3</v>
      </c>
      <c r="BI51" s="166">
        <f>_xll.qlPolynomialFunctionValue(BI$1,$BD51,AllTriggers)</f>
        <v>1.7511845457448905E-3</v>
      </c>
      <c r="BJ51" s="166">
        <f>_xll.qlPolynomialFunctionValue(BJ$1,$BD51,AllTriggers)</f>
        <v>1.7646277091483292E-3</v>
      </c>
      <c r="BK51" s="166">
        <f>_xll.qlPolynomialFunctionValue(BK$1,$BD51,AllTriggers)</f>
        <v>1.7961488161786104E-3</v>
      </c>
      <c r="BL51" s="166">
        <f>_xll.qlPolynomialFunctionValue(BL$1,$BD51,AllTriggers)</f>
        <v>1.7708971872274527E-3</v>
      </c>
      <c r="BM51" s="166">
        <f>_xll.qlPolynomialFunctionValue(BM$1,$BD51,AllTriggers)</f>
        <v>1.7808155625280112E-3</v>
      </c>
      <c r="BN51" s="166">
        <f>_xll.qlPolynomialFunctionValue(BN$1,$BD51,AllTriggers)</f>
        <v>1.7724704525150725E-3</v>
      </c>
      <c r="BO51" s="166">
        <f>_xll.qlPolynomialFunctionValue(BO$1,$BD51,AllTriggers)</f>
        <v>1.8021436579635003E-3</v>
      </c>
      <c r="BP51" s="166">
        <f>_xll.qlPolynomialFunctionValue(BP$1,$BD51,AllTriggers)</f>
        <v>1.8286074010775788E-3</v>
      </c>
      <c r="BQ51" s="166">
        <f>_xll.qlPolynomialFunctionValue('6MSynthDepo_used'!$P$18,BD51,AllTriggers)</f>
        <v>1.7677873713933981E-3</v>
      </c>
    </row>
    <row r="52" spans="3:69" x14ac:dyDescent="0.2">
      <c r="BC52" s="384">
        <f>_xll.qlCalendarAdvance(Calendar,BC51,"1d","mf",,Trigger)</f>
        <v>42202</v>
      </c>
      <c r="BD52" s="154">
        <f>_xll.qlDayCounterYearFraction(DayCounter,SettlementDate,BC52,,,Trigger)</f>
        <v>0.17777777777777778</v>
      </c>
      <c r="BE52" s="166">
        <f>_xll.qlPolynomialFunctionValue(BE$1,$BD52,AllTriggers)</f>
        <v>1.7552530389773559E-3</v>
      </c>
      <c r="BF52" s="166">
        <f>_xll.qlPolynomialFunctionValue(BF$1,$BD52,AllTriggers)</f>
        <v>1.7669225521606585E-3</v>
      </c>
      <c r="BG52" s="166">
        <f>_xll.qlPolynomialFunctionValue(BG$1,$BD52,AllTriggers)</f>
        <v>1.7942317270878295E-3</v>
      </c>
      <c r="BH52" s="166">
        <f>_xll.qlPolynomialFunctionValue(BH$1,$BD52,AllTriggers)</f>
        <v>1.7691755504915265E-3</v>
      </c>
      <c r="BI52" s="166">
        <f>_xll.qlPolynomialFunctionValue(BI$1,$BD52,AllTriggers)</f>
        <v>1.7529963125449358E-3</v>
      </c>
      <c r="BJ52" s="166">
        <f>_xll.qlPolynomialFunctionValue(BJ$1,$BD52,AllTriggers)</f>
        <v>1.7674427254843748E-3</v>
      </c>
      <c r="BK52" s="166">
        <f>_xll.qlPolynomialFunctionValue(BK$1,$BD52,AllTriggers)</f>
        <v>1.7972173718971067E-3</v>
      </c>
      <c r="BL52" s="166">
        <f>_xll.qlPolynomialFunctionValue(BL$1,$BD52,AllTriggers)</f>
        <v>1.7733648364311426E-3</v>
      </c>
      <c r="BM52" s="166">
        <f>_xll.qlPolynomialFunctionValue(BM$1,$BD52,AllTriggers)</f>
        <v>1.7819239997317537E-3</v>
      </c>
      <c r="BN52" s="166">
        <f>_xll.qlPolynomialFunctionValue(BN$1,$BD52,AllTriggers)</f>
        <v>1.7739891813773692E-3</v>
      </c>
      <c r="BO52" s="166">
        <f>_xll.qlPolynomialFunctionValue(BO$1,$BD52,AllTriggers)</f>
        <v>1.803077952871784E-3</v>
      </c>
      <c r="BP52" s="166">
        <f>_xll.qlPolynomialFunctionValue(BP$1,$BD52,AllTriggers)</f>
        <v>1.8288374838917984E-3</v>
      </c>
      <c r="BQ52" s="166">
        <f>_xll.qlPolynomialFunctionValue('6MSynthDepo_used'!$P$18,BD52,AllTriggers)</f>
        <v>1.7697720875779613E-3</v>
      </c>
    </row>
    <row r="53" spans="3:69" x14ac:dyDescent="0.2">
      <c r="F53" s="331" t="s">
        <v>143</v>
      </c>
      <c r="G53" s="331" t="s">
        <v>142</v>
      </c>
      <c r="H53" s="327"/>
      <c r="S53" s="327"/>
      <c r="T53" s="327"/>
      <c r="U53" s="327"/>
      <c r="V53" s="327"/>
      <c r="W53" s="327"/>
      <c r="X53" s="327"/>
      <c r="Y53" s="327"/>
      <c r="Z53" s="327"/>
      <c r="AA53" s="327"/>
      <c r="AB53" s="326"/>
      <c r="AC53" s="464"/>
      <c r="BC53" s="384">
        <f>_xll.qlCalendarAdvance(Calendar,BC52,"1d","mf",,Trigger)</f>
        <v>42205</v>
      </c>
      <c r="BD53" s="154">
        <f>_xll.qlDayCounterYearFraction(DayCounter,SettlementDate,BC53,,,Trigger)</f>
        <v>0.18611111111111112</v>
      </c>
      <c r="BE53" s="166">
        <f>_xll.qlPolynomialFunctionValue(BE$1,$BD53,AllTriggers)</f>
        <v>1.7604297231923725E-3</v>
      </c>
      <c r="BF53" s="166">
        <f>_xll.qlPolynomialFunctionValue(BF$1,$BD53,AllTriggers)</f>
        <v>1.7748332964661973E-3</v>
      </c>
      <c r="BG53" s="166">
        <f>_xll.qlPolynomialFunctionValue(BG$1,$BD53,AllTriggers)</f>
        <v>1.7974914266416756E-3</v>
      </c>
      <c r="BH53" s="166">
        <f>_xll.qlPolynomialFunctionValue(BH$1,$BD53,AllTriggers)</f>
        <v>1.776702585069829E-3</v>
      </c>
      <c r="BI53" s="166">
        <f>_xll.qlPolynomialFunctionValue(BI$1,$BD53,AllTriggers)</f>
        <v>1.7584316129450714E-3</v>
      </c>
      <c r="BJ53" s="166">
        <f>_xll.qlPolynomialFunctionValue(BJ$1,$BD53,AllTriggers)</f>
        <v>1.7757485557891273E-3</v>
      </c>
      <c r="BK53" s="166">
        <f>_xll.qlPolynomialFunctionValue(BK$1,$BD53,AllTriggers)</f>
        <v>1.8004230390525951E-3</v>
      </c>
      <c r="BL53" s="166">
        <f>_xll.qlPolynomialFunctionValue(BL$1,$BD53,AllTriggers)</f>
        <v>1.7806562556292808E-3</v>
      </c>
      <c r="BM53" s="166">
        <f>_xll.qlPolynomialFunctionValue(BM$1,$BD53,AllTriggers)</f>
        <v>1.7852493113429812E-3</v>
      </c>
      <c r="BN53" s="166">
        <f>_xll.qlPolynomialFunctionValue(BN$1,$BD53,AllTriggers)</f>
        <v>1.7785192714055548E-3</v>
      </c>
      <c r="BO53" s="166">
        <f>_xll.qlPolynomialFunctionValue(BO$1,$BD53,AllTriggers)</f>
        <v>1.805880837596635E-3</v>
      </c>
      <c r="BP53" s="166">
        <f>_xll.qlPolynomialFunctionValue(BP$1,$BD53,AllTriggers)</f>
        <v>1.8295649632154756E-3</v>
      </c>
      <c r="BQ53" s="166">
        <f>_xll.qlPolynomialFunctionValue('6MSynthDepo_used'!$P$18,BD53,AllTriggers)</f>
        <v>1.7756444783943134E-3</v>
      </c>
    </row>
    <row r="54" spans="3:69" x14ac:dyDescent="0.2">
      <c r="F54" s="395" t="str">
        <f>C45&amp;"x"&amp;C45+SUBSTITUTE($D$24,"M","")&amp;"F"</f>
        <v>0x6F</v>
      </c>
      <c r="G54" s="362">
        <f>$AD45-G45</f>
        <v>-4.9016654904433235E-6</v>
      </c>
      <c r="H54" s="362">
        <f>$AD45-H45</f>
        <v>-5.2742997021025355E-6</v>
      </c>
      <c r="S54" s="362">
        <f>$AD45-S45</f>
        <v>-2.5879080972544561E-5</v>
      </c>
      <c r="T54" s="363">
        <f>$AD45-T45</f>
        <v>-6.9741793683780924E-6</v>
      </c>
      <c r="U54" s="364">
        <f>$AD45-U45</f>
        <v>-5.0332865202174816E-6</v>
      </c>
      <c r="V54" s="362">
        <f>$AD45-V45</f>
        <v>-5.5119623916309417E-6</v>
      </c>
      <c r="W54" s="362">
        <f>$AD45-W45</f>
        <v>-2.8332106474409421E-5</v>
      </c>
      <c r="X54" s="363">
        <f>$AD45-X45</f>
        <v>-1.0050816864114924E-5</v>
      </c>
      <c r="Y54" s="364">
        <f>$AD45-Y45</f>
        <v>-4.0826330811660392E-5</v>
      </c>
      <c r="Z54" s="448">
        <f>$AD45-Z45</f>
        <v>-3.6628271820441619E-5</v>
      </c>
      <c r="AA54" s="362">
        <f>$AD45-AA45</f>
        <v>-5.6930157383384386E-5</v>
      </c>
      <c r="AB54" s="362">
        <f>$AD45-AB45</f>
        <v>-7.3911495714004964E-5</v>
      </c>
      <c r="AC54" s="362">
        <f>$AD45-AC45</f>
        <v>-5.3353808560007918E-6</v>
      </c>
      <c r="BC54" s="384">
        <f>_xll.qlCalendarAdvance(Calendar,BC53,"1d","mf",,Trigger)</f>
        <v>42206</v>
      </c>
      <c r="BD54" s="154">
        <f>_xll.qlDayCounterYearFraction(DayCounter,SettlementDate,BC54,,,Trigger)</f>
        <v>0.18888888888888888</v>
      </c>
      <c r="BE54" s="166">
        <f>_xll.qlPolynomialFunctionValue(BE$1,$BD54,AllTriggers)</f>
        <v>1.7621552845973781E-3</v>
      </c>
      <c r="BF54" s="166">
        <f>_xll.qlPolynomialFunctionValue(BF$1,$BD54,AllTriggers)</f>
        <v>1.7774283099306412E-3</v>
      </c>
      <c r="BG54" s="166">
        <f>_xll.qlPolynomialFunctionValue(BG$1,$BD54,AllTriggers)</f>
        <v>1.798577993159624E-3</v>
      </c>
      <c r="BH54" s="166">
        <f>_xll.qlPolynomialFunctionValue(BH$1,$BD54,AllTriggers)</f>
        <v>1.7791731521362498E-3</v>
      </c>
      <c r="BI54" s="166">
        <f>_xll.qlPolynomialFunctionValue(BI$1,$BD54,AllTriggers)</f>
        <v>1.7602433797451167E-3</v>
      </c>
      <c r="BJ54" s="166">
        <f>_xll.qlPolynomialFunctionValue(BJ$1,$BD54,AllTriggers)</f>
        <v>1.7784707596562499E-3</v>
      </c>
      <c r="BK54" s="166">
        <f>_xll.qlPolynomialFunctionValue(BK$1,$BD54,AllTriggers)</f>
        <v>1.8014915947710914E-3</v>
      </c>
      <c r="BL54" s="166">
        <f>_xll.qlPolynomialFunctionValue(BL$1,$BD54,AllTriggers)</f>
        <v>1.7830495525576833E-3</v>
      </c>
      <c r="BM54" s="166">
        <f>_xll.qlPolynomialFunctionValue(BM$1,$BD54,AllTriggers)</f>
        <v>1.7863577485467237E-3</v>
      </c>
      <c r="BN54" s="166">
        <f>_xll.qlPolynomialFunctionValue(BN$1,$BD54,AllTriggers)</f>
        <v>1.7800206025620484E-3</v>
      </c>
      <c r="BO54" s="166">
        <f>_xll.qlPolynomialFunctionValue(BO$1,$BD54,AllTriggers)</f>
        <v>1.8068151325049185E-3</v>
      </c>
      <c r="BP54" s="166">
        <f>_xll.qlPolynomialFunctionValue(BP$1,$BD54,AllTriggers)</f>
        <v>1.8298198666170408E-3</v>
      </c>
      <c r="BQ54" s="166">
        <f>_xll.qlPolynomialFunctionValue('6MSynthDepo_used'!$P$18,BD54,AllTriggers)</f>
        <v>1.7775749761297498E-3</v>
      </c>
    </row>
    <row r="55" spans="3:69" x14ac:dyDescent="0.2">
      <c r="F55" s="396" t="str">
        <f>C46&amp;"x"&amp;C46+SUBSTITUTE($D$24,"M","")&amp;"F"</f>
        <v>1x7F</v>
      </c>
      <c r="G55" s="166">
        <f>$AD46-G46</f>
        <v>3.1354766675568556E-5</v>
      </c>
      <c r="H55" s="166">
        <f>$AD46-H46</f>
        <v>6.1148181750589423E-7</v>
      </c>
      <c r="S55" s="166">
        <f>$AD46-S46</f>
        <v>4.7630313115495666E-7</v>
      </c>
      <c r="T55" s="360">
        <f>$AD46-T46</f>
        <v>6.0032961845407368E-7</v>
      </c>
      <c r="U55" s="361">
        <f>$AD46-U46</f>
        <v>-2.2076035197745756E-6</v>
      </c>
      <c r="V55" s="166">
        <f>$AD46-V46</f>
        <v>-7.1137066724529744E-7</v>
      </c>
      <c r="W55" s="166">
        <f>$AD46-W46</f>
        <v>-1.4185780564881937E-6</v>
      </c>
      <c r="X55" s="360">
        <f>$AD46-X46</f>
        <v>-8.5203264398763575E-7</v>
      </c>
      <c r="Y55" s="361">
        <f>$AD46-Y46</f>
        <v>1.1459505803741786E-5</v>
      </c>
      <c r="Z55" s="406">
        <f>$AD46-Z46</f>
        <v>8.9240126251490795E-6</v>
      </c>
      <c r="AA55" s="166">
        <f>$AD46-AA46</f>
        <v>8.5189633800615994E-7</v>
      </c>
      <c r="AB55" s="166">
        <f>$AD46-AB46</f>
        <v>-2.7713567087417996E-6</v>
      </c>
      <c r="AC55" s="166">
        <f>$AD46-AC46</f>
        <v>6.0071331626098843E-6</v>
      </c>
      <c r="BC55" s="384">
        <f>_xll.qlCalendarAdvance(Calendar,BC54,"1d","mf",,Trigger)</f>
        <v>42207</v>
      </c>
      <c r="BD55" s="154">
        <f>_xll.qlDayCounterYearFraction(DayCounter,SettlementDate,BC55,,,Trigger)</f>
        <v>0.19166666666666668</v>
      </c>
      <c r="BE55" s="166">
        <f>_xll.qlPolynomialFunctionValue(BE$1,$BD55,AllTriggers)</f>
        <v>1.7638808460023836E-3</v>
      </c>
      <c r="BF55" s="166">
        <f>_xll.qlPolynomialFunctionValue(BF$1,$BD55,AllTriggers)</f>
        <v>1.7800023727430503E-3</v>
      </c>
      <c r="BG55" s="166">
        <f>_xll.qlPolynomialFunctionValue(BG$1,$BD55,AllTriggers)</f>
        <v>1.7996645596775728E-3</v>
      </c>
      <c r="BH55" s="166">
        <f>_xll.qlPolynomialFunctionValue(BH$1,$BD55,AllTriggers)</f>
        <v>1.781624496972831E-3</v>
      </c>
      <c r="BI55" s="166">
        <f>_xll.qlPolynomialFunctionValue(BI$1,$BD55,AllTriggers)</f>
        <v>1.7620551465451619E-3</v>
      </c>
      <c r="BJ55" s="166">
        <f>_xll.qlPolynomialFunctionValue(BJ$1,$BD55,AllTriggers)</f>
        <v>1.7811697604061421E-3</v>
      </c>
      <c r="BK55" s="166">
        <f>_xll.qlPolynomialFunctionValue(BK$1,$BD55,AllTriggers)</f>
        <v>1.8025601504895875E-3</v>
      </c>
      <c r="BL55" s="166">
        <f>_xll.qlPolynomialFunctionValue(BL$1,$BD55,AllTriggers)</f>
        <v>1.7854242614172638E-3</v>
      </c>
      <c r="BM55" s="166">
        <f>_xll.qlPolynomialFunctionValue(BM$1,$BD55,AllTriggers)</f>
        <v>1.7874661857504661E-3</v>
      </c>
      <c r="BN55" s="166">
        <f>_xll.qlPolynomialFunctionValue(BN$1,$BD55,AllTriggers)</f>
        <v>1.7815175842920913E-3</v>
      </c>
      <c r="BO55" s="166">
        <f>_xll.qlPolynomialFunctionValue(BO$1,$BD55,AllTriggers)</f>
        <v>1.8077494274132023E-3</v>
      </c>
      <c r="BP55" s="166">
        <f>_xll.qlPolynomialFunctionValue(BP$1,$BD55,AllTriggers)</f>
        <v>1.8300809751654425E-3</v>
      </c>
      <c r="BQ55" s="166">
        <f>_xll.qlPolynomialFunctionValue('6MSynthDepo_used'!$P$18,BD55,AllTriggers)</f>
        <v>1.7794921336506992E-3</v>
      </c>
    </row>
    <row r="56" spans="3:69" x14ac:dyDescent="0.2">
      <c r="F56" s="396" t="str">
        <f>C47&amp;"x"&amp;C47+SUBSTITUTE($D$24,"M","")&amp;"F"</f>
        <v>2x8F</v>
      </c>
      <c r="G56" s="166">
        <f>$AD47-G47</f>
        <v>1.3210476259753576E-5</v>
      </c>
      <c r="H56" s="166">
        <f>$AD47-H47</f>
        <v>6.6142000687563225E-7</v>
      </c>
      <c r="S56" s="166">
        <f>$AD47-S47</f>
        <v>9.0795284376436313E-7</v>
      </c>
      <c r="T56" s="360">
        <f>$AD47-T47</f>
        <v>6.8175888827523481E-7</v>
      </c>
      <c r="U56" s="361">
        <f>$AD47-U47</f>
        <v>-2.2518668725215953E-5</v>
      </c>
      <c r="V56" s="166">
        <f>$AD47-V47</f>
        <v>2.9825528239117629E-7</v>
      </c>
      <c r="W56" s="166">
        <f>$AD47-W47</f>
        <v>-4.7177013488255894E-7</v>
      </c>
      <c r="X56" s="360">
        <f>$AD47-X47</f>
        <v>1.4509893959599712E-7</v>
      </c>
      <c r="Y56" s="361">
        <f>$AD47-Y47</f>
        <v>1.1265593982959601E-5</v>
      </c>
      <c r="Z56" s="406">
        <f>$AD47-Z47</f>
        <v>6.3702096429939454E-6</v>
      </c>
      <c r="AA56" s="166">
        <f>$AD47-AA47</f>
        <v>5.6389312695260966E-6</v>
      </c>
      <c r="AB56" s="166">
        <f>$AD47-AB47</f>
        <v>8.7823292711474961E-6</v>
      </c>
      <c r="AC56" s="166">
        <f>$AD47-AC47</f>
        <v>9.838975420761167E-7</v>
      </c>
      <c r="BC56" s="384">
        <f>_xll.qlCalendarAdvance(Calendar,BC55,"1d","mf",,Trigger)</f>
        <v>42208</v>
      </c>
      <c r="BD56" s="154">
        <f>_xll.qlDayCounterYearFraction(DayCounter,SettlementDate,BC56,,,Trigger)</f>
        <v>0.19444444444444445</v>
      </c>
      <c r="BE56" s="166">
        <f>_xll.qlPolynomialFunctionValue(BE$1,$BD56,AllTriggers)</f>
        <v>1.7656064074073892E-3</v>
      </c>
      <c r="BF56" s="166">
        <f>_xll.qlPolynomialFunctionValue(BF$1,$BD56,AllTriggers)</f>
        <v>1.7825554849034246E-3</v>
      </c>
      <c r="BG56" s="166">
        <f>_xll.qlPolynomialFunctionValue(BG$1,$BD56,AllTriggers)</f>
        <v>1.8007511261955214E-3</v>
      </c>
      <c r="BH56" s="166">
        <f>_xll.qlPolynomialFunctionValue(BH$1,$BD56,AllTriggers)</f>
        <v>1.7840566195795721E-3</v>
      </c>
      <c r="BI56" s="166">
        <f>_xll.qlPolynomialFunctionValue(BI$1,$BD56,AllTriggers)</f>
        <v>1.7638669133452072E-3</v>
      </c>
      <c r="BJ56" s="166">
        <f>_xll.qlPolynomialFunctionValue(BJ$1,$BD56,AllTriggers)</f>
        <v>1.7838455580388034E-3</v>
      </c>
      <c r="BK56" s="166">
        <f>_xll.qlPolynomialFunctionValue(BK$1,$BD56,AllTriggers)</f>
        <v>1.8036287062080838E-3</v>
      </c>
      <c r="BL56" s="166">
        <f>_xll.qlPolynomialFunctionValue(BL$1,$BD56,AllTriggers)</f>
        <v>1.7877803822080225E-3</v>
      </c>
      <c r="BM56" s="166">
        <f>_xll.qlPolynomialFunctionValue(BM$1,$BD56,AllTriggers)</f>
        <v>1.7885746229542086E-3</v>
      </c>
      <c r="BN56" s="166">
        <f>_xll.qlPolynomialFunctionValue(BN$1,$BD56,AllTriggers)</f>
        <v>1.783010216595683E-3</v>
      </c>
      <c r="BO56" s="166">
        <f>_xll.qlPolynomialFunctionValue(BO$1,$BD56,AllTriggers)</f>
        <v>1.8086837223214858E-3</v>
      </c>
      <c r="BP56" s="166">
        <f>_xll.qlPolynomialFunctionValue(BP$1,$BD56,AllTriggers)</f>
        <v>1.8303482888606803E-3</v>
      </c>
      <c r="BQ56" s="166">
        <f>_xll.qlPolynomialFunctionValue('6MSynthDepo_used'!$P$18,BD56,AllTriggers)</f>
        <v>1.7813960362090561E-3</v>
      </c>
    </row>
    <row r="57" spans="3:69" x14ac:dyDescent="0.2">
      <c r="F57" s="396" t="str">
        <f>C48&amp;"x"&amp;C48+SUBSTITUTE($D$24,"M","")&amp;"F"</f>
        <v>3x9F</v>
      </c>
      <c r="G57" s="166">
        <f>$AD48-G48</f>
        <v>-2.3859251009361289E-5</v>
      </c>
      <c r="H57" s="166">
        <f>$AD48-H48</f>
        <v>1.7920799570417733E-6</v>
      </c>
      <c r="S57" s="166">
        <f>$AD48-S48</f>
        <v>-1.6507302249031057E-5</v>
      </c>
      <c r="T57" s="360">
        <f>$AD48-T48</f>
        <v>2.823866881569671E-7</v>
      </c>
      <c r="U57" s="361">
        <f>$AD48-U48</f>
        <v>-6.2107170799376101E-5</v>
      </c>
      <c r="V57" s="166">
        <f>$AD48-V48</f>
        <v>4.4925825019790895E-6</v>
      </c>
      <c r="W57" s="166">
        <f>$AD48-W48</f>
        <v>-1.73363388663374E-5</v>
      </c>
      <c r="X57" s="360">
        <f>$AD48-X48</f>
        <v>1.5085859368711794E-7</v>
      </c>
      <c r="Y57" s="361">
        <f>$AD48-Y48</f>
        <v>-6.8183648179442067E-6</v>
      </c>
      <c r="Z57" s="406">
        <f>$AD48-Z48</f>
        <v>-1.0301486789380501E-5</v>
      </c>
      <c r="AA57" s="166">
        <f>$AD48-AA48</f>
        <v>-7.1205672099516415E-6</v>
      </c>
      <c r="AB57" s="166">
        <f>$AD48-AB48</f>
        <v>-2.3576182892767967E-6</v>
      </c>
      <c r="AC57" s="166">
        <f>$AD48-AC48</f>
        <v>-1.5630215754507452E-5</v>
      </c>
      <c r="BC57" s="384">
        <f>_xll.qlCalendarAdvance(Calendar,BC56,"1d","mf",,Trigger)</f>
        <v>42209</v>
      </c>
      <c r="BD57" s="154">
        <f>_xll.qlDayCounterYearFraction(DayCounter,SettlementDate,BC57,,,Trigger)</f>
        <v>0.19722222222222222</v>
      </c>
      <c r="BE57" s="166">
        <f>_xll.qlPolynomialFunctionValue(BE$1,$BD57,AllTriggers)</f>
        <v>1.7673319688123947E-3</v>
      </c>
      <c r="BF57" s="166">
        <f>_xll.qlPolynomialFunctionValue(BF$1,$BD57,AllTriggers)</f>
        <v>1.785087646411764E-3</v>
      </c>
      <c r="BG57" s="166">
        <f>_xll.qlPolynomialFunctionValue(BG$1,$BD57,AllTriggers)</f>
        <v>1.8018376927134701E-3</v>
      </c>
      <c r="BH57" s="166">
        <f>_xll.qlPolynomialFunctionValue(BH$1,$BD57,AllTriggers)</f>
        <v>1.7864695199564734E-3</v>
      </c>
      <c r="BI57" s="166">
        <f>_xll.qlPolynomialFunctionValue(BI$1,$BD57,AllTriggers)</f>
        <v>1.7656786801452523E-3</v>
      </c>
      <c r="BJ57" s="166">
        <f>_xll.qlPolynomialFunctionValue(BJ$1,$BD57,AllTriggers)</f>
        <v>1.7864981525542339E-3</v>
      </c>
      <c r="BK57" s="166">
        <f>_xll.qlPolynomialFunctionValue(BK$1,$BD57,AllTriggers)</f>
        <v>1.8046972619265799E-3</v>
      </c>
      <c r="BL57" s="166">
        <f>_xll.qlPolynomialFunctionValue(BL$1,$BD57,AllTriggers)</f>
        <v>1.7901179149299592E-3</v>
      </c>
      <c r="BM57" s="166">
        <f>_xll.qlPolynomialFunctionValue(BM$1,$BD57,AllTriggers)</f>
        <v>1.7896830601579511E-3</v>
      </c>
      <c r="BN57" s="166">
        <f>_xll.qlPolynomialFunctionValue(BN$1,$BD57,AllTriggers)</f>
        <v>1.7844984994728245E-3</v>
      </c>
      <c r="BO57" s="166">
        <f>_xll.qlPolynomialFunctionValue(BO$1,$BD57,AllTriggers)</f>
        <v>1.8096180172297695E-3</v>
      </c>
      <c r="BP57" s="166">
        <f>_xll.qlPolynomialFunctionValue(BP$1,$BD57,AllTriggers)</f>
        <v>1.8306218077027544E-3</v>
      </c>
      <c r="BQ57" s="166">
        <f>_xll.qlPolynomialFunctionValue('6MSynthDepo_used'!$P$18,BD57,AllTriggers)</f>
        <v>1.7832867688031037E-3</v>
      </c>
    </row>
    <row r="58" spans="3:69" x14ac:dyDescent="0.2">
      <c r="F58" s="396" t="str">
        <f>C49&amp;"x"&amp;C49+SUBSTITUTE($D$24,"M","")&amp;"F"</f>
        <v>4x10F</v>
      </c>
      <c r="G58" s="166">
        <f>$AD49-G49</f>
        <v>-4.4867273424562806E-5</v>
      </c>
      <c r="H58" s="166">
        <f>$AD49-H49</f>
        <v>3.5216113578673183E-5</v>
      </c>
      <c r="S58" s="166">
        <f>$AD49-S49</f>
        <v>-2.1214933552494509E-5</v>
      </c>
      <c r="T58" s="360">
        <f>$AD49-T49</f>
        <v>3.0560569962470238E-5</v>
      </c>
      <c r="U58" s="361">
        <f>$AD49-U49</f>
        <v>-8.8988049084204714E-5</v>
      </c>
      <c r="V58" s="166">
        <f>$AD49-V49</f>
        <v>4.3086004010956403E-5</v>
      </c>
      <c r="W58" s="166">
        <f>$AD49-W49</f>
        <v>-2.149328380846049E-5</v>
      </c>
      <c r="X58" s="360">
        <f>$AD49-X49</f>
        <v>3.0241327300839288E-5</v>
      </c>
      <c r="Y58" s="361">
        <f>$AD49-Y49</f>
        <v>-1.2194699829516263E-5</v>
      </c>
      <c r="Z58" s="406">
        <f>$AD49-Z49</f>
        <v>-1.0199491299794049E-5</v>
      </c>
      <c r="AA58" s="166">
        <f>$AD49-AA49</f>
        <v>-7.1724419000974114E-6</v>
      </c>
      <c r="AB58" s="166">
        <f>$AD49-AB49</f>
        <v>-6.5908333031900173E-6</v>
      </c>
      <c r="AC58" s="166">
        <f>$AD49-AC49</f>
        <v>-1.435531344156E-5</v>
      </c>
      <c r="BC58" s="384">
        <f>_xll.qlCalendarAdvance(Calendar,BC57,"1d","mf",,Trigger)</f>
        <v>42212</v>
      </c>
      <c r="BD58" s="154">
        <f>_xll.qlDayCounterYearFraction(DayCounter,SettlementDate,BC58,,,Trigger)</f>
        <v>0.20555555555555555</v>
      </c>
      <c r="BE58" s="166">
        <f>_xll.qlPolynomialFunctionValue(BE$1,$BD58,AllTriggers)</f>
        <v>1.7725086530274116E-3</v>
      </c>
      <c r="BF58" s="166">
        <f>_xll.qlPolynomialFunctionValue(BF$1,$BD58,AllTriggers)</f>
        <v>1.7925584270245755E-3</v>
      </c>
      <c r="BG58" s="166">
        <f>_xll.qlPolynomialFunctionValue(BG$1,$BD58,AllTriggers)</f>
        <v>1.8050973922673159E-3</v>
      </c>
      <c r="BH58" s="166">
        <f>_xll.qlPolynomialFunctionValue(BH$1,$BD58,AllTriggers)</f>
        <v>1.7935928877081378E-3</v>
      </c>
      <c r="BI58" s="166">
        <f>_xll.qlPolynomialFunctionValue(BI$1,$BD58,AllTriggers)</f>
        <v>1.7711139805453881E-3</v>
      </c>
      <c r="BJ58" s="166">
        <f>_xll.qlPolynomialFunctionValue(BJ$1,$BD58,AllTriggers)</f>
        <v>1.7943167173971415E-3</v>
      </c>
      <c r="BK58" s="166">
        <f>_xll.qlPolynomialFunctionValue(BK$1,$BD58,AllTriggers)</f>
        <v>1.8079029290820683E-3</v>
      </c>
      <c r="BL58" s="166">
        <f>_xll.qlPolynomialFunctionValue(BL$1,$BD58,AllTriggers)</f>
        <v>1.7970189846828386E-3</v>
      </c>
      <c r="BM58" s="166">
        <f>_xll.qlPolynomialFunctionValue(BM$1,$BD58,AllTriggers)</f>
        <v>1.7930083717691786E-3</v>
      </c>
      <c r="BN58" s="166">
        <f>_xll.qlPolynomialFunctionValue(BN$1,$BD58,AllTriggers)</f>
        <v>1.7889372515455433E-3</v>
      </c>
      <c r="BO58" s="166">
        <f>_xll.qlPolynomialFunctionValue(BO$1,$BD58,AllTriggers)</f>
        <v>1.8124209019546205E-3</v>
      </c>
      <c r="BP58" s="166">
        <f>_xll.qlPolynomialFunctionValue(BP$1,$BD58,AllTriggers)</f>
        <v>1.8314795951099956E-3</v>
      </c>
      <c r="BQ58" s="166">
        <f>_xll.qlPolynomialFunctionValue('6MSynthDepo_used'!$P$18,BD58,AllTriggers)</f>
        <v>1.7888807929780435E-3</v>
      </c>
    </row>
    <row r="59" spans="3:69" x14ac:dyDescent="0.2">
      <c r="F59" s="396" t="str">
        <f>C50&amp;"x"&amp;C50+SUBSTITUTE($D$24,"M","")&amp;"F"</f>
        <v>5x11F</v>
      </c>
      <c r="G59" s="166">
        <f>$AD50-G50</f>
        <v>-3.9410532813854483E-5</v>
      </c>
      <c r="H59" s="166">
        <f>$AD50-H50</f>
        <v>1.1525941315143422E-4</v>
      </c>
      <c r="S59" s="166">
        <f>$AD50-S50</f>
        <v>3.2785121987361204E-6</v>
      </c>
      <c r="T59" s="360">
        <f>$AD50-T50</f>
        <v>1.0602102408955802E-4</v>
      </c>
      <c r="U59" s="361">
        <f>$AD50-U50</f>
        <v>-8.5952584282681732E-5</v>
      </c>
      <c r="V59" s="166">
        <f>$AD50-V50</f>
        <v>1.3013686352193938E-4</v>
      </c>
      <c r="W59" s="166">
        <f>$AD50-W50</f>
        <v>3.5330842279386512E-6</v>
      </c>
      <c r="X59" s="360">
        <f>$AD50-X50</f>
        <v>1.0495565341230527E-4</v>
      </c>
      <c r="Y59" s="361">
        <f>$AD50-Y50</f>
        <v>1.1651613300964593E-5</v>
      </c>
      <c r="Z59" s="406">
        <f>$AD50-Z50</f>
        <v>2.2819870433634986E-5</v>
      </c>
      <c r="AA59" s="166">
        <f>$AD50-AA50</f>
        <v>2.1826574767247866E-5</v>
      </c>
      <c r="AB59" s="166">
        <f>$AD50-AB50</f>
        <v>1.2838503875825221E-5</v>
      </c>
      <c r="AC59" s="166">
        <f>$AD50-AC50</f>
        <v>1.945539731514046E-5</v>
      </c>
      <c r="BC59" s="384">
        <f>_xll.qlCalendarAdvance(Calendar,BC58,"1d","mf",,Trigger)</f>
        <v>42213</v>
      </c>
      <c r="BD59" s="154">
        <f>_xll.qlDayCounterYearFraction(DayCounter,SettlementDate,BC59,,,Trigger)</f>
        <v>0.20833333333333334</v>
      </c>
      <c r="BE59" s="166">
        <f>_xll.qlPolynomialFunctionValue(BE$1,$BD59,AllTriggers)</f>
        <v>1.7742342144324171E-3</v>
      </c>
      <c r="BF59" s="166">
        <f>_xll.qlPolynomialFunctionValue(BF$1,$BD59,AllTriggers)</f>
        <v>1.7950067859247767E-3</v>
      </c>
      <c r="BG59" s="166">
        <f>_xll.qlPolynomialFunctionValue(BG$1,$BD59,AllTriggers)</f>
        <v>1.8061839587852646E-3</v>
      </c>
      <c r="BH59" s="166">
        <f>_xll.qlPolynomialFunctionValue(BH$1,$BD59,AllTriggers)</f>
        <v>1.7959288991656794E-3</v>
      </c>
      <c r="BI59" s="166">
        <f>_xll.qlPolynomialFunctionValue(BI$1,$BD59,AllTriggers)</f>
        <v>1.7729257473454334E-3</v>
      </c>
      <c r="BJ59" s="166">
        <f>_xll.qlPolynomialFunctionValue(BJ$1,$BD59,AllTriggers)</f>
        <v>1.796876499443649E-3</v>
      </c>
      <c r="BK59" s="166">
        <f>_xll.qlPolynomialFunctionValue(BK$1,$BD59,AllTriggers)</f>
        <v>1.8089714848005646E-3</v>
      </c>
      <c r="BL59" s="166">
        <f>_xll.qlPolynomialFunctionValue(BL$1,$BD59,AllTriggers)</f>
        <v>1.7992821651294879E-3</v>
      </c>
      <c r="BM59" s="166">
        <f>_xll.qlPolynomialFunctionValue(BM$1,$BD59,AllTriggers)</f>
        <v>1.7941168089729213E-3</v>
      </c>
      <c r="BN59" s="166">
        <f>_xll.qlPolynomialFunctionValue(BN$1,$BD59,AllTriggers)</f>
        <v>1.7904081367168814E-3</v>
      </c>
      <c r="BO59" s="166">
        <f>_xll.qlPolynomialFunctionValue(BO$1,$BD59,AllTriggers)</f>
        <v>1.8133551968629042E-3</v>
      </c>
      <c r="BP59" s="166">
        <f>_xll.qlPolynomialFunctionValue(BP$1,$BD59,AllTriggers)</f>
        <v>1.8317779345394154E-3</v>
      </c>
      <c r="BQ59" s="166">
        <f>_xll.qlPolynomialFunctionValue('6MSynthDepo_used'!$P$18,BD59,AllTriggers)</f>
        <v>1.7907196906254493E-3</v>
      </c>
    </row>
    <row r="60" spans="3:69" x14ac:dyDescent="0.2">
      <c r="F60" s="397" t="str">
        <f>C51&amp;"x"&amp;C51+SUBSTITUTE($D$24,"M","")&amp;"F"</f>
        <v>6x12F</v>
      </c>
      <c r="G60" s="365">
        <f>$AD51-G51</f>
        <v>-7.4787925220420556E-5</v>
      </c>
      <c r="H60" s="365">
        <f>$AD51-H51</f>
        <v>1.8138490648903285E-4</v>
      </c>
      <c r="K60" s="187"/>
      <c r="L60" s="187"/>
      <c r="M60" s="187"/>
      <c r="N60" s="187"/>
      <c r="S60" s="365">
        <f>$AD51-S51</f>
        <v>-1.288646010072763E-5</v>
      </c>
      <c r="T60" s="366">
        <f>$AD51-T51</f>
        <v>1.6535757992826219E-4</v>
      </c>
      <c r="U60" s="367">
        <f>$AD51-U51</f>
        <v>-1.2572133562682459E-4</v>
      </c>
      <c r="V60" s="365">
        <f>$AD51-V51</f>
        <v>2.062484007648727E-4</v>
      </c>
      <c r="W60" s="365">
        <f>$AD51-W51</f>
        <v>-1.204567355784017E-5</v>
      </c>
      <c r="X60" s="366">
        <f>$AD51-X51</f>
        <v>1.6283019491143821E-4</v>
      </c>
      <c r="Y60" s="367">
        <f>$AD51-Y51</f>
        <v>-5.2252048813243406E-6</v>
      </c>
      <c r="Z60" s="449">
        <f>$AD51-Z51</f>
        <v>2.0431613647853893E-5</v>
      </c>
      <c r="AA60" s="365">
        <f>$AD51-AA51</f>
        <v>1.0617730475509166E-5</v>
      </c>
      <c r="AB60" s="365">
        <f>$AD51-AB51</f>
        <v>-1.5171729213025488E-5</v>
      </c>
      <c r="AC60" s="365">
        <f>$AD51-AC51</f>
        <v>1.6159777914030466E-5</v>
      </c>
      <c r="BC60" s="384">
        <f>_xll.qlCalendarAdvance(Calendar,BC59,"1d","mf",,Trigger)</f>
        <v>42214</v>
      </c>
      <c r="BD60" s="154">
        <f>_xll.qlDayCounterYearFraction(DayCounter,SettlementDate,BC60,,,Trigger)</f>
        <v>0.21111111111111111</v>
      </c>
      <c r="BE60" s="166">
        <f>_xll.qlPolynomialFunctionValue(BE$1,$BD60,AllTriggers)</f>
        <v>1.7759597758374226E-3</v>
      </c>
      <c r="BF60" s="166">
        <f>_xll.qlPolynomialFunctionValue(BF$1,$BD60,AllTriggers)</f>
        <v>1.797434194172943E-3</v>
      </c>
      <c r="BG60" s="166">
        <f>_xll.qlPolynomialFunctionValue(BG$1,$BD60,AllTriggers)</f>
        <v>1.8072705253032132E-3</v>
      </c>
      <c r="BH60" s="166">
        <f>_xll.qlPolynomialFunctionValue(BH$1,$BD60,AllTriggers)</f>
        <v>1.7982456883933813E-3</v>
      </c>
      <c r="BI60" s="166">
        <f>_xll.qlPolynomialFunctionValue(BI$1,$BD60,AllTriggers)</f>
        <v>1.7747375141454786E-3</v>
      </c>
      <c r="BJ60" s="166">
        <f>_xll.qlPolynomialFunctionValue(BJ$1,$BD60,AllTriggers)</f>
        <v>1.7994130783729261E-3</v>
      </c>
      <c r="BK60" s="166">
        <f>_xll.qlPolynomialFunctionValue(BK$1,$BD60,AllTriggers)</f>
        <v>1.8100400405190607E-3</v>
      </c>
      <c r="BL60" s="166">
        <f>_xll.qlPolynomialFunctionValue(BL$1,$BD60,AllTriggers)</f>
        <v>1.8015267575073152E-3</v>
      </c>
      <c r="BM60" s="166">
        <f>_xll.qlPolynomialFunctionValue(BM$1,$BD60,AllTriggers)</f>
        <v>1.7952252461766638E-3</v>
      </c>
      <c r="BN60" s="166">
        <f>_xll.qlPolynomialFunctionValue(BN$1,$BD60,AllTriggers)</f>
        <v>1.7918746724617685E-3</v>
      </c>
      <c r="BO60" s="166">
        <f>_xll.qlPolynomialFunctionValue(BO$1,$BD60,AllTriggers)</f>
        <v>1.8142894917711878E-3</v>
      </c>
      <c r="BP60" s="166">
        <f>_xll.qlPolynomialFunctionValue(BP$1,$BD60,AllTriggers)</f>
        <v>1.8320824791156715E-3</v>
      </c>
      <c r="BQ60" s="166">
        <f>_xll.qlPolynomialFunctionValue('6MSynthDepo_used'!$P$18,BD60,AllTriggers)</f>
        <v>1.7925458394957856E-3</v>
      </c>
    </row>
    <row r="61" spans="3:69" x14ac:dyDescent="0.2">
      <c r="K61" s="187"/>
      <c r="L61" s="187"/>
      <c r="M61" s="187"/>
      <c r="N61" s="187"/>
      <c r="BC61" s="384">
        <f>_xll.qlCalendarAdvance(Calendar,BC60,"1d","mf",,Trigger)</f>
        <v>42215</v>
      </c>
      <c r="BD61" s="154">
        <f>_xll.qlDayCounterYearFraction(DayCounter,SettlementDate,BC61,,,Trigger)</f>
        <v>0.21388888888888888</v>
      </c>
      <c r="BE61" s="166">
        <f>_xll.qlPolynomialFunctionValue(BE$1,$BD61,AllTriggers)</f>
        <v>1.7776853372424282E-3</v>
      </c>
      <c r="BF61" s="166">
        <f>_xll.qlPolynomialFunctionValue(BF$1,$BD61,AllTriggers)</f>
        <v>1.7998406517690749E-3</v>
      </c>
      <c r="BG61" s="166">
        <f>_xll.qlPolynomialFunctionValue(BG$1,$BD61,AllTriggers)</f>
        <v>1.8083570918211618E-3</v>
      </c>
      <c r="BH61" s="166">
        <f>_xll.qlPolynomialFunctionValue(BH$1,$BD61,AllTriggers)</f>
        <v>1.8005432553912432E-3</v>
      </c>
      <c r="BI61" s="166">
        <f>_xll.qlPolynomialFunctionValue(BI$1,$BD61,AllTriggers)</f>
        <v>1.7765492809455239E-3</v>
      </c>
      <c r="BJ61" s="166">
        <f>_xll.qlPolynomialFunctionValue(BJ$1,$BD61,AllTriggers)</f>
        <v>1.8019264541849723E-3</v>
      </c>
      <c r="BK61" s="166">
        <f>_xll.qlPolynomialFunctionValue(BK$1,$BD61,AllTriggers)</f>
        <v>1.811108596237557E-3</v>
      </c>
      <c r="BL61" s="166">
        <f>_xll.qlPolynomialFunctionValue(BL$1,$BD61,AllTriggers)</f>
        <v>1.8037527618163208E-3</v>
      </c>
      <c r="BM61" s="166">
        <f>_xll.qlPolynomialFunctionValue(BM$1,$BD61,AllTriggers)</f>
        <v>1.7963336833804063E-3</v>
      </c>
      <c r="BN61" s="166">
        <f>_xll.qlPolynomialFunctionValue(BN$1,$BD61,AllTriggers)</f>
        <v>1.7933368587802051E-3</v>
      </c>
      <c r="BO61" s="166">
        <f>_xll.qlPolynomialFunctionValue(BO$1,$BD61,AllTriggers)</f>
        <v>1.8152237866794715E-3</v>
      </c>
      <c r="BP61" s="166">
        <f>_xll.qlPolynomialFunctionValue(BP$1,$BD61,AllTriggers)</f>
        <v>1.8323932288387642E-3</v>
      </c>
      <c r="BQ61" s="166">
        <f>_xll.qlPolynomialFunctionValue('6MSynthDepo_used'!$P$18,BD61,AllTriggers)</f>
        <v>1.7943593230656651E-3</v>
      </c>
    </row>
    <row r="62" spans="3:69" x14ac:dyDescent="0.2">
      <c r="K62" s="187"/>
      <c r="L62" s="187"/>
      <c r="M62" s="187"/>
      <c r="N62" s="187"/>
      <c r="BC62" s="384">
        <f>_xll.qlCalendarAdvance(Calendar,BC61,"1d","mf",,Trigger)</f>
        <v>42216</v>
      </c>
      <c r="BD62" s="154">
        <f>_xll.qlDayCounterYearFraction(DayCounter,SettlementDate,BC62,,,Trigger)</f>
        <v>0.21666666666666667</v>
      </c>
      <c r="BE62" s="166">
        <f>_xll.qlPolynomialFunctionValue(BE$1,$BD62,AllTriggers)</f>
        <v>1.7794108986474337E-3</v>
      </c>
      <c r="BF62" s="166">
        <f>_xll.qlPolynomialFunctionValue(BF$1,$BD62,AllTriggers)</f>
        <v>1.8022261587131723E-3</v>
      </c>
      <c r="BG62" s="166">
        <f>_xll.qlPolynomialFunctionValue(BG$1,$BD62,AllTriggers)</f>
        <v>1.8094436583391104E-3</v>
      </c>
      <c r="BH62" s="166">
        <f>_xll.qlPolynomialFunctionValue(BH$1,$BD62,AllTriggers)</f>
        <v>1.8028216001592654E-3</v>
      </c>
      <c r="BI62" s="166">
        <f>_xll.qlPolynomialFunctionValue(BI$1,$BD62,AllTriggers)</f>
        <v>1.778361047745569E-3</v>
      </c>
      <c r="BJ62" s="166">
        <f>_xll.qlPolynomialFunctionValue(BJ$1,$BD62,AllTriggers)</f>
        <v>1.8044166268797878E-3</v>
      </c>
      <c r="BK62" s="166">
        <f>_xll.qlPolynomialFunctionValue(BK$1,$BD62,AllTriggers)</f>
        <v>1.8121771519560531E-3</v>
      </c>
      <c r="BL62" s="166">
        <f>_xll.qlPolynomialFunctionValue(BL$1,$BD62,AllTriggers)</f>
        <v>1.8059601780565048E-3</v>
      </c>
      <c r="BM62" s="166">
        <f>_xll.qlPolynomialFunctionValue(BM$1,$BD62,AllTriggers)</f>
        <v>1.7974421205841488E-3</v>
      </c>
      <c r="BN62" s="166">
        <f>_xll.qlPolynomialFunctionValue(BN$1,$BD62,AllTriggers)</f>
        <v>1.7947946956721908E-3</v>
      </c>
      <c r="BO62" s="166">
        <f>_xll.qlPolynomialFunctionValue(BO$1,$BD62,AllTriggers)</f>
        <v>1.8161580815877552E-3</v>
      </c>
      <c r="BP62" s="166">
        <f>_xll.qlPolynomialFunctionValue(BP$1,$BD62,AllTriggers)</f>
        <v>1.8327101837086932E-3</v>
      </c>
      <c r="BQ62" s="166">
        <f>_xll.qlPolynomialFunctionValue('6MSynthDepo_used'!$P$18,BD62,AllTriggers)</f>
        <v>1.7961602245580891E-3</v>
      </c>
    </row>
    <row r="63" spans="3:69" x14ac:dyDescent="0.2">
      <c r="C63" s="400"/>
      <c r="D63" s="400"/>
      <c r="E63" s="401"/>
      <c r="H63" s="141"/>
      <c r="K63" s="187"/>
      <c r="L63" s="187"/>
      <c r="M63" s="187"/>
      <c r="N63" s="187"/>
      <c r="P63" s="141"/>
      <c r="Q63" s="141"/>
      <c r="R63" s="140"/>
      <c r="S63" s="140"/>
      <c r="BC63" s="384">
        <f>_xll.qlCalendarAdvance(Calendar,BC62,"1d","mf",,Trigger)</f>
        <v>42219</v>
      </c>
      <c r="BD63" s="154">
        <f>_xll.qlDayCounterYearFraction(DayCounter,SettlementDate,BC63,,,Trigger)</f>
        <v>0.22500000000000001</v>
      </c>
      <c r="BE63" s="166">
        <f>_xll.qlPolynomialFunctionValue(BE$1,$BD63,AllTriggers)</f>
        <v>1.7845875828624504E-3</v>
      </c>
      <c r="BF63" s="166">
        <f>_xll.qlPolynomialFunctionValue(BF$1,$BD63,AllTriggers)</f>
        <v>1.8092569756332556E-3</v>
      </c>
      <c r="BG63" s="166">
        <f>_xll.qlPolynomialFunctionValue(BG$1,$BD63,AllTriggers)</f>
        <v>1.8127033578929563E-3</v>
      </c>
      <c r="BH63" s="166">
        <f>_xll.qlPolynomialFunctionValue(BH$1,$BD63,AllTriggers)</f>
        <v>1.8095413010842921E-3</v>
      </c>
      <c r="BI63" s="166">
        <f>_xll.qlPolynomialFunctionValue(BI$1,$BD63,AllTriggers)</f>
        <v>1.7837963481457048E-3</v>
      </c>
      <c r="BJ63" s="166">
        <f>_xll.qlPolynomialFunctionValue(BJ$1,$BD63,AllTriggers)</f>
        <v>1.8117479262608502E-3</v>
      </c>
      <c r="BK63" s="166">
        <f>_xll.qlPolynomialFunctionValue(BK$1,$BD63,AllTriggers)</f>
        <v>1.8153828191115418E-3</v>
      </c>
      <c r="BL63" s="166">
        <f>_xll.qlPolynomialFunctionValue(BL$1,$BD63,AllTriggers)</f>
        <v>1.8124708983641247E-3</v>
      </c>
      <c r="BM63" s="166">
        <f>_xll.qlPolynomialFunctionValue(BM$1,$BD63,AllTriggers)</f>
        <v>1.8007674321953763E-3</v>
      </c>
      <c r="BN63" s="166">
        <f>_xll.qlPolynomialFunctionValue(BN$1,$BD63,AllTriggers)</f>
        <v>1.799142109789443E-3</v>
      </c>
      <c r="BO63" s="166">
        <f>_xll.qlPolynomialFunctionValue(BO$1,$BD63,AllTriggers)</f>
        <v>1.8189609663126062E-3</v>
      </c>
      <c r="BP63" s="166">
        <f>_xll.qlPolynomialFunctionValue(BP$1,$BD63,AllTriggers)</f>
        <v>1.8336982791994981E-3</v>
      </c>
      <c r="BQ63" s="166">
        <f>_xll.qlPolynomialFunctionValue('6MSynthDepo_used'!$P$18,BD63,AllTriggers)</f>
        <v>1.8014882649964683E-3</v>
      </c>
    </row>
    <row r="64" spans="3:69" x14ac:dyDescent="0.2">
      <c r="C64" s="400"/>
      <c r="D64" s="400"/>
      <c r="E64" s="401"/>
      <c r="H64" s="141"/>
      <c r="K64" s="187"/>
      <c r="L64" s="187"/>
      <c r="M64" s="187"/>
      <c r="N64" s="187"/>
      <c r="P64" s="141"/>
      <c r="Q64" s="141"/>
      <c r="R64" s="141"/>
      <c r="S64" s="141"/>
      <c r="BC64" s="384">
        <f>_xll.qlCalendarAdvance(Calendar,BC63,"1d","mf",,Trigger)</f>
        <v>42220</v>
      </c>
      <c r="BD64" s="154">
        <f>_xll.qlDayCounterYearFraction(DayCounter,SettlementDate,BC64,,,Trigger)</f>
        <v>0.22777777777777777</v>
      </c>
      <c r="BE64" s="166">
        <f>_xll.qlPolynomialFunctionValue(BE$1,$BD64,AllTriggers)</f>
        <v>1.7863131442674559E-3</v>
      </c>
      <c r="BF64" s="166">
        <f>_xll.qlPolynomialFunctionValue(BF$1,$BD64,AllTriggers)</f>
        <v>1.8115586799692142E-3</v>
      </c>
      <c r="BG64" s="166">
        <f>_xll.qlPolynomialFunctionValue(BG$1,$BD64,AllTriggers)</f>
        <v>1.8137899244109049E-3</v>
      </c>
      <c r="BH64" s="166">
        <f>_xll.qlPolynomialFunctionValue(BH$1,$BD64,AllTriggers)</f>
        <v>1.8117427569329543E-3</v>
      </c>
      <c r="BI64" s="166">
        <f>_xll.qlPolynomialFunctionValue(BI$1,$BD64,AllTriggers)</f>
        <v>1.7856081149457501E-3</v>
      </c>
      <c r="BJ64" s="166">
        <f>_xll.qlPolynomialFunctionValue(BJ$1,$BD64,AllTriggers)</f>
        <v>1.8141452864867428E-3</v>
      </c>
      <c r="BK64" s="166">
        <f>_xll.qlPolynomialFunctionValue(BK$1,$BD64,AllTriggers)</f>
        <v>1.8164513748300378E-3</v>
      </c>
      <c r="BL64" s="166">
        <f>_xll.qlPolynomialFunctionValue(BL$1,$BD64,AllTriggers)</f>
        <v>1.8146039623290209E-3</v>
      </c>
      <c r="BM64" s="166">
        <f>_xll.qlPolynomialFunctionValue(BM$1,$BD64,AllTriggers)</f>
        <v>1.8018758693991188E-3</v>
      </c>
      <c r="BN64" s="166">
        <f>_xll.qlPolynomialFunctionValue(BN$1,$BD64,AllTriggers)</f>
        <v>1.8005825489756256E-3</v>
      </c>
      <c r="BO64" s="166">
        <f>_xll.qlPolynomialFunctionValue(BO$1,$BD64,AllTriggers)</f>
        <v>1.8198952612208897E-3</v>
      </c>
      <c r="BP64" s="166">
        <f>_xll.qlPolynomialFunctionValue(BP$1,$BD64,AllTriggers)</f>
        <v>1.8340400546567725E-3</v>
      </c>
      <c r="BQ64" s="166">
        <f>_xll.qlPolynomialFunctionValue('6MSynthDepo_used'!$P$18,BD64,AllTriggers)</f>
        <v>1.8032396653368515E-3</v>
      </c>
    </row>
    <row r="65" spans="3:69" x14ac:dyDescent="0.2">
      <c r="C65" s="400"/>
      <c r="D65" s="400"/>
      <c r="E65" s="401"/>
      <c r="H65" s="141"/>
      <c r="K65" s="187"/>
      <c r="L65" s="187"/>
      <c r="M65" s="187"/>
      <c r="N65" s="187"/>
      <c r="P65" s="141"/>
      <c r="Q65" s="141"/>
      <c r="R65" s="141"/>
      <c r="S65" s="141"/>
      <c r="BC65" s="384">
        <f>_xll.qlCalendarAdvance(Calendar,BC64,"1d","mf",,Trigger)</f>
        <v>42221</v>
      </c>
      <c r="BD65" s="154">
        <f>_xll.qlDayCounterYearFraction(DayCounter,SettlementDate,BC65,,,Trigger)</f>
        <v>0.23055555555555557</v>
      </c>
      <c r="BE65" s="166">
        <f>_xll.qlPolynomialFunctionValue(BE$1,$BD65,AllTriggers)</f>
        <v>1.7880387056724615E-3</v>
      </c>
      <c r="BF65" s="166">
        <f>_xll.qlPolynomialFunctionValue(BF$1,$BD65,AllTriggers)</f>
        <v>1.813839433653138E-3</v>
      </c>
      <c r="BG65" s="166">
        <f>_xll.qlPolynomialFunctionValue(BG$1,$BD65,AllTriggers)</f>
        <v>1.8148764909288535E-3</v>
      </c>
      <c r="BH65" s="166">
        <f>_xll.qlPolynomialFunctionValue(BH$1,$BD65,AllTriggers)</f>
        <v>1.8139249905517771E-3</v>
      </c>
      <c r="BI65" s="166">
        <f>_xll.qlPolynomialFunctionValue(BI$1,$BD65,AllTriggers)</f>
        <v>1.7874198817457952E-3</v>
      </c>
      <c r="BJ65" s="166">
        <f>_xll.qlPolynomialFunctionValue(BJ$1,$BD65,AllTriggers)</f>
        <v>1.8165194435954049E-3</v>
      </c>
      <c r="BK65" s="166">
        <f>_xll.qlPolynomialFunctionValue(BK$1,$BD65,AllTriggers)</f>
        <v>1.8175199305485341E-3</v>
      </c>
      <c r="BL65" s="166">
        <f>_xll.qlPolynomialFunctionValue(BL$1,$BD65,AllTriggers)</f>
        <v>1.8167184382250955E-3</v>
      </c>
      <c r="BM65" s="166">
        <f>_xll.qlPolynomialFunctionValue(BM$1,$BD65,AllTriggers)</f>
        <v>1.8029843066028613E-3</v>
      </c>
      <c r="BN65" s="166">
        <f>_xll.qlPolynomialFunctionValue(BN$1,$BD65,AllTriggers)</f>
        <v>1.8020186387353574E-3</v>
      </c>
      <c r="BO65" s="166">
        <f>_xll.qlPolynomialFunctionValue(BO$1,$BD65,AllTriggers)</f>
        <v>1.8208295561291735E-3</v>
      </c>
      <c r="BP65" s="166">
        <f>_xll.qlPolynomialFunctionValue(BP$1,$BD65,AllTriggers)</f>
        <v>1.8343880352608834E-3</v>
      </c>
      <c r="BQ65" s="166">
        <f>_xll.qlPolynomialFunctionValue('6MSynthDepo_used'!$P$18,BD65,AllTriggers)</f>
        <v>1.8049788959106112E-3</v>
      </c>
    </row>
    <row r="66" spans="3:69" x14ac:dyDescent="0.2">
      <c r="C66" s="400"/>
      <c r="D66" s="400"/>
      <c r="E66" s="401"/>
      <c r="H66" s="141"/>
      <c r="K66" s="187"/>
      <c r="L66" s="187"/>
      <c r="M66" s="187"/>
      <c r="N66" s="187"/>
      <c r="P66" s="141"/>
      <c r="Q66" s="141"/>
      <c r="R66" s="141"/>
      <c r="S66" s="141"/>
      <c r="BC66" s="384">
        <f>_xll.qlCalendarAdvance(Calendar,BC65,"1d","mf",,Trigger)</f>
        <v>42222</v>
      </c>
      <c r="BD66" s="154">
        <f>_xll.qlDayCounterYearFraction(DayCounter,SettlementDate,BC66,,,Trigger)</f>
        <v>0.23333333333333334</v>
      </c>
      <c r="BE66" s="166">
        <f>_xll.qlPolynomialFunctionValue(BE$1,$BD66,AllTriggers)</f>
        <v>1.789764267077467E-3</v>
      </c>
      <c r="BF66" s="166">
        <f>_xll.qlPolynomialFunctionValue(BF$1,$BD66,AllTriggers)</f>
        <v>1.8160992366850273E-3</v>
      </c>
      <c r="BG66" s="166">
        <f>_xll.qlPolynomialFunctionValue(BG$1,$BD66,AllTriggers)</f>
        <v>1.8159630574468022E-3</v>
      </c>
      <c r="BH66" s="166">
        <f>_xll.qlPolynomialFunctionValue(BH$1,$BD66,AllTriggers)</f>
        <v>1.8160880019407596E-3</v>
      </c>
      <c r="BI66" s="166">
        <f>_xll.qlPolynomialFunctionValue(BI$1,$BD66,AllTriggers)</f>
        <v>1.7892316485458406E-3</v>
      </c>
      <c r="BJ66" s="166">
        <f>_xll.qlPolynomialFunctionValue(BJ$1,$BD66,AllTriggers)</f>
        <v>1.8188703975868361E-3</v>
      </c>
      <c r="BK66" s="166">
        <f>_xll.qlPolynomialFunctionValue(BK$1,$BD66,AllTriggers)</f>
        <v>1.8185884862670302E-3</v>
      </c>
      <c r="BL66" s="166">
        <f>_xll.qlPolynomialFunctionValue(BL$1,$BD66,AllTriggers)</f>
        <v>1.8188143260523481E-3</v>
      </c>
      <c r="BM66" s="166">
        <f>_xll.qlPolynomialFunctionValue(BM$1,$BD66,AllTriggers)</f>
        <v>1.8040927438066037E-3</v>
      </c>
      <c r="BN66" s="166">
        <f>_xll.qlPolynomialFunctionValue(BN$1,$BD66,AllTriggers)</f>
        <v>1.8034503790686383E-3</v>
      </c>
      <c r="BO66" s="166">
        <f>_xll.qlPolynomialFunctionValue(BO$1,$BD66,AllTriggers)</f>
        <v>1.8217638510374572E-3</v>
      </c>
      <c r="BP66" s="166">
        <f>_xll.qlPolynomialFunctionValue(BP$1,$BD66,AllTriggers)</f>
        <v>1.8347422210118307E-3</v>
      </c>
      <c r="BQ66" s="166">
        <f>_xll.qlPolynomialFunctionValue('6MSynthDepo_used'!$P$18,BD66,AllTriggers)</f>
        <v>1.8067060384190793E-3</v>
      </c>
    </row>
    <row r="67" spans="3:69" x14ac:dyDescent="0.2">
      <c r="C67" s="400"/>
      <c r="D67" s="400"/>
      <c r="E67" s="401"/>
      <c r="H67" s="141"/>
      <c r="K67" s="187"/>
      <c r="L67" s="187"/>
      <c r="M67" s="187"/>
      <c r="N67" s="187"/>
      <c r="P67" s="141"/>
      <c r="Q67" s="141"/>
      <c r="R67" s="141"/>
      <c r="S67" s="141"/>
      <c r="BC67" s="384">
        <f>_xll.qlCalendarAdvance(Calendar,BC66,"1d","mf",,Trigger)</f>
        <v>42223</v>
      </c>
      <c r="BD67" s="154">
        <f>_xll.qlDayCounterYearFraction(DayCounter,SettlementDate,BC67,,,Trigger)</f>
        <v>0.2361111111111111</v>
      </c>
      <c r="BE67" s="166">
        <f>_xll.qlPolynomialFunctionValue(BE$1,$BD67,AllTriggers)</f>
        <v>1.7914898284824726E-3</v>
      </c>
      <c r="BF67" s="166">
        <f>_xll.qlPolynomialFunctionValue(BF$1,$BD67,AllTriggers)</f>
        <v>1.8183380890648818E-3</v>
      </c>
      <c r="BG67" s="166">
        <f>_xll.qlPolynomialFunctionValue(BG$1,$BD67,AllTriggers)</f>
        <v>1.8170496239647508E-3</v>
      </c>
      <c r="BH67" s="166">
        <f>_xll.qlPolynomialFunctionValue(BH$1,$BD67,AllTriggers)</f>
        <v>1.8182317910999024E-3</v>
      </c>
      <c r="BI67" s="166">
        <f>_xll.qlPolynomialFunctionValue(BI$1,$BD67,AllTriggers)</f>
        <v>1.7910434153458857E-3</v>
      </c>
      <c r="BJ67" s="166">
        <f>_xll.qlPolynomialFunctionValue(BJ$1,$BD67,AllTriggers)</f>
        <v>1.8211981484610367E-3</v>
      </c>
      <c r="BK67" s="166">
        <f>_xll.qlPolynomialFunctionValue(BK$1,$BD67,AllTriggers)</f>
        <v>1.8196570419855265E-3</v>
      </c>
      <c r="BL67" s="166">
        <f>_xll.qlPolynomialFunctionValue(BL$1,$BD67,AllTriggers)</f>
        <v>1.8208916258107787E-3</v>
      </c>
      <c r="BM67" s="166">
        <f>_xll.qlPolynomialFunctionValue(BM$1,$BD67,AllTriggers)</f>
        <v>1.8052011810103462E-3</v>
      </c>
      <c r="BN67" s="166">
        <f>_xll.qlPolynomialFunctionValue(BN$1,$BD67,AllTriggers)</f>
        <v>1.8048777699754685E-3</v>
      </c>
      <c r="BO67" s="166">
        <f>_xll.qlPolynomialFunctionValue(BO$1,$BD67,AllTriggers)</f>
        <v>1.8226981459457409E-3</v>
      </c>
      <c r="BP67" s="166">
        <f>_xll.qlPolynomialFunctionValue(BP$1,$BD67,AllTriggers)</f>
        <v>1.8351026119096143E-3</v>
      </c>
      <c r="BQ67" s="166">
        <f>_xll.qlPolynomialFunctionValue('6MSynthDepo_used'!$P$18,BD67,AllTriggers)</f>
        <v>1.8084211743099753E-3</v>
      </c>
    </row>
    <row r="68" spans="3:69" x14ac:dyDescent="0.2">
      <c r="C68" s="400"/>
      <c r="D68" s="400"/>
      <c r="E68" s="401"/>
      <c r="H68" s="141"/>
      <c r="K68" s="187"/>
      <c r="L68" s="187"/>
      <c r="M68" s="187"/>
      <c r="N68" s="187"/>
      <c r="P68" s="141"/>
      <c r="Q68" s="141"/>
      <c r="R68" s="141"/>
      <c r="S68" s="141"/>
      <c r="BC68" s="384">
        <f>_xll.qlCalendarAdvance(Calendar,BC67,"1d","mf",,Trigger)</f>
        <v>42226</v>
      </c>
      <c r="BD68" s="154">
        <f>_xll.qlDayCounterYearFraction(DayCounter,SettlementDate,BC68,,,Trigger)</f>
        <v>0.24444444444444444</v>
      </c>
      <c r="BE68" s="166">
        <f>_xll.qlPolynomialFunctionValue(BE$1,$BD68,AllTriggers)</f>
        <v>1.7966665126974894E-3</v>
      </c>
      <c r="BF68" s="166">
        <f>_xll.qlPolynomialFunctionValue(BF$1,$BD68,AllTriggers)</f>
        <v>1.8249289422922377E-3</v>
      </c>
      <c r="BG68" s="166">
        <f>_xll.qlPolynomialFunctionValue(BG$1,$BD68,AllTriggers)</f>
        <v>1.8203093235185967E-3</v>
      </c>
      <c r="BH68" s="166">
        <f>_xll.qlPolynomialFunctionValue(BH$1,$BD68,AllTriggers)</f>
        <v>1.8245478251982916E-3</v>
      </c>
      <c r="BI68" s="166">
        <f>_xll.qlPolynomialFunctionValue(BI$1,$BD68,AllTriggers)</f>
        <v>1.7964787157460215E-3</v>
      </c>
      <c r="BJ68" s="166">
        <f>_xll.qlPolynomialFunctionValue(BJ$1,$BD68,AllTriggers)</f>
        <v>1.8280421823802539E-3</v>
      </c>
      <c r="BK68" s="166">
        <f>_xll.qlPolynomialFunctionValue(BK$1,$BD68,AllTriggers)</f>
        <v>1.822862709141015E-3</v>
      </c>
      <c r="BL68" s="166">
        <f>_xll.qlPolynomialFunctionValue(BL$1,$BD68,AllTriggers)</f>
        <v>1.8270119966731398E-3</v>
      </c>
      <c r="BM68" s="166">
        <f>_xll.qlPolynomialFunctionValue(BM$1,$BD68,AllTriggers)</f>
        <v>1.8085264926215737E-3</v>
      </c>
      <c r="BN68" s="166">
        <f>_xll.qlPolynomialFunctionValue(BN$1,$BD68,AllTriggers)</f>
        <v>1.8091338461372541E-3</v>
      </c>
      <c r="BO68" s="166">
        <f>_xll.qlPolynomialFunctionValue(BO$1,$BD68,AllTriggers)</f>
        <v>1.8255010306705917E-3</v>
      </c>
      <c r="BP68" s="166">
        <f>_xll.qlPolynomialFunctionValue(BP$1,$BD68,AllTriggers)</f>
        <v>1.8362210154839831E-3</v>
      </c>
      <c r="BQ68" s="166">
        <f>_xll.qlPolynomialFunctionValue('6MSynthDepo_used'!$P$18,BD68,AllTriggers)</f>
        <v>1.8134953529502522E-3</v>
      </c>
    </row>
    <row r="69" spans="3:69" x14ac:dyDescent="0.2">
      <c r="C69" s="400"/>
      <c r="D69" s="400"/>
      <c r="E69" s="401"/>
      <c r="G69" s="402"/>
      <c r="H69" s="141"/>
      <c r="J69" s="402"/>
      <c r="K69" s="187"/>
      <c r="L69" s="187"/>
      <c r="M69" s="187"/>
      <c r="N69" s="187"/>
      <c r="P69" s="141"/>
      <c r="Q69" s="141"/>
      <c r="R69" s="141"/>
      <c r="S69" s="141"/>
      <c r="BC69" s="384">
        <f>_xll.qlCalendarAdvance(Calendar,BC68,"1d","mf",,Trigger)</f>
        <v>42227</v>
      </c>
      <c r="BD69" s="154">
        <f>_xll.qlDayCounterYearFraction(DayCounter,SettlementDate,BC69,,,Trigger)</f>
        <v>0.24722222222222223</v>
      </c>
      <c r="BE69" s="166">
        <f>_xll.qlPolynomialFunctionValue(BE$1,$BD69,AllTriggers)</f>
        <v>1.798392074102495E-3</v>
      </c>
      <c r="BF69" s="166">
        <f>_xll.qlPolynomialFunctionValue(BF$1,$BD69,AllTriggers)</f>
        <v>1.8270839920639537E-3</v>
      </c>
      <c r="BG69" s="166">
        <f>_xll.qlPolynomialFunctionValue(BG$1,$BD69,AllTriggers)</f>
        <v>1.8213958900365453E-3</v>
      </c>
      <c r="BH69" s="166">
        <f>_xll.qlPolynomialFunctionValue(BH$1,$BD69,AllTriggers)</f>
        <v>1.8266147254380747E-3</v>
      </c>
      <c r="BI69" s="166">
        <f>_xll.qlPolynomialFunctionValue(BI$1,$BD69,AllTriggers)</f>
        <v>1.7982904825460666E-3</v>
      </c>
      <c r="BJ69" s="166">
        <f>_xll.qlPolynomialFunctionValue(BJ$1,$BD69,AllTriggers)</f>
        <v>1.8302771207855317E-3</v>
      </c>
      <c r="BK69" s="166">
        <f>_xll.qlPolynomialFunctionValue(BK$1,$BD69,AllTriggers)</f>
        <v>1.8239312648595113E-3</v>
      </c>
      <c r="BL69" s="166">
        <f>_xll.qlPolynomialFunctionValue(BL$1,$BD69,AllTriggers)</f>
        <v>1.829014944156283E-3</v>
      </c>
      <c r="BM69" s="166">
        <f>_xll.qlPolynomialFunctionValue(BM$1,$BD69,AllTriggers)</f>
        <v>1.8096349298253162E-3</v>
      </c>
      <c r="BN69" s="166">
        <f>_xll.qlPolynomialFunctionValue(BN$1,$BD69,AllTriggers)</f>
        <v>1.8105438393382811E-3</v>
      </c>
      <c r="BO69" s="166">
        <f>_xll.qlPolynomialFunctionValue(BO$1,$BD69,AllTriggers)</f>
        <v>1.8264353255788754E-3</v>
      </c>
      <c r="BP69" s="166">
        <f>_xll.qlPolynomialFunctionValue(BP$1,$BD69,AllTriggers)</f>
        <v>1.8366062269691121E-3</v>
      </c>
      <c r="BQ69" s="166">
        <f>_xll.qlPolynomialFunctionValue('6MSynthDepo_used'!$P$18,BD69,AllTriggers)</f>
        <v>1.8151632717758237E-3</v>
      </c>
    </row>
    <row r="70" spans="3:69" x14ac:dyDescent="0.2">
      <c r="C70" s="400"/>
      <c r="D70" s="400"/>
      <c r="E70" s="401"/>
      <c r="H70" s="141"/>
      <c r="K70" s="187"/>
      <c r="L70" s="187"/>
      <c r="M70" s="187"/>
      <c r="N70" s="187"/>
      <c r="P70" s="141"/>
      <c r="Q70" s="141"/>
      <c r="R70" s="141"/>
      <c r="S70" s="141"/>
      <c r="T70" s="141"/>
      <c r="BC70" s="384">
        <f>_xll.qlCalendarAdvance(Calendar,BC69,"1d","mf",,Trigger)</f>
        <v>42228</v>
      </c>
      <c r="BD70" s="154">
        <f>_xll.qlDayCounterYearFraction(DayCounter,SettlementDate,BC70,,,Trigger)</f>
        <v>0.25</v>
      </c>
      <c r="BE70" s="166">
        <f>_xll.qlPolynomialFunctionValue(BE$1,$BD70,AllTriggers)</f>
        <v>1.8001176355075005E-3</v>
      </c>
      <c r="BF70" s="166">
        <f>_xll.qlPolynomialFunctionValue(BF$1,$BD70,AllTriggers)</f>
        <v>1.8292180911836349E-3</v>
      </c>
      <c r="BG70" s="166">
        <f>_xll.qlPolynomialFunctionValue(BG$1,$BD70,AllTriggers)</f>
        <v>1.8224824565544939E-3</v>
      </c>
      <c r="BH70" s="166">
        <f>_xll.qlPolynomialFunctionValue(BH$1,$BD70,AllTriggers)</f>
        <v>1.828662403448018E-3</v>
      </c>
      <c r="BI70" s="166">
        <f>_xll.qlPolynomialFunctionValue(BI$1,$BD70,AllTriggers)</f>
        <v>1.8001022493461119E-3</v>
      </c>
      <c r="BJ70" s="166">
        <f>_xll.qlPolynomialFunctionValue(BJ$1,$BD70,AllTriggers)</f>
        <v>1.8324888560735785E-3</v>
      </c>
      <c r="BK70" s="166">
        <f>_xll.qlPolynomialFunctionValue(BK$1,$BD70,AllTriggers)</f>
        <v>1.8249998205780073E-3</v>
      </c>
      <c r="BL70" s="166">
        <f>_xll.qlPolynomialFunctionValue(BL$1,$BD70,AllTriggers)</f>
        <v>1.8309993035706042E-3</v>
      </c>
      <c r="BM70" s="166">
        <f>_xll.qlPolynomialFunctionValue(BM$1,$BD70,AllTriggers)</f>
        <v>1.8107433670290587E-3</v>
      </c>
      <c r="BN70" s="166">
        <f>_xll.qlPolynomialFunctionValue(BN$1,$BD70,AllTriggers)</f>
        <v>1.8119494831128572E-3</v>
      </c>
      <c r="BO70" s="166">
        <f>_xll.qlPolynomialFunctionValue(BO$1,$BD70,AllTriggers)</f>
        <v>1.8273696204871592E-3</v>
      </c>
      <c r="BP70" s="166">
        <f>_xll.qlPolynomialFunctionValue(BP$1,$BD70,AllTriggers)</f>
        <v>1.8369976436010777E-3</v>
      </c>
      <c r="BQ70" s="166">
        <f>_xll.qlPolynomialFunctionValue('6MSynthDepo_used'!$P$18,BD70,AllTriggers)</f>
        <v>1.816819587418247E-3</v>
      </c>
    </row>
    <row r="71" spans="3:69" x14ac:dyDescent="0.2">
      <c r="C71" s="400"/>
      <c r="D71" s="400"/>
      <c r="K71" s="187"/>
      <c r="L71" s="187"/>
      <c r="M71" s="187"/>
      <c r="N71" s="187"/>
      <c r="S71" s="141"/>
      <c r="T71" s="141"/>
      <c r="BC71" s="384">
        <f>_xll.qlCalendarAdvance(Calendar,BC70,"1d","mf",,Trigger)</f>
        <v>42229</v>
      </c>
      <c r="BD71" s="154">
        <f>_xll.qlDayCounterYearFraction(DayCounter,SettlementDate,BC71,,,Trigger)</f>
        <v>0.25277777777777777</v>
      </c>
      <c r="BE71" s="166">
        <f>_xll.qlPolynomialFunctionValue(BE$1,$BD71,AllTriggers)</f>
        <v>1.8018431969125061E-3</v>
      </c>
      <c r="BF71" s="166">
        <f>_xll.qlPolynomialFunctionValue(BF$1,$BD71,AllTriggers)</f>
        <v>1.8313312396512817E-3</v>
      </c>
      <c r="BG71" s="166">
        <f>_xll.qlPolynomialFunctionValue(BG$1,$BD71,AllTriggers)</f>
        <v>1.8235690230724425E-3</v>
      </c>
      <c r="BH71" s="166">
        <f>_xll.qlPolynomialFunctionValue(BH$1,$BD71,AllTriggers)</f>
        <v>1.8306908592281214E-3</v>
      </c>
      <c r="BI71" s="166">
        <f>_xll.qlPolynomialFunctionValue(BI$1,$BD71,AllTriggers)</f>
        <v>1.8019140161461573E-3</v>
      </c>
      <c r="BJ71" s="166">
        <f>_xll.qlPolynomialFunctionValue(BJ$1,$BD71,AllTriggers)</f>
        <v>1.8346773882443948E-3</v>
      </c>
      <c r="BK71" s="166">
        <f>_xll.qlPolynomialFunctionValue(BK$1,$BD71,AllTriggers)</f>
        <v>1.8260683762965034E-3</v>
      </c>
      <c r="BL71" s="166">
        <f>_xll.qlPolynomialFunctionValue(BL$1,$BD71,AllTriggers)</f>
        <v>1.8329650749161037E-3</v>
      </c>
      <c r="BM71" s="166">
        <f>_xll.qlPolynomialFunctionValue(BM$1,$BD71,AllTriggers)</f>
        <v>1.8118518042328012E-3</v>
      </c>
      <c r="BN71" s="166">
        <f>_xll.qlPolynomialFunctionValue(BN$1,$BD71,AllTriggers)</f>
        <v>1.8133507774609828E-3</v>
      </c>
      <c r="BO71" s="166">
        <f>_xll.qlPolynomialFunctionValue(BO$1,$BD71,AllTriggers)</f>
        <v>1.8283039153954427E-3</v>
      </c>
      <c r="BP71" s="166">
        <f>_xll.qlPolynomialFunctionValue(BP$1,$BD71,AllTriggers)</f>
        <v>1.8373952653798794E-3</v>
      </c>
      <c r="BQ71" s="166">
        <f>_xll.qlPolynomialFunctionValue('6MSynthDepo_used'!$P$18,BD71,AllTriggers)</f>
        <v>1.8184643798035722E-3</v>
      </c>
    </row>
    <row r="72" spans="3:69" x14ac:dyDescent="0.2">
      <c r="C72" s="400"/>
      <c r="D72" s="400"/>
      <c r="K72" s="187"/>
      <c r="L72" s="187"/>
      <c r="M72" s="187"/>
      <c r="N72" s="187"/>
      <c r="S72" s="141"/>
      <c r="T72" s="141"/>
      <c r="BC72" s="384">
        <f>_xll.qlCalendarAdvance(Calendar,BC71,"1d","mf",,Trigger)</f>
        <v>42230</v>
      </c>
      <c r="BD72" s="154">
        <f>_xll.qlDayCounterYearFraction(DayCounter,SettlementDate,BC72,,,Trigger)</f>
        <v>0.25555555555555554</v>
      </c>
      <c r="BE72" s="166">
        <f>_xll.qlPolynomialFunctionValue(BE$1,$BD72,AllTriggers)</f>
        <v>1.8035687583175116E-3</v>
      </c>
      <c r="BF72" s="166">
        <f>_xll.qlPolynomialFunctionValue(BF$1,$BD72,AllTriggers)</f>
        <v>1.8334234374668937E-3</v>
      </c>
      <c r="BG72" s="166">
        <f>_xll.qlPolynomialFunctionValue(BG$1,$BD72,AllTriggers)</f>
        <v>1.8246555895903912E-3</v>
      </c>
      <c r="BH72" s="166">
        <f>_xll.qlPolynomialFunctionValue(BH$1,$BD72,AllTriggers)</f>
        <v>1.8327000927783851E-3</v>
      </c>
      <c r="BI72" s="166">
        <f>_xll.qlPolynomialFunctionValue(BI$1,$BD72,AllTriggers)</f>
        <v>1.8037257829462024E-3</v>
      </c>
      <c r="BJ72" s="166">
        <f>_xll.qlPolynomialFunctionValue(BJ$1,$BD72,AllTriggers)</f>
        <v>1.8368427172979801E-3</v>
      </c>
      <c r="BK72" s="166">
        <f>_xll.qlPolynomialFunctionValue(BK$1,$BD72,AllTriggers)</f>
        <v>1.8271369320149997E-3</v>
      </c>
      <c r="BL72" s="166">
        <f>_xll.qlPolynomialFunctionValue(BL$1,$BD72,AllTriggers)</f>
        <v>1.8349122581927813E-3</v>
      </c>
      <c r="BM72" s="166">
        <f>_xll.qlPolynomialFunctionValue(BM$1,$BD72,AllTriggers)</f>
        <v>1.8129602414365437E-3</v>
      </c>
      <c r="BN72" s="166">
        <f>_xll.qlPolynomialFunctionValue(BN$1,$BD72,AllTriggers)</f>
        <v>1.8147477223826574E-3</v>
      </c>
      <c r="BO72" s="166">
        <f>_xll.qlPolynomialFunctionValue(BO$1,$BD72,AllTriggers)</f>
        <v>1.8292382103037264E-3</v>
      </c>
      <c r="BP72" s="166">
        <f>_xll.qlPolynomialFunctionValue(BP$1,$BD72,AllTriggers)</f>
        <v>1.8377990923055176E-3</v>
      </c>
      <c r="BQ72" s="166">
        <f>_xll.qlPolynomialFunctionValue('6MSynthDepo_used'!$P$18,BD72,AllTriggers)</f>
        <v>1.8200977286042372E-3</v>
      </c>
    </row>
    <row r="73" spans="3:69" ht="11.25" customHeight="1" x14ac:dyDescent="0.2">
      <c r="C73" s="400"/>
      <c r="D73" s="400"/>
      <c r="K73" s="187"/>
      <c r="L73" s="187"/>
      <c r="M73" s="187"/>
      <c r="N73" s="187"/>
      <c r="S73" s="141"/>
      <c r="T73" s="141"/>
      <c r="BC73" s="384">
        <f>_xll.qlCalendarAdvance(Calendar,BC72,"1d","mf",,Trigger)</f>
        <v>42233</v>
      </c>
      <c r="BD73" s="154">
        <f>_xll.qlDayCounterYearFraction(DayCounter,SettlementDate,BC73,,,Trigger)</f>
        <v>0.2638888888888889</v>
      </c>
      <c r="BE73" s="166">
        <f>_xll.qlPolynomialFunctionValue(BE$1,$BD73,AllTriggers)</f>
        <v>1.8087454425325285E-3</v>
      </c>
      <c r="BF73" s="166">
        <f>_xll.qlPolynomialFunctionValue(BF$1,$BD73,AllTriggers)</f>
        <v>1.8395743270015216E-3</v>
      </c>
      <c r="BG73" s="166">
        <f>_xll.qlPolynomialFunctionValue(BG$1,$BD73,AllTriggers)</f>
        <v>1.827915289144237E-3</v>
      </c>
      <c r="BH73" s="166">
        <f>_xll.qlPolynomialFunctionValue(BH$1,$BD73,AllTriggers)</f>
        <v>1.8386124600501363E-3</v>
      </c>
      <c r="BI73" s="166">
        <f>_xll.qlPolynomialFunctionValue(BI$1,$BD73,AllTriggers)</f>
        <v>1.8091610833463382E-3</v>
      </c>
      <c r="BJ73" s="166">
        <f>_xll.qlPolynomialFunctionValue(BJ$1,$BD73,AllTriggers)</f>
        <v>1.8431994857553524E-3</v>
      </c>
      <c r="BK73" s="166">
        <f>_xll.qlPolynomialFunctionValue(BK$1,$BD73,AllTriggers)</f>
        <v>1.8303425991704882E-3</v>
      </c>
      <c r="BL73" s="166">
        <f>_xll.qlPolynomialFunctionValue(BL$1,$BD73,AllTriggers)</f>
        <v>1.8406422796098832E-3</v>
      </c>
      <c r="BM73" s="166">
        <f>_xll.qlPolynomialFunctionValue(BM$1,$BD73,AllTriggers)</f>
        <v>1.8162855530477712E-3</v>
      </c>
      <c r="BN73" s="166">
        <f>_xll.qlPolynomialFunctionValue(BN$1,$BD73,AllTriggers)</f>
        <v>1.8189124605889765E-3</v>
      </c>
      <c r="BO73" s="166">
        <f>_xll.qlPolynomialFunctionValue(BO$1,$BD73,AllTriggers)</f>
        <v>1.8320410950285774E-3</v>
      </c>
      <c r="BP73" s="166">
        <f>_xll.qlPolynomialFunctionValue(BP$1,$BD73,AllTriggers)</f>
        <v>1.8390478039634506E-3</v>
      </c>
      <c r="BQ73" s="166">
        <f>_xll.qlPolynomialFunctionValue('6MSynthDepo_used'!$P$18,BD73,AllTriggers)</f>
        <v>1.8249299064184786E-3</v>
      </c>
    </row>
    <row r="74" spans="3:69" x14ac:dyDescent="0.2">
      <c r="C74" s="400"/>
      <c r="D74" s="400"/>
      <c r="K74" s="187"/>
      <c r="L74" s="187"/>
      <c r="M74" s="187"/>
      <c r="N74" s="187"/>
      <c r="S74" s="141"/>
      <c r="T74" s="141"/>
      <c r="BC74" s="384">
        <f>_xll.qlCalendarAdvance(Calendar,BC73,"1d","mf",,Trigger)</f>
        <v>42234</v>
      </c>
      <c r="BD74" s="154">
        <f>_xll.qlDayCounterYearFraction(DayCounter,SettlementDate,BC74,,,Trigger)</f>
        <v>0.26666666666666666</v>
      </c>
      <c r="BE74" s="166">
        <f>_xll.qlPolynomialFunctionValue(BE$1,$BD74,AllTriggers)</f>
        <v>1.810471003937534E-3</v>
      </c>
      <c r="BF74" s="166">
        <f>_xll.qlPolynomialFunctionValue(BF$1,$BD74,AllTriggers)</f>
        <v>1.8415827222089951E-3</v>
      </c>
      <c r="BG74" s="166">
        <f>_xll.qlPolynomialFunctionValue(BG$1,$BD74,AllTriggers)</f>
        <v>1.8290018556621857E-3</v>
      </c>
      <c r="BH74" s="166">
        <f>_xll.qlPolynomialFunctionValue(BH$1,$BD74,AllTriggers)</f>
        <v>1.8405448046810403E-3</v>
      </c>
      <c r="BI74" s="166">
        <f>_xll.qlPolynomialFunctionValue(BI$1,$BD74,AllTriggers)</f>
        <v>1.8109728501463833E-3</v>
      </c>
      <c r="BJ74" s="166">
        <f>_xll.qlPolynomialFunctionValue(BJ$1,$BD74,AllTriggers)</f>
        <v>1.8452720023400151E-3</v>
      </c>
      <c r="BK74" s="166">
        <f>_xll.qlPolynomialFunctionValue(BK$1,$BD74,AllTriggers)</f>
        <v>1.8314111548889845E-3</v>
      </c>
      <c r="BL74" s="166">
        <f>_xll.qlPolynomialFunctionValue(BL$1,$BD74,AllTriggers)</f>
        <v>1.8425151106112733E-3</v>
      </c>
      <c r="BM74" s="166">
        <f>_xll.qlPolynomialFunctionValue(BM$1,$BD74,AllTriggers)</f>
        <v>1.8173939902515136E-3</v>
      </c>
      <c r="BN74" s="166">
        <f>_xll.qlPolynomialFunctionValue(BN$1,$BD74,AllTriggers)</f>
        <v>1.820292007804848E-3</v>
      </c>
      <c r="BO74" s="166">
        <f>_xll.qlPolynomialFunctionValue(BO$1,$BD74,AllTriggers)</f>
        <v>1.8329753899368612E-3</v>
      </c>
      <c r="BP74" s="166">
        <f>_xll.qlPolynomialFunctionValue(BP$1,$BD74,AllTriggers)</f>
        <v>1.8394764514764344E-3</v>
      </c>
      <c r="BQ74" s="166">
        <f>_xll.qlPolynomialFunctionValue('6MSynthDepo_used'!$P$18,BD74,AllTriggers)</f>
        <v>1.8265182725326517E-3</v>
      </c>
    </row>
    <row r="75" spans="3:69" x14ac:dyDescent="0.2">
      <c r="C75" s="400"/>
      <c r="D75" s="400"/>
      <c r="K75" s="187"/>
      <c r="L75" s="187"/>
      <c r="M75" s="187"/>
      <c r="N75" s="187"/>
      <c r="S75" s="141"/>
      <c r="T75" s="141"/>
      <c r="BC75" s="384">
        <f>_xll.qlCalendarAdvance(Calendar,BC74,"1d","mf",,Trigger)</f>
        <v>42235</v>
      </c>
      <c r="BD75" s="154">
        <f>_xll.qlDayCounterYearFraction(DayCounter,SettlementDate,BC75,,,Trigger)</f>
        <v>0.26944444444444443</v>
      </c>
      <c r="BE75" s="166">
        <f>_xll.qlPolynomialFunctionValue(BE$1,$BD75,AllTriggers)</f>
        <v>1.8121965653425396E-3</v>
      </c>
      <c r="BF75" s="166">
        <f>_xll.qlPolynomialFunctionValue(BF$1,$BD75,AllTriggers)</f>
        <v>1.8435701667644337E-3</v>
      </c>
      <c r="BG75" s="166">
        <f>_xll.qlPolynomialFunctionValue(BG$1,$BD75,AllTriggers)</f>
        <v>1.8300884221801343E-3</v>
      </c>
      <c r="BH75" s="166">
        <f>_xll.qlPolynomialFunctionValue(BH$1,$BD75,AllTriggers)</f>
        <v>1.8424579270821043E-3</v>
      </c>
      <c r="BI75" s="166">
        <f>_xll.qlPolynomialFunctionValue(BI$1,$BD75,AllTriggers)</f>
        <v>1.8127846169464286E-3</v>
      </c>
      <c r="BJ75" s="166">
        <f>_xll.qlPolynomialFunctionValue(BJ$1,$BD75,AllTriggers)</f>
        <v>1.8473213158074469E-3</v>
      </c>
      <c r="BK75" s="166">
        <f>_xll.qlPolynomialFunctionValue(BK$1,$BD75,AllTriggers)</f>
        <v>1.8324797106074805E-3</v>
      </c>
      <c r="BL75" s="166">
        <f>_xll.qlPolynomialFunctionValue(BL$1,$BD75,AllTriggers)</f>
        <v>1.8443693535438416E-3</v>
      </c>
      <c r="BM75" s="166">
        <f>_xll.qlPolynomialFunctionValue(BM$1,$BD75,AllTriggers)</f>
        <v>1.8185024274552561E-3</v>
      </c>
      <c r="BN75" s="166">
        <f>_xll.qlPolynomialFunctionValue(BN$1,$BD75,AllTriggers)</f>
        <v>1.8216672055942685E-3</v>
      </c>
      <c r="BO75" s="166">
        <f>_xll.qlPolynomialFunctionValue(BO$1,$BD75,AllTriggers)</f>
        <v>1.8339096848451447E-3</v>
      </c>
      <c r="BP75" s="166">
        <f>_xll.qlPolynomialFunctionValue(BP$1,$BD75,AllTriggers)</f>
        <v>1.8399113041362544E-3</v>
      </c>
      <c r="BQ75" s="166">
        <f>_xll.qlPolynomialFunctionValue('6MSynthDepo_used'!$P$18,BD75,AllTriggers)</f>
        <v>1.8280955896201809E-3</v>
      </c>
    </row>
    <row r="76" spans="3:69" x14ac:dyDescent="0.2">
      <c r="C76" s="400"/>
      <c r="D76" s="400"/>
      <c r="K76" s="187"/>
      <c r="L76" s="187"/>
      <c r="M76" s="187"/>
      <c r="N76" s="187"/>
      <c r="S76" s="141"/>
      <c r="BC76" s="384">
        <f>_xll.qlCalendarAdvance(Calendar,BC75,"1d","mf",,Trigger)</f>
        <v>42236</v>
      </c>
      <c r="BD76" s="154">
        <f>_xll.qlDayCounterYearFraction(DayCounter,SettlementDate,BC76,,,Trigger)</f>
        <v>0.2722222222222222</v>
      </c>
      <c r="BE76" s="166">
        <f>_xll.qlPolynomialFunctionValue(BE$1,$BD76,AllTriggers)</f>
        <v>1.8139221267475451E-3</v>
      </c>
      <c r="BF76" s="166">
        <f>_xll.qlPolynomialFunctionValue(BF$1,$BD76,AllTriggers)</f>
        <v>1.845536660667838E-3</v>
      </c>
      <c r="BG76" s="166">
        <f>_xll.qlPolynomialFunctionValue(BG$1,$BD76,AllTriggers)</f>
        <v>1.8311749886980829E-3</v>
      </c>
      <c r="BH76" s="166">
        <f>_xll.qlPolynomialFunctionValue(BH$1,$BD76,AllTriggers)</f>
        <v>1.8443518272533283E-3</v>
      </c>
      <c r="BI76" s="166">
        <f>_xll.qlPolynomialFunctionValue(BI$1,$BD76,AllTriggers)</f>
        <v>1.8145963837464738E-3</v>
      </c>
      <c r="BJ76" s="166">
        <f>_xll.qlPolynomialFunctionValue(BJ$1,$BD76,AllTriggers)</f>
        <v>1.8493474261576479E-3</v>
      </c>
      <c r="BK76" s="166">
        <f>_xll.qlPolynomialFunctionValue(BK$1,$BD76,AllTriggers)</f>
        <v>1.8335482663259768E-3</v>
      </c>
      <c r="BL76" s="166">
        <f>_xll.qlPolynomialFunctionValue(BL$1,$BD76,AllTriggers)</f>
        <v>1.8462050084075883E-3</v>
      </c>
      <c r="BM76" s="166">
        <f>_xll.qlPolynomialFunctionValue(BM$1,$BD76,AllTriggers)</f>
        <v>1.8196108646589986E-3</v>
      </c>
      <c r="BN76" s="166">
        <f>_xll.qlPolynomialFunctionValue(BN$1,$BD76,AllTriggers)</f>
        <v>1.8230380539572385E-3</v>
      </c>
      <c r="BO76" s="166">
        <f>_xll.qlPolynomialFunctionValue(BO$1,$BD76,AllTriggers)</f>
        <v>1.8348439797534284E-3</v>
      </c>
      <c r="BP76" s="166">
        <f>_xll.qlPolynomialFunctionValue(BP$1,$BD76,AllTriggers)</f>
        <v>1.8403523619429107E-3</v>
      </c>
      <c r="BQ76" s="166">
        <f>_xll.qlPolynomialFunctionValue('6MSynthDepo_used'!$P$18,BD76,AllTriggers)</f>
        <v>1.8296619358318346E-3</v>
      </c>
    </row>
    <row r="77" spans="3:69" x14ac:dyDescent="0.2">
      <c r="K77" s="187"/>
      <c r="L77" s="187"/>
      <c r="M77" s="187"/>
      <c r="N77" s="187"/>
      <c r="S77" s="141"/>
      <c r="BC77" s="384">
        <f>_xll.qlCalendarAdvance(Calendar,BC76,"1d","mf",,Trigger)</f>
        <v>42237</v>
      </c>
      <c r="BD77" s="154">
        <f>_xll.qlDayCounterYearFraction(DayCounter,SettlementDate,BC77,,,Trigger)</f>
        <v>0.27500000000000002</v>
      </c>
      <c r="BE77" s="166">
        <f>_xll.qlPolynomialFunctionValue(BE$1,$BD77,AllTriggers)</f>
        <v>1.8156476881525507E-3</v>
      </c>
      <c r="BF77" s="166">
        <f>_xll.qlPolynomialFunctionValue(BF$1,$BD77,AllTriggers)</f>
        <v>1.8474822039192072E-3</v>
      </c>
      <c r="BG77" s="166">
        <f>_xll.qlPolynomialFunctionValue(BG$1,$BD77,AllTriggers)</f>
        <v>1.8322615552160315E-3</v>
      </c>
      <c r="BH77" s="166">
        <f>_xll.qlPolynomialFunctionValue(BH$1,$BD77,AllTriggers)</f>
        <v>1.8462265051947127E-3</v>
      </c>
      <c r="BI77" s="166">
        <f>_xll.qlPolynomialFunctionValue(BI$1,$BD77,AllTriggers)</f>
        <v>1.8164081505465191E-3</v>
      </c>
      <c r="BJ77" s="166">
        <f>_xll.qlPolynomialFunctionValue(BJ$1,$BD77,AllTriggers)</f>
        <v>1.8513503333906186E-3</v>
      </c>
      <c r="BK77" s="166">
        <f>_xll.qlPolynomialFunctionValue(BK$1,$BD77,AllTriggers)</f>
        <v>1.8346168220444729E-3</v>
      </c>
      <c r="BL77" s="166">
        <f>_xll.qlPolynomialFunctionValue(BL$1,$BD77,AllTriggers)</f>
        <v>1.8480220752025128E-3</v>
      </c>
      <c r="BM77" s="166">
        <f>_xll.qlPolynomialFunctionValue(BM$1,$BD77,AllTriggers)</f>
        <v>1.8207193018627411E-3</v>
      </c>
      <c r="BN77" s="166">
        <f>_xll.qlPolynomialFunctionValue(BN$1,$BD77,AllTriggers)</f>
        <v>1.8244045528937576E-3</v>
      </c>
      <c r="BO77" s="166">
        <f>_xll.qlPolynomialFunctionValue(BO$1,$BD77,AllTriggers)</f>
        <v>1.8357782746617121E-3</v>
      </c>
      <c r="BP77" s="166">
        <f>_xll.qlPolynomialFunctionValue(BP$1,$BD77,AllTriggers)</f>
        <v>1.8407996248964037E-3</v>
      </c>
      <c r="BQ77" s="166">
        <f>_xll.qlPolynomialFunctionValue('6MSynthDepo_used'!$P$18,BD77,AllTriggers)</f>
        <v>1.8312173890647691E-3</v>
      </c>
    </row>
    <row r="78" spans="3:69" x14ac:dyDescent="0.2">
      <c r="K78" s="187"/>
      <c r="L78" s="187"/>
      <c r="M78" s="187"/>
      <c r="N78" s="187"/>
      <c r="BC78" s="384">
        <f>_xll.qlCalendarAdvance(Calendar,BC77,"1d","mf",,Trigger)</f>
        <v>42240</v>
      </c>
      <c r="BD78" s="154">
        <f>_xll.qlDayCounterYearFraction(DayCounter,SettlementDate,BC78,,,Trigger)</f>
        <v>0.28333333333333333</v>
      </c>
      <c r="BE78" s="166">
        <f>_xll.qlPolynomialFunctionValue(BE$1,$BD78,AllTriggers)</f>
        <v>1.8208243723675673E-3</v>
      </c>
      <c r="BF78" s="166">
        <f>_xll.qlPolynomialFunctionValue(BF$1,$BD78,AllTriggers)</f>
        <v>1.8531931297611078E-3</v>
      </c>
      <c r="BG78" s="166">
        <f>_xll.qlPolynomialFunctionValue(BG$1,$BD78,AllTriggers)</f>
        <v>1.8355212547698774E-3</v>
      </c>
      <c r="BH78" s="166">
        <f>_xll.qlPolynomialFunctionValue(BH$1,$BD78,AllTriggers)</f>
        <v>1.8517352056398261E-3</v>
      </c>
      <c r="BI78" s="166">
        <f>_xll.qlPolynomialFunctionValue(BI$1,$BD78,AllTriggers)</f>
        <v>1.8218434509466549E-3</v>
      </c>
      <c r="BJ78" s="166">
        <f>_xll.qlPolynomialFunctionValue(BJ$1,$BD78,AllTriggers)</f>
        <v>1.8572198363861459E-3</v>
      </c>
      <c r="BK78" s="166">
        <f>_xll.qlPolynomialFunctionValue(BK$1,$BD78,AllTriggers)</f>
        <v>1.8378224891999616E-3</v>
      </c>
      <c r="BL78" s="166">
        <f>_xll.qlPolynomialFunctionValue(BL$1,$BD78,AllTriggers)</f>
        <v>1.8533617471743554E-3</v>
      </c>
      <c r="BM78" s="166">
        <f>_xll.qlPolynomialFunctionValue(BM$1,$BD78,AllTriggers)</f>
        <v>1.8240446134739686E-3</v>
      </c>
      <c r="BN78" s="166">
        <f>_xll.qlPolynomialFunctionValue(BN$1,$BD78,AllTriggers)</f>
        <v>1.8284779531446101E-3</v>
      </c>
      <c r="BO78" s="166">
        <f>_xll.qlPolynomialFunctionValue(BO$1,$BD78,AllTriggers)</f>
        <v>1.8385811593865631E-3</v>
      </c>
      <c r="BP78" s="166">
        <f>_xll.qlPolynomialFunctionValue(BP$1,$BD78,AllTriggers)</f>
        <v>1.8421786446379007E-3</v>
      </c>
      <c r="BQ78" s="166">
        <f>_xll.qlPolynomialFunctionValue('6MSynthDepo_used'!$P$18,BD78,AllTriggers)</f>
        <v>1.8358191660586491E-3</v>
      </c>
    </row>
    <row r="79" spans="3:69" x14ac:dyDescent="0.2">
      <c r="K79" s="187"/>
      <c r="L79" s="187"/>
      <c r="M79" s="187"/>
      <c r="N79" s="187"/>
      <c r="BC79" s="384">
        <f>_xll.qlCalendarAdvance(Calendar,BC78,"1d","mf",,Trigger)</f>
        <v>42241</v>
      </c>
      <c r="BD79" s="154">
        <f>_xll.qlDayCounterYearFraction(DayCounter,SettlementDate,BC79,,,Trigger)</f>
        <v>0.28611111111111109</v>
      </c>
      <c r="BE79" s="166">
        <f>_xll.qlPolynomialFunctionValue(BE$1,$BD79,AllTriggers)</f>
        <v>1.8225499337725728E-3</v>
      </c>
      <c r="BF79" s="166">
        <f>_xll.qlPolynomialFunctionValue(BF$1,$BD79,AllTriggers)</f>
        <v>1.8550548704043383E-3</v>
      </c>
      <c r="BG79" s="166">
        <f>_xll.qlPolynomialFunctionValue(BG$1,$BD79,AllTriggers)</f>
        <v>1.836607821287826E-3</v>
      </c>
      <c r="BH79" s="166">
        <f>_xll.qlPolynomialFunctionValue(BH$1,$BD79,AllTriggers)</f>
        <v>1.8535329946618507E-3</v>
      </c>
      <c r="BI79" s="166">
        <f>_xll.qlPolynomialFunctionValue(BI$1,$BD79,AllTriggers)</f>
        <v>1.8236552177467E-3</v>
      </c>
      <c r="BJ79" s="166">
        <f>_xll.qlPolynomialFunctionValue(BJ$1,$BD79,AllTriggers)</f>
        <v>1.8591299311501936E-3</v>
      </c>
      <c r="BK79" s="166">
        <f>_xll.qlPolynomialFunctionValue(BK$1,$BD79,AllTriggers)</f>
        <v>1.8388910449184577E-3</v>
      </c>
      <c r="BL79" s="166">
        <f>_xll.qlPolynomialFunctionValue(BL$1,$BD79,AllTriggers)</f>
        <v>1.8551044616939925E-3</v>
      </c>
      <c r="BM79" s="166">
        <f>_xll.qlPolynomialFunctionValue(BM$1,$BD79,AllTriggers)</f>
        <v>1.8251530506777111E-3</v>
      </c>
      <c r="BN79" s="166">
        <f>_xll.qlPolynomialFunctionValue(BN$1,$BD79,AllTriggers)</f>
        <v>1.8298270543753261E-3</v>
      </c>
      <c r="BO79" s="166">
        <f>_xll.qlPolynomialFunctionValue(BO$1,$BD79,AllTriggers)</f>
        <v>1.8395154542948467E-3</v>
      </c>
      <c r="BP79" s="166">
        <f>_xll.qlPolynomialFunctionValue(BP$1,$BD79,AllTriggers)</f>
        <v>1.842650728178739E-3</v>
      </c>
      <c r="BQ79" s="166">
        <f>_xll.qlPolynomialFunctionValue('6MSynthDepo_used'!$P$18,BD79,AllTriggers)</f>
        <v>1.83733182127604E-3</v>
      </c>
    </row>
    <row r="80" spans="3:69" x14ac:dyDescent="0.2">
      <c r="K80" s="187"/>
      <c r="L80" s="187"/>
      <c r="M80" s="187"/>
      <c r="N80" s="187"/>
      <c r="R80" s="140"/>
      <c r="BC80" s="384">
        <f>_xll.qlCalendarAdvance(Calendar,BC79,"1d","mf",,Trigger)</f>
        <v>42242</v>
      </c>
      <c r="BD80" s="154">
        <f>_xll.qlDayCounterYearFraction(DayCounter,SettlementDate,BC80,,,Trigger)</f>
        <v>0.28888888888888886</v>
      </c>
      <c r="BE80" s="166">
        <f>_xll.qlPolynomialFunctionValue(BE$1,$BD80,AllTriggers)</f>
        <v>1.8242754951775784E-3</v>
      </c>
      <c r="BF80" s="166">
        <f>_xll.qlPolynomialFunctionValue(BF$1,$BD80,AllTriggers)</f>
        <v>1.8568956603955346E-3</v>
      </c>
      <c r="BG80" s="166">
        <f>_xll.qlPolynomialFunctionValue(BG$1,$BD80,AllTriggers)</f>
        <v>1.8376943878057746E-3</v>
      </c>
      <c r="BH80" s="166">
        <f>_xll.qlPolynomialFunctionValue(BH$1,$BD80,AllTriggers)</f>
        <v>1.8553115614540355E-3</v>
      </c>
      <c r="BI80" s="166">
        <f>_xll.qlPolynomialFunctionValue(BI$1,$BD80,AllTriggers)</f>
        <v>1.8254669845467453E-3</v>
      </c>
      <c r="BJ80" s="166">
        <f>_xll.qlPolynomialFunctionValue(BJ$1,$BD80,AllTriggers)</f>
        <v>1.8610168227970103E-3</v>
      </c>
      <c r="BK80" s="166">
        <f>_xll.qlPolynomialFunctionValue(BK$1,$BD80,AllTriggers)</f>
        <v>1.8399596006369538E-3</v>
      </c>
      <c r="BL80" s="166">
        <f>_xll.qlPolynomialFunctionValue(BL$1,$BD80,AllTriggers)</f>
        <v>1.8568285881448076E-3</v>
      </c>
      <c r="BM80" s="166">
        <f>_xll.qlPolynomialFunctionValue(BM$1,$BD80,AllTriggers)</f>
        <v>1.8262614878814536E-3</v>
      </c>
      <c r="BN80" s="166">
        <f>_xll.qlPolynomialFunctionValue(BN$1,$BD80,AllTriggers)</f>
        <v>1.8311718061795911E-3</v>
      </c>
      <c r="BO80" s="166">
        <f>_xll.qlPolynomialFunctionValue(BO$1,$BD80,AllTriggers)</f>
        <v>1.8404497492031304E-3</v>
      </c>
      <c r="BP80" s="166">
        <f>_xll.qlPolynomialFunctionValue(BP$1,$BD80,AllTriggers)</f>
        <v>1.8431290168664139E-3</v>
      </c>
      <c r="BQ80" s="166">
        <f>_xll.qlPolynomialFunctionValue('6MSynthDepo_used'!$P$18,BD80,AllTriggers)</f>
        <v>1.8388339691963198E-3</v>
      </c>
    </row>
    <row r="81" spans="8:69" x14ac:dyDescent="0.2">
      <c r="K81" s="187"/>
      <c r="L81" s="187"/>
      <c r="M81" s="187"/>
      <c r="N81" s="187"/>
      <c r="R81" s="140"/>
      <c r="BC81" s="384">
        <f>_xll.qlCalendarAdvance(Calendar,BC80,"1d","mf",,Trigger)</f>
        <v>42243</v>
      </c>
      <c r="BD81" s="154">
        <f>_xll.qlDayCounterYearFraction(DayCounter,SettlementDate,BC81,,,Trigger)</f>
        <v>0.29166666666666669</v>
      </c>
      <c r="BE81" s="166">
        <f>_xll.qlPolynomialFunctionValue(BE$1,$BD81,AllTriggers)</f>
        <v>1.8260010565825839E-3</v>
      </c>
      <c r="BF81" s="166">
        <f>_xll.qlPolynomialFunctionValue(BF$1,$BD81,AllTriggers)</f>
        <v>1.8587154997346963E-3</v>
      </c>
      <c r="BG81" s="166">
        <f>_xll.qlPolynomialFunctionValue(BG$1,$BD81,AllTriggers)</f>
        <v>1.8387809543237233E-3</v>
      </c>
      <c r="BH81" s="166">
        <f>_xll.qlPolynomialFunctionValue(BH$1,$BD81,AllTriggers)</f>
        <v>1.8570709060163804E-3</v>
      </c>
      <c r="BI81" s="166">
        <f>_xll.qlPolynomialFunctionValue(BI$1,$BD81,AllTriggers)</f>
        <v>1.8272787513467904E-3</v>
      </c>
      <c r="BJ81" s="166">
        <f>_xll.qlPolynomialFunctionValue(BJ$1,$BD81,AllTriggers)</f>
        <v>1.8628805113265967E-3</v>
      </c>
      <c r="BK81" s="166">
        <f>_xll.qlPolynomialFunctionValue(BK$1,$BD81,AllTriggers)</f>
        <v>1.8410281563554501E-3</v>
      </c>
      <c r="BL81" s="166">
        <f>_xll.qlPolynomialFunctionValue(BL$1,$BD81,AllTriggers)</f>
        <v>1.8585341265268012E-3</v>
      </c>
      <c r="BM81" s="166">
        <f>_xll.qlPolynomialFunctionValue(BM$1,$BD81,AllTriggers)</f>
        <v>1.8273699250851961E-3</v>
      </c>
      <c r="BN81" s="166">
        <f>_xll.qlPolynomialFunctionValue(BN$1,$BD81,AllTriggers)</f>
        <v>1.8325122085574056E-3</v>
      </c>
      <c r="BO81" s="166">
        <f>_xll.qlPolynomialFunctionValue(BO$1,$BD81,AllTriggers)</f>
        <v>1.8413840441114141E-3</v>
      </c>
      <c r="BP81" s="166">
        <f>_xll.qlPolynomialFunctionValue(BP$1,$BD81,AllTriggers)</f>
        <v>1.8436135107009247E-3</v>
      </c>
      <c r="BQ81" s="166">
        <f>_xll.qlPolynomialFunctionValue('6MSynthDepo_used'!$P$18,BD81,AllTriggers)</f>
        <v>1.8403256861949757E-3</v>
      </c>
    </row>
    <row r="82" spans="8:69" x14ac:dyDescent="0.2">
      <c r="K82" s="187"/>
      <c r="L82" s="187"/>
      <c r="M82" s="187"/>
      <c r="N82" s="187"/>
      <c r="R82" s="140"/>
      <c r="BC82" s="384">
        <f>_xll.qlCalendarAdvance(Calendar,BC81,"1d","mf",,Trigger)</f>
        <v>42244</v>
      </c>
      <c r="BD82" s="154">
        <f>_xll.qlDayCounterYearFraction(DayCounter,SettlementDate,BC82,,,Trigger)</f>
        <v>0.29444444444444445</v>
      </c>
      <c r="BE82" s="166">
        <f>_xll.qlPolynomialFunctionValue(BE$1,$BD82,AllTriggers)</f>
        <v>1.8277266179875895E-3</v>
      </c>
      <c r="BF82" s="166">
        <f>_xll.qlPolynomialFunctionValue(BF$1,$BD82,AllTriggers)</f>
        <v>1.8605143884218231E-3</v>
      </c>
      <c r="BG82" s="166">
        <f>_xll.qlPolynomialFunctionValue(BG$1,$BD82,AllTriggers)</f>
        <v>1.8398675208416719E-3</v>
      </c>
      <c r="BH82" s="166">
        <f>_xll.qlPolynomialFunctionValue(BH$1,$BD82,AllTriggers)</f>
        <v>1.8588110283488854E-3</v>
      </c>
      <c r="BI82" s="166">
        <f>_xll.qlPolynomialFunctionValue(BI$1,$BD82,AllTriggers)</f>
        <v>1.8290905181468358E-3</v>
      </c>
      <c r="BJ82" s="166">
        <f>_xll.qlPolynomialFunctionValue(BJ$1,$BD82,AllTriggers)</f>
        <v>1.8647209967389518E-3</v>
      </c>
      <c r="BK82" s="166">
        <f>_xll.qlPolynomialFunctionValue(BK$1,$BD82,AllTriggers)</f>
        <v>1.8420967120739463E-3</v>
      </c>
      <c r="BL82" s="166">
        <f>_xll.qlPolynomialFunctionValue(BL$1,$BD82,AllTriggers)</f>
        <v>1.860221076839973E-3</v>
      </c>
      <c r="BM82" s="166">
        <f>_xll.qlPolynomialFunctionValue(BM$1,$BD82,AllTriggers)</f>
        <v>1.8284783622889386E-3</v>
      </c>
      <c r="BN82" s="166">
        <f>_xll.qlPolynomialFunctionValue(BN$1,$BD82,AllTriggers)</f>
        <v>1.8338482615087692E-3</v>
      </c>
      <c r="BO82" s="166">
        <f>_xll.qlPolynomialFunctionValue(BO$1,$BD82,AllTriggers)</f>
        <v>1.8423183390196976E-3</v>
      </c>
      <c r="BP82" s="166">
        <f>_xll.qlPolynomialFunctionValue(BP$1,$BD82,AllTriggers)</f>
        <v>1.8441042096822725E-3</v>
      </c>
      <c r="BQ82" s="166">
        <f>_xll.qlPolynomialFunctionValue('6MSynthDepo_used'!$P$18,BD82,AllTriggers)</f>
        <v>1.8418070483938824E-3</v>
      </c>
    </row>
    <row r="83" spans="8:69" x14ac:dyDescent="0.2">
      <c r="K83" s="187"/>
      <c r="L83" s="187"/>
      <c r="M83" s="187"/>
      <c r="N83" s="187"/>
      <c r="R83" s="140"/>
      <c r="BC83" s="384">
        <f>_xll.qlCalendarAdvance(Calendar,BC82,"1d","mf",,Trigger)</f>
        <v>42247</v>
      </c>
      <c r="BD83" s="154">
        <f>_xll.qlDayCounterYearFraction(DayCounter,SettlementDate,BC83,,,Trigger)</f>
        <v>0.30277777777777776</v>
      </c>
      <c r="BE83" s="166">
        <f>_xll.qlPolynomialFunctionValue(BE$1,$BD83,AllTriggers)</f>
        <v>1.8329033022026063E-3</v>
      </c>
      <c r="BF83" s="166">
        <f>_xll.qlPolynomialFunctionValue(BF$1,$BD83,AllTriggers)</f>
        <v>1.8657853505709956E-3</v>
      </c>
      <c r="BG83" s="166">
        <f>_xll.qlPolynomialFunctionValue(BG$1,$BD83,AllTriggers)</f>
        <v>1.8431272203955178E-3</v>
      </c>
      <c r="BH83" s="166">
        <f>_xll.qlPolynomialFunctionValue(BH$1,$BD83,AllTriggers)</f>
        <v>1.8639160619673613E-3</v>
      </c>
      <c r="BI83" s="166">
        <f>_xll.qlPolynomialFunctionValue(BI$1,$BD83,AllTriggers)</f>
        <v>1.8345258185469716E-3</v>
      </c>
      <c r="BJ83" s="166">
        <f>_xll.qlPolynomialFunctionValue(BJ$1,$BD83,AllTriggers)</f>
        <v>1.870103234272634E-3</v>
      </c>
      <c r="BK83" s="166">
        <f>_xll.qlPolynomialFunctionValue(BK$1,$BD83,AllTriggers)</f>
        <v>1.8453023792294348E-3</v>
      </c>
      <c r="BL83" s="166">
        <f>_xll.qlPolynomialFunctionValue(BL$1,$BD83,AllTriggers)</f>
        <v>1.8651703993665561E-3</v>
      </c>
      <c r="BM83" s="166">
        <f>_xll.qlPolynomialFunctionValue(BM$1,$BD83,AllTriggers)</f>
        <v>1.831803673900166E-3</v>
      </c>
      <c r="BN83" s="166">
        <f>_xll.qlPolynomialFunctionValue(BN$1,$BD83,AllTriggers)</f>
        <v>1.8378303238041551E-3</v>
      </c>
      <c r="BO83" s="166">
        <f>_xll.qlPolynomialFunctionValue(BO$1,$BD83,AllTriggers)</f>
        <v>1.8451212237445486E-3</v>
      </c>
      <c r="BP83" s="166">
        <f>_xll.qlPolynomialFunctionValue(BP$1,$BD83,AllTriggers)</f>
        <v>1.8456135375073332E-3</v>
      </c>
      <c r="BQ83" s="166">
        <f>_xll.qlPolynomialFunctionValue('6MSynthDepo_used'!$P$18,BD83,AllTriggers)</f>
        <v>1.8461897636066825E-3</v>
      </c>
    </row>
    <row r="84" spans="8:69" x14ac:dyDescent="0.2">
      <c r="H84" s="141"/>
      <c r="K84" s="187"/>
      <c r="L84" s="187"/>
      <c r="M84" s="187"/>
      <c r="N84" s="187"/>
      <c r="R84" s="140"/>
      <c r="BC84" s="384">
        <f>_xll.qlCalendarAdvance(Calendar,BC83,"1d","mf",,Trigger)</f>
        <v>42248</v>
      </c>
      <c r="BD84" s="154">
        <f>_xll.qlDayCounterYearFraction(DayCounter,SettlementDate,BC84,,,Trigger)</f>
        <v>0.30555555555555558</v>
      </c>
      <c r="BE84" s="166">
        <f>_xll.qlPolynomialFunctionValue(BE$1,$BD84,AllTriggers)</f>
        <v>1.8346288636076119E-3</v>
      </c>
      <c r="BF84" s="166">
        <f>_xll.qlPolynomialFunctionValue(BF$1,$BD84,AllTriggers)</f>
        <v>1.867500436649984E-3</v>
      </c>
      <c r="BG84" s="166">
        <f>_xll.qlPolynomialFunctionValue(BG$1,$BD84,AllTriggers)</f>
        <v>1.8442137869134666E-3</v>
      </c>
      <c r="BH84" s="166">
        <f>_xll.qlPolynomialFunctionValue(BH$1,$BD84,AllTriggers)</f>
        <v>1.8655792953805068E-3</v>
      </c>
      <c r="BI84" s="166">
        <f>_xll.qlPolynomialFunctionValue(BI$1,$BD84,AllTriggers)</f>
        <v>1.8363375853470167E-3</v>
      </c>
      <c r="BJ84" s="166">
        <f>_xll.qlPolynomialFunctionValue(BJ$1,$BD84,AllTriggers)</f>
        <v>1.8718509072160668E-3</v>
      </c>
      <c r="BK84" s="166">
        <f>_xll.qlPolynomialFunctionValue(BK$1,$BD84,AllTriggers)</f>
        <v>1.8463709349479309E-3</v>
      </c>
      <c r="BL84" s="166">
        <f>_xll.qlPolynomialFunctionValue(BL$1,$BD84,AllTriggers)</f>
        <v>1.8667829974044403E-3</v>
      </c>
      <c r="BM84" s="166">
        <f>_xll.qlPolynomialFunctionValue(BM$1,$BD84,AllTriggers)</f>
        <v>1.8329121111039085E-3</v>
      </c>
      <c r="BN84" s="166">
        <f>_xll.qlPolynomialFunctionValue(BN$1,$BD84,AllTriggers)</f>
        <v>1.8391489790497153E-3</v>
      </c>
      <c r="BO84" s="166">
        <f>_xll.qlPolynomialFunctionValue(BO$1,$BD84,AllTriggers)</f>
        <v>1.8460555186528324E-3</v>
      </c>
      <c r="BP84" s="166">
        <f>_xll.qlPolynomialFunctionValue(BP$1,$BD84,AllTriggers)</f>
        <v>1.8461290570760262E-3</v>
      </c>
      <c r="BQ84" s="166">
        <f>_xll.qlPolynomialFunctionValue('6MSynthDepo_used'!$P$18,BD84,AllTriggers)</f>
        <v>1.8476304627531098E-3</v>
      </c>
    </row>
    <row r="85" spans="8:69" x14ac:dyDescent="0.2">
      <c r="K85" s="187"/>
      <c r="L85" s="187"/>
      <c r="M85" s="187"/>
      <c r="N85" s="187"/>
      <c r="R85" s="140"/>
      <c r="BC85" s="384">
        <f>_xll.qlCalendarAdvance(Calendar,BC84,"1d","mf",,Trigger)</f>
        <v>42249</v>
      </c>
      <c r="BD85" s="154">
        <f>_xll.qlDayCounterYearFraction(DayCounter,SettlementDate,BC85,,,Trigger)</f>
        <v>0.30833333333333335</v>
      </c>
      <c r="BE85" s="166">
        <f>_xll.qlPolynomialFunctionValue(BE$1,$BD85,AllTriggers)</f>
        <v>1.8363544250126174E-3</v>
      </c>
      <c r="BF85" s="166">
        <f>_xll.qlPolynomialFunctionValue(BF$1,$BD85,AllTriggers)</f>
        <v>1.8691945720769377E-3</v>
      </c>
      <c r="BG85" s="166">
        <f>_xll.qlPolynomialFunctionValue(BG$1,$BD85,AllTriggers)</f>
        <v>1.845300353431415E-3</v>
      </c>
      <c r="BH85" s="166">
        <f>_xll.qlPolynomialFunctionValue(BH$1,$BD85,AllTriggers)</f>
        <v>1.8672233065638122E-3</v>
      </c>
      <c r="BI85" s="166">
        <f>_xll.qlPolynomialFunctionValue(BI$1,$BD85,AllTriggers)</f>
        <v>1.838149352147062E-3</v>
      </c>
      <c r="BJ85" s="166">
        <f>_xll.qlPolynomialFunctionValue(BJ$1,$BD85,AllTriggers)</f>
        <v>1.8735753770422684E-3</v>
      </c>
      <c r="BK85" s="166">
        <f>_xll.qlPolynomialFunctionValue(BK$1,$BD85,AllTriggers)</f>
        <v>1.8474394906664272E-3</v>
      </c>
      <c r="BL85" s="166">
        <f>_xll.qlPolynomialFunctionValue(BL$1,$BD85,AllTriggers)</f>
        <v>1.8683770073735027E-3</v>
      </c>
      <c r="BM85" s="166">
        <f>_xll.qlPolynomialFunctionValue(BM$1,$BD85,AllTriggers)</f>
        <v>1.834020548307651E-3</v>
      </c>
      <c r="BN85" s="166">
        <f>_xll.qlPolynomialFunctionValue(BN$1,$BD85,AllTriggers)</f>
        <v>1.840463284868825E-3</v>
      </c>
      <c r="BO85" s="166">
        <f>_xll.qlPolynomialFunctionValue(BO$1,$BD85,AllTriggers)</f>
        <v>1.8469898135611161E-3</v>
      </c>
      <c r="BP85" s="166">
        <f>_xll.qlPolynomialFunctionValue(BP$1,$BD85,AllTriggers)</f>
        <v>1.8466507817915556E-3</v>
      </c>
      <c r="BQ85" s="166">
        <f>_xll.qlPolynomialFunctionValue('6MSynthDepo_used'!$P$18,BD85,AllTriggers)</f>
        <v>1.8490611839049882E-3</v>
      </c>
    </row>
    <row r="86" spans="8:69" x14ac:dyDescent="0.2">
      <c r="K86" s="187"/>
      <c r="L86" s="187"/>
      <c r="M86" s="187"/>
      <c r="N86" s="187"/>
      <c r="R86" s="140"/>
      <c r="S86" s="140"/>
      <c r="BC86" s="384">
        <f>_xll.qlCalendarAdvance(Calendar,BC85,"1d","mf",,Trigger)</f>
        <v>42250</v>
      </c>
      <c r="BD86" s="154">
        <f>_xll.qlDayCounterYearFraction(DayCounter,SettlementDate,BC86,,,Trigger)</f>
        <v>0.31111111111111112</v>
      </c>
      <c r="BE86" s="166">
        <f>_xll.qlPolynomialFunctionValue(BE$1,$BD86,AllTriggers)</f>
        <v>1.838079986417623E-3</v>
      </c>
      <c r="BF86" s="166">
        <f>_xll.qlPolynomialFunctionValue(BF$1,$BD86,AllTriggers)</f>
        <v>1.8708677568518562E-3</v>
      </c>
      <c r="BG86" s="166">
        <f>_xll.qlPolynomialFunctionValue(BG$1,$BD86,AllTriggers)</f>
        <v>1.8463869199493639E-3</v>
      </c>
      <c r="BH86" s="166">
        <f>_xll.qlPolynomialFunctionValue(BH$1,$BD86,AllTriggers)</f>
        <v>1.8688480955172779E-3</v>
      </c>
      <c r="BI86" s="166">
        <f>_xll.qlPolynomialFunctionValue(BI$1,$BD86,AllTriggers)</f>
        <v>1.8399611189471071E-3</v>
      </c>
      <c r="BJ86" s="166">
        <f>_xll.qlPolynomialFunctionValue(BJ$1,$BD86,AllTriggers)</f>
        <v>1.8752766437512398E-3</v>
      </c>
      <c r="BK86" s="166">
        <f>_xll.qlPolynomialFunctionValue(BK$1,$BD86,AllTriggers)</f>
        <v>1.8485080463849233E-3</v>
      </c>
      <c r="BL86" s="166">
        <f>_xll.qlPolynomialFunctionValue(BL$1,$BD86,AllTriggers)</f>
        <v>1.8699524292737427E-3</v>
      </c>
      <c r="BM86" s="166">
        <f>_xll.qlPolynomialFunctionValue(BM$1,$BD86,AllTriggers)</f>
        <v>1.8351289855113935E-3</v>
      </c>
      <c r="BN86" s="166">
        <f>_xll.qlPolynomialFunctionValue(BN$1,$BD86,AllTriggers)</f>
        <v>1.841773241261484E-3</v>
      </c>
      <c r="BO86" s="166">
        <f>_xll.qlPolynomialFunctionValue(BO$1,$BD86,AllTriggers)</f>
        <v>1.8479241084693996E-3</v>
      </c>
      <c r="BP86" s="166">
        <f>_xll.qlPolynomialFunctionValue(BP$1,$BD86,AllTriggers)</f>
        <v>1.8471787116539214E-3</v>
      </c>
      <c r="BQ86" s="166">
        <f>_xll.qlPolynomialFunctionValue('6MSynthDepo_used'!$P$18,BD86,AllTriggers)</f>
        <v>1.8504820016625226E-3</v>
      </c>
    </row>
    <row r="87" spans="8:69" x14ac:dyDescent="0.2">
      <c r="K87" s="187"/>
      <c r="L87" s="187"/>
      <c r="M87" s="187"/>
      <c r="N87" s="187"/>
      <c r="R87" s="140"/>
      <c r="S87" s="140"/>
      <c r="BC87" s="384">
        <f>_xll.qlCalendarAdvance(Calendar,BC86,"1d","mf",,Trigger)</f>
        <v>42251</v>
      </c>
      <c r="BD87" s="154">
        <f>_xll.qlDayCounterYearFraction(DayCounter,SettlementDate,BC87,,,Trigger)</f>
        <v>0.31388888888888888</v>
      </c>
      <c r="BE87" s="166">
        <f>_xll.qlPolynomialFunctionValue(BE$1,$BD87,AllTriggers)</f>
        <v>1.8398055478226285E-3</v>
      </c>
      <c r="BF87" s="166">
        <f>_xll.qlPolynomialFunctionValue(BF$1,$BD87,AllTriggers)</f>
        <v>1.8725199909747406E-3</v>
      </c>
      <c r="BG87" s="166">
        <f>_xll.qlPolynomialFunctionValue(BG$1,$BD87,AllTriggers)</f>
        <v>1.8474734864673123E-3</v>
      </c>
      <c r="BH87" s="166">
        <f>_xll.qlPolynomialFunctionValue(BH$1,$BD87,AllTriggers)</f>
        <v>1.8704536622409038E-3</v>
      </c>
      <c r="BI87" s="166">
        <f>_xll.qlPolynomialFunctionValue(BI$1,$BD87,AllTriggers)</f>
        <v>1.8417728857471525E-3</v>
      </c>
      <c r="BJ87" s="166">
        <f>_xll.qlPolynomialFunctionValue(BJ$1,$BD87,AllTriggers)</f>
        <v>1.8769547073429799E-3</v>
      </c>
      <c r="BK87" s="166">
        <f>_xll.qlPolynomialFunctionValue(BK$1,$BD87,AllTriggers)</f>
        <v>1.8495766021034196E-3</v>
      </c>
      <c r="BL87" s="166">
        <f>_xll.qlPolynomialFunctionValue(BL$1,$BD87,AllTriggers)</f>
        <v>1.8715092631051615E-3</v>
      </c>
      <c r="BM87" s="166">
        <f>_xll.qlPolynomialFunctionValue(BM$1,$BD87,AllTriggers)</f>
        <v>1.836237422715136E-3</v>
      </c>
      <c r="BN87" s="166">
        <f>_xll.qlPolynomialFunctionValue(BN$1,$BD87,AllTriggers)</f>
        <v>1.8430788482276918E-3</v>
      </c>
      <c r="BO87" s="166">
        <f>_xll.qlPolynomialFunctionValue(BO$1,$BD87,AllTriggers)</f>
        <v>1.8488584033776834E-3</v>
      </c>
      <c r="BP87" s="166">
        <f>_xll.qlPolynomialFunctionValue(BP$1,$BD87,AllTriggers)</f>
        <v>1.8477128466631236E-3</v>
      </c>
      <c r="BQ87" s="166">
        <f>_xll.qlPolynomialFunctionValue('6MSynthDepo_used'!$P$18,BD87,AllTriggers)</f>
        <v>1.8518929903723065E-3</v>
      </c>
    </row>
    <row r="88" spans="8:69" x14ac:dyDescent="0.2">
      <c r="K88" s="187"/>
      <c r="L88" s="187"/>
      <c r="M88" s="187"/>
      <c r="N88" s="187"/>
      <c r="R88" s="140"/>
      <c r="S88" s="140"/>
      <c r="BC88" s="384">
        <f>_xll.qlCalendarAdvance(Calendar,BC87,"1d","mf",,Trigger)</f>
        <v>42254</v>
      </c>
      <c r="BD88" s="154">
        <f>_xll.qlDayCounterYearFraction(DayCounter,SettlementDate,BC88,,,Trigger)</f>
        <v>0.32222222222222224</v>
      </c>
      <c r="BE88" s="166">
        <f>_xll.qlPolynomialFunctionValue(BE$1,$BD88,AllTriggers)</f>
        <v>1.8449822320376452E-3</v>
      </c>
      <c r="BF88" s="166">
        <f>_xll.qlPolynomialFunctionValue(BF$1,$BD88,AllTriggers)</f>
        <v>1.8773509894311857E-3</v>
      </c>
      <c r="BG88" s="166">
        <f>_xll.qlPolynomialFunctionValue(BG$1,$BD88,AllTriggers)</f>
        <v>1.8507331860211584E-3</v>
      </c>
      <c r="BH88" s="166">
        <f>_xll.qlPolynomialFunctionValue(BH$1,$BD88,AllTriggers)</f>
        <v>1.8751550290327418E-3</v>
      </c>
      <c r="BI88" s="166">
        <f>_xll.qlPolynomialFunctionValue(BI$1,$BD88,AllTriggers)</f>
        <v>1.847208186147288E-3</v>
      </c>
      <c r="BJ88" s="166">
        <f>_xll.qlPolynomialFunctionValue(BJ$1,$BD88,AllTriggers)</f>
        <v>1.881849679414817E-3</v>
      </c>
      <c r="BK88" s="166">
        <f>_xll.qlPolynomialFunctionValue(BK$1,$BD88,AllTriggers)</f>
        <v>1.852782269258908E-3</v>
      </c>
      <c r="BL88" s="166">
        <f>_xll.qlPolynomialFunctionValue(BL$1,$BD88,AllTriggers)</f>
        <v>1.8760682361864858E-3</v>
      </c>
      <c r="BM88" s="166">
        <f>_xll.qlPolynomialFunctionValue(BM$1,$BD88,AllTriggers)</f>
        <v>1.8395627343263635E-3</v>
      </c>
      <c r="BN88" s="166">
        <f>_xll.qlPolynomialFunctionValue(BN$1,$BD88,AllTriggers)</f>
        <v>1.8469695725676113E-3</v>
      </c>
      <c r="BO88" s="166">
        <f>_xll.qlPolynomialFunctionValue(BO$1,$BD88,AllTriggers)</f>
        <v>1.8516612881025343E-3</v>
      </c>
      <c r="BP88" s="166">
        <f>_xll.qlPolynomialFunctionValue(BP$1,$BD88,AllTriggers)</f>
        <v>1.8493524825717483E-3</v>
      </c>
      <c r="BQ88" s="166">
        <f>_xll.qlPolynomialFunctionValue('6MSynthDepo_used'!$P$18,BD88,AllTriggers)</f>
        <v>1.8560677218769173E-3</v>
      </c>
    </row>
    <row r="89" spans="8:69" x14ac:dyDescent="0.2">
      <c r="K89" s="187"/>
      <c r="L89" s="187"/>
      <c r="M89" s="187"/>
      <c r="N89" s="187"/>
      <c r="R89" s="140"/>
      <c r="S89" s="140"/>
      <c r="BC89" s="384">
        <f>_xll.qlCalendarAdvance(Calendar,BC88,"1d","mf",,Trigger)</f>
        <v>42255</v>
      </c>
      <c r="BD89" s="154">
        <f>_xll.qlDayCounterYearFraction(DayCounter,SettlementDate,BC89,,,Trigger)</f>
        <v>0.32500000000000001</v>
      </c>
      <c r="BE89" s="166">
        <f>_xll.qlPolynomialFunctionValue(BE$1,$BD89,AllTriggers)</f>
        <v>1.8467077934426507E-3</v>
      </c>
      <c r="BF89" s="166">
        <f>_xll.qlPolynomialFunctionValue(BF$1,$BD89,AllTriggers)</f>
        <v>1.8789194209459311E-3</v>
      </c>
      <c r="BG89" s="166">
        <f>_xll.qlPolynomialFunctionValue(BG$1,$BD89,AllTriggers)</f>
        <v>1.851819752539107E-3</v>
      </c>
      <c r="BH89" s="166">
        <f>_xll.qlPolynomialFunctionValue(BH$1,$BD89,AllTriggers)</f>
        <v>1.8766837068370081E-3</v>
      </c>
      <c r="BI89" s="166">
        <f>_xll.qlPolynomialFunctionValue(BI$1,$BD89,AllTriggers)</f>
        <v>1.8490199529473334E-3</v>
      </c>
      <c r="BJ89" s="166">
        <f>_xll.qlPolynomialFunctionValue(BJ$1,$BD89,AllTriggers)</f>
        <v>1.8834349305376346E-3</v>
      </c>
      <c r="BK89" s="166">
        <f>_xll.qlPolynomialFunctionValue(BK$1,$BD89,AllTriggers)</f>
        <v>1.8538508249774043E-3</v>
      </c>
      <c r="BL89" s="166">
        <f>_xll.qlPolynomialFunctionValue(BL$1,$BD89,AllTriggers)</f>
        <v>1.8775507177426166E-3</v>
      </c>
      <c r="BM89" s="166">
        <f>_xll.qlPolynomialFunctionValue(BM$1,$BD89,AllTriggers)</f>
        <v>1.840671171530106E-3</v>
      </c>
      <c r="BN89" s="166">
        <f>_xll.qlPolynomialFunctionValue(BN$1,$BD89,AllTriggers)</f>
        <v>1.848257781828016E-3</v>
      </c>
      <c r="BO89" s="166">
        <f>_xll.qlPolynomialFunctionValue(BO$1,$BD89,AllTriggers)</f>
        <v>1.8525955830108181E-3</v>
      </c>
      <c r="BP89" s="166">
        <f>_xll.qlPolynomialFunctionValue(BP$1,$BD89,AllTriggers)</f>
        <v>1.849911438168296E-3</v>
      </c>
      <c r="BQ89" s="166">
        <f>_xll.qlPolynomialFunctionValue('6MSynthDepo_used'!$P$18,BD89,AllTriggers)</f>
        <v>1.8574401327894018E-3</v>
      </c>
    </row>
    <row r="90" spans="8:69" x14ac:dyDescent="0.2">
      <c r="K90" s="187"/>
      <c r="L90" s="187"/>
      <c r="M90" s="187"/>
      <c r="N90" s="187"/>
      <c r="R90" s="140"/>
      <c r="S90" s="140"/>
      <c r="BC90" s="384">
        <f>_xll.qlCalendarAdvance(Calendar,BC89,"1d","mf",,Trigger)</f>
        <v>42256</v>
      </c>
      <c r="BD90" s="154">
        <f>_xll.qlDayCounterYearFraction(DayCounter,SettlementDate,BC90,,,Trigger)</f>
        <v>0.32777777777777778</v>
      </c>
      <c r="BE90" s="166">
        <f>_xll.qlPolynomialFunctionValue(BE$1,$BD90,AllTriggers)</f>
        <v>1.8484333548476565E-3</v>
      </c>
      <c r="BF90" s="166">
        <f>_xll.qlPolynomialFunctionValue(BF$1,$BD90,AllTriggers)</f>
        <v>1.880466901808642E-3</v>
      </c>
      <c r="BG90" s="166">
        <f>_xll.qlPolynomialFunctionValue(BG$1,$BD90,AllTriggers)</f>
        <v>1.8529063190570556E-3</v>
      </c>
      <c r="BH90" s="166">
        <f>_xll.qlPolynomialFunctionValue(BH$1,$BD90,AllTriggers)</f>
        <v>1.8781931624114344E-3</v>
      </c>
      <c r="BI90" s="166">
        <f>_xll.qlPolynomialFunctionValue(BI$1,$BD90,AllTriggers)</f>
        <v>1.8508317197473787E-3</v>
      </c>
      <c r="BJ90" s="166">
        <f>_xll.qlPolynomialFunctionValue(BJ$1,$BD90,AllTriggers)</f>
        <v>1.8849969785432214E-3</v>
      </c>
      <c r="BK90" s="166">
        <f>_xll.qlPolynomialFunctionValue(BK$1,$BD90,AllTriggers)</f>
        <v>1.8549193806959004E-3</v>
      </c>
      <c r="BL90" s="166">
        <f>_xll.qlPolynomialFunctionValue(BL$1,$BD90,AllTriggers)</f>
        <v>1.8790146112299261E-3</v>
      </c>
      <c r="BM90" s="166">
        <f>_xll.qlPolynomialFunctionValue(BM$1,$BD90,AllTriggers)</f>
        <v>1.8417796087338485E-3</v>
      </c>
      <c r="BN90" s="166">
        <f>_xll.qlPolynomialFunctionValue(BN$1,$BD90,AllTriggers)</f>
        <v>1.8495416416619702E-3</v>
      </c>
      <c r="BO90" s="166">
        <f>_xll.qlPolynomialFunctionValue(BO$1,$BD90,AllTriggers)</f>
        <v>1.8535298779191016E-3</v>
      </c>
      <c r="BP90" s="166">
        <f>_xll.qlPolynomialFunctionValue(BP$1,$BD90,AllTriggers)</f>
        <v>1.8504765989116798E-3</v>
      </c>
      <c r="BQ90" s="166">
        <f>_xll.qlPolynomialFunctionValue('6MSynthDepo_used'!$P$18,BD90,AllTriggers)</f>
        <v>1.8588030825829284E-3</v>
      </c>
    </row>
    <row r="91" spans="8:69" x14ac:dyDescent="0.2">
      <c r="K91" s="187"/>
      <c r="L91" s="187"/>
      <c r="M91" s="187"/>
      <c r="N91" s="187"/>
      <c r="R91" s="140"/>
      <c r="S91" s="140"/>
      <c r="BC91" s="384">
        <f>_xll.qlCalendarAdvance(Calendar,BC90,"1d","mf",,Trigger)</f>
        <v>42257</v>
      </c>
      <c r="BD91" s="154">
        <f>_xll.qlDayCounterYearFraction(DayCounter,SettlementDate,BC91,,,Trigger)</f>
        <v>0.33055555555555555</v>
      </c>
      <c r="BE91" s="166">
        <f>_xll.qlPolynomialFunctionValue(BE$1,$BD91,AllTriggers)</f>
        <v>1.850158916252662E-3</v>
      </c>
      <c r="BF91" s="166">
        <f>_xll.qlPolynomialFunctionValue(BF$1,$BD91,AllTriggers)</f>
        <v>1.8819934320193185E-3</v>
      </c>
      <c r="BG91" s="166">
        <f>_xll.qlPolynomialFunctionValue(BG$1,$BD91,AllTriggers)</f>
        <v>1.8539928855750042E-3</v>
      </c>
      <c r="BH91" s="166">
        <f>_xll.qlPolynomialFunctionValue(BH$1,$BD91,AllTriggers)</f>
        <v>1.8796833957560207E-3</v>
      </c>
      <c r="BI91" s="166">
        <f>_xll.qlPolynomialFunctionValue(BI$1,$BD91,AllTriggers)</f>
        <v>1.8526434865474238E-3</v>
      </c>
      <c r="BJ91" s="166">
        <f>_xll.qlPolynomialFunctionValue(BJ$1,$BD91,AllTriggers)</f>
        <v>1.8865358234315776E-3</v>
      </c>
      <c r="BK91" s="166">
        <f>_xll.qlPolynomialFunctionValue(BK$1,$BD91,AllTriggers)</f>
        <v>1.8559879364143965E-3</v>
      </c>
      <c r="BL91" s="166">
        <f>_xll.qlPolynomialFunctionValue(BL$1,$BD91,AllTriggers)</f>
        <v>1.8804599166484131E-3</v>
      </c>
      <c r="BM91" s="166">
        <f>_xll.qlPolynomialFunctionValue(BM$1,$BD91,AllTriggers)</f>
        <v>1.842888045937591E-3</v>
      </c>
      <c r="BN91" s="166">
        <f>_xll.qlPolynomialFunctionValue(BN$1,$BD91,AllTriggers)</f>
        <v>1.8508211520694737E-3</v>
      </c>
      <c r="BO91" s="166">
        <f>_xll.qlPolynomialFunctionValue(BO$1,$BD91,AllTriggers)</f>
        <v>1.8544641728273853E-3</v>
      </c>
      <c r="BP91" s="166">
        <f>_xll.qlPolynomialFunctionValue(BP$1,$BD91,AllTriggers)</f>
        <v>1.8510479648019005E-3</v>
      </c>
      <c r="BQ91" s="166">
        <f>_xll.qlPolynomialFunctionValue('6MSynthDepo_used'!$P$18,BD91,AllTriggers)</f>
        <v>1.8601566440824206E-3</v>
      </c>
    </row>
    <row r="92" spans="8:69" x14ac:dyDescent="0.2">
      <c r="K92" s="187"/>
      <c r="L92" s="187"/>
      <c r="M92" s="187"/>
      <c r="N92" s="187"/>
      <c r="R92" s="140"/>
      <c r="S92" s="140"/>
      <c r="BC92" s="384">
        <f>_xll.qlCalendarAdvance(Calendar,BC91,"1d","mf",,Trigger)</f>
        <v>42258</v>
      </c>
      <c r="BD92" s="154">
        <f>_xll.qlDayCounterYearFraction(DayCounter,SettlementDate,BC92,,,Trigger)</f>
        <v>0.33333333333333331</v>
      </c>
      <c r="BE92" s="166">
        <f>_xll.qlPolynomialFunctionValue(BE$1,$BD92,AllTriggers)</f>
        <v>1.8518844776576676E-3</v>
      </c>
      <c r="BF92" s="166">
        <f>_xll.qlPolynomialFunctionValue(BF$1,$BD92,AllTriggers)</f>
        <v>1.8834990115779602E-3</v>
      </c>
      <c r="BG92" s="166">
        <f>_xll.qlPolynomialFunctionValue(BG$1,$BD92,AllTriggers)</f>
        <v>1.8550794520929528E-3</v>
      </c>
      <c r="BH92" s="166">
        <f>_xll.qlPolynomialFunctionValue(BH$1,$BD92,AllTriggers)</f>
        <v>1.8811544068707672E-3</v>
      </c>
      <c r="BI92" s="166">
        <f>_xll.qlPolynomialFunctionValue(BI$1,$BD92,AllTriggers)</f>
        <v>1.8544552533474692E-3</v>
      </c>
      <c r="BJ92" s="166">
        <f>_xll.qlPolynomialFunctionValue(BJ$1,$BD92,AllTriggers)</f>
        <v>1.8880514652027027E-3</v>
      </c>
      <c r="BK92" s="166">
        <f>_xll.qlPolynomialFunctionValue(BK$1,$BD92,AllTriggers)</f>
        <v>1.8570564921328928E-3</v>
      </c>
      <c r="BL92" s="166">
        <f>_xll.qlPolynomialFunctionValue(BL$1,$BD92,AllTriggers)</f>
        <v>1.8818866339980786E-3</v>
      </c>
      <c r="BM92" s="166">
        <f>_xll.qlPolynomialFunctionValue(BM$1,$BD92,AllTriggers)</f>
        <v>1.8439964831413335E-3</v>
      </c>
      <c r="BN92" s="166">
        <f>_xll.qlPolynomialFunctionValue(BN$1,$BD92,AllTriggers)</f>
        <v>1.8520963130505262E-3</v>
      </c>
      <c r="BO92" s="166">
        <f>_xll.qlPolynomialFunctionValue(BO$1,$BD92,AllTriggers)</f>
        <v>1.8553984677356691E-3</v>
      </c>
      <c r="BP92" s="166">
        <f>_xll.qlPolynomialFunctionValue(BP$1,$BD92,AllTriggers)</f>
        <v>1.8516255358389572E-3</v>
      </c>
      <c r="BQ92" s="166">
        <f>_xll.qlPolynomialFunctionValue('6MSynthDepo_used'!$P$18,BD92,AllTriggers)</f>
        <v>1.8615008898591903E-3</v>
      </c>
    </row>
    <row r="93" spans="8:69" x14ac:dyDescent="0.2">
      <c r="K93" s="187"/>
      <c r="L93" s="187"/>
      <c r="M93" s="187"/>
      <c r="N93" s="187"/>
      <c r="R93" s="140"/>
      <c r="S93" s="140"/>
      <c r="BC93" s="384">
        <f>_xll.qlCalendarAdvance(Calendar,BC92,"1d","mf",,Trigger)</f>
        <v>42261</v>
      </c>
      <c r="BD93" s="154">
        <f>_xll.qlDayCounterYearFraction(DayCounter,SettlementDate,BC93,,,Trigger)</f>
        <v>0.34166666666666667</v>
      </c>
      <c r="BE93" s="166">
        <f>_xll.qlPolynomialFunctionValue(BE$1,$BD93,AllTriggers)</f>
        <v>1.8570611618726842E-3</v>
      </c>
      <c r="BF93" s="166">
        <f>_xll.qlPolynomialFunctionValue(BF$1,$BD93,AllTriggers)</f>
        <v>1.8878900463416774E-3</v>
      </c>
      <c r="BG93" s="166">
        <f>_xll.qlPolynomialFunctionValue(BG$1,$BD93,AllTriggers)</f>
        <v>1.8583391516467987E-3</v>
      </c>
      <c r="BH93" s="166">
        <f>_xll.qlPolynomialFunctionValue(BH$1,$BD93,AllTriggers)</f>
        <v>1.8854521068359675E-3</v>
      </c>
      <c r="BI93" s="166">
        <f>_xll.qlPolynomialFunctionValue(BI$1,$BD93,AllTriggers)</f>
        <v>1.8598905537476047E-3</v>
      </c>
      <c r="BJ93" s="166">
        <f>_xll.qlPolynomialFunctionValue(BJ$1,$BD93,AllTriggers)</f>
        <v>1.8924591718126947E-3</v>
      </c>
      <c r="BK93" s="166">
        <f>_xll.qlPolynomialFunctionValue(BK$1,$BD93,AllTriggers)</f>
        <v>1.8602621592883812E-3</v>
      </c>
      <c r="BL93" s="166">
        <f>_xll.qlPolynomialFunctionValue(BL$1,$BD93,AllTriggers)</f>
        <v>1.8860552576341438E-3</v>
      </c>
      <c r="BM93" s="166">
        <f>_xll.qlPolynomialFunctionValue(BM$1,$BD93,AllTriggers)</f>
        <v>1.8473217947525609E-3</v>
      </c>
      <c r="BN93" s="166">
        <f>_xll.qlPolynomialFunctionValue(BN$1,$BD93,AllTriggers)</f>
        <v>1.8558956994349789E-3</v>
      </c>
      <c r="BO93" s="166">
        <f>_xll.qlPolynomialFunctionValue(BO$1,$BD93,AllTriggers)</f>
        <v>1.8582013524605201E-3</v>
      </c>
      <c r="BP93" s="166">
        <f>_xll.qlPolynomialFunctionValue(BP$1,$BD93,AllTriggers)</f>
        <v>1.8533954798311458E-3</v>
      </c>
      <c r="BQ93" s="166">
        <f>_xll.qlPolynomialFunctionValue('6MSynthDepo_used'!$P$18,BD93,AllTriggers)</f>
        <v>1.8654784547621089E-3</v>
      </c>
    </row>
    <row r="94" spans="8:69" x14ac:dyDescent="0.2">
      <c r="K94" s="187"/>
      <c r="L94" s="187"/>
      <c r="M94" s="187"/>
      <c r="N94" s="187"/>
      <c r="R94" s="140"/>
      <c r="S94" s="140"/>
      <c r="BC94" s="384">
        <f>_xll.qlCalendarAdvance(Calendar,BC93,"1d","mf",,Trigger)</f>
        <v>42262</v>
      </c>
      <c r="BD94" s="154">
        <f>_xll.qlDayCounterYearFraction(DayCounter,SettlementDate,BC94,,,Trigger)</f>
        <v>0.34444444444444444</v>
      </c>
      <c r="BE94" s="166">
        <f>_xll.qlPolynomialFunctionValue(BE$1,$BD94,AllTriggers)</f>
        <v>1.8587867232776898E-3</v>
      </c>
      <c r="BF94" s="166">
        <f>_xll.qlPolynomialFunctionValue(BF$1,$BD94,AllTriggers)</f>
        <v>1.8893118232921804E-3</v>
      </c>
      <c r="BG94" s="166">
        <f>_xll.qlPolynomialFunctionValue(BG$1,$BD94,AllTriggers)</f>
        <v>1.8594257181647473E-3</v>
      </c>
      <c r="BH94" s="166">
        <f>_xll.qlPolynomialFunctionValue(BH$1,$BD94,AllTriggers)</f>
        <v>1.8868462290313546E-3</v>
      </c>
      <c r="BI94" s="166">
        <f>_xll.qlPolynomialFunctionValue(BI$1,$BD94,AllTriggers)</f>
        <v>1.8617023205476501E-3</v>
      </c>
      <c r="BJ94" s="166">
        <f>_xll.qlPolynomialFunctionValue(BJ$1,$BD94,AllTriggers)</f>
        <v>1.8938820011148976E-3</v>
      </c>
      <c r="BK94" s="166">
        <f>_xll.qlPolynomialFunctionValue(BK$1,$BD94,AllTriggers)</f>
        <v>1.8613307150068775E-3</v>
      </c>
      <c r="BL94" s="166">
        <f>_xll.qlPolynomialFunctionValue(BL$1,$BD94,AllTriggers)</f>
        <v>1.8874076227085217E-3</v>
      </c>
      <c r="BM94" s="166">
        <f>_xll.qlPolynomialFunctionValue(BM$1,$BD94,AllTriggers)</f>
        <v>1.8484302319563034E-3</v>
      </c>
      <c r="BN94" s="166">
        <f>_xll.qlPolynomialFunctionValue(BN$1,$BD94,AllTriggers)</f>
        <v>1.857153462710228E-3</v>
      </c>
      <c r="BO94" s="166">
        <f>_xll.qlPolynomialFunctionValue(BO$1,$BD94,AllTriggers)</f>
        <v>1.8591356473688036E-3</v>
      </c>
      <c r="BP94" s="166">
        <f>_xll.qlPolynomialFunctionValue(BP$1,$BD94,AllTriggers)</f>
        <v>1.8539978714555479E-3</v>
      </c>
      <c r="BQ94" s="166">
        <f>_xll.qlPolynomialFunctionValue('6MSynthDepo_used'!$P$18,BD94,AllTriggers)</f>
        <v>1.8667861582888742E-3</v>
      </c>
    </row>
    <row r="95" spans="8:69" x14ac:dyDescent="0.2">
      <c r="K95" s="187"/>
      <c r="L95" s="187"/>
      <c r="M95" s="187"/>
      <c r="N95" s="187"/>
      <c r="R95" s="140"/>
      <c r="S95" s="140"/>
      <c r="BC95" s="384">
        <f>_xll.qlCalendarAdvance(Calendar,BC94,"1d","mf",,Trigger)</f>
        <v>42263</v>
      </c>
      <c r="BD95" s="154">
        <f>_xll.qlDayCounterYearFraction(DayCounter,SettlementDate,BC95,,,Trigger)</f>
        <v>0.34722222222222221</v>
      </c>
      <c r="BE95" s="166">
        <f>_xll.qlPolynomialFunctionValue(BE$1,$BD95,AllTriggers)</f>
        <v>1.8605122846826953E-3</v>
      </c>
      <c r="BF95" s="166">
        <f>_xll.qlPolynomialFunctionValue(BF$1,$BD95,AllTriggers)</f>
        <v>1.8907126495906485E-3</v>
      </c>
      <c r="BG95" s="166">
        <f>_xll.qlPolynomialFunctionValue(BG$1,$BD95,AllTriggers)</f>
        <v>1.860512284682696E-3</v>
      </c>
      <c r="BH95" s="166">
        <f>_xll.qlPolynomialFunctionValue(BH$1,$BD95,AllTriggers)</f>
        <v>1.8882211289969015E-3</v>
      </c>
      <c r="BI95" s="166">
        <f>_xll.qlPolynomialFunctionValue(BI$1,$BD95,AllTriggers)</f>
        <v>1.8635140873476952E-3</v>
      </c>
      <c r="BJ95" s="166">
        <f>_xll.qlPolynomialFunctionValue(BJ$1,$BD95,AllTriggers)</f>
        <v>1.8952816272998691E-3</v>
      </c>
      <c r="BK95" s="166">
        <f>_xll.qlPolynomialFunctionValue(BK$1,$BD95,AllTriggers)</f>
        <v>1.8623992707253736E-3</v>
      </c>
      <c r="BL95" s="166">
        <f>_xll.qlPolynomialFunctionValue(BL$1,$BD95,AllTriggers)</f>
        <v>1.888741399714078E-3</v>
      </c>
      <c r="BM95" s="166">
        <f>_xll.qlPolynomialFunctionValue(BM$1,$BD95,AllTriggers)</f>
        <v>1.8495386691600459E-3</v>
      </c>
      <c r="BN95" s="166">
        <f>_xll.qlPolynomialFunctionValue(BN$1,$BD95,AllTriggers)</f>
        <v>1.8584068765590267E-3</v>
      </c>
      <c r="BO95" s="166">
        <f>_xll.qlPolynomialFunctionValue(BO$1,$BD95,AllTriggers)</f>
        <v>1.8600699422770873E-3</v>
      </c>
      <c r="BP95" s="166">
        <f>_xll.qlPolynomialFunctionValue(BP$1,$BD95,AllTriggers)</f>
        <v>1.8546064682267867E-3</v>
      </c>
      <c r="BQ95" s="166">
        <f>_xll.qlPolynomialFunctionValue('6MSynthDepo_used'!$P$18,BD95,AllTriggers)</f>
        <v>1.8680849051453017E-3</v>
      </c>
    </row>
    <row r="96" spans="8:69" x14ac:dyDescent="0.2">
      <c r="K96" s="187"/>
      <c r="L96" s="187"/>
      <c r="M96" s="187"/>
      <c r="N96" s="187"/>
      <c r="R96" s="140"/>
      <c r="S96" s="140"/>
      <c r="BC96" s="384">
        <f>_xll.qlCalendarAdvance(Calendar,BC95,"1d","mf",,Trigger)</f>
        <v>42264</v>
      </c>
      <c r="BD96" s="154">
        <f>_xll.qlDayCounterYearFraction(DayCounter,SettlementDate,BC96,,,Trigger)</f>
        <v>0.35</v>
      </c>
      <c r="BE96" s="166">
        <f>_xll.qlPolynomialFunctionValue(BE$1,$BD96,AllTriggers)</f>
        <v>1.8622378460877009E-3</v>
      </c>
      <c r="BF96" s="166">
        <f>_xll.qlPolynomialFunctionValue(BF$1,$BD96,AllTriggers)</f>
        <v>1.8920925252370825E-3</v>
      </c>
      <c r="BG96" s="166">
        <f>_xll.qlPolynomialFunctionValue(BG$1,$BD96,AllTriggers)</f>
        <v>1.8615988512006446E-3</v>
      </c>
      <c r="BH96" s="166">
        <f>_xll.qlPolynomialFunctionValue(BH$1,$BD96,AllTriggers)</f>
        <v>1.8895768067326085E-3</v>
      </c>
      <c r="BI96" s="166">
        <f>_xll.qlPolynomialFunctionValue(BI$1,$BD96,AllTriggers)</f>
        <v>1.8653258541477405E-3</v>
      </c>
      <c r="BJ96" s="166">
        <f>_xll.qlPolynomialFunctionValue(BJ$1,$BD96,AllTriggers)</f>
        <v>1.8966580503676103E-3</v>
      </c>
      <c r="BK96" s="166">
        <f>_xll.qlPolynomialFunctionValue(BK$1,$BD96,AllTriggers)</f>
        <v>1.8634678264438699E-3</v>
      </c>
      <c r="BL96" s="166">
        <f>_xll.qlPolynomialFunctionValue(BL$1,$BD96,AllTriggers)</f>
        <v>1.8900565886508123E-3</v>
      </c>
      <c r="BM96" s="166">
        <f>_xll.qlPolynomialFunctionValue(BM$1,$BD96,AllTriggers)</f>
        <v>1.8506471063637884E-3</v>
      </c>
      <c r="BN96" s="166">
        <f>_xll.qlPolynomialFunctionValue(BN$1,$BD96,AllTriggers)</f>
        <v>1.8596559409813746E-3</v>
      </c>
      <c r="BO96" s="166">
        <f>_xll.qlPolynomialFunctionValue(BO$1,$BD96,AllTriggers)</f>
        <v>1.861004237185371E-3</v>
      </c>
      <c r="BP96" s="166">
        <f>_xll.qlPolynomialFunctionValue(BP$1,$BD96,AllTriggers)</f>
        <v>1.855221270144862E-3</v>
      </c>
      <c r="BQ96" s="166">
        <f>_xll.qlPolynomialFunctionValue('6MSynthDepo_used'!$P$18,BD96,AllTriggers)</f>
        <v>1.8693747663810333E-3</v>
      </c>
    </row>
    <row r="97" spans="11:69" x14ac:dyDescent="0.2">
      <c r="K97" s="187"/>
      <c r="L97" s="187"/>
      <c r="M97" s="187"/>
      <c r="N97" s="187"/>
      <c r="R97" s="140"/>
      <c r="S97" s="140"/>
      <c r="BC97" s="384">
        <f>_xll.qlCalendarAdvance(Calendar,BC96,"1d","mf",,Trigger)</f>
        <v>42265</v>
      </c>
      <c r="BD97" s="154">
        <f>_xll.qlDayCounterYearFraction(DayCounter,SettlementDate,BC97,,,Trigger)</f>
        <v>0.3527777777777778</v>
      </c>
      <c r="BE97" s="166">
        <f>_xll.qlPolynomialFunctionValue(BE$1,$BD97,AllTriggers)</f>
        <v>1.8639634074927064E-3</v>
      </c>
      <c r="BF97" s="166">
        <f>_xll.qlPolynomialFunctionValue(BF$1,$BD97,AllTriggers)</f>
        <v>1.8934514502314816E-3</v>
      </c>
      <c r="BG97" s="166">
        <f>_xll.qlPolynomialFunctionValue(BG$1,$BD97,AllTriggers)</f>
        <v>1.8626854177185932E-3</v>
      </c>
      <c r="BH97" s="166">
        <f>_xll.qlPolynomialFunctionValue(BH$1,$BD97,AllTriggers)</f>
        <v>1.8909132622384761E-3</v>
      </c>
      <c r="BI97" s="166">
        <f>_xll.qlPolynomialFunctionValue(BI$1,$BD97,AllTriggers)</f>
        <v>1.8671376209477859E-3</v>
      </c>
      <c r="BJ97" s="166">
        <f>_xll.qlPolynomialFunctionValue(BJ$1,$BD97,AllTriggers)</f>
        <v>1.898011270318121E-3</v>
      </c>
      <c r="BK97" s="166">
        <f>_xll.qlPolynomialFunctionValue(BK$1,$BD97,AllTriggers)</f>
        <v>1.864536382162366E-3</v>
      </c>
      <c r="BL97" s="166">
        <f>_xll.qlPolynomialFunctionValue(BL$1,$BD97,AllTriggers)</f>
        <v>1.8913531895187244E-3</v>
      </c>
      <c r="BM97" s="166">
        <f>_xll.qlPolynomialFunctionValue(BM$1,$BD97,AllTriggers)</f>
        <v>1.8517555435675309E-3</v>
      </c>
      <c r="BN97" s="166">
        <f>_xll.qlPolynomialFunctionValue(BN$1,$BD97,AllTriggers)</f>
        <v>1.8609006559772714E-3</v>
      </c>
      <c r="BO97" s="166">
        <f>_xll.qlPolynomialFunctionValue(BO$1,$BD97,AllTriggers)</f>
        <v>1.8619385320936546E-3</v>
      </c>
      <c r="BP97" s="166">
        <f>_xll.qlPolynomialFunctionValue(BP$1,$BD97,AllTriggers)</f>
        <v>1.8558422772097733E-3</v>
      </c>
      <c r="BQ97" s="166">
        <f>_xll.qlPolynomialFunctionValue('6MSynthDepo_used'!$P$18,BD97,AllTriggers)</f>
        <v>1.8706558127920992E-3</v>
      </c>
    </row>
    <row r="98" spans="11:69" x14ac:dyDescent="0.2">
      <c r="K98" s="187"/>
      <c r="L98" s="187"/>
      <c r="M98" s="187"/>
      <c r="N98" s="187"/>
      <c r="R98" s="140"/>
      <c r="S98" s="140"/>
      <c r="BC98" s="384">
        <f>_xll.qlCalendarAdvance(Calendar,BC97,"1d","mf",,Trigger)</f>
        <v>42268</v>
      </c>
      <c r="BD98" s="154">
        <f>_xll.qlDayCounterYearFraction(DayCounter,SettlementDate,BC98,,,Trigger)</f>
        <v>0.3611111111111111</v>
      </c>
      <c r="BE98" s="166">
        <f>_xll.qlPolynomialFunctionValue(BE$1,$BD98,AllTriggers)</f>
        <v>1.8691400917077231E-3</v>
      </c>
      <c r="BF98" s="166">
        <f>_xll.qlPolynomialFunctionValue(BF$1,$BD98,AllTriggers)</f>
        <v>1.8974025213024713E-3</v>
      </c>
      <c r="BG98" s="166">
        <f>_xll.qlPolynomialFunctionValue(BG$1,$BD98,AllTriggers)</f>
        <v>1.8659451172724391E-3</v>
      </c>
      <c r="BH98" s="166">
        <f>_xll.qlPolynomialFunctionValue(BH$1,$BD98,AllTriggers)</f>
        <v>1.8948072953770382E-3</v>
      </c>
      <c r="BI98" s="166">
        <f>_xll.qlPolynomialFunctionValue(BI$1,$BD98,AllTriggers)</f>
        <v>1.8725729213479214E-3</v>
      </c>
      <c r="BJ98" s="166">
        <f>_xll.qlPolynomialFunctionValue(BJ$1,$BD98,AllTriggers)</f>
        <v>1.9019317114662673E-3</v>
      </c>
      <c r="BK98" s="166">
        <f>_xll.qlPolynomialFunctionValue(BK$1,$BD98,AllTriggers)</f>
        <v>1.8677420493178546E-3</v>
      </c>
      <c r="BL98" s="166">
        <f>_xll.qlPolynomialFunctionValue(BL$1,$BD98,AllTriggers)</f>
        <v>1.8951314637095306E-3</v>
      </c>
      <c r="BM98" s="166">
        <f>_xll.qlPolynomialFunctionValue(BM$1,$BD98,AllTriggers)</f>
        <v>1.8550808551787584E-3</v>
      </c>
      <c r="BN98" s="166">
        <f>_xll.qlPolynomialFunctionValue(BN$1,$BD98,AllTriggers)</f>
        <v>1.8646087044062575E-3</v>
      </c>
      <c r="BO98" s="166">
        <f>_xll.qlPolynomialFunctionValue(BO$1,$BD98,AllTriggers)</f>
        <v>1.8647414168185055E-3</v>
      </c>
      <c r="BP98" s="166">
        <f>_xll.qlPolynomialFunctionValue(BP$1,$BD98,AllTriggers)</f>
        <v>1.8577425292855261E-3</v>
      </c>
      <c r="BQ98" s="166">
        <f>_xll.qlPolynomialFunctionValue('6MSynthDepo_used'!$P$18,BD98,AllTriggers)</f>
        <v>1.8744467672334303E-3</v>
      </c>
    </row>
    <row r="99" spans="11:69" x14ac:dyDescent="0.2">
      <c r="K99" s="187"/>
      <c r="L99" s="187"/>
      <c r="M99" s="187"/>
      <c r="N99" s="187"/>
      <c r="R99" s="140"/>
      <c r="S99" s="140"/>
      <c r="BC99" s="384">
        <f>_xll.qlCalendarAdvance(Calendar,BC98,"1d","mf",,Trigger)</f>
        <v>42269</v>
      </c>
      <c r="BD99" s="154">
        <f>_xll.qlDayCounterYearFraction(DayCounter,SettlementDate,BC99,,,Trigger)</f>
        <v>0.36388888888888887</v>
      </c>
      <c r="BE99" s="166">
        <f>_xll.qlPolynomialFunctionValue(BE$1,$BD99,AllTriggers)</f>
        <v>1.8708656531127288E-3</v>
      </c>
      <c r="BF99" s="166">
        <f>_xll.qlPolynomialFunctionValue(BF$1,$BD99,AllTriggers)</f>
        <v>1.8986776436887315E-3</v>
      </c>
      <c r="BG99" s="166">
        <f>_xll.qlPolynomialFunctionValue(BG$1,$BD99,AllTriggers)</f>
        <v>1.8670316837903877E-3</v>
      </c>
      <c r="BH99" s="166">
        <f>_xll.qlPolynomialFunctionValue(BH$1,$BD99,AllTriggers)</f>
        <v>1.896066861963546E-3</v>
      </c>
      <c r="BI99" s="166">
        <f>_xll.qlPolynomialFunctionValue(BI$1,$BD99,AllTriggers)</f>
        <v>1.8743846881479668E-3</v>
      </c>
      <c r="BJ99" s="166">
        <f>_xll.qlPolynomialFunctionValue(BJ$1,$BD99,AllTriggers)</f>
        <v>1.9031921189478552E-3</v>
      </c>
      <c r="BK99" s="166">
        <f>_xll.qlPolynomialFunctionValue(BK$1,$BD99,AllTriggers)</f>
        <v>1.8688106050363507E-3</v>
      </c>
      <c r="BL99" s="166">
        <f>_xll.qlPolynomialFunctionValue(BL$1,$BD99,AllTriggers)</f>
        <v>1.8963537123021558E-3</v>
      </c>
      <c r="BM99" s="166">
        <f>_xll.qlPolynomialFunctionValue(BM$1,$BD99,AllTriggers)</f>
        <v>1.8561892923825009E-3</v>
      </c>
      <c r="BN99" s="166">
        <f>_xll.qlPolynomialFunctionValue(BN$1,$BD99,AllTriggers)</f>
        <v>1.8658360216963514E-3</v>
      </c>
      <c r="BO99" s="166">
        <f>_xll.qlPolynomialFunctionValue(BO$1,$BD99,AllTriggers)</f>
        <v>1.8656757117267893E-3</v>
      </c>
      <c r="BP99" s="166">
        <f>_xll.qlPolynomialFunctionValue(BP$1,$BD99,AllTriggers)</f>
        <v>1.8583883569377828E-3</v>
      </c>
      <c r="BQ99" s="166">
        <f>_xll.qlPolynomialFunctionValue('6MSynthDepo_used'!$P$18,BD99,AllTriggers)</f>
        <v>1.8756932572339031E-3</v>
      </c>
    </row>
    <row r="100" spans="11:69" x14ac:dyDescent="0.2">
      <c r="K100" s="187"/>
      <c r="L100" s="187"/>
      <c r="M100" s="187"/>
      <c r="N100" s="187"/>
      <c r="R100" s="140"/>
      <c r="S100" s="140"/>
      <c r="BC100" s="384">
        <f>_xll.qlCalendarAdvance(Calendar,BC99,"1d","mf",,Trigger)</f>
        <v>42270</v>
      </c>
      <c r="BD100" s="154">
        <f>_xll.qlDayCounterYearFraction(DayCounter,SettlementDate,BC100,,,Trigger)</f>
        <v>0.36666666666666664</v>
      </c>
      <c r="BE100" s="166">
        <f>_xll.qlPolynomialFunctionValue(BE$1,$BD100,AllTriggers)</f>
        <v>1.8725912145177344E-3</v>
      </c>
      <c r="BF100" s="166">
        <f>_xll.qlPolynomialFunctionValue(BF$1,$BD100,AllTriggers)</f>
        <v>1.8999318154229573E-3</v>
      </c>
      <c r="BG100" s="166">
        <f>_xll.qlPolynomialFunctionValue(BG$1,$BD100,AllTriggers)</f>
        <v>1.8681182503083363E-3</v>
      </c>
      <c r="BH100" s="166">
        <f>_xll.qlPolynomialFunctionValue(BH$1,$BD100,AllTriggers)</f>
        <v>1.8973072063202137E-3</v>
      </c>
      <c r="BI100" s="166">
        <f>_xll.qlPolynomialFunctionValue(BI$1,$BD100,AllTriggers)</f>
        <v>1.8761964549480119E-3</v>
      </c>
      <c r="BJ100" s="166">
        <f>_xll.qlPolynomialFunctionValue(BJ$1,$BD100,AllTriggers)</f>
        <v>1.9044293233122117E-3</v>
      </c>
      <c r="BK100" s="166">
        <f>_xll.qlPolynomialFunctionValue(BK$1,$BD100,AllTriggers)</f>
        <v>1.869879160754847E-3</v>
      </c>
      <c r="BL100" s="166">
        <f>_xll.qlPolynomialFunctionValue(BL$1,$BD100,AllTriggers)</f>
        <v>1.8975573728259585E-3</v>
      </c>
      <c r="BM100" s="166">
        <f>_xll.qlPolynomialFunctionValue(BM$1,$BD100,AllTriggers)</f>
        <v>1.8572977295862434E-3</v>
      </c>
      <c r="BN100" s="166">
        <f>_xll.qlPolynomialFunctionValue(BN$1,$BD100,AllTriggers)</f>
        <v>1.8670589895599945E-3</v>
      </c>
      <c r="BO100" s="166">
        <f>_xll.qlPolynomialFunctionValue(BO$1,$BD100,AllTriggers)</f>
        <v>1.866610006635073E-3</v>
      </c>
      <c r="BP100" s="166">
        <f>_xll.qlPolynomialFunctionValue(BP$1,$BD100,AllTriggers)</f>
        <v>1.8590403897368762E-3</v>
      </c>
      <c r="BQ100" s="166">
        <f>_xll.qlPolynomialFunctionValue('6MSynthDepo_used'!$P$18,BD100,AllTriggers)</f>
        <v>1.8769312825856869E-3</v>
      </c>
    </row>
    <row r="101" spans="11:69" x14ac:dyDescent="0.2">
      <c r="K101" s="187"/>
      <c r="L101" s="187"/>
      <c r="M101" s="187"/>
      <c r="N101" s="187"/>
      <c r="R101" s="140"/>
      <c r="S101" s="140"/>
      <c r="BC101" s="384">
        <f>_xll.qlCalendarAdvance(Calendar,BC100,"1d","mf",,Trigger)</f>
        <v>42271</v>
      </c>
      <c r="BD101" s="154">
        <f>_xll.qlDayCounterYearFraction(DayCounter,SettlementDate,BC101,,,Trigger)</f>
        <v>0.36944444444444446</v>
      </c>
      <c r="BE101" s="166">
        <f>_xll.qlPolynomialFunctionValue(BE$1,$BD101,AllTriggers)</f>
        <v>1.8743167759227399E-3</v>
      </c>
      <c r="BF101" s="166">
        <f>_xll.qlPolynomialFunctionValue(BF$1,$BD101,AllTriggers)</f>
        <v>1.9011650365051485E-3</v>
      </c>
      <c r="BG101" s="166">
        <f>_xll.qlPolynomialFunctionValue(BG$1,$BD101,AllTriggers)</f>
        <v>1.869204816826285E-3</v>
      </c>
      <c r="BH101" s="166">
        <f>_xll.qlPolynomialFunctionValue(BH$1,$BD101,AllTriggers)</f>
        <v>1.8985283284470419E-3</v>
      </c>
      <c r="BI101" s="166">
        <f>_xll.qlPolynomialFunctionValue(BI$1,$BD101,AllTriggers)</f>
        <v>1.8780082217480572E-3</v>
      </c>
      <c r="BJ101" s="166">
        <f>_xll.qlPolynomialFunctionValue(BJ$1,$BD101,AllTriggers)</f>
        <v>1.9056433245593378E-3</v>
      </c>
      <c r="BK101" s="166">
        <f>_xll.qlPolynomialFunctionValue(BK$1,$BD101,AllTriggers)</f>
        <v>1.8709477164733431E-3</v>
      </c>
      <c r="BL101" s="166">
        <f>_xll.qlPolynomialFunctionValue(BL$1,$BD101,AllTriggers)</f>
        <v>1.8987424452809399E-3</v>
      </c>
      <c r="BM101" s="166">
        <f>_xll.qlPolynomialFunctionValue(BM$1,$BD101,AllTriggers)</f>
        <v>1.8584061667899861E-3</v>
      </c>
      <c r="BN101" s="166">
        <f>_xll.qlPolynomialFunctionValue(BN$1,$BD101,AllTriggers)</f>
        <v>1.8682776079971867E-3</v>
      </c>
      <c r="BO101" s="166">
        <f>_xll.qlPolynomialFunctionValue(BO$1,$BD101,AllTriggers)</f>
        <v>1.8675443015433565E-3</v>
      </c>
      <c r="BP101" s="166">
        <f>_xll.qlPolynomialFunctionValue(BP$1,$BD101,AllTriggers)</f>
        <v>1.859698627682806E-3</v>
      </c>
      <c r="BQ101" s="166">
        <f>_xll.qlPolynomialFunctionValue('6MSynthDepo_used'!$P$18,BD101,AllTriggers)</f>
        <v>1.8781609125631418E-3</v>
      </c>
    </row>
    <row r="102" spans="11:69" x14ac:dyDescent="0.2">
      <c r="K102" s="187"/>
      <c r="L102" s="187"/>
      <c r="M102" s="187"/>
      <c r="N102" s="187"/>
      <c r="R102" s="140"/>
      <c r="S102" s="140"/>
      <c r="BC102" s="384">
        <f>_xll.qlCalendarAdvance(Calendar,BC101,"1d","mf",,Trigger)</f>
        <v>42272</v>
      </c>
      <c r="BD102" s="154">
        <f>_xll.qlDayCounterYearFraction(DayCounter,SettlementDate,BC102,,,Trigger)</f>
        <v>0.37222222222222223</v>
      </c>
      <c r="BE102" s="166">
        <f>_xll.qlPolynomialFunctionValue(BE$1,$BD102,AllTriggers)</f>
        <v>1.8760423373277455E-3</v>
      </c>
      <c r="BF102" s="166">
        <f>_xll.qlPolynomialFunctionValue(BF$1,$BD102,AllTriggers)</f>
        <v>1.9023773069353053E-3</v>
      </c>
      <c r="BG102" s="166">
        <f>_xll.qlPolynomialFunctionValue(BG$1,$BD102,AllTriggers)</f>
        <v>1.8702913833442336E-3</v>
      </c>
      <c r="BH102" s="166">
        <f>_xll.qlPolynomialFunctionValue(BH$1,$BD102,AllTriggers)</f>
        <v>1.8997302283440297E-3</v>
      </c>
      <c r="BI102" s="166">
        <f>_xll.qlPolynomialFunctionValue(BI$1,$BD102,AllTriggers)</f>
        <v>1.8798199885481023E-3</v>
      </c>
      <c r="BJ102" s="166">
        <f>_xll.qlPolynomialFunctionValue(BJ$1,$BD102,AllTriggers)</f>
        <v>1.9068341226892334E-3</v>
      </c>
      <c r="BK102" s="166">
        <f>_xll.qlPolynomialFunctionValue(BK$1,$BD102,AllTriggers)</f>
        <v>1.8720162721918392E-3</v>
      </c>
      <c r="BL102" s="166">
        <f>_xll.qlPolynomialFunctionValue(BL$1,$BD102,AllTriggers)</f>
        <v>1.899908929667099E-3</v>
      </c>
      <c r="BM102" s="166">
        <f>_xll.qlPolynomialFunctionValue(BM$1,$BD102,AllTriggers)</f>
        <v>1.8595146039937286E-3</v>
      </c>
      <c r="BN102" s="166">
        <f>_xll.qlPolynomialFunctionValue(BN$1,$BD102,AllTriggers)</f>
        <v>1.8694918770079281E-3</v>
      </c>
      <c r="BO102" s="166">
        <f>_xll.qlPolynomialFunctionValue(BO$1,$BD102,AllTriggers)</f>
        <v>1.8684785964516403E-3</v>
      </c>
      <c r="BP102" s="166">
        <f>_xll.qlPolynomialFunctionValue(BP$1,$BD102,AllTriggers)</f>
        <v>1.8603630707755719E-3</v>
      </c>
      <c r="BQ102" s="166">
        <f>_xll.qlPolynomialFunctionValue('6MSynthDepo_used'!$P$18,BD102,AllTriggers)</f>
        <v>1.879382216187017E-3</v>
      </c>
    </row>
    <row r="103" spans="11:69" x14ac:dyDescent="0.2">
      <c r="K103" s="187"/>
      <c r="L103" s="187"/>
      <c r="M103" s="187"/>
      <c r="N103" s="187"/>
      <c r="R103" s="140"/>
      <c r="S103" s="140"/>
      <c r="BC103" s="384">
        <f>_xll.qlCalendarAdvance(Calendar,BC102,"1d","mf",,Trigger)</f>
        <v>42275</v>
      </c>
      <c r="BD103" s="154">
        <f>_xll.qlDayCounterYearFraction(DayCounter,SettlementDate,BC103,,,Trigger)</f>
        <v>0.38055555555555554</v>
      </c>
      <c r="BE103" s="166">
        <f>_xll.qlPolynomialFunctionValue(BE$1,$BD103,AllTriggers)</f>
        <v>1.8812190215427621E-3</v>
      </c>
      <c r="BF103" s="166">
        <f>_xll.qlPolynomialFunctionValue(BF$1,$BD103,AllTriggers)</f>
        <v>1.9058884143135669E-3</v>
      </c>
      <c r="BG103" s="166">
        <f>_xll.qlPolynomialFunctionValue(BG$1,$BD103,AllTriggers)</f>
        <v>1.8735510828980795E-3</v>
      </c>
      <c r="BH103" s="166">
        <f>_xll.qlPolynomialFunctionValue(BH$1,$BD103,AllTriggers)</f>
        <v>1.9032205946559544E-3</v>
      </c>
      <c r="BI103" s="166">
        <f>_xll.qlPolynomialFunctionValue(BI$1,$BD103,AllTriggers)</f>
        <v>1.8852552889482381E-3</v>
      </c>
      <c r="BJ103" s="166">
        <f>_xll.qlPolynomialFunctionValue(BJ$1,$BD103,AllTriggers)</f>
        <v>1.9102672983755348E-3</v>
      </c>
      <c r="BK103" s="166">
        <f>_xll.qlPolynomialFunctionValue(BK$1,$BD103,AllTriggers)</f>
        <v>1.8752219393473278E-3</v>
      </c>
      <c r="BL103" s="166">
        <f>_xll.qlPolynomialFunctionValue(BL$1,$BD103,AllTriggers)</f>
        <v>1.903296854412646E-3</v>
      </c>
      <c r="BM103" s="166">
        <f>_xll.qlPolynomialFunctionValue(BM$1,$BD103,AllTriggers)</f>
        <v>1.862839915604956E-3</v>
      </c>
      <c r="BN103" s="166">
        <f>_xll.qlPolynomialFunctionValue(BN$1,$BD103,AllTriggers)</f>
        <v>1.8731085874814479E-3</v>
      </c>
      <c r="BO103" s="166">
        <f>_xll.qlPolynomialFunctionValue(BO$1,$BD103,AllTriggers)</f>
        <v>1.8712814811764913E-3</v>
      </c>
      <c r="BP103" s="166">
        <f>_xll.qlPolynomialFunctionValue(BP$1,$BD103,AllTriggers)</f>
        <v>1.8623936309348885E-3</v>
      </c>
      <c r="BQ103" s="166">
        <f>_xll.qlPolynomialFunctionValue('6MSynthDepo_used'!$P$18,BD103,AllTriggers)</f>
        <v>1.8829968553404745E-3</v>
      </c>
    </row>
    <row r="104" spans="11:69" x14ac:dyDescent="0.2">
      <c r="K104" s="187"/>
      <c r="L104" s="187"/>
      <c r="M104" s="187"/>
      <c r="N104" s="187"/>
      <c r="R104" s="140"/>
      <c r="S104" s="140"/>
      <c r="BC104" s="384">
        <f>_xll.qlCalendarAdvance(Calendar,BC103,"1d","mf",,Trigger)</f>
        <v>42276</v>
      </c>
      <c r="BD104" s="154">
        <f>_xll.qlDayCounterYearFraction(DayCounter,SettlementDate,BC104,,,Trigger)</f>
        <v>0.38333333333333336</v>
      </c>
      <c r="BE104" s="166">
        <f>_xll.qlPolynomialFunctionValue(BE$1,$BD104,AllTriggers)</f>
        <v>1.8829445829477676E-3</v>
      </c>
      <c r="BF104" s="166">
        <f>_xll.qlPolynomialFunctionValue(BF$1,$BD104,AllTriggers)</f>
        <v>1.9070168821355847E-3</v>
      </c>
      <c r="BG104" s="166">
        <f>_xll.qlPolynomialFunctionValue(BG$1,$BD104,AllTriggers)</f>
        <v>1.8746376494160281E-3</v>
      </c>
      <c r="BH104" s="166">
        <f>_xll.qlPolynomialFunctionValue(BH$1,$BD104,AllTriggers)</f>
        <v>1.9043456056335828E-3</v>
      </c>
      <c r="BI104" s="166">
        <f>_xll.qlPolynomialFunctionValue(BI$1,$BD104,AllTriggers)</f>
        <v>1.8870670557482835E-3</v>
      </c>
      <c r="BJ104" s="166">
        <f>_xll.qlPolynomialFunctionValue(BJ$1,$BD104,AllTriggers)</f>
        <v>1.9113652840365074E-3</v>
      </c>
      <c r="BK104" s="166">
        <f>_xll.qlPolynomialFunctionValue(BK$1,$BD104,AllTriggers)</f>
        <v>1.8762904950658239E-3</v>
      </c>
      <c r="BL104" s="166">
        <f>_xll.qlPolynomialFunctionValue(BL$1,$BD104,AllTriggers)</f>
        <v>1.904388986523518E-3</v>
      </c>
      <c r="BM104" s="166">
        <f>_xll.qlPolynomialFunctionValue(BM$1,$BD104,AllTriggers)</f>
        <v>1.8639483528086985E-3</v>
      </c>
      <c r="BN104" s="166">
        <f>_xll.qlPolynomialFunctionValue(BN$1,$BD104,AllTriggers)</f>
        <v>1.874305458786386E-3</v>
      </c>
      <c r="BO104" s="166">
        <f>_xll.qlPolynomialFunctionValue(BO$1,$BD104,AllTriggers)</f>
        <v>1.872215776084775E-3</v>
      </c>
      <c r="BP104" s="166">
        <f>_xll.qlPolynomialFunctionValue(BP$1,$BD104,AllTriggers)</f>
        <v>1.8630828946150002E-3</v>
      </c>
      <c r="BQ104" s="166">
        <f>_xll.qlPolynomialFunctionValue('6MSynthDepo_used'!$P$18,BD104,AllTriggers)</f>
        <v>1.8841855386852835E-3</v>
      </c>
    </row>
    <row r="105" spans="11:69" x14ac:dyDescent="0.2">
      <c r="R105" s="140"/>
      <c r="S105" s="140"/>
      <c r="BC105" s="384">
        <f>_xll.qlCalendarAdvance(Calendar,BC104,"1d","mf",,Trigger)</f>
        <v>42277</v>
      </c>
      <c r="BD105" s="154">
        <f>_xll.qlDayCounterYearFraction(DayCounter,SettlementDate,BC105,,,Trigger)</f>
        <v>0.38611111111111113</v>
      </c>
      <c r="BE105" s="166">
        <f>_xll.qlPolynomialFunctionValue(BE$1,$BD105,AllTriggers)</f>
        <v>1.8846701443527732E-3</v>
      </c>
      <c r="BF105" s="166">
        <f>_xll.qlPolynomialFunctionValue(BF$1,$BD105,AllTriggers)</f>
        <v>1.9081243993055682E-3</v>
      </c>
      <c r="BG105" s="166">
        <f>_xll.qlPolynomialFunctionValue(BG$1,$BD105,AllTriggers)</f>
        <v>1.8757242159339767E-3</v>
      </c>
      <c r="BH105" s="166">
        <f>_xll.qlPolynomialFunctionValue(BH$1,$BD105,AllTriggers)</f>
        <v>1.9054513943813714E-3</v>
      </c>
      <c r="BI105" s="166">
        <f>_xll.qlPolynomialFunctionValue(BI$1,$BD105,AllTriggers)</f>
        <v>1.8888788225483286E-3</v>
      </c>
      <c r="BJ105" s="166">
        <f>_xll.qlPolynomialFunctionValue(BJ$1,$BD105,AllTriggers)</f>
        <v>1.912440066580249E-3</v>
      </c>
      <c r="BK105" s="166">
        <f>_xll.qlPolynomialFunctionValue(BK$1,$BD105,AllTriggers)</f>
        <v>1.8773590507843202E-3</v>
      </c>
      <c r="BL105" s="166">
        <f>_xll.qlPolynomialFunctionValue(BL$1,$BD105,AllTriggers)</f>
        <v>1.9054625305655677E-3</v>
      </c>
      <c r="BM105" s="166">
        <f>_xll.qlPolynomialFunctionValue(BM$1,$BD105,AllTriggers)</f>
        <v>1.865056790012441E-3</v>
      </c>
      <c r="BN105" s="166">
        <f>_xll.qlPolynomialFunctionValue(BN$1,$BD105,AllTriggers)</f>
        <v>1.8754979806648736E-3</v>
      </c>
      <c r="BO105" s="166">
        <f>_xll.qlPolynomialFunctionValue(BO$1,$BD105,AllTriggers)</f>
        <v>1.8731500709930585E-3</v>
      </c>
      <c r="BP105" s="166">
        <f>_xll.qlPolynomialFunctionValue(BP$1,$BD105,AllTriggers)</f>
        <v>1.8637783634419482E-3</v>
      </c>
      <c r="BQ105" s="166">
        <f>_xll.qlPolynomialFunctionValue('6MSynthDepo_used'!$P$18,BD105,AllTriggers)</f>
        <v>1.8853662369760814E-3</v>
      </c>
    </row>
    <row r="106" spans="11:69" x14ac:dyDescent="0.2">
      <c r="R106" s="140"/>
      <c r="S106" s="140"/>
      <c r="BC106" s="384">
        <f>_xll.qlCalendarAdvance(Calendar,BC105,"1d","mf",,Trigger)</f>
        <v>42278</v>
      </c>
      <c r="BD106" s="154">
        <f>_xll.qlDayCounterYearFraction(DayCounter,SettlementDate,BC106,,,Trigger)</f>
        <v>0.3888888888888889</v>
      </c>
      <c r="BE106" s="166">
        <f>_xll.qlPolynomialFunctionValue(BE$1,$BD106,AllTriggers)</f>
        <v>1.886395705757779E-3</v>
      </c>
      <c r="BF106" s="166">
        <f>_xll.qlPolynomialFunctionValue(BF$1,$BD106,AllTriggers)</f>
        <v>1.9092109658235168E-3</v>
      </c>
      <c r="BG106" s="166">
        <f>_xll.qlPolynomialFunctionValue(BG$1,$BD106,AllTriggers)</f>
        <v>1.8768107824519253E-3</v>
      </c>
      <c r="BH106" s="166">
        <f>_xll.qlPolynomialFunctionValue(BH$1,$BD106,AllTriggers)</f>
        <v>1.90653796089932E-3</v>
      </c>
      <c r="BI106" s="166">
        <f>_xll.qlPolynomialFunctionValue(BI$1,$BD106,AllTriggers)</f>
        <v>1.8906905893483739E-3</v>
      </c>
      <c r="BJ106" s="166">
        <f>_xll.qlPolynomialFunctionValue(BJ$1,$BD106,AllTriggers)</f>
        <v>1.9134916460067603E-3</v>
      </c>
      <c r="BK106" s="166">
        <f>_xll.qlPolynomialFunctionValue(BK$1,$BD106,AllTriggers)</f>
        <v>1.8784276065028163E-3</v>
      </c>
      <c r="BL106" s="166">
        <f>_xll.qlPolynomialFunctionValue(BL$1,$BD106,AllTriggers)</f>
        <v>1.9065174865387959E-3</v>
      </c>
      <c r="BM106" s="166">
        <f>_xll.qlPolynomialFunctionValue(BM$1,$BD106,AllTriggers)</f>
        <v>1.8661652272161835E-3</v>
      </c>
      <c r="BN106" s="166">
        <f>_xll.qlPolynomialFunctionValue(BN$1,$BD106,AllTriggers)</f>
        <v>1.8766861531169102E-3</v>
      </c>
      <c r="BO106" s="166">
        <f>_xll.qlPolynomialFunctionValue(BO$1,$BD106,AllTriggers)</f>
        <v>1.8740843659013422E-3</v>
      </c>
      <c r="BP106" s="166">
        <f>_xll.qlPolynomialFunctionValue(BP$1,$BD106,AllTriggers)</f>
        <v>1.8644800374157324E-3</v>
      </c>
      <c r="BQ106" s="166">
        <f>_xll.qlPolynomialFunctionValue('6MSynthDepo_used'!$P$18,BD106,AllTriggers)</f>
        <v>1.8865390177119465E-3</v>
      </c>
    </row>
    <row r="107" spans="11:69" x14ac:dyDescent="0.2">
      <c r="R107" s="140"/>
      <c r="S107" s="140"/>
      <c r="BC107" s="384">
        <f>_xll.qlCalendarAdvance(Calendar,BC106,"1d","mf",,Trigger)</f>
        <v>42279</v>
      </c>
      <c r="BD107" s="154">
        <f>_xll.qlDayCounterYearFraction(DayCounter,SettlementDate,BC107,,,Trigger)</f>
        <v>0.39166666666666666</v>
      </c>
      <c r="BE107" s="166">
        <f>_xll.qlPolynomialFunctionValue(BE$1,$BD107,AllTriggers)</f>
        <v>1.8881212671627845E-3</v>
      </c>
      <c r="BF107" s="166">
        <f>_xll.qlPolynomialFunctionValue(BF$1,$BD107,AllTriggers)</f>
        <v>1.9102765816894304E-3</v>
      </c>
      <c r="BG107" s="166">
        <f>_xll.qlPolynomialFunctionValue(BG$1,$BD107,AllTriggers)</f>
        <v>1.8778973489698739E-3</v>
      </c>
      <c r="BH107" s="166">
        <f>_xll.qlPolynomialFunctionValue(BH$1,$BD107,AllTriggers)</f>
        <v>1.9076053051874289E-3</v>
      </c>
      <c r="BI107" s="166">
        <f>_xll.qlPolynomialFunctionValue(BI$1,$BD107,AllTriggers)</f>
        <v>1.892502356148419E-3</v>
      </c>
      <c r="BJ107" s="166">
        <f>_xll.qlPolynomialFunctionValue(BJ$1,$BD107,AllTriggers)</f>
        <v>1.9145200223160408E-3</v>
      </c>
      <c r="BK107" s="166">
        <f>_xll.qlPolynomialFunctionValue(BK$1,$BD107,AllTriggers)</f>
        <v>1.8794961622213126E-3</v>
      </c>
      <c r="BL107" s="166">
        <f>_xll.qlPolynomialFunctionValue(BL$1,$BD107,AllTriggers)</f>
        <v>1.9075538544432026E-3</v>
      </c>
      <c r="BM107" s="166">
        <f>_xll.qlPolynomialFunctionValue(BM$1,$BD107,AllTriggers)</f>
        <v>1.867273664419926E-3</v>
      </c>
      <c r="BN107" s="166">
        <f>_xll.qlPolynomialFunctionValue(BN$1,$BD107,AllTriggers)</f>
        <v>1.8778699761424962E-3</v>
      </c>
      <c r="BO107" s="166">
        <f>_xll.qlPolynomialFunctionValue(BO$1,$BD107,AllTriggers)</f>
        <v>1.875018660809626E-3</v>
      </c>
      <c r="BP107" s="166">
        <f>_xll.qlPolynomialFunctionValue(BP$1,$BD107,AllTriggers)</f>
        <v>1.8651879165363532E-3</v>
      </c>
      <c r="BQ107" s="166">
        <f>_xll.qlPolynomialFunctionValue('6MSynthDepo_used'!$P$18,BD107,AllTriggers)</f>
        <v>1.887703948138347E-3</v>
      </c>
    </row>
    <row r="108" spans="11:69" x14ac:dyDescent="0.2">
      <c r="R108" s="140"/>
      <c r="S108" s="140"/>
      <c r="BC108" s="384">
        <f>_xll.qlCalendarAdvance(Calendar,BC107,"1d","mf",,Trigger)</f>
        <v>42282</v>
      </c>
      <c r="BD108" s="154">
        <f>_xll.qlDayCounterYearFraction(DayCounter,SettlementDate,BC108,,,Trigger)</f>
        <v>0.4</v>
      </c>
      <c r="BE108" s="166">
        <f>_xll.qlPolynomialFunctionValue(BE$1,$BD108,AllTriggers)</f>
        <v>1.8932979513778011E-3</v>
      </c>
      <c r="BF108" s="166">
        <f>_xll.qlPolynomialFunctionValue(BF$1,$BD108,AllTriggers)</f>
        <v>1.9133477253749642E-3</v>
      </c>
      <c r="BG108" s="166">
        <f>_xll.qlPolynomialFunctionValue(BG$1,$BD108,AllTriggers)</f>
        <v>1.8811570485237198E-3</v>
      </c>
      <c r="BH108" s="166">
        <f>_xll.qlPolynomialFunctionValue(BH$1,$BD108,AllTriggers)</f>
        <v>1.9106920046727158E-3</v>
      </c>
      <c r="BI108" s="166">
        <f>_xll.qlPolynomialFunctionValue(BI$1,$BD108,AllTriggers)</f>
        <v>1.8979376565485548E-3</v>
      </c>
      <c r="BJ108" s="166">
        <f>_xll.qlPolynomialFunctionValue(BJ$1,$BD108,AllTriggers)</f>
        <v>1.917465932540497E-3</v>
      </c>
      <c r="BK108" s="166">
        <f>_xll.qlPolynomialFunctionValue(BK$1,$BD108,AllTriggers)</f>
        <v>1.882701829376801E-3</v>
      </c>
      <c r="BL108" s="166">
        <f>_xll.qlPolynomialFunctionValue(BL$1,$BD108,AllTriggers)</f>
        <v>1.9105514297434898E-3</v>
      </c>
      <c r="BM108" s="166">
        <f>_xll.qlPolynomialFunctionValue(BM$1,$BD108,AllTriggers)</f>
        <v>1.8705989760311535E-3</v>
      </c>
      <c r="BN108" s="166">
        <f>_xll.qlPolynomialFunctionValue(BN$1,$BD108,AllTriggers)</f>
        <v>1.8813953486605491E-3</v>
      </c>
      <c r="BO108" s="166">
        <f>_xll.qlPolynomialFunctionValue(BO$1,$BD108,AllTriggers)</f>
        <v>1.877821545534477E-3</v>
      </c>
      <c r="BP108" s="166">
        <f>_xll.qlPolynomialFunctionValue(BP$1,$BD108,AllTriggers)</f>
        <v>1.8673487847792336E-3</v>
      </c>
      <c r="BQ108" s="166">
        <f>_xll.qlPolynomialFunctionValue('6MSynthDepo_used'!$P$18,BD108,AllTriggers)</f>
        <v>1.8911523062112511E-3</v>
      </c>
    </row>
    <row r="109" spans="11:69" x14ac:dyDescent="0.2">
      <c r="R109" s="140"/>
      <c r="S109" s="140"/>
      <c r="BC109" s="384">
        <f>_xll.qlCalendarAdvance(Calendar,BC108,"1d","mf",,Trigger)</f>
        <v>42283</v>
      </c>
      <c r="BD109" s="154">
        <f>_xll.qlDayCounterYearFraction(DayCounter,SettlementDate,BC109,,,Trigger)</f>
        <v>0.40277777777777779</v>
      </c>
      <c r="BE109" s="166">
        <f>_xll.qlPolynomialFunctionValue(BE$1,$BD109,AllTriggers)</f>
        <v>1.8950235127828067E-3</v>
      </c>
      <c r="BF109" s="166">
        <f>_xll.qlPolynomialFunctionValue(BF$1,$BD109,AllTriggers)</f>
        <v>1.9143295386327397E-3</v>
      </c>
      <c r="BG109" s="166">
        <f>_xll.qlPolynomialFunctionValue(BG$1,$BD109,AllTriggers)</f>
        <v>1.8822436150416684E-3</v>
      </c>
      <c r="BH109" s="166">
        <f>_xll.qlPolynomialFunctionValue(BH$1,$BD109,AllTriggers)</f>
        <v>1.911682460041465E-3</v>
      </c>
      <c r="BI109" s="166">
        <f>_xll.qlPolynomialFunctionValue(BI$1,$BD109,AllTriggers)</f>
        <v>1.8997494233486002E-3</v>
      </c>
      <c r="BJ109" s="166">
        <f>_xll.qlPolynomialFunctionValue(BJ$1,$BD109,AllTriggers)</f>
        <v>1.9184014963808547E-3</v>
      </c>
      <c r="BK109" s="166">
        <f>_xll.qlPolynomialFunctionValue(BK$1,$BD109,AllTriggers)</f>
        <v>1.8837703850952973E-3</v>
      </c>
      <c r="BL109" s="166">
        <f>_xll.qlPolynomialFunctionValue(BL$1,$BD109,AllTriggers)</f>
        <v>1.9115134453726089E-3</v>
      </c>
      <c r="BM109" s="166">
        <f>_xll.qlPolynomialFunctionValue(BM$1,$BD109,AllTriggers)</f>
        <v>1.871707413234896E-3</v>
      </c>
      <c r="BN109" s="166">
        <f>_xll.qlPolynomialFunctionValue(BN$1,$BD109,AllTriggers)</f>
        <v>1.8825617739803319E-3</v>
      </c>
      <c r="BO109" s="166">
        <f>_xll.qlPolynomialFunctionValue(BO$1,$BD109,AllTriggers)</f>
        <v>1.8787558404427605E-3</v>
      </c>
      <c r="BP109" s="166">
        <f>_xll.qlPolynomialFunctionValue(BP$1,$BD109,AllTriggers)</f>
        <v>1.8680814844871999E-3</v>
      </c>
      <c r="BQ109" s="166">
        <f>_xll.qlPolynomialFunctionValue('6MSynthDepo_used'!$P$18,BD109,AllTriggers)</f>
        <v>1.8922865027822279E-3</v>
      </c>
    </row>
    <row r="110" spans="11:69" x14ac:dyDescent="0.2">
      <c r="R110" s="140"/>
      <c r="S110" s="140"/>
      <c r="BC110" s="384">
        <f>_xll.qlCalendarAdvance(Calendar,BC109,"1d","mf",,Trigger)</f>
        <v>42284</v>
      </c>
      <c r="BD110" s="154">
        <f>_xll.qlDayCounterYearFraction(DayCounter,SettlementDate,BC110,,,Trigger)</f>
        <v>0.40555555555555556</v>
      </c>
      <c r="BE110" s="166">
        <f>_xll.qlPolynomialFunctionValue(BE$1,$BD110,AllTriggers)</f>
        <v>1.8967490741878122E-3</v>
      </c>
      <c r="BF110" s="166">
        <f>_xll.qlPolynomialFunctionValue(BF$1,$BD110,AllTriggers)</f>
        <v>1.9152904012384804E-3</v>
      </c>
      <c r="BG110" s="166">
        <f>_xll.qlPolynomialFunctionValue(BG$1,$BD110,AllTriggers)</f>
        <v>1.8833301815596171E-3</v>
      </c>
      <c r="BH110" s="166">
        <f>_xll.qlPolynomialFunctionValue(BH$1,$BD110,AllTriggers)</f>
        <v>1.9126536931803745E-3</v>
      </c>
      <c r="BI110" s="166">
        <f>_xll.qlPolynomialFunctionValue(BI$1,$BD110,AllTriggers)</f>
        <v>1.9015611901486453E-3</v>
      </c>
      <c r="BJ110" s="166">
        <f>_xll.qlPolynomialFunctionValue(BJ$1,$BD110,AllTriggers)</f>
        <v>1.9193138571039813E-3</v>
      </c>
      <c r="BK110" s="166">
        <f>_xll.qlPolynomialFunctionValue(BK$1,$BD110,AllTriggers)</f>
        <v>1.8848389408137934E-3</v>
      </c>
      <c r="BL110" s="166">
        <f>_xll.qlPolynomialFunctionValue(BL$1,$BD110,AllTriggers)</f>
        <v>1.912456872932906E-3</v>
      </c>
      <c r="BM110" s="166">
        <f>_xll.qlPolynomialFunctionValue(BM$1,$BD110,AllTriggers)</f>
        <v>1.8728158504386385E-3</v>
      </c>
      <c r="BN110" s="166">
        <f>_xll.qlPolynomialFunctionValue(BN$1,$BD110,AllTriggers)</f>
        <v>1.883723849873664E-3</v>
      </c>
      <c r="BO110" s="166">
        <f>_xll.qlPolynomialFunctionValue(BO$1,$BD110,AllTriggers)</f>
        <v>1.8796901353510442E-3</v>
      </c>
      <c r="BP110" s="166">
        <f>_xll.qlPolynomialFunctionValue(BP$1,$BD110,AllTriggers)</f>
        <v>1.8688203893420026E-3</v>
      </c>
      <c r="BQ110" s="166">
        <f>_xll.qlPolynomialFunctionValue('6MSynthDepo_used'!$P$18,BD110,AllTriggers)</f>
        <v>1.8934131814669004E-3</v>
      </c>
    </row>
    <row r="111" spans="11:69" x14ac:dyDescent="0.2">
      <c r="R111" s="140"/>
      <c r="S111" s="140"/>
      <c r="BC111" s="384">
        <f>_xll.qlCalendarAdvance(Calendar,BC110,"1d","mf",,Trigger)</f>
        <v>42285</v>
      </c>
      <c r="BD111" s="154">
        <f>_xll.qlDayCounterYearFraction(DayCounter,SettlementDate,BC111,,,Trigger)</f>
        <v>0.40833333333333333</v>
      </c>
      <c r="BE111" s="166">
        <f>_xll.qlPolynomialFunctionValue(BE$1,$BD111,AllTriggers)</f>
        <v>1.8984746355928178E-3</v>
      </c>
      <c r="BF111" s="166">
        <f>_xll.qlPolynomialFunctionValue(BF$1,$BD111,AllTriggers)</f>
        <v>1.9162303131921867E-3</v>
      </c>
      <c r="BG111" s="166">
        <f>_xll.qlPolynomialFunctionValue(BG$1,$BD111,AllTriggers)</f>
        <v>1.8844167480775657E-3</v>
      </c>
      <c r="BH111" s="166">
        <f>_xll.qlPolynomialFunctionValue(BH$1,$BD111,AllTriggers)</f>
        <v>1.9136057040894439E-3</v>
      </c>
      <c r="BI111" s="166">
        <f>_xll.qlPolynomialFunctionValue(BI$1,$BD111,AllTriggers)</f>
        <v>1.9033729569486906E-3</v>
      </c>
      <c r="BJ111" s="166">
        <f>_xll.qlPolynomialFunctionValue(BJ$1,$BD111,AllTriggers)</f>
        <v>1.9202030147098775E-3</v>
      </c>
      <c r="BK111" s="166">
        <f>_xll.qlPolynomialFunctionValue(BK$1,$BD111,AllTriggers)</f>
        <v>1.8859074965322897E-3</v>
      </c>
      <c r="BL111" s="166">
        <f>_xll.qlPolynomialFunctionValue(BL$1,$BD111,AllTriggers)</f>
        <v>1.9133817124243808E-3</v>
      </c>
      <c r="BM111" s="166">
        <f>_xll.qlPolynomialFunctionValue(BM$1,$BD111,AllTriggers)</f>
        <v>1.873924287642381E-3</v>
      </c>
      <c r="BN111" s="166">
        <f>_xll.qlPolynomialFunctionValue(BN$1,$BD111,AllTriggers)</f>
        <v>1.8848815763405449E-3</v>
      </c>
      <c r="BO111" s="166">
        <f>_xll.qlPolynomialFunctionValue(BO$1,$BD111,AllTriggers)</f>
        <v>1.880624430259328E-3</v>
      </c>
      <c r="BP111" s="166">
        <f>_xll.qlPolynomialFunctionValue(BP$1,$BD111,AllTriggers)</f>
        <v>1.8695654993436414E-3</v>
      </c>
      <c r="BQ111" s="166">
        <f>_xll.qlPolynomialFunctionValue('6MSynthDepo_used'!$P$18,BD111,AllTriggers)</f>
        <v>1.8945324079890653E-3</v>
      </c>
    </row>
    <row r="112" spans="11:69" x14ac:dyDescent="0.2">
      <c r="R112" s="140"/>
      <c r="S112" s="140"/>
      <c r="BC112" s="384">
        <f>_xll.qlCalendarAdvance(Calendar,BC111,"1d","mf",,Trigger)</f>
        <v>42286</v>
      </c>
      <c r="BD112" s="154">
        <f>_xll.qlDayCounterYearFraction(DayCounter,SettlementDate,BC112,,,Trigger)</f>
        <v>0.41111111111111109</v>
      </c>
      <c r="BE112" s="166">
        <f>_xll.qlPolynomialFunctionValue(BE$1,$BD112,AllTriggers)</f>
        <v>1.9002001969978233E-3</v>
      </c>
      <c r="BF112" s="166">
        <f>_xll.qlPolynomialFunctionValue(BF$1,$BD112,AllTriggers)</f>
        <v>1.9171492744938581E-3</v>
      </c>
      <c r="BG112" s="166">
        <f>_xll.qlPolynomialFunctionValue(BG$1,$BD112,AllTriggers)</f>
        <v>1.8855033145955143E-3</v>
      </c>
      <c r="BH112" s="166">
        <f>_xll.qlPolynomialFunctionValue(BH$1,$BD112,AllTriggers)</f>
        <v>1.9145384927686734E-3</v>
      </c>
      <c r="BI112" s="166">
        <f>_xll.qlPolynomialFunctionValue(BI$1,$BD112,AllTriggers)</f>
        <v>1.9051847237487357E-3</v>
      </c>
      <c r="BJ112" s="166">
        <f>_xll.qlPolynomialFunctionValue(BJ$1,$BD112,AllTriggers)</f>
        <v>1.921068969198543E-3</v>
      </c>
      <c r="BK112" s="166">
        <f>_xll.qlPolynomialFunctionValue(BK$1,$BD112,AllTriggers)</f>
        <v>1.8869760522507858E-3</v>
      </c>
      <c r="BL112" s="166">
        <f>_xll.qlPolynomialFunctionValue(BL$1,$BD112,AllTriggers)</f>
        <v>1.9142879638470343E-3</v>
      </c>
      <c r="BM112" s="166">
        <f>_xll.qlPolynomialFunctionValue(BM$1,$BD112,AllTriggers)</f>
        <v>1.8750327248461234E-3</v>
      </c>
      <c r="BN112" s="166">
        <f>_xll.qlPolynomialFunctionValue(BN$1,$BD112,AllTriggers)</f>
        <v>1.8860349533809753E-3</v>
      </c>
      <c r="BO112" s="166">
        <f>_xll.qlPolynomialFunctionValue(BO$1,$BD112,AllTriggers)</f>
        <v>1.8815587251676115E-3</v>
      </c>
      <c r="BP112" s="166">
        <f>_xll.qlPolynomialFunctionValue(BP$1,$BD112,AllTriggers)</f>
        <v>1.8703168144921169E-3</v>
      </c>
      <c r="BQ112" s="166">
        <f>_xll.qlPolynomialFunctionValue('6MSynthDepo_used'!$P$18,BD112,AllTriggers)</f>
        <v>1.8956442478189086E-3</v>
      </c>
    </row>
    <row r="113" spans="18:69" x14ac:dyDescent="0.2">
      <c r="R113" s="140"/>
      <c r="S113" s="140"/>
      <c r="BC113" s="384">
        <f>_xll.qlCalendarAdvance(Calendar,BC112,"1d","mf",,Trigger)</f>
        <v>42289</v>
      </c>
      <c r="BD113" s="154">
        <f>_xll.qlDayCounterYearFraction(DayCounter,SettlementDate,BC113,,,Trigger)</f>
        <v>0.41944444444444445</v>
      </c>
      <c r="BE113" s="166">
        <f>_xll.qlPolynomialFunctionValue(BE$1,$BD113,AllTriggers)</f>
        <v>1.90537688121284E-3</v>
      </c>
      <c r="BF113" s="166">
        <f>_xll.qlPolynomialFunctionValue(BF$1,$BD113,AllTriggers)</f>
        <v>1.9197804544866641E-3</v>
      </c>
      <c r="BG113" s="166">
        <f>_xll.qlPolynomialFunctionValue(BG$1,$BD113,AllTriggers)</f>
        <v>1.8887630141493602E-3</v>
      </c>
      <c r="BH113" s="166">
        <f>_xll.qlPolynomialFunctionValue(BH$1,$BD113,AllTriggers)</f>
        <v>1.9172215254273227E-3</v>
      </c>
      <c r="BI113" s="166">
        <f>_xll.qlPolynomialFunctionValue(BI$1,$BD113,AllTriggers)</f>
        <v>1.9106200241488715E-3</v>
      </c>
      <c r="BJ113" s="166">
        <f>_xll.qlPolynomialFunctionValue(BJ$1,$BD113,AllTriggers)</f>
        <v>1.9235276139611542E-3</v>
      </c>
      <c r="BK113" s="166">
        <f>_xll.qlPolynomialFunctionValue(BK$1,$BD113,AllTriggers)</f>
        <v>1.8901817194062745E-3</v>
      </c>
      <c r="BL113" s="166">
        <f>_xll.qlPolynomialFunctionValue(BL$1,$BD113,AllTriggers)</f>
        <v>1.9168951897020629E-3</v>
      </c>
      <c r="BM113" s="166">
        <f>_xll.qlPolynomialFunctionValue(BM$1,$BD113,AllTriggers)</f>
        <v>1.8783580364573509E-3</v>
      </c>
      <c r="BN113" s="166">
        <f>_xll.qlPolynomialFunctionValue(BN$1,$BD113,AllTriggers)</f>
        <v>1.8894689879435619E-3</v>
      </c>
      <c r="BO113" s="166">
        <f>_xll.qlPolynomialFunctionValue(BO$1,$BD113,AllTriggers)</f>
        <v>1.8843616098924625E-3</v>
      </c>
      <c r="BP113" s="166">
        <f>_xll.qlPolynomialFunctionValue(BP$1,$BD113,AllTriggers)</f>
        <v>1.8726079908185614E-3</v>
      </c>
      <c r="BQ113" s="166">
        <f>_xll.qlPolynomialFunctionValue('6MSynthDepo_used'!$P$18,BD113,AllTriggers)</f>
        <v>1.8989360980521878E-3</v>
      </c>
    </row>
    <row r="114" spans="18:69" x14ac:dyDescent="0.2">
      <c r="R114" s="140"/>
      <c r="S114" s="140"/>
      <c r="BC114" s="384">
        <f>_xll.qlCalendarAdvance(Calendar,BC113,"1d","mf",,Trigger)</f>
        <v>42290</v>
      </c>
      <c r="BD114" s="154">
        <f>_xll.qlDayCounterYearFraction(DayCounter,SettlementDate,BC114,,,Trigger)</f>
        <v>0.42222222222222222</v>
      </c>
      <c r="BE114" s="166">
        <f>_xll.qlPolynomialFunctionValue(BE$1,$BD114,AllTriggers)</f>
        <v>1.9071024426178455E-3</v>
      </c>
      <c r="BF114" s="166">
        <f>_xll.qlPolynomialFunctionValue(BF$1,$BD114,AllTriggers)</f>
        <v>1.920615613180197E-3</v>
      </c>
      <c r="BG114" s="166">
        <f>_xll.qlPolynomialFunctionValue(BG$1,$BD114,AllTriggers)</f>
        <v>1.8898495806673088E-3</v>
      </c>
      <c r="BH114" s="166">
        <f>_xll.qlPolynomialFunctionValue(BH$1,$BD114,AllTriggers)</f>
        <v>1.9180774251871925E-3</v>
      </c>
      <c r="BI114" s="166">
        <f>_xll.qlPolynomialFunctionValue(BI$1,$BD114,AllTriggers)</f>
        <v>1.9124317909489166E-3</v>
      </c>
      <c r="BJ114" s="166">
        <f>_xll.qlPolynomialFunctionValue(BJ$1,$BD114,AllTriggers)</f>
        <v>1.9243007559808967E-3</v>
      </c>
      <c r="BK114" s="166">
        <f>_xll.qlPolynomialFunctionValue(BK$1,$BD114,AllTriggers)</f>
        <v>1.8912502751247705E-3</v>
      </c>
      <c r="BL114" s="166">
        <f>_xll.qlPolynomialFunctionValue(BL$1,$BD114,AllTriggers)</f>
        <v>1.9177270888494284E-3</v>
      </c>
      <c r="BM114" s="166">
        <f>_xll.qlPolynomialFunctionValue(BM$1,$BD114,AllTriggers)</f>
        <v>1.8794664736610934E-3</v>
      </c>
      <c r="BN114" s="166">
        <f>_xll.qlPolynomialFunctionValue(BN$1,$BD114,AllTriggers)</f>
        <v>1.8906049672781891E-3</v>
      </c>
      <c r="BO114" s="166">
        <f>_xll.qlPolynomialFunctionValue(BO$1,$BD114,AllTriggers)</f>
        <v>1.8852959048007462E-3</v>
      </c>
      <c r="BP114" s="166">
        <f>_xll.qlPolynomialFunctionValue(BP$1,$BD114,AllTriggers)</f>
        <v>1.8733841265543823E-3</v>
      </c>
      <c r="BQ114" s="166">
        <f>_xll.qlPolynomialFunctionValue('6MSynthDepo_used'!$P$18,BD114,AllTriggers)</f>
        <v>1.9000190407423663E-3</v>
      </c>
    </row>
    <row r="115" spans="18:69" x14ac:dyDescent="0.2">
      <c r="R115" s="140"/>
      <c r="S115" s="140"/>
      <c r="BC115" s="384">
        <f>_xll.qlCalendarAdvance(Calendar,BC114,"1d","mf",,Trigger)</f>
        <v>42291</v>
      </c>
      <c r="BD115" s="154">
        <f>_xll.qlDayCounterYearFraction(DayCounter,SettlementDate,BC115,,,Trigger)</f>
        <v>0.42499999999999999</v>
      </c>
      <c r="BE115" s="166">
        <f>_xll.qlPolynomialFunctionValue(BE$1,$BD115,AllTriggers)</f>
        <v>1.9088280040228511E-3</v>
      </c>
      <c r="BF115" s="166">
        <f>_xll.qlPolynomialFunctionValue(BF$1,$BD115,AllTriggers)</f>
        <v>1.9214298212216947E-3</v>
      </c>
      <c r="BG115" s="166">
        <f>_xll.qlPolynomialFunctionValue(BG$1,$BD115,AllTriggers)</f>
        <v>1.8909361471852574E-3</v>
      </c>
      <c r="BH115" s="166">
        <f>_xll.qlPolynomialFunctionValue(BH$1,$BD115,AllTriggers)</f>
        <v>1.9189141027172222E-3</v>
      </c>
      <c r="BI115" s="166">
        <f>_xll.qlPolynomialFunctionValue(BI$1,$BD115,AllTriggers)</f>
        <v>1.914243557748962E-3</v>
      </c>
      <c r="BJ115" s="166">
        <f>_xll.qlPolynomialFunctionValue(BJ$1,$BD115,AllTriggers)</f>
        <v>1.9250506948834084E-3</v>
      </c>
      <c r="BK115" s="166">
        <f>_xll.qlPolynomialFunctionValue(BK$1,$BD115,AllTriggers)</f>
        <v>1.8923188308432666E-3</v>
      </c>
      <c r="BL115" s="166">
        <f>_xll.qlPolynomialFunctionValue(BL$1,$BD115,AllTriggers)</f>
        <v>1.9185403999279725E-3</v>
      </c>
      <c r="BM115" s="166">
        <f>_xll.qlPolynomialFunctionValue(BM$1,$BD115,AllTriggers)</f>
        <v>1.8805749108648359E-3</v>
      </c>
      <c r="BN115" s="166">
        <f>_xll.qlPolynomialFunctionValue(BN$1,$BD115,AllTriggers)</f>
        <v>1.8917365971863657E-3</v>
      </c>
      <c r="BO115" s="166">
        <f>_xll.qlPolynomialFunctionValue(BO$1,$BD115,AllTriggers)</f>
        <v>1.8862301997090299E-3</v>
      </c>
      <c r="BP115" s="166">
        <f>_xll.qlPolynomialFunctionValue(BP$1,$BD115,AllTriggers)</f>
        <v>1.8741664674370394E-3</v>
      </c>
      <c r="BQ115" s="166">
        <f>_xll.qlPolynomialFunctionValue('6MSynthDepo_used'!$P$18,BD115,AllTriggers)</f>
        <v>1.9010949202869763E-3</v>
      </c>
    </row>
    <row r="116" spans="18:69" x14ac:dyDescent="0.2">
      <c r="R116" s="140"/>
      <c r="S116" s="140"/>
      <c r="BC116" s="384">
        <f>_xll.qlCalendarAdvance(Calendar,BC115,"1d","mf",,Trigger)</f>
        <v>42292</v>
      </c>
      <c r="BD116" s="154">
        <f>_xll.qlDayCounterYearFraction(DayCounter,SettlementDate,BC116,,,Trigger)</f>
        <v>0.42777777777777776</v>
      </c>
      <c r="BE116" s="166">
        <f>_xll.qlPolynomialFunctionValue(BE$1,$BD116,AllTriggers)</f>
        <v>1.9105535654278568E-3</v>
      </c>
      <c r="BF116" s="166">
        <f>_xll.qlPolynomialFunctionValue(BF$1,$BD116,AllTriggers)</f>
        <v>1.9222230786111582E-3</v>
      </c>
      <c r="BG116" s="166">
        <f>_xll.qlPolynomialFunctionValue(BG$1,$BD116,AllTriggers)</f>
        <v>1.8920227137032061E-3</v>
      </c>
      <c r="BH116" s="166">
        <f>_xll.qlPolynomialFunctionValue(BH$1,$BD116,AllTriggers)</f>
        <v>1.9197315580174129E-3</v>
      </c>
      <c r="BI116" s="166">
        <f>_xll.qlPolynomialFunctionValue(BI$1,$BD116,AllTriggers)</f>
        <v>1.9160553245490073E-3</v>
      </c>
      <c r="BJ116" s="166">
        <f>_xll.qlPolynomialFunctionValue(BJ$1,$BD116,AllTriggers)</f>
        <v>1.9257774306686896E-3</v>
      </c>
      <c r="BK116" s="166">
        <f>_xll.qlPolynomialFunctionValue(BK$1,$BD116,AllTriggers)</f>
        <v>1.8933873865617629E-3</v>
      </c>
      <c r="BL116" s="166">
        <f>_xll.qlPolynomialFunctionValue(BL$1,$BD116,AllTriggers)</f>
        <v>1.9193351229376944E-3</v>
      </c>
      <c r="BM116" s="166">
        <f>_xll.qlPolynomialFunctionValue(BM$1,$BD116,AllTriggers)</f>
        <v>1.8816833480685784E-3</v>
      </c>
      <c r="BN116" s="166">
        <f>_xll.qlPolynomialFunctionValue(BN$1,$BD116,AllTriggers)</f>
        <v>1.8928638776680913E-3</v>
      </c>
      <c r="BO116" s="166">
        <f>_xll.qlPolynomialFunctionValue(BO$1,$BD116,AllTriggers)</f>
        <v>1.8871644946173135E-3</v>
      </c>
      <c r="BP116" s="166">
        <f>_xll.qlPolynomialFunctionValue(BP$1,$BD116,AllTriggers)</f>
        <v>1.8749550134665332E-3</v>
      </c>
      <c r="BQ116" s="166">
        <f>_xll.qlPolynomialFunctionValue('6MSynthDepo_used'!$P$18,BD116,AllTriggers)</f>
        <v>1.902163800634533E-3</v>
      </c>
    </row>
    <row r="117" spans="18:69" x14ac:dyDescent="0.2">
      <c r="R117" s="140"/>
      <c r="S117" s="140"/>
      <c r="BC117" s="384">
        <f>_xll.qlCalendarAdvance(Calendar,BC116,"1d","mf",,Trigger)</f>
        <v>42293</v>
      </c>
      <c r="BD117" s="154">
        <f>_xll.qlDayCounterYearFraction(DayCounter,SettlementDate,BC117,,,Trigger)</f>
        <v>0.43055555555555558</v>
      </c>
      <c r="BE117" s="166">
        <f>_xll.qlPolynomialFunctionValue(BE$1,$BD117,AllTriggers)</f>
        <v>1.9122791268328624E-3</v>
      </c>
      <c r="BF117" s="166">
        <f>_xll.qlPolynomialFunctionValue(BF$1,$BD117,AllTriggers)</f>
        <v>1.9229953853485871E-3</v>
      </c>
      <c r="BG117" s="166">
        <f>_xll.qlPolynomialFunctionValue(BG$1,$BD117,AllTriggers)</f>
        <v>1.8931092802211549E-3</v>
      </c>
      <c r="BH117" s="166">
        <f>_xll.qlPolynomialFunctionValue(BH$1,$BD117,AllTriggers)</f>
        <v>1.9205297910877626E-3</v>
      </c>
      <c r="BI117" s="166">
        <f>_xll.qlPolynomialFunctionValue(BI$1,$BD117,AllTriggers)</f>
        <v>1.9178670913490524E-3</v>
      </c>
      <c r="BJ117" s="166">
        <f>_xll.qlPolynomialFunctionValue(BJ$1,$BD117,AllTriggers)</f>
        <v>1.9264809633367398E-3</v>
      </c>
      <c r="BK117" s="166">
        <f>_xll.qlPolynomialFunctionValue(BK$1,$BD117,AllTriggers)</f>
        <v>1.894455942280259E-3</v>
      </c>
      <c r="BL117" s="166">
        <f>_xll.qlPolynomialFunctionValue(BL$1,$BD117,AllTriggers)</f>
        <v>1.9201112578785947E-3</v>
      </c>
      <c r="BM117" s="166">
        <f>_xll.qlPolynomialFunctionValue(BM$1,$BD117,AllTriggers)</f>
        <v>1.8827917852723209E-3</v>
      </c>
      <c r="BN117" s="166">
        <f>_xll.qlPolynomialFunctionValue(BN$1,$BD117,AllTriggers)</f>
        <v>1.8939868087233659E-3</v>
      </c>
      <c r="BO117" s="166">
        <f>_xll.qlPolynomialFunctionValue(BO$1,$BD117,AllTriggers)</f>
        <v>1.8880987895255972E-3</v>
      </c>
      <c r="BP117" s="166">
        <f>_xll.qlPolynomialFunctionValue(BP$1,$BD117,AllTriggers)</f>
        <v>1.8757497646428633E-3</v>
      </c>
      <c r="BQ117" s="166">
        <f>_xll.qlPolynomialFunctionValue('6MSynthDepo_used'!$P$18,BD117,AllTriggers)</f>
        <v>1.9032257454799403E-3</v>
      </c>
    </row>
    <row r="118" spans="18:69" x14ac:dyDescent="0.2">
      <c r="R118" s="140"/>
      <c r="S118" s="140"/>
      <c r="BC118" s="384">
        <f>_xll.qlCalendarAdvance(Calendar,BC117,"1d","mf",,Trigger)</f>
        <v>42296</v>
      </c>
      <c r="BD118" s="154">
        <f>_xll.qlDayCounterYearFraction(DayCounter,SettlementDate,BC118,,,Trigger)</f>
        <v>0.43888888888888888</v>
      </c>
      <c r="BE118" s="166">
        <f>_xll.qlPolynomialFunctionValue(BE$1,$BD118,AllTriggers)</f>
        <v>1.917455811047879E-3</v>
      </c>
      <c r="BF118" s="166">
        <f>_xll.qlPolynomialFunctionValue(BF$1,$BD118,AllTriggers)</f>
        <v>1.925186601648666E-3</v>
      </c>
      <c r="BG118" s="166">
        <f>_xll.qlPolynomialFunctionValue(BG$1,$BD118,AllTriggers)</f>
        <v>1.8963689797750006E-3</v>
      </c>
      <c r="BH118" s="166">
        <f>_xll.qlPolynomialFunctionValue(BH$1,$BD118,AllTriggers)</f>
        <v>1.9228091569197742E-3</v>
      </c>
      <c r="BI118" s="166">
        <f>_xll.qlPolynomialFunctionValue(BI$1,$BD118,AllTriggers)</f>
        <v>1.9233023917491882E-3</v>
      </c>
      <c r="BJ118" s="166">
        <f>_xll.qlPolynomialFunctionValue(BJ$1,$BD118,AllTriggers)</f>
        <v>1.928452342637506E-3</v>
      </c>
      <c r="BK118" s="166">
        <f>_xll.qlPolynomialFunctionValue(BK$1,$BD118,AllTriggers)</f>
        <v>1.8976616094357477E-3</v>
      </c>
      <c r="BL118" s="166">
        <f>_xll.qlPolynomialFunctionValue(BL$1,$BD118,AllTriggers)</f>
        <v>1.9223281342883641E-3</v>
      </c>
      <c r="BM118" s="166">
        <f>_xll.qlPolynomialFunctionValue(BM$1,$BD118,AllTriggers)</f>
        <v>1.8861170968835484E-3</v>
      </c>
      <c r="BN118" s="166">
        <f>_xll.qlPolynomialFunctionValue(BN$1,$BD118,AllTriggers)</f>
        <v>1.8973295053304857E-3</v>
      </c>
      <c r="BO118" s="166">
        <f>_xll.qlPolynomialFunctionValue(BO$1,$BD118,AllTriggers)</f>
        <v>1.8909016742504482E-3</v>
      </c>
      <c r="BP118" s="166">
        <f>_xll.qlPolynomialFunctionValue(BP$1,$BD118,AllTriggers)</f>
        <v>1.8781712490528715E-3</v>
      </c>
      <c r="BQ118" s="166">
        <f>_xll.qlPolynomialFunctionValue('6MSynthDepo_used'!$P$18,BD118,AllTriggers)</f>
        <v>1.9063706001481316E-3</v>
      </c>
    </row>
    <row r="119" spans="18:69" x14ac:dyDescent="0.2">
      <c r="R119" s="140"/>
      <c r="S119" s="140"/>
      <c r="BC119" s="384">
        <f>_xll.qlCalendarAdvance(Calendar,BC118,"1d","mf",,Trigger)</f>
        <v>42297</v>
      </c>
      <c r="BD119" s="154">
        <f>_xll.qlDayCounterYearFraction(DayCounter,SettlementDate,BC119,,,Trigger)</f>
        <v>0.44166666666666665</v>
      </c>
      <c r="BE119" s="166">
        <f>_xll.qlPolynomialFunctionValue(BE$1,$BD119,AllTriggers)</f>
        <v>1.9191813724528846E-3</v>
      </c>
      <c r="BF119" s="166">
        <f>_xll.qlPolynomialFunctionValue(BF$1,$BD119,AllTriggers)</f>
        <v>1.9258751057779557E-3</v>
      </c>
      <c r="BG119" s="166">
        <f>_xll.qlPolynomialFunctionValue(BG$1,$BD119,AllTriggers)</f>
        <v>1.8974555462929494E-3</v>
      </c>
      <c r="BH119" s="166">
        <f>_xll.qlPolynomialFunctionValue(BH$1,$BD119,AllTriggers)</f>
        <v>1.9235305010707649E-3</v>
      </c>
      <c r="BI119" s="166">
        <f>_xll.qlPolynomialFunctionValue(BI$1,$BD119,AllTriggers)</f>
        <v>1.9251141585492333E-3</v>
      </c>
      <c r="BJ119" s="166">
        <f>_xll.qlPolynomialFunctionValue(BJ$1,$BD119,AllTriggers)</f>
        <v>1.9290630628366336E-3</v>
      </c>
      <c r="BK119" s="166">
        <f>_xll.qlPolynomialFunctionValue(BK$1,$BD119,AllTriggers)</f>
        <v>1.8987301651542437E-3</v>
      </c>
      <c r="BL119" s="166">
        <f>_xll.qlPolynomialFunctionValue(BL$1,$BD119,AllTriggers)</f>
        <v>1.9230299169539767E-3</v>
      </c>
      <c r="BM119" s="166">
        <f>_xll.qlPolynomialFunctionValue(BM$1,$BD119,AllTriggers)</f>
        <v>1.8872255340872909E-3</v>
      </c>
      <c r="BN119" s="166">
        <f>_xll.qlPolynomialFunctionValue(BN$1,$BD119,AllTriggers)</f>
        <v>1.8984350386799572E-3</v>
      </c>
      <c r="BO119" s="166">
        <f>_xll.qlPolynomialFunctionValue(BO$1,$BD119,AllTriggers)</f>
        <v>1.8918359691587319E-3</v>
      </c>
      <c r="BP119" s="166">
        <f>_xll.qlPolynomialFunctionValue(BP$1,$BD119,AllTriggers)</f>
        <v>1.8789908208165472E-3</v>
      </c>
      <c r="BQ119" s="166">
        <f>_xll.qlPolynomialFunctionValue('6MSynthDepo_used'!$P$18,BD119,AllTriggers)</f>
        <v>1.9074054348617486E-3</v>
      </c>
    </row>
    <row r="120" spans="18:69" x14ac:dyDescent="0.2">
      <c r="R120" s="140"/>
      <c r="S120" s="140"/>
      <c r="BC120" s="384">
        <f>_xll.qlCalendarAdvance(Calendar,BC119,"1d","mf",,Trigger)</f>
        <v>42298</v>
      </c>
      <c r="BD120" s="154">
        <f>_xll.qlDayCounterYearFraction(DayCounter,SettlementDate,BC120,,,Trigger)</f>
        <v>0.44444444444444442</v>
      </c>
      <c r="BE120" s="166">
        <f>_xll.qlPolynomialFunctionValue(BE$1,$BD120,AllTriggers)</f>
        <v>1.9209069338578901E-3</v>
      </c>
      <c r="BF120" s="166">
        <f>_xll.qlPolynomialFunctionValue(BF$1,$BD120,AllTriggers)</f>
        <v>1.9265426592552115E-3</v>
      </c>
      <c r="BG120" s="166">
        <f>_xll.qlPolynomialFunctionValue(BG$1,$BD120,AllTriggers)</f>
        <v>1.8985421128108978E-3</v>
      </c>
      <c r="BH120" s="166">
        <f>_xll.qlPolynomialFunctionValue(BH$1,$BD120,AllTriggers)</f>
        <v>1.9242326229919158E-3</v>
      </c>
      <c r="BI120" s="166">
        <f>_xll.qlPolynomialFunctionValue(BI$1,$BD120,AllTriggers)</f>
        <v>1.9269259253492787E-3</v>
      </c>
      <c r="BJ120" s="166">
        <f>_xll.qlPolynomialFunctionValue(BJ$1,$BD120,AllTriggers)</f>
        <v>1.9296505799185301E-3</v>
      </c>
      <c r="BK120" s="166">
        <f>_xll.qlPolynomialFunctionValue(BK$1,$BD120,AllTriggers)</f>
        <v>1.89979872087274E-3</v>
      </c>
      <c r="BL120" s="166">
        <f>_xll.qlPolynomialFunctionValue(BL$1,$BD120,AllTriggers)</f>
        <v>1.9237131115507676E-3</v>
      </c>
      <c r="BM120" s="166">
        <f>_xll.qlPolynomialFunctionValue(BM$1,$BD120,AllTriggers)</f>
        <v>1.8883339712910333E-3</v>
      </c>
      <c r="BN120" s="166">
        <f>_xll.qlPolynomialFunctionValue(BN$1,$BD120,AllTriggers)</f>
        <v>1.8995362226029784E-3</v>
      </c>
      <c r="BO120" s="166">
        <f>_xll.qlPolynomialFunctionValue(BO$1,$BD120,AllTriggers)</f>
        <v>1.8927702640670154E-3</v>
      </c>
      <c r="BP120" s="166">
        <f>_xll.qlPolynomialFunctionValue(BP$1,$BD120,AllTriggers)</f>
        <v>1.8798165977270589E-3</v>
      </c>
      <c r="BQ120" s="166">
        <f>_xll.qlPolynomialFunctionValue('6MSynthDepo_used'!$P$18,BD120,AllTriggers)</f>
        <v>1.9084336487435614E-3</v>
      </c>
    </row>
    <row r="121" spans="18:69" x14ac:dyDescent="0.2">
      <c r="R121" s="140"/>
      <c r="S121" s="140"/>
      <c r="BC121" s="384">
        <f>_xll.qlCalendarAdvance(Calendar,BC120,"1d","mf",,Trigger)</f>
        <v>42299</v>
      </c>
      <c r="BD121" s="154">
        <f>_xll.qlDayCounterYearFraction(DayCounter,SettlementDate,BC121,,,Trigger)</f>
        <v>0.44722222222222224</v>
      </c>
      <c r="BE121" s="166">
        <f>_xll.qlPolynomialFunctionValue(BE$1,$BD121,AllTriggers)</f>
        <v>1.9226324952628957E-3</v>
      </c>
      <c r="BF121" s="166">
        <f>_xll.qlPolynomialFunctionValue(BF$1,$BD121,AllTriggers)</f>
        <v>1.9271892620804322E-3</v>
      </c>
      <c r="BG121" s="166">
        <f>_xll.qlPolynomialFunctionValue(BG$1,$BD121,AllTriggers)</f>
        <v>1.8996286793288466E-3</v>
      </c>
      <c r="BH121" s="166">
        <f>_xll.qlPolynomialFunctionValue(BH$1,$BD121,AllTriggers)</f>
        <v>1.9249155226832267E-3</v>
      </c>
      <c r="BI121" s="166">
        <f>_xll.qlPolynomialFunctionValue(BI$1,$BD121,AllTriggers)</f>
        <v>1.9287376921493238E-3</v>
      </c>
      <c r="BJ121" s="166">
        <f>_xll.qlPolynomialFunctionValue(BJ$1,$BD121,AllTriggers)</f>
        <v>1.9302148938831962E-3</v>
      </c>
      <c r="BK121" s="166">
        <f>_xll.qlPolynomialFunctionValue(BK$1,$BD121,AllTriggers)</f>
        <v>1.9008672765912361E-3</v>
      </c>
      <c r="BL121" s="166">
        <f>_xll.qlPolynomialFunctionValue(BL$1,$BD121,AllTriggers)</f>
        <v>1.9243777180787368E-3</v>
      </c>
      <c r="BM121" s="166">
        <f>_xll.qlPolynomialFunctionValue(BM$1,$BD121,AllTriggers)</f>
        <v>1.8894424084947758E-3</v>
      </c>
      <c r="BN121" s="166">
        <f>_xll.qlPolynomialFunctionValue(BN$1,$BD121,AllTriggers)</f>
        <v>1.9006330570995485E-3</v>
      </c>
      <c r="BO121" s="166">
        <f>_xll.qlPolynomialFunctionValue(BO$1,$BD121,AllTriggers)</f>
        <v>1.8937045589752992E-3</v>
      </c>
      <c r="BP121" s="166">
        <f>_xll.qlPolynomialFunctionValue(BP$1,$BD121,AllTriggers)</f>
        <v>1.8806485797844073E-3</v>
      </c>
      <c r="BQ121" s="166">
        <f>_xll.qlPolynomialFunctionValue('6MSynthDepo_used'!$P$18,BD121,AllTriggers)</f>
        <v>1.9094553039668042E-3</v>
      </c>
    </row>
    <row r="122" spans="18:69" x14ac:dyDescent="0.2">
      <c r="R122" s="140"/>
      <c r="S122" s="140"/>
      <c r="BC122" s="384">
        <f>_xll.qlCalendarAdvance(Calendar,BC121,"1d","mf",,Trigger)</f>
        <v>42300</v>
      </c>
      <c r="BD122" s="154">
        <f>_xll.qlDayCounterYearFraction(DayCounter,SettlementDate,BC122,,,Trigger)</f>
        <v>0.45</v>
      </c>
      <c r="BE122" s="166">
        <f>_xll.qlPolynomialFunctionValue(BE$1,$BD122,AllTriggers)</f>
        <v>1.9243580566679014E-3</v>
      </c>
      <c r="BF122" s="166">
        <f>_xll.qlPolynomialFunctionValue(BF$1,$BD122,AllTriggers)</f>
        <v>1.9278149142536185E-3</v>
      </c>
      <c r="BG122" s="166">
        <f>_xll.qlPolynomialFunctionValue(BG$1,$BD122,AllTriggers)</f>
        <v>1.9007152458467953E-3</v>
      </c>
      <c r="BH122" s="166">
        <f>_xll.qlPolynomialFunctionValue(BH$1,$BD122,AllTriggers)</f>
        <v>1.9255792001446977E-3</v>
      </c>
      <c r="BI122" s="166">
        <f>_xll.qlPolynomialFunctionValue(BI$1,$BD122,AllTriggers)</f>
        <v>1.9305494589493691E-3</v>
      </c>
      <c r="BJ122" s="166">
        <f>_xll.qlPolynomialFunctionValue(BJ$1,$BD122,AllTriggers)</f>
        <v>1.9307560047306317E-3</v>
      </c>
      <c r="BK122" s="166">
        <f>_xll.qlPolynomialFunctionValue(BK$1,$BD122,AllTriggers)</f>
        <v>1.9019358323097324E-3</v>
      </c>
      <c r="BL122" s="166">
        <f>_xll.qlPolynomialFunctionValue(BL$1,$BD122,AllTriggers)</f>
        <v>1.9250237365378837E-3</v>
      </c>
      <c r="BM122" s="166">
        <f>_xll.qlPolynomialFunctionValue(BM$1,$BD122,AllTriggers)</f>
        <v>1.8905508456985183E-3</v>
      </c>
      <c r="BN122" s="166">
        <f>_xll.qlPolynomialFunctionValue(BN$1,$BD122,AllTriggers)</f>
        <v>1.9017255421696676E-3</v>
      </c>
      <c r="BO122" s="166">
        <f>_xll.qlPolynomialFunctionValue(BO$1,$BD122,AllTriggers)</f>
        <v>1.8946388538835829E-3</v>
      </c>
      <c r="BP122" s="166">
        <f>_xll.qlPolynomialFunctionValue(BP$1,$BD122,AllTriggers)</f>
        <v>1.8814867669885919E-3</v>
      </c>
      <c r="BQ122" s="166">
        <f>_xll.qlPolynomialFunctionValue('6MSynthDepo_used'!$P$18,BD122,AllTriggers)</f>
        <v>1.9104704624510994E-3</v>
      </c>
    </row>
    <row r="123" spans="18:69" x14ac:dyDescent="0.2">
      <c r="R123" s="140"/>
      <c r="S123" s="140"/>
      <c r="BC123" s="384">
        <f>_xll.qlCalendarAdvance(Calendar,BC122,"1d","mf",,Trigger)</f>
        <v>42303</v>
      </c>
      <c r="BD123" s="154">
        <f>_xll.qlDayCounterYearFraction(DayCounter,SettlementDate,BC123,,,Trigger)</f>
        <v>0.45833333333333331</v>
      </c>
      <c r="BE123" s="166">
        <f>_xll.qlPolynomialFunctionValue(BE$1,$BD123,AllTriggers)</f>
        <v>1.9295347408829181E-3</v>
      </c>
      <c r="BF123" s="166">
        <f>_xll.qlPolynomialFunctionValue(BF$1,$BD123,AllTriggers)</f>
        <v>1.9295661668609692E-3</v>
      </c>
      <c r="BG123" s="166">
        <f>_xll.qlPolynomialFunctionValue(BG$1,$BD123,AllTriggers)</f>
        <v>1.9039749454006411E-3</v>
      </c>
      <c r="BH123" s="166">
        <f>_xll.qlPolynomialFunctionValue(BH$1,$BD123,AllTriggers)</f>
        <v>1.9274548991500716E-3</v>
      </c>
      <c r="BI123" s="166">
        <f>_xll.qlPolynomialFunctionValue(BI$1,$BD123,AllTriggers)</f>
        <v>1.9359847593495047E-3</v>
      </c>
      <c r="BJ123" s="166">
        <f>_xll.qlPolynomialFunctionValue(BJ$1,$BD123,AllTriggers)</f>
        <v>1.9322401185695528E-3</v>
      </c>
      <c r="BK123" s="166">
        <f>_xll.qlPolynomialFunctionValue(BK$1,$BD123,AllTriggers)</f>
        <v>1.9051414994652209E-3</v>
      </c>
      <c r="BL123" s="166">
        <f>_xll.qlPolynomialFunctionValue(BL$1,$BD123,AllTriggers)</f>
        <v>1.9268502635023941E-3</v>
      </c>
      <c r="BM123" s="166">
        <f>_xll.qlPolynomialFunctionValue(BM$1,$BD123,AllTriggers)</f>
        <v>1.8938761573097458E-3</v>
      </c>
      <c r="BN123" s="166">
        <f>_xll.qlPolynomialFunctionValue(BN$1,$BD123,AllTriggers)</f>
        <v>1.9049769008213212E-3</v>
      </c>
      <c r="BO123" s="166">
        <f>_xll.qlPolynomialFunctionValue(BO$1,$BD123,AllTriggers)</f>
        <v>1.8974417386084339E-3</v>
      </c>
      <c r="BP123" s="166">
        <f>_xll.qlPolynomialFunctionValue(BP$1,$BD123,AllTriggers)</f>
        <v>1.8840385594821641E-3</v>
      </c>
      <c r="BQ123" s="166">
        <f>_xll.qlPolynomialFunctionValue('6MSynthDepo_used'!$P$18,BD123,AllTriggers)</f>
        <v>1.9134775728623461E-3</v>
      </c>
    </row>
    <row r="124" spans="18:69" x14ac:dyDescent="0.2">
      <c r="R124" s="140"/>
      <c r="S124" s="140"/>
      <c r="BC124" s="384">
        <f>_xll.qlCalendarAdvance(Calendar,BC123,"1d","mf",,Trigger)</f>
        <v>42304</v>
      </c>
      <c r="BD124" s="154">
        <f>_xll.qlDayCounterYearFraction(DayCounter,SettlementDate,BC124,,,Trigger)</f>
        <v>0.46111111111111114</v>
      </c>
      <c r="BE124" s="166">
        <f>_xll.qlPolynomialFunctionValue(BE$1,$BD124,AllTriggers)</f>
        <v>1.9312603022879236E-3</v>
      </c>
      <c r="BF124" s="166">
        <f>_xll.qlPolynomialFunctionValue(BF$1,$BD124,AllTriggers)</f>
        <v>1.9301080164260168E-3</v>
      </c>
      <c r="BG124" s="166">
        <f>_xll.qlPolynomialFunctionValue(BG$1,$BD124,AllTriggers)</f>
        <v>1.9050615119185898E-3</v>
      </c>
      <c r="BH124" s="166">
        <f>_xll.qlPolynomialFunctionValue(BH$1,$BD124,AllTriggers)</f>
        <v>1.9280416876921828E-3</v>
      </c>
      <c r="BI124" s="166">
        <f>_xll.qlPolynomialFunctionValue(BI$1,$BD124,AllTriggers)</f>
        <v>1.93779652614955E-3</v>
      </c>
      <c r="BJ124" s="166">
        <f>_xll.qlPolynomialFunctionValue(BJ$1,$BD124,AllTriggers)</f>
        <v>1.9326884169480654E-3</v>
      </c>
      <c r="BK124" s="166">
        <f>_xll.qlPolynomialFunctionValue(BK$1,$BD124,AllTriggers)</f>
        <v>1.9062100551837172E-3</v>
      </c>
      <c r="BL124" s="166">
        <f>_xll.qlPolynomialFunctionValue(BL$1,$BD124,AllTriggers)</f>
        <v>1.9274219296862539E-3</v>
      </c>
      <c r="BM124" s="166">
        <f>_xll.qlPolynomialFunctionValue(BM$1,$BD124,AllTriggers)</f>
        <v>1.8949845945134883E-3</v>
      </c>
      <c r="BN124" s="166">
        <f>_xll.qlPolynomialFunctionValue(BN$1,$BD124,AllTriggers)</f>
        <v>1.9060519881856372E-3</v>
      </c>
      <c r="BO124" s="166">
        <f>_xll.qlPolynomialFunctionValue(BO$1,$BD124,AllTriggers)</f>
        <v>1.8983760335167174E-3</v>
      </c>
      <c r="BP124" s="166">
        <f>_xll.qlPolynomialFunctionValue(BP$1,$BD124,AllTriggers)</f>
        <v>1.8849015672736942E-3</v>
      </c>
      <c r="BQ124" s="166">
        <f>_xll.qlPolynomialFunctionValue('6MSynthDepo_used'!$P$18,BD124,AllTriggers)</f>
        <v>1.9144673585148411E-3</v>
      </c>
    </row>
    <row r="125" spans="18:69" x14ac:dyDescent="0.2">
      <c r="R125" s="140"/>
      <c r="S125" s="140"/>
      <c r="BC125" s="384">
        <f>_xll.qlCalendarAdvance(Calendar,BC124,"1d","mf",,Trigger)</f>
        <v>42305</v>
      </c>
      <c r="BD125" s="154">
        <f>_xll.qlDayCounterYearFraction(DayCounter,SettlementDate,BC125,,,Trigger)</f>
        <v>0.46388888888888891</v>
      </c>
      <c r="BE125" s="166">
        <f>_xll.qlPolynomialFunctionValue(BE$1,$BD125,AllTriggers)</f>
        <v>1.9329858636929292E-3</v>
      </c>
      <c r="BF125" s="166">
        <f>_xll.qlPolynomialFunctionValue(BF$1,$BD125,AllTriggers)</f>
        <v>1.9306289153390298E-3</v>
      </c>
      <c r="BG125" s="166">
        <f>_xll.qlPolynomialFunctionValue(BG$1,$BD125,AllTriggers)</f>
        <v>1.9061480784365384E-3</v>
      </c>
      <c r="BH125" s="166">
        <f>_xll.qlPolynomialFunctionValue(BH$1,$BD125,AllTriggers)</f>
        <v>1.9286092540044544E-3</v>
      </c>
      <c r="BI125" s="166">
        <f>_xll.qlPolynomialFunctionValue(BI$1,$BD125,AllTriggers)</f>
        <v>1.9396082929495954E-3</v>
      </c>
      <c r="BJ125" s="166">
        <f>_xll.qlPolynomialFunctionValue(BJ$1,$BD125,AllTriggers)</f>
        <v>1.9331135122093467E-3</v>
      </c>
      <c r="BK125" s="166">
        <f>_xll.qlPolynomialFunctionValue(BK$1,$BD125,AllTriggers)</f>
        <v>1.9072786109022132E-3</v>
      </c>
      <c r="BL125" s="166">
        <f>_xll.qlPolynomialFunctionValue(BL$1,$BD125,AllTriggers)</f>
        <v>1.9279750078012915E-3</v>
      </c>
      <c r="BM125" s="166">
        <f>_xll.qlPolynomialFunctionValue(BM$1,$BD125,AllTriggers)</f>
        <v>1.8960930317172308E-3</v>
      </c>
      <c r="BN125" s="166">
        <f>_xll.qlPolynomialFunctionValue(BN$1,$BD125,AllTriggers)</f>
        <v>1.9071227261235025E-3</v>
      </c>
      <c r="BO125" s="166">
        <f>_xll.qlPolynomialFunctionValue(BO$1,$BD125,AllTriggers)</f>
        <v>1.8993103284250011E-3</v>
      </c>
      <c r="BP125" s="166">
        <f>_xll.qlPolynomialFunctionValue(BP$1,$BD125,AllTriggers)</f>
        <v>1.8857707802120609E-3</v>
      </c>
      <c r="BQ125" s="166">
        <f>_xll.qlPolynomialFunctionValue('6MSynthDepo_used'!$P$18,BD125,AllTriggers)</f>
        <v>1.915450953222325E-3</v>
      </c>
    </row>
    <row r="126" spans="18:69" x14ac:dyDescent="0.2">
      <c r="R126" s="140"/>
      <c r="S126" s="140"/>
      <c r="BC126" s="384">
        <f>_xll.qlCalendarAdvance(Calendar,BC125,"1d","mf",,Trigger)</f>
        <v>42306</v>
      </c>
      <c r="BD126" s="154">
        <f>_xll.qlDayCounterYearFraction(DayCounter,SettlementDate,BC126,,,Trigger)</f>
        <v>0.46666666666666667</v>
      </c>
      <c r="BE126" s="166">
        <f>_xll.qlPolynomialFunctionValue(BE$1,$BD126,AllTriggers)</f>
        <v>1.9347114250979347E-3</v>
      </c>
      <c r="BF126" s="166">
        <f>_xll.qlPolynomialFunctionValue(BF$1,$BD126,AllTriggers)</f>
        <v>1.9311288636000077E-3</v>
      </c>
      <c r="BG126" s="166">
        <f>_xll.qlPolynomialFunctionValue(BG$1,$BD126,AllTriggers)</f>
        <v>1.907234644954487E-3</v>
      </c>
      <c r="BH126" s="166">
        <f>_xll.qlPolynomialFunctionValue(BH$1,$BD126,AllTriggers)</f>
        <v>1.9291575980868861E-3</v>
      </c>
      <c r="BI126" s="166">
        <f>_xll.qlPolynomialFunctionValue(BI$1,$BD126,AllTriggers)</f>
        <v>1.9414200597496405E-3</v>
      </c>
      <c r="BJ126" s="166">
        <f>_xll.qlPolynomialFunctionValue(BJ$1,$BD126,AllTriggers)</f>
        <v>1.9335154043533978E-3</v>
      </c>
      <c r="BK126" s="166">
        <f>_xll.qlPolynomialFunctionValue(BK$1,$BD126,AllTriggers)</f>
        <v>1.9083471666207093E-3</v>
      </c>
      <c r="BL126" s="166">
        <f>_xll.qlPolynomialFunctionValue(BL$1,$BD126,AllTriggers)</f>
        <v>1.9285094978475077E-3</v>
      </c>
      <c r="BM126" s="166">
        <f>_xll.qlPolynomialFunctionValue(BM$1,$BD126,AllTriggers)</f>
        <v>1.8972014689209733E-3</v>
      </c>
      <c r="BN126" s="166">
        <f>_xll.qlPolynomialFunctionValue(BN$1,$BD126,AllTriggers)</f>
        <v>1.9081891146349172E-3</v>
      </c>
      <c r="BO126" s="166">
        <f>_xll.qlPolynomialFunctionValue(BO$1,$BD126,AllTriggers)</f>
        <v>1.9002446233332849E-3</v>
      </c>
      <c r="BP126" s="166">
        <f>_xll.qlPolynomialFunctionValue(BP$1,$BD126,AllTriggers)</f>
        <v>1.8866461982972639E-3</v>
      </c>
      <c r="BQ126" s="166">
        <f>_xll.qlPolynomialFunctionValue('6MSynthDepo_used'!$P$18,BD126,AllTriggers)</f>
        <v>1.9164284173827512E-3</v>
      </c>
    </row>
    <row r="127" spans="18:69" x14ac:dyDescent="0.2">
      <c r="R127" s="140"/>
      <c r="S127" s="140"/>
      <c r="BC127" s="384">
        <f>_xll.qlCalendarAdvance(Calendar,BC126,"1d","mf",,Trigger)</f>
        <v>42307</v>
      </c>
      <c r="BD127" s="154">
        <f>_xll.qlDayCounterYearFraction(DayCounter,SettlementDate,BC127,,,Trigger)</f>
        <v>0.46944444444444444</v>
      </c>
      <c r="BE127" s="166">
        <f>_xll.qlPolynomialFunctionValue(BE$1,$BD127,AllTriggers)</f>
        <v>1.9364369865029402E-3</v>
      </c>
      <c r="BF127" s="166">
        <f>_xll.qlPolynomialFunctionValue(BF$1,$BD127,AllTriggers)</f>
        <v>1.9316078612089515E-3</v>
      </c>
      <c r="BG127" s="166">
        <f>_xll.qlPolynomialFunctionValue(BG$1,$BD127,AllTriggers)</f>
        <v>1.9083212114724356E-3</v>
      </c>
      <c r="BH127" s="166">
        <f>_xll.qlPolynomialFunctionValue(BH$1,$BD127,AllTriggers)</f>
        <v>1.9296867199394779E-3</v>
      </c>
      <c r="BI127" s="166">
        <f>_xll.qlPolynomialFunctionValue(BI$1,$BD127,AllTriggers)</f>
        <v>1.9432318265496858E-3</v>
      </c>
      <c r="BJ127" s="166">
        <f>_xll.qlPolynomialFunctionValue(BJ$1,$BD127,AllTriggers)</f>
        <v>1.9338940933802183E-3</v>
      </c>
      <c r="BK127" s="166">
        <f>_xll.qlPolynomialFunctionValue(BK$1,$BD127,AllTriggers)</f>
        <v>1.9094157223392056E-3</v>
      </c>
      <c r="BL127" s="166">
        <f>_xll.qlPolynomialFunctionValue(BL$1,$BD127,AllTriggers)</f>
        <v>1.9290253998249015E-3</v>
      </c>
      <c r="BM127" s="166">
        <f>_xll.qlPolynomialFunctionValue(BM$1,$BD127,AllTriggers)</f>
        <v>1.8983099061247158E-3</v>
      </c>
      <c r="BN127" s="166">
        <f>_xll.qlPolynomialFunctionValue(BN$1,$BD127,AllTriggers)</f>
        <v>1.9092511537198811E-3</v>
      </c>
      <c r="BO127" s="166">
        <f>_xll.qlPolynomialFunctionValue(BO$1,$BD127,AllTriggers)</f>
        <v>1.9011789182415684E-3</v>
      </c>
      <c r="BP127" s="166">
        <f>_xll.qlPolynomialFunctionValue(BP$1,$BD127,AllTriggers)</f>
        <v>1.8875278215293031E-3</v>
      </c>
      <c r="BQ127" s="166">
        <f>_xll.qlPolynomialFunctionValue('6MSynthDepo_used'!$P$18,BD127,AllTriggers)</f>
        <v>1.9173998111404597E-3</v>
      </c>
    </row>
    <row r="128" spans="18:69" x14ac:dyDescent="0.2">
      <c r="R128" s="140"/>
      <c r="S128" s="140"/>
      <c r="BC128" s="384">
        <f>_xll.qlCalendarAdvance(Calendar,BC127,"1d","mf",,Trigger)</f>
        <v>42310</v>
      </c>
      <c r="BD128" s="154">
        <f>_xll.qlDayCounterYearFraction(DayCounter,SettlementDate,BC128,,,Trigger)</f>
        <v>0.4777777777777778</v>
      </c>
      <c r="BE128" s="166">
        <f>_xll.qlPolynomialFunctionValue(BE$1,$BD128,AllTriggers)</f>
        <v>1.9416136707179569E-3</v>
      </c>
      <c r="BF128" s="166">
        <f>_xll.qlPolynomialFunctionValue(BF$1,$BD128,AllTriggers)</f>
        <v>1.9329191501235746E-3</v>
      </c>
      <c r="BG128" s="166">
        <f>_xll.qlPolynomialFunctionValue(BG$1,$BD128,AllTriggers)</f>
        <v>1.9115809110262815E-3</v>
      </c>
      <c r="BH128" s="166">
        <f>_xll.qlPolynomialFunctionValue(BH$1,$BD128,AllTriggers)</f>
        <v>1.9311587521182139E-3</v>
      </c>
      <c r="BI128" s="166">
        <f>_xll.qlPolynomialFunctionValue(BI$1,$BD128,AllTriggers)</f>
        <v>1.9486671269498216E-3</v>
      </c>
      <c r="BJ128" s="166">
        <f>_xll.qlPolynomialFunctionValue(BJ$1,$BD128,AllTriggers)</f>
        <v>1.9348909417572949E-3</v>
      </c>
      <c r="BK128" s="166">
        <f>_xll.qlPolynomialFunctionValue(BK$1,$BD128,AllTriggers)</f>
        <v>1.9126213894946941E-3</v>
      </c>
      <c r="BL128" s="166">
        <f>_xll.qlPolynomialFunctionValue(BL$1,$BD128,AllTriggers)</f>
        <v>1.9304615773441526E-3</v>
      </c>
      <c r="BM128" s="166">
        <f>_xll.qlPolynomialFunctionValue(BM$1,$BD128,AllTriggers)</f>
        <v>1.9016352177359433E-3</v>
      </c>
      <c r="BN128" s="166">
        <f>_xll.qlPolynomialFunctionValue(BN$1,$BD128,AllTriggers)</f>
        <v>1.9124111744160677E-3</v>
      </c>
      <c r="BO128" s="166">
        <f>_xll.qlPolynomialFunctionValue(BO$1,$BD128,AllTriggers)</f>
        <v>1.9039818029664194E-3</v>
      </c>
      <c r="BP128" s="166">
        <f>_xll.qlPolynomialFunctionValue(BP$1,$BD128,AllTriggers)</f>
        <v>1.8902099221064393E-3</v>
      </c>
      <c r="BQ128" s="166">
        <f>_xll.qlPolynomialFunctionValue('6MSynthDepo_used'!$P$18,BD128,AllTriggers)</f>
        <v>1.9202781676365146E-3</v>
      </c>
    </row>
    <row r="129" spans="18:69" x14ac:dyDescent="0.2">
      <c r="R129" s="140"/>
      <c r="S129" s="140"/>
      <c r="BC129" s="384">
        <f>_xll.qlCalendarAdvance(Calendar,BC128,"1d","mf",,Trigger)</f>
        <v>42311</v>
      </c>
      <c r="BD129" s="154">
        <f>_xll.qlDayCounterYearFraction(DayCounter,SettlementDate,BC129,,,Trigger)</f>
        <v>0.48055555555555557</v>
      </c>
      <c r="BE129" s="166">
        <f>_xll.qlPolynomialFunctionValue(BE$1,$BD129,AllTriggers)</f>
        <v>1.9433392321229624E-3</v>
      </c>
      <c r="BF129" s="166">
        <f>_xll.qlPolynomialFunctionValue(BF$1,$BD129,AllTriggers)</f>
        <v>1.9333143451243796E-3</v>
      </c>
      <c r="BG129" s="166">
        <f>_xll.qlPolynomialFunctionValue(BG$1,$BD129,AllTriggers)</f>
        <v>1.9126674775442301E-3</v>
      </c>
      <c r="BH129" s="166">
        <f>_xll.qlPolynomialFunctionValue(BH$1,$BD129,AllTriggers)</f>
        <v>1.9316109850514461E-3</v>
      </c>
      <c r="BI129" s="166">
        <f>_xll.qlPolynomialFunctionValue(BI$1,$BD129,AllTriggers)</f>
        <v>1.9504788937498667E-3</v>
      </c>
      <c r="BJ129" s="166">
        <f>_xll.qlPolynomialFunctionValue(BJ$1,$BD129,AllTriggers)</f>
        <v>1.9351768183151919E-3</v>
      </c>
      <c r="BK129" s="166">
        <f>_xll.qlPolynomialFunctionValue(BK$1,$BD129,AllTriggers)</f>
        <v>1.9136899452131904E-3</v>
      </c>
      <c r="BL129" s="166">
        <f>_xll.qlPolynomialFunctionValue(BL$1,$BD129,AllTriggers)</f>
        <v>1.9309031270462595E-3</v>
      </c>
      <c r="BM129" s="166">
        <f>_xll.qlPolynomialFunctionValue(BM$1,$BD129,AllTriggers)</f>
        <v>1.9027436549396857E-3</v>
      </c>
      <c r="BN129" s="166">
        <f>_xll.qlPolynomialFunctionValue(BN$1,$BD129,AllTriggers)</f>
        <v>1.9134558157952281E-3</v>
      </c>
      <c r="BO129" s="166">
        <f>_xll.qlPolynomialFunctionValue(BO$1,$BD129,AllTriggers)</f>
        <v>1.9049160978747031E-3</v>
      </c>
      <c r="BP129" s="166">
        <f>_xll.qlPolynomialFunctionValue(BP$1,$BD129,AllTriggers)</f>
        <v>1.8911163659258241E-3</v>
      </c>
      <c r="BQ129" s="166">
        <f>_xll.qlPolynomialFunctionValue('6MSynthDepo_used'!$P$18,BD129,AllTriggers)</f>
        <v>1.9212258761545288E-3</v>
      </c>
    </row>
    <row r="130" spans="18:69" x14ac:dyDescent="0.2">
      <c r="R130" s="140"/>
      <c r="S130" s="140"/>
      <c r="BC130" s="384">
        <f>_xll.qlCalendarAdvance(Calendar,BC129,"1d","mf",,Trigger)</f>
        <v>42312</v>
      </c>
      <c r="BD130" s="154">
        <f>_xll.qlDayCounterYearFraction(DayCounter,SettlementDate,BC130,,,Trigger)</f>
        <v>0.48333333333333334</v>
      </c>
      <c r="BE130" s="166">
        <f>_xll.qlPolynomialFunctionValue(BE$1,$BD130,AllTriggers)</f>
        <v>1.945064793527968E-3</v>
      </c>
      <c r="BF130" s="166">
        <f>_xll.qlPolynomialFunctionValue(BF$1,$BD130,AllTriggers)</f>
        <v>1.93368858947315E-3</v>
      </c>
      <c r="BG130" s="166">
        <f>_xll.qlPolynomialFunctionValue(BG$1,$BD130,AllTriggers)</f>
        <v>1.9137540440621788E-3</v>
      </c>
      <c r="BH130" s="166">
        <f>_xll.qlPolynomialFunctionValue(BH$1,$BD130,AllTriggers)</f>
        <v>1.9320439957548384E-3</v>
      </c>
      <c r="BI130" s="166">
        <f>_xll.qlPolynomialFunctionValue(BI$1,$BD130,AllTriggers)</f>
        <v>1.952290660549912E-3</v>
      </c>
      <c r="BJ130" s="166">
        <f>_xll.qlPolynomialFunctionValue(BJ$1,$BD130,AllTriggers)</f>
        <v>1.9354394917558582E-3</v>
      </c>
      <c r="BK130" s="166">
        <f>_xll.qlPolynomialFunctionValue(BK$1,$BD130,AllTriggers)</f>
        <v>1.9147585009316865E-3</v>
      </c>
      <c r="BL130" s="166">
        <f>_xll.qlPolynomialFunctionValue(BL$1,$BD130,AllTriggers)</f>
        <v>1.9313260886795439E-3</v>
      </c>
      <c r="BM130" s="166">
        <f>_xll.qlPolynomialFunctionValue(BM$1,$BD130,AllTriggers)</f>
        <v>1.9038520921434282E-3</v>
      </c>
      <c r="BN130" s="166">
        <f>_xll.qlPolynomialFunctionValue(BN$1,$BD130,AllTriggers)</f>
        <v>1.9144961077479383E-3</v>
      </c>
      <c r="BO130" s="166">
        <f>_xll.qlPolynomialFunctionValue(BO$1,$BD130,AllTriggers)</f>
        <v>1.9058503927829869E-3</v>
      </c>
      <c r="BP130" s="166">
        <f>_xll.qlPolynomialFunctionValue(BP$1,$BD130,AllTriggers)</f>
        <v>1.8920290148920454E-3</v>
      </c>
      <c r="BQ130" s="166">
        <f>_xll.qlPolynomialFunctionValue('6MSynthDepo_used'!$P$18,BD130,AllTriggers)</f>
        <v>1.9221678111873552E-3</v>
      </c>
    </row>
    <row r="131" spans="18:69" x14ac:dyDescent="0.2">
      <c r="R131" s="140"/>
      <c r="S131" s="140"/>
      <c r="BC131" s="384">
        <f>_xll.qlCalendarAdvance(Calendar,BC130,"1d","mf",,Trigger)</f>
        <v>42313</v>
      </c>
      <c r="BD131" s="154">
        <f>_xll.qlDayCounterYearFraction(DayCounter,SettlementDate,BC131,,,Trigger)</f>
        <v>0.4861111111111111</v>
      </c>
      <c r="BE131" s="166">
        <f>_xll.qlPolynomialFunctionValue(BE$1,$BD131,AllTriggers)</f>
        <v>1.9467903549329735E-3</v>
      </c>
      <c r="BF131" s="166">
        <f>_xll.qlPolynomialFunctionValue(BF$1,$BD131,AllTriggers)</f>
        <v>1.9340418831698858E-3</v>
      </c>
      <c r="BG131" s="166">
        <f>_xll.qlPolynomialFunctionValue(BG$1,$BD131,AllTriggers)</f>
        <v>1.9148406105801274E-3</v>
      </c>
      <c r="BH131" s="166">
        <f>_xll.qlPolynomialFunctionValue(BH$1,$BD131,AllTriggers)</f>
        <v>1.9324577842283908E-3</v>
      </c>
      <c r="BI131" s="166">
        <f>_xll.qlPolynomialFunctionValue(BI$1,$BD131,AllTriggers)</f>
        <v>1.9541024273499572E-3</v>
      </c>
      <c r="BJ131" s="166">
        <f>_xll.qlPolynomialFunctionValue(BJ$1,$BD131,AllTriggers)</f>
        <v>1.9356789620792944E-3</v>
      </c>
      <c r="BK131" s="166">
        <f>_xll.qlPolynomialFunctionValue(BK$1,$BD131,AllTriggers)</f>
        <v>1.9158270566501827E-3</v>
      </c>
      <c r="BL131" s="166">
        <f>_xll.qlPolynomialFunctionValue(BL$1,$BD131,AllTriggers)</f>
        <v>1.931730462244007E-3</v>
      </c>
      <c r="BM131" s="166">
        <f>_xll.qlPolynomialFunctionValue(BM$1,$BD131,AllTriggers)</f>
        <v>1.9049605293471707E-3</v>
      </c>
      <c r="BN131" s="166">
        <f>_xll.qlPolynomialFunctionValue(BN$1,$BD131,AllTriggers)</f>
        <v>1.9155320502741971E-3</v>
      </c>
      <c r="BO131" s="166">
        <f>_xll.qlPolynomialFunctionValue(BO$1,$BD131,AllTriggers)</f>
        <v>1.9067846876912704E-3</v>
      </c>
      <c r="BP131" s="166">
        <f>_xll.qlPolynomialFunctionValue(BP$1,$BD131,AllTriggers)</f>
        <v>1.892947869005103E-3</v>
      </c>
      <c r="BQ131" s="166">
        <f>_xll.qlPolynomialFunctionValue('6MSynthDepo_used'!$P$18,BD131,AllTriggers)</f>
        <v>1.923104031357664E-3</v>
      </c>
    </row>
    <row r="132" spans="18:69" x14ac:dyDescent="0.2">
      <c r="R132" s="140"/>
      <c r="S132" s="140"/>
      <c r="BC132" s="384">
        <f>_xll.qlCalendarAdvance(Calendar,BC131,"1d","mf",,Trigger)</f>
        <v>42314</v>
      </c>
      <c r="BD132" s="154">
        <f>_xll.qlDayCounterYearFraction(DayCounter,SettlementDate,BC132,,,Trigger)</f>
        <v>0.48888888888888887</v>
      </c>
      <c r="BE132" s="166">
        <f>_xll.qlPolynomialFunctionValue(BE$1,$BD132,AllTriggers)</f>
        <v>1.9485159163379791E-3</v>
      </c>
      <c r="BF132" s="166">
        <f>_xll.qlPolynomialFunctionValue(BF$1,$BD132,AllTriggers)</f>
        <v>1.934374226214587E-3</v>
      </c>
      <c r="BG132" s="166">
        <f>_xll.qlPolynomialFunctionValue(BG$1,$BD132,AllTriggers)</f>
        <v>1.915927177098076E-3</v>
      </c>
      <c r="BH132" s="166">
        <f>_xll.qlPolynomialFunctionValue(BH$1,$BD132,AllTriggers)</f>
        <v>1.9328523504721028E-3</v>
      </c>
      <c r="BI132" s="166">
        <f>_xll.qlPolynomialFunctionValue(BI$1,$BD132,AllTriggers)</f>
        <v>1.9559141941500025E-3</v>
      </c>
      <c r="BJ132" s="166">
        <f>_xll.qlPolynomialFunctionValue(BJ$1,$BD132,AllTriggers)</f>
        <v>1.9358952292854999E-3</v>
      </c>
      <c r="BK132" s="166">
        <f>_xll.qlPolynomialFunctionValue(BK$1,$BD132,AllTriggers)</f>
        <v>1.9168956123686788E-3</v>
      </c>
      <c r="BL132" s="166">
        <f>_xll.qlPolynomialFunctionValue(BL$1,$BD132,AllTriggers)</f>
        <v>1.9321162477396482E-3</v>
      </c>
      <c r="BM132" s="166">
        <f>_xll.qlPolynomialFunctionValue(BM$1,$BD132,AllTriggers)</f>
        <v>1.9060689665509132E-3</v>
      </c>
      <c r="BN132" s="166">
        <f>_xll.qlPolynomialFunctionValue(BN$1,$BD132,AllTriggers)</f>
        <v>1.9165636433740056E-3</v>
      </c>
      <c r="BO132" s="166">
        <f>_xll.qlPolynomialFunctionValue(BO$1,$BD132,AllTriggers)</f>
        <v>1.9077189825995541E-3</v>
      </c>
      <c r="BP132" s="166">
        <f>_xll.qlPolynomialFunctionValue(BP$1,$BD132,AllTriggers)</f>
        <v>1.893872928264997E-3</v>
      </c>
      <c r="BQ132" s="166">
        <f>_xll.qlPolynomialFunctionValue('6MSynthDepo_used'!$P$18,BD132,AllTriggers)</f>
        <v>1.924034595034515E-3</v>
      </c>
    </row>
    <row r="133" spans="18:69" x14ac:dyDescent="0.2">
      <c r="R133" s="141"/>
      <c r="S133" s="140"/>
      <c r="BC133" s="384">
        <f>_xll.qlCalendarAdvance(Calendar,BC132,"1d","mf",,Trigger)</f>
        <v>42317</v>
      </c>
      <c r="BD133" s="154">
        <f>_xll.qlDayCounterYearFraction(DayCounter,SettlementDate,BC133,,,Trigger)</f>
        <v>0.49722222222222223</v>
      </c>
      <c r="BE133" s="166">
        <f>_xll.qlPolynomialFunctionValue(BE$1,$BD133,AllTriggers)</f>
        <v>1.9536926005529962E-3</v>
      </c>
      <c r="BF133" s="166">
        <f>_xll.qlPolynomialFunctionValue(BF$1,$BD133,AllTriggers)</f>
        <v>1.9352455514364821E-3</v>
      </c>
      <c r="BG133" s="166">
        <f>_xll.qlPolynomialFunctionValue(BG$1,$BD133,AllTriggers)</f>
        <v>1.9191868766519219E-3</v>
      </c>
      <c r="BH133" s="166">
        <f>_xll.qlPolynomialFunctionValue(BH$1,$BD133,AllTriggers)</f>
        <v>1.9339207158242016E-3</v>
      </c>
      <c r="BI133" s="166">
        <f>_xll.qlPolynomialFunctionValue(BI$1,$BD133,AllTriggers)</f>
        <v>1.9613494945501381E-3</v>
      </c>
      <c r="BJ133" s="166">
        <f>_xll.qlPolynomialFunctionValue(BJ$1,$BD133,AllTriggers)</f>
        <v>1.9364048122007312E-3</v>
      </c>
      <c r="BK133" s="166">
        <f>_xll.qlPolynomialFunctionValue(BK$1,$BD133,AllTriggers)</f>
        <v>1.9201012795241673E-3</v>
      </c>
      <c r="BL133" s="166">
        <f>_xll.qlPolynomialFunctionValue(BL$1,$BD133,AllTriggers)</f>
        <v>1.9331620758136399E-3</v>
      </c>
      <c r="BM133" s="166">
        <f>_xll.qlPolynomialFunctionValue(BM$1,$BD133,AllTriggers)</f>
        <v>1.9093942781621409E-3</v>
      </c>
      <c r="BN133" s="166">
        <f>_xll.qlPolynomialFunctionValue(BN$1,$BD133,AllTriggers)</f>
        <v>1.9196323261147256E-3</v>
      </c>
      <c r="BO133" s="166">
        <f>_xll.qlPolynomialFunctionValue(BO$1,$BD133,AllTriggers)</f>
        <v>1.9105218673244051E-3</v>
      </c>
      <c r="BP133" s="166">
        <f>_xll.qlPolynomialFunctionValue(BP$1,$BD133,AllTriggers)</f>
        <v>1.8966853369256971E-3</v>
      </c>
      <c r="BQ133" s="166">
        <f>_xll.qlPolynomialFunctionValue('6MSynthDepo_used'!$P$18,BD133,AllTriggers)</f>
        <v>1.9267929269907373E-3</v>
      </c>
    </row>
    <row r="134" spans="18:69" x14ac:dyDescent="0.2">
      <c r="R134" s="141"/>
      <c r="S134" s="140"/>
      <c r="BC134" s="384">
        <f>_xll.qlCalendarAdvance(Calendar,BC133,"1d","mf",,Trigger)</f>
        <v>42318</v>
      </c>
      <c r="BD134" s="154">
        <f>_xll.qlDayCounterYearFraction(DayCounter,SettlementDate,BC134,,,Trigger)</f>
        <v>0.5</v>
      </c>
      <c r="BE134" s="166">
        <f>_xll.qlPolynomialFunctionValue(BE$1,$BD134,AllTriggers)</f>
        <v>1.9554181619580013E-3</v>
      </c>
      <c r="BF134" s="166">
        <f>_xll.qlPolynomialFunctionValue(BF$1,$BD134,AllTriggers)</f>
        <v>1.9354940918730446E-3</v>
      </c>
      <c r="BG134" s="166">
        <f>_xll.qlPolynomialFunctionValue(BG$1,$BD134,AllTriggers)</f>
        <v>1.9202734431698705E-3</v>
      </c>
      <c r="BH134" s="166">
        <f>_xll.qlPolynomialFunctionValue(BH$1,$BD134,AllTriggers)</f>
        <v>1.9342383931485541E-3</v>
      </c>
      <c r="BI134" s="166">
        <f>_xll.qlPolynomialFunctionValue(BI$1,$BD134,AllTriggers)</f>
        <v>1.9631612613501834E-3</v>
      </c>
      <c r="BJ134" s="166">
        <f>_xll.qlPolynomialFunctionValue(BJ$1,$BD134,AllTriggers)</f>
        <v>1.9365282669380132E-3</v>
      </c>
      <c r="BK134" s="166">
        <f>_xll.qlPolynomialFunctionValue(BK$1,$BD134,AllTriggers)</f>
        <v>1.9211698352426636E-3</v>
      </c>
      <c r="BL134" s="166">
        <f>_xll.qlPolynomialFunctionValue(BL$1,$BD134,AllTriggers)</f>
        <v>1.9334735090339936E-3</v>
      </c>
      <c r="BM134" s="166">
        <f>_xll.qlPolynomialFunctionValue(BM$1,$BD134,AllTriggers)</f>
        <v>1.9105027153658834E-3</v>
      </c>
      <c r="BN134" s="166">
        <f>_xll.qlPolynomialFunctionValue(BN$1,$BD134,AllTriggers)</f>
        <v>1.9206465215087305E-3</v>
      </c>
      <c r="BO134" s="166">
        <f>_xll.qlPolynomialFunctionValue(BO$1,$BD134,AllTriggers)</f>
        <v>1.9114561622326888E-3</v>
      </c>
      <c r="BP134" s="166">
        <f>_xll.qlPolynomialFunctionValue(BP$1,$BD134,AllTriggers)</f>
        <v>1.8976352167729366E-3</v>
      </c>
      <c r="BQ134" s="166">
        <f>_xll.qlPolynomialFunctionValue('6MSynthDepo_used'!$P$18,BD134,AllTriggers)</f>
        <v>1.9277014433121157E-3</v>
      </c>
    </row>
    <row r="135" spans="18:69" x14ac:dyDescent="0.2">
      <c r="R135" s="141"/>
      <c r="S135" s="140"/>
      <c r="BC135" s="388">
        <f>_xll.qlCalendarAdvance(Calendar,BC134,"1d","mf",,Trigger)</f>
        <v>42319</v>
      </c>
      <c r="BD135" s="159">
        <f>_xll.qlDayCounterYearFraction(DayCounter,SettlementDate,BC135,,,Trigger)</f>
        <v>0.50277777777777777</v>
      </c>
      <c r="BE135" s="175">
        <f>_xll.qlPolynomialFunctionValue(BE$1,$BD135,AllTriggers)</f>
        <v>1.9571437233630072E-3</v>
      </c>
      <c r="BF135" s="175">
        <f>_xll.qlPolynomialFunctionValue(BF$1,$BD135,AllTriggers)</f>
        <v>1.935721681657572E-3</v>
      </c>
      <c r="BG135" s="175">
        <f>_xll.qlPolynomialFunctionValue(BG$1,$BD135,AllTriggers)</f>
        <v>1.9213600096878191E-3</v>
      </c>
      <c r="BH135" s="175">
        <f>_xll.qlPolynomialFunctionValue(BH$1,$BD135,AllTriggers)</f>
        <v>1.9345368482430675E-3</v>
      </c>
      <c r="BI135" s="175">
        <f>_xll.qlPolynomialFunctionValue(BI$1,$BD135,AllTriggers)</f>
        <v>1.9649730281502287E-3</v>
      </c>
      <c r="BJ135" s="175">
        <f>_xll.qlPolynomialFunctionValue(BJ$1,$BD135,AllTriggers)</f>
        <v>1.9366285185580647E-3</v>
      </c>
      <c r="BK135" s="175">
        <f>_xll.qlPolynomialFunctionValue(BK$1,$BD135,AllTriggers)</f>
        <v>1.9222383909611599E-3</v>
      </c>
      <c r="BL135" s="175">
        <f>_xll.qlPolynomialFunctionValue(BL$1,$BD135,AllTriggers)</f>
        <v>1.9337663541855255E-3</v>
      </c>
      <c r="BM135" s="175">
        <f>_xll.qlPolynomialFunctionValue(BM$1,$BD135,AllTriggers)</f>
        <v>1.9116111525696259E-3</v>
      </c>
      <c r="BN135" s="175">
        <f>_xll.qlPolynomialFunctionValue(BN$1,$BD135,AllTriggers)</f>
        <v>1.9216563674762847E-3</v>
      </c>
      <c r="BO135" s="175">
        <f>_xll.qlPolynomialFunctionValue(BO$1,$BD135,AllTriggers)</f>
        <v>1.9123904571409724E-3</v>
      </c>
      <c r="BP135" s="175">
        <f>_xll.qlPolynomialFunctionValue(BP$1,$BD135,AllTriggers)</f>
        <v>1.8985913017670125E-3</v>
      </c>
      <c r="BQ135" s="175">
        <f>_xll.qlPolynomialFunctionValue('6MSynthDepo_used'!$P$18,BD135,AllTriggers)</f>
        <v>1.928604591181157E-3</v>
      </c>
    </row>
    <row r="136" spans="18:69" x14ac:dyDescent="0.2">
      <c r="R136" s="141"/>
      <c r="S136" s="140"/>
    </row>
    <row r="137" spans="18:69" x14ac:dyDescent="0.2">
      <c r="R137" s="141"/>
      <c r="S137" s="140"/>
    </row>
    <row r="138" spans="18:69" x14ac:dyDescent="0.2">
      <c r="R138" s="141"/>
      <c r="S138" s="140"/>
    </row>
    <row r="139" spans="18:69" x14ac:dyDescent="0.2">
      <c r="R139" s="141"/>
      <c r="S139" s="141"/>
    </row>
    <row r="140" spans="18:69" x14ac:dyDescent="0.2">
      <c r="R140" s="141"/>
      <c r="S140" s="141"/>
    </row>
    <row r="141" spans="18:69" x14ac:dyDescent="0.2">
      <c r="R141" s="141"/>
      <c r="S141" s="141"/>
    </row>
    <row r="142" spans="18:69" x14ac:dyDescent="0.2">
      <c r="R142" s="141"/>
      <c r="S142" s="141"/>
    </row>
    <row r="143" spans="18:69" x14ac:dyDescent="0.2">
      <c r="R143" s="141"/>
      <c r="S143" s="141"/>
    </row>
    <row r="144" spans="18:69" x14ac:dyDescent="0.2">
      <c r="R144" s="141"/>
      <c r="S144" s="141"/>
    </row>
    <row r="145" spans="18:19" x14ac:dyDescent="0.2">
      <c r="R145" s="141"/>
      <c r="S145" s="141"/>
    </row>
    <row r="146" spans="18:19" x14ac:dyDescent="0.2">
      <c r="R146" s="141"/>
      <c r="S146" s="141"/>
    </row>
    <row r="147" spans="18:19" x14ac:dyDescent="0.2">
      <c r="R147" s="141"/>
      <c r="S147" s="141"/>
    </row>
    <row r="148" spans="18:19" x14ac:dyDescent="0.2">
      <c r="R148" s="141"/>
      <c r="S148" s="141"/>
    </row>
    <row r="149" spans="18:19" x14ac:dyDescent="0.2">
      <c r="S149" s="141"/>
    </row>
    <row r="150" spans="18:19" x14ac:dyDescent="0.2">
      <c r="S150" s="141"/>
    </row>
    <row r="151" spans="18:19" x14ac:dyDescent="0.2">
      <c r="S151" s="141"/>
    </row>
    <row r="152" spans="18:19" x14ac:dyDescent="0.2">
      <c r="S152" s="141"/>
    </row>
    <row r="153" spans="18:19" x14ac:dyDescent="0.2">
      <c r="S153" s="141"/>
    </row>
    <row r="154" spans="18:19" x14ac:dyDescent="0.2">
      <c r="S154" s="141"/>
    </row>
  </sheetData>
  <mergeCells count="16">
    <mergeCell ref="AH19:AH21"/>
    <mergeCell ref="AJ19:AJ21"/>
    <mergeCell ref="AJ14:AJ16"/>
    <mergeCell ref="AT5:AT6"/>
    <mergeCell ref="AV5:AV6"/>
    <mergeCell ref="AT9:AT10"/>
    <mergeCell ref="AV9:AV10"/>
    <mergeCell ref="AT14:AT16"/>
    <mergeCell ref="AV14:AV16"/>
    <mergeCell ref="AT19:AT21"/>
    <mergeCell ref="AV19:AV21"/>
    <mergeCell ref="AH5:AH6"/>
    <mergeCell ref="AH9:AH10"/>
    <mergeCell ref="AJ5:AJ6"/>
    <mergeCell ref="AJ9:AJ10"/>
    <mergeCell ref="AH14:AH16"/>
  </mergeCells>
  <dataValidations count="4">
    <dataValidation type="list" allowBlank="1" showInputMessage="1" showErrorMessage="1" sqref="S3:T3 S14:T14">
      <formula1>"TRUE"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D27:D28">
      <formula1>"FIXING,ESTIMATED"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15" customWidth="1"/>
    <col min="2" max="2" width="2.33203125" style="115" customWidth="1"/>
    <col min="3" max="3" width="3.1640625" style="115" customWidth="1"/>
    <col min="4" max="4" width="23.1640625" style="115" customWidth="1"/>
    <col min="5" max="5" width="34.83203125" style="115" hidden="1" customWidth="1" outlineLevel="1"/>
    <col min="6" max="6" width="9.33203125" style="115" hidden="1" customWidth="1" outlineLevel="1"/>
    <col min="7" max="7" width="12.83203125" style="115" bestFit="1" customWidth="1" collapsed="1"/>
    <col min="8" max="8" width="12.83203125" style="115" customWidth="1"/>
    <col min="9" max="10" width="11.33203125" style="115" customWidth="1"/>
    <col min="11" max="12" width="9.33203125" style="115" bestFit="1" customWidth="1"/>
    <col min="13" max="13" width="8.1640625" style="115" bestFit="1" customWidth="1"/>
    <col min="14" max="14" width="2.83203125" style="115" customWidth="1"/>
    <col min="15" max="15" width="14.1640625" style="115" bestFit="1" customWidth="1"/>
    <col min="16" max="16" width="17.83203125" style="115" bestFit="1" customWidth="1"/>
    <col min="17" max="17" width="2.83203125" style="115" customWidth="1"/>
    <col min="18" max="18" width="12.83203125" style="115" bestFit="1" customWidth="1"/>
    <col min="19" max="19" width="9.33203125" style="115"/>
    <col min="20" max="20" width="0" style="115" hidden="1" customWidth="1" outlineLevel="1"/>
    <col min="21" max="21" width="9.33203125" style="115" collapsed="1"/>
    <col min="22" max="22" width="3.5" style="115" bestFit="1" customWidth="1"/>
    <col min="23" max="24" width="9.33203125" style="115"/>
    <col min="25" max="25" width="12.83203125" style="115" bestFit="1" customWidth="1"/>
    <col min="26" max="26" width="16.5" style="115" bestFit="1" customWidth="1"/>
    <col min="27" max="27" width="12.83203125" style="115" bestFit="1" customWidth="1"/>
    <col min="28" max="16384" width="9.33203125" style="115"/>
  </cols>
  <sheetData>
    <row r="1" spans="1:27" x14ac:dyDescent="0.2">
      <c r="G1" s="332" t="s">
        <v>95</v>
      </c>
      <c r="H1" s="333" t="s">
        <v>41</v>
      </c>
    </row>
    <row r="2" spans="1:27" ht="26.25" customHeight="1" x14ac:dyDescent="0.2">
      <c r="D2" s="142" t="str">
        <f>H1&amp;" Instruments"</f>
        <v>3M Instruments</v>
      </c>
      <c r="E2" s="142" t="s">
        <v>158</v>
      </c>
      <c r="F2" s="142" t="s">
        <v>159</v>
      </c>
      <c r="G2" s="142" t="s">
        <v>96</v>
      </c>
      <c r="H2" s="142" t="s">
        <v>170</v>
      </c>
      <c r="I2" s="142" t="str">
        <f>"F "&amp;H1</f>
        <v>F 3M</v>
      </c>
      <c r="J2" s="142" t="s">
        <v>125</v>
      </c>
      <c r="K2" s="142" t="s">
        <v>134</v>
      </c>
      <c r="L2" s="142" t="s">
        <v>157</v>
      </c>
      <c r="M2" s="142" t="s">
        <v>137</v>
      </c>
      <c r="N2" s="117"/>
      <c r="R2" s="142" t="s">
        <v>145</v>
      </c>
      <c r="S2" s="142" t="s">
        <v>172</v>
      </c>
      <c r="T2" s="142" t="s">
        <v>163</v>
      </c>
      <c r="U2" s="142" t="s">
        <v>171</v>
      </c>
    </row>
    <row r="3" spans="1:27" ht="11.25" customHeight="1" x14ac:dyDescent="0.2">
      <c r="A3" s="310">
        <v>0</v>
      </c>
      <c r="B3" s="311" t="s">
        <v>37</v>
      </c>
      <c r="C3" s="312" t="str">
        <f>SUBSTITUTE($H$1,"M","")</f>
        <v>3</v>
      </c>
      <c r="D3" s="314" t="str">
        <f>Currency&amp;A3&amp;B3&amp;C3&amp;"F"&amp;"_Estimated"</f>
        <v>EUR0x3F_Estimated</v>
      </c>
      <c r="E3" s="314" t="str">
        <f>_xll.qlSimpleQuote(UPPER("B"&amp;$H$1&amp;"_"&amp;A3&amp;B3&amp;C3&amp;"Estimated"),,,Permanent,Trigger,ObjectOverwrite)</f>
        <v>B3M_0X3ESTIMATED#0002</v>
      </c>
      <c r="F3" s="403" t="e">
        <f>_xll.qlSimpleQuoteSetValue(E3,L3,AllTriggers)</f>
        <v>#N/A</v>
      </c>
      <c r="G3" s="416">
        <f>SettlementDate</f>
        <v>42138</v>
      </c>
      <c r="H3" s="416">
        <f>_xll.qlInterestRateIndexMaturity(PROPER(Currency)&amp;"ibor"&amp;$H$1,G3)</f>
        <v>42230</v>
      </c>
      <c r="I3" s="313">
        <f>L3+$J$4</f>
        <v>-6.5272024068259221E-5</v>
      </c>
      <c r="J3" s="295"/>
      <c r="K3" s="295"/>
      <c r="L3" s="236">
        <f>_xll.qlTenorBasisValue($P$3,G3,Trigger)</f>
        <v>1.0492273628900305E-3</v>
      </c>
      <c r="M3" s="295"/>
      <c r="N3" s="117"/>
      <c r="O3" s="398" t="s">
        <v>156</v>
      </c>
      <c r="P3" s="236" t="str">
        <f>'[2]3MSynthDepo'!TenorBasis3M</f>
        <v>obj_005e1#0007</v>
      </c>
      <c r="R3" s="417">
        <f>SettlementDate</f>
        <v>42138</v>
      </c>
      <c r="S3" s="179">
        <f>_xll.qlTenorBasisValue($P$3,R3,AllTriggers)</f>
        <v>1.0492273628900305E-3</v>
      </c>
      <c r="T3" s="164">
        <f>_xll.qlDayCounterYearFraction("actual/365 (fixed)",SettlementDate,R3,,,Trigger)</f>
        <v>0</v>
      </c>
      <c r="U3" s="179">
        <f>_xll.qlPolynomialFunctionValue($P$18,T3,AllTriggers)</f>
        <v>9.5541665911505404E-4</v>
      </c>
    </row>
    <row r="4" spans="1:27" ht="11.25" customHeight="1" x14ac:dyDescent="0.2">
      <c r="A4" s="310">
        <v>0</v>
      </c>
      <c r="B4" s="311" t="s">
        <v>37</v>
      </c>
      <c r="C4" s="312">
        <v>6</v>
      </c>
      <c r="D4" s="303" t="str">
        <f>PROPER(Currency&amp;IborType)&amp;H1&amp;"LastFixing"&amp;QuoteSuffix</f>
        <v>Euribor3MLastFixing_Quote</v>
      </c>
      <c r="E4" s="303" t="str">
        <f>_xll.qlSimpleQuote(UPPER("B"&amp;$H$1&amp;"_"&amp;A4&amp;B4&amp;C4&amp;"FIXING"),,,Permanent,Trigger,ObjectOverwrite)</f>
        <v>B3M_0X6FIXING#0002</v>
      </c>
      <c r="F4" s="404">
        <f>_xll.qlSimpleQuoteSetValue(E4,K4,AllTriggers)</f>
        <v>0</v>
      </c>
      <c r="G4" s="416">
        <f>SettlementDate</f>
        <v>42138</v>
      </c>
      <c r="H4" s="416">
        <f>_xll.qlInterestRateIndexMaturity(ON_6M_index,G4)</f>
        <v>42324</v>
      </c>
      <c r="I4" s="236">
        <f>_xll.qlQuoteValue(D4,LastFixingsTrigger)</f>
        <v>2.0999999999807407E-5</v>
      </c>
      <c r="J4" s="236">
        <f>_xll.qlIndexFixing(ON_3M_index,_xll.qlInterestRateIndexFixingDate(ON_6M_index,G4),,AllTriggers)</f>
        <v>-1.1144993869582898E-3</v>
      </c>
      <c r="K4" s="313">
        <f t="shared" ref="K4:K22" si="0">I4-J4</f>
        <v>1.1354993869580972E-3</v>
      </c>
      <c r="L4" s="232">
        <f>_xll.qlTenorBasisValue($P$3,G4,Trigger)</f>
        <v>1.0492273628900305E-3</v>
      </c>
      <c r="M4" s="233">
        <f>(K4-L4)*10000</f>
        <v>0.86272024068066633</v>
      </c>
      <c r="N4" s="117"/>
      <c r="R4" s="418">
        <f>_xll.qlCalendarAdvance(Calendar,R3,"1D","f")</f>
        <v>42139</v>
      </c>
      <c r="S4" s="166">
        <f>_xll.qlTenorBasisValue($P$3,R4,AllTriggers)</f>
        <v>1.0511009676544083E-3</v>
      </c>
      <c r="T4" s="154">
        <f>_xll.qlDayCounterYearFraction("actual/365 (fixed)",SettlementDate,R4,,,Trigger)</f>
        <v>2.7397260273972603E-3</v>
      </c>
      <c r="U4" s="166">
        <f>_xll.qlPolynomialFunctionValue($P$18,T4,AllTriggers)</f>
        <v>9.5770524955117095E-4</v>
      </c>
    </row>
    <row r="5" spans="1:27" ht="11.25" customHeight="1" x14ac:dyDescent="0.2">
      <c r="A5" s="300">
        <v>1</v>
      </c>
      <c r="B5" s="117" t="s">
        <v>37</v>
      </c>
      <c r="C5" s="307">
        <f t="shared" ref="C5:C22" si="1">A5+SUBSTITUTE($H$1,"M","")</f>
        <v>4</v>
      </c>
      <c r="D5" s="304" t="str">
        <f t="shared" ref="D5:D22" si="2">Currency&amp;A5&amp;B5&amp;C5&amp;"F"&amp;QuoteSuffix</f>
        <v>EUR1x4F_Quote</v>
      </c>
      <c r="E5" s="304" t="str">
        <f>_xll.qlSimpleQuote(UPPER("B"&amp;$H$1&amp;"_"&amp;A5&amp;B5&amp;C5),,,Permanent,Trigger,ObjectOverwrite)</f>
        <v>B3M_1X4#0002</v>
      </c>
      <c r="F5" s="405">
        <f>_xll.qlSimpleQuoteSetValue(E5,K5,AllTriggers)</f>
        <v>0</v>
      </c>
      <c r="G5" s="417">
        <f>_xll.qlCalendarAdvance("target",SettlementDate,A5&amp;"M","mf",,Trigger)</f>
        <v>42170</v>
      </c>
      <c r="H5" s="417">
        <f>_xll.qlInterestRateIndexMaturity(ON_6M_index,G5)</f>
        <v>42353</v>
      </c>
      <c r="I5" s="179">
        <f>_xll.qlQuoteValue(D5,AllTriggers)</f>
        <v>-4.9999999999999996E-5</v>
      </c>
      <c r="J5" s="179">
        <f>_xll.qlIndexFixing(ON_3M_index,_xll.qlInterestRateIndexFixingDate(ON_6M_index,G5),,AllTriggers)</f>
        <v>-1.20622989614031E-3</v>
      </c>
      <c r="K5" s="399">
        <f t="shared" si="0"/>
        <v>1.1562298961403101E-3</v>
      </c>
      <c r="L5" s="179">
        <f>_xll.qlTenorBasisValue($P$3,G5,Trigger)</f>
        <v>1.1050332174597916E-3</v>
      </c>
      <c r="M5" s="297">
        <f t="shared" ref="M5:M22" si="3">(K5-L5)*10000</f>
        <v>0.5119667868051857</v>
      </c>
      <c r="N5" s="117"/>
      <c r="O5" s="325" t="s">
        <v>168</v>
      </c>
      <c r="P5" s="326"/>
      <c r="Q5" s="116"/>
      <c r="R5" s="418">
        <f>_xll.qlCalendarAdvance(Calendar,R4,"1D","f")</f>
        <v>42142</v>
      </c>
      <c r="S5" s="166">
        <f>_xll.qlTenorBasisValue($P$3,R5,AllTriggers)</f>
        <v>1.0566704449881837E-3</v>
      </c>
      <c r="T5" s="154">
        <f>_xll.qlDayCounterYearFraction("actual/365 (fixed)",SettlementDate,R5,,,Trigger)</f>
        <v>1.0958904109589041E-2</v>
      </c>
      <c r="U5" s="166">
        <f>_xll.qlPolynomialFunctionValue($P$18,T5,AllTriggers)</f>
        <v>9.6451393409474726E-4</v>
      </c>
    </row>
    <row r="6" spans="1:27" ht="11.25" customHeight="1" x14ac:dyDescent="0.2">
      <c r="A6" s="300">
        <v>2</v>
      </c>
      <c r="B6" s="117" t="s">
        <v>37</v>
      </c>
      <c r="C6" s="307">
        <f t="shared" si="1"/>
        <v>5</v>
      </c>
      <c r="D6" s="305" t="str">
        <f t="shared" si="2"/>
        <v>EUR2x5F_Quote</v>
      </c>
      <c r="E6" s="305" t="str">
        <f>_xll.qlSimpleQuote(UPPER("B"&amp;$H$1&amp;"_"&amp;A6&amp;B6&amp;C6),,,Permanent,Trigger,ObjectOverwrite)</f>
        <v>B3M_2X5#0002</v>
      </c>
      <c r="F6" s="406">
        <f>_xll.qlSimpleQuoteSetValue(E6,K6,AllTriggers)</f>
        <v>0</v>
      </c>
      <c r="G6" s="418">
        <f>_xll.qlCalendarAdvance("target",SettlementDate,A6&amp;"M","mf",,Trigger)</f>
        <v>42199</v>
      </c>
      <c r="H6" s="418">
        <f>_xll.qlInterestRateIndexMaturity(ON_6M_index,G6)</f>
        <v>42383</v>
      </c>
      <c r="I6" s="166">
        <f>_xll.qlQuoteValue(D6,AllTriggers)</f>
        <v>-4.9999999999999996E-5</v>
      </c>
      <c r="J6" s="166">
        <f>_xll.qlIndexFixing(ON_3M_index,_xll.qlInterestRateIndexFixingDate(ON_6M_index,G6),,AllTriggers)</f>
        <v>-1.1932794819214799E-3</v>
      </c>
      <c r="K6" s="334">
        <f t="shared" si="0"/>
        <v>1.14327948192148E-3</v>
      </c>
      <c r="L6" s="166">
        <f>_xll.qlTenorBasisValue($P$3,G6,Trigger)</f>
        <v>1.1485663851771078E-3</v>
      </c>
      <c r="M6" s="234">
        <f t="shared" si="3"/>
        <v>-5.2869032556278076E-2</v>
      </c>
      <c r="N6" s="117"/>
      <c r="O6" s="398" t="s">
        <v>151</v>
      </c>
      <c r="P6" s="236">
        <f t="array" ref="P6:P10">_xll.qlTenorBasisCoefficients(P3)</f>
        <v>1.0492273628900305E-3</v>
      </c>
      <c r="Q6" s="116"/>
      <c r="R6" s="418">
        <f>_xll.qlCalendarAdvance(Calendar,R5,"1D","f")</f>
        <v>42143</v>
      </c>
      <c r="S6" s="166">
        <f>_xll.qlTenorBasisValue($P$3,R6,AllTriggers)</f>
        <v>1.0585098932149363E-3</v>
      </c>
      <c r="T6" s="154">
        <f>_xll.qlDayCounterYearFraction("actual/365 (fixed)",SettlementDate,R6,,,Trigger)</f>
        <v>1.3698630136986301E-2</v>
      </c>
      <c r="U6" s="166">
        <f>_xll.qlPolynomialFunctionValue($P$18,T6,AllTriggers)</f>
        <v>9.667645358969304E-4</v>
      </c>
    </row>
    <row r="7" spans="1:27" ht="11.25" customHeight="1" x14ac:dyDescent="0.2">
      <c r="A7" s="300">
        <f>A6+1</f>
        <v>3</v>
      </c>
      <c r="B7" s="117" t="s">
        <v>37</v>
      </c>
      <c r="C7" s="307">
        <f t="shared" si="1"/>
        <v>6</v>
      </c>
      <c r="D7" s="305" t="str">
        <f t="shared" si="2"/>
        <v>EUR3x6F_Quote</v>
      </c>
      <c r="E7" s="305" t="str">
        <f>_xll.qlSimpleQuote(UPPER("B"&amp;$H$1&amp;"_"&amp;A7&amp;B7&amp;C7),,,Permanent,Trigger,ObjectOverwrite)</f>
        <v>B3M_3X6#0002</v>
      </c>
      <c r="F7" s="406">
        <f>_xll.qlSimpleQuoteSetValue(E7,K7,AllTriggers)</f>
        <v>0</v>
      </c>
      <c r="G7" s="418">
        <f>_xll.qlCalendarAdvance("target",SettlementDate,A7&amp;"M","mf",,Trigger)</f>
        <v>42230</v>
      </c>
      <c r="H7" s="418">
        <f>_xll.qlInterestRateIndexMaturity(ON_6M_index,G7)</f>
        <v>42415</v>
      </c>
      <c r="I7" s="166">
        <f>_xll.qlQuoteValue(D7,AllTriggers)</f>
        <v>-6.0000000000000002E-5</v>
      </c>
      <c r="J7" s="166">
        <f>_xll.qlIndexFixing(ON_3M_index,_xll.qlInterestRateIndexFixingDate(ON_6M_index,G7),,AllTriggers)</f>
        <v>-1.211293220732817E-3</v>
      </c>
      <c r="K7" s="334">
        <f t="shared" si="0"/>
        <v>1.1512932207328171E-3</v>
      </c>
      <c r="L7" s="166">
        <f>_xll.qlTenorBasisValue($P$3,G7,Trigger)</f>
        <v>1.1882725515709386E-3</v>
      </c>
      <c r="M7" s="234">
        <f t="shared" si="3"/>
        <v>-0.36979330838121571</v>
      </c>
      <c r="N7" s="117"/>
      <c r="O7" s="398" t="s">
        <v>152</v>
      </c>
      <c r="P7" s="236">
        <v>6.8543221178704052E-4</v>
      </c>
      <c r="Q7" s="116"/>
      <c r="R7" s="418">
        <f>_xll.qlCalendarAdvance(Calendar,R6,"1D","f")</f>
        <v>42144</v>
      </c>
      <c r="S7" s="166">
        <f>_xll.qlTenorBasisValue($P$3,R7,AllTriggers)</f>
        <v>1.0603408533659364E-3</v>
      </c>
      <c r="T7" s="154">
        <f>_xll.qlDayCounterYearFraction("actual/365 (fixed)",SettlementDate,R7,,,Trigger)</f>
        <v>1.643835616438356E-2</v>
      </c>
      <c r="U7" s="166">
        <f>_xll.qlPolynomialFunctionValue($P$18,T7,AllTriggers)</f>
        <v>9.6900569242976066E-4</v>
      </c>
    </row>
    <row r="8" spans="1:27" ht="11.25" customHeight="1" x14ac:dyDescent="0.2">
      <c r="A8" s="300">
        <f t="shared" ref="A8:A22" si="4">A7+1</f>
        <v>4</v>
      </c>
      <c r="B8" s="117" t="s">
        <v>37</v>
      </c>
      <c r="C8" s="307">
        <f t="shared" si="1"/>
        <v>7</v>
      </c>
      <c r="D8" s="305" t="str">
        <f t="shared" si="2"/>
        <v>EUR4x7F_Quote</v>
      </c>
      <c r="E8" s="305" t="str">
        <f>_xll.qlSimpleQuote(UPPER("B"&amp;$H$1&amp;"_"&amp;A8&amp;B8&amp;C8),,,Permanent,Trigger,ObjectOverwrite)</f>
        <v>B3M_4X7#0002</v>
      </c>
      <c r="F8" s="406">
        <f>_xll.qlSimpleQuoteSetValue(E8,K8,AllTriggers)</f>
        <v>0</v>
      </c>
      <c r="G8" s="418">
        <f>_xll.qlCalendarAdvance("target",SettlementDate,A8&amp;"M","mf",,Trigger)</f>
        <v>42261</v>
      </c>
      <c r="H8" s="418">
        <f>_xll.qlInterestRateIndexMaturity(ON_6M_index,G8)</f>
        <v>42443</v>
      </c>
      <c r="I8" s="166">
        <f>_xll.qlQuoteValue(D8,AllTriggers)</f>
        <v>-6.0000000000000002E-5</v>
      </c>
      <c r="J8" s="166">
        <f>_xll.qlIndexFixing(ON_3M_index,_xll.qlInterestRateIndexFixingDate(ON_6M_index,G8),,AllTriggers)</f>
        <v>-1.2568313710886554E-3</v>
      </c>
      <c r="K8" s="334">
        <f t="shared" si="0"/>
        <v>1.1968313710886554E-3</v>
      </c>
      <c r="L8" s="166">
        <f>_xll.qlTenorBasisValue($P$3,G8,Trigger)</f>
        <v>1.2215018764162298E-3</v>
      </c>
      <c r="M8" s="234">
        <f t="shared" si="3"/>
        <v>-0.24670505327574346</v>
      </c>
      <c r="N8" s="117"/>
      <c r="O8" s="398" t="s">
        <v>153</v>
      </c>
      <c r="P8" s="236">
        <v>-5.7221656795218253E-4</v>
      </c>
      <c r="Q8" s="116"/>
      <c r="R8" s="418">
        <f>_xll.qlCalendarAdvance(Calendar,R7,"1D","f")</f>
        <v>42145</v>
      </c>
      <c r="S8" s="166">
        <f>_xll.qlTenorBasisValue($P$3,R8,AllTriggers)</f>
        <v>1.0621633458503996E-3</v>
      </c>
      <c r="T8" s="154">
        <f>_xll.qlDayCounterYearFraction("actual/365 (fixed)",SettlementDate,R8,,,Trigger)</f>
        <v>1.9178082191780823E-2</v>
      </c>
      <c r="U8" s="166">
        <f>_xll.qlPolynomialFunctionValue($P$18,T8,AllTriggers)</f>
        <v>9.712374244346451E-4</v>
      </c>
    </row>
    <row r="9" spans="1:27" ht="11.25" customHeight="1" x14ac:dyDescent="0.2">
      <c r="A9" s="300">
        <f t="shared" si="4"/>
        <v>5</v>
      </c>
      <c r="B9" s="117" t="s">
        <v>37</v>
      </c>
      <c r="C9" s="307">
        <f t="shared" si="1"/>
        <v>8</v>
      </c>
      <c r="D9" s="305" t="str">
        <f t="shared" si="2"/>
        <v>EUR5x8F_Quote</v>
      </c>
      <c r="E9" s="305" t="str">
        <f>_xll.qlSimpleQuote(UPPER("B"&amp;$H$1&amp;"_"&amp;A9&amp;B9&amp;C9),,,Permanent,Trigger,ObjectOverwrite)</f>
        <v>B3M_5X8#0002</v>
      </c>
      <c r="F9" s="406">
        <f>_xll.qlSimpleQuoteSetValue(E9,K9,AllTriggers)</f>
        <v>0</v>
      </c>
      <c r="G9" s="418">
        <f>_xll.qlCalendarAdvance("target",SettlementDate,A9&amp;"M","mf",,Trigger)</f>
        <v>42291</v>
      </c>
      <c r="H9" s="418">
        <f>_xll.qlInterestRateIndexMaturity(ON_6M_index,G9)</f>
        <v>42474</v>
      </c>
      <c r="I9" s="166">
        <f>_xll.qlQuoteValue(D9,AllTriggers)</f>
        <v>-4.9999999999999996E-5</v>
      </c>
      <c r="J9" s="166">
        <f>_xll.qlIndexFixing(ON_3M_index,_xll.qlInterestRateIndexFixingDate(ON_6M_index,G9),,AllTriggers)</f>
        <v>-1.311165784443395E-3</v>
      </c>
      <c r="K9" s="334">
        <f t="shared" si="0"/>
        <v>1.2611657844433951E-3</v>
      </c>
      <c r="L9" s="166">
        <f>_xll.qlTenorBasisValue($P$3,G9,Trigger)</f>
        <v>1.2480448185265176E-3</v>
      </c>
      <c r="M9" s="234">
        <f t="shared" si="3"/>
        <v>0.13120965916877445</v>
      </c>
      <c r="N9" s="117"/>
      <c r="O9" s="398" t="s">
        <v>154</v>
      </c>
      <c r="P9" s="236">
        <v>1.6572440791069883E-4</v>
      </c>
      <c r="Q9" s="116"/>
      <c r="R9" s="418">
        <f>_xll.qlCalendarAdvance(Calendar,R8,"1D","f")</f>
        <v>42146</v>
      </c>
      <c r="S9" s="166">
        <f>_xll.qlTenorBasisValue($P$3,R9,AllTriggers)</f>
        <v>1.0639773910704209E-3</v>
      </c>
      <c r="T9" s="154">
        <f>_xll.qlDayCounterYearFraction("actual/365 (fixed)",SettlementDate,R9,,,Trigger)</f>
        <v>2.1917808219178082E-2</v>
      </c>
      <c r="U9" s="166">
        <f>_xll.qlPolynomialFunctionValue($P$18,T9,AllTriggers)</f>
        <v>9.7345975264586781E-4</v>
      </c>
    </row>
    <row r="10" spans="1:27" ht="11.25" customHeight="1" x14ac:dyDescent="0.2">
      <c r="A10" s="300">
        <f t="shared" si="4"/>
        <v>6</v>
      </c>
      <c r="B10" s="117" t="s">
        <v>37</v>
      </c>
      <c r="C10" s="307">
        <f t="shared" si="1"/>
        <v>9</v>
      </c>
      <c r="D10" s="305" t="str">
        <f t="shared" si="2"/>
        <v>EUR6x9F_Quote</v>
      </c>
      <c r="E10" s="305" t="str">
        <f>_xll.qlSimpleQuote(UPPER("B"&amp;$H$1&amp;"_"&amp;A10&amp;B10&amp;C10),,,Permanent,Trigger,ObjectOverwrite)</f>
        <v>B3M_6X9#0002</v>
      </c>
      <c r="F10" s="406">
        <f>_xll.qlSimpleQuoteSetValue(E10,K10,AllTriggers)</f>
        <v>0</v>
      </c>
      <c r="G10" s="418">
        <f>_xll.qlCalendarAdvance("target",SettlementDate,A10&amp;"M","mf",,Trigger)</f>
        <v>42324</v>
      </c>
      <c r="H10" s="418">
        <f>_xll.qlInterestRateIndexMaturity(ON_6M_index,G10)</f>
        <v>42506</v>
      </c>
      <c r="I10" s="166">
        <f>_xll.qlQuoteValue(D10,AllTriggers)</f>
        <v>-6.0000000000000002E-5</v>
      </c>
      <c r="J10" s="166">
        <f>_xll.qlIndexFixing(ON_3M_index,_xll.qlInterestRateIndexFixingDate(ON_6M_index,G10),,AllTriggers)</f>
        <v>-1.3275576725911022E-3</v>
      </c>
      <c r="K10" s="334">
        <f t="shared" si="0"/>
        <v>1.2675576725911023E-3</v>
      </c>
      <c r="L10" s="166">
        <f>_xll.qlTenorBasisValue($P$3,G10,Trigger)</f>
        <v>1.2714975437025421E-3</v>
      </c>
      <c r="M10" s="234">
        <f t="shared" si="3"/>
        <v>-3.9398711114398216E-2</v>
      </c>
      <c r="N10" s="117"/>
      <c r="O10" s="398" t="s">
        <v>155</v>
      </c>
      <c r="P10" s="236">
        <v>-5.2674386699538753E-6</v>
      </c>
      <c r="Q10" s="116"/>
      <c r="R10" s="418">
        <f>_xll.qlCalendarAdvance(Calendar,R9,"1D","f")</f>
        <v>42149</v>
      </c>
      <c r="S10" s="166">
        <f>_xll.qlTenorBasisValue($P$3,R10,AllTriggers)</f>
        <v>1.0693690470579243E-3</v>
      </c>
      <c r="T10" s="154">
        <f>_xll.qlDayCounterYearFraction("actual/365 (fixed)",SettlementDate,R10,,,Trigger)</f>
        <v>3.0136986301369864E-2</v>
      </c>
      <c r="U10" s="166">
        <f>_xll.qlPolynomialFunctionValue($P$18,T10,AllTriggers)</f>
        <v>9.8007052175357046E-4</v>
      </c>
    </row>
    <row r="11" spans="1:27" ht="11.25" customHeight="1" x14ac:dyDescent="0.2">
      <c r="A11" s="465" t="b">
        <v>0</v>
      </c>
      <c r="B11" s="466"/>
      <c r="C11" s="308" t="str">
        <f>_xll.qlIMMNextCode(SettlementDate,A11)</f>
        <v>K5</v>
      </c>
      <c r="D11" s="304" t="str">
        <f>Currency&amp;"FUT"&amp;"3M"&amp;C11&amp;QuoteSuffix</f>
        <v>EURFUT3MK5_Quote</v>
      </c>
      <c r="E11" s="304" t="str">
        <f>_xll.qlSimpleQuote(UPPER("B"&amp;$H$1&amp;"_FUT"&amp;C11),,,Permanent,Trigger,ObjectOverwrite)</f>
        <v>B3M_FUTK5#0008</v>
      </c>
      <c r="F11" s="405">
        <f>_xll.qlSimpleQuoteSetValue(E11,K11,AllTriggers)</f>
        <v>0</v>
      </c>
      <c r="G11" s="417">
        <f>_xll.qlIMMdate(C11,SettlementDate,Trigger)</f>
        <v>42144</v>
      </c>
      <c r="H11" s="417">
        <f>_xll.qlInterestRateIndexMaturity(ON_6M_index,G11)</f>
        <v>42328</v>
      </c>
      <c r="I11" s="179">
        <f>1-_xll.qlQuoteValue(D11,AllTriggers)/100-_xll.qlQuoteValue(Currency&amp;"FUT"&amp;"3M"&amp;C11&amp;"ConvAdj_Quote")</f>
        <v>-1.2499999999993072E-4</v>
      </c>
      <c r="J11" s="179">
        <f>_xll.qlIndexFixing(ON_3M_index,_xll.qlInterestRateIndexFixingDate(ON_6M_index,G11),,AllTriggers)</f>
        <v>-1.1352785815676037E-3</v>
      </c>
      <c r="K11" s="399">
        <f t="shared" si="0"/>
        <v>1.010278581567673E-3</v>
      </c>
      <c r="L11" s="179">
        <f>_xll.qlTenorBasisValue($P$3,G11,Trigger)</f>
        <v>1.0603408533659364E-3</v>
      </c>
      <c r="M11" s="297">
        <f t="shared" si="3"/>
        <v>-0.50062271798263391</v>
      </c>
      <c r="N11" s="117"/>
      <c r="Q11" s="116"/>
      <c r="R11" s="418">
        <f>_xll.qlCalendarAdvance(Calendar,R10,"1D","f")</f>
        <v>42150</v>
      </c>
      <c r="S11" s="166">
        <f>_xll.qlTenorBasisValue($P$3,R11,AllTriggers)</f>
        <v>1.071149507098659E-3</v>
      </c>
      <c r="T11" s="154">
        <f>_xll.qlDayCounterYearFraction("actual/365 (fixed)",SettlementDate,R11,,,Trigger)</f>
        <v>3.287671232876712E-2</v>
      </c>
      <c r="U11" s="166">
        <f>_xll.qlPolynomialFunctionValue($P$18,T11,AllTriggers)</f>
        <v>9.8225544199053859E-4</v>
      </c>
    </row>
    <row r="12" spans="1:27" ht="11.25" customHeight="1" x14ac:dyDescent="0.2">
      <c r="A12" s="467" t="b">
        <v>0</v>
      </c>
      <c r="B12" s="468"/>
      <c r="C12" s="307" t="str">
        <f>_xll.qlIMMNextCode(C11,A12)</f>
        <v>M5</v>
      </c>
      <c r="D12" s="305" t="str">
        <f>Currency&amp;"FUT"&amp;"3M"&amp;C12&amp;QuoteSuffix</f>
        <v>EURFUT3MM5_Quote</v>
      </c>
      <c r="E12" s="305" t="str">
        <f>_xll.qlSimpleQuote(UPPER("B"&amp;$H$1&amp;"_FUT"&amp;C12),,,Permanent,Trigger,ObjectOverwrite)</f>
        <v>B3M_FUTM5#0007</v>
      </c>
      <c r="F12" s="406">
        <f>_xll.qlSimpleQuoteSetValue(E12,K12,AllTriggers)</f>
        <v>0</v>
      </c>
      <c r="G12" s="418">
        <f>_xll.qlIMMdate(C12,SettlementDate,Trigger)</f>
        <v>42172</v>
      </c>
      <c r="H12" s="418">
        <f>_xll.qlInterestRateIndexMaturity(ON_6M_index,G12)</f>
        <v>42355</v>
      </c>
      <c r="I12" s="166">
        <f>1-_xll.qlQuoteValue(D12,AllTriggers)/100-_xll.qlQuoteValue(Currency&amp;"FUT"&amp;"3M"&amp;C12&amp;"ConvAdj_Quote")</f>
        <v>-2.4999999999941735E-5</v>
      </c>
      <c r="J12" s="166">
        <f>_xll.qlIndexFixing(ON_3M_index,_xll.qlInterestRateIndexFixingDate(ON_6M_index,G12),,AllTriggers)</f>
        <v>-1.213915958221015E-3</v>
      </c>
      <c r="K12" s="334">
        <f t="shared" si="0"/>
        <v>1.1889159582210733E-3</v>
      </c>
      <c r="L12" s="166">
        <f>_xll.qlTenorBasisValue($P$3,G12,Trigger)</f>
        <v>1.1082442450612538E-3</v>
      </c>
      <c r="M12" s="234">
        <f t="shared" si="3"/>
        <v>0.80671713159819436</v>
      </c>
      <c r="N12" s="117"/>
      <c r="O12" s="325" t="s">
        <v>169</v>
      </c>
      <c r="P12" s="326"/>
      <c r="Q12" s="116"/>
      <c r="R12" s="418">
        <f>_xll.qlCalendarAdvance(Calendar,R11,"1D","f")</f>
        <v>42151</v>
      </c>
      <c r="S12" s="166">
        <f>_xll.qlTenorBasisValue($P$3,R12,AllTriggers)</f>
        <v>1.0729216217785797E-3</v>
      </c>
      <c r="T12" s="154">
        <f>_xll.qlDayCounterYearFraction("actual/365 (fixed)",SettlementDate,R12,,,Trigger)</f>
        <v>3.5616438356164383E-2</v>
      </c>
      <c r="U12" s="166">
        <f>_xll.qlPolynomialFunctionValue($P$18,T12,AllTriggers)</f>
        <v>9.8443106199842703E-4</v>
      </c>
    </row>
    <row r="13" spans="1:27" ht="11.25" customHeight="1" x14ac:dyDescent="0.2">
      <c r="A13" s="467" t="b">
        <v>1</v>
      </c>
      <c r="B13" s="468"/>
      <c r="C13" s="307" t="str">
        <f>_xll.qlIMMNextCode(C12,A13)</f>
        <v>U5</v>
      </c>
      <c r="D13" s="305" t="str">
        <f>Currency&amp;"FUT"&amp;"3M"&amp;C13&amp;QuoteSuffix</f>
        <v>EURFUT3MU5_Quote</v>
      </c>
      <c r="E13" s="305" t="str">
        <f>_xll.qlSimpleQuote(UPPER("B"&amp;$H$1&amp;"_FUT"&amp;C13),,,Permanent,Trigger,ObjectOverwrite)</f>
        <v>B3M_FUTU5#0009</v>
      </c>
      <c r="F13" s="406">
        <f>_xll.qlSimpleQuoteSetValue(E13,K13,AllTriggers)</f>
        <v>0</v>
      </c>
      <c r="G13" s="418">
        <f>_xll.qlIMMdate(C13,SettlementDate,Trigger)</f>
        <v>42263</v>
      </c>
      <c r="H13" s="418">
        <f>_xll.qlInterestRateIndexMaturity(ON_6M_index,G13)</f>
        <v>42445</v>
      </c>
      <c r="I13" s="166">
        <f>1-_xll.qlQuoteValue(D13,AllTriggers)/100-_xll.qlQuoteValue(Currency&amp;"FUT"&amp;"3M"&amp;C13&amp;"ConvAdj_Quote")</f>
        <v>-7.4999999999825206E-5</v>
      </c>
      <c r="J13" s="166">
        <f>_xll.qlIndexFixing(ON_3M_index,_xll.qlInterestRateIndexFixingDate(ON_6M_index,G13),,AllTriggers)</f>
        <v>-1.254065659728944E-3</v>
      </c>
      <c r="K13" s="334">
        <f t="shared" si="0"/>
        <v>1.1790656597291187E-3</v>
      </c>
      <c r="L13" s="166">
        <f>_xll.qlTenorBasisValue($P$3,G13,Trigger)</f>
        <v>1.2234371870557573E-3</v>
      </c>
      <c r="M13" s="234">
        <f t="shared" si="3"/>
        <v>-0.44371527326638599</v>
      </c>
      <c r="N13" s="117"/>
      <c r="O13" s="398" t="s">
        <v>151</v>
      </c>
      <c r="P13" s="236">
        <f t="array" ref="P13:P17">_xll.qlTenorInstCoefficients(P3)</f>
        <v>9.5541665911505404E-4</v>
      </c>
      <c r="Q13" s="116"/>
      <c r="R13" s="418">
        <f>_xll.qlCalendarAdvance(Calendar,R12,"1D","f")</f>
        <v>42152</v>
      </c>
      <c r="S13" s="166">
        <f>_xll.qlTenorBasisValue($P$3,R13,AllTriggers)</f>
        <v>1.074685411457045E-3</v>
      </c>
      <c r="T13" s="154">
        <f>_xll.qlDayCounterYearFraction("actual/365 (fixed)",SettlementDate,R13,,,Trigger)</f>
        <v>3.8356164383561646E-2</v>
      </c>
      <c r="U13" s="166">
        <f>_xll.qlPolynomialFunctionValue($P$18,T13,AllTriggers)</f>
        <v>9.8659740246878538E-4</v>
      </c>
    </row>
    <row r="14" spans="1:27" ht="11.25" customHeight="1" thickBot="1" x14ac:dyDescent="0.25">
      <c r="A14" s="467" t="b">
        <v>1</v>
      </c>
      <c r="B14" s="468"/>
      <c r="C14" s="307" t="str">
        <f>_xll.qlIMMNextCode(C13,A14)</f>
        <v>Z5</v>
      </c>
      <c r="D14" s="305" t="str">
        <f>Currency&amp;"FUT"&amp;"3M"&amp;C14&amp;QuoteSuffix</f>
        <v>EURFUT3MZ5_Quote</v>
      </c>
      <c r="E14" s="305" t="str">
        <f>_xll.qlSimpleQuote(UPPER("B"&amp;$H$1&amp;"_FUT"&amp;C14),,,Permanent,Trigger,ObjectOverwrite)</f>
        <v>B3M_FUTZ5#0009</v>
      </c>
      <c r="F14" s="406">
        <f>_xll.qlSimpleQuoteSetValue(E14,K14,AllTriggers)</f>
        <v>0</v>
      </c>
      <c r="G14" s="418">
        <f>_xll.qlIMMdate(C14,SettlementDate,Trigger)</f>
        <v>42354</v>
      </c>
      <c r="H14" s="418">
        <f>_xll.qlInterestRateIndexMaturity(ON_6M_index,G14)</f>
        <v>42537</v>
      </c>
      <c r="I14" s="166">
        <f>1-_xll.qlQuoteValue(D14,AllTriggers)/100-_xll.qlQuoteValue(Currency&amp;"FUT"&amp;"3M"&amp;C14&amp;"ConvAdj_Quote")</f>
        <v>-2.4999999999941735E-5</v>
      </c>
      <c r="J14" s="166">
        <f>_xll.qlIndexFixing(ON_3M_index,_xll.qlInterestRateIndexFixingDate(ON_6M_index,G14),,AllTriggers)</f>
        <v>-1.3174355730062059E-3</v>
      </c>
      <c r="K14" s="334">
        <f t="shared" si="0"/>
        <v>1.2924355730062642E-3</v>
      </c>
      <c r="L14" s="166">
        <f>_xll.qlTenorBasisValue($P$3,G14,Trigger)</f>
        <v>1.2881595883513395E-3</v>
      </c>
      <c r="M14" s="234">
        <f t="shared" si="3"/>
        <v>4.2759846549246354E-2</v>
      </c>
      <c r="N14" s="117"/>
      <c r="O14" s="398" t="s">
        <v>152</v>
      </c>
      <c r="P14" s="236">
        <v>8.3707695271955881E-4</v>
      </c>
      <c r="Q14" s="116"/>
      <c r="R14" s="418">
        <f>_xll.qlCalendarAdvance(Calendar,R13,"1D","f")</f>
        <v>42153</v>
      </c>
      <c r="S14" s="166">
        <f>_xll.qlTenorBasisValue($P$3,R14,AllTriggers)</f>
        <v>1.0764408964862903E-3</v>
      </c>
      <c r="T14" s="154">
        <f>_xll.qlDayCounterYearFraction("actual/365 (fixed)",SettlementDate,R14,,,Trigger)</f>
        <v>4.1095890410958902E-2</v>
      </c>
      <c r="U14" s="166">
        <f>_xll.qlPolynomialFunctionValue($P$18,T14,AllTriggers)</f>
        <v>9.8875448408603916E-4</v>
      </c>
      <c r="W14" s="142"/>
      <c r="X14" s="142" t="s">
        <v>95</v>
      </c>
      <c r="Y14" s="142" t="s">
        <v>70</v>
      </c>
      <c r="Z14" s="142" t="s">
        <v>71</v>
      </c>
      <c r="AA14" s="410" t="s">
        <v>167</v>
      </c>
    </row>
    <row r="15" spans="1:27" ht="11.25" customHeight="1" x14ac:dyDescent="0.2">
      <c r="A15" s="467" t="b">
        <v>1</v>
      </c>
      <c r="B15" s="468"/>
      <c r="C15" s="307" t="str">
        <f>_xll.qlIMMNextCode(C14,A15)</f>
        <v>H6</v>
      </c>
      <c r="D15" s="305" t="str">
        <f>Currency&amp;"FUT"&amp;"3M"&amp;C15&amp;QuoteSuffix</f>
        <v>EURFUT3MH6_Quote</v>
      </c>
      <c r="E15" s="305" t="str">
        <f>_xll.qlSimpleQuote(UPPER("B"&amp;$H$1&amp;"_FUT"&amp;C15),,,Permanent,Trigger,ObjectOverwrite)</f>
        <v>B3M_FUTH6#0009</v>
      </c>
      <c r="F15" s="406">
        <f>_xll.qlSimpleQuoteSetValue(E15,K15,AllTriggers)</f>
        <v>0</v>
      </c>
      <c r="G15" s="418">
        <f>_xll.qlIMMdate(C15,SettlementDate,Trigger)</f>
        <v>42445</v>
      </c>
      <c r="H15" s="418">
        <f>_xll.qlInterestRateIndexMaturity(ON_6M_index,G15)</f>
        <v>42629</v>
      </c>
      <c r="I15" s="166">
        <f>1-_xll.qlQuoteValue(D15,AllTriggers)/100-_xll.qlQuoteValue(Currency&amp;"FUT"&amp;"3M"&amp;C15&amp;"ConvAdj_Quote")</f>
        <v>7.4999999999936229E-5</v>
      </c>
      <c r="J15" s="166">
        <f>_xll.qlIndexFixing(ON_3M_index,_xll.qlInterestRateIndexFixingDate(ON_6M_index,G15),,AllTriggers)</f>
        <v>-1.2598526095320829E-3</v>
      </c>
      <c r="K15" s="334">
        <f t="shared" si="0"/>
        <v>1.3348526095320191E-3</v>
      </c>
      <c r="L15" s="166">
        <f>_xll.qlTenorBasisValue($P$3,G15,Trigger)</f>
        <v>1.3169056225089011E-3</v>
      </c>
      <c r="M15" s="234">
        <f t="shared" si="3"/>
        <v>0.17946987023117988</v>
      </c>
      <c r="N15" s="117"/>
      <c r="O15" s="398" t="s">
        <v>153</v>
      </c>
      <c r="P15" s="236">
        <v>-6.3608826691750658E-4</v>
      </c>
      <c r="Q15" s="116"/>
      <c r="R15" s="418">
        <f>_xll.qlCalendarAdvance(Calendar,R14,"1D","f")</f>
        <v>42156</v>
      </c>
      <c r="S15" s="166">
        <f>_xll.qlTenorBasisValue($P$3,R15,AllTriggers)</f>
        <v>1.081657727094219E-3</v>
      </c>
      <c r="T15" s="154">
        <f>_xll.qlDayCounterYearFraction("actual/365 (fixed)",SettlementDate,R15,,,Trigger)</f>
        <v>4.9315068493150684E-2</v>
      </c>
      <c r="U15" s="166">
        <f>_xll.qlPolynomialFunctionValue($P$18,T15,AllTriggers)</f>
        <v>9.9517038255659759E-4</v>
      </c>
      <c r="W15" s="161">
        <v>0</v>
      </c>
      <c r="X15" s="161" t="s">
        <v>43</v>
      </c>
      <c r="Y15" s="381">
        <f>_xll.qlCalendarAdvance(Calendar,SettlementDate,W15&amp;"M","mf",TRUE,Trigger)</f>
        <v>42138</v>
      </c>
      <c r="Z15" s="382">
        <f>_xll.qlCalendarAdvance(Calendar,SettlementDate,X15,"Following",,Trigger)</f>
        <v>42139</v>
      </c>
      <c r="AA15" s="411">
        <f>_xll.qlTenorBasisForwardRate2(TenorBasis6M,Y15,Z15,AllTriggers)</f>
        <v>-4.6551362244962036E-5</v>
      </c>
    </row>
    <row r="16" spans="1:27" ht="11.25" customHeight="1" x14ac:dyDescent="0.2">
      <c r="A16" s="467" t="b">
        <v>1</v>
      </c>
      <c r="B16" s="468"/>
      <c r="C16" s="307" t="str">
        <f>_xll.qlIMMNextCode(C15,A16)</f>
        <v>M6</v>
      </c>
      <c r="D16" s="305" t="str">
        <f>Currency&amp;"FUT"&amp;"3M"&amp;C16&amp;QuoteSuffix</f>
        <v>EURFUT3MM6_Quote</v>
      </c>
      <c r="E16" s="305" t="str">
        <f>_xll.qlSimpleQuote(UPPER("B"&amp;$H$1&amp;"_FUT"&amp;C16),,,Permanent,Trigger,ObjectOverwrite)</f>
        <v>B3M_FUTM6#0009</v>
      </c>
      <c r="F16" s="406">
        <f>_xll.qlSimpleQuoteSetValue(E16,K16,AllTriggers)</f>
        <v>0</v>
      </c>
      <c r="G16" s="418">
        <f>_xll.qlIMMdate(C16,SettlementDate,Trigger)</f>
        <v>42536</v>
      </c>
      <c r="H16" s="418">
        <f>_xll.qlInterestRateIndexMaturity(ON_6M_index,G16)</f>
        <v>42719</v>
      </c>
      <c r="I16" s="166">
        <f>1-_xll.qlQuoteValue(D16,AllTriggers)/100-_xll.qlQuoteValue(Currency&amp;"FUT"&amp;"3M"&amp;C16&amp;"ConvAdj_Quote")</f>
        <v>2.2500000000003073E-4</v>
      </c>
      <c r="J16" s="166">
        <f>_xll.qlIndexFixing(ON_3M_index,_xll.qlInterestRateIndexFixingDate(ON_6M_index,G16),,AllTriggers)</f>
        <v>-1.0901522649632628E-3</v>
      </c>
      <c r="K16" s="334">
        <f t="shared" si="0"/>
        <v>1.3151522649632935E-3</v>
      </c>
      <c r="L16" s="166">
        <f>_xll.qlTenorBasisValue($P$3,G16,Trigger)</f>
        <v>1.3236810302666099E-3</v>
      </c>
      <c r="M16" s="234">
        <f t="shared" si="3"/>
        <v>-8.5287653033164296E-2</v>
      </c>
      <c r="N16" s="117"/>
      <c r="O16" s="398" t="s">
        <v>154</v>
      </c>
      <c r="P16" s="236">
        <v>1.6841665434200859E-4</v>
      </c>
      <c r="Q16" s="116"/>
      <c r="R16" s="418">
        <f>_xll.qlCalendarAdvance(Calendar,R15,"1D","f")</f>
        <v>42157</v>
      </c>
      <c r="S16" s="166">
        <f>_xll.qlTenorBasisValue($P$3,R16,AllTriggers)</f>
        <v>1.0833801969064847E-3</v>
      </c>
      <c r="T16" s="154">
        <f>_xll.qlDayCounterYearFraction("actual/365 (fixed)",SettlementDate,R16,,,Trigger)</f>
        <v>5.2054794520547946E-2</v>
      </c>
      <c r="U16" s="166">
        <f>_xll.qlPolynomialFunctionValue($P$18,T16,AllTriggers)</f>
        <v>9.9729063546324308E-4</v>
      </c>
      <c r="W16" s="167">
        <v>0</v>
      </c>
      <c r="X16" s="167" t="s">
        <v>44</v>
      </c>
      <c r="Y16" s="383">
        <f>_xll.qlCalendarAdvance(Calendar,SettlementDate,W16&amp;"M","mf",TRUE,Trigger)</f>
        <v>42138</v>
      </c>
      <c r="Z16" s="384">
        <f>_xll.qlCalendarAdvance(Calendar,SettlementDate,X16,"Following",,Trigger)</f>
        <v>42145</v>
      </c>
      <c r="AA16" s="412">
        <f>_xll.qlTenorBasisForwardRate2(TenorBasis6M,Y16,Z16,AllTriggers)</f>
        <v>-3.9840567273812557E-5</v>
      </c>
    </row>
    <row r="17" spans="1:27" ht="11.25" customHeight="1" x14ac:dyDescent="0.2">
      <c r="A17" s="467" t="b">
        <v>1</v>
      </c>
      <c r="B17" s="468"/>
      <c r="C17" s="307" t="str">
        <f>_xll.qlIMMNextCode(C16,A17)</f>
        <v>U6</v>
      </c>
      <c r="D17" s="305" t="str">
        <f>Currency&amp;"FUT"&amp;"3M"&amp;C17&amp;QuoteSuffix</f>
        <v>EURFUT3MU6_Quote</v>
      </c>
      <c r="E17" s="305" t="str">
        <f>_xll.qlSimpleQuote(UPPER("B"&amp;$H$1&amp;"_FUT"&amp;C17),,,Permanent,Trigger,ObjectOverwrite)</f>
        <v>B3M_FUTU6#0008</v>
      </c>
      <c r="F17" s="406">
        <f>_xll.qlSimpleQuoteSetValue(E17,K17,AllTriggers)</f>
        <v>0</v>
      </c>
      <c r="G17" s="418">
        <f>_xll.qlIMMdate(C17,SettlementDate,Trigger)</f>
        <v>42634</v>
      </c>
      <c r="H17" s="418">
        <f>_xll.qlInterestRateIndexMaturity(ON_6M_index,G17)</f>
        <v>42815</v>
      </c>
      <c r="I17" s="166">
        <f>1-_xll.qlQuoteValue(D17,AllTriggers)/100-_xll.qlQuoteValue(Currency&amp;"FUT"&amp;"3M"&amp;C17&amp;"ConvAdj_Quote")</f>
        <v>5.2500000000010871E-4</v>
      </c>
      <c r="J17" s="166">
        <f>_xll.qlIndexFixing(ON_3M_index,_xll.qlInterestRateIndexFixingDate(ON_6M_index,G17),,AllTriggers)</f>
        <v>-1.0014647767596287E-3</v>
      </c>
      <c r="K17" s="334">
        <f t="shared" si="0"/>
        <v>1.5264647767597374E-3</v>
      </c>
      <c r="L17" s="166">
        <f>_xll.qlTenorBasisValue($P$3,G17,Trigger)</f>
        <v>1.3219007532666866E-3</v>
      </c>
      <c r="M17" s="234">
        <f t="shared" si="3"/>
        <v>2.0456402349305076</v>
      </c>
      <c r="N17" s="117"/>
      <c r="O17" s="398" t="s">
        <v>155</v>
      </c>
      <c r="P17" s="236">
        <v>-5.2674386699538753E-6</v>
      </c>
      <c r="Q17" s="116"/>
      <c r="R17" s="418">
        <f>_xll.qlCalendarAdvance(Calendar,R16,"1D","f")</f>
        <v>42158</v>
      </c>
      <c r="S17" s="166">
        <f>_xll.qlTenorBasisValue($P$3,R17,AllTriggers)</f>
        <v>1.0850944637238683E-3</v>
      </c>
      <c r="T17" s="154">
        <f>_xll.qlDayCounterYearFraction("actual/365 (fixed)",SettlementDate,R17,,,Trigger)</f>
        <v>5.4794520547945202E-2</v>
      </c>
      <c r="U17" s="166">
        <f>_xll.qlPolynomialFunctionValue($P$18,T17,AllTriggers)</f>
        <v>9.9940173283207586E-4</v>
      </c>
      <c r="W17" s="167">
        <v>0</v>
      </c>
      <c r="X17" s="167" t="s">
        <v>45</v>
      </c>
      <c r="Y17" s="383">
        <f>_xll.qlCalendarAdvance(Calendar,SettlementDate,W17&amp;"M","mf",TRUE,Trigger)</f>
        <v>42138</v>
      </c>
      <c r="Z17" s="384">
        <f>_xll.qlCalendarAdvance(Calendar,SettlementDate,X17,"Following",,Trigger)</f>
        <v>42152</v>
      </c>
      <c r="AA17" s="412">
        <f>_xll.qlTenorBasisForwardRate2(TenorBasis6M,Y17,Z17,AllTriggers)</f>
        <v>-4.2162354028096871E-5</v>
      </c>
    </row>
    <row r="18" spans="1:27" ht="11.25" customHeight="1" x14ac:dyDescent="0.2">
      <c r="A18" s="467" t="b">
        <v>1</v>
      </c>
      <c r="B18" s="468"/>
      <c r="C18" s="307" t="str">
        <f>_xll.qlIMMNextCode(C17,A18)</f>
        <v>Z6</v>
      </c>
      <c r="D18" s="305" t="str">
        <f>Currency&amp;"FUT"&amp;"3M"&amp;C18&amp;QuoteSuffix</f>
        <v>EURFUT3MZ6_Quote</v>
      </c>
      <c r="E18" s="305" t="str">
        <f>_xll.qlSimpleQuote(UPPER("B"&amp;$H$1&amp;"_FUT"&amp;C18),,,Permanent,Trigger,ObjectOverwrite)</f>
        <v>B3M_FUTZ6#0009</v>
      </c>
      <c r="F18" s="406">
        <f>_xll.qlSimpleQuoteSetValue(E18,K18,AllTriggers)</f>
        <v>0</v>
      </c>
      <c r="G18" s="418">
        <f>_xll.qlIMMdate(C18,SettlementDate,Trigger)</f>
        <v>42725</v>
      </c>
      <c r="H18" s="418">
        <f>_xll.qlInterestRateIndexMaturity(ON_6M_index,G18)</f>
        <v>42907</v>
      </c>
      <c r="I18" s="166">
        <f>1-_xll.qlQuoteValue(D18,AllTriggers)/100-_xll.qlQuoteValue(Currency&amp;"FUT"&amp;"3M"&amp;C18&amp;"ConvAdj_Quote")</f>
        <v>9.2500000000006466E-4</v>
      </c>
      <c r="J18" s="166">
        <f>_xll.qlIndexFixing(ON_3M_index,_xll.qlInterestRateIndexFixingDate(ON_6M_index,G18),,AllTriggers)</f>
        <v>-4.8005614116419792E-4</v>
      </c>
      <c r="K18" s="334">
        <f t="shared" si="0"/>
        <v>1.4050561411642626E-3</v>
      </c>
      <c r="L18" s="166">
        <f>_xll.qlTenorBasisValue($P$3,G18,Trigger)</f>
        <v>1.3256760165503518E-3</v>
      </c>
      <c r="M18" s="234">
        <f t="shared" si="3"/>
        <v>0.79380124613910763</v>
      </c>
      <c r="N18" s="117"/>
      <c r="O18" s="398" t="s">
        <v>173</v>
      </c>
      <c r="P18" s="236" t="str">
        <f>_xll.qlPolynomialFunction(,_xll.ohPack(P13:P17),,Trigger)</f>
        <v>obj_009d7#0002</v>
      </c>
      <c r="Q18" s="116"/>
      <c r="R18" s="418">
        <f>_xll.qlCalendarAdvance(Calendar,R17,"1D","f")</f>
        <v>42159</v>
      </c>
      <c r="S18" s="166">
        <f>_xll.qlTenorBasisValue($P$3,R18,AllTriggers)</f>
        <v>1.0868005478558687E-3</v>
      </c>
      <c r="T18" s="154">
        <f>_xll.qlDayCounterYearFraction("actual/365 (fixed)",SettlementDate,R18,,,Trigger)</f>
        <v>5.7534246575342465E-2</v>
      </c>
      <c r="U18" s="166">
        <f>_xll.qlPolynomialFunctionValue($P$18,T18,AllTriggers)</f>
        <v>1.0015036953047857E-3</v>
      </c>
      <c r="W18" s="167">
        <v>0</v>
      </c>
      <c r="X18" s="167" t="s">
        <v>46</v>
      </c>
      <c r="Y18" s="383">
        <f>_xll.qlCalendarAdvance(Calendar,SettlementDate,W18&amp;"M","mf",TRUE,Trigger)</f>
        <v>42138</v>
      </c>
      <c r="Z18" s="384">
        <f>_xll.qlCalendarAdvance(Calendar,SettlementDate,X18,"Following",,Trigger)</f>
        <v>42159</v>
      </c>
      <c r="AA18" s="412">
        <f>_xll.qlTenorBasisForwardRate2(TenorBasis6M,Y18,Z18,AllTriggers)</f>
        <v>4.5370214796542587E-5</v>
      </c>
    </row>
    <row r="19" spans="1:27" ht="11.25" customHeight="1" x14ac:dyDescent="0.2">
      <c r="A19" s="467" t="b">
        <v>1</v>
      </c>
      <c r="B19" s="468"/>
      <c r="C19" s="307" t="str">
        <f>_xll.qlIMMNextCode(C18,A19)</f>
        <v>H7</v>
      </c>
      <c r="D19" s="305" t="str">
        <f>Currency&amp;"FUT"&amp;"3M"&amp;C19&amp;QuoteSuffix</f>
        <v>EURFUT3MH7_Quote</v>
      </c>
      <c r="E19" s="305" t="str">
        <f>_xll.qlSimpleQuote(UPPER("B"&amp;$H$1&amp;"_FUT"&amp;C19),,,Permanent,Trigger,ObjectOverwrite)</f>
        <v>B3M_FUTH7#0008</v>
      </c>
      <c r="F19" s="406">
        <f>_xll.qlSimpleQuoteSetValue(E19,K19,AllTriggers)</f>
        <v>0</v>
      </c>
      <c r="G19" s="418">
        <f>_xll.qlIMMdate(C19,SettlementDate,Trigger)</f>
        <v>42809</v>
      </c>
      <c r="H19" s="418">
        <f>_xll.qlInterestRateIndexMaturity(ON_6M_index,G19)</f>
        <v>42993</v>
      </c>
      <c r="I19" s="166">
        <f>1-_xll.qlQuoteValue(D19,AllTriggers)/100-_xll.qlQuoteValue(Currency&amp;"FUT"&amp;"3M"&amp;C19&amp;"ConvAdj_Quote")</f>
        <v>1.3750000000000151E-3</v>
      </c>
      <c r="J19" s="166">
        <f>_xll.qlIndexFixing(ON_3M_index,_xll.qlInterestRateIndexFixingDate(ON_6M_index,G19),,AllTriggers)</f>
        <v>-5.473410127653861E-5</v>
      </c>
      <c r="K19" s="334">
        <f t="shared" si="0"/>
        <v>1.4297341012765538E-3</v>
      </c>
      <c r="L19" s="166">
        <f>_xll.qlTenorBasisValue($P$3,G19,Trigger)</f>
        <v>1.3449144101812876E-3</v>
      </c>
      <c r="M19" s="234">
        <f t="shared" si="3"/>
        <v>0.8481969109526617</v>
      </c>
      <c r="N19" s="117"/>
      <c r="Q19" s="116"/>
      <c r="R19" s="418">
        <f>_xll.qlCalendarAdvance(Calendar,R18,"1D","f")</f>
        <v>42160</v>
      </c>
      <c r="S19" s="166">
        <f>_xll.qlTenorBasisValue($P$3,R19,AllTriggers)</f>
        <v>1.0884984696048635E-3</v>
      </c>
      <c r="T19" s="154">
        <f>_xll.qlDayCounterYearFraction("actual/365 (fixed)",SettlementDate,R19,,,Trigger)</f>
        <v>6.0273972602739728E-2</v>
      </c>
      <c r="U19" s="166">
        <f>_xll.qlPolynomialFunctionValue($P$18,T19,AllTriggers)</f>
        <v>1.0035965435159411E-3</v>
      </c>
      <c r="W19" s="335">
        <v>0</v>
      </c>
      <c r="X19" s="335" t="s">
        <v>40</v>
      </c>
      <c r="Y19" s="385">
        <f>_xll.qlCalendarAdvance(Calendar,SettlementDate,W19&amp;"M","mf",TRUE,Trigger)</f>
        <v>42138</v>
      </c>
      <c r="Z19" s="386">
        <f>_xll.qlCalendarAdvance(Calendar,SettlementDate,X19,"mf",TRUE,Trigger)</f>
        <v>42170</v>
      </c>
      <c r="AA19" s="413">
        <f>_xll.qlTenorBasisForwardRate2(TenorBasis6M,Y19,Z19,AllTriggers)</f>
        <v>-1.5288871567514795E-5</v>
      </c>
    </row>
    <row r="20" spans="1:27" ht="11.25" customHeight="1" x14ac:dyDescent="0.2">
      <c r="A20" s="467" t="b">
        <v>1</v>
      </c>
      <c r="B20" s="468"/>
      <c r="C20" s="307" t="str">
        <f>_xll.qlIMMNextCode(C19,A20)</f>
        <v>M7</v>
      </c>
      <c r="D20" s="305" t="str">
        <f>Currency&amp;"FUT"&amp;"3M"&amp;C20&amp;QuoteSuffix</f>
        <v>EURFUT3MM7_Quote</v>
      </c>
      <c r="E20" s="305" t="str">
        <f>_xll.qlSimpleQuote(UPPER("B"&amp;$H$1&amp;"_FUT"&amp;C20),,,Permanent,Trigger,ObjectOverwrite)</f>
        <v>B3M_FUTM7#0009</v>
      </c>
      <c r="F20" s="406">
        <f>_xll.qlSimpleQuoteSetValue(E20,K20,AllTriggers)</f>
        <v>0</v>
      </c>
      <c r="G20" s="418">
        <f>_xll.qlIMMdate(C20,SettlementDate,Trigger)</f>
        <v>42907</v>
      </c>
      <c r="H20" s="418">
        <f>_xll.qlInterestRateIndexMaturity(ON_6M_index,G20)</f>
        <v>43090</v>
      </c>
      <c r="I20" s="166">
        <f>1-_xll.qlQuoteValue(D20,AllTriggers)/100-_xll.qlQuoteValue(Currency&amp;"FUT"&amp;"3M"&amp;C20&amp;"ConvAdj_Quote")</f>
        <v>1.87499999999996E-3</v>
      </c>
      <c r="J20" s="166">
        <f>_xll.qlIndexFixing(ON_3M_index,_xll.qlInterestRateIndexFixingDate(ON_6M_index,G20),,AllTriggers)</f>
        <v>4.0123065202377919E-4</v>
      </c>
      <c r="K20" s="334">
        <f t="shared" si="0"/>
        <v>1.4737693479761808E-3</v>
      </c>
      <c r="L20" s="166">
        <f>_xll.qlTenorBasisValue($P$3,G20,Trigger)</f>
        <v>1.3994222328242477E-3</v>
      </c>
      <c r="M20" s="234">
        <f t="shared" si="3"/>
        <v>0.7434711515193313</v>
      </c>
      <c r="N20" s="117"/>
      <c r="Q20" s="116"/>
      <c r="R20" s="418">
        <f>_xll.qlCalendarAdvance(Calendar,R19,"1D","f")</f>
        <v>42163</v>
      </c>
      <c r="S20" s="166">
        <f>_xll.qlTenorBasisValue($P$3,R20,AllTriggers)</f>
        <v>1.0935434634707455E-3</v>
      </c>
      <c r="T20" s="154">
        <f>_xll.qlDayCounterYearFraction("actual/365 (fixed)",SettlementDate,R20,,,Trigger)</f>
        <v>6.8493150684931503E-2</v>
      </c>
      <c r="U20" s="166">
        <f>_xll.qlPolynomialFunctionValue($P$18,T20,AllTriggers)</f>
        <v>1.0098206088189155E-3</v>
      </c>
      <c r="W20" s="167">
        <v>0</v>
      </c>
      <c r="X20" s="167" t="s">
        <v>47</v>
      </c>
      <c r="Y20" s="383">
        <f>_xll.qlCalendarAdvance(Calendar,SettlementDate,W20&amp;"M","mf",TRUE,Trigger)</f>
        <v>42138</v>
      </c>
      <c r="Z20" s="384">
        <f>_xll.qlCalendarAdvance(Calendar,SettlementDate,X20,"mf",TRUE,Trigger)</f>
        <v>42199</v>
      </c>
      <c r="AA20" s="412">
        <f>_xll.qlTenorBasisForwardRate2(TenorBasis6M,Y20,Z20,AllTriggers)</f>
        <v>-5.2091802951837086E-5</v>
      </c>
    </row>
    <row r="21" spans="1:27" ht="11.25" customHeight="1" x14ac:dyDescent="0.2">
      <c r="A21" s="467" t="b">
        <v>1</v>
      </c>
      <c r="B21" s="468"/>
      <c r="C21" s="307" t="str">
        <f>_xll.qlIMMNextCode(C20,A21)</f>
        <v>U7</v>
      </c>
      <c r="D21" s="305" t="str">
        <f>Currency&amp;"FUT"&amp;"3M"&amp;C21&amp;QuoteSuffix</f>
        <v>EURFUT3MU7_Quote</v>
      </c>
      <c r="E21" s="305" t="str">
        <f>_xll.qlSimpleQuote(UPPER("B"&amp;$H$1&amp;"_FUT"&amp;C21),,,Permanent,Trigger,ObjectOverwrite)</f>
        <v>B3M_FUTU7#0009</v>
      </c>
      <c r="F21" s="406">
        <f>_xll.qlSimpleQuoteSetValue(E21,K21,AllTriggers)</f>
        <v>0</v>
      </c>
      <c r="G21" s="418">
        <f>_xll.qlIMMdate(C21,SettlementDate,Trigger)</f>
        <v>42998</v>
      </c>
      <c r="H21" s="418">
        <f>_xll.qlInterestRateIndexMaturity(ON_6M_index,G21)</f>
        <v>43179</v>
      </c>
      <c r="I21" s="166">
        <f>1-_xll.qlQuoteValue(D21,AllTriggers)/100-_xll.qlQuoteValue(Currency&amp;"FUT"&amp;"3M"&amp;C21&amp;"ConvAdj_Quote")</f>
        <v>2.475000000000005E-3</v>
      </c>
      <c r="J21" s="166">
        <f>_xll.qlIndexFixing(ON_3M_index,_xll.qlInterestRateIndexFixingDate(ON_6M_index,G21),,AllTriggers)</f>
        <v>8.7972654494655321E-4</v>
      </c>
      <c r="K21" s="334">
        <f t="shared" si="0"/>
        <v>1.5952734550534519E-3</v>
      </c>
      <c r="L21" s="166">
        <f>_xll.qlTenorBasisValue($P$3,G21,Trigger)</f>
        <v>1.4929336283750194E-3</v>
      </c>
      <c r="M21" s="234">
        <f t="shared" si="3"/>
        <v>1.0233982667843242</v>
      </c>
      <c r="N21" s="117"/>
      <c r="Q21" s="116"/>
      <c r="R21" s="418">
        <f>_xll.qlCalendarAdvance(Calendar,R20,"1D","f")</f>
        <v>42164</v>
      </c>
      <c r="S21" s="166">
        <f>_xll.qlTenorBasisValue($P$3,R21,AllTriggers)</f>
        <v>1.0952089385690364E-3</v>
      </c>
      <c r="T21" s="154">
        <f>_xll.qlDayCounterYearFraction("actual/365 (fixed)",SettlementDate,R21,,,Trigger)</f>
        <v>7.1232876712328766E-2</v>
      </c>
      <c r="U21" s="166">
        <f>_xll.qlPolynomialFunctionValue($P$18,T21,AllTriggers)</f>
        <v>1.011877206187077E-3</v>
      </c>
      <c r="W21" s="161">
        <v>0</v>
      </c>
      <c r="X21" s="161" t="s">
        <v>41</v>
      </c>
      <c r="Y21" s="381">
        <f>_xll.qlCalendarAdvance(Calendar,SettlementDate,W21&amp;"M","mf",TRUE,Trigger)</f>
        <v>42138</v>
      </c>
      <c r="Z21" s="382">
        <f>_xll.qlCalendarAdvance(Calendar,SettlementDate,X21,"mf",TRUE,Trigger)</f>
        <v>42230</v>
      </c>
      <c r="AA21" s="487">
        <f>_xll.qlTenorBasisForwardRate2(TenorBasis6M,Y21,Z21,AllTriggers)</f>
        <v>-8.0904278477057843E-5</v>
      </c>
    </row>
    <row r="22" spans="1:27" ht="11.25" customHeight="1" x14ac:dyDescent="0.2">
      <c r="A22" s="469" t="b">
        <v>1</v>
      </c>
      <c r="B22" s="470"/>
      <c r="C22" s="309" t="str">
        <f>_xll.qlIMMNextCode(C21,A22)</f>
        <v>Z7</v>
      </c>
      <c r="D22" s="306" t="str">
        <f>Currency&amp;"FUT"&amp;"3M"&amp;C22&amp;QuoteSuffix</f>
        <v>EURFUT3MZ7_Quote</v>
      </c>
      <c r="E22" s="306" t="str">
        <f>_xll.qlSimpleQuote(UPPER("B"&amp;$H$1&amp;"_FUT"&amp;C22),,,Permanent,Trigger,ObjectOverwrite)</f>
        <v>B3M_FUTZ7#0009</v>
      </c>
      <c r="F22" s="407">
        <f>_xll.qlSimpleQuoteSetValue(E22,K22,AllTriggers)</f>
        <v>0</v>
      </c>
      <c r="G22" s="419">
        <f>_xll.qlIMMdate(C22,SettlementDate,Trigger)</f>
        <v>43089</v>
      </c>
      <c r="H22" s="419">
        <f>_xll.qlInterestRateIndexMaturity(ON_6M_index,G22)</f>
        <v>43271</v>
      </c>
      <c r="I22" s="175">
        <f>1-_xll.qlQuoteValue(D22,AllTriggers)/100-_xll.qlQuoteValue(Currency&amp;"FUT"&amp;"3M"&amp;C22&amp;"ConvAdj_Quote")</f>
        <v>3.0750000000000499E-3</v>
      </c>
      <c r="J22" s="175">
        <f>_xll.qlIndexFixing(ON_3M_index,_xll.qlInterestRateIndexFixingDate(ON_6M_index,G22),,AllTriggers)</f>
        <v>1.4358480483585012E-3</v>
      </c>
      <c r="K22" s="321">
        <f t="shared" si="0"/>
        <v>1.6391519516415487E-3</v>
      </c>
      <c r="L22" s="175">
        <f>_xll.qlTenorBasisValue($P$3,G22,Trigger)</f>
        <v>1.6390834558708133E-3</v>
      </c>
      <c r="M22" s="235">
        <f t="shared" si="3"/>
        <v>6.8495770735432088E-4</v>
      </c>
      <c r="N22" s="117"/>
      <c r="Q22" s="116"/>
      <c r="R22" s="418">
        <f>_xll.qlCalendarAdvance(Calendar,R21,"1D","f")</f>
        <v>42165</v>
      </c>
      <c r="S22" s="166">
        <f>_xll.qlTenorBasisValue($P$3,R22,AllTriggers)</f>
        <v>1.0968663526893679E-3</v>
      </c>
      <c r="T22" s="154">
        <f>_xll.qlDayCounterYearFraction("actual/365 (fixed)",SettlementDate,R22,,,Trigger)</f>
        <v>7.3972602739726029E-2</v>
      </c>
      <c r="U22" s="166">
        <f>_xll.qlPolynomialFunctionValue($P$18,T22,AllTriggers)</f>
        <v>1.0139247923596831E-3</v>
      </c>
      <c r="W22" s="161">
        <v>1</v>
      </c>
      <c r="X22" s="161" t="s">
        <v>48</v>
      </c>
      <c r="Y22" s="381">
        <f>_xll.qlCalendarAdvance(Calendar,SettlementDate,W22&amp;"M","mf",TRUE,Trigger)</f>
        <v>42170</v>
      </c>
      <c r="Z22" s="382">
        <f>_xll.qlCalendarAdvance(Calendar,SettlementDate,X22,"mf",TRUE,Trigger)</f>
        <v>42261</v>
      </c>
      <c r="AA22" s="179">
        <f>_xll.qlTenorBasisForwardRate2(TenorBasis6M,Y22,Z22,AllTriggers)</f>
        <v>-1.1515095662929141E-4</v>
      </c>
    </row>
    <row r="23" spans="1:27" ht="11.25" customHeight="1" x14ac:dyDescent="0.2">
      <c r="G23" s="230"/>
      <c r="H23" s="230"/>
      <c r="I23" s="141"/>
      <c r="J23" s="141"/>
      <c r="K23" s="141"/>
      <c r="L23" s="117"/>
      <c r="M23" s="117"/>
      <c r="N23" s="117"/>
      <c r="Q23" s="116"/>
      <c r="R23" s="418">
        <f>_xll.qlCalendarAdvance(Calendar,R22,"1D","f")</f>
        <v>42166</v>
      </c>
      <c r="S23" s="166">
        <f>_xll.qlTenorBasisValue($P$3,R23,AllTriggers)</f>
        <v>1.098515726091381E-3</v>
      </c>
      <c r="T23" s="154">
        <f>_xll.qlDayCounterYearFraction("actual/365 (fixed)",SettlementDate,R23,,,Trigger)</f>
        <v>7.6712328767123292E-2</v>
      </c>
      <c r="U23" s="166">
        <f>_xll.qlPolynomialFunctionValue($P$18,T23,AllTriggers)</f>
        <v>1.0159633879285668E-3</v>
      </c>
      <c r="W23" s="167">
        <v>2</v>
      </c>
      <c r="X23" s="167" t="s">
        <v>49</v>
      </c>
      <c r="Y23" s="383">
        <f>_xll.qlCalendarAdvance(Calendar,SettlementDate,W23&amp;"M","mf",TRUE,Trigger)</f>
        <v>42199</v>
      </c>
      <c r="Z23" s="384">
        <f>_xll.qlCalendarAdvance(Calendar,SettlementDate,X23,"mf",TRUE,Trigger)</f>
        <v>42291</v>
      </c>
      <c r="AA23" s="166">
        <f>_xll.qlTenorBasisForwardRate2(TenorBasis6M,Y23,Z23,AllTriggers)</f>
        <v>-6.1435121651214246E-5</v>
      </c>
    </row>
    <row r="24" spans="1:27" ht="11.25" customHeight="1" x14ac:dyDescent="0.2">
      <c r="G24" s="230"/>
      <c r="H24" s="230"/>
      <c r="I24" s="141"/>
      <c r="J24" s="141"/>
      <c r="K24" s="141"/>
      <c r="Q24" s="116"/>
      <c r="R24" s="418">
        <f>_xll.qlCalendarAdvance(Calendar,R23,"1D","f")</f>
        <v>42167</v>
      </c>
      <c r="S24" s="166">
        <f>_xll.qlTenorBasisValue($P$3,R24,AllTriggers)</f>
        <v>1.1001570790275951E-3</v>
      </c>
      <c r="T24" s="154">
        <f>_xll.qlDayCounterYearFraction("actual/365 (fixed)",SettlementDate,R24,,,Trigger)</f>
        <v>7.9452054794520555E-2</v>
      </c>
      <c r="U24" s="166">
        <f>_xll.qlPolynomialFunctionValue($P$18,T24,AllTriggers)</f>
        <v>1.0179930134784363E-3</v>
      </c>
      <c r="W24" s="171">
        <v>3</v>
      </c>
      <c r="X24" s="171" t="s">
        <v>42</v>
      </c>
      <c r="Y24" s="387">
        <f>_xll.qlCalendarAdvance(Calendar,SettlementDate,W24&amp;"M","mf",TRUE,Trigger)</f>
        <v>42230</v>
      </c>
      <c r="Z24" s="388">
        <f>_xll.qlCalendarAdvance(Calendar,SettlementDate,X24,"mf",TRUE,Trigger)</f>
        <v>42324</v>
      </c>
      <c r="AA24" s="175">
        <f>_xll.qlTenorBasisForwardRate2(TenorBasis6M,Y24,Z24,AllTriggers)</f>
        <v>-3.9109763125491219E-5</v>
      </c>
    </row>
    <row r="25" spans="1:27" ht="11.25" customHeight="1" x14ac:dyDescent="0.2">
      <c r="G25" s="230"/>
      <c r="H25" s="230"/>
      <c r="I25" s="141"/>
      <c r="J25" s="141"/>
      <c r="K25" s="141"/>
      <c r="R25" s="418">
        <f>_xll.qlCalendarAdvance(Calendar,R24,"1D","f")</f>
        <v>42170</v>
      </c>
      <c r="S25" s="166">
        <f>_xll.qlTenorBasisValue($P$3,R25,AllTriggers)</f>
        <v>1.1050332174597916E-3</v>
      </c>
      <c r="T25" s="154">
        <f>_xll.qlDayCounterYearFraction("actual/365 (fixed)",SettlementDate,R25,,,Trigger)</f>
        <v>8.7671232876712329E-2</v>
      </c>
      <c r="U25" s="166">
        <f>_xll.qlPolynomialFunctionValue($P$18,T25,AllTriggers)</f>
        <v>1.0240282757542215E-3</v>
      </c>
      <c r="W25" s="167"/>
      <c r="X25" s="167" t="str">
        <f>C11</f>
        <v>K5</v>
      </c>
      <c r="Y25" s="383">
        <f>_xll.qlIMMdate(X25,SettlementDate,Trigger)</f>
        <v>42144</v>
      </c>
      <c r="Z25" s="383">
        <f>_xll.qlInterestRateIndexMaturity(ON_6M_index,Y25)</f>
        <v>42328</v>
      </c>
      <c r="AA25" s="166">
        <f>_xll.qlTenorBasisTenorForwardRate(TenorBasis6M,Y25,AllTriggers)</f>
        <v>-7.4937728201667332E-5</v>
      </c>
    </row>
    <row r="26" spans="1:27" ht="11.25" customHeight="1" x14ac:dyDescent="0.2">
      <c r="R26" s="418">
        <f>_xll.qlCalendarAdvance(Calendar,R25,"1D","f")</f>
        <v>42171</v>
      </c>
      <c r="S26" s="166">
        <f>_xll.qlTenorBasisValue($P$3,R26,AllTriggers)</f>
        <v>1.1066426909155447E-3</v>
      </c>
      <c r="T26" s="154">
        <f>_xll.qlDayCounterYearFraction("actual/365 (fixed)",SettlementDate,R26,,,Trigger)</f>
        <v>9.0410958904109592E-2</v>
      </c>
      <c r="U26" s="166">
        <f>_xll.qlPolynomialFunctionValue($P$18,T26,AllTriggers)</f>
        <v>1.0260222269326805E-3</v>
      </c>
      <c r="W26" s="167"/>
      <c r="X26" s="167" t="str">
        <f t="shared" ref="X26:X30" si="5">C12</f>
        <v>M5</v>
      </c>
      <c r="Y26" s="383">
        <f>_xll.qlIMMdate(X26,SettlementDate,Trigger)</f>
        <v>42172</v>
      </c>
      <c r="Z26" s="383">
        <f>_xll.qlInterestRateIndexMaturity(ON_6M_index,Y26)</f>
        <v>42355</v>
      </c>
      <c r="AA26" s="166">
        <f>_xll.qlTenorBasisTenorForwardRate(TenorBasis6M,Y26,AllTriggers)</f>
        <v>-1.0567171315976117E-4</v>
      </c>
    </row>
    <row r="27" spans="1:27" ht="11.25" customHeight="1" x14ac:dyDescent="0.2">
      <c r="R27" s="418">
        <f>_xll.qlCalendarAdvance(Calendar,R26,"1D","f")</f>
        <v>42172</v>
      </c>
      <c r="S27" s="166">
        <f>_xll.qlTenorBasisValue($P$3,R27,AllTriggers)</f>
        <v>1.1082442450612538E-3</v>
      </c>
      <c r="T27" s="154">
        <f>_xll.qlDayCounterYearFraction("actual/365 (fixed)",SettlementDate,R27,,,Trigger)</f>
        <v>9.3150684931506855E-2</v>
      </c>
      <c r="U27" s="166">
        <f>_xll.qlPolynomialFunctionValue($P$18,T27,AllTriggers)</f>
        <v>1.0280073109088345E-3</v>
      </c>
      <c r="W27" s="167"/>
      <c r="X27" s="167" t="str">
        <f t="shared" si="5"/>
        <v>U5</v>
      </c>
      <c r="Y27" s="383">
        <f>_xll.qlIMMdate(X27,SettlementDate,Trigger)</f>
        <v>42263</v>
      </c>
      <c r="Z27" s="383">
        <f>_xll.qlInterestRateIndexMaturity(ON_6M_index,Y27)</f>
        <v>42445</v>
      </c>
      <c r="AA27" s="166">
        <f>_xll.qlTenorBasisTenorForwardRate(TenorBasis6M,Y27,AllTriggers)</f>
        <v>-3.0628472673186607E-5</v>
      </c>
    </row>
    <row r="28" spans="1:27" ht="11.25" customHeight="1" x14ac:dyDescent="0.2">
      <c r="R28" s="418">
        <f>_xll.qlCalendarAdvance(Calendar,R27,"1D","f")</f>
        <v>42173</v>
      </c>
      <c r="S28" s="166">
        <f>_xll.qlTenorBasisValue($P$3,R28,AllTriggers)</f>
        <v>1.1098379001067019E-3</v>
      </c>
      <c r="T28" s="154">
        <f>_xll.qlDayCounterYearFraction("actual/365 (fixed)",SettlementDate,R28,,,Trigger)</f>
        <v>9.5890410958904104E-2</v>
      </c>
      <c r="U28" s="166">
        <f>_xll.qlPolynomialFunctionValue($P$18,T28,AllTriggers)</f>
        <v>1.0299835482246575E-3</v>
      </c>
      <c r="W28" s="167"/>
      <c r="X28" s="167" t="str">
        <f t="shared" si="5"/>
        <v>Z5</v>
      </c>
      <c r="Y28" s="383">
        <f>_xll.qlIMMdate(X28,SettlementDate,Trigger)</f>
        <v>42354</v>
      </c>
      <c r="Z28" s="383">
        <f>_xll.qlInterestRateIndexMaturity(ON_6M_index,Y28)</f>
        <v>42537</v>
      </c>
      <c r="AA28" s="166">
        <f>_xll.qlTenorBasisTenorForwardRate(TenorBasis6M,Y28,AllTriggers)</f>
        <v>-2.9275984654866371E-5</v>
      </c>
    </row>
    <row r="29" spans="1:27" ht="11.25" customHeight="1" x14ac:dyDescent="0.2">
      <c r="R29" s="418">
        <f>_xll.qlCalendarAdvance(Calendar,R28,"1D","f")</f>
        <v>42174</v>
      </c>
      <c r="S29" s="166">
        <f>_xll.qlTenorBasisValue($P$3,R29,AllTriggers)</f>
        <v>1.1114236762545492E-3</v>
      </c>
      <c r="T29" s="154">
        <f>_xll.qlDayCounterYearFraction("actual/365 (fixed)",SettlementDate,R29,,,Trigger)</f>
        <v>9.8630136986301367E-2</v>
      </c>
      <c r="U29" s="166">
        <f>_xll.qlPolynomialFunctionValue($P$18,T29,AllTriggers)</f>
        <v>1.0319509594150001E-3</v>
      </c>
      <c r="W29" s="167"/>
      <c r="X29" s="167" t="str">
        <f t="shared" si="5"/>
        <v>H6</v>
      </c>
      <c r="Y29" s="383">
        <f>_xll.qlIMMdate(X29,SettlementDate,Trigger)</f>
        <v>42445</v>
      </c>
      <c r="Z29" s="383">
        <f>_xll.qlInterestRateIndexMaturity(ON_6M_index,Y29)</f>
        <v>42629</v>
      </c>
      <c r="AA29" s="166">
        <f>_xll.qlTenorBasisTenorForwardRate(TenorBasis6M,Y29,AllTriggers)</f>
        <v>5.7053012976818239E-5</v>
      </c>
    </row>
    <row r="30" spans="1:27" ht="11.25" customHeight="1" x14ac:dyDescent="0.2">
      <c r="R30" s="418">
        <f>_xll.qlCalendarAdvance(Calendar,R29,"1D","f")</f>
        <v>42177</v>
      </c>
      <c r="S30" s="166">
        <f>_xll.qlTenorBasisValue($P$3,R30,AllTriggers)</f>
        <v>1.1161339332322537E-3</v>
      </c>
      <c r="T30" s="154">
        <f>_xll.qlDayCounterYearFraction("actual/365 (fixed)",SettlementDate,R30,,,Trigger)</f>
        <v>0.10684931506849316</v>
      </c>
      <c r="U30" s="166">
        <f>_xll.qlPolynomialFunctionValue($P$18,T30,AllTriggers)</f>
        <v>1.0378004414748215E-3</v>
      </c>
      <c r="W30" s="368"/>
      <c r="X30" s="368" t="str">
        <f t="shared" si="5"/>
        <v>M6</v>
      </c>
      <c r="Y30" s="391">
        <f>_xll.qlIMMdate(X30,SettlementDate,Trigger)</f>
        <v>42536</v>
      </c>
      <c r="Z30" s="391">
        <f>_xll.qlInterestRateIndexMaturity(ON_6M_index,Y30)</f>
        <v>42719</v>
      </c>
      <c r="AA30" s="365">
        <f>_xll.qlTenorBasisTenorForwardRate(TenorBasis6M,Y30,AllTriggers)</f>
        <v>2.3352876530334716E-4</v>
      </c>
    </row>
    <row r="31" spans="1:27" ht="11.25" customHeight="1" x14ac:dyDescent="0.2">
      <c r="R31" s="418">
        <f>_xll.qlCalendarAdvance(Calendar,R30,"1D","f")</f>
        <v>42178</v>
      </c>
      <c r="S31" s="166">
        <f>_xll.qlTenorBasisValue($P$3,R31,AllTriggers)</f>
        <v>1.1176883956738517E-3</v>
      </c>
      <c r="T31" s="154">
        <f>_xll.qlDayCounterYearFraction("actual/365 (fixed)",SettlementDate,R31,,,Trigger)</f>
        <v>0.1095890410958904</v>
      </c>
      <c r="U31" s="166">
        <f>_xll.qlPolynomialFunctionValue($P$18,T31,AllTriggers)</f>
        <v>1.0397327533693042E-3</v>
      </c>
    </row>
    <row r="32" spans="1:27" ht="11.25" customHeight="1" x14ac:dyDescent="0.2">
      <c r="R32" s="418">
        <f>_xll.qlCalendarAdvance(Calendar,R31,"1D","f")</f>
        <v>42179</v>
      </c>
      <c r="S32" s="166">
        <f>_xll.qlTenorBasisValue($P$3,R32,AllTriggers)</f>
        <v>1.1192350801243122E-3</v>
      </c>
      <c r="T32" s="154">
        <f>_xll.qlDayCounterYearFraction("actual/365 (fixed)",SettlementDate,R32,,,Trigger)</f>
        <v>0.11232876712328767</v>
      </c>
      <c r="U32" s="166">
        <f>_xll.qlPolynomialFunctionValue($P$18,T32,AllTriggers)</f>
        <v>1.041656341705724E-3</v>
      </c>
    </row>
    <row r="33" spans="7:21" ht="11.25" customHeight="1" x14ac:dyDescent="0.2">
      <c r="R33" s="418">
        <f>_xll.qlCalendarAdvance(Calendar,R32,"1D","f")</f>
        <v>42180</v>
      </c>
      <c r="S33" s="166">
        <f>_xll.qlTenorBasisValue($P$3,R33,AllTriggers)</f>
        <v>1.120774006743561E-3</v>
      </c>
      <c r="T33" s="154">
        <f>_xll.qlDayCounterYearFraction("actual/365 (fixed)",SettlementDate,R33,,,Trigger)</f>
        <v>0.11506849315068493</v>
      </c>
      <c r="U33" s="166">
        <f>_xll.qlPolynomialFunctionValue($P$18,T33,AllTriggers)</f>
        <v>1.0435712269761964E-3</v>
      </c>
    </row>
    <row r="34" spans="7:21" ht="11.25" customHeight="1" x14ac:dyDescent="0.2">
      <c r="R34" s="418">
        <f>_xll.qlCalendarAdvance(Calendar,R33,"1D","f")</f>
        <v>42181</v>
      </c>
      <c r="S34" s="166">
        <f>_xll.qlTenorBasisValue($P$3,R34,AllTriggers)</f>
        <v>1.1223051956843993E-3</v>
      </c>
      <c r="T34" s="154">
        <f>_xll.qlDayCounterYearFraction("actual/365 (fixed)",SettlementDate,R34,,,Trigger)</f>
        <v>0.11780821917808219</v>
      </c>
      <c r="U34" s="166">
        <f>_xll.qlPolynomialFunctionValue($P$18,T34,AllTriggers)</f>
        <v>1.0454774296657142E-3</v>
      </c>
    </row>
    <row r="35" spans="7:21" ht="11.25" customHeight="1" x14ac:dyDescent="0.2">
      <c r="R35" s="418">
        <f>_xll.qlCalendarAdvance(Calendar,R34,"1D","f")</f>
        <v>42184</v>
      </c>
      <c r="S35" s="166">
        <f>_xll.qlTenorBasisValue($P$3,R35,AllTriggers)</f>
        <v>1.126852537857638E-3</v>
      </c>
      <c r="T35" s="154">
        <f>_xll.qlDayCounterYearFraction("actual/365 (fixed)",SettlementDate,R35,,,Trigger)</f>
        <v>0.12602739726027398</v>
      </c>
      <c r="U35" s="166">
        <f>_xll.qlPolynomialFunctionValue($P$18,T35,AllTriggers)</f>
        <v>1.0511441469916308E-3</v>
      </c>
    </row>
    <row r="36" spans="7:21" ht="11.25" customHeight="1" x14ac:dyDescent="0.2">
      <c r="R36" s="418">
        <f>_xll.qlCalendarAdvance(Calendar,R35,"1D","f")</f>
        <v>42185</v>
      </c>
      <c r="S36" s="166">
        <f>_xll.qlTenorBasisValue($P$3,R36,AllTriggers)</f>
        <v>1.1283529774704067E-3</v>
      </c>
      <c r="T36" s="154">
        <f>_xll.qlDayCounterYearFraction("actual/365 (fixed)",SettlementDate,R36,,,Trigger)</f>
        <v>0.12876712328767123</v>
      </c>
      <c r="U36" s="166">
        <f>_xll.qlPolynomialFunctionValue($P$18,T36,AllTriggers)</f>
        <v>1.0530158240648077E-3</v>
      </c>
    </row>
    <row r="37" spans="7:21" ht="11.25" customHeight="1" x14ac:dyDescent="0.2">
      <c r="R37" s="418">
        <f>_xll.qlCalendarAdvance(Calendar,R36,"1D","f")</f>
        <v>42186</v>
      </c>
      <c r="S37" s="166">
        <f>_xll.qlTenorBasisValue($P$3,R37,AllTriggers)</f>
        <v>1.1298457800619373E-3</v>
      </c>
      <c r="T37" s="154">
        <f>_xll.qlDayCounterYearFraction("actual/365 (fixed)",SettlementDate,R37,,,Trigger)</f>
        <v>0.13150684931506848</v>
      </c>
      <c r="U37" s="166">
        <f>_xll.qlPolynomialFunctionValue($P$18,T37,AllTriggers)</f>
        <v>1.0548789208751554E-3</v>
      </c>
    </row>
    <row r="38" spans="7:21" ht="11.25" customHeight="1" x14ac:dyDescent="0.2">
      <c r="R38" s="418">
        <f>_xll.qlCalendarAdvance(Calendar,R37,"1D","f")</f>
        <v>42187</v>
      </c>
      <c r="S38" s="166">
        <f>_xll.qlTenorBasisValue($P$3,R38,AllTriggers)</f>
        <v>1.1313309657422965E-3</v>
      </c>
      <c r="T38" s="154">
        <f>_xll.qlDayCounterYearFraction("actual/365 (fixed)",SettlementDate,R38,,,Trigger)</f>
        <v>0.13424657534246576</v>
      </c>
      <c r="U38" s="166">
        <f>_xll.qlPolynomialFunctionValue($P$18,T38,AllTriggers)</f>
        <v>1.056733457864932E-3</v>
      </c>
    </row>
    <row r="39" spans="7:21" ht="11.25" customHeight="1" x14ac:dyDescent="0.2">
      <c r="R39" s="418">
        <f>_xll.qlCalendarAdvance(Calendar,R38,"1D","f")</f>
        <v>42188</v>
      </c>
      <c r="S39" s="166">
        <f>_xll.qlTenorBasisValue($P$3,R39,AllTriggers)</f>
        <v>1.1328085546144285E-3</v>
      </c>
      <c r="T39" s="154">
        <f>_xll.qlDayCounterYearFraction("actual/365 (fixed)",SettlementDate,R39,,,Trigger)</f>
        <v>0.13698630136986301</v>
      </c>
      <c r="U39" s="166">
        <f>_xll.qlPolynomialFunctionValue($P$18,T39,AllTriggers)</f>
        <v>1.0585794554692711E-3</v>
      </c>
    </row>
    <row r="40" spans="7:21" ht="11.25" customHeight="1" x14ac:dyDescent="0.2">
      <c r="R40" s="418">
        <f>_xll.qlCalendarAdvance(Calendar,R39,"1D","f")</f>
        <v>42191</v>
      </c>
      <c r="S40" s="166">
        <f>_xll.qlTenorBasisValue($P$3,R40,AllTriggers)</f>
        <v>1.1371959413040598E-3</v>
      </c>
      <c r="T40" s="154">
        <f>_xll.qlDayCounterYearFraction("actual/365 (fixed)",SettlementDate,R40,,,Trigger)</f>
        <v>0.14520547945205478</v>
      </c>
      <c r="U40" s="166">
        <f>_xll.qlPolynomialFunctionValue($P$18,T40,AllTriggers)</f>
        <v>1.0640664162141738E-3</v>
      </c>
    </row>
    <row r="41" spans="7:21" ht="11.25" customHeight="1" x14ac:dyDescent="0.2">
      <c r="R41" s="418">
        <f>_xll.qlCalendarAdvance(Calendar,R40,"1D","f")</f>
        <v>42192</v>
      </c>
      <c r="S41" s="166">
        <f>_xll.qlTenorBasisValue($P$3,R41,AllTriggers)</f>
        <v>1.1386433438302693E-3</v>
      </c>
      <c r="T41" s="154">
        <f>_xll.qlDayCounterYearFraction("actual/365 (fixed)",SettlementDate,R41,,,Trigger)</f>
        <v>0.14794520547945206</v>
      </c>
      <c r="U41" s="166">
        <f>_xll.qlPolynomialFunctionValue($P$18,T41,AllTriggers)</f>
        <v>1.0658784604856593E-3</v>
      </c>
    </row>
    <row r="42" spans="7:21" ht="11.25" customHeight="1" x14ac:dyDescent="0.2">
      <c r="R42" s="418">
        <f>_xll.qlCalendarAdvance(Calendar,R41,"1D","f")</f>
        <v>42193</v>
      </c>
      <c r="S42" s="166">
        <f>_xll.qlTenorBasisValue($P$3,R42,AllTriggers)</f>
        <v>1.1400832499561318E-3</v>
      </c>
      <c r="T42" s="154">
        <f>_xll.qlDayCounterYearFraction("actual/365 (fixed)",SettlementDate,R42,,,Trigger)</f>
        <v>0.15068493150684931</v>
      </c>
      <c r="U42" s="166">
        <f>_xll.qlPolynomialFunctionValue($P$18,T42,AllTriggers)</f>
        <v>1.0676820674405418E-3</v>
      </c>
    </row>
    <row r="43" spans="7:21" ht="11.25" customHeight="1" x14ac:dyDescent="0.2">
      <c r="G43" s="230"/>
      <c r="H43" s="230"/>
      <c r="I43" s="141"/>
      <c r="J43" s="141"/>
      <c r="K43" s="141"/>
      <c r="R43" s="418">
        <f>_xll.qlCalendarAdvance(Calendar,R42,"1D","f")</f>
        <v>42194</v>
      </c>
      <c r="S43" s="166">
        <f>_xll.qlTenorBasisValue($P$3,R43,AllTriggers)</f>
        <v>1.1415156797418562E-3</v>
      </c>
      <c r="T43" s="154">
        <f>_xll.qlDayCounterYearFraction("actual/365 (fixed)",SettlementDate,R43,,,Trigger)</f>
        <v>0.15342465753424658</v>
      </c>
      <c r="U43" s="166">
        <f>_xll.qlPolynomialFunctionValue($P$18,T43,AllTriggers)</f>
        <v>1.0694772574712202E-3</v>
      </c>
    </row>
    <row r="44" spans="7:21" ht="11.25" customHeight="1" x14ac:dyDescent="0.2">
      <c r="G44" s="230"/>
      <c r="H44" s="230"/>
      <c r="I44" s="141"/>
      <c r="J44" s="141"/>
      <c r="K44" s="141"/>
      <c r="R44" s="418">
        <f>_xll.qlCalendarAdvance(Calendar,R43,"1D","f")</f>
        <v>42195</v>
      </c>
      <c r="S44" s="166">
        <f>_xll.qlTenorBasisValue($P$3,R44,AllTriggers)</f>
        <v>1.1429406532405277E-3</v>
      </c>
      <c r="T44" s="154">
        <f>_xll.qlDayCounterYearFraction("actual/365 (fixed)",SettlementDate,R44,,,Trigger)</f>
        <v>0.15616438356164383</v>
      </c>
      <c r="U44" s="166">
        <f>_xll.qlPolynomialFunctionValue($P$18,T44,AllTriggers)</f>
        <v>1.0712640509629714E-3</v>
      </c>
    </row>
    <row r="45" spans="7:21" ht="11.25" customHeight="1" x14ac:dyDescent="0.2">
      <c r="G45" s="230"/>
      <c r="H45" s="230"/>
      <c r="I45" s="141"/>
      <c r="J45" s="141"/>
      <c r="K45" s="141"/>
      <c r="R45" s="418">
        <f>_xll.qlCalendarAdvance(Calendar,R44,"1D","f")</f>
        <v>42198</v>
      </c>
      <c r="S45" s="166">
        <f>_xll.qlTenorBasisValue($P$3,R45,AllTriggers)</f>
        <v>1.147171036438243E-3</v>
      </c>
      <c r="T45" s="154">
        <f>_xll.qlDayCounterYearFraction("actual/365 (fixed)",SettlementDate,R45,,,Trigger)</f>
        <v>0.16438356164383561</v>
      </c>
      <c r="U45" s="166">
        <f>_xll.qlPolynomialFunctionValue($P$18,T45,AllTriggers)</f>
        <v>1.0765742559505841E-3</v>
      </c>
    </row>
    <row r="46" spans="7:21" ht="11.25" customHeight="1" x14ac:dyDescent="0.2">
      <c r="G46" s="230"/>
      <c r="H46" s="230"/>
      <c r="I46" s="141"/>
      <c r="J46" s="141"/>
      <c r="K46" s="141"/>
      <c r="R46" s="418">
        <f>_xll.qlCalendarAdvance(Calendar,R45,"1D","f")</f>
        <v>42199</v>
      </c>
      <c r="S46" s="166">
        <f>_xll.qlTenorBasisValue($P$3,R46,AllTriggers)</f>
        <v>1.1485663851771078E-3</v>
      </c>
      <c r="T46" s="154">
        <f>_xll.qlDayCounterYearFraction("actual/365 (fixed)",SettlementDate,R46,,,Trigger)</f>
        <v>0.16712328767123288</v>
      </c>
      <c r="U46" s="166">
        <f>_xll.qlPolynomialFunctionValue($P$18,T46,AllTriggers)</f>
        <v>1.0783276669969367E-3</v>
      </c>
    </row>
    <row r="47" spans="7:21" ht="11.25" customHeight="1" x14ac:dyDescent="0.2">
      <c r="G47" s="230"/>
      <c r="H47" s="230"/>
      <c r="I47" s="141"/>
      <c r="J47" s="141"/>
      <c r="K47" s="141"/>
      <c r="R47" s="418">
        <f>_xll.qlCalendarAdvance(Calendar,R46,"1D","f")</f>
        <v>42200</v>
      </c>
      <c r="S47" s="166">
        <f>_xll.qlTenorBasisValue($P$3,R47,AllTriggers)</f>
        <v>1.1499543777875093E-3</v>
      </c>
      <c r="T47" s="154">
        <f>_xll.qlDayCounterYearFraction("actual/365 (fixed)",SettlementDate,R47,,,Trigger)</f>
        <v>0.16986301369863013</v>
      </c>
      <c r="U47" s="166">
        <f>_xll.qlPolynomialFunctionValue($P$18,T47,AllTriggers)</f>
        <v>1.0800727833239045E-3</v>
      </c>
    </row>
    <row r="48" spans="7:21" ht="11.25" customHeight="1" x14ac:dyDescent="0.2">
      <c r="G48" s="230"/>
      <c r="H48" s="230"/>
      <c r="I48" s="141"/>
      <c r="J48" s="141"/>
      <c r="K48" s="141"/>
      <c r="R48" s="418">
        <f>_xll.qlCalendarAdvance(Calendar,R47,"1D","f")</f>
        <v>42201</v>
      </c>
      <c r="S48" s="166">
        <f>_xll.qlTenorBasisValue($P$3,R48,AllTriggers)</f>
        <v>1.1513350342797967E-3</v>
      </c>
      <c r="T48" s="154">
        <f>_xll.qlDayCounterYearFraction("actual/365 (fixed)",SettlementDate,R48,,,Trigger)</f>
        <v>0.17260273972602741</v>
      </c>
      <c r="U48" s="166">
        <f>_xll.qlPolynomialFunctionValue($P$18,T48,AllTriggers)</f>
        <v>1.0818096252740283E-3</v>
      </c>
    </row>
    <row r="49" spans="7:21" ht="11.25" customHeight="1" x14ac:dyDescent="0.2">
      <c r="G49" s="230"/>
      <c r="H49" s="230"/>
      <c r="I49" s="141"/>
      <c r="J49" s="141"/>
      <c r="K49" s="141"/>
      <c r="R49" s="418">
        <f>_xll.qlCalendarAdvance(Calendar,R48,"1D","f")</f>
        <v>42202</v>
      </c>
      <c r="S49" s="166">
        <f>_xll.qlTenorBasisValue($P$3,R49,AllTriggers)</f>
        <v>1.1527083746571984E-3</v>
      </c>
      <c r="T49" s="154">
        <f>_xll.qlDayCounterYearFraction("actual/365 (fixed)",SettlementDate,R49,,,Trigger)</f>
        <v>0.17534246575342466</v>
      </c>
      <c r="U49" s="166">
        <f>_xll.qlPolynomialFunctionValue($P$18,T49,AllTriggers)</f>
        <v>1.083538213182726E-3</v>
      </c>
    </row>
    <row r="50" spans="7:21" ht="11.25" customHeight="1" x14ac:dyDescent="0.2">
      <c r="G50" s="230"/>
      <c r="H50" s="230"/>
      <c r="I50" s="141"/>
      <c r="J50" s="141"/>
      <c r="K50" s="141"/>
      <c r="R50" s="418">
        <f>_xll.qlCalendarAdvance(Calendar,R49,"1D","f")</f>
        <v>42205</v>
      </c>
      <c r="S50" s="166">
        <f>_xll.qlTenorBasisValue($P$3,R50,AllTriggers)</f>
        <v>1.1567846990255212E-3</v>
      </c>
      <c r="T50" s="154">
        <f>_xll.qlDayCounterYearFraction("actual/365 (fixed)",SettlementDate,R50,,,Trigger)</f>
        <v>0.18356164383561643</v>
      </c>
      <c r="U50" s="166">
        <f>_xll.qlPolynomialFunctionValue($P$18,T50,AllTriggers)</f>
        <v>1.0886746559076051E-3</v>
      </c>
    </row>
    <row r="51" spans="7:21" ht="11.25" customHeight="1" x14ac:dyDescent="0.2">
      <c r="G51" s="230"/>
      <c r="H51" s="230"/>
      <c r="I51" s="141"/>
      <c r="J51" s="141"/>
      <c r="K51" s="141"/>
      <c r="R51" s="418">
        <f>_xll.qlCalendarAdvance(Calendar,R50,"1D","f")</f>
        <v>42206</v>
      </c>
      <c r="S51" s="166">
        <f>_xll.qlTenorBasisValue($P$3,R51,AllTriggers)</f>
        <v>1.1581289748332005E-3</v>
      </c>
      <c r="T51" s="154">
        <f>_xll.qlDayCounterYearFraction("actual/365 (fixed)",SettlementDate,R51,,,Trigger)</f>
        <v>0.18630136986301371</v>
      </c>
      <c r="U51" s="166">
        <f>_xll.qlPolynomialFunctionValue($P$18,T51,AllTriggers)</f>
        <v>1.0903704308623278E-3</v>
      </c>
    </row>
    <row r="52" spans="7:21" ht="11.25" customHeight="1" x14ac:dyDescent="0.2">
      <c r="G52" s="230"/>
      <c r="H52" s="230"/>
      <c r="I52" s="141"/>
      <c r="J52" s="141"/>
      <c r="K52" s="141"/>
      <c r="R52" s="418">
        <f>_xll.qlCalendarAdvance(Calendar,R51,"1D","f")</f>
        <v>42207</v>
      </c>
      <c r="S52" s="166">
        <f>_xll.qlTenorBasisValue($P$3,R52,AllTriggers)</f>
        <v>1.1594660344352908E-3</v>
      </c>
      <c r="T52" s="154">
        <f>_xll.qlDayCounterYearFraction("actual/365 (fixed)",SettlementDate,R52,,,Trigger)</f>
        <v>0.18904109589041096</v>
      </c>
      <c r="U52" s="166">
        <f>_xll.qlPolynomialFunctionValue($P$18,T52,AllTriggers)</f>
        <v>1.0920580533458754E-3</v>
      </c>
    </row>
    <row r="53" spans="7:21" ht="11.25" customHeight="1" x14ac:dyDescent="0.2">
      <c r="G53" s="230"/>
      <c r="H53" s="230"/>
      <c r="I53" s="141"/>
      <c r="J53" s="141"/>
      <c r="K53" s="141"/>
      <c r="R53" s="418">
        <f>_xll.qlCalendarAdvance(Calendar,R52,"1D","f")</f>
        <v>42208</v>
      </c>
      <c r="S53" s="166">
        <f>_xll.qlTenorBasisValue($P$3,R53,AllTriggers)</f>
        <v>1.1607958977922848E-3</v>
      </c>
      <c r="T53" s="154">
        <f>_xll.qlDayCounterYearFraction("actual/365 (fixed)",SettlementDate,R53,,,Trigger)</f>
        <v>0.19178082191780821</v>
      </c>
      <c r="U53" s="166">
        <f>_xll.qlPolynomialFunctionValue($P$18,T53,AllTriggers)</f>
        <v>1.0937375436509309E-3</v>
      </c>
    </row>
    <row r="54" spans="7:21" x14ac:dyDescent="0.2">
      <c r="R54" s="418">
        <f>_xll.qlCalendarAdvance(Calendar,R53,"1D","f")</f>
        <v>42209</v>
      </c>
      <c r="S54" s="166">
        <f>_xll.qlTenorBasisValue($P$3,R54,AllTriggers)</f>
        <v>1.1621185848575512E-3</v>
      </c>
      <c r="T54" s="154">
        <f>_xll.qlDayCounterYearFraction("actual/365 (fixed)",SettlementDate,R54,,,Trigger)</f>
        <v>0.19452054794520549</v>
      </c>
      <c r="U54" s="166">
        <f>_xll.qlPolynomialFunctionValue($P$18,T54,AllTriggers)</f>
        <v>1.0954089220630544E-3</v>
      </c>
    </row>
    <row r="55" spans="7:21" x14ac:dyDescent="0.2">
      <c r="R55" s="418">
        <f>_xll.qlCalendarAdvance(Calendar,R54,"1D","f")</f>
        <v>42212</v>
      </c>
      <c r="S55" s="166">
        <f>_xll.qlTenorBasisValue($P$3,R55,AllTriggers)</f>
        <v>1.1660437877298378E-3</v>
      </c>
      <c r="T55" s="154">
        <f>_xll.qlDayCounterYearFraction("actual/365 (fixed)",SettlementDate,R55,,,Trigger)</f>
        <v>0.20273972602739726</v>
      </c>
      <c r="U55" s="166">
        <f>_xll.qlPolynomialFunctionValue($P$18,T55,AllTriggers)</f>
        <v>1.1003745886905886E-3</v>
      </c>
    </row>
    <row r="56" spans="7:21" x14ac:dyDescent="0.2">
      <c r="R56" s="418">
        <f>_xll.qlCalendarAdvance(Calendar,R55,"1D","f")</f>
        <v>42213</v>
      </c>
      <c r="S56" s="166">
        <f>_xll.qlTenorBasisValue($P$3,R56,AllTriggers)</f>
        <v>1.1673379690194331E-3</v>
      </c>
      <c r="T56" s="154">
        <f>_xll.qlDayCounterYearFraction("actual/365 (fixed)",SettlementDate,R56,,,Trigger)</f>
        <v>0.20547945205479451</v>
      </c>
      <c r="U56" s="166">
        <f>_xll.qlPolynomialFunctionValue($P$18,T56,AllTriggers)</f>
        <v>1.1020137222441278E-3</v>
      </c>
    </row>
    <row r="57" spans="7:21" x14ac:dyDescent="0.2">
      <c r="R57" s="418">
        <f>_xll.qlCalendarAdvance(Calendar,R56,"1D","f")</f>
        <v>42214</v>
      </c>
      <c r="S57" s="166">
        <f>_xll.qlTenorBasisValue($P$3,R57,AllTriggers)</f>
        <v>1.1686250736773075E-3</v>
      </c>
      <c r="T57" s="154">
        <f>_xll.qlDayCounterYearFraction("actual/365 (fixed)",SettlementDate,R57,,,Trigger)</f>
        <v>0.20821917808219179</v>
      </c>
      <c r="U57" s="166">
        <f>_xll.qlPolynomialFunctionValue($P$18,T57,AllTriggers)</f>
        <v>1.1036448452256948E-3</v>
      </c>
    </row>
    <row r="58" spans="7:21" x14ac:dyDescent="0.2">
      <c r="R58" s="418">
        <f>_xll.qlCalendarAdvance(Calendar,R57,"1D","f")</f>
        <v>42215</v>
      </c>
      <c r="S58" s="166">
        <f>_xll.qlTenorBasisValue($P$3,R58,AllTriggers)</f>
        <v>1.1699051216140944E-3</v>
      </c>
      <c r="T58" s="154">
        <f>_xll.qlDayCounterYearFraction("actual/365 (fixed)",SettlementDate,R58,,,Trigger)</f>
        <v>0.21095890410958903</v>
      </c>
      <c r="U58" s="166">
        <f>_xll.qlPolynomialFunctionValue($P$18,T58,AllTriggers)</f>
        <v>1.1052679778781132E-3</v>
      </c>
    </row>
    <row r="59" spans="7:21" x14ac:dyDescent="0.2">
      <c r="R59" s="418">
        <f>_xll.qlCalendarAdvance(Calendar,R58,"1D","f")</f>
        <v>42216</v>
      </c>
      <c r="S59" s="166">
        <f>_xll.qlTenorBasisValue($P$3,R59,AllTriggers)</f>
        <v>1.1711781327333047E-3</v>
      </c>
      <c r="T59" s="154">
        <f>_xll.qlDayCounterYearFraction("actual/365 (fixed)",SettlementDate,R59,,,Trigger)</f>
        <v>0.21369863013698631</v>
      </c>
      <c r="U59" s="166">
        <f>_xll.qlPolynomialFunctionValue($P$18,T59,AllTriggers)</f>
        <v>1.1068831404370853E-3</v>
      </c>
    </row>
    <row r="60" spans="7:21" x14ac:dyDescent="0.2">
      <c r="R60" s="418">
        <f>_xll.qlCalendarAdvance(Calendar,R59,"1D","f")</f>
        <v>42219</v>
      </c>
      <c r="S60" s="166">
        <f>_xll.qlTenorBasisValue($P$3,R60,AllTriggers)</f>
        <v>1.1749551441137436E-3</v>
      </c>
      <c r="T60" s="154">
        <f>_xll.qlDayCounterYearFraction("actual/365 (fixed)",SettlementDate,R60,,,Trigger)</f>
        <v>0.22191780821917809</v>
      </c>
      <c r="U60" s="166">
        <f>_xll.qlPolynomialFunctionValue($P$18,T60,AllTriggers)</f>
        <v>1.1116810098034953E-3</v>
      </c>
    </row>
    <row r="61" spans="7:21" x14ac:dyDescent="0.2">
      <c r="R61" s="418">
        <f>_xll.qlCalendarAdvance(Calendar,R60,"1D","f")</f>
        <v>42220</v>
      </c>
      <c r="S61" s="166">
        <f>_xll.qlTenorBasisValue($P$3,R61,AllTriggers)</f>
        <v>1.1762002068553027E-3</v>
      </c>
      <c r="T61" s="154">
        <f>_xll.qlDayCounterYearFraction("actual/365 (fixed)",SettlementDate,R61,,,Trigger)</f>
        <v>0.22465753424657534</v>
      </c>
      <c r="U61" s="166">
        <f>_xll.qlPolynomialFunctionValue($P$18,T61,AllTriggers)</f>
        <v>1.1132644942032429E-3</v>
      </c>
    </row>
    <row r="62" spans="7:21" x14ac:dyDescent="0.2">
      <c r="R62" s="418">
        <f>_xll.qlCalendarAdvance(Calendar,R61,"1D","f")</f>
        <v>42221</v>
      </c>
      <c r="S62" s="166">
        <f>_xll.qlTenorBasisValue($P$3,R62,AllTriggers)</f>
        <v>1.1774383321900002E-3</v>
      </c>
      <c r="T62" s="154">
        <f>_xll.qlDayCounterYearFraction("actual/365 (fixed)",SettlementDate,R62,,,Trigger)</f>
        <v>0.22739726027397261</v>
      </c>
      <c r="U62" s="166">
        <f>_xll.qlPolynomialFunctionValue($P$18,T62,AllTriggers)</f>
        <v>1.1148401095812117E-3</v>
      </c>
    </row>
    <row r="63" spans="7:21" x14ac:dyDescent="0.2">
      <c r="R63" s="418">
        <f>_xll.qlCalendarAdvance(Calendar,R62,"1D","f")</f>
        <v>42222</v>
      </c>
      <c r="S63" s="166">
        <f>_xll.qlTenorBasisValue($P$3,R63,AllTriggers)</f>
        <v>1.1786695399786111E-3</v>
      </c>
      <c r="T63" s="154">
        <f>_xll.qlDayCounterYearFraction("actual/365 (fixed)",SettlementDate,R63,,,Trigger)</f>
        <v>0.23013698630136986</v>
      </c>
      <c r="U63" s="166">
        <f>_xll.qlPolynomialFunctionValue($P$18,T63,AllTriggers)</f>
        <v>1.1164078761303686E-3</v>
      </c>
    </row>
    <row r="64" spans="7:21" x14ac:dyDescent="0.2">
      <c r="R64" s="418">
        <f>_xll.qlCalendarAdvance(Calendar,R63,"1D","f")</f>
        <v>42223</v>
      </c>
      <c r="S64" s="166">
        <f>_xll.qlTenorBasisValue($P$3,R64,AllTriggers)</f>
        <v>1.1798938500747877E-3</v>
      </c>
      <c r="T64" s="154">
        <f>_xll.qlDayCounterYearFraction("actual/365 (fixed)",SettlementDate,R64,,,Trigger)</f>
        <v>0.23287671232876711</v>
      </c>
      <c r="U64" s="166">
        <f>_xll.qlPolynomialFunctionValue($P$18,T64,AllTriggers)</f>
        <v>1.1179678140365561E-3</v>
      </c>
    </row>
    <row r="65" spans="18:21" x14ac:dyDescent="0.2">
      <c r="R65" s="418">
        <f>_xll.qlCalendarAdvance(Calendar,R64,"1D","f")</f>
        <v>42226</v>
      </c>
      <c r="S65" s="166">
        <f>_xll.qlTenorBasisValue($P$3,R65,AllTriggers)</f>
        <v>1.1835255926384005E-3</v>
      </c>
      <c r="T65" s="154">
        <f>_xll.qlDayCounterYearFraction("actual/365 (fixed)",SettlementDate,R65,,,Trigger)</f>
        <v>0.24109589041095891</v>
      </c>
      <c r="U65" s="166">
        <f>_xll.qlPolynomialFunctionValue($P$18,T65,AllTriggers)</f>
        <v>1.1226008576488964E-3</v>
      </c>
    </row>
    <row r="66" spans="18:21" x14ac:dyDescent="0.2">
      <c r="R66" s="418">
        <f>_xll.qlCalendarAdvance(Calendar,R65,"1D","f")</f>
        <v>42227</v>
      </c>
      <c r="S66" s="166">
        <f>_xll.qlTenorBasisValue($P$3,R66,AllTriggers)</f>
        <v>1.1847225103589144E-3</v>
      </c>
      <c r="T66" s="154">
        <f>_xll.qlDayCounterYearFraction("actual/365 (fixed)",SettlementDate,R66,,,Trigger)</f>
        <v>0.24383561643835616</v>
      </c>
      <c r="U66" s="166">
        <f>_xll.qlPolynomialFunctionValue($P$18,T66,AllTriggers)</f>
        <v>1.1241296826991873E-3</v>
      </c>
    </row>
    <row r="67" spans="18:21" x14ac:dyDescent="0.2">
      <c r="R67" s="418">
        <f>_xll.qlCalendarAdvance(Calendar,R66,"1D","f")</f>
        <v>42228</v>
      </c>
      <c r="S67" s="166">
        <f>_xll.qlTenorBasisValue($P$3,R67,AllTriggers)</f>
        <v>1.1859126295484181E-3</v>
      </c>
      <c r="T67" s="154">
        <f>_xll.qlDayCounterYearFraction("actual/365 (fixed)",SettlementDate,R67,,,Trigger)</f>
        <v>0.24657534246575341</v>
      </c>
      <c r="U67" s="166">
        <f>_xll.qlPolynomialFunctionValue($P$18,T67,AllTriggers)</f>
        <v>1.125650779928886E-3</v>
      </c>
    </row>
    <row r="68" spans="18:21" x14ac:dyDescent="0.2">
      <c r="R68" s="418">
        <f>_xll.qlCalendarAdvance(Calendar,R67,"1D","f")</f>
        <v>42229</v>
      </c>
      <c r="S68" s="166">
        <f>_xll.qlTenorBasisValue($P$3,R68,AllTriggers)</f>
        <v>1.187095970017828E-3</v>
      </c>
      <c r="T68" s="154">
        <f>_xll.qlDayCounterYearFraction("actual/365 (fixed)",SettlementDate,R68,,,Trigger)</f>
        <v>0.24931506849315069</v>
      </c>
      <c r="U68" s="166">
        <f>_xll.qlPolynomialFunctionValue($P$18,T68,AllTriggers)</f>
        <v>1.1271641694811001E-3</v>
      </c>
    </row>
    <row r="69" spans="18:21" x14ac:dyDescent="0.2">
      <c r="R69" s="419">
        <f>_xll.qlCalendarAdvance(Calendar,R68,"1D","f")</f>
        <v>42230</v>
      </c>
      <c r="S69" s="175">
        <f>_xll.qlTenorBasisValue($P$3,R69,AllTriggers)</f>
        <v>1.1882725515709386E-3</v>
      </c>
      <c r="T69" s="159">
        <f>_xll.qlDayCounterYearFraction("actual/365 (fixed)",SettlementDate,R69,,,Trigger)</f>
        <v>0.25205479452054796</v>
      </c>
      <c r="U69" s="175">
        <f>_xll.qlPolynomialFunctionValue($P$18,T69,AllTriggers)</f>
        <v>1.1286698714918146E-3</v>
      </c>
    </row>
    <row r="70" spans="18:21" x14ac:dyDescent="0.2">
      <c r="R70" s="418">
        <f>_xll.qlCalendarAdvance(Calendar,R69,"1D","f")</f>
        <v>42233</v>
      </c>
      <c r="S70" s="166">
        <f>_xll.qlTenorBasisValue($P$3,R70,AllTriggers)</f>
        <v>1.1917619406635784E-3</v>
      </c>
      <c r="T70" s="154">
        <f>_xll.qlDayCounterYearFraction("actual/365 (fixed)",SettlementDate,R70,,,Trigger)</f>
        <v>0.26027397260273971</v>
      </c>
      <c r="U70" s="166">
        <f>_xll.qlPolynomialFunctionValue($P$18,T70,AllTriggers)</f>
        <v>1.1331410535279712E-3</v>
      </c>
    </row>
    <row r="71" spans="18:21" x14ac:dyDescent="0.2">
      <c r="R71" s="418">
        <f>_xll.qlCalendarAdvance(Calendar,R70,"1D","f")</f>
        <v>42234</v>
      </c>
      <c r="S71" s="166">
        <f>_xll.qlTenorBasisValue($P$3,R71,AllTriggers)</f>
        <v>1.1929116844469824E-3</v>
      </c>
      <c r="T71" s="154">
        <f>_xll.qlDayCounterYearFraction("actual/365 (fixed)",SettlementDate,R71,,,Trigger)</f>
        <v>0.26301369863013696</v>
      </c>
      <c r="U71" s="166">
        <f>_xll.qlPolynomialFunctionValue($P$18,T71,AllTriggers)</f>
        <v>1.1346162065900851E-3</v>
      </c>
    </row>
    <row r="72" spans="18:21" x14ac:dyDescent="0.2">
      <c r="R72" s="418">
        <f>_xll.qlCalendarAdvance(Calendar,R71,"1D","f")</f>
        <v>42235</v>
      </c>
      <c r="S72" s="166">
        <f>_xll.qlTenorBasisValue($P$3,R72,AllTriggers)</f>
        <v>1.1940547682262193E-3</v>
      </c>
      <c r="T72" s="154">
        <f>_xll.qlDayCounterYearFraction("actual/365 (fixed)",SettlementDate,R72,,,Trigger)</f>
        <v>0.26575342465753427</v>
      </c>
      <c r="U72" s="166">
        <f>_xll.qlPolynomialFunctionValue($P$18,T72,AllTriggers)</f>
        <v>1.136083772683785E-3</v>
      </c>
    </row>
    <row r="73" spans="18:21" x14ac:dyDescent="0.2">
      <c r="R73" s="418">
        <f>_xll.qlCalendarAdvance(Calendar,R72,"1D","f")</f>
        <v>42236</v>
      </c>
      <c r="S73" s="166">
        <f>_xll.qlTenorBasisValue($P$3,R73,AllTriggers)</f>
        <v>1.1951912117623476E-3</v>
      </c>
      <c r="T73" s="154">
        <f>_xll.qlDayCounterYearFraction("actual/365 (fixed)",SettlementDate,R73,,,Trigger)</f>
        <v>0.26849315068493151</v>
      </c>
      <c r="U73" s="166">
        <f>_xll.qlPolynomialFunctionValue($P$18,T73,AllTriggers)</f>
        <v>1.13754377190232E-3</v>
      </c>
    </row>
    <row r="74" spans="18:21" x14ac:dyDescent="0.2">
      <c r="R74" s="418">
        <f>_xll.qlCalendarAdvance(Calendar,R73,"1D","f")</f>
        <v>42237</v>
      </c>
      <c r="S74" s="166">
        <f>_xll.qlTenorBasisValue($P$3,R74,AllTriggers)</f>
        <v>1.1963210348093036E-3</v>
      </c>
      <c r="T74" s="154">
        <f>_xll.qlDayCounterYearFraction("actual/365 (fixed)",SettlementDate,R74,,,Trigger)</f>
        <v>0.27123287671232876</v>
      </c>
      <c r="U74" s="166">
        <f>_xll.qlPolynomialFunctionValue($P$18,T74,AllTriggers)</f>
        <v>1.138996224331817E-3</v>
      </c>
    </row>
    <row r="75" spans="18:21" x14ac:dyDescent="0.2">
      <c r="R75" s="418">
        <f>_xll.qlCalendarAdvance(Calendar,R74,"1D","f")</f>
        <v>42240</v>
      </c>
      <c r="S75" s="166">
        <f>_xll.qlTenorBasisValue($P$3,R75,AllTriggers)</f>
        <v>1.199670978447657E-3</v>
      </c>
      <c r="T75" s="154">
        <f>_xll.qlDayCounterYearFraction("actual/365 (fixed)",SettlementDate,R75,,,Trigger)</f>
        <v>0.27945205479452057</v>
      </c>
      <c r="U75" s="166">
        <f>_xll.qlPolynomialFunctionValue($P$18,T75,AllTriggers)</f>
        <v>1.1433085016405089E-3</v>
      </c>
    </row>
    <row r="76" spans="18:21" x14ac:dyDescent="0.2">
      <c r="R76" s="418">
        <f>_xll.qlCalendarAdvance(Calendar,R75,"1D","f")</f>
        <v>42241</v>
      </c>
      <c r="S76" s="166">
        <f>_xll.qlTenorBasisValue($P$3,R76,AllTriggers)</f>
        <v>1.2007745169348306E-3</v>
      </c>
      <c r="T76" s="154">
        <f>_xll.qlDayCounterYearFraction("actual/365 (fixed)",SettlementDate,R76,,,Trigger)</f>
        <v>0.28219178082191781</v>
      </c>
      <c r="U76" s="166">
        <f>_xll.qlPolynomialFunctionValue($P$18,T76,AllTriggers)</f>
        <v>1.1447309676326691E-3</v>
      </c>
    </row>
    <row r="77" spans="18:21" x14ac:dyDescent="0.2">
      <c r="R77" s="418">
        <f>_xll.qlCalendarAdvance(Calendar,R76,"1D","f")</f>
        <v>42242</v>
      </c>
      <c r="S77" s="166">
        <f>_xll.qlTenorBasisValue($P$3,R77,AllTriggers)</f>
        <v>1.2018715335956724E-3</v>
      </c>
      <c r="T77" s="154">
        <f>_xll.qlDayCounterYearFraction("actual/365 (fixed)",SettlementDate,R77,,,Trigger)</f>
        <v>0.28493150684931506</v>
      </c>
      <c r="U77" s="166">
        <f>_xll.qlPolynomialFunctionValue($P$18,T77,AllTriggers)</f>
        <v>1.1461459871595857E-3</v>
      </c>
    </row>
    <row r="78" spans="18:21" x14ac:dyDescent="0.2">
      <c r="R78" s="418">
        <f>_xll.qlCalendarAdvance(Calendar,R77,"1D","f")</f>
        <v>42243</v>
      </c>
      <c r="S78" s="166">
        <f>_xll.qlTenorBasisValue($P$3,R78,AllTriggers)</f>
        <v>1.2029620481413825E-3</v>
      </c>
      <c r="T78" s="154">
        <f>_xll.qlDayCounterYearFraction("actual/365 (fixed)",SettlementDate,R78,,,Trigger)</f>
        <v>0.28767123287671231</v>
      </c>
      <c r="U78" s="166">
        <f>_xll.qlPolynomialFunctionValue($P$18,T78,AllTriggers)</f>
        <v>1.1475535802646494E-3</v>
      </c>
    </row>
    <row r="79" spans="18:21" x14ac:dyDescent="0.2">
      <c r="R79" s="418">
        <f>_xll.qlCalendarAdvance(Calendar,R78,"1D","f")</f>
        <v>42244</v>
      </c>
      <c r="S79" s="166">
        <f>_xll.qlTenorBasisValue($P$3,R79,AllTriggers)</f>
        <v>1.2040460802760394E-3</v>
      </c>
      <c r="T79" s="154">
        <f>_xll.qlDayCounterYearFraction("actual/365 (fixed)",SettlementDate,R79,,,Trigger)</f>
        <v>0.29041095890410956</v>
      </c>
      <c r="U79" s="166">
        <f>_xll.qlPolynomialFunctionValue($P$18,T79,AllTriggers)</f>
        <v>1.1489537669841291E-3</v>
      </c>
    </row>
    <row r="80" spans="18:21" x14ac:dyDescent="0.2">
      <c r="R80" s="418">
        <f>_xll.qlCalendarAdvance(Calendar,R79,"1D","f")</f>
        <v>42247</v>
      </c>
      <c r="S80" s="166">
        <f>_xll.qlTenorBasisValue($P$3,R80,AllTriggers)</f>
        <v>1.207259479147625E-3</v>
      </c>
      <c r="T80" s="154">
        <f>_xll.qlDayCounterYearFraction("actual/365 (fixed)",SettlementDate,R80,,,Trigger)</f>
        <v>0.29863013698630136</v>
      </c>
      <c r="U80" s="166">
        <f>_xll.qlPolynomialFunctionValue($P$18,T80,AllTriggers)</f>
        <v>1.1531100890849071E-3</v>
      </c>
    </row>
    <row r="81" spans="18:21" x14ac:dyDescent="0.2">
      <c r="R81" s="418">
        <f>_xll.qlCalendarAdvance(Calendar,R80,"1D","f")</f>
        <v>42248</v>
      </c>
      <c r="S81" s="166">
        <f>_xll.qlTenorBasisValue($P$3,R81,AllTriggers)</f>
        <v>1.208317778536392E-3</v>
      </c>
      <c r="T81" s="154">
        <f>_xll.qlDayCounterYearFraction("actual/365 (fixed)",SettlementDate,R81,,,Trigger)</f>
        <v>0.30136986301369861</v>
      </c>
      <c r="U81" s="166">
        <f>_xll.qlPolynomialFunctionValue($P$18,T81,AllTriggers)</f>
        <v>1.1544808504822817E-3</v>
      </c>
    </row>
    <row r="82" spans="18:21" x14ac:dyDescent="0.2">
      <c r="R82" s="418">
        <f>_xll.qlCalendarAdvance(Calendar,R81,"1D","f")</f>
        <v>42249</v>
      </c>
      <c r="S82" s="166">
        <f>_xll.qlTenorBasisValue($P$3,R82,AllTriggers)</f>
        <v>1.2093696939276543E-3</v>
      </c>
      <c r="T82" s="154">
        <f>_xll.qlDayCounterYearFraction("actual/365 (fixed)",SettlementDate,R82,,,Trigger)</f>
        <v>0.30410958904109592</v>
      </c>
      <c r="U82" s="166">
        <f>_xll.qlPolynomialFunctionValue($P$18,T82,AllTriggers)</f>
        <v>1.1558443055685751E-3</v>
      </c>
    </row>
    <row r="83" spans="18:21" x14ac:dyDescent="0.2">
      <c r="R83" s="418">
        <f>_xll.qlCalendarAdvance(Calendar,R82,"1D","f")</f>
        <v>42250</v>
      </c>
      <c r="S83" s="166">
        <f>_xll.qlTenorBasisValue($P$3,R83,AllTriggers)</f>
        <v>1.2104152449827542E-3</v>
      </c>
      <c r="T83" s="154">
        <f>_xll.qlDayCounterYearFraction("actual/365 (fixed)",SettlementDate,R83,,,Trigger)</f>
        <v>0.30684931506849317</v>
      </c>
      <c r="U83" s="166">
        <f>_xll.qlPolynomialFunctionValue($P$18,T83,AllTriggers)</f>
        <v>1.1572004743373194E-3</v>
      </c>
    </row>
    <row r="84" spans="18:21" x14ac:dyDescent="0.2">
      <c r="R84" s="418">
        <f>_xll.qlCalendarAdvance(Calendar,R83,"1D","f")</f>
        <v>42251</v>
      </c>
      <c r="S84" s="166">
        <f>_xll.qlTenorBasisValue($P$3,R84,AllTriggers)</f>
        <v>1.2114544513559112E-3</v>
      </c>
      <c r="T84" s="154">
        <f>_xll.qlDayCounterYearFraction("actual/365 (fixed)",SettlementDate,R84,,,Trigger)</f>
        <v>0.30958904109589042</v>
      </c>
      <c r="U84" s="166">
        <f>_xll.qlPolynomialFunctionValue($P$18,T84,AllTriggers)</f>
        <v>1.1585493767749251E-3</v>
      </c>
    </row>
    <row r="85" spans="18:21" x14ac:dyDescent="0.2">
      <c r="R85" s="418">
        <f>_xll.qlCalendarAdvance(Calendar,R84,"1D","f")</f>
        <v>42254</v>
      </c>
      <c r="S85" s="166">
        <f>_xll.qlTenorBasisValue($P$3,R85,AllTriggers)</f>
        <v>1.2145341988190801E-3</v>
      </c>
      <c r="T85" s="154">
        <f>_xll.qlDayCounterYearFraction("actual/365 (fixed)",SettlementDate,R85,,,Trigger)</f>
        <v>0.31780821917808222</v>
      </c>
      <c r="U85" s="166">
        <f>_xll.qlPolynomialFunctionValue($P$18,T85,AllTriggers)</f>
        <v>1.1625526858581735E-3</v>
      </c>
    </row>
    <row r="86" spans="18:21" x14ac:dyDescent="0.2">
      <c r="R86" s="418">
        <f>_xll.qlCalendarAdvance(Calendar,R85,"1D","f")</f>
        <v>42255</v>
      </c>
      <c r="S86" s="166">
        <f>_xll.qlTenorBasisValue($P$3,R86,AllTriggers)</f>
        <v>1.2155482228642079E-3</v>
      </c>
      <c r="T86" s="154">
        <f>_xll.qlDayCounterYearFraction("actual/365 (fixed)",SettlementDate,R86,,,Trigger)</f>
        <v>0.32054794520547947</v>
      </c>
      <c r="U86" s="166">
        <f>_xll.qlPolynomialFunctionValue($P$18,T86,AllTriggers)</f>
        <v>1.1638727226928743E-3</v>
      </c>
    </row>
    <row r="87" spans="18:21" x14ac:dyDescent="0.2">
      <c r="R87" s="418">
        <f>_xll.qlCalendarAdvance(Calendar,R86,"1D","f")</f>
        <v>42256</v>
      </c>
      <c r="S87" s="166">
        <f>_xll.qlTenorBasisValue($P$3,R87,AllTriggers)</f>
        <v>1.2165560003916506E-3</v>
      </c>
      <c r="T87" s="154">
        <f>_xll.qlDayCounterYearFraction("actual/365 (fixed)",SettlementDate,R87,,,Trigger)</f>
        <v>0.32328767123287672</v>
      </c>
      <c r="U87" s="166">
        <f>_xll.qlPolynomialFunctionValue($P$18,T87,AllTriggers)</f>
        <v>1.1651855930216479E-3</v>
      </c>
    </row>
    <row r="88" spans="18:21" x14ac:dyDescent="0.2">
      <c r="R88" s="418">
        <f>_xll.qlCalendarAdvance(Calendar,R87,"1D","f")</f>
        <v>42257</v>
      </c>
      <c r="S88" s="166">
        <f>_xll.qlTenorBasisValue($P$3,R88,AllTriggers)</f>
        <v>1.2175575510128918E-3</v>
      </c>
      <c r="T88" s="154">
        <f>_xll.qlDayCounterYearFraction("actual/365 (fixed)",SettlementDate,R88,,,Trigger)</f>
        <v>0.32602739726027397</v>
      </c>
      <c r="U88" s="166">
        <f>_xll.qlPolynomialFunctionValue($P$18,T88,AllTriggers)</f>
        <v>1.166491316788169E-3</v>
      </c>
    </row>
    <row r="89" spans="18:21" x14ac:dyDescent="0.2">
      <c r="R89" s="418">
        <f>_xll.qlCalendarAdvance(Calendar,R88,"1D","f")</f>
        <v>42258</v>
      </c>
      <c r="S89" s="166">
        <f>_xll.qlTenorBasisValue($P$3,R89,AllTriggers)</f>
        <v>1.2185528943322933E-3</v>
      </c>
      <c r="T89" s="154">
        <f>_xll.qlDayCounterYearFraction("actual/365 (fixed)",SettlementDate,R89,,,Trigger)</f>
        <v>0.32876712328767121</v>
      </c>
      <c r="U89" s="166">
        <f>_xll.qlPolynomialFunctionValue($P$18,T89,AllTriggers)</f>
        <v>1.1677899139289889E-3</v>
      </c>
    </row>
    <row r="90" spans="18:21" x14ac:dyDescent="0.2">
      <c r="R90" s="418">
        <f>_xll.qlCalendarAdvance(Calendar,R89,"1D","f")</f>
        <v>42261</v>
      </c>
      <c r="S90" s="166">
        <f>_xll.qlTenorBasisValue($P$3,R90,AllTriggers)</f>
        <v>1.2215018764162298E-3</v>
      </c>
      <c r="T90" s="154">
        <f>_xll.qlDayCounterYearFraction("actual/365 (fixed)",SettlementDate,R90,,,Trigger)</f>
        <v>0.33698630136986302</v>
      </c>
      <c r="U90" s="166">
        <f>_xll.qlPolynomialFunctionValue($P$18,T90,AllTriggers)</f>
        <v>1.1716431448559243E-3</v>
      </c>
    </row>
    <row r="91" spans="18:21" x14ac:dyDescent="0.2">
      <c r="R91" s="418">
        <f>_xll.qlCalendarAdvance(Calendar,R90,"1D","f")</f>
        <v>42262</v>
      </c>
      <c r="S91" s="166">
        <f>_xll.qlTenorBasisValue($P$3,R91,AllTriggers)</f>
        <v>1.2224725864294302E-3</v>
      </c>
      <c r="T91" s="154">
        <f>_xll.qlDayCounterYearFraction("actual/365 (fixed)",SettlementDate,R91,,,Trigger)</f>
        <v>0.33972602739726027</v>
      </c>
      <c r="U91" s="166">
        <f>_xll.qlPolynomialFunctionValue($P$18,T91,AllTriggers)</f>
        <v>1.1729134347170074E-3</v>
      </c>
    </row>
    <row r="92" spans="18:21" x14ac:dyDescent="0.2">
      <c r="R92" s="418">
        <f>_xll.qlCalendarAdvance(Calendar,R91,"1D","f")</f>
        <v>42263</v>
      </c>
      <c r="S92" s="166">
        <f>_xll.qlTenorBasisValue($P$3,R92,AllTriggers)</f>
        <v>1.2234371870557573E-3</v>
      </c>
      <c r="T92" s="154">
        <f>_xll.qlDayCounterYearFraction("actual/365 (fixed)",SettlementDate,R92,,,Trigger)</f>
        <v>0.34246575342465752</v>
      </c>
      <c r="U92" s="166">
        <f>_xll.qlPolynomialFunctionValue($P$18,T92,AllTriggers)</f>
        <v>1.1741766975283099E-3</v>
      </c>
    </row>
    <row r="93" spans="18:21" x14ac:dyDescent="0.2">
      <c r="R93" s="418">
        <f>_xll.qlCalendarAdvance(Calendar,R92,"1D","f")</f>
        <v>42264</v>
      </c>
      <c r="S93" s="166">
        <f>_xll.qlTenorBasisValue($P$3,R93,AllTriggers)</f>
        <v>1.2243956978568364E-3</v>
      </c>
      <c r="T93" s="154">
        <f>_xll.qlDayCounterYearFraction("actual/365 (fixed)",SettlementDate,R93,,,Trigger)</f>
        <v>0.34520547945205482</v>
      </c>
      <c r="U93" s="166">
        <f>_xll.qlPolynomialFunctionValue($P$18,T93,AllTriggers)</f>
        <v>1.175432953183648E-3</v>
      </c>
    </row>
    <row r="94" spans="18:21" x14ac:dyDescent="0.2">
      <c r="R94" s="418">
        <f>_xll.qlCalendarAdvance(Calendar,R93,"1D","f")</f>
        <v>42265</v>
      </c>
      <c r="S94" s="166">
        <f>_xll.qlTenorBasisValue($P$3,R94,AllTriggers)</f>
        <v>1.22534813838717E-3</v>
      </c>
      <c r="T94" s="154">
        <f>_xll.qlDayCounterYearFraction("actual/365 (fixed)",SettlementDate,R94,,,Trigger)</f>
        <v>0.34794520547945207</v>
      </c>
      <c r="U94" s="166">
        <f>_xll.qlPolynomialFunctionValue($P$18,T94,AllTriggers)</f>
        <v>1.1766822215697145E-3</v>
      </c>
    </row>
    <row r="95" spans="18:21" x14ac:dyDescent="0.2">
      <c r="R95" s="418">
        <f>_xll.qlCalendarAdvance(Calendar,R94,"1D","f")</f>
        <v>42268</v>
      </c>
      <c r="S95" s="166">
        <f>_xll.qlTenorBasisValue($P$3,R95,AllTriggers)</f>
        <v>1.2281692337918896E-3</v>
      </c>
      <c r="T95" s="154">
        <f>_xll.qlDayCounterYearFraction("actual/365 (fixed)",SettlementDate,R95,,,Trigger)</f>
        <v>0.35616438356164382</v>
      </c>
      <c r="U95" s="166">
        <f>_xll.qlPolynomialFunctionValue($P$18,T95,AllTriggers)</f>
        <v>1.1803883018723853E-3</v>
      </c>
    </row>
    <row r="96" spans="18:21" x14ac:dyDescent="0.2">
      <c r="R96" s="418">
        <f>_xll.qlCalendarAdvance(Calendar,R95,"1D","f")</f>
        <v>42269</v>
      </c>
      <c r="S96" s="166">
        <f>_xll.qlTenorBasisValue($P$3,R96,AllTriggers)</f>
        <v>1.2290975886418195E-3</v>
      </c>
      <c r="T96" s="154">
        <f>_xll.qlDayCounterYearFraction("actual/365 (fixed)",SettlementDate,R96,,,Trigger)</f>
        <v>0.35890410958904112</v>
      </c>
      <c r="U96" s="166">
        <f>_xll.qlPolynomialFunctionValue($P$18,T96,AllTriggers)</f>
        <v>1.1816098199058508E-3</v>
      </c>
    </row>
    <row r="97" spans="18:21" x14ac:dyDescent="0.2">
      <c r="R97" s="418">
        <f>_xll.qlCalendarAdvance(Calendar,R96,"1D","f")</f>
        <v>42270</v>
      </c>
      <c r="S97" s="166">
        <f>_xll.qlTenorBasisValue($P$3,R97,AllTriggers)</f>
        <v>1.2300199708866789E-3</v>
      </c>
      <c r="T97" s="154">
        <f>_xll.qlDayCounterYearFraction("actual/365 (fixed)",SettlementDate,R97,,,Trigger)</f>
        <v>0.36164383561643837</v>
      </c>
      <c r="U97" s="166">
        <f>_xll.qlPolynomialFunctionValue($P$18,T97,AllTriggers)</f>
        <v>1.1828244499966743E-3</v>
      </c>
    </row>
    <row r="98" spans="18:21" x14ac:dyDescent="0.2">
      <c r="R98" s="418">
        <f>_xll.qlCalendarAdvance(Calendar,R97,"1D","f")</f>
        <v>42271</v>
      </c>
      <c r="S98" s="166">
        <f>_xll.qlTenorBasisValue($P$3,R98,AllTriggers)</f>
        <v>1.2309364000382358E-3</v>
      </c>
      <c r="T98" s="154">
        <f>_xll.qlDayCounterYearFraction("actual/365 (fixed)",SettlementDate,R98,,,Trigger)</f>
        <v>0.36438356164383562</v>
      </c>
      <c r="U98" s="166">
        <f>_xll.qlPolynomialFunctionValue($P$18,T98,AllTriggers)</f>
        <v>1.1840322119888137E-3</v>
      </c>
    </row>
    <row r="99" spans="18:21" x14ac:dyDescent="0.2">
      <c r="R99" s="418">
        <f>_xll.qlCalendarAdvance(Calendar,R98,"1D","f")</f>
        <v>42272</v>
      </c>
      <c r="S99" s="166">
        <f>_xll.qlTenorBasisValue($P$3,R99,AllTriggers)</f>
        <v>1.231846895601134E-3</v>
      </c>
      <c r="T99" s="154">
        <f>_xll.qlDayCounterYearFraction("actual/365 (fixed)",SettlementDate,R99,,,Trigger)</f>
        <v>0.36712328767123287</v>
      </c>
      <c r="U99" s="166">
        <f>_xll.qlPolynomialFunctionValue($P$18,T99,AllTriggers)</f>
        <v>1.1852331257191037E-3</v>
      </c>
    </row>
    <row r="100" spans="18:21" x14ac:dyDescent="0.2">
      <c r="R100" s="418">
        <f>_xll.qlCalendarAdvance(Calendar,R99,"1D","f")</f>
        <v>42275</v>
      </c>
      <c r="S100" s="166">
        <f>_xll.qlTenorBasisValue($P$3,R100,AllTriggers)</f>
        <v>1.2345429756974861E-3</v>
      </c>
      <c r="T100" s="154">
        <f>_xll.qlDayCounterYearFraction("actual/365 (fixed)",SettlementDate,R100,,,Trigger)</f>
        <v>0.37534246575342467</v>
      </c>
      <c r="U100" s="166">
        <f>_xll.qlPolynomialFunctionValue($P$18,T100,AllTriggers)</f>
        <v>1.1887949756003908E-3</v>
      </c>
    </row>
    <row r="101" spans="18:21" x14ac:dyDescent="0.2">
      <c r="R101" s="418">
        <f>_xll.qlCalendarAdvance(Calendar,R100,"1D","f")</f>
        <v>42276</v>
      </c>
      <c r="S101" s="166">
        <f>_xll.qlTenorBasisValue($P$3,R101,AllTriggers)</f>
        <v>1.2354299318097449E-3</v>
      </c>
      <c r="T101" s="154">
        <f>_xll.qlDayCounterYearFraction("actual/365 (fixed)",SettlementDate,R101,,,Trigger)</f>
        <v>0.37808219178082192</v>
      </c>
      <c r="U101" s="166">
        <f>_xll.qlPolynomialFunctionValue($P$18,T101,AllTriggers)</f>
        <v>1.1899686945091843E-3</v>
      </c>
    </row>
    <row r="102" spans="18:21" x14ac:dyDescent="0.2">
      <c r="R102" s="418">
        <f>_xll.qlCalendarAdvance(Calendar,R101,"1D","f")</f>
        <v>42277</v>
      </c>
      <c r="S102" s="166">
        <f>_xll.qlTenorBasisValue($P$3,R102,AllTriggers)</f>
        <v>1.2363110517497292E-3</v>
      </c>
      <c r="T102" s="154">
        <f>_xll.qlDayCounterYearFraction("actual/365 (fixed)",SettlementDate,R102,,,Trigger)</f>
        <v>0.38082191780821917</v>
      </c>
      <c r="U102" s="166">
        <f>_xll.qlPolynomialFunctionValue($P$18,T102,AllTriggers)</f>
        <v>1.1911356642334652E-3</v>
      </c>
    </row>
    <row r="103" spans="18:21" x14ac:dyDescent="0.2">
      <c r="R103" s="418">
        <f>_xll.qlCalendarAdvance(Calendar,R102,"1D","f")</f>
        <v>42278</v>
      </c>
      <c r="S103" s="166">
        <f>_xll.qlTenorBasisValue($P$3,R103,AllTriggers)</f>
        <v>1.2371863549793477E-3</v>
      </c>
      <c r="T103" s="154">
        <f>_xll.qlDayCounterYearFraction("actual/365 (fixed)",SettlementDate,R103,,,Trigger)</f>
        <v>0.38356164383561642</v>
      </c>
      <c r="U103" s="166">
        <f>_xll.qlPolynomialFunctionValue($P$18,T103,AllTriggers)</f>
        <v>1.1922959045673339E-3</v>
      </c>
    </row>
    <row r="104" spans="18:21" x14ac:dyDescent="0.2">
      <c r="R104" s="418">
        <f>_xll.qlCalendarAdvance(Calendar,R103,"1D","f")</f>
        <v>42279</v>
      </c>
      <c r="S104" s="166">
        <f>_xll.qlTenorBasisValue($P$3,R104,AllTriggers)</f>
        <v>1.2380558609533872E-3</v>
      </c>
      <c r="T104" s="154">
        <f>_xll.qlDayCounterYearFraction("actual/365 (fixed)",SettlementDate,R104,,,Trigger)</f>
        <v>0.38630136986301372</v>
      </c>
      <c r="U104" s="166">
        <f>_xll.qlPolynomialFunctionValue($P$18,T104,AllTriggers)</f>
        <v>1.1934494352977673E-3</v>
      </c>
    </row>
    <row r="105" spans="18:21" x14ac:dyDescent="0.2">
      <c r="R105" s="418">
        <f>_xll.qlCalendarAdvance(Calendar,R104,"1D","f")</f>
        <v>42282</v>
      </c>
      <c r="S105" s="166">
        <f>_xll.qlTenorBasisValue($P$3,R105,AllTriggers)</f>
        <v>1.2406297897830532E-3</v>
      </c>
      <c r="T105" s="154">
        <f>_xll.qlDayCounterYearFraction("actual/365 (fixed)",SettlementDate,R105,,,Trigger)</f>
        <v>0.39452054794520547</v>
      </c>
      <c r="U105" s="166">
        <f>_xll.qlPolynomialFunctionValue($P$18,T105,AllTriggers)</f>
        <v>1.1968699676313855E-3</v>
      </c>
    </row>
    <row r="106" spans="18:21" x14ac:dyDescent="0.2">
      <c r="R106" s="418">
        <f>_xll.qlCalendarAdvance(Calendar,R105,"1D","f")</f>
        <v>42283</v>
      </c>
      <c r="S106" s="166">
        <f>_xll.qlTenorBasisValue($P$3,R106,AllTriggers)</f>
        <v>1.241476301140186E-3</v>
      </c>
      <c r="T106" s="154">
        <f>_xll.qlDayCounterYearFraction("actual/365 (fixed)",SettlementDate,R106,,,Trigger)</f>
        <v>0.39726027397260272</v>
      </c>
      <c r="U106" s="166">
        <f>_xll.qlPolynomialFunctionValue($P$18,T106,AllTriggers)</f>
        <v>1.1979968576753947E-3</v>
      </c>
    </row>
    <row r="107" spans="18:21" x14ac:dyDescent="0.2">
      <c r="R107" s="418">
        <f>_xll.qlCalendarAdvance(Calendar,R106,"1D","f")</f>
        <v>42284</v>
      </c>
      <c r="S107" s="166">
        <f>_xll.qlTenorBasisValue($P$3,R107,AllTriggers)</f>
        <v>1.2423171124088313E-3</v>
      </c>
      <c r="T107" s="154">
        <f>_xll.qlDayCounterYearFraction("actual/365 (fixed)",SettlementDate,R107,,,Trigger)</f>
        <v>0.4</v>
      </c>
      <c r="U107" s="166">
        <f>_xll.qlPolynomialFunctionValue($P$18,T107,AllTriggers)</f>
        <v>1.1991171369440143E-3</v>
      </c>
    </row>
    <row r="108" spans="18:21" x14ac:dyDescent="0.2">
      <c r="R108" s="418">
        <f>_xll.qlCalendarAdvance(Calendar,R107,"1D","f")</f>
        <v>42285</v>
      </c>
      <c r="S108" s="166">
        <f>_xll.qlTenorBasisValue($P$3,R108,AllTriggers)</f>
        <v>1.2431522430010407E-3</v>
      </c>
      <c r="T108" s="154">
        <f>_xll.qlDayCounterYearFraction("actual/365 (fixed)",SettlementDate,R108,,,Trigger)</f>
        <v>0.40273972602739727</v>
      </c>
      <c r="U108" s="166">
        <f>_xll.qlPolynomialFunctionValue($P$18,T108,AllTriggers)</f>
        <v>1.2002308251814855E-3</v>
      </c>
    </row>
    <row r="109" spans="18:21" x14ac:dyDescent="0.2">
      <c r="R109" s="418">
        <f>_xll.qlCalendarAdvance(Calendar,R108,"1D","f")</f>
        <v>42286</v>
      </c>
      <c r="S109" s="166">
        <f>_xll.qlTenorBasisValue($P$3,R109,AllTriggers)</f>
        <v>1.2439817123217416E-3</v>
      </c>
      <c r="T109" s="154">
        <f>_xll.qlDayCounterYearFraction("actual/365 (fixed)",SettlementDate,R109,,,Trigger)</f>
        <v>0.40547945205479452</v>
      </c>
      <c r="U109" s="166">
        <f>_xll.qlPolynomialFunctionValue($P$18,T109,AllTriggers)</f>
        <v>1.2013379421249271E-3</v>
      </c>
    </row>
    <row r="110" spans="18:21" x14ac:dyDescent="0.2">
      <c r="R110" s="418">
        <f>_xll.qlCalendarAdvance(Calendar,R109,"1D","f")</f>
        <v>42289</v>
      </c>
      <c r="S110" s="166">
        <f>_xll.qlTenorBasisValue($P$3,R110,AllTriggers)</f>
        <v>1.2464363465972347E-3</v>
      </c>
      <c r="T110" s="154">
        <f>_xll.qlDayCounterYearFraction("actual/365 (fixed)",SettlementDate,R110,,,Trigger)</f>
        <v>0.41369863013698632</v>
      </c>
      <c r="U110" s="166">
        <f>_xll.qlPolynomialFunctionValue($P$18,T110,AllTriggers)</f>
        <v>1.2046200624554221E-3</v>
      </c>
    </row>
    <row r="111" spans="18:21" x14ac:dyDescent="0.2">
      <c r="R111" s="418">
        <f>_xll.qlCalendarAdvance(Calendar,R110,"1D","f")</f>
        <v>42290</v>
      </c>
      <c r="S111" s="166">
        <f>_xll.qlTenorBasisValue($P$3,R111,AllTriggers)</f>
        <v>1.24724336473873E-3</v>
      </c>
      <c r="T111" s="154">
        <f>_xll.qlDayCounterYearFraction("actual/365 (fixed)",SettlementDate,R111,,,Trigger)</f>
        <v>0.41643835616438357</v>
      </c>
      <c r="U111" s="166">
        <f>_xll.qlPolynomialFunctionValue($P$18,T111,AllTriggers)</f>
        <v>1.2057010914514803E-3</v>
      </c>
    </row>
    <row r="112" spans="18:21" x14ac:dyDescent="0.2">
      <c r="R112" s="418">
        <f>_xll.qlCalendarAdvance(Calendar,R111,"1D","f")</f>
        <v>42291</v>
      </c>
      <c r="S112" s="166">
        <f>_xll.qlTenorBasisValue($P$3,R112,AllTriggers)</f>
        <v>1.2480448185265176E-3</v>
      </c>
      <c r="T112" s="154">
        <f>_xll.qlDayCounterYearFraction("actual/365 (fixed)",SettlementDate,R112,,,Trigger)</f>
        <v>0.41917808219178082</v>
      </c>
      <c r="U112" s="166">
        <f>_xll.qlPolynomialFunctionValue($P$18,T112,AllTriggers)</f>
        <v>1.206775647732263E-3</v>
      </c>
    </row>
    <row r="113" spans="18:21" x14ac:dyDescent="0.2">
      <c r="R113" s="418">
        <f>_xll.qlCalendarAdvance(Calendar,R112,"1D","f")</f>
        <v>42292</v>
      </c>
      <c r="S113" s="166">
        <f>_xll.qlTenorBasisValue($P$3,R113,AllTriggers)</f>
        <v>1.2488407273227901E-3</v>
      </c>
      <c r="T113" s="154">
        <f>_xll.qlDayCounterYearFraction("actual/365 (fixed)",SettlementDate,R113,,,Trigger)</f>
        <v>0.42191780821917807</v>
      </c>
      <c r="U113" s="166">
        <f>_xll.qlPolynomialFunctionValue($P$18,T113,AllTriggers)</f>
        <v>1.2078437509921538E-3</v>
      </c>
    </row>
    <row r="114" spans="18:21" x14ac:dyDescent="0.2">
      <c r="R114" s="418">
        <f>_xll.qlCalendarAdvance(Calendar,R113,"1D","f")</f>
        <v>42293</v>
      </c>
      <c r="S114" s="166">
        <f>_xll.qlTenorBasisValue($P$3,R114,AllTriggers)</f>
        <v>1.2496311104826172E-3</v>
      </c>
      <c r="T114" s="154">
        <f>_xll.qlDayCounterYearFraction("actual/365 (fixed)",SettlementDate,R114,,,Trigger)</f>
        <v>0.42465753424657532</v>
      </c>
      <c r="U114" s="166">
        <f>_xll.qlPolynomialFunctionValue($P$18,T114,AllTriggers)</f>
        <v>1.2089054209184125E-3</v>
      </c>
    </row>
    <row r="115" spans="18:21" x14ac:dyDescent="0.2">
      <c r="R115" s="418">
        <f>_xll.qlCalendarAdvance(Calendar,R114,"1D","f")</f>
        <v>42296</v>
      </c>
      <c r="S115" s="166">
        <f>_xll.qlTenorBasisValue($P$3,R115,AllTriggers)</f>
        <v>1.2519692995872839E-3</v>
      </c>
      <c r="T115" s="154">
        <f>_xll.qlDayCounterYearFraction("actual/365 (fixed)",SettlementDate,R115,,,Trigger)</f>
        <v>0.43287671232876712</v>
      </c>
      <c r="U115" s="166">
        <f>_xll.qlPolynomialFunctionValue($P$18,T115,AllTriggers)</f>
        <v>1.2120520274611639E-3</v>
      </c>
    </row>
    <row r="116" spans="18:21" x14ac:dyDescent="0.2">
      <c r="R116" s="418">
        <f>_xll.qlCalendarAdvance(Calendar,R115,"1D","f")</f>
        <v>42297</v>
      </c>
      <c r="S116" s="166">
        <f>_xll.qlTenorBasisValue($P$3,R116,AllTriggers)</f>
        <v>1.2527377736095745E-3</v>
      </c>
      <c r="T116" s="154">
        <f>_xll.qlDayCounterYearFraction("actual/365 (fixed)",SettlementDate,R116,,,Trigger)</f>
        <v>0.43561643835616437</v>
      </c>
      <c r="U116" s="166">
        <f>_xll.qlPolynomialFunctionValue($P$18,T116,AllTriggers)</f>
        <v>1.2130881607830474E-3</v>
      </c>
    </row>
    <row r="117" spans="18:21" x14ac:dyDescent="0.2">
      <c r="R117" s="418">
        <f>_xll.qlCalendarAdvance(Calendar,R116,"1D","f")</f>
        <v>42298</v>
      </c>
      <c r="S117" s="166">
        <f>_xll.qlTenorBasisValue($P$3,R117,AllTriggers)</f>
        <v>1.253500818663929E-3</v>
      </c>
      <c r="T117" s="154">
        <f>_xll.qlDayCounterYearFraction("actual/365 (fixed)",SettlementDate,R117,,,Trigger)</f>
        <v>0.43835616438356162</v>
      </c>
      <c r="U117" s="166">
        <f>_xll.qlPolynomialFunctionValue($P$18,T117,AllTriggers)</f>
        <v>1.2141179591007626E-3</v>
      </c>
    </row>
    <row r="118" spans="18:21" x14ac:dyDescent="0.2">
      <c r="R118" s="418">
        <f>_xll.qlCalendarAdvance(Calendar,R117,"1D","f")</f>
        <v>42299</v>
      </c>
      <c r="S118" s="166">
        <f>_xll.qlTenorBasisValue($P$3,R118,AllTriggers)</f>
        <v>1.2542584540626816E-3</v>
      </c>
      <c r="T118" s="154">
        <f>_xll.qlDayCounterYearFraction("actual/365 (fixed)",SettlementDate,R118,,,Trigger)</f>
        <v>0.44109589041095892</v>
      </c>
      <c r="U118" s="166">
        <f>_xll.qlPolynomialFunctionValue($P$18,T118,AllTriggers)</f>
        <v>1.2151414420588336E-3</v>
      </c>
    </row>
    <row r="119" spans="18:21" x14ac:dyDescent="0.2">
      <c r="R119" s="418">
        <f>_xll.qlCalendarAdvance(Calendar,R118,"1D","f")</f>
        <v>42300</v>
      </c>
      <c r="S119" s="166">
        <f>_xll.qlTenorBasisValue($P$3,R119,AllTriggers)</f>
        <v>1.2550106991110438E-3</v>
      </c>
      <c r="T119" s="154">
        <f>_xll.qlDayCounterYearFraction("actual/365 (fixed)",SettlementDate,R119,,,Trigger)</f>
        <v>0.44383561643835617</v>
      </c>
      <c r="U119" s="166">
        <f>_xll.qlPolynomialFunctionValue($P$18,T119,AllTriggers)</f>
        <v>1.216158629294663E-3</v>
      </c>
    </row>
    <row r="120" spans="18:21" x14ac:dyDescent="0.2">
      <c r="R120" s="418">
        <f>_xll.qlCalendarAdvance(Calendar,R119,"1D","f")</f>
        <v>42303</v>
      </c>
      <c r="S120" s="166">
        <f>_xll.qlTenorBasisValue($P$3,R120,AllTriggers)</f>
        <v>1.2572352850990635E-3</v>
      </c>
      <c r="T120" s="154">
        <f>_xll.qlDayCounterYearFraction("actual/365 (fixed)",SettlementDate,R120,,,Trigger)</f>
        <v>0.45205479452054792</v>
      </c>
      <c r="U120" s="166">
        <f>_xll.qlPolynomialFunctionValue($P$18,T120,AllTriggers)</f>
        <v>1.2191726129358814E-3</v>
      </c>
    </row>
    <row r="121" spans="18:21" x14ac:dyDescent="0.2">
      <c r="R121" s="418">
        <f>_xll.qlCalendarAdvance(Calendar,R120,"1D","f")</f>
        <v>42304</v>
      </c>
      <c r="S121" s="166">
        <f>_xll.qlTenorBasisValue($P$3,R121,AllTriggers)</f>
        <v>1.2579661616555261E-3</v>
      </c>
      <c r="T121" s="154">
        <f>_xll.qlDayCounterYearFraction("actual/365 (fixed)",SettlementDate,R121,,,Trigger)</f>
        <v>0.45479452054794522</v>
      </c>
      <c r="U121" s="166">
        <f>_xll.qlPolynomialFunctionValue($P$18,T121,AllTriggers)</f>
        <v>1.2201648135143123E-3</v>
      </c>
    </row>
    <row r="122" spans="18:21" x14ac:dyDescent="0.2">
      <c r="R122" s="418">
        <f>_xll.qlCalendarAdvance(Calendar,R121,"1D","f")</f>
        <v>42305</v>
      </c>
      <c r="S122" s="166">
        <f>_xll.qlTenorBasisValue($P$3,R122,AllTriggers)</f>
        <v>1.2586917442808166E-3</v>
      </c>
      <c r="T122" s="154">
        <f>_xll.qlDayCounterYearFraction("actual/365 (fixed)",SettlementDate,R122,,,Trigger)</f>
        <v>0.45753424657534247</v>
      </c>
      <c r="U122" s="166">
        <f>_xll.qlPolynomialFunctionValue($P$18,T122,AllTriggers)</f>
        <v>1.221150816450673E-3</v>
      </c>
    </row>
    <row r="123" spans="18:21" x14ac:dyDescent="0.2">
      <c r="R123" s="418">
        <f>_xll.qlCalendarAdvance(Calendar,R122,"1D","f")</f>
        <v>42306</v>
      </c>
      <c r="S123" s="166">
        <f>_xll.qlTenorBasisValue($P$3,R123,AllTriggers)</f>
        <v>1.2594120522374103E-3</v>
      </c>
      <c r="T123" s="154">
        <f>_xll.qlDayCounterYearFraction("actual/365 (fixed)",SettlementDate,R123,,,Trigger)</f>
        <v>0.46027397260273972</v>
      </c>
      <c r="U123" s="166">
        <f>_xll.qlPolynomialFunctionValue($P$18,T123,AllTriggers)</f>
        <v>1.2221306413396295E-3</v>
      </c>
    </row>
    <row r="124" spans="18:21" x14ac:dyDescent="0.2">
      <c r="R124" s="418">
        <f>_xll.qlCalendarAdvance(Calendar,R123,"1D","f")</f>
        <v>42307</v>
      </c>
      <c r="S124" s="166">
        <f>_xll.qlTenorBasisValue($P$3,R124,AllTriggers)</f>
        <v>1.2601271047806607E-3</v>
      </c>
      <c r="T124" s="154">
        <f>_xll.qlDayCounterYearFraction("actual/365 (fixed)",SettlementDate,R124,,,Trigger)</f>
        <v>0.46301369863013697</v>
      </c>
      <c r="U124" s="166">
        <f>_xll.qlPolynomialFunctionValue($P$18,T124,AllTriggers)</f>
        <v>1.2231043077687263E-3</v>
      </c>
    </row>
    <row r="125" spans="18:21" x14ac:dyDescent="0.2">
      <c r="R125" s="418">
        <f>_xll.qlCalendarAdvance(Calendar,R124,"1D","f")</f>
        <v>42310</v>
      </c>
      <c r="S125" s="166">
        <f>_xll.qlTenorBasisValue($P$3,R125,AllTriggers)</f>
        <v>1.2622409223770443E-3</v>
      </c>
      <c r="T125" s="154">
        <f>_xll.qlDayCounterYearFraction("actual/365 (fixed)",SettlementDate,R125,,,Trigger)</f>
        <v>0.47123287671232877</v>
      </c>
      <c r="U125" s="166">
        <f>_xll.qlPolynomialFunctionValue($P$18,T125,AllTriggers)</f>
        <v>1.2259885520654564E-3</v>
      </c>
    </row>
    <row r="126" spans="18:21" x14ac:dyDescent="0.2">
      <c r="R126" s="418">
        <f>_xll.qlCalendarAdvance(Calendar,R125,"1D","f")</f>
        <v>42311</v>
      </c>
      <c r="S126" s="166">
        <f>_xll.qlTenorBasisValue($P$3,R126,AllTriggers)</f>
        <v>1.2629351456780004E-3</v>
      </c>
      <c r="T126" s="154">
        <f>_xll.qlDayCounterYearFraction("actual/365 (fixed)",SettlementDate,R126,,,Trigger)</f>
        <v>0.47397260273972602</v>
      </c>
      <c r="U126" s="166">
        <f>_xll.qlPolynomialFunctionValue($P$18,T126,AllTriggers)</f>
        <v>1.2269377803880994E-3</v>
      </c>
    </row>
    <row r="127" spans="18:21" x14ac:dyDescent="0.2">
      <c r="R127" s="418">
        <f>_xll.qlCalendarAdvance(Calendar,R126,"1D","f")</f>
        <v>42312</v>
      </c>
      <c r="S127" s="166">
        <f>_xll.qlTenorBasisValue($P$3,R127,AllTriggers)</f>
        <v>1.26362420973554E-3</v>
      </c>
      <c r="T127" s="154">
        <f>_xll.qlDayCounterYearFraction("actual/365 (fixed)",SettlementDate,R127,,,Trigger)</f>
        <v>0.47671232876712327</v>
      </c>
      <c r="U127" s="166">
        <f>_xll.qlPolynomialFunctionValue($P$18,T127,AllTriggers)</f>
        <v>1.227880948081763E-3</v>
      </c>
    </row>
    <row r="128" spans="18:21" x14ac:dyDescent="0.2">
      <c r="R128" s="418">
        <f>_xll.qlCalendarAdvance(Calendar,R127,"1D","f")</f>
        <v>42313</v>
      </c>
      <c r="S128" s="166">
        <f>_xll.qlTenorBasisValue($P$3,R128,AllTriggers)</f>
        <v>1.2643081337622801E-3</v>
      </c>
      <c r="T128" s="154">
        <f>_xll.qlDayCounterYearFraction("actual/365 (fixed)",SettlementDate,R128,,,Trigger)</f>
        <v>0.47945205479452052</v>
      </c>
      <c r="U128" s="166">
        <f>_xll.qlPolynomialFunctionValue($P$18,T128,AllTriggers)</f>
        <v>1.2288180746912547E-3</v>
      </c>
    </row>
    <row r="129" spans="18:21" x14ac:dyDescent="0.2">
      <c r="R129" s="418">
        <f>_xll.qlCalendarAdvance(Calendar,R128,"1D","f")</f>
        <v>42314</v>
      </c>
      <c r="S129" s="166">
        <f>_xll.qlTenorBasisValue($P$3,R129,AllTriggers)</f>
        <v>1.2649869369637159E-3</v>
      </c>
      <c r="T129" s="154">
        <f>_xll.qlDayCounterYearFraction("actual/365 (fixed)",SettlementDate,R129,,,Trigger)</f>
        <v>0.48219178082191783</v>
      </c>
      <c r="U129" s="166">
        <f>_xll.qlPolynomialFunctionValue($P$18,T129,AllTriggers)</f>
        <v>1.2297491797542603E-3</v>
      </c>
    </row>
    <row r="130" spans="18:21" x14ac:dyDescent="0.2">
      <c r="R130" s="418">
        <f>_xll.qlCalendarAdvance(Calendar,R129,"1D","f")</f>
        <v>42317</v>
      </c>
      <c r="S130" s="166">
        <f>_xll.qlTenorBasisValue($P$3,R130,AllTriggers)</f>
        <v>1.2669928135643071E-3</v>
      </c>
      <c r="T130" s="154">
        <f>_xll.qlDayCounterYearFraction("actual/365 (fixed)",SettlementDate,R130,,,Trigger)</f>
        <v>0.49041095890410957</v>
      </c>
      <c r="U130" s="166">
        <f>_xll.qlPolynomialFunctionValue($P$18,T130,AllTriggers)</f>
        <v>1.2325065609343783E-3</v>
      </c>
    </row>
    <row r="131" spans="18:21" x14ac:dyDescent="0.2">
      <c r="R131" s="418">
        <f>_xll.qlCalendarAdvance(Calendar,R130,"1D","f")</f>
        <v>42318</v>
      </c>
      <c r="S131" s="166">
        <f>_xll.qlTenorBasisValue($P$3,R131,AllTriggers)</f>
        <v>1.267651325377022E-3</v>
      </c>
      <c r="T131" s="154">
        <f>_xll.qlDayCounterYearFraction("actual/365 (fixed)",SettlementDate,R131,,,Trigger)</f>
        <v>0.49315068493150682</v>
      </c>
      <c r="U131" s="166">
        <f>_xll.qlPolynomialFunctionValue($P$18,T131,AllTriggers)</f>
        <v>1.2334137750458433E-3</v>
      </c>
    </row>
    <row r="132" spans="18:21" x14ac:dyDescent="0.2">
      <c r="R132" s="418">
        <f>_xll.qlCalendarAdvance(Calendar,R131,"1D","f")</f>
        <v>42319</v>
      </c>
      <c r="S132" s="166">
        <f>_xll.qlTenorBasisValue($P$3,R132,AllTriggers)</f>
        <v>1.2683048122850678E-3</v>
      </c>
      <c r="T132" s="154">
        <f>_xll.qlDayCounterYearFraction("actual/365 (fixed)",SettlementDate,R132,,,Trigger)</f>
        <v>0.49589041095890413</v>
      </c>
      <c r="U132" s="166">
        <f>_xll.qlPolynomialFunctionValue($P$18,T132,AllTriggers)</f>
        <v>1.2343150651924111E-3</v>
      </c>
    </row>
    <row r="133" spans="18:21" x14ac:dyDescent="0.2">
      <c r="R133" s="418">
        <f>_xll.qlCalendarAdvance(Calendar,R132,"1D","f")</f>
        <v>42320</v>
      </c>
      <c r="S133" s="166">
        <f>_xll.qlTenorBasisValue($P$3,R133,AllTriggers)</f>
        <v>1.2689532934512041E-3</v>
      </c>
      <c r="T133" s="154">
        <f>_xll.qlDayCounterYearFraction("actual/365 (fixed)",SettlementDate,R133,,,Trigger)</f>
        <v>0.49863013698630138</v>
      </c>
      <c r="U133" s="166">
        <f>_xll.qlPolynomialFunctionValue($P$18,T133,AllTriggers)</f>
        <v>1.2352104508690316E-3</v>
      </c>
    </row>
    <row r="134" spans="18:21" x14ac:dyDescent="0.2">
      <c r="R134" s="418">
        <f>_xll.qlCalendarAdvance(Calendar,R133,"1D","f")</f>
        <v>42321</v>
      </c>
      <c r="S134" s="166">
        <f>_xll.qlTenorBasisValue($P$3,R134,AllTriggers)</f>
        <v>1.2695967880310668E-3</v>
      </c>
      <c r="T134" s="154">
        <f>_xll.qlDayCounterYearFraction("actual/365 (fixed)",SettlementDate,R134,,,Trigger)</f>
        <v>0.50136986301369868</v>
      </c>
      <c r="U134" s="166">
        <f>_xll.qlPolynomialFunctionValue($P$18,T134,AllTriggers)</f>
        <v>1.236099951563532E-3</v>
      </c>
    </row>
    <row r="135" spans="18:21" x14ac:dyDescent="0.2">
      <c r="R135" s="418">
        <f>_xll.qlCalendarAdvance(Calendar,R134,"1D","f")</f>
        <v>42324</v>
      </c>
      <c r="S135" s="166">
        <f>_xll.qlTenorBasisValue($P$3,R135,AllTriggers)</f>
        <v>1.2714975437025421E-3</v>
      </c>
      <c r="T135" s="154">
        <f>_xll.qlDayCounterYearFraction("actual/365 (fixed)",SettlementDate,R135,,,Trigger)</f>
        <v>0.50958904109589043</v>
      </c>
      <c r="U135" s="166">
        <f>_xll.qlPolynomialFunctionValue($P$18,T135,AllTriggers)</f>
        <v>1.2387333385257462E-3</v>
      </c>
    </row>
    <row r="136" spans="18:21" x14ac:dyDescent="0.2">
      <c r="R136" s="418">
        <f>_xll.qlCalendarAdvance(Calendar,R135,"1D","f")</f>
        <v>42325</v>
      </c>
      <c r="S136" s="166">
        <f>_xll.qlTenorBasisValue($P$3,R136,AllTriggers)</f>
        <v>1.2721212833512251E-3</v>
      </c>
      <c r="T136" s="154">
        <f>_xll.qlDayCounterYearFraction("actual/365 (fixed)",SettlementDate,R136,,,Trigger)</f>
        <v>0.51232876712328768</v>
      </c>
      <c r="U136" s="166">
        <f>_xll.qlPolynomialFunctionValue($P$18,T136,AllTriggers)</f>
        <v>1.2395994940275869E-3</v>
      </c>
    </row>
    <row r="137" spans="18:21" x14ac:dyDescent="0.2">
      <c r="R137" s="418">
        <f>_xll.qlCalendarAdvance(Calendar,R136,"1D","f")</f>
        <v>42326</v>
      </c>
      <c r="S137" s="166">
        <f>_xll.qlTenorBasisValue($P$3,R137,AllTriggers)</f>
        <v>1.2727401320849789E-3</v>
      </c>
      <c r="T137" s="154">
        <f>_xll.qlDayCounterYearFraction("actual/365 (fixed)",SettlementDate,R137,,,Trigger)</f>
        <v>0.51506849315068493</v>
      </c>
      <c r="U137" s="166">
        <f>_xll.qlPolynomialFunctionValue($P$18,T137,AllTriggers)</f>
        <v>1.2404598618796048E-3</v>
      </c>
    </row>
    <row r="138" spans="18:21" x14ac:dyDescent="0.2">
      <c r="R138" s="418">
        <f>_xll.qlCalendarAdvance(Calendar,R137,"1D","f")</f>
        <v>42327</v>
      </c>
      <c r="S138" s="166">
        <f>_xll.qlTenorBasisValue($P$3,R138,AllTriggers)</f>
        <v>1.2733541090167043E-3</v>
      </c>
      <c r="T138" s="154">
        <f>_xll.qlDayCounterYearFraction("actual/365 (fixed)",SettlementDate,R138,,,Trigger)</f>
        <v>0.51780821917808217</v>
      </c>
      <c r="U138" s="166">
        <f>_xll.qlPolynomialFunctionValue($P$18,T138,AllTriggers)</f>
        <v>1.2413144615268919E-3</v>
      </c>
    </row>
    <row r="139" spans="18:21" x14ac:dyDescent="0.2">
      <c r="R139" s="418">
        <f>_xll.qlCalendarAdvance(Calendar,R138,"1D","f")</f>
        <v>42328</v>
      </c>
      <c r="S139" s="166">
        <f>_xll.qlTenorBasisValue($P$3,R139,AllTriggers)</f>
        <v>1.2739632332521794E-3</v>
      </c>
      <c r="T139" s="154">
        <f>_xll.qlDayCounterYearFraction("actual/365 (fixed)",SettlementDate,R139,,,Trigger)</f>
        <v>0.52054794520547942</v>
      </c>
      <c r="U139" s="166">
        <f>_xll.qlPolynomialFunctionValue($P$18,T139,AllTriggers)</f>
        <v>1.2421633124074167E-3</v>
      </c>
    </row>
    <row r="140" spans="18:21" x14ac:dyDescent="0.2">
      <c r="R140" s="418">
        <f>_xll.qlCalendarAdvance(Calendar,R139,"1D","f")</f>
        <v>42331</v>
      </c>
      <c r="S140" s="166">
        <f>_xll.qlTenorBasisValue($P$3,R140,AllTriggers)</f>
        <v>1.2757616807320478E-3</v>
      </c>
      <c r="T140" s="154">
        <f>_xll.qlDayCounterYearFraction("actual/365 (fixed)",SettlementDate,R140,,,Trigger)</f>
        <v>0.52876712328767128</v>
      </c>
      <c r="U140" s="166">
        <f>_xll.qlPolynomialFunctionValue($P$18,T140,AllTriggers)</f>
        <v>1.2446755667212691E-3</v>
      </c>
    </row>
    <row r="141" spans="18:21" x14ac:dyDescent="0.2">
      <c r="R141" s="418">
        <f>_xll.qlCalendarAdvance(Calendar,R140,"1D","f")</f>
        <v>42332</v>
      </c>
      <c r="S141" s="166">
        <f>_xll.qlTenorBasisValue($P$3,R141,AllTriggers)</f>
        <v>1.276351585097853E-3</v>
      </c>
      <c r="T141" s="154">
        <f>_xll.qlDayCounterYearFraction("actual/365 (fixed)",SettlementDate,R141,,,Trigger)</f>
        <v>0.53150684931506853</v>
      </c>
      <c r="U141" s="166">
        <f>_xll.qlPolynomialFunctionValue($P$18,T141,AllTriggers)</f>
        <v>1.2455016167719833E-3</v>
      </c>
    </row>
    <row r="142" spans="18:21" x14ac:dyDescent="0.2">
      <c r="R142" s="418">
        <f>_xll.qlCalendarAdvance(Calendar,R141,"1D","f")</f>
        <v>42333</v>
      </c>
      <c r="S142" s="166">
        <f>_xll.qlTenorBasisValue($P$3,R142,AllTriggers)</f>
        <v>1.2769367321894608E-3</v>
      </c>
      <c r="T142" s="154">
        <f>_xll.qlDayCounterYearFraction("actual/365 (fixed)",SettlementDate,R142,,,Trigger)</f>
        <v>0.53424657534246578</v>
      </c>
      <c r="U142" s="166">
        <f>_xll.qlPolynomialFunctionValue($P$18,T142,AllTriggers)</f>
        <v>1.2463220151389415E-3</v>
      </c>
    </row>
    <row r="143" spans="18:21" x14ac:dyDescent="0.2">
      <c r="R143" s="418">
        <f>_xll.qlCalendarAdvance(Calendar,R142,"1D","f")</f>
        <v>42334</v>
      </c>
      <c r="S143" s="166">
        <f>_xll.qlTenorBasisValue($P$3,R143,AllTriggers)</f>
        <v>1.2775171410699128E-3</v>
      </c>
      <c r="T143" s="154">
        <f>_xll.qlDayCounterYearFraction("actual/365 (fixed)",SettlementDate,R143,,,Trigger)</f>
        <v>0.53698630136986303</v>
      </c>
      <c r="U143" s="166">
        <f>_xll.qlPolynomialFunctionValue($P$18,T143,AllTriggers)</f>
        <v>1.2471367812173766E-3</v>
      </c>
    </row>
    <row r="144" spans="18:21" x14ac:dyDescent="0.2">
      <c r="R144" s="418">
        <f>_xll.qlCalendarAdvance(Calendar,R143,"1D","f")</f>
        <v>42335</v>
      </c>
      <c r="S144" s="166">
        <f>_xll.qlTenorBasisValue($P$3,R144,AllTriggers)</f>
        <v>1.2780928307951302E-3</v>
      </c>
      <c r="T144" s="154">
        <f>_xll.qlDayCounterYearFraction("actual/365 (fixed)",SettlementDate,R144,,,Trigger)</f>
        <v>0.53972602739726028</v>
      </c>
      <c r="U144" s="166">
        <f>_xll.qlPolynomialFunctionValue($P$18,T144,AllTriggers)</f>
        <v>1.2479459343953997E-3</v>
      </c>
    </row>
    <row r="145" spans="18:21" x14ac:dyDescent="0.2">
      <c r="R145" s="418">
        <f>_xll.qlCalendarAdvance(Calendar,R144,"1D","f")</f>
        <v>42338</v>
      </c>
      <c r="S145" s="166">
        <f>_xll.qlTenorBasisValue($P$3,R145,AllTriggers)</f>
        <v>1.2797917754917329E-3</v>
      </c>
      <c r="T145" s="154">
        <f>_xll.qlDayCounterYearFraction("actual/365 (fixed)",SettlementDate,R145,,,Trigger)</f>
        <v>0.54794520547945202</v>
      </c>
      <c r="U145" s="166">
        <f>_xll.qlPolynomialFunctionValue($P$18,T145,AllTriggers)</f>
        <v>1.2503399103012645E-3</v>
      </c>
    </row>
    <row r="146" spans="18:21" x14ac:dyDescent="0.2">
      <c r="R146" s="418">
        <f>_xll.qlCalendarAdvance(Calendar,R145,"1D","f")</f>
        <v>42339</v>
      </c>
      <c r="S146" s="166">
        <f>_xll.qlTenorBasisValue($P$3,R146,AllTriggers)</f>
        <v>1.2803487790127579E-3</v>
      </c>
      <c r="T146" s="154">
        <f>_xll.qlDayCounterYearFraction("actual/365 (fixed)",SettlementDate,R146,,,Trigger)</f>
        <v>0.55068493150684927</v>
      </c>
      <c r="U146" s="166">
        <f>_xll.qlPolynomialFunctionValue($P$18,T146,AllTriggers)</f>
        <v>1.2511268056162941E-3</v>
      </c>
    </row>
    <row r="147" spans="18:21" x14ac:dyDescent="0.2">
      <c r="R147" s="418">
        <f>_xll.qlCalendarAdvance(Calendar,R146,"1D","f")</f>
        <v>42340</v>
      </c>
      <c r="S147" s="166">
        <f>_xll.qlTenorBasisValue($P$3,R147,AllTriggers)</f>
        <v>1.2809011585513089E-3</v>
      </c>
      <c r="T147" s="154">
        <f>_xll.qlDayCounterYearFraction("actual/365 (fixed)",SettlementDate,R147,,,Trigger)</f>
        <v>0.55342465753424652</v>
      </c>
      <c r="U147" s="166">
        <f>_xll.qlPolynomialFunctionValue($P$18,T147,AllTriggers)</f>
        <v>1.2519081848646261E-3</v>
      </c>
    </row>
    <row r="148" spans="18:21" x14ac:dyDescent="0.2">
      <c r="R148" s="418">
        <f>_xll.qlCalendarAdvance(Calendar,R147,"1D","f")</f>
        <v>42341</v>
      </c>
      <c r="S148" s="166">
        <f>_xll.qlTenorBasisValue($P$3,R148,AllTriggers)</f>
        <v>1.2814489331205703E-3</v>
      </c>
      <c r="T148" s="154">
        <f>_xll.qlDayCounterYearFraction("actual/365 (fixed)",SettlementDate,R148,,,Trigger)</f>
        <v>0.55616438356164388</v>
      </c>
      <c r="U148" s="166">
        <f>_xll.qlPolynomialFunctionValue($P$18,T148,AllTriggers)</f>
        <v>1.2526840673916359E-3</v>
      </c>
    </row>
    <row r="149" spans="18:21" x14ac:dyDescent="0.2">
      <c r="R149" s="418">
        <f>_xll.qlCalendarAdvance(Calendar,R148,"1D","f")</f>
        <v>42342</v>
      </c>
      <c r="S149" s="166">
        <f>_xll.qlTenorBasisValue($P$3,R149,AllTriggers)</f>
        <v>1.2819921217266039E-3</v>
      </c>
      <c r="T149" s="154">
        <f>_xll.qlDayCounterYearFraction("actual/365 (fixed)",SettlementDate,R149,,,Trigger)</f>
        <v>0.55890410958904113</v>
      </c>
      <c r="U149" s="166">
        <f>_xll.qlPolynomialFunctionValue($P$18,T149,AllTriggers)</f>
        <v>1.2534544725355755E-3</v>
      </c>
    </row>
    <row r="150" spans="18:21" x14ac:dyDescent="0.2">
      <c r="R150" s="418">
        <f>_xll.qlCalendarAdvance(Calendar,R149,"1D","f")</f>
        <v>42345</v>
      </c>
      <c r="S150" s="166">
        <f>_xll.qlTenorBasisValue($P$3,R150,AllTriggers)</f>
        <v>1.2835943617191148E-3</v>
      </c>
      <c r="T150" s="154">
        <f>_xll.qlDayCounterYearFraction("actual/365 (fixed)",SettlementDate,R150,,,Trigger)</f>
        <v>0.56712328767123288</v>
      </c>
      <c r="U150" s="166">
        <f>_xll.qlPolynomialFunctionValue($P$18,T150,AllTriggers)</f>
        <v>1.255733016944659E-3</v>
      </c>
    </row>
    <row r="151" spans="18:21" x14ac:dyDescent="0.2">
      <c r="R151" s="418">
        <f>_xll.qlCalendarAdvance(Calendar,R150,"1D","f")</f>
        <v>42346</v>
      </c>
      <c r="S151" s="166">
        <f>_xll.qlTenorBasisValue($P$3,R151,AllTriggers)</f>
        <v>1.2841193963904016E-3</v>
      </c>
      <c r="T151" s="154">
        <f>_xll.qlDayCounterYearFraction("actual/365 (fixed)",SettlementDate,R151,,,Trigger)</f>
        <v>0.56986301369863013</v>
      </c>
      <c r="U151" s="166">
        <f>_xll.qlPolynomialFunctionValue($P$18,T151,AllTriggers)</f>
        <v>1.2564817057963903E-3</v>
      </c>
    </row>
    <row r="152" spans="18:21" x14ac:dyDescent="0.2">
      <c r="R152" s="418">
        <f>_xll.qlCalendarAdvance(Calendar,R151,"1D","f")</f>
        <v>42347</v>
      </c>
      <c r="S152" s="166">
        <f>_xll.qlTenorBasisValue($P$3,R152,AllTriggers)</f>
        <v>1.2846399400219303E-3</v>
      </c>
      <c r="T152" s="154">
        <f>_xll.qlDayCounterYearFraction("actual/365 (fixed)",SettlementDate,R152,,,Trigger)</f>
        <v>0.57260273972602738</v>
      </c>
      <c r="U152" s="166">
        <f>_xll.qlPolynomialFunctionValue($P$18,T152,AllTriggers)</f>
        <v>1.2572250138494748E-3</v>
      </c>
    </row>
    <row r="153" spans="18:21" x14ac:dyDescent="0.2">
      <c r="R153" s="418">
        <f>_xll.qlCalendarAdvance(Calendar,R152,"1D","f")</f>
        <v>42348</v>
      </c>
      <c r="S153" s="166">
        <f>_xll.qlTenorBasisValue($P$3,R153,AllTriggers)</f>
        <v>1.2851560115770266E-3</v>
      </c>
      <c r="T153" s="154">
        <f>_xll.qlDayCounterYearFraction("actual/365 (fixed)",SettlementDate,R153,,,Trigger)</f>
        <v>0.57534246575342463</v>
      </c>
      <c r="U153" s="166">
        <f>_xll.qlPolynomialFunctionValue($P$18,T153,AllTriggers)</f>
        <v>1.2579629603994289E-3</v>
      </c>
    </row>
    <row r="154" spans="18:21" x14ac:dyDescent="0.2">
      <c r="R154" s="418">
        <f>_xll.qlCalendarAdvance(Calendar,R153,"1D","f")</f>
        <v>42349</v>
      </c>
      <c r="S154" s="166">
        <f>_xll.qlTenorBasisValue($P$3,R154,AllTriggers)</f>
        <v>1.2856676300118943E-3</v>
      </c>
      <c r="T154" s="154">
        <f>_xll.qlDayCounterYearFraction("actual/365 (fixed)",SettlementDate,R154,,,Trigger)</f>
        <v>0.57808219178082187</v>
      </c>
      <c r="U154" s="166">
        <f>_xll.qlPolynomialFunctionValue($P$18,T154,AllTriggers)</f>
        <v>1.2586955647346473E-3</v>
      </c>
    </row>
    <row r="155" spans="18:21" x14ac:dyDescent="0.2">
      <c r="R155" s="418">
        <f>_xll.qlCalendarAdvance(Calendar,R154,"1D","f")</f>
        <v>42352</v>
      </c>
      <c r="S155" s="166">
        <f>_xll.qlTenorBasisValue($P$3,R155,AllTriggers)</f>
        <v>1.2871759560503201E-3</v>
      </c>
      <c r="T155" s="154">
        <f>_xll.qlDayCounterYearFraction("actual/365 (fixed)",SettlementDate,R155,,,Trigger)</f>
        <v>0.58630136986301373</v>
      </c>
      <c r="U155" s="166">
        <f>_xll.qlPolynomialFunctionValue($P$18,T155,AllTriggers)</f>
        <v>1.2608615172289882E-3</v>
      </c>
    </row>
    <row r="156" spans="18:21" x14ac:dyDescent="0.2">
      <c r="R156" s="418">
        <f>_xll.qlCalendarAdvance(Calendar,R155,"1D","f")</f>
        <v>42353</v>
      </c>
      <c r="S156" s="166">
        <f>_xll.qlTenorBasisValue($P$3,R156,AllTriggers)</f>
        <v>1.287669951423855E-3</v>
      </c>
      <c r="T156" s="154">
        <f>_xll.qlDayCounterYearFraction("actual/365 (fixed)",SettlementDate,R156,,,Trigger)</f>
        <v>0.58904109589041098</v>
      </c>
      <c r="U156" s="166">
        <f>_xll.qlPolynomialFunctionValue($P$18,T156,AllTriggers)</f>
        <v>1.261572945446752E-3</v>
      </c>
    </row>
    <row r="157" spans="18:21" x14ac:dyDescent="0.2">
      <c r="R157" s="418">
        <f>_xll.qlCalendarAdvance(Calendar,R156,"1D","f")</f>
        <v>42354</v>
      </c>
      <c r="S157" s="166">
        <f>_xll.qlTenorBasisValue($P$3,R157,AllTriggers)</f>
        <v>1.2881595883513395E-3</v>
      </c>
      <c r="T157" s="154">
        <f>_xll.qlDayCounterYearFraction("actual/365 (fixed)",SettlementDate,R157,,,Trigger)</f>
        <v>0.59178082191780823</v>
      </c>
      <c r="U157" s="166">
        <f>_xll.qlPolynomialFunctionValue($P$18,T157,AllTriggers)</f>
        <v>1.2622791277849112E-3</v>
      </c>
    </row>
    <row r="158" spans="18:21" x14ac:dyDescent="0.2">
      <c r="R158" s="418">
        <f>_xll.qlCalendarAdvance(Calendar,R157,"1D","f")</f>
        <v>42355</v>
      </c>
      <c r="S158" s="166">
        <f>_xll.qlTenorBasisValue($P$3,R158,AllTriggers)</f>
        <v>1.2886448857462409E-3</v>
      </c>
      <c r="T158" s="154">
        <f>_xll.qlDayCounterYearFraction("actual/365 (fixed)",SettlementDate,R158,,,Trigger)</f>
        <v>0.59452054794520548</v>
      </c>
      <c r="U158" s="166">
        <f>_xll.qlPolynomialFunctionValue($P$18,T158,AllTriggers)</f>
        <v>1.2629800834891248E-3</v>
      </c>
    </row>
    <row r="159" spans="18:21" x14ac:dyDescent="0.2">
      <c r="R159" s="418">
        <f>_xll.qlCalendarAdvance(Calendar,R158,"1D","f")</f>
        <v>42356</v>
      </c>
      <c r="S159" s="166">
        <f>_xll.qlTenorBasisValue($P$3,R159,AllTriggers)</f>
        <v>1.2891258625149049E-3</v>
      </c>
      <c r="T159" s="154">
        <f>_xll.qlDayCounterYearFraction("actual/365 (fixed)",SettlementDate,R159,,,Trigger)</f>
        <v>0.59726027397260273</v>
      </c>
      <c r="U159" s="166">
        <f>_xll.qlPolynomialFunctionValue($P$18,T159,AllTriggers)</f>
        <v>1.2636758317979278E-3</v>
      </c>
    </row>
    <row r="160" spans="18:21" x14ac:dyDescent="0.2">
      <c r="R160" s="418">
        <f>_xll.qlCalendarAdvance(Calendar,R159,"1D","f")</f>
        <v>42359</v>
      </c>
      <c r="S160" s="166">
        <f>_xll.qlTenorBasisValue($P$3,R160,AllTriggers)</f>
        <v>1.2905430580200843E-3</v>
      </c>
      <c r="T160" s="154">
        <f>_xll.qlDayCounterYearFraction("actual/365 (fixed)",SettlementDate,R160,,,Trigger)</f>
        <v>0.60547945205479448</v>
      </c>
      <c r="U160" s="166">
        <f>_xll.qlPolynomialFunctionValue($P$18,T160,AllTriggers)</f>
        <v>1.2657320246303983E-3</v>
      </c>
    </row>
    <row r="161" spans="18:21" x14ac:dyDescent="0.2">
      <c r="R161" s="418">
        <f>_xll.qlCalendarAdvance(Calendar,R160,"1D","f")</f>
        <v>42360</v>
      </c>
      <c r="S161" s="166">
        <f>_xll.qlTenorBasisValue($P$3,R161,AllTriggers)</f>
        <v>1.2910069412047976E-3</v>
      </c>
      <c r="T161" s="154">
        <f>_xll.qlDayCounterYearFraction("actual/365 (fixed)",SettlementDate,R161,,,Trigger)</f>
        <v>0.60821917808219184</v>
      </c>
      <c r="U161" s="166">
        <f>_xll.qlPolynomialFunctionValue($P$18,T161,AllTriggers)</f>
        <v>1.2664071356004686E-3</v>
      </c>
    </row>
    <row r="162" spans="18:21" x14ac:dyDescent="0.2">
      <c r="R162" s="418">
        <f>_xll.qlCalendarAdvance(Calendar,R161,"1D","f")</f>
        <v>42361</v>
      </c>
      <c r="S162" s="166">
        <f>_xll.qlTenorBasisValue($P$3,R162,AllTriggers)</f>
        <v>1.2914665981881603E-3</v>
      </c>
      <c r="T162" s="154">
        <f>_xll.qlDayCounterYearFraction("actual/365 (fixed)",SettlementDate,R162,,,Trigger)</f>
        <v>0.61095890410958908</v>
      </c>
      <c r="U162" s="166">
        <f>_xll.qlPolynomialFunctionValue($P$18,T162,AllTriggers)</f>
        <v>1.2670771352609692E-3</v>
      </c>
    </row>
    <row r="163" spans="18:21" x14ac:dyDescent="0.2">
      <c r="R163" s="418">
        <f>_xll.qlCalendarAdvance(Calendar,R162,"1D","f")</f>
        <v>42362</v>
      </c>
      <c r="S163" s="166">
        <f>_xll.qlTenorBasisValue($P$3,R163,AllTriggers)</f>
        <v>1.2919220478337815E-3</v>
      </c>
      <c r="T163" s="154">
        <f>_xll.qlDayCounterYearFraction("actual/365 (fixed)",SettlementDate,R163,,,Trigger)</f>
        <v>0.61369863013698633</v>
      </c>
      <c r="U163" s="166">
        <f>_xll.qlPolynomialFunctionValue($P$18,T163,AllTriggers)</f>
        <v>1.2677420428077002E-3</v>
      </c>
    </row>
    <row r="164" spans="18:21" x14ac:dyDescent="0.2">
      <c r="R164" s="418">
        <f>_xll.qlCalendarAdvance(Calendar,R163,"1D","f")</f>
        <v>42366</v>
      </c>
      <c r="S164" s="166">
        <f>_xll.qlTenorBasisValue($P$3,R164,AllTriggers)</f>
        <v>1.293702150061753E-3</v>
      </c>
      <c r="T164" s="154">
        <f>_xll.qlDayCounterYearFraction("actual/365 (fixed)",SettlementDate,R164,,,Trigger)</f>
        <v>0.62465753424657533</v>
      </c>
      <c r="U164" s="166">
        <f>_xll.qlPolynomialFunctionValue($P$18,T164,AllTriggers)</f>
        <v>1.2703511355236429E-3</v>
      </c>
    </row>
    <row r="165" spans="18:21" x14ac:dyDescent="0.2">
      <c r="R165" s="418">
        <f>_xll.qlCalendarAdvance(Calendar,R164,"1D","f")</f>
        <v>42367</v>
      </c>
      <c r="S165" s="166">
        <f>_xll.qlTenorBasisValue($P$3,R165,AllTriggers)</f>
        <v>1.2941368457235192E-3</v>
      </c>
      <c r="T165" s="154">
        <f>_xll.qlDayCounterYearFraction("actual/365 (fixed)",SettlementDate,R165,,,Trigger)</f>
        <v>0.62739726027397258</v>
      </c>
      <c r="U165" s="166">
        <f>_xll.qlPolynomialFunctionValue($P$18,T165,AllTriggers)</f>
        <v>1.2709908701892389E-3</v>
      </c>
    </row>
    <row r="166" spans="18:21" x14ac:dyDescent="0.2">
      <c r="R166" s="418">
        <f>_xll.qlCalendarAdvance(Calendar,R165,"1D","f")</f>
        <v>42368</v>
      </c>
      <c r="S166" s="166">
        <f>_xll.qlTenorBasisValue($P$3,R166,AllTriggers)</f>
        <v>1.2945674470796265E-3</v>
      </c>
      <c r="T166" s="154">
        <f>_xll.qlDayCounterYearFraction("actual/365 (fixed)",SettlementDate,R166,,,Trigger)</f>
        <v>0.63013698630136983</v>
      </c>
      <c r="U166" s="166">
        <f>_xll.qlPolynomialFunctionValue($P$18,T166,AllTriggers)</f>
        <v>1.2716256277662912E-3</v>
      </c>
    </row>
    <row r="167" spans="18:21" x14ac:dyDescent="0.2">
      <c r="R167" s="418">
        <f>_xll.qlCalendarAdvance(Calendar,R166,"1D","f")</f>
        <v>42369</v>
      </c>
      <c r="S167" s="166">
        <f>_xll.qlTenorBasisValue($P$3,R167,AllTriggers)</f>
        <v>1.2949939729438263E-3</v>
      </c>
      <c r="T167" s="154">
        <f>_xll.qlDayCounterYearFraction("actual/365 (fixed)",SettlementDate,R167,,,Trigger)</f>
        <v>0.63287671232876708</v>
      </c>
      <c r="U167" s="166">
        <f>_xll.qlPolynomialFunctionValue($P$18,T167,AllTriggers)</f>
        <v>1.2722554274007427E-3</v>
      </c>
    </row>
    <row r="168" spans="18:21" x14ac:dyDescent="0.2">
      <c r="R168" s="418">
        <f>_xll.qlCalendarAdvance(Calendar,R167,"1D","f")</f>
        <v>42373</v>
      </c>
      <c r="S168" s="166">
        <f>_xll.qlTenorBasisValue($P$3,R168,AllTriggers)</f>
        <v>1.2966596975072804E-3</v>
      </c>
      <c r="T168" s="154">
        <f>_xll.qlDayCounterYearFraction("actual/365 (fixed)",SettlementDate,R168,,,Trigger)</f>
        <v>0.64383561643835618</v>
      </c>
      <c r="U168" s="166">
        <f>_xll.qlPolynomialFunctionValue($P$18,T168,AllTriggers)</f>
        <v>1.2747254291820859E-3</v>
      </c>
    </row>
    <row r="169" spans="18:21" x14ac:dyDescent="0.2">
      <c r="R169" s="418">
        <f>_xll.qlCalendarAdvance(Calendar,R168,"1D","f")</f>
        <v>42374</v>
      </c>
      <c r="S169" s="166">
        <f>_xll.qlTenorBasisValue($P$3,R169,AllTriggers)</f>
        <v>1.2970661278689181E-3</v>
      </c>
      <c r="T169" s="154">
        <f>_xll.qlDayCounterYearFraction("actual/365 (fixed)",SettlementDate,R169,,,Trigger)</f>
        <v>0.64657534246575343</v>
      </c>
      <c r="U169" s="166">
        <f>_xll.qlPolynomialFunctionValue($P$18,T169,AllTriggers)</f>
        <v>1.2753307260433698E-3</v>
      </c>
    </row>
    <row r="170" spans="18:21" x14ac:dyDescent="0.2">
      <c r="R170" s="418">
        <f>_xll.qlCalendarAdvance(Calendar,R169,"1D","f")</f>
        <v>42375</v>
      </c>
      <c r="S170" s="166">
        <f>_xll.qlTenorBasisValue($P$3,R170,AllTriggers)</f>
        <v>1.2974685954715809E-3</v>
      </c>
      <c r="T170" s="154">
        <f>_xll.qlDayCounterYearFraction("actual/365 (fixed)",SettlementDate,R170,,,Trigger)</f>
        <v>0.64931506849315068</v>
      </c>
      <c r="U170" s="166">
        <f>_xll.qlPolynomialFunctionValue($P$18,T170,AllTriggers)</f>
        <v>1.2759311796881297E-3</v>
      </c>
    </row>
    <row r="171" spans="18:21" x14ac:dyDescent="0.2">
      <c r="R171" s="418">
        <f>_xll.qlCalendarAdvance(Calendar,R170,"1D","f")</f>
        <v>42376</v>
      </c>
      <c r="S171" s="166">
        <f>_xll.qlTenorBasisValue($P$3,R171,AllTriggers)</f>
        <v>1.2978671190791615E-3</v>
      </c>
      <c r="T171" s="154">
        <f>_xll.qlDayCounterYearFraction("actual/365 (fixed)",SettlementDate,R171,,,Trigger)</f>
        <v>0.65205479452054793</v>
      </c>
      <c r="U171" s="166">
        <f>_xll.qlPolynomialFunctionValue($P$18,T171,AllTriggers)</f>
        <v>1.2765268092124486E-3</v>
      </c>
    </row>
    <row r="172" spans="18:21" x14ac:dyDescent="0.2">
      <c r="R172" s="418">
        <f>_xll.qlCalendarAdvance(Calendar,R171,"1D","f")</f>
        <v>42377</v>
      </c>
      <c r="S172" s="166">
        <f>_xll.qlTenorBasisValue($P$3,R172,AllTriggers)</f>
        <v>1.2982617174484303E-3</v>
      </c>
      <c r="T172" s="154">
        <f>_xll.qlDayCounterYearFraction("actual/365 (fixed)",SettlementDate,R172,,,Trigger)</f>
        <v>0.65479452054794518</v>
      </c>
      <c r="U172" s="166">
        <f>_xll.qlPolynomialFunctionValue($P$18,T172,AllTriggers)</f>
        <v>1.2771176337052878E-3</v>
      </c>
    </row>
    <row r="173" spans="18:21" x14ac:dyDescent="0.2">
      <c r="R173" s="418">
        <f>_xll.qlCalendarAdvance(Calendar,R172,"1D","f")</f>
        <v>42380</v>
      </c>
      <c r="S173" s="166">
        <f>_xll.qlTenorBasisValue($P$3,R173,AllTriggers)</f>
        <v>1.2994221485872293E-3</v>
      </c>
      <c r="T173" s="154">
        <f>_xll.qlDayCounterYearFraction("actual/365 (fixed)",SettlementDate,R173,,,Trigger)</f>
        <v>0.66301369863013704</v>
      </c>
      <c r="U173" s="166">
        <f>_xll.qlPolynomialFunctionValue($P$18,T173,AllTriggers)</f>
        <v>1.2788614677777003E-3</v>
      </c>
    </row>
    <row r="174" spans="18:21" x14ac:dyDescent="0.2">
      <c r="R174" s="418">
        <f>_xll.qlCalendarAdvance(Calendar,R173,"1D","f")</f>
        <v>42381</v>
      </c>
      <c r="S174" s="166">
        <f>_xll.qlTenorBasisValue($P$3,R174,AllTriggers)</f>
        <v>1.2998012334285017E-3</v>
      </c>
      <c r="T174" s="154">
        <f>_xll.qlDayCounterYearFraction("actual/365 (fixed)",SettlementDate,R174,,,Trigger)</f>
        <v>0.66575342465753429</v>
      </c>
      <c r="U174" s="166">
        <f>_xll.qlPolynomialFunctionValue($P$18,T174,AllTriggers)</f>
        <v>1.2794332628917797E-3</v>
      </c>
    </row>
    <row r="175" spans="18:21" x14ac:dyDescent="0.2">
      <c r="R175" s="418">
        <f>_xll.qlCalendarAdvance(Calendar,R174,"1D","f")</f>
        <v>42382</v>
      </c>
      <c r="S175" s="166">
        <f>_xll.qlTenorBasisValue($P$3,R175,AllTriggers)</f>
        <v>1.3001764867084751E-3</v>
      </c>
      <c r="T175" s="154">
        <f>_xll.qlDayCounterYearFraction("actual/365 (fixed)",SettlementDate,R175,,,Trigger)</f>
        <v>0.66849315068493154</v>
      </c>
      <c r="U175" s="166">
        <f>_xll.qlPolynomialFunctionValue($P$18,T175,AllTriggers)</f>
        <v>1.2800003483123452E-3</v>
      </c>
    </row>
    <row r="176" spans="18:21" x14ac:dyDescent="0.2">
      <c r="R176" s="418">
        <f>_xll.qlCalendarAdvance(Calendar,R175,"1D","f")</f>
        <v>42383</v>
      </c>
      <c r="S176" s="166">
        <f>_xll.qlTenorBasisValue($P$3,R176,AllTriggers)</f>
        <v>1.3005479271411835E-3</v>
      </c>
      <c r="T176" s="154">
        <f>_xll.qlDayCounterYearFraction("actual/365 (fixed)",SettlementDate,R176,,,Trigger)</f>
        <v>0.67123287671232879</v>
      </c>
      <c r="U176" s="166">
        <f>_xll.qlPolynomialFunctionValue($P$18,T176,AllTriggers)</f>
        <v>1.280562743085623E-3</v>
      </c>
    </row>
    <row r="177" spans="18:21" x14ac:dyDescent="0.2">
      <c r="R177" s="418">
        <f>_xll.qlCalendarAdvance(Calendar,R176,"1D","f")</f>
        <v>42384</v>
      </c>
      <c r="S177" s="166">
        <f>_xll.qlTenorBasisValue($P$3,R177,AllTriggers)</f>
        <v>1.3009155734335391E-3</v>
      </c>
      <c r="T177" s="154">
        <f>_xll.qlDayCounterYearFraction("actual/365 (fixed)",SettlementDate,R177,,,Trigger)</f>
        <v>0.67397260273972603</v>
      </c>
      <c r="U177" s="166">
        <f>_xll.qlPolynomialFunctionValue($P$18,T177,AllTriggers)</f>
        <v>1.2811204662507151E-3</v>
      </c>
    </row>
    <row r="178" spans="18:21" x14ac:dyDescent="0.2">
      <c r="R178" s="418">
        <f>_xll.qlCalendarAdvance(Calendar,R177,"1D","f")</f>
        <v>42387</v>
      </c>
      <c r="S178" s="166">
        <f>_xll.qlTenorBasisValue($P$3,R178,AllTriggers)</f>
        <v>1.301995934430773E-3</v>
      </c>
      <c r="T178" s="154">
        <f>_xll.qlDayCounterYearFraction("actual/365 (fixed)",SettlementDate,R178,,,Trigger)</f>
        <v>0.68219178082191778</v>
      </c>
      <c r="U178" s="166">
        <f>_xll.qlPolynomialFunctionValue($P$18,T178,AllTriggers)</f>
        <v>1.2827657963810676E-3</v>
      </c>
    </row>
    <row r="179" spans="18:21" x14ac:dyDescent="0.2">
      <c r="R179" s="418">
        <f>_xll.qlCalendarAdvance(Calendar,R178,"1D","f")</f>
        <v>42388</v>
      </c>
      <c r="S179" s="166">
        <f>_xll.qlTenorBasisValue($P$3,R179,AllTriggers)</f>
        <v>1.3023485910883868E-3</v>
      </c>
      <c r="T179" s="154">
        <f>_xll.qlDayCounterYearFraction("actual/365 (fixed)",SettlementDate,R179,,,Trigger)</f>
        <v>0.68493150684931503</v>
      </c>
      <c r="U179" s="166">
        <f>_xll.qlPolynomialFunctionValue($P$18,T179,AllTriggers)</f>
        <v>1.2833050233619931E-3</v>
      </c>
    </row>
    <row r="180" spans="18:21" x14ac:dyDescent="0.2">
      <c r="R180" s="418">
        <f>_xll.qlCalendarAdvance(Calendar,R179,"1D","f")</f>
        <v>42389</v>
      </c>
      <c r="S180" s="166">
        <f>_xll.qlTenorBasisValue($P$3,R180,AllTriggers)</f>
        <v>1.3026975470333696E-3</v>
      </c>
      <c r="T180" s="154">
        <f>_xll.qlDayCounterYearFraction("actual/365 (fixed)",SettlementDate,R180,,,Trigger)</f>
        <v>0.68767123287671228</v>
      </c>
      <c r="U180" s="166">
        <f>_xll.qlPolynomialFunctionValue($P$18,T180,AllTriggers)</f>
        <v>1.2838396738234085E-3</v>
      </c>
    </row>
    <row r="181" spans="18:21" x14ac:dyDescent="0.2">
      <c r="R181" s="418">
        <f>_xll.qlCalendarAdvance(Calendar,R180,"1D","f")</f>
        <v>42390</v>
      </c>
      <c r="S181" s="166">
        <f>_xll.qlTenorBasisValue($P$3,R181,AllTriggers)</f>
        <v>1.3030428209298967E-3</v>
      </c>
      <c r="T181" s="154">
        <f>_xll.qlDayCounterYearFraction("actual/365 (fixed)",SettlementDate,R181,,,Trigger)</f>
        <v>0.69041095890410964</v>
      </c>
      <c r="U181" s="166">
        <f>_xll.qlPolynomialFunctionValue($P$18,T181,AllTriggers)</f>
        <v>1.2843697667616796E-3</v>
      </c>
    </row>
    <row r="182" spans="18:21" x14ac:dyDescent="0.2">
      <c r="R182" s="418">
        <f>_xll.qlCalendarAdvance(Calendar,R181,"1D","f")</f>
        <v>42391</v>
      </c>
      <c r="S182" s="166">
        <f>_xll.qlTenorBasisValue($P$3,R182,AllTriggers)</f>
        <v>1.3033844314350232E-3</v>
      </c>
      <c r="T182" s="154">
        <f>_xll.qlDayCounterYearFraction("actual/365 (fixed)",SettlementDate,R182,,,Trigger)</f>
        <v>0.69315068493150689</v>
      </c>
      <c r="U182" s="166">
        <f>_xll.qlPolynomialFunctionValue($P$18,T182,AllTriggers)</f>
        <v>1.2848953211660522E-3</v>
      </c>
    </row>
    <row r="183" spans="18:21" x14ac:dyDescent="0.2">
      <c r="R183" s="418">
        <f>_xll.qlCalendarAdvance(Calendar,R182,"1D","f")</f>
        <v>42394</v>
      </c>
      <c r="S183" s="166">
        <f>_xll.qlTenorBasisValue($P$3,R183,AllTriggers)</f>
        <v>1.3043874690656929E-3</v>
      </c>
      <c r="T183" s="154">
        <f>_xll.qlDayCounterYearFraction("actual/365 (fixed)",SettlementDate,R183,,,Trigger)</f>
        <v>0.70136986301369864</v>
      </c>
      <c r="U183" s="166">
        <f>_xll.qlPolynomialFunctionValue($P$18,T183,AllTriggers)</f>
        <v>1.286444942961379E-3</v>
      </c>
    </row>
    <row r="184" spans="18:21" x14ac:dyDescent="0.2">
      <c r="R184" s="418">
        <f>_xll.qlCalendarAdvance(Calendar,R183,"1D","f")</f>
        <v>42395</v>
      </c>
      <c r="S184" s="166">
        <f>_xll.qlTenorBasisValue($P$3,R184,AllTriggers)</f>
        <v>1.3047146124332998E-3</v>
      </c>
      <c r="T184" s="154">
        <f>_xll.qlDayCounterYearFraction("actual/365 (fixed)",SettlementDate,R184,,,Trigger)</f>
        <v>0.70410958904109588</v>
      </c>
      <c r="U184" s="166">
        <f>_xll.qlPolynomialFunctionValue($P$18,T184,AllTriggers)</f>
        <v>1.2869525329801471E-3</v>
      </c>
    </row>
    <row r="185" spans="18:21" x14ac:dyDescent="0.2">
      <c r="R185" s="418">
        <f>_xll.qlCalendarAdvance(Calendar,R184,"1D","f")</f>
        <v>42396</v>
      </c>
      <c r="S185" s="166">
        <f>_xll.qlTenorBasisValue($P$3,R185,AllTriggers)</f>
        <v>1.3050381855879349E-3</v>
      </c>
      <c r="T185" s="154">
        <f>_xll.qlDayCounterYearFraction("actual/365 (fixed)",SettlementDate,R185,,,Trigger)</f>
        <v>0.70684931506849313</v>
      </c>
      <c r="U185" s="166">
        <f>_xll.qlPolynomialFunctionValue($P$18,T185,AllTriggers)</f>
        <v>1.287455679304399E-3</v>
      </c>
    </row>
    <row r="186" spans="18:21" x14ac:dyDescent="0.2">
      <c r="R186" s="418">
        <f>_xll.qlCalendarAdvance(Calendar,R185,"1D","f")</f>
        <v>42397</v>
      </c>
      <c r="S186" s="166">
        <f>_xll.qlTenorBasisValue($P$3,R186,AllTriggers)</f>
        <v>1.3053582071439168E-3</v>
      </c>
      <c r="T186" s="154">
        <f>_xll.qlDayCounterYearFraction("actual/365 (fixed)",SettlementDate,R186,,,Trigger)</f>
        <v>0.70958904109589038</v>
      </c>
      <c r="U186" s="166">
        <f>_xll.qlPolynomialFunctionValue($P$18,T186,AllTriggers)</f>
        <v>1.2879544008806436E-3</v>
      </c>
    </row>
    <row r="187" spans="18:21" x14ac:dyDescent="0.2">
      <c r="R187" s="418">
        <f>_xll.qlCalendarAdvance(Calendar,R186,"1D","f")</f>
        <v>42398</v>
      </c>
      <c r="S187" s="166">
        <f>_xll.qlTenorBasisValue($P$3,R187,AllTriggers)</f>
        <v>1.3056746957084407E-3</v>
      </c>
      <c r="T187" s="154">
        <f>_xll.qlDayCounterYearFraction("actual/365 (fixed)",SettlementDate,R187,,,Trigger)</f>
        <v>0.71232876712328763</v>
      </c>
      <c r="U187" s="166">
        <f>_xll.qlPolynomialFunctionValue($P$18,T187,AllTriggers)</f>
        <v>1.2884487166482672E-3</v>
      </c>
    </row>
    <row r="188" spans="18:21" x14ac:dyDescent="0.2">
      <c r="R188" s="418">
        <f>_xll.qlCalendarAdvance(Calendar,R187,"1D","f")</f>
        <v>42401</v>
      </c>
      <c r="S188" s="166">
        <f>_xll.qlTenorBasisValue($P$3,R188,AllTriggers)</f>
        <v>1.3066031494183804E-3</v>
      </c>
      <c r="T188" s="154">
        <f>_xll.qlDayCounterYearFraction("actual/365 (fixed)",SettlementDate,R188,,,Trigger)</f>
        <v>0.72054794520547949</v>
      </c>
      <c r="U188" s="166">
        <f>_xll.qlPolynomialFunctionValue($P$18,T188,AllTriggers)</f>
        <v>1.2899054183864354E-3</v>
      </c>
    </row>
    <row r="189" spans="18:21" x14ac:dyDescent="0.2">
      <c r="R189" s="418">
        <f>_xll.qlCalendarAdvance(Calendar,R188,"1D","f")</f>
        <v>42402</v>
      </c>
      <c r="S189" s="166">
        <f>_xll.qlTenorBasisValue($P$3,R189,AllTriggers)</f>
        <v>1.306905691946575E-3</v>
      </c>
      <c r="T189" s="154">
        <f>_xll.qlDayCounterYearFraction("actual/365 (fixed)",SettlementDate,R189,,,Trigger)</f>
        <v>0.72328767123287674</v>
      </c>
      <c r="U189" s="166">
        <f>_xll.qlPolynomialFunctionValue($P$18,T189,AllTriggers)</f>
        <v>1.2903823001709847E-3</v>
      </c>
    </row>
    <row r="190" spans="18:21" x14ac:dyDescent="0.2">
      <c r="R190" s="418">
        <f>_xll.qlCalendarAdvance(Calendar,R189,"1D","f")</f>
        <v>42403</v>
      </c>
      <c r="S190" s="166">
        <f>_xll.qlTenorBasisValue($P$3,R190,AllTriggers)</f>
        <v>1.3072047944124505E-3</v>
      </c>
      <c r="T190" s="154">
        <f>_xll.qlDayCounterYearFraction("actual/365 (fixed)",SettlementDate,R190,,,Trigger)</f>
        <v>0.72602739726027399</v>
      </c>
      <c r="U190" s="166">
        <f>_xll.qlPolynomialFunctionValue($P$18,T190,AllTriggers)</f>
        <v>1.2908548707370052E-3</v>
      </c>
    </row>
    <row r="191" spans="18:21" x14ac:dyDescent="0.2">
      <c r="R191" s="418">
        <f>_xll.qlCalendarAdvance(Calendar,R190,"1D","f")</f>
        <v>42404</v>
      </c>
      <c r="S191" s="166">
        <f>_xll.qlTenorBasisValue($P$3,R191,AllTriggers)</f>
        <v>1.307500475380466E-3</v>
      </c>
      <c r="T191" s="154">
        <f>_xll.qlDayCounterYearFraction("actual/365 (fixed)",SettlementDate,R191,,,Trigger)</f>
        <v>0.72876712328767124</v>
      </c>
      <c r="U191" s="166">
        <f>_xll.qlPolynomialFunctionValue($P$18,T191,AllTriggers)</f>
        <v>1.2913231489811471E-3</v>
      </c>
    </row>
    <row r="192" spans="18:21" x14ac:dyDescent="0.2">
      <c r="R192" s="418">
        <f>_xll.qlCalendarAdvance(Calendar,R191,"1D","f")</f>
        <v>42405</v>
      </c>
      <c r="S192" s="166">
        <f>_xll.qlTenorBasisValue($P$3,R192,AllTriggers)</f>
        <v>1.3077927534079587E-3</v>
      </c>
      <c r="T192" s="154">
        <f>_xll.qlDayCounterYearFraction("actual/365 (fixed)",SettlementDate,R192,,,Trigger)</f>
        <v>0.73150684931506849</v>
      </c>
      <c r="U192" s="166">
        <f>_xll.qlPolynomialFunctionValue($P$18,T192,AllTriggers)</f>
        <v>1.2917871537929376E-3</v>
      </c>
    </row>
    <row r="193" spans="18:21" x14ac:dyDescent="0.2">
      <c r="R193" s="418">
        <f>_xll.qlCalendarAdvance(Calendar,R192,"1D","f")</f>
        <v>42408</v>
      </c>
      <c r="S193" s="166">
        <f>_xll.qlTenorBasisValue($P$3,R193,AllTriggers)</f>
        <v>1.3086493553138353E-3</v>
      </c>
      <c r="T193" s="154">
        <f>_xll.qlDayCounterYearFraction("actual/365 (fixed)",SettlementDate,R193,,,Trigger)</f>
        <v>0.73972602739726023</v>
      </c>
      <c r="U193" s="166">
        <f>_xll.qlPolynomialFunctionValue($P$18,T193,AllTriggers)</f>
        <v>1.293153716422646E-3</v>
      </c>
    </row>
    <row r="194" spans="18:21" x14ac:dyDescent="0.2">
      <c r="R194" s="418">
        <f>_xll.qlCalendarAdvance(Calendar,R193,"1D","f")</f>
        <v>42409</v>
      </c>
      <c r="S194" s="166">
        <f>_xll.qlTenorBasisValue($P$3,R194,AllTriggers)</f>
        <v>1.3089282070101579E-3</v>
      </c>
      <c r="T194" s="154">
        <f>_xll.qlDayCounterYearFraction("actual/365 (fixed)",SettlementDate,R194,,,Trigger)</f>
        <v>0.74246575342465748</v>
      </c>
      <c r="U194" s="166">
        <f>_xll.qlPolynomialFunctionValue($P$18,T194,AllTriggers)</f>
        <v>1.2936008162578608E-3</v>
      </c>
    </row>
    <row r="195" spans="18:21" x14ac:dyDescent="0.2">
      <c r="R195" s="418">
        <f>_xll.qlCalendarAdvance(Calendar,R194,"1D","f")</f>
        <v>42410</v>
      </c>
      <c r="S195" s="166">
        <f>_xll.qlTenorBasisValue($P$3,R195,AllTriggers)</f>
        <v>1.3092037484458048E-3</v>
      </c>
      <c r="T195" s="154">
        <f>_xll.qlDayCounterYearFraction("actual/365 (fixed)",SettlementDate,R195,,,Trigger)</f>
        <v>0.74520547945205484</v>
      </c>
      <c r="U195" s="166">
        <f>_xll.qlPolynomialFunctionValue($P$18,T195,AllTriggers)</f>
        <v>1.2940437370015253E-3</v>
      </c>
    </row>
    <row r="196" spans="18:21" x14ac:dyDescent="0.2">
      <c r="R196" s="418">
        <f>_xll.qlCalendarAdvance(Calendar,R195,"1D","f")</f>
        <v>42411</v>
      </c>
      <c r="S196" s="166">
        <f>_xll.qlTenorBasisValue($P$3,R196,AllTriggers)</f>
        <v>1.3094759981353778E-3</v>
      </c>
      <c r="T196" s="154">
        <f>_xll.qlDayCounterYearFraction("actual/365 (fixed)",SettlementDate,R196,,,Trigger)</f>
        <v>0.74794520547945209</v>
      </c>
      <c r="U196" s="166">
        <f>_xll.qlPolynomialFunctionValue($P$18,T196,AllTriggers)</f>
        <v>1.2944824975004317E-3</v>
      </c>
    </row>
    <row r="197" spans="18:21" x14ac:dyDescent="0.2">
      <c r="R197" s="418">
        <f>_xll.qlCalendarAdvance(Calendar,R196,"1D","f")</f>
        <v>42412</v>
      </c>
      <c r="S197" s="166">
        <f>_xll.qlTenorBasisValue($P$3,R197,AllTriggers)</f>
        <v>1.3097449745863557E-3</v>
      </c>
      <c r="T197" s="154">
        <f>_xll.qlDayCounterYearFraction("actual/365 (fixed)",SettlementDate,R197,,,Trigger)</f>
        <v>0.75068493150684934</v>
      </c>
      <c r="U197" s="166">
        <f>_xll.qlPolynomialFunctionValue($P$18,T197,AllTriggers)</f>
        <v>1.2949171165942497E-3</v>
      </c>
    </row>
    <row r="198" spans="18:21" x14ac:dyDescent="0.2">
      <c r="R198" s="418">
        <f>_xll.qlCalendarAdvance(Calendar,R197,"1D","f")</f>
        <v>42415</v>
      </c>
      <c r="S198" s="166">
        <f>_xll.qlTenorBasisValue($P$3,R198,AllTriggers)</f>
        <v>1.3105324494756675E-3</v>
      </c>
      <c r="T198" s="154">
        <f>_xll.qlDayCounterYearFraction("actual/365 (fixed)",SettlementDate,R198,,,Trigger)</f>
        <v>0.75890410958904109</v>
      </c>
      <c r="U198" s="166">
        <f>_xll.qlPolynomialFunctionValue($P$18,T198,AllTriggers)</f>
        <v>1.2961963137350296E-3</v>
      </c>
    </row>
    <row r="199" spans="18:21" x14ac:dyDescent="0.2">
      <c r="R199" s="418">
        <f>_xll.qlCalendarAdvance(Calendar,R198,"1D","f")</f>
        <v>42416</v>
      </c>
      <c r="S199" s="166">
        <f>_xll.qlTenorBasisValue($P$3,R199,AllTriggers)</f>
        <v>1.3107885179046012E-3</v>
      </c>
      <c r="T199" s="154">
        <f>_xll.qlDayCounterYearFraction("actual/365 (fixed)",SettlementDate,R199,,,Trigger)</f>
        <v>0.76164383561643834</v>
      </c>
      <c r="U199" s="166">
        <f>_xll.qlPolynomialFunctionValue($P$18,T199,AllTriggers)</f>
        <v>1.2966145554627376E-3</v>
      </c>
    </row>
    <row r="200" spans="18:21" x14ac:dyDescent="0.2">
      <c r="R200" s="418">
        <f>_xll.qlCalendarAdvance(Calendar,R199,"1D","f")</f>
        <v>42417</v>
      </c>
      <c r="S200" s="166">
        <f>_xll.qlTenorBasisValue($P$3,R200,AllTriggers)</f>
        <v>1.3110414055254955E-3</v>
      </c>
      <c r="T200" s="154">
        <f>_xll.qlDayCounterYearFraction("actual/365 (fixed)",SettlementDate,R200,,,Trigger)</f>
        <v>0.76438356164383559</v>
      </c>
      <c r="U200" s="166">
        <f>_xll.qlPolynomialFunctionValue($P$18,T200,AllTriggers)</f>
        <v>1.2970287498768663E-3</v>
      </c>
    </row>
    <row r="201" spans="18:21" x14ac:dyDescent="0.2">
      <c r="R201" s="418">
        <f>_xll.qlCalendarAdvance(Calendar,R200,"1D","f")</f>
        <v>42418</v>
      </c>
      <c r="S201" s="166">
        <f>_xll.qlTenorBasisValue($P$3,R201,AllTriggers)</f>
        <v>1.3112911308030936E-3</v>
      </c>
      <c r="T201" s="154">
        <f>_xll.qlDayCounterYearFraction("actual/365 (fixed)",SettlementDate,R201,,,Trigger)</f>
        <v>0.76712328767123283</v>
      </c>
      <c r="U201" s="166">
        <f>_xll.qlPolynomialFunctionValue($P$18,T201,AllTriggers)</f>
        <v>1.2974389157743493E-3</v>
      </c>
    </row>
    <row r="202" spans="18:21" x14ac:dyDescent="0.2">
      <c r="R202" s="418">
        <f>_xll.qlCalendarAdvance(Calendar,R201,"1D","f")</f>
        <v>42419</v>
      </c>
      <c r="S202" s="166">
        <f>_xll.qlTenorBasisValue($P$3,R202,AllTriggers)</f>
        <v>1.3115377121950158E-3</v>
      </c>
      <c r="T202" s="154">
        <f>_xll.qlDayCounterYearFraction("actual/365 (fixed)",SettlementDate,R202,,,Trigger)</f>
        <v>0.76986301369863008</v>
      </c>
      <c r="U202" s="166">
        <f>_xll.qlPolynomialFunctionValue($P$18,T202,AllTriggers)</f>
        <v>1.2978450719449981E-3</v>
      </c>
    </row>
    <row r="203" spans="18:21" x14ac:dyDescent="0.2">
      <c r="R203" s="418">
        <f>_xll.qlCalendarAdvance(Calendar,R202,"1D","f")</f>
        <v>42422</v>
      </c>
      <c r="S203" s="166">
        <f>_xll.qlTenorBasisValue($P$3,R203,AllTriggers)</f>
        <v>1.3122587775260949E-3</v>
      </c>
      <c r="T203" s="154">
        <f>_xll.qlDayCounterYearFraction("actual/365 (fixed)",SettlementDate,R203,,,Trigger)</f>
        <v>0.77808219178082194</v>
      </c>
      <c r="U203" s="166">
        <f>_xll.qlPolynomialFunctionValue($P$18,T203,AllTriggers)</f>
        <v>1.2990396698872144E-3</v>
      </c>
    </row>
    <row r="204" spans="18:21" x14ac:dyDescent="0.2">
      <c r="R204" s="418">
        <f>_xll.qlCalendarAdvance(Calendar,R203,"1D","f")</f>
        <v>42423</v>
      </c>
      <c r="S204" s="166">
        <f>_xll.qlTenorBasisValue($P$3,R204,AllTriggers)</f>
        <v>1.3124929678090681E-3</v>
      </c>
      <c r="T204" s="154">
        <f>_xll.qlDayCounterYearFraction("actual/365 (fixed)",SettlementDate,R204,,,Trigger)</f>
        <v>0.78082191780821919</v>
      </c>
      <c r="U204" s="166">
        <f>_xll.qlPolynomialFunctionValue($P$18,T204,AllTriggers)</f>
        <v>1.2994299749061876E-3</v>
      </c>
    </row>
    <row r="205" spans="18:21" x14ac:dyDescent="0.2">
      <c r="R205" s="418">
        <f>_xll.qlCalendarAdvance(Calendar,R204,"1D","f")</f>
        <v>42424</v>
      </c>
      <c r="S205" s="166">
        <f>_xll.qlTenorBasisValue($P$3,R205,AllTriggers)</f>
        <v>1.31272410638763E-3</v>
      </c>
      <c r="T205" s="154">
        <f>_xll.qlDayCounterYearFraction("actual/365 (fixed)",SettlementDate,R205,,,Trigger)</f>
        <v>0.78356164383561644</v>
      </c>
      <c r="U205" s="166">
        <f>_xll.qlPolynomialFunctionValue($P$18,T205,AllTriggers)</f>
        <v>1.2998163640405445E-3</v>
      </c>
    </row>
    <row r="206" spans="18:21" x14ac:dyDescent="0.2">
      <c r="R206" s="418">
        <f>_xll.qlCalendarAdvance(Calendar,R205,"1D","f")</f>
        <v>42425</v>
      </c>
      <c r="S206" s="166">
        <f>_xll.qlTenorBasisValue($P$3,R206,AllTriggers)</f>
        <v>1.3129522116766647E-3</v>
      </c>
      <c r="T206" s="154">
        <f>_xll.qlDayCounterYearFraction("actual/365 (fixed)",SettlementDate,R206,,,Trigger)</f>
        <v>0.78630136986301369</v>
      </c>
      <c r="U206" s="166">
        <f>_xll.qlPolynomialFunctionValue($P$18,T206,AllTriggers)</f>
        <v>1.3001988560373606E-3</v>
      </c>
    </row>
    <row r="207" spans="18:21" x14ac:dyDescent="0.2">
      <c r="R207" s="418">
        <f>_xll.qlCalendarAdvance(Calendar,R206,"1D","f")</f>
        <v>42426</v>
      </c>
      <c r="S207" s="166">
        <f>_xll.qlTenorBasisValue($P$3,R207,AllTriggers)</f>
        <v>1.3131773020839356E-3</v>
      </c>
      <c r="T207" s="154">
        <f>_xll.qlDayCounterYearFraction("actual/365 (fixed)",SettlementDate,R207,,,Trigger)</f>
        <v>0.78904109589041094</v>
      </c>
      <c r="U207" s="166">
        <f>_xll.qlPolynomialFunctionValue($P$18,T207,AllTriggers)</f>
        <v>1.3005774696365885E-3</v>
      </c>
    </row>
    <row r="208" spans="18:21" x14ac:dyDescent="0.2">
      <c r="R208" s="418">
        <f>_xll.qlCalendarAdvance(Calendar,R207,"1D","f")</f>
        <v>42429</v>
      </c>
      <c r="S208" s="166">
        <f>_xll.qlTenorBasisValue($P$3,R208,AllTriggers)</f>
        <v>1.3138346679859459E-3</v>
      </c>
      <c r="T208" s="154">
        <f>_xll.qlDayCounterYearFraction("actual/365 (fixed)",SettlementDate,R208,,,Trigger)</f>
        <v>0.79726027397260268</v>
      </c>
      <c r="U208" s="166">
        <f>_xll.qlPolynomialFunctionValue($P$18,T208,AllTriggers)</f>
        <v>1.301690227341437E-3</v>
      </c>
    </row>
    <row r="209" spans="18:21" x14ac:dyDescent="0.2">
      <c r="R209" s="418">
        <f>_xll.qlCalendarAdvance(Calendar,R208,"1D","f")</f>
        <v>42430</v>
      </c>
      <c r="S209" s="166">
        <f>_xll.qlTenorBasisValue($P$3,R209,AllTriggers)</f>
        <v>1.3140478828013308E-3</v>
      </c>
      <c r="T209" s="154">
        <f>_xll.qlDayCounterYearFraction("actual/365 (fixed)",SettlementDate,R209,,,Trigger)</f>
        <v>0.8</v>
      </c>
      <c r="U209" s="166">
        <f>_xll.qlPolynomialFunctionValue($P$18,T209,AllTriggers)</f>
        <v>1.3020535146073921E-3</v>
      </c>
    </row>
    <row r="210" spans="18:21" x14ac:dyDescent="0.2">
      <c r="R210" s="418">
        <f>_xll.qlCalendarAdvance(Calendar,R209,"1D","f")</f>
        <v>42431</v>
      </c>
      <c r="S210" s="166">
        <f>_xll.qlTenorBasisValue($P$3,R210,AllTriggers)</f>
        <v>1.3142581746669239E-3</v>
      </c>
      <c r="T210" s="154">
        <f>_xll.qlDayCounterYearFraction("actual/365 (fixed)",SettlementDate,R210,,,Trigger)</f>
        <v>0.80273972602739729</v>
      </c>
      <c r="U210" s="166">
        <f>_xll.qlPolynomialFunctionValue($P$18,T210,AllTriggers)</f>
        <v>1.3024130170686855E-3</v>
      </c>
    </row>
    <row r="211" spans="18:21" x14ac:dyDescent="0.2">
      <c r="R211" s="418">
        <f>_xll.qlCalendarAdvance(Calendar,R210,"1D","f")</f>
        <v>42432</v>
      </c>
      <c r="S211" s="166">
        <f>_xll.qlTenorBasisValue($P$3,R211,AllTriggers)</f>
        <v>1.3144655619477521E-3</v>
      </c>
      <c r="T211" s="154">
        <f>_xll.qlDayCounterYearFraction("actual/365 (fixed)",SettlementDate,R211,,,Trigger)</f>
        <v>0.80547945205479454</v>
      </c>
      <c r="U211" s="166">
        <f>_xll.qlPolynomialFunctionValue($P$18,T211,AllTriggers)</f>
        <v>1.3027687534225346E-3</v>
      </c>
    </row>
    <row r="212" spans="18:21" x14ac:dyDescent="0.2">
      <c r="R212" s="418">
        <f>_xll.qlCalendarAdvance(Calendar,R211,"1D","f")</f>
        <v>42433</v>
      </c>
      <c r="S212" s="166">
        <f>_xll.qlTenorBasisValue($P$3,R212,AllTriggers)</f>
        <v>1.3146700630017195E-3</v>
      </c>
      <c r="T212" s="154">
        <f>_xll.qlDayCounterYearFraction("actual/365 (fixed)",SettlementDate,R212,,,Trigger)</f>
        <v>0.80821917808219179</v>
      </c>
      <c r="U212" s="166">
        <f>_xll.qlPolynomialFunctionValue($P$18,T212,AllTriggers)</f>
        <v>1.3031207423590345E-3</v>
      </c>
    </row>
    <row r="213" spans="18:21" x14ac:dyDescent="0.2">
      <c r="R213" s="418">
        <f>_xll.qlCalendarAdvance(Calendar,R212,"1D","f")</f>
        <v>42436</v>
      </c>
      <c r="S213" s="166">
        <f>_xll.qlTenorBasisValue($P$3,R213,AllTriggers)</f>
        <v>1.315266432274658E-3</v>
      </c>
      <c r="T213" s="154">
        <f>_xll.qlDayCounterYearFraction("actual/365 (fixed)",SettlementDate,R213,,,Trigger)</f>
        <v>0.81643835616438354</v>
      </c>
      <c r="U213" s="166">
        <f>_xll.qlPolynomialFunctionValue($P$18,T213,AllTriggers)</f>
        <v>1.3041544114585446E-3</v>
      </c>
    </row>
    <row r="214" spans="18:21" x14ac:dyDescent="0.2">
      <c r="R214" s="418">
        <f>_xll.qlCalendarAdvance(Calendar,R213,"1D","f")</f>
        <v>42437</v>
      </c>
      <c r="S214" s="166">
        <f>_xll.qlTenorBasisValue($P$3,R214,AllTriggers)</f>
        <v>1.3154595718577701E-3</v>
      </c>
      <c r="T214" s="154">
        <f>_xll.qlDayCounterYearFraction("actual/365 (fixed)",SettlementDate,R214,,,Trigger)</f>
        <v>0.81917808219178079</v>
      </c>
      <c r="U214" s="166">
        <f>_xll.qlPolynomialFunctionValue($P$18,T214,AllTriggers)</f>
        <v>1.3044915974841417E-3</v>
      </c>
    </row>
    <row r="215" spans="18:21" x14ac:dyDescent="0.2">
      <c r="R215" s="418">
        <f>_xll.qlCalendarAdvance(Calendar,R214,"1D","f")</f>
        <v>42438</v>
      </c>
      <c r="S215" s="166">
        <f>_xll.qlTenorBasisValue($P$3,R215,AllTriggers)</f>
        <v>1.3156499168967028E-3</v>
      </c>
      <c r="T215" s="154">
        <f>_xll.qlDayCounterYearFraction("actual/365 (fixed)",SettlementDate,R215,,,Trigger)</f>
        <v>0.82191780821917804</v>
      </c>
      <c r="U215" s="166">
        <f>_xll.qlPolynomialFunctionValue($P$18,T215,AllTriggers)</f>
        <v>1.3048251294360241E-3</v>
      </c>
    </row>
    <row r="216" spans="18:21" x14ac:dyDescent="0.2">
      <c r="R216" s="418">
        <f>_xll.qlCalendarAdvance(Calendar,R215,"1D","f")</f>
        <v>42439</v>
      </c>
      <c r="S216" s="166">
        <f>_xll.qlTenorBasisValue($P$3,R216,AllTriggers)</f>
        <v>1.3158374857066243E-3</v>
      </c>
      <c r="T216" s="154">
        <f>_xll.qlDayCounterYearFraction("actual/365 (fixed)",SettlementDate,R216,,,Trigger)</f>
        <v>0.8246575342465754</v>
      </c>
      <c r="U216" s="166">
        <f>_xll.qlPolynomialFunctionValue($P$18,T216,AllTriggers)</f>
        <v>1.3051550259615505E-3</v>
      </c>
    </row>
    <row r="217" spans="18:21" x14ac:dyDescent="0.2">
      <c r="R217" s="418">
        <f>_xll.qlCalendarAdvance(Calendar,R216,"1D","f")</f>
        <v>42440</v>
      </c>
      <c r="S217" s="166">
        <f>_xll.qlTenorBasisValue($P$3,R217,AllTriggers)</f>
        <v>1.3160222965955808E-3</v>
      </c>
      <c r="T217" s="154">
        <f>_xll.qlDayCounterYearFraction("actual/365 (fixed)",SettlementDate,R217,,,Trigger)</f>
        <v>0.82739726027397265</v>
      </c>
      <c r="U217" s="166">
        <f>_xll.qlPolynomialFunctionValue($P$18,T217,AllTriggers)</f>
        <v>1.3054813057009583E-3</v>
      </c>
    </row>
    <row r="218" spans="18:21" x14ac:dyDescent="0.2">
      <c r="R218" s="418">
        <f>_xll.qlCalendarAdvance(Calendar,R217,"1D","f")</f>
        <v>42443</v>
      </c>
      <c r="S218" s="166">
        <f>_xll.qlTenorBasisValue($P$3,R218,AllTriggers)</f>
        <v>1.3165603647102757E-3</v>
      </c>
      <c r="T218" s="154">
        <f>_xll.qlDayCounterYearFraction("actual/365 (fixed)",SettlementDate,R218,,,Trigger)</f>
        <v>0.83561643835616439</v>
      </c>
      <c r="U218" s="166">
        <f>_xll.qlPolynomialFunctionValue($P$18,T218,AllTriggers)</f>
        <v>1.3064386304979918E-3</v>
      </c>
    </row>
    <row r="219" spans="18:21" x14ac:dyDescent="0.2">
      <c r="R219" s="418">
        <f>_xll.qlCalendarAdvance(Calendar,R218,"1D","f")</f>
        <v>42444</v>
      </c>
      <c r="S219" s="166">
        <f>_xll.qlTenorBasisValue($P$3,R219,AllTriggers)</f>
        <v>1.3167343268533761E-3</v>
      </c>
      <c r="T219" s="154">
        <f>_xll.qlDayCounterYearFraction("actual/365 (fixed)",SettlementDate,R219,,,Trigger)</f>
        <v>0.83835616438356164</v>
      </c>
      <c r="U219" s="166">
        <f>_xll.qlPolynomialFunctionValue($P$18,T219,AllTriggers)</f>
        <v>1.3067506293528359E-3</v>
      </c>
    </row>
    <row r="220" spans="18:21" x14ac:dyDescent="0.2">
      <c r="R220" s="418">
        <f>_xll.qlCalendarAdvance(Calendar,R219,"1D","f")</f>
        <v>42445</v>
      </c>
      <c r="S220" s="166">
        <f>_xll.qlTenorBasisValue($P$3,R220,AllTriggers)</f>
        <v>1.3169056225089011E-3</v>
      </c>
      <c r="T220" s="154">
        <f>_xll.qlDayCounterYearFraction("actual/365 (fixed)",SettlementDate,R220,,,Trigger)</f>
        <v>0.84109589041095889</v>
      </c>
      <c r="U220" s="166">
        <f>_xll.qlPolynomialFunctionValue($P$18,T220,AllTriggers)</f>
        <v>1.3070591045159041E-3</v>
      </c>
    </row>
    <row r="221" spans="18:21" x14ac:dyDescent="0.2">
      <c r="R221" s="418">
        <f>_xll.qlCalendarAdvance(Calendar,R220,"1D","f")</f>
        <v>42446</v>
      </c>
      <c r="S221" s="166">
        <f>_xll.qlTenorBasisValue($P$3,R221,AllTriggers)</f>
        <v>1.3170742699421605E-3</v>
      </c>
      <c r="T221" s="154">
        <f>_xll.qlDayCounterYearFraction("actual/365 (fixed)",SettlementDate,R221,,,Trigger)</f>
        <v>0.84383561643835614</v>
      </c>
      <c r="U221" s="166">
        <f>_xll.qlPolynomialFunctionValue($P$18,T221,AllTriggers)</f>
        <v>1.3073640745846968E-3</v>
      </c>
    </row>
    <row r="222" spans="18:21" x14ac:dyDescent="0.2">
      <c r="R222" s="418">
        <f>_xll.qlCalendarAdvance(Calendar,R221,"1D","f")</f>
        <v>42447</v>
      </c>
      <c r="S222" s="166">
        <f>_xll.qlTenorBasisValue($P$3,R222,AllTriggers)</f>
        <v>1.3172402874113425E-3</v>
      </c>
      <c r="T222" s="154">
        <f>_xll.qlDayCounterYearFraction("actual/365 (fixed)",SettlementDate,R222,,,Trigger)</f>
        <v>0.84657534246575339</v>
      </c>
      <c r="U222" s="166">
        <f>_xll.qlPolynomialFunctionValue($P$18,T222,AllTriggers)</f>
        <v>1.3076655581495931E-3</v>
      </c>
    </row>
    <row r="223" spans="18:21" x14ac:dyDescent="0.2">
      <c r="R223" s="418">
        <f>_xll.qlCalendarAdvance(Calendar,R222,"1D","f")</f>
        <v>42450</v>
      </c>
      <c r="S223" s="166">
        <f>_xll.qlTenorBasisValue($P$3,R223,AllTriggers)</f>
        <v>1.317722742509456E-3</v>
      </c>
      <c r="T223" s="154">
        <f>_xll.qlDayCounterYearFraction("actual/365 (fixed)",SettlementDate,R223,,,Trigger)</f>
        <v>0.85479452054794525</v>
      </c>
      <c r="U223" s="166">
        <f>_xll.qlPolynomialFunctionValue($P$18,T223,AllTriggers)</f>
        <v>1.3085492756178447E-3</v>
      </c>
    </row>
    <row r="224" spans="18:21" x14ac:dyDescent="0.2">
      <c r="R224" s="418">
        <f>_xll.qlCalendarAdvance(Calendar,R223,"1D","f")</f>
        <v>42451</v>
      </c>
      <c r="S224" s="166">
        <f>_xll.qlTenorBasisValue($P$3,R224,AllTriggers)</f>
        <v>1.3178784225617492E-3</v>
      </c>
      <c r="T224" s="154">
        <f>_xll.qlDayCounterYearFraction("actual/365 (fixed)",SettlementDate,R224,,,Trigger)</f>
        <v>0.8575342465753425</v>
      </c>
      <c r="U224" s="166">
        <f>_xll.qlPolynomialFunctionValue($P$18,T224,AllTriggers)</f>
        <v>1.3088369989284836E-3</v>
      </c>
    </row>
    <row r="225" spans="18:21" x14ac:dyDescent="0.2">
      <c r="R225" s="418">
        <f>_xll.qlCalendarAdvance(Calendar,R224,"1D","f")</f>
        <v>42452</v>
      </c>
      <c r="S225" s="166">
        <f>_xll.qlTenorBasisValue($P$3,R225,AllTriggers)</f>
        <v>1.3180315638340627E-3</v>
      </c>
      <c r="T225" s="154">
        <f>_xll.qlDayCounterYearFraction("actual/365 (fixed)",SettlementDate,R225,,,Trigger)</f>
        <v>0.86027397260273974</v>
      </c>
      <c r="U225" s="166">
        <f>_xll.qlPolynomialFunctionValue($P$18,T225,AllTriggers)</f>
        <v>1.3091213285802779E-3</v>
      </c>
    </row>
    <row r="226" spans="18:21" x14ac:dyDescent="0.2">
      <c r="R226" s="418">
        <f>_xll.qlCalendarAdvance(Calendar,R225,"1D","f")</f>
        <v>42453</v>
      </c>
      <c r="S226" s="166">
        <f>_xll.qlTenorBasisValue($P$3,R226,AllTriggers)</f>
        <v>1.318182184541849E-3</v>
      </c>
      <c r="T226" s="154">
        <f>_xll.qlDayCounterYearFraction("actual/365 (fixed)",SettlementDate,R226,,,Trigger)</f>
        <v>0.86301369863013699</v>
      </c>
      <c r="U226" s="166">
        <f>_xll.qlPolynomialFunctionValue($P$18,T226,AllTriggers)</f>
        <v>1.3094022831208706E-3</v>
      </c>
    </row>
    <row r="227" spans="18:21" x14ac:dyDescent="0.2">
      <c r="R227" s="418">
        <f>_xll.qlCalendarAdvance(Calendar,R226,"1D","f")</f>
        <v>42458</v>
      </c>
      <c r="S227" s="166">
        <f>_xll.qlTenorBasisValue($P$3,R227,AllTriggers)</f>
        <v>1.3188981166550975E-3</v>
      </c>
      <c r="T227" s="154">
        <f>_xll.qlDayCounterYearFraction("actual/365 (fixed)",SettlementDate,R227,,,Trigger)</f>
        <v>0.87671232876712324</v>
      </c>
      <c r="U227" s="166">
        <f>_xll.qlPolynomialFunctionValue($P$18,T227,AllTriggers)</f>
        <v>1.3107570778247031E-3</v>
      </c>
    </row>
    <row r="228" spans="18:21" x14ac:dyDescent="0.2">
      <c r="R228" s="418">
        <f>_xll.qlCalendarAdvance(Calendar,R227,"1D","f")</f>
        <v>42459</v>
      </c>
      <c r="S228" s="166">
        <f>_xll.qlTenorBasisValue($P$3,R228,AllTriggers)</f>
        <v>1.3190339961013406E-3</v>
      </c>
      <c r="T228" s="154">
        <f>_xll.qlDayCounterYearFraction("actual/365 (fixed)",SettlementDate,R228,,,Trigger)</f>
        <v>0.8794520547945206</v>
      </c>
      <c r="U228" s="166">
        <f>_xll.qlPolynomialFunctionValue($P$18,T228,AllTriggers)</f>
        <v>1.311018170799709E-3</v>
      </c>
    </row>
    <row r="229" spans="18:21" x14ac:dyDescent="0.2">
      <c r="R229" s="418">
        <f>_xll.qlCalendarAdvance(Calendar,R228,"1D","f")</f>
        <v>42460</v>
      </c>
      <c r="S229" s="166">
        <f>_xll.qlTenorBasisValue($P$3,R229,AllTriggers)</f>
        <v>1.3191674822917861E-3</v>
      </c>
      <c r="T229" s="154">
        <f>_xll.qlDayCounterYearFraction("actual/365 (fixed)",SettlementDate,R229,,,Trigger)</f>
        <v>0.88219178082191785</v>
      </c>
      <c r="U229" s="166">
        <f>_xll.qlPolynomialFunctionValue($P$18,T229,AllTriggers)</f>
        <v>1.3112760182975773E-3</v>
      </c>
    </row>
    <row r="230" spans="18:21" x14ac:dyDescent="0.2">
      <c r="R230" s="418">
        <f>_xll.qlCalendarAdvance(Calendar,R229,"1D","f")</f>
        <v>42461</v>
      </c>
      <c r="S230" s="166">
        <f>_xll.qlTenorBasisValue($P$3,R230,AllTriggers)</f>
        <v>1.3192985933849048E-3</v>
      </c>
      <c r="T230" s="154">
        <f>_xll.qlDayCounterYearFraction("actual/365 (fixed)",SettlementDate,R230,,,Trigger)</f>
        <v>0.8849315068493151</v>
      </c>
      <c r="U230" s="166">
        <f>_xll.qlPolynomialFunctionValue($P$18,T230,AllTriggers)</f>
        <v>1.3115306388089699E-3</v>
      </c>
    </row>
    <row r="231" spans="18:21" x14ac:dyDescent="0.2">
      <c r="R231" s="418">
        <f>_xll.qlCalendarAdvance(Calendar,R230,"1D","f")</f>
        <v>42464</v>
      </c>
      <c r="S231" s="166">
        <f>_xll.qlTenorBasisValue($P$3,R231,AllTriggers)</f>
        <v>1.3196778575581701E-3</v>
      </c>
      <c r="T231" s="154">
        <f>_xll.qlDayCounterYearFraction("actual/365 (fixed)",SettlementDate,R231,,,Trigger)</f>
        <v>0.89315068493150684</v>
      </c>
      <c r="U231" s="166">
        <f>_xll.qlPolynomialFunctionValue($P$18,T231,AllTriggers)</f>
        <v>1.3122753232240689E-3</v>
      </c>
    </row>
    <row r="232" spans="18:21" x14ac:dyDescent="0.2">
      <c r="R232" s="418">
        <f>_xll.qlCalendarAdvance(Calendar,R231,"1D","f")</f>
        <v>42465</v>
      </c>
      <c r="S232" s="166">
        <f>_xll.qlTenorBasisValue($P$3,R232,AllTriggers)</f>
        <v>1.3197996497042389E-3</v>
      </c>
      <c r="T232" s="154">
        <f>_xll.qlDayCounterYearFraction("actual/365 (fixed)",SettlementDate,R232,,,Trigger)</f>
        <v>0.89589041095890409</v>
      </c>
      <c r="U232" s="166">
        <f>_xll.qlPolynomialFunctionValue($P$18,T232,AllTriggers)</f>
        <v>1.312517220553722E-3</v>
      </c>
    </row>
    <row r="233" spans="18:21" x14ac:dyDescent="0.2">
      <c r="R233" s="418">
        <f>_xll.qlCalendarAdvance(Calendar,R232,"1D","f")</f>
        <v>42466</v>
      </c>
      <c r="S233" s="166">
        <f>_xll.qlTenorBasisValue($P$3,R233,AllTriggers)</f>
        <v>1.3199191574384966E-3</v>
      </c>
      <c r="T233" s="154">
        <f>_xll.qlDayCounterYearFraction("actual/365 (fixed)",SettlementDate,R233,,,Trigger)</f>
        <v>0.89863013698630134</v>
      </c>
      <c r="U233" s="166">
        <f>_xll.qlPolynomialFunctionValue($P$18,T233,AllTriggers)</f>
        <v>1.3127559832433685E-3</v>
      </c>
    </row>
    <row r="234" spans="18:21" x14ac:dyDescent="0.2">
      <c r="R234" s="418">
        <f>_xll.qlCalendarAdvance(Calendar,R233,"1D","f")</f>
        <v>42467</v>
      </c>
      <c r="S234" s="166">
        <f>_xll.qlTenorBasisValue($P$3,R234,AllTriggers)</f>
        <v>1.3200363988766783E-3</v>
      </c>
      <c r="T234" s="154">
        <f>_xll.qlDayCounterYearFraction("actual/365 (fixed)",SettlementDate,R234,,,Trigger)</f>
        <v>0.90136986301369859</v>
      </c>
      <c r="U234" s="166">
        <f>_xll.qlPolynomialFunctionValue($P$18,T234,AllTriggers)</f>
        <v>1.3129916297409338E-3</v>
      </c>
    </row>
    <row r="235" spans="18:21" x14ac:dyDescent="0.2">
      <c r="R235" s="418">
        <f>_xll.qlCalendarAdvance(Calendar,R234,"1D","f")</f>
        <v>42468</v>
      </c>
      <c r="S235" s="166">
        <f>_xll.qlTenorBasisValue($P$3,R235,AllTriggers)</f>
        <v>1.3201513921273968E-3</v>
      </c>
      <c r="T235" s="154">
        <f>_xll.qlDayCounterYearFraction("actual/365 (fixed)",SettlementDate,R235,,,Trigger)</f>
        <v>0.90410958904109584</v>
      </c>
      <c r="U235" s="166">
        <f>_xll.qlPolynomialFunctionValue($P$18,T235,AllTriggers)</f>
        <v>1.3132241784872222E-3</v>
      </c>
    </row>
    <row r="236" spans="18:21" x14ac:dyDescent="0.2">
      <c r="R236" s="418">
        <f>_xll.qlCalendarAdvance(Calendar,R235,"1D","f")</f>
        <v>42471</v>
      </c>
      <c r="S236" s="166">
        <f>_xll.qlTenorBasisValue($P$3,R236,AllTriggers)</f>
        <v>1.3204830637340609E-3</v>
      </c>
      <c r="T236" s="154">
        <f>_xll.qlDayCounterYearFraction("actual/365 (fixed)",SettlementDate,R236,,,Trigger)</f>
        <v>0.9123287671232877</v>
      </c>
      <c r="U236" s="166">
        <f>_xll.qlPolynomialFunctionValue($P$18,T236,AllTriggers)</f>
        <v>1.3139034225196165E-3</v>
      </c>
    </row>
    <row r="237" spans="18:21" x14ac:dyDescent="0.2">
      <c r="R237" s="418">
        <f>_xll.qlCalendarAdvance(Calendar,R236,"1D","f")</f>
        <v>42472</v>
      </c>
      <c r="S237" s="166">
        <f>_xll.qlTenorBasisValue($P$3,R237,AllTriggers)</f>
        <v>1.3205892451786014E-3</v>
      </c>
      <c r="T237" s="154">
        <f>_xll.qlDayCounterYearFraction("actual/365 (fixed)",SettlementDate,R237,,,Trigger)</f>
        <v>0.91506849315068495</v>
      </c>
      <c r="U237" s="166">
        <f>_xll.qlPolynomialFunctionValue($P$18,T237,AllTriggers)</f>
        <v>1.3141237645263764E-3</v>
      </c>
    </row>
    <row r="238" spans="18:21" x14ac:dyDescent="0.2">
      <c r="R238" s="418">
        <f>_xll.qlCalendarAdvance(Calendar,R237,"1D","f")</f>
        <v>42473</v>
      </c>
      <c r="S238" s="166">
        <f>_xll.qlTenorBasisValue($P$3,R238,AllTriggers)</f>
        <v>1.3206932688719026E-3</v>
      </c>
      <c r="T238" s="154">
        <f>_xll.qlDayCounterYearFraction("actual/365 (fixed)",SettlementDate,R238,,,Trigger)</f>
        <v>0.9178082191780822</v>
      </c>
      <c r="U238" s="166">
        <f>_xll.qlPolynomialFunctionValue($P$18,T238,AllTriggers)</f>
        <v>1.3143411008790368E-3</v>
      </c>
    </row>
    <row r="239" spans="18:21" x14ac:dyDescent="0.2">
      <c r="R239" s="418">
        <f>_xll.qlCalendarAdvance(Calendar,R238,"1D","f")</f>
        <v>42474</v>
      </c>
      <c r="S239" s="166">
        <f>_xll.qlTenorBasisValue($P$3,R239,AllTriggers)</f>
        <v>1.3207951528798416E-3</v>
      </c>
      <c r="T239" s="154">
        <f>_xll.qlDayCounterYearFraction("actual/365 (fixed)",SettlementDate,R239,,,Trigger)</f>
        <v>0.92054794520547945</v>
      </c>
      <c r="U239" s="166">
        <f>_xll.qlPolynomialFunctionValue($P$18,T239,AllTriggers)</f>
        <v>1.314555449975665E-3</v>
      </c>
    </row>
    <row r="240" spans="18:21" x14ac:dyDescent="0.2">
      <c r="R240" s="418">
        <f>_xll.qlCalendarAdvance(Calendar,R239,"1D","f")</f>
        <v>42475</v>
      </c>
      <c r="S240" s="166">
        <f>_xll.qlTenorBasisValue($P$3,R240,AllTriggers)</f>
        <v>1.3208949152611735E-3</v>
      </c>
      <c r="T240" s="154">
        <f>_xll.qlDayCounterYearFraction("actual/365 (fixed)",SettlementDate,R240,,,Trigger)</f>
        <v>0.92328767123287669</v>
      </c>
      <c r="U240" s="166">
        <f>_xll.qlPolynomialFunctionValue($P$18,T240,AllTriggers)</f>
        <v>1.3147668302072061E-3</v>
      </c>
    </row>
    <row r="241" spans="18:21" x14ac:dyDescent="0.2">
      <c r="R241" s="418">
        <f>_xll.qlCalendarAdvance(Calendar,R240,"1D","f")</f>
        <v>42478</v>
      </c>
      <c r="S241" s="166">
        <f>_xll.qlTenorBasisValue($P$3,R241,AllTriggers)</f>
        <v>1.3211816531262276E-3</v>
      </c>
      <c r="T241" s="154">
        <f>_xll.qlDayCounterYearFraction("actual/365 (fixed)",SettlementDate,R241,,,Trigger)</f>
        <v>0.93150684931506844</v>
      </c>
      <c r="U241" s="166">
        <f>_xll.qlPolynomialFunctionValue($P$18,T241,AllTriggers)</f>
        <v>1.3153833415139201E-3</v>
      </c>
    </row>
    <row r="242" spans="18:21" x14ac:dyDescent="0.2">
      <c r="R242" s="418">
        <f>_xll.qlCalendarAdvance(Calendar,R241,"1D","f")</f>
        <v>42479</v>
      </c>
      <c r="S242" s="166">
        <f>_xll.qlTenorBasisValue($P$3,R242,AllTriggers)</f>
        <v>1.3212731094462203E-3</v>
      </c>
      <c r="T242" s="154">
        <f>_xll.qlDayCounterYearFraction("actual/365 (fixed)",SettlementDate,R242,,,Trigger)</f>
        <v>0.9342465753424658</v>
      </c>
      <c r="U242" s="166">
        <f>_xll.qlPolynomialFunctionValue($P$18,T242,AllTriggers)</f>
        <v>1.3155830300521122E-3</v>
      </c>
    </row>
    <row r="243" spans="18:21" x14ac:dyDescent="0.2">
      <c r="R243" s="418">
        <f>_xll.qlCalendarAdvance(Calendar,R242,"1D","f")</f>
        <v>42480</v>
      </c>
      <c r="S243" s="166">
        <f>_xll.qlTenorBasisValue($P$3,R243,AllTriggers)</f>
        <v>1.3213625343265385E-3</v>
      </c>
      <c r="T243" s="154">
        <f>_xll.qlDayCounterYearFraction("actual/365 (fixed)",SettlementDate,R243,,,Trigger)</f>
        <v>0.93698630136986305</v>
      </c>
      <c r="U243" s="166">
        <f>_xll.qlPolynomialFunctionValue($P$18,T243,AllTriggers)</f>
        <v>1.3157798415731037E-3</v>
      </c>
    </row>
    <row r="244" spans="18:21" x14ac:dyDescent="0.2">
      <c r="R244" s="418">
        <f>_xll.qlCalendarAdvance(Calendar,R243,"1D","f")</f>
        <v>42481</v>
      </c>
      <c r="S244" s="166">
        <f>_xll.qlTenorBasisValue($P$3,R244,AllTriggers)</f>
        <v>1.3214499457832004E-3</v>
      </c>
      <c r="T244" s="154">
        <f>_xll.qlDayCounterYearFraction("actual/365 (fixed)",SettlementDate,R244,,,Trigger)</f>
        <v>0.9397260273972603</v>
      </c>
      <c r="U244" s="166">
        <f>_xll.qlPolynomialFunctionValue($P$18,T244,AllTriggers)</f>
        <v>1.3159737944251038E-3</v>
      </c>
    </row>
    <row r="245" spans="18:21" x14ac:dyDescent="0.2">
      <c r="R245" s="418">
        <f>_xll.qlCalendarAdvance(Calendar,R244,"1D","f")</f>
        <v>42482</v>
      </c>
      <c r="S245" s="166">
        <f>_xll.qlTenorBasisValue($P$3,R245,AllTriggers)</f>
        <v>1.3215353618251024E-3</v>
      </c>
      <c r="T245" s="154">
        <f>_xll.qlDayCounterYearFraction("actual/365 (fixed)",SettlementDate,R245,,,Trigger)</f>
        <v>0.94246575342465755</v>
      </c>
      <c r="U245" s="166">
        <f>_xll.qlPolynomialFunctionValue($P$18,T245,AllTriggers)</f>
        <v>1.3161649069491999E-3</v>
      </c>
    </row>
    <row r="246" spans="18:21" x14ac:dyDescent="0.2">
      <c r="R246" s="418">
        <f>_xll.qlCalendarAdvance(Calendar,R245,"1D","f")</f>
        <v>42485</v>
      </c>
      <c r="S246" s="166">
        <f>_xll.qlTenorBasisValue($P$3,R246,AllTriggers)</f>
        <v>1.3217798174443708E-3</v>
      </c>
      <c r="T246" s="154">
        <f>_xll.qlDayCounterYearFraction("actual/365 (fixed)",SettlementDate,R246,,,Trigger)</f>
        <v>0.9506849315068493</v>
      </c>
      <c r="U246" s="166">
        <f>_xll.qlPolynomialFunctionValue($P$18,T246,AllTriggers)</f>
        <v>1.3167213858580901E-3</v>
      </c>
    </row>
    <row r="247" spans="18:21" x14ac:dyDescent="0.2">
      <c r="R247" s="418">
        <f>_xll.qlCalendarAdvance(Calendar,R246,"1D","f")</f>
        <v>42486</v>
      </c>
      <c r="S247" s="166">
        <f>_xll.qlTenorBasisValue($P$3,R247,AllTriggers)</f>
        <v>1.3218574317737416E-3</v>
      </c>
      <c r="T247" s="154">
        <f>_xll.qlDayCounterYearFraction("actual/365 (fixed)",SettlementDate,R247,,,Trigger)</f>
        <v>0.95342465753424654</v>
      </c>
      <c r="U247" s="166">
        <f>_xll.qlPolynomialFunctionValue($P$18,T247,AllTriggers)</f>
        <v>1.3169013203389842E-3</v>
      </c>
    </row>
    <row r="248" spans="18:21" x14ac:dyDescent="0.2">
      <c r="R248" s="418">
        <f>_xll.qlCalendarAdvance(Calendar,R247,"1D","f")</f>
        <v>42487</v>
      </c>
      <c r="S248" s="166">
        <f>_xll.qlTenorBasisValue($P$3,R248,AllTriggers)</f>
        <v>1.3219331406259941E-3</v>
      </c>
      <c r="T248" s="154">
        <f>_xll.qlDayCounterYearFraction("actual/365 (fixed)",SettlementDate,R248,,,Trigger)</f>
        <v>0.95616438356164379</v>
      </c>
      <c r="U248" s="166">
        <f>_xll.qlPolynomialFunctionValue($P$18,T248,AllTriggers)</f>
        <v>1.3170785060905687E-3</v>
      </c>
    </row>
    <row r="249" spans="18:21" x14ac:dyDescent="0.2">
      <c r="R249" s="418">
        <f>_xll.qlCalendarAdvance(Calendar,R248,"1D","f")</f>
        <v>42488</v>
      </c>
      <c r="S249" s="166">
        <f>_xll.qlTenorBasisValue($P$3,R249,AllTriggers)</f>
        <v>1.3220069619672885E-3</v>
      </c>
      <c r="T249" s="154">
        <f>_xll.qlDayCounterYearFraction("actual/365 (fixed)",SettlementDate,R249,,,Trigger)</f>
        <v>0.95890410958904104</v>
      </c>
      <c r="U249" s="166">
        <f>_xll.qlPolynomialFunctionValue($P$18,T249,AllTriggers)</f>
        <v>1.3172529614111947E-3</v>
      </c>
    </row>
    <row r="250" spans="18:21" x14ac:dyDescent="0.2">
      <c r="R250" s="418">
        <f>_xll.qlCalendarAdvance(Calendar,R249,"1D","f")</f>
        <v>42489</v>
      </c>
      <c r="S250" s="166">
        <f>_xll.qlTenorBasisValue($P$3,R250,AllTriggers)</f>
        <v>1.3220789137566628E-3</v>
      </c>
      <c r="T250" s="154">
        <f>_xll.qlDayCounterYearFraction("actual/365 (fixed)",SettlementDate,R250,,,Trigger)</f>
        <v>0.9616438356164384</v>
      </c>
      <c r="U250" s="166">
        <f>_xll.qlPolynomialFunctionValue($P$18,T250,AllTriggers)</f>
        <v>1.317424704592091E-3</v>
      </c>
    </row>
    <row r="251" spans="18:21" x14ac:dyDescent="0.2">
      <c r="R251" s="418">
        <f>_xll.qlCalendarAdvance(Calendar,R250,"1D","f")</f>
        <v>42492</v>
      </c>
      <c r="S251" s="166">
        <f>_xll.qlTenorBasisValue($P$3,R251,AllTriggers)</f>
        <v>1.3222837312968018E-3</v>
      </c>
      <c r="T251" s="154">
        <f>_xll.qlDayCounterYearFraction("actual/365 (fixed)",SettlementDate,R251,,,Trigger)</f>
        <v>0.96986301369863015</v>
      </c>
      <c r="U251" s="166">
        <f>_xll.qlPolynomialFunctionValue($P$18,T251,AllTriggers)</f>
        <v>1.3179238441018467E-3</v>
      </c>
    </row>
    <row r="252" spans="18:21" x14ac:dyDescent="0.2">
      <c r="R252" s="418">
        <f>_xll.qlCalendarAdvance(Calendar,R251,"1D","f")</f>
        <v>42493</v>
      </c>
      <c r="S252" s="166">
        <f>_xll.qlTenorBasisValue($P$3,R252,AllTriggers)</f>
        <v>1.3223483843264204E-3</v>
      </c>
      <c r="T252" s="154">
        <f>_xll.qlDayCounterYearFraction("actual/365 (fixed)",SettlementDate,R252,,,Trigger)</f>
        <v>0.9726027397260274</v>
      </c>
      <c r="U252" s="166">
        <f>_xll.qlPolynomialFunctionValue($P$18,T252,AllTriggers)</f>
        <v>1.3180849214936563E-3</v>
      </c>
    </row>
    <row r="253" spans="18:21" x14ac:dyDescent="0.2">
      <c r="R253" s="418">
        <f>_xll.qlCalendarAdvance(Calendar,R252,"1D","f")</f>
        <v>42494</v>
      </c>
      <c r="S253" s="166">
        <f>_xll.qlTenorBasisValue($P$3,R253,AllTriggers)</f>
        <v>1.3224112574924687E-3</v>
      </c>
      <c r="T253" s="154">
        <f>_xll.qlDayCounterYearFraction("actual/365 (fixed)",SettlementDate,R253,,,Trigger)</f>
        <v>0.97534246575342465</v>
      </c>
      <c r="U253" s="166">
        <f>_xll.qlPolynomialFunctionValue($P$18,T253,AllTriggers)</f>
        <v>1.3182433780950401E-3</v>
      </c>
    </row>
    <row r="254" spans="18:21" x14ac:dyDescent="0.2">
      <c r="R254" s="418">
        <f>_xll.qlCalendarAdvance(Calendar,R253,"1D","f")</f>
        <v>42495</v>
      </c>
      <c r="S254" s="166">
        <f>_xll.qlTenorBasisValue($P$3,R254,AllTriggers)</f>
        <v>1.3224723687112493E-3</v>
      </c>
      <c r="T254" s="154">
        <f>_xll.qlDayCounterYearFraction("actual/365 (fixed)",SettlementDate,R254,,,Trigger)</f>
        <v>0.9780821917808219</v>
      </c>
      <c r="U254" s="166">
        <f>_xll.qlPolynomialFunctionValue($P$18,T254,AllTriggers)</f>
        <v>1.3183992321544899E-3</v>
      </c>
    </row>
    <row r="255" spans="18:21" x14ac:dyDescent="0.2">
      <c r="R255" s="418">
        <f>_xll.qlCalendarAdvance(Calendar,R254,"1D","f")</f>
        <v>42496</v>
      </c>
      <c r="S255" s="166">
        <f>_xll.qlTenorBasisValue($P$3,R255,AllTriggers)</f>
        <v>1.3225317358919405E-3</v>
      </c>
      <c r="T255" s="154">
        <f>_xll.qlDayCounterYearFraction("actual/365 (fixed)",SettlementDate,R255,,,Trigger)</f>
        <v>0.98082191780821915</v>
      </c>
      <c r="U255" s="166">
        <f>_xll.qlPolynomialFunctionValue($P$18,T255,AllTriggers)</f>
        <v>1.3185525019133763E-3</v>
      </c>
    </row>
    <row r="256" spans="18:21" x14ac:dyDescent="0.2">
      <c r="R256" s="418">
        <f>_xll.qlCalendarAdvance(Calendar,R255,"1D","f")</f>
        <v>42499</v>
      </c>
      <c r="S256" s="166">
        <f>_xll.qlTenorBasisValue($P$3,R256,AllTriggers)</f>
        <v>1.32269955219044E-3</v>
      </c>
      <c r="T256" s="154">
        <f>_xll.qlDayCounterYearFraction("actual/365 (fixed)",SettlementDate,R256,,,Trigger)</f>
        <v>0.989041095890411</v>
      </c>
      <c r="U256" s="166">
        <f>_xll.qlPolynomialFunctionValue($P$18,T256,AllTriggers)</f>
        <v>1.318996987693519E-3</v>
      </c>
    </row>
    <row r="257" spans="18:21" x14ac:dyDescent="0.2">
      <c r="R257" s="418">
        <f>_xll.qlCalendarAdvance(Calendar,R256,"1D","f")</f>
        <v>42500</v>
      </c>
      <c r="S257" s="166">
        <f>_xll.qlTenorBasisValue($P$3,R257,AllTriggers)</f>
        <v>1.3227521221681204E-3</v>
      </c>
      <c r="T257" s="154">
        <f>_xll.qlDayCounterYearFraction("actual/365 (fixed)",SettlementDate,R257,,,Trigger)</f>
        <v>0.99178082191780825</v>
      </c>
      <c r="U257" s="166">
        <f>_xll.qlPolynomialFunctionValue($P$18,T257,AllTriggers)</f>
        <v>1.3191401025214025E-3</v>
      </c>
    </row>
    <row r="258" spans="18:21" x14ac:dyDescent="0.2">
      <c r="R258" s="418">
        <f>_xll.qlCalendarAdvance(Calendar,R257,"1D","f")</f>
        <v>42501</v>
      </c>
      <c r="S258" s="166">
        <f>_xll.qlTenorBasisValue($P$3,R258,AllTriggers)</f>
        <v>1.3228030375467706E-3</v>
      </c>
      <c r="T258" s="154">
        <f>_xll.qlDayCounterYearFraction("actual/365 (fixed)",SettlementDate,R258,,,Trigger)</f>
        <v>0.9945205479452055</v>
      </c>
      <c r="U258" s="166">
        <f>_xll.qlPolynomialFunctionValue($P$18,T258,AllTriggers)</f>
        <v>1.3192807241487344E-3</v>
      </c>
    </row>
    <row r="259" spans="18:21" x14ac:dyDescent="0.2">
      <c r="R259" s="418">
        <f>_xll.qlCalendarAdvance(Calendar,R258,"1D","f")</f>
        <v>42502</v>
      </c>
      <c r="S259" s="166">
        <f>_xll.qlTenorBasisValue($P$3,R259,AllTriggers)</f>
        <v>1.3228523161928343E-3</v>
      </c>
      <c r="T259" s="154">
        <f>_xll.qlDayCounterYearFraction("actual/365 (fixed)",SettlementDate,R259,,,Trigger)</f>
        <v>0.99726027397260275</v>
      </c>
      <c r="U259" s="166">
        <f>_xll.qlPolynomialFunctionValue($P$18,T259,AllTriggers)</f>
        <v>1.3194188707741502E-3</v>
      </c>
    </row>
    <row r="260" spans="18:21" x14ac:dyDescent="0.2">
      <c r="R260" s="418">
        <f>_xll.qlCalendarAdvance(Calendar,R259,"1D","f")</f>
        <v>42503</v>
      </c>
      <c r="S260" s="166">
        <f>_xll.qlTenorBasisValue($P$3,R260,AllTriggers)</f>
        <v>1.3228999759656334E-3</v>
      </c>
      <c r="T260" s="154">
        <f>_xll.qlDayCounterYearFraction("actual/365 (fixed)",SettlementDate,R260,,,Trigger)</f>
        <v>1</v>
      </c>
      <c r="U260" s="166">
        <f>_xll.qlPolynomialFunctionValue($P$18,T260,AllTriggers)</f>
        <v>1.3195545605891609E-3</v>
      </c>
    </row>
    <row r="261" spans="18:21" x14ac:dyDescent="0.2">
      <c r="R261" s="418">
        <f>_xll.qlCalendarAdvance(Calendar,R260,"1D","f")</f>
        <v>42506</v>
      </c>
      <c r="S261" s="166">
        <f>_xll.qlTenorBasisValue($P$3,R261,AllTriggers)</f>
        <v>1.3230334205308143E-3</v>
      </c>
      <c r="T261" s="154">
        <f>_xll.qlDayCounterYearFraction("actual/365 (fixed)",SettlementDate,R261,,,Trigger)</f>
        <v>1.0082191780821919</v>
      </c>
      <c r="U261" s="166">
        <f>_xll.qlPolynomialFunctionValue($P$18,T261,AllTriggers)</f>
        <v>1.3199470709800451E-3</v>
      </c>
    </row>
    <row r="262" spans="18:21" x14ac:dyDescent="0.2">
      <c r="R262" s="419">
        <f>_xll.qlCalendarAdvance(Calendar,R261,"1D","f")</f>
        <v>42507</v>
      </c>
      <c r="S262" s="175">
        <f>_xll.qlTenorBasisValue($P$3,R262,AllTriggers)</f>
        <v>1.3230747832613141E-3</v>
      </c>
      <c r="T262" s="159">
        <f>_xll.qlDayCounterYearFraction("actual/365 (fixed)",SettlementDate,R262,,,Trigger)</f>
        <v>1.010958904109589</v>
      </c>
      <c r="U262" s="175">
        <f>_xll.qlPolynomialFunctionValue($P$18,T262,AllTriggers)</f>
        <v>1.3200731153261047E-3</v>
      </c>
    </row>
    <row r="263" spans="18:21" x14ac:dyDescent="0.2">
      <c r="R263" s="231"/>
    </row>
    <row r="264" spans="18:21" x14ac:dyDescent="0.2">
      <c r="R264" s="231"/>
    </row>
    <row r="265" spans="18:21" x14ac:dyDescent="0.2">
      <c r="R265" s="231"/>
    </row>
    <row r="266" spans="18:21" x14ac:dyDescent="0.2">
      <c r="R266" s="231"/>
    </row>
    <row r="267" spans="18:21" x14ac:dyDescent="0.2">
      <c r="R267" s="231"/>
    </row>
    <row r="268" spans="18:21" x14ac:dyDescent="0.2">
      <c r="R268" s="231"/>
    </row>
    <row r="269" spans="18:21" x14ac:dyDescent="0.2">
      <c r="R269" s="231"/>
    </row>
    <row r="270" spans="18:21" x14ac:dyDescent="0.2">
      <c r="R270" s="231"/>
    </row>
    <row r="271" spans="18:21" x14ac:dyDescent="0.2">
      <c r="R271" s="231"/>
    </row>
    <row r="272" spans="18:21" x14ac:dyDescent="0.2">
      <c r="R272" s="231"/>
    </row>
    <row r="273" spans="18:18" x14ac:dyDescent="0.2">
      <c r="R273" s="231"/>
    </row>
    <row r="274" spans="18:18" x14ac:dyDescent="0.2">
      <c r="R274" s="231"/>
    </row>
    <row r="275" spans="18:18" x14ac:dyDescent="0.2">
      <c r="R275" s="231"/>
    </row>
    <row r="276" spans="18:18" x14ac:dyDescent="0.2">
      <c r="R276" s="231"/>
    </row>
    <row r="277" spans="18:18" x14ac:dyDescent="0.2">
      <c r="R277" s="231"/>
    </row>
    <row r="278" spans="18:18" x14ac:dyDescent="0.2">
      <c r="R278" s="231"/>
    </row>
    <row r="279" spans="18:18" x14ac:dyDescent="0.2">
      <c r="R279" s="231"/>
    </row>
    <row r="280" spans="18:18" x14ac:dyDescent="0.2">
      <c r="R280" s="231"/>
    </row>
    <row r="281" spans="18:18" x14ac:dyDescent="0.2">
      <c r="R281" s="231"/>
    </row>
    <row r="282" spans="18:18" x14ac:dyDescent="0.2">
      <c r="R282" s="231"/>
    </row>
    <row r="283" spans="18:18" x14ac:dyDescent="0.2">
      <c r="R283" s="231"/>
    </row>
    <row r="284" spans="18:18" x14ac:dyDescent="0.2">
      <c r="R284" s="231"/>
    </row>
    <row r="285" spans="18:18" x14ac:dyDescent="0.2">
      <c r="R285" s="231"/>
    </row>
    <row r="286" spans="18:18" x14ac:dyDescent="0.2">
      <c r="R286" s="231"/>
    </row>
    <row r="287" spans="18:18" x14ac:dyDescent="0.2">
      <c r="R287" s="231"/>
    </row>
    <row r="288" spans="18:18" x14ac:dyDescent="0.2">
      <c r="R288" s="231"/>
    </row>
    <row r="289" spans="18:18" x14ac:dyDescent="0.2">
      <c r="R289" s="231"/>
    </row>
    <row r="290" spans="18:18" x14ac:dyDescent="0.2">
      <c r="R290" s="231"/>
    </row>
    <row r="291" spans="18:18" x14ac:dyDescent="0.2">
      <c r="R291" s="231"/>
    </row>
    <row r="292" spans="18:18" x14ac:dyDescent="0.2">
      <c r="R292" s="231"/>
    </row>
    <row r="293" spans="18:18" x14ac:dyDescent="0.2">
      <c r="R293" s="231"/>
    </row>
    <row r="294" spans="18:18" x14ac:dyDescent="0.2">
      <c r="R294" s="231"/>
    </row>
    <row r="295" spans="18:18" x14ac:dyDescent="0.2">
      <c r="R295" s="231"/>
    </row>
    <row r="296" spans="18:18" x14ac:dyDescent="0.2">
      <c r="R296" s="231"/>
    </row>
    <row r="297" spans="18:18" x14ac:dyDescent="0.2">
      <c r="R297" s="231"/>
    </row>
    <row r="298" spans="18:18" x14ac:dyDescent="0.2">
      <c r="R298" s="231"/>
    </row>
    <row r="299" spans="18:18" x14ac:dyDescent="0.2">
      <c r="R299" s="231"/>
    </row>
    <row r="300" spans="18:18" x14ac:dyDescent="0.2">
      <c r="R300" s="231"/>
    </row>
    <row r="301" spans="18:18" x14ac:dyDescent="0.2">
      <c r="R301" s="231"/>
    </row>
    <row r="302" spans="18:18" x14ac:dyDescent="0.2">
      <c r="R302" s="231"/>
    </row>
    <row r="303" spans="18:18" x14ac:dyDescent="0.2">
      <c r="R303" s="231"/>
    </row>
    <row r="304" spans="18:18" x14ac:dyDescent="0.2">
      <c r="R304" s="231"/>
    </row>
    <row r="305" spans="18:18" x14ac:dyDescent="0.2">
      <c r="R305" s="231"/>
    </row>
    <row r="306" spans="18:18" x14ac:dyDescent="0.2">
      <c r="R306" s="231"/>
    </row>
    <row r="307" spans="18:18" x14ac:dyDescent="0.2">
      <c r="R307" s="231"/>
    </row>
    <row r="308" spans="18:18" x14ac:dyDescent="0.2">
      <c r="R308" s="231"/>
    </row>
    <row r="309" spans="18:18" x14ac:dyDescent="0.2">
      <c r="R309" s="231"/>
    </row>
    <row r="310" spans="18:18" x14ac:dyDescent="0.2">
      <c r="R310" s="231"/>
    </row>
    <row r="311" spans="18:18" x14ac:dyDescent="0.2">
      <c r="R311" s="231"/>
    </row>
    <row r="312" spans="18:18" x14ac:dyDescent="0.2">
      <c r="R312" s="231"/>
    </row>
    <row r="313" spans="18:18" x14ac:dyDescent="0.2">
      <c r="R313" s="231"/>
    </row>
    <row r="314" spans="18:18" x14ac:dyDescent="0.2">
      <c r="R314" s="231"/>
    </row>
    <row r="315" spans="18:18" x14ac:dyDescent="0.2">
      <c r="R315" s="231"/>
    </row>
    <row r="316" spans="18:18" x14ac:dyDescent="0.2">
      <c r="R316" s="231"/>
    </row>
    <row r="317" spans="18:18" x14ac:dyDescent="0.2">
      <c r="R317" s="231"/>
    </row>
    <row r="318" spans="18:18" x14ac:dyDescent="0.2">
      <c r="R318" s="231"/>
    </row>
    <row r="319" spans="18:18" x14ac:dyDescent="0.2">
      <c r="R319" s="231"/>
    </row>
    <row r="320" spans="18:18" x14ac:dyDescent="0.2">
      <c r="R320" s="231"/>
    </row>
    <row r="321" spans="18:18" x14ac:dyDescent="0.2">
      <c r="R321" s="231"/>
    </row>
    <row r="322" spans="18:18" x14ac:dyDescent="0.2">
      <c r="R322" s="231"/>
    </row>
    <row r="323" spans="18:18" x14ac:dyDescent="0.2">
      <c r="R323" s="231"/>
    </row>
    <row r="324" spans="18:18" x14ac:dyDescent="0.2">
      <c r="R324" s="231"/>
    </row>
    <row r="325" spans="18:18" x14ac:dyDescent="0.2">
      <c r="R325" s="231"/>
    </row>
    <row r="326" spans="18:18" x14ac:dyDescent="0.2">
      <c r="R326" s="231"/>
    </row>
    <row r="327" spans="18:18" x14ac:dyDescent="0.2">
      <c r="R327" s="231"/>
    </row>
    <row r="328" spans="18:18" x14ac:dyDescent="0.2">
      <c r="R328" s="231"/>
    </row>
    <row r="329" spans="18:18" x14ac:dyDescent="0.2">
      <c r="R329" s="231"/>
    </row>
    <row r="330" spans="18:18" x14ac:dyDescent="0.2">
      <c r="R330" s="231"/>
    </row>
    <row r="331" spans="18:18" x14ac:dyDescent="0.2">
      <c r="R331" s="231"/>
    </row>
    <row r="332" spans="18:18" x14ac:dyDescent="0.2">
      <c r="R332" s="231"/>
    </row>
    <row r="333" spans="18:18" x14ac:dyDescent="0.2">
      <c r="R333" s="231"/>
    </row>
    <row r="334" spans="18:18" x14ac:dyDescent="0.2">
      <c r="R334" s="231"/>
    </row>
    <row r="335" spans="18:18" x14ac:dyDescent="0.2">
      <c r="R335" s="231"/>
    </row>
    <row r="336" spans="18:18" x14ac:dyDescent="0.2">
      <c r="R336" s="231"/>
    </row>
    <row r="337" spans="18:18" x14ac:dyDescent="0.2">
      <c r="R337" s="231"/>
    </row>
    <row r="338" spans="18:18" x14ac:dyDescent="0.2">
      <c r="R338" s="231"/>
    </row>
    <row r="339" spans="18:18" x14ac:dyDescent="0.2">
      <c r="R339" s="231"/>
    </row>
    <row r="340" spans="18:18" x14ac:dyDescent="0.2">
      <c r="R340" s="231"/>
    </row>
    <row r="341" spans="18:18" x14ac:dyDescent="0.2">
      <c r="R341" s="231"/>
    </row>
    <row r="342" spans="18:18" x14ac:dyDescent="0.2">
      <c r="R342" s="231"/>
    </row>
    <row r="343" spans="18:18" x14ac:dyDescent="0.2">
      <c r="R343" s="231"/>
    </row>
    <row r="344" spans="18:18" x14ac:dyDescent="0.2">
      <c r="R344" s="231"/>
    </row>
    <row r="345" spans="18:18" x14ac:dyDescent="0.2">
      <c r="R345" s="231"/>
    </row>
    <row r="346" spans="18:18" x14ac:dyDescent="0.2">
      <c r="R346" s="231"/>
    </row>
    <row r="347" spans="18:18" x14ac:dyDescent="0.2">
      <c r="R347" s="231"/>
    </row>
    <row r="348" spans="18:18" x14ac:dyDescent="0.2">
      <c r="R348" s="231"/>
    </row>
    <row r="349" spans="18:18" x14ac:dyDescent="0.2">
      <c r="R349" s="231"/>
    </row>
    <row r="350" spans="18:18" x14ac:dyDescent="0.2">
      <c r="R350" s="231"/>
    </row>
    <row r="351" spans="18:18" x14ac:dyDescent="0.2">
      <c r="R351" s="231"/>
    </row>
    <row r="352" spans="18:18" x14ac:dyDescent="0.2">
      <c r="R352" s="231"/>
    </row>
    <row r="353" spans="18:18" x14ac:dyDescent="0.2">
      <c r="R353" s="231"/>
    </row>
    <row r="354" spans="18:18" x14ac:dyDescent="0.2">
      <c r="R354" s="231"/>
    </row>
    <row r="355" spans="18:18" x14ac:dyDescent="0.2">
      <c r="R355" s="231"/>
    </row>
    <row r="356" spans="18:18" x14ac:dyDescent="0.2">
      <c r="R356" s="231"/>
    </row>
    <row r="357" spans="18:18" x14ac:dyDescent="0.2">
      <c r="R357" s="231"/>
    </row>
    <row r="358" spans="18:18" x14ac:dyDescent="0.2">
      <c r="R358" s="231"/>
    </row>
    <row r="359" spans="18:18" x14ac:dyDescent="0.2">
      <c r="R359" s="231"/>
    </row>
    <row r="360" spans="18:18" x14ac:dyDescent="0.2">
      <c r="R360" s="231"/>
    </row>
    <row r="361" spans="18:18" x14ac:dyDescent="0.2">
      <c r="R361" s="231"/>
    </row>
    <row r="362" spans="18:18" x14ac:dyDescent="0.2">
      <c r="R362" s="231"/>
    </row>
    <row r="363" spans="18:18" x14ac:dyDescent="0.2">
      <c r="R363" s="231"/>
    </row>
    <row r="364" spans="18:18" x14ac:dyDescent="0.2">
      <c r="R364" s="231"/>
    </row>
    <row r="365" spans="18:18" x14ac:dyDescent="0.2">
      <c r="R365" s="231"/>
    </row>
    <row r="366" spans="18:18" x14ac:dyDescent="0.2">
      <c r="R366" s="231"/>
    </row>
    <row r="367" spans="18:18" x14ac:dyDescent="0.2">
      <c r="R367" s="231"/>
    </row>
    <row r="368" spans="18:18" x14ac:dyDescent="0.2">
      <c r="R368" s="231"/>
    </row>
    <row r="369" spans="18:18" x14ac:dyDescent="0.2">
      <c r="R369" s="231"/>
    </row>
    <row r="370" spans="18:18" x14ac:dyDescent="0.2">
      <c r="R370" s="231"/>
    </row>
    <row r="371" spans="18:18" x14ac:dyDescent="0.2">
      <c r="R371" s="231"/>
    </row>
    <row r="372" spans="18:18" x14ac:dyDescent="0.2">
      <c r="R372" s="231"/>
    </row>
    <row r="373" spans="18:18" x14ac:dyDescent="0.2">
      <c r="R373" s="231"/>
    </row>
    <row r="374" spans="18:18" x14ac:dyDescent="0.2">
      <c r="R374" s="231"/>
    </row>
    <row r="375" spans="18:18" x14ac:dyDescent="0.2">
      <c r="R375" s="231"/>
    </row>
    <row r="376" spans="18:18" x14ac:dyDescent="0.2">
      <c r="R376" s="231"/>
    </row>
    <row r="377" spans="18:18" x14ac:dyDescent="0.2">
      <c r="R377" s="231"/>
    </row>
    <row r="378" spans="18:18" x14ac:dyDescent="0.2">
      <c r="R378" s="231"/>
    </row>
    <row r="379" spans="18:18" x14ac:dyDescent="0.2">
      <c r="R379" s="231"/>
    </row>
    <row r="380" spans="18:18" x14ac:dyDescent="0.2">
      <c r="R380" s="231"/>
    </row>
    <row r="381" spans="18:18" x14ac:dyDescent="0.2">
      <c r="R381" s="231"/>
    </row>
    <row r="382" spans="18:18" x14ac:dyDescent="0.2">
      <c r="R382" s="231"/>
    </row>
    <row r="383" spans="18:18" x14ac:dyDescent="0.2">
      <c r="R383" s="231"/>
    </row>
    <row r="384" spans="18:18" x14ac:dyDescent="0.2">
      <c r="R384" s="23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154"/>
  <sheetViews>
    <sheetView topLeftCell="A28" workbookViewId="0">
      <selection activeCell="D24" sqref="D24"/>
    </sheetView>
  </sheetViews>
  <sheetFormatPr defaultColWidth="9.5" defaultRowHeight="11.25" outlineLevelCol="1" x14ac:dyDescent="0.2"/>
  <cols>
    <col min="1" max="2" width="3.5" style="115" customWidth="1"/>
    <col min="3" max="3" width="19.5" style="115" customWidth="1"/>
    <col min="4" max="4" width="17.83203125" style="115" bestFit="1" customWidth="1"/>
    <col min="5" max="5" width="12.83203125" style="115" bestFit="1" customWidth="1"/>
    <col min="6" max="6" width="16.83203125" style="115" customWidth="1"/>
    <col min="7" max="8" width="14.83203125" style="115" customWidth="1"/>
    <col min="9" max="18" width="14.83203125" style="115" hidden="1" customWidth="1" outlineLevel="1"/>
    <col min="19" max="19" width="14.83203125" style="115" customWidth="1" collapsed="1"/>
    <col min="20" max="30" width="14.83203125" style="115" customWidth="1"/>
    <col min="31" max="33" width="5.83203125" style="115" bestFit="1" customWidth="1"/>
    <col min="34" max="34" width="2.33203125" style="115" bestFit="1" customWidth="1"/>
    <col min="35" max="35" width="10.5" style="115" bestFit="1" customWidth="1"/>
    <col min="36" max="36" width="2.33203125" style="115" bestFit="1" customWidth="1" collapsed="1"/>
    <col min="37" max="37" width="9.33203125" style="115" bestFit="1" customWidth="1"/>
    <col min="38" max="38" width="8.1640625" style="115" hidden="1" customWidth="1" outlineLevel="1"/>
    <col min="39" max="39" width="9.33203125" style="115" hidden="1" customWidth="1" outlineLevel="1"/>
    <col min="40" max="40" width="8.1640625" style="115" hidden="1" customWidth="1" outlineLevel="1"/>
    <col min="41" max="41" width="2.83203125" style="115" customWidth="1" collapsed="1"/>
    <col min="42" max="42" width="2.83203125" style="115" customWidth="1"/>
    <col min="43" max="45" width="5.83203125" style="115" bestFit="1" customWidth="1"/>
    <col min="46" max="46" width="2.33203125" style="115" bestFit="1" customWidth="1"/>
    <col min="47" max="47" width="10.5" style="115" bestFit="1" customWidth="1"/>
    <col min="48" max="48" width="2.33203125" style="115" bestFit="1" customWidth="1"/>
    <col min="49" max="49" width="9.33203125" style="115" bestFit="1" customWidth="1"/>
    <col min="50" max="52" width="9.33203125" style="115" hidden="1" customWidth="1" outlineLevel="1"/>
    <col min="53" max="53" width="2.83203125" style="115" customWidth="1" collapsed="1"/>
    <col min="54" max="54" width="2.83203125" style="115" customWidth="1"/>
    <col min="55" max="55" width="12.83203125" style="115" bestFit="1" customWidth="1"/>
    <col min="56" max="56" width="8.1640625" style="115" bestFit="1" customWidth="1"/>
    <col min="57" max="69" width="14.83203125" style="115" customWidth="1"/>
    <col min="70" max="16384" width="9.5" style="115"/>
  </cols>
  <sheetData>
    <row r="1" spans="1:69" x14ac:dyDescent="0.2">
      <c r="C1" s="322" t="s">
        <v>140</v>
      </c>
      <c r="D1" s="323"/>
      <c r="E1" s="323"/>
      <c r="F1" s="323"/>
      <c r="G1" s="323"/>
      <c r="H1" s="323"/>
      <c r="I1" s="323"/>
      <c r="J1" s="323"/>
      <c r="K1" s="323"/>
      <c r="L1" s="323"/>
      <c r="M1" s="429"/>
      <c r="N1" s="429"/>
      <c r="O1" s="429"/>
      <c r="P1" s="429"/>
      <c r="Q1" s="429"/>
      <c r="R1" s="429"/>
      <c r="S1" s="322" t="str">
        <f>"with 0X"&amp;SUBSTITUTE($D$24,"M","")</f>
        <v>with 0X3</v>
      </c>
      <c r="T1" s="324"/>
      <c r="U1" s="323" t="str">
        <f>"without 0X"&amp;SUBSTITUTE($D$24,"M","")</f>
        <v>without 0X3</v>
      </c>
      <c r="V1" s="324"/>
      <c r="AG1" s="430"/>
      <c r="AH1" s="430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E1" s="115" t="str">
        <f>_xll.qlPolynomialFunction(,_xll.qlTenorInstCoefficients(G$27),,_xll.ohTrigger(Trigger,G$28:G$31))</f>
        <v>obj_009f6#0014</v>
      </c>
      <c r="BF1" s="115" t="str">
        <f>_xll.qlPolynomialFunction(,_xll.qlTenorInstCoefficients(H$27),,_xll.ohTrigger(Trigger,H$28:H$31))</f>
        <v>obj_00a02#0015</v>
      </c>
      <c r="BG1" s="115" t="str">
        <f>_xll.qlPolynomialFunction(,_xll.qlTenorInstCoefficients(S$27),,_xll.ohTrigger(Trigger,S$28:S$31))</f>
        <v>obj_009fb#0013</v>
      </c>
      <c r="BH1" s="115" t="str">
        <f>_xll.qlPolynomialFunction(,_xll.qlTenorInstCoefficients(T$27),,_xll.ohTrigger(Trigger,T$28:T$31))</f>
        <v>obj_009ff#0009</v>
      </c>
      <c r="BI1" s="115" t="str">
        <f>_xll.qlPolynomialFunction(,U$28:U$31,,_xll.ohTrigger(Trigger,G$28:G$31))</f>
        <v>obj_009f7#0011</v>
      </c>
      <c r="BJ1" s="115" t="str">
        <f>_xll.qlPolynomialFunction(,V$28:V$31,,_xll.ohTrigger(Trigger,H$28:H$31))</f>
        <v>obj_009f9#0015</v>
      </c>
      <c r="BK1" s="115" t="str">
        <f>_xll.qlPolynomialFunction(,W$28:W$31,,_xll.ohTrigger(Trigger,S$28:S$31))</f>
        <v>obj_00a04#0007</v>
      </c>
      <c r="BL1" s="115" t="str">
        <f>_xll.qlPolynomialFunction(,X$28:X$31,,_xll.ohTrigger(Trigger,T$28:T$31))</f>
        <v>obj_009fc#0007</v>
      </c>
      <c r="BM1" s="115" t="str">
        <f>_xll.qlPolynomialFunction(,_xll.qlTenorInstCoefficients(Y$27),,_xll.ohTrigger(Trigger,G$28:G$31))</f>
        <v>obj_00a0e#0015</v>
      </c>
      <c r="BN1" s="115" t="str">
        <f>_xll.qlPolynomialFunction(,_xll.qlTenorInstCoefficients(Z$27),,_xll.ohTrigger(Trigger,H$28:H$31))</f>
        <v>obj_00a10#0015</v>
      </c>
      <c r="BO1" s="115" t="str">
        <f>_xll.qlPolynomialFunction(,_xll.qlTenorInstCoefficients(AA$27),,_xll.ohTrigger(Trigger,S$28:S$31))</f>
        <v>obj_00a0a#0011</v>
      </c>
      <c r="BP1" s="115" t="str">
        <f>_xll.qlPolynomialFunction(,_xll.qlTenorInstCoefficients(AB$27),,_xll.ohTrigger(Trigger,T$28:T$31))</f>
        <v>obj_00a08#0009</v>
      </c>
    </row>
    <row r="2" spans="1:69" ht="21.75" customHeight="1" x14ac:dyDescent="0.2">
      <c r="C2" s="142" t="s">
        <v>85</v>
      </c>
      <c r="D2" s="142" t="s">
        <v>175</v>
      </c>
      <c r="E2" s="142" t="s">
        <v>176</v>
      </c>
      <c r="F2" s="142" t="s">
        <v>125</v>
      </c>
      <c r="G2" s="142" t="str">
        <f>"F "&amp;$D$24</f>
        <v>F 3M</v>
      </c>
      <c r="H2" s="142" t="str">
        <f>"B "&amp;$D$24</f>
        <v>B 3M</v>
      </c>
      <c r="I2" s="142" t="s">
        <v>163</v>
      </c>
      <c r="J2" s="142" t="s">
        <v>92</v>
      </c>
      <c r="K2" s="143" t="s">
        <v>93</v>
      </c>
      <c r="L2" s="142" t="s">
        <v>94</v>
      </c>
      <c r="M2" s="142" t="s">
        <v>126</v>
      </c>
      <c r="N2" s="142" t="s">
        <v>130</v>
      </c>
      <c r="O2" s="142" t="s">
        <v>131</v>
      </c>
      <c r="P2" s="142" t="s">
        <v>92</v>
      </c>
      <c r="Q2" s="143" t="s">
        <v>93</v>
      </c>
      <c r="R2" s="142" t="s">
        <v>94</v>
      </c>
      <c r="S2" s="142" t="s">
        <v>83</v>
      </c>
      <c r="T2" s="142" t="s">
        <v>84</v>
      </c>
      <c r="U2" s="142" t="s">
        <v>83</v>
      </c>
      <c r="V2" s="142" t="s">
        <v>84</v>
      </c>
      <c r="AD2" s="115" t="s">
        <v>177</v>
      </c>
      <c r="AP2" s="115" t="s">
        <v>174</v>
      </c>
      <c r="BE2" s="331" t="s">
        <v>140</v>
      </c>
      <c r="BF2" s="327"/>
      <c r="BG2" s="327"/>
      <c r="BH2" s="326"/>
      <c r="BI2" s="327"/>
      <c r="BJ2" s="327"/>
      <c r="BK2" s="327"/>
      <c r="BL2" s="327"/>
      <c r="BM2" s="331" t="s">
        <v>141</v>
      </c>
      <c r="BN2" s="327"/>
      <c r="BO2" s="327"/>
      <c r="BP2" s="326"/>
    </row>
    <row r="3" spans="1:69" ht="12" customHeight="1" x14ac:dyDescent="0.2">
      <c r="A3" s="117">
        <f>'6MSynthDepo_used'!A3</f>
        <v>0</v>
      </c>
      <c r="B3" s="187">
        <f>A3+SUBSTITUTE($D$24,"M","")</f>
        <v>3</v>
      </c>
      <c r="C3" s="377" t="str">
        <f>"B"&amp;$D$24&amp;"_"&amp;A3&amp;"X"&amp;B3&amp;$D$27</f>
        <v>B3M_0X3ESTIMATED</v>
      </c>
      <c r="D3" s="392">
        <f>SettlementDate</f>
        <v>42138</v>
      </c>
      <c r="E3" s="392">
        <f>_xll.qlInterestRateIndexMaturity($D$25,D3)</f>
        <v>42230</v>
      </c>
      <c r="F3" s="378">
        <f>_xll.qlIndexFixing(ON_6M_index,_xll.qlInterestRateIndexFixingDate(ON_6M_index,D3,Trigger),,AllTriggers)</f>
        <v>-1.1632423478286258E-3</v>
      </c>
      <c r="G3" s="378">
        <f>H3+F3</f>
        <v>-1.1401498493859527E-4</v>
      </c>
      <c r="H3" s="434">
        <f>_xll.qlQuoteValue(C3,_xll.ohTrigger(InterestRatesTrigger,'6MSynthDepo_used'!E3))</f>
        <v>1.0492273628900305E-3</v>
      </c>
      <c r="I3" s="379">
        <f>_xll.qlDayCounterYearFraction(DayCounter,SettlementDate,D3,,,Trigger)</f>
        <v>0</v>
      </c>
      <c r="J3" s="379">
        <f>1</f>
        <v>1</v>
      </c>
      <c r="K3" s="379">
        <f t="shared" ref="K3:K9" si="0">I3</f>
        <v>0</v>
      </c>
      <c r="L3" s="379">
        <f t="shared" ref="L3:L9" si="1">I3^2</f>
        <v>0</v>
      </c>
      <c r="M3" s="423">
        <f>LN((1+G3*_xll.qlDayCounterYearFraction(DayCounter,D3,E3,,,Trigger))/(1+F3*_xll.qlDayCounterYearFraction(DayCounter,D3,E3,,,Trigger)))</f>
        <v>2.6817965152231386E-4</v>
      </c>
      <c r="N3" s="379">
        <f>_xll.qlDayCounterYearFraction(DayCounter,SettlementDate,D3,,,Trigger)</f>
        <v>0</v>
      </c>
      <c r="O3" s="379">
        <f>_xll.qlDayCounterYearFraction(DayCounter,SettlementDate,E3,,,Trigger)</f>
        <v>0.25555555555555554</v>
      </c>
      <c r="P3" s="379">
        <f>O3-N3</f>
        <v>0.25555555555555554</v>
      </c>
      <c r="Q3" s="379">
        <f>(O3^2-N3^2)/2</f>
        <v>3.2654320987654313E-2</v>
      </c>
      <c r="R3" s="379">
        <f>(O3^3-N3^3)/3</f>
        <v>5.5633287608596238E-3</v>
      </c>
      <c r="S3" s="380" t="b">
        <v>1</v>
      </c>
      <c r="T3" s="380" t="b">
        <v>1</v>
      </c>
      <c r="U3" s="380" t="b">
        <v>0</v>
      </c>
      <c r="V3" s="380" t="b">
        <v>0</v>
      </c>
      <c r="AD3" s="425" t="s">
        <v>83</v>
      </c>
      <c r="AE3" s="426"/>
      <c r="AF3" s="426"/>
      <c r="AG3" s="426"/>
      <c r="AH3" s="426"/>
      <c r="AI3" s="426"/>
      <c r="AJ3" s="426"/>
      <c r="AK3" s="426"/>
      <c r="AL3" s="426"/>
      <c r="AM3" s="427"/>
      <c r="AN3" s="427"/>
      <c r="AO3" s="428"/>
      <c r="AP3" s="425"/>
      <c r="AQ3" s="426"/>
      <c r="AR3" s="426"/>
      <c r="AS3" s="426"/>
      <c r="AT3" s="426"/>
      <c r="AU3" s="426"/>
      <c r="AV3" s="426"/>
      <c r="AW3" s="426"/>
      <c r="AX3" s="426"/>
      <c r="AY3" s="427"/>
      <c r="AZ3" s="427"/>
      <c r="BA3" s="428"/>
      <c r="BE3" s="331" t="s">
        <v>183</v>
      </c>
      <c r="BF3" s="327"/>
      <c r="BG3" s="327"/>
      <c r="BH3" s="326"/>
      <c r="BI3" s="331" t="s">
        <v>182</v>
      </c>
      <c r="BJ3" s="327"/>
      <c r="BK3" s="327"/>
      <c r="BL3" s="326"/>
      <c r="BM3" s="331" t="s">
        <v>183</v>
      </c>
      <c r="BN3" s="327"/>
      <c r="BO3" s="327"/>
      <c r="BP3" s="326"/>
    </row>
    <row r="4" spans="1:69" ht="12" customHeight="1" x14ac:dyDescent="0.2">
      <c r="A4" s="117">
        <f>'6MSynthDepo_used'!A5</f>
        <v>1</v>
      </c>
      <c r="B4" s="187">
        <f>A4+SUBSTITUTE($D$24,"M","")</f>
        <v>4</v>
      </c>
      <c r="C4" s="373" t="str">
        <f>"B"&amp;$D$24&amp;"_"&amp;A4&amp;"X"&amp;B4</f>
        <v>B3M_1X4</v>
      </c>
      <c r="D4" s="385">
        <f>_xll.qlCalendarAdvance(Calendar,SettlementDate,A4&amp;"M","mf")</f>
        <v>42170</v>
      </c>
      <c r="E4" s="385">
        <f>_xll.qlInterestRateIndexMaturity($D$25,D4)</f>
        <v>42262</v>
      </c>
      <c r="F4" s="374">
        <f>_xll.qlIndexFixing(ON_6M_index,_xll.qlInterestRateIndexFixingDate(ON_6M_index,D4,Trigger),,AllTriggers)</f>
        <v>-1.2305122846826952E-3</v>
      </c>
      <c r="G4" s="374">
        <f t="shared" ref="G4:G9" si="2">H4+F4</f>
        <v>-7.4282388542385065E-5</v>
      </c>
      <c r="H4" s="475">
        <f>_xll.qlQuoteValue(C4,_xll.ohTrigger(InterestRatesTrigger,'6MSynthDepo_used'!E4))</f>
        <v>1.1562298961403101E-3</v>
      </c>
      <c r="I4" s="336">
        <f>_xll.qlDayCounterYearFraction(DayCounter,SettlementDate,D4,,,Trigger)</f>
        <v>8.8888888888888892E-2</v>
      </c>
      <c r="J4" s="336">
        <f>1</f>
        <v>1</v>
      </c>
      <c r="K4" s="336">
        <f t="shared" si="0"/>
        <v>8.8888888888888892E-2</v>
      </c>
      <c r="L4" s="336">
        <f t="shared" si="1"/>
        <v>7.9012345679012348E-3</v>
      </c>
      <c r="M4" s="375">
        <f>LN((1+G4*_xll.qlDayCounterYearFraction(DayCounter,D4,E4,,,Trigger))/(1+F4*_xll.qlDayCounterYearFraction(DayCounter,D4,E4,,,Trigger)))</f>
        <v>2.9553024752387408E-4</v>
      </c>
      <c r="N4" s="336">
        <f>_xll.qlDayCounterYearFraction(DayCounter,SettlementDate,D4,,,Trigger)</f>
        <v>8.8888888888888892E-2</v>
      </c>
      <c r="O4" s="336">
        <f>_xll.qlDayCounterYearFraction(DayCounter,SettlementDate,E4,,,Trigger)</f>
        <v>0.34444444444444444</v>
      </c>
      <c r="P4" s="336">
        <f t="shared" ref="P4:P9" si="3">O4-N4</f>
        <v>0.25555555555555554</v>
      </c>
      <c r="Q4" s="336">
        <f t="shared" ref="Q4:Q9" si="4">(O4^2-N4^2)/2</f>
        <v>5.5370370370370368E-2</v>
      </c>
      <c r="R4" s="336">
        <f t="shared" ref="R4:R9" si="5">(O4^3-N4^3)/3</f>
        <v>1.3387745770461819E-2</v>
      </c>
      <c r="S4" s="376" t="b">
        <v>0</v>
      </c>
      <c r="T4" s="376" t="b">
        <v>0</v>
      </c>
      <c r="U4" s="376" t="b">
        <v>0</v>
      </c>
      <c r="V4" s="376" t="b">
        <v>0</v>
      </c>
      <c r="AD4" s="300" t="s">
        <v>138</v>
      </c>
      <c r="AE4" s="117"/>
      <c r="AF4" s="117"/>
      <c r="AG4" s="117"/>
      <c r="AH4" s="117"/>
      <c r="AI4" s="318" t="s">
        <v>91</v>
      </c>
      <c r="AJ4" s="136"/>
      <c r="AK4" s="118"/>
      <c r="AL4" s="117"/>
      <c r="AM4" s="117"/>
      <c r="AN4" s="117"/>
      <c r="AO4" s="307"/>
      <c r="AP4" s="300"/>
      <c r="AQ4" s="117"/>
      <c r="AR4" s="117"/>
      <c r="AS4" s="117"/>
      <c r="AT4" s="117"/>
      <c r="AU4" s="318" t="s">
        <v>91</v>
      </c>
      <c r="AV4" s="136"/>
      <c r="AW4" s="118"/>
      <c r="AX4" s="117"/>
      <c r="AY4" s="117"/>
      <c r="AZ4" s="117"/>
      <c r="BA4" s="307"/>
      <c r="BE4" s="322" t="str">
        <f>G34</f>
        <v>with 0X3</v>
      </c>
      <c r="BF4" s="324"/>
      <c r="BG4" s="323" t="str">
        <f>S34</f>
        <v>without 0X3</v>
      </c>
      <c r="BH4" s="324"/>
      <c r="BI4" s="322" t="str">
        <f>U34</f>
        <v>with 0X3</v>
      </c>
      <c r="BJ4" s="324"/>
      <c r="BK4" s="323" t="str">
        <f>W34</f>
        <v>without 0X3</v>
      </c>
      <c r="BL4" s="324"/>
      <c r="BM4" s="322" t="str">
        <f>Y34</f>
        <v>with 0X3</v>
      </c>
      <c r="BN4" s="324"/>
      <c r="BO4" s="323" t="str">
        <f>AA34</f>
        <v>without 0X3</v>
      </c>
      <c r="BP4" s="324"/>
    </row>
    <row r="5" spans="1:69" ht="12" customHeight="1" x14ac:dyDescent="0.2">
      <c r="A5" s="117">
        <f>'6MSynthDepo_used'!A6</f>
        <v>2</v>
      </c>
      <c r="B5" s="187">
        <f>A5+SUBSTITUTE($D$24,"M","")</f>
        <v>5</v>
      </c>
      <c r="C5" s="151" t="str">
        <f>"B"&amp;$D$24&amp;"_"&amp;A5&amp;"X"&amp;B5</f>
        <v>B3M_2X5</v>
      </c>
      <c r="D5" s="383">
        <f>_xll.qlCalendarAdvance(Calendar,SettlementDate,A5&amp;"M","mf")</f>
        <v>42199</v>
      </c>
      <c r="E5" s="383">
        <f>_xll.qlInterestRateIndexMaturity($D$25,D5)</f>
        <v>42291</v>
      </c>
      <c r="F5" s="180">
        <f>_xll.qlIndexFixing(ON_6M_index,_xll.qlInterestRateIndexFixingDate(ON_6M_index,D5,Trigger),,AllTriggers)</f>
        <v>-1.2520227137032052E-3</v>
      </c>
      <c r="G5" s="180">
        <f t="shared" si="2"/>
        <v>-1.0874323178172523E-4</v>
      </c>
      <c r="H5" s="408">
        <f>_xll.qlQuoteValue(C5,_xll.ohTrigger(InterestRatesTrigger,'6MSynthDepo_used'!E5))</f>
        <v>1.14327948192148E-3</v>
      </c>
      <c r="I5" s="154">
        <f>_xll.qlDayCounterYearFraction(DayCounter,SettlementDate,D5,,,Trigger)</f>
        <v>0.16944444444444445</v>
      </c>
      <c r="J5" s="154">
        <f>1</f>
        <v>1</v>
      </c>
      <c r="K5" s="154">
        <f t="shared" si="0"/>
        <v>0.16944444444444445</v>
      </c>
      <c r="L5" s="154">
        <f t="shared" si="1"/>
        <v>2.8711419753086422E-2</v>
      </c>
      <c r="M5" s="153">
        <f>LN((1+G5*_xll.qlDayCounterYearFraction(DayCounter,D5,E5,,,Trigger))/(1+F5*_xll.qlDayCounterYearFraction(DayCounter,D5,E5,,,Trigger)))</f>
        <v>2.9222223556757957E-4</v>
      </c>
      <c r="N5" s="154">
        <f>_xll.qlDayCounterYearFraction(DayCounter,SettlementDate,D5,,,Trigger)</f>
        <v>0.16944444444444445</v>
      </c>
      <c r="O5" s="154">
        <f>_xll.qlDayCounterYearFraction(DayCounter,SettlementDate,E5,,,Trigger)</f>
        <v>0.42499999999999999</v>
      </c>
      <c r="P5" s="154">
        <f t="shared" si="3"/>
        <v>0.25555555555555554</v>
      </c>
      <c r="Q5" s="154">
        <f t="shared" si="4"/>
        <v>7.5956790123456783E-2</v>
      </c>
      <c r="R5" s="154">
        <f t="shared" si="5"/>
        <v>2.3966878143575673E-2</v>
      </c>
      <c r="S5" s="320" t="b">
        <v>0</v>
      </c>
      <c r="T5" s="320" t="b">
        <v>0</v>
      </c>
      <c r="U5" s="320" t="b">
        <v>0</v>
      </c>
      <c r="V5" s="320" t="b">
        <v>0</v>
      </c>
      <c r="AD5" s="300"/>
      <c r="AE5" s="330"/>
      <c r="AF5" s="127">
        <f t="array" ref="AF5:AF6">_xll.ohFilter(K3:K9,S3:S9)</f>
        <v>0</v>
      </c>
      <c r="AG5" s="128">
        <f t="array" ref="AG5:AG6">_xll.ohFilter(J3:J9,S3:S9)</f>
        <v>1</v>
      </c>
      <c r="AH5" s="431" t="s">
        <v>37</v>
      </c>
      <c r="AI5" s="129">
        <f t="array" ref="AI5:AI6">MMULT(AL5:AM6,AK5:AK6)</f>
        <v>-2.3369268793414499E-3</v>
      </c>
      <c r="AJ5" s="431" t="s">
        <v>38</v>
      </c>
      <c r="AK5" s="130">
        <f t="array" ref="AK5:AK6">_xll.ohFilter(H3:H9,S3:S9)</f>
        <v>1.0492273628900305E-3</v>
      </c>
      <c r="AL5" s="127">
        <f t="array" ref="AL5:AM6">MINVERSE(AF5:AG6)</f>
        <v>-60</v>
      </c>
      <c r="AM5" s="128">
        <v>60</v>
      </c>
      <c r="AN5" s="117"/>
      <c r="AO5" s="307"/>
      <c r="AP5" s="300"/>
      <c r="AQ5" s="330"/>
      <c r="AR5" s="127">
        <f t="array" ref="AR5:AR6">_xll.ohFilter(Q3:Q9,S3:S9)</f>
        <v>3.2654320987654313E-2</v>
      </c>
      <c r="AS5" s="128">
        <f t="array" ref="AS5:AS6">_xll.ohFilter(P3:P9,S3:S9)</f>
        <v>0.25555555555555554</v>
      </c>
      <c r="AT5" s="431" t="s">
        <v>37</v>
      </c>
      <c r="AU5" s="129">
        <f t="array" ref="AU5:AU6">MMULT(AX5:AY6,AW5:AW6)</f>
        <v>-2.3367826987436349E-3</v>
      </c>
      <c r="AV5" s="431" t="s">
        <v>38</v>
      </c>
      <c r="AW5" s="188">
        <f t="array" ref="AW5:AW6">_xll.ohFilter(M3:M9,S3:S9)</f>
        <v>2.6817965152231386E-4</v>
      </c>
      <c r="AX5" s="127">
        <f t="array" ref="AX5:AY6">MINVERSE(AR5:AS6)</f>
        <v>-234.78260869565216</v>
      </c>
      <c r="AY5" s="128">
        <v>234.78260869565216</v>
      </c>
      <c r="AZ5" s="117"/>
      <c r="BA5" s="307"/>
      <c r="BC5" s="142" t="s">
        <v>70</v>
      </c>
      <c r="BD5" s="142" t="s">
        <v>122</v>
      </c>
      <c r="BE5" s="142" t="str">
        <f>G35</f>
        <v>Linear</v>
      </c>
      <c r="BF5" s="142" t="str">
        <f>H35</f>
        <v>Quadratic</v>
      </c>
      <c r="BG5" s="142" t="str">
        <f>S35</f>
        <v>Linear</v>
      </c>
      <c r="BH5" s="142" t="str">
        <f>T35</f>
        <v>Quadratic</v>
      </c>
      <c r="BI5" s="142" t="str">
        <f>U35</f>
        <v>Linear</v>
      </c>
      <c r="BJ5" s="142" t="str">
        <f>V35</f>
        <v>Quadratic</v>
      </c>
      <c r="BK5" s="142" t="str">
        <f>W35</f>
        <v>Linear</v>
      </c>
      <c r="BL5" s="142" t="str">
        <f>X35</f>
        <v>Quadratic</v>
      </c>
      <c r="BM5" s="142" t="str">
        <f>Y35</f>
        <v>Linear</v>
      </c>
      <c r="BN5" s="142" t="str">
        <f>Z35</f>
        <v>Quadratic</v>
      </c>
      <c r="BO5" s="142" t="str">
        <f>AA35</f>
        <v>Linear</v>
      </c>
      <c r="BP5" s="142" t="str">
        <f>AB35</f>
        <v>Quadratic</v>
      </c>
      <c r="BQ5" s="142" t="s">
        <v>179</v>
      </c>
    </row>
    <row r="6" spans="1:69" ht="12" customHeight="1" x14ac:dyDescent="0.2">
      <c r="A6" s="117">
        <f>'6MSynthDepo_used'!A7</f>
        <v>3</v>
      </c>
      <c r="B6" s="187">
        <f>A6+SUBSTITUTE($D$24,"M","")</f>
        <v>6</v>
      </c>
      <c r="C6" s="372" t="str">
        <f>"B"&amp;$D$24&amp;"_"&amp;A6&amp;"X"&amp;B6</f>
        <v>B3M_3X6</v>
      </c>
      <c r="D6" s="471">
        <f>_xll.qlCalendarAdvance(Calendar,SettlementDate,A6&amp;"M","mf")</f>
        <v>42230</v>
      </c>
      <c r="E6" s="471">
        <f>_xll.qlInterestRateIndexMaturity($D$25,D6)</f>
        <v>42324</v>
      </c>
      <c r="F6" s="472">
        <f>_xll.qlIndexFixing(ON_6M_index,_xll.qlInterestRateIndexFixingDate(ON_6M_index,D6,Trigger),,AllTriggers)</f>
        <v>-1.2678296020085104E-3</v>
      </c>
      <c r="G6" s="472">
        <f t="shared" si="2"/>
        <v>-1.1653638127569329E-4</v>
      </c>
      <c r="H6" s="476">
        <f>_xll.qlQuoteValue(C6,_xll.ohTrigger(InterestRatesTrigger,'6MSynthDepo_used'!E6))</f>
        <v>1.1512932207328171E-3</v>
      </c>
      <c r="I6" s="370">
        <f>_xll.qlDayCounterYearFraction(DayCounter,SettlementDate,D6,,,Trigger)</f>
        <v>0.25555555555555554</v>
      </c>
      <c r="J6" s="370">
        <f>1</f>
        <v>1</v>
      </c>
      <c r="K6" s="370">
        <f t="shared" si="0"/>
        <v>0.25555555555555554</v>
      </c>
      <c r="L6" s="370">
        <f t="shared" si="1"/>
        <v>6.5308641975308626E-2</v>
      </c>
      <c r="M6" s="473">
        <f>LN((1+G6*_xll.qlDayCounterYearFraction(DayCounter,D6,E6,,,Trigger))/(1+F6*_xll.qlDayCounterYearFraction(DayCounter,D6,E6,,,Trigger)))</f>
        <v>3.0066979640282443E-4</v>
      </c>
      <c r="N6" s="370">
        <f>_xll.qlDayCounterYearFraction(DayCounter,SettlementDate,D6,,,Trigger)</f>
        <v>0.25555555555555554</v>
      </c>
      <c r="O6" s="370">
        <f>_xll.qlDayCounterYearFraction(DayCounter,SettlementDate,E6,,,Trigger)</f>
        <v>0.51666666666666672</v>
      </c>
      <c r="P6" s="370">
        <f t="shared" si="3"/>
        <v>0.26111111111111118</v>
      </c>
      <c r="Q6" s="370">
        <f t="shared" si="4"/>
        <v>0.10081790123456794</v>
      </c>
      <c r="R6" s="370">
        <f t="shared" si="5"/>
        <v>4.0410436671239149E-2</v>
      </c>
      <c r="S6" s="474" t="b">
        <v>0</v>
      </c>
      <c r="T6" s="474" t="b">
        <v>0</v>
      </c>
      <c r="U6" s="474" t="b">
        <v>0</v>
      </c>
      <c r="V6" s="474" t="b">
        <v>0</v>
      </c>
      <c r="AD6" s="300"/>
      <c r="AE6" s="117"/>
      <c r="AF6" s="127">
        <v>1.6666666666666666E-2</v>
      </c>
      <c r="AG6" s="128">
        <v>1</v>
      </c>
      <c r="AH6" s="431"/>
      <c r="AI6" s="129">
        <v>1.0492273628900305E-3</v>
      </c>
      <c r="AJ6" s="431"/>
      <c r="AK6" s="130">
        <v>1.010278581567673E-3</v>
      </c>
      <c r="AL6" s="127">
        <v>1</v>
      </c>
      <c r="AM6" s="128">
        <v>0</v>
      </c>
      <c r="AN6" s="117"/>
      <c r="AO6" s="307"/>
      <c r="AP6" s="300"/>
      <c r="AQ6" s="117"/>
      <c r="AR6" s="127">
        <v>3.6913580246913574E-2</v>
      </c>
      <c r="AS6" s="128">
        <v>0.25555555555555554</v>
      </c>
      <c r="AT6" s="431"/>
      <c r="AU6" s="129">
        <v>1.3479875367866804E-3</v>
      </c>
      <c r="AV6" s="431"/>
      <c r="AW6" s="188">
        <v>2.5822668817581323E-4</v>
      </c>
      <c r="AX6" s="127">
        <v>33.91304347826086</v>
      </c>
      <c r="AY6" s="128">
        <v>-29.999999999999993</v>
      </c>
      <c r="AZ6" s="117"/>
      <c r="BA6" s="307"/>
      <c r="BC6" s="382">
        <f>SettlementDate</f>
        <v>42138</v>
      </c>
      <c r="BD6" s="154">
        <f>_xll.qlDayCounterYearFraction(DayCounter,SettlementDate,BC6,,,Trigger)</f>
        <v>0</v>
      </c>
      <c r="BE6" s="166">
        <f>_xll.qlPolynomialFunctionValue(BE$1,$BD6,AllTriggers)</f>
        <v>1.3478346863614382E-3</v>
      </c>
      <c r="BF6" s="179">
        <f>_xll.qlPolynomialFunctionValue(BF$1,$BD6,AllTriggers)</f>
        <v>1.9863555834756341E-3</v>
      </c>
      <c r="BG6" s="166">
        <f>_xll.qlPolynomialFunctionValue(BG$1,$BD6,AllTriggers)</f>
        <v>6.7852345349707268E-4</v>
      </c>
      <c r="BH6" s="179">
        <f>_xll.qlPolynomialFunctionValue(BH$1,$BD6,AllTriggers)</f>
        <v>4.9016714939429057E-4</v>
      </c>
      <c r="BI6" s="179">
        <f>_xll.qlPolynomialFunctionValue(BI$1,$BD6,AllTriggers)</f>
        <v>1.3479875367866804E-3</v>
      </c>
      <c r="BJ6" s="179">
        <f>_xll.qlPolynomialFunctionValue(BJ$1,$BD6,AllTriggers)</f>
        <v>1.9865246647883666E-3</v>
      </c>
      <c r="BK6" s="179">
        <f>_xll.qlPolynomialFunctionValue(BK$1,$BD6,AllTriggers)</f>
        <v>6.7865929035962206E-4</v>
      </c>
      <c r="BL6" s="179">
        <f>_xll.qlPolynomialFunctionValue(BL$1,$BD6,AllTriggers)</f>
        <v>4.8920450520901625E-4</v>
      </c>
      <c r="BM6" s="179">
        <f>_xll.qlPolynomialFunctionValue(BM$1,$BD6,AllTriggers)</f>
        <v>1.3478346863614382E-3</v>
      </c>
      <c r="BN6" s="179">
        <f>_xll.qlPolynomialFunctionValue(BN$1,$BD6,AllTriggers)</f>
        <v>1.9863555834756341E-3</v>
      </c>
      <c r="BO6" s="179">
        <f>_xll.qlPolynomialFunctionValue(BO$1,$BD6,AllTriggers)</f>
        <v>6.7852345349707268E-4</v>
      </c>
      <c r="BP6" s="179">
        <f>_xll.qlPolynomialFunctionValue(BP$1,$BD6,AllTriggers)</f>
        <v>4.9016714939429057E-4</v>
      </c>
      <c r="BQ6" s="179">
        <f>_xll.qlPolynomialFunctionValue('6MSynthDepo_used'!$P$18,BD6,AllTriggers)</f>
        <v>1.6112128984961903E-3</v>
      </c>
    </row>
    <row r="7" spans="1:69" ht="12" customHeight="1" x14ac:dyDescent="0.2">
      <c r="A7" s="117"/>
      <c r="B7" s="187" t="str">
        <f>'3MSynthDepo_used'!C11</f>
        <v>K5</v>
      </c>
      <c r="C7" s="151" t="str">
        <f>"B"&amp;$D$24&amp;"_FUT"&amp;B7</f>
        <v>B3M_FUTK5</v>
      </c>
      <c r="D7" s="383">
        <f>_xll.qlIMMdate(B7,SettlementDate,Trigger)</f>
        <v>42144</v>
      </c>
      <c r="E7" s="383">
        <f>_xll.qlInterestRateIndexMaturity($D$25,D7)</f>
        <v>42236</v>
      </c>
      <c r="F7" s="180">
        <f>_xll.qlIndexFixing(ON_6M_index,_xll.qlInterestRateIndexFixingDate(ON_6M_index,D7,Trigger),,AllTriggers)</f>
        <v>-1.1776913759789147E-3</v>
      </c>
      <c r="G7" s="180">
        <f t="shared" si="2"/>
        <v>-1.6741279441124168E-4</v>
      </c>
      <c r="H7" s="408">
        <f>_xll.qlQuoteValue(C7,_xll.ohTrigger(InterestRatesTrigger,'6MSynthDepo_used'!E7))</f>
        <v>1.010278581567673E-3</v>
      </c>
      <c r="I7" s="154">
        <f>_xll.qlDayCounterYearFraction(DayCounter,SettlementDate,D7,,,Trigger)</f>
        <v>1.6666666666666666E-2</v>
      </c>
      <c r="J7" s="154">
        <f>1</f>
        <v>1</v>
      </c>
      <c r="K7" s="154">
        <f t="shared" si="0"/>
        <v>1.6666666666666666E-2</v>
      </c>
      <c r="L7" s="154">
        <f t="shared" si="1"/>
        <v>2.7777777777777778E-4</v>
      </c>
      <c r="M7" s="153">
        <f>LN((1+G7*_xll.qlDayCounterYearFraction(DayCounter,D7,E7,,,Trigger))/(1+F7*_xll.qlDayCounterYearFraction(DayCounter,D7,E7,,,Trigger)))</f>
        <v>2.5822668817581323E-4</v>
      </c>
      <c r="N7" s="154">
        <f>_xll.qlDayCounterYearFraction(DayCounter,SettlementDate,D7,,,Trigger)</f>
        <v>1.6666666666666666E-2</v>
      </c>
      <c r="O7" s="154">
        <f>_xll.qlDayCounterYearFraction(DayCounter,SettlementDate,E7,,,Trigger)</f>
        <v>0.2722222222222222</v>
      </c>
      <c r="P7" s="154">
        <f t="shared" si="3"/>
        <v>0.25555555555555554</v>
      </c>
      <c r="Q7" s="154">
        <f t="shared" si="4"/>
        <v>3.6913580246913574E-2</v>
      </c>
      <c r="R7" s="154">
        <f t="shared" si="5"/>
        <v>6.722793781435755E-3</v>
      </c>
      <c r="S7" s="320" t="b">
        <v>1</v>
      </c>
      <c r="T7" s="320" t="b">
        <v>1</v>
      </c>
      <c r="U7" s="320" t="b">
        <v>1</v>
      </c>
      <c r="V7" s="320" t="b">
        <v>1</v>
      </c>
      <c r="AD7" s="300"/>
      <c r="AE7" s="117"/>
      <c r="AF7" s="117"/>
      <c r="AG7" s="117"/>
      <c r="AH7" s="117"/>
      <c r="AI7" s="317"/>
      <c r="AJ7" s="136"/>
      <c r="AK7" s="118"/>
      <c r="AL7" s="117"/>
      <c r="AM7" s="117"/>
      <c r="AN7" s="117"/>
      <c r="AO7" s="307"/>
      <c r="AP7" s="300"/>
      <c r="AQ7" s="117"/>
      <c r="AR7" s="117"/>
      <c r="AS7" s="117"/>
      <c r="AT7" s="117"/>
      <c r="AU7" s="317"/>
      <c r="AV7" s="136"/>
      <c r="AW7" s="424"/>
      <c r="AX7" s="117"/>
      <c r="AY7" s="117"/>
      <c r="AZ7" s="117"/>
      <c r="BA7" s="307"/>
      <c r="BC7" s="384">
        <f>_xll.qlCalendarAdvance(Calendar,BC6,"1d","mf",,Trigger)</f>
        <v>42139</v>
      </c>
      <c r="BD7" s="154">
        <f>_xll.qlDayCounterYearFraction(DayCounter,SettlementDate,BC7,,,Trigger)</f>
        <v>2.7777777777777779E-3</v>
      </c>
      <c r="BE7" s="166">
        <f>_xll.qlPolynomialFunctionValue(BE$1,$BD7,AllTriggers)</f>
        <v>1.341343222807712E-3</v>
      </c>
      <c r="BF7" s="166">
        <f>_xll.qlPolynomialFunctionValue(BF$1,$BD7,AllTriggers)</f>
        <v>1.9431428588428108E-3</v>
      </c>
      <c r="BG7" s="166">
        <f>_xll.qlPolynomialFunctionValue(BG$1,$BD7,AllTriggers)</f>
        <v>6.8490335980612267E-4</v>
      </c>
      <c r="BH7" s="166">
        <f>_xll.qlPolynomialFunctionValue(BH$1,$BD7,AllTriggers)</f>
        <v>5.0368947441352906E-4</v>
      </c>
      <c r="BI7" s="166">
        <f>_xll.qlPolynomialFunctionValue(BI$1,$BD7,AllTriggers)</f>
        <v>1.3414964737346147E-3</v>
      </c>
      <c r="BJ7" s="166">
        <f>_xll.qlPolynomialFunctionValue(BJ$1,$BD7,AllTriggers)</f>
        <v>1.9433114072207891E-3</v>
      </c>
      <c r="BK7" s="166">
        <f>_xll.qlPolynomialFunctionValue(BK$1,$BD7,AllTriggers)</f>
        <v>6.8503992435423066E-4</v>
      </c>
      <c r="BL7" s="166">
        <f>_xll.qlPolynomialFunctionValue(BL$1,$BD7,AllTriggers)</f>
        <v>5.0276921200989545E-4</v>
      </c>
      <c r="BM7" s="166">
        <f>_xll.qlPolynomialFunctionValue(BM$1,$BD7,AllTriggers)</f>
        <v>1.341343222807712E-3</v>
      </c>
      <c r="BN7" s="166">
        <f>_xll.qlPolynomialFunctionValue(BN$1,$BD7,AllTriggers)</f>
        <v>1.9431428588428108E-3</v>
      </c>
      <c r="BO7" s="166">
        <f>_xll.qlPolynomialFunctionValue(BO$1,$BD7,AllTriggers)</f>
        <v>6.8490335980612267E-4</v>
      </c>
      <c r="BP7" s="166">
        <f>_xll.qlPolynomialFunctionValue(BP$1,$BD7,AllTriggers)</f>
        <v>5.0368947441352906E-4</v>
      </c>
      <c r="BQ7" s="166">
        <f>_xll.qlPolynomialFunctionValue('6MSynthDepo_used'!$P$18,BD7,AllTriggers)</f>
        <v>1.6142446821471286E-3</v>
      </c>
    </row>
    <row r="8" spans="1:69" ht="12" customHeight="1" x14ac:dyDescent="0.2">
      <c r="A8" s="117"/>
      <c r="B8" s="187" t="str">
        <f>'3MSynthDepo_used'!C12</f>
        <v>M5</v>
      </c>
      <c r="C8" s="151" t="str">
        <f t="shared" ref="C8:C9" si="6">"B"&amp;$D$24&amp;"_FUT"&amp;B8</f>
        <v>B3M_FUTM5</v>
      </c>
      <c r="D8" s="383">
        <f>_xll.qlIMMdate(B8,SettlementDate,Trigger)</f>
        <v>42172</v>
      </c>
      <c r="E8" s="383">
        <f>_xll.qlInterestRateIndexMaturity($D$25,D8)</f>
        <v>42264</v>
      </c>
      <c r="F8" s="180">
        <f>_xll.qlIndexFixing(ON_6M_index,_xll.qlInterestRateIndexFixingDate(ON_6M_index,D8,Trigger),,AllTriggers)</f>
        <v>-1.2330002167212236E-3</v>
      </c>
      <c r="G8" s="180">
        <f t="shared" si="2"/>
        <v>-4.4084258500150329E-5</v>
      </c>
      <c r="H8" s="408">
        <f>_xll.qlQuoteValue(C8,_xll.ohTrigger(InterestRatesTrigger,'6MSynthDepo_used'!E8))</f>
        <v>1.1889159582210733E-3</v>
      </c>
      <c r="I8" s="154">
        <f>_xll.qlDayCounterYearFraction(DayCounter,SettlementDate,D8,,,Trigger)</f>
        <v>9.4444444444444442E-2</v>
      </c>
      <c r="J8" s="154">
        <f>1</f>
        <v>1</v>
      </c>
      <c r="K8" s="154">
        <f t="shared" si="0"/>
        <v>9.4444444444444442E-2</v>
      </c>
      <c r="L8" s="154">
        <f t="shared" si="1"/>
        <v>8.9197530864197523E-3</v>
      </c>
      <c r="M8" s="153">
        <f>LN((1+G8*_xll.qlDayCounterYearFraction(DayCounter,D8,E8,,,Trigger))/(1+F8*_xll.qlDayCounterYearFraction(DayCounter,D8,E8,,,Trigger)))</f>
        <v>3.0388366920390146E-4</v>
      </c>
      <c r="N8" s="154">
        <f>_xll.qlDayCounterYearFraction(DayCounter,SettlementDate,D8,,,Trigger)</f>
        <v>9.4444444444444442E-2</v>
      </c>
      <c r="O8" s="154">
        <f>_xll.qlDayCounterYearFraction(DayCounter,SettlementDate,E8,,,Trigger)</f>
        <v>0.35</v>
      </c>
      <c r="P8" s="154">
        <f t="shared" si="3"/>
        <v>0.25555555555555554</v>
      </c>
      <c r="Q8" s="154">
        <f t="shared" si="4"/>
        <v>5.6790123456790118E-2</v>
      </c>
      <c r="R8" s="154">
        <f t="shared" si="5"/>
        <v>1.4010859625057152E-2</v>
      </c>
      <c r="S8" s="320" t="b">
        <v>1</v>
      </c>
      <c r="T8" s="320" t="b">
        <v>1</v>
      </c>
      <c r="U8" s="320" t="b">
        <v>1</v>
      </c>
      <c r="V8" s="320" t="b">
        <v>1</v>
      </c>
      <c r="AD8" s="300" t="s">
        <v>139</v>
      </c>
      <c r="AE8" s="117"/>
      <c r="AF8" s="117"/>
      <c r="AG8" s="117"/>
      <c r="AH8" s="117"/>
      <c r="AI8" s="318" t="s">
        <v>91</v>
      </c>
      <c r="AJ8" s="136"/>
      <c r="AK8" s="118"/>
      <c r="AL8" s="117"/>
      <c r="AM8" s="117"/>
      <c r="AN8" s="117"/>
      <c r="AO8" s="307"/>
      <c r="AP8" s="300"/>
      <c r="AQ8" s="117"/>
      <c r="AR8" s="117"/>
      <c r="AS8" s="117"/>
      <c r="AT8" s="117"/>
      <c r="AU8" s="318" t="s">
        <v>91</v>
      </c>
      <c r="AV8" s="136"/>
      <c r="AW8" s="424"/>
      <c r="AX8" s="117"/>
      <c r="AY8" s="117"/>
      <c r="AZ8" s="117"/>
      <c r="BA8" s="307"/>
      <c r="BC8" s="384">
        <f>_xll.qlCalendarAdvance(Calendar,BC7,"1d","mf",,Trigger)</f>
        <v>42142</v>
      </c>
      <c r="BD8" s="154">
        <f>_xll.qlDayCounterYearFraction(DayCounter,SettlementDate,BC8,,,Trigger)</f>
        <v>1.1111111111111112E-2</v>
      </c>
      <c r="BE8" s="166">
        <f>_xll.qlPolynomialFunctionValue(BE$1,$BD8,AllTriggers)</f>
        <v>1.3218688321465332E-3</v>
      </c>
      <c r="BF8" s="166">
        <f>_xll.qlPolynomialFunctionValue(BF$1,$BD8,AllTriggers)</f>
        <v>1.8180475213664972E-3</v>
      </c>
      <c r="BG8" s="166">
        <f>_xll.qlPolynomialFunctionValue(BG$1,$BD8,AllTriggers)</f>
        <v>7.0404307873327273E-4</v>
      </c>
      <c r="BH8" s="166">
        <f>_xll.qlPolynomialFunctionValue(BH$1,$BD8,AllTriggers)</f>
        <v>5.4360218210847914E-4</v>
      </c>
      <c r="BI8" s="166">
        <f>_xll.qlPolynomialFunctionValue(BI$1,$BD8,AllTriggers)</f>
        <v>1.3220232845784178E-3</v>
      </c>
      <c r="BJ8" s="166">
        <f>_xll.qlPolynomialFunctionValue(BJ$1,$BD8,AllTriggers)</f>
        <v>1.818214586416883E-3</v>
      </c>
      <c r="BK8" s="166">
        <f>_xll.qlPolynomialFunctionValue(BK$1,$BD8,AllTriggers)</f>
        <v>7.0418182633805648E-4</v>
      </c>
      <c r="BL8" s="166">
        <f>_xll.qlPolynomialFunctionValue(BL$1,$BD8,AllTriggers)</f>
        <v>5.4280524940737826E-4</v>
      </c>
      <c r="BM8" s="166">
        <f>_xll.qlPolynomialFunctionValue(BM$1,$BD8,AllTriggers)</f>
        <v>1.3218688321465332E-3</v>
      </c>
      <c r="BN8" s="166">
        <f>_xll.qlPolynomialFunctionValue(BN$1,$BD8,AllTriggers)</f>
        <v>1.8180475213664972E-3</v>
      </c>
      <c r="BO8" s="166">
        <f>_xll.qlPolynomialFunctionValue(BO$1,$BD8,AllTriggers)</f>
        <v>7.0404307873327273E-4</v>
      </c>
      <c r="BP8" s="166">
        <f>_xll.qlPolynomialFunctionValue(BP$1,$BD8,AllTriggers)</f>
        <v>5.4360218210847914E-4</v>
      </c>
      <c r="BQ8" s="166">
        <f>_xll.qlPolynomialFunctionValue('6MSynthDepo_used'!$P$18,BD8,AllTriggers)</f>
        <v>1.6232226629091981E-3</v>
      </c>
    </row>
    <row r="9" spans="1:69" ht="12" customHeight="1" x14ac:dyDescent="0.2">
      <c r="A9" s="117"/>
      <c r="B9" s="187" t="str">
        <f>'3MSynthDepo_used'!C13</f>
        <v>U5</v>
      </c>
      <c r="C9" s="156" t="str">
        <f t="shared" si="6"/>
        <v>B3M_FUTU5</v>
      </c>
      <c r="D9" s="387">
        <f>_xll.qlIMMdate(B9,SettlementDate,Trigger)</f>
        <v>42263</v>
      </c>
      <c r="E9" s="387">
        <f>_xll.qlInterestRateIndexMaturity($D$25,D9)</f>
        <v>42354</v>
      </c>
      <c r="F9" s="181">
        <f>_xll.qlIndexFixing(ON_6M_index,_xll.qlInterestRateIndexFixingDate(ON_6M_index,D9,Trigger),,AllTriggers)</f>
        <v>-1.285541802874924E-3</v>
      </c>
      <c r="G9" s="181">
        <f t="shared" si="2"/>
        <v>-1.064761431458052E-4</v>
      </c>
      <c r="H9" s="409">
        <f>_xll.qlQuoteValue(C9,_xll.ohTrigger(InterestRatesTrigger,'6MSynthDepo_used'!E9))</f>
        <v>1.1790656597291187E-3</v>
      </c>
      <c r="I9" s="159">
        <f>_xll.qlDayCounterYearFraction(DayCounter,SettlementDate,D9,,,Trigger)</f>
        <v>0.34722222222222221</v>
      </c>
      <c r="J9" s="159">
        <f>1</f>
        <v>1</v>
      </c>
      <c r="K9" s="159">
        <f t="shared" si="0"/>
        <v>0.34722222222222221</v>
      </c>
      <c r="L9" s="159">
        <f t="shared" si="1"/>
        <v>0.12056327160493827</v>
      </c>
      <c r="M9" s="158">
        <f>LN((1+G9*_xll.qlDayCounterYearFraction(DayCounter,D9,E9,,,Trigger))/(1+F9*_xll.qlDayCounterYearFraction(DayCounter,D9,E9,,,Trigger)))</f>
        <v>2.9809404488256793E-4</v>
      </c>
      <c r="N9" s="159">
        <f>_xll.qlDayCounterYearFraction(DayCounter,SettlementDate,D9,,,Trigger)</f>
        <v>0.34722222222222221</v>
      </c>
      <c r="O9" s="159">
        <f>_xll.qlDayCounterYearFraction(DayCounter,SettlementDate,E9,,,Trigger)</f>
        <v>0.6</v>
      </c>
      <c r="P9" s="159">
        <f t="shared" si="3"/>
        <v>0.25277777777777777</v>
      </c>
      <c r="Q9" s="159">
        <f t="shared" si="4"/>
        <v>0.11971836419753086</v>
      </c>
      <c r="R9" s="159">
        <f t="shared" si="5"/>
        <v>5.8045917638317325E-2</v>
      </c>
      <c r="S9" s="356" t="b">
        <v>1</v>
      </c>
      <c r="T9" s="356" t="b">
        <v>1</v>
      </c>
      <c r="U9" s="356" t="b">
        <v>1</v>
      </c>
      <c r="V9" s="356" t="b">
        <v>1</v>
      </c>
      <c r="AD9" s="300"/>
      <c r="AE9" s="134"/>
      <c r="AF9" s="127">
        <f t="array" ref="AF9:AF10">_xll.ohFilter(K3:K9,U3:U9)</f>
        <v>1.6666666666666666E-2</v>
      </c>
      <c r="AG9" s="128">
        <f t="array" ref="AG9:AG10">_xll.ohFilter(J3:J9,U3:U9)</f>
        <v>1</v>
      </c>
      <c r="AH9" s="431" t="s">
        <v>37</v>
      </c>
      <c r="AI9" s="129">
        <f t="array" ref="AI9:AI10">MMULT(AL9:AM10,AK9:AK10)</f>
        <v>2.2967662712580043E-3</v>
      </c>
      <c r="AJ9" s="431" t="s">
        <v>38</v>
      </c>
      <c r="AK9" s="130">
        <f t="array" ref="AK9:AK10">_xll.ohFilter(H3:H9,U3:U9)</f>
        <v>1.010278581567673E-3</v>
      </c>
      <c r="AL9" s="127">
        <f t="array" ref="AL9:AM10">MINVERSE(AF9:AG10)</f>
        <v>-12.857142857142859</v>
      </c>
      <c r="AM9" s="128">
        <v>12.857142857142859</v>
      </c>
      <c r="AN9" s="117"/>
      <c r="AO9" s="307"/>
      <c r="AP9" s="300"/>
      <c r="AQ9" s="134"/>
      <c r="AR9" s="127">
        <f t="array" ref="AR9:AR10">_xll.ohFilter(Q3:Q9,U3:U9)</f>
        <v>3.6913580246913574E-2</v>
      </c>
      <c r="AS9" s="128">
        <f t="array" ref="AS9:AS10">_xll.ohFilter(P3:P9,U3:U9)</f>
        <v>0.25555555555555554</v>
      </c>
      <c r="AT9" s="431" t="s">
        <v>37</v>
      </c>
      <c r="AU9" s="129">
        <f t="array" ref="AU9:AU10">MMULT(AX9:AY10,AW9:AW10)</f>
        <v>2.2970282380590963E-3</v>
      </c>
      <c r="AV9" s="431" t="s">
        <v>38</v>
      </c>
      <c r="AW9" s="188">
        <f t="array" ref="AW9:AW10">_xll.ohFilter(M3:M9,U3:U9)</f>
        <v>2.5822668817581323E-4</v>
      </c>
      <c r="AX9" s="127">
        <f t="array" ref="AX9:AY10">MINVERSE(AR9:AS10)</f>
        <v>-50.310559006211172</v>
      </c>
      <c r="AY9" s="128">
        <v>50.310559006211172</v>
      </c>
      <c r="AZ9" s="117"/>
      <c r="BA9" s="307"/>
      <c r="BC9" s="384">
        <f>_xll.qlCalendarAdvance(Calendar,BC8,"1d","mf",,Trigger)</f>
        <v>42143</v>
      </c>
      <c r="BD9" s="154">
        <f>_xll.qlDayCounterYearFraction(DayCounter,SettlementDate,BC9,,,Trigger)</f>
        <v>1.3888888888888888E-2</v>
      </c>
      <c r="BE9" s="166">
        <f>_xll.qlPolynomialFunctionValue(BE$1,$BD9,AllTriggers)</f>
        <v>1.3153773685928068E-3</v>
      </c>
      <c r="BF9" s="166">
        <f>_xll.qlPolynomialFunctionValue(BF$1,$BD9,AllTriggers)</f>
        <v>1.7778633543484449E-3</v>
      </c>
      <c r="BG9" s="166">
        <f>_xll.qlPolynomialFunctionValue(BG$1,$BD9,AllTriggers)</f>
        <v>7.1042298504232272E-4</v>
      </c>
      <c r="BH9" s="166">
        <f>_xll.qlPolynomialFunctionValue(BH$1,$BD9,AllTriggers)</f>
        <v>5.56688328885874E-4</v>
      </c>
      <c r="BI9" s="166">
        <f>_xll.qlPolynomialFunctionValue(BI$1,$BD9,AllTriggers)</f>
        <v>1.3155322215263521E-3</v>
      </c>
      <c r="BJ9" s="166">
        <f>_xll.qlPolynomialFunctionValue(BJ$1,$BD9,AllTriggers)</f>
        <v>1.778029963448523E-3</v>
      </c>
      <c r="BK9" s="166">
        <f>_xll.qlPolynomialFunctionValue(BK$1,$BD9,AllTriggers)</f>
        <v>7.1056246033266508E-4</v>
      </c>
      <c r="BL9" s="166">
        <f>_xll.qlPolynomialFunctionValue(BL$1,$BD9,AllTriggers)</f>
        <v>5.5593123420482108E-4</v>
      </c>
      <c r="BM9" s="166">
        <f>_xll.qlPolynomialFunctionValue(BM$1,$BD9,AllTriggers)</f>
        <v>1.3153773685928068E-3</v>
      </c>
      <c r="BN9" s="166">
        <f>_xll.qlPolynomialFunctionValue(BN$1,$BD9,AllTriggers)</f>
        <v>1.7778633543484449E-3</v>
      </c>
      <c r="BO9" s="166">
        <f>_xll.qlPolynomialFunctionValue(BO$1,$BD9,AllTriggers)</f>
        <v>7.1042298504232272E-4</v>
      </c>
      <c r="BP9" s="166">
        <f>_xll.qlPolynomialFunctionValue(BP$1,$BD9,AllTriggers)</f>
        <v>5.56688328885874E-4</v>
      </c>
      <c r="BQ9" s="166">
        <f>_xll.qlPolynomialFunctionValue('6MSynthDepo_used'!$P$18,BD9,AllTriggers)</f>
        <v>1.626176539733852E-3</v>
      </c>
    </row>
    <row r="10" spans="1:69" ht="12" customHeight="1" x14ac:dyDescent="0.2">
      <c r="A10" s="117"/>
      <c r="B10" s="187"/>
      <c r="C10" s="118"/>
      <c r="D10" s="119"/>
      <c r="E10" s="119"/>
      <c r="F10" s="328"/>
      <c r="G10" s="328"/>
      <c r="H10" s="329"/>
      <c r="I10" s="120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2"/>
      <c r="U10" s="122"/>
      <c r="V10" s="122"/>
      <c r="W10" s="122"/>
      <c r="AD10" s="300"/>
      <c r="AE10" s="134"/>
      <c r="AF10" s="127">
        <v>9.4444444444444442E-2</v>
      </c>
      <c r="AG10" s="128">
        <v>1</v>
      </c>
      <c r="AH10" s="431"/>
      <c r="AI10" s="129">
        <v>9.719991437133731E-4</v>
      </c>
      <c r="AJ10" s="431"/>
      <c r="AK10" s="130">
        <v>1.1889159582210733E-3</v>
      </c>
      <c r="AL10" s="127">
        <v>1.2142857142857144</v>
      </c>
      <c r="AM10" s="128">
        <v>-0.2142857142857143</v>
      </c>
      <c r="AN10" s="117"/>
      <c r="AO10" s="307"/>
      <c r="AP10" s="300"/>
      <c r="AQ10" s="134"/>
      <c r="AR10" s="127">
        <v>5.6790123456790118E-2</v>
      </c>
      <c r="AS10" s="128">
        <v>0.25555555555555554</v>
      </c>
      <c r="AT10" s="431"/>
      <c r="AU10" s="129">
        <v>6.7865929035962206E-4</v>
      </c>
      <c r="AV10" s="431"/>
      <c r="AW10" s="188">
        <v>3.0388366920390146E-4</v>
      </c>
      <c r="AX10" s="127">
        <v>11.180124223602482</v>
      </c>
      <c r="AY10" s="128">
        <v>-7.2670807453416124</v>
      </c>
      <c r="AZ10" s="117"/>
      <c r="BA10" s="307"/>
      <c r="BC10" s="384">
        <f>_xll.qlCalendarAdvance(Calendar,BC9,"1d","mf",,Trigger)</f>
        <v>42144</v>
      </c>
      <c r="BD10" s="154">
        <f>_xll.qlDayCounterYearFraction(DayCounter,SettlementDate,BC10,,,Trigger)</f>
        <v>1.6666666666666666E-2</v>
      </c>
      <c r="BE10" s="166">
        <f>_xll.qlPolynomialFunctionValue(BE$1,$BD10,AllTriggers)</f>
        <v>1.3088859050390807E-3</v>
      </c>
      <c r="BF10" s="166">
        <f>_xll.qlPolynomialFunctionValue(BF$1,$BD10,AllTriggers)</f>
        <v>1.7384363267340852E-3</v>
      </c>
      <c r="BG10" s="166">
        <f>_xll.qlPolynomialFunctionValue(BG$1,$BD10,AllTriggers)</f>
        <v>7.168028913513727E-4</v>
      </c>
      <c r="BH10" s="166">
        <f>_xll.qlPolynomialFunctionValue(BH$1,$BD10,AllTriggers)</f>
        <v>5.696654311028082E-4</v>
      </c>
      <c r="BI10" s="166">
        <f>_xll.qlPolynomialFunctionValue(BI$1,$BD10,AllTriggers)</f>
        <v>1.3090411584742864E-3</v>
      </c>
      <c r="BJ10" s="166">
        <f>_xll.qlPolynomialFunctionValue(BJ$1,$BD10,AllTriggers)</f>
        <v>1.7386024991299675E-3</v>
      </c>
      <c r="BK10" s="166">
        <f>_xll.qlPolynomialFunctionValue(BK$1,$BD10,AllTriggers)</f>
        <v>7.1694309432727369E-4</v>
      </c>
      <c r="BL10" s="166">
        <f>_xll.qlPolynomialFunctionValue(BL$1,$BD10,AllTriggers)</f>
        <v>5.6894753850140469E-4</v>
      </c>
      <c r="BM10" s="166">
        <f>_xll.qlPolynomialFunctionValue(BM$1,$BD10,AllTriggers)</f>
        <v>1.3088859050390807E-3</v>
      </c>
      <c r="BN10" s="166">
        <f>_xll.qlPolynomialFunctionValue(BN$1,$BD10,AllTriggers)</f>
        <v>1.7384363267340852E-3</v>
      </c>
      <c r="BO10" s="166">
        <f>_xll.qlPolynomialFunctionValue(BO$1,$BD10,AllTriggers)</f>
        <v>7.168028913513727E-4</v>
      </c>
      <c r="BP10" s="166">
        <f>_xll.qlPolynomialFunctionValue(BP$1,$BD10,AllTriggers)</f>
        <v>5.696654311028082E-4</v>
      </c>
      <c r="BQ10" s="166">
        <f>_xll.qlPolynomialFunctionValue('6MSynthDepo_used'!$P$18,BD10,AllTriggers)</f>
        <v>1.6291111941935659E-3</v>
      </c>
    </row>
    <row r="11" spans="1:69" ht="12" customHeight="1" x14ac:dyDescent="0.2">
      <c r="A11" s="117"/>
      <c r="B11" s="187"/>
      <c r="C11" s="117"/>
      <c r="D11" s="117"/>
      <c r="E11" s="117"/>
      <c r="F11" s="117"/>
      <c r="G11" s="117"/>
      <c r="AD11" s="300"/>
      <c r="AE11" s="117"/>
      <c r="AF11" s="117"/>
      <c r="AG11" s="117"/>
      <c r="AH11" s="117"/>
      <c r="AI11" s="317"/>
      <c r="AJ11" s="136"/>
      <c r="AK11" s="118"/>
      <c r="AL11" s="117"/>
      <c r="AM11" s="117"/>
      <c r="AN11" s="117"/>
      <c r="AO11" s="307"/>
      <c r="AP11" s="300"/>
      <c r="AQ11" s="117"/>
      <c r="AR11" s="117"/>
      <c r="AS11" s="117"/>
      <c r="AT11" s="117"/>
      <c r="AU11" s="317"/>
      <c r="AV11" s="136"/>
      <c r="AW11" s="118"/>
      <c r="AX11" s="117"/>
      <c r="AY11" s="117"/>
      <c r="AZ11" s="117"/>
      <c r="BA11" s="307"/>
      <c r="BC11" s="384">
        <f>_xll.qlCalendarAdvance(Calendar,BC10,"1d","mf",,Trigger)</f>
        <v>42145</v>
      </c>
      <c r="BD11" s="154">
        <f>_xll.qlDayCounterYearFraction(DayCounter,SettlementDate,BC11,,,Trigger)</f>
        <v>1.9444444444444445E-2</v>
      </c>
      <c r="BE11" s="166">
        <f>_xll.qlPolynomialFunctionValue(BE$1,$BD11,AllTriggers)</f>
        <v>1.3023944414853545E-3</v>
      </c>
      <c r="BF11" s="166">
        <f>_xll.qlPolynomialFunctionValue(BF$1,$BD11,AllTriggers)</f>
        <v>1.6997664385234182E-3</v>
      </c>
      <c r="BG11" s="166">
        <f>_xll.qlPolynomialFunctionValue(BG$1,$BD11,AllTriggers)</f>
        <v>7.231827976604228E-4</v>
      </c>
      <c r="BH11" s="166">
        <f>_xll.qlPolynomialFunctionValue(BH$1,$BD11,AllTriggers)</f>
        <v>5.825334887592813E-4</v>
      </c>
      <c r="BI11" s="166">
        <f>_xll.qlPolynomialFunctionValue(BI$1,$BD11,AllTriggers)</f>
        <v>1.3025500954222209E-3</v>
      </c>
      <c r="BJ11" s="166">
        <f>_xll.qlPolynomialFunctionValue(BJ$1,$BD11,AllTriggers)</f>
        <v>1.6999321934612161E-3</v>
      </c>
      <c r="BK11" s="166">
        <f>_xll.qlPolynomialFunctionValue(BK$1,$BD11,AllTriggers)</f>
        <v>7.233237283218823E-4</v>
      </c>
      <c r="BL11" s="166">
        <f>_xll.qlPolynomialFunctionValue(BL$1,$BD11,AllTriggers)</f>
        <v>5.8185416229712943E-4</v>
      </c>
      <c r="BM11" s="166">
        <f>_xll.qlPolynomialFunctionValue(BM$1,$BD11,AllTriggers)</f>
        <v>1.3023944414853545E-3</v>
      </c>
      <c r="BN11" s="166">
        <f>_xll.qlPolynomialFunctionValue(BN$1,$BD11,AllTriggers)</f>
        <v>1.6997664385234182E-3</v>
      </c>
      <c r="BO11" s="166">
        <f>_xll.qlPolynomialFunctionValue(BO$1,$BD11,AllTriggers)</f>
        <v>7.231827976604228E-4</v>
      </c>
      <c r="BP11" s="166">
        <f>_xll.qlPolynomialFunctionValue(BP$1,$BD11,AllTriggers)</f>
        <v>5.825334887592813E-4</v>
      </c>
      <c r="BQ11" s="166">
        <f>_xll.qlPolynomialFunctionValue('6MSynthDepo_used'!$P$18,BD11,AllTriggers)</f>
        <v>1.6320267275177676E-3</v>
      </c>
    </row>
    <row r="12" spans="1:69" ht="12" customHeight="1" x14ac:dyDescent="0.2">
      <c r="B12" s="117"/>
      <c r="C12" s="322" t="s">
        <v>141</v>
      </c>
      <c r="D12" s="323"/>
      <c r="E12" s="323"/>
      <c r="F12" s="323"/>
      <c r="G12" s="323"/>
      <c r="H12" s="323"/>
      <c r="I12" s="322"/>
      <c r="J12" s="322"/>
      <c r="P12" s="187"/>
      <c r="Q12" s="187"/>
      <c r="R12" s="187"/>
      <c r="S12" s="322" t="str">
        <f>"with 0X"&amp;SUBSTITUTE($D$24,"M","")</f>
        <v>with 0X3</v>
      </c>
      <c r="T12" s="324"/>
      <c r="U12" s="323" t="str">
        <f>"without 0X"&amp;SUBSTITUTE($D$24,"M","")</f>
        <v>without 0X3</v>
      </c>
      <c r="V12" s="324"/>
      <c r="AD12" s="425" t="s">
        <v>84</v>
      </c>
      <c r="AE12" s="426"/>
      <c r="AF12" s="426"/>
      <c r="AG12" s="426"/>
      <c r="AH12" s="426"/>
      <c r="AI12" s="426"/>
      <c r="AJ12" s="426"/>
      <c r="AK12" s="426"/>
      <c r="AL12" s="426"/>
      <c r="AM12" s="426"/>
      <c r="AN12" s="426"/>
      <c r="AO12" s="428"/>
      <c r="AP12" s="425"/>
      <c r="AQ12" s="426"/>
      <c r="AR12" s="426"/>
      <c r="AS12" s="426"/>
      <c r="AT12" s="426"/>
      <c r="AU12" s="426"/>
      <c r="AV12" s="426"/>
      <c r="AW12" s="426"/>
      <c r="AX12" s="426"/>
      <c r="AY12" s="426"/>
      <c r="AZ12" s="426"/>
      <c r="BA12" s="428"/>
      <c r="BC12" s="384">
        <f>_xll.qlCalendarAdvance(Calendar,BC11,"1d","mf",,Trigger)</f>
        <v>42146</v>
      </c>
      <c r="BD12" s="154">
        <f>_xll.qlDayCounterYearFraction(DayCounter,SettlementDate,BC12,,,Trigger)</f>
        <v>2.2222222222222223E-2</v>
      </c>
      <c r="BE12" s="166">
        <f>_xll.qlPolynomialFunctionValue(BE$1,$BD12,AllTriggers)</f>
        <v>1.2959029779316281E-3</v>
      </c>
      <c r="BF12" s="166">
        <f>_xll.qlPolynomialFunctionValue(BF$1,$BD12,AllTriggers)</f>
        <v>1.6618536897164441E-3</v>
      </c>
      <c r="BG12" s="166">
        <f>_xll.qlPolynomialFunctionValue(BG$1,$BD12,AllTriggers)</f>
        <v>7.2956270396947278E-4</v>
      </c>
      <c r="BH12" s="166">
        <f>_xll.qlPolynomialFunctionValue(BH$1,$BD12,AllTriggers)</f>
        <v>5.9529250185529352E-4</v>
      </c>
      <c r="BI12" s="166">
        <f>_xll.qlPolynomialFunctionValue(BI$1,$BD12,AllTriggers)</f>
        <v>1.2960590323701552E-3</v>
      </c>
      <c r="BJ12" s="166">
        <f>_xll.qlPolynomialFunctionValue(BJ$1,$BD12,AllTriggers)</f>
        <v>1.6620190464422693E-3</v>
      </c>
      <c r="BK12" s="166">
        <f>_xll.qlPolynomialFunctionValue(BK$1,$BD12,AllTriggers)</f>
        <v>7.297043623164909E-4</v>
      </c>
      <c r="BL12" s="166">
        <f>_xll.qlPolynomialFunctionValue(BL$1,$BD12,AllTriggers)</f>
        <v>5.9465110559199486E-4</v>
      </c>
      <c r="BM12" s="166">
        <f>_xll.qlPolynomialFunctionValue(BM$1,$BD12,AllTriggers)</f>
        <v>1.2959029779316281E-3</v>
      </c>
      <c r="BN12" s="166">
        <f>_xll.qlPolynomialFunctionValue(BN$1,$BD12,AllTriggers)</f>
        <v>1.6618536897164441E-3</v>
      </c>
      <c r="BO12" s="166">
        <f>_xll.qlPolynomialFunctionValue(BO$1,$BD12,AllTriggers)</f>
        <v>7.2956270396947278E-4</v>
      </c>
      <c r="BP12" s="166">
        <f>_xll.qlPolynomialFunctionValue(BP$1,$BD12,AllTriggers)</f>
        <v>5.9529250185529352E-4</v>
      </c>
      <c r="BQ12" s="166">
        <f>_xll.qlPolynomialFunctionValue('6MSynthDepo_used'!$P$18,BD12,AllTriggers)</f>
        <v>1.6349232406822742E-3</v>
      </c>
    </row>
    <row r="13" spans="1:69" ht="22.5" customHeight="1" x14ac:dyDescent="0.2">
      <c r="C13" s="142" t="s">
        <v>85</v>
      </c>
      <c r="D13" s="142" t="s">
        <v>175</v>
      </c>
      <c r="E13" s="142" t="s">
        <v>176</v>
      </c>
      <c r="F13" s="142" t="s">
        <v>125</v>
      </c>
      <c r="G13" s="142" t="str">
        <f>"F "&amp;$D$24</f>
        <v>F 3M</v>
      </c>
      <c r="H13" s="142" t="str">
        <f>"B "&amp;$D$24</f>
        <v>B 3M</v>
      </c>
      <c r="I13" s="142" t="s">
        <v>163</v>
      </c>
      <c r="J13" s="142" t="s">
        <v>178</v>
      </c>
      <c r="P13" s="187"/>
      <c r="Q13" s="187"/>
      <c r="R13" s="187"/>
      <c r="S13" s="142" t="s">
        <v>83</v>
      </c>
      <c r="T13" s="142" t="s">
        <v>84</v>
      </c>
      <c r="U13" s="142" t="s">
        <v>83</v>
      </c>
      <c r="V13" s="142" t="s">
        <v>84</v>
      </c>
      <c r="AD13" s="300" t="s">
        <v>138</v>
      </c>
      <c r="AE13" s="117"/>
      <c r="AF13" s="117"/>
      <c r="AG13" s="117"/>
      <c r="AH13" s="117"/>
      <c r="AI13" s="319" t="s">
        <v>90</v>
      </c>
      <c r="AJ13" s="117"/>
      <c r="AK13" s="117"/>
      <c r="AL13" s="117"/>
      <c r="AM13" s="117"/>
      <c r="AN13" s="117"/>
      <c r="AO13" s="307"/>
      <c r="AP13" s="300"/>
      <c r="AQ13" s="117"/>
      <c r="AR13" s="117"/>
      <c r="AS13" s="117"/>
      <c r="AT13" s="117"/>
      <c r="AU13" s="319" t="s">
        <v>90</v>
      </c>
      <c r="AV13" s="117"/>
      <c r="AW13" s="117"/>
      <c r="AX13" s="117"/>
      <c r="AY13" s="117"/>
      <c r="AZ13" s="117"/>
      <c r="BA13" s="307"/>
      <c r="BC13" s="384">
        <f>_xll.qlCalendarAdvance(Calendar,BC12,"1d","mf",,Trigger)</f>
        <v>42149</v>
      </c>
      <c r="BD13" s="154">
        <f>_xll.qlDayCounterYearFraction(DayCounter,SettlementDate,BC13,,,Trigger)</f>
        <v>3.0555555555555555E-2</v>
      </c>
      <c r="BE13" s="166">
        <f>_xll.qlPolynomialFunctionValue(BE$1,$BD13,AllTriggers)</f>
        <v>1.2764285872704493E-3</v>
      </c>
      <c r="BF13" s="166">
        <f>_xll.qlPolynomialFunctionValue(BF$1,$BD13,AllTriggers)</f>
        <v>1.5526582797176778E-3</v>
      </c>
      <c r="BG13" s="166">
        <f>_xll.qlPolynomialFunctionValue(BG$1,$BD13,AllTriggers)</f>
        <v>7.4870242289662285E-4</v>
      </c>
      <c r="BH13" s="166">
        <f>_xll.qlPolynomialFunctionValue(BH$1,$BD13,AllTriggers)</f>
        <v>6.329152737805649E-4</v>
      </c>
      <c r="BI13" s="166">
        <f>_xll.qlPolynomialFunctionValue(BI$1,$BD13,AllTriggers)</f>
        <v>1.2765858432139581E-3</v>
      </c>
      <c r="BJ13" s="166">
        <f>_xll.qlPolynomialFunctionValue(BJ$1,$BD13,AllTriggers)</f>
        <v>1.5528225572842547E-3</v>
      </c>
      <c r="BK13" s="166">
        <f>_xll.qlPolynomialFunctionValue(BK$1,$BD13,AllTriggers)</f>
        <v>7.4884626430031672E-4</v>
      </c>
      <c r="BL13" s="166">
        <f>_xll.qlPolynomialFunctionValue(BL$1,$BD13,AllTriggers)</f>
        <v>6.3238385247143668E-4</v>
      </c>
      <c r="BM13" s="166">
        <f>_xll.qlPolynomialFunctionValue(BM$1,$BD13,AllTriggers)</f>
        <v>1.2764285872704493E-3</v>
      </c>
      <c r="BN13" s="166">
        <f>_xll.qlPolynomialFunctionValue(BN$1,$BD13,AllTriggers)</f>
        <v>1.5526582797176778E-3</v>
      </c>
      <c r="BO13" s="166">
        <f>_xll.qlPolynomialFunctionValue(BO$1,$BD13,AllTriggers)</f>
        <v>7.4870242289662285E-4</v>
      </c>
      <c r="BP13" s="166">
        <f>_xll.qlPolynomialFunctionValue(BP$1,$BD13,AllTriggers)</f>
        <v>6.329152737805649E-4</v>
      </c>
      <c r="BQ13" s="166">
        <f>_xll.qlPolynomialFunctionValue('6MSynthDepo_used'!$P$18,BD13,AllTriggers)</f>
        <v>1.6434996651716229E-3</v>
      </c>
    </row>
    <row r="14" spans="1:69" ht="12" customHeight="1" x14ac:dyDescent="0.2">
      <c r="A14" s="115">
        <f>A3</f>
        <v>0</v>
      </c>
      <c r="B14" s="187">
        <f>A14+SUBSTITUTE($D$24,"M","")</f>
        <v>3</v>
      </c>
      <c r="C14" s="377" t="str">
        <f>"B"&amp;$D$24&amp;"_"&amp;A14&amp;"X"&amp;B14&amp;$D$28</f>
        <v>B3M_0X3ESTIMATED</v>
      </c>
      <c r="D14" s="392">
        <f>SettlementDate</f>
        <v>42138</v>
      </c>
      <c r="E14" s="392">
        <f>_xll.qlInterestRateIndexMaturity($D$25,D14)</f>
        <v>42230</v>
      </c>
      <c r="F14" s="378">
        <f>_xll.qlIndexFixing(ON_6M_index,_xll.qlInterestRateIndexFixingDate(ON_6M_index,D14,Trigger),,AllTriggers)</f>
        <v>-1.1632423478286258E-3</v>
      </c>
      <c r="G14" s="378">
        <f>H14+F14</f>
        <v>-1.1401498493859527E-4</v>
      </c>
      <c r="H14" s="434">
        <f>_xll.qlQuoteValue(C14,_xll.ohTrigger(InterestRatesTrigger,'6MSynthDepo_used'!E3))</f>
        <v>1.0492273628900305E-3</v>
      </c>
      <c r="I14" s="379">
        <f>_xll.qlDayCounterYearFraction(DayCounter,SettlementDate,D14,,,Trigger)</f>
        <v>0</v>
      </c>
      <c r="J14" s="452">
        <f>($E$14-SettlementDate)-($D14-SettlementDate)</f>
        <v>92</v>
      </c>
      <c r="P14" s="187"/>
      <c r="Q14" s="187"/>
      <c r="R14" s="187"/>
      <c r="S14" s="380" t="b">
        <v>1</v>
      </c>
      <c r="T14" s="380" t="b">
        <v>1</v>
      </c>
      <c r="U14" s="380" t="b">
        <v>0</v>
      </c>
      <c r="V14" s="380" t="b">
        <v>0</v>
      </c>
      <c r="AD14" s="300"/>
      <c r="AE14" s="127">
        <f t="array" ref="AE14:AE16">_xll.ohFilter(L3:L9,T3:T9)</f>
        <v>0</v>
      </c>
      <c r="AF14" s="133">
        <f t="array" ref="AF14:AF16">_xll.ohFilter(K3:K9,T3:T9)</f>
        <v>0</v>
      </c>
      <c r="AG14" s="128">
        <f t="array" ref="AG14:AG16">_xll.ohFilter(J3:J9,T3:T9)</f>
        <v>1</v>
      </c>
      <c r="AH14" s="431" t="s">
        <v>37</v>
      </c>
      <c r="AI14" s="129">
        <f t="array" ref="AI14:AI16">MMULT(AL14:AN16,AK14:AK16)</f>
        <v>4.9062633359288399E-2</v>
      </c>
      <c r="AJ14" s="431" t="s">
        <v>38</v>
      </c>
      <c r="AK14" s="188">
        <f t="array" ref="AK14:AK16">_xll.ohFilter(H3:H9,T3:T9)</f>
        <v>1.0492273628900305E-3</v>
      </c>
      <c r="AL14" s="127">
        <f t="array" ref="AL14:AN16">MINVERSE(AE14:AG16)</f>
        <v>635.2941176470589</v>
      </c>
      <c r="AM14" s="133">
        <v>-771.42857142857156</v>
      </c>
      <c r="AN14" s="128">
        <v>136.13445378151263</v>
      </c>
      <c r="AO14" s="307"/>
      <c r="AP14" s="300"/>
      <c r="AQ14" s="127">
        <f t="array" ref="AQ14:AQ16">_xll.ohFilter(R3:R9,T3:T9)</f>
        <v>5.5633287608596238E-3</v>
      </c>
      <c r="AR14" s="133">
        <f t="array" ref="AR14:AR16">_xll.ohFilter(Q3:Q9,T3:T9)</f>
        <v>3.2654320987654313E-2</v>
      </c>
      <c r="AS14" s="128">
        <f t="array" ref="AS14:AS16">_xll.ohFilter(P3:P9,T3:T9)</f>
        <v>0.25555555555555554</v>
      </c>
      <c r="AT14" s="431" t="s">
        <v>37</v>
      </c>
      <c r="AU14" s="129">
        <f t="array" ref="AU14:AU16">MMULT(AX14:AZ16,AW14:AW16)</f>
        <v>4.9063880507322827E-2</v>
      </c>
      <c r="AV14" s="431" t="s">
        <v>38</v>
      </c>
      <c r="AW14" s="188">
        <f t="array" ref="AW14:AW16">_xll.ohFilter(M3:M9,T3:T9)</f>
        <v>2.6817965152231386E-4</v>
      </c>
      <c r="AX14" s="127">
        <f t="array" ref="AX14:AZ16">MINVERSE(AQ14:AS16)</f>
        <v>2485.9335038363142</v>
      </c>
      <c r="AY14" s="133">
        <v>-3018.6335403726675</v>
      </c>
      <c r="AZ14" s="128">
        <v>532.70003653635297</v>
      </c>
      <c r="BA14" s="307"/>
      <c r="BC14" s="384">
        <f>_xll.qlCalendarAdvance(Calendar,BC13,"1d","mf",,Trigger)</f>
        <v>42150</v>
      </c>
      <c r="BD14" s="154">
        <f>_xll.qlDayCounterYearFraction(DayCounter,SettlementDate,BC14,,,Trigger)</f>
        <v>3.3333333333333333E-2</v>
      </c>
      <c r="BE14" s="166">
        <f>_xll.qlPolynomialFunctionValue(BE$1,$BD14,AllTriggers)</f>
        <v>1.2699371237167231E-3</v>
      </c>
      <c r="BF14" s="166">
        <f>_xll.qlPolynomialFunctionValue(BF$1,$BD14,AllTriggers)</f>
        <v>1.5177740885254744E-3</v>
      </c>
      <c r="BG14" s="166">
        <f>_xll.qlPolynomialFunctionValue(BG$1,$BD14,AllTriggers)</f>
        <v>7.5508232920567283E-4</v>
      </c>
      <c r="BH14" s="166">
        <f>_xll.qlPolynomialFunctionValue(BH$1,$BD14,AllTriggers)</f>
        <v>6.452381086347335E-4</v>
      </c>
      <c r="BI14" s="166">
        <f>_xll.qlPolynomialFunctionValue(BI$1,$BD14,AllTriggers)</f>
        <v>1.2700947801618926E-3</v>
      </c>
      <c r="BJ14" s="166">
        <f>_xll.qlPolynomialFunctionValue(BJ$1,$BD14,AllTriggers)</f>
        <v>1.5179380448645254E-3</v>
      </c>
      <c r="BK14" s="166">
        <f>_xll.qlPolynomialFunctionValue(BK$1,$BD14,AllTriggers)</f>
        <v>7.5522689829492532E-4</v>
      </c>
      <c r="BL14" s="166">
        <f>_xll.qlPolynomialFunctionValue(BL$1,$BD14,AllTriggers)</f>
        <v>6.4474207376286595E-4</v>
      </c>
      <c r="BM14" s="166">
        <f>_xll.qlPolynomialFunctionValue(BM$1,$BD14,AllTriggers)</f>
        <v>1.2699371237167231E-3</v>
      </c>
      <c r="BN14" s="166">
        <f>_xll.qlPolynomialFunctionValue(BN$1,$BD14,AllTriggers)</f>
        <v>1.5177740885254744E-3</v>
      </c>
      <c r="BO14" s="166">
        <f>_xll.qlPolynomialFunctionValue(BO$1,$BD14,AllTriggers)</f>
        <v>7.5508232920567283E-4</v>
      </c>
      <c r="BP14" s="166">
        <f>_xll.qlPolynomialFunctionValue(BP$1,$BD14,AllTriggers)</f>
        <v>6.452381086347335E-4</v>
      </c>
      <c r="BQ14" s="166">
        <f>_xll.qlPolynomialFunctionValue('6MSynthDepo_used'!$P$18,BD14,AllTriggers)</f>
        <v>1.6463211023832892E-3</v>
      </c>
    </row>
    <row r="15" spans="1:69" ht="12" customHeight="1" x14ac:dyDescent="0.2">
      <c r="A15" s="117">
        <f t="shared" ref="A15:A20" si="7">A4</f>
        <v>1</v>
      </c>
      <c r="B15" s="187">
        <f>A15+SUBSTITUTE($D$24,"M","")</f>
        <v>4</v>
      </c>
      <c r="C15" s="151" t="str">
        <f>"B"&amp;$D$24&amp;"_"&amp;A15&amp;"X"&amp;B15</f>
        <v>B3M_1X4</v>
      </c>
      <c r="D15" s="383">
        <f>_xll.qlCalendarAdvance(Calendar,SettlementDate,A15&amp;"M","mf")</f>
        <v>42170</v>
      </c>
      <c r="E15" s="383">
        <f>_xll.qlInterestRateIndexMaturity($D$25,D15)</f>
        <v>42262</v>
      </c>
      <c r="F15" s="180">
        <f>_xll.qlIndexFixing(ON_6M_index,_xll.qlInterestRateIndexFixingDate(ON_6M_index,D15,Trigger),,AllTriggers)</f>
        <v>-1.2305122846826952E-3</v>
      </c>
      <c r="G15" s="180">
        <f t="shared" ref="G15:G20" si="8">H15+F15</f>
        <v>-7.4282388542385065E-5</v>
      </c>
      <c r="H15" s="408">
        <f>_xll.qlQuoteValue(C15,_xll.ohTrigger(InterestRatesTrigger,'6MSynthDepo_used'!E4))</f>
        <v>1.1562298961403101E-3</v>
      </c>
      <c r="I15" s="154">
        <f>_xll.qlDayCounterYearFraction(DayCounter,SettlementDate,D15,,,Trigger)</f>
        <v>8.8888888888888892E-2</v>
      </c>
      <c r="J15" s="450">
        <f>($E$14-SettlementDate)-($D15-SettlementDate)</f>
        <v>60</v>
      </c>
      <c r="K15" s="117"/>
      <c r="L15" s="117"/>
      <c r="M15" s="117"/>
      <c r="N15" s="117"/>
      <c r="O15" s="117"/>
      <c r="P15" s="187"/>
      <c r="Q15" s="187"/>
      <c r="R15" s="187"/>
      <c r="S15" s="320" t="b">
        <v>1</v>
      </c>
      <c r="T15" s="320" t="b">
        <v>1</v>
      </c>
      <c r="U15" s="320" t="b">
        <v>1</v>
      </c>
      <c r="V15" s="320" t="b">
        <v>1</v>
      </c>
      <c r="AD15" s="300"/>
      <c r="AE15" s="127">
        <v>2.7777777777777778E-4</v>
      </c>
      <c r="AF15" s="133">
        <v>1.6666666666666666E-2</v>
      </c>
      <c r="AG15" s="128">
        <v>1</v>
      </c>
      <c r="AH15" s="431"/>
      <c r="AI15" s="129">
        <v>-3.1546374353295941E-3</v>
      </c>
      <c r="AJ15" s="431"/>
      <c r="AK15" s="188">
        <v>1.010278581567673E-3</v>
      </c>
      <c r="AL15" s="127">
        <v>-70.588235294117652</v>
      </c>
      <c r="AM15" s="133">
        <v>72.857142857142861</v>
      </c>
      <c r="AN15" s="128">
        <v>-2.2689075630252105</v>
      </c>
      <c r="AO15" s="307"/>
      <c r="AP15" s="300"/>
      <c r="AQ15" s="127">
        <v>6.722793781435755E-3</v>
      </c>
      <c r="AR15" s="133">
        <v>3.6913580246913574E-2</v>
      </c>
      <c r="AS15" s="128">
        <v>0.25555555555555554</v>
      </c>
      <c r="AT15" s="431"/>
      <c r="AU15" s="129">
        <v>-1.5693061281292671E-2</v>
      </c>
      <c r="AV15" s="431"/>
      <c r="AW15" s="188">
        <v>2.5822668817581323E-4</v>
      </c>
      <c r="AX15" s="127">
        <v>-911.50895140664841</v>
      </c>
      <c r="AY15" s="133">
        <v>1056.5217391304332</v>
      </c>
      <c r="AZ15" s="128">
        <v>-145.01278772378487</v>
      </c>
      <c r="BA15" s="307"/>
      <c r="BC15" s="384">
        <f>_xll.qlCalendarAdvance(Calendar,BC14,"1d","mf",,Trigger)</f>
        <v>42151</v>
      </c>
      <c r="BD15" s="154">
        <f>_xll.qlDayCounterYearFraction(DayCounter,SettlementDate,BC15,,,Trigger)</f>
        <v>3.6111111111111108E-2</v>
      </c>
      <c r="BE15" s="166">
        <f>_xll.qlPolynomialFunctionValue(BE$1,$BD15,AllTriggers)</f>
        <v>1.2634456601629969E-3</v>
      </c>
      <c r="BF15" s="166">
        <f>_xll.qlPolynomialFunctionValue(BF$1,$BD15,AllTriggers)</f>
        <v>1.4836470367369638E-3</v>
      </c>
      <c r="BG15" s="166">
        <f>_xll.qlPolynomialFunctionValue(BG$1,$BD15,AllTriggers)</f>
        <v>7.6146223551472282E-4</v>
      </c>
      <c r="BH15" s="166">
        <f>_xll.qlPolynomialFunctionValue(BH$1,$BD15,AllTriggers)</f>
        <v>6.5745189892844132E-4</v>
      </c>
      <c r="BI15" s="166">
        <f>_xll.qlPolynomialFunctionValue(BI$1,$BD15,AllTriggers)</f>
        <v>1.2636037171098269E-3</v>
      </c>
      <c r="BJ15" s="166">
        <f>_xll.qlPolynomialFunctionValue(BJ$1,$BD15,AllTriggers)</f>
        <v>1.4838106910946001E-3</v>
      </c>
      <c r="BK15" s="166">
        <f>_xll.qlPolynomialFunctionValue(BK$1,$BD15,AllTriggers)</f>
        <v>7.6160753228953382E-4</v>
      </c>
      <c r="BL15" s="166">
        <f>_xll.qlPolynomialFunctionValue(BL$1,$BD15,AllTriggers)</f>
        <v>6.5699061455343601E-4</v>
      </c>
      <c r="BM15" s="166">
        <f>_xll.qlPolynomialFunctionValue(BM$1,$BD15,AllTriggers)</f>
        <v>1.2634456601629969E-3</v>
      </c>
      <c r="BN15" s="166">
        <f>_xll.qlPolynomialFunctionValue(BN$1,$BD15,AllTriggers)</f>
        <v>1.4836470367369638E-3</v>
      </c>
      <c r="BO15" s="166">
        <f>_xll.qlPolynomialFunctionValue(BO$1,$BD15,AllTriggers)</f>
        <v>7.6146223551472282E-4</v>
      </c>
      <c r="BP15" s="166">
        <f>_xll.qlPolynomialFunctionValue(BP$1,$BD15,AllTriggers)</f>
        <v>6.5745189892844132E-4</v>
      </c>
      <c r="BQ15" s="166">
        <f>_xll.qlPolynomialFunctionValue('6MSynthDepo_used'!$P$18,BD15,AllTriggers)</f>
        <v>1.6491240205101718E-3</v>
      </c>
    </row>
    <row r="16" spans="1:69" ht="12" customHeight="1" x14ac:dyDescent="0.2">
      <c r="A16" s="117">
        <f t="shared" si="7"/>
        <v>2</v>
      </c>
      <c r="B16" s="187">
        <f>A16+SUBSTITUTE($D$24,"M","")</f>
        <v>5</v>
      </c>
      <c r="C16" s="151" t="str">
        <f>"B"&amp;$D$24&amp;"_"&amp;A16&amp;"X"&amp;B16</f>
        <v>B3M_2X5</v>
      </c>
      <c r="D16" s="383">
        <f>_xll.qlCalendarAdvance(Calendar,SettlementDate,A16&amp;"M","mf")</f>
        <v>42199</v>
      </c>
      <c r="E16" s="383">
        <f>_xll.qlInterestRateIndexMaturity($D$25,D16)</f>
        <v>42291</v>
      </c>
      <c r="F16" s="180">
        <f>_xll.qlIndexFixing(ON_6M_index,_xll.qlInterestRateIndexFixingDate(ON_6M_index,D16,Trigger),,AllTriggers)</f>
        <v>-1.2520227137032052E-3</v>
      </c>
      <c r="G16" s="180">
        <f t="shared" si="8"/>
        <v>-1.0874323178172523E-4</v>
      </c>
      <c r="H16" s="408">
        <f>_xll.qlQuoteValue(C16,_xll.ohTrigger(InterestRatesTrigger,'6MSynthDepo_used'!E5))</f>
        <v>1.14327948192148E-3</v>
      </c>
      <c r="I16" s="154">
        <f>_xll.qlDayCounterYearFraction(DayCounter,SettlementDate,D16,,,Trigger)</f>
        <v>0.16944444444444445</v>
      </c>
      <c r="J16" s="450">
        <f>($E$14-SettlementDate)-($D16-SettlementDate)</f>
        <v>31</v>
      </c>
      <c r="K16" s="117"/>
      <c r="L16" s="117"/>
      <c r="M16" s="117"/>
      <c r="N16" s="117"/>
      <c r="O16" s="117"/>
      <c r="P16" s="187"/>
      <c r="Q16" s="187"/>
      <c r="R16" s="187"/>
      <c r="S16" s="320" t="b">
        <v>1</v>
      </c>
      <c r="T16" s="320" t="b">
        <v>1</v>
      </c>
      <c r="U16" s="320" t="b">
        <v>1</v>
      </c>
      <c r="V16" s="320" t="b">
        <v>1</v>
      </c>
      <c r="AD16" s="300"/>
      <c r="AE16" s="127">
        <v>8.9197530864197523E-3</v>
      </c>
      <c r="AF16" s="133">
        <v>9.4444444444444442E-2</v>
      </c>
      <c r="AG16" s="128">
        <v>1</v>
      </c>
      <c r="AH16" s="431"/>
      <c r="AI16" s="129">
        <v>1.0492273628900305E-3</v>
      </c>
      <c r="AJ16" s="431"/>
      <c r="AK16" s="188">
        <v>1.1889159582210733E-3</v>
      </c>
      <c r="AL16" s="127">
        <v>1</v>
      </c>
      <c r="AM16" s="133">
        <v>0</v>
      </c>
      <c r="AN16" s="128">
        <v>0</v>
      </c>
      <c r="AO16" s="307"/>
      <c r="AP16" s="300"/>
      <c r="AQ16" s="127">
        <v>1.4010859625057152E-2</v>
      </c>
      <c r="AR16" s="133">
        <v>5.6790123456790118E-2</v>
      </c>
      <c r="AS16" s="128">
        <v>0.25555555555555554</v>
      </c>
      <c r="AT16" s="431"/>
      <c r="AU16" s="129">
        <v>1.9865246647883666E-3</v>
      </c>
      <c r="AV16" s="431"/>
      <c r="AW16" s="188">
        <v>3.0388366920390146E-4</v>
      </c>
      <c r="AX16" s="127">
        <v>66.265984654731341</v>
      </c>
      <c r="AY16" s="133">
        <v>-69.285714285714135</v>
      </c>
      <c r="AZ16" s="128">
        <v>6.9327731092436728</v>
      </c>
      <c r="BA16" s="307"/>
      <c r="BC16" s="384">
        <f>_xll.qlCalendarAdvance(Calendar,BC15,"1d","mf",,Trigger)</f>
        <v>42152</v>
      </c>
      <c r="BD16" s="154">
        <f>_xll.qlDayCounterYearFraction(DayCounter,SettlementDate,BC16,,,Trigger)</f>
        <v>3.888888888888889E-2</v>
      </c>
      <c r="BE16" s="166">
        <f>_xll.qlPolynomialFunctionValue(BE$1,$BD16,AllTriggers)</f>
        <v>1.2569541966092708E-3</v>
      </c>
      <c r="BF16" s="166">
        <f>_xll.qlPolynomialFunctionValue(BF$1,$BD16,AllTriggers)</f>
        <v>1.4502771243521458E-3</v>
      </c>
      <c r="BG16" s="166">
        <f>_xll.qlPolynomialFunctionValue(BG$1,$BD16,AllTriggers)</f>
        <v>7.678421418237728E-4</v>
      </c>
      <c r="BH16" s="166">
        <f>_xll.qlPolynomialFunctionValue(BH$1,$BD16,AllTriggers)</f>
        <v>6.6955664466168815E-4</v>
      </c>
      <c r="BI16" s="166">
        <f>_xll.qlPolynomialFunctionValue(BI$1,$BD16,AllTriggers)</f>
        <v>1.2571126540577612E-3</v>
      </c>
      <c r="BJ16" s="166">
        <f>_xll.qlPolynomialFunctionValue(BJ$1,$BD16,AllTriggers)</f>
        <v>1.4504404959744793E-3</v>
      </c>
      <c r="BK16" s="166">
        <f>_xll.qlPolynomialFunctionValue(BK$1,$BD16,AllTriggers)</f>
        <v>7.6798816628414243E-4</v>
      </c>
      <c r="BL16" s="166">
        <f>_xll.qlPolynomialFunctionValue(BL$1,$BD16,AllTriggers)</f>
        <v>6.6912947484314687E-4</v>
      </c>
      <c r="BM16" s="166">
        <f>_xll.qlPolynomialFunctionValue(BM$1,$BD16,AllTriggers)</f>
        <v>1.2569541966092708E-3</v>
      </c>
      <c r="BN16" s="166">
        <f>_xll.qlPolynomialFunctionValue(BN$1,$BD16,AllTriggers)</f>
        <v>1.4502771243521458E-3</v>
      </c>
      <c r="BO16" s="166">
        <f>_xll.qlPolynomialFunctionValue(BO$1,$BD16,AllTriggers)</f>
        <v>7.678421418237728E-4</v>
      </c>
      <c r="BP16" s="166">
        <f>_xll.qlPolynomialFunctionValue(BP$1,$BD16,AllTriggers)</f>
        <v>6.6955664466168815E-4</v>
      </c>
      <c r="BQ16" s="166">
        <f>_xll.qlPolynomialFunctionValue('6MSynthDepo_used'!$P$18,BD16,AllTriggers)</f>
        <v>1.6519085190064176E-3</v>
      </c>
    </row>
    <row r="17" spans="1:69" ht="12" customHeight="1" x14ac:dyDescent="0.2">
      <c r="A17" s="117">
        <f t="shared" si="7"/>
        <v>3</v>
      </c>
      <c r="B17" s="187">
        <f>A17+SUBSTITUTE($D$24,"M","")</f>
        <v>6</v>
      </c>
      <c r="C17" s="372" t="str">
        <f>"B"&amp;$D$24&amp;"_"&amp;A17&amp;"X"&amp;B17</f>
        <v>B3M_3X6</v>
      </c>
      <c r="D17" s="471">
        <f>_xll.qlCalendarAdvance(Calendar,SettlementDate,A17&amp;"M","mf")</f>
        <v>42230</v>
      </c>
      <c r="E17" s="471">
        <f>_xll.qlInterestRateIndexMaturity($D$25,D17)</f>
        <v>42324</v>
      </c>
      <c r="F17" s="472">
        <f>_xll.qlIndexFixing(ON_6M_index,_xll.qlInterestRateIndexFixingDate(ON_6M_index,D17,Trigger),,AllTriggers)</f>
        <v>-1.2678296020085104E-3</v>
      </c>
      <c r="G17" s="472">
        <f t="shared" si="8"/>
        <v>-1.1653638127569329E-4</v>
      </c>
      <c r="H17" s="476">
        <f>_xll.qlQuoteValue(C17,_xll.ohTrigger(InterestRatesTrigger,'6MSynthDepo_used'!E6))</f>
        <v>1.1512932207328171E-3</v>
      </c>
      <c r="I17" s="370">
        <f>_xll.qlDayCounterYearFraction(DayCounter,SettlementDate,D17,,,Trigger)</f>
        <v>0.25555555555555554</v>
      </c>
      <c r="J17" s="477">
        <f>($E$14-SettlementDate)-($D17-SettlementDate)</f>
        <v>0</v>
      </c>
      <c r="K17" s="369"/>
      <c r="L17" s="369"/>
      <c r="M17" s="369"/>
      <c r="N17" s="369"/>
      <c r="O17" s="369"/>
      <c r="P17" s="371"/>
      <c r="Q17" s="371"/>
      <c r="R17" s="371"/>
      <c r="S17" s="474" t="b">
        <v>1</v>
      </c>
      <c r="T17" s="474" t="b">
        <v>1</v>
      </c>
      <c r="U17" s="474" t="b">
        <v>1</v>
      </c>
      <c r="V17" s="474" t="b">
        <v>1</v>
      </c>
      <c r="AD17" s="300"/>
      <c r="AE17" s="117"/>
      <c r="AF17" s="117"/>
      <c r="AG17" s="117"/>
      <c r="AH17" s="117"/>
      <c r="AI17" s="317"/>
      <c r="AJ17" s="136"/>
      <c r="AK17" s="118"/>
      <c r="AL17" s="117"/>
      <c r="AM17" s="117"/>
      <c r="AN17" s="117"/>
      <c r="AO17" s="307"/>
      <c r="AP17" s="300"/>
      <c r="AQ17" s="117"/>
      <c r="AR17" s="117"/>
      <c r="AS17" s="117"/>
      <c r="AT17" s="117"/>
      <c r="AU17" s="317"/>
      <c r="AV17" s="136"/>
      <c r="AW17" s="118"/>
      <c r="AX17" s="117"/>
      <c r="AY17" s="117"/>
      <c r="AZ17" s="117"/>
      <c r="BA17" s="307"/>
      <c r="BC17" s="384">
        <f>_xll.qlCalendarAdvance(Calendar,BC16,"1d","mf",,Trigger)</f>
        <v>42153</v>
      </c>
      <c r="BD17" s="154">
        <f>_xll.qlDayCounterYearFraction(DayCounter,SettlementDate,BC17,,,Trigger)</f>
        <v>4.1666666666666664E-2</v>
      </c>
      <c r="BE17" s="166">
        <f>_xll.qlPolynomialFunctionValue(BE$1,$BD17,AllTriggers)</f>
        <v>1.2504627330555444E-3</v>
      </c>
      <c r="BF17" s="166">
        <f>_xll.qlPolynomialFunctionValue(BF$1,$BD17,AllTriggers)</f>
        <v>1.4176643513710207E-3</v>
      </c>
      <c r="BG17" s="166">
        <f>_xll.qlPolynomialFunctionValue(BG$1,$BD17,AllTriggers)</f>
        <v>7.742220481328229E-4</v>
      </c>
      <c r="BH17" s="166">
        <f>_xll.qlPolynomialFunctionValue(BH$1,$BD17,AllTriggers)</f>
        <v>6.8155234583447421E-4</v>
      </c>
      <c r="BI17" s="166">
        <f>_xll.qlPolynomialFunctionValue(BI$1,$BD17,AllTriggers)</f>
        <v>1.2506215910056955E-3</v>
      </c>
      <c r="BJ17" s="166">
        <f>_xll.qlPolynomialFunctionValue(BJ$1,$BD17,AllTriggers)</f>
        <v>1.4178274595041632E-3</v>
      </c>
      <c r="BK17" s="166">
        <f>_xll.qlPolynomialFunctionValue(BK$1,$BD17,AllTriggers)</f>
        <v>7.7436880027875103E-4</v>
      </c>
      <c r="BL17" s="166">
        <f>_xll.qlPolynomialFunctionValue(BL$1,$BD17,AllTriggers)</f>
        <v>6.8115865463199863E-4</v>
      </c>
      <c r="BM17" s="166">
        <f>_xll.qlPolynomialFunctionValue(BM$1,$BD17,AllTriggers)</f>
        <v>1.2504627330555444E-3</v>
      </c>
      <c r="BN17" s="166">
        <f>_xll.qlPolynomialFunctionValue(BN$1,$BD17,AllTriggers)</f>
        <v>1.4176643513710207E-3</v>
      </c>
      <c r="BO17" s="166">
        <f>_xll.qlPolynomialFunctionValue(BO$1,$BD17,AllTriggers)</f>
        <v>7.742220481328229E-4</v>
      </c>
      <c r="BP17" s="166">
        <f>_xll.qlPolynomialFunctionValue(BP$1,$BD17,AllTriggers)</f>
        <v>6.8155234583447421E-4</v>
      </c>
      <c r="BQ17" s="166">
        <f>_xll.qlPolynomialFunctionValue('6MSynthDepo_used'!$P$18,BD17,AllTriggers)</f>
        <v>1.6546746970725621E-3</v>
      </c>
    </row>
    <row r="18" spans="1:69" ht="12" customHeight="1" x14ac:dyDescent="0.2">
      <c r="A18" s="117"/>
      <c r="B18" s="187" t="str">
        <f>B7</f>
        <v>K5</v>
      </c>
      <c r="C18" s="151" t="str">
        <f>"B"&amp;$D$24&amp;"_FUT"&amp;B18</f>
        <v>B3M_FUTK5</v>
      </c>
      <c r="D18" s="383">
        <f>_xll.qlIMMdate(B18,SettlementDate,Trigger)</f>
        <v>42144</v>
      </c>
      <c r="E18" s="383">
        <f>_xll.qlInterestRateIndexMaturity($D$25,D18)</f>
        <v>42236</v>
      </c>
      <c r="F18" s="180">
        <f>_xll.qlIndexFixing(ON_6M_index,_xll.qlInterestRateIndexFixingDate(ON_6M_index,D18,Trigger),,AllTriggers)</f>
        <v>-1.1776913759789147E-3</v>
      </c>
      <c r="G18" s="180">
        <f t="shared" si="8"/>
        <v>-1.6741279441124168E-4</v>
      </c>
      <c r="H18" s="408">
        <f>_xll.qlQuoteValue(C18,_xll.ohTrigger(InterestRatesTrigger,'6MSynthDepo_used'!E7))</f>
        <v>1.010278581567673E-3</v>
      </c>
      <c r="I18" s="154">
        <f>_xll.qlDayCounterYearFraction(DayCounter,SettlementDate,D18,,,Trigger)</f>
        <v>1.6666666666666666E-2</v>
      </c>
      <c r="J18" s="450">
        <f>($E$14-SettlementDate)-($D18-SettlementDate)</f>
        <v>86</v>
      </c>
      <c r="P18" s="187"/>
      <c r="Q18" s="187"/>
      <c r="R18" s="187"/>
      <c r="S18" s="320" t="b">
        <v>1</v>
      </c>
      <c r="T18" s="320" t="b">
        <v>1</v>
      </c>
      <c r="U18" s="320" t="b">
        <v>1</v>
      </c>
      <c r="V18" s="320" t="b">
        <v>1</v>
      </c>
      <c r="AD18" s="300" t="s">
        <v>139</v>
      </c>
      <c r="AE18" s="117"/>
      <c r="AF18" s="117"/>
      <c r="AG18" s="117"/>
      <c r="AH18" s="117"/>
      <c r="AI18" s="319" t="s">
        <v>90</v>
      </c>
      <c r="AJ18" s="117"/>
      <c r="AK18" s="117"/>
      <c r="AL18" s="117"/>
      <c r="AM18" s="117"/>
      <c r="AN18" s="117"/>
      <c r="AO18" s="307"/>
      <c r="AP18" s="300"/>
      <c r="AQ18" s="117"/>
      <c r="AR18" s="117"/>
      <c r="AS18" s="117"/>
      <c r="AT18" s="117"/>
      <c r="AU18" s="319" t="s">
        <v>90</v>
      </c>
      <c r="AV18" s="117"/>
      <c r="AW18" s="117"/>
      <c r="AX18" s="117"/>
      <c r="AY18" s="117"/>
      <c r="AZ18" s="117"/>
      <c r="BA18" s="307"/>
      <c r="BC18" s="384">
        <f>_xll.qlCalendarAdvance(Calendar,BC17,"1d","mf",,Trigger)</f>
        <v>42156</v>
      </c>
      <c r="BD18" s="154">
        <f>_xll.qlDayCounterYearFraction(DayCounter,SettlementDate,BC18,,,Trigger)</f>
        <v>0.05</v>
      </c>
      <c r="BE18" s="166">
        <f>_xll.qlPolynomialFunctionValue(BE$1,$BD18,AllTriggers)</f>
        <v>1.2309883423943656E-3</v>
      </c>
      <c r="BF18" s="166">
        <f>_xll.qlPolynomialFunctionValue(BF$1,$BD18,AllTriggers)</f>
        <v>1.3243688688498016E-3</v>
      </c>
      <c r="BG18" s="166">
        <f>_xll.qlPolynomialFunctionValue(BG$1,$BD18,AllTriggers)</f>
        <v>7.9336176705997285E-4</v>
      </c>
      <c r="BH18" s="166">
        <f>_xll.qlPolynomialFunctionValue(BH$1,$BD18,AllTriggers)</f>
        <v>7.1688518199006679E-4</v>
      </c>
      <c r="BI18" s="166">
        <f>_xll.qlPolynomialFunctionValue(BI$1,$BD18,AllTriggers)</f>
        <v>1.2311484018494986E-3</v>
      </c>
      <c r="BJ18" s="166">
        <f>_xll.qlPolynomialFunctionValue(BJ$1,$BD18,AllTriggers)</f>
        <v>1.3245313019920402E-3</v>
      </c>
      <c r="BK18" s="166">
        <f>_xll.qlPolynomialFunctionValue(BK$1,$BD18,AllTriggers)</f>
        <v>7.9351070226257685E-4</v>
      </c>
      <c r="BL18" s="166">
        <f>_xll.qlPolynomialFunctionValue(BL$1,$BD18,AllTriggers)</f>
        <v>7.1658811099339968E-4</v>
      </c>
      <c r="BM18" s="166">
        <f>_xll.qlPolynomialFunctionValue(BM$1,$BD18,AllTriggers)</f>
        <v>1.2309883423943656E-3</v>
      </c>
      <c r="BN18" s="166">
        <f>_xll.qlPolynomialFunctionValue(BN$1,$BD18,AllTriggers)</f>
        <v>1.3243688688498016E-3</v>
      </c>
      <c r="BO18" s="166">
        <f>_xll.qlPolynomialFunctionValue(BO$1,$BD18,AllTriggers)</f>
        <v>7.9336176705997285E-4</v>
      </c>
      <c r="BP18" s="166">
        <f>_xll.qlPolynomialFunctionValue(BP$1,$BD18,AllTriggers)</f>
        <v>7.1688518199006679E-4</v>
      </c>
      <c r="BQ18" s="166">
        <f>_xll.qlPolynomialFunctionValue('6MSynthDepo_used'!$P$18,BD18,AllTriggers)</f>
        <v>1.662864296891571E-3</v>
      </c>
    </row>
    <row r="19" spans="1:69" ht="12" customHeight="1" x14ac:dyDescent="0.2">
      <c r="A19" s="117"/>
      <c r="B19" s="187" t="str">
        <f t="shared" ref="B19:B20" si="9">B8</f>
        <v>M5</v>
      </c>
      <c r="C19" s="151" t="str">
        <f t="shared" ref="C19:C20" si="10">"B"&amp;$D$24&amp;"_FUT"&amp;B19</f>
        <v>B3M_FUTM5</v>
      </c>
      <c r="D19" s="383">
        <f>_xll.qlIMMdate(B19,SettlementDate,Trigger)</f>
        <v>42172</v>
      </c>
      <c r="E19" s="383">
        <f>_xll.qlInterestRateIndexMaturity($D$25,D19)</f>
        <v>42264</v>
      </c>
      <c r="F19" s="180">
        <f>_xll.qlIndexFixing(ON_6M_index,_xll.qlInterestRateIndexFixingDate(ON_6M_index,D19,Trigger),,AllTriggers)</f>
        <v>-1.2330002167212236E-3</v>
      </c>
      <c r="G19" s="180">
        <f t="shared" si="8"/>
        <v>-4.4084258500150329E-5</v>
      </c>
      <c r="H19" s="408">
        <f>_xll.qlQuoteValue(C19,_xll.ohTrigger(InterestRatesTrigger,'6MSynthDepo_used'!E8))</f>
        <v>1.1889159582210733E-3</v>
      </c>
      <c r="I19" s="154">
        <f>_xll.qlDayCounterYearFraction(DayCounter,SettlementDate,D19,,,Trigger)</f>
        <v>9.4444444444444442E-2</v>
      </c>
      <c r="J19" s="450">
        <f>($E$14-SettlementDate)-($D19-SettlementDate)</f>
        <v>58</v>
      </c>
      <c r="P19" s="187"/>
      <c r="Q19" s="187"/>
      <c r="R19" s="187"/>
      <c r="S19" s="320" t="b">
        <v>1</v>
      </c>
      <c r="T19" s="320" t="b">
        <v>1</v>
      </c>
      <c r="U19" s="320" t="b">
        <v>1</v>
      </c>
      <c r="V19" s="320" t="b">
        <v>1</v>
      </c>
      <c r="AD19" s="300"/>
      <c r="AE19" s="127">
        <f t="array" ref="AE19:AE21">_xll.ohFilter(L3:L9,V3:V9)</f>
        <v>2.7777777777777778E-4</v>
      </c>
      <c r="AF19" s="133">
        <f t="array" ref="AF19:AF21">_xll.ohFilter(K3:K9,V3:V9)</f>
        <v>1.6666666666666666E-2</v>
      </c>
      <c r="AG19" s="128">
        <f t="array" ref="AG19:AG21">_xll.ohFilter(J3:J9,V3:V9)</f>
        <v>1</v>
      </c>
      <c r="AH19" s="431" t="s">
        <v>37</v>
      </c>
      <c r="AI19" s="129">
        <f t="array" ref="AI19:AI21">MMULT(AL19:AN21,AK19:AK21)</f>
        <v>-7.0660875178658687E-3</v>
      </c>
      <c r="AJ19" s="431" t="s">
        <v>38</v>
      </c>
      <c r="AK19" s="188">
        <f t="array" ref="AK19:AK21">_xll.ohFilter(H3:H9,V3:V9)</f>
        <v>1.010278581567673E-3</v>
      </c>
      <c r="AL19" s="127">
        <f t="array" ref="AL19:AN21">MINVERSE(AE19:AG21)</f>
        <v>38.895558223289306</v>
      </c>
      <c r="AM19" s="133">
        <v>-50.863422291993714</v>
      </c>
      <c r="AN19" s="128">
        <v>11.967864068704404</v>
      </c>
      <c r="AO19" s="307"/>
      <c r="AP19" s="300"/>
      <c r="AQ19" s="127">
        <f t="array" ref="AQ19:AQ21">_xll.ohFilter(R3:R9,V3:V9)</f>
        <v>6.722793781435755E-3</v>
      </c>
      <c r="AR19" s="133">
        <f t="array" ref="AR19:AR21">_xll.ohFilter(Q3:Q9,V3:V9)</f>
        <v>3.6913580246913574E-2</v>
      </c>
      <c r="AS19" s="128">
        <f t="array" ref="AS19:AS21">_xll.ohFilter(P3:P9,V3:V9)</f>
        <v>0.25555555555555554</v>
      </c>
      <c r="AT19" s="431" t="s">
        <v>37</v>
      </c>
      <c r="AU19" s="129">
        <f t="array" ref="AU19:AU21">MMULT(AX19:AZ21,AW19:AW21)</f>
        <v>-7.1072964556691855E-3</v>
      </c>
      <c r="AV19" s="431" t="s">
        <v>38</v>
      </c>
      <c r="AW19" s="188">
        <f t="array" ref="AW19:AW21">_xll.ohFilter(M3:M9,V3:V9)</f>
        <v>2.5822668817581323E-4</v>
      </c>
      <c r="AX19" s="127">
        <f t="array" ref="AX19:AZ21">MINVERSE(AQ19:AS21)</f>
        <v>153.05985735571576</v>
      </c>
      <c r="AY19" s="133">
        <v>-200.41539333317479</v>
      </c>
      <c r="AZ19" s="128">
        <v>47.875926482705829</v>
      </c>
      <c r="BA19" s="307"/>
      <c r="BC19" s="384">
        <f>_xll.qlCalendarAdvance(Calendar,BC18,"1d","mf",,Trigger)</f>
        <v>42157</v>
      </c>
      <c r="BD19" s="154">
        <f>_xll.qlDayCounterYearFraction(DayCounter,SettlementDate,BC19,,,Trigger)</f>
        <v>5.2777777777777778E-2</v>
      </c>
      <c r="BE19" s="166">
        <f>_xll.qlPolynomialFunctionValue(BE$1,$BD19,AllTriggers)</f>
        <v>1.2244968788406394E-3</v>
      </c>
      <c r="BF19" s="166">
        <f>_xll.qlPolynomialFunctionValue(BF$1,$BD19,AllTriggers)</f>
        <v>1.294784653483447E-3</v>
      </c>
      <c r="BG19" s="166">
        <f>_xll.qlPolynomialFunctionValue(BG$1,$BD19,AllTriggers)</f>
        <v>7.9974167336902295E-4</v>
      </c>
      <c r="BH19" s="166">
        <f>_xll.qlPolynomialFunctionValue(BH$1,$BD19,AllTriggers)</f>
        <v>7.2844470492100923E-4</v>
      </c>
      <c r="BI19" s="166">
        <f>_xll.qlPolynomialFunctionValue(BI$1,$BD19,AllTriggers)</f>
        <v>1.2246573387974329E-3</v>
      </c>
      <c r="BJ19" s="166">
        <f>_xll.qlPolynomialFunctionValue(BJ$1,$BD19,AllTriggers)</f>
        <v>1.2949469001209413E-3</v>
      </c>
      <c r="BK19" s="166">
        <f>_xll.qlPolynomialFunctionValue(BK$1,$BD19,AllTriggers)</f>
        <v>7.9989133625718546E-4</v>
      </c>
      <c r="BL19" s="166">
        <f>_xll.qlPolynomialFunctionValue(BL$1,$BD19,AllTriggers)</f>
        <v>7.2817856877881518E-4</v>
      </c>
      <c r="BM19" s="166">
        <f>_xll.qlPolynomialFunctionValue(BM$1,$BD19,AllTriggers)</f>
        <v>1.2244968788406394E-3</v>
      </c>
      <c r="BN19" s="166">
        <f>_xll.qlPolynomialFunctionValue(BN$1,$BD19,AllTriggers)</f>
        <v>1.294784653483447E-3</v>
      </c>
      <c r="BO19" s="166">
        <f>_xll.qlPolynomialFunctionValue(BO$1,$BD19,AllTriggers)</f>
        <v>7.9974167336902295E-4</v>
      </c>
      <c r="BP19" s="166">
        <f>_xll.qlPolynomialFunctionValue(BP$1,$BD19,AllTriggers)</f>
        <v>7.2844470492100923E-4</v>
      </c>
      <c r="BQ19" s="166">
        <f>_xll.qlPolynomialFunctionValue('6MSynthDepo_used'!$P$18,BD19,AllTriggers)</f>
        <v>1.6655581801704343E-3</v>
      </c>
    </row>
    <row r="20" spans="1:69" ht="12" customHeight="1" x14ac:dyDescent="0.2">
      <c r="A20" s="117"/>
      <c r="B20" s="187" t="str">
        <f t="shared" si="9"/>
        <v>U5</v>
      </c>
      <c r="C20" s="156" t="str">
        <f t="shared" si="10"/>
        <v>B3M_FUTU5</v>
      </c>
      <c r="D20" s="387">
        <f>_xll.qlIMMdate(B20,SettlementDate,Trigger)</f>
        <v>42263</v>
      </c>
      <c r="E20" s="387">
        <f>_xll.qlInterestRateIndexMaturity($D$25,D20)</f>
        <v>42354</v>
      </c>
      <c r="F20" s="181">
        <f>_xll.qlIndexFixing(ON_6M_index,_xll.qlInterestRateIndexFixingDate(ON_6M_index,D20,Trigger),,AllTriggers)</f>
        <v>-1.285541802874924E-3</v>
      </c>
      <c r="G20" s="181">
        <f t="shared" si="8"/>
        <v>-1.064761431458052E-4</v>
      </c>
      <c r="H20" s="409">
        <f>_xll.qlQuoteValue(C20,_xll.ohTrigger(InterestRatesTrigger,'6MSynthDepo_used'!E9))</f>
        <v>1.1790656597291187E-3</v>
      </c>
      <c r="I20" s="159">
        <f>_xll.qlDayCounterYearFraction(DayCounter,SettlementDate,D20,,,Trigger)</f>
        <v>0.34722222222222221</v>
      </c>
      <c r="J20" s="451">
        <f>($E$14-SettlementDate)-($D20-SettlementDate)</f>
        <v>-33</v>
      </c>
      <c r="P20" s="187"/>
      <c r="Q20" s="187"/>
      <c r="R20" s="187"/>
      <c r="S20" s="356" t="b">
        <v>1</v>
      </c>
      <c r="T20" s="356" t="b">
        <v>1</v>
      </c>
      <c r="U20" s="356" t="b">
        <v>1</v>
      </c>
      <c r="V20" s="356" t="b">
        <v>1</v>
      </c>
      <c r="AD20" s="300"/>
      <c r="AE20" s="127">
        <v>8.9197530864197523E-3</v>
      </c>
      <c r="AF20" s="133">
        <v>9.4444444444444442E-2</v>
      </c>
      <c r="AG20" s="128">
        <v>1</v>
      </c>
      <c r="AH20" s="431"/>
      <c r="AI20" s="129">
        <v>3.0818871065764293E-3</v>
      </c>
      <c r="AJ20" s="431"/>
      <c r="AK20" s="188">
        <v>1.1889159582210733E-3</v>
      </c>
      <c r="AL20" s="127">
        <v>-17.178871548619448</v>
      </c>
      <c r="AM20" s="133">
        <v>18.508634222919934</v>
      </c>
      <c r="AN20" s="128">
        <v>-1.3297626743004891</v>
      </c>
      <c r="AO20" s="307"/>
      <c r="AP20" s="300"/>
      <c r="AQ20" s="127">
        <v>1.4010859625057152E-2</v>
      </c>
      <c r="AR20" s="133">
        <v>5.6790123456790118E-2</v>
      </c>
      <c r="AS20" s="128">
        <v>0.25555555555555554</v>
      </c>
      <c r="AT20" s="431"/>
      <c r="AU20" s="129">
        <v>4.9030369384711293E-3</v>
      </c>
      <c r="AV20" s="431"/>
      <c r="AW20" s="188">
        <v>3.0388366920390146E-4</v>
      </c>
      <c r="AX20" s="127">
        <v>-106.43250670330696</v>
      </c>
      <c r="AY20" s="133">
        <v>123.79620322837526</v>
      </c>
      <c r="AZ20" s="128">
        <v>-17.554506376992137</v>
      </c>
      <c r="BA20" s="307"/>
      <c r="BC20" s="384">
        <f>_xll.qlCalendarAdvance(Calendar,BC19,"1d","mf",,Trigger)</f>
        <v>42158</v>
      </c>
      <c r="BD20" s="154">
        <f>_xll.qlDayCounterYearFraction(DayCounter,SettlementDate,BC20,,,Trigger)</f>
        <v>5.5555555555555552E-2</v>
      </c>
      <c r="BE20" s="166">
        <f>_xll.qlPolynomialFunctionValue(BE$1,$BD20,AllTriggers)</f>
        <v>1.2180054152869132E-3</v>
      </c>
      <c r="BF20" s="166">
        <f>_xll.qlPolynomialFunctionValue(BF$1,$BD20,AllTriggers)</f>
        <v>1.2659575775207856E-3</v>
      </c>
      <c r="BG20" s="166">
        <f>_xll.qlPolynomialFunctionValue(BG$1,$BD20,AllTriggers)</f>
        <v>8.0612157967807293E-4</v>
      </c>
      <c r="BH20" s="166">
        <f>_xll.qlPolynomialFunctionValue(BH$1,$BD20,AllTriggers)</f>
        <v>7.3989518329149078E-4</v>
      </c>
      <c r="BI20" s="166">
        <f>_xll.qlPolynomialFunctionValue(BI$1,$BD20,AllTriggers)</f>
        <v>1.2181662757453672E-3</v>
      </c>
      <c r="BJ20" s="166">
        <f>_xll.qlPolynomialFunctionValue(BJ$1,$BD20,AllTriggers)</f>
        <v>1.2661196568996467E-3</v>
      </c>
      <c r="BK20" s="166">
        <f>_xll.qlPolynomialFunctionValue(BK$1,$BD20,AllTriggers)</f>
        <v>8.0627197025179406E-4</v>
      </c>
      <c r="BL20" s="166">
        <f>_xll.qlPolynomialFunctionValue(BL$1,$BD20,AllTriggers)</f>
        <v>7.3965934606337158E-4</v>
      </c>
      <c r="BM20" s="166">
        <f>_xll.qlPolynomialFunctionValue(BM$1,$BD20,AllTriggers)</f>
        <v>1.2180054152869132E-3</v>
      </c>
      <c r="BN20" s="166">
        <f>_xll.qlPolynomialFunctionValue(BN$1,$BD20,AllTriggers)</f>
        <v>1.2659575775207856E-3</v>
      </c>
      <c r="BO20" s="166">
        <f>_xll.qlPolynomialFunctionValue(BO$1,$BD20,AllTriggers)</f>
        <v>8.0612157967807293E-4</v>
      </c>
      <c r="BP20" s="166">
        <f>_xll.qlPolynomialFunctionValue(BP$1,$BD20,AllTriggers)</f>
        <v>7.3989518329149078E-4</v>
      </c>
      <c r="BQ20" s="166">
        <f>_xll.qlPolynomialFunctionValue('6MSynthDepo_used'!$P$18,BD20,AllTriggers)</f>
        <v>1.6682342352176993E-3</v>
      </c>
    </row>
    <row r="21" spans="1:69" ht="12" customHeight="1" x14ac:dyDescent="0.2">
      <c r="A21" s="117"/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W21" s="187"/>
      <c r="AD21" s="300"/>
      <c r="AE21" s="127">
        <v>0.12056327160493827</v>
      </c>
      <c r="AF21" s="133">
        <v>0.34722222222222221</v>
      </c>
      <c r="AG21" s="128">
        <v>1</v>
      </c>
      <c r="AH21" s="431"/>
      <c r="AI21" s="129">
        <v>9.6087659854636183E-4</v>
      </c>
      <c r="AJ21" s="431"/>
      <c r="AK21" s="188">
        <v>1.1790656597291187E-3</v>
      </c>
      <c r="AL21" s="127">
        <v>1.2755102040816326</v>
      </c>
      <c r="AM21" s="133">
        <v>-0.29434850863422291</v>
      </c>
      <c r="AN21" s="128">
        <v>1.8838304552590262E-2</v>
      </c>
      <c r="AO21" s="307"/>
      <c r="AP21" s="300"/>
      <c r="AQ21" s="127">
        <v>5.8045917638317325E-2</v>
      </c>
      <c r="AR21" s="133">
        <v>0.11971836419753086</v>
      </c>
      <c r="AS21" s="128">
        <v>0.25277777777777777</v>
      </c>
      <c r="AT21" s="431"/>
      <c r="AU21" s="129">
        <v>4.8920450520901625E-4</v>
      </c>
      <c r="AV21" s="431"/>
      <c r="AW21" s="188">
        <v>2.9809404488256793E-4</v>
      </c>
      <c r="AX21" s="127">
        <v>15.260145729864412</v>
      </c>
      <c r="AY21" s="133">
        <v>-12.609429347463585</v>
      </c>
      <c r="AZ21" s="128">
        <v>1.2761988221881766</v>
      </c>
      <c r="BA21" s="307"/>
      <c r="BC21" s="384">
        <f>_xll.qlCalendarAdvance(Calendar,BC20,"1d","mf",,Trigger)</f>
        <v>42159</v>
      </c>
      <c r="BD21" s="154">
        <f>_xll.qlDayCounterYearFraction(DayCounter,SettlementDate,BC21,,,Trigger)</f>
        <v>5.8333333333333334E-2</v>
      </c>
      <c r="BE21" s="166">
        <f>_xll.qlPolynomialFunctionValue(BE$1,$BD21,AllTriggers)</f>
        <v>1.2115139517331868E-3</v>
      </c>
      <c r="BF21" s="166">
        <f>_xll.qlPolynomialFunctionValue(BF$1,$BD21,AllTriggers)</f>
        <v>1.2378876409618166E-3</v>
      </c>
      <c r="BG21" s="166">
        <f>_xll.qlPolynomialFunctionValue(BG$1,$BD21,AllTriggers)</f>
        <v>8.1250148598712292E-4</v>
      </c>
      <c r="BH21" s="166">
        <f>_xll.qlPolynomialFunctionValue(BH$1,$BD21,AllTriggers)</f>
        <v>7.5123661710151135E-4</v>
      </c>
      <c r="BI21" s="166">
        <f>_xll.qlPolynomialFunctionValue(BI$1,$BD21,AllTriggers)</f>
        <v>1.2116752126933017E-3</v>
      </c>
      <c r="BJ21" s="166">
        <f>_xll.qlPolynomialFunctionValue(BJ$1,$BD21,AllTriggers)</f>
        <v>1.2380495723281568E-3</v>
      </c>
      <c r="BK21" s="166">
        <f>_xll.qlPolynomialFunctionValue(BK$1,$BD21,AllTriggers)</f>
        <v>8.1265260424640267E-4</v>
      </c>
      <c r="BL21" s="166">
        <f>_xll.qlPolynomialFunctionValue(BL$1,$BD21,AllTriggers)</f>
        <v>7.5103044284706899E-4</v>
      </c>
      <c r="BM21" s="166">
        <f>_xll.qlPolynomialFunctionValue(BM$1,$BD21,AllTriggers)</f>
        <v>1.2115139517331868E-3</v>
      </c>
      <c r="BN21" s="166">
        <f>_xll.qlPolynomialFunctionValue(BN$1,$BD21,AllTriggers)</f>
        <v>1.2378876409618166E-3</v>
      </c>
      <c r="BO21" s="166">
        <f>_xll.qlPolynomialFunctionValue(BO$1,$BD21,AllTriggers)</f>
        <v>8.1250148598712292E-4</v>
      </c>
      <c r="BP21" s="166">
        <f>_xll.qlPolynomialFunctionValue(BP$1,$BD21,AllTriggers)</f>
        <v>7.5123661710151135E-4</v>
      </c>
      <c r="BQ21" s="166">
        <f>_xll.qlPolynomialFunctionValue('6MSynthDepo_used'!$P$18,BD21,AllTriggers)</f>
        <v>1.6708925597122321E-3</v>
      </c>
    </row>
    <row r="22" spans="1:69" ht="12" customHeight="1" x14ac:dyDescent="0.2">
      <c r="H22" s="117"/>
      <c r="I22" s="117"/>
      <c r="J22" s="117"/>
      <c r="L22" s="117"/>
      <c r="M22" s="117"/>
      <c r="N22" s="117"/>
      <c r="P22" s="117"/>
      <c r="Q22" s="117"/>
      <c r="R22" s="117"/>
      <c r="X22" s="117"/>
      <c r="Y22" s="117"/>
      <c r="Z22" s="117"/>
      <c r="AA22" s="117"/>
      <c r="AB22" s="117"/>
      <c r="AC22" s="117"/>
      <c r="AD22" s="301"/>
      <c r="AE22" s="302"/>
      <c r="AF22" s="302"/>
      <c r="AG22" s="302"/>
      <c r="AH22" s="302"/>
      <c r="AI22" s="302"/>
      <c r="AJ22" s="302"/>
      <c r="AK22" s="302"/>
      <c r="AL22" s="302"/>
      <c r="AM22" s="302"/>
      <c r="AN22" s="302"/>
      <c r="AO22" s="309"/>
      <c r="AP22" s="301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9"/>
      <c r="BC22" s="384">
        <f>_xll.qlCalendarAdvance(Calendar,BC21,"1d","mf",,Trigger)</f>
        <v>42160</v>
      </c>
      <c r="BD22" s="154">
        <f>_xll.qlDayCounterYearFraction(DayCounter,SettlementDate,BC22,,,Trigger)</f>
        <v>6.1111111111111109E-2</v>
      </c>
      <c r="BE22" s="166">
        <f>_xll.qlPolynomialFunctionValue(BE$1,$BD22,AllTriggers)</f>
        <v>1.2050224881794607E-3</v>
      </c>
      <c r="BF22" s="166">
        <f>_xll.qlPolynomialFunctionValue(BF$1,$BD22,AllTriggers)</f>
        <v>1.2105748438065408E-3</v>
      </c>
      <c r="BG22" s="166">
        <f>_xll.qlPolynomialFunctionValue(BG$1,$BD22,AllTriggers)</f>
        <v>8.188813922961729E-4</v>
      </c>
      <c r="BH22" s="166">
        <f>_xll.qlPolynomialFunctionValue(BH$1,$BD22,AllTriggers)</f>
        <v>7.6246900635107125E-4</v>
      </c>
      <c r="BI22" s="166">
        <f>_xll.qlPolynomialFunctionValue(BI$1,$BD22,AllTriggers)</f>
        <v>1.205184149641236E-3</v>
      </c>
      <c r="BJ22" s="166">
        <f>_xll.qlPolynomialFunctionValue(BJ$1,$BD22,AllTriggers)</f>
        <v>1.2107366464064709E-3</v>
      </c>
      <c r="BK22" s="166">
        <f>_xll.qlPolynomialFunctionValue(BK$1,$BD22,AllTriggers)</f>
        <v>8.1903323824101127E-4</v>
      </c>
      <c r="BL22" s="166">
        <f>_xll.qlPolynomialFunctionValue(BL$1,$BD22,AllTriggers)</f>
        <v>7.6229185912990709E-4</v>
      </c>
      <c r="BM22" s="166">
        <f>_xll.qlPolynomialFunctionValue(BM$1,$BD22,AllTriggers)</f>
        <v>1.2050224881794607E-3</v>
      </c>
      <c r="BN22" s="166">
        <f>_xll.qlPolynomialFunctionValue(BN$1,$BD22,AllTriggers)</f>
        <v>1.2105748438065408E-3</v>
      </c>
      <c r="BO22" s="166">
        <f>_xll.qlPolynomialFunctionValue(BO$1,$BD22,AllTriggers)</f>
        <v>8.188813922961729E-4</v>
      </c>
      <c r="BP22" s="166">
        <f>_xll.qlPolynomialFunctionValue(BP$1,$BD22,AllTriggers)</f>
        <v>7.6246900635107125E-4</v>
      </c>
      <c r="BQ22" s="166">
        <f>_xll.qlPolynomialFunctionValue('6MSynthDepo_used'!$P$18,BD22,AllTriggers)</f>
        <v>1.6735332510792865E-3</v>
      </c>
    </row>
    <row r="23" spans="1:69" ht="12" customHeight="1" x14ac:dyDescent="0.2">
      <c r="W23" s="117"/>
      <c r="X23" s="117"/>
      <c r="Y23" s="117"/>
      <c r="Z23" s="117"/>
      <c r="AA23" s="117"/>
      <c r="AB23" s="117"/>
      <c r="AC23" s="117"/>
      <c r="AD23" s="299"/>
      <c r="AE23" s="299"/>
      <c r="AF23" s="299"/>
      <c r="AG23" s="299"/>
      <c r="AH23" s="299"/>
      <c r="BC23" s="384">
        <f>_xll.qlCalendarAdvance(Calendar,BC22,"1d","mf",,Trigger)</f>
        <v>42163</v>
      </c>
      <c r="BD23" s="154">
        <f>_xll.qlDayCounterYearFraction(DayCounter,SettlementDate,BC23,,,Trigger)</f>
        <v>6.9444444444444448E-2</v>
      </c>
      <c r="BE23" s="166">
        <f>_xll.qlPolynomialFunctionValue(BE$1,$BD23,AllTriggers)</f>
        <v>1.1855480975182819E-3</v>
      </c>
      <c r="BF23" s="166">
        <f>_xll.qlPolynomialFunctionValue(BF$1,$BD23,AllTriggers)</f>
        <v>1.1331792887628684E-3</v>
      </c>
      <c r="BG23" s="166">
        <f>_xll.qlPolynomialFunctionValue(BG$1,$BD23,AllTriggers)</f>
        <v>8.3802111122332297E-4</v>
      </c>
      <c r="BH23" s="166">
        <f>_xll.qlPolynomialFunctionValue(BH$1,$BD23,AllTriggers)</f>
        <v>7.9551190673698502E-4</v>
      </c>
      <c r="BI23" s="166">
        <f>_xll.qlPolynomialFunctionValue(BI$1,$BD23,AllTriggers)</f>
        <v>1.1857109604850391E-3</v>
      </c>
      <c r="BJ23" s="166">
        <f>_xll.qlPolynomialFunctionValue(BJ$1,$BD23,AllTriggers)</f>
        <v>1.1333408205402395E-3</v>
      </c>
      <c r="BK23" s="166">
        <f>_xll.qlPolynomialFunctionValue(BK$1,$BD23,AllTriggers)</f>
        <v>8.3817514022483709E-4</v>
      </c>
      <c r="BL23" s="166">
        <f>_xll.qlPolynomialFunctionValue(BL$1,$BD23,AllTriggers)</f>
        <v>7.9541802497326726E-4</v>
      </c>
      <c r="BM23" s="166">
        <f>_xll.qlPolynomialFunctionValue(BM$1,$BD23,AllTriggers)</f>
        <v>1.1855480975182819E-3</v>
      </c>
      <c r="BN23" s="166">
        <f>_xll.qlPolynomialFunctionValue(BN$1,$BD23,AllTriggers)</f>
        <v>1.1331792887628684E-3</v>
      </c>
      <c r="BO23" s="166">
        <f>_xll.qlPolynomialFunctionValue(BO$1,$BD23,AllTriggers)</f>
        <v>8.3802111122332297E-4</v>
      </c>
      <c r="BP23" s="166">
        <f>_xll.qlPolynomialFunctionValue(BP$1,$BD23,AllTriggers)</f>
        <v>7.9551190673698502E-4</v>
      </c>
      <c r="BQ23" s="166">
        <f>_xll.qlPolynomialFunctionValue('6MSynthDepo_used'!$P$18,BD23,AllTriggers)</f>
        <v>1.6813504968639442E-3</v>
      </c>
    </row>
    <row r="24" spans="1:69" ht="12" customHeight="1" x14ac:dyDescent="0.2">
      <c r="A24" s="117"/>
      <c r="B24" s="187"/>
      <c r="C24" s="142" t="s">
        <v>136</v>
      </c>
      <c r="D24" s="176" t="s">
        <v>41</v>
      </c>
      <c r="F24" s="393" t="s">
        <v>164</v>
      </c>
      <c r="G24" s="394" t="b">
        <v>1</v>
      </c>
      <c r="H24" s="443"/>
      <c r="S24" s="444"/>
      <c r="T24" s="445"/>
      <c r="U24" s="394" t="b">
        <v>0</v>
      </c>
      <c r="V24" s="443"/>
      <c r="W24" s="444"/>
      <c r="X24" s="445"/>
      <c r="Y24" s="394" t="b">
        <v>1</v>
      </c>
      <c r="Z24" s="443"/>
      <c r="AA24" s="444"/>
      <c r="AB24" s="444"/>
      <c r="BC24" s="384">
        <f>_xll.qlCalendarAdvance(Calendar,BC23,"1d","mf",,Trigger)</f>
        <v>42164</v>
      </c>
      <c r="BD24" s="154">
        <f>_xll.qlDayCounterYearFraction(DayCounter,SettlementDate,BC24,,,Trigger)</f>
        <v>7.2222222222222215E-2</v>
      </c>
      <c r="BE24" s="166">
        <f>_xll.qlPolynomialFunctionValue(BE$1,$BD24,AllTriggers)</f>
        <v>1.1790566339645557E-3</v>
      </c>
      <c r="BF24" s="166">
        <f>_xll.qlPolynomialFunctionValue(BF$1,$BD24,AllTriggers)</f>
        <v>1.1088950492223635E-3</v>
      </c>
      <c r="BG24" s="166">
        <f>_xll.qlPolynomialFunctionValue(BG$1,$BD24,AllTriggers)</f>
        <v>8.4440101753237296E-4</v>
      </c>
      <c r="BH24" s="166">
        <f>_xll.qlPolynomialFunctionValue(BH$1,$BD24,AllTriggers)</f>
        <v>8.0630811774470119E-4</v>
      </c>
      <c r="BI24" s="166">
        <f>_xll.qlPolynomialFunctionValue(BI$1,$BD24,AllTriggers)</f>
        <v>1.1792198974329734E-3</v>
      </c>
      <c r="BJ24" s="166">
        <f>_xll.qlPolynomialFunctionValue(BJ$1,$BD24,AllTriggers)</f>
        <v>1.1090565292177714E-3</v>
      </c>
      <c r="BK24" s="166">
        <f>_xll.qlPolynomialFunctionValue(BK$1,$BD24,AllTriggers)</f>
        <v>8.445557742194457E-4</v>
      </c>
      <c r="BL24" s="166">
        <f>_xll.qlPolynomialFunctionValue(BL$1,$BD24,AllTriggers)</f>
        <v>8.0624071925266899E-4</v>
      </c>
      <c r="BM24" s="166">
        <f>_xll.qlPolynomialFunctionValue(BM$1,$BD24,AllTriggers)</f>
        <v>1.1790566339645557E-3</v>
      </c>
      <c r="BN24" s="166">
        <f>_xll.qlPolynomialFunctionValue(BN$1,$BD24,AllTriggers)</f>
        <v>1.1088950492223635E-3</v>
      </c>
      <c r="BO24" s="166">
        <f>_xll.qlPolynomialFunctionValue(BO$1,$BD24,AllTriggers)</f>
        <v>8.4440101753237296E-4</v>
      </c>
      <c r="BP24" s="166">
        <f>_xll.qlPolynomialFunctionValue(BP$1,$BD24,AllTriggers)</f>
        <v>8.0630811774470119E-4</v>
      </c>
      <c r="BQ24" s="166">
        <f>_xll.qlPolynomialFunctionValue('6MSynthDepo_used'!$P$18,BD24,AllTriggers)</f>
        <v>1.6839216249013916E-3</v>
      </c>
    </row>
    <row r="25" spans="1:69" ht="12" customHeight="1" x14ac:dyDescent="0.2">
      <c r="A25" s="117"/>
      <c r="B25" s="187"/>
      <c r="C25" s="142" t="s">
        <v>100</v>
      </c>
      <c r="D25" s="176" t="str">
        <f>PROPER(Currency)&amp;IborType&amp;$D$24</f>
        <v>Euribor3M</v>
      </c>
      <c r="E25" s="119"/>
      <c r="F25" s="393" t="s">
        <v>165</v>
      </c>
      <c r="G25" s="295"/>
      <c r="H25" s="295"/>
      <c r="S25" s="295"/>
      <c r="T25" s="295"/>
      <c r="U25" s="295"/>
      <c r="V25" s="295"/>
      <c r="W25" s="295"/>
      <c r="X25" s="446"/>
      <c r="Y25" s="436" t="str">
        <f>_xll.qlPolynomialCalibration(,_xll.ohFilter($I$14:$I$20,$S$14:$S$20),_xll.ohFilter($H$14:$H$20,$S$14:$S$20),_xll.ohFilter($J$14:$J$20,$S$14:$S$20),G$28:G$29,,,,,Trigger)</f>
        <v>obj_00a0b#0013</v>
      </c>
      <c r="Z25" s="394" t="str">
        <f>_xll.qlPolynomialCalibration(,_xll.ohFilter($I$14:$I$20,$T$14:$T$20),_xll.ohFilter($H$14:$H$20,$T$14:$T$20),_xll.ohFilter($J$14:$J$20,$T$14:$T$20),H$28:H$30,,,,,Trigger)</f>
        <v>obj_00a0c#0012</v>
      </c>
      <c r="AA25" s="394" t="str">
        <f>_xll.qlPolynomialCalibration(,_xll.ohFilter($I$14:$I$20,$U$14:$U$20),_xll.ohFilter($H$14:$H$20,$U$14:$U$20),_xll.ohFilter($J$14:$J$20,$U$14:$U$20),S$28:S$29,,,,,Trigger)</f>
        <v>obj_00a06#0008</v>
      </c>
      <c r="AB25" s="394" t="str">
        <f>_xll.qlPolynomialCalibration(,_xll.ohFilter($I$14:$I$20,$V$14:$V$20),_xll.ohFilter($H$14:$H$20,$V$14:$V$20),_xll.ohFilter($J$14:$J$20,$V$14:$V$20),T$28:T$30,,,,,Trigger)</f>
        <v>obj_00a05#0006</v>
      </c>
      <c r="AC25" s="115" t="s">
        <v>144</v>
      </c>
      <c r="BC25" s="384">
        <f>_xll.qlCalendarAdvance(Calendar,BC24,"1d","mf",,Trigger)</f>
        <v>42165</v>
      </c>
      <c r="BD25" s="154">
        <f>_xll.qlDayCounterYearFraction(DayCounter,SettlementDate,BC25,,,Trigger)</f>
        <v>7.4999999999999997E-2</v>
      </c>
      <c r="BE25" s="166">
        <f>_xll.qlPolynomialFunctionValue(BE$1,$BD25,AllTriggers)</f>
        <v>1.1725651704108295E-3</v>
      </c>
      <c r="BF25" s="166">
        <f>_xll.qlPolynomialFunctionValue(BF$1,$BD25,AllTriggers)</f>
        <v>1.0853679490855509E-3</v>
      </c>
      <c r="BG25" s="166">
        <f>_xll.qlPolynomialFunctionValue(BG$1,$BD25,AllTriggers)</f>
        <v>8.5078092384142305E-4</v>
      </c>
      <c r="BH25" s="166">
        <f>_xll.qlPolynomialFunctionValue(BH$1,$BD25,AllTriggers)</f>
        <v>8.1699528419195647E-4</v>
      </c>
      <c r="BI25" s="166">
        <f>_xll.qlPolynomialFunctionValue(BI$1,$BD25,AllTriggers)</f>
        <v>1.1727288343809077E-3</v>
      </c>
      <c r="BJ25" s="166">
        <f>_xll.qlPolynomialFunctionValue(BJ$1,$BD25,AllTriggers)</f>
        <v>1.0855293965451071E-3</v>
      </c>
      <c r="BK25" s="166">
        <f>_xll.qlPolynomialFunctionValue(BK$1,$BD25,AllTriggers)</f>
        <v>8.509364082140543E-4</v>
      </c>
      <c r="BL25" s="166">
        <f>_xll.qlPolynomialFunctionValue(BL$1,$BD25,AllTriggers)</f>
        <v>8.1695373303121172E-4</v>
      </c>
      <c r="BM25" s="166">
        <f>_xll.qlPolynomialFunctionValue(BM$1,$BD25,AllTriggers)</f>
        <v>1.1725651704108295E-3</v>
      </c>
      <c r="BN25" s="166">
        <f>_xll.qlPolynomialFunctionValue(BN$1,$BD25,AllTriggers)</f>
        <v>1.0853679490855509E-3</v>
      </c>
      <c r="BO25" s="166">
        <f>_xll.qlPolynomialFunctionValue(BO$1,$BD25,AllTriggers)</f>
        <v>8.5078092384142305E-4</v>
      </c>
      <c r="BP25" s="166">
        <f>_xll.qlPolynomialFunctionValue(BP$1,$BD25,AllTriggers)</f>
        <v>8.1699528419195647E-4</v>
      </c>
      <c r="BQ25" s="166">
        <f>_xll.qlPolynomialFunctionValue('6MSynthDepo_used'!$P$18,BD25,AllTriggers)</f>
        <v>1.6864756031334559E-3</v>
      </c>
    </row>
    <row r="26" spans="1:69" ht="12" customHeight="1" x14ac:dyDescent="0.2">
      <c r="A26" s="117"/>
      <c r="B26" s="187"/>
      <c r="C26" s="142" t="s">
        <v>184</v>
      </c>
      <c r="D26" s="176" t="str">
        <f>_xll.qlIborIndex(,,'3MSynthDepo_allScenario'!D24,2,Currency,Calendar,"mf",TRUE,DayCounter,Discounting,,Trigger)</f>
        <v>obj_009f4#0001</v>
      </c>
      <c r="E26" s="119"/>
      <c r="F26" s="393" t="s">
        <v>166</v>
      </c>
      <c r="G26" s="295"/>
      <c r="H26" s="295"/>
      <c r="S26" s="295"/>
      <c r="T26" s="295"/>
      <c r="U26" s="295"/>
      <c r="V26" s="295"/>
      <c r="W26" s="295"/>
      <c r="X26" s="446"/>
      <c r="Y26" s="447" t="b">
        <f>_xll.qlPolynomialCalibrationCompute(Y$25,AllTriggers)</f>
        <v>1</v>
      </c>
      <c r="Z26" s="394" t="b">
        <f>_xll.qlPolynomialCalibrationCompute(Z$25,AllTriggers)</f>
        <v>1</v>
      </c>
      <c r="AA26" s="394" t="b">
        <f>_xll.qlPolynomialCalibrationCompute(AA$25,AllTriggers)</f>
        <v>1</v>
      </c>
      <c r="AB26" s="394" t="b">
        <f>_xll.qlPolynomialCalibrationCompute(AB$25,AllTriggers)</f>
        <v>1</v>
      </c>
      <c r="AC26" s="115" t="s">
        <v>144</v>
      </c>
      <c r="BC26" s="384">
        <f>_xll.qlCalendarAdvance(Calendar,BC25,"1d","mf",,Trigger)</f>
        <v>42166</v>
      </c>
      <c r="BD26" s="154">
        <f>_xll.qlDayCounterYearFraction(DayCounter,SettlementDate,BC26,,,Trigger)</f>
        <v>7.7777777777777779E-2</v>
      </c>
      <c r="BE26" s="166">
        <f>_xll.qlPolynomialFunctionValue(BE$1,$BD26,AllTriggers)</f>
        <v>1.1660737068571031E-3</v>
      </c>
      <c r="BF26" s="166">
        <f>_xll.qlPolynomialFunctionValue(BF$1,$BD26,AllTriggers)</f>
        <v>1.0625979883524309E-3</v>
      </c>
      <c r="BG26" s="166">
        <f>_xll.qlPolynomialFunctionValue(BG$1,$BD26,AllTriggers)</f>
        <v>8.5716083015047303E-4</v>
      </c>
      <c r="BH26" s="166">
        <f>_xll.qlPolynomialFunctionValue(BH$1,$BD26,AllTriggers)</f>
        <v>8.2757340607875088E-4</v>
      </c>
      <c r="BI26" s="166">
        <f>_xll.qlPolynomialFunctionValue(BI$1,$BD26,AllTriggers)</f>
        <v>1.166237771328842E-3</v>
      </c>
      <c r="BJ26" s="166">
        <f>_xll.qlPolynomialFunctionValue(BJ$1,$BD26,AllTriggers)</f>
        <v>1.0627594225222476E-3</v>
      </c>
      <c r="BK26" s="166">
        <f>_xll.qlPolynomialFunctionValue(BK$1,$BD26,AllTriggers)</f>
        <v>8.5731704220866291E-4</v>
      </c>
      <c r="BL26" s="166">
        <f>_xll.qlPolynomialFunctionValue(BL$1,$BD26,AllTriggers)</f>
        <v>8.2755706630889547E-4</v>
      </c>
      <c r="BM26" s="166">
        <f>_xll.qlPolynomialFunctionValue(BM$1,$BD26,AllTriggers)</f>
        <v>1.1660737068571031E-3</v>
      </c>
      <c r="BN26" s="166">
        <f>_xll.qlPolynomialFunctionValue(BN$1,$BD26,AllTriggers)</f>
        <v>1.0625979883524309E-3</v>
      </c>
      <c r="BO26" s="166">
        <f>_xll.qlPolynomialFunctionValue(BO$1,$BD26,AllTriggers)</f>
        <v>8.5716083015047303E-4</v>
      </c>
      <c r="BP26" s="166">
        <f>_xll.qlPolynomialFunctionValue(BP$1,$BD26,AllTriggers)</f>
        <v>8.2757340607875088E-4</v>
      </c>
      <c r="BQ26" s="166">
        <f>_xll.qlPolynomialFunctionValue('6MSynthDepo_used'!$P$18,BD26,AllTriggers)</f>
        <v>1.6890125274637213E-3</v>
      </c>
    </row>
    <row r="27" spans="1:69" ht="12" customHeight="1" x14ac:dyDescent="0.2">
      <c r="B27" s="118"/>
      <c r="C27" s="142" t="s">
        <v>185</v>
      </c>
      <c r="D27" s="176" t="s">
        <v>160</v>
      </c>
      <c r="E27" s="119"/>
      <c r="F27" s="393" t="s">
        <v>156</v>
      </c>
      <c r="G27" s="394" t="str">
        <f>_xll.qlPolynomialTenorBasis(,$D$25,Discounting,SettlementDate,IsSimple,G$28:G$31,,Trigger)</f>
        <v>obj_009f5#0014</v>
      </c>
      <c r="H27" s="394" t="str">
        <f>_xll.qlPolynomialTenorBasis(,$D$25,Discounting,SettlementDate,IsSimple,H$28:H$31,,Trigger)</f>
        <v>obj_00a01#0015</v>
      </c>
      <c r="S27" s="394" t="str">
        <f>_xll.qlPolynomialTenorBasis(,$D$25,Discounting,SettlementDate,IsSimple,S$28:S$31,,Trigger)</f>
        <v>obj_009fa#0013</v>
      </c>
      <c r="T27" s="394" t="str">
        <f>_xll.qlPolynomialTenorBasis(,$D$25,Discounting,SettlementDate,IsSimple,T$28:T$31,,Trigger)</f>
        <v>obj_009fe#0009</v>
      </c>
      <c r="U27" s="394" t="str">
        <f>_xll.qlPolynomialTenorBasis(,$D$25,Discounting,SettlementDate,$U$24,U$28:U$31,,Trigger)</f>
        <v>obj_009f8#0011</v>
      </c>
      <c r="V27" s="394" t="str">
        <f>_xll.qlPolynomialTenorBasis(,$D$25,Discounting,SettlementDate,$U$24,V$28:V$31,,Trigger)</f>
        <v>obj_009fd#0014</v>
      </c>
      <c r="W27" s="394" t="str">
        <f>_xll.qlPolynomialTenorBasis(,$D$25,Discounting,SettlementDate,$U$24,W$28:W$31,,Trigger)</f>
        <v>obj_00a03#0007</v>
      </c>
      <c r="X27" s="435" t="str">
        <f>_xll.qlPolynomialTenorBasis(,$D$25,Discounting,SettlementDate,$U$24,X$28:X$31,,Trigger)</f>
        <v>obj_00a00#0006</v>
      </c>
      <c r="Y27" s="436" t="str">
        <f>_xll.qlPolynomialTenorBasis(,$D$25,Discounting,SettlementDate,$Y$24,Y$28:Y$31,,Trigger)</f>
        <v>obj_00a0d#0015</v>
      </c>
      <c r="Z27" s="394" t="str">
        <f>_xll.qlPolynomialTenorBasis(,$D$25,Discounting,SettlementDate,$Y$24,Z$28:Z$31,,Trigger)</f>
        <v>obj_00a0f#0015</v>
      </c>
      <c r="AA27" s="394" t="str">
        <f>_xll.qlPolynomialTenorBasis(,$D$25,Discounting,SettlementDate,$Y$24,AA$28:AA$31,,Trigger)</f>
        <v>obj_00a09#0011</v>
      </c>
      <c r="AB27" s="394" t="str">
        <f>_xll.qlPolynomialTenorBasis(,$D$25,Discounting,SettlementDate,$Y$24,AB$28:AB$31,,Trigger)</f>
        <v>obj_00a07#0009</v>
      </c>
      <c r="AC27" s="115" t="s">
        <v>144</v>
      </c>
      <c r="BC27" s="384">
        <f>_xll.qlCalendarAdvance(Calendar,BC26,"1d","mf",,Trigger)</f>
        <v>42167</v>
      </c>
      <c r="BD27" s="154">
        <f>_xll.qlDayCounterYearFraction(DayCounter,SettlementDate,BC27,,,Trigger)</f>
        <v>8.0555555555555561E-2</v>
      </c>
      <c r="BE27" s="166">
        <f>_xll.qlPolynomialFunctionValue(BE$1,$BD27,AllTriggers)</f>
        <v>1.1595822433033769E-3</v>
      </c>
      <c r="BF27" s="166">
        <f>_xll.qlPolynomialFunctionValue(BF$1,$BD27,AllTriggers)</f>
        <v>1.0405851670230041E-3</v>
      </c>
      <c r="BG27" s="166">
        <f>_xll.qlPolynomialFunctionValue(BG$1,$BD27,AllTriggers)</f>
        <v>8.6354073645952302E-4</v>
      </c>
      <c r="BH27" s="166">
        <f>_xll.qlPolynomialFunctionValue(BH$1,$BD27,AllTriggers)</f>
        <v>8.380424834050844E-4</v>
      </c>
      <c r="BI27" s="166">
        <f>_xll.qlPolynomialFunctionValue(BI$1,$BD27,AllTriggers)</f>
        <v>1.1597467082767763E-3</v>
      </c>
      <c r="BJ27" s="166">
        <f>_xll.qlPolynomialFunctionValue(BJ$1,$BD27,AllTriggers)</f>
        <v>1.0407466071491924E-3</v>
      </c>
      <c r="BK27" s="166">
        <f>_xll.qlPolynomialFunctionValue(BK$1,$BD27,AllTriggers)</f>
        <v>8.6369767620327151E-4</v>
      </c>
      <c r="BL27" s="166">
        <f>_xll.qlPolynomialFunctionValue(BL$1,$BD27,AllTriggers)</f>
        <v>8.3805071908572002E-4</v>
      </c>
      <c r="BM27" s="166">
        <f>_xll.qlPolynomialFunctionValue(BM$1,$BD27,AllTriggers)</f>
        <v>1.1595822433033769E-3</v>
      </c>
      <c r="BN27" s="166">
        <f>_xll.qlPolynomialFunctionValue(BN$1,$BD27,AllTriggers)</f>
        <v>1.0405851670230041E-3</v>
      </c>
      <c r="BO27" s="166">
        <f>_xll.qlPolynomialFunctionValue(BO$1,$BD27,AllTriggers)</f>
        <v>8.6354073645952302E-4</v>
      </c>
      <c r="BP27" s="166">
        <f>_xll.qlPolynomialFunctionValue(BP$1,$BD27,AllTriggers)</f>
        <v>8.380424834050844E-4</v>
      </c>
      <c r="BQ27" s="166">
        <f>_xll.qlPolynomialFunctionValue('6MSynthDepo_used'!$P$18,BD27,AllTriggers)</f>
        <v>1.6915324935421595E-3</v>
      </c>
    </row>
    <row r="28" spans="1:69" ht="12" customHeight="1" x14ac:dyDescent="0.2">
      <c r="C28" s="142" t="s">
        <v>186</v>
      </c>
      <c r="D28" s="176" t="s">
        <v>160</v>
      </c>
      <c r="E28" s="141"/>
      <c r="F28" s="339" t="s">
        <v>147</v>
      </c>
      <c r="G28" s="296">
        <f>AI6</f>
        <v>1.0492273628900305E-3</v>
      </c>
      <c r="H28" s="296">
        <f>AI16</f>
        <v>1.0492273628900305E-3</v>
      </c>
      <c r="S28" s="296">
        <f>AI10</f>
        <v>9.719991437133731E-4</v>
      </c>
      <c r="T28" s="296">
        <f>AI21</f>
        <v>9.6087659854636183E-4</v>
      </c>
      <c r="U28" s="296">
        <f>AU6</f>
        <v>1.3479875367866804E-3</v>
      </c>
      <c r="V28" s="296">
        <f>AU16</f>
        <v>1.9865246647883666E-3</v>
      </c>
      <c r="W28" s="296">
        <f>AU10</f>
        <v>6.7865929035962206E-4</v>
      </c>
      <c r="X28" s="437">
        <f>AU21</f>
        <v>4.8920450520901625E-4</v>
      </c>
      <c r="Y28" s="438">
        <f t="array" ref="Y28:Y29">_xll.qlPolynomialCalibrationCoefficients($Y$25,$Y$26)</f>
        <v>1.0492273628900305E-3</v>
      </c>
      <c r="Z28" s="296">
        <f t="array" ref="Z28:Z30">_xll.qlPolynomialCalibrationCoefficients($Z$25,$Z$26)</f>
        <v>1.0492273628900305E-3</v>
      </c>
      <c r="AA28" s="296">
        <f t="array" ref="AA28:AA29">_xll.qlPolynomialCalibrationCoefficients($AA$25,$AA$26)</f>
        <v>9.719991437133731E-4</v>
      </c>
      <c r="AB28" s="296">
        <f t="array" ref="AB28:AB30">_xll.qlPolynomialCalibrationCoefficients($AB$25,$AB$26)</f>
        <v>9.6087659854636183E-4</v>
      </c>
      <c r="AC28" s="115" t="s">
        <v>144</v>
      </c>
      <c r="BC28" s="384">
        <f>_xll.qlCalendarAdvance(Calendar,BC27,"1d","mf",,Trigger)</f>
        <v>42170</v>
      </c>
      <c r="BD28" s="154">
        <f>_xll.qlDayCounterYearFraction(DayCounter,SettlementDate,BC28,,,Trigger)</f>
        <v>8.8888888888888892E-2</v>
      </c>
      <c r="BE28" s="166">
        <f>_xll.qlPolynomialFunctionValue(BE$1,$BD28,AllTriggers)</f>
        <v>1.1401078526421982E-3</v>
      </c>
      <c r="BF28" s="166">
        <f>_xll.qlPolynomialFunctionValue(BF$1,$BD28,AllTriggers)</f>
        <v>9.7908953945687917E-4</v>
      </c>
      <c r="BG28" s="166">
        <f>_xll.qlPolynomialFunctionValue(BG$1,$BD28,AllTriggers)</f>
        <v>8.8268045538667309E-4</v>
      </c>
      <c r="BH28" s="166">
        <f>_xll.qlPolynomialFunctionValue(BH$1,$BD28,AllTriggers)</f>
        <v>8.6879544802131938E-4</v>
      </c>
      <c r="BI28" s="166">
        <f>_xll.qlPolynomialFunctionValue(BI$1,$BD28,AllTriggers)</f>
        <v>1.1402735191205794E-3</v>
      </c>
      <c r="BJ28" s="166">
        <f>_xll.qlPolynomialFunctionValue(BJ$1,$BD28,AllTriggers)</f>
        <v>9.7925111292885289E-4</v>
      </c>
      <c r="BK28" s="166">
        <f>_xll.qlPolynomialFunctionValue(BK$1,$BD28,AllTriggers)</f>
        <v>8.8283957818709733E-4</v>
      </c>
      <c r="BL28" s="166">
        <f>_xll.qlPolynomialFunctionValue(BL$1,$BD28,AllTriggers)</f>
        <v>8.688735944110392E-4</v>
      </c>
      <c r="BM28" s="166">
        <f>_xll.qlPolynomialFunctionValue(BM$1,$BD28,AllTriggers)</f>
        <v>1.1401078526421982E-3</v>
      </c>
      <c r="BN28" s="166">
        <f>_xll.qlPolynomialFunctionValue(BN$1,$BD28,AllTriggers)</f>
        <v>9.7908953945687917E-4</v>
      </c>
      <c r="BO28" s="166">
        <f>_xll.qlPolynomialFunctionValue(BO$1,$BD28,AllTriggers)</f>
        <v>8.8268045538667309E-4</v>
      </c>
      <c r="BP28" s="166">
        <f>_xll.qlPolynomialFunctionValue(BP$1,$BD28,AllTriggers)</f>
        <v>8.6879544802131938E-4</v>
      </c>
      <c r="BQ28" s="166">
        <f>_xll.qlPolynomialFunctionValue('6MSynthDepo_used'!$P$18,BD28,AllTriggers)</f>
        <v>1.6989915949620626E-3</v>
      </c>
    </row>
    <row r="29" spans="1:69" ht="12" customHeight="1" x14ac:dyDescent="0.2">
      <c r="E29" s="141"/>
      <c r="F29" s="339" t="s">
        <v>148</v>
      </c>
      <c r="G29" s="296">
        <f>AI5</f>
        <v>-2.3369268793414499E-3</v>
      </c>
      <c r="H29" s="296">
        <f>AI15</f>
        <v>-3.1546374353295941E-3</v>
      </c>
      <c r="S29" s="296">
        <f>AI9</f>
        <v>2.2967662712580043E-3</v>
      </c>
      <c r="T29" s="296">
        <f>AI20</f>
        <v>3.0818871065764293E-3</v>
      </c>
      <c r="U29" s="296">
        <f>AU5</f>
        <v>-2.3367826987436349E-3</v>
      </c>
      <c r="V29" s="296">
        <f>AU15</f>
        <v>-1.5693061281292671E-2</v>
      </c>
      <c r="W29" s="296">
        <f>AU9</f>
        <v>2.2970282380590963E-3</v>
      </c>
      <c r="X29" s="437">
        <f>AU20</f>
        <v>4.9030369384711293E-3</v>
      </c>
      <c r="Y29" s="438">
        <v>-2.3369268793414499E-3</v>
      </c>
      <c r="Z29" s="296">
        <v>-3.1546374353295941E-3</v>
      </c>
      <c r="AA29" s="296">
        <v>2.2967662712580043E-3</v>
      </c>
      <c r="AB29" s="296">
        <v>3.0818871065764293E-3</v>
      </c>
      <c r="AC29" s="115" t="s">
        <v>144</v>
      </c>
      <c r="BC29" s="384">
        <f>_xll.qlCalendarAdvance(Calendar,BC28,"1d","mf",,Trigger)</f>
        <v>42171</v>
      </c>
      <c r="BD29" s="154">
        <f>_xll.qlDayCounterYearFraction(DayCounter,SettlementDate,BC29,,,Trigger)</f>
        <v>9.166666666666666E-2</v>
      </c>
      <c r="BE29" s="166">
        <f>_xll.qlPolynomialFunctionValue(BE$1,$BD29,AllTriggers)</f>
        <v>1.133616389088472E-3</v>
      </c>
      <c r="BF29" s="166">
        <f>_xll.qlPolynomialFunctionValue(BF$1,$BD29,AllTriggers)</f>
        <v>9.6010527574222305E-4</v>
      </c>
      <c r="BG29" s="166">
        <f>_xll.qlPolynomialFunctionValue(BG$1,$BD29,AllTriggers)</f>
        <v>8.8906036169572307E-4</v>
      </c>
      <c r="BH29" s="166">
        <f>_xll.qlPolynomialFunctionValue(BH$1,$BD29,AllTriggers)</f>
        <v>8.7882834710580938E-4</v>
      </c>
      <c r="BI29" s="166">
        <f>_xll.qlPolynomialFunctionValue(BI$1,$BD29,AllTriggers)</f>
        <v>1.1337824560685137E-3</v>
      </c>
      <c r="BJ29" s="166">
        <f>_xll.qlPolynomialFunctionValue(BJ$1,$BD29,AllTriggers)</f>
        <v>9.6026693215501505E-4</v>
      </c>
      <c r="BK29" s="166">
        <f>_xll.qlPolynomialFunctionValue(BK$1,$BD29,AllTriggers)</f>
        <v>8.8922021218170583E-4</v>
      </c>
      <c r="BL29" s="166">
        <f>_xll.qlPolynomialFunctionValue(BL$1,$BD29,AllTriggers)</f>
        <v>8.7892852518442737E-4</v>
      </c>
      <c r="BM29" s="166">
        <f>_xll.qlPolynomialFunctionValue(BM$1,$BD29,AllTriggers)</f>
        <v>1.133616389088472E-3</v>
      </c>
      <c r="BN29" s="166">
        <f>_xll.qlPolynomialFunctionValue(BN$1,$BD29,AllTriggers)</f>
        <v>9.6010527574222305E-4</v>
      </c>
      <c r="BO29" s="166">
        <f>_xll.qlPolynomialFunctionValue(BO$1,$BD29,AllTriggers)</f>
        <v>8.8906036169572307E-4</v>
      </c>
      <c r="BP29" s="166">
        <f>_xll.qlPolynomialFunctionValue(BP$1,$BD29,AllTriggers)</f>
        <v>8.7882834710580938E-4</v>
      </c>
      <c r="BQ29" s="166">
        <f>_xll.qlPolynomialFunctionValue('6MSynthDepo_used'!$P$18,BD29,AllTriggers)</f>
        <v>1.7014446794606849E-3</v>
      </c>
    </row>
    <row r="30" spans="1:69" ht="12" customHeight="1" x14ac:dyDescent="0.2">
      <c r="F30" s="339" t="s">
        <v>149</v>
      </c>
      <c r="G30" s="295"/>
      <c r="H30" s="296">
        <f>AI14</f>
        <v>4.9062633359288399E-2</v>
      </c>
      <c r="S30" s="295"/>
      <c r="T30" s="296">
        <f>AI19</f>
        <v>-7.0660875178658687E-3</v>
      </c>
      <c r="U30" s="295"/>
      <c r="V30" s="296">
        <f>AU14</f>
        <v>4.9063880507322827E-2</v>
      </c>
      <c r="W30" s="295"/>
      <c r="X30" s="437">
        <f>AU19</f>
        <v>-7.1072964556691855E-3</v>
      </c>
      <c r="Y30" s="439"/>
      <c r="Z30" s="296">
        <v>4.9062633359288399E-2</v>
      </c>
      <c r="AA30" s="295"/>
      <c r="AB30" s="296">
        <v>-7.0660875178658687E-3</v>
      </c>
      <c r="AC30" s="115" t="s">
        <v>144</v>
      </c>
      <c r="BC30" s="384">
        <f>_xll.qlCalendarAdvance(Calendar,BC29,"1d","mf",,Trigger)</f>
        <v>42172</v>
      </c>
      <c r="BD30" s="154">
        <f>_xll.qlDayCounterYearFraction(DayCounter,SettlementDate,BC30,,,Trigger)</f>
        <v>9.4444444444444442E-2</v>
      </c>
      <c r="BE30" s="166">
        <f>_xll.qlPolynomialFunctionValue(BE$1,$BD30,AllTriggers)</f>
        <v>1.1271249255347456E-3</v>
      </c>
      <c r="BF30" s="166">
        <f>_xll.qlPolynomialFunctionValue(BF$1,$BD30,AllTriggers)</f>
        <v>9.418781514312594E-4</v>
      </c>
      <c r="BG30" s="166">
        <f>_xll.qlPolynomialFunctionValue(BG$1,$BD30,AllTriggers)</f>
        <v>8.9544026800477306E-4</v>
      </c>
      <c r="BH30" s="166">
        <f>_xll.qlPolynomialFunctionValue(BH$1,$BD30,AllTriggers)</f>
        <v>8.8875220162983829E-4</v>
      </c>
      <c r="BI30" s="166">
        <f>_xll.qlPolynomialFunctionValue(BI$1,$BD30,AllTriggers)</f>
        <v>1.1272913930164483E-3</v>
      </c>
      <c r="BJ30" s="166">
        <f>_xll.qlPolynomialFunctionValue(BJ$1,$BD30,AllTriggers)</f>
        <v>9.4203991003098154E-4</v>
      </c>
      <c r="BK30" s="166">
        <f>_xll.qlPolynomialFunctionValue(BK$1,$BD30,AllTriggers)</f>
        <v>8.9560084617631443E-4</v>
      </c>
      <c r="BL30" s="166">
        <f>_xll.qlPolynomialFunctionValue(BL$1,$BD30,AllTriggers)</f>
        <v>8.8887377545695634E-4</v>
      </c>
      <c r="BM30" s="166">
        <f>_xll.qlPolynomialFunctionValue(BM$1,$BD30,AllTriggers)</f>
        <v>1.1271249255347456E-3</v>
      </c>
      <c r="BN30" s="166">
        <f>_xll.qlPolynomialFunctionValue(BN$1,$BD30,AllTriggers)</f>
        <v>9.418781514312594E-4</v>
      </c>
      <c r="BO30" s="166">
        <f>_xll.qlPolynomialFunctionValue(BO$1,$BD30,AllTriggers)</f>
        <v>8.9544026800477306E-4</v>
      </c>
      <c r="BP30" s="166">
        <f>_xll.qlPolynomialFunctionValue(BP$1,$BD30,AllTriggers)</f>
        <v>8.8875220162983829E-4</v>
      </c>
      <c r="BQ30" s="166">
        <f>_xll.qlPolynomialFunctionValue('6MSynthDepo_used'!$P$18,BD30,AllTriggers)</f>
        <v>1.7038812801531673E-3</v>
      </c>
    </row>
    <row r="31" spans="1:69" ht="12" customHeight="1" thickBot="1" x14ac:dyDescent="0.25">
      <c r="F31" s="339" t="s">
        <v>150</v>
      </c>
      <c r="G31" s="295"/>
      <c r="H31" s="295"/>
      <c r="S31" s="295"/>
      <c r="T31" s="295"/>
      <c r="U31" s="295"/>
      <c r="V31" s="295"/>
      <c r="W31" s="295"/>
      <c r="X31" s="440"/>
      <c r="Y31" s="441"/>
      <c r="Z31" s="295"/>
      <c r="AA31" s="295"/>
      <c r="AB31" s="442"/>
      <c r="BC31" s="384">
        <f>_xll.qlCalendarAdvance(Calendar,BC30,"1d","mf",,Trigger)</f>
        <v>42173</v>
      </c>
      <c r="BD31" s="154">
        <f>_xll.qlDayCounterYearFraction(DayCounter,SettlementDate,BC31,,,Trigger)</f>
        <v>9.7222222222222224E-2</v>
      </c>
      <c r="BE31" s="166">
        <f>_xll.qlPolynomialFunctionValue(BE$1,$BD31,AllTriggers)</f>
        <v>1.1206334619810194E-3</v>
      </c>
      <c r="BF31" s="166">
        <f>_xll.qlPolynomialFunctionValue(BF$1,$BD31,AllTriggers)</f>
        <v>9.2440816652398865E-4</v>
      </c>
      <c r="BG31" s="166">
        <f>_xll.qlPolynomialFunctionValue(BG$1,$BD31,AllTriggers)</f>
        <v>9.0182017431382315E-4</v>
      </c>
      <c r="BH31" s="166">
        <f>_xll.qlPolynomialFunctionValue(BH$1,$BD31,AllTriggers)</f>
        <v>8.9856701159340654E-4</v>
      </c>
      <c r="BI31" s="166">
        <f>_xll.qlPolynomialFunctionValue(BI$1,$BD31,AllTriggers)</f>
        <v>1.1208003299643826E-3</v>
      </c>
      <c r="BJ31" s="166">
        <f>_xll.qlPolynomialFunctionValue(BJ$1,$BD31,AllTriggers)</f>
        <v>9.2457004655675237E-4</v>
      </c>
      <c r="BK31" s="166">
        <f>_xll.qlPolynomialFunctionValue(BK$1,$BD31,AllTriggers)</f>
        <v>9.0198148017092304E-4</v>
      </c>
      <c r="BL31" s="166">
        <f>_xll.qlPolynomialFunctionValue(BL$1,$BD31,AllTriggers)</f>
        <v>8.9870934522862642E-4</v>
      </c>
      <c r="BM31" s="166">
        <f>_xll.qlPolynomialFunctionValue(BM$1,$BD31,AllTriggers)</f>
        <v>1.1206334619810194E-3</v>
      </c>
      <c r="BN31" s="166">
        <f>_xll.qlPolynomialFunctionValue(BN$1,$BD31,AllTriggers)</f>
        <v>9.2440816652398865E-4</v>
      </c>
      <c r="BO31" s="166">
        <f>_xll.qlPolynomialFunctionValue(BO$1,$BD31,AllTriggers)</f>
        <v>9.0182017431382315E-4</v>
      </c>
      <c r="BP31" s="166">
        <f>_xll.qlPolynomialFunctionValue(BP$1,$BD31,AllTriggers)</f>
        <v>8.9856701159340654E-4</v>
      </c>
      <c r="BQ31" s="166">
        <f>_xll.qlPolynomialFunctionValue('6MSynthDepo_used'!$P$18,BD31,AllTriggers)</f>
        <v>1.7063014911678127E-3</v>
      </c>
    </row>
    <row r="32" spans="1:69" ht="12" customHeight="1" x14ac:dyDescent="0.2">
      <c r="G32" s="353" t="s">
        <v>140</v>
      </c>
      <c r="H32" s="354"/>
      <c r="S32" s="354"/>
      <c r="T32" s="354"/>
      <c r="U32" s="354"/>
      <c r="V32" s="354"/>
      <c r="W32" s="354"/>
      <c r="X32" s="355"/>
      <c r="Y32" s="353" t="s">
        <v>141</v>
      </c>
      <c r="Z32" s="354"/>
      <c r="AA32" s="354"/>
      <c r="AB32" s="355"/>
      <c r="BC32" s="384">
        <f>_xll.qlCalendarAdvance(Calendar,BC31,"1d","mf",,Trigger)</f>
        <v>42174</v>
      </c>
      <c r="BD32" s="154">
        <f>_xll.qlDayCounterYearFraction(DayCounter,SettlementDate,BC32,,,Trigger)</f>
        <v>0.1</v>
      </c>
      <c r="BE32" s="166">
        <f>_xll.qlPolynomialFunctionValue(BE$1,$BD32,AllTriggers)</f>
        <v>1.114141998427293E-3</v>
      </c>
      <c r="BF32" s="166">
        <f>_xll.qlPolynomialFunctionValue(BF$1,$BD32,AllTriggers)</f>
        <v>9.076953210204108E-4</v>
      </c>
      <c r="BG32" s="166">
        <f>_xll.qlPolynomialFunctionValue(BG$1,$BD32,AllTriggers)</f>
        <v>9.0820008062287314E-4</v>
      </c>
      <c r="BH32" s="166">
        <f>_xll.qlPolynomialFunctionValue(BH$1,$BD32,AllTriggers)</f>
        <v>9.0827277699651369E-4</v>
      </c>
      <c r="BI32" s="166">
        <f>_xll.qlPolynomialFunctionValue(BI$1,$BD32,AllTriggers)</f>
        <v>1.1143092669123169E-3</v>
      </c>
      <c r="BJ32" s="166">
        <f>_xll.qlPolynomialFunctionValue(BJ$1,$BD32,AllTriggers)</f>
        <v>9.0785734173232796E-4</v>
      </c>
      <c r="BK32" s="166">
        <f>_xll.qlPolynomialFunctionValue(BK$1,$BD32,AllTriggers)</f>
        <v>9.0836211416553164E-4</v>
      </c>
      <c r="BL32" s="166">
        <f>_xll.qlPolynomialFunctionValue(BL$1,$BD32,AllTriggers)</f>
        <v>9.0843523449943742E-4</v>
      </c>
      <c r="BM32" s="166">
        <f>_xll.qlPolynomialFunctionValue(BM$1,$BD32,AllTriggers)</f>
        <v>1.114141998427293E-3</v>
      </c>
      <c r="BN32" s="166">
        <f>_xll.qlPolynomialFunctionValue(BN$1,$BD32,AllTriggers)</f>
        <v>9.076953210204108E-4</v>
      </c>
      <c r="BO32" s="166">
        <f>_xll.qlPolynomialFunctionValue(BO$1,$BD32,AllTriggers)</f>
        <v>9.0820008062287314E-4</v>
      </c>
      <c r="BP32" s="166">
        <f>_xll.qlPolynomialFunctionValue(BP$1,$BD32,AllTriggers)</f>
        <v>9.0827277699651369E-4</v>
      </c>
      <c r="BQ32" s="166">
        <f>_xll.qlPolynomialFunctionValue('6MSynthDepo_used'!$P$18,BD32,AllTriggers)</f>
        <v>1.7087054063793117E-3</v>
      </c>
    </row>
    <row r="33" spans="3:69" ht="12" customHeight="1" x14ac:dyDescent="0.2">
      <c r="G33" s="420" t="s">
        <v>180</v>
      </c>
      <c r="H33" s="421"/>
      <c r="S33" s="421"/>
      <c r="T33" s="422"/>
      <c r="U33" s="420" t="s">
        <v>181</v>
      </c>
      <c r="V33" s="421"/>
      <c r="W33" s="421"/>
      <c r="X33" s="422"/>
      <c r="Y33" s="420" t="s">
        <v>180</v>
      </c>
      <c r="Z33" s="421"/>
      <c r="AA33" s="421"/>
      <c r="AB33" s="422"/>
      <c r="BC33" s="384">
        <f>_xll.qlCalendarAdvance(Calendar,BC32,"1d","mf",,Trigger)</f>
        <v>42177</v>
      </c>
      <c r="BD33" s="154">
        <f>_xll.qlDayCounterYearFraction(DayCounter,SettlementDate,BC33,,,Trigger)</f>
        <v>0.10833333333333334</v>
      </c>
      <c r="BE33" s="166">
        <f>_xll.qlPolynomialFunctionValue(BE$1,$BD33,AllTriggers)</f>
        <v>1.0946676077661145E-3</v>
      </c>
      <c r="BF33" s="166">
        <f>_xll.qlPolynomialFunctionValue(BF$1,$BD33,AllTriggers)</f>
        <v>8.6209962093183304E-4</v>
      </c>
      <c r="BG33" s="166">
        <f>_xll.qlPolynomialFunctionValue(BG$1,$BD33,AllTriggers)</f>
        <v>9.2733979955002309E-4</v>
      </c>
      <c r="BH33" s="166">
        <f>_xll.qlPolynomialFunctionValue(BH$1,$BD33,AllTriggers)</f>
        <v>9.3673580584307007E-4</v>
      </c>
      <c r="BI33" s="166">
        <f>_xll.qlPolynomialFunctionValue(BI$1,$BD33,AllTriggers)</f>
        <v>1.09483607775612E-3</v>
      </c>
      <c r="BJ33" s="166">
        <f>_xll.qlPolynomialFunctionValue(BJ$1,$BD33,AllTriggers)</f>
        <v>8.6226217915787986E-4</v>
      </c>
      <c r="BK33" s="166">
        <f>_xll.qlPolynomialFunctionValue(BK$1,$BD33,AllTriggers)</f>
        <v>9.2750401614935746E-4</v>
      </c>
      <c r="BL33" s="166">
        <f>_xll.qlPolynomialFunctionValue(BL$1,$BD33,AllTriggers)</f>
        <v>9.369548193067154E-4</v>
      </c>
      <c r="BM33" s="166">
        <f>_xll.qlPolynomialFunctionValue(BM$1,$BD33,AllTriggers)</f>
        <v>1.0946676077661145E-3</v>
      </c>
      <c r="BN33" s="166">
        <f>_xll.qlPolynomialFunctionValue(BN$1,$BD33,AllTriggers)</f>
        <v>8.6209962093183304E-4</v>
      </c>
      <c r="BO33" s="166">
        <f>_xll.qlPolynomialFunctionValue(BO$1,$BD33,AllTriggers)</f>
        <v>9.2733979955002309E-4</v>
      </c>
      <c r="BP33" s="166">
        <f>_xll.qlPolynomialFunctionValue(BP$1,$BD33,AllTriggers)</f>
        <v>9.3673580584307007E-4</v>
      </c>
      <c r="BQ33" s="166">
        <f>_xll.qlPolynomialFunctionValue('6MSynthDepo_used'!$P$18,BD33,AllTriggers)</f>
        <v>1.7158203121376652E-3</v>
      </c>
    </row>
    <row r="34" spans="3:69" ht="12" customHeight="1" thickBot="1" x14ac:dyDescent="0.25">
      <c r="G34" s="340" t="str">
        <f>"with 0X"&amp;SUBSTITUTE($D$24,"M","")</f>
        <v>with 0X3</v>
      </c>
      <c r="H34" s="316"/>
      <c r="S34" s="315" t="str">
        <f>"without 0X"&amp;SUBSTITUTE($D$24,"M","")</f>
        <v>without 0X3</v>
      </c>
      <c r="T34" s="341"/>
      <c r="U34" s="340" t="str">
        <f>"with 0X"&amp;SUBSTITUTE($D$24,"M","")</f>
        <v>with 0X3</v>
      </c>
      <c r="V34" s="316"/>
      <c r="W34" s="315" t="str">
        <f>"without 0X"&amp;SUBSTITUTE($D$24,"M","")</f>
        <v>without 0X3</v>
      </c>
      <c r="X34" s="341"/>
      <c r="Y34" s="340" t="str">
        <f>"with 0X"&amp;SUBSTITUTE($D$24,"M","")</f>
        <v>with 0X3</v>
      </c>
      <c r="Z34" s="316"/>
      <c r="AA34" s="315" t="str">
        <f>"without 0X"&amp;SUBSTITUTE($D$24,"M","")</f>
        <v>without 0X3</v>
      </c>
      <c r="AB34" s="341"/>
      <c r="BC34" s="384">
        <f>_xll.qlCalendarAdvance(Calendar,BC33,"1d","mf",,Trigger)</f>
        <v>42178</v>
      </c>
      <c r="BD34" s="154">
        <f>_xll.qlDayCounterYearFraction(DayCounter,SettlementDate,BC34,,,Trigger)</f>
        <v>0.1111111111111111</v>
      </c>
      <c r="BE34" s="166">
        <f>_xll.qlPolynomialFunctionValue(BE$1,$BD34,AllTriggers)</f>
        <v>1.0881761442123883E-3</v>
      </c>
      <c r="BF34" s="166">
        <f>_xll.qlPolynomialFunctionValue(BF$1,$BD34,AllTriggers)</f>
        <v>8.4841533304302614E-4</v>
      </c>
      <c r="BG34" s="166">
        <f>_xll.qlPolynomialFunctionValue(BG$1,$BD34,AllTriggers)</f>
        <v>9.3371970585907319E-4</v>
      </c>
      <c r="BH34" s="166">
        <f>_xll.qlPolynomialFunctionValue(BH$1,$BD34,AllTriggers)</f>
        <v>9.460053930043337E-4</v>
      </c>
      <c r="BI34" s="166">
        <f>_xll.qlPolynomialFunctionValue(BI$1,$BD34,AllTriggers)</f>
        <v>1.0883450147040543E-3</v>
      </c>
      <c r="BJ34" s="166">
        <f>_xll.qlPolynomialFunctionValue(BJ$1,$BD34,AllTriggers)</f>
        <v>8.4857810893267268E-4</v>
      </c>
      <c r="BK34" s="166">
        <f>_xll.qlPolynomialFunctionValue(BK$1,$BD34,AllTriggers)</f>
        <v>9.3388465014396607E-4</v>
      </c>
      <c r="BL34" s="166">
        <f>_xll.qlPolynomialFunctionValue(BL$1,$BD34,AllTriggers)</f>
        <v>9.462419865740899E-4</v>
      </c>
      <c r="BM34" s="166">
        <f>_xll.qlPolynomialFunctionValue(BM$1,$BD34,AllTriggers)</f>
        <v>1.0881761442123883E-3</v>
      </c>
      <c r="BN34" s="166">
        <f>_xll.qlPolynomialFunctionValue(BN$1,$BD34,AllTriggers)</f>
        <v>8.4841533304302614E-4</v>
      </c>
      <c r="BO34" s="166">
        <f>_xll.qlPolynomialFunctionValue(BO$1,$BD34,AllTriggers)</f>
        <v>9.3371970585907319E-4</v>
      </c>
      <c r="BP34" s="166">
        <f>_xll.qlPolynomialFunctionValue(BP$1,$BD34,AllTriggers)</f>
        <v>9.460053930043337E-4</v>
      </c>
      <c r="BQ34" s="166">
        <f>_xll.qlPolynomialFunctionValue('6MSynthDepo_used'!$P$18,BD34,AllTriggers)</f>
        <v>1.7181599778112544E-3</v>
      </c>
    </row>
    <row r="35" spans="3:69" ht="12" customHeight="1" x14ac:dyDescent="0.2">
      <c r="D35" s="142" t="s">
        <v>95</v>
      </c>
      <c r="E35" s="142" t="s">
        <v>70</v>
      </c>
      <c r="F35" s="142" t="s">
        <v>71</v>
      </c>
      <c r="G35" s="342" t="str">
        <f>IF(COUNT(G$28:G$31)=2,"Linear","Quadratic")</f>
        <v>Linear</v>
      </c>
      <c r="H35" s="145" t="str">
        <f>IF(COUNT(H$28:H$31)=2,"Linear","Quadratic")</f>
        <v>Quadratic</v>
      </c>
      <c r="S35" s="145" t="str">
        <f>IF(COUNT(S$28:S$31)=2,"Linear","Quadratic")</f>
        <v>Linear</v>
      </c>
      <c r="T35" s="343" t="str">
        <f>IF(COUNT(T$28:T$31)=2,"Linear","Quadratic")</f>
        <v>Quadratic</v>
      </c>
      <c r="U35" s="342" t="str">
        <f>IF(COUNT(U$28:U$31)=2,"Linear","Quadratic")</f>
        <v>Linear</v>
      </c>
      <c r="V35" s="145" t="str">
        <f>IF(COUNT(V$28:V$31)=2,"Linear","Quadratic")</f>
        <v>Quadratic</v>
      </c>
      <c r="W35" s="145" t="str">
        <f>IF(COUNT(W$28:W$31)=2,"Linear","Quadratic")</f>
        <v>Linear</v>
      </c>
      <c r="X35" s="343" t="str">
        <f>IF(COUNT(X$28:X$31)=2,"Linear","Quadratic")</f>
        <v>Quadratic</v>
      </c>
      <c r="Y35" s="342" t="str">
        <f>IF(COUNT(Y$28:Y$31)=2,"Linear","Quadratic")</f>
        <v>Linear</v>
      </c>
      <c r="Z35" s="145" t="str">
        <f>IF(COUNT(Z$28:Z$31)=2,"Linear","Quadratic")</f>
        <v>Quadratic</v>
      </c>
      <c r="AA35" s="145" t="str">
        <f>IF(COUNT(AA$28:AA$31)=2,"Linear","Quadratic")</f>
        <v>Linear</v>
      </c>
      <c r="AB35" s="343" t="str">
        <f>IF(COUNT(AB$28:AB$31)=2,"Linear","Quadratic")</f>
        <v>Quadratic</v>
      </c>
      <c r="AC35" s="463" t="s">
        <v>179</v>
      </c>
      <c r="BC35" s="384">
        <f>_xll.qlCalendarAdvance(Calendar,BC34,"1d","mf",,Trigger)</f>
        <v>42179</v>
      </c>
      <c r="BD35" s="154">
        <f>_xll.qlDayCounterYearFraction(DayCounter,SettlementDate,BC35,,,Trigger)</f>
        <v>0.11388888888888889</v>
      </c>
      <c r="BE35" s="166">
        <f>_xll.qlPolynomialFunctionValue(BE$1,$BD35,AllTriggers)</f>
        <v>1.0816846806586619E-3</v>
      </c>
      <c r="BF35" s="166">
        <f>_xll.qlPolynomialFunctionValue(BF$1,$BD35,AllTriggers)</f>
        <v>8.354881845579115E-4</v>
      </c>
      <c r="BG35" s="166">
        <f>_xll.qlPolynomialFunctionValue(BG$1,$BD35,AllTriggers)</f>
        <v>9.4009961216812317E-4</v>
      </c>
      <c r="BH35" s="166">
        <f>_xll.qlPolynomialFunctionValue(BH$1,$BD35,AllTriggers)</f>
        <v>9.5516593560513656E-4</v>
      </c>
      <c r="BI35" s="166">
        <f>_xll.qlPolynomialFunctionValue(BI$1,$BD35,AllTriggers)</f>
        <v>1.0818539516519886E-3</v>
      </c>
      <c r="BJ35" s="166">
        <f>_xll.qlPolynomialFunctionValue(BJ$1,$BD35,AllTriggers)</f>
        <v>8.3565119735726971E-4</v>
      </c>
      <c r="BK35" s="166">
        <f>_xll.qlPolynomialFunctionValue(BK$1,$BD35,AllTriggers)</f>
        <v>9.4026528413857467E-4</v>
      </c>
      <c r="BL35" s="166">
        <f>_xll.qlPolynomialFunctionValue(BL$1,$BD35,AllTriggers)</f>
        <v>9.5541947334060553E-4</v>
      </c>
      <c r="BM35" s="166">
        <f>_xll.qlPolynomialFunctionValue(BM$1,$BD35,AllTriggers)</f>
        <v>1.0816846806586619E-3</v>
      </c>
      <c r="BN35" s="166">
        <f>_xll.qlPolynomialFunctionValue(BN$1,$BD35,AllTriggers)</f>
        <v>8.354881845579115E-4</v>
      </c>
      <c r="BO35" s="166">
        <f>_xll.qlPolynomialFunctionValue(BO$1,$BD35,AllTriggers)</f>
        <v>9.4009961216812317E-4</v>
      </c>
      <c r="BP35" s="166">
        <f>_xll.qlPolynomialFunctionValue(BP$1,$BD35,AllTriggers)</f>
        <v>9.5516593560513656E-4</v>
      </c>
      <c r="BQ35" s="166">
        <f>_xll.qlPolynomialFunctionValue('6MSynthDepo_used'!$P$18,BD35,AllTriggers)</f>
        <v>1.7204838132509766E-3</v>
      </c>
    </row>
    <row r="36" spans="3:69" ht="12" customHeight="1" x14ac:dyDescent="0.2">
      <c r="C36" s="115">
        <v>0</v>
      </c>
      <c r="D36" s="161" t="s">
        <v>43</v>
      </c>
      <c r="E36" s="381">
        <f>_xll.qlCalendarAdvance(Calendar,SettlementDate,C36&amp;"M","mf",TRUE,Trigger)</f>
        <v>42138</v>
      </c>
      <c r="F36" s="453">
        <f>_xll.qlCalendarAdvance(Calendar,SettlementDate,D36,"Following",,Trigger)</f>
        <v>42139</v>
      </c>
      <c r="G36" s="461">
        <f>_xll.qlTenorBasisForwardRate2(G$27,$E36,$F36,InterestRatesTrigger)</f>
        <v>3.362044088728311E-4</v>
      </c>
      <c r="H36" s="399">
        <f>_xll.qlTenorBasisForwardRate2(H$27,$E36,$F36,InterestRatesTrigger)</f>
        <v>9.4805543104037326E-4</v>
      </c>
      <c r="S36" s="399">
        <f>_xll.qlTenorBasisForwardRate2(S$27,$E36,$F36,InterestRatesTrigger)</f>
        <v>-3.1767762124879084E-4</v>
      </c>
      <c r="T36" s="462">
        <f>_xll.qlTenorBasisForwardRate2(T$27,$E36,$F36,InterestRatesTrigger)</f>
        <v>-4.9997037490090435E-4</v>
      </c>
      <c r="U36" s="461">
        <f>_xll.qlTenorBasisForwardRate2(U$27,$E36,$F36,InterestRatesTrigger)</f>
        <v>3.3635536044407388E-4</v>
      </c>
      <c r="V36" s="399">
        <f>_xll.qlTenorBasisForwardRate2(V$27,$E36,$F36,InterestRatesTrigger)</f>
        <v>9.4822193577037694E-4</v>
      </c>
      <c r="W36" s="399">
        <f>_xll.qlTenorBasisForwardRate2(W$27,$E36,$F36,InterestRatesTrigger)</f>
        <v>-3.1754329130162517E-4</v>
      </c>
      <c r="X36" s="462">
        <f>_xll.qlTenorBasisForwardRate2(X$27,$E36,$F36,InterestRatesTrigger)</f>
        <v>-5.0089916366680143E-4</v>
      </c>
      <c r="Y36" s="461">
        <f>_xll.qlTenorBasisForwardRate2(Y$27,$E36,$F36,InterestRatesTrigger)</f>
        <v>3.362044088728311E-4</v>
      </c>
      <c r="Z36" s="399">
        <f>_xll.qlTenorBasisForwardRate2(Z$27,$E36,$F36,InterestRatesTrigger)</f>
        <v>9.4805543104037326E-4</v>
      </c>
      <c r="AA36" s="399">
        <f>_xll.qlTenorBasisForwardRate2(AA$27,$E36,$F36,InterestRatesTrigger)</f>
        <v>-3.1767762124879084E-4</v>
      </c>
      <c r="AB36" s="462">
        <f>_xll.qlTenorBasisForwardRate2(AB$27,$E36,$F36,InterestRatesTrigger)</f>
        <v>-4.9997037490090435E-4</v>
      </c>
      <c r="AC36" s="462">
        <f>'3MSynthDepo_used'!AA15</f>
        <v>-4.6551362244962036E-5</v>
      </c>
      <c r="BC36" s="384">
        <f>_xll.qlCalendarAdvance(Calendar,BC35,"1d","mf",,Trigger)</f>
        <v>42180</v>
      </c>
      <c r="BD36" s="154">
        <f>_xll.qlDayCounterYearFraction(DayCounter,SettlementDate,BC36,,,Trigger)</f>
        <v>0.11666666666666667</v>
      </c>
      <c r="BE36" s="166">
        <f>_xll.qlPolynomialFunctionValue(BE$1,$BD36,AllTriggers)</f>
        <v>1.0751932171049357E-3</v>
      </c>
      <c r="BF36" s="166">
        <f>_xll.qlPolynomialFunctionValue(BF$1,$BD36,AllTriggers)</f>
        <v>8.2331817547648986E-4</v>
      </c>
      <c r="BG36" s="166">
        <f>_xll.qlPolynomialFunctionValue(BG$1,$BD36,AllTriggers)</f>
        <v>9.4647951847717316E-4</v>
      </c>
      <c r="BH36" s="166">
        <f>_xll.qlPolynomialFunctionValue(BH$1,$BD36,AllTriggers)</f>
        <v>9.6421743364547854E-4</v>
      </c>
      <c r="BI36" s="166">
        <f>_xll.qlPolynomialFunctionValue(BI$1,$BD36,AllTriggers)</f>
        <v>1.0753628885999229E-3</v>
      </c>
      <c r="BJ36" s="166">
        <f>_xll.qlPolynomialFunctionValue(BJ$1,$BD36,AllTriggers)</f>
        <v>8.2348144443167141E-4</v>
      </c>
      <c r="BK36" s="166">
        <f>_xll.qlPolynomialFunctionValue(BK$1,$BD36,AllTriggers)</f>
        <v>9.4664591813318328E-4</v>
      </c>
      <c r="BL36" s="166">
        <f>_xll.qlPolynomialFunctionValue(BL$1,$BD36,AllTriggers)</f>
        <v>9.6448727960626206E-4</v>
      </c>
      <c r="BM36" s="166">
        <f>_xll.qlPolynomialFunctionValue(BM$1,$BD36,AllTriggers)</f>
        <v>1.0751932171049357E-3</v>
      </c>
      <c r="BN36" s="166">
        <f>_xll.qlPolynomialFunctionValue(BN$1,$BD36,AllTriggers)</f>
        <v>8.2331817547648986E-4</v>
      </c>
      <c r="BO36" s="166">
        <f>_xll.qlPolynomialFunctionValue(BO$1,$BD36,AllTriggers)</f>
        <v>9.4647951847717316E-4</v>
      </c>
      <c r="BP36" s="166">
        <f>_xll.qlPolynomialFunctionValue(BP$1,$BD36,AllTriggers)</f>
        <v>9.6421743364547854E-4</v>
      </c>
      <c r="BQ36" s="166">
        <f>_xll.qlPolynomialFunctionValue('6MSynthDepo_used'!$P$18,BD36,AllTriggers)</f>
        <v>1.7227919108098529E-3</v>
      </c>
    </row>
    <row r="37" spans="3:69" ht="12" customHeight="1" x14ac:dyDescent="0.2">
      <c r="C37" s="115">
        <v>0</v>
      </c>
      <c r="D37" s="167" t="s">
        <v>44</v>
      </c>
      <c r="E37" s="383">
        <f>_xll.qlCalendarAdvance(Calendar,SettlementDate,C37&amp;"M","mf",TRUE,Trigger)</f>
        <v>42138</v>
      </c>
      <c r="F37" s="454">
        <f>_xll.qlCalendarAdvance(Calendar,SettlementDate,D37,"Following",,Trigger)</f>
        <v>42145</v>
      </c>
      <c r="G37" s="344">
        <f>_xll.qlTenorBasisForwardRate2(G$27,$E37,$F37,InterestRatesTrigger)</f>
        <v>3.1726073039552356E-4</v>
      </c>
      <c r="H37" s="334">
        <f>_xll.qlTenorBasisForwardRate2(H$27,$E37,$F37,InterestRatesTrigger)</f>
        <v>8.2665683651482274E-4</v>
      </c>
      <c r="S37" s="334">
        <f>_xll.qlTenorBasisForwardRate2(S$27,$E37,$F37,InterestRatesTrigger)</f>
        <v>-2.9905795722674961E-4</v>
      </c>
      <c r="T37" s="345">
        <f>_xll.qlTenorBasisForwardRate2(T$27,$E37,$F37,InterestRatesTrigger)</f>
        <v>-4.6118336946486337E-4</v>
      </c>
      <c r="U37" s="344">
        <f>_xll.qlTenorBasisForwardRate2(U$27,$E37,$F37,InterestRatesTrigger)</f>
        <v>3.174128515340665E-4</v>
      </c>
      <c r="V37" s="334">
        <f>_xll.qlTenorBasisForwardRate2(V$27,$E37,$F37,InterestRatesTrigger)</f>
        <v>8.2682190782001896E-4</v>
      </c>
      <c r="W37" s="334">
        <f>_xll.qlTenorBasisForwardRate2(W$27,$E37,$F37,InterestRatesTrigger)</f>
        <v>-2.9892150433205193E-4</v>
      </c>
      <c r="X37" s="345">
        <f>_xll.qlTenorBasisForwardRate2(X$27,$E37,$F37,InterestRatesTrigger)</f>
        <v>-4.6199241979445152E-4</v>
      </c>
      <c r="Y37" s="344">
        <f>_xll.qlTenorBasisForwardRate2(Y$27,$E37,$F37,InterestRatesTrigger)</f>
        <v>3.1726073039552356E-4</v>
      </c>
      <c r="Z37" s="334">
        <f>_xll.qlTenorBasisForwardRate2(Z$27,$E37,$F37,InterestRatesTrigger)</f>
        <v>8.2665683651482274E-4</v>
      </c>
      <c r="AA37" s="334">
        <f>_xll.qlTenorBasisForwardRate2(AA$27,$E37,$F37,InterestRatesTrigger)</f>
        <v>-2.9905795722674961E-4</v>
      </c>
      <c r="AB37" s="345">
        <f>_xll.qlTenorBasisForwardRate2(AB$27,$E37,$F37,InterestRatesTrigger)</f>
        <v>-4.6118336946486337E-4</v>
      </c>
      <c r="AC37" s="345">
        <f>'3MSynthDepo_used'!AA16</f>
        <v>-3.9840567273812557E-5</v>
      </c>
      <c r="BC37" s="384">
        <f>_xll.qlCalendarAdvance(Calendar,BC36,"1d","mf",,Trigger)</f>
        <v>42181</v>
      </c>
      <c r="BD37" s="154">
        <f>_xll.qlDayCounterYearFraction(DayCounter,SettlementDate,BC37,,,Trigger)</f>
        <v>0.11944444444444445</v>
      </c>
      <c r="BE37" s="166">
        <f>_xll.qlPolynomialFunctionValue(BE$1,$BD37,AllTriggers)</f>
        <v>1.0687017535512093E-3</v>
      </c>
      <c r="BF37" s="166">
        <f>_xll.qlPolynomialFunctionValue(BF$1,$BD37,AllTriggers)</f>
        <v>8.1190530579876091E-4</v>
      </c>
      <c r="BG37" s="166">
        <f>_xll.qlPolynomialFunctionValue(BG$1,$BD37,AllTriggers)</f>
        <v>9.5285942478622325E-4</v>
      </c>
      <c r="BH37" s="166">
        <f>_xll.qlPolynomialFunctionValue(BH$1,$BD37,AllTriggers)</f>
        <v>9.7315988712535931E-4</v>
      </c>
      <c r="BI37" s="166">
        <f>_xll.qlPolynomialFunctionValue(BI$1,$BD37,AllTriggers)</f>
        <v>1.0688718255478574E-3</v>
      </c>
      <c r="BJ37" s="166">
        <f>_xll.qlPolynomialFunctionValue(BJ$1,$BD37,AllTriggers)</f>
        <v>8.1206885015587711E-4</v>
      </c>
      <c r="BK37" s="166">
        <f>_xll.qlPolynomialFunctionValue(BK$1,$BD37,AllTriggers)</f>
        <v>9.5302655212779188E-4</v>
      </c>
      <c r="BL37" s="166">
        <f>_xll.qlPolynomialFunctionValue(BL$1,$BD37,AllTriggers)</f>
        <v>9.7344540537105929E-4</v>
      </c>
      <c r="BM37" s="166">
        <f>_xll.qlPolynomialFunctionValue(BM$1,$BD37,AllTriggers)</f>
        <v>1.0687017535512093E-3</v>
      </c>
      <c r="BN37" s="166">
        <f>_xll.qlPolynomialFunctionValue(BN$1,$BD37,AllTriggers)</f>
        <v>8.1190530579876091E-4</v>
      </c>
      <c r="BO37" s="166">
        <f>_xll.qlPolynomialFunctionValue(BO$1,$BD37,AllTriggers)</f>
        <v>9.5285942478622325E-4</v>
      </c>
      <c r="BP37" s="166">
        <f>_xll.qlPolynomialFunctionValue(BP$1,$BD37,AllTriggers)</f>
        <v>9.7315988712535931E-4</v>
      </c>
      <c r="BQ37" s="166">
        <f>_xll.qlPolynomialFunctionValue('6MSynthDepo_used'!$P$18,BD37,AllTriggers)</f>
        <v>1.7250843625872922E-3</v>
      </c>
    </row>
    <row r="38" spans="3:69" ht="12" customHeight="1" x14ac:dyDescent="0.2">
      <c r="C38" s="115">
        <v>0</v>
      </c>
      <c r="D38" s="167" t="s">
        <v>45</v>
      </c>
      <c r="E38" s="383">
        <f>_xll.qlCalendarAdvance(Calendar,SettlementDate,C38&amp;"M","mf",TRUE,Trigger)</f>
        <v>42138</v>
      </c>
      <c r="F38" s="454">
        <f>_xll.qlCalendarAdvance(Calendar,SettlementDate,D38,"Following",,Trigger)</f>
        <v>42152</v>
      </c>
      <c r="G38" s="344">
        <f>_xll.qlTenorBasisForwardRate2(G$27,$E38,$F38,InterestRatesTrigger)</f>
        <v>2.8514949988091482E-4</v>
      </c>
      <c r="H38" s="334">
        <f>_xll.qlTenorBasisForwardRate2(H$27,$E38,$F38,InterestRatesTrigger)</f>
        <v>6.8602923988438287E-4</v>
      </c>
      <c r="S38" s="334">
        <f>_xll.qlTenorBasisForwardRate2(S$27,$E38,$F38,InterestRatesTrigger)</f>
        <v>-2.8734504693650464E-4</v>
      </c>
      <c r="T38" s="345">
        <f>_xll.qlTenorBasisForwardRate2(T$27,$E38,$F38,InterestRatesTrigger)</f>
        <v>-4.2752910360789793E-4</v>
      </c>
      <c r="U38" s="344">
        <f>_xll.qlTenorBasisForwardRate2(U$27,$E38,$F38,InterestRatesTrigger)</f>
        <v>2.8530298539664045E-4</v>
      </c>
      <c r="V38" s="334">
        <f>_xll.qlTenorBasisForwardRate2(V$27,$E38,$F38,InterestRatesTrigger)</f>
        <v>6.861929180411254E-4</v>
      </c>
      <c r="W38" s="334">
        <f>_xll.qlTenorBasisForwardRate2(W$27,$E38,$F38,InterestRatesTrigger)</f>
        <v>-2.8720611720592766E-4</v>
      </c>
      <c r="X38" s="345">
        <f>_xll.qlTenorBasisForwardRate2(X$27,$E38,$F38,InterestRatesTrigger)</f>
        <v>-4.282077162025872E-4</v>
      </c>
      <c r="Y38" s="344">
        <f>_xll.qlTenorBasisForwardRate2(Y$27,$E38,$F38,InterestRatesTrigger)</f>
        <v>2.8514949988091482E-4</v>
      </c>
      <c r="Z38" s="334">
        <f>_xll.qlTenorBasisForwardRate2(Z$27,$E38,$F38,InterestRatesTrigger)</f>
        <v>6.8602923988438287E-4</v>
      </c>
      <c r="AA38" s="334">
        <f>_xll.qlTenorBasisForwardRate2(AA$27,$E38,$F38,InterestRatesTrigger)</f>
        <v>-2.8734504693650464E-4</v>
      </c>
      <c r="AB38" s="345">
        <f>_xll.qlTenorBasisForwardRate2(AB$27,$E38,$F38,InterestRatesTrigger)</f>
        <v>-4.2752910360789793E-4</v>
      </c>
      <c r="AC38" s="345">
        <f>'3MSynthDepo_used'!AA17</f>
        <v>-4.2162354028096871E-5</v>
      </c>
      <c r="BC38" s="384">
        <f>_xll.qlCalendarAdvance(Calendar,BC37,"1d","mf",,Trigger)</f>
        <v>42184</v>
      </c>
      <c r="BD38" s="154">
        <f>_xll.qlDayCounterYearFraction(DayCounter,SettlementDate,BC38,,,Trigger)</f>
        <v>0.12777777777777777</v>
      </c>
      <c r="BE38" s="166">
        <f>_xll.qlPolynomialFunctionValue(BE$1,$BD38,AllTriggers)</f>
        <v>1.0492273628900308E-3</v>
      </c>
      <c r="BF38" s="166">
        <f>_xll.qlPolynomialFunctionValue(BF$1,$BD38,AllTriggers)</f>
        <v>7.8220953318773037E-4</v>
      </c>
      <c r="BG38" s="166">
        <f>_xll.qlPolynomialFunctionValue(BG$1,$BD38,AllTriggers)</f>
        <v>9.7199914371337321E-4</v>
      </c>
      <c r="BH38" s="166">
        <f>_xll.qlPolynomialFunctionValue(BH$1,$BD38,AllTriggers)</f>
        <v>9.99332980202237E-4</v>
      </c>
      <c r="BI38" s="166">
        <f>_xll.qlPolynomialFunctionValue(BI$1,$BD38,AllTriggers)</f>
        <v>1.0493986363916603E-3</v>
      </c>
      <c r="BJ38" s="166">
        <f>_xll.qlPolynomialFunctionValue(BJ$1,$BD38,AllTriggers)</f>
        <v>7.8237401922732108E-4</v>
      </c>
      <c r="BK38" s="166">
        <f>_xll.qlPolynomialFunctionValue(BK$1,$BD38,AllTriggers)</f>
        <v>9.721684541116177E-4</v>
      </c>
      <c r="BL38" s="166">
        <f>_xll.qlPolynomialFunctionValue(BL$1,$BD38,AllTriggers)</f>
        <v>9.9966169966029628E-4</v>
      </c>
      <c r="BM38" s="166">
        <f>_xll.qlPolynomialFunctionValue(BM$1,$BD38,AllTriggers)</f>
        <v>1.0492273628900308E-3</v>
      </c>
      <c r="BN38" s="166">
        <f>_xll.qlPolynomialFunctionValue(BN$1,$BD38,AllTriggers)</f>
        <v>7.8220953318773037E-4</v>
      </c>
      <c r="BO38" s="166">
        <f>_xll.qlPolynomialFunctionValue(BO$1,$BD38,AllTriggers)</f>
        <v>9.7199914371337321E-4</v>
      </c>
      <c r="BP38" s="166">
        <f>_xll.qlPolynomialFunctionValue(BP$1,$BD38,AllTriggers)</f>
        <v>9.99332980202237E-4</v>
      </c>
      <c r="BQ38" s="166">
        <f>_xll.qlPolynomialFunctionValue('6MSynthDepo_used'!$P$18,BD38,AllTriggers)</f>
        <v>1.7318687604209078E-3</v>
      </c>
    </row>
    <row r="39" spans="3:69" x14ac:dyDescent="0.2">
      <c r="C39" s="115">
        <v>0</v>
      </c>
      <c r="D39" s="167" t="s">
        <v>46</v>
      </c>
      <c r="E39" s="383">
        <f>_xll.qlCalendarAdvance(Calendar,SettlementDate,C39&amp;"M","mf",TRUE,Trigger)</f>
        <v>42138</v>
      </c>
      <c r="F39" s="454">
        <f>_xll.qlCalendarAdvance(Calendar,SettlementDate,D39,"Following",,Trigger)</f>
        <v>42159</v>
      </c>
      <c r="G39" s="344">
        <f>_xll.qlTenorBasisForwardRate2(G$27,$E39,$F39,InterestRatesTrigger)</f>
        <v>3.4304419118288569E-4</v>
      </c>
      <c r="H39" s="334">
        <f>_xll.qlTenorBasisForwardRate2(H$27,$E39,$F39,InterestRatesTrigger)</f>
        <v>6.472722006873559E-4</v>
      </c>
      <c r="S39" s="334">
        <f>_xll.qlTenorBasisForwardRate2(S$27,$E39,$F39,InterestRatesTrigger)</f>
        <v>-1.8562880005124072E-4</v>
      </c>
      <c r="T39" s="345">
        <f>_xll.qlTenorBasisForwardRate2(T$27,$E39,$F39,InterestRatesTrigger)</f>
        <v>-3.0558134646506218E-4</v>
      </c>
      <c r="U39" s="344">
        <f>_xll.qlTenorBasisForwardRate2(U$27,$E39,$F39,InterestRatesTrigger)</f>
        <v>3.4319904171147594E-4</v>
      </c>
      <c r="V39" s="334">
        <f>_xll.qlTenorBasisForwardRate2(V$27,$E39,$F39,InterestRatesTrigger)</f>
        <v>6.4743478735529436E-4</v>
      </c>
      <c r="W39" s="334">
        <f>_xll.qlTenorBasisForwardRate2(W$27,$E39,$F39,InterestRatesTrigger)</f>
        <v>-1.8548739270064982E-4</v>
      </c>
      <c r="X39" s="345">
        <f>_xll.qlTenorBasisForwardRate2(X$27,$E39,$F39,InterestRatesTrigger)</f>
        <v>-3.0613949267050647E-4</v>
      </c>
      <c r="Y39" s="344">
        <f>_xll.qlTenorBasisForwardRate2(Y$27,$E39,$F39,InterestRatesTrigger)</f>
        <v>3.4304419118288569E-4</v>
      </c>
      <c r="Z39" s="334">
        <f>_xll.qlTenorBasisForwardRate2(Z$27,$E39,$F39,InterestRatesTrigger)</f>
        <v>6.472722006873559E-4</v>
      </c>
      <c r="AA39" s="334">
        <f>_xll.qlTenorBasisForwardRate2(AA$27,$E39,$F39,InterestRatesTrigger)</f>
        <v>-1.8562880005124072E-4</v>
      </c>
      <c r="AB39" s="345">
        <f>_xll.qlTenorBasisForwardRate2(AB$27,$E39,$F39,InterestRatesTrigger)</f>
        <v>-3.0558134646506218E-4</v>
      </c>
      <c r="AC39" s="345">
        <f>'3MSynthDepo_used'!AA18</f>
        <v>4.5370214796542587E-5</v>
      </c>
      <c r="BC39" s="384">
        <f>_xll.qlCalendarAdvance(Calendar,BC38,"1d","mf",,Trigger)</f>
        <v>42185</v>
      </c>
      <c r="BD39" s="154">
        <f>_xll.qlDayCounterYearFraction(DayCounter,SettlementDate,BC39,,,Trigger)</f>
        <v>0.13055555555555556</v>
      </c>
      <c r="BE39" s="166">
        <f>_xll.qlPolynomialFunctionValue(BE$1,$BD39,AllTriggers)</f>
        <v>1.0427358993363044E-3</v>
      </c>
      <c r="BF39" s="166">
        <f>_xll.qlPolynomialFunctionValue(BF$1,$BD39,AllTriggers)</f>
        <v>7.7382522112477248E-4</v>
      </c>
      <c r="BG39" s="166">
        <f>_xll.qlPolynomialFunctionValue(BG$1,$BD39,AllTriggers)</f>
        <v>9.7837905002242319E-4</v>
      </c>
      <c r="BH39" s="166">
        <f>_xll.qlPolynomialFunctionValue(BH$1,$BD39,AllTriggers)</f>
        <v>1.0078392554402746E-3</v>
      </c>
      <c r="BI39" s="166">
        <f>_xll.qlPolynomialFunctionValue(BI$1,$BD39,AllTriggers)</f>
        <v>1.0429075733395946E-3</v>
      </c>
      <c r="BJ39" s="166">
        <f>_xll.qlPolynomialFunctionValue(BJ$1,$BD39,AllTriggers)</f>
        <v>7.7399005955074412E-4</v>
      </c>
      <c r="BK39" s="166">
        <f>_xll.qlPolynomialFunctionValue(BK$1,$BD39,AllTriggers)</f>
        <v>9.7854908810622631E-4</v>
      </c>
      <c r="BL39" s="166">
        <f>_xll.qlPolynomialFunctionValue(BL$1,$BD39,AllTriggers)</f>
        <v>1.0081811034216572E-3</v>
      </c>
      <c r="BM39" s="166">
        <f>_xll.qlPolynomialFunctionValue(BM$1,$BD39,AllTriggers)</f>
        <v>1.0427358993363044E-3</v>
      </c>
      <c r="BN39" s="166">
        <f>_xll.qlPolynomialFunctionValue(BN$1,$BD39,AllTriggers)</f>
        <v>7.7382522112477248E-4</v>
      </c>
      <c r="BO39" s="166">
        <f>_xll.qlPolynomialFunctionValue(BO$1,$BD39,AllTriggers)</f>
        <v>9.7837905002242319E-4</v>
      </c>
      <c r="BP39" s="166">
        <f>_xll.qlPolynomialFunctionValue(BP$1,$BD39,AllTriggers)</f>
        <v>1.0078392554402746E-3</v>
      </c>
      <c r="BQ39" s="166">
        <f>_xll.qlPolynomialFunctionValue('6MSynthDepo_used'!$P$18,BD39,AllTriggers)</f>
        <v>1.7340995449944595E-3</v>
      </c>
    </row>
    <row r="40" spans="3:69" x14ac:dyDescent="0.2">
      <c r="C40" s="115">
        <v>0</v>
      </c>
      <c r="D40" s="335" t="s">
        <v>40</v>
      </c>
      <c r="E40" s="385">
        <f>_xll.qlCalendarAdvance(Calendar,SettlementDate,C40&amp;"M","mf",TRUE,Trigger)</f>
        <v>42138</v>
      </c>
      <c r="F40" s="455">
        <f>_xll.qlCalendarAdvance(Calendar,SettlementDate,D40,"mf",TRUE,Trigger)</f>
        <v>42170</v>
      </c>
      <c r="G40" s="346">
        <f>_xll.qlTenorBasisForwardRate2(G$27,$E40,$F40,InterestRatesTrigger)</f>
        <v>2.3610703272752831E-4</v>
      </c>
      <c r="H40" s="337">
        <f>_xll.qlTenorBasisForwardRate2(H$27,$E40,$F40,InterestRatesTrigger)</f>
        <v>4.1242093004462133E-4</v>
      </c>
      <c r="S40" s="337">
        <f>_xll.qlTenorBasisForwardRate2(S$27,$E40,$F40,InterestRatesTrigger)</f>
        <v>-2.2369748765599384E-4</v>
      </c>
      <c r="T40" s="347">
        <f>_xll.qlTenorBasisForwardRate2(T$27,$E40,$F40,InterestRatesTrigger)</f>
        <v>-3.1530942785740201E-4</v>
      </c>
      <c r="U40" s="346">
        <f>_xll.qlTenorBasisForwardRate2(U$27,$E40,$F40,InterestRatesTrigger)</f>
        <v>2.3626402627568988E-4</v>
      </c>
      <c r="V40" s="337">
        <f>_xll.qlTenorBasisForwardRate2(V$27,$E40,$F40,InterestRatesTrigger)</f>
        <v>4.1258240790070788E-4</v>
      </c>
      <c r="W40" s="337">
        <f>_xll.qlTenorBasisForwardRate2(W$27,$E40,$F40,InterestRatesTrigger)</f>
        <v>-2.2355218829095413E-4</v>
      </c>
      <c r="X40" s="347">
        <f>_xll.qlTenorBasisForwardRate2(X$27,$E40,$F40,InterestRatesTrigger)</f>
        <v>-3.1569840204900834E-4</v>
      </c>
      <c r="Y40" s="346">
        <f>_xll.qlTenorBasisForwardRate2(Y$27,$E40,$F40,InterestRatesTrigger)</f>
        <v>2.3610703272752831E-4</v>
      </c>
      <c r="Z40" s="337">
        <f>_xll.qlTenorBasisForwardRate2(Z$27,$E40,$F40,InterestRatesTrigger)</f>
        <v>4.1242093004462133E-4</v>
      </c>
      <c r="AA40" s="337">
        <f>_xll.qlTenorBasisForwardRate2(AA$27,$E40,$F40,InterestRatesTrigger)</f>
        <v>-2.2369748765599384E-4</v>
      </c>
      <c r="AB40" s="347">
        <f>_xll.qlTenorBasisForwardRate2(AB$27,$E40,$F40,InterestRatesTrigger)</f>
        <v>-3.1530942785740201E-4</v>
      </c>
      <c r="AC40" s="347">
        <f>'3MSynthDepo_used'!AA19</f>
        <v>-1.5288871567514795E-5</v>
      </c>
      <c r="BC40" s="384">
        <f>_xll.qlCalendarAdvance(Calendar,BC39,"1d","mf",,Trigger)</f>
        <v>42186</v>
      </c>
      <c r="BD40" s="154">
        <f>_xll.qlDayCounterYearFraction(DayCounter,SettlementDate,BC40,,,Trigger)</f>
        <v>0.13333333333333333</v>
      </c>
      <c r="BE40" s="166">
        <f>_xll.qlPolynomialFunctionValue(BE$1,$BD40,AllTriggers)</f>
        <v>1.0362444357825782E-3</v>
      </c>
      <c r="BF40" s="166">
        <f>_xll.qlPolynomialFunctionValue(BF$1,$BD40,AllTriggers)</f>
        <v>7.6619804846550716E-4</v>
      </c>
      <c r="BG40" s="166">
        <f>_xll.qlPolynomialFunctionValue(BG$1,$BD40,AllTriggers)</f>
        <v>9.8475895633147329E-4</v>
      </c>
      <c r="BH40" s="166">
        <f>_xll.qlPolynomialFunctionValue(BH$1,$BD40,AllTriggers)</f>
        <v>1.0162364861178511E-3</v>
      </c>
      <c r="BI40" s="166">
        <f>_xll.qlPolynomialFunctionValue(BI$1,$BD40,AllTriggers)</f>
        <v>1.0364165102875291E-3</v>
      </c>
      <c r="BJ40" s="166">
        <f>_xll.qlPolynomialFunctionValue(BJ$1,$BD40,AllTriggers)</f>
        <v>7.6636325852397203E-4</v>
      </c>
      <c r="BK40" s="166">
        <f>_xll.qlPolynomialFunctionValue(BK$1,$BD40,AllTriggers)</f>
        <v>9.8492972210083491E-4</v>
      </c>
      <c r="BL40" s="166">
        <f>_xll.qlPolynomialFunctionValue(BL$1,$BD40,AllTriggers)</f>
        <v>1.0165908266821589E-3</v>
      </c>
      <c r="BM40" s="166">
        <f>_xll.qlPolynomialFunctionValue(BM$1,$BD40,AllTriggers)</f>
        <v>1.0362444357825782E-3</v>
      </c>
      <c r="BN40" s="166">
        <f>_xll.qlPolynomialFunctionValue(BN$1,$BD40,AllTriggers)</f>
        <v>7.6619804846550716E-4</v>
      </c>
      <c r="BO40" s="166">
        <f>_xll.qlPolynomialFunctionValue(BO$1,$BD40,AllTriggers)</f>
        <v>9.8475895633147329E-4</v>
      </c>
      <c r="BP40" s="166">
        <f>_xll.qlPolynomialFunctionValue(BP$1,$BD40,AllTriggers)</f>
        <v>1.0162364861178511E-3</v>
      </c>
      <c r="BQ40" s="166">
        <f>_xll.qlPolynomialFunctionValue('6MSynthDepo_used'!$P$18,BD40,AllTriggers)</f>
        <v>1.7363151404794458E-3</v>
      </c>
    </row>
    <row r="41" spans="3:69" x14ac:dyDescent="0.2">
      <c r="C41" s="115">
        <v>0</v>
      </c>
      <c r="D41" s="167" t="s">
        <v>47</v>
      </c>
      <c r="E41" s="383">
        <f>_xll.qlCalendarAdvance(Calendar,SettlementDate,C41&amp;"M","mf",TRUE,Trigger)</f>
        <v>42138</v>
      </c>
      <c r="F41" s="454">
        <f>_xll.qlCalendarAdvance(Calendar,SettlementDate,D41,"mf",TRUE,Trigger)</f>
        <v>42199</v>
      </c>
      <c r="G41" s="344">
        <f>_xll.qlTenorBasisForwardRate2(G$27,$E41,$F41,InterestRatesTrigger)</f>
        <v>7.9007043678505959E-5</v>
      </c>
      <c r="H41" s="334">
        <f>_xll.qlTenorBasisForwardRate2(H$27,$E41,$F41,InterestRatesTrigger)</f>
        <v>5.854396145177718E-5</v>
      </c>
      <c r="S41" s="334">
        <f>_xll.qlTenorBasisForwardRate2(S$27,$E41,$F41,InterestRatesTrigger)</f>
        <v>-1.9923778724282703E-4</v>
      </c>
      <c r="T41" s="345">
        <f>_xll.qlTenorBasisForwardRate2(T$27,$E41,$F41,InterestRatesTrigger)</f>
        <v>-2.3636304451253744E-4</v>
      </c>
      <c r="U41" s="344">
        <f>_xll.qlTenorBasisForwardRate2(U$27,$E41,$F41,InterestRatesTrigger)</f>
        <v>7.9169685368785461E-5</v>
      </c>
      <c r="V41" s="334">
        <f>_xll.qlTenorBasisForwardRate2(V$27,$E41,$F41,InterestRatesTrigger)</f>
        <v>5.8706082417609518E-5</v>
      </c>
      <c r="W41" s="334">
        <f>_xll.qlTenorBasisForwardRate2(W$27,$E41,$F41,InterestRatesTrigger)</f>
        <v>-1.990822259000034E-4</v>
      </c>
      <c r="X41" s="345">
        <f>_xll.qlTenorBasisForwardRate2(X$27,$E41,$F41,InterestRatesTrigger)</f>
        <v>-2.3642399542505129E-4</v>
      </c>
      <c r="Y41" s="344">
        <f>_xll.qlTenorBasisForwardRate2(Y$27,$E41,$F41,InterestRatesTrigger)</f>
        <v>7.9007043678505959E-5</v>
      </c>
      <c r="Z41" s="334">
        <f>_xll.qlTenorBasisForwardRate2(Z$27,$E41,$F41,InterestRatesTrigger)</f>
        <v>5.854396145177718E-5</v>
      </c>
      <c r="AA41" s="334">
        <f>_xll.qlTenorBasisForwardRate2(AA$27,$E41,$F41,InterestRatesTrigger)</f>
        <v>-1.9923778724282703E-4</v>
      </c>
      <c r="AB41" s="345">
        <f>_xll.qlTenorBasisForwardRate2(AB$27,$E41,$F41,InterestRatesTrigger)</f>
        <v>-2.3636304451253744E-4</v>
      </c>
      <c r="AC41" s="345">
        <f>'3MSynthDepo_used'!AA20</f>
        <v>-5.2091802951837086E-5</v>
      </c>
      <c r="AD41" s="338" t="str">
        <f>"Fixing "&amp;DAY(_xll.qlInterestRateIndexFixingDate($D$25,'6MSynthDepo_used'!G4))&amp;"/"&amp;MONTH(_xll.qlInterestRateIndexFixingDate($D$25,'6MSynthDepo_used'!G4))</f>
        <v>Fixing 12/5</v>
      </c>
      <c r="BC41" s="384">
        <f>_xll.qlCalendarAdvance(Calendar,BC40,"1d","mf",,Trigger)</f>
        <v>42187</v>
      </c>
      <c r="BD41" s="154">
        <f>_xll.qlDayCounterYearFraction(DayCounter,SettlementDate,BC41,,,Trigger)</f>
        <v>0.1361111111111111</v>
      </c>
      <c r="BE41" s="166">
        <f>_xll.qlPolynomialFunctionValue(BE$1,$BD41,AllTriggers)</f>
        <v>1.0297529722288518E-3</v>
      </c>
      <c r="BF41" s="166">
        <f>_xll.qlPolynomialFunctionValue(BF$1,$BD41,AllTriggers)</f>
        <v>7.593280152099342E-4</v>
      </c>
      <c r="BG41" s="166">
        <f>_xll.qlPolynomialFunctionValue(BG$1,$BD41,AllTriggers)</f>
        <v>9.9113886264052316E-4</v>
      </c>
      <c r="BH41" s="166">
        <f>_xll.qlPolynomialFunctionValue(BH$1,$BD41,AllTriggers)</f>
        <v>1.0245246722349667E-3</v>
      </c>
      <c r="BI41" s="166">
        <f>_xll.qlPolynomialFunctionValue(BI$1,$BD41,AllTriggers)</f>
        <v>1.0299254472354634E-3</v>
      </c>
      <c r="BJ41" s="166">
        <f>_xll.qlPolynomialFunctionValue(BJ$1,$BD41,AllTriggers)</f>
        <v>7.5949361614700383E-4</v>
      </c>
      <c r="BK41" s="166">
        <f>_xll.qlPolynomialFunctionValue(BK$1,$BD41,AllTriggers)</f>
        <v>9.9131035609544352E-4</v>
      </c>
      <c r="BL41" s="166">
        <f>_xll.qlPolynomialFunctionValue(BL$1,$BD41,AllTriggers)</f>
        <v>1.0248908694418018E-3</v>
      </c>
      <c r="BM41" s="166">
        <f>_xll.qlPolynomialFunctionValue(BM$1,$BD41,AllTriggers)</f>
        <v>1.0297529722288518E-3</v>
      </c>
      <c r="BN41" s="166">
        <f>_xll.qlPolynomialFunctionValue(BN$1,$BD41,AllTriggers)</f>
        <v>7.593280152099342E-4</v>
      </c>
      <c r="BO41" s="166">
        <f>_xll.qlPolynomialFunctionValue(BO$1,$BD41,AllTriggers)</f>
        <v>9.9113886264052316E-4</v>
      </c>
      <c r="BP41" s="166">
        <f>_xll.qlPolynomialFunctionValue(BP$1,$BD41,AllTriggers)</f>
        <v>1.0245246722349667E-3</v>
      </c>
      <c r="BQ41" s="166">
        <f>_xll.qlPolynomialFunctionValue('6MSynthDepo_used'!$P$18,BD41,AllTriggers)</f>
        <v>1.7385156374536059E-3</v>
      </c>
    </row>
    <row r="42" spans="3:69" ht="12" thickBot="1" x14ac:dyDescent="0.25">
      <c r="C42" s="115">
        <v>0</v>
      </c>
      <c r="D42" s="333" t="s">
        <v>41</v>
      </c>
      <c r="E42" s="389">
        <f>_xll.qlCalendarAdvance(Calendar,SettlementDate,C42&amp;"M","mf",TRUE,Trigger)</f>
        <v>42138</v>
      </c>
      <c r="F42" s="457">
        <f>_xll.qlCalendarAdvance(Calendar,SettlementDate,D42,"mf",TRUE,Trigger)</f>
        <v>42230</v>
      </c>
      <c r="G42" s="350">
        <f>_xll.qlTenorBasisForwardRate2(G$27,$E42,$F42,InterestRatesTrigger)</f>
        <v>-7.5768535252885712E-5</v>
      </c>
      <c r="H42" s="351">
        <f>_xll.qlTenorBasisForwardRate2(H$27,$E42,$F42,InterestRatesTrigger)</f>
        <v>-8.1374388190389254E-5</v>
      </c>
      <c r="S42" s="351">
        <f>_xll.qlTenorBasisForwardRate2(S$27,$E42,$F42,InterestRatesTrigger)</f>
        <v>-1.5993591898073205E-4</v>
      </c>
      <c r="T42" s="352">
        <f>_xll.qlTenorBasisForwardRate2(T$27,$E42,$F42,InterestRatesTrigger)</f>
        <v>-1.7125036010995598E-4</v>
      </c>
      <c r="U42" s="351">
        <f>_xll.qlTenorBasisForwardRate2(U$27,$E42,$F42,InterestRatesTrigger)</f>
        <v>-7.5599860140312714E-5</v>
      </c>
      <c r="V42" s="351">
        <f>_xll.qlTenorBasisForwardRate2(V$27,$E42,$F42,InterestRatesTrigger)</f>
        <v>-8.1205855817114908E-5</v>
      </c>
      <c r="W42" s="351">
        <f>_xll.qlTenorBasisForwardRate2(W$27,$E42,$F42,InterestRatesTrigger)</f>
        <v>-1.5976938696603212E-4</v>
      </c>
      <c r="X42" s="352">
        <f>_xll.qlTenorBasisForwardRate2(X$27,$E42,$F42,InterestRatesTrigger)</f>
        <v>-1.7114981352846047E-4</v>
      </c>
      <c r="Y42" s="350">
        <f>_xll.qlTenorBasisForwardRate2(Y$27,$E42,$F42,InterestRatesTrigger)</f>
        <v>-7.5768535252885712E-5</v>
      </c>
      <c r="Z42" s="351">
        <f>_xll.qlTenorBasisForwardRate2(Z$27,$E42,$F42,InterestRatesTrigger)</f>
        <v>-8.1374388190389254E-5</v>
      </c>
      <c r="AA42" s="351">
        <f>_xll.qlTenorBasisForwardRate2(AA$27,$E42,$F42,InterestRatesTrigger)</f>
        <v>-1.5993591898073205E-4</v>
      </c>
      <c r="AB42" s="352">
        <f>_xll.qlTenorBasisForwardRate2(AB$27,$E42,$F42,InterestRatesTrigger)</f>
        <v>-1.7125036010995598E-4</v>
      </c>
      <c r="AC42" s="352">
        <f>'3MSynthDepo_used'!AA21</f>
        <v>-8.0904278477057843E-5</v>
      </c>
      <c r="AD42" s="350">
        <f>'3MSynthDepo_used'!$I$4</f>
        <v>2.0999999999807407E-5</v>
      </c>
      <c r="BC42" s="384">
        <f>_xll.qlCalendarAdvance(Calendar,BC41,"1d","mf",,Trigger)</f>
        <v>42188</v>
      </c>
      <c r="BD42" s="154">
        <f>_xll.qlDayCounterYearFraction(DayCounter,SettlementDate,BC42,,,Trigger)</f>
        <v>0.1388888888888889</v>
      </c>
      <c r="BE42" s="166">
        <f>_xll.qlPolynomialFunctionValue(BE$1,$BD42,AllTriggers)</f>
        <v>1.0232615086751256E-3</v>
      </c>
      <c r="BF42" s="166">
        <f>_xll.qlPolynomialFunctionValue(BF$1,$BD42,AllTriggers)</f>
        <v>7.5321512135805436E-4</v>
      </c>
      <c r="BG42" s="166">
        <f>_xll.qlPolynomialFunctionValue(BG$1,$BD42,AllTriggers)</f>
        <v>9.9751876894957326E-4</v>
      </c>
      <c r="BH42" s="166">
        <f>_xll.qlPolynomialFunctionValue(BH$1,$BD42,AllTriggers)</f>
        <v>1.0327038137916212E-3</v>
      </c>
      <c r="BI42" s="166">
        <f>_xll.qlPolynomialFunctionValue(BI$1,$BD42,AllTriggers)</f>
        <v>1.0234343841833977E-3</v>
      </c>
      <c r="BJ42" s="166">
        <f>_xll.qlPolynomialFunctionValue(BJ$1,$BD42,AllTriggers)</f>
        <v>7.5338113241984041E-4</v>
      </c>
      <c r="BK42" s="166">
        <f>_xll.qlPolynomialFunctionValue(BK$1,$BD42,AllTriggers)</f>
        <v>9.9769099009005212E-4</v>
      </c>
      <c r="BL42" s="166">
        <f>_xll.qlPolynomialFunctionValue(BL$1,$BD42,AllTriggers)</f>
        <v>1.0330812317005855E-3</v>
      </c>
      <c r="BM42" s="166">
        <f>_xll.qlPolynomialFunctionValue(BM$1,$BD42,AllTriggers)</f>
        <v>1.0232615086751256E-3</v>
      </c>
      <c r="BN42" s="166">
        <f>_xll.qlPolynomialFunctionValue(BN$1,$BD42,AllTriggers)</f>
        <v>7.5321512135805436E-4</v>
      </c>
      <c r="BO42" s="166">
        <f>_xll.qlPolynomialFunctionValue(BO$1,$BD42,AllTriggers)</f>
        <v>9.9751876894957326E-4</v>
      </c>
      <c r="BP42" s="166">
        <f>_xll.qlPolynomialFunctionValue(BP$1,$BD42,AllTriggers)</f>
        <v>1.0327038137916212E-3</v>
      </c>
      <c r="BQ42" s="166">
        <f>_xll.qlPolynomialFunctionValue('6MSynthDepo_used'!$P$18,BD42,AllTriggers)</f>
        <v>1.740701126241068E-3</v>
      </c>
    </row>
    <row r="43" spans="3:69" ht="11.25" customHeight="1" x14ac:dyDescent="0.2">
      <c r="C43" s="115">
        <v>1</v>
      </c>
      <c r="D43" s="161" t="str">
        <f>C43+SUBSTITUTE($D$24,"M","")&amp;"M"</f>
        <v>4M</v>
      </c>
      <c r="E43" s="381">
        <f>_xll.qlCalendarAdvance(Calendar,SettlementDate,C43&amp;"M","mf",TRUE,Trigger)</f>
        <v>42170</v>
      </c>
      <c r="F43" s="478">
        <f>_xll.qlCalendarAdvance(Calendar,SettlementDate,D43,"mf",TRUE,Trigger)</f>
        <v>42261</v>
      </c>
      <c r="G43" s="361">
        <f>_xll.qlTenorBasisForwardRate2(G$27,$E43,$F43,InterestRatesTrigger)</f>
        <v>-3.6338000094092242E-4</v>
      </c>
      <c r="H43" s="166">
        <f>_xll.qlTenorBasisForwardRate2(H$27,$E43,$F43,InterestRatesTrigger)</f>
        <v>-9.8354010508697225E-5</v>
      </c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66">
        <f>_xll.qlTenorBasisForwardRate2(S$27,$E43,$F43,InterestRatesTrigger)</f>
        <v>-5.3150187173203658E-5</v>
      </c>
      <c r="T43" s="360">
        <f>_xll.qlTenorBasisForwardRate2(T$27,$E43,$F43,InterestRatesTrigger)</f>
        <v>-4.6639809769870541E-5</v>
      </c>
      <c r="U43" s="166">
        <f>_xll.qlTenorBasisForwardRate2(U$27,$E43,$F43,InterestRatesTrigger)</f>
        <v>-3.6319906665183268E-4</v>
      </c>
      <c r="V43" s="166">
        <f>_xll.qlTenorBasisForwardRate2(V$27,$E43,$F43,InterestRatesTrigger)</f>
        <v>-9.8166327040370027E-5</v>
      </c>
      <c r="W43" s="166">
        <f>_xll.qlTenorBasisForwardRate2(W$27,$E43,$F43,InterestRatesTrigger)</f>
        <v>-5.2961352494760211E-5</v>
      </c>
      <c r="X43" s="360">
        <f>_xll.qlTenorBasisForwardRate2(X$27,$E43,$F43,InterestRatesTrigger)</f>
        <v>-4.6413006672249177E-5</v>
      </c>
      <c r="Y43" s="361">
        <f>_xll.qlTenorBasisForwardRate2(Y$27,$E43,$F43,InterestRatesTrigger)</f>
        <v>-3.6338000094092242E-4</v>
      </c>
      <c r="Z43" s="166">
        <f>_xll.qlTenorBasisForwardRate2(Z$27,$E43,$F43,InterestRatesTrigger)</f>
        <v>-9.8354010508697225E-5</v>
      </c>
      <c r="AA43" s="166">
        <f>_xll.qlTenorBasisForwardRate2(AA$27,$E43,$F43,InterestRatesTrigger)</f>
        <v>-5.3150187173203658E-5</v>
      </c>
      <c r="AB43" s="166">
        <f>_xll.qlTenorBasisForwardRate2(AB$27,$E43,$F43,InterestRatesTrigger)</f>
        <v>-4.6639809769870541E-5</v>
      </c>
      <c r="AC43" s="360">
        <f>'3MSynthDepo_used'!AA22</f>
        <v>-1.1515095662929141E-4</v>
      </c>
      <c r="AD43" s="405">
        <f>'3MSynthDepo_used'!$I5</f>
        <v>-4.9999999999999996E-5</v>
      </c>
      <c r="BC43" s="384">
        <f>_xll.qlCalendarAdvance(Calendar,BC42,"1d","mf",,Trigger)</f>
        <v>42191</v>
      </c>
      <c r="BD43" s="154">
        <f>_xll.qlDayCounterYearFraction(DayCounter,SettlementDate,BC43,,,Trigger)</f>
        <v>0.14722222222222223</v>
      </c>
      <c r="BE43" s="166">
        <f>_xll.qlPolynomialFunctionValue(BE$1,$BD43,AllTriggers)</f>
        <v>1.0037871180139468E-3</v>
      </c>
      <c r="BF43" s="166">
        <f>_xll.qlPolynomialFunctionValue(BF$1,$BD43,AllTriggers)</f>
        <v>7.3941927622457127E-4</v>
      </c>
      <c r="BG43" s="166">
        <f>_xll.qlPolynomialFunctionValue(BG$1,$BD43,AllTriggers)</f>
        <v>1.0166584878767233E-3</v>
      </c>
      <c r="BH43" s="166">
        <f>_xll.qlPolynomialFunctionValue(BH$1,$BD43,AllTriggers)</f>
        <v>1.0565869710988203E-3</v>
      </c>
      <c r="BI43" s="166">
        <f>_xll.qlPolynomialFunctionValue(BI$1,$BD43,AllTriggers)</f>
        <v>1.0039611950272008E-3</v>
      </c>
      <c r="BJ43" s="166">
        <f>_xll.qlPolynomialFunctionValue(BJ$1,$BD43,AllTriggers)</f>
        <v>7.3958663313717591E-4</v>
      </c>
      <c r="BK43" s="166">
        <f>_xll.qlPolynomialFunctionValue(BK$1,$BD43,AllTriggers)</f>
        <v>1.0168328920738779E-3</v>
      </c>
      <c r="BL43" s="166">
        <f>_xll.qlPolynomialFunctionValue(BL$1,$BD43,AllTriggers)</f>
        <v>1.0569942354717817E-3</v>
      </c>
      <c r="BM43" s="166">
        <f>_xll.qlPolynomialFunctionValue(BM$1,$BD43,AllTriggers)</f>
        <v>1.0037871180139468E-3</v>
      </c>
      <c r="BN43" s="166">
        <f>_xll.qlPolynomialFunctionValue(BN$1,$BD43,AllTriggers)</f>
        <v>7.3941927622457127E-4</v>
      </c>
      <c r="BO43" s="166">
        <f>_xll.qlPolynomialFunctionValue(BO$1,$BD43,AllTriggers)</f>
        <v>1.0166584878767233E-3</v>
      </c>
      <c r="BP43" s="166">
        <f>_xll.qlPolynomialFunctionValue(BP$1,$BD43,AllTriggers)</f>
        <v>1.0565869710988203E-3</v>
      </c>
      <c r="BQ43" s="166">
        <f>_xll.qlPolynomialFunctionValue('6MSynthDepo_used'!$P$18,BD43,AllTriggers)</f>
        <v>1.7471684429203652E-3</v>
      </c>
    </row>
    <row r="44" spans="3:69" x14ac:dyDescent="0.2">
      <c r="C44" s="115">
        <v>2</v>
      </c>
      <c r="D44" s="167" t="str">
        <f t="shared" ref="D44:D45" si="11">C44+SUBSTITUTE($D$24,"M","")&amp;"M"</f>
        <v>5M</v>
      </c>
      <c r="E44" s="383">
        <f>_xll.qlCalendarAdvance(Calendar,SettlementDate,C44&amp;"M","mf",TRUE,Trigger)</f>
        <v>42199</v>
      </c>
      <c r="F44" s="479">
        <f>_xll.qlCalendarAdvance(Calendar,SettlementDate,D44,"mf",TRUE,Trigger)</f>
        <v>42291</v>
      </c>
      <c r="G44" s="361">
        <f>_xll.qlTenorBasisForwardRate2(G$27,$E44,$F44,InterestRatesTrigger)</f>
        <v>-5.3974020991218543E-4</v>
      </c>
      <c r="H44" s="166">
        <f>_xll.qlTenorBasisForwardRate2(H$27,$E44,$F44,InterestRatesTrigger)</f>
        <v>6.4312889667447152E-4</v>
      </c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66">
        <f>_xll.qlTenorBasisForwardRate2(S$27,$E44,$F44,InterestRatesTrigger)</f>
        <v>1.3984498375655457E-4</v>
      </c>
      <c r="T44" s="360">
        <f>_xll.qlTenorBasisForwardRate2(T$27,$E44,$F44,InterestRatesTrigger)</f>
        <v>6.7366473522176648E-5</v>
      </c>
      <c r="U44" s="166">
        <f>_xll.qlTenorBasisForwardRate2(U$27,$E44,$F44,InterestRatesTrigger)</f>
        <v>-5.3954779222170873E-4</v>
      </c>
      <c r="V44" s="166">
        <f>_xll.qlTenorBasisForwardRate2(V$27,$E44,$F44,InterestRatesTrigger)</f>
        <v>6.4335144503594995E-4</v>
      </c>
      <c r="W44" s="166">
        <f>_xll.qlTenorBasisForwardRate2(W$27,$E44,$F44,InterestRatesTrigger)</f>
        <v>1.4005471109118409E-4</v>
      </c>
      <c r="X44" s="360">
        <f>_xll.qlTenorBasisForwardRate2(X$27,$E44,$F44,InterestRatesTrigger)</f>
        <v>6.7153511185715487E-5</v>
      </c>
      <c r="Y44" s="361">
        <f>_xll.qlTenorBasisForwardRate2(Y$27,$E44,$F44,InterestRatesTrigger)</f>
        <v>-5.3974020991218543E-4</v>
      </c>
      <c r="Z44" s="166">
        <f>_xll.qlTenorBasisForwardRate2(Z$27,$E44,$F44,InterestRatesTrigger)</f>
        <v>6.4312889667447152E-4</v>
      </c>
      <c r="AA44" s="166">
        <f>_xll.qlTenorBasisForwardRate2(AA$27,$E44,$F44,InterestRatesTrigger)</f>
        <v>1.3984498375655457E-4</v>
      </c>
      <c r="AB44" s="166">
        <f>_xll.qlTenorBasisForwardRate2(AB$27,$E44,$F44,InterestRatesTrigger)</f>
        <v>6.7366473522176648E-5</v>
      </c>
      <c r="AC44" s="360">
        <f>'3MSynthDepo_used'!AA23</f>
        <v>-6.1435121651214246E-5</v>
      </c>
      <c r="AD44" s="406">
        <f>'3MSynthDepo_used'!$I6</f>
        <v>-4.9999999999999996E-5</v>
      </c>
      <c r="BC44" s="384">
        <f>_xll.qlCalendarAdvance(Calendar,BC43,"1d","mf",,Trigger)</f>
        <v>42192</v>
      </c>
      <c r="BD44" s="154">
        <f>_xll.qlDayCounterYearFraction(DayCounter,SettlementDate,BC44,,,Trigger)</f>
        <v>0.15</v>
      </c>
      <c r="BE44" s="166">
        <f>_xll.qlPolynomialFunctionValue(BE$1,$BD44,AllTriggers)</f>
        <v>9.9729565446022065E-4</v>
      </c>
      <c r="BF44" s="166">
        <f>_xll.qlPolynomialFunctionValue(BF$1,$BD44,AllTriggers)</f>
        <v>7.3633493998746238E-4</v>
      </c>
      <c r="BG44" s="166">
        <f>_xll.qlPolynomialFunctionValue(BG$1,$BD44,AllTriggers)</f>
        <v>1.0230383941857734E-3</v>
      </c>
      <c r="BH44" s="166">
        <f>_xll.qlPolynomialFunctionValue(BH$1,$BD44,AllTriggers)</f>
        <v>1.0643299344136312E-3</v>
      </c>
      <c r="BI44" s="166">
        <f>_xll.qlPolynomialFunctionValue(BI$1,$BD44,AllTriggers)</f>
        <v>9.9747013197513511E-4</v>
      </c>
      <c r="BJ44" s="166">
        <f>_xll.qlPolynomialFunctionValue(BJ$1,$BD44,AllTriggers)</f>
        <v>7.3650278400922949E-4</v>
      </c>
      <c r="BK44" s="166">
        <f>_xll.qlPolynomialFunctionValue(BK$1,$BD44,AllTriggers)</f>
        <v>1.0232135260684865E-3</v>
      </c>
      <c r="BL44" s="166">
        <f>_xll.qlPolynomialFunctionValue(BL$1,$BD44,AllTriggers)</f>
        <v>1.064745875727129E-3</v>
      </c>
      <c r="BM44" s="166">
        <f>_xll.qlPolynomialFunctionValue(BM$1,$BD44,AllTriggers)</f>
        <v>9.9729565446022065E-4</v>
      </c>
      <c r="BN44" s="166">
        <f>_xll.qlPolynomialFunctionValue(BN$1,$BD44,AllTriggers)</f>
        <v>7.3633493998746238E-4</v>
      </c>
      <c r="BO44" s="166">
        <f>_xll.qlPolynomialFunctionValue(BO$1,$BD44,AllTriggers)</f>
        <v>1.0230383941857734E-3</v>
      </c>
      <c r="BP44" s="166">
        <f>_xll.qlPolynomialFunctionValue(BP$1,$BD44,AllTriggers)</f>
        <v>1.0643299344136312E-3</v>
      </c>
      <c r="BQ44" s="166">
        <f>_xll.qlPolynomialFunctionValue('6MSynthDepo_used'!$P$18,BD44,AllTriggers)</f>
        <v>1.7492947971300772E-3</v>
      </c>
    </row>
    <row r="45" spans="3:69" x14ac:dyDescent="0.2">
      <c r="C45" s="115">
        <v>3</v>
      </c>
      <c r="D45" s="167" t="str">
        <f t="shared" si="11"/>
        <v>6M</v>
      </c>
      <c r="E45" s="383">
        <f>_xll.qlCalendarAdvance(Calendar,SettlementDate,C45&amp;"M","mf",TRUE,Trigger)</f>
        <v>42230</v>
      </c>
      <c r="F45" s="479">
        <f>_xll.qlCalendarAdvance(Calendar,SettlementDate,D45,"mf",TRUE,Trigger)</f>
        <v>42324</v>
      </c>
      <c r="G45" s="361">
        <f>_xll.qlTenorBasisForwardRate2(G$27,$E45,$F45,InterestRatesTrigger)</f>
        <v>-7.5980007893880898E-4</v>
      </c>
      <c r="H45" s="166">
        <f>_xll.qlTenorBasisForwardRate(H$27,$E45,InterestRatesTrigger)</f>
        <v>2.1392445533169914E-3</v>
      </c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66">
        <f>_xll.qlTenorBasisForwardRate(S$27,$E45,InterestRatesTrigger)</f>
        <v>3.2043450672869511E-4</v>
      </c>
      <c r="T45" s="360">
        <f>_xll.qlTenorBasisForwardRate(T$27,$E45,InterestRatesTrigger)</f>
        <v>5.8557385691020939E-5</v>
      </c>
      <c r="U45" s="166">
        <f>_xll.qlTenorBasisForwardRate(U$27,$E45,InterestRatesTrigger)</f>
        <v>-7.5959520802325754E-4</v>
      </c>
      <c r="V45" s="166">
        <f>_xll.qlTenorBasisForwardRate(V$27,$E45,InterestRatesTrigger)</f>
        <v>2.1395232995303367E-3</v>
      </c>
      <c r="W45" s="166">
        <f>_xll.qlTenorBasisForwardRate(W$27,$E45,InterestRatesTrigger)</f>
        <v>3.206668983495356E-4</v>
      </c>
      <c r="X45" s="360">
        <f>_xll.qlTenorBasisForwardRate(X$27,$E45,InterestRatesTrigger)</f>
        <v>5.7262564435699129E-5</v>
      </c>
      <c r="Y45" s="361">
        <f>_xll.qlTenorBasisTenorForwardRate(Y$27,$E45,InterestRatesTrigger)</f>
        <v>-7.5109948222474101E-4</v>
      </c>
      <c r="Z45" s="166">
        <f>_xll.qlTenorBasisTenorForwardRate(Z$27,$E45,InterestRatesTrigger)</f>
        <v>2.159821202953981E-3</v>
      </c>
      <c r="AA45" s="166">
        <f>_xll.qlTenorBasisTenorForwardRate(AA$27,$E45,InterestRatesTrigger)</f>
        <v>3.3961687354421748E-4</v>
      </c>
      <c r="AB45" s="166">
        <f>_xll.qlTenorBasisTenorForwardRate(AB$27,$E45,InterestRatesTrigger)</f>
        <v>7.7467816076782006E-5</v>
      </c>
      <c r="AC45" s="360">
        <f>'3MSynthDepo_used'!AA24</f>
        <v>-3.9109763125491219E-5</v>
      </c>
      <c r="AD45" s="407">
        <f>'3MSynthDepo_used'!$I7</f>
        <v>-6.0000000000000002E-5</v>
      </c>
      <c r="BC45" s="384">
        <f>_xll.qlCalendarAdvance(Calendar,BC44,"1d","mf",,Trigger)</f>
        <v>42193</v>
      </c>
      <c r="BD45" s="154">
        <f>_xll.qlDayCounterYearFraction(DayCounter,SettlementDate,BC45,,,Trigger)</f>
        <v>0.15277777777777779</v>
      </c>
      <c r="BE45" s="166">
        <f>_xll.qlPolynomialFunctionValue(BE$1,$BD45,AllTriggers)</f>
        <v>9.9080419090649425E-4</v>
      </c>
      <c r="BF45" s="166">
        <f>_xll.qlPolynomialFunctionValue(BF$1,$BD45,AllTriggers)</f>
        <v>7.3400774315404553E-4</v>
      </c>
      <c r="BG45" s="166">
        <f>_xll.qlPolynomialFunctionValue(BG$1,$BD45,AllTriggers)</f>
        <v>1.0294183004948233E-3</v>
      </c>
      <c r="BH45" s="166">
        <f>_xll.qlPolynomialFunctionValue(BH$1,$BD45,AllTriggers)</f>
        <v>1.0719638531679818E-3</v>
      </c>
      <c r="BI45" s="166">
        <f>_xll.qlPolynomialFunctionValue(BI$1,$BD45,AllTriggers)</f>
        <v>9.9097906892306941E-4</v>
      </c>
      <c r="BJ45" s="166">
        <f>_xll.qlPolynomialFunctionValue(BJ$1,$BD45,AllTriggers)</f>
        <v>7.3417609353108784E-4</v>
      </c>
      <c r="BK45" s="166">
        <f>_xll.qlPolynomialFunctionValue(BK$1,$BD45,AllTriggers)</f>
        <v>1.0295941600630952E-3</v>
      </c>
      <c r="BL45" s="166">
        <f>_xll.qlPolynomialFunctionValue(BL$1,$BD45,AllTriggers)</f>
        <v>1.0723878354816172E-3</v>
      </c>
      <c r="BM45" s="166">
        <f>_xll.qlPolynomialFunctionValue(BM$1,$BD45,AllTriggers)</f>
        <v>9.9080419090649425E-4</v>
      </c>
      <c r="BN45" s="166">
        <f>_xll.qlPolynomialFunctionValue(BN$1,$BD45,AllTriggers)</f>
        <v>7.3400774315404553E-4</v>
      </c>
      <c r="BO45" s="166">
        <f>_xll.qlPolynomialFunctionValue(BO$1,$BD45,AllTriggers)</f>
        <v>1.0294183004948233E-3</v>
      </c>
      <c r="BP45" s="166">
        <f>_xll.qlPolynomialFunctionValue(BP$1,$BD45,AllTriggers)</f>
        <v>1.0719638531679818E-3</v>
      </c>
      <c r="BQ45" s="166">
        <f>_xll.qlPolynomialFunctionValue('6MSynthDepo_used'!$P$18,BD45,AllTriggers)</f>
        <v>1.7514065909695544E-3</v>
      </c>
    </row>
    <row r="46" spans="3:69" x14ac:dyDescent="0.2">
      <c r="C46" s="258"/>
      <c r="D46" s="161" t="str">
        <f>_xll.qlIMMNextCode(SettlementDate,FALSE,Trigger)</f>
        <v>K5</v>
      </c>
      <c r="E46" s="381">
        <f>_xll.qlIMMdate(D46,SettlementDate,Trigger)</f>
        <v>42144</v>
      </c>
      <c r="F46" s="381">
        <f>_xll.qlInterestRateIndexMaturity($D$25,E46)</f>
        <v>42236</v>
      </c>
      <c r="G46" s="480">
        <f>_xll.qlTenorBasisForwardRate2(G$27,$E46,$F46,InterestRatesTrigger)</f>
        <v>-1.3444112927092937E-4</v>
      </c>
      <c r="H46" s="179">
        <f>_xll.qlTenorBasisTenorForwardRate(H$27,$E46,InterestRatesTrigger)</f>
        <v>-1.2465058953467522E-4</v>
      </c>
      <c r="I46" s="299"/>
      <c r="J46" s="299"/>
      <c r="K46" s="299"/>
      <c r="L46" s="299"/>
      <c r="M46" s="299"/>
      <c r="N46" s="299"/>
      <c r="O46" s="299"/>
      <c r="P46" s="299"/>
      <c r="Q46" s="299"/>
      <c r="R46" s="299"/>
      <c r="S46" s="179">
        <f>_xll.qlTenorBasisTenorForwardRate(S$27,$E46,InterestRatesTrigger)</f>
        <v>-1.2552437586094839E-4</v>
      </c>
      <c r="T46" s="481">
        <f>_xll.qlTenorBasisTenorForwardRate(T$27,$E46,InterestRatesTrigger)</f>
        <v>-1.2565022011818924E-4</v>
      </c>
      <c r="U46" s="179">
        <f>_xll.qlTenorBasisTenorForwardRate(U$27,$E46,InterestRatesTrigger)</f>
        <v>-1.2429281145666079E-4</v>
      </c>
      <c r="V46" s="179">
        <f>_xll.qlTenorBasisTenorForwardRate(V$27,$E46,InterestRatesTrigger)</f>
        <v>-1.2447695062163511E-4</v>
      </c>
      <c r="W46" s="179">
        <f>_xll.qlTenorBasisTenorForwardRate(W$27,$E46,InterestRatesTrigger)</f>
        <v>-1.2535075915912422E-4</v>
      </c>
      <c r="X46" s="481">
        <f>_xll.qlTenorBasisTenorForwardRate(X$27,$E46,InterestRatesTrigger)</f>
        <v>-1.2547733733144287E-4</v>
      </c>
      <c r="Y46" s="480">
        <f>_xll.qlTenorBasisTenorForwardRate(Y$27,$E46,InterestRatesTrigger)</f>
        <v>-1.2446645505030944E-4</v>
      </c>
      <c r="Z46" s="179">
        <f>_xll.qlTenorBasisTenorForwardRate(Z$27,$E46,InterestRatesTrigger)</f>
        <v>-1.2465058953467522E-4</v>
      </c>
      <c r="AA46" s="179">
        <f>_xll.qlTenorBasisTenorForwardRate(AA$27,$E46,InterestRatesTrigger)</f>
        <v>-1.2552437586094839E-4</v>
      </c>
      <c r="AB46" s="179">
        <f>_xll.qlTenorBasisTenorForwardRate(AB$27,$E46,InterestRatesTrigger)</f>
        <v>-1.2565022011818924E-4</v>
      </c>
      <c r="AC46" s="481">
        <f>'3MSynthDepo_used'!AA25</f>
        <v>-7.4937728201667332E-5</v>
      </c>
      <c r="AD46" s="405">
        <f>'3MSynthDepo_used'!I11</f>
        <v>-1.2499999999993072E-4</v>
      </c>
      <c r="BC46" s="384">
        <f>_xll.qlCalendarAdvance(Calendar,BC45,"1d","mf",,Trigger)</f>
        <v>42194</v>
      </c>
      <c r="BD46" s="154">
        <f>_xll.qlDayCounterYearFraction(DayCounter,SettlementDate,BC46,,,Trigger)</f>
        <v>0.15555555555555556</v>
      </c>
      <c r="BE46" s="166">
        <f>_xll.qlPolynomialFunctionValue(BE$1,$BD46,AllTriggers)</f>
        <v>9.8431272735276807E-4</v>
      </c>
      <c r="BF46" s="166">
        <f>_xll.qlPolynomialFunctionValue(BF$1,$BD46,AllTriggers)</f>
        <v>7.32437685724322E-4</v>
      </c>
      <c r="BG46" s="166">
        <f>_xll.qlPolynomialFunctionValue(BG$1,$BD46,AllTriggers)</f>
        <v>1.0357982068038734E-3</v>
      </c>
      <c r="BH46" s="166">
        <f>_xll.qlPolynomialFunctionValue(BH$1,$BD46,AllTriggers)</f>
        <v>1.079488727361871E-3</v>
      </c>
      <c r="BI46" s="166">
        <f>_xll.qlPolynomialFunctionValue(BI$1,$BD46,AllTriggers)</f>
        <v>9.8448800587100371E-4</v>
      </c>
      <c r="BJ46" s="166">
        <f>_xll.qlPolynomialFunctionValue(BJ$1,$BD46,AllTriggers)</f>
        <v>7.326065617027503E-4</v>
      </c>
      <c r="BK46" s="166">
        <f>_xll.qlPolynomialFunctionValue(BK$1,$BD46,AllTriggers)</f>
        <v>1.0359747940577038E-3</v>
      </c>
      <c r="BL46" s="166">
        <f>_xll.qlPolynomialFunctionValue(BL$1,$BD46,AllTriggers)</f>
        <v>1.0799201147352463E-3</v>
      </c>
      <c r="BM46" s="166">
        <f>_xll.qlPolynomialFunctionValue(BM$1,$BD46,AllTriggers)</f>
        <v>9.8431272735276807E-4</v>
      </c>
      <c r="BN46" s="166">
        <f>_xll.qlPolynomialFunctionValue(BN$1,$BD46,AllTriggers)</f>
        <v>7.32437685724322E-4</v>
      </c>
      <c r="BO46" s="166">
        <f>_xll.qlPolynomialFunctionValue(BO$1,$BD46,AllTriggers)</f>
        <v>1.0357982068038734E-3</v>
      </c>
      <c r="BP46" s="166">
        <f>_xll.qlPolynomialFunctionValue(BP$1,$BD46,AllTriggers)</f>
        <v>1.079488727361871E-3</v>
      </c>
      <c r="BQ46" s="166">
        <f>_xll.qlPolynomialFunctionValue('6MSynthDepo_used'!$P$18,BD46,AllTriggers)</f>
        <v>1.7535039132412541E-3</v>
      </c>
    </row>
    <row r="47" spans="3:69" x14ac:dyDescent="0.2">
      <c r="C47" s="258"/>
      <c r="D47" s="167" t="str">
        <f>_xll.qlIMMNextCode(D46,FALSE,Trigger)</f>
        <v>M5</v>
      </c>
      <c r="E47" s="383">
        <f>_xll.qlIMMdate(D47,SettlementDate,Trigger)</f>
        <v>42172</v>
      </c>
      <c r="F47" s="459">
        <f>_xll.qlInterestRateIndexMaturity($D$25,E47)</f>
        <v>42264</v>
      </c>
      <c r="G47" s="361">
        <f>_xll.qlTenorBasisForwardRate2(G$27,$E47,$F47,InterestRatesTrigger)</f>
        <v>-3.8990033571859885E-4</v>
      </c>
      <c r="H47" s="166">
        <f>_xll.qlTenorBasisTenorForwardRate(H$27,$E47,InterestRatesTrigger)</f>
        <v>-3.2826305288596608E-5</v>
      </c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66">
        <f>_xll.qlTenorBasisTenorForwardRate(S$27,$E47,InterestRatesTrigger)</f>
        <v>-2.797146321237569E-5</v>
      </c>
      <c r="T47" s="360">
        <f>_xll.qlTenorBasisTenorForwardRate(T$27,$E47,InterestRatesTrigger)</f>
        <v>-2.7272260241659662E-5</v>
      </c>
      <c r="U47" s="166">
        <f>_xll.qlTenorBasisTenorForwardRate(U$27,$E47,InterestRatesTrigger)</f>
        <v>-3.8219023075341933E-4</v>
      </c>
      <c r="V47" s="166">
        <f>_xll.qlTenorBasisTenorForwardRate(V$27,$E47,InterestRatesTrigger)</f>
        <v>-3.2632715911109144E-5</v>
      </c>
      <c r="W47" s="166">
        <f>_xll.qlTenorBasisTenorForwardRate(W$27,$E47,InterestRatesTrigger)</f>
        <v>-2.7777750427180128E-5</v>
      </c>
      <c r="X47" s="360">
        <f>_xll.qlTenorBasisTenorForwardRate(X$27,$E47,InterestRatesTrigger)</f>
        <v>-2.7074469752691151E-5</v>
      </c>
      <c r="Y47" s="361">
        <f>_xll.qlTenorBasisTenorForwardRate(Y$27,$E47,InterestRatesTrigger)</f>
        <v>-3.8237493477648939E-4</v>
      </c>
      <c r="Z47" s="166">
        <f>_xll.qlTenorBasisTenorForwardRate(Z$27,$E47,InterestRatesTrigger)</f>
        <v>-3.2826305288596608E-5</v>
      </c>
      <c r="AA47" s="166">
        <f>_xll.qlTenorBasisTenorForwardRate(AA$27,$E47,InterestRatesTrigger)</f>
        <v>-2.797146321237569E-5</v>
      </c>
      <c r="AB47" s="166">
        <f>_xll.qlTenorBasisTenorForwardRate(AB$27,$E47,InterestRatesTrigger)</f>
        <v>-2.7272260241659662E-5</v>
      </c>
      <c r="AC47" s="360">
        <f>'3MSynthDepo_used'!AA26</f>
        <v>-1.0567171315976117E-4</v>
      </c>
      <c r="AD47" s="406">
        <f>'3MSynthDepo_used'!I12</f>
        <v>-2.4999999999941735E-5</v>
      </c>
      <c r="BC47" s="384">
        <f>_xll.qlCalendarAdvance(Calendar,BC46,"1d","mf",,Trigger)</f>
        <v>42195</v>
      </c>
      <c r="BD47" s="154">
        <f>_xll.qlDayCounterYearFraction(DayCounter,SettlementDate,BC47,,,Trigger)</f>
        <v>0.15833333333333333</v>
      </c>
      <c r="BE47" s="166">
        <f>_xll.qlPolynomialFunctionValue(BE$1,$BD47,AllTriggers)</f>
        <v>9.7782126379904188E-4</v>
      </c>
      <c r="BF47" s="166">
        <f>_xll.qlPolynomialFunctionValue(BF$1,$BD47,AllTriggers)</f>
        <v>7.3162476769829139E-4</v>
      </c>
      <c r="BG47" s="166">
        <f>_xll.qlPolynomialFunctionValue(BG$1,$BD47,AllTriggers)</f>
        <v>1.0421781131129235E-3</v>
      </c>
      <c r="BH47" s="166">
        <f>_xll.qlPolynomialFunctionValue(BH$1,$BD47,AllTriggers)</f>
        <v>1.0869045569952994E-3</v>
      </c>
      <c r="BI47" s="166">
        <f>_xll.qlPolynomialFunctionValue(BI$1,$BD47,AllTriggers)</f>
        <v>9.7799694281893823E-4</v>
      </c>
      <c r="BJ47" s="166">
        <f>_xll.qlPolynomialFunctionValue(BJ$1,$BD47,AllTriggers)</f>
        <v>7.3179418852421753E-4</v>
      </c>
      <c r="BK47" s="166">
        <f>_xll.qlPolynomialFunctionValue(BK$1,$BD47,AllTriggers)</f>
        <v>1.0423554280523124E-3</v>
      </c>
      <c r="BL47" s="166">
        <f>_xll.qlPolynomialFunctionValue(BL$1,$BD47,AllTriggers)</f>
        <v>1.0873427134880161E-3</v>
      </c>
      <c r="BM47" s="166">
        <f>_xll.qlPolynomialFunctionValue(BM$1,$BD47,AllTriggers)</f>
        <v>9.7782126379904188E-4</v>
      </c>
      <c r="BN47" s="166">
        <f>_xll.qlPolynomialFunctionValue(BN$1,$BD47,AllTriggers)</f>
        <v>7.3162476769829139E-4</v>
      </c>
      <c r="BO47" s="166">
        <f>_xll.qlPolynomialFunctionValue(BO$1,$BD47,AllTriggers)</f>
        <v>1.0421781131129235E-3</v>
      </c>
      <c r="BP47" s="166">
        <f>_xll.qlPolynomialFunctionValue(BP$1,$BD47,AllTriggers)</f>
        <v>1.0869045569952994E-3</v>
      </c>
      <c r="BQ47" s="166">
        <f>_xll.qlPolynomialFunctionValue('6MSynthDepo_used'!$P$18,BD47,AllTriggers)</f>
        <v>1.7555868524940232E-3</v>
      </c>
    </row>
    <row r="48" spans="3:69" x14ac:dyDescent="0.2">
      <c r="C48" s="258"/>
      <c r="D48" s="171" t="str">
        <f>_xll.qlIMMNextCode(D47,TRUE,Trigger)</f>
        <v>U5</v>
      </c>
      <c r="E48" s="387">
        <f>_xll.qlIMMdate(D48,SettlementDate,Trigger)</f>
        <v>42263</v>
      </c>
      <c r="F48" s="482">
        <f>_xll.qlInterestRateIndexMaturity($D$25,E48)</f>
        <v>42354</v>
      </c>
      <c r="G48" s="483">
        <f>_xll.qlTenorBasisForwardRate2(G$27,$E48,$F48,InterestRatesTrigger)</f>
        <v>-1.0014455883066045E-3</v>
      </c>
      <c r="H48" s="175">
        <f>_xll.qlTenorBasisTenorForwardRate(H$27,$E48,InterestRatesTrigger)</f>
        <v>4.4690090535230188E-3</v>
      </c>
      <c r="I48" s="302"/>
      <c r="J48" s="302"/>
      <c r="K48" s="302"/>
      <c r="L48" s="302"/>
      <c r="M48" s="302"/>
      <c r="N48" s="302"/>
      <c r="O48" s="302"/>
      <c r="P48" s="302"/>
      <c r="Q48" s="302"/>
      <c r="R48" s="302"/>
      <c r="S48" s="175">
        <f>_xll.qlTenorBasisTenorForwardRate(S$27,$E48,InterestRatesTrigger)</f>
        <v>5.0449727551114278E-4</v>
      </c>
      <c r="T48" s="484">
        <f>_xll.qlTenorBasisTenorForwardRate(T$27,$E48,InterestRatesTrigger)</f>
        <v>-6.6478745769593672E-5</v>
      </c>
      <c r="U48" s="175">
        <f>_xll.qlTenorBasisTenorForwardRate(U$27,$E48,InterestRatesTrigger)</f>
        <v>-1.0049350708522271E-3</v>
      </c>
      <c r="V48" s="175">
        <f>_xll.qlTenorBasisTenorForwardRate(V$27,$E48,InterestRatesTrigger)</f>
        <v>4.4693688545206917E-3</v>
      </c>
      <c r="W48" s="175">
        <f>_xll.qlTenorBasisTenorForwardRate(W$27,$E48,InterestRatesTrigger)</f>
        <v>5.0475630056729553E-4</v>
      </c>
      <c r="X48" s="484">
        <f>_xll.qlTenorBasisTenorForwardRate(X$27,$E48,InterestRatesTrigger)</f>
        <v>-6.9549613711319307E-5</v>
      </c>
      <c r="Y48" s="483">
        <f>_xll.qlTenorBasisTenorForwardRate(Y$27,$E48,InterestRatesTrigger)</f>
        <v>-1.0051557212709169E-3</v>
      </c>
      <c r="Z48" s="175">
        <f>_xll.qlTenorBasisTenorForwardRate(Z$27,$E48,InterestRatesTrigger)</f>
        <v>4.4690090535230188E-3</v>
      </c>
      <c r="AA48" s="175">
        <f>_xll.qlTenorBasisTenorForwardRate(AA$27,$E48,InterestRatesTrigger)</f>
        <v>5.0449727551114278E-4</v>
      </c>
      <c r="AB48" s="175">
        <f>_xll.qlTenorBasisTenorForwardRate(AB$27,$E48,InterestRatesTrigger)</f>
        <v>-6.6478745769593672E-5</v>
      </c>
      <c r="AC48" s="484">
        <f>'3MSynthDepo_used'!AA27</f>
        <v>-3.0628472673186607E-5</v>
      </c>
      <c r="AD48" s="407">
        <f>'3MSynthDepo_used'!I13</f>
        <v>-7.4999999999825206E-5</v>
      </c>
      <c r="BC48" s="384">
        <f>_xll.qlCalendarAdvance(Calendar,BC47,"1d","mf",,Trigger)</f>
        <v>42198</v>
      </c>
      <c r="BD48" s="154">
        <f>_xll.qlDayCounterYearFraction(DayCounter,SettlementDate,BC48,,,Trigger)</f>
        <v>0.16666666666666666</v>
      </c>
      <c r="BE48" s="166">
        <f>_xll.qlPolynomialFunctionValue(BE$1,$BD48,AllTriggers)</f>
        <v>9.5834687313786312E-4</v>
      </c>
      <c r="BF48" s="166">
        <f>_xll.qlPolynomialFunctionValue(BF$1,$BD48,AllTriggers)</f>
        <v>7.3372885004235541E-4</v>
      </c>
      <c r="BG48" s="166">
        <f>_xll.qlPolynomialFunctionValue(BG$1,$BD48,AllTriggers)</f>
        <v>1.0613178320400733E-3</v>
      </c>
      <c r="BH48" s="166">
        <f>_xll.qlPolynomialFunctionValue(BH$1,$BD48,AllTriggers)</f>
        <v>1.1084977785328195E-3</v>
      </c>
      <c r="BI48" s="166">
        <f>_xll.qlPolynomialFunctionValue(BI$1,$BD48,AllTriggers)</f>
        <v>9.5852375366274124E-4</v>
      </c>
      <c r="BJ48" s="166">
        <f>_xll.qlPolynomialFunctionValue(BJ$1,$BD48,AllTriggers)</f>
        <v>7.3390002088744477E-4</v>
      </c>
      <c r="BK48" s="166">
        <f>_xll.qlPolynomialFunctionValue(BK$1,$BD48,AllTriggers)</f>
        <v>1.061497330036138E-3</v>
      </c>
      <c r="BL48" s="166">
        <f>_xll.qlPolynomialFunctionValue(BL$1,$BD48,AllTriggers)</f>
        <v>1.1089524267411716E-3</v>
      </c>
      <c r="BM48" s="166">
        <f>_xll.qlPolynomialFunctionValue(BM$1,$BD48,AllTriggers)</f>
        <v>9.5834687313786312E-4</v>
      </c>
      <c r="BN48" s="166">
        <f>_xll.qlPolynomialFunctionValue(BN$1,$BD48,AllTriggers)</f>
        <v>7.3372885004235541E-4</v>
      </c>
      <c r="BO48" s="166">
        <f>_xll.qlPolynomialFunctionValue(BO$1,$BD48,AllTriggers)</f>
        <v>1.0613178320400733E-3</v>
      </c>
      <c r="BP48" s="166">
        <f>_xll.qlPolynomialFunctionValue(BP$1,$BD48,AllTriggers)</f>
        <v>1.1084977785328195E-3</v>
      </c>
      <c r="BQ48" s="166">
        <f>_xll.qlPolynomialFunctionValue('6MSynthDepo_used'!$P$18,BD48,AllTriggers)</f>
        <v>1.7617502538230297E-3</v>
      </c>
    </row>
    <row r="49" spans="3:69" x14ac:dyDescent="0.2">
      <c r="D49" s="161" t="str">
        <f>_xll.qlIMMNextCode(D48,TRUE,Trigger)</f>
        <v>Z5</v>
      </c>
      <c r="E49" s="381">
        <f>_xll.qlIMMdate(D49,SettlementDate,Trigger)</f>
        <v>42354</v>
      </c>
      <c r="F49" s="381">
        <f>_xll.qlInterestRateIndexMaturity($D$25,E49)</f>
        <v>42445</v>
      </c>
      <c r="G49" s="480">
        <f>_xll.qlTenorBasisForwardRate2(G$27,$E49,$F49,InterestRatesTrigger)</f>
        <v>-1.639272989204814E-3</v>
      </c>
      <c r="H49" s="179">
        <f>_xll.qlTenorBasisTenorForwardRate(H$27,$E49,InterestRatesTrigger)</f>
        <v>1.5046894860700674E-2</v>
      </c>
      <c r="I49" s="299"/>
      <c r="J49" s="299"/>
      <c r="K49" s="299"/>
      <c r="L49" s="299"/>
      <c r="M49" s="299"/>
      <c r="N49" s="299"/>
      <c r="O49" s="299"/>
      <c r="P49" s="299"/>
      <c r="Q49" s="299"/>
      <c r="R49" s="299"/>
      <c r="S49" s="179">
        <f>_xll.qlTenorBasisTenorForwardRate(S$27,$E49,InterestRatesTrigger)</f>
        <v>1.0137458024653289E-3</v>
      </c>
      <c r="T49" s="481">
        <f>_xll.qlTenorBasisTenorForwardRate(T$27,$E49,InterestRatesTrigger)</f>
        <v>-1.0073332266727492E-3</v>
      </c>
      <c r="U49" s="179">
        <f>_xll.qlTenorBasisTenorForwardRate(U$27,$E49,InterestRatesTrigger)</f>
        <v>-1.650900122720368E-3</v>
      </c>
      <c r="V49" s="179">
        <f>_xll.qlTenorBasisTenorForwardRate(V$27,$E49,InterestRatesTrigger)</f>
        <v>1.5047575913782004E-2</v>
      </c>
      <c r="W49" s="179">
        <f>_xll.qlTenorBasisTenorForwardRate(W$27,$E49,InterestRatesTrigger)</f>
        <v>1.0140701397924386E-3</v>
      </c>
      <c r="X49" s="481">
        <f>_xll.qlTenorBasisTenorForwardRate(X$27,$E49,InterestRatesTrigger)</f>
        <v>-1.0187956836355126E-3</v>
      </c>
      <c r="Y49" s="480">
        <f>_xll.qlTenorBasisTenorForwardRate(Y$27,$E49,InterestRatesTrigger)</f>
        <v>-1.6511567195346773E-3</v>
      </c>
      <c r="Z49" s="179">
        <f>_xll.qlTenorBasisTenorForwardRate(Z$27,$E49,InterestRatesTrigger)</f>
        <v>1.5046894860700674E-2</v>
      </c>
      <c r="AA49" s="179">
        <f>_xll.qlTenorBasisTenorForwardRate(AA$27,$E49,InterestRatesTrigger)</f>
        <v>1.0137458024653289E-3</v>
      </c>
      <c r="AB49" s="179">
        <f>_xll.qlTenorBasisTenorForwardRate(AB$27,$E49,InterestRatesTrigger)</f>
        <v>-1.0073332266727492E-3</v>
      </c>
      <c r="AC49" s="481">
        <f>'3MSynthDepo_used'!AA28</f>
        <v>-2.9275984654866371E-5</v>
      </c>
      <c r="AD49" s="405">
        <f>'3MSynthDepo_used'!I14</f>
        <v>-2.4999999999941735E-5</v>
      </c>
      <c r="BC49" s="384">
        <f>_xll.qlCalendarAdvance(Calendar,BC48,"1d","mf",,Trigger)</f>
        <v>42199</v>
      </c>
      <c r="BD49" s="154">
        <f>_xll.qlDayCounterYearFraction(DayCounter,SettlementDate,BC49,,,Trigger)</f>
        <v>0.16944444444444445</v>
      </c>
      <c r="BE49" s="166">
        <f>_xll.qlPolynomialFunctionValue(BE$1,$BD49,AllTriggers)</f>
        <v>9.5185540958413683E-4</v>
      </c>
      <c r="BF49" s="166">
        <f>_xll.qlPolynomialFunctionValue(BF$1,$BD49,AllTriggers)</f>
        <v>7.3594448963109531E-4</v>
      </c>
      <c r="BG49" s="166">
        <f>_xll.qlPolynomialFunctionValue(BG$1,$BD49,AllTriggers)</f>
        <v>1.0676977383491234E-3</v>
      </c>
      <c r="BH49" s="166">
        <f>_xll.qlPolynomialFunctionValue(BH$1,$BD49,AllTriggers)</f>
        <v>1.1154774299244044E-3</v>
      </c>
      <c r="BI49" s="166">
        <f>_xll.qlPolynomialFunctionValue(BI$1,$BD49,AllTriggers)</f>
        <v>9.5203269061067553E-4</v>
      </c>
      <c r="BJ49" s="166">
        <f>_xll.qlPolynomialFunctionValue(BJ$1,$BD49,AllTriggers)</f>
        <v>7.3611628230812868E-4</v>
      </c>
      <c r="BK49" s="166">
        <f>_xll.qlPolynomialFunctionValue(BK$1,$BD49,AllTriggers)</f>
        <v>1.0678779640307468E-3</v>
      </c>
      <c r="BL49" s="166">
        <f>_xll.qlPolynomialFunctionValue(BL$1,$BD49,AllTriggers)</f>
        <v>1.1159363034905052E-3</v>
      </c>
      <c r="BM49" s="166">
        <f>_xll.qlPolynomialFunctionValue(BM$1,$BD49,AllTriggers)</f>
        <v>9.5185540958413683E-4</v>
      </c>
      <c r="BN49" s="166">
        <f>_xll.qlPolynomialFunctionValue(BN$1,$BD49,AllTriggers)</f>
        <v>7.3594448963109531E-4</v>
      </c>
      <c r="BO49" s="166">
        <f>_xll.qlPolynomialFunctionValue(BO$1,$BD49,AllTriggers)</f>
        <v>1.0676977383491234E-3</v>
      </c>
      <c r="BP49" s="166">
        <f>_xll.qlPolynomialFunctionValue(BP$1,$BD49,AllTriggers)</f>
        <v>1.1154774299244044E-3</v>
      </c>
      <c r="BQ49" s="166">
        <f>_xll.qlPolynomialFunctionValue('6MSynthDepo_used'!$P$18,BD49,AllTriggers)</f>
        <v>1.7637765414163027E-3</v>
      </c>
    </row>
    <row r="50" spans="3:69" x14ac:dyDescent="0.2">
      <c r="D50" s="167" t="str">
        <f>_xll.qlIMMNextCode(D49,TRUE,Trigger)</f>
        <v>H6</v>
      </c>
      <c r="E50" s="383">
        <f>_xll.qlIMMdate(D50,SettlementDate,Trigger)</f>
        <v>42445</v>
      </c>
      <c r="F50" s="459">
        <f>_xll.qlInterestRateIndexMaturity($D$25,E50)</f>
        <v>42537</v>
      </c>
      <c r="G50" s="361">
        <f>_xll.qlTenorBasisForwardRate2(G$27,$E50,$F50,InterestRatesTrigger)</f>
        <v>-2.1592244987167983E-3</v>
      </c>
      <c r="H50" s="166">
        <f>_xll.qlTenorBasisTenorForwardRate(H$27,$E50,InterestRatesTrigger)</f>
        <v>3.1845004204765069E-2</v>
      </c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66">
        <f>_xll.qlTenorBasisTenorForwardRate(S$27,$E50,InterestRatesTrigger)</f>
        <v>1.6439472061708991E-3</v>
      </c>
      <c r="T50" s="360">
        <f>_xll.qlTenorBasisTenorForwardRate(T$27,$E50,InterestRatesTrigger)</f>
        <v>-2.7056626144304082E-3</v>
      </c>
      <c r="U50" s="166">
        <f>_xll.qlTenorBasisTenorForwardRate(U$27,$E50,InterestRatesTrigger)</f>
        <v>-2.1759122978371238E-3</v>
      </c>
      <c r="V50" s="166">
        <f>_xll.qlTenorBasisTenorForwardRate(V$27,$E50,InterestRatesTrigger)</f>
        <v>3.1846161550393534E-2</v>
      </c>
      <c r="W50" s="166">
        <f>_xll.qlTenorBasisTenorForwardRate(W$27,$E50,InterestRatesTrigger)</f>
        <v>1.6443368557689663E-3</v>
      </c>
      <c r="X50" s="360">
        <f>_xll.qlTenorBasisTenorForwardRate(X$27,$E50,InterestRatesTrigger)</f>
        <v>-2.730639591004553E-3</v>
      </c>
      <c r="Y50" s="361">
        <f>_xll.qlTenorBasisTenorForwardRate(Y$27,$E50,InterestRatesTrigger)</f>
        <v>-2.1762048410470525E-3</v>
      </c>
      <c r="Z50" s="166">
        <f>_xll.qlTenorBasisTenorForwardRate(Z$27,$E50,InterestRatesTrigger)</f>
        <v>3.1845004204765069E-2</v>
      </c>
      <c r="AA50" s="166">
        <f>_xll.qlTenorBasisTenorForwardRate(AA$27,$E50,InterestRatesTrigger)</f>
        <v>1.6439472061708991E-3</v>
      </c>
      <c r="AB50" s="166">
        <f>_xll.qlTenorBasisTenorForwardRate(AB$27,$E50,InterestRatesTrigger)</f>
        <v>-2.7056626144304082E-3</v>
      </c>
      <c r="AC50" s="360">
        <f>'3MSynthDepo_used'!AA29</f>
        <v>5.7053012976818239E-5</v>
      </c>
      <c r="AD50" s="406">
        <f>'3MSynthDepo_used'!I15</f>
        <v>7.4999999999936229E-5</v>
      </c>
      <c r="BC50" s="384">
        <f>_xll.qlCalendarAdvance(Calendar,BC49,"1d","mf",,Trigger)</f>
        <v>42200</v>
      </c>
      <c r="BD50" s="154">
        <f>_xll.qlDayCounterYearFraction(DayCounter,SettlementDate,BC50,,,Trigger)</f>
        <v>0.17222222222222222</v>
      </c>
      <c r="BE50" s="166">
        <f>_xll.qlPolynomialFunctionValue(BE$1,$BD50,AllTriggers)</f>
        <v>9.4536394603041065E-4</v>
      </c>
      <c r="BF50" s="166">
        <f>_xll.qlPolynomialFunctionValue(BF$1,$BD50,AllTriggers)</f>
        <v>7.3891726862352768E-4</v>
      </c>
      <c r="BG50" s="166">
        <f>_xll.qlPolynomialFunctionValue(BG$1,$BD50,AllTriggers)</f>
        <v>1.0740776446581733E-3</v>
      </c>
      <c r="BH50" s="166">
        <f>_xll.qlPolynomialFunctionValue(BH$1,$BD50,AllTriggers)</f>
        <v>1.1223480367555285E-3</v>
      </c>
      <c r="BI50" s="166">
        <f>_xll.qlPolynomialFunctionValue(BI$1,$BD50,AllTriggers)</f>
        <v>9.4554162755860994E-4</v>
      </c>
      <c r="BJ50" s="166">
        <f>_xll.qlPolynomialFunctionValue(BJ$1,$BD50,AllTriggers)</f>
        <v>7.3908970237861779E-4</v>
      </c>
      <c r="BK50" s="166">
        <f>_xll.qlPolynomialFunctionValue(BK$1,$BD50,AllTriggers)</f>
        <v>1.0742585980253552E-3</v>
      </c>
      <c r="BL50" s="166">
        <f>_xll.qlPolynomialFunctionValue(BL$1,$BD50,AllTriggers)</f>
        <v>1.1228104997389795E-3</v>
      </c>
      <c r="BM50" s="166">
        <f>_xll.qlPolynomialFunctionValue(BM$1,$BD50,AllTriggers)</f>
        <v>9.4536394603041065E-4</v>
      </c>
      <c r="BN50" s="166">
        <f>_xll.qlPolynomialFunctionValue(BN$1,$BD50,AllTriggers)</f>
        <v>7.3891726862352768E-4</v>
      </c>
      <c r="BO50" s="166">
        <f>_xll.qlPolynomialFunctionValue(BO$1,$BD50,AllTriggers)</f>
        <v>1.0740776446581733E-3</v>
      </c>
      <c r="BP50" s="166">
        <f>_xll.qlPolynomialFunctionValue(BP$1,$BD50,AllTriggers)</f>
        <v>1.1223480367555285E-3</v>
      </c>
      <c r="BQ50" s="166">
        <f>_xll.qlPolynomialFunctionValue('6MSynthDepo_used'!$P$18,BD50,AllTriggers)</f>
        <v>1.7657888849307E-3</v>
      </c>
    </row>
    <row r="51" spans="3:69" x14ac:dyDescent="0.2">
      <c r="D51" s="171" t="str">
        <f>_xll.qlIMMNextCode(D50,TRUE,Trigger)</f>
        <v>M6</v>
      </c>
      <c r="E51" s="387">
        <f>_xll.qlIMMdate(D51,SettlementDate,Trigger)</f>
        <v>42536</v>
      </c>
      <c r="F51" s="482">
        <f>_xll.qlInterestRateIndexMaturity($D$25,E51)</f>
        <v>42628</v>
      </c>
      <c r="G51" s="483">
        <f>_xll.qlTenorBasisForwardRate2(G$27,$E51,$F51,InterestRatesTrigger)</f>
        <v>-2.5638786590087559E-3</v>
      </c>
      <c r="H51" s="175">
        <f>_xll.qlTenorBasisTenorForwardRate(H$27,$E51,InterestRatesTrigger)</f>
        <v>5.4854501590059536E-2</v>
      </c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175">
        <f>_xll.qlTenorBasisTenorForwardRate(S$27,$E51,InterestRatesTrigger)</f>
        <v>2.3862659909711669E-3</v>
      </c>
      <c r="T51" s="484">
        <f>_xll.qlTenorBasisTenorForwardRate(T$27,$E51,InterestRatesTrigger)</f>
        <v>-5.1703024046992592E-3</v>
      </c>
      <c r="U51" s="175">
        <f>_xll.qlTenorBasisTenorForwardRate(U$27,$E51,InterestRatesTrigger)</f>
        <v>-2.5888070918591824E-3</v>
      </c>
      <c r="V51" s="175">
        <f>_xll.qlTenorBasisTenorForwardRate(V$27,$E51,InterestRatesTrigger)</f>
        <v>5.4856290268698607E-2</v>
      </c>
      <c r="W51" s="175">
        <f>_xll.qlTenorBasisTenorForwardRate(W$27,$E51,InterestRatesTrigger)</f>
        <v>2.386720952840191E-3</v>
      </c>
      <c r="X51" s="484">
        <f>_xll.qlTenorBasisTenorForwardRate(X$27,$E51,InterestRatesTrigger)</f>
        <v>-5.2139168314751291E-3</v>
      </c>
      <c r="Y51" s="483">
        <f>_xll.qlTenorBasisTenorForwardRate(Y$27,$E51,InterestRatesTrigger)</f>
        <v>-2.5891355814647308E-3</v>
      </c>
      <c r="Z51" s="175">
        <f>_xll.qlTenorBasisTenorForwardRate(Z$27,$E51,InterestRatesTrigger)</f>
        <v>5.4854501590059536E-2</v>
      </c>
      <c r="AA51" s="175">
        <f>_xll.qlTenorBasisTenorForwardRate(AA$27,$E51,InterestRatesTrigger)</f>
        <v>2.3862659909711669E-3</v>
      </c>
      <c r="AB51" s="175">
        <f>_xll.qlTenorBasisTenorForwardRate(AB$27,$E51,InterestRatesTrigger)</f>
        <v>-5.1703024046992592E-3</v>
      </c>
      <c r="AC51" s="484">
        <f>'3MSynthDepo_used'!AA30</f>
        <v>2.3352876530334716E-4</v>
      </c>
      <c r="AD51" s="407">
        <f>'3MSynthDepo_used'!I16</f>
        <v>2.2500000000003073E-4</v>
      </c>
      <c r="BC51" s="384">
        <f>_xll.qlCalendarAdvance(Calendar,BC50,"1d","mf",,Trigger)</f>
        <v>42201</v>
      </c>
      <c r="BD51" s="154">
        <f>_xll.qlDayCounterYearFraction(DayCounter,SettlementDate,BC51,,,Trigger)</f>
        <v>0.17499999999999999</v>
      </c>
      <c r="BE51" s="166">
        <f>_xll.qlPolynomialFunctionValue(BE$1,$BD51,AllTriggers)</f>
        <v>9.3887248247668436E-4</v>
      </c>
      <c r="BF51" s="166">
        <f>_xll.qlPolynomialFunctionValue(BF$1,$BD51,AllTriggers)</f>
        <v>7.4264718701965338E-4</v>
      </c>
      <c r="BG51" s="166">
        <f>_xll.qlPolynomialFunctionValue(BG$1,$BD51,AllTriggers)</f>
        <v>1.0804575509672234E-3</v>
      </c>
      <c r="BH51" s="166">
        <f>_xll.qlPolynomialFunctionValue(BH$1,$BD51,AllTriggers)</f>
        <v>1.1291095990261916E-3</v>
      </c>
      <c r="BI51" s="166">
        <f>_xll.qlPolynomialFunctionValue(BI$1,$BD51,AllTriggers)</f>
        <v>9.3905056450654424E-4</v>
      </c>
      <c r="BJ51" s="166">
        <f>_xll.qlPolynomialFunctionValue(BJ$1,$BD51,AllTriggers)</f>
        <v>7.4282028109891058E-4</v>
      </c>
      <c r="BK51" s="166">
        <f>_xll.qlPolynomialFunctionValue(BK$1,$BD51,AllTriggers)</f>
        <v>1.080639232019964E-3</v>
      </c>
      <c r="BL51" s="166">
        <f>_xll.qlPolynomialFunctionValue(BL$1,$BD51,AllTriggers)</f>
        <v>1.1295750154865949E-3</v>
      </c>
      <c r="BM51" s="166">
        <f>_xll.qlPolynomialFunctionValue(BM$1,$BD51,AllTriggers)</f>
        <v>9.3887248247668436E-4</v>
      </c>
      <c r="BN51" s="166">
        <f>_xll.qlPolynomialFunctionValue(BN$1,$BD51,AllTriggers)</f>
        <v>7.4264718701965338E-4</v>
      </c>
      <c r="BO51" s="166">
        <f>_xll.qlPolynomialFunctionValue(BO$1,$BD51,AllTriggers)</f>
        <v>1.0804575509672234E-3</v>
      </c>
      <c r="BP51" s="166">
        <f>_xll.qlPolynomialFunctionValue(BP$1,$BD51,AllTriggers)</f>
        <v>1.1291095990261916E-3</v>
      </c>
      <c r="BQ51" s="166">
        <f>_xll.qlPolynomialFunctionValue('6MSynthDepo_used'!$P$18,BD51,AllTriggers)</f>
        <v>1.7677873713933981E-3</v>
      </c>
    </row>
    <row r="52" spans="3:69" x14ac:dyDescent="0.2">
      <c r="BC52" s="384">
        <f>_xll.qlCalendarAdvance(Calendar,BC51,"1d","mf",,Trigger)</f>
        <v>42202</v>
      </c>
      <c r="BD52" s="154">
        <f>_xll.qlDayCounterYearFraction(DayCounter,SettlementDate,BC52,,,Trigger)</f>
        <v>0.17777777777777778</v>
      </c>
      <c r="BE52" s="166">
        <f>_xll.qlPolynomialFunctionValue(BE$1,$BD52,AllTriggers)</f>
        <v>9.3238101892295817E-4</v>
      </c>
      <c r="BF52" s="166">
        <f>_xll.qlPolynomialFunctionValue(BF$1,$BD52,AllTriggers)</f>
        <v>7.4713424481947155E-4</v>
      </c>
      <c r="BG52" s="166">
        <f>_xll.qlPolynomialFunctionValue(BG$1,$BD52,AllTriggers)</f>
        <v>1.0868374572762735E-3</v>
      </c>
      <c r="BH52" s="166">
        <f>_xll.qlPolynomialFunctionValue(BH$1,$BD52,AllTriggers)</f>
        <v>1.1357621167363938E-3</v>
      </c>
      <c r="BI52" s="166">
        <f>_xll.qlPolynomialFunctionValue(BI$1,$BD52,AllTriggers)</f>
        <v>9.3255950145447854E-4</v>
      </c>
      <c r="BJ52" s="166">
        <f>_xll.qlPolynomialFunctionValue(BJ$1,$BD52,AllTriggers)</f>
        <v>7.4730801846900835E-4</v>
      </c>
      <c r="BK52" s="166">
        <f>_xll.qlPolynomialFunctionValue(BK$1,$BD52,AllTriggers)</f>
        <v>1.0870198660145726E-3</v>
      </c>
      <c r="BL52" s="166">
        <f>_xll.qlPolynomialFunctionValue(BL$1,$BD52,AllTriggers)</f>
        <v>1.1362298507333515E-3</v>
      </c>
      <c r="BM52" s="166">
        <f>_xll.qlPolynomialFunctionValue(BM$1,$BD52,AllTriggers)</f>
        <v>9.3238101892295817E-4</v>
      </c>
      <c r="BN52" s="166">
        <f>_xll.qlPolynomialFunctionValue(BN$1,$BD52,AllTriggers)</f>
        <v>7.4713424481947155E-4</v>
      </c>
      <c r="BO52" s="166">
        <f>_xll.qlPolynomialFunctionValue(BO$1,$BD52,AllTriggers)</f>
        <v>1.0868374572762735E-3</v>
      </c>
      <c r="BP52" s="166">
        <f>_xll.qlPolynomialFunctionValue(BP$1,$BD52,AllTriggers)</f>
        <v>1.1357621167363938E-3</v>
      </c>
      <c r="BQ52" s="166">
        <f>_xll.qlPolynomialFunctionValue('6MSynthDepo_used'!$P$18,BD52,AllTriggers)</f>
        <v>1.7697720875779613E-3</v>
      </c>
    </row>
    <row r="53" spans="3:69" x14ac:dyDescent="0.2">
      <c r="F53" s="331" t="s">
        <v>143</v>
      </c>
      <c r="G53" s="331" t="s">
        <v>142</v>
      </c>
      <c r="H53" s="327"/>
      <c r="S53" s="327"/>
      <c r="T53" s="327"/>
      <c r="U53" s="327"/>
      <c r="V53" s="327"/>
      <c r="W53" s="327"/>
      <c r="X53" s="327"/>
      <c r="Y53" s="327"/>
      <c r="Z53" s="327"/>
      <c r="AA53" s="327"/>
      <c r="AB53" s="326"/>
      <c r="AC53" s="464"/>
      <c r="BC53" s="384">
        <f>_xll.qlCalendarAdvance(Calendar,BC52,"1d","mf",,Trigger)</f>
        <v>42205</v>
      </c>
      <c r="BD53" s="154">
        <f>_xll.qlDayCounterYearFraction(DayCounter,SettlementDate,BC53,,,Trigger)</f>
        <v>0.18611111111111112</v>
      </c>
      <c r="BE53" s="166">
        <f>_xll.qlPolynomialFunctionValue(BE$1,$BD53,AllTriggers)</f>
        <v>9.1290662826177941E-4</v>
      </c>
      <c r="BF53" s="166">
        <f>_xll.qlPolynomialFunctionValue(BF$1,$BD53,AllTriggers)</f>
        <v>7.651382546410828E-4</v>
      </c>
      <c r="BG53" s="166">
        <f>_xll.qlPolynomialFunctionValue(BG$1,$BD53,AllTriggers)</f>
        <v>1.1059771762034236E-3</v>
      </c>
      <c r="BH53" s="166">
        <f>_xll.qlPolynomialFunctionValue(BH$1,$BD53,AllTriggers)</f>
        <v>1.1550654025042353E-3</v>
      </c>
      <c r="BI53" s="166">
        <f>_xll.qlPolynomialFunctionValue(BI$1,$BD53,AllTriggers)</f>
        <v>9.1308631229828166E-4</v>
      </c>
      <c r="BJ53" s="166">
        <f>_xll.qlPolynomialFunctionValue(BJ$1,$BD53,AllTriggers)</f>
        <v>7.6531418247812702E-4</v>
      </c>
      <c r="BK53" s="166">
        <f>_xll.qlPolynomialFunctionValue(BK$1,$BD53,AllTriggers)</f>
        <v>1.1061617679983984E-3</v>
      </c>
      <c r="BL53" s="166">
        <f>_xll.qlPolynomialFunctionValue(BL$1,$BD53,AllTriggers)</f>
        <v>1.1555362734684659E-3</v>
      </c>
      <c r="BM53" s="166">
        <f>_xll.qlPolynomialFunctionValue(BM$1,$BD53,AllTriggers)</f>
        <v>9.1290662826177941E-4</v>
      </c>
      <c r="BN53" s="166">
        <f>_xll.qlPolynomialFunctionValue(BN$1,$BD53,AllTriggers)</f>
        <v>7.651382546410828E-4</v>
      </c>
      <c r="BO53" s="166">
        <f>_xll.qlPolynomialFunctionValue(BO$1,$BD53,AllTriggers)</f>
        <v>1.1059771762034236E-3</v>
      </c>
      <c r="BP53" s="166">
        <f>_xll.qlPolynomialFunctionValue(BP$1,$BD53,AllTriggers)</f>
        <v>1.1550654025042353E-3</v>
      </c>
      <c r="BQ53" s="166">
        <f>_xll.qlPolynomialFunctionValue('6MSynthDepo_used'!$P$18,BD53,AllTriggers)</f>
        <v>1.7756444783943134E-3</v>
      </c>
    </row>
    <row r="54" spans="3:69" x14ac:dyDescent="0.2">
      <c r="F54" s="395" t="str">
        <f>C42&amp;"x"&amp;C42+SUBSTITUTE($D$24,"M","")&amp;"F"</f>
        <v>0x3F</v>
      </c>
      <c r="G54" s="362">
        <f>$AD42-G42</f>
        <v>9.6768535252693112E-5</v>
      </c>
      <c r="H54" s="362">
        <f t="shared" ref="H54:AC54" si="12">$AD42-H42</f>
        <v>1.0237438819019667E-4</v>
      </c>
      <c r="I54" s="115">
        <f t="shared" si="12"/>
        <v>2.0999999999807407E-5</v>
      </c>
      <c r="J54" s="115">
        <f t="shared" si="12"/>
        <v>2.0999999999807407E-5</v>
      </c>
      <c r="K54" s="115">
        <f t="shared" si="12"/>
        <v>2.0999999999807407E-5</v>
      </c>
      <c r="L54" s="115">
        <f t="shared" si="12"/>
        <v>2.0999999999807407E-5</v>
      </c>
      <c r="M54" s="115">
        <f t="shared" si="12"/>
        <v>2.0999999999807407E-5</v>
      </c>
      <c r="N54" s="115">
        <f t="shared" si="12"/>
        <v>2.0999999999807407E-5</v>
      </c>
      <c r="O54" s="115">
        <f t="shared" si="12"/>
        <v>2.0999999999807407E-5</v>
      </c>
      <c r="P54" s="115">
        <f t="shared" si="12"/>
        <v>2.0999999999807407E-5</v>
      </c>
      <c r="Q54" s="115">
        <f t="shared" si="12"/>
        <v>2.0999999999807407E-5</v>
      </c>
      <c r="R54" s="115">
        <f t="shared" si="12"/>
        <v>2.0999999999807407E-5</v>
      </c>
      <c r="S54" s="362">
        <f t="shared" si="12"/>
        <v>1.8093591898053947E-4</v>
      </c>
      <c r="T54" s="363">
        <f t="shared" si="12"/>
        <v>1.9225036010976339E-4</v>
      </c>
      <c r="U54" s="364">
        <f t="shared" si="12"/>
        <v>9.6599860140120128E-5</v>
      </c>
      <c r="V54" s="362">
        <f t="shared" si="12"/>
        <v>1.0220585581692231E-4</v>
      </c>
      <c r="W54" s="362">
        <f t="shared" si="12"/>
        <v>1.8076938696583953E-4</v>
      </c>
      <c r="X54" s="363">
        <f t="shared" si="12"/>
        <v>1.9214981352826788E-4</v>
      </c>
      <c r="Y54" s="364">
        <f t="shared" si="12"/>
        <v>9.6768535252693112E-5</v>
      </c>
      <c r="Z54" s="448">
        <f t="shared" si="12"/>
        <v>1.0237438819019667E-4</v>
      </c>
      <c r="AA54" s="362">
        <f t="shared" si="12"/>
        <v>1.8093591898053947E-4</v>
      </c>
      <c r="AB54" s="362">
        <f t="shared" si="12"/>
        <v>1.9225036010976339E-4</v>
      </c>
      <c r="AC54" s="362">
        <f t="shared" si="12"/>
        <v>1.0190427847686526E-4</v>
      </c>
      <c r="BC54" s="384">
        <f>_xll.qlCalendarAdvance(Calendar,BC53,"1d","mf",,Trigger)</f>
        <v>42206</v>
      </c>
      <c r="BD54" s="154">
        <f>_xll.qlDayCounterYearFraction(DayCounter,SettlementDate,BC54,,,Trigger)</f>
        <v>0.18888888888888888</v>
      </c>
      <c r="BE54" s="166">
        <f>_xll.qlPolynomialFunctionValue(BE$1,$BD54,AllTriggers)</f>
        <v>9.0641516470805312E-4</v>
      </c>
      <c r="BF54" s="166">
        <f>_xll.qlPolynomialFunctionValue(BF$1,$BD54,AllTriggers)</f>
        <v>7.7265387005567149E-4</v>
      </c>
      <c r="BG54" s="166">
        <f>_xll.qlPolynomialFunctionValue(BG$1,$BD54,AllTriggers)</f>
        <v>1.1123570825124734E-3</v>
      </c>
      <c r="BH54" s="166">
        <f>_xll.qlPolynomialFunctionValue(BH$1,$BD54,AllTriggers)</f>
        <v>1.1612817419725937E-3</v>
      </c>
      <c r="BI54" s="166">
        <f>_xll.qlPolynomialFunctionValue(BI$1,$BD54,AllTriggers)</f>
        <v>9.0659524924621595E-4</v>
      </c>
      <c r="BJ54" s="166">
        <f>_xll.qlPolynomialFunctionValue(BJ$1,$BD54,AllTriggers)</f>
        <v>7.7283055444744191E-4</v>
      </c>
      <c r="BK54" s="166">
        <f>_xll.qlPolynomialFunctionValue(BK$1,$BD54,AllTriggers)</f>
        <v>1.1125424019930068E-3</v>
      </c>
      <c r="BL54" s="166">
        <f>_xll.qlPolynomialFunctionValue(BL$1,$BD54,AllTriggers)</f>
        <v>1.1617523867117859E-3</v>
      </c>
      <c r="BM54" s="166">
        <f>_xll.qlPolynomialFunctionValue(BM$1,$BD54,AllTriggers)</f>
        <v>9.0641516470805312E-4</v>
      </c>
      <c r="BN54" s="166">
        <f>_xll.qlPolynomialFunctionValue(BN$1,$BD54,AllTriggers)</f>
        <v>7.7265387005567149E-4</v>
      </c>
      <c r="BO54" s="166">
        <f>_xll.qlPolynomialFunctionValue(BO$1,$BD54,AllTriggers)</f>
        <v>1.1123570825124734E-3</v>
      </c>
      <c r="BP54" s="166">
        <f>_xll.qlPolynomialFunctionValue(BP$1,$BD54,AllTriggers)</f>
        <v>1.1612817419725937E-3</v>
      </c>
      <c r="BQ54" s="166">
        <f>_xll.qlPolynomialFunctionValue('6MSynthDepo_used'!$P$18,BD54,AllTriggers)</f>
        <v>1.7775749761297498E-3</v>
      </c>
    </row>
    <row r="55" spans="3:69" x14ac:dyDescent="0.2">
      <c r="F55" s="396" t="str">
        <f>C43&amp;"x"&amp;C43+SUBSTITUTE($D$24,"M","")&amp;"F"</f>
        <v>1x4F</v>
      </c>
      <c r="G55" s="166">
        <f t="shared" ref="G55:AC55" si="13">$AD43-G43</f>
        <v>3.133800009409224E-4</v>
      </c>
      <c r="H55" s="166">
        <f t="shared" si="13"/>
        <v>4.835401050869723E-5</v>
      </c>
      <c r="I55" s="115">
        <f t="shared" si="13"/>
        <v>-4.9999999999999996E-5</v>
      </c>
      <c r="J55" s="115">
        <f t="shared" si="13"/>
        <v>-4.9999999999999996E-5</v>
      </c>
      <c r="K55" s="115">
        <f t="shared" si="13"/>
        <v>-4.9999999999999996E-5</v>
      </c>
      <c r="L55" s="115">
        <f t="shared" si="13"/>
        <v>-4.9999999999999996E-5</v>
      </c>
      <c r="M55" s="115">
        <f t="shared" si="13"/>
        <v>-4.9999999999999996E-5</v>
      </c>
      <c r="N55" s="115">
        <f t="shared" si="13"/>
        <v>-4.9999999999999996E-5</v>
      </c>
      <c r="O55" s="115">
        <f t="shared" si="13"/>
        <v>-4.9999999999999996E-5</v>
      </c>
      <c r="P55" s="115">
        <f t="shared" si="13"/>
        <v>-4.9999999999999996E-5</v>
      </c>
      <c r="Q55" s="115">
        <f t="shared" si="13"/>
        <v>-4.9999999999999996E-5</v>
      </c>
      <c r="R55" s="115">
        <f t="shared" si="13"/>
        <v>-4.9999999999999996E-5</v>
      </c>
      <c r="S55" s="166">
        <f t="shared" si="13"/>
        <v>3.1501871732036622E-6</v>
      </c>
      <c r="T55" s="360">
        <f t="shared" si="13"/>
        <v>-3.3601902301294545E-6</v>
      </c>
      <c r="U55" s="361">
        <f t="shared" si="13"/>
        <v>3.1319906665183272E-4</v>
      </c>
      <c r="V55" s="166">
        <f t="shared" si="13"/>
        <v>4.8166327040370031E-5</v>
      </c>
      <c r="W55" s="166">
        <f t="shared" si="13"/>
        <v>2.9613524947602154E-6</v>
      </c>
      <c r="X55" s="360">
        <f t="shared" si="13"/>
        <v>-3.5869933277508191E-6</v>
      </c>
      <c r="Y55" s="361">
        <f t="shared" si="13"/>
        <v>3.133800009409224E-4</v>
      </c>
      <c r="Z55" s="406">
        <f t="shared" si="13"/>
        <v>4.835401050869723E-5</v>
      </c>
      <c r="AA55" s="166">
        <f t="shared" si="13"/>
        <v>3.1501871732036622E-6</v>
      </c>
      <c r="AB55" s="166">
        <f t="shared" si="13"/>
        <v>-3.3601902301294545E-6</v>
      </c>
      <c r="AC55" s="166">
        <f t="shared" si="13"/>
        <v>6.5150956629291419E-5</v>
      </c>
      <c r="BC55" s="384">
        <f>_xll.qlCalendarAdvance(Calendar,BC54,"1d","mf",,Trigger)</f>
        <v>42207</v>
      </c>
      <c r="BD55" s="154">
        <f>_xll.qlDayCounterYearFraction(DayCounter,SettlementDate,BC55,,,Trigger)</f>
        <v>0.19166666666666668</v>
      </c>
      <c r="BE55" s="166">
        <f>_xll.qlPolynomialFunctionValue(BE$1,$BD55,AllTriggers)</f>
        <v>8.9992370115432683E-4</v>
      </c>
      <c r="BF55" s="166">
        <f>_xll.qlPolynomialFunctionValue(BF$1,$BD55,AllTriggers)</f>
        <v>7.8092662487395351E-4</v>
      </c>
      <c r="BG55" s="166">
        <f>_xll.qlPolynomialFunctionValue(BG$1,$BD55,AllTriggers)</f>
        <v>1.1187369888215235E-3</v>
      </c>
      <c r="BH55" s="166">
        <f>_xll.qlPolynomialFunctionValue(BH$1,$BD55,AllTriggers)</f>
        <v>1.1673890368804917E-3</v>
      </c>
      <c r="BI55" s="166">
        <f>_xll.qlPolynomialFunctionValue(BI$1,$BD55,AllTriggers)</f>
        <v>9.0010418619415025E-4</v>
      </c>
      <c r="BJ55" s="166">
        <f>_xll.qlPolynomialFunctionValue(BJ$1,$BD55,AllTriggers)</f>
        <v>7.8110408506656135E-4</v>
      </c>
      <c r="BK55" s="166">
        <f>_xll.qlPolynomialFunctionValue(BK$1,$BD55,AllTriggers)</f>
        <v>1.1189230359876156E-3</v>
      </c>
      <c r="BL55" s="166">
        <f>_xll.qlPolynomialFunctionValue(BL$1,$BD55,AllTriggers)</f>
        <v>1.1678588194542466E-3</v>
      </c>
      <c r="BM55" s="166">
        <f>_xll.qlPolynomialFunctionValue(BM$1,$BD55,AllTriggers)</f>
        <v>8.9992370115432683E-4</v>
      </c>
      <c r="BN55" s="166">
        <f>_xll.qlPolynomialFunctionValue(BN$1,$BD55,AllTriggers)</f>
        <v>7.8092662487395351E-4</v>
      </c>
      <c r="BO55" s="166">
        <f>_xll.qlPolynomialFunctionValue(BO$1,$BD55,AllTriggers)</f>
        <v>1.1187369888215235E-3</v>
      </c>
      <c r="BP55" s="166">
        <f>_xll.qlPolynomialFunctionValue(BP$1,$BD55,AllTriggers)</f>
        <v>1.1673890368804917E-3</v>
      </c>
      <c r="BQ55" s="166">
        <f>_xll.qlPolynomialFunctionValue('6MSynthDepo_used'!$P$18,BD55,AllTriggers)</f>
        <v>1.7794921336506992E-3</v>
      </c>
    </row>
    <row r="56" spans="3:69" x14ac:dyDescent="0.2">
      <c r="F56" s="396" t="str">
        <f t="shared" ref="F56:F60" si="14">C44&amp;"x"&amp;C44+SUBSTITUTE($D$24,"M","")&amp;"F"</f>
        <v>2x5F</v>
      </c>
      <c r="G56" s="166">
        <f t="shared" ref="G56:AC56" si="15">$AD44-G44</f>
        <v>4.8974020991218541E-4</v>
      </c>
      <c r="H56" s="166">
        <f t="shared" si="15"/>
        <v>-6.9312889667447154E-4</v>
      </c>
      <c r="I56" s="115">
        <f t="shared" si="15"/>
        <v>-4.9999999999999996E-5</v>
      </c>
      <c r="J56" s="115">
        <f t="shared" si="15"/>
        <v>-4.9999999999999996E-5</v>
      </c>
      <c r="K56" s="115">
        <f t="shared" si="15"/>
        <v>-4.9999999999999996E-5</v>
      </c>
      <c r="L56" s="115">
        <f t="shared" si="15"/>
        <v>-4.9999999999999996E-5</v>
      </c>
      <c r="M56" s="115">
        <f t="shared" si="15"/>
        <v>-4.9999999999999996E-5</v>
      </c>
      <c r="N56" s="115">
        <f t="shared" si="15"/>
        <v>-4.9999999999999996E-5</v>
      </c>
      <c r="O56" s="115">
        <f t="shared" si="15"/>
        <v>-4.9999999999999996E-5</v>
      </c>
      <c r="P56" s="115">
        <f t="shared" si="15"/>
        <v>-4.9999999999999996E-5</v>
      </c>
      <c r="Q56" s="115">
        <f t="shared" si="15"/>
        <v>-4.9999999999999996E-5</v>
      </c>
      <c r="R56" s="115">
        <f t="shared" si="15"/>
        <v>-4.9999999999999996E-5</v>
      </c>
      <c r="S56" s="166">
        <f t="shared" si="15"/>
        <v>-1.8984498375655456E-4</v>
      </c>
      <c r="T56" s="360">
        <f t="shared" si="15"/>
        <v>-1.1736647352217664E-4</v>
      </c>
      <c r="U56" s="361">
        <f t="shared" si="15"/>
        <v>4.8954779222170871E-4</v>
      </c>
      <c r="V56" s="166">
        <f t="shared" si="15"/>
        <v>-6.9335144503594997E-4</v>
      </c>
      <c r="W56" s="166">
        <f t="shared" si="15"/>
        <v>-1.9005471109118408E-4</v>
      </c>
      <c r="X56" s="360">
        <f t="shared" si="15"/>
        <v>-1.1715351118571548E-4</v>
      </c>
      <c r="Y56" s="361">
        <f t="shared" si="15"/>
        <v>4.8974020991218541E-4</v>
      </c>
      <c r="Z56" s="406">
        <f t="shared" si="15"/>
        <v>-6.9312889667447154E-4</v>
      </c>
      <c r="AA56" s="166">
        <f t="shared" si="15"/>
        <v>-1.8984498375655456E-4</v>
      </c>
      <c r="AB56" s="166">
        <f t="shared" si="15"/>
        <v>-1.1736647352217664E-4</v>
      </c>
      <c r="AC56" s="166">
        <f t="shared" si="15"/>
        <v>1.143512165121425E-5</v>
      </c>
      <c r="BC56" s="384">
        <f>_xll.qlCalendarAdvance(Calendar,BC55,"1d","mf",,Trigger)</f>
        <v>42208</v>
      </c>
      <c r="BD56" s="154">
        <f>_xll.qlDayCounterYearFraction(DayCounter,SettlementDate,BC56,,,Trigger)</f>
        <v>0.19444444444444445</v>
      </c>
      <c r="BE56" s="166">
        <f>_xll.qlPolynomialFunctionValue(BE$1,$BD56,AllTriggers)</f>
        <v>8.9343223760060065E-4</v>
      </c>
      <c r="BF56" s="166">
        <f>_xll.qlPolynomialFunctionValue(BF$1,$BD56,AllTriggers)</f>
        <v>7.89956519095928E-4</v>
      </c>
      <c r="BG56" s="166">
        <f>_xll.qlPolynomialFunctionValue(BG$1,$BD56,AllTriggers)</f>
        <v>1.1251168951305736E-3</v>
      </c>
      <c r="BH56" s="166">
        <f>_xll.qlPolynomialFunctionValue(BH$1,$BD56,AllTriggers)</f>
        <v>1.1733872872279286E-3</v>
      </c>
      <c r="BI56" s="166">
        <f>_xll.qlPolynomialFunctionValue(BI$1,$BD56,AllTriggers)</f>
        <v>8.9361312314208466E-4</v>
      </c>
      <c r="BJ56" s="166">
        <f>_xll.qlPolynomialFunctionValue(BJ$1,$BD56,AllTriggers)</f>
        <v>7.901347743354849E-4</v>
      </c>
      <c r="BK56" s="166">
        <f>_xll.qlPolynomialFunctionValue(BK$1,$BD56,AllTriggers)</f>
        <v>1.125303669982224E-3</v>
      </c>
      <c r="BL56" s="166">
        <f>_xll.qlPolynomialFunctionValue(BL$1,$BD56,AllTriggers)</f>
        <v>1.1738555716958483E-3</v>
      </c>
      <c r="BM56" s="166">
        <f>_xll.qlPolynomialFunctionValue(BM$1,$BD56,AllTriggers)</f>
        <v>8.9343223760060065E-4</v>
      </c>
      <c r="BN56" s="166">
        <f>_xll.qlPolynomialFunctionValue(BN$1,$BD56,AllTriggers)</f>
        <v>7.89956519095928E-4</v>
      </c>
      <c r="BO56" s="166">
        <f>_xll.qlPolynomialFunctionValue(BO$1,$BD56,AllTriggers)</f>
        <v>1.1251168951305736E-3</v>
      </c>
      <c r="BP56" s="166">
        <f>_xll.qlPolynomialFunctionValue(BP$1,$BD56,AllTriggers)</f>
        <v>1.1733872872279286E-3</v>
      </c>
      <c r="BQ56" s="166">
        <f>_xll.qlPolynomialFunctionValue('6MSynthDepo_used'!$P$18,BD56,AllTriggers)</f>
        <v>1.7813960362090561E-3</v>
      </c>
    </row>
    <row r="57" spans="3:69" x14ac:dyDescent="0.2">
      <c r="F57" s="396" t="str">
        <f t="shared" si="14"/>
        <v>3x6F</v>
      </c>
      <c r="G57" s="166">
        <f t="shared" ref="G57:AC57" si="16">$AD45-G45</f>
        <v>6.9980007893880893E-4</v>
      </c>
      <c r="H57" s="166">
        <f t="shared" si="16"/>
        <v>-2.1992445533169916E-3</v>
      </c>
      <c r="I57" s="115">
        <f t="shared" si="16"/>
        <v>-6.0000000000000002E-5</v>
      </c>
      <c r="J57" s="115">
        <f t="shared" si="16"/>
        <v>-6.0000000000000002E-5</v>
      </c>
      <c r="K57" s="115">
        <f t="shared" si="16"/>
        <v>-6.0000000000000002E-5</v>
      </c>
      <c r="L57" s="115">
        <f t="shared" si="16"/>
        <v>-6.0000000000000002E-5</v>
      </c>
      <c r="M57" s="115">
        <f t="shared" si="16"/>
        <v>-6.0000000000000002E-5</v>
      </c>
      <c r="N57" s="115">
        <f t="shared" si="16"/>
        <v>-6.0000000000000002E-5</v>
      </c>
      <c r="O57" s="115">
        <f t="shared" si="16"/>
        <v>-6.0000000000000002E-5</v>
      </c>
      <c r="P57" s="115">
        <f t="shared" si="16"/>
        <v>-6.0000000000000002E-5</v>
      </c>
      <c r="Q57" s="115">
        <f t="shared" si="16"/>
        <v>-6.0000000000000002E-5</v>
      </c>
      <c r="R57" s="115">
        <f t="shared" si="16"/>
        <v>-6.0000000000000002E-5</v>
      </c>
      <c r="S57" s="166">
        <f t="shared" si="16"/>
        <v>-3.8043450672869511E-4</v>
      </c>
      <c r="T57" s="360">
        <f t="shared" si="16"/>
        <v>-1.1855738569102093E-4</v>
      </c>
      <c r="U57" s="361">
        <f t="shared" si="16"/>
        <v>6.9959520802325749E-4</v>
      </c>
      <c r="V57" s="166">
        <f t="shared" si="16"/>
        <v>-2.1995232995303368E-3</v>
      </c>
      <c r="W57" s="166">
        <f t="shared" si="16"/>
        <v>-3.8066689834953559E-4</v>
      </c>
      <c r="X57" s="360">
        <f t="shared" si="16"/>
        <v>-1.1726256443569914E-4</v>
      </c>
      <c r="Y57" s="361">
        <f t="shared" si="16"/>
        <v>6.9109948222474096E-4</v>
      </c>
      <c r="Z57" s="406">
        <f t="shared" si="16"/>
        <v>-2.2198212029539812E-3</v>
      </c>
      <c r="AA57" s="166">
        <f t="shared" si="16"/>
        <v>-3.9961687354421747E-4</v>
      </c>
      <c r="AB57" s="166">
        <f t="shared" si="16"/>
        <v>-1.37467816076782E-4</v>
      </c>
      <c r="AC57" s="166">
        <f t="shared" si="16"/>
        <v>-2.0890236874508782E-5</v>
      </c>
      <c r="BC57" s="384">
        <f>_xll.qlCalendarAdvance(Calendar,BC56,"1d","mf",,Trigger)</f>
        <v>42209</v>
      </c>
      <c r="BD57" s="154">
        <f>_xll.qlDayCounterYearFraction(DayCounter,SettlementDate,BC57,,,Trigger)</f>
        <v>0.19722222222222222</v>
      </c>
      <c r="BE57" s="166">
        <f>_xll.qlPolynomialFunctionValue(BE$1,$BD57,AllTriggers)</f>
        <v>8.8694077404687436E-4</v>
      </c>
      <c r="BF57" s="166">
        <f>_xll.qlPolynomialFunctionValue(BF$1,$BD57,AllTriggers)</f>
        <v>7.9974355272159538E-4</v>
      </c>
      <c r="BG57" s="166">
        <f>_xll.qlPolynomialFunctionValue(BG$1,$BD57,AllTriggers)</f>
        <v>1.1314968014396235E-3</v>
      </c>
      <c r="BH57" s="166">
        <f>_xll.qlPolynomialFunctionValue(BH$1,$BD57,AllTriggers)</f>
        <v>1.1792764930149044E-3</v>
      </c>
      <c r="BI57" s="166">
        <f>_xll.qlPolynomialFunctionValue(BI$1,$BD57,AllTriggers)</f>
        <v>8.8712206009001907E-4</v>
      </c>
      <c r="BJ57" s="166">
        <f>_xll.qlPolynomialFunctionValue(BJ$1,$BD57,AllTriggers)</f>
        <v>7.99922622254213E-4</v>
      </c>
      <c r="BK57" s="166">
        <f>_xll.qlPolynomialFunctionValue(BK$1,$BD57,AllTriggers)</f>
        <v>1.1316843039768326E-3</v>
      </c>
      <c r="BL57" s="166">
        <f>_xll.qlPolynomialFunctionValue(BL$1,$BD57,AllTriggers)</f>
        <v>1.179742643436591E-3</v>
      </c>
      <c r="BM57" s="166">
        <f>_xll.qlPolynomialFunctionValue(BM$1,$BD57,AllTriggers)</f>
        <v>8.8694077404687436E-4</v>
      </c>
      <c r="BN57" s="166">
        <f>_xll.qlPolynomialFunctionValue(BN$1,$BD57,AllTriggers)</f>
        <v>7.9974355272159538E-4</v>
      </c>
      <c r="BO57" s="166">
        <f>_xll.qlPolynomialFunctionValue(BO$1,$BD57,AllTriggers)</f>
        <v>1.1314968014396235E-3</v>
      </c>
      <c r="BP57" s="166">
        <f>_xll.qlPolynomialFunctionValue(BP$1,$BD57,AllTriggers)</f>
        <v>1.1792764930149044E-3</v>
      </c>
      <c r="BQ57" s="166">
        <f>_xll.qlPolynomialFunctionValue('6MSynthDepo_used'!$P$18,BD57,AllTriggers)</f>
        <v>1.7832867688031037E-3</v>
      </c>
    </row>
    <row r="58" spans="3:69" x14ac:dyDescent="0.2">
      <c r="F58" s="486" t="str">
        <f>D46</f>
        <v>K5</v>
      </c>
      <c r="G58" s="179">
        <f t="shared" ref="G58:AC58" si="17">$AD46-G46</f>
        <v>9.4411292709986432E-6</v>
      </c>
      <c r="H58" s="179">
        <f t="shared" si="17"/>
        <v>-3.4941046525550044E-7</v>
      </c>
      <c r="I58" s="299">
        <f t="shared" si="17"/>
        <v>-1.2499999999993072E-4</v>
      </c>
      <c r="J58" s="299">
        <f t="shared" si="17"/>
        <v>-1.2499999999993072E-4</v>
      </c>
      <c r="K58" s="299">
        <f t="shared" si="17"/>
        <v>-1.2499999999993072E-4</v>
      </c>
      <c r="L58" s="299">
        <f t="shared" si="17"/>
        <v>-1.2499999999993072E-4</v>
      </c>
      <c r="M58" s="299">
        <f t="shared" si="17"/>
        <v>-1.2499999999993072E-4</v>
      </c>
      <c r="N58" s="299">
        <f t="shared" si="17"/>
        <v>-1.2499999999993072E-4</v>
      </c>
      <c r="O58" s="299">
        <f t="shared" si="17"/>
        <v>-1.2499999999993072E-4</v>
      </c>
      <c r="P58" s="299">
        <f t="shared" si="17"/>
        <v>-1.2499999999993072E-4</v>
      </c>
      <c r="Q58" s="299">
        <f t="shared" si="17"/>
        <v>-1.2499999999993072E-4</v>
      </c>
      <c r="R58" s="299">
        <f t="shared" si="17"/>
        <v>-1.2499999999993072E-4</v>
      </c>
      <c r="S58" s="179">
        <f t="shared" si="17"/>
        <v>5.2437586101766742E-7</v>
      </c>
      <c r="T58" s="481">
        <f t="shared" si="17"/>
        <v>6.5022011825851579E-7</v>
      </c>
      <c r="U58" s="480">
        <f t="shared" si="17"/>
        <v>-7.0718854326993694E-7</v>
      </c>
      <c r="V58" s="179">
        <f t="shared" si="17"/>
        <v>-5.230493782956095E-7</v>
      </c>
      <c r="W58" s="179">
        <f t="shared" si="17"/>
        <v>3.5075915919349776E-7</v>
      </c>
      <c r="X58" s="481">
        <f t="shared" si="17"/>
        <v>4.7733733151214541E-7</v>
      </c>
      <c r="Y58" s="480">
        <f t="shared" si="17"/>
        <v>-5.3354494962127956E-7</v>
      </c>
      <c r="Z58" s="405">
        <f t="shared" si="17"/>
        <v>-3.4941046525550044E-7</v>
      </c>
      <c r="AA58" s="179">
        <f t="shared" si="17"/>
        <v>5.2437586101766742E-7</v>
      </c>
      <c r="AB58" s="179">
        <f t="shared" si="17"/>
        <v>6.5022011825851579E-7</v>
      </c>
      <c r="AC58" s="179">
        <f t="shared" si="17"/>
        <v>-5.006227179826339E-5</v>
      </c>
      <c r="BC58" s="384">
        <f>_xll.qlCalendarAdvance(Calendar,BC57,"1d","mf",,Trigger)</f>
        <v>42212</v>
      </c>
      <c r="BD58" s="154">
        <f>_xll.qlDayCounterYearFraction(DayCounter,SettlementDate,BC58,,,Trigger)</f>
        <v>0.20555555555555555</v>
      </c>
      <c r="BE58" s="166">
        <f>_xll.qlPolynomialFunctionValue(BE$1,$BD58,AllTriggers)</f>
        <v>8.674663833856957E-4</v>
      </c>
      <c r="BF58" s="166">
        <f>_xll.qlPolynomialFunctionValue(BF$1,$BD58,AllTriggers)</f>
        <v>8.33647490020753E-4</v>
      </c>
      <c r="BG58" s="166">
        <f>_xll.qlPolynomialFunctionValue(BG$1,$BD58,AllTriggers)</f>
        <v>1.1506365203667736E-3</v>
      </c>
      <c r="BH58" s="166">
        <f>_xll.qlPolynomialFunctionValue(BH$1,$BD58,AllTriggers)</f>
        <v>1.1962898430130672E-3</v>
      </c>
      <c r="BI58" s="166">
        <f>_xll.qlPolynomialFunctionValue(BI$1,$BD58,AllTriggers)</f>
        <v>8.6764887093382208E-4</v>
      </c>
      <c r="BJ58" s="166">
        <f>_xll.qlPolynomialFunctionValue(BJ$1,$BD58,AllTriggers)</f>
        <v>8.3382911790922352E-4</v>
      </c>
      <c r="BK58" s="166">
        <f>_xll.qlPolynomialFunctionValue(BK$1,$BD58,AllTriggers)</f>
        <v>1.1508262059606584E-3</v>
      </c>
      <c r="BL58" s="166">
        <f>_xll.qlPolynomialFunctionValue(BL$1,$BD58,AllTriggers)</f>
        <v>1.1967457756536647E-3</v>
      </c>
      <c r="BM58" s="166">
        <f>_xll.qlPolynomialFunctionValue(BM$1,$BD58,AllTriggers)</f>
        <v>8.674663833856957E-4</v>
      </c>
      <c r="BN58" s="166">
        <f>_xll.qlPolynomialFunctionValue(BN$1,$BD58,AllTriggers)</f>
        <v>8.33647490020753E-4</v>
      </c>
      <c r="BO58" s="166">
        <f>_xll.qlPolynomialFunctionValue(BO$1,$BD58,AllTriggers)</f>
        <v>1.1506365203667736E-3</v>
      </c>
      <c r="BP58" s="166">
        <f>_xll.qlPolynomialFunctionValue(BP$1,$BD58,AllTriggers)</f>
        <v>1.1962898430130672E-3</v>
      </c>
      <c r="BQ58" s="166">
        <f>_xll.qlPolynomialFunctionValue('6MSynthDepo_used'!$P$18,BD58,AllTriggers)</f>
        <v>1.7888807929780435E-3</v>
      </c>
    </row>
    <row r="59" spans="3:69" x14ac:dyDescent="0.2">
      <c r="F59" s="396" t="str">
        <f t="shared" ref="F59:F60" si="18">D47</f>
        <v>M5</v>
      </c>
      <c r="G59" s="166">
        <f t="shared" ref="G59:AC59" si="19">$AD47-G47</f>
        <v>3.6490033571865712E-4</v>
      </c>
      <c r="H59" s="166">
        <f t="shared" si="19"/>
        <v>7.826305288654873E-6</v>
      </c>
      <c r="I59" s="117">
        <f t="shared" si="19"/>
        <v>-2.4999999999941735E-5</v>
      </c>
      <c r="J59" s="117">
        <f t="shared" si="19"/>
        <v>-2.4999999999941735E-5</v>
      </c>
      <c r="K59" s="117">
        <f t="shared" si="19"/>
        <v>-2.4999999999941735E-5</v>
      </c>
      <c r="L59" s="117">
        <f t="shared" si="19"/>
        <v>-2.4999999999941735E-5</v>
      </c>
      <c r="M59" s="117">
        <f t="shared" si="19"/>
        <v>-2.4999999999941735E-5</v>
      </c>
      <c r="N59" s="117">
        <f t="shared" si="19"/>
        <v>-2.4999999999941735E-5</v>
      </c>
      <c r="O59" s="117">
        <f t="shared" si="19"/>
        <v>-2.4999999999941735E-5</v>
      </c>
      <c r="P59" s="117">
        <f t="shared" si="19"/>
        <v>-2.4999999999941735E-5</v>
      </c>
      <c r="Q59" s="117">
        <f t="shared" si="19"/>
        <v>-2.4999999999941735E-5</v>
      </c>
      <c r="R59" s="117">
        <f t="shared" si="19"/>
        <v>-2.4999999999941735E-5</v>
      </c>
      <c r="S59" s="166">
        <f t="shared" si="19"/>
        <v>2.9714632124339547E-6</v>
      </c>
      <c r="T59" s="360">
        <f t="shared" si="19"/>
        <v>2.2722602417179268E-6</v>
      </c>
      <c r="U59" s="361">
        <f t="shared" si="19"/>
        <v>3.5719023075347759E-4</v>
      </c>
      <c r="V59" s="166">
        <f t="shared" si="19"/>
        <v>7.6327159111674089E-6</v>
      </c>
      <c r="W59" s="166">
        <f t="shared" si="19"/>
        <v>2.7777504272383929E-6</v>
      </c>
      <c r="X59" s="360">
        <f t="shared" si="19"/>
        <v>2.0744697527494155E-6</v>
      </c>
      <c r="Y59" s="361">
        <f t="shared" si="19"/>
        <v>3.5737493477654766E-4</v>
      </c>
      <c r="Z59" s="406">
        <f t="shared" si="19"/>
        <v>7.826305288654873E-6</v>
      </c>
      <c r="AA59" s="166">
        <f t="shared" si="19"/>
        <v>2.9714632124339547E-6</v>
      </c>
      <c r="AB59" s="166">
        <f t="shared" si="19"/>
        <v>2.2722602417179268E-6</v>
      </c>
      <c r="AC59" s="166">
        <f t="shared" si="19"/>
        <v>8.0671713159819435E-5</v>
      </c>
      <c r="BC59" s="384">
        <f>_xll.qlCalendarAdvance(Calendar,BC58,"1d","mf",,Trigger)</f>
        <v>42213</v>
      </c>
      <c r="BD59" s="154">
        <f>_xll.qlDayCounterYearFraction(DayCounter,SettlementDate,BC59,,,Trigger)</f>
        <v>0.20833333333333334</v>
      </c>
      <c r="BE59" s="166">
        <f>_xll.qlPolynomialFunctionValue(BE$1,$BD59,AllTriggers)</f>
        <v>8.609749198319693E-4</v>
      </c>
      <c r="BF59" s="166">
        <f>_xll.qlPolynomialFunctionValue(BF$1,$BD59,AllTriggers)</f>
        <v>8.4646308126119178E-4</v>
      </c>
      <c r="BG59" s="166">
        <f>_xll.qlPolynomialFunctionValue(BG$1,$BD59,AllTriggers)</f>
        <v>1.1570164266758237E-3</v>
      </c>
      <c r="BH59" s="166">
        <f>_xll.qlPolynomialFunctionValue(BH$1,$BD59,AllTriggers)</f>
        <v>1.2017428705581993E-3</v>
      </c>
      <c r="BI59" s="166">
        <f>_xll.qlPolynomialFunctionValue(BI$1,$BD59,AllTriggers)</f>
        <v>8.6115780788175637E-4</v>
      </c>
      <c r="BJ59" s="166">
        <f>_xll.qlPolynomialFunctionValue(BJ$1,$BD59,AllTriggers)</f>
        <v>8.4664560042716896E-4</v>
      </c>
      <c r="BK59" s="166">
        <f>_xll.qlPolynomialFunctionValue(BK$1,$BD59,AllTriggers)</f>
        <v>1.1572068399552673E-3</v>
      </c>
      <c r="BL59" s="166">
        <f>_xll.qlPolynomialFunctionValue(BL$1,$BD59,AllTriggers)</f>
        <v>1.202194125390971E-3</v>
      </c>
      <c r="BM59" s="166">
        <f>_xll.qlPolynomialFunctionValue(BM$1,$BD59,AllTriggers)</f>
        <v>8.609749198319693E-4</v>
      </c>
      <c r="BN59" s="166">
        <f>_xll.qlPolynomialFunctionValue(BN$1,$BD59,AllTriggers)</f>
        <v>8.4646308126119178E-4</v>
      </c>
      <c r="BO59" s="166">
        <f>_xll.qlPolynomialFunctionValue(BO$1,$BD59,AllTriggers)</f>
        <v>1.1570164266758237E-3</v>
      </c>
      <c r="BP59" s="166">
        <f>_xll.qlPolynomialFunctionValue(BP$1,$BD59,AllTriggers)</f>
        <v>1.2017428705581993E-3</v>
      </c>
      <c r="BQ59" s="166">
        <f>_xll.qlPolynomialFunctionValue('6MSynthDepo_used'!$P$18,BD59,AllTriggers)</f>
        <v>1.7907196906254493E-3</v>
      </c>
    </row>
    <row r="60" spans="3:69" x14ac:dyDescent="0.2">
      <c r="F60" s="396" t="str">
        <f t="shared" si="18"/>
        <v>U5</v>
      </c>
      <c r="G60" s="166">
        <f t="shared" ref="G60:AC60" si="20">$AD48-G48</f>
        <v>9.2644558830677929E-4</v>
      </c>
      <c r="H60" s="166">
        <f t="shared" si="20"/>
        <v>-4.544009053522844E-3</v>
      </c>
      <c r="I60" s="117">
        <f t="shared" si="20"/>
        <v>-7.4999999999825206E-5</v>
      </c>
      <c r="J60" s="117">
        <f t="shared" si="20"/>
        <v>-7.4999999999825206E-5</v>
      </c>
      <c r="K60" s="117">
        <f t="shared" si="20"/>
        <v>-7.4999999999825206E-5</v>
      </c>
      <c r="L60" s="117">
        <f t="shared" si="20"/>
        <v>-7.4999999999825206E-5</v>
      </c>
      <c r="M60" s="117">
        <f t="shared" si="20"/>
        <v>-7.4999999999825206E-5</v>
      </c>
      <c r="N60" s="117">
        <f t="shared" si="20"/>
        <v>-7.4999999999825206E-5</v>
      </c>
      <c r="O60" s="117">
        <f t="shared" si="20"/>
        <v>-7.4999999999825206E-5</v>
      </c>
      <c r="P60" s="117">
        <f t="shared" si="20"/>
        <v>-7.4999999999825206E-5</v>
      </c>
      <c r="Q60" s="117">
        <f t="shared" si="20"/>
        <v>-7.4999999999825206E-5</v>
      </c>
      <c r="R60" s="117">
        <f t="shared" si="20"/>
        <v>-7.4999999999825206E-5</v>
      </c>
      <c r="S60" s="166">
        <f t="shared" si="20"/>
        <v>-5.7949727551096799E-4</v>
      </c>
      <c r="T60" s="360">
        <f t="shared" si="20"/>
        <v>-8.5212542302315342E-6</v>
      </c>
      <c r="U60" s="361">
        <f t="shared" si="20"/>
        <v>9.2993507085240186E-4</v>
      </c>
      <c r="V60" s="166">
        <f t="shared" si="20"/>
        <v>-4.5443688545205169E-3</v>
      </c>
      <c r="W60" s="166">
        <f t="shared" si="20"/>
        <v>-5.7975630056712074E-4</v>
      </c>
      <c r="X60" s="360">
        <f t="shared" si="20"/>
        <v>-5.4503862885058995E-6</v>
      </c>
      <c r="Y60" s="361">
        <f t="shared" si="20"/>
        <v>9.3015572127109168E-4</v>
      </c>
      <c r="Z60" s="406">
        <f t="shared" si="20"/>
        <v>-4.544009053522844E-3</v>
      </c>
      <c r="AA60" s="166">
        <f t="shared" si="20"/>
        <v>-5.7949727551096799E-4</v>
      </c>
      <c r="AB60" s="166">
        <f t="shared" si="20"/>
        <v>-8.5212542302315342E-6</v>
      </c>
      <c r="AC60" s="166">
        <f t="shared" si="20"/>
        <v>-4.4371527326638599E-5</v>
      </c>
      <c r="BC60" s="384">
        <f>_xll.qlCalendarAdvance(Calendar,BC59,"1d","mf",,Trigger)</f>
        <v>42214</v>
      </c>
      <c r="BD60" s="154">
        <f>_xll.qlDayCounterYearFraction(DayCounter,SettlementDate,BC60,,,Trigger)</f>
        <v>0.21111111111111111</v>
      </c>
      <c r="BE60" s="166">
        <f>_xll.qlPolynomialFunctionValue(BE$1,$BD60,AllTriggers)</f>
        <v>8.5448345627824312E-4</v>
      </c>
      <c r="BF60" s="166">
        <f>_xll.qlPolynomialFunctionValue(BF$1,$BD60,AllTriggers)</f>
        <v>8.6003581190532237E-4</v>
      </c>
      <c r="BG60" s="166">
        <f>_xll.qlPolynomialFunctionValue(BG$1,$BD60,AllTriggers)</f>
        <v>1.1633963329848735E-3</v>
      </c>
      <c r="BH60" s="166">
        <f>_xll.qlPolynomialFunctionValue(BH$1,$BD60,AllTriggers)</f>
        <v>1.2070868535428709E-3</v>
      </c>
      <c r="BI60" s="166">
        <f>_xll.qlPolynomialFunctionValue(BI$1,$BD60,AllTriggers)</f>
        <v>8.5466674482969078E-4</v>
      </c>
      <c r="BJ60" s="166">
        <f>_xll.qlPolynomialFunctionValue(BJ$1,$BD60,AllTriggers)</f>
        <v>8.6021924159491872E-4</v>
      </c>
      <c r="BK60" s="166">
        <f>_xll.qlPolynomialFunctionValue(BK$1,$BD60,AllTriggers)</f>
        <v>1.1635874739498757E-3</v>
      </c>
      <c r="BL60" s="166">
        <f>_xll.qlPolynomialFunctionValue(BL$1,$BD60,AllTriggers)</f>
        <v>1.2075327946274182E-3</v>
      </c>
      <c r="BM60" s="166">
        <f>_xll.qlPolynomialFunctionValue(BM$1,$BD60,AllTriggers)</f>
        <v>8.5448345627824312E-4</v>
      </c>
      <c r="BN60" s="166">
        <f>_xll.qlPolynomialFunctionValue(BN$1,$BD60,AllTriggers)</f>
        <v>8.6003581190532237E-4</v>
      </c>
      <c r="BO60" s="166">
        <f>_xll.qlPolynomialFunctionValue(BO$1,$BD60,AllTriggers)</f>
        <v>1.1633963329848735E-3</v>
      </c>
      <c r="BP60" s="166">
        <f>_xll.qlPolynomialFunctionValue(BP$1,$BD60,AllTriggers)</f>
        <v>1.2070868535428709E-3</v>
      </c>
      <c r="BQ60" s="166">
        <f>_xll.qlPolynomialFunctionValue('6MSynthDepo_used'!$P$18,BD60,AllTriggers)</f>
        <v>1.7925458394957856E-3</v>
      </c>
    </row>
    <row r="61" spans="3:69" x14ac:dyDescent="0.2">
      <c r="F61" s="396" t="str">
        <f t="shared" ref="F61:F63" si="21">D49</f>
        <v>Z5</v>
      </c>
      <c r="G61" s="166">
        <f t="shared" ref="G61:AC61" si="22">$AD49-G49</f>
        <v>1.6142729892048722E-3</v>
      </c>
      <c r="H61" s="166">
        <f t="shared" si="22"/>
        <v>-1.5071894860700616E-2</v>
      </c>
      <c r="I61" s="117">
        <f t="shared" si="22"/>
        <v>-2.4999999999941735E-5</v>
      </c>
      <c r="J61" s="117">
        <f t="shared" si="22"/>
        <v>-2.4999999999941735E-5</v>
      </c>
      <c r="K61" s="117">
        <f t="shared" si="22"/>
        <v>-2.4999999999941735E-5</v>
      </c>
      <c r="L61" s="117">
        <f t="shared" si="22"/>
        <v>-2.4999999999941735E-5</v>
      </c>
      <c r="M61" s="117">
        <f t="shared" si="22"/>
        <v>-2.4999999999941735E-5</v>
      </c>
      <c r="N61" s="117">
        <f t="shared" si="22"/>
        <v>-2.4999999999941735E-5</v>
      </c>
      <c r="O61" s="117">
        <f t="shared" si="22"/>
        <v>-2.4999999999941735E-5</v>
      </c>
      <c r="P61" s="117">
        <f t="shared" si="22"/>
        <v>-2.4999999999941735E-5</v>
      </c>
      <c r="Q61" s="117">
        <f t="shared" si="22"/>
        <v>-2.4999999999941735E-5</v>
      </c>
      <c r="R61" s="117">
        <f t="shared" si="22"/>
        <v>-2.4999999999941735E-5</v>
      </c>
      <c r="S61" s="166">
        <f t="shared" si="22"/>
        <v>-1.0387458024652707E-3</v>
      </c>
      <c r="T61" s="360">
        <f t="shared" si="22"/>
        <v>9.8233322667280742E-4</v>
      </c>
      <c r="U61" s="361">
        <f t="shared" si="22"/>
        <v>1.6259001227204263E-3</v>
      </c>
      <c r="V61" s="166">
        <f t="shared" si="22"/>
        <v>-1.5072575913781945E-2</v>
      </c>
      <c r="W61" s="166">
        <f t="shared" si="22"/>
        <v>-1.0390701397923804E-3</v>
      </c>
      <c r="X61" s="360">
        <f t="shared" si="22"/>
        <v>9.937956836355709E-4</v>
      </c>
      <c r="Y61" s="361">
        <f t="shared" si="22"/>
        <v>1.6261567195347355E-3</v>
      </c>
      <c r="Z61" s="406">
        <f t="shared" si="22"/>
        <v>-1.5071894860700616E-2</v>
      </c>
      <c r="AA61" s="166">
        <f t="shared" si="22"/>
        <v>-1.0387458024652707E-3</v>
      </c>
      <c r="AB61" s="166">
        <f t="shared" si="22"/>
        <v>9.8233322667280742E-4</v>
      </c>
      <c r="AC61" s="166">
        <f t="shared" si="22"/>
        <v>4.2759846549246354E-6</v>
      </c>
      <c r="BC61" s="384">
        <f>_xll.qlCalendarAdvance(Calendar,BC60,"1d","mf",,Trigger)</f>
        <v>42215</v>
      </c>
      <c r="BD61" s="154">
        <f>_xll.qlDayCounterYearFraction(DayCounter,SettlementDate,BC61,,,Trigger)</f>
        <v>0.21388888888888888</v>
      </c>
      <c r="BE61" s="166">
        <f>_xll.qlPolynomialFunctionValue(BE$1,$BD61,AllTriggers)</f>
        <v>8.4799199272451683E-4</v>
      </c>
      <c r="BF61" s="166">
        <f>_xll.qlPolynomialFunctionValue(BF$1,$BD61,AllTriggers)</f>
        <v>8.7436568195314607E-4</v>
      </c>
      <c r="BG61" s="166">
        <f>_xll.qlPolynomialFunctionValue(BG$1,$BD61,AllTriggers)</f>
        <v>1.1697762392939236E-3</v>
      </c>
      <c r="BH61" s="166">
        <f>_xll.qlPolynomialFunctionValue(BH$1,$BD61,AllTriggers)</f>
        <v>1.2123217919670819E-3</v>
      </c>
      <c r="BI61" s="166">
        <f>_xll.qlPolynomialFunctionValue(BI$1,$BD61,AllTriggers)</f>
        <v>8.4817568177762508E-4</v>
      </c>
      <c r="BJ61" s="166">
        <f>_xll.qlPolynomialFunctionValue(BJ$1,$BD61,AllTriggers)</f>
        <v>8.7455004141247282E-4</v>
      </c>
      <c r="BK61" s="166">
        <f>_xll.qlPolynomialFunctionValue(BK$1,$BD61,AllTriggers)</f>
        <v>1.1699681079444843E-3</v>
      </c>
      <c r="BL61" s="166">
        <f>_xll.qlPolynomialFunctionValue(BL$1,$BD61,AllTriggers)</f>
        <v>1.2127617833630061E-3</v>
      </c>
      <c r="BM61" s="166">
        <f>_xll.qlPolynomialFunctionValue(BM$1,$BD61,AllTriggers)</f>
        <v>8.4799199272451683E-4</v>
      </c>
      <c r="BN61" s="166">
        <f>_xll.qlPolynomialFunctionValue(BN$1,$BD61,AllTriggers)</f>
        <v>8.7436568195314607E-4</v>
      </c>
      <c r="BO61" s="166">
        <f>_xll.qlPolynomialFunctionValue(BO$1,$BD61,AllTriggers)</f>
        <v>1.1697762392939236E-3</v>
      </c>
      <c r="BP61" s="166">
        <f>_xll.qlPolynomialFunctionValue(BP$1,$BD61,AllTriggers)</f>
        <v>1.2123217919670819E-3</v>
      </c>
      <c r="BQ61" s="166">
        <f>_xll.qlPolynomialFunctionValue('6MSynthDepo_used'!$P$18,BD61,AllTriggers)</f>
        <v>1.7943593230656651E-3</v>
      </c>
    </row>
    <row r="62" spans="3:69" x14ac:dyDescent="0.2">
      <c r="F62" s="396" t="str">
        <f t="shared" si="21"/>
        <v>H6</v>
      </c>
      <c r="G62" s="166">
        <f t="shared" ref="G62:AC62" si="23">$AD50-G50</f>
        <v>2.2342244987167345E-3</v>
      </c>
      <c r="H62" s="166">
        <f t="shared" si="23"/>
        <v>-3.1770004204765133E-2</v>
      </c>
      <c r="I62" s="117">
        <f t="shared" si="23"/>
        <v>7.4999999999936229E-5</v>
      </c>
      <c r="J62" s="117">
        <f t="shared" si="23"/>
        <v>7.4999999999936229E-5</v>
      </c>
      <c r="K62" s="117">
        <f t="shared" si="23"/>
        <v>7.4999999999936229E-5</v>
      </c>
      <c r="L62" s="117">
        <f t="shared" si="23"/>
        <v>7.4999999999936229E-5</v>
      </c>
      <c r="M62" s="117">
        <f t="shared" si="23"/>
        <v>7.4999999999936229E-5</v>
      </c>
      <c r="N62" s="117">
        <f t="shared" si="23"/>
        <v>7.4999999999936229E-5</v>
      </c>
      <c r="O62" s="117">
        <f t="shared" si="23"/>
        <v>7.4999999999936229E-5</v>
      </c>
      <c r="P62" s="117">
        <f t="shared" si="23"/>
        <v>7.4999999999936229E-5</v>
      </c>
      <c r="Q62" s="117">
        <f t="shared" si="23"/>
        <v>7.4999999999936229E-5</v>
      </c>
      <c r="R62" s="117">
        <f t="shared" si="23"/>
        <v>7.4999999999936229E-5</v>
      </c>
      <c r="S62" s="166">
        <f t="shared" si="23"/>
        <v>-1.5689472061709629E-3</v>
      </c>
      <c r="T62" s="360">
        <f t="shared" si="23"/>
        <v>2.7806626144303444E-3</v>
      </c>
      <c r="U62" s="361">
        <f t="shared" si="23"/>
        <v>2.25091229783706E-3</v>
      </c>
      <c r="V62" s="166">
        <f t="shared" si="23"/>
        <v>-3.1771161550393598E-2</v>
      </c>
      <c r="W62" s="166">
        <f t="shared" si="23"/>
        <v>-1.56933685576903E-3</v>
      </c>
      <c r="X62" s="360">
        <f t="shared" si="23"/>
        <v>2.8056395910044892E-3</v>
      </c>
      <c r="Y62" s="361">
        <f t="shared" si="23"/>
        <v>2.2512048410469887E-3</v>
      </c>
      <c r="Z62" s="406">
        <f t="shared" si="23"/>
        <v>-3.1770004204765133E-2</v>
      </c>
      <c r="AA62" s="166">
        <f t="shared" si="23"/>
        <v>-1.5689472061709629E-3</v>
      </c>
      <c r="AB62" s="166">
        <f t="shared" si="23"/>
        <v>2.7806626144303444E-3</v>
      </c>
      <c r="AC62" s="166">
        <f t="shared" si="23"/>
        <v>1.7946987023117989E-5</v>
      </c>
      <c r="BC62" s="384">
        <f>_xll.qlCalendarAdvance(Calendar,BC61,"1d","mf",,Trigger)</f>
        <v>42216</v>
      </c>
      <c r="BD62" s="154">
        <f>_xll.qlDayCounterYearFraction(DayCounter,SettlementDate,BC62,,,Trigger)</f>
        <v>0.21666666666666667</v>
      </c>
      <c r="BE62" s="166">
        <f>_xll.qlPolynomialFunctionValue(BE$1,$BD62,AllTriggers)</f>
        <v>8.4150052917079054E-4</v>
      </c>
      <c r="BF62" s="166">
        <f>_xll.qlPolynomialFunctionValue(BF$1,$BD62,AllTriggers)</f>
        <v>8.8945269140466247E-4</v>
      </c>
      <c r="BG62" s="166">
        <f>_xll.qlPolynomialFunctionValue(BG$1,$BD62,AllTriggers)</f>
        <v>1.1761561456029735E-3</v>
      </c>
      <c r="BH62" s="166">
        <f>_xll.qlPolynomialFunctionValue(BH$1,$BD62,AllTriggers)</f>
        <v>1.2174476858308313E-3</v>
      </c>
      <c r="BI62" s="166">
        <f>_xll.qlPolynomialFunctionValue(BI$1,$BD62,AllTriggers)</f>
        <v>8.4168461872555949E-4</v>
      </c>
      <c r="BJ62" s="166">
        <f>_xll.qlPolynomialFunctionValue(BJ$1,$BD62,AllTriggers)</f>
        <v>8.8963799987983169E-4</v>
      </c>
      <c r="BK62" s="166">
        <f>_xll.qlPolynomialFunctionValue(BK$1,$BD62,AllTriggers)</f>
        <v>1.1763487419390929E-3</v>
      </c>
      <c r="BL62" s="166">
        <f>_xll.qlPolynomialFunctionValue(BL$1,$BD62,AllTriggers)</f>
        <v>1.2178810915977351E-3</v>
      </c>
      <c r="BM62" s="166">
        <f>_xll.qlPolynomialFunctionValue(BM$1,$BD62,AllTriggers)</f>
        <v>8.4150052917079054E-4</v>
      </c>
      <c r="BN62" s="166">
        <f>_xll.qlPolynomialFunctionValue(BN$1,$BD62,AllTriggers)</f>
        <v>8.8945269140466247E-4</v>
      </c>
      <c r="BO62" s="166">
        <f>_xll.qlPolynomialFunctionValue(BO$1,$BD62,AllTriggers)</f>
        <v>1.1761561456029735E-3</v>
      </c>
      <c r="BP62" s="166">
        <f>_xll.qlPolynomialFunctionValue(BP$1,$BD62,AllTriggers)</f>
        <v>1.2174476858308313E-3</v>
      </c>
      <c r="BQ62" s="166">
        <f>_xll.qlPolynomialFunctionValue('6MSynthDepo_used'!$P$18,BD62,AllTriggers)</f>
        <v>1.7961602245580891E-3</v>
      </c>
    </row>
    <row r="63" spans="3:69" x14ac:dyDescent="0.2">
      <c r="C63" s="400"/>
      <c r="D63" s="400"/>
      <c r="E63" s="401"/>
      <c r="F63" s="485" t="str">
        <f t="shared" si="21"/>
        <v>M6</v>
      </c>
      <c r="G63" s="175">
        <f t="shared" ref="G63:AC63" si="24">$AD51-G51</f>
        <v>2.7888786590087866E-3</v>
      </c>
      <c r="H63" s="175">
        <f t="shared" si="24"/>
        <v>-5.4629501590059505E-2</v>
      </c>
      <c r="I63" s="302">
        <f t="shared" si="24"/>
        <v>2.2500000000003073E-4</v>
      </c>
      <c r="J63" s="302">
        <f t="shared" si="24"/>
        <v>2.2500000000003073E-4</v>
      </c>
      <c r="K63" s="302">
        <f t="shared" si="24"/>
        <v>2.2500000000003073E-4</v>
      </c>
      <c r="L63" s="302">
        <f t="shared" si="24"/>
        <v>2.2500000000003073E-4</v>
      </c>
      <c r="M63" s="302">
        <f t="shared" si="24"/>
        <v>2.2500000000003073E-4</v>
      </c>
      <c r="N63" s="302">
        <f t="shared" si="24"/>
        <v>2.2500000000003073E-4</v>
      </c>
      <c r="O63" s="302">
        <f t="shared" si="24"/>
        <v>2.2500000000003073E-4</v>
      </c>
      <c r="P63" s="302">
        <f t="shared" si="24"/>
        <v>2.2500000000003073E-4</v>
      </c>
      <c r="Q63" s="302">
        <f t="shared" si="24"/>
        <v>2.2500000000003073E-4</v>
      </c>
      <c r="R63" s="302">
        <f t="shared" si="24"/>
        <v>2.2500000000003073E-4</v>
      </c>
      <c r="S63" s="175">
        <f t="shared" si="24"/>
        <v>-2.1612659909711362E-3</v>
      </c>
      <c r="T63" s="484">
        <f t="shared" si="24"/>
        <v>5.39530240469929E-3</v>
      </c>
      <c r="U63" s="483">
        <f t="shared" si="24"/>
        <v>2.8138070918592131E-3</v>
      </c>
      <c r="V63" s="175">
        <f t="shared" si="24"/>
        <v>-5.4631290268698576E-2</v>
      </c>
      <c r="W63" s="175">
        <f t="shared" si="24"/>
        <v>-2.1617209528401603E-3</v>
      </c>
      <c r="X63" s="484">
        <f t="shared" si="24"/>
        <v>5.4389168314751598E-3</v>
      </c>
      <c r="Y63" s="483">
        <f t="shared" si="24"/>
        <v>2.8141355814647615E-3</v>
      </c>
      <c r="Z63" s="407">
        <f t="shared" si="24"/>
        <v>-5.4629501590059505E-2</v>
      </c>
      <c r="AA63" s="175">
        <f t="shared" si="24"/>
        <v>-2.1612659909711362E-3</v>
      </c>
      <c r="AB63" s="175">
        <f t="shared" si="24"/>
        <v>5.39530240469929E-3</v>
      </c>
      <c r="AC63" s="175">
        <f t="shared" si="24"/>
        <v>-8.5287653033164299E-6</v>
      </c>
      <c r="BC63" s="384">
        <f>_xll.qlCalendarAdvance(Calendar,BC62,"1d","mf",,Trigger)</f>
        <v>42219</v>
      </c>
      <c r="BD63" s="154">
        <f>_xll.qlDayCounterYearFraction(DayCounter,SettlementDate,BC63,,,Trigger)</f>
        <v>0.22500000000000001</v>
      </c>
      <c r="BE63" s="166">
        <f>_xll.qlPolynomialFunctionValue(BE$1,$BD63,AllTriggers)</f>
        <v>8.2202613850961188E-4</v>
      </c>
      <c r="BF63" s="166">
        <f>_xll.qlPolynomialFunctionValue(BF$1,$BD63,AllTriggers)</f>
        <v>9.3925655618136775E-4</v>
      </c>
      <c r="BG63" s="166">
        <f>_xll.qlPolynomialFunctionValue(BG$1,$BD63,AllTriggers)</f>
        <v>1.1952958645301236E-3</v>
      </c>
      <c r="BH63" s="166">
        <f>_xll.qlPolynomialFunctionValue(BH$1,$BD63,AllTriggers)</f>
        <v>1.2321711000593152E-3</v>
      </c>
      <c r="BI63" s="166">
        <f>_xll.qlPolynomialFunctionValue(BI$1,$BD63,AllTriggers)</f>
        <v>8.222114295693625E-4</v>
      </c>
      <c r="BJ63" s="166">
        <f>_xll.qlPolynomialFunctionValue(BJ$1,$BD63,AllTriggers)</f>
        <v>9.3944482718073385E-4</v>
      </c>
      <c r="BK63" s="166">
        <f>_xll.qlPolynomialFunctionValue(BK$1,$BD63,AllTriggers)</f>
        <v>1.1954906439229189E-3</v>
      </c>
      <c r="BL63" s="166">
        <f>_xll.qlPolynomialFunctionValue(BL$1,$BD63,AllTriggers)</f>
        <v>1.232580933296768E-3</v>
      </c>
      <c r="BM63" s="166">
        <f>_xll.qlPolynomialFunctionValue(BM$1,$BD63,AllTriggers)</f>
        <v>8.2202613850961188E-4</v>
      </c>
      <c r="BN63" s="166">
        <f>_xll.qlPolynomialFunctionValue(BN$1,$BD63,AllTriggers)</f>
        <v>9.3925655618136775E-4</v>
      </c>
      <c r="BO63" s="166">
        <f>_xll.qlPolynomialFunctionValue(BO$1,$BD63,AllTriggers)</f>
        <v>1.1952958645301236E-3</v>
      </c>
      <c r="BP63" s="166">
        <f>_xll.qlPolynomialFunctionValue(BP$1,$BD63,AllTriggers)</f>
        <v>1.2321711000593152E-3</v>
      </c>
      <c r="BQ63" s="166">
        <f>_xll.qlPolynomialFunctionValue('6MSynthDepo_used'!$P$18,BD63,AllTriggers)</f>
        <v>1.8014882649964683E-3</v>
      </c>
    </row>
    <row r="64" spans="3:69" x14ac:dyDescent="0.2">
      <c r="C64" s="400"/>
      <c r="D64" s="400"/>
      <c r="E64" s="401"/>
      <c r="H64" s="141"/>
      <c r="K64" s="187"/>
      <c r="L64" s="187"/>
      <c r="M64" s="187"/>
      <c r="N64" s="187"/>
      <c r="P64" s="141"/>
      <c r="Q64" s="141"/>
      <c r="R64" s="141"/>
      <c r="S64" s="141"/>
      <c r="BC64" s="384">
        <f>_xll.qlCalendarAdvance(Calendar,BC63,"1d","mf",,Trigger)</f>
        <v>42220</v>
      </c>
      <c r="BD64" s="154">
        <f>_xll.qlDayCounterYearFraction(DayCounter,SettlementDate,BC64,,,Trigger)</f>
        <v>0.22777777777777777</v>
      </c>
      <c r="BE64" s="166">
        <f>_xll.qlPolynomialFunctionValue(BE$1,$BD64,AllTriggers)</f>
        <v>8.1553467495588559E-4</v>
      </c>
      <c r="BF64" s="166">
        <f>_xll.qlPolynomialFunctionValue(BF$1,$BD64,AllTriggers)</f>
        <v>9.5737212324765487E-4</v>
      </c>
      <c r="BG64" s="166">
        <f>_xll.qlPolynomialFunctionValue(BG$1,$BD64,AllTriggers)</f>
        <v>1.2016757708391737E-3</v>
      </c>
      <c r="BH64" s="166">
        <f>_xll.qlPolynomialFunctionValue(BH$1,$BD64,AllTriggers)</f>
        <v>1.2368608156812214E-3</v>
      </c>
      <c r="BI64" s="166">
        <f>_xll.qlPolynomialFunctionValue(BI$1,$BD64,AllTriggers)</f>
        <v>8.157203665172969E-4</v>
      </c>
      <c r="BJ64" s="166">
        <f>_xll.qlPolynomialFunctionValue(BJ$1,$BD64,AllTriggers)</f>
        <v>9.5756142024730961E-4</v>
      </c>
      <c r="BK64" s="166">
        <f>_xll.qlPolynomialFunctionValue(BK$1,$BD64,AllTriggers)</f>
        <v>1.2018712779175273E-3</v>
      </c>
      <c r="BL64" s="166">
        <f>_xll.qlPolynomialFunctionValue(BL$1,$BD64,AllTriggers)</f>
        <v>1.2372615195280607E-3</v>
      </c>
      <c r="BM64" s="166">
        <f>_xll.qlPolynomialFunctionValue(BM$1,$BD64,AllTriggers)</f>
        <v>8.1553467495588559E-4</v>
      </c>
      <c r="BN64" s="166">
        <f>_xll.qlPolynomialFunctionValue(BN$1,$BD64,AllTriggers)</f>
        <v>9.5737212324765487E-4</v>
      </c>
      <c r="BO64" s="166">
        <f>_xll.qlPolynomialFunctionValue(BO$1,$BD64,AllTriggers)</f>
        <v>1.2016757708391737E-3</v>
      </c>
      <c r="BP64" s="166">
        <f>_xll.qlPolynomialFunctionValue(BP$1,$BD64,AllTriggers)</f>
        <v>1.2368608156812214E-3</v>
      </c>
      <c r="BQ64" s="166">
        <f>_xll.qlPolynomialFunctionValue('6MSynthDepo_used'!$P$18,BD64,AllTriggers)</f>
        <v>1.8032396653368515E-3</v>
      </c>
    </row>
    <row r="65" spans="3:69" x14ac:dyDescent="0.2">
      <c r="C65" s="400"/>
      <c r="D65" s="400"/>
      <c r="E65" s="401"/>
      <c r="H65" s="141"/>
      <c r="K65" s="187"/>
      <c r="L65" s="187"/>
      <c r="M65" s="187"/>
      <c r="N65" s="187"/>
      <c r="P65" s="141"/>
      <c r="Q65" s="141"/>
      <c r="R65" s="141"/>
      <c r="S65" s="141"/>
      <c r="BC65" s="384">
        <f>_xll.qlCalendarAdvance(Calendar,BC64,"1d","mf",,Trigger)</f>
        <v>42221</v>
      </c>
      <c r="BD65" s="154">
        <f>_xll.qlDayCounterYearFraction(DayCounter,SettlementDate,BC65,,,Trigger)</f>
        <v>0.23055555555555557</v>
      </c>
      <c r="BE65" s="166">
        <f>_xll.qlPolynomialFunctionValue(BE$1,$BD65,AllTriggers)</f>
        <v>8.090432114021593E-4</v>
      </c>
      <c r="BF65" s="166">
        <f>_xll.qlPolynomialFunctionValue(BF$1,$BD65,AllTriggers)</f>
        <v>9.7624482971763512E-4</v>
      </c>
      <c r="BG65" s="166">
        <f>_xll.qlPolynomialFunctionValue(BG$1,$BD65,AllTriggers)</f>
        <v>1.2080556771482238E-3</v>
      </c>
      <c r="BH65" s="166">
        <f>_xll.qlPolynomialFunctionValue(BH$1,$BD65,AllTriggers)</f>
        <v>1.2414414867426664E-3</v>
      </c>
      <c r="BI65" s="166">
        <f>_xll.qlPolynomialFunctionValue(BI$1,$BD65,AllTriggers)</f>
        <v>8.092293034652312E-4</v>
      </c>
      <c r="BJ65" s="166">
        <f>_xll.qlPolynomialFunctionValue(BJ$1,$BD65,AllTriggers)</f>
        <v>9.7643517196369057E-4</v>
      </c>
      <c r="BK65" s="166">
        <f>_xll.qlPolynomialFunctionValue(BK$1,$BD65,AllTriggers)</f>
        <v>1.2082519119121361E-3</v>
      </c>
      <c r="BL65" s="166">
        <f>_xll.qlPolynomialFunctionValue(BL$1,$BD65,AllTriggers)</f>
        <v>1.241832425258494E-3</v>
      </c>
      <c r="BM65" s="166">
        <f>_xll.qlPolynomialFunctionValue(BM$1,$BD65,AllTriggers)</f>
        <v>8.090432114021593E-4</v>
      </c>
      <c r="BN65" s="166">
        <f>_xll.qlPolynomialFunctionValue(BN$1,$BD65,AllTriggers)</f>
        <v>9.7624482971763512E-4</v>
      </c>
      <c r="BO65" s="166">
        <f>_xll.qlPolynomialFunctionValue(BO$1,$BD65,AllTriggers)</f>
        <v>1.2080556771482238E-3</v>
      </c>
      <c r="BP65" s="166">
        <f>_xll.qlPolynomialFunctionValue(BP$1,$BD65,AllTriggers)</f>
        <v>1.2414414867426664E-3</v>
      </c>
      <c r="BQ65" s="166">
        <f>_xll.qlPolynomialFunctionValue('6MSynthDepo_used'!$P$18,BD65,AllTriggers)</f>
        <v>1.8049788959106112E-3</v>
      </c>
    </row>
    <row r="66" spans="3:69" x14ac:dyDescent="0.2">
      <c r="C66" s="400"/>
      <c r="D66" s="400"/>
      <c r="E66" s="401"/>
      <c r="H66" s="141"/>
      <c r="K66" s="187"/>
      <c r="L66" s="187"/>
      <c r="M66" s="187"/>
      <c r="N66" s="187"/>
      <c r="P66" s="141"/>
      <c r="Q66" s="141"/>
      <c r="R66" s="141"/>
      <c r="S66" s="141"/>
      <c r="BC66" s="384">
        <f>_xll.qlCalendarAdvance(Calendar,BC65,"1d","mf",,Trigger)</f>
        <v>42222</v>
      </c>
      <c r="BD66" s="154">
        <f>_xll.qlDayCounterYearFraction(DayCounter,SettlementDate,BC66,,,Trigger)</f>
        <v>0.23333333333333334</v>
      </c>
      <c r="BE66" s="166">
        <f>_xll.qlPolynomialFunctionValue(BE$1,$BD66,AllTriggers)</f>
        <v>8.0255174784843312E-4</v>
      </c>
      <c r="BF66" s="166">
        <f>_xll.qlPolynomialFunctionValue(BF$1,$BD66,AllTriggers)</f>
        <v>9.9587467559130761E-4</v>
      </c>
      <c r="BG66" s="166">
        <f>_xll.qlPolynomialFunctionValue(BG$1,$BD66,AllTriggers)</f>
        <v>1.2144355834572736E-3</v>
      </c>
      <c r="BH66" s="166">
        <f>_xll.qlPolynomialFunctionValue(BH$1,$BD66,AllTriggers)</f>
        <v>1.2459131132436512E-3</v>
      </c>
      <c r="BI66" s="166">
        <f>_xll.qlPolynomialFunctionValue(BI$1,$BD66,AllTriggers)</f>
        <v>8.027382404131655E-4</v>
      </c>
      <c r="BJ66" s="166">
        <f>_xll.qlPolynomialFunctionValue(BJ$1,$BD66,AllTriggers)</f>
        <v>9.9606608232987543E-4</v>
      </c>
      <c r="BK66" s="166">
        <f>_xll.qlPolynomialFunctionValue(BK$1,$BD66,AllTriggers)</f>
        <v>1.2146325459067445E-3</v>
      </c>
      <c r="BL66" s="166">
        <f>_xll.qlPolynomialFunctionValue(BL$1,$BD66,AllTriggers)</f>
        <v>1.2462936504880685E-3</v>
      </c>
      <c r="BM66" s="166">
        <f>_xll.qlPolynomialFunctionValue(BM$1,$BD66,AllTriggers)</f>
        <v>8.0255174784843312E-4</v>
      </c>
      <c r="BN66" s="166">
        <f>_xll.qlPolynomialFunctionValue(BN$1,$BD66,AllTriggers)</f>
        <v>9.9587467559130761E-4</v>
      </c>
      <c r="BO66" s="166">
        <f>_xll.qlPolynomialFunctionValue(BO$1,$BD66,AllTriggers)</f>
        <v>1.2144355834572736E-3</v>
      </c>
      <c r="BP66" s="166">
        <f>_xll.qlPolynomialFunctionValue(BP$1,$BD66,AllTriggers)</f>
        <v>1.2459131132436512E-3</v>
      </c>
      <c r="BQ66" s="166">
        <f>_xll.qlPolynomialFunctionValue('6MSynthDepo_used'!$P$18,BD66,AllTriggers)</f>
        <v>1.8067060384190793E-3</v>
      </c>
    </row>
    <row r="67" spans="3:69" x14ac:dyDescent="0.2">
      <c r="C67" s="400"/>
      <c r="D67" s="400"/>
      <c r="E67" s="401"/>
      <c r="H67" s="141"/>
      <c r="K67" s="187"/>
      <c r="L67" s="187"/>
      <c r="M67" s="187"/>
      <c r="N67" s="187"/>
      <c r="P67" s="141"/>
      <c r="Q67" s="141"/>
      <c r="R67" s="141"/>
      <c r="S67" s="141"/>
      <c r="BC67" s="384">
        <f>_xll.qlCalendarAdvance(Calendar,BC66,"1d","mf",,Trigger)</f>
        <v>42223</v>
      </c>
      <c r="BD67" s="154">
        <f>_xll.qlDayCounterYearFraction(DayCounter,SettlementDate,BC67,,,Trigger)</f>
        <v>0.2361111111111111</v>
      </c>
      <c r="BE67" s="166">
        <f>_xll.qlPolynomialFunctionValue(BE$1,$BD67,AllTriggers)</f>
        <v>7.9606028429470683E-4</v>
      </c>
      <c r="BF67" s="166">
        <f>_xll.qlPolynomialFunctionValue(BF$1,$BD67,AllTriggers)</f>
        <v>1.0162616608686732E-3</v>
      </c>
      <c r="BG67" s="166">
        <f>_xll.qlPolynomialFunctionValue(BG$1,$BD67,AllTriggers)</f>
        <v>1.2208154897663237E-3</v>
      </c>
      <c r="BH67" s="166">
        <f>_xll.qlPolynomialFunctionValue(BH$1,$BD67,AllTriggers)</f>
        <v>1.2502756951841745E-3</v>
      </c>
      <c r="BI67" s="166">
        <f>_xll.qlPolynomialFunctionValue(BI$1,$BD67,AllTriggers)</f>
        <v>7.9624717736109991E-4</v>
      </c>
      <c r="BJ67" s="166">
        <f>_xll.qlPolynomialFunctionValue(BJ$1,$BD67,AllTriggers)</f>
        <v>1.0164541513458642E-3</v>
      </c>
      <c r="BK67" s="166">
        <f>_xll.qlPolynomialFunctionValue(BK$1,$BD67,AllTriggers)</f>
        <v>1.2210131799013531E-3</v>
      </c>
      <c r="BL67" s="166">
        <f>_xll.qlPolynomialFunctionValue(BL$1,$BD67,AllTriggers)</f>
        <v>1.250645195216784E-3</v>
      </c>
      <c r="BM67" s="166">
        <f>_xll.qlPolynomialFunctionValue(BM$1,$BD67,AllTriggers)</f>
        <v>7.9606028429470683E-4</v>
      </c>
      <c r="BN67" s="166">
        <f>_xll.qlPolynomialFunctionValue(BN$1,$BD67,AllTriggers)</f>
        <v>1.0162616608686732E-3</v>
      </c>
      <c r="BO67" s="166">
        <f>_xll.qlPolynomialFunctionValue(BO$1,$BD67,AllTriggers)</f>
        <v>1.2208154897663237E-3</v>
      </c>
      <c r="BP67" s="166">
        <f>_xll.qlPolynomialFunctionValue(BP$1,$BD67,AllTriggers)</f>
        <v>1.2502756951841745E-3</v>
      </c>
      <c r="BQ67" s="166">
        <f>_xll.qlPolynomialFunctionValue('6MSynthDepo_used'!$P$18,BD67,AllTriggers)</f>
        <v>1.8084211743099753E-3</v>
      </c>
    </row>
    <row r="68" spans="3:69" x14ac:dyDescent="0.2">
      <c r="C68" s="400"/>
      <c r="D68" s="400"/>
      <c r="E68" s="401"/>
      <c r="H68" s="141"/>
      <c r="K68" s="187"/>
      <c r="L68" s="187"/>
      <c r="M68" s="187"/>
      <c r="N68" s="187"/>
      <c r="P68" s="141"/>
      <c r="Q68" s="141"/>
      <c r="R68" s="141"/>
      <c r="S68" s="141"/>
      <c r="BC68" s="384">
        <f>_xll.qlCalendarAdvance(Calendar,BC67,"1d","mf",,Trigger)</f>
        <v>42226</v>
      </c>
      <c r="BD68" s="154">
        <f>_xll.qlDayCounterYearFraction(DayCounter,SettlementDate,BC68,,,Trigger)</f>
        <v>0.24444444444444444</v>
      </c>
      <c r="BE68" s="166">
        <f>_xll.qlPolynomialFunctionValue(BE$1,$BD68,AllTriggers)</f>
        <v>7.7658589363352806E-4</v>
      </c>
      <c r="BF68" s="166">
        <f>_xll.qlPolynomialFunctionValue(BF$1,$BD68,AllTriggers)</f>
        <v>1.0819654531229253E-3</v>
      </c>
      <c r="BG68" s="166">
        <f>_xll.qlPolynomialFunctionValue(BG$1,$BD68,AllTriggers)</f>
        <v>1.2399552086934736E-3</v>
      </c>
      <c r="BH68" s="166">
        <f>_xll.qlPolynomialFunctionValue(BH$1,$BD68,AllTriggers)</f>
        <v>1.2627091736429796E-3</v>
      </c>
      <c r="BI68" s="166">
        <f>_xll.qlPolynomialFunctionValue(BI$1,$BD68,AllTriggers)</f>
        <v>7.7677398820490292E-4</v>
      </c>
      <c r="BJ68" s="166">
        <f>_xll.qlPolynomialFunctionValue(BJ$1,$BD68,AllTriggers)</f>
        <v>1.0821613102926582E-3</v>
      </c>
      <c r="BK68" s="166">
        <f>_xll.qlPolynomialFunctionValue(BK$1,$BD68,AllTriggers)</f>
        <v>1.2401550818851789E-3</v>
      </c>
      <c r="BL68" s="166">
        <f>_xll.qlPolynomialFunctionValue(BL$1,$BD68,AllTriggers)</f>
        <v>1.2630417463977753E-3</v>
      </c>
      <c r="BM68" s="166">
        <f>_xll.qlPolynomialFunctionValue(BM$1,$BD68,AllTriggers)</f>
        <v>7.7658589363352806E-4</v>
      </c>
      <c r="BN68" s="166">
        <f>_xll.qlPolynomialFunctionValue(BN$1,$BD68,AllTriggers)</f>
        <v>1.0819654531229253E-3</v>
      </c>
      <c r="BO68" s="166">
        <f>_xll.qlPolynomialFunctionValue(BO$1,$BD68,AllTriggers)</f>
        <v>1.2399552086934736E-3</v>
      </c>
      <c r="BP68" s="166">
        <f>_xll.qlPolynomialFunctionValue(BP$1,$BD68,AllTriggers)</f>
        <v>1.2627091736429796E-3</v>
      </c>
      <c r="BQ68" s="166">
        <f>_xll.qlPolynomialFunctionValue('6MSynthDepo_used'!$P$18,BD68,AllTriggers)</f>
        <v>1.8134953529502522E-3</v>
      </c>
    </row>
    <row r="69" spans="3:69" x14ac:dyDescent="0.2">
      <c r="C69" s="400"/>
      <c r="D69" s="400"/>
      <c r="E69" s="401"/>
      <c r="G69" s="402"/>
      <c r="H69" s="141"/>
      <c r="J69" s="402"/>
      <c r="K69" s="187"/>
      <c r="L69" s="187"/>
      <c r="M69" s="187"/>
      <c r="N69" s="187"/>
      <c r="P69" s="141"/>
      <c r="Q69" s="141"/>
      <c r="R69" s="141"/>
      <c r="S69" s="141"/>
      <c r="BC69" s="384">
        <f>_xll.qlCalendarAdvance(Calendar,BC68,"1d","mf",,Trigger)</f>
        <v>42227</v>
      </c>
      <c r="BD69" s="154">
        <f>_xll.qlDayCounterYearFraction(DayCounter,SettlementDate,BC69,,,Trigger)</f>
        <v>0.24722222222222223</v>
      </c>
      <c r="BE69" s="166">
        <f>_xll.qlPolynomialFunctionValue(BE$1,$BD69,AllTriggers)</f>
        <v>7.7009443007980177E-4</v>
      </c>
      <c r="BF69" s="166">
        <f>_xll.qlPolynomialFunctionValue(BF$1,$BD69,AllTriggers)</f>
        <v>1.1053809960150617E-3</v>
      </c>
      <c r="BG69" s="166">
        <f>_xll.qlPolynomialFunctionValue(BG$1,$BD69,AllTriggers)</f>
        <v>1.2463351150025239E-3</v>
      </c>
      <c r="BH69" s="166">
        <f>_xll.qlPolynomialFunctionValue(BH$1,$BD69,AllTriggers)</f>
        <v>1.2666355773416594E-3</v>
      </c>
      <c r="BI69" s="166">
        <f>_xll.qlPolynomialFunctionValue(BI$1,$BD69,AllTriggers)</f>
        <v>7.7028292515283721E-4</v>
      </c>
      <c r="BJ69" s="166">
        <f>_xll.qlPolynomialFunctionValue(BJ$1,$BD69,AllTriggers)</f>
        <v>1.1055780139078647E-3</v>
      </c>
      <c r="BK69" s="166">
        <f>_xll.qlPolynomialFunctionValue(BK$1,$BD69,AllTriggers)</f>
        <v>1.2465357158797875E-3</v>
      </c>
      <c r="BL69" s="166">
        <f>_xll.qlPolynomialFunctionValue(BL$1,$BD69,AllTriggers)</f>
        <v>1.2669545691230547E-3</v>
      </c>
      <c r="BM69" s="166">
        <f>_xll.qlPolynomialFunctionValue(BM$1,$BD69,AllTriggers)</f>
        <v>7.7009443007980177E-4</v>
      </c>
      <c r="BN69" s="166">
        <f>_xll.qlPolynomialFunctionValue(BN$1,$BD69,AllTriggers)</f>
        <v>1.1053809960150617E-3</v>
      </c>
      <c r="BO69" s="166">
        <f>_xll.qlPolynomialFunctionValue(BO$1,$BD69,AllTriggers)</f>
        <v>1.2463351150025239E-3</v>
      </c>
      <c r="BP69" s="166">
        <f>_xll.qlPolynomialFunctionValue(BP$1,$BD69,AllTriggers)</f>
        <v>1.2666355773416594E-3</v>
      </c>
      <c r="BQ69" s="166">
        <f>_xll.qlPolynomialFunctionValue('6MSynthDepo_used'!$P$18,BD69,AllTriggers)</f>
        <v>1.8151632717758237E-3</v>
      </c>
    </row>
    <row r="70" spans="3:69" x14ac:dyDescent="0.2">
      <c r="C70" s="400"/>
      <c r="D70" s="400"/>
      <c r="E70" s="401"/>
      <c r="H70" s="141"/>
      <c r="K70" s="187"/>
      <c r="L70" s="187"/>
      <c r="M70" s="187"/>
      <c r="N70" s="187"/>
      <c r="P70" s="141"/>
      <c r="Q70" s="141"/>
      <c r="R70" s="141"/>
      <c r="S70" s="141"/>
      <c r="T70" s="141"/>
      <c r="BC70" s="384">
        <f>_xll.qlCalendarAdvance(Calendar,BC69,"1d","mf",,Trigger)</f>
        <v>42228</v>
      </c>
      <c r="BD70" s="154">
        <f>_xll.qlDayCounterYearFraction(DayCounter,SettlementDate,BC70,,,Trigger)</f>
        <v>0.25</v>
      </c>
      <c r="BE70" s="166">
        <f>_xll.qlPolynomialFunctionValue(BE$1,$BD70,AllTriggers)</f>
        <v>7.6360296652607559E-4</v>
      </c>
      <c r="BF70" s="166">
        <f>_xll.qlPolynomialFunctionValue(BF$1,$BD70,AllTriggers)</f>
        <v>1.1295536783108907E-3</v>
      </c>
      <c r="BG70" s="166">
        <f>_xll.qlPolynomialFunctionValue(BG$1,$BD70,AllTriggers)</f>
        <v>1.2527150213115738E-3</v>
      </c>
      <c r="BH70" s="166">
        <f>_xll.qlPolynomialFunctionValue(BH$1,$BD70,AllTriggers)</f>
        <v>1.2704529364798785E-3</v>
      </c>
      <c r="BI70" s="166">
        <f>_xll.qlPolynomialFunctionValue(BI$1,$BD70,AllTriggers)</f>
        <v>7.6379186210077162E-4</v>
      </c>
      <c r="BJ70" s="166">
        <f>_xll.qlPolynomialFunctionValue(BJ$1,$BD70,AllTriggers)</f>
        <v>1.1297518761728756E-3</v>
      </c>
      <c r="BK70" s="166">
        <f>_xll.qlPolynomialFunctionValue(BK$1,$BD70,AllTriggers)</f>
        <v>1.2529163498743961E-3</v>
      </c>
      <c r="BL70" s="166">
        <f>_xll.qlPolynomialFunctionValue(BL$1,$BD70,AllTriggers)</f>
        <v>1.2707577113474746E-3</v>
      </c>
      <c r="BM70" s="166">
        <f>_xll.qlPolynomialFunctionValue(BM$1,$BD70,AllTriggers)</f>
        <v>7.6360296652607559E-4</v>
      </c>
      <c r="BN70" s="166">
        <f>_xll.qlPolynomialFunctionValue(BN$1,$BD70,AllTriggers)</f>
        <v>1.1295536783108907E-3</v>
      </c>
      <c r="BO70" s="166">
        <f>_xll.qlPolynomialFunctionValue(BO$1,$BD70,AllTriggers)</f>
        <v>1.2527150213115738E-3</v>
      </c>
      <c r="BP70" s="166">
        <f>_xll.qlPolynomialFunctionValue(BP$1,$BD70,AllTriggers)</f>
        <v>1.2704529364798785E-3</v>
      </c>
      <c r="BQ70" s="166">
        <f>_xll.qlPolynomialFunctionValue('6MSynthDepo_used'!$P$18,BD70,AllTriggers)</f>
        <v>1.816819587418247E-3</v>
      </c>
    </row>
    <row r="71" spans="3:69" x14ac:dyDescent="0.2">
      <c r="C71" s="400"/>
      <c r="D71" s="400"/>
      <c r="K71" s="187"/>
      <c r="L71" s="187"/>
      <c r="M71" s="187"/>
      <c r="N71" s="187"/>
      <c r="S71" s="141"/>
      <c r="T71" s="141"/>
      <c r="BC71" s="384">
        <f>_xll.qlCalendarAdvance(Calendar,BC70,"1d","mf",,Trigger)</f>
        <v>42229</v>
      </c>
      <c r="BD71" s="154">
        <f>_xll.qlDayCounterYearFraction(DayCounter,SettlementDate,BC71,,,Trigger)</f>
        <v>0.25277777777777777</v>
      </c>
      <c r="BE71" s="166">
        <f>_xll.qlPolynomialFunctionValue(BE$1,$BD71,AllTriggers)</f>
        <v>7.5711150297234941E-4</v>
      </c>
      <c r="BF71" s="166">
        <f>_xll.qlPolynomialFunctionValue(BF$1,$BD71,AllTriggers)</f>
        <v>1.154483500010412E-3</v>
      </c>
      <c r="BG71" s="166">
        <f>_xll.qlPolynomialFunctionValue(BG$1,$BD71,AllTriggers)</f>
        <v>1.2590949276206236E-3</v>
      </c>
      <c r="BH71" s="166">
        <f>_xll.qlPolynomialFunctionValue(BH$1,$BD71,AllTriggers)</f>
        <v>1.2741612510576365E-3</v>
      </c>
      <c r="BI71" s="166">
        <f>_xll.qlPolynomialFunctionValue(BI$1,$BD71,AllTriggers)</f>
        <v>7.5730079904870603E-4</v>
      </c>
      <c r="BJ71" s="166">
        <f>_xll.qlPolynomialFunctionValue(BJ$1,$BD71,AllTriggers)</f>
        <v>1.1546828970876903E-3</v>
      </c>
      <c r="BK71" s="166">
        <f>_xll.qlPolynomialFunctionValue(BK$1,$BD71,AllTriggers)</f>
        <v>1.2592969838690047E-3</v>
      </c>
      <c r="BL71" s="166">
        <f>_xll.qlPolynomialFunctionValue(BL$1,$BD71,AllTriggers)</f>
        <v>1.2744511730710354E-3</v>
      </c>
      <c r="BM71" s="166">
        <f>_xll.qlPolynomialFunctionValue(BM$1,$BD71,AllTriggers)</f>
        <v>7.5711150297234941E-4</v>
      </c>
      <c r="BN71" s="166">
        <f>_xll.qlPolynomialFunctionValue(BN$1,$BD71,AllTriggers)</f>
        <v>1.154483500010412E-3</v>
      </c>
      <c r="BO71" s="166">
        <f>_xll.qlPolynomialFunctionValue(BO$1,$BD71,AllTriggers)</f>
        <v>1.2590949276206236E-3</v>
      </c>
      <c r="BP71" s="166">
        <f>_xll.qlPolynomialFunctionValue(BP$1,$BD71,AllTriggers)</f>
        <v>1.2741612510576365E-3</v>
      </c>
      <c r="BQ71" s="166">
        <f>_xll.qlPolynomialFunctionValue('6MSynthDepo_used'!$P$18,BD71,AllTriggers)</f>
        <v>1.8184643798035722E-3</v>
      </c>
    </row>
    <row r="72" spans="3:69" x14ac:dyDescent="0.2">
      <c r="C72" s="400"/>
      <c r="D72" s="400"/>
      <c r="K72" s="187"/>
      <c r="L72" s="187"/>
      <c r="M72" s="187"/>
      <c r="N72" s="187"/>
      <c r="S72" s="141"/>
      <c r="T72" s="141"/>
      <c r="BC72" s="388">
        <f>_xll.qlCalendarAdvance(Calendar,BC71,"1d","mf",,Trigger)</f>
        <v>42230</v>
      </c>
      <c r="BD72" s="159">
        <f>_xll.qlDayCounterYearFraction(DayCounter,SettlementDate,BC72,,,Trigger)</f>
        <v>0.25555555555555554</v>
      </c>
      <c r="BE72" s="175">
        <f>_xll.qlPolynomialFunctionValue(BE$1,$BD72,AllTriggers)</f>
        <v>7.5062003941862312E-4</v>
      </c>
      <c r="BF72" s="175">
        <f>_xll.qlPolynomialFunctionValue(BF$1,$BD72,AllTriggers)</f>
        <v>1.1801704611136264E-3</v>
      </c>
      <c r="BG72" s="175">
        <f>_xll.qlPolynomialFunctionValue(BG$1,$BD72,AllTriggers)</f>
        <v>1.2654748339296737E-3</v>
      </c>
      <c r="BH72" s="175">
        <f>_xll.qlPolynomialFunctionValue(BH$1,$BD72,AllTriggers)</f>
        <v>1.277760521074934E-3</v>
      </c>
      <c r="BI72" s="175">
        <f>_xll.qlPolynomialFunctionValue(BI$1,$BD72,AllTriggers)</f>
        <v>7.5080973599664033E-4</v>
      </c>
      <c r="BJ72" s="175">
        <f>_xll.qlPolynomialFunctionValue(BJ$1,$BD72,AllTriggers)</f>
        <v>1.1803710766523107E-3</v>
      </c>
      <c r="BK72" s="175">
        <f>_xll.qlPolynomialFunctionValue(BK$1,$BD72,AllTriggers)</f>
        <v>1.2656776178636133E-3</v>
      </c>
      <c r="BL72" s="175">
        <f>_xll.qlPolynomialFunctionValue(BL$1,$BD72,AllTriggers)</f>
        <v>1.2780349542937373E-3</v>
      </c>
      <c r="BM72" s="175">
        <f>_xll.qlPolynomialFunctionValue(BM$1,$BD72,AllTriggers)</f>
        <v>7.5062003941862312E-4</v>
      </c>
      <c r="BN72" s="175">
        <f>_xll.qlPolynomialFunctionValue(BN$1,$BD72,AllTriggers)</f>
        <v>1.1801704611136264E-3</v>
      </c>
      <c r="BO72" s="175">
        <f>_xll.qlPolynomialFunctionValue(BO$1,$BD72,AllTriggers)</f>
        <v>1.2654748339296737E-3</v>
      </c>
      <c r="BP72" s="175">
        <f>_xll.qlPolynomialFunctionValue(BP$1,$BD72,AllTriggers)</f>
        <v>1.277760521074934E-3</v>
      </c>
      <c r="BQ72" s="175">
        <f>_xll.qlPolynomialFunctionValue('6MSynthDepo_used'!$P$18,BD72,AllTriggers)</f>
        <v>1.8200977286042372E-3</v>
      </c>
    </row>
    <row r="73" spans="3:69" ht="11.25" customHeight="1" x14ac:dyDescent="0.2">
      <c r="C73" s="400"/>
      <c r="D73" s="400"/>
      <c r="K73" s="187"/>
      <c r="L73" s="187"/>
      <c r="M73" s="187"/>
      <c r="N73" s="187"/>
      <c r="S73" s="141"/>
      <c r="T73" s="141"/>
    </row>
    <row r="74" spans="3:69" x14ac:dyDescent="0.2">
      <c r="C74" s="400"/>
      <c r="D74" s="400"/>
      <c r="K74" s="187"/>
      <c r="L74" s="187"/>
      <c r="M74" s="187"/>
      <c r="N74" s="187"/>
      <c r="S74" s="141"/>
      <c r="T74" s="141"/>
    </row>
    <row r="75" spans="3:69" x14ac:dyDescent="0.2">
      <c r="C75" s="400"/>
      <c r="D75" s="400"/>
      <c r="K75" s="187"/>
      <c r="L75" s="187"/>
      <c r="M75" s="187"/>
      <c r="N75" s="187"/>
      <c r="S75" s="141"/>
      <c r="T75" s="141"/>
    </row>
    <row r="76" spans="3:69" x14ac:dyDescent="0.2">
      <c r="C76" s="400"/>
      <c r="D76" s="400"/>
      <c r="K76" s="187"/>
      <c r="L76" s="187"/>
      <c r="M76" s="187"/>
      <c r="N76" s="187"/>
      <c r="S76" s="141"/>
    </row>
    <row r="77" spans="3:69" x14ac:dyDescent="0.2">
      <c r="K77" s="187"/>
      <c r="L77" s="187"/>
      <c r="M77" s="187"/>
      <c r="N77" s="187"/>
      <c r="S77" s="141"/>
    </row>
    <row r="78" spans="3:69" x14ac:dyDescent="0.2">
      <c r="K78" s="187"/>
      <c r="L78" s="187"/>
      <c r="M78" s="187"/>
      <c r="N78" s="187"/>
    </row>
    <row r="79" spans="3:69" x14ac:dyDescent="0.2">
      <c r="K79" s="187"/>
      <c r="L79" s="187"/>
      <c r="M79" s="187"/>
      <c r="N79" s="187"/>
    </row>
    <row r="80" spans="3:69" x14ac:dyDescent="0.2">
      <c r="K80" s="187"/>
      <c r="L80" s="187"/>
      <c r="M80" s="187"/>
      <c r="N80" s="187"/>
      <c r="R80" s="140"/>
    </row>
    <row r="81" spans="8:19" x14ac:dyDescent="0.2">
      <c r="K81" s="187"/>
      <c r="L81" s="187"/>
      <c r="M81" s="187"/>
      <c r="N81" s="187"/>
      <c r="R81" s="140"/>
    </row>
    <row r="82" spans="8:19" x14ac:dyDescent="0.2">
      <c r="K82" s="187"/>
      <c r="L82" s="187"/>
      <c r="M82" s="187"/>
      <c r="N82" s="187"/>
      <c r="R82" s="140"/>
    </row>
    <row r="83" spans="8:19" x14ac:dyDescent="0.2">
      <c r="K83" s="187"/>
      <c r="L83" s="187"/>
      <c r="M83" s="187"/>
      <c r="N83" s="187"/>
      <c r="R83" s="140"/>
    </row>
    <row r="84" spans="8:19" x14ac:dyDescent="0.2">
      <c r="H84" s="141"/>
      <c r="K84" s="187"/>
      <c r="L84" s="187"/>
      <c r="M84" s="187"/>
      <c r="N84" s="187"/>
      <c r="R84" s="140"/>
    </row>
    <row r="85" spans="8:19" x14ac:dyDescent="0.2">
      <c r="K85" s="187"/>
      <c r="L85" s="187"/>
      <c r="M85" s="187"/>
      <c r="N85" s="187"/>
      <c r="R85" s="140"/>
    </row>
    <row r="86" spans="8:19" x14ac:dyDescent="0.2">
      <c r="K86" s="187"/>
      <c r="L86" s="187"/>
      <c r="M86" s="187"/>
      <c r="N86" s="187"/>
      <c r="R86" s="140"/>
      <c r="S86" s="140"/>
    </row>
    <row r="87" spans="8:19" x14ac:dyDescent="0.2">
      <c r="K87" s="187"/>
      <c r="L87" s="187"/>
      <c r="M87" s="187"/>
      <c r="N87" s="187"/>
      <c r="R87" s="140"/>
      <c r="S87" s="140"/>
    </row>
    <row r="88" spans="8:19" x14ac:dyDescent="0.2">
      <c r="K88" s="187"/>
      <c r="L88" s="187"/>
      <c r="M88" s="187"/>
      <c r="N88" s="187"/>
      <c r="R88" s="140"/>
      <c r="S88" s="140"/>
    </row>
    <row r="89" spans="8:19" x14ac:dyDescent="0.2">
      <c r="K89" s="187"/>
      <c r="L89" s="187"/>
      <c r="M89" s="187"/>
      <c r="N89" s="187"/>
      <c r="R89" s="140"/>
      <c r="S89" s="140"/>
    </row>
    <row r="90" spans="8:19" x14ac:dyDescent="0.2">
      <c r="K90" s="187"/>
      <c r="L90" s="187"/>
      <c r="M90" s="187"/>
      <c r="N90" s="187"/>
      <c r="R90" s="140"/>
      <c r="S90" s="140"/>
    </row>
    <row r="91" spans="8:19" x14ac:dyDescent="0.2">
      <c r="K91" s="187"/>
      <c r="L91" s="187"/>
      <c r="M91" s="187"/>
      <c r="N91" s="187"/>
      <c r="R91" s="140"/>
      <c r="S91" s="140"/>
    </row>
    <row r="92" spans="8:19" x14ac:dyDescent="0.2">
      <c r="K92" s="187"/>
      <c r="L92" s="187"/>
      <c r="M92" s="187"/>
      <c r="N92" s="187"/>
      <c r="R92" s="140"/>
      <c r="S92" s="140"/>
    </row>
    <row r="93" spans="8:19" x14ac:dyDescent="0.2">
      <c r="K93" s="187"/>
      <c r="L93" s="187"/>
      <c r="M93" s="187"/>
      <c r="N93" s="187"/>
      <c r="R93" s="140"/>
      <c r="S93" s="140"/>
    </row>
    <row r="94" spans="8:19" x14ac:dyDescent="0.2">
      <c r="K94" s="187"/>
      <c r="L94" s="187"/>
      <c r="M94" s="187"/>
      <c r="N94" s="187"/>
      <c r="R94" s="140"/>
      <c r="S94" s="140"/>
    </row>
    <row r="95" spans="8:19" x14ac:dyDescent="0.2">
      <c r="K95" s="187"/>
      <c r="L95" s="187"/>
      <c r="M95" s="187"/>
      <c r="N95" s="187"/>
      <c r="R95" s="140"/>
      <c r="S95" s="140"/>
    </row>
    <row r="96" spans="8:19" x14ac:dyDescent="0.2">
      <c r="K96" s="187"/>
      <c r="L96" s="187"/>
      <c r="M96" s="187"/>
      <c r="N96" s="187"/>
      <c r="R96" s="140"/>
      <c r="S96" s="140"/>
    </row>
    <row r="97" spans="11:19" x14ac:dyDescent="0.2">
      <c r="K97" s="187"/>
      <c r="L97" s="187"/>
      <c r="M97" s="187"/>
      <c r="N97" s="187"/>
      <c r="R97" s="140"/>
      <c r="S97" s="140"/>
    </row>
    <row r="98" spans="11:19" x14ac:dyDescent="0.2">
      <c r="K98" s="187"/>
      <c r="L98" s="187"/>
      <c r="M98" s="187"/>
      <c r="N98" s="187"/>
      <c r="R98" s="140"/>
      <c r="S98" s="140"/>
    </row>
    <row r="99" spans="11:19" x14ac:dyDescent="0.2">
      <c r="K99" s="187"/>
      <c r="L99" s="187"/>
      <c r="M99" s="187"/>
      <c r="N99" s="187"/>
      <c r="R99" s="140"/>
      <c r="S99" s="140"/>
    </row>
    <row r="100" spans="11:19" x14ac:dyDescent="0.2">
      <c r="K100" s="187"/>
      <c r="L100" s="187"/>
      <c r="M100" s="187"/>
      <c r="N100" s="187"/>
      <c r="R100" s="140"/>
      <c r="S100" s="140"/>
    </row>
    <row r="101" spans="11:19" x14ac:dyDescent="0.2">
      <c r="K101" s="187"/>
      <c r="L101" s="187"/>
      <c r="M101" s="187"/>
      <c r="N101" s="187"/>
      <c r="R101" s="140"/>
      <c r="S101" s="140"/>
    </row>
    <row r="102" spans="11:19" x14ac:dyDescent="0.2">
      <c r="K102" s="187"/>
      <c r="L102" s="187"/>
      <c r="M102" s="187"/>
      <c r="N102" s="187"/>
      <c r="R102" s="140"/>
      <c r="S102" s="140"/>
    </row>
    <row r="103" spans="11:19" x14ac:dyDescent="0.2">
      <c r="K103" s="187"/>
      <c r="L103" s="187"/>
      <c r="M103" s="187"/>
      <c r="N103" s="187"/>
      <c r="R103" s="140"/>
      <c r="S103" s="140"/>
    </row>
    <row r="104" spans="11:19" x14ac:dyDescent="0.2">
      <c r="K104" s="187"/>
      <c r="L104" s="187"/>
      <c r="M104" s="187"/>
      <c r="N104" s="187"/>
      <c r="R104" s="140"/>
      <c r="S104" s="140"/>
    </row>
    <row r="105" spans="11:19" x14ac:dyDescent="0.2">
      <c r="R105" s="140"/>
      <c r="S105" s="140"/>
    </row>
    <row r="106" spans="11:19" x14ac:dyDescent="0.2">
      <c r="R106" s="140"/>
      <c r="S106" s="140"/>
    </row>
    <row r="107" spans="11:19" x14ac:dyDescent="0.2">
      <c r="R107" s="140"/>
      <c r="S107" s="140"/>
    </row>
    <row r="108" spans="11:19" x14ac:dyDescent="0.2">
      <c r="R108" s="140"/>
      <c r="S108" s="140"/>
    </row>
    <row r="109" spans="11:19" x14ac:dyDescent="0.2">
      <c r="R109" s="140"/>
      <c r="S109" s="140"/>
    </row>
    <row r="110" spans="11:19" x14ac:dyDescent="0.2">
      <c r="R110" s="140"/>
      <c r="S110" s="140"/>
    </row>
    <row r="111" spans="11:19" x14ac:dyDescent="0.2">
      <c r="R111" s="140"/>
      <c r="S111" s="140"/>
    </row>
    <row r="112" spans="11:19" x14ac:dyDescent="0.2">
      <c r="R112" s="140"/>
      <c r="S112" s="140"/>
    </row>
    <row r="113" spans="18:19" x14ac:dyDescent="0.2">
      <c r="R113" s="140"/>
      <c r="S113" s="140"/>
    </row>
    <row r="114" spans="18:19" x14ac:dyDescent="0.2">
      <c r="R114" s="140"/>
      <c r="S114" s="140"/>
    </row>
    <row r="115" spans="18:19" x14ac:dyDescent="0.2">
      <c r="R115" s="140"/>
      <c r="S115" s="140"/>
    </row>
    <row r="116" spans="18:19" x14ac:dyDescent="0.2">
      <c r="R116" s="140"/>
      <c r="S116" s="140"/>
    </row>
    <row r="117" spans="18:19" x14ac:dyDescent="0.2">
      <c r="R117" s="140"/>
      <c r="S117" s="140"/>
    </row>
    <row r="118" spans="18:19" x14ac:dyDescent="0.2">
      <c r="R118" s="140"/>
      <c r="S118" s="140"/>
    </row>
    <row r="119" spans="18:19" x14ac:dyDescent="0.2">
      <c r="R119" s="140"/>
      <c r="S119" s="140"/>
    </row>
    <row r="120" spans="18:19" x14ac:dyDescent="0.2">
      <c r="R120" s="140"/>
      <c r="S120" s="140"/>
    </row>
    <row r="121" spans="18:19" x14ac:dyDescent="0.2">
      <c r="R121" s="140"/>
      <c r="S121" s="140"/>
    </row>
    <row r="122" spans="18:19" x14ac:dyDescent="0.2">
      <c r="R122" s="140"/>
      <c r="S122" s="140"/>
    </row>
    <row r="123" spans="18:19" x14ac:dyDescent="0.2">
      <c r="R123" s="140"/>
      <c r="S123" s="140"/>
    </row>
    <row r="124" spans="18:19" x14ac:dyDescent="0.2">
      <c r="R124" s="140"/>
      <c r="S124" s="140"/>
    </row>
    <row r="125" spans="18:19" x14ac:dyDescent="0.2">
      <c r="R125" s="140"/>
      <c r="S125" s="140"/>
    </row>
    <row r="126" spans="18:19" x14ac:dyDescent="0.2">
      <c r="R126" s="140"/>
      <c r="S126" s="140"/>
    </row>
    <row r="127" spans="18:19" x14ac:dyDescent="0.2">
      <c r="R127" s="140"/>
      <c r="S127" s="140"/>
    </row>
    <row r="128" spans="18:19" x14ac:dyDescent="0.2">
      <c r="R128" s="140"/>
      <c r="S128" s="140"/>
    </row>
    <row r="129" spans="18:19" x14ac:dyDescent="0.2">
      <c r="R129" s="140"/>
      <c r="S129" s="140"/>
    </row>
    <row r="130" spans="18:19" x14ac:dyDescent="0.2">
      <c r="R130" s="140"/>
      <c r="S130" s="140"/>
    </row>
    <row r="131" spans="18:19" x14ac:dyDescent="0.2">
      <c r="R131" s="140"/>
      <c r="S131" s="140"/>
    </row>
    <row r="132" spans="18:19" x14ac:dyDescent="0.2">
      <c r="R132" s="140"/>
      <c r="S132" s="140"/>
    </row>
    <row r="133" spans="18:19" x14ac:dyDescent="0.2">
      <c r="R133" s="141"/>
      <c r="S133" s="140"/>
    </row>
    <row r="134" spans="18:19" x14ac:dyDescent="0.2">
      <c r="R134" s="141"/>
      <c r="S134" s="140"/>
    </row>
    <row r="135" spans="18:19" x14ac:dyDescent="0.2">
      <c r="R135" s="141"/>
      <c r="S135" s="140"/>
    </row>
    <row r="136" spans="18:19" x14ac:dyDescent="0.2">
      <c r="R136" s="141"/>
      <c r="S136" s="140"/>
    </row>
    <row r="137" spans="18:19" x14ac:dyDescent="0.2">
      <c r="R137" s="141"/>
      <c r="S137" s="140"/>
    </row>
    <row r="138" spans="18:19" x14ac:dyDescent="0.2">
      <c r="R138" s="141"/>
      <c r="S138" s="140"/>
    </row>
    <row r="139" spans="18:19" x14ac:dyDescent="0.2">
      <c r="R139" s="141"/>
      <c r="S139" s="141"/>
    </row>
    <row r="140" spans="18:19" x14ac:dyDescent="0.2">
      <c r="R140" s="141"/>
      <c r="S140" s="141"/>
    </row>
    <row r="141" spans="18:19" x14ac:dyDescent="0.2">
      <c r="R141" s="141"/>
      <c r="S141" s="141"/>
    </row>
    <row r="142" spans="18:19" x14ac:dyDescent="0.2">
      <c r="R142" s="141"/>
      <c r="S142" s="141"/>
    </row>
    <row r="143" spans="18:19" x14ac:dyDescent="0.2">
      <c r="R143" s="141"/>
      <c r="S143" s="141"/>
    </row>
    <row r="144" spans="18:19" x14ac:dyDescent="0.2">
      <c r="R144" s="141"/>
      <c r="S144" s="141"/>
    </row>
    <row r="145" spans="18:19" x14ac:dyDescent="0.2">
      <c r="R145" s="141"/>
      <c r="S145" s="141"/>
    </row>
    <row r="146" spans="18:19" x14ac:dyDescent="0.2">
      <c r="R146" s="141"/>
      <c r="S146" s="141"/>
    </row>
    <row r="147" spans="18:19" x14ac:dyDescent="0.2">
      <c r="R147" s="141"/>
      <c r="S147" s="141"/>
    </row>
    <row r="148" spans="18:19" x14ac:dyDescent="0.2">
      <c r="R148" s="141"/>
      <c r="S148" s="141"/>
    </row>
    <row r="149" spans="18:19" x14ac:dyDescent="0.2">
      <c r="S149" s="141"/>
    </row>
    <row r="150" spans="18:19" x14ac:dyDescent="0.2">
      <c r="S150" s="141"/>
    </row>
    <row r="151" spans="18:19" x14ac:dyDescent="0.2">
      <c r="S151" s="141"/>
    </row>
    <row r="152" spans="18:19" x14ac:dyDescent="0.2">
      <c r="S152" s="141"/>
    </row>
    <row r="153" spans="18:19" x14ac:dyDescent="0.2">
      <c r="S153" s="141"/>
    </row>
    <row r="154" spans="18:19" x14ac:dyDescent="0.2">
      <c r="S154" s="141"/>
    </row>
  </sheetData>
  <mergeCells count="16">
    <mergeCell ref="AH14:AH16"/>
    <mergeCell ref="AJ14:AJ16"/>
    <mergeCell ref="AT14:AT16"/>
    <mergeCell ref="AV14:AV16"/>
    <mergeCell ref="AH19:AH21"/>
    <mergeCell ref="AJ19:AJ21"/>
    <mergeCell ref="AT19:AT21"/>
    <mergeCell ref="AV19:AV21"/>
    <mergeCell ref="AH5:AH6"/>
    <mergeCell ref="AJ5:AJ6"/>
    <mergeCell ref="AT5:AT6"/>
    <mergeCell ref="AV5:AV6"/>
    <mergeCell ref="AH9:AH10"/>
    <mergeCell ref="AJ9:AJ10"/>
    <mergeCell ref="AT9:AT10"/>
    <mergeCell ref="AV9:AV10"/>
  </mergeCells>
  <dataValidations disablePrompts="1"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132"/>
  <sheetViews>
    <sheetView workbookViewId="0"/>
  </sheetViews>
  <sheetFormatPr defaultColWidth="9.5" defaultRowHeight="11.25" x14ac:dyDescent="0.2"/>
  <cols>
    <col min="1" max="2" width="3.5" style="115" customWidth="1"/>
    <col min="3" max="5" width="22.83203125" style="115" customWidth="1"/>
    <col min="6" max="6" width="10.5" style="115" bestFit="1" customWidth="1"/>
    <col min="7" max="8" width="14.1640625" style="115" bestFit="1" customWidth="1"/>
    <col min="9" max="9" width="10.5" style="115" bestFit="1" customWidth="1"/>
    <col min="10" max="11" width="9.33203125" style="115" bestFit="1" customWidth="1"/>
    <col min="12" max="12" width="10.5" style="115" bestFit="1" customWidth="1"/>
    <col min="13" max="13" width="10.83203125" style="115" customWidth="1"/>
    <col min="14" max="14" width="13.1640625" style="115" customWidth="1"/>
    <col min="15" max="17" width="6.83203125" style="115" customWidth="1"/>
    <col min="18" max="18" width="2.33203125" style="115" bestFit="1" customWidth="1"/>
    <col min="19" max="19" width="10.83203125" style="115" customWidth="1"/>
    <col min="20" max="20" width="2.33203125" style="115" bestFit="1" customWidth="1"/>
    <col min="21" max="21" width="10.83203125" style="115" customWidth="1"/>
    <col min="22" max="22" width="12.5" style="115" bestFit="1" customWidth="1"/>
    <col min="23" max="25" width="9.33203125" style="115" bestFit="1" customWidth="1"/>
    <col min="26" max="27" width="9.5" style="115"/>
    <col min="28" max="28" width="20.33203125" style="115" bestFit="1" customWidth="1"/>
    <col min="29" max="29" width="8.1640625" style="115" bestFit="1" customWidth="1"/>
    <col min="30" max="31" width="9.5" style="115" bestFit="1" customWidth="1"/>
    <col min="32" max="32" width="12.1640625" style="115" customWidth="1"/>
    <col min="33" max="16384" width="9.5" style="115"/>
  </cols>
  <sheetData>
    <row r="2" spans="1:32" ht="19.5" customHeight="1" x14ac:dyDescent="0.2">
      <c r="C2" s="142" t="s">
        <v>85</v>
      </c>
      <c r="D2" s="142" t="s">
        <v>70</v>
      </c>
      <c r="E2" s="142" t="s">
        <v>71</v>
      </c>
      <c r="F2" s="142" t="s">
        <v>126</v>
      </c>
      <c r="G2" s="142" t="s">
        <v>130</v>
      </c>
      <c r="H2" s="142" t="s">
        <v>131</v>
      </c>
      <c r="I2" s="142" t="s">
        <v>92</v>
      </c>
      <c r="J2" s="143" t="s">
        <v>93</v>
      </c>
      <c r="K2" s="142" t="s">
        <v>94</v>
      </c>
      <c r="L2" s="142" t="s">
        <v>101</v>
      </c>
      <c r="S2" s="132" t="s">
        <v>90</v>
      </c>
      <c r="W2" s="432" t="s">
        <v>89</v>
      </c>
      <c r="X2" s="432"/>
      <c r="Y2" s="432"/>
      <c r="AB2" s="142" t="s">
        <v>70</v>
      </c>
      <c r="AC2" s="142" t="s">
        <v>122</v>
      </c>
      <c r="AD2" s="142" t="s">
        <v>39</v>
      </c>
      <c r="AE2" s="142" t="s">
        <v>83</v>
      </c>
      <c r="AF2" s="142" t="s">
        <v>84</v>
      </c>
    </row>
    <row r="3" spans="1:32" ht="12" customHeight="1" x14ac:dyDescent="0.2">
      <c r="C3" s="146" t="str">
        <f>$D$10&amp;"LastFixing"&amp;QuoteSuffix</f>
        <v>Euribor1MLastFixing_Quote</v>
      </c>
      <c r="D3" s="147">
        <f>_xll.qlCalendarAdvance(Calendar,_xll.qlLastFixingQuoteReferenceDate($C$3),_xll.qlInterestRateIndexFixingDays($D$10)&amp;"D","f",,LastFixingsTrigger)</f>
        <v>42138</v>
      </c>
      <c r="E3" s="147">
        <f>_xll.qlInterestRateIndexMaturity($D$10,D3)</f>
        <v>42170</v>
      </c>
      <c r="F3" s="148">
        <f>'Delta 1M'!W26</f>
        <v>5.7975481819110203E-5</v>
      </c>
      <c r="G3" s="149">
        <f>_xll.qlDayCounterYearFraction(DayCounter,SettlementDate,D3,,,Trigger)</f>
        <v>0</v>
      </c>
      <c r="H3" s="149">
        <f>_xll.qlDayCounterYearFraction(DayCounter,SettlementDate,E3,,,Trigger)</f>
        <v>8.8888888888888892E-2</v>
      </c>
      <c r="I3" s="149">
        <f>H3-G3</f>
        <v>8.8888888888888892E-2</v>
      </c>
      <c r="J3" s="149">
        <f>(H3^2-G3^2)/2</f>
        <v>3.9506172839506174E-3</v>
      </c>
      <c r="K3" s="149">
        <f>(H3^3-G3^3)/3</f>
        <v>2.341106538637403E-4</v>
      </c>
      <c r="L3" s="150" t="b">
        <f>IF(D12="fixing",TRUE,FALSE)</f>
        <v>0</v>
      </c>
      <c r="N3" s="433" t="s">
        <v>86</v>
      </c>
      <c r="O3" s="127">
        <f t="array" ref="O3:O5">_xll.ohFilter(K3:K7,L3:L7)</f>
        <v>2.341106538637403E-4</v>
      </c>
      <c r="P3" s="133">
        <f t="array" ref="P3:P5">_xll.ohFilter(J3:J7,L3:L7)</f>
        <v>3.9506172839506174E-3</v>
      </c>
      <c r="Q3" s="128">
        <f t="array" ref="Q3:Q5">_xll.ohFilter(I3:I7,L3:L7)</f>
        <v>8.8888888888888892E-2</v>
      </c>
      <c r="R3" s="134"/>
      <c r="S3" s="129" t="e">
        <f t="array" ref="S3:S5">MMULT(W3:Y5,U3:U5)</f>
        <v>#NUM!</v>
      </c>
      <c r="T3" s="135"/>
      <c r="U3" s="130">
        <f t="array" ref="U3:U5">_xll.ohFilter(F3:F7,L3:L7)</f>
        <v>5.7975481819110203E-5</v>
      </c>
      <c r="W3" s="127">
        <f t="array" ref="W3:Y5">MINVERSE(O3:Q5)</f>
        <v>770.94921998697475</v>
      </c>
      <c r="X3" s="133">
        <v>-1686.5058642878917</v>
      </c>
      <c r="Y3" s="128">
        <v>836.28389964688847</v>
      </c>
      <c r="AB3" s="163">
        <f>SettlementDate</f>
        <v>42138</v>
      </c>
      <c r="AC3" s="154">
        <f>_xll.qlDayCounterYearFraction(DayCounter,SettlementDate,AB3,,,Trigger)</f>
        <v>0</v>
      </c>
      <c r="AD3" s="179">
        <f t="shared" ref="AD3:AD26" si="0">$S$13</f>
        <v>6.5222417046498975E-4</v>
      </c>
      <c r="AE3" s="179" t="e">
        <f t="shared" ref="AE3:AE23" si="1">$S$10+$S$9*AC3</f>
        <v>#NUM!</v>
      </c>
      <c r="AF3" s="179" t="e">
        <f t="shared" ref="AF3:AF23" si="2">($S$5+$S$4*AC3+$S$3*AC3^2)</f>
        <v>#NUM!</v>
      </c>
    </row>
    <row r="4" spans="1:32" ht="12" customHeight="1" x14ac:dyDescent="0.2">
      <c r="A4" s="115">
        <v>0</v>
      </c>
      <c r="B4" s="116">
        <f>A4+SUBSTITUTE($D$9,"M","")</f>
        <v>1</v>
      </c>
      <c r="C4" s="151" t="str">
        <f>"Delta("&amp;A4&amp;"M,"&amp;B4&amp;"M)"</f>
        <v>Delta(0M,1M)</v>
      </c>
      <c r="D4" s="152">
        <f>SettlementDate</f>
        <v>42138</v>
      </c>
      <c r="E4" s="152">
        <f>_xll.qlInterestRateIndexMaturity($D$10,D4)</f>
        <v>42170</v>
      </c>
      <c r="F4" s="153">
        <f t="array" ref="F4:F7">Delta1M</f>
        <v>5.7975481819110203E-5</v>
      </c>
      <c r="G4" s="154">
        <f>_xll.qlDayCounterYearFraction(DayCounter,SettlementDate,D4,,,Trigger)</f>
        <v>0</v>
      </c>
      <c r="H4" s="154">
        <f>_xll.qlDayCounterYearFraction(DayCounter,SettlementDate,E4,,,Trigger)</f>
        <v>8.8888888888888892E-2</v>
      </c>
      <c r="I4" s="154">
        <f>H4-G4</f>
        <v>8.8888888888888892E-2</v>
      </c>
      <c r="J4" s="154">
        <f>(H4^2-G4^2)/2</f>
        <v>3.9506172839506174E-3</v>
      </c>
      <c r="K4" s="154">
        <f>(H4^3-G4^3)/3</f>
        <v>2.341106538637403E-4</v>
      </c>
      <c r="L4" s="155" t="b">
        <f>IF(D12="fixing",FALSE,TRUE)</f>
        <v>1</v>
      </c>
      <c r="N4" s="433"/>
      <c r="O4" s="127">
        <v>1.4686213991769545E-3</v>
      </c>
      <c r="P4" s="133">
        <v>1.0879629629629628E-2</v>
      </c>
      <c r="Q4" s="128">
        <v>8.3333333333333329E-2</v>
      </c>
      <c r="R4" s="136" t="s">
        <v>37</v>
      </c>
      <c r="S4" s="129" t="e">
        <v>#NUM!</v>
      </c>
      <c r="T4" s="136" t="s">
        <v>38</v>
      </c>
      <c r="U4" s="130" t="e">
        <v>#NUM!</v>
      </c>
      <c r="W4" s="127">
        <v>-264.84743291768484</v>
      </c>
      <c r="X4" s="133">
        <v>432.93178545608816</v>
      </c>
      <c r="Y4" s="128">
        <v>-145.575345494088</v>
      </c>
      <c r="AB4" s="168">
        <f>_xll.qlCalendarAdvance(Calendar,AB3,"1d","mf",,Trigger)</f>
        <v>42139</v>
      </c>
      <c r="AC4" s="154">
        <f>_xll.qlDayCounterYearFraction(DayCounter,SettlementDate,AB4,,,Trigger)</f>
        <v>2.7777777777777779E-3</v>
      </c>
      <c r="AD4" s="166">
        <f t="shared" si="0"/>
        <v>6.5222417046498975E-4</v>
      </c>
      <c r="AE4" s="166" t="e">
        <f t="shared" si="1"/>
        <v>#NUM!</v>
      </c>
      <c r="AF4" s="166" t="e">
        <f t="shared" si="2"/>
        <v>#NUM!</v>
      </c>
    </row>
    <row r="5" spans="1:32" ht="12" customHeight="1" x14ac:dyDescent="0.2">
      <c r="A5" s="117">
        <v>1</v>
      </c>
      <c r="B5" s="116">
        <f t="shared" ref="B5:B7" si="3">A5+SUBSTITUTE($D$9,"M","")</f>
        <v>2</v>
      </c>
      <c r="C5" s="151" t="str">
        <f>"Delta("&amp;A5&amp;"M,"&amp;B5&amp;"M)"</f>
        <v>Delta(1M,2M)</v>
      </c>
      <c r="D5" s="152">
        <f>_xll.qlCalendarAdvance(Calendar,SettlementDate,A5&amp;"M","f")</f>
        <v>42170</v>
      </c>
      <c r="E5" s="152">
        <f>_xll.qlInterestRateIndexMaturity($D$10,D5)</f>
        <v>42200</v>
      </c>
      <c r="F5" s="153" t="e">
        <v>#NUM!</v>
      </c>
      <c r="G5" s="154">
        <f>_xll.qlDayCounterYearFraction(DayCounter,SettlementDate,D5,,,Trigger)</f>
        <v>8.8888888888888892E-2</v>
      </c>
      <c r="H5" s="154">
        <f>_xll.qlDayCounterYearFraction(DayCounter,SettlementDate,E5,,,Trigger)</f>
        <v>0.17222222222222222</v>
      </c>
      <c r="I5" s="154">
        <f>H5-G5</f>
        <v>8.3333333333333329E-2</v>
      </c>
      <c r="J5" s="154">
        <f>(H5^2-G5^2)/2</f>
        <v>1.0879629629629628E-2</v>
      </c>
      <c r="K5" s="154">
        <f>(H5^3-G5^3)/3</f>
        <v>1.4686213991769545E-3</v>
      </c>
      <c r="L5" s="155" t="b">
        <v>1</v>
      </c>
      <c r="N5" s="433"/>
      <c r="O5" s="127">
        <v>3.9416652377686308E-3</v>
      </c>
      <c r="P5" s="133">
        <v>1.8298611111111102E-2</v>
      </c>
      <c r="Q5" s="128">
        <v>8.6111111111111083E-2</v>
      </c>
      <c r="R5" s="117"/>
      <c r="S5" s="129" t="e">
        <v>#NUM!</v>
      </c>
      <c r="T5" s="136"/>
      <c r="U5" s="130" t="e">
        <v>#NUM!</v>
      </c>
      <c r="W5" s="127">
        <v>20.990513476211245</v>
      </c>
      <c r="X5" s="133">
        <v>-14.799586542310704</v>
      </c>
      <c r="Y5" s="128">
        <v>4.2674569364697188</v>
      </c>
      <c r="AB5" s="168">
        <f>_xll.qlCalendarAdvance(Calendar,AB4,"1d","mf",,Trigger)</f>
        <v>42142</v>
      </c>
      <c r="AC5" s="154">
        <f>_xll.qlDayCounterYearFraction(DayCounter,SettlementDate,AB5,,,Trigger)</f>
        <v>1.1111111111111112E-2</v>
      </c>
      <c r="AD5" s="166">
        <f t="shared" si="0"/>
        <v>6.5222417046498975E-4</v>
      </c>
      <c r="AE5" s="166" t="e">
        <f t="shared" si="1"/>
        <v>#NUM!</v>
      </c>
      <c r="AF5" s="166" t="e">
        <f t="shared" si="2"/>
        <v>#NUM!</v>
      </c>
    </row>
    <row r="6" spans="1:32" ht="12" customHeight="1" x14ac:dyDescent="0.2">
      <c r="A6" s="117">
        <v>2</v>
      </c>
      <c r="B6" s="118">
        <f t="shared" si="3"/>
        <v>3</v>
      </c>
      <c r="C6" s="151" t="str">
        <f>"Delta("&amp;A6&amp;"M,"&amp;B6&amp;"M)"</f>
        <v>Delta(2M,3M)</v>
      </c>
      <c r="D6" s="152">
        <f>_xll.qlCalendarAdvance(Calendar,SettlementDate,A6&amp;"M","f")</f>
        <v>42199</v>
      </c>
      <c r="E6" s="152">
        <f>_xll.qlInterestRateIndexMaturity($D$10,D6)</f>
        <v>42230</v>
      </c>
      <c r="F6" s="153" t="e">
        <v>#NUM!</v>
      </c>
      <c r="G6" s="154">
        <f>_xll.qlDayCounterYearFraction(DayCounter,SettlementDate,D6,,,Trigger)</f>
        <v>0.16944444444444445</v>
      </c>
      <c r="H6" s="154">
        <f>_xll.qlDayCounterYearFraction(DayCounter,SettlementDate,E6,,,Trigger)</f>
        <v>0.25555555555555554</v>
      </c>
      <c r="I6" s="154">
        <f>H6-G6</f>
        <v>8.6111111111111083E-2</v>
      </c>
      <c r="J6" s="154">
        <f>(H6^2-G6^2)/2</f>
        <v>1.8298611111111102E-2</v>
      </c>
      <c r="K6" s="154">
        <f>(H6^3-G6^3)/3</f>
        <v>3.9416652377686308E-3</v>
      </c>
      <c r="L6" s="155" t="b">
        <v>1</v>
      </c>
      <c r="S6" s="131"/>
      <c r="T6" s="124"/>
      <c r="U6" s="125"/>
      <c r="AB6" s="168">
        <f>_xll.qlCalendarAdvance(Calendar,AB5,"1d","mf",,Trigger)</f>
        <v>42143</v>
      </c>
      <c r="AC6" s="154">
        <f>_xll.qlDayCounterYearFraction(DayCounter,SettlementDate,AB6,,,Trigger)</f>
        <v>1.3888888888888888E-2</v>
      </c>
      <c r="AD6" s="166">
        <f t="shared" si="0"/>
        <v>6.5222417046498975E-4</v>
      </c>
      <c r="AE6" s="166" t="e">
        <f t="shared" si="1"/>
        <v>#NUM!</v>
      </c>
      <c r="AF6" s="166" t="e">
        <f t="shared" si="2"/>
        <v>#NUM!</v>
      </c>
    </row>
    <row r="7" spans="1:32" ht="12" customHeight="1" x14ac:dyDescent="0.2">
      <c r="A7" s="117">
        <v>3</v>
      </c>
      <c r="B7" s="118">
        <f t="shared" si="3"/>
        <v>4</v>
      </c>
      <c r="C7" s="156" t="str">
        <f>"Delta("&amp;A7&amp;"M,"&amp;B7&amp;"M)"</f>
        <v>Delta(3M,4M)</v>
      </c>
      <c r="D7" s="157">
        <f>_xll.qlCalendarAdvance(Calendar,SettlementDate,A7&amp;"M","f")</f>
        <v>42230</v>
      </c>
      <c r="E7" s="157">
        <f>_xll.qlInterestRateIndexMaturity($D$10,D7)</f>
        <v>42261</v>
      </c>
      <c r="F7" s="158" t="e">
        <v>#NUM!</v>
      </c>
      <c r="G7" s="159">
        <f>_xll.qlDayCounterYearFraction(DayCounter,SettlementDate,D7,,,Trigger)</f>
        <v>0.25555555555555554</v>
      </c>
      <c r="H7" s="159">
        <f>_xll.qlDayCounterYearFraction(DayCounter,SettlementDate,E7,,,Trigger)</f>
        <v>0.34166666666666667</v>
      </c>
      <c r="I7" s="159">
        <f>H7-G7</f>
        <v>8.6111111111111138E-2</v>
      </c>
      <c r="J7" s="159">
        <f>(H7^2-G7^2)/2</f>
        <v>2.5713734567901242E-2</v>
      </c>
      <c r="K7" s="159">
        <f>(H7^3-G7^3)/3</f>
        <v>7.7316172267946981E-3</v>
      </c>
      <c r="L7" s="160" t="b">
        <v>0</v>
      </c>
      <c r="S7" s="131"/>
      <c r="T7" s="124"/>
      <c r="U7" s="125"/>
      <c r="AB7" s="168">
        <f>_xll.qlCalendarAdvance(Calendar,AB6,"1d","mf",,Trigger)</f>
        <v>42144</v>
      </c>
      <c r="AC7" s="154">
        <f>_xll.qlDayCounterYearFraction(DayCounter,SettlementDate,AB7,,,Trigger)</f>
        <v>1.6666666666666666E-2</v>
      </c>
      <c r="AD7" s="166">
        <f t="shared" si="0"/>
        <v>6.5222417046498975E-4</v>
      </c>
      <c r="AE7" s="166" t="e">
        <f t="shared" si="1"/>
        <v>#NUM!</v>
      </c>
      <c r="AF7" s="166" t="e">
        <f t="shared" si="2"/>
        <v>#NUM!</v>
      </c>
    </row>
    <row r="8" spans="1:32" ht="12" customHeight="1" x14ac:dyDescent="0.2">
      <c r="A8" s="117"/>
      <c r="B8" s="118"/>
      <c r="C8" s="118"/>
      <c r="D8" s="119"/>
      <c r="E8" s="119"/>
      <c r="F8" s="120"/>
      <c r="G8" s="121"/>
      <c r="H8" s="121"/>
      <c r="I8" s="121"/>
      <c r="J8" s="121"/>
      <c r="K8" s="121"/>
      <c r="L8" s="122"/>
      <c r="S8" s="123" t="s">
        <v>91</v>
      </c>
      <c r="T8" s="124"/>
      <c r="U8" s="125"/>
      <c r="AB8" s="168">
        <f>_xll.qlCalendarAdvance(Calendar,AB7,"1d","mf",,Trigger)</f>
        <v>42145</v>
      </c>
      <c r="AC8" s="154">
        <f>_xll.qlDayCounterYearFraction(DayCounter,SettlementDate,AB8,,,Trigger)</f>
        <v>1.9444444444444445E-2</v>
      </c>
      <c r="AD8" s="166">
        <f t="shared" si="0"/>
        <v>6.5222417046498975E-4</v>
      </c>
      <c r="AE8" s="166" t="e">
        <f t="shared" si="1"/>
        <v>#NUM!</v>
      </c>
      <c r="AF8" s="166" t="e">
        <f t="shared" si="2"/>
        <v>#NUM!</v>
      </c>
    </row>
    <row r="9" spans="1:32" ht="12" customHeight="1" x14ac:dyDescent="0.2">
      <c r="C9" s="142" t="s">
        <v>136</v>
      </c>
      <c r="D9" s="176" t="s">
        <v>40</v>
      </c>
      <c r="N9" s="432" t="s">
        <v>87</v>
      </c>
      <c r="O9" s="126"/>
      <c r="P9" s="127">
        <f t="array" ref="P9:P10">_xll.ohFilter(J3:J7,L3:L7)</f>
        <v>3.9506172839506174E-3</v>
      </c>
      <c r="Q9" s="128">
        <f t="array" ref="Q9:Q10">_xll.ohFilter(I3:I7,L3:L7)</f>
        <v>8.8888888888888892E-2</v>
      </c>
      <c r="R9" s="431" t="s">
        <v>37</v>
      </c>
      <c r="S9" s="129" t="e">
        <f t="array" ref="S9:S10">MMULT(W9:X10,U9:U10)</f>
        <v>#NUM!</v>
      </c>
      <c r="T9" s="431" t="s">
        <v>38</v>
      </c>
      <c r="U9" s="130">
        <f t="array" ref="U9:U10">_xll.ohFilter(F3:F7,L3:L7)</f>
        <v>5.7975481819110203E-5</v>
      </c>
      <c r="W9" s="127">
        <f t="array" ref="W9:X10">MINVERSE(P9:Q10)</f>
        <v>-130.64516129032259</v>
      </c>
      <c r="X9" s="128">
        <v>139.35483870967744</v>
      </c>
      <c r="AB9" s="168">
        <f>_xll.qlCalendarAdvance(Calendar,AB8,"1d","mf",,Trigger)</f>
        <v>42146</v>
      </c>
      <c r="AC9" s="154">
        <f>_xll.qlDayCounterYearFraction(DayCounter,SettlementDate,AB9,,,Trigger)</f>
        <v>2.2222222222222223E-2</v>
      </c>
      <c r="AD9" s="166">
        <f t="shared" si="0"/>
        <v>6.5222417046498975E-4</v>
      </c>
      <c r="AE9" s="166" t="e">
        <f t="shared" si="1"/>
        <v>#NUM!</v>
      </c>
      <c r="AF9" s="166" t="e">
        <f t="shared" si="2"/>
        <v>#NUM!</v>
      </c>
    </row>
    <row r="10" spans="1:32" ht="12" customHeight="1" x14ac:dyDescent="0.2">
      <c r="C10" s="142" t="s">
        <v>100</v>
      </c>
      <c r="D10" s="176" t="str">
        <f>PROPER(Currency)&amp;IborType&amp;D9</f>
        <v>Euribor1M</v>
      </c>
      <c r="N10" s="432"/>
      <c r="O10" s="126"/>
      <c r="P10" s="127">
        <v>1.0879629629629628E-2</v>
      </c>
      <c r="Q10" s="128">
        <v>8.3333333333333329E-2</v>
      </c>
      <c r="R10" s="431"/>
      <c r="S10" s="129" t="e">
        <v>#NUM!</v>
      </c>
      <c r="T10" s="431"/>
      <c r="U10" s="130" t="e">
        <v>#NUM!</v>
      </c>
      <c r="W10" s="127">
        <v>17.056451612903224</v>
      </c>
      <c r="X10" s="128">
        <v>-6.1935483870967758</v>
      </c>
      <c r="AB10" s="168">
        <f>_xll.qlCalendarAdvance(Calendar,AB9,"1d","mf",,Trigger)</f>
        <v>42149</v>
      </c>
      <c r="AC10" s="154">
        <f>_xll.qlDayCounterYearFraction(DayCounter,SettlementDate,AB10,,,Trigger)</f>
        <v>3.0555555555555555E-2</v>
      </c>
      <c r="AD10" s="166">
        <f t="shared" si="0"/>
        <v>6.5222417046498975E-4</v>
      </c>
      <c r="AE10" s="166" t="e">
        <f t="shared" si="1"/>
        <v>#NUM!</v>
      </c>
      <c r="AF10" s="166" t="e">
        <f t="shared" si="2"/>
        <v>#NUM!</v>
      </c>
    </row>
    <row r="11" spans="1:32" ht="12" customHeight="1" x14ac:dyDescent="0.2">
      <c r="C11" s="142" t="s">
        <v>129</v>
      </c>
      <c r="D11" s="177" t="s">
        <v>79</v>
      </c>
      <c r="S11" s="131"/>
      <c r="T11" s="124"/>
      <c r="U11" s="125"/>
      <c r="AB11" s="168">
        <f>_xll.qlCalendarAdvance(Calendar,AB10,"1d","mf",,Trigger)</f>
        <v>42150</v>
      </c>
      <c r="AC11" s="154">
        <f>_xll.qlDayCounterYearFraction(DayCounter,SettlementDate,AB11,,,Trigger)</f>
        <v>3.3333333333333333E-2</v>
      </c>
      <c r="AD11" s="166">
        <f t="shared" si="0"/>
        <v>6.5222417046498975E-4</v>
      </c>
      <c r="AE11" s="166" t="e">
        <f t="shared" si="1"/>
        <v>#NUM!</v>
      </c>
      <c r="AF11" s="166" t="e">
        <f t="shared" si="2"/>
        <v>#NUM!</v>
      </c>
    </row>
    <row r="12" spans="1:32" ht="12" customHeight="1" x14ac:dyDescent="0.2">
      <c r="C12" s="142" t="s">
        <v>128</v>
      </c>
      <c r="D12" s="176" t="s">
        <v>132</v>
      </c>
      <c r="S12" s="132" t="s">
        <v>35</v>
      </c>
      <c r="T12" s="124"/>
      <c r="U12" s="125"/>
      <c r="AB12" s="168">
        <f>_xll.qlCalendarAdvance(Calendar,AB11,"1d","mf",,Trigger)</f>
        <v>42151</v>
      </c>
      <c r="AC12" s="154">
        <f>_xll.qlDayCounterYearFraction(DayCounter,SettlementDate,AB12,,,Trigger)</f>
        <v>3.6111111111111108E-2</v>
      </c>
      <c r="AD12" s="166">
        <f t="shared" si="0"/>
        <v>6.5222417046498975E-4</v>
      </c>
      <c r="AE12" s="166" t="e">
        <f t="shared" si="1"/>
        <v>#NUM!</v>
      </c>
      <c r="AF12" s="166" t="e">
        <f t="shared" si="2"/>
        <v>#NUM!</v>
      </c>
    </row>
    <row r="13" spans="1:32" ht="12" customHeight="1" x14ac:dyDescent="0.2">
      <c r="J13" s="144" t="str">
        <f>"Synthetic Deposits "&amp;D9</f>
        <v>Synthetic Deposits 1M</v>
      </c>
      <c r="K13" s="144"/>
      <c r="L13" s="144"/>
      <c r="N13" s="137" t="s">
        <v>88</v>
      </c>
      <c r="Q13" s="138">
        <f t="array" ref="Q13">_xll.ohFilter(I3:I7,L3:L7)</f>
        <v>8.8888888888888892E-2</v>
      </c>
      <c r="R13" s="137" t="s">
        <v>37</v>
      </c>
      <c r="S13" s="129">
        <f>MMULT(W13,U13)</f>
        <v>6.5222417046498975E-4</v>
      </c>
      <c r="T13" s="137" t="s">
        <v>38</v>
      </c>
      <c r="U13" s="130">
        <f t="array" ref="U13">_xll.ohFilter(F3:F7,L3:L7)</f>
        <v>5.7975481819110203E-5</v>
      </c>
      <c r="W13" s="138">
        <f>MINVERSE(Q13)</f>
        <v>11.25</v>
      </c>
      <c r="AB13" s="168">
        <f>_xll.qlCalendarAdvance(Calendar,AB12,"1d","mf",,Trigger)</f>
        <v>42152</v>
      </c>
      <c r="AC13" s="154">
        <f>_xll.qlDayCounterYearFraction(DayCounter,SettlementDate,AB13,,,Trigger)</f>
        <v>3.888888888888889E-2</v>
      </c>
      <c r="AD13" s="166">
        <f t="shared" si="0"/>
        <v>6.5222417046498975E-4</v>
      </c>
      <c r="AE13" s="166" t="e">
        <f t="shared" si="1"/>
        <v>#NUM!</v>
      </c>
      <c r="AF13" s="166" t="e">
        <f t="shared" si="2"/>
        <v>#NUM!</v>
      </c>
    </row>
    <row r="14" spans="1:32" ht="12" customHeight="1" x14ac:dyDescent="0.2">
      <c r="C14" s="142" t="s">
        <v>95</v>
      </c>
      <c r="D14" s="142" t="s">
        <v>70</v>
      </c>
      <c r="E14" s="142" t="s">
        <v>71</v>
      </c>
      <c r="F14" s="142" t="s">
        <v>122</v>
      </c>
      <c r="G14" s="142" t="s">
        <v>123</v>
      </c>
      <c r="H14" s="142" t="s">
        <v>124</v>
      </c>
      <c r="I14" s="143" t="s">
        <v>125</v>
      </c>
      <c r="J14" s="145" t="s">
        <v>88</v>
      </c>
      <c r="K14" s="145" t="s">
        <v>87</v>
      </c>
      <c r="L14" s="145" t="s">
        <v>114</v>
      </c>
      <c r="AB14" s="168">
        <f>_xll.qlCalendarAdvance(Calendar,AB13,"1d","mf",,Trigger)</f>
        <v>42153</v>
      </c>
      <c r="AC14" s="154">
        <f>_xll.qlDayCounterYearFraction(DayCounter,SettlementDate,AB14,,,Trigger)</f>
        <v>4.1666666666666664E-2</v>
      </c>
      <c r="AD14" s="166">
        <f t="shared" si="0"/>
        <v>6.5222417046498975E-4</v>
      </c>
      <c r="AE14" s="166" t="e">
        <f t="shared" si="1"/>
        <v>#NUM!</v>
      </c>
      <c r="AF14" s="166" t="e">
        <f t="shared" si="2"/>
        <v>#NUM!</v>
      </c>
    </row>
    <row r="15" spans="1:32" ht="12" customHeight="1" x14ac:dyDescent="0.2">
      <c r="C15" s="161" t="s">
        <v>43</v>
      </c>
      <c r="D15" s="162">
        <f t="shared" ref="D15:D19" si="4">SettlementDate</f>
        <v>42138</v>
      </c>
      <c r="E15" s="163">
        <f>_xll.qlCalendarAdvance(Calendar,SettlementDate,C15,"Following",,Trigger)</f>
        <v>42139</v>
      </c>
      <c r="F15" s="164">
        <f>_xll.qlDayCounterYearFraction(DayCounter,D15,E15,,,Trigger)</f>
        <v>2.7777777777777779E-3</v>
      </c>
      <c r="G15" s="165">
        <f>_xll.qlYieldTSDiscount(Discounting,D15,,AllTriggers)</f>
        <v>1.0000055555787037</v>
      </c>
      <c r="H15" s="165">
        <f>_xll.qlYieldTSDiscount(Discounting,E15,,AllTriggers)</f>
        <v>1.0000083056242322</v>
      </c>
      <c r="I15" s="166">
        <f>(G15/H15-1)/F15</f>
        <v>-9.9000816760508314E-4</v>
      </c>
      <c r="J15" s="166">
        <f>((1+I15*F15)*EXP($S$13*F15)-1)/F15</f>
        <v>-3.3778519993088452E-4</v>
      </c>
      <c r="K15" s="166" t="e">
        <f>((1+F15*I15)*EXP($S$10*F15+0.5*$S$9*F15^2)-1)/F15</f>
        <v>#NUM!</v>
      </c>
      <c r="L15" s="166" t="e">
        <f>((1+F15*I15)*EXP($S$5*F15+0.5*$S$4*F15^2+1/3*$S$3*F15^3)-1)/F15</f>
        <v>#NUM!</v>
      </c>
      <c r="AB15" s="168">
        <f>_xll.qlCalendarAdvance(Calendar,AB14,"1d","mf",,Trigger)</f>
        <v>42156</v>
      </c>
      <c r="AC15" s="154">
        <f>_xll.qlDayCounterYearFraction(DayCounter,SettlementDate,AB15,,,Trigger)</f>
        <v>0.05</v>
      </c>
      <c r="AD15" s="166">
        <f t="shared" si="0"/>
        <v>6.5222417046498975E-4</v>
      </c>
      <c r="AE15" s="166" t="e">
        <f t="shared" si="1"/>
        <v>#NUM!</v>
      </c>
      <c r="AF15" s="166" t="e">
        <f t="shared" si="2"/>
        <v>#NUM!</v>
      </c>
    </row>
    <row r="16" spans="1:32" ht="12" customHeight="1" x14ac:dyDescent="0.2">
      <c r="C16" s="167" t="s">
        <v>44</v>
      </c>
      <c r="D16" s="152">
        <f>SettlementDate</f>
        <v>42138</v>
      </c>
      <c r="E16" s="168">
        <f>_xll.qlCalendarAdvance(Calendar,SettlementDate,C16,"Following",,Trigger)</f>
        <v>42145</v>
      </c>
      <c r="F16" s="154">
        <f>_xll.qlDayCounterYearFraction(DayCounter,D16,E16,,,Trigger)</f>
        <v>1.9444444444444445E-2</v>
      </c>
      <c r="G16" s="169">
        <f>_xll.qlYieldTSDiscount(Discounting,D16,,AllTriggers)</f>
        <v>1.0000055555787037</v>
      </c>
      <c r="H16" s="170">
        <f>_xll.qlYieldTSDiscount(Discounting,E16,,AllTriggers)</f>
        <v>1.0000248060562202</v>
      </c>
      <c r="I16" s="166">
        <f t="shared" ref="I16:I19" si="5">(G16/H16-1)/F16</f>
        <v>-9.8999999999563717E-4</v>
      </c>
      <c r="J16" s="166">
        <f t="shared" ref="J16:J19" si="6">((1+I16*F16)*EXP($S$13*F16)-1)/F16</f>
        <v>-3.3778424911431619E-4</v>
      </c>
      <c r="K16" s="166" t="e">
        <f t="shared" ref="K16:K19" si="7">((1+F16*I16)*EXP($S$10*F16+0.5*$S$9*F16^2)-1)/F16</f>
        <v>#NUM!</v>
      </c>
      <c r="L16" s="166" t="e">
        <f t="shared" ref="L16:L19" si="8">((1+F16*I16)*EXP($S$5*F16+0.5*$S$4*F16^2+1/3*$S$3*F16^3)-1)/F16</f>
        <v>#NUM!</v>
      </c>
      <c r="AB16" s="168">
        <f>_xll.qlCalendarAdvance(Calendar,AB15,"1d","mf",,Trigger)</f>
        <v>42157</v>
      </c>
      <c r="AC16" s="154">
        <f>_xll.qlDayCounterYearFraction(DayCounter,SettlementDate,AB16,,,Trigger)</f>
        <v>5.2777777777777778E-2</v>
      </c>
      <c r="AD16" s="166">
        <f t="shared" si="0"/>
        <v>6.5222417046498975E-4</v>
      </c>
      <c r="AE16" s="166" t="e">
        <f t="shared" si="1"/>
        <v>#NUM!</v>
      </c>
      <c r="AF16" s="166" t="e">
        <f t="shared" si="2"/>
        <v>#NUM!</v>
      </c>
    </row>
    <row r="17" spans="3:32" ht="12" customHeight="1" x14ac:dyDescent="0.2">
      <c r="C17" s="167" t="s">
        <v>45</v>
      </c>
      <c r="D17" s="152">
        <f t="shared" si="4"/>
        <v>42138</v>
      </c>
      <c r="E17" s="168">
        <f>_xll.qlCalendarAdvance(Calendar,SettlementDate,C17,"Following",,Trigger)</f>
        <v>42152</v>
      </c>
      <c r="F17" s="154">
        <f>_xll.qlDayCounterYearFraction(DayCounter,D17,E17,,,Trigger)</f>
        <v>3.888888888888889E-2</v>
      </c>
      <c r="G17" s="169">
        <f>_xll.qlYieldTSDiscount(Discounting,D17,,AllTriggers)</f>
        <v>1.0000055555787037</v>
      </c>
      <c r="H17" s="170">
        <f>_xll.qlYieldTSDiscount(Discounting,E17,,AllTriggers)</f>
        <v>1.0000444461960583</v>
      </c>
      <c r="I17" s="166">
        <f t="shared" si="5"/>
        <v>-1.0000000000636483E-3</v>
      </c>
      <c r="J17" s="166">
        <f t="shared" si="6"/>
        <v>-3.477929225300816E-4</v>
      </c>
      <c r="K17" s="166" t="e">
        <f t="shared" si="7"/>
        <v>#NUM!</v>
      </c>
      <c r="L17" s="166" t="e">
        <f t="shared" si="8"/>
        <v>#NUM!</v>
      </c>
      <c r="AB17" s="168">
        <f>_xll.qlCalendarAdvance(Calendar,AB16,"1d","mf",,Trigger)</f>
        <v>42158</v>
      </c>
      <c r="AC17" s="154">
        <f>_xll.qlDayCounterYearFraction(DayCounter,SettlementDate,AB17,,,Trigger)</f>
        <v>5.5555555555555552E-2</v>
      </c>
      <c r="AD17" s="166">
        <f t="shared" si="0"/>
        <v>6.5222417046498975E-4</v>
      </c>
      <c r="AE17" s="166" t="e">
        <f t="shared" si="1"/>
        <v>#NUM!</v>
      </c>
      <c r="AF17" s="166" t="e">
        <f t="shared" si="2"/>
        <v>#NUM!</v>
      </c>
    </row>
    <row r="18" spans="3:32" ht="12" customHeight="1" x14ac:dyDescent="0.2">
      <c r="C18" s="167" t="s">
        <v>46</v>
      </c>
      <c r="D18" s="152">
        <f t="shared" si="4"/>
        <v>42138</v>
      </c>
      <c r="E18" s="168">
        <f>_xll.qlCalendarAdvance(Calendar,SettlementDate,C18,"Following",,Trigger)</f>
        <v>42159</v>
      </c>
      <c r="F18" s="154">
        <f>_xll.qlDayCounterYearFraction(DayCounter,D18,E18,,,Trigger)</f>
        <v>5.8333333333333334E-2</v>
      </c>
      <c r="G18" s="169">
        <f>_xll.qlYieldTSDiscount(Discounting,D18,,AllTriggers)</f>
        <v>1.0000055555787037</v>
      </c>
      <c r="H18" s="170">
        <f>_xll.qlYieldTSDiscount(Discounting,E18,,AllTriggers)</f>
        <v>1.0000592254238359</v>
      </c>
      <c r="I18" s="166">
        <f t="shared" si="5"/>
        <v>-9.2000000058917967E-4</v>
      </c>
      <c r="J18" s="166">
        <f t="shared" si="6"/>
        <v>-2.677984259356693E-4</v>
      </c>
      <c r="K18" s="166" t="e">
        <f t="shared" si="7"/>
        <v>#NUM!</v>
      </c>
      <c r="L18" s="166" t="e">
        <f t="shared" si="8"/>
        <v>#NUM!</v>
      </c>
      <c r="AB18" s="168">
        <f>_xll.qlCalendarAdvance(Calendar,AB17,"1d","mf",,Trigger)</f>
        <v>42159</v>
      </c>
      <c r="AC18" s="154">
        <f>_xll.qlDayCounterYearFraction(DayCounter,SettlementDate,AB18,,,Trigger)</f>
        <v>5.8333333333333334E-2</v>
      </c>
      <c r="AD18" s="166">
        <f t="shared" si="0"/>
        <v>6.5222417046498975E-4</v>
      </c>
      <c r="AE18" s="166" t="e">
        <f t="shared" si="1"/>
        <v>#NUM!</v>
      </c>
      <c r="AF18" s="166" t="e">
        <f t="shared" si="2"/>
        <v>#NUM!</v>
      </c>
    </row>
    <row r="19" spans="3:32" ht="12" customHeight="1" x14ac:dyDescent="0.2">
      <c r="C19" s="171" t="s">
        <v>40</v>
      </c>
      <c r="D19" s="157">
        <f t="shared" si="4"/>
        <v>42138</v>
      </c>
      <c r="E19" s="172">
        <f>_xll.qlCalendarAdvance(Calendar,SettlementDate,C19,"mf",TRUE,Trigger)</f>
        <v>42170</v>
      </c>
      <c r="F19" s="159">
        <f>_xll.qlDayCounterYearFraction(DayCounter,D19,E19,,,Trigger)</f>
        <v>8.8888888888888892E-2</v>
      </c>
      <c r="G19" s="173">
        <f>_xll.qlYieldTSDiscount(Discounting,D19,,AllTriggers)</f>
        <v>1.0000055555787037</v>
      </c>
      <c r="H19" s="174">
        <f>_xll.qlYieldTSDiscount(Discounting,E19,,AllTriggers)</f>
        <v>1.0000937581190312</v>
      </c>
      <c r="I19" s="175">
        <f t="shared" si="5"/>
        <v>-9.9218555323313251E-4</v>
      </c>
      <c r="J19" s="175">
        <f t="shared" si="6"/>
        <v>-3.4000000000047881E-4</v>
      </c>
      <c r="K19" s="175" t="e">
        <f t="shared" si="7"/>
        <v>#NUM!</v>
      </c>
      <c r="L19" s="175" t="e">
        <f t="shared" si="8"/>
        <v>#NUM!</v>
      </c>
      <c r="AB19" s="168">
        <f>_xll.qlCalendarAdvance(Calendar,AB18,"1d","mf",,Trigger)</f>
        <v>42160</v>
      </c>
      <c r="AC19" s="154">
        <f>_xll.qlDayCounterYearFraction(DayCounter,SettlementDate,AB19,,,Trigger)</f>
        <v>6.1111111111111109E-2</v>
      </c>
      <c r="AD19" s="166">
        <f t="shared" si="0"/>
        <v>6.5222417046498975E-4</v>
      </c>
      <c r="AE19" s="166" t="e">
        <f t="shared" si="1"/>
        <v>#NUM!</v>
      </c>
      <c r="AF19" s="166" t="e">
        <f t="shared" si="2"/>
        <v>#NUM!</v>
      </c>
    </row>
    <row r="20" spans="3:32" ht="12" customHeight="1" x14ac:dyDescent="0.2">
      <c r="AB20" s="168">
        <f>_xll.qlCalendarAdvance(Calendar,AB19,"1d","mf",,Trigger)</f>
        <v>42163</v>
      </c>
      <c r="AC20" s="154">
        <f>_xll.qlDayCounterYearFraction(DayCounter,SettlementDate,AB20,,,Trigger)</f>
        <v>6.9444444444444448E-2</v>
      </c>
      <c r="AD20" s="166">
        <f t="shared" si="0"/>
        <v>6.5222417046498975E-4</v>
      </c>
      <c r="AE20" s="166" t="e">
        <f t="shared" si="1"/>
        <v>#NUM!</v>
      </c>
      <c r="AF20" s="166" t="e">
        <f t="shared" si="2"/>
        <v>#NUM!</v>
      </c>
    </row>
    <row r="21" spans="3:32" ht="12" customHeight="1" x14ac:dyDescent="0.2">
      <c r="C21" s="142" t="s">
        <v>102</v>
      </c>
      <c r="AB21" s="168">
        <f>_xll.qlCalendarAdvance(Calendar,AB20,"1d","mf",,Trigger)</f>
        <v>42164</v>
      </c>
      <c r="AC21" s="154">
        <f>_xll.qlDayCounterYearFraction(DayCounter,SettlementDate,AB21,,,Trigger)</f>
        <v>7.2222222222222215E-2</v>
      </c>
      <c r="AD21" s="166">
        <f t="shared" si="0"/>
        <v>6.5222417046498975E-4</v>
      </c>
      <c r="AE21" s="166" t="e">
        <f t="shared" si="1"/>
        <v>#NUM!</v>
      </c>
      <c r="AF21" s="166" t="e">
        <f t="shared" si="2"/>
        <v>#NUM!</v>
      </c>
    </row>
    <row r="22" spans="3:32" ht="12" customHeight="1" x14ac:dyDescent="0.2">
      <c r="C22" s="178" t="s">
        <v>86</v>
      </c>
      <c r="AB22" s="168">
        <f>_xll.qlCalendarAdvance(Calendar,AB21,"1d","mf",,Trigger)</f>
        <v>42165</v>
      </c>
      <c r="AC22" s="154">
        <f>_xll.qlDayCounterYearFraction(DayCounter,SettlementDate,AB22,,,Trigger)</f>
        <v>7.4999999999999997E-2</v>
      </c>
      <c r="AD22" s="166">
        <f t="shared" si="0"/>
        <v>6.5222417046498975E-4</v>
      </c>
      <c r="AE22" s="166" t="e">
        <f t="shared" si="1"/>
        <v>#NUM!</v>
      </c>
      <c r="AF22" s="166" t="e">
        <f t="shared" si="2"/>
        <v>#NUM!</v>
      </c>
    </row>
    <row r="23" spans="3:32" ht="12" customHeight="1" x14ac:dyDescent="0.2">
      <c r="C23" s="166" t="e">
        <f>IF($C$22="FLAT",J15,IF($C$22="linear",K15,L15))</f>
        <v>#NUM!</v>
      </c>
      <c r="AB23" s="168">
        <f>_xll.qlCalendarAdvance(Calendar,AB22,"1d","mf",,Trigger)</f>
        <v>42166</v>
      </c>
      <c r="AC23" s="154">
        <f>_xll.qlDayCounterYearFraction(DayCounter,SettlementDate,AB23,,,Trigger)</f>
        <v>7.7777777777777779E-2</v>
      </c>
      <c r="AD23" s="166">
        <f t="shared" si="0"/>
        <v>6.5222417046498975E-4</v>
      </c>
      <c r="AE23" s="166" t="e">
        <f t="shared" si="1"/>
        <v>#NUM!</v>
      </c>
      <c r="AF23" s="166" t="e">
        <f t="shared" si="2"/>
        <v>#NUM!</v>
      </c>
    </row>
    <row r="24" spans="3:32" ht="12" customHeight="1" x14ac:dyDescent="0.2">
      <c r="C24" s="166" t="e">
        <f>IF($C$22="FLAT",J16,IF($C$22="linear",K16,L16))</f>
        <v>#NUM!</v>
      </c>
      <c r="AB24" s="168">
        <f>_xll.qlCalendarAdvance(Calendar,AB23,"1d","mf",,Trigger)</f>
        <v>42167</v>
      </c>
      <c r="AC24" s="154">
        <f>_xll.qlDayCounterYearFraction(DayCounter,SettlementDate,AB24,,,Trigger)</f>
        <v>8.0555555555555561E-2</v>
      </c>
      <c r="AD24" s="166">
        <f t="shared" si="0"/>
        <v>6.5222417046498975E-4</v>
      </c>
      <c r="AE24" s="166" t="e">
        <f t="shared" ref="AE24:AE26" si="9">$S$10+$S$9*AC24</f>
        <v>#NUM!</v>
      </c>
      <c r="AF24" s="166" t="e">
        <f t="shared" ref="AF24:AF26" si="10">($S$5+$S$4*AC24+$S$3*AC24^2)</f>
        <v>#NUM!</v>
      </c>
    </row>
    <row r="25" spans="3:32" ht="12" customHeight="1" x14ac:dyDescent="0.2">
      <c r="C25" s="166" t="e">
        <f>IF($C$22="FLAT",J17,IF($C$22="linear",K17,L17))</f>
        <v>#NUM!</v>
      </c>
      <c r="AB25" s="168">
        <f>_xll.qlCalendarAdvance(Calendar,AB24,"1d","mf",,Trigger)</f>
        <v>42170</v>
      </c>
      <c r="AC25" s="154">
        <f>_xll.qlDayCounterYearFraction(DayCounter,SettlementDate,AB25,,,Trigger)</f>
        <v>8.8888888888888892E-2</v>
      </c>
      <c r="AD25" s="166">
        <f t="shared" si="0"/>
        <v>6.5222417046498975E-4</v>
      </c>
      <c r="AE25" s="166" t="e">
        <f t="shared" si="9"/>
        <v>#NUM!</v>
      </c>
      <c r="AF25" s="166" t="e">
        <f t="shared" si="10"/>
        <v>#NUM!</v>
      </c>
    </row>
    <row r="26" spans="3:32" ht="12" customHeight="1" x14ac:dyDescent="0.2">
      <c r="C26" s="166" t="e">
        <f>IF($C$22="FLAT",J18,IF($C$22="linear",K18,L18))</f>
        <v>#NUM!</v>
      </c>
      <c r="AB26" s="172">
        <f>_xll.qlCalendarAdvance(Calendar,AB25,"1d","mf",,Trigger)</f>
        <v>42171</v>
      </c>
      <c r="AC26" s="159">
        <f>_xll.qlDayCounterYearFraction(DayCounter,SettlementDate,AB26,,,Trigger)</f>
        <v>9.166666666666666E-2</v>
      </c>
      <c r="AD26" s="175">
        <f t="shared" si="0"/>
        <v>6.5222417046498975E-4</v>
      </c>
      <c r="AE26" s="175" t="e">
        <f t="shared" si="9"/>
        <v>#NUM!</v>
      </c>
      <c r="AF26" s="175" t="e">
        <f t="shared" si="10"/>
        <v>#NUM!</v>
      </c>
    </row>
    <row r="27" spans="3:32" ht="12" customHeight="1" x14ac:dyDescent="0.2">
      <c r="C27" s="175" t="e">
        <f>IF($C$22="FLAT",J19,IF($C$22="linear",K19,L19))</f>
        <v>#NUM!</v>
      </c>
    </row>
    <row r="28" spans="3:32" ht="12" customHeight="1" x14ac:dyDescent="0.2"/>
    <row r="29" spans="3:32" ht="12" customHeight="1" x14ac:dyDescent="0.2"/>
    <row r="30" spans="3:32" ht="12" customHeight="1" x14ac:dyDescent="0.2"/>
    <row r="31" spans="3:32" ht="12" customHeight="1" x14ac:dyDescent="0.2"/>
    <row r="32" spans="3:32" ht="12" customHeight="1" x14ac:dyDescent="0.2"/>
    <row r="39" spans="9:13" x14ac:dyDescent="0.2">
      <c r="I39" s="140"/>
      <c r="J39" s="140"/>
    </row>
    <row r="43" spans="9:13" ht="11.25" customHeight="1" x14ac:dyDescent="0.2"/>
    <row r="44" spans="9:13" x14ac:dyDescent="0.2">
      <c r="M44" s="139"/>
    </row>
    <row r="45" spans="9:13" x14ac:dyDescent="0.2">
      <c r="M45" s="139"/>
    </row>
    <row r="46" spans="9:13" x14ac:dyDescent="0.2">
      <c r="M46" s="139"/>
    </row>
    <row r="47" spans="9:13" x14ac:dyDescent="0.2">
      <c r="M47" s="139"/>
    </row>
    <row r="48" spans="9:13" x14ac:dyDescent="0.2">
      <c r="M48" s="139"/>
    </row>
    <row r="58" spans="9:10" x14ac:dyDescent="0.2">
      <c r="I58" s="140"/>
    </row>
    <row r="59" spans="9:10" x14ac:dyDescent="0.2">
      <c r="I59" s="140"/>
    </row>
    <row r="60" spans="9:10" x14ac:dyDescent="0.2">
      <c r="I60" s="140"/>
    </row>
    <row r="61" spans="9:10" x14ac:dyDescent="0.2">
      <c r="I61" s="140"/>
    </row>
    <row r="62" spans="9:10" x14ac:dyDescent="0.2">
      <c r="I62" s="140"/>
    </row>
    <row r="63" spans="9:10" x14ac:dyDescent="0.2">
      <c r="I63" s="140"/>
    </row>
    <row r="64" spans="9:10" x14ac:dyDescent="0.2">
      <c r="I64" s="140"/>
      <c r="J64" s="140"/>
    </row>
    <row r="65" spans="9:10" x14ac:dyDescent="0.2">
      <c r="I65" s="140"/>
      <c r="J65" s="140"/>
    </row>
    <row r="66" spans="9:10" x14ac:dyDescent="0.2">
      <c r="I66" s="140"/>
      <c r="J66" s="140"/>
    </row>
    <row r="67" spans="9:10" x14ac:dyDescent="0.2">
      <c r="I67" s="140"/>
      <c r="J67" s="140"/>
    </row>
    <row r="68" spans="9:10" x14ac:dyDescent="0.2">
      <c r="I68" s="140"/>
      <c r="J68" s="140"/>
    </row>
    <row r="69" spans="9:10" x14ac:dyDescent="0.2">
      <c r="I69" s="140"/>
      <c r="J69" s="140"/>
    </row>
    <row r="70" spans="9:10" x14ac:dyDescent="0.2">
      <c r="I70" s="140"/>
      <c r="J70" s="140"/>
    </row>
    <row r="71" spans="9:10" x14ac:dyDescent="0.2">
      <c r="I71" s="140"/>
      <c r="J71" s="140"/>
    </row>
    <row r="72" spans="9:10" x14ac:dyDescent="0.2">
      <c r="I72" s="140"/>
      <c r="J72" s="140"/>
    </row>
    <row r="73" spans="9:10" x14ac:dyDescent="0.2">
      <c r="I73" s="140"/>
      <c r="J73" s="140"/>
    </row>
    <row r="74" spans="9:10" x14ac:dyDescent="0.2">
      <c r="I74" s="140"/>
      <c r="J74" s="140"/>
    </row>
    <row r="75" spans="9:10" x14ac:dyDescent="0.2">
      <c r="I75" s="140"/>
      <c r="J75" s="140"/>
    </row>
    <row r="76" spans="9:10" x14ac:dyDescent="0.2">
      <c r="I76" s="140"/>
      <c r="J76" s="140"/>
    </row>
    <row r="77" spans="9:10" x14ac:dyDescent="0.2">
      <c r="I77" s="140"/>
      <c r="J77" s="140"/>
    </row>
    <row r="78" spans="9:10" x14ac:dyDescent="0.2">
      <c r="I78" s="140"/>
      <c r="J78" s="140"/>
    </row>
    <row r="79" spans="9:10" x14ac:dyDescent="0.2">
      <c r="I79" s="140"/>
      <c r="J79" s="140"/>
    </row>
    <row r="80" spans="9:10" x14ac:dyDescent="0.2">
      <c r="I80" s="140"/>
      <c r="J80" s="140"/>
    </row>
    <row r="81" spans="9:10" x14ac:dyDescent="0.2">
      <c r="I81" s="140"/>
      <c r="J81" s="140"/>
    </row>
    <row r="82" spans="9:10" x14ac:dyDescent="0.2">
      <c r="I82" s="140"/>
      <c r="J82" s="140"/>
    </row>
    <row r="83" spans="9:10" x14ac:dyDescent="0.2">
      <c r="I83" s="140"/>
      <c r="J83" s="140"/>
    </row>
    <row r="84" spans="9:10" x14ac:dyDescent="0.2">
      <c r="I84" s="140"/>
      <c r="J84" s="140"/>
    </row>
    <row r="85" spans="9:10" x14ac:dyDescent="0.2">
      <c r="I85" s="140"/>
      <c r="J85" s="140"/>
    </row>
    <row r="86" spans="9:10" x14ac:dyDescent="0.2">
      <c r="I86" s="140"/>
      <c r="J86" s="140"/>
    </row>
    <row r="87" spans="9:10" x14ac:dyDescent="0.2">
      <c r="I87" s="140"/>
      <c r="J87" s="140"/>
    </row>
    <row r="88" spans="9:10" x14ac:dyDescent="0.2">
      <c r="I88" s="140"/>
      <c r="J88" s="140"/>
    </row>
    <row r="89" spans="9:10" x14ac:dyDescent="0.2">
      <c r="I89" s="140"/>
      <c r="J89" s="140"/>
    </row>
    <row r="90" spans="9:10" x14ac:dyDescent="0.2">
      <c r="I90" s="140"/>
      <c r="J90" s="140"/>
    </row>
    <row r="91" spans="9:10" x14ac:dyDescent="0.2">
      <c r="I91" s="140"/>
      <c r="J91" s="140"/>
    </row>
    <row r="92" spans="9:10" x14ac:dyDescent="0.2">
      <c r="I92" s="140"/>
      <c r="J92" s="140"/>
    </row>
    <row r="93" spans="9:10" x14ac:dyDescent="0.2">
      <c r="I93" s="140"/>
      <c r="J93" s="140"/>
    </row>
    <row r="94" spans="9:10" x14ac:dyDescent="0.2">
      <c r="I94" s="140"/>
      <c r="J94" s="140"/>
    </row>
    <row r="95" spans="9:10" x14ac:dyDescent="0.2">
      <c r="I95" s="140"/>
      <c r="J95" s="140"/>
    </row>
    <row r="96" spans="9:10" x14ac:dyDescent="0.2">
      <c r="I96" s="140"/>
      <c r="J96" s="140"/>
    </row>
    <row r="97" spans="9:10" x14ac:dyDescent="0.2">
      <c r="I97" s="140"/>
      <c r="J97" s="140"/>
    </row>
    <row r="98" spans="9:10" x14ac:dyDescent="0.2">
      <c r="I98" s="140"/>
      <c r="J98" s="140"/>
    </row>
    <row r="99" spans="9:10" x14ac:dyDescent="0.2">
      <c r="I99" s="140"/>
      <c r="J99" s="140"/>
    </row>
    <row r="100" spans="9:10" x14ac:dyDescent="0.2">
      <c r="I100" s="140"/>
      <c r="J100" s="140"/>
    </row>
    <row r="101" spans="9:10" x14ac:dyDescent="0.2">
      <c r="I101" s="140"/>
      <c r="J101" s="140"/>
    </row>
    <row r="102" spans="9:10" x14ac:dyDescent="0.2">
      <c r="I102" s="140"/>
      <c r="J102" s="140"/>
    </row>
    <row r="103" spans="9:10" x14ac:dyDescent="0.2">
      <c r="I103" s="140"/>
      <c r="J103" s="140"/>
    </row>
    <row r="104" spans="9:10" x14ac:dyDescent="0.2">
      <c r="I104" s="140"/>
      <c r="J104" s="140"/>
    </row>
    <row r="105" spans="9:10" x14ac:dyDescent="0.2">
      <c r="I105" s="140"/>
      <c r="J105" s="140"/>
    </row>
    <row r="106" spans="9:10" x14ac:dyDescent="0.2">
      <c r="I106" s="140"/>
      <c r="J106" s="140"/>
    </row>
    <row r="107" spans="9:10" x14ac:dyDescent="0.2">
      <c r="I107" s="140"/>
      <c r="J107" s="140"/>
    </row>
    <row r="108" spans="9:10" x14ac:dyDescent="0.2">
      <c r="I108" s="140"/>
      <c r="J108" s="140"/>
    </row>
    <row r="109" spans="9:10" x14ac:dyDescent="0.2">
      <c r="I109" s="140"/>
      <c r="J109" s="140"/>
    </row>
    <row r="110" spans="9:10" x14ac:dyDescent="0.2">
      <c r="I110" s="140"/>
      <c r="J110" s="140"/>
    </row>
    <row r="111" spans="9:10" x14ac:dyDescent="0.2">
      <c r="I111" s="141"/>
      <c r="J111" s="140"/>
    </row>
    <row r="112" spans="9:10" x14ac:dyDescent="0.2">
      <c r="I112" s="141"/>
      <c r="J112" s="140"/>
    </row>
    <row r="113" spans="9:10" x14ac:dyDescent="0.2">
      <c r="I113" s="141"/>
      <c r="J113" s="140"/>
    </row>
    <row r="114" spans="9:10" x14ac:dyDescent="0.2">
      <c r="I114" s="141"/>
      <c r="J114" s="140"/>
    </row>
    <row r="115" spans="9:10" x14ac:dyDescent="0.2">
      <c r="I115" s="141"/>
      <c r="J115" s="140"/>
    </row>
    <row r="116" spans="9:10" x14ac:dyDescent="0.2">
      <c r="I116" s="141"/>
      <c r="J116" s="140"/>
    </row>
    <row r="117" spans="9:10" x14ac:dyDescent="0.2">
      <c r="I117" s="141"/>
      <c r="J117" s="141"/>
    </row>
    <row r="118" spans="9:10" x14ac:dyDescent="0.2">
      <c r="I118" s="141"/>
      <c r="J118" s="141"/>
    </row>
    <row r="119" spans="9:10" x14ac:dyDescent="0.2">
      <c r="I119" s="141"/>
      <c r="J119" s="141"/>
    </row>
    <row r="120" spans="9:10" x14ac:dyDescent="0.2">
      <c r="I120" s="141"/>
      <c r="J120" s="141"/>
    </row>
    <row r="121" spans="9:10" x14ac:dyDescent="0.2">
      <c r="I121" s="141"/>
      <c r="J121" s="141"/>
    </row>
    <row r="122" spans="9:10" x14ac:dyDescent="0.2">
      <c r="I122" s="141"/>
      <c r="J122" s="141"/>
    </row>
    <row r="123" spans="9:10" x14ac:dyDescent="0.2">
      <c r="I123" s="141"/>
      <c r="J123" s="141"/>
    </row>
    <row r="124" spans="9:10" x14ac:dyDescent="0.2">
      <c r="I124" s="141"/>
      <c r="J124" s="141"/>
    </row>
    <row r="125" spans="9:10" x14ac:dyDescent="0.2">
      <c r="I125" s="141"/>
      <c r="J125" s="141"/>
    </row>
    <row r="126" spans="9:10" x14ac:dyDescent="0.2">
      <c r="I126" s="141"/>
      <c r="J126" s="141"/>
    </row>
    <row r="127" spans="9:10" x14ac:dyDescent="0.2">
      <c r="J127" s="141"/>
    </row>
    <row r="128" spans="9:10" x14ac:dyDescent="0.2">
      <c r="J128" s="141"/>
    </row>
    <row r="129" spans="10:10" x14ac:dyDescent="0.2">
      <c r="J129" s="141"/>
    </row>
    <row r="130" spans="10:10" x14ac:dyDescent="0.2">
      <c r="J130" s="141"/>
    </row>
    <row r="131" spans="10:10" x14ac:dyDescent="0.2">
      <c r="J131" s="141"/>
    </row>
    <row r="132" spans="10:10" x14ac:dyDescent="0.2">
      <c r="J132" s="141"/>
    </row>
  </sheetData>
  <mergeCells count="5">
    <mergeCell ref="W2:Y2"/>
    <mergeCell ref="N3:N5"/>
    <mergeCell ref="N9:N10"/>
    <mergeCell ref="R9:R10"/>
    <mergeCell ref="T9:T10"/>
  </mergeCells>
  <dataValidations count="3">
    <dataValidation type="list" allowBlank="1" showInputMessage="1" showErrorMessage="1" sqref="D11">
      <formula1>"linear,MonotonicCubicNaturalSpline, CubicNaturalSpline"</formula1>
    </dataValidation>
    <dataValidation type="list" allowBlank="1" showInputMessage="1" showErrorMessage="1" sqref="D12">
      <formula1>"Delta(0M;1M)extrap,fixing"</formula1>
    </dataValidation>
    <dataValidation type="list" allowBlank="1" showInputMessage="1" showErrorMessage="1" sqref="C22">
      <formula1>"flat,linear,quadratic"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257"/>
  <sheetViews>
    <sheetView workbookViewId="0"/>
  </sheetViews>
  <sheetFormatPr defaultColWidth="9.5" defaultRowHeight="11.25" x14ac:dyDescent="0.2"/>
  <cols>
    <col min="1" max="2" width="3.5" style="115" customWidth="1"/>
    <col min="3" max="5" width="22.83203125" style="115" customWidth="1"/>
    <col min="6" max="6" width="10.5" style="115" bestFit="1" customWidth="1"/>
    <col min="7" max="8" width="14.1640625" style="115" bestFit="1" customWidth="1"/>
    <col min="9" max="9" width="10.5" style="115" bestFit="1" customWidth="1"/>
    <col min="10" max="11" width="9.33203125" style="115" bestFit="1" customWidth="1"/>
    <col min="12" max="12" width="10.5" style="115" bestFit="1" customWidth="1"/>
    <col min="13" max="13" width="10.83203125" style="115" customWidth="1"/>
    <col min="14" max="14" width="13.1640625" style="115" customWidth="1"/>
    <col min="15" max="17" width="6.83203125" style="115" customWidth="1"/>
    <col min="18" max="18" width="2.33203125" style="115" bestFit="1" customWidth="1"/>
    <col min="19" max="19" width="10.83203125" style="115" customWidth="1"/>
    <col min="20" max="20" width="2.33203125" style="115" bestFit="1" customWidth="1"/>
    <col min="21" max="21" width="10.83203125" style="115" customWidth="1"/>
    <col min="22" max="22" width="12.5" style="115" bestFit="1" customWidth="1"/>
    <col min="23" max="25" width="9.33203125" style="115" bestFit="1" customWidth="1"/>
    <col min="26" max="27" width="9.5" style="115"/>
    <col min="28" max="28" width="20.33203125" style="115" bestFit="1" customWidth="1"/>
    <col min="29" max="29" width="8.1640625" style="115" bestFit="1" customWidth="1"/>
    <col min="30" max="31" width="9.5" style="115" bestFit="1" customWidth="1"/>
    <col min="32" max="32" width="12.1640625" style="115" customWidth="1"/>
    <col min="33" max="16384" width="9.5" style="115"/>
  </cols>
  <sheetData>
    <row r="2" spans="1:32" ht="19.5" customHeight="1" x14ac:dyDescent="0.2">
      <c r="C2" s="142" t="s">
        <v>85</v>
      </c>
      <c r="D2" s="142" t="s">
        <v>70</v>
      </c>
      <c r="E2" s="142" t="s">
        <v>71</v>
      </c>
      <c r="F2" s="142" t="s">
        <v>126</v>
      </c>
      <c r="G2" s="142" t="s">
        <v>130</v>
      </c>
      <c r="H2" s="142" t="s">
        <v>131</v>
      </c>
      <c r="I2" s="142" t="s">
        <v>92</v>
      </c>
      <c r="J2" s="143" t="s">
        <v>93</v>
      </c>
      <c r="K2" s="142" t="s">
        <v>94</v>
      </c>
      <c r="L2" s="142" t="s">
        <v>101</v>
      </c>
      <c r="S2" s="132" t="s">
        <v>90</v>
      </c>
      <c r="W2" s="432" t="s">
        <v>89</v>
      </c>
      <c r="X2" s="432"/>
      <c r="Y2" s="432"/>
      <c r="AB2" s="142" t="s">
        <v>70</v>
      </c>
      <c r="AC2" s="142" t="s">
        <v>122</v>
      </c>
      <c r="AD2" s="142" t="s">
        <v>39</v>
      </c>
      <c r="AE2" s="142" t="s">
        <v>83</v>
      </c>
      <c r="AF2" s="142" t="s">
        <v>84</v>
      </c>
    </row>
    <row r="3" spans="1:32" ht="12" customHeight="1" x14ac:dyDescent="0.2">
      <c r="C3" s="146" t="str">
        <f>$D$10&amp;"LastFixing"&amp;QuoteSuffix</f>
        <v>Euribor1YLastFixing_Quote</v>
      </c>
      <c r="D3" s="147">
        <f>_xll.qlCalendarAdvance(Calendar,_xll.qlLastFixingQuoteReferenceDate($C$3),_xll.qlInterestRateIndexFixingDays($D$10)&amp;"D","f",,LastFixingsTrigger)</f>
        <v>42138</v>
      </c>
      <c r="E3" s="147">
        <f>_xll.qlInterestRateIndexMaturity($D$10,D3)</f>
        <v>42506</v>
      </c>
      <c r="F3" s="148">
        <f>'1Y Delta'!W31</f>
        <v>3.0112676017131522E-3</v>
      </c>
      <c r="G3" s="149">
        <f>_xll.qlDayCounterYearFraction(DayCounter,SettlementDate,D3,,,Trigger)</f>
        <v>0</v>
      </c>
      <c r="H3" s="149">
        <f>_xll.qlDayCounterYearFraction(DayCounter,SettlementDate,E3,,,Trigger)</f>
        <v>1.0222222222222221</v>
      </c>
      <c r="I3" s="149">
        <f>H3-G3</f>
        <v>1.0222222222222221</v>
      </c>
      <c r="J3" s="149">
        <f>(H3^2-G3^2)/2</f>
        <v>0.52246913580246901</v>
      </c>
      <c r="K3" s="149">
        <f>(H3^3-G3^3)/3</f>
        <v>0.35605304069501592</v>
      </c>
      <c r="L3" s="150" t="b">
        <f>IF(D12="fixing",TRUE,FALSE)</f>
        <v>0</v>
      </c>
      <c r="N3" s="433" t="s">
        <v>86</v>
      </c>
      <c r="O3" s="127">
        <f t="array" ref="O3:O5">_xll.ohFilter(K3:K7,L3:L7)</f>
        <v>0.35605304069501592</v>
      </c>
      <c r="P3" s="133">
        <f t="array" ref="P3:P5">_xll.ohFilter(J3:J7,L3:L7)</f>
        <v>0.52246913580246901</v>
      </c>
      <c r="Q3" s="128">
        <f t="array" ref="Q3:Q5">_xll.ohFilter(I3:I7,L3:L7)</f>
        <v>1.0222222222222221</v>
      </c>
      <c r="R3" s="134"/>
      <c r="S3" s="129">
        <f t="array" ref="S3:S5">MMULT(W3:Y5,U3:U5)</f>
        <v>-1.4046906796811622E-2</v>
      </c>
      <c r="T3" s="135"/>
      <c r="U3" s="130">
        <f t="array" ref="U3:U5">_xll.ohFilter(F3:F7,L3:L7)</f>
        <v>3.0112676017131522E-3</v>
      </c>
      <c r="W3" s="127">
        <f t="array" ref="W3:Y5">MINVERSE(O3:Q5)</f>
        <v>7.4890902556977297</v>
      </c>
      <c r="X3" s="133">
        <v>-14.858362051258258</v>
      </c>
      <c r="Y3" s="128">
        <v>7.3689444227186227</v>
      </c>
      <c r="AB3" s="163">
        <f>SettlementDate</f>
        <v>42138</v>
      </c>
      <c r="AC3" s="154">
        <f>_xll.qlDayCounterYearFraction(DayCounter,SettlementDate,AB3,,,Trigger)</f>
        <v>0</v>
      </c>
      <c r="AD3" s="179">
        <f t="shared" ref="AD3:AD66" si="0">$S$13</f>
        <v>2.9458052625454755E-3</v>
      </c>
      <c r="AE3" s="179">
        <f t="shared" ref="AE3:AE21" si="1">$S$10+$S$9*AC3</f>
        <v>2.6950588424330168E-3</v>
      </c>
      <c r="AF3" s="179">
        <f t="shared" ref="AF3:AF21" si="2">($S$5+$S$4*AC3+$S$3*AC3^2)</f>
        <v>-1.5627469042723981E-3</v>
      </c>
    </row>
    <row r="4" spans="1:32" ht="12" customHeight="1" x14ac:dyDescent="0.2">
      <c r="A4" s="115">
        <v>0</v>
      </c>
      <c r="B4" s="115">
        <f>A4+12</f>
        <v>12</v>
      </c>
      <c r="C4" s="151" t="str">
        <f>"Delta("&amp;A4&amp;"M,"&amp;B4&amp;"M)"</f>
        <v>Delta(0M,12M)</v>
      </c>
      <c r="D4" s="152">
        <f>SettlementDate</f>
        <v>42138</v>
      </c>
      <c r="E4" s="152">
        <f>_xll.qlInterestRateIndexMaturity($D$10,D4)</f>
        <v>42506</v>
      </c>
      <c r="F4" s="153">
        <f t="array" ref="F4:F7">Delta1Y</f>
        <v>3.0112676017131522E-3</v>
      </c>
      <c r="G4" s="154">
        <f>_xll.qlDayCounterYearFraction(DayCounter,SettlementDate,D4,,,Trigger)</f>
        <v>0</v>
      </c>
      <c r="H4" s="154">
        <f>_xll.qlDayCounterYearFraction(DayCounter,SettlementDate,E4,,,Trigger)</f>
        <v>1.0222222222222221</v>
      </c>
      <c r="I4" s="154">
        <f>H4-G4</f>
        <v>1.0222222222222221</v>
      </c>
      <c r="J4" s="154">
        <f>(H4^2-G4^2)/2</f>
        <v>0.52246913580246901</v>
      </c>
      <c r="K4" s="154">
        <f>(H4^3-G4^3)/3</f>
        <v>0.35605304069501592</v>
      </c>
      <c r="L4" s="155" t="b">
        <f>IF(D12="fixing",FALSE,TRUE)</f>
        <v>1</v>
      </c>
      <c r="N4" s="433"/>
      <c r="O4" s="127">
        <v>0.68532729623914035</v>
      </c>
      <c r="P4" s="133">
        <v>0.78015817901234563</v>
      </c>
      <c r="Q4" s="128">
        <v>1.0194444444444444</v>
      </c>
      <c r="R4" s="136" t="s">
        <v>37</v>
      </c>
      <c r="S4" s="129">
        <v>1.8393787180506264E-2</v>
      </c>
      <c r="T4" s="136" t="s">
        <v>38</v>
      </c>
      <c r="U4" s="130">
        <v>3.1302012066690408E-3</v>
      </c>
      <c r="W4" s="127">
        <v>-13.393961290243162</v>
      </c>
      <c r="X4" s="133">
        <v>22.796802653098673</v>
      </c>
      <c r="Y4" s="128">
        <v>-9.3919366636003581</v>
      </c>
      <c r="AB4" s="168">
        <f>_xll.qlCalendarAdvance(Calendar,AB3,"1d","mf",,Trigger)</f>
        <v>42139</v>
      </c>
      <c r="AC4" s="154">
        <f>_xll.qlDayCounterYearFraction(DayCounter,SettlementDate,AB4,,,Trigger)</f>
        <v>2.7777777777777779E-3</v>
      </c>
      <c r="AD4" s="166">
        <f t="shared" si="0"/>
        <v>2.9458052625454755E-3</v>
      </c>
      <c r="AE4" s="166">
        <f t="shared" si="1"/>
        <v>2.6964215947162368E-3</v>
      </c>
      <c r="AF4" s="166">
        <f t="shared" si="2"/>
        <v>-1.5117614376197325E-3</v>
      </c>
    </row>
    <row r="5" spans="1:32" ht="12" customHeight="1" x14ac:dyDescent="0.2">
      <c r="A5" s="117">
        <v>3</v>
      </c>
      <c r="B5" s="115">
        <f t="shared" ref="B5:B7" si="3">A5+12</f>
        <v>15</v>
      </c>
      <c r="C5" s="151" t="str">
        <f>"Delta("&amp;A5&amp;"M,"&amp;B5&amp;"M)"</f>
        <v>Delta(3M,15M)</v>
      </c>
      <c r="D5" s="152">
        <f>_xll.qlCalendarAdvance(Calendar,SettlementDate,A5&amp;"M","f")</f>
        <v>42230</v>
      </c>
      <c r="E5" s="152">
        <f>_xll.qlInterestRateIndexMaturity($D$10,D5)</f>
        <v>42597</v>
      </c>
      <c r="F5" s="153">
        <v>3.1302012066690408E-3</v>
      </c>
      <c r="G5" s="154">
        <f>_xll.qlDayCounterYearFraction(DayCounter,SettlementDate,D5,,,Trigger)</f>
        <v>0.25555555555555554</v>
      </c>
      <c r="H5" s="154">
        <f>_xll.qlDayCounterYearFraction(DayCounter,SettlementDate,E5,,,Trigger)</f>
        <v>1.2749999999999999</v>
      </c>
      <c r="I5" s="154">
        <f>H5-G5</f>
        <v>1.0194444444444444</v>
      </c>
      <c r="J5" s="154">
        <f>(H5^2-G5^2)/2</f>
        <v>0.78015817901234563</v>
      </c>
      <c r="K5" s="154">
        <f>(H5^3-G5^3)/3</f>
        <v>0.68532729623914035</v>
      </c>
      <c r="L5" s="155" t="b">
        <v>1</v>
      </c>
      <c r="N5" s="433"/>
      <c r="O5" s="127">
        <v>1.1557052469135805</v>
      </c>
      <c r="P5" s="133">
        <v>1.0420833333333335</v>
      </c>
      <c r="Q5" s="128">
        <v>1.0166666666666666</v>
      </c>
      <c r="R5" s="117"/>
      <c r="S5" s="129">
        <v>-1.5627469042723981E-3</v>
      </c>
      <c r="T5" s="136"/>
      <c r="U5" s="130">
        <v>1.3449824836944174E-3</v>
      </c>
      <c r="W5" s="127">
        <v>5.215517630906553</v>
      </c>
      <c r="X5" s="133">
        <v>-6.4763420802319187</v>
      </c>
      <c r="Y5" s="128">
        <v>2.233625834075144</v>
      </c>
      <c r="AB5" s="168">
        <f>_xll.qlCalendarAdvance(Calendar,AB4,"1d","mf",,Trigger)</f>
        <v>42142</v>
      </c>
      <c r="AC5" s="154">
        <f>_xll.qlDayCounterYearFraction(DayCounter,SettlementDate,AB5,,,Trigger)</f>
        <v>1.1111111111111112E-2</v>
      </c>
      <c r="AD5" s="166">
        <f t="shared" si="0"/>
        <v>2.9458052625454755E-3</v>
      </c>
      <c r="AE5" s="166">
        <f t="shared" si="1"/>
        <v>2.7005098515658962E-3</v>
      </c>
      <c r="AF5" s="166">
        <f t="shared" si="2"/>
        <v>-1.3601056771799596E-3</v>
      </c>
    </row>
    <row r="6" spans="1:32" ht="12" customHeight="1" x14ac:dyDescent="0.2">
      <c r="A6" s="117">
        <v>6</v>
      </c>
      <c r="B6" s="118">
        <f t="shared" si="3"/>
        <v>18</v>
      </c>
      <c r="C6" s="151" t="str">
        <f>"Delta("&amp;A6&amp;"M,"&amp;B6&amp;"M)"</f>
        <v>Delta(6M,18M)</v>
      </c>
      <c r="D6" s="152">
        <f>_xll.qlCalendarAdvance(Calendar,SettlementDate,A6&amp;"M","f")</f>
        <v>42324</v>
      </c>
      <c r="E6" s="152">
        <f>_xll.qlInterestRateIndexMaturity($D$10,D6)</f>
        <v>42690</v>
      </c>
      <c r="F6" s="153">
        <v>1.3449824836944174E-3</v>
      </c>
      <c r="G6" s="154">
        <f>_xll.qlDayCounterYearFraction(DayCounter,SettlementDate,D6,,,Trigger)</f>
        <v>0.51666666666666672</v>
      </c>
      <c r="H6" s="154">
        <f>_xll.qlDayCounterYearFraction(DayCounter,SettlementDate,E6,,,Trigger)</f>
        <v>1.5333333333333334</v>
      </c>
      <c r="I6" s="154">
        <f>H6-G6</f>
        <v>1.0166666666666666</v>
      </c>
      <c r="J6" s="154">
        <f>(H6^2-G6^2)/2</f>
        <v>1.0420833333333335</v>
      </c>
      <c r="K6" s="154">
        <f>(H6^3-G6^3)/3</f>
        <v>1.1557052469135805</v>
      </c>
      <c r="L6" s="155" t="b">
        <v>1</v>
      </c>
      <c r="S6" s="131"/>
      <c r="T6" s="124"/>
      <c r="U6" s="125"/>
      <c r="AB6" s="168">
        <f>_xll.qlCalendarAdvance(Calendar,AB5,"1d","mf",,Trigger)</f>
        <v>42143</v>
      </c>
      <c r="AC6" s="154">
        <f>_xll.qlDayCounterYearFraction(DayCounter,SettlementDate,AB6,,,Trigger)</f>
        <v>1.3888888888888888E-2</v>
      </c>
      <c r="AD6" s="166">
        <f t="shared" si="0"/>
        <v>2.9458052625454755E-3</v>
      </c>
      <c r="AE6" s="166">
        <f t="shared" si="1"/>
        <v>2.7018726038491162E-3</v>
      </c>
      <c r="AF6" s="166">
        <f t="shared" si="2"/>
        <v>-1.3099873035394428E-3</v>
      </c>
    </row>
    <row r="7" spans="1:32" ht="12" customHeight="1" x14ac:dyDescent="0.2">
      <c r="A7" s="117">
        <v>12</v>
      </c>
      <c r="B7" s="118">
        <f t="shared" si="3"/>
        <v>24</v>
      </c>
      <c r="C7" s="156" t="str">
        <f>"Delta("&amp;A7&amp;"M,"&amp;B7&amp;"M)"</f>
        <v>Delta(12M,24M)</v>
      </c>
      <c r="D7" s="157">
        <f>_xll.qlCalendarAdvance(Calendar,SettlementDate,A7&amp;"M","f")</f>
        <v>42506</v>
      </c>
      <c r="E7" s="157">
        <f>_xll.qlInterestRateIndexMaturity($D$10,D7)</f>
        <v>42871</v>
      </c>
      <c r="F7" s="158">
        <v>-1.1663616846611863E-3</v>
      </c>
      <c r="G7" s="159">
        <f>_xll.qlDayCounterYearFraction(DayCounter,SettlementDate,D7,,,Trigger)</f>
        <v>1.0222222222222221</v>
      </c>
      <c r="H7" s="159">
        <f>_xll.qlDayCounterYearFraction(DayCounter,SettlementDate,E7,,,Trigger)</f>
        <v>2.036111111111111</v>
      </c>
      <c r="I7" s="159">
        <f>H7-G7</f>
        <v>1.0138888888888888</v>
      </c>
      <c r="J7" s="159">
        <f>(H7^2-G7^2)/2</f>
        <v>1.5504050925925927</v>
      </c>
      <c r="K7" s="159">
        <f>(H7^3-G7^3)/3</f>
        <v>2.4576817915523548</v>
      </c>
      <c r="L7" s="160" t="b">
        <v>0</v>
      </c>
      <c r="S7" s="131"/>
      <c r="T7" s="124"/>
      <c r="U7" s="125"/>
      <c r="AB7" s="168">
        <f>_xll.qlCalendarAdvance(Calendar,AB6,"1d","mf",,Trigger)</f>
        <v>42144</v>
      </c>
      <c r="AC7" s="154">
        <f>_xll.qlDayCounterYearFraction(DayCounter,SettlementDate,AB7,,,Trigger)</f>
        <v>1.6666666666666666E-2</v>
      </c>
      <c r="AD7" s="166">
        <f t="shared" si="0"/>
        <v>2.9458052625454755E-3</v>
      </c>
      <c r="AE7" s="166">
        <f t="shared" si="1"/>
        <v>2.7032353561323359E-3</v>
      </c>
      <c r="AF7" s="166">
        <f t="shared" si="2"/>
        <v>-1.2600857031519637E-3</v>
      </c>
    </row>
    <row r="8" spans="1:32" ht="12" customHeight="1" x14ac:dyDescent="0.2">
      <c r="B8" s="118"/>
      <c r="C8" s="118"/>
      <c r="D8" s="119"/>
      <c r="E8" s="119"/>
      <c r="F8" s="120"/>
      <c r="G8" s="121"/>
      <c r="H8" s="121"/>
      <c r="I8" s="121"/>
      <c r="J8" s="121"/>
      <c r="K8" s="121"/>
      <c r="L8" s="122"/>
      <c r="S8" s="123" t="s">
        <v>91</v>
      </c>
      <c r="T8" s="124"/>
      <c r="U8" s="125"/>
      <c r="AB8" s="168">
        <f>_xll.qlCalendarAdvance(Calendar,AB7,"1d","mf",,Trigger)</f>
        <v>42145</v>
      </c>
      <c r="AC8" s="154">
        <f>_xll.qlDayCounterYearFraction(DayCounter,SettlementDate,AB8,,,Trigger)</f>
        <v>1.9444444444444445E-2</v>
      </c>
      <c r="AD8" s="166">
        <f t="shared" si="0"/>
        <v>2.9458052625454755E-3</v>
      </c>
      <c r="AE8" s="166">
        <f t="shared" si="1"/>
        <v>2.7045981084155559E-3</v>
      </c>
      <c r="AF8" s="166">
        <f t="shared" si="2"/>
        <v>-1.2104008760175215E-3</v>
      </c>
    </row>
    <row r="9" spans="1:32" ht="12" customHeight="1" x14ac:dyDescent="0.2">
      <c r="C9" s="142" t="s">
        <v>136</v>
      </c>
      <c r="D9" s="176" t="s">
        <v>27</v>
      </c>
      <c r="N9" s="432" t="s">
        <v>87</v>
      </c>
      <c r="O9" s="126"/>
      <c r="P9" s="127">
        <f t="array" ref="P9:P10">_xll.ohFilter(J3:J7,L3:L7)</f>
        <v>0.52246913580246901</v>
      </c>
      <c r="Q9" s="128">
        <f t="array" ref="Q9:Q10">_xll.ohFilter(I3:I7,L3:L7)</f>
        <v>1.0222222222222221</v>
      </c>
      <c r="R9" s="431" t="s">
        <v>37</v>
      </c>
      <c r="S9" s="129">
        <f t="array" ref="S9:S10">MMULT(W9:X10,U9:U10)</f>
        <v>4.9059082195915954E-4</v>
      </c>
      <c r="T9" s="431" t="s">
        <v>38</v>
      </c>
      <c r="U9" s="130">
        <f t="array" ref="U9:U10">_xll.ohFilter(F3:F7,L3:L7)</f>
        <v>3.0112676017131522E-3</v>
      </c>
      <c r="W9" s="127">
        <f t="array" ref="W9:X10">MINVERSE(P9:Q10)</f>
        <v>-3.8488952245188863</v>
      </c>
      <c r="X9" s="128">
        <v>3.8593826774467308</v>
      </c>
      <c r="AB9" s="168">
        <f>_xll.qlCalendarAdvance(Calendar,AB8,"1d","mf",,Trigger)</f>
        <v>42146</v>
      </c>
      <c r="AC9" s="154">
        <f>_xll.qlDayCounterYearFraction(DayCounter,SettlementDate,AB9,,,Trigger)</f>
        <v>2.2222222222222223E-2</v>
      </c>
      <c r="AD9" s="166">
        <f t="shared" si="0"/>
        <v>2.9458052625454755E-3</v>
      </c>
      <c r="AE9" s="166">
        <f t="shared" si="1"/>
        <v>2.705960860698776E-3</v>
      </c>
      <c r="AF9" s="166">
        <f t="shared" si="2"/>
        <v>-1.1609328221361165E-3</v>
      </c>
    </row>
    <row r="10" spans="1:32" ht="12" customHeight="1" x14ac:dyDescent="0.2">
      <c r="C10" s="142" t="s">
        <v>100</v>
      </c>
      <c r="D10" s="176" t="str">
        <f>PROPER(Currency)&amp;IborType&amp;D9</f>
        <v>Euribor1Y</v>
      </c>
      <c r="N10" s="432"/>
      <c r="O10" s="126"/>
      <c r="P10" s="127">
        <v>0.78015817901234563</v>
      </c>
      <c r="Q10" s="128">
        <v>1.0194444444444444</v>
      </c>
      <c r="R10" s="431"/>
      <c r="S10" s="129">
        <v>2.6950588424330168E-3</v>
      </c>
      <c r="T10" s="431"/>
      <c r="U10" s="130">
        <v>3.1302012066690408E-3</v>
      </c>
      <c r="W10" s="127">
        <v>2.9454739843193147</v>
      </c>
      <c r="X10" s="128">
        <v>-1.9725733684727733</v>
      </c>
      <c r="AB10" s="168">
        <f>_xll.qlCalendarAdvance(Calendar,AB9,"1d","mf",,Trigger)</f>
        <v>42149</v>
      </c>
      <c r="AC10" s="154">
        <f>_xll.qlDayCounterYearFraction(DayCounter,SettlementDate,AB10,,,Trigger)</f>
        <v>3.0555555555555555E-2</v>
      </c>
      <c r="AD10" s="166">
        <f t="shared" si="0"/>
        <v>2.9458052625454755E-3</v>
      </c>
      <c r="AE10" s="166">
        <f t="shared" si="1"/>
        <v>2.7100491175484354E-3</v>
      </c>
      <c r="AF10" s="166">
        <f t="shared" si="2"/>
        <v>-1.0138293000101252E-3</v>
      </c>
    </row>
    <row r="11" spans="1:32" ht="12" customHeight="1" x14ac:dyDescent="0.2">
      <c r="C11" s="142" t="s">
        <v>129</v>
      </c>
      <c r="D11" s="177" t="s">
        <v>79</v>
      </c>
      <c r="S11" s="131"/>
      <c r="T11" s="124"/>
      <c r="U11" s="125"/>
      <c r="AB11" s="168">
        <f>_xll.qlCalendarAdvance(Calendar,AB10,"1d","mf",,Trigger)</f>
        <v>42150</v>
      </c>
      <c r="AC11" s="154">
        <f>_xll.qlDayCounterYearFraction(DayCounter,SettlementDate,AB11,,,Trigger)</f>
        <v>3.3333333333333333E-2</v>
      </c>
      <c r="AD11" s="166">
        <f t="shared" si="0"/>
        <v>2.9458052625454755E-3</v>
      </c>
      <c r="AE11" s="166">
        <f t="shared" si="1"/>
        <v>2.7114118698316554E-3</v>
      </c>
      <c r="AF11" s="166">
        <f t="shared" si="2"/>
        <v>-9.6522833914086887E-4</v>
      </c>
    </row>
    <row r="12" spans="1:32" ht="12" customHeight="1" x14ac:dyDescent="0.2">
      <c r="C12" s="142" t="s">
        <v>128</v>
      </c>
      <c r="D12" s="176" t="s">
        <v>133</v>
      </c>
      <c r="S12" s="132" t="s">
        <v>35</v>
      </c>
      <c r="T12" s="124"/>
      <c r="U12" s="125"/>
      <c r="AB12" s="168">
        <f>_xll.qlCalendarAdvance(Calendar,AB11,"1d","mf",,Trigger)</f>
        <v>42151</v>
      </c>
      <c r="AC12" s="154">
        <f>_xll.qlDayCounterYearFraction(DayCounter,SettlementDate,AB12,,,Trigger)</f>
        <v>3.6111111111111108E-2</v>
      </c>
      <c r="AD12" s="166">
        <f t="shared" si="0"/>
        <v>2.9458052625454755E-3</v>
      </c>
      <c r="AE12" s="166">
        <f t="shared" si="1"/>
        <v>2.7127746221148755E-3</v>
      </c>
      <c r="AF12" s="166">
        <f t="shared" si="2"/>
        <v>-9.1684415152465002E-4</v>
      </c>
    </row>
    <row r="13" spans="1:32" ht="12" customHeight="1" x14ac:dyDescent="0.2">
      <c r="J13" s="144" t="str">
        <f>"Synthetic Deposits "&amp;D9</f>
        <v>Synthetic Deposits 1Y</v>
      </c>
      <c r="K13" s="144"/>
      <c r="L13" s="144"/>
      <c r="N13" s="137" t="s">
        <v>88</v>
      </c>
      <c r="Q13" s="138">
        <f t="array" ref="Q13">_xll.ohFilter(I3:I7,L3:L7)</f>
        <v>1.0222222222222221</v>
      </c>
      <c r="R13" s="137" t="s">
        <v>37</v>
      </c>
      <c r="S13" s="129">
        <f>MMULT(W13,U13)</f>
        <v>2.9458052625454755E-3</v>
      </c>
      <c r="T13" s="137" t="s">
        <v>38</v>
      </c>
      <c r="U13" s="130">
        <f t="array" ref="U13">_xll.ohFilter(F3:F7,L3:L7)</f>
        <v>3.0112676017131522E-3</v>
      </c>
      <c r="W13" s="138">
        <f>MINVERSE(Q13)</f>
        <v>0.97826086956521752</v>
      </c>
      <c r="AB13" s="168">
        <f>_xll.qlCalendarAdvance(Calendar,AB12,"1d","mf",,Trigger)</f>
        <v>42152</v>
      </c>
      <c r="AC13" s="154">
        <f>_xll.qlDayCounterYearFraction(DayCounter,SettlementDate,AB13,,,Trigger)</f>
        <v>3.888888888888889E-2</v>
      </c>
      <c r="AD13" s="166">
        <f t="shared" si="0"/>
        <v>2.9458052625454755E-3</v>
      </c>
      <c r="AE13" s="166">
        <f t="shared" si="1"/>
        <v>2.7141373743980951E-3</v>
      </c>
      <c r="AF13" s="166">
        <f t="shared" si="2"/>
        <v>-8.6867673716146845E-4</v>
      </c>
    </row>
    <row r="14" spans="1:32" ht="12" customHeight="1" x14ac:dyDescent="0.2">
      <c r="C14" s="142" t="s">
        <v>95</v>
      </c>
      <c r="D14" s="142" t="s">
        <v>70</v>
      </c>
      <c r="E14" s="142" t="s">
        <v>71</v>
      </c>
      <c r="F14" s="143" t="s">
        <v>122</v>
      </c>
      <c r="G14" s="143" t="s">
        <v>123</v>
      </c>
      <c r="H14" s="142" t="s">
        <v>124</v>
      </c>
      <c r="I14" s="143" t="s">
        <v>125</v>
      </c>
      <c r="J14" s="145" t="s">
        <v>88</v>
      </c>
      <c r="K14" s="145" t="s">
        <v>87</v>
      </c>
      <c r="L14" s="145" t="s">
        <v>114</v>
      </c>
      <c r="AB14" s="168">
        <f>_xll.qlCalendarAdvance(Calendar,AB13,"1d","mf",,Trigger)</f>
        <v>42153</v>
      </c>
      <c r="AC14" s="154">
        <f>_xll.qlDayCounterYearFraction(DayCounter,SettlementDate,AB14,,,Trigger)</f>
        <v>4.1666666666666664E-2</v>
      </c>
      <c r="AD14" s="166">
        <f t="shared" si="0"/>
        <v>2.9458052625454755E-3</v>
      </c>
      <c r="AE14" s="166">
        <f t="shared" si="1"/>
        <v>2.7155001266813152E-3</v>
      </c>
      <c r="AF14" s="166">
        <f t="shared" si="2"/>
        <v>-8.2072609605132393E-4</v>
      </c>
    </row>
    <row r="15" spans="1:32" ht="12" customHeight="1" x14ac:dyDescent="0.2">
      <c r="C15" s="161" t="s">
        <v>43</v>
      </c>
      <c r="D15" s="162">
        <f t="shared" ref="D15:D30" si="4">SettlementDate</f>
        <v>42138</v>
      </c>
      <c r="E15" s="163">
        <f>_xll.qlCalendarAdvance(Calendar,SettlementDate,C15,"Following",,Trigger)</f>
        <v>42139</v>
      </c>
      <c r="F15" s="164">
        <f>_xll.qlDayCounterYearFraction(DayCounter,D15,E15,,,Trigger)</f>
        <v>2.7777777777777779E-3</v>
      </c>
      <c r="G15" s="182">
        <f>_xll.qlYieldTSDiscount(Discounting,D15,,AllTriggers)</f>
        <v>1.0000055555787037</v>
      </c>
      <c r="H15" s="165">
        <f>_xll.qlYieldTSDiscount(Discounting,E15,,AllTriggers)</f>
        <v>1.0000083056242322</v>
      </c>
      <c r="I15" s="183">
        <f>(G15/H15-1)/F15</f>
        <v>-9.9000816760508314E-4</v>
      </c>
      <c r="J15" s="166">
        <f>((1+I15*F15)*EXP($S$13*F15)-1)/F15</f>
        <v>1.9558010463960329E-3</v>
      </c>
      <c r="K15" s="166">
        <f>((1+F15*I15)*EXP($S$10*F15+0.5*$S$9*F15^2)-1)/F15</f>
        <v>1.7057347307414261E-3</v>
      </c>
      <c r="L15" s="166">
        <f>((1+F15*I15)*EXP($S$5*F15+0.5*$S$4*F15^2+1/3*$S$3*F15^3)-1)/F15</f>
        <v>-2.5272367646200777E-3</v>
      </c>
      <c r="AB15" s="168">
        <f>_xll.qlCalendarAdvance(Calendar,AB14,"1d","mf",,Trigger)</f>
        <v>42156</v>
      </c>
      <c r="AC15" s="154">
        <f>_xll.qlDayCounterYearFraction(DayCounter,SettlementDate,AB15,,,Trigger)</f>
        <v>0.05</v>
      </c>
      <c r="AD15" s="166">
        <f t="shared" si="0"/>
        <v>2.9458052625454755E-3</v>
      </c>
      <c r="AE15" s="166">
        <f t="shared" si="1"/>
        <v>2.7195883835309746E-3</v>
      </c>
      <c r="AF15" s="166">
        <f t="shared" si="2"/>
        <v>-6.7817481223911389E-4</v>
      </c>
    </row>
    <row r="16" spans="1:32" ht="12" customHeight="1" x14ac:dyDescent="0.2">
      <c r="C16" s="167" t="s">
        <v>44</v>
      </c>
      <c r="D16" s="152">
        <f>SettlementDate</f>
        <v>42138</v>
      </c>
      <c r="E16" s="168">
        <f>_xll.qlCalendarAdvance(Calendar,SettlementDate,C16,"Following",,Trigger)</f>
        <v>42145</v>
      </c>
      <c r="F16" s="154">
        <f>_xll.qlDayCounterYearFraction(DayCounter,D16,E16,,,Trigger)</f>
        <v>1.9444444444444445E-2</v>
      </c>
      <c r="G16" s="184">
        <f>_xll.qlYieldTSDiscount(Discounting,D16,,AllTriggers)</f>
        <v>1.0000055555787037</v>
      </c>
      <c r="H16" s="169">
        <f>_xll.qlYieldTSDiscount(Discounting,E16,,AllTriggers)</f>
        <v>1.0000248060562202</v>
      </c>
      <c r="I16" s="183">
        <f t="shared" ref="I16:I18" si="5">(G16/H16-1)/F16</f>
        <v>-9.8999999999563717E-4</v>
      </c>
      <c r="J16" s="166">
        <f t="shared" ref="J16:J18" si="6">((1+I16*F16)*EXP($S$13*F16)-1)/F16</f>
        <v>1.9558329229774074E-3</v>
      </c>
      <c r="K16" s="166">
        <f t="shared" ref="K16:K18" si="7">((1+F16*I16)*EXP($S$10*F16+0.5*$S$9*F16^2)-1)/F16</f>
        <v>1.7098473695994645E-3</v>
      </c>
      <c r="L16" s="166">
        <f t="shared" ref="L16:L18" si="8">((1+F16*I16)*EXP($S$5*F16+0.5*$S$4*F16^2+1/3*$S$3*F16^3)-1)/F16</f>
        <v>-2.3756433907491064E-3</v>
      </c>
      <c r="AB16" s="168">
        <f>_xll.qlCalendarAdvance(Calendar,AB15,"1d","mf",,Trigger)</f>
        <v>42157</v>
      </c>
      <c r="AC16" s="154">
        <f>_xll.qlDayCounterYearFraction(DayCounter,SettlementDate,AB16,,,Trigger)</f>
        <v>5.2777777777777778E-2</v>
      </c>
      <c r="AD16" s="166">
        <f t="shared" si="0"/>
        <v>2.9458052625454755E-3</v>
      </c>
      <c r="AE16" s="166">
        <f t="shared" si="1"/>
        <v>2.7209511358141946E-3</v>
      </c>
      <c r="AF16" s="166">
        <f t="shared" si="2"/>
        <v>-6.3109126414111845E-4</v>
      </c>
    </row>
    <row r="17" spans="3:32" ht="12" customHeight="1" x14ac:dyDescent="0.2">
      <c r="C17" s="167" t="s">
        <v>45</v>
      </c>
      <c r="D17" s="152">
        <f t="shared" si="4"/>
        <v>42138</v>
      </c>
      <c r="E17" s="168">
        <f>_xll.qlCalendarAdvance(Calendar,SettlementDate,C17,"Following",,Trigger)</f>
        <v>42152</v>
      </c>
      <c r="F17" s="154">
        <f>_xll.qlDayCounterYearFraction(DayCounter,D17,E17,,,Trigger)</f>
        <v>3.888888888888889E-2</v>
      </c>
      <c r="G17" s="184">
        <f>_xll.qlYieldTSDiscount(Discounting,D17,,AllTriggers)</f>
        <v>1.0000055555787037</v>
      </c>
      <c r="H17" s="169">
        <f>_xll.qlYieldTSDiscount(Discounting,E17,,AllTriggers)</f>
        <v>1.0000444461960583</v>
      </c>
      <c r="I17" s="183">
        <f t="shared" si="5"/>
        <v>-1.0000000000636483E-3</v>
      </c>
      <c r="J17" s="166">
        <f t="shared" si="6"/>
        <v>1.9458594376597915E-3</v>
      </c>
      <c r="K17" s="166">
        <f t="shared" si="7"/>
        <v>1.7046351622023487E-3</v>
      </c>
      <c r="L17" s="166">
        <f t="shared" si="8"/>
        <v>-2.2120954816820921E-3</v>
      </c>
      <c r="AB17" s="168">
        <f>_xll.qlCalendarAdvance(Calendar,AB16,"1d","mf",,Trigger)</f>
        <v>42158</v>
      </c>
      <c r="AC17" s="154">
        <f>_xll.qlDayCounterYearFraction(DayCounter,SettlementDate,AB17,,,Trigger)</f>
        <v>5.5555555555555552E-2</v>
      </c>
      <c r="AD17" s="166">
        <f t="shared" si="0"/>
        <v>2.9458052625454755E-3</v>
      </c>
      <c r="AE17" s="166">
        <f t="shared" si="1"/>
        <v>2.7223138880974147E-3</v>
      </c>
      <c r="AF17" s="166">
        <f t="shared" si="2"/>
        <v>-5.8422448929616006E-4</v>
      </c>
    </row>
    <row r="18" spans="3:32" ht="12" customHeight="1" x14ac:dyDescent="0.2">
      <c r="C18" s="167" t="s">
        <v>46</v>
      </c>
      <c r="D18" s="152">
        <f t="shared" si="4"/>
        <v>42138</v>
      </c>
      <c r="E18" s="168">
        <f>_xll.qlCalendarAdvance(Calendar,SettlementDate,C18,"Following",,Trigger)</f>
        <v>42159</v>
      </c>
      <c r="F18" s="154">
        <f>_xll.qlDayCounterYearFraction(DayCounter,D18,E18,,,Trigger)</f>
        <v>5.8333333333333334E-2</v>
      </c>
      <c r="G18" s="184">
        <f>_xll.qlYieldTSDiscount(Discounting,D18,,AllTriggers)</f>
        <v>1.0000055555787037</v>
      </c>
      <c r="H18" s="169">
        <f>_xll.qlYieldTSDiscount(Discounting,E18,,AllTriggers)</f>
        <v>1.0000592254238359</v>
      </c>
      <c r="I18" s="183">
        <f t="shared" si="5"/>
        <v>-9.2000000058917967E-4</v>
      </c>
      <c r="J18" s="166">
        <f t="shared" si="6"/>
        <v>2.0259002729071185E-3</v>
      </c>
      <c r="K18" s="166">
        <f t="shared" si="7"/>
        <v>1.7894364408491523E-3</v>
      </c>
      <c r="L18" s="166">
        <f t="shared" si="8"/>
        <v>-1.9621066708509971E-3</v>
      </c>
      <c r="AB18" s="168">
        <f>_xll.qlCalendarAdvance(Calendar,AB17,"1d","mf",,Trigger)</f>
        <v>42159</v>
      </c>
      <c r="AC18" s="154">
        <f>_xll.qlDayCounterYearFraction(DayCounter,SettlementDate,AB18,,,Trigger)</f>
        <v>5.8333333333333334E-2</v>
      </c>
      <c r="AD18" s="166">
        <f t="shared" si="0"/>
        <v>2.9458052625454755E-3</v>
      </c>
      <c r="AE18" s="166">
        <f t="shared" si="1"/>
        <v>2.7236766403806343E-3</v>
      </c>
      <c r="AF18" s="166">
        <f t="shared" si="2"/>
        <v>-5.3757448770423884E-4</v>
      </c>
    </row>
    <row r="19" spans="3:32" ht="12" customHeight="1" x14ac:dyDescent="0.2">
      <c r="C19" s="167" t="s">
        <v>40</v>
      </c>
      <c r="D19" s="152">
        <f t="shared" si="4"/>
        <v>42138</v>
      </c>
      <c r="E19" s="168">
        <f>_xll.qlCalendarAdvance(Calendar,SettlementDate,C19,"Following",,Trigger)</f>
        <v>42170</v>
      </c>
      <c r="F19" s="154">
        <f>_xll.qlDayCounterYearFraction(DayCounter,D19,E19,,,Trigger)</f>
        <v>8.8888888888888892E-2</v>
      </c>
      <c r="G19" s="184">
        <f>_xll.qlYieldTSDiscount(Discounting,D19,,AllTriggers)</f>
        <v>1.0000055555787037</v>
      </c>
      <c r="H19" s="169">
        <f>_xll.qlYieldTSDiscount(Discounting,E19,,AllTriggers)</f>
        <v>1.0000937581190312</v>
      </c>
      <c r="I19" s="183">
        <f t="shared" ref="I19:I30" si="9">(G19/H19-1)/F19</f>
        <v>-9.9218555323313251E-4</v>
      </c>
      <c r="J19" s="166">
        <f t="shared" ref="J19:J30" si="10">((1+I19*F19)*EXP($S$13*F19)-1)/F19</f>
        <v>1.9537455844179097E-3</v>
      </c>
      <c r="K19" s="166">
        <f t="shared" ref="K19:K30" si="11">((1+F19*I19)*EXP($S$10*F19+0.5*$S$9*F19^2)-1)/F19</f>
        <v>1.7247657711924602E-3</v>
      </c>
      <c r="L19" s="166">
        <f t="shared" ref="L19:L30" si="12">((1+F19*I19)*EXP($S$5*F19+0.5*$S$4*F19^2+1/3*$S$3*F19^3)-1)/F19</f>
        <v>-1.7743305917765351E-3</v>
      </c>
      <c r="AB19" s="168">
        <f>_xll.qlCalendarAdvance(Calendar,AB18,"1d","mf",,Trigger)</f>
        <v>42160</v>
      </c>
      <c r="AC19" s="154">
        <f>_xll.qlDayCounterYearFraction(DayCounter,SettlementDate,AB19,,,Trigger)</f>
        <v>6.1111111111111109E-2</v>
      </c>
      <c r="AD19" s="166">
        <f t="shared" si="0"/>
        <v>2.9458052625454755E-3</v>
      </c>
      <c r="AE19" s="166">
        <f t="shared" si="1"/>
        <v>2.7250393926638544E-3</v>
      </c>
      <c r="AF19" s="166">
        <f t="shared" si="2"/>
        <v>-4.9114125936535499E-4</v>
      </c>
    </row>
    <row r="20" spans="3:32" ht="12" customHeight="1" x14ac:dyDescent="0.2">
      <c r="C20" s="167" t="s">
        <v>47</v>
      </c>
      <c r="D20" s="152">
        <f t="shared" si="4"/>
        <v>42138</v>
      </c>
      <c r="E20" s="168">
        <f>_xll.qlCalendarAdvance(Calendar,SettlementDate,C20,"Following",,Trigger)</f>
        <v>42199</v>
      </c>
      <c r="F20" s="154">
        <f>_xll.qlDayCounterYearFraction(DayCounter,D20,E20,,,Trigger)</f>
        <v>0.16944444444444445</v>
      </c>
      <c r="G20" s="184">
        <f>_xll.qlYieldTSDiscount(Discounting,D20,,AllTriggers)</f>
        <v>1.0000055555787037</v>
      </c>
      <c r="H20" s="169">
        <f>_xll.qlYieldTSDiscount(Discounting,E20,,AllTriggers)</f>
        <v>1.0001848045768287</v>
      </c>
      <c r="I20" s="183">
        <f t="shared" si="9"/>
        <v>-1.0576674779627102E-3</v>
      </c>
      <c r="J20" s="166">
        <f t="shared" si="10"/>
        <v>1.8883450399078828E-3</v>
      </c>
      <c r="K20" s="166">
        <f t="shared" si="11"/>
        <v>1.6790993407651991E-3</v>
      </c>
      <c r="L20" s="166">
        <f t="shared" si="12"/>
        <v>-1.1964608918695074E-3</v>
      </c>
      <c r="AB20" s="168">
        <f>_xll.qlCalendarAdvance(Calendar,AB19,"1d","mf",,Trigger)</f>
        <v>42163</v>
      </c>
      <c r="AC20" s="154">
        <f>_xll.qlDayCounterYearFraction(DayCounter,SettlementDate,AB20,,,Trigger)</f>
        <v>6.9444444444444448E-2</v>
      </c>
      <c r="AD20" s="166">
        <f t="shared" si="0"/>
        <v>2.9458052625454755E-3</v>
      </c>
      <c r="AE20" s="166">
        <f t="shared" si="1"/>
        <v>2.7291276495135137E-3</v>
      </c>
      <c r="AF20" s="166">
        <f t="shared" si="2"/>
        <v>-3.5314221386692653E-4</v>
      </c>
    </row>
    <row r="21" spans="3:32" ht="12" customHeight="1" x14ac:dyDescent="0.2">
      <c r="C21" s="167" t="s">
        <v>41</v>
      </c>
      <c r="D21" s="152">
        <f t="shared" si="4"/>
        <v>42138</v>
      </c>
      <c r="E21" s="168">
        <f>_xll.qlCalendarAdvance(Calendar,SettlementDate,C21,"Following",,Trigger)</f>
        <v>42230</v>
      </c>
      <c r="F21" s="154">
        <f>_xll.qlDayCounterYearFraction(DayCounter,D21,E21,,,Trigger)</f>
        <v>0.25555555555555554</v>
      </c>
      <c r="G21" s="184">
        <f>_xll.qlYieldTSDiscount(Discounting,D21,,AllTriggers)</f>
        <v>1.0000055555787037</v>
      </c>
      <c r="H21" s="169">
        <f>_xll.qlYieldTSDiscount(Discounting,E21,,AllTriggers)</f>
        <v>1.0002904548150309</v>
      </c>
      <c r="I21" s="183">
        <f t="shared" si="9"/>
        <v>-1.1144993869582898E-3</v>
      </c>
      <c r="J21" s="166">
        <f t="shared" si="10"/>
        <v>1.8315756500151561E-3</v>
      </c>
      <c r="K21" s="166">
        <f t="shared" si="11"/>
        <v>1.6434323309934818E-3</v>
      </c>
      <c r="L21" s="166">
        <f t="shared" si="12"/>
        <v>-6.3283140932903967E-4</v>
      </c>
      <c r="AB21" s="168">
        <f>_xll.qlCalendarAdvance(Calendar,AB20,"1d","mf",,Trigger)</f>
        <v>42164</v>
      </c>
      <c r="AC21" s="154">
        <f>_xll.qlDayCounterYearFraction(DayCounter,SettlementDate,AB21,,,Trigger)</f>
        <v>7.2222222222222215E-2</v>
      </c>
      <c r="AD21" s="166">
        <f t="shared" si="0"/>
        <v>2.9458052625454755E-3</v>
      </c>
      <c r="AE21" s="166">
        <f t="shared" si="1"/>
        <v>2.7304904017967338E-3</v>
      </c>
      <c r="AF21" s="166">
        <f t="shared" si="2"/>
        <v>-3.0757607854019155E-4</v>
      </c>
    </row>
    <row r="22" spans="3:32" ht="12" customHeight="1" x14ac:dyDescent="0.2">
      <c r="C22" s="167" t="s">
        <v>48</v>
      </c>
      <c r="D22" s="152">
        <f t="shared" si="4"/>
        <v>42138</v>
      </c>
      <c r="E22" s="168">
        <f>_xll.qlCalendarAdvance(Calendar,SettlementDate,C22,"Following",,Trigger)</f>
        <v>42261</v>
      </c>
      <c r="F22" s="154">
        <f>_xll.qlDayCounterYearFraction(DayCounter,D22,E22,,,Trigger)</f>
        <v>0.34166666666666667</v>
      </c>
      <c r="G22" s="184">
        <f>_xll.qlYieldTSDiscount(Discounting,D22,,AllTriggers)</f>
        <v>1.0000055555787037</v>
      </c>
      <c r="H22" s="169">
        <f>_xll.qlYieldTSDiscount(Discounting,E22,,AllTriggers)</f>
        <v>1.000398017677222</v>
      </c>
      <c r="I22" s="183">
        <f t="shared" si="9"/>
        <v>-1.1482125477476704E-3</v>
      </c>
      <c r="J22" s="166">
        <f t="shared" si="10"/>
        <v>1.7979194257077306E-3</v>
      </c>
      <c r="K22" s="166">
        <f t="shared" si="11"/>
        <v>1.6308844869523502E-3</v>
      </c>
      <c r="L22" s="166">
        <f t="shared" si="12"/>
        <v>-1.1550423792863683E-4</v>
      </c>
      <c r="AB22" s="168">
        <f>_xll.qlCalendarAdvance(Calendar,AB21,"1d","mf",,Trigger)</f>
        <v>42165</v>
      </c>
      <c r="AC22" s="154">
        <f>_xll.qlDayCounterYearFraction(DayCounter,SettlementDate,AB22,,,Trigger)</f>
        <v>7.4999999999999997E-2</v>
      </c>
      <c r="AD22" s="166">
        <f t="shared" si="0"/>
        <v>2.9458052625454755E-3</v>
      </c>
      <c r="AE22" s="166">
        <f t="shared" ref="AE22:AE85" si="13">$S$10+$S$9*AC22</f>
        <v>2.7318531540799539E-3</v>
      </c>
      <c r="AF22" s="166">
        <f t="shared" ref="AF22:AF85" si="14">($S$5+$S$4*AC22+$S$3*AC22^2)</f>
        <v>-2.6222671646649362E-4</v>
      </c>
    </row>
    <row r="23" spans="3:32" ht="12" customHeight="1" x14ac:dyDescent="0.2">
      <c r="C23" s="167" t="s">
        <v>49</v>
      </c>
      <c r="D23" s="152">
        <f t="shared" si="4"/>
        <v>42138</v>
      </c>
      <c r="E23" s="168">
        <f>_xll.qlCalendarAdvance(Calendar,SettlementDate,C23,"Following",,Trigger)</f>
        <v>42291</v>
      </c>
      <c r="F23" s="154">
        <f>_xll.qlDayCounterYearFraction(DayCounter,D23,E23,,,Trigger)</f>
        <v>0.42499999999999999</v>
      </c>
      <c r="G23" s="184">
        <f>_xll.qlYieldTSDiscount(Discounting,D23,,AllTriggers)</f>
        <v>1.0000055555787037</v>
      </c>
      <c r="H23" s="169">
        <f>_xll.qlYieldTSDiscount(Discounting,E23,,AllTriggers)</f>
        <v>1.0004899031733454</v>
      </c>
      <c r="I23" s="183">
        <f t="shared" si="9"/>
        <v>-1.1390833586047912E-3</v>
      </c>
      <c r="J23" s="166">
        <f t="shared" si="10"/>
        <v>1.8071397114424901E-3</v>
      </c>
      <c r="K23" s="166">
        <f t="shared" si="11"/>
        <v>1.6605358910105814E-3</v>
      </c>
      <c r="L23" s="166">
        <f t="shared" si="12"/>
        <v>3.6086052516031271E-4</v>
      </c>
      <c r="AB23" s="168">
        <f>_xll.qlCalendarAdvance(Calendar,AB22,"1d","mf",,Trigger)</f>
        <v>42166</v>
      </c>
      <c r="AC23" s="154">
        <f>_xll.qlDayCounterYearFraction(DayCounter,SettlementDate,AB23,,,Trigger)</f>
        <v>7.7777777777777779E-2</v>
      </c>
      <c r="AD23" s="166">
        <f t="shared" si="0"/>
        <v>2.9458052625454755E-3</v>
      </c>
      <c r="AE23" s="166">
        <f t="shared" si="13"/>
        <v>2.7332159063631735E-3</v>
      </c>
      <c r="AF23" s="166">
        <f t="shared" si="14"/>
        <v>-2.1709412764583312E-4</v>
      </c>
    </row>
    <row r="24" spans="3:32" ht="12" customHeight="1" x14ac:dyDescent="0.2">
      <c r="C24" s="167" t="s">
        <v>42</v>
      </c>
      <c r="D24" s="152">
        <f t="shared" si="4"/>
        <v>42138</v>
      </c>
      <c r="E24" s="168">
        <f>_xll.qlCalendarAdvance(Calendar,SettlementDate,C24,"Following",,Trigger)</f>
        <v>42324</v>
      </c>
      <c r="F24" s="154">
        <f>_xll.qlDayCounterYearFraction(DayCounter,D24,E24,,,Trigger)</f>
        <v>0.51666666666666672</v>
      </c>
      <c r="G24" s="184">
        <f>_xll.qlYieldTSDiscount(Discounting,D24,,AllTriggers)</f>
        <v>1.0000055555787037</v>
      </c>
      <c r="H24" s="169">
        <f>_xll.qlYieldTSDiscount(Discounting,E24,,AllTriggers)</f>
        <v>1.0006069288945345</v>
      </c>
      <c r="I24" s="183">
        <f t="shared" si="9"/>
        <v>-1.1632423478286258E-3</v>
      </c>
      <c r="J24" s="166">
        <f t="shared" si="10"/>
        <v>1.7830340072295095E-3</v>
      </c>
      <c r="K24" s="166">
        <f t="shared" si="11"/>
        <v>1.6589132831552752E-3</v>
      </c>
      <c r="L24" s="166">
        <f t="shared" si="12"/>
        <v>7.7563019882734372E-4</v>
      </c>
      <c r="AB24" s="168">
        <f>_xll.qlCalendarAdvance(Calendar,AB23,"1d","mf",,Trigger)</f>
        <v>42167</v>
      </c>
      <c r="AC24" s="154">
        <f>_xll.qlDayCounterYearFraction(DayCounter,SettlementDate,AB24,,,Trigger)</f>
        <v>8.0555555555555561E-2</v>
      </c>
      <c r="AD24" s="166">
        <f t="shared" si="0"/>
        <v>2.9458052625454755E-3</v>
      </c>
      <c r="AE24" s="166">
        <f t="shared" si="13"/>
        <v>2.7345786586463936E-3</v>
      </c>
      <c r="AF24" s="166">
        <f t="shared" si="14"/>
        <v>-1.7217831207820962E-4</v>
      </c>
    </row>
    <row r="25" spans="3:32" ht="12" customHeight="1" x14ac:dyDescent="0.2">
      <c r="C25" s="167" t="s">
        <v>50</v>
      </c>
      <c r="D25" s="152">
        <f t="shared" si="4"/>
        <v>42138</v>
      </c>
      <c r="E25" s="168">
        <f>_xll.qlCalendarAdvance(Calendar,SettlementDate,C25,"Following",,Trigger)</f>
        <v>42352</v>
      </c>
      <c r="F25" s="154">
        <f>_xll.qlDayCounterYearFraction(DayCounter,D25,E25,,,Trigger)</f>
        <v>0.59444444444444444</v>
      </c>
      <c r="G25" s="184">
        <f>_xll.qlYieldTSDiscount(Discounting,D25,,AllTriggers)</f>
        <v>1.0000055555787037</v>
      </c>
      <c r="H25" s="169">
        <f>_xll.qlYieldTSDiscount(Discounting,E25,,AllTriggers)</f>
        <v>1.0007159441730245</v>
      </c>
      <c r="I25" s="183">
        <f t="shared" si="9"/>
        <v>-1.1941912591632736E-3</v>
      </c>
      <c r="J25" s="166">
        <f t="shared" si="10"/>
        <v>1.7521017339215514E-3</v>
      </c>
      <c r="K25" s="166">
        <f t="shared" si="11"/>
        <v>1.6470637946323491E-3</v>
      </c>
      <c r="L25" s="166">
        <f t="shared" si="12"/>
        <v>1.0554530491165225E-3</v>
      </c>
      <c r="AB25" s="168">
        <f>_xll.qlCalendarAdvance(Calendar,AB24,"1d","mf",,Trigger)</f>
        <v>42170</v>
      </c>
      <c r="AC25" s="154">
        <f>_xll.qlDayCounterYearFraction(DayCounter,SettlementDate,AB25,,,Trigger)</f>
        <v>8.8888888888888892E-2</v>
      </c>
      <c r="AD25" s="166">
        <f t="shared" si="0"/>
        <v>2.9458052625454755E-3</v>
      </c>
      <c r="AE25" s="166">
        <f t="shared" si="13"/>
        <v>2.7386669154960529E-3</v>
      </c>
      <c r="AF25" s="166">
        <f t="shared" si="14"/>
        <v>-3.8731504893562592E-5</v>
      </c>
    </row>
    <row r="26" spans="3:32" ht="12" customHeight="1" x14ac:dyDescent="0.2">
      <c r="C26" s="167" t="s">
        <v>51</v>
      </c>
      <c r="D26" s="152">
        <f t="shared" si="4"/>
        <v>42138</v>
      </c>
      <c r="E26" s="168">
        <f>_xll.qlCalendarAdvance(Calendar,SettlementDate,C26,"Following",,Trigger)</f>
        <v>42383</v>
      </c>
      <c r="F26" s="154">
        <f>_xll.qlDayCounterYearFraction(DayCounter,D26,E26,,,Trigger)</f>
        <v>0.68055555555555558</v>
      </c>
      <c r="G26" s="184">
        <f>_xll.qlYieldTSDiscount(Discounting,D26,,AllTriggers)</f>
        <v>1.0000055555787037</v>
      </c>
      <c r="H26" s="169">
        <f>_xll.qlYieldTSDiscount(Discounting,E26,,AllTriggers)</f>
        <v>1.0008252553968444</v>
      </c>
      <c r="I26" s="183">
        <f t="shared" si="9"/>
        <v>-1.203463710713054E-3</v>
      </c>
      <c r="J26" s="166">
        <f t="shared" si="10"/>
        <v>1.7428812728991058E-3</v>
      </c>
      <c r="K26" s="166">
        <f t="shared" si="11"/>
        <v>1.6589749919019541E-3</v>
      </c>
      <c r="L26" s="166">
        <f t="shared" si="12"/>
        <v>1.3242539267339694E-3</v>
      </c>
      <c r="AB26" s="168">
        <f>_xll.qlCalendarAdvance(Calendar,AB25,"1d","mf",,Trigger)</f>
        <v>42171</v>
      </c>
      <c r="AC26" s="154">
        <f>_xll.qlDayCounterYearFraction(DayCounter,SettlementDate,AB26,,,Trigger)</f>
        <v>9.166666666666666E-2</v>
      </c>
      <c r="AD26" s="166">
        <f t="shared" si="0"/>
        <v>2.9458052625454755E-3</v>
      </c>
      <c r="AE26" s="166">
        <f t="shared" si="13"/>
        <v>2.740029667779273E-3</v>
      </c>
      <c r="AF26" s="166">
        <f t="shared" si="14"/>
        <v>5.3172176619116371E-6</v>
      </c>
    </row>
    <row r="27" spans="3:32" ht="12" customHeight="1" x14ac:dyDescent="0.2">
      <c r="C27" s="167" t="s">
        <v>52</v>
      </c>
      <c r="D27" s="152">
        <f t="shared" si="4"/>
        <v>42138</v>
      </c>
      <c r="E27" s="168">
        <f>_xll.qlCalendarAdvance(Calendar,SettlementDate,C27,"Following",,Trigger)</f>
        <v>42415</v>
      </c>
      <c r="F27" s="154">
        <f>_xll.qlDayCounterYearFraction(DayCounter,D27,E27,,,Trigger)</f>
        <v>0.76944444444444449</v>
      </c>
      <c r="G27" s="184">
        <f>_xll.qlYieldTSDiscount(Discounting,D27,,AllTriggers)</f>
        <v>1.0000055555787037</v>
      </c>
      <c r="H27" s="169">
        <f>_xll.qlYieldTSDiscount(Discounting,E27,,AllTriggers)</f>
        <v>1.000942592481703</v>
      </c>
      <c r="I27" s="183">
        <f t="shared" si="9"/>
        <v>-1.2166628761488378E-3</v>
      </c>
      <c r="J27" s="166">
        <f t="shared" si="10"/>
        <v>1.7297225841034272E-3</v>
      </c>
      <c r="K27" s="166">
        <f t="shared" si="11"/>
        <v>1.6676363119473663E-3</v>
      </c>
      <c r="L27" s="166">
        <f t="shared" si="12"/>
        <v>1.5252809117402215E-3</v>
      </c>
      <c r="AB27" s="168">
        <f>_xll.qlCalendarAdvance(Calendar,AB26,"1d","mf",,Trigger)</f>
        <v>42172</v>
      </c>
      <c r="AC27" s="154">
        <f>_xll.qlDayCounterYearFraction(DayCounter,SettlementDate,AB27,,,Trigger)</f>
        <v>9.4444444444444442E-2</v>
      </c>
      <c r="AD27" s="166">
        <f t="shared" si="0"/>
        <v>2.9458052625454755E-3</v>
      </c>
      <c r="AE27" s="166">
        <f t="shared" si="13"/>
        <v>2.7413924200624931E-3</v>
      </c>
      <c r="AF27" s="166">
        <f t="shared" si="14"/>
        <v>4.9149166964349044E-5</v>
      </c>
    </row>
    <row r="28" spans="3:32" ht="12" customHeight="1" x14ac:dyDescent="0.2">
      <c r="C28" s="167" t="s">
        <v>53</v>
      </c>
      <c r="D28" s="152">
        <f t="shared" si="4"/>
        <v>42138</v>
      </c>
      <c r="E28" s="168">
        <f>_xll.qlCalendarAdvance(Calendar,SettlementDate,C28,"Following",,Trigger)</f>
        <v>42443</v>
      </c>
      <c r="F28" s="154">
        <f>_xll.qlDayCounterYearFraction(DayCounter,D28,E28,,,Trigger)</f>
        <v>0.84722222222222221</v>
      </c>
      <c r="G28" s="184">
        <f>_xll.qlYieldTSDiscount(Discounting,D28,,AllTriggers)</f>
        <v>1.0000055555787037</v>
      </c>
      <c r="H28" s="169">
        <f>_xll.qlYieldTSDiscount(Discounting,E28,,AllTriggers)</f>
        <v>1.0010490182863705</v>
      </c>
      <c r="I28" s="183">
        <f t="shared" si="9"/>
        <v>-1.230337467465512E-3</v>
      </c>
      <c r="J28" s="166">
        <f t="shared" si="10"/>
        <v>1.7160724025930866E-3</v>
      </c>
      <c r="K28" s="166">
        <f t="shared" si="11"/>
        <v>1.673084076489795E-3</v>
      </c>
      <c r="L28" s="166">
        <f t="shared" si="12"/>
        <v>1.6383339100737796E-3</v>
      </c>
      <c r="AB28" s="168">
        <f>_xll.qlCalendarAdvance(Calendar,AB27,"1d","mf",,Trigger)</f>
        <v>42173</v>
      </c>
      <c r="AC28" s="154">
        <f>_xll.qlDayCounterYearFraction(DayCounter,SettlementDate,AB28,,,Trigger)</f>
        <v>9.7222222222222224E-2</v>
      </c>
      <c r="AD28" s="166">
        <f t="shared" si="0"/>
        <v>2.9458052625454755E-3</v>
      </c>
      <c r="AE28" s="166">
        <f t="shared" si="13"/>
        <v>2.7427551723457127E-3</v>
      </c>
      <c r="AF28" s="166">
        <f t="shared" si="14"/>
        <v>9.2764343013749249E-5</v>
      </c>
    </row>
    <row r="29" spans="3:32" ht="12" customHeight="1" x14ac:dyDescent="0.2">
      <c r="C29" s="167" t="s">
        <v>54</v>
      </c>
      <c r="D29" s="152">
        <f t="shared" si="4"/>
        <v>42138</v>
      </c>
      <c r="E29" s="168">
        <f>_xll.qlCalendarAdvance(Calendar,SettlementDate,C29,"Following",,Trigger)</f>
        <v>42474</v>
      </c>
      <c r="F29" s="154">
        <f>_xll.qlDayCounterYearFraction(DayCounter,D29,E29,,,Trigger)</f>
        <v>0.93333333333333335</v>
      </c>
      <c r="G29" s="184">
        <f>_xll.qlYieldTSDiscount(Discounting,D29,,AllTriggers)</f>
        <v>1.0000055555787037</v>
      </c>
      <c r="H29" s="169">
        <f>_xll.qlYieldTSDiscount(Discounting,E29,,AllTriggers)</f>
        <v>1.0011581117157542</v>
      </c>
      <c r="I29" s="183">
        <f t="shared" si="9"/>
        <v>-1.2334530989264814E-3</v>
      </c>
      <c r="J29" s="166">
        <f t="shared" si="10"/>
        <v>1.7130095581588004E-3</v>
      </c>
      <c r="K29" s="166">
        <f t="shared" si="11"/>
        <v>1.6911708833531167E-3</v>
      </c>
      <c r="L29" s="166">
        <f t="shared" si="12"/>
        <v>1.7094134788451865E-3</v>
      </c>
      <c r="AB29" s="168">
        <f>_xll.qlCalendarAdvance(Calendar,AB28,"1d","mf",,Trigger)</f>
        <v>42174</v>
      </c>
      <c r="AC29" s="154">
        <f>_xll.qlDayCounterYearFraction(DayCounter,SettlementDate,AB29,,,Trigger)</f>
        <v>0.1</v>
      </c>
      <c r="AD29" s="166">
        <f t="shared" si="0"/>
        <v>2.9458052625454755E-3</v>
      </c>
      <c r="AE29" s="166">
        <f t="shared" si="13"/>
        <v>2.7441179246289328E-3</v>
      </c>
      <c r="AF29" s="166">
        <f t="shared" si="14"/>
        <v>1.3616274581011221E-4</v>
      </c>
    </row>
    <row r="30" spans="3:32" ht="12" customHeight="1" x14ac:dyDescent="0.2">
      <c r="C30" s="171" t="s">
        <v>55</v>
      </c>
      <c r="D30" s="157">
        <f t="shared" si="4"/>
        <v>42138</v>
      </c>
      <c r="E30" s="172">
        <f>_xll.qlCalendarAdvance(Calendar,SettlementDate,C30,"Following",,Trigger)</f>
        <v>42506</v>
      </c>
      <c r="F30" s="159">
        <f>_xll.qlDayCounterYearFraction(DayCounter,D30,E30,,,Trigger)</f>
        <v>1.0222222222222221</v>
      </c>
      <c r="G30" s="185">
        <f>_xll.qlYieldTSDiscount(Discounting,D30,,AllTriggers)</f>
        <v>1.0000055555787037</v>
      </c>
      <c r="H30" s="173">
        <f>_xll.qlYieldTSDiscount(Discounting,E30,,AllTriggers)</f>
        <v>1.00127115637423</v>
      </c>
      <c r="I30" s="186">
        <f t="shared" si="9"/>
        <v>-1.2365159296481251E-3</v>
      </c>
      <c r="J30" s="175">
        <f t="shared" si="10"/>
        <v>1.709999999999864E-3</v>
      </c>
      <c r="K30" s="175">
        <f t="shared" si="11"/>
        <v>1.709999999999864E-3</v>
      </c>
      <c r="L30" s="175">
        <f t="shared" si="12"/>
        <v>1.709999999999864E-3</v>
      </c>
      <c r="AB30" s="168">
        <f>_xll.qlCalendarAdvance(Calendar,AB29,"1d","mf",,Trigger)</f>
        <v>42177</v>
      </c>
      <c r="AC30" s="154">
        <f>_xll.qlDayCounterYearFraction(DayCounter,SettlementDate,AB30,,,Trigger)</f>
        <v>0.10833333333333334</v>
      </c>
      <c r="AD30" s="166">
        <f t="shared" si="0"/>
        <v>2.9458052625454755E-3</v>
      </c>
      <c r="AE30" s="166">
        <f t="shared" si="13"/>
        <v>2.7482061814785926E-3</v>
      </c>
      <c r="AF30" s="166">
        <f t="shared" si="14"/>
        <v>2.6505731468097769E-4</v>
      </c>
    </row>
    <row r="31" spans="3:32" ht="12" customHeight="1" x14ac:dyDescent="0.2">
      <c r="AB31" s="168">
        <f>_xll.qlCalendarAdvance(Calendar,AB30,"1d","mf",,Trigger)</f>
        <v>42178</v>
      </c>
      <c r="AC31" s="154">
        <f>_xll.qlDayCounterYearFraction(DayCounter,SettlementDate,AB31,,,Trigger)</f>
        <v>0.1111111111111111</v>
      </c>
      <c r="AD31" s="166">
        <f t="shared" si="0"/>
        <v>2.9458052625454755E-3</v>
      </c>
      <c r="AE31" s="166">
        <f t="shared" si="13"/>
        <v>2.7495689337618122E-3</v>
      </c>
      <c r="AF31" s="166">
        <f t="shared" si="14"/>
        <v>3.0758862446519139E-4</v>
      </c>
    </row>
    <row r="32" spans="3:32" ht="12" customHeight="1" x14ac:dyDescent="0.2">
      <c r="C32" s="142" t="s">
        <v>102</v>
      </c>
      <c r="AB32" s="168">
        <f>_xll.qlCalendarAdvance(Calendar,AB31,"1d","mf",,Trigger)</f>
        <v>42179</v>
      </c>
      <c r="AC32" s="154">
        <f>_xll.qlDayCounterYearFraction(DayCounter,SettlementDate,AB32,,,Trigger)</f>
        <v>0.11388888888888889</v>
      </c>
      <c r="AD32" s="166">
        <f t="shared" si="0"/>
        <v>2.9458052625454755E-3</v>
      </c>
      <c r="AE32" s="166">
        <f t="shared" si="13"/>
        <v>2.7509316860450323E-3</v>
      </c>
      <c r="AF32" s="166">
        <f t="shared" si="14"/>
        <v>3.499031609963683E-4</v>
      </c>
    </row>
    <row r="33" spans="3:32" x14ac:dyDescent="0.2">
      <c r="C33" s="178" t="s">
        <v>87</v>
      </c>
      <c r="AB33" s="168">
        <f>_xll.qlCalendarAdvance(Calendar,AB32,"1d","mf",,Trigger)</f>
        <v>42180</v>
      </c>
      <c r="AC33" s="154">
        <f>_xll.qlDayCounterYearFraction(DayCounter,SettlementDate,AB33,,,Trigger)</f>
        <v>0.11666666666666667</v>
      </c>
      <c r="AD33" s="166">
        <f t="shared" si="0"/>
        <v>2.9458052625454755E-3</v>
      </c>
      <c r="AE33" s="166">
        <f t="shared" si="13"/>
        <v>2.7522944383282519E-3</v>
      </c>
      <c r="AF33" s="166">
        <f t="shared" si="14"/>
        <v>3.9200092427450799E-4</v>
      </c>
    </row>
    <row r="34" spans="3:32" x14ac:dyDescent="0.2">
      <c r="C34" s="166">
        <f t="shared" ref="C34:C49" si="15">IF($C$33="FLAT",J15,IF($C$33="linear",K15,L15))</f>
        <v>1.7057347307414261E-3</v>
      </c>
      <c r="AB34" s="168">
        <f>_xll.qlCalendarAdvance(Calendar,AB33,"1d","mf",,Trigger)</f>
        <v>42181</v>
      </c>
      <c r="AC34" s="154">
        <f>_xll.qlDayCounterYearFraction(DayCounter,SettlementDate,AB34,,,Trigger)</f>
        <v>0.11944444444444445</v>
      </c>
      <c r="AD34" s="166">
        <f t="shared" si="0"/>
        <v>2.9458052625454755E-3</v>
      </c>
      <c r="AE34" s="166">
        <f t="shared" si="13"/>
        <v>2.753657190611472E-3</v>
      </c>
      <c r="AF34" s="166">
        <f t="shared" si="14"/>
        <v>4.3388191429961047E-4</v>
      </c>
    </row>
    <row r="35" spans="3:32" x14ac:dyDescent="0.2">
      <c r="C35" s="166">
        <f t="shared" si="15"/>
        <v>1.7098473695994645E-3</v>
      </c>
      <c r="AB35" s="168">
        <f>_xll.qlCalendarAdvance(Calendar,AB34,"1d","mf",,Trigger)</f>
        <v>42184</v>
      </c>
      <c r="AC35" s="154">
        <f>_xll.qlDayCounterYearFraction(DayCounter,SettlementDate,AB35,,,Trigger)</f>
        <v>0.12777777777777777</v>
      </c>
      <c r="AD35" s="166">
        <f t="shared" si="0"/>
        <v>2.9458052625454755E-3</v>
      </c>
      <c r="AE35" s="166">
        <f t="shared" si="13"/>
        <v>2.7577454474611318E-3</v>
      </c>
      <c r="AF35" s="166">
        <f t="shared" si="14"/>
        <v>5.582242448566938E-4</v>
      </c>
    </row>
    <row r="36" spans="3:32" x14ac:dyDescent="0.2">
      <c r="C36" s="166">
        <f t="shared" si="15"/>
        <v>1.7046351622023487E-3</v>
      </c>
      <c r="AB36" s="168">
        <f>_xll.qlCalendarAdvance(Calendar,AB35,"1d","mf",,Trigger)</f>
        <v>42185</v>
      </c>
      <c r="AC36" s="154">
        <f>_xll.qlDayCounterYearFraction(DayCounter,SettlementDate,AB36,,,Trigger)</f>
        <v>0.13055555555555556</v>
      </c>
      <c r="AD36" s="166">
        <f t="shared" si="0"/>
        <v>2.9458052625454755E-3</v>
      </c>
      <c r="AE36" s="166">
        <f t="shared" si="13"/>
        <v>2.7591081997443514E-3</v>
      </c>
      <c r="AF36" s="166">
        <f t="shared" si="14"/>
        <v>5.9923814186964774E-4</v>
      </c>
    </row>
    <row r="37" spans="3:32" x14ac:dyDescent="0.2">
      <c r="C37" s="166">
        <f t="shared" si="15"/>
        <v>1.7894364408491523E-3</v>
      </c>
      <c r="AB37" s="168">
        <f>_xll.qlCalendarAdvance(Calendar,AB36,"1d","mf",,Trigger)</f>
        <v>42186</v>
      </c>
      <c r="AC37" s="154">
        <f>_xll.qlDayCounterYearFraction(DayCounter,SettlementDate,AB37,,,Trigger)</f>
        <v>0.13333333333333333</v>
      </c>
      <c r="AD37" s="166">
        <f t="shared" si="0"/>
        <v>2.9458052625454755E-3</v>
      </c>
      <c r="AE37" s="166">
        <f t="shared" si="13"/>
        <v>2.7604709520275715E-3</v>
      </c>
      <c r="AF37" s="166">
        <f t="shared" si="14"/>
        <v>6.4003526562956376E-4</v>
      </c>
    </row>
    <row r="38" spans="3:32" x14ac:dyDescent="0.2">
      <c r="C38" s="166">
        <f t="shared" si="15"/>
        <v>1.7247657711924602E-3</v>
      </c>
      <c r="AB38" s="168">
        <f>_xll.qlCalendarAdvance(Calendar,AB37,"1d","mf",,Trigger)</f>
        <v>42187</v>
      </c>
      <c r="AC38" s="154">
        <f>_xll.qlDayCounterYearFraction(DayCounter,SettlementDate,AB38,,,Trigger)</f>
        <v>0.1361111111111111</v>
      </c>
      <c r="AD38" s="166">
        <f t="shared" si="0"/>
        <v>2.9458052625454755E-3</v>
      </c>
      <c r="AE38" s="166">
        <f t="shared" si="13"/>
        <v>2.7618337043107911E-3</v>
      </c>
      <c r="AF38" s="166">
        <f t="shared" si="14"/>
        <v>6.8061561613644295E-4</v>
      </c>
    </row>
    <row r="39" spans="3:32" x14ac:dyDescent="0.2">
      <c r="C39" s="166">
        <f t="shared" si="15"/>
        <v>1.6790993407651991E-3</v>
      </c>
      <c r="AB39" s="168">
        <f>_xll.qlCalendarAdvance(Calendar,AB38,"1d","mf",,Trigger)</f>
        <v>42188</v>
      </c>
      <c r="AC39" s="154">
        <f>_xll.qlDayCounterYearFraction(DayCounter,SettlementDate,AB39,,,Trigger)</f>
        <v>0.1388888888888889</v>
      </c>
      <c r="AD39" s="166">
        <f t="shared" si="0"/>
        <v>2.9458052625454755E-3</v>
      </c>
      <c r="AE39" s="166">
        <f t="shared" si="13"/>
        <v>2.7631964565940112E-3</v>
      </c>
      <c r="AF39" s="166">
        <f t="shared" si="14"/>
        <v>7.2097919339028486E-4</v>
      </c>
    </row>
    <row r="40" spans="3:32" x14ac:dyDescent="0.2">
      <c r="C40" s="166">
        <f t="shared" si="15"/>
        <v>1.6434323309934818E-3</v>
      </c>
      <c r="AB40" s="168">
        <f>_xll.qlCalendarAdvance(Calendar,AB39,"1d","mf",,Trigger)</f>
        <v>42191</v>
      </c>
      <c r="AC40" s="154">
        <f>_xll.qlDayCounterYearFraction(DayCounter,SettlementDate,AB40,,,Trigger)</f>
        <v>0.14722222222222223</v>
      </c>
      <c r="AD40" s="166">
        <f t="shared" si="0"/>
        <v>2.9458052625454755E-3</v>
      </c>
      <c r="AE40" s="166">
        <f t="shared" si="13"/>
        <v>2.767284713443671E-3</v>
      </c>
      <c r="AF40" s="166">
        <f t="shared" si="14"/>
        <v>8.4076928563358699E-4</v>
      </c>
    </row>
    <row r="41" spans="3:32" x14ac:dyDescent="0.2">
      <c r="C41" s="166">
        <f t="shared" si="15"/>
        <v>1.6308844869523502E-3</v>
      </c>
      <c r="AB41" s="168">
        <f>_xll.qlCalendarAdvance(Calendar,AB40,"1d","mf",,Trigger)</f>
        <v>42192</v>
      </c>
      <c r="AC41" s="154">
        <f>_xll.qlDayCounterYearFraction(DayCounter,SettlementDate,AB41,,,Trigger)</f>
        <v>0.15</v>
      </c>
      <c r="AD41" s="166">
        <f t="shared" si="0"/>
        <v>2.9458052625454755E-3</v>
      </c>
      <c r="AE41" s="166">
        <f t="shared" si="13"/>
        <v>2.7686474657268906E-3</v>
      </c>
      <c r="AF41" s="166">
        <f t="shared" si="14"/>
        <v>8.8026576987528015E-4</v>
      </c>
    </row>
    <row r="42" spans="3:32" x14ac:dyDescent="0.2">
      <c r="C42" s="166">
        <f t="shared" si="15"/>
        <v>1.6605358910105814E-3</v>
      </c>
      <c r="AB42" s="168">
        <f>_xll.qlCalendarAdvance(Calendar,AB41,"1d","mf",,Trigger)</f>
        <v>42193</v>
      </c>
      <c r="AC42" s="154">
        <f>_xll.qlDayCounterYearFraction(DayCounter,SettlementDate,AB42,,,Trigger)</f>
        <v>0.15277777777777779</v>
      </c>
      <c r="AD42" s="166">
        <f t="shared" si="0"/>
        <v>2.9458052625454755E-3</v>
      </c>
      <c r="AE42" s="166">
        <f t="shared" si="13"/>
        <v>2.7700102180101107E-3</v>
      </c>
      <c r="AF42" s="166">
        <f t="shared" si="14"/>
        <v>9.1954548086393604E-4</v>
      </c>
    </row>
    <row r="43" spans="3:32" ht="11.25" customHeight="1" x14ac:dyDescent="0.2">
      <c r="C43" s="166">
        <f t="shared" si="15"/>
        <v>1.6589132831552752E-3</v>
      </c>
      <c r="M43" s="139"/>
      <c r="AB43" s="168">
        <f>_xll.qlCalendarAdvance(Calendar,AB42,"1d","mf",,Trigger)</f>
        <v>42194</v>
      </c>
      <c r="AC43" s="154">
        <f>_xll.qlDayCounterYearFraction(DayCounter,SettlementDate,AB43,,,Trigger)</f>
        <v>0.15555555555555556</v>
      </c>
      <c r="AD43" s="166">
        <f t="shared" si="0"/>
        <v>2.9458052625454755E-3</v>
      </c>
      <c r="AE43" s="166">
        <f t="shared" si="13"/>
        <v>2.7713729702933303E-3</v>
      </c>
      <c r="AF43" s="166">
        <f t="shared" si="14"/>
        <v>9.5860841859955422E-4</v>
      </c>
    </row>
    <row r="44" spans="3:32" x14ac:dyDescent="0.2">
      <c r="C44" s="166">
        <f t="shared" si="15"/>
        <v>1.6470637946323491E-3</v>
      </c>
      <c r="M44" s="139"/>
      <c r="AB44" s="168">
        <f>_xll.qlCalendarAdvance(Calendar,AB43,"1d","mf",,Trigger)</f>
        <v>42195</v>
      </c>
      <c r="AC44" s="154">
        <f>_xll.qlDayCounterYearFraction(DayCounter,SettlementDate,AB44,,,Trigger)</f>
        <v>0.15833333333333333</v>
      </c>
      <c r="AD44" s="166">
        <f t="shared" si="0"/>
        <v>2.9458052625454755E-3</v>
      </c>
      <c r="AE44" s="166">
        <f t="shared" si="13"/>
        <v>2.7727357225765504E-3</v>
      </c>
      <c r="AF44" s="166">
        <f t="shared" si="14"/>
        <v>9.9745458308213579E-4</v>
      </c>
    </row>
    <row r="45" spans="3:32" x14ac:dyDescent="0.2">
      <c r="C45" s="166">
        <f t="shared" si="15"/>
        <v>1.6589749919019541E-3</v>
      </c>
      <c r="M45" s="139"/>
      <c r="AB45" s="168">
        <f>_xll.qlCalendarAdvance(Calendar,AB44,"1d","mf",,Trigger)</f>
        <v>42198</v>
      </c>
      <c r="AC45" s="154">
        <f>_xll.qlDayCounterYearFraction(DayCounter,SettlementDate,AB45,,,Trigger)</f>
        <v>0.16666666666666666</v>
      </c>
      <c r="AD45" s="166">
        <f t="shared" si="0"/>
        <v>2.9458052625454755E-3</v>
      </c>
      <c r="AE45" s="166">
        <f t="shared" si="13"/>
        <v>2.7768239794262102E-3</v>
      </c>
      <c r="AF45" s="166">
        <f t="shared" si="14"/>
        <v>1.1126924370116562E-3</v>
      </c>
    </row>
    <row r="46" spans="3:32" x14ac:dyDescent="0.2">
      <c r="C46" s="166">
        <f t="shared" si="15"/>
        <v>1.6676363119473663E-3</v>
      </c>
      <c r="M46" s="139"/>
      <c r="AB46" s="168">
        <f>_xll.qlCalendarAdvance(Calendar,AB45,"1d","mf",,Trigger)</f>
        <v>42199</v>
      </c>
      <c r="AC46" s="154">
        <f>_xll.qlDayCounterYearFraction(DayCounter,SettlementDate,AB46,,,Trigger)</f>
        <v>0.16944444444444445</v>
      </c>
      <c r="AD46" s="166">
        <f t="shared" si="0"/>
        <v>2.9458052625454755E-3</v>
      </c>
      <c r="AE46" s="166">
        <f t="shared" si="13"/>
        <v>2.7781867317094298E-3</v>
      </c>
      <c r="AF46" s="166">
        <f t="shared" si="14"/>
        <v>1.1506715084820889E-3</v>
      </c>
    </row>
    <row r="47" spans="3:32" x14ac:dyDescent="0.2">
      <c r="C47" s="166">
        <f t="shared" si="15"/>
        <v>1.673084076489795E-3</v>
      </c>
      <c r="M47" s="139"/>
      <c r="AB47" s="168">
        <f>_xll.qlCalendarAdvance(Calendar,AB46,"1d","mf",,Trigger)</f>
        <v>42200</v>
      </c>
      <c r="AC47" s="154">
        <f>_xll.qlDayCounterYearFraction(DayCounter,SettlementDate,AB47,,,Trigger)</f>
        <v>0.17222222222222222</v>
      </c>
      <c r="AD47" s="166">
        <f t="shared" si="0"/>
        <v>2.9458052625454755E-3</v>
      </c>
      <c r="AE47" s="166">
        <f t="shared" si="13"/>
        <v>2.7795494839926499E-3</v>
      </c>
      <c r="AF47" s="166">
        <f t="shared" si="14"/>
        <v>1.1884338066994844E-3</v>
      </c>
    </row>
    <row r="48" spans="3:32" x14ac:dyDescent="0.2">
      <c r="C48" s="166">
        <f t="shared" si="15"/>
        <v>1.6911708833531167E-3</v>
      </c>
      <c r="AB48" s="168">
        <f>_xll.qlCalendarAdvance(Calendar,AB47,"1d","mf",,Trigger)</f>
        <v>42201</v>
      </c>
      <c r="AC48" s="154">
        <f>_xll.qlDayCounterYearFraction(DayCounter,SettlementDate,AB48,,,Trigger)</f>
        <v>0.17499999999999999</v>
      </c>
      <c r="AD48" s="166">
        <f t="shared" si="0"/>
        <v>2.9458052625454755E-3</v>
      </c>
      <c r="AE48" s="166">
        <f t="shared" si="13"/>
        <v>2.7809122362758695E-3</v>
      </c>
      <c r="AF48" s="166">
        <f t="shared" si="14"/>
        <v>1.2259793316638421E-3</v>
      </c>
    </row>
    <row r="49" spans="3:32" x14ac:dyDescent="0.2">
      <c r="C49" s="175">
        <f t="shared" si="15"/>
        <v>1.709999999999864E-3</v>
      </c>
      <c r="AB49" s="168">
        <f>_xll.qlCalendarAdvance(Calendar,AB48,"1d","mf",,Trigger)</f>
        <v>42202</v>
      </c>
      <c r="AC49" s="154">
        <f>_xll.qlDayCounterYearFraction(DayCounter,SettlementDate,AB49,,,Trigger)</f>
        <v>0.17777777777777778</v>
      </c>
      <c r="AD49" s="166">
        <f t="shared" si="0"/>
        <v>2.9458052625454755E-3</v>
      </c>
      <c r="AE49" s="166">
        <f t="shared" si="13"/>
        <v>2.7822749885590896E-3</v>
      </c>
      <c r="AF49" s="166">
        <f t="shared" si="14"/>
        <v>1.2633080833751634E-3</v>
      </c>
    </row>
    <row r="50" spans="3:32" x14ac:dyDescent="0.2">
      <c r="I50" s="140"/>
      <c r="J50" s="140"/>
      <c r="AB50" s="168">
        <f>_xll.qlCalendarAdvance(Calendar,AB49,"1d","mf",,Trigger)</f>
        <v>42205</v>
      </c>
      <c r="AC50" s="154">
        <f>_xll.qlDayCounterYearFraction(DayCounter,SettlementDate,AB50,,,Trigger)</f>
        <v>0.18611111111111112</v>
      </c>
      <c r="AD50" s="166">
        <f t="shared" si="0"/>
        <v>2.9458052625454755E-3</v>
      </c>
      <c r="AE50" s="166">
        <f t="shared" si="13"/>
        <v>2.7863632454087493E-3</v>
      </c>
      <c r="AF50" s="166">
        <f t="shared" si="14"/>
        <v>1.3739936989909025E-3</v>
      </c>
    </row>
    <row r="51" spans="3:32" x14ac:dyDescent="0.2">
      <c r="AB51" s="168">
        <f>_xll.qlCalendarAdvance(Calendar,AB50,"1d","mf",,Trigger)</f>
        <v>42206</v>
      </c>
      <c r="AC51" s="154">
        <f>_xll.qlDayCounterYearFraction(DayCounter,SettlementDate,AB51,,,Trigger)</f>
        <v>0.18888888888888888</v>
      </c>
      <c r="AD51" s="166">
        <f t="shared" si="0"/>
        <v>2.9458052625454755E-3</v>
      </c>
      <c r="AE51" s="166">
        <f t="shared" si="13"/>
        <v>2.787725997691969E-3</v>
      </c>
      <c r="AF51" s="166">
        <f t="shared" si="14"/>
        <v>1.4104553576900741E-3</v>
      </c>
    </row>
    <row r="52" spans="3:32" x14ac:dyDescent="0.2">
      <c r="AB52" s="168">
        <f>_xll.qlCalendarAdvance(Calendar,AB51,"1d","mf",,Trigger)</f>
        <v>42207</v>
      </c>
      <c r="AC52" s="154">
        <f>_xll.qlDayCounterYearFraction(DayCounter,SettlementDate,AB52,,,Trigger)</f>
        <v>0.19166666666666668</v>
      </c>
      <c r="AD52" s="166">
        <f t="shared" si="0"/>
        <v>2.9458052625454755E-3</v>
      </c>
      <c r="AE52" s="166">
        <f t="shared" si="13"/>
        <v>2.7890887499751891E-3</v>
      </c>
      <c r="AF52" s="166">
        <f t="shared" si="14"/>
        <v>1.4467002431362093E-3</v>
      </c>
    </row>
    <row r="53" spans="3:32" x14ac:dyDescent="0.2">
      <c r="AB53" s="168">
        <f>_xll.qlCalendarAdvance(Calendar,AB52,"1d","mf",,Trigger)</f>
        <v>42208</v>
      </c>
      <c r="AC53" s="154">
        <f>_xll.qlDayCounterYearFraction(DayCounter,SettlementDate,AB53,,,Trigger)</f>
        <v>0.19444444444444445</v>
      </c>
      <c r="AD53" s="166">
        <f t="shared" si="0"/>
        <v>2.9458052625454755E-3</v>
      </c>
      <c r="AE53" s="166">
        <f t="shared" si="13"/>
        <v>2.7904515022584087E-3</v>
      </c>
      <c r="AF53" s="166">
        <f t="shared" si="14"/>
        <v>1.4827283553293066E-3</v>
      </c>
    </row>
    <row r="54" spans="3:32" x14ac:dyDescent="0.2">
      <c r="AB54" s="168">
        <f>_xll.qlCalendarAdvance(Calendar,AB53,"1d","mf",,Trigger)</f>
        <v>42209</v>
      </c>
      <c r="AC54" s="154">
        <f>_xll.qlDayCounterYearFraction(DayCounter,SettlementDate,AB54,,,Trigger)</f>
        <v>0.19722222222222222</v>
      </c>
      <c r="AD54" s="166">
        <f t="shared" si="0"/>
        <v>2.9458052625454755E-3</v>
      </c>
      <c r="AE54" s="166">
        <f t="shared" si="13"/>
        <v>2.7918142545416288E-3</v>
      </c>
      <c r="AF54" s="166">
        <f t="shared" si="14"/>
        <v>1.5185396942693666E-3</v>
      </c>
    </row>
    <row r="55" spans="3:32" x14ac:dyDescent="0.2">
      <c r="AB55" s="168">
        <f>_xll.qlCalendarAdvance(Calendar,AB54,"1d","mf",,Trigger)</f>
        <v>42212</v>
      </c>
      <c r="AC55" s="154">
        <f>_xll.qlDayCounterYearFraction(DayCounter,SettlementDate,AB55,,,Trigger)</f>
        <v>0.20555555555555555</v>
      </c>
      <c r="AD55" s="166">
        <f t="shared" si="0"/>
        <v>2.9458052625454755E-3</v>
      </c>
      <c r="AE55" s="166">
        <f t="shared" si="13"/>
        <v>2.7959025113912885E-3</v>
      </c>
      <c r="AF55" s="166">
        <f t="shared" si="14"/>
        <v>1.6246730715713245E-3</v>
      </c>
    </row>
    <row r="56" spans="3:32" x14ac:dyDescent="0.2">
      <c r="AB56" s="168">
        <f>_xll.qlCalendarAdvance(Calendar,AB55,"1d","mf",,Trigger)</f>
        <v>42213</v>
      </c>
      <c r="AC56" s="154">
        <f>_xll.qlDayCounterYearFraction(DayCounter,SettlementDate,AB56,,,Trigger)</f>
        <v>0.20833333333333334</v>
      </c>
      <c r="AD56" s="166">
        <f t="shared" si="0"/>
        <v>2.9458052625454755E-3</v>
      </c>
      <c r="AE56" s="166">
        <f t="shared" si="13"/>
        <v>2.7972652636745082E-3</v>
      </c>
      <c r="AF56" s="166">
        <f t="shared" si="14"/>
        <v>1.6596173174992361E-3</v>
      </c>
    </row>
    <row r="57" spans="3:32" x14ac:dyDescent="0.2">
      <c r="AB57" s="168">
        <f>_xll.qlCalendarAdvance(Calendar,AB56,"1d","mf",,Trigger)</f>
        <v>42214</v>
      </c>
      <c r="AC57" s="154">
        <f>_xll.qlDayCounterYearFraction(DayCounter,SettlementDate,AB57,,,Trigger)</f>
        <v>0.21111111111111111</v>
      </c>
      <c r="AD57" s="166">
        <f t="shared" si="0"/>
        <v>2.9458052625454755E-3</v>
      </c>
      <c r="AE57" s="166">
        <f t="shared" si="13"/>
        <v>2.7986280159577282E-3</v>
      </c>
      <c r="AF57" s="166">
        <f t="shared" si="14"/>
        <v>1.6943447901741099E-3</v>
      </c>
    </row>
    <row r="58" spans="3:32" x14ac:dyDescent="0.2">
      <c r="AB58" s="168">
        <f>_xll.qlCalendarAdvance(Calendar,AB57,"1d","mf",,Trigger)</f>
        <v>42215</v>
      </c>
      <c r="AC58" s="154">
        <f>_xll.qlDayCounterYearFraction(DayCounter,SettlementDate,AB58,,,Trigger)</f>
        <v>0.21388888888888888</v>
      </c>
      <c r="AD58" s="166">
        <f t="shared" si="0"/>
        <v>2.9458052625454755E-3</v>
      </c>
      <c r="AE58" s="166">
        <f t="shared" si="13"/>
        <v>2.7999907682409479E-3</v>
      </c>
      <c r="AF58" s="166">
        <f t="shared" si="14"/>
        <v>1.7288554895959472E-3</v>
      </c>
    </row>
    <row r="59" spans="3:32" x14ac:dyDescent="0.2">
      <c r="AB59" s="168">
        <f>_xll.qlCalendarAdvance(Calendar,AB58,"1d","mf",,Trigger)</f>
        <v>42216</v>
      </c>
      <c r="AC59" s="154">
        <f>_xll.qlDayCounterYearFraction(DayCounter,SettlementDate,AB59,,,Trigger)</f>
        <v>0.21666666666666667</v>
      </c>
      <c r="AD59" s="166">
        <f t="shared" si="0"/>
        <v>2.9458052625454755E-3</v>
      </c>
      <c r="AE59" s="166">
        <f t="shared" si="13"/>
        <v>2.801353520524168E-3</v>
      </c>
      <c r="AF59" s="166">
        <f t="shared" si="14"/>
        <v>1.7631494157647474E-3</v>
      </c>
    </row>
    <row r="60" spans="3:32" x14ac:dyDescent="0.2">
      <c r="AB60" s="168">
        <f>_xll.qlCalendarAdvance(Calendar,AB59,"1d","mf",,Trigger)</f>
        <v>42219</v>
      </c>
      <c r="AC60" s="154">
        <f>_xll.qlDayCounterYearFraction(DayCounter,SettlementDate,AB60,,,Trigger)</f>
        <v>0.22500000000000001</v>
      </c>
      <c r="AD60" s="166">
        <f t="shared" si="0"/>
        <v>2.9458052625454755E-3</v>
      </c>
      <c r="AE60" s="166">
        <f t="shared" si="13"/>
        <v>2.8054417773738277E-3</v>
      </c>
      <c r="AF60" s="166">
        <f t="shared" si="14"/>
        <v>1.8647305547529235E-3</v>
      </c>
    </row>
    <row r="61" spans="3:32" x14ac:dyDescent="0.2">
      <c r="AB61" s="168">
        <f>_xll.qlCalendarAdvance(Calendar,AB60,"1d","mf",,Trigger)</f>
        <v>42220</v>
      </c>
      <c r="AC61" s="154">
        <f>_xll.qlDayCounterYearFraction(DayCounter,SettlementDate,AB61,,,Trigger)</f>
        <v>0.22777777777777777</v>
      </c>
      <c r="AD61" s="166">
        <f t="shared" si="0"/>
        <v>2.9458052625454755E-3</v>
      </c>
      <c r="AE61" s="166">
        <f t="shared" si="13"/>
        <v>2.8068045296570474E-3</v>
      </c>
      <c r="AF61" s="166">
        <f t="shared" si="14"/>
        <v>1.898157387909574E-3</v>
      </c>
    </row>
    <row r="62" spans="3:32" x14ac:dyDescent="0.2">
      <c r="AB62" s="168">
        <f>_xll.qlCalendarAdvance(Calendar,AB61,"1d","mf",,Trigger)</f>
        <v>42221</v>
      </c>
      <c r="AC62" s="154">
        <f>_xll.qlDayCounterYearFraction(DayCounter,SettlementDate,AB62,,,Trigger)</f>
        <v>0.23055555555555557</v>
      </c>
      <c r="AD62" s="166">
        <f t="shared" si="0"/>
        <v>2.9458052625454755E-3</v>
      </c>
      <c r="AE62" s="166">
        <f t="shared" si="13"/>
        <v>2.8081672819402674E-3</v>
      </c>
      <c r="AF62" s="166">
        <f t="shared" si="14"/>
        <v>1.9313674478131882E-3</v>
      </c>
    </row>
    <row r="63" spans="3:32" x14ac:dyDescent="0.2">
      <c r="AB63" s="168">
        <f>_xll.qlCalendarAdvance(Calendar,AB62,"1d","mf",,Trigger)</f>
        <v>42222</v>
      </c>
      <c r="AC63" s="154">
        <f>_xll.qlDayCounterYearFraction(DayCounter,SettlementDate,AB63,,,Trigger)</f>
        <v>0.23333333333333334</v>
      </c>
      <c r="AD63" s="166">
        <f t="shared" si="0"/>
        <v>2.9458052625454755E-3</v>
      </c>
      <c r="AE63" s="166">
        <f t="shared" si="13"/>
        <v>2.8095300342234875E-3</v>
      </c>
      <c r="AF63" s="166">
        <f t="shared" si="14"/>
        <v>1.9643607344637642E-3</v>
      </c>
    </row>
    <row r="64" spans="3:32" x14ac:dyDescent="0.2">
      <c r="AB64" s="168">
        <f>_xll.qlCalendarAdvance(Calendar,AB63,"1d","mf",,Trigger)</f>
        <v>42223</v>
      </c>
      <c r="AC64" s="154">
        <f>_xll.qlDayCounterYearFraction(DayCounter,SettlementDate,AB64,,,Trigger)</f>
        <v>0.2361111111111111</v>
      </c>
      <c r="AD64" s="166">
        <f t="shared" si="0"/>
        <v>2.9458052625454755E-3</v>
      </c>
      <c r="AE64" s="166">
        <f t="shared" si="13"/>
        <v>2.8108927865067071E-3</v>
      </c>
      <c r="AF64" s="166">
        <f t="shared" si="14"/>
        <v>1.9971372478613035E-3</v>
      </c>
    </row>
    <row r="65" spans="9:32" x14ac:dyDescent="0.2">
      <c r="AB65" s="168">
        <f>_xll.qlCalendarAdvance(Calendar,AB64,"1d","mf",,Trigger)</f>
        <v>42226</v>
      </c>
      <c r="AC65" s="154">
        <f>_xll.qlDayCounterYearFraction(DayCounter,SettlementDate,AB65,,,Trigger)</f>
        <v>0.24444444444444444</v>
      </c>
      <c r="AD65" s="166">
        <f t="shared" si="0"/>
        <v>2.9458052625454755E-3</v>
      </c>
      <c r="AE65" s="166">
        <f t="shared" si="13"/>
        <v>2.8149810433563669E-3</v>
      </c>
      <c r="AF65" s="166">
        <f t="shared" si="14"/>
        <v>2.0941661485356978E-3</v>
      </c>
    </row>
    <row r="66" spans="9:32" x14ac:dyDescent="0.2">
      <c r="AB66" s="168">
        <f>_xll.qlCalendarAdvance(Calendar,AB65,"1d","mf",,Trigger)</f>
        <v>42227</v>
      </c>
      <c r="AC66" s="154">
        <f>_xll.qlDayCounterYearFraction(DayCounter,SettlementDate,AB66,,,Trigger)</f>
        <v>0.24722222222222223</v>
      </c>
      <c r="AD66" s="166">
        <f t="shared" si="0"/>
        <v>2.9458052625454755E-3</v>
      </c>
      <c r="AE66" s="166">
        <f t="shared" si="13"/>
        <v>2.8163437956395866E-3</v>
      </c>
      <c r="AF66" s="166">
        <f t="shared" si="14"/>
        <v>2.1260755689210889E-3</v>
      </c>
    </row>
    <row r="67" spans="9:32" x14ac:dyDescent="0.2">
      <c r="AB67" s="168">
        <f>_xll.qlCalendarAdvance(Calendar,AB66,"1d","mf",,Trigger)</f>
        <v>42228</v>
      </c>
      <c r="AC67" s="154">
        <f>_xll.qlDayCounterYearFraction(DayCounter,SettlementDate,AB67,,,Trigger)</f>
        <v>0.25</v>
      </c>
      <c r="AD67" s="166">
        <f t="shared" ref="AD67:AD130" si="16">$S$13</f>
        <v>2.9458052625454755E-3</v>
      </c>
      <c r="AE67" s="166">
        <f t="shared" si="13"/>
        <v>2.8177065479228066E-3</v>
      </c>
      <c r="AF67" s="166">
        <f t="shared" si="14"/>
        <v>2.1577682160534416E-3</v>
      </c>
    </row>
    <row r="68" spans="9:32" x14ac:dyDescent="0.2">
      <c r="AB68" s="168">
        <f>_xll.qlCalendarAdvance(Calendar,AB67,"1d","mf",,Trigger)</f>
        <v>42229</v>
      </c>
      <c r="AC68" s="154">
        <f>_xll.qlDayCounterYearFraction(DayCounter,SettlementDate,AB68,,,Trigger)</f>
        <v>0.25277777777777777</v>
      </c>
      <c r="AD68" s="166">
        <f t="shared" si="16"/>
        <v>2.9458052625454755E-3</v>
      </c>
      <c r="AE68" s="166">
        <f t="shared" si="13"/>
        <v>2.8190693002060267E-3</v>
      </c>
      <c r="AF68" s="166">
        <f t="shared" si="14"/>
        <v>2.1892440899327573E-3</v>
      </c>
    </row>
    <row r="69" spans="9:32" x14ac:dyDescent="0.2">
      <c r="I69" s="140"/>
      <c r="AB69" s="168">
        <f>_xll.qlCalendarAdvance(Calendar,AB68,"1d","mf",,Trigger)</f>
        <v>42230</v>
      </c>
      <c r="AC69" s="154">
        <f>_xll.qlDayCounterYearFraction(DayCounter,SettlementDate,AB69,,,Trigger)</f>
        <v>0.25555555555555554</v>
      </c>
      <c r="AD69" s="166">
        <f t="shared" si="16"/>
        <v>2.9458052625454755E-3</v>
      </c>
      <c r="AE69" s="166">
        <f t="shared" si="13"/>
        <v>2.8204320524892463E-3</v>
      </c>
      <c r="AF69" s="166">
        <f t="shared" si="14"/>
        <v>2.220503190559036E-3</v>
      </c>
    </row>
    <row r="70" spans="9:32" x14ac:dyDescent="0.2">
      <c r="I70" s="140"/>
      <c r="AB70" s="168">
        <f>_xll.qlCalendarAdvance(Calendar,AB69,"1d","mf",,Trigger)</f>
        <v>42233</v>
      </c>
      <c r="AC70" s="154">
        <f>_xll.qlDayCounterYearFraction(DayCounter,SettlementDate,AB70,,,Trigger)</f>
        <v>0.2638888888888889</v>
      </c>
      <c r="AD70" s="166">
        <f t="shared" si="16"/>
        <v>2.9458052625454755E-3</v>
      </c>
      <c r="AE70" s="166">
        <f t="shared" si="13"/>
        <v>2.8245203093389061E-3</v>
      </c>
      <c r="AF70" s="166">
        <f t="shared" si="14"/>
        <v>2.3129798529196496E-3</v>
      </c>
    </row>
    <row r="71" spans="9:32" x14ac:dyDescent="0.2">
      <c r="I71" s="140"/>
      <c r="AB71" s="168">
        <f>_xll.qlCalendarAdvance(Calendar,AB70,"1d","mf",,Trigger)</f>
        <v>42234</v>
      </c>
      <c r="AC71" s="154">
        <f>_xll.qlDayCounterYearFraction(DayCounter,SettlementDate,AB71,,,Trigger)</f>
        <v>0.26666666666666666</v>
      </c>
      <c r="AD71" s="166">
        <f t="shared" si="16"/>
        <v>2.9458052625454755E-3</v>
      </c>
      <c r="AE71" s="166">
        <f t="shared" si="13"/>
        <v>2.8258830616221258E-3</v>
      </c>
      <c r="AF71" s="166">
        <f t="shared" si="14"/>
        <v>2.3433718605337791E-3</v>
      </c>
    </row>
    <row r="72" spans="9:32" x14ac:dyDescent="0.2">
      <c r="I72" s="140"/>
      <c r="AB72" s="168">
        <f>_xll.qlCalendarAdvance(Calendar,AB71,"1d","mf",,Trigger)</f>
        <v>42235</v>
      </c>
      <c r="AC72" s="154">
        <f>_xll.qlDayCounterYearFraction(DayCounter,SettlementDate,AB72,,,Trigger)</f>
        <v>0.26944444444444443</v>
      </c>
      <c r="AD72" s="166">
        <f t="shared" si="16"/>
        <v>2.9458052625454755E-3</v>
      </c>
      <c r="AE72" s="166">
        <f t="shared" si="13"/>
        <v>2.8272458139053458E-3</v>
      </c>
      <c r="AF72" s="166">
        <f t="shared" si="14"/>
        <v>2.3735470948948716E-3</v>
      </c>
    </row>
    <row r="73" spans="9:32" x14ac:dyDescent="0.2">
      <c r="I73" s="140"/>
      <c r="AB73" s="168">
        <f>_xll.qlCalendarAdvance(Calendar,AB72,"1d","mf",,Trigger)</f>
        <v>42236</v>
      </c>
      <c r="AC73" s="154">
        <f>_xll.qlDayCounterYearFraction(DayCounter,SettlementDate,AB73,,,Trigger)</f>
        <v>0.2722222222222222</v>
      </c>
      <c r="AD73" s="166">
        <f t="shared" si="16"/>
        <v>2.9458052625454755E-3</v>
      </c>
      <c r="AE73" s="166">
        <f t="shared" si="13"/>
        <v>2.8286085661885659E-3</v>
      </c>
      <c r="AF73" s="166">
        <f t="shared" si="14"/>
        <v>2.4035055560029275E-3</v>
      </c>
    </row>
    <row r="74" spans="9:32" x14ac:dyDescent="0.2">
      <c r="I74" s="140"/>
      <c r="AB74" s="168">
        <f>_xll.qlCalendarAdvance(Calendar,AB73,"1d","mf",,Trigger)</f>
        <v>42237</v>
      </c>
      <c r="AC74" s="154">
        <f>_xll.qlDayCounterYearFraction(DayCounter,SettlementDate,AB74,,,Trigger)</f>
        <v>0.27500000000000002</v>
      </c>
      <c r="AD74" s="166">
        <f t="shared" si="16"/>
        <v>2.9458052625454755E-3</v>
      </c>
      <c r="AE74" s="166">
        <f t="shared" si="13"/>
        <v>2.8299713184717855E-3</v>
      </c>
      <c r="AF74" s="166">
        <f t="shared" si="14"/>
        <v>2.4332472438579464E-3</v>
      </c>
    </row>
    <row r="75" spans="9:32" x14ac:dyDescent="0.2">
      <c r="I75" s="140"/>
      <c r="J75" s="140"/>
      <c r="AB75" s="168">
        <f>_xll.qlCalendarAdvance(Calendar,AB74,"1d","mf",,Trigger)</f>
        <v>42240</v>
      </c>
      <c r="AC75" s="154">
        <f>_xll.qlDayCounterYearFraction(DayCounter,SettlementDate,AB75,,,Trigger)</f>
        <v>0.28333333333333333</v>
      </c>
      <c r="AD75" s="166">
        <f t="shared" si="16"/>
        <v>2.9458052625454755E-3</v>
      </c>
      <c r="AE75" s="166">
        <f t="shared" si="13"/>
        <v>2.8340595753214453E-3</v>
      </c>
      <c r="AF75" s="166">
        <f t="shared" si="14"/>
        <v>2.5211716679047766E-3</v>
      </c>
    </row>
    <row r="76" spans="9:32" x14ac:dyDescent="0.2">
      <c r="I76" s="140"/>
      <c r="J76" s="140"/>
      <c r="AB76" s="168">
        <f>_xll.qlCalendarAdvance(Calendar,AB75,"1d","mf",,Trigger)</f>
        <v>42241</v>
      </c>
      <c r="AC76" s="154">
        <f>_xll.qlDayCounterYearFraction(DayCounter,SettlementDate,AB76,,,Trigger)</f>
        <v>0.28611111111111109</v>
      </c>
      <c r="AD76" s="166">
        <f t="shared" si="16"/>
        <v>2.9458052625454755E-3</v>
      </c>
      <c r="AE76" s="166">
        <f t="shared" si="13"/>
        <v>2.8354223276046654E-3</v>
      </c>
      <c r="AF76" s="166">
        <f t="shared" si="14"/>
        <v>2.5500462627476468E-3</v>
      </c>
    </row>
    <row r="77" spans="9:32" x14ac:dyDescent="0.2">
      <c r="I77" s="140"/>
      <c r="J77" s="140"/>
      <c r="AB77" s="168">
        <f>_xll.qlCalendarAdvance(Calendar,AB76,"1d","mf",,Trigger)</f>
        <v>42242</v>
      </c>
      <c r="AC77" s="154">
        <f>_xll.qlDayCounterYearFraction(DayCounter,SettlementDate,AB77,,,Trigger)</f>
        <v>0.28888888888888886</v>
      </c>
      <c r="AD77" s="166">
        <f t="shared" si="16"/>
        <v>2.9458052625454755E-3</v>
      </c>
      <c r="AE77" s="166">
        <f t="shared" si="13"/>
        <v>2.836785079887885E-3</v>
      </c>
      <c r="AF77" s="166">
        <f t="shared" si="14"/>
        <v>2.5787040843374786E-3</v>
      </c>
    </row>
    <row r="78" spans="9:32" x14ac:dyDescent="0.2">
      <c r="I78" s="140"/>
      <c r="J78" s="140"/>
      <c r="AB78" s="168">
        <f>_xll.qlCalendarAdvance(Calendar,AB77,"1d","mf",,Trigger)</f>
        <v>42243</v>
      </c>
      <c r="AC78" s="154">
        <f>_xll.qlDayCounterYearFraction(DayCounter,SettlementDate,AB78,,,Trigger)</f>
        <v>0.29166666666666669</v>
      </c>
      <c r="AD78" s="166">
        <f t="shared" si="16"/>
        <v>2.9458052625454755E-3</v>
      </c>
      <c r="AE78" s="166">
        <f t="shared" si="13"/>
        <v>2.8381478321711051E-3</v>
      </c>
      <c r="AF78" s="166">
        <f t="shared" si="14"/>
        <v>2.6071451326742739E-3</v>
      </c>
    </row>
    <row r="79" spans="9:32" x14ac:dyDescent="0.2">
      <c r="I79" s="140"/>
      <c r="J79" s="140"/>
      <c r="AB79" s="168">
        <f>_xll.qlCalendarAdvance(Calendar,AB78,"1d","mf",,Trigger)</f>
        <v>42244</v>
      </c>
      <c r="AC79" s="154">
        <f>_xll.qlDayCounterYearFraction(DayCounter,SettlementDate,AB79,,,Trigger)</f>
        <v>0.29444444444444445</v>
      </c>
      <c r="AD79" s="166">
        <f t="shared" si="16"/>
        <v>2.9458052625454755E-3</v>
      </c>
      <c r="AE79" s="166">
        <f t="shared" si="13"/>
        <v>2.8395105844543247E-3</v>
      </c>
      <c r="AF79" s="166">
        <f t="shared" si="14"/>
        <v>2.6353694077580312E-3</v>
      </c>
    </row>
    <row r="80" spans="9:32" x14ac:dyDescent="0.2">
      <c r="I80" s="140"/>
      <c r="J80" s="140"/>
      <c r="AB80" s="168">
        <f>_xll.qlCalendarAdvance(Calendar,AB79,"1d","mf",,Trigger)</f>
        <v>42247</v>
      </c>
      <c r="AC80" s="154">
        <f>_xll.qlDayCounterYearFraction(DayCounter,SettlementDate,AB80,,,Trigger)</f>
        <v>0.30277777777777776</v>
      </c>
      <c r="AD80" s="166">
        <f t="shared" si="16"/>
        <v>2.9458052625454755E-3</v>
      </c>
      <c r="AE80" s="166">
        <f t="shared" si="13"/>
        <v>2.8435988413039845E-3</v>
      </c>
      <c r="AF80" s="166">
        <f t="shared" si="14"/>
        <v>2.718741593491082E-3</v>
      </c>
    </row>
    <row r="81" spans="9:32" x14ac:dyDescent="0.2">
      <c r="I81" s="140"/>
      <c r="J81" s="140"/>
      <c r="AB81" s="168">
        <f>_xll.qlCalendarAdvance(Calendar,AB80,"1d","mf",,Trigger)</f>
        <v>42248</v>
      </c>
      <c r="AC81" s="154">
        <f>_xll.qlDayCounterYearFraction(DayCounter,SettlementDate,AB81,,,Trigger)</f>
        <v>0.30555555555555558</v>
      </c>
      <c r="AD81" s="166">
        <f t="shared" si="16"/>
        <v>2.9458052625454755E-3</v>
      </c>
      <c r="AE81" s="166">
        <f t="shared" si="13"/>
        <v>2.8449615935872046E-3</v>
      </c>
      <c r="AF81" s="166">
        <f t="shared" si="14"/>
        <v>2.7460987755626902E-3</v>
      </c>
    </row>
    <row r="82" spans="9:32" x14ac:dyDescent="0.2">
      <c r="I82" s="140"/>
      <c r="J82" s="140"/>
      <c r="AB82" s="168">
        <f>_xll.qlCalendarAdvance(Calendar,AB81,"1d","mf",,Trigger)</f>
        <v>42249</v>
      </c>
      <c r="AC82" s="154">
        <f>_xll.qlDayCounterYearFraction(DayCounter,SettlementDate,AB82,,,Trigger)</f>
        <v>0.30833333333333335</v>
      </c>
      <c r="AD82" s="166">
        <f t="shared" si="16"/>
        <v>2.9458052625454755E-3</v>
      </c>
      <c r="AE82" s="166">
        <f t="shared" si="13"/>
        <v>2.8463243458704242E-3</v>
      </c>
      <c r="AF82" s="166">
        <f t="shared" si="14"/>
        <v>2.7732391843812614E-3</v>
      </c>
    </row>
    <row r="83" spans="9:32" x14ac:dyDescent="0.2">
      <c r="I83" s="140"/>
      <c r="J83" s="140"/>
      <c r="AB83" s="168">
        <f>_xll.qlCalendarAdvance(Calendar,AB82,"1d","mf",,Trigger)</f>
        <v>42250</v>
      </c>
      <c r="AC83" s="154">
        <f>_xll.qlDayCounterYearFraction(DayCounter,SettlementDate,AB83,,,Trigger)</f>
        <v>0.31111111111111112</v>
      </c>
      <c r="AD83" s="166">
        <f t="shared" si="16"/>
        <v>2.9458052625454755E-3</v>
      </c>
      <c r="AE83" s="166">
        <f t="shared" si="13"/>
        <v>2.8476870981536443E-3</v>
      </c>
      <c r="AF83" s="166">
        <f t="shared" si="14"/>
        <v>2.8001628199467955E-3</v>
      </c>
    </row>
    <row r="84" spans="9:32" x14ac:dyDescent="0.2">
      <c r="I84" s="140"/>
      <c r="J84" s="140"/>
      <c r="AB84" s="168">
        <f>_xll.qlCalendarAdvance(Calendar,AB83,"1d","mf",,Trigger)</f>
        <v>42251</v>
      </c>
      <c r="AC84" s="154">
        <f>_xll.qlDayCounterYearFraction(DayCounter,SettlementDate,AB84,,,Trigger)</f>
        <v>0.31388888888888888</v>
      </c>
      <c r="AD84" s="166">
        <f t="shared" si="16"/>
        <v>2.9458052625454755E-3</v>
      </c>
      <c r="AE84" s="166">
        <f t="shared" si="13"/>
        <v>2.8490498504368639E-3</v>
      </c>
      <c r="AF84" s="166">
        <f t="shared" si="14"/>
        <v>2.8268696822592943E-3</v>
      </c>
    </row>
    <row r="85" spans="9:32" x14ac:dyDescent="0.2">
      <c r="I85" s="140"/>
      <c r="J85" s="140"/>
      <c r="AB85" s="168">
        <f>_xll.qlCalendarAdvance(Calendar,AB84,"1d","mf",,Trigger)</f>
        <v>42254</v>
      </c>
      <c r="AC85" s="154">
        <f>_xll.qlDayCounterYearFraction(DayCounter,SettlementDate,AB85,,,Trigger)</f>
        <v>0.32222222222222224</v>
      </c>
      <c r="AD85" s="166">
        <f t="shared" si="16"/>
        <v>2.9458052625454755E-3</v>
      </c>
      <c r="AE85" s="166">
        <f t="shared" si="13"/>
        <v>2.8531381072865237E-3</v>
      </c>
      <c r="AF85" s="166">
        <f t="shared" si="14"/>
        <v>2.9056896296785614E-3</v>
      </c>
    </row>
    <row r="86" spans="9:32" x14ac:dyDescent="0.2">
      <c r="I86" s="140"/>
      <c r="J86" s="140"/>
      <c r="AB86" s="168">
        <f>_xll.qlCalendarAdvance(Calendar,AB85,"1d","mf",,Trigger)</f>
        <v>42255</v>
      </c>
      <c r="AC86" s="154">
        <f>_xll.qlDayCounterYearFraction(DayCounter,SettlementDate,AB86,,,Trigger)</f>
        <v>0.32500000000000001</v>
      </c>
      <c r="AD86" s="166">
        <f t="shared" si="16"/>
        <v>2.9458052625454755E-3</v>
      </c>
      <c r="AE86" s="166">
        <f t="shared" ref="AE86:AE145" si="17">$S$10+$S$9*AC86</f>
        <v>2.8545008595697438E-3</v>
      </c>
      <c r="AF86" s="166">
        <f t="shared" ref="AF86:AF145" si="18">($S$5+$S$4*AC86+$S$3*AC86^2)</f>
        <v>2.9315293989789094E-3</v>
      </c>
    </row>
    <row r="87" spans="9:32" x14ac:dyDescent="0.2">
      <c r="I87" s="140"/>
      <c r="J87" s="140"/>
      <c r="AB87" s="168">
        <f>_xll.qlCalendarAdvance(Calendar,AB86,"1d","mf",,Trigger)</f>
        <v>42256</v>
      </c>
      <c r="AC87" s="154">
        <f>_xll.qlDayCounterYearFraction(DayCounter,SettlementDate,AB87,,,Trigger)</f>
        <v>0.32777777777777778</v>
      </c>
      <c r="AD87" s="166">
        <f t="shared" si="16"/>
        <v>2.9458052625454755E-3</v>
      </c>
      <c r="AE87" s="166">
        <f t="shared" si="17"/>
        <v>2.8558636118529634E-3</v>
      </c>
      <c r="AF87" s="166">
        <f t="shared" si="18"/>
        <v>2.957152395026222E-3</v>
      </c>
    </row>
    <row r="88" spans="9:32" x14ac:dyDescent="0.2">
      <c r="I88" s="140"/>
      <c r="J88" s="140"/>
      <c r="AB88" s="168">
        <f>_xll.qlCalendarAdvance(Calendar,AB87,"1d","mf",,Trigger)</f>
        <v>42257</v>
      </c>
      <c r="AC88" s="154">
        <f>_xll.qlDayCounterYearFraction(DayCounter,SettlementDate,AB88,,,Trigger)</f>
        <v>0.33055555555555555</v>
      </c>
      <c r="AD88" s="166">
        <f t="shared" si="16"/>
        <v>2.9458052625454755E-3</v>
      </c>
      <c r="AE88" s="166">
        <f t="shared" si="17"/>
        <v>2.8572263641361835E-3</v>
      </c>
      <c r="AF88" s="166">
        <f t="shared" si="18"/>
        <v>2.9825586178204959E-3</v>
      </c>
    </row>
    <row r="89" spans="9:32" x14ac:dyDescent="0.2">
      <c r="I89" s="140"/>
      <c r="J89" s="140"/>
      <c r="AB89" s="168">
        <f>_xll.qlCalendarAdvance(Calendar,AB88,"1d","mf",,Trigger)</f>
        <v>42258</v>
      </c>
      <c r="AC89" s="154">
        <f>_xll.qlDayCounterYearFraction(DayCounter,SettlementDate,AB89,,,Trigger)</f>
        <v>0.33333333333333331</v>
      </c>
      <c r="AD89" s="166">
        <f t="shared" si="16"/>
        <v>2.9458052625454755E-3</v>
      </c>
      <c r="AE89" s="166">
        <f t="shared" si="17"/>
        <v>2.8585891164194031E-3</v>
      </c>
      <c r="AF89" s="166">
        <f t="shared" si="18"/>
        <v>3.0077480673617323E-3</v>
      </c>
    </row>
    <row r="90" spans="9:32" x14ac:dyDescent="0.2">
      <c r="I90" s="140"/>
      <c r="J90" s="140"/>
      <c r="AB90" s="168">
        <f>_xll.qlCalendarAdvance(Calendar,AB89,"1d","mf",,Trigger)</f>
        <v>42261</v>
      </c>
      <c r="AC90" s="154">
        <f>_xll.qlDayCounterYearFraction(DayCounter,SettlementDate,AB90,,,Trigger)</f>
        <v>0.34166666666666667</v>
      </c>
      <c r="AD90" s="166">
        <f t="shared" si="16"/>
        <v>2.9458052625454755E-3</v>
      </c>
      <c r="AE90" s="166">
        <f t="shared" si="17"/>
        <v>2.8626773732690629E-3</v>
      </c>
      <c r="AF90" s="166">
        <f t="shared" si="18"/>
        <v>3.08201577646722E-3</v>
      </c>
    </row>
    <row r="91" spans="9:32" x14ac:dyDescent="0.2">
      <c r="I91" s="140"/>
      <c r="J91" s="140"/>
      <c r="AB91" s="168">
        <f>_xll.qlCalendarAdvance(Calendar,AB90,"1d","mf",,Trigger)</f>
        <v>42262</v>
      </c>
      <c r="AC91" s="154">
        <f>_xll.qlDayCounterYearFraction(DayCounter,SettlementDate,AB91,,,Trigger)</f>
        <v>0.34444444444444444</v>
      </c>
      <c r="AD91" s="166">
        <f t="shared" si="16"/>
        <v>2.9458052625454755E-3</v>
      </c>
      <c r="AE91" s="166">
        <f t="shared" si="17"/>
        <v>2.864040125552283E-3</v>
      </c>
      <c r="AF91" s="166">
        <f t="shared" si="18"/>
        <v>3.1063381329963077E-3</v>
      </c>
    </row>
    <row r="92" spans="9:32" x14ac:dyDescent="0.2">
      <c r="I92" s="140"/>
      <c r="J92" s="140"/>
      <c r="AB92" s="168">
        <f>_xll.qlCalendarAdvance(Calendar,AB91,"1d","mf",,Trigger)</f>
        <v>42263</v>
      </c>
      <c r="AC92" s="154">
        <f>_xll.qlDayCounterYearFraction(DayCounter,SettlementDate,AB92,,,Trigger)</f>
        <v>0.34722222222222221</v>
      </c>
      <c r="AD92" s="166">
        <f t="shared" si="16"/>
        <v>2.9458052625454755E-3</v>
      </c>
      <c r="AE92" s="166">
        <f t="shared" si="17"/>
        <v>2.8654028778355026E-3</v>
      </c>
      <c r="AF92" s="166">
        <f t="shared" si="18"/>
        <v>3.1304437162723575E-3</v>
      </c>
    </row>
    <row r="93" spans="9:32" x14ac:dyDescent="0.2">
      <c r="I93" s="140"/>
      <c r="J93" s="140"/>
      <c r="AB93" s="168">
        <f>_xll.qlCalendarAdvance(Calendar,AB92,"1d","mf",,Trigger)</f>
        <v>42264</v>
      </c>
      <c r="AC93" s="154">
        <f>_xll.qlDayCounterYearFraction(DayCounter,SettlementDate,AB93,,,Trigger)</f>
        <v>0.35</v>
      </c>
      <c r="AD93" s="166">
        <f t="shared" si="16"/>
        <v>2.9458052625454755E-3</v>
      </c>
      <c r="AE93" s="166">
        <f t="shared" si="17"/>
        <v>2.8667656301187227E-3</v>
      </c>
      <c r="AF93" s="166">
        <f t="shared" si="18"/>
        <v>3.1543325262953711E-3</v>
      </c>
    </row>
    <row r="94" spans="9:32" x14ac:dyDescent="0.2">
      <c r="I94" s="140"/>
      <c r="J94" s="140"/>
      <c r="AB94" s="168">
        <f>_xll.qlCalendarAdvance(Calendar,AB93,"1d","mf",,Trigger)</f>
        <v>42265</v>
      </c>
      <c r="AC94" s="154">
        <f>_xll.qlDayCounterYearFraction(DayCounter,SettlementDate,AB94,,,Trigger)</f>
        <v>0.3527777777777778</v>
      </c>
      <c r="AD94" s="166">
        <f t="shared" si="16"/>
        <v>2.9458052625454755E-3</v>
      </c>
      <c r="AE94" s="166">
        <f t="shared" si="17"/>
        <v>2.8681283824019423E-3</v>
      </c>
      <c r="AF94" s="166">
        <f t="shared" si="18"/>
        <v>3.178004563065346E-3</v>
      </c>
    </row>
    <row r="95" spans="9:32" x14ac:dyDescent="0.2">
      <c r="I95" s="140"/>
      <c r="J95" s="140"/>
      <c r="AB95" s="168">
        <f>_xll.qlCalendarAdvance(Calendar,AB94,"1d","mf",,Trigger)</f>
        <v>42268</v>
      </c>
      <c r="AC95" s="154">
        <f>_xll.qlDayCounterYearFraction(DayCounter,SettlementDate,AB95,,,Trigger)</f>
        <v>0.3611111111111111</v>
      </c>
      <c r="AD95" s="166">
        <f t="shared" si="16"/>
        <v>2.9458052625454755E-3</v>
      </c>
      <c r="AE95" s="166">
        <f t="shared" si="17"/>
        <v>2.8722166392516021E-3</v>
      </c>
      <c r="AF95" s="166">
        <f t="shared" si="18"/>
        <v>3.2477200338570525E-3</v>
      </c>
    </row>
    <row r="96" spans="9:32" x14ac:dyDescent="0.2">
      <c r="I96" s="140"/>
      <c r="J96" s="140"/>
      <c r="AB96" s="168">
        <f>_xll.qlCalendarAdvance(Calendar,AB95,"1d","mf",,Trigger)</f>
        <v>42269</v>
      </c>
      <c r="AC96" s="154">
        <f>_xll.qlDayCounterYearFraction(DayCounter,SettlementDate,AB96,,,Trigger)</f>
        <v>0.36388888888888887</v>
      </c>
      <c r="AD96" s="166">
        <f t="shared" si="16"/>
        <v>2.9458052625454755E-3</v>
      </c>
      <c r="AE96" s="166">
        <f t="shared" si="17"/>
        <v>2.8735793915348222E-3</v>
      </c>
      <c r="AF96" s="166">
        <f t="shared" si="18"/>
        <v>3.27052497761488E-3</v>
      </c>
    </row>
    <row r="97" spans="9:32" x14ac:dyDescent="0.2">
      <c r="I97" s="140"/>
      <c r="J97" s="140"/>
      <c r="AB97" s="168">
        <f>_xll.qlCalendarAdvance(Calendar,AB96,"1d","mf",,Trigger)</f>
        <v>42270</v>
      </c>
      <c r="AC97" s="154">
        <f>_xll.qlDayCounterYearFraction(DayCounter,SettlementDate,AB97,,,Trigger)</f>
        <v>0.36666666666666664</v>
      </c>
      <c r="AD97" s="166">
        <f t="shared" si="16"/>
        <v>2.9458052625454755E-3</v>
      </c>
      <c r="AE97" s="166">
        <f t="shared" si="17"/>
        <v>2.8749421438180418E-3</v>
      </c>
      <c r="AF97" s="166">
        <f t="shared" si="18"/>
        <v>3.2931131481196696E-3</v>
      </c>
    </row>
    <row r="98" spans="9:32" x14ac:dyDescent="0.2">
      <c r="I98" s="140"/>
      <c r="J98" s="140"/>
      <c r="AB98" s="168">
        <f>_xll.qlCalendarAdvance(Calendar,AB97,"1d","mf",,Trigger)</f>
        <v>42271</v>
      </c>
      <c r="AC98" s="154">
        <f>_xll.qlDayCounterYearFraction(DayCounter,SettlementDate,AB98,,,Trigger)</f>
        <v>0.36944444444444446</v>
      </c>
      <c r="AD98" s="166">
        <f t="shared" si="16"/>
        <v>2.9458052625454755E-3</v>
      </c>
      <c r="AE98" s="166">
        <f t="shared" si="17"/>
        <v>2.8763048961012619E-3</v>
      </c>
      <c r="AF98" s="166">
        <f t="shared" si="18"/>
        <v>3.3154845453714234E-3</v>
      </c>
    </row>
    <row r="99" spans="9:32" x14ac:dyDescent="0.2">
      <c r="I99" s="140"/>
      <c r="J99" s="140"/>
      <c r="AB99" s="168">
        <f>_xll.qlCalendarAdvance(Calendar,AB98,"1d","mf",,Trigger)</f>
        <v>42272</v>
      </c>
      <c r="AC99" s="154">
        <f>_xll.qlDayCounterYearFraction(DayCounter,SettlementDate,AB99,,,Trigger)</f>
        <v>0.37222222222222223</v>
      </c>
      <c r="AD99" s="166">
        <f t="shared" si="16"/>
        <v>2.9458052625454755E-3</v>
      </c>
      <c r="AE99" s="166">
        <f t="shared" si="17"/>
        <v>2.8776676483844815E-3</v>
      </c>
      <c r="AF99" s="166">
        <f t="shared" si="18"/>
        <v>3.3376391693701393E-3</v>
      </c>
    </row>
    <row r="100" spans="9:32" x14ac:dyDescent="0.2">
      <c r="I100" s="140"/>
      <c r="J100" s="140"/>
      <c r="AB100" s="168">
        <f>_xll.qlCalendarAdvance(Calendar,AB99,"1d","mf",,Trigger)</f>
        <v>42275</v>
      </c>
      <c r="AC100" s="154">
        <f>_xll.qlDayCounterYearFraction(DayCounter,SettlementDate,AB100,,,Trigger)</f>
        <v>0.38055555555555554</v>
      </c>
      <c r="AD100" s="166">
        <f t="shared" si="16"/>
        <v>2.9458052625454755E-3</v>
      </c>
      <c r="AE100" s="166">
        <f t="shared" si="17"/>
        <v>2.8817559052341413E-3</v>
      </c>
      <c r="AF100" s="166">
        <f t="shared" si="18"/>
        <v>3.4028024018480621E-3</v>
      </c>
    </row>
    <row r="101" spans="9:32" x14ac:dyDescent="0.2">
      <c r="I101" s="140"/>
      <c r="J101" s="140"/>
      <c r="AB101" s="168">
        <f>_xll.qlCalendarAdvance(Calendar,AB100,"1d","mf",,Trigger)</f>
        <v>42276</v>
      </c>
      <c r="AC101" s="154">
        <f>_xll.qlDayCounterYearFraction(DayCounter,SettlementDate,AB101,,,Trigger)</f>
        <v>0.38333333333333336</v>
      </c>
      <c r="AD101" s="166">
        <f t="shared" si="16"/>
        <v>2.9458052625454755E-3</v>
      </c>
      <c r="AE101" s="166">
        <f t="shared" si="17"/>
        <v>2.8831186575173614E-3</v>
      </c>
      <c r="AF101" s="166">
        <f t="shared" si="18"/>
        <v>3.4240899328346298E-3</v>
      </c>
    </row>
    <row r="102" spans="9:32" x14ac:dyDescent="0.2">
      <c r="I102" s="140"/>
      <c r="J102" s="140"/>
      <c r="AB102" s="168">
        <f>_xll.qlCalendarAdvance(Calendar,AB101,"1d","mf",,Trigger)</f>
        <v>42277</v>
      </c>
      <c r="AC102" s="154">
        <f>_xll.qlDayCounterYearFraction(DayCounter,SettlementDate,AB102,,,Trigger)</f>
        <v>0.38611111111111113</v>
      </c>
      <c r="AD102" s="166">
        <f t="shared" si="16"/>
        <v>2.9458052625454755E-3</v>
      </c>
      <c r="AE102" s="166">
        <f t="shared" si="17"/>
        <v>2.884481409800581E-3</v>
      </c>
      <c r="AF102" s="166">
        <f t="shared" si="18"/>
        <v>3.4451606905681591E-3</v>
      </c>
    </row>
    <row r="103" spans="9:32" x14ac:dyDescent="0.2">
      <c r="I103" s="140"/>
      <c r="J103" s="140"/>
      <c r="AB103" s="168">
        <f>_xll.qlCalendarAdvance(Calendar,AB102,"1d","mf",,Trigger)</f>
        <v>42278</v>
      </c>
      <c r="AC103" s="154">
        <f>_xll.qlDayCounterYearFraction(DayCounter,SettlementDate,AB103,,,Trigger)</f>
        <v>0.3888888888888889</v>
      </c>
      <c r="AD103" s="166">
        <f t="shared" si="16"/>
        <v>2.9458052625454755E-3</v>
      </c>
      <c r="AE103" s="166">
        <f t="shared" si="17"/>
        <v>2.8858441620838011E-3</v>
      </c>
      <c r="AF103" s="166">
        <f t="shared" si="18"/>
        <v>3.4660146750486514E-3</v>
      </c>
    </row>
    <row r="104" spans="9:32" x14ac:dyDescent="0.2">
      <c r="I104" s="140"/>
      <c r="J104" s="140"/>
      <c r="AB104" s="168">
        <f>_xll.qlCalendarAdvance(Calendar,AB103,"1d","mf",,Trigger)</f>
        <v>42279</v>
      </c>
      <c r="AC104" s="154">
        <f>_xll.qlDayCounterYearFraction(DayCounter,SettlementDate,AB104,,,Trigger)</f>
        <v>0.39166666666666666</v>
      </c>
      <c r="AD104" s="166">
        <f t="shared" si="16"/>
        <v>2.9458052625454755E-3</v>
      </c>
      <c r="AE104" s="166">
        <f t="shared" si="17"/>
        <v>2.8872069143670207E-3</v>
      </c>
      <c r="AF104" s="166">
        <f t="shared" si="18"/>
        <v>3.4866518862761062E-3</v>
      </c>
    </row>
    <row r="105" spans="9:32" x14ac:dyDescent="0.2">
      <c r="I105" s="140"/>
      <c r="J105" s="140"/>
      <c r="AB105" s="168">
        <f>_xll.qlCalendarAdvance(Calendar,AB104,"1d","mf",,Trigger)</f>
        <v>42282</v>
      </c>
      <c r="AC105" s="154">
        <f>_xll.qlDayCounterYearFraction(DayCounter,SettlementDate,AB105,,,Trigger)</f>
        <v>0.4</v>
      </c>
      <c r="AD105" s="166">
        <f t="shared" si="16"/>
        <v>2.9458052625454755E-3</v>
      </c>
      <c r="AE105" s="166">
        <f t="shared" si="17"/>
        <v>2.8912951712166805E-3</v>
      </c>
      <c r="AF105" s="166">
        <f t="shared" si="18"/>
        <v>3.5472628804402487E-3</v>
      </c>
    </row>
    <row r="106" spans="9:32" x14ac:dyDescent="0.2">
      <c r="I106" s="140"/>
      <c r="J106" s="140"/>
      <c r="AB106" s="168">
        <f>_xll.qlCalendarAdvance(Calendar,AB105,"1d","mf",,Trigger)</f>
        <v>42283</v>
      </c>
      <c r="AC106" s="154">
        <f>_xll.qlDayCounterYearFraction(DayCounter,SettlementDate,AB106,,,Trigger)</f>
        <v>0.40277777777777779</v>
      </c>
      <c r="AD106" s="166">
        <f t="shared" si="16"/>
        <v>2.9458052625454755E-3</v>
      </c>
      <c r="AE106" s="166">
        <f t="shared" si="17"/>
        <v>2.8926579234999006E-3</v>
      </c>
      <c r="AF106" s="166">
        <f t="shared" si="18"/>
        <v>3.5670329986555549E-3</v>
      </c>
    </row>
    <row r="107" spans="9:32" x14ac:dyDescent="0.2">
      <c r="I107" s="140"/>
      <c r="J107" s="140"/>
      <c r="AB107" s="168">
        <f>_xll.qlCalendarAdvance(Calendar,AB106,"1d","mf",,Trigger)</f>
        <v>42284</v>
      </c>
      <c r="AC107" s="154">
        <f>_xll.qlDayCounterYearFraction(DayCounter,SettlementDate,AB107,,,Trigger)</f>
        <v>0.40555555555555556</v>
      </c>
      <c r="AD107" s="166">
        <f t="shared" si="16"/>
        <v>2.9458052625454755E-3</v>
      </c>
      <c r="AE107" s="166">
        <f t="shared" si="17"/>
        <v>2.8940206757831202E-3</v>
      </c>
      <c r="AF107" s="166">
        <f t="shared" si="18"/>
        <v>3.5865863436178235E-3</v>
      </c>
    </row>
    <row r="108" spans="9:32" x14ac:dyDescent="0.2">
      <c r="I108" s="140"/>
      <c r="J108" s="140"/>
      <c r="AB108" s="168">
        <f>_xll.qlCalendarAdvance(Calendar,AB107,"1d","mf",,Trigger)</f>
        <v>42285</v>
      </c>
      <c r="AC108" s="154">
        <f>_xll.qlDayCounterYearFraction(DayCounter,SettlementDate,AB108,,,Trigger)</f>
        <v>0.40833333333333333</v>
      </c>
      <c r="AD108" s="166">
        <f t="shared" si="16"/>
        <v>2.9458052625454755E-3</v>
      </c>
      <c r="AE108" s="166">
        <f t="shared" si="17"/>
        <v>2.8953834280663403E-3</v>
      </c>
      <c r="AF108" s="166">
        <f t="shared" si="18"/>
        <v>3.6059229153270556E-3</v>
      </c>
    </row>
    <row r="109" spans="9:32" x14ac:dyDescent="0.2">
      <c r="I109" s="140"/>
      <c r="J109" s="140"/>
      <c r="AB109" s="168">
        <f>_xll.qlCalendarAdvance(Calendar,AB108,"1d","mf",,Trigger)</f>
        <v>42286</v>
      </c>
      <c r="AC109" s="154">
        <f>_xll.qlDayCounterYearFraction(DayCounter,SettlementDate,AB109,,,Trigger)</f>
        <v>0.41111111111111109</v>
      </c>
      <c r="AD109" s="166">
        <f t="shared" si="16"/>
        <v>2.9458052625454755E-3</v>
      </c>
      <c r="AE109" s="166">
        <f t="shared" si="17"/>
        <v>2.8967461803495603E-3</v>
      </c>
      <c r="AF109" s="166">
        <f t="shared" si="18"/>
        <v>3.6250427137832501E-3</v>
      </c>
    </row>
    <row r="110" spans="9:32" x14ac:dyDescent="0.2">
      <c r="I110" s="140"/>
      <c r="J110" s="140"/>
      <c r="AB110" s="168">
        <f>_xll.qlCalendarAdvance(Calendar,AB109,"1d","mf",,Trigger)</f>
        <v>42289</v>
      </c>
      <c r="AC110" s="154">
        <f>_xll.qlDayCounterYearFraction(DayCounter,SettlementDate,AB110,,,Trigger)</f>
        <v>0.41944444444444445</v>
      </c>
      <c r="AD110" s="166">
        <f t="shared" si="16"/>
        <v>2.9458052625454755E-3</v>
      </c>
      <c r="AE110" s="166">
        <f t="shared" si="17"/>
        <v>2.9008344371992197E-3</v>
      </c>
      <c r="AF110" s="166">
        <f t="shared" si="18"/>
        <v>3.6811014696336111E-3</v>
      </c>
    </row>
    <row r="111" spans="9:32" x14ac:dyDescent="0.2">
      <c r="I111" s="140"/>
      <c r="J111" s="140"/>
      <c r="AB111" s="168">
        <f>_xll.qlCalendarAdvance(Calendar,AB110,"1d","mf",,Trigger)</f>
        <v>42290</v>
      </c>
      <c r="AC111" s="154">
        <f>_xll.qlDayCounterYearFraction(DayCounter,SettlementDate,AB111,,,Trigger)</f>
        <v>0.42222222222222222</v>
      </c>
      <c r="AD111" s="166">
        <f t="shared" si="16"/>
        <v>2.9458052625454755E-3</v>
      </c>
      <c r="AE111" s="166">
        <f t="shared" si="17"/>
        <v>2.9021971894824397E-3</v>
      </c>
      <c r="AF111" s="166">
        <f t="shared" si="18"/>
        <v>3.6993541750776565E-3</v>
      </c>
    </row>
    <row r="112" spans="9:32" x14ac:dyDescent="0.2">
      <c r="I112" s="140"/>
      <c r="J112" s="140"/>
      <c r="AB112" s="168">
        <f>_xll.qlCalendarAdvance(Calendar,AB111,"1d","mf",,Trigger)</f>
        <v>42291</v>
      </c>
      <c r="AC112" s="154">
        <f>_xll.qlDayCounterYearFraction(DayCounter,SettlementDate,AB112,,,Trigger)</f>
        <v>0.42499999999999999</v>
      </c>
      <c r="AD112" s="166">
        <f t="shared" si="16"/>
        <v>2.9458052625454755E-3</v>
      </c>
      <c r="AE112" s="166">
        <f t="shared" si="17"/>
        <v>2.9035599417656594E-3</v>
      </c>
      <c r="AF112" s="166">
        <f t="shared" si="18"/>
        <v>3.717390107268665E-3</v>
      </c>
    </row>
    <row r="113" spans="9:32" x14ac:dyDescent="0.2">
      <c r="I113" s="140"/>
      <c r="J113" s="140"/>
      <c r="AB113" s="168">
        <f>_xll.qlCalendarAdvance(Calendar,AB112,"1d","mf",,Trigger)</f>
        <v>42292</v>
      </c>
      <c r="AC113" s="154">
        <f>_xll.qlDayCounterYearFraction(DayCounter,SettlementDate,AB113,,,Trigger)</f>
        <v>0.42777777777777776</v>
      </c>
      <c r="AD113" s="166">
        <f t="shared" si="16"/>
        <v>2.9458052625454755E-3</v>
      </c>
      <c r="AE113" s="166">
        <f t="shared" si="17"/>
        <v>2.9049226940488795E-3</v>
      </c>
      <c r="AF113" s="166">
        <f t="shared" si="18"/>
        <v>3.7352092662066359E-3</v>
      </c>
    </row>
    <row r="114" spans="9:32" x14ac:dyDescent="0.2">
      <c r="I114" s="140"/>
      <c r="J114" s="140"/>
      <c r="AB114" s="168">
        <f>_xll.qlCalendarAdvance(Calendar,AB113,"1d","mf",,Trigger)</f>
        <v>42293</v>
      </c>
      <c r="AC114" s="154">
        <f>_xll.qlDayCounterYearFraction(DayCounter,SettlementDate,AB114,,,Trigger)</f>
        <v>0.43055555555555558</v>
      </c>
      <c r="AD114" s="166">
        <f t="shared" si="16"/>
        <v>2.9458052625454755E-3</v>
      </c>
      <c r="AE114" s="166">
        <f t="shared" si="17"/>
        <v>2.9062854463320995E-3</v>
      </c>
      <c r="AF114" s="166">
        <f t="shared" si="18"/>
        <v>3.7528116518915711E-3</v>
      </c>
    </row>
    <row r="115" spans="9:32" x14ac:dyDescent="0.2">
      <c r="I115" s="140"/>
      <c r="J115" s="140"/>
      <c r="AB115" s="168">
        <f>_xll.qlCalendarAdvance(Calendar,AB114,"1d","mf",,Trigger)</f>
        <v>42296</v>
      </c>
      <c r="AC115" s="154">
        <f>_xll.qlDayCounterYearFraction(DayCounter,SettlementDate,AB115,,,Trigger)</f>
        <v>0.43888888888888888</v>
      </c>
      <c r="AD115" s="166">
        <f t="shared" si="16"/>
        <v>2.9458052625454755E-3</v>
      </c>
      <c r="AE115" s="166">
        <f t="shared" si="17"/>
        <v>2.9103737031817589E-3</v>
      </c>
      <c r="AF115" s="166">
        <f t="shared" si="18"/>
        <v>3.8043181694281496E-3</v>
      </c>
    </row>
    <row r="116" spans="9:32" x14ac:dyDescent="0.2">
      <c r="I116" s="140"/>
      <c r="J116" s="140"/>
      <c r="AB116" s="168">
        <f>_xll.qlCalendarAdvance(Calendar,AB115,"1d","mf",,Trigger)</f>
        <v>42297</v>
      </c>
      <c r="AC116" s="154">
        <f>_xll.qlDayCounterYearFraction(DayCounter,SettlementDate,AB116,,,Trigger)</f>
        <v>0.44166666666666665</v>
      </c>
      <c r="AD116" s="166">
        <f t="shared" si="16"/>
        <v>2.9458052625454755E-3</v>
      </c>
      <c r="AE116" s="166">
        <f t="shared" si="17"/>
        <v>2.9117364554649789E-3</v>
      </c>
      <c r="AF116" s="166">
        <f t="shared" si="18"/>
        <v>3.8210534621009348E-3</v>
      </c>
    </row>
    <row r="117" spans="9:32" x14ac:dyDescent="0.2">
      <c r="I117" s="140"/>
      <c r="J117" s="140"/>
      <c r="AB117" s="168">
        <f>_xll.qlCalendarAdvance(Calendar,AB116,"1d","mf",,Trigger)</f>
        <v>42298</v>
      </c>
      <c r="AC117" s="154">
        <f>_xll.qlDayCounterYearFraction(DayCounter,SettlementDate,AB117,,,Trigger)</f>
        <v>0.44444444444444442</v>
      </c>
      <c r="AD117" s="166">
        <f t="shared" si="16"/>
        <v>2.9458052625454755E-3</v>
      </c>
      <c r="AE117" s="166">
        <f t="shared" si="17"/>
        <v>2.9130992077481986E-3</v>
      </c>
      <c r="AF117" s="166">
        <f t="shared" si="18"/>
        <v>3.8375719815206826E-3</v>
      </c>
    </row>
    <row r="118" spans="9:32" x14ac:dyDescent="0.2">
      <c r="I118" s="140"/>
      <c r="J118" s="140"/>
      <c r="AB118" s="168">
        <f>_xll.qlCalendarAdvance(Calendar,AB117,"1d","mf",,Trigger)</f>
        <v>42299</v>
      </c>
      <c r="AC118" s="154">
        <f>_xll.qlDayCounterYearFraction(DayCounter,SettlementDate,AB118,,,Trigger)</f>
        <v>0.44722222222222224</v>
      </c>
      <c r="AD118" s="166">
        <f t="shared" si="16"/>
        <v>2.9458052625454755E-3</v>
      </c>
      <c r="AE118" s="166">
        <f t="shared" si="17"/>
        <v>2.9144619600314186E-3</v>
      </c>
      <c r="AF118" s="166">
        <f t="shared" si="18"/>
        <v>3.8538737276873946E-3</v>
      </c>
    </row>
    <row r="119" spans="9:32" x14ac:dyDescent="0.2">
      <c r="I119" s="140"/>
      <c r="J119" s="140"/>
      <c r="AB119" s="168">
        <f>_xll.qlCalendarAdvance(Calendar,AB118,"1d","mf",,Trigger)</f>
        <v>42300</v>
      </c>
      <c r="AC119" s="154">
        <f>_xll.qlDayCounterYearFraction(DayCounter,SettlementDate,AB119,,,Trigger)</f>
        <v>0.45</v>
      </c>
      <c r="AD119" s="166">
        <f t="shared" si="16"/>
        <v>2.9458052625454755E-3</v>
      </c>
      <c r="AE119" s="166">
        <f t="shared" si="17"/>
        <v>2.9158247123146387E-3</v>
      </c>
      <c r="AF119" s="166">
        <f t="shared" si="18"/>
        <v>3.8699587006010678E-3</v>
      </c>
    </row>
    <row r="120" spans="9:32" x14ac:dyDescent="0.2">
      <c r="I120" s="140"/>
      <c r="J120" s="140"/>
      <c r="AB120" s="168">
        <f>_xll.qlCalendarAdvance(Calendar,AB119,"1d","mf",,Trigger)</f>
        <v>42303</v>
      </c>
      <c r="AC120" s="154">
        <f>_xll.qlDayCounterYearFraction(DayCounter,SettlementDate,AB120,,,Trigger)</f>
        <v>0.45833333333333331</v>
      </c>
      <c r="AD120" s="166">
        <f t="shared" si="16"/>
        <v>2.9458052625454755E-3</v>
      </c>
      <c r="AE120" s="166">
        <f t="shared" si="17"/>
        <v>2.9199129691642981E-3</v>
      </c>
      <c r="AF120" s="166">
        <f t="shared" si="18"/>
        <v>3.9169129798238642E-3</v>
      </c>
    </row>
    <row r="121" spans="9:32" x14ac:dyDescent="0.2">
      <c r="I121" s="140"/>
      <c r="J121" s="140"/>
      <c r="AB121" s="168">
        <f>_xll.qlCalendarAdvance(Calendar,AB120,"1d","mf",,Trigger)</f>
        <v>42304</v>
      </c>
      <c r="AC121" s="154">
        <f>_xll.qlDayCounterYearFraction(DayCounter,SettlementDate,AB121,,,Trigger)</f>
        <v>0.46111111111111114</v>
      </c>
      <c r="AD121" s="166">
        <f t="shared" si="16"/>
        <v>2.9458052625454755E-3</v>
      </c>
      <c r="AE121" s="166">
        <f t="shared" si="17"/>
        <v>2.9212757214475181E-3</v>
      </c>
      <c r="AF121" s="166">
        <f t="shared" si="18"/>
        <v>3.9321308597253905E-3</v>
      </c>
    </row>
    <row r="122" spans="9:32" x14ac:dyDescent="0.2">
      <c r="I122" s="141"/>
      <c r="J122" s="140"/>
      <c r="AB122" s="168">
        <f>_xll.qlCalendarAdvance(Calendar,AB121,"1d","mf",,Trigger)</f>
        <v>42305</v>
      </c>
      <c r="AC122" s="154">
        <f>_xll.qlDayCounterYearFraction(DayCounter,SettlementDate,AB122,,,Trigger)</f>
        <v>0.46388888888888891</v>
      </c>
      <c r="AD122" s="166">
        <f t="shared" si="16"/>
        <v>2.9458052625454755E-3</v>
      </c>
      <c r="AE122" s="166">
        <f t="shared" si="17"/>
        <v>2.9226384737307378E-3</v>
      </c>
      <c r="AF122" s="166">
        <f t="shared" si="18"/>
        <v>3.947131966373878E-3</v>
      </c>
    </row>
    <row r="123" spans="9:32" x14ac:dyDescent="0.2">
      <c r="I123" s="141"/>
      <c r="J123" s="140"/>
      <c r="AB123" s="168">
        <f>_xll.qlCalendarAdvance(Calendar,AB122,"1d","mf",,Trigger)</f>
        <v>42306</v>
      </c>
      <c r="AC123" s="154">
        <f>_xll.qlDayCounterYearFraction(DayCounter,SettlementDate,AB123,,,Trigger)</f>
        <v>0.46666666666666667</v>
      </c>
      <c r="AD123" s="166">
        <f t="shared" si="16"/>
        <v>2.9458052625454755E-3</v>
      </c>
      <c r="AE123" s="166">
        <f t="shared" si="17"/>
        <v>2.9240012260139578E-3</v>
      </c>
      <c r="AF123" s="166">
        <f t="shared" si="18"/>
        <v>3.9619162997693276E-3</v>
      </c>
    </row>
    <row r="124" spans="9:32" x14ac:dyDescent="0.2">
      <c r="I124" s="141"/>
      <c r="J124" s="140"/>
      <c r="AB124" s="168">
        <f>_xll.qlCalendarAdvance(Calendar,AB123,"1d","mf",,Trigger)</f>
        <v>42307</v>
      </c>
      <c r="AC124" s="154">
        <f>_xll.qlDayCounterYearFraction(DayCounter,SettlementDate,AB124,,,Trigger)</f>
        <v>0.46944444444444444</v>
      </c>
      <c r="AD124" s="166">
        <f t="shared" si="16"/>
        <v>2.9458052625454755E-3</v>
      </c>
      <c r="AE124" s="166">
        <f t="shared" si="17"/>
        <v>2.9253639782971779E-3</v>
      </c>
      <c r="AF124" s="166">
        <f t="shared" si="18"/>
        <v>3.9764838599117402E-3</v>
      </c>
    </row>
    <row r="125" spans="9:32" x14ac:dyDescent="0.2">
      <c r="I125" s="141"/>
      <c r="J125" s="140"/>
      <c r="AB125" s="168">
        <f>_xll.qlCalendarAdvance(Calendar,AB124,"1d","mf",,Trigger)</f>
        <v>42310</v>
      </c>
      <c r="AC125" s="154">
        <f>_xll.qlDayCounterYearFraction(DayCounter,SettlementDate,AB125,,,Trigger)</f>
        <v>0.4777777777777778</v>
      </c>
      <c r="AD125" s="166">
        <f t="shared" si="16"/>
        <v>2.9458052625454755E-3</v>
      </c>
      <c r="AE125" s="166">
        <f t="shared" si="17"/>
        <v>2.9294522351468373E-3</v>
      </c>
      <c r="AF125" s="166">
        <f t="shared" si="18"/>
        <v>4.0188859008207572E-3</v>
      </c>
    </row>
    <row r="126" spans="9:32" x14ac:dyDescent="0.2">
      <c r="I126" s="141"/>
      <c r="J126" s="140"/>
      <c r="AB126" s="168">
        <f>_xll.qlCalendarAdvance(Calendar,AB125,"1d","mf",,Trigger)</f>
        <v>42311</v>
      </c>
      <c r="AC126" s="154">
        <f>_xll.qlDayCounterYearFraction(DayCounter,SettlementDate,AB126,,,Trigger)</f>
        <v>0.48055555555555557</v>
      </c>
      <c r="AD126" s="166">
        <f t="shared" si="16"/>
        <v>2.9458052625454755E-3</v>
      </c>
      <c r="AE126" s="166">
        <f t="shared" si="17"/>
        <v>2.9308149874300573E-3</v>
      </c>
      <c r="AF126" s="166">
        <f t="shared" si="18"/>
        <v>4.0325863679510215E-3</v>
      </c>
    </row>
    <row r="127" spans="9:32" x14ac:dyDescent="0.2">
      <c r="I127" s="141"/>
      <c r="J127" s="140"/>
      <c r="AB127" s="168">
        <f>_xll.qlCalendarAdvance(Calendar,AB126,"1d","mf",,Trigger)</f>
        <v>42312</v>
      </c>
      <c r="AC127" s="154">
        <f>_xll.qlDayCounterYearFraction(DayCounter,SettlementDate,AB127,,,Trigger)</f>
        <v>0.48333333333333334</v>
      </c>
      <c r="AD127" s="166">
        <f t="shared" si="16"/>
        <v>2.9458052625454755E-3</v>
      </c>
      <c r="AE127" s="166">
        <f t="shared" si="17"/>
        <v>2.9321777397132774E-3</v>
      </c>
      <c r="AF127" s="166">
        <f t="shared" si="18"/>
        <v>4.046070061828248E-3</v>
      </c>
    </row>
    <row r="128" spans="9:32" x14ac:dyDescent="0.2">
      <c r="I128" s="141"/>
      <c r="J128" s="141"/>
      <c r="AB128" s="168">
        <f>_xll.qlCalendarAdvance(Calendar,AB127,"1d","mf",,Trigger)</f>
        <v>42313</v>
      </c>
      <c r="AC128" s="154">
        <f>_xll.qlDayCounterYearFraction(DayCounter,SettlementDate,AB128,,,Trigger)</f>
        <v>0.4861111111111111</v>
      </c>
      <c r="AD128" s="166">
        <f t="shared" si="16"/>
        <v>2.9458052625454755E-3</v>
      </c>
      <c r="AE128" s="166">
        <f t="shared" si="17"/>
        <v>2.933540491996497E-3</v>
      </c>
      <c r="AF128" s="166">
        <f t="shared" si="18"/>
        <v>4.0593369824524373E-3</v>
      </c>
    </row>
    <row r="129" spans="9:32" x14ac:dyDescent="0.2">
      <c r="I129" s="141"/>
      <c r="J129" s="141"/>
      <c r="AB129" s="168">
        <f>_xll.qlCalendarAdvance(Calendar,AB128,"1d","mf",,Trigger)</f>
        <v>42314</v>
      </c>
      <c r="AC129" s="154">
        <f>_xll.qlDayCounterYearFraction(DayCounter,SettlementDate,AB129,,,Trigger)</f>
        <v>0.48888888888888887</v>
      </c>
      <c r="AD129" s="166">
        <f t="shared" si="16"/>
        <v>2.9458052625454755E-3</v>
      </c>
      <c r="AE129" s="166">
        <f t="shared" si="17"/>
        <v>2.9349032442797171E-3</v>
      </c>
      <c r="AF129" s="166">
        <f t="shared" si="18"/>
        <v>4.0723871298235896E-3</v>
      </c>
    </row>
    <row r="130" spans="9:32" x14ac:dyDescent="0.2">
      <c r="I130" s="141"/>
      <c r="J130" s="141"/>
      <c r="AB130" s="168">
        <f>_xll.qlCalendarAdvance(Calendar,AB129,"1d","mf",,Trigger)</f>
        <v>42317</v>
      </c>
      <c r="AC130" s="154">
        <f>_xll.qlDayCounterYearFraction(DayCounter,SettlementDate,AB130,,,Trigger)</f>
        <v>0.49722222222222223</v>
      </c>
      <c r="AD130" s="166">
        <f t="shared" si="16"/>
        <v>2.9458052625454755E-3</v>
      </c>
      <c r="AE130" s="166">
        <f t="shared" si="17"/>
        <v>2.9389915011293764E-3</v>
      </c>
      <c r="AF130" s="166">
        <f t="shared" si="18"/>
        <v>4.1102369324188242E-3</v>
      </c>
    </row>
    <row r="131" spans="9:32" x14ac:dyDescent="0.2">
      <c r="I131" s="141"/>
      <c r="J131" s="141"/>
      <c r="AB131" s="168">
        <f>_xll.qlCalendarAdvance(Calendar,AB130,"1d","mf",,Trigger)</f>
        <v>42318</v>
      </c>
      <c r="AC131" s="154">
        <f>_xll.qlDayCounterYearFraction(DayCounter,SettlementDate,AB131,,,Trigger)</f>
        <v>0.5</v>
      </c>
      <c r="AD131" s="166">
        <f t="shared" ref="AD131:AD194" si="19">$S$13</f>
        <v>2.9458052625454755E-3</v>
      </c>
      <c r="AE131" s="166">
        <f t="shared" si="17"/>
        <v>2.9403542534125965E-3</v>
      </c>
      <c r="AF131" s="166">
        <f t="shared" si="18"/>
        <v>4.1224199867778283E-3</v>
      </c>
    </row>
    <row r="132" spans="9:32" x14ac:dyDescent="0.2">
      <c r="I132" s="141"/>
      <c r="J132" s="141"/>
      <c r="AB132" s="168">
        <f>_xll.qlCalendarAdvance(Calendar,AB131,"1d","mf",,Trigger)</f>
        <v>42319</v>
      </c>
      <c r="AC132" s="154">
        <f>_xll.qlDayCounterYearFraction(DayCounter,SettlementDate,AB132,,,Trigger)</f>
        <v>0.50277777777777777</v>
      </c>
      <c r="AD132" s="166">
        <f t="shared" si="19"/>
        <v>2.9458052625454755E-3</v>
      </c>
      <c r="AE132" s="166">
        <f t="shared" si="17"/>
        <v>2.9417170056958166E-3</v>
      </c>
      <c r="AF132" s="166">
        <f t="shared" si="18"/>
        <v>4.1343862678837953E-3</v>
      </c>
    </row>
    <row r="133" spans="9:32" x14ac:dyDescent="0.2">
      <c r="I133" s="141"/>
      <c r="J133" s="141"/>
      <c r="AB133" s="168">
        <f>_xll.qlCalendarAdvance(Calendar,AB132,"1d","mf",,Trigger)</f>
        <v>42320</v>
      </c>
      <c r="AC133" s="154">
        <f>_xll.qlDayCounterYearFraction(DayCounter,SettlementDate,AB133,,,Trigger)</f>
        <v>0.50555555555555554</v>
      </c>
      <c r="AD133" s="166">
        <f t="shared" si="19"/>
        <v>2.9458052625454755E-3</v>
      </c>
      <c r="AE133" s="166">
        <f t="shared" si="17"/>
        <v>2.9430797579790362E-3</v>
      </c>
      <c r="AF133" s="166">
        <f t="shared" si="18"/>
        <v>4.1461357757367236E-3</v>
      </c>
    </row>
    <row r="134" spans="9:32" x14ac:dyDescent="0.2">
      <c r="I134" s="141"/>
      <c r="J134" s="141"/>
      <c r="AB134" s="168">
        <f>_xll.qlCalendarAdvance(Calendar,AB133,"1d","mf",,Trigger)</f>
        <v>42321</v>
      </c>
      <c r="AC134" s="154">
        <f>_xll.qlDayCounterYearFraction(DayCounter,SettlementDate,AB134,,,Trigger)</f>
        <v>0.5083333333333333</v>
      </c>
      <c r="AD134" s="166">
        <f t="shared" si="19"/>
        <v>2.9458052625454755E-3</v>
      </c>
      <c r="AE134" s="166">
        <f t="shared" si="17"/>
        <v>2.9444425102622563E-3</v>
      </c>
      <c r="AF134" s="166">
        <f t="shared" si="18"/>
        <v>4.1576685103366156E-3</v>
      </c>
    </row>
    <row r="135" spans="9:32" x14ac:dyDescent="0.2">
      <c r="I135" s="141"/>
      <c r="J135" s="141"/>
      <c r="AB135" s="168">
        <f>_xll.qlCalendarAdvance(Calendar,AB134,"1d","mf",,Trigger)</f>
        <v>42324</v>
      </c>
      <c r="AC135" s="154">
        <f>_xll.qlDayCounterYearFraction(DayCounter,SettlementDate,AB135,,,Trigger)</f>
        <v>0.51666666666666672</v>
      </c>
      <c r="AD135" s="166">
        <f t="shared" si="19"/>
        <v>2.9458052625454755E-3</v>
      </c>
      <c r="AE135" s="166">
        <f t="shared" si="17"/>
        <v>2.9485307671119161E-3</v>
      </c>
      <c r="AF135" s="166">
        <f t="shared" si="18"/>
        <v>4.1909660746180695E-3</v>
      </c>
    </row>
    <row r="136" spans="9:32" x14ac:dyDescent="0.2">
      <c r="I136" s="141"/>
      <c r="J136" s="141"/>
      <c r="AB136" s="168">
        <f>_xll.qlCalendarAdvance(Calendar,AB135,"1d","mf",,Trigger)</f>
        <v>42325</v>
      </c>
      <c r="AC136" s="154">
        <f>_xll.qlDayCounterYearFraction(DayCounter,SettlementDate,AB136,,,Trigger)</f>
        <v>0.51944444444444449</v>
      </c>
      <c r="AD136" s="166">
        <f t="shared" si="19"/>
        <v>2.9458052625454755E-3</v>
      </c>
      <c r="AE136" s="166">
        <f t="shared" si="17"/>
        <v>2.9498935193951357E-3</v>
      </c>
      <c r="AF136" s="166">
        <f t="shared" si="18"/>
        <v>4.2016317162058133E-3</v>
      </c>
    </row>
    <row r="137" spans="9:32" x14ac:dyDescent="0.2">
      <c r="I137" s="141"/>
      <c r="J137" s="141"/>
      <c r="AB137" s="168">
        <f>_xll.qlCalendarAdvance(Calendar,AB136,"1d","mf",,Trigger)</f>
        <v>42326</v>
      </c>
      <c r="AC137" s="154">
        <f>_xll.qlDayCounterYearFraction(DayCounter,SettlementDate,AB137,,,Trigger)</f>
        <v>0.52222222222222225</v>
      </c>
      <c r="AD137" s="166">
        <f t="shared" si="19"/>
        <v>2.9458052625454755E-3</v>
      </c>
      <c r="AE137" s="166">
        <f t="shared" si="17"/>
        <v>2.9512562716783558E-3</v>
      </c>
      <c r="AF137" s="166">
        <f t="shared" si="18"/>
        <v>4.2120805845405184E-3</v>
      </c>
    </row>
    <row r="138" spans="9:32" x14ac:dyDescent="0.2">
      <c r="J138" s="141"/>
      <c r="AB138" s="168">
        <f>_xll.qlCalendarAdvance(Calendar,AB137,"1d","mf",,Trigger)</f>
        <v>42327</v>
      </c>
      <c r="AC138" s="154">
        <f>_xll.qlDayCounterYearFraction(DayCounter,SettlementDate,AB138,,,Trigger)</f>
        <v>0.52500000000000002</v>
      </c>
      <c r="AD138" s="166">
        <f t="shared" si="19"/>
        <v>2.9458052625454755E-3</v>
      </c>
      <c r="AE138" s="166">
        <f t="shared" si="17"/>
        <v>2.9526190239615754E-3</v>
      </c>
      <c r="AF138" s="166">
        <f t="shared" si="18"/>
        <v>4.2223126796221873E-3</v>
      </c>
    </row>
    <row r="139" spans="9:32" x14ac:dyDescent="0.2">
      <c r="J139" s="141"/>
      <c r="AB139" s="168">
        <f>_xll.qlCalendarAdvance(Calendar,AB138,"1d","mf",,Trigger)</f>
        <v>42328</v>
      </c>
      <c r="AC139" s="154">
        <f>_xll.qlDayCounterYearFraction(DayCounter,SettlementDate,AB139,,,Trigger)</f>
        <v>0.52777777777777779</v>
      </c>
      <c r="AD139" s="166">
        <f t="shared" si="19"/>
        <v>2.9458052625454755E-3</v>
      </c>
      <c r="AE139" s="166">
        <f t="shared" si="17"/>
        <v>2.9539817762447955E-3</v>
      </c>
      <c r="AF139" s="166">
        <f t="shared" si="18"/>
        <v>4.2323280014508182E-3</v>
      </c>
    </row>
    <row r="140" spans="9:32" x14ac:dyDescent="0.2">
      <c r="J140" s="141"/>
      <c r="AB140" s="168">
        <f>_xll.qlCalendarAdvance(Calendar,AB139,"1d","mf",,Trigger)</f>
        <v>42331</v>
      </c>
      <c r="AC140" s="154">
        <f>_xll.qlDayCounterYearFraction(DayCounter,SettlementDate,AB140,,,Trigger)</f>
        <v>0.53611111111111109</v>
      </c>
      <c r="AD140" s="166">
        <f t="shared" si="19"/>
        <v>2.9458052625454755E-3</v>
      </c>
      <c r="AE140" s="166">
        <f t="shared" si="17"/>
        <v>2.9580700330944553E-3</v>
      </c>
      <c r="AF140" s="166">
        <f t="shared" si="18"/>
        <v>4.2610733274184897E-3</v>
      </c>
    </row>
    <row r="141" spans="9:32" x14ac:dyDescent="0.2">
      <c r="J141" s="141"/>
      <c r="AB141" s="168">
        <f>_xll.qlCalendarAdvance(Calendar,AB140,"1d","mf",,Trigger)</f>
        <v>42332</v>
      </c>
      <c r="AC141" s="154">
        <f>_xll.qlDayCounterYearFraction(DayCounter,SettlementDate,AB141,,,Trigger)</f>
        <v>0.53888888888888886</v>
      </c>
      <c r="AD141" s="166">
        <f t="shared" si="19"/>
        <v>2.9458052625454755E-3</v>
      </c>
      <c r="AE141" s="166">
        <f t="shared" si="17"/>
        <v>2.9594327853776749E-3</v>
      </c>
      <c r="AF141" s="166">
        <f t="shared" si="18"/>
        <v>4.2702215562349724E-3</v>
      </c>
    </row>
    <row r="142" spans="9:32" x14ac:dyDescent="0.2">
      <c r="J142" s="141"/>
      <c r="AB142" s="168">
        <f>_xll.qlCalendarAdvance(Calendar,AB141,"1d","mf",,Trigger)</f>
        <v>42333</v>
      </c>
      <c r="AC142" s="154">
        <f>_xll.qlDayCounterYearFraction(DayCounter,SettlementDate,AB142,,,Trigger)</f>
        <v>0.54166666666666663</v>
      </c>
      <c r="AD142" s="166">
        <f t="shared" si="19"/>
        <v>2.9458052625454755E-3</v>
      </c>
      <c r="AE142" s="166">
        <f t="shared" si="17"/>
        <v>2.960795537660895E-3</v>
      </c>
      <c r="AF142" s="166">
        <f t="shared" si="18"/>
        <v>4.2791530117984172E-3</v>
      </c>
    </row>
    <row r="143" spans="9:32" x14ac:dyDescent="0.2">
      <c r="J143" s="141"/>
      <c r="AB143" s="168">
        <f>_xll.qlCalendarAdvance(Calendar,AB142,"1d","mf",,Trigger)</f>
        <v>42334</v>
      </c>
      <c r="AC143" s="154">
        <f>_xll.qlDayCounterYearFraction(DayCounter,SettlementDate,AB143,,,Trigger)</f>
        <v>0.5444444444444444</v>
      </c>
      <c r="AD143" s="166">
        <f t="shared" si="19"/>
        <v>2.9458052625454755E-3</v>
      </c>
      <c r="AE143" s="166">
        <f t="shared" si="17"/>
        <v>2.9621582899441146E-3</v>
      </c>
      <c r="AF143" s="166">
        <f t="shared" si="18"/>
        <v>4.2878676941088267E-3</v>
      </c>
    </row>
    <row r="144" spans="9:32" x14ac:dyDescent="0.2">
      <c r="AB144" s="168">
        <f>_xll.qlCalendarAdvance(Calendar,AB143,"1d","mf",,Trigger)</f>
        <v>42335</v>
      </c>
      <c r="AC144" s="154">
        <f>_xll.qlDayCounterYearFraction(DayCounter,SettlementDate,AB144,,,Trigger)</f>
        <v>0.54722222222222228</v>
      </c>
      <c r="AD144" s="166">
        <f t="shared" si="19"/>
        <v>2.9458052625454755E-3</v>
      </c>
      <c r="AE144" s="166">
        <f t="shared" si="17"/>
        <v>2.9635210422273347E-3</v>
      </c>
      <c r="AF144" s="166">
        <f t="shared" si="18"/>
        <v>4.2963656031661983E-3</v>
      </c>
    </row>
    <row r="145" spans="28:32" x14ac:dyDescent="0.2">
      <c r="AB145" s="168">
        <f>_xll.qlCalendarAdvance(Calendar,AB144,"1d","mf",,Trigger)</f>
        <v>42338</v>
      </c>
      <c r="AC145" s="154">
        <f>_xll.qlDayCounterYearFraction(DayCounter,SettlementDate,AB145,,,Trigger)</f>
        <v>0.55555555555555558</v>
      </c>
      <c r="AD145" s="166">
        <f t="shared" si="19"/>
        <v>2.9458052625454755E-3</v>
      </c>
      <c r="AE145" s="166">
        <f t="shared" si="17"/>
        <v>2.9676092990769945E-3</v>
      </c>
      <c r="AF145" s="166">
        <f t="shared" si="18"/>
        <v>4.3205586908200873E-3</v>
      </c>
    </row>
    <row r="146" spans="28:32" x14ac:dyDescent="0.2">
      <c r="AB146" s="168">
        <f>_xll.qlCalendarAdvance(Calendar,AB145,"1d","mf",,Trigger)</f>
        <v>42339</v>
      </c>
      <c r="AC146" s="154">
        <f>_xll.qlDayCounterYearFraction(DayCounter,SettlementDate,AB146,,,Trigger)</f>
        <v>0.55833333333333335</v>
      </c>
      <c r="AD146" s="166">
        <f t="shared" si="19"/>
        <v>2.9458052625454755E-3</v>
      </c>
      <c r="AE146" s="166">
        <f t="shared" ref="AE146:AE187" si="20">$S$10+$S$9*AC146</f>
        <v>2.9689720513602141E-3</v>
      </c>
      <c r="AF146" s="166">
        <f t="shared" ref="AF146:AF187" si="21">($S$5+$S$4*AC146+$S$3*AC146^2)</f>
        <v>4.3281895068653098E-3</v>
      </c>
    </row>
    <row r="147" spans="28:32" x14ac:dyDescent="0.2">
      <c r="AB147" s="168">
        <f>_xll.qlCalendarAdvance(Calendar,AB146,"1d","mf",,Trigger)</f>
        <v>42340</v>
      </c>
      <c r="AC147" s="154">
        <f>_xll.qlDayCounterYearFraction(DayCounter,SettlementDate,AB147,,,Trigger)</f>
        <v>0.56111111111111112</v>
      </c>
      <c r="AD147" s="166">
        <f t="shared" si="19"/>
        <v>2.9458052625454755E-3</v>
      </c>
      <c r="AE147" s="166">
        <f t="shared" si="20"/>
        <v>2.9703348036434342E-3</v>
      </c>
      <c r="AF147" s="166">
        <f t="shared" si="21"/>
        <v>4.3356035496574944E-3</v>
      </c>
    </row>
    <row r="148" spans="28:32" x14ac:dyDescent="0.2">
      <c r="AB148" s="168">
        <f>_xll.qlCalendarAdvance(Calendar,AB147,"1d","mf",,Trigger)</f>
        <v>42341</v>
      </c>
      <c r="AC148" s="154">
        <f>_xll.qlDayCounterYearFraction(DayCounter,SettlementDate,AB148,,,Trigger)</f>
        <v>0.56388888888888888</v>
      </c>
      <c r="AD148" s="166">
        <f t="shared" si="19"/>
        <v>2.9458052625454755E-3</v>
      </c>
      <c r="AE148" s="166">
        <f t="shared" si="20"/>
        <v>2.9716975559266538E-3</v>
      </c>
      <c r="AF148" s="166">
        <f t="shared" si="21"/>
        <v>4.3428008191966419E-3</v>
      </c>
    </row>
    <row r="149" spans="28:32" x14ac:dyDescent="0.2">
      <c r="AB149" s="168">
        <f>_xll.qlCalendarAdvance(Calendar,AB148,"1d","mf",,Trigger)</f>
        <v>42342</v>
      </c>
      <c r="AC149" s="154">
        <f>_xll.qlDayCounterYearFraction(DayCounter,SettlementDate,AB149,,,Trigger)</f>
        <v>0.56666666666666665</v>
      </c>
      <c r="AD149" s="166">
        <f t="shared" si="19"/>
        <v>2.9458052625454755E-3</v>
      </c>
      <c r="AE149" s="166">
        <f t="shared" si="20"/>
        <v>2.9730603082098739E-3</v>
      </c>
      <c r="AF149" s="166">
        <f t="shared" si="21"/>
        <v>4.3497813154827524E-3</v>
      </c>
    </row>
    <row r="150" spans="28:32" x14ac:dyDescent="0.2">
      <c r="AB150" s="168">
        <f>_xll.qlCalendarAdvance(Calendar,AB149,"1d","mf",,Trigger)</f>
        <v>42345</v>
      </c>
      <c r="AC150" s="154">
        <f>_xll.qlDayCounterYearFraction(DayCounter,SettlementDate,AB150,,,Trigger)</f>
        <v>0.57499999999999996</v>
      </c>
      <c r="AD150" s="166">
        <f t="shared" si="19"/>
        <v>2.9458052625454755E-3</v>
      </c>
      <c r="AE150" s="166">
        <f t="shared" si="20"/>
        <v>2.9771485650595337E-3</v>
      </c>
      <c r="AF150" s="166">
        <f t="shared" si="21"/>
        <v>4.3694221648228615E-3</v>
      </c>
    </row>
    <row r="151" spans="28:32" x14ac:dyDescent="0.2">
      <c r="AB151" s="168">
        <f>_xll.qlCalendarAdvance(Calendar,AB150,"1d","mf",,Trigger)</f>
        <v>42346</v>
      </c>
      <c r="AC151" s="154">
        <f>_xll.qlDayCounterYearFraction(DayCounter,SettlementDate,AB151,,,Trigger)</f>
        <v>0.57777777777777772</v>
      </c>
      <c r="AD151" s="166">
        <f t="shared" si="19"/>
        <v>2.9458052625454755E-3</v>
      </c>
      <c r="AE151" s="166">
        <f t="shared" si="20"/>
        <v>2.9785113173427533E-3</v>
      </c>
      <c r="AF151" s="166">
        <f t="shared" si="21"/>
        <v>4.3755355680968229E-3</v>
      </c>
    </row>
    <row r="152" spans="28:32" x14ac:dyDescent="0.2">
      <c r="AB152" s="168">
        <f>_xll.qlCalendarAdvance(Calendar,AB151,"1d","mf",,Trigger)</f>
        <v>42347</v>
      </c>
      <c r="AC152" s="154">
        <f>_xll.qlDayCounterYearFraction(DayCounter,SettlementDate,AB152,,,Trigger)</f>
        <v>0.5805555555555556</v>
      </c>
      <c r="AD152" s="166">
        <f t="shared" si="19"/>
        <v>2.9458052625454755E-3</v>
      </c>
      <c r="AE152" s="166">
        <f t="shared" si="20"/>
        <v>2.9798740696259734E-3</v>
      </c>
      <c r="AF152" s="166">
        <f t="shared" si="21"/>
        <v>4.3814321981177472E-3</v>
      </c>
    </row>
    <row r="153" spans="28:32" x14ac:dyDescent="0.2">
      <c r="AB153" s="168">
        <f>_xll.qlCalendarAdvance(Calendar,AB152,"1d","mf",,Trigger)</f>
        <v>42348</v>
      </c>
      <c r="AC153" s="154">
        <f>_xll.qlDayCounterYearFraction(DayCounter,SettlementDate,AB153,,,Trigger)</f>
        <v>0.58333333333333337</v>
      </c>
      <c r="AD153" s="166">
        <f t="shared" si="19"/>
        <v>2.9458052625454755E-3</v>
      </c>
      <c r="AE153" s="166">
        <f t="shared" si="20"/>
        <v>2.981236821909193E-3</v>
      </c>
      <c r="AF153" s="166">
        <f t="shared" si="21"/>
        <v>4.3871120548856345E-3</v>
      </c>
    </row>
    <row r="154" spans="28:32" x14ac:dyDescent="0.2">
      <c r="AB154" s="168">
        <f>_xll.qlCalendarAdvance(Calendar,AB153,"1d","mf",,Trigger)</f>
        <v>42349</v>
      </c>
      <c r="AC154" s="154">
        <f>_xll.qlDayCounterYearFraction(DayCounter,SettlementDate,AB154,,,Trigger)</f>
        <v>0.58611111111111114</v>
      </c>
      <c r="AD154" s="166">
        <f t="shared" si="19"/>
        <v>2.9458052625454755E-3</v>
      </c>
      <c r="AE154" s="166">
        <f t="shared" si="20"/>
        <v>2.9825995741924131E-3</v>
      </c>
      <c r="AF154" s="166">
        <f t="shared" si="21"/>
        <v>4.3925751384004839E-3</v>
      </c>
    </row>
    <row r="155" spans="28:32" x14ac:dyDescent="0.2">
      <c r="AB155" s="168">
        <f>_xll.qlCalendarAdvance(Calendar,AB154,"1d","mf",,Trigger)</f>
        <v>42352</v>
      </c>
      <c r="AC155" s="154">
        <f>_xll.qlDayCounterYearFraction(DayCounter,SettlementDate,AB155,,,Trigger)</f>
        <v>0.59444444444444444</v>
      </c>
      <c r="AD155" s="166">
        <f t="shared" si="19"/>
        <v>2.9458052625454755E-3</v>
      </c>
      <c r="AE155" s="166">
        <f t="shared" si="20"/>
        <v>2.9866878310420729E-3</v>
      </c>
      <c r="AF155" s="166">
        <f t="shared" si="21"/>
        <v>4.4076637494268106E-3</v>
      </c>
    </row>
    <row r="156" spans="28:32" x14ac:dyDescent="0.2">
      <c r="AB156" s="168">
        <f>_xll.qlCalendarAdvance(Calendar,AB155,"1d","mf",,Trigger)</f>
        <v>42353</v>
      </c>
      <c r="AC156" s="154">
        <f>_xll.qlDayCounterYearFraction(DayCounter,SettlementDate,AB156,,,Trigger)</f>
        <v>0.59722222222222221</v>
      </c>
      <c r="AD156" s="166">
        <f t="shared" si="19"/>
        <v>2.9458052625454755E-3</v>
      </c>
      <c r="AE156" s="166">
        <f t="shared" si="20"/>
        <v>2.9880505833252925E-3</v>
      </c>
      <c r="AF156" s="166">
        <f t="shared" si="21"/>
        <v>4.4122597399295117E-3</v>
      </c>
    </row>
    <row r="157" spans="28:32" x14ac:dyDescent="0.2">
      <c r="AB157" s="168">
        <f>_xll.qlCalendarAdvance(Calendar,AB156,"1d","mf",,Trigger)</f>
        <v>42354</v>
      </c>
      <c r="AC157" s="154">
        <f>_xll.qlDayCounterYearFraction(DayCounter,SettlementDate,AB157,,,Trigger)</f>
        <v>0.6</v>
      </c>
      <c r="AD157" s="166">
        <f t="shared" si="19"/>
        <v>2.9458052625454755E-3</v>
      </c>
      <c r="AE157" s="166">
        <f t="shared" si="20"/>
        <v>2.9894133356085126E-3</v>
      </c>
      <c r="AF157" s="166">
        <f t="shared" si="21"/>
        <v>4.4166389571791767E-3</v>
      </c>
    </row>
    <row r="158" spans="28:32" x14ac:dyDescent="0.2">
      <c r="AB158" s="168">
        <f>_xll.qlCalendarAdvance(Calendar,AB157,"1d","mf",,Trigger)</f>
        <v>42355</v>
      </c>
      <c r="AC158" s="154">
        <f>_xll.qlDayCounterYearFraction(DayCounter,SettlementDate,AB158,,,Trigger)</f>
        <v>0.60277777777777775</v>
      </c>
      <c r="AD158" s="166">
        <f t="shared" si="19"/>
        <v>2.9458052625454755E-3</v>
      </c>
      <c r="AE158" s="166">
        <f t="shared" si="20"/>
        <v>2.9907760878917322E-3</v>
      </c>
      <c r="AF158" s="166">
        <f t="shared" si="21"/>
        <v>4.4208014011758038E-3</v>
      </c>
    </row>
    <row r="159" spans="28:32" x14ac:dyDescent="0.2">
      <c r="AB159" s="168">
        <f>_xll.qlCalendarAdvance(Calendar,AB158,"1d","mf",,Trigger)</f>
        <v>42356</v>
      </c>
      <c r="AC159" s="154">
        <f>_xll.qlDayCounterYearFraction(DayCounter,SettlementDate,AB159,,,Trigger)</f>
        <v>0.60555555555555551</v>
      </c>
      <c r="AD159" s="166">
        <f t="shared" si="19"/>
        <v>2.9458052625454755E-3</v>
      </c>
      <c r="AE159" s="166">
        <f t="shared" si="20"/>
        <v>2.9921388401749523E-3</v>
      </c>
      <c r="AF159" s="166">
        <f t="shared" si="21"/>
        <v>4.4247470719193929E-3</v>
      </c>
    </row>
    <row r="160" spans="28:32" x14ac:dyDescent="0.2">
      <c r="AB160" s="168">
        <f>_xll.qlCalendarAdvance(Calendar,AB159,"1d","mf",,Trigger)</f>
        <v>42359</v>
      </c>
      <c r="AC160" s="154">
        <f>_xll.qlDayCounterYearFraction(DayCounter,SettlementDate,AB160,,,Trigger)</f>
        <v>0.61388888888888893</v>
      </c>
      <c r="AD160" s="166">
        <f t="shared" si="19"/>
        <v>2.9458052625454755E-3</v>
      </c>
      <c r="AE160" s="166">
        <f t="shared" si="20"/>
        <v>2.996227097024612E-3</v>
      </c>
      <c r="AF160" s="166">
        <f t="shared" si="21"/>
        <v>4.435283444631938E-3</v>
      </c>
    </row>
    <row r="161" spans="28:32" x14ac:dyDescent="0.2">
      <c r="AB161" s="168">
        <f>_xll.qlCalendarAdvance(Calendar,AB160,"1d","mf",,Trigger)</f>
        <v>42360</v>
      </c>
      <c r="AC161" s="154">
        <f>_xll.qlDayCounterYearFraction(DayCounter,SettlementDate,AB161,,,Trigger)</f>
        <v>0.6166666666666667</v>
      </c>
      <c r="AD161" s="166">
        <f t="shared" si="19"/>
        <v>2.9458052625454755E-3</v>
      </c>
      <c r="AE161" s="166">
        <f t="shared" si="20"/>
        <v>2.9975898493078317E-3</v>
      </c>
      <c r="AF161" s="166">
        <f t="shared" si="21"/>
        <v>4.438362022363378E-3</v>
      </c>
    </row>
    <row r="162" spans="28:32" x14ac:dyDescent="0.2">
      <c r="AB162" s="168">
        <f>_xll.qlCalendarAdvance(Calendar,AB161,"1d","mf",,Trigger)</f>
        <v>42361</v>
      </c>
      <c r="AC162" s="154">
        <f>_xll.qlDayCounterYearFraction(DayCounter,SettlementDate,AB162,,,Trigger)</f>
        <v>0.61944444444444446</v>
      </c>
      <c r="AD162" s="166">
        <f t="shared" si="19"/>
        <v>2.9458052625454755E-3</v>
      </c>
      <c r="AE162" s="166">
        <f t="shared" si="20"/>
        <v>2.9989526015910518E-3</v>
      </c>
      <c r="AF162" s="166">
        <f t="shared" si="21"/>
        <v>4.4412238268417819E-3</v>
      </c>
    </row>
    <row r="163" spans="28:32" x14ac:dyDescent="0.2">
      <c r="AB163" s="168">
        <f>_xll.qlCalendarAdvance(Calendar,AB162,"1d","mf",,Trigger)</f>
        <v>42362</v>
      </c>
      <c r="AC163" s="154">
        <f>_xll.qlDayCounterYearFraction(DayCounter,SettlementDate,AB163,,,Trigger)</f>
        <v>0.62222222222222223</v>
      </c>
      <c r="AD163" s="166">
        <f t="shared" si="19"/>
        <v>2.9458052625454755E-3</v>
      </c>
      <c r="AE163" s="166">
        <f t="shared" si="20"/>
        <v>3.0003153538742714E-3</v>
      </c>
      <c r="AF163" s="166">
        <f t="shared" si="21"/>
        <v>4.4438688580671478E-3</v>
      </c>
    </row>
    <row r="164" spans="28:32" x14ac:dyDescent="0.2">
      <c r="AB164" s="168">
        <f>_xll.qlCalendarAdvance(Calendar,AB163,"1d","mf",,Trigger)</f>
        <v>42366</v>
      </c>
      <c r="AC164" s="154">
        <f>_xll.qlDayCounterYearFraction(DayCounter,SettlementDate,AB164,,,Trigger)</f>
        <v>0.6333333333333333</v>
      </c>
      <c r="AD164" s="166">
        <f t="shared" si="19"/>
        <v>2.9458052625454755E-3</v>
      </c>
      <c r="AE164" s="166">
        <f t="shared" si="20"/>
        <v>3.0057663630071512E-3</v>
      </c>
      <c r="AF164" s="166">
        <f t="shared" si="21"/>
        <v>4.4522812504382411E-3</v>
      </c>
    </row>
    <row r="165" spans="28:32" x14ac:dyDescent="0.2">
      <c r="AB165" s="168">
        <f>_xll.qlCalendarAdvance(Calendar,AB164,"1d","mf",,Trigger)</f>
        <v>42367</v>
      </c>
      <c r="AC165" s="154">
        <f>_xll.qlDayCounterYearFraction(DayCounter,SettlementDate,AB165,,,Trigger)</f>
        <v>0.63611111111111107</v>
      </c>
      <c r="AD165" s="166">
        <f t="shared" si="19"/>
        <v>2.9458052625454755E-3</v>
      </c>
      <c r="AE165" s="166">
        <f t="shared" si="20"/>
        <v>3.0071291152903709E-3</v>
      </c>
      <c r="AF165" s="166">
        <f t="shared" si="21"/>
        <v>4.4538424153984218E-3</v>
      </c>
    </row>
    <row r="166" spans="28:32" x14ac:dyDescent="0.2">
      <c r="AB166" s="168">
        <f>_xll.qlCalendarAdvance(Calendar,AB165,"1d","mf",,Trigger)</f>
        <v>42368</v>
      </c>
      <c r="AC166" s="154">
        <f>_xll.qlDayCounterYearFraction(DayCounter,SettlementDate,AB166,,,Trigger)</f>
        <v>0.63888888888888884</v>
      </c>
      <c r="AD166" s="166">
        <f t="shared" si="19"/>
        <v>2.9458052625454755E-3</v>
      </c>
      <c r="AE166" s="166">
        <f t="shared" si="20"/>
        <v>3.0084918675735909E-3</v>
      </c>
      <c r="AF166" s="166">
        <f t="shared" si="21"/>
        <v>4.4551868071055637E-3</v>
      </c>
    </row>
    <row r="167" spans="28:32" x14ac:dyDescent="0.2">
      <c r="AB167" s="168">
        <f>_xll.qlCalendarAdvance(Calendar,AB166,"1d","mf",,Trigger)</f>
        <v>42369</v>
      </c>
      <c r="AC167" s="154">
        <f>_xll.qlDayCounterYearFraction(DayCounter,SettlementDate,AB167,,,Trigger)</f>
        <v>0.64166666666666672</v>
      </c>
      <c r="AD167" s="166">
        <f t="shared" si="19"/>
        <v>2.9458052625454755E-3</v>
      </c>
      <c r="AE167" s="166">
        <f t="shared" si="20"/>
        <v>3.009854619856811E-3</v>
      </c>
      <c r="AF167" s="166">
        <f t="shared" si="21"/>
        <v>4.4563144255596694E-3</v>
      </c>
    </row>
    <row r="168" spans="28:32" x14ac:dyDescent="0.2">
      <c r="AB168" s="168">
        <f>_xll.qlCalendarAdvance(Calendar,AB167,"1d","mf",,Trigger)</f>
        <v>42373</v>
      </c>
      <c r="AC168" s="154">
        <f>_xll.qlDayCounterYearFraction(DayCounter,SettlementDate,AB168,,,Trigger)</f>
        <v>0.65277777777777779</v>
      </c>
      <c r="AD168" s="166">
        <f t="shared" si="19"/>
        <v>2.9458052625454755E-3</v>
      </c>
      <c r="AE168" s="166">
        <f t="shared" si="20"/>
        <v>3.0153056289896904E-3</v>
      </c>
      <c r="AF168" s="166">
        <f t="shared" si="21"/>
        <v>4.4586571668457208E-3</v>
      </c>
    </row>
    <row r="169" spans="28:32" x14ac:dyDescent="0.2">
      <c r="AB169" s="168">
        <f>_xll.qlCalendarAdvance(Calendar,AB168,"1d","mf",,Trigger)</f>
        <v>42374</v>
      </c>
      <c r="AC169" s="154">
        <f>_xll.qlDayCounterYearFraction(DayCounter,SettlementDate,AB169,,,Trigger)</f>
        <v>0.65555555555555556</v>
      </c>
      <c r="AD169" s="166">
        <f t="shared" si="19"/>
        <v>2.9458052625454755E-3</v>
      </c>
      <c r="AE169" s="166">
        <f t="shared" si="20"/>
        <v>3.0166683812729101E-3</v>
      </c>
      <c r="AF169" s="166">
        <f t="shared" si="21"/>
        <v>4.4587009190346404E-3</v>
      </c>
    </row>
    <row r="170" spans="28:32" x14ac:dyDescent="0.2">
      <c r="AB170" s="168">
        <f>_xll.qlCalendarAdvance(Calendar,AB169,"1d","mf",,Trigger)</f>
        <v>42375</v>
      </c>
      <c r="AC170" s="154">
        <f>_xll.qlDayCounterYearFraction(DayCounter,SettlementDate,AB170,,,Trigger)</f>
        <v>0.65833333333333333</v>
      </c>
      <c r="AD170" s="166">
        <f t="shared" si="19"/>
        <v>2.9458052625454755E-3</v>
      </c>
      <c r="AE170" s="166">
        <f t="shared" si="20"/>
        <v>3.0180311335561301E-3</v>
      </c>
      <c r="AF170" s="166">
        <f t="shared" si="21"/>
        <v>4.4585278979705229E-3</v>
      </c>
    </row>
    <row r="171" spans="28:32" x14ac:dyDescent="0.2">
      <c r="AB171" s="168">
        <f>_xll.qlCalendarAdvance(Calendar,AB170,"1d","mf",,Trigger)</f>
        <v>42376</v>
      </c>
      <c r="AC171" s="154">
        <f>_xll.qlDayCounterYearFraction(DayCounter,SettlementDate,AB171,,,Trigger)</f>
        <v>0.66111111111111109</v>
      </c>
      <c r="AD171" s="166">
        <f t="shared" si="19"/>
        <v>2.9458052625454755E-3</v>
      </c>
      <c r="AE171" s="166">
        <f t="shared" si="20"/>
        <v>3.0193938858393502E-3</v>
      </c>
      <c r="AF171" s="166">
        <f t="shared" si="21"/>
        <v>4.4581381036533675E-3</v>
      </c>
    </row>
    <row r="172" spans="28:32" x14ac:dyDescent="0.2">
      <c r="AB172" s="168">
        <f>_xll.qlCalendarAdvance(Calendar,AB171,"1d","mf",,Trigger)</f>
        <v>42377</v>
      </c>
      <c r="AC172" s="154">
        <f>_xll.qlDayCounterYearFraction(DayCounter,SettlementDate,AB172,,,Trigger)</f>
        <v>0.66388888888888886</v>
      </c>
      <c r="AD172" s="166">
        <f t="shared" si="19"/>
        <v>2.9458052625454755E-3</v>
      </c>
      <c r="AE172" s="166">
        <f t="shared" si="20"/>
        <v>3.0207566381225699E-3</v>
      </c>
      <c r="AF172" s="166">
        <f t="shared" si="21"/>
        <v>4.4575315360831751E-3</v>
      </c>
    </row>
    <row r="173" spans="28:32" x14ac:dyDescent="0.2">
      <c r="AB173" s="168">
        <f>_xll.qlCalendarAdvance(Calendar,AB172,"1d","mf",,Trigger)</f>
        <v>42380</v>
      </c>
      <c r="AC173" s="154">
        <f>_xll.qlDayCounterYearFraction(DayCounter,SettlementDate,AB173,,,Trigger)</f>
        <v>0.67222222222222228</v>
      </c>
      <c r="AD173" s="166">
        <f t="shared" si="19"/>
        <v>2.9458052625454755E-3</v>
      </c>
      <c r="AE173" s="166">
        <f t="shared" si="20"/>
        <v>3.0248448949722296E-3</v>
      </c>
      <c r="AF173" s="166">
        <f t="shared" si="21"/>
        <v>4.4544111938543754E-3</v>
      </c>
    </row>
    <row r="174" spans="28:32" x14ac:dyDescent="0.2">
      <c r="AB174" s="168">
        <f>_xll.qlCalendarAdvance(Calendar,AB173,"1d","mf",,Trigger)</f>
        <v>42381</v>
      </c>
      <c r="AC174" s="154">
        <f>_xll.qlDayCounterYearFraction(DayCounter,SettlementDate,AB174,,,Trigger)</f>
        <v>0.67500000000000004</v>
      </c>
      <c r="AD174" s="166">
        <f t="shared" si="19"/>
        <v>2.9458052625454755E-3</v>
      </c>
      <c r="AE174" s="166">
        <f t="shared" si="20"/>
        <v>3.0262076472554493E-3</v>
      </c>
      <c r="AF174" s="166">
        <f t="shared" si="21"/>
        <v>4.4529375332720339E-3</v>
      </c>
    </row>
    <row r="175" spans="28:32" x14ac:dyDescent="0.2">
      <c r="AB175" s="168">
        <f>_xll.qlCalendarAdvance(Calendar,AB174,"1d","mf",,Trigger)</f>
        <v>42382</v>
      </c>
      <c r="AC175" s="154">
        <f>_xll.qlDayCounterYearFraction(DayCounter,SettlementDate,AB175,,,Trigger)</f>
        <v>0.67777777777777781</v>
      </c>
      <c r="AD175" s="166">
        <f t="shared" si="19"/>
        <v>2.9458052625454755E-3</v>
      </c>
      <c r="AE175" s="166">
        <f t="shared" si="20"/>
        <v>3.0275703995386693E-3</v>
      </c>
      <c r="AF175" s="166">
        <f t="shared" si="21"/>
        <v>4.4512470994366561E-3</v>
      </c>
    </row>
    <row r="176" spans="28:32" x14ac:dyDescent="0.2">
      <c r="AB176" s="168">
        <f>_xll.qlCalendarAdvance(Calendar,AB175,"1d","mf",,Trigger)</f>
        <v>42383</v>
      </c>
      <c r="AC176" s="154">
        <f>_xll.qlDayCounterYearFraction(DayCounter,SettlementDate,AB176,,,Trigger)</f>
        <v>0.68055555555555558</v>
      </c>
      <c r="AD176" s="166">
        <f t="shared" si="19"/>
        <v>2.9458052625454755E-3</v>
      </c>
      <c r="AE176" s="166">
        <f t="shared" si="20"/>
        <v>3.0289331518218894E-3</v>
      </c>
      <c r="AF176" s="166">
        <f t="shared" si="21"/>
        <v>4.4493398923482422E-3</v>
      </c>
    </row>
    <row r="177" spans="28:32" x14ac:dyDescent="0.2">
      <c r="AB177" s="168">
        <f>_xll.qlCalendarAdvance(Calendar,AB176,"1d","mf",,Trigger)</f>
        <v>42384</v>
      </c>
      <c r="AC177" s="154">
        <f>_xll.qlDayCounterYearFraction(DayCounter,SettlementDate,AB177,,,Trigger)</f>
        <v>0.68333333333333335</v>
      </c>
      <c r="AD177" s="166">
        <f t="shared" si="19"/>
        <v>2.9458052625454755E-3</v>
      </c>
      <c r="AE177" s="166">
        <f t="shared" si="20"/>
        <v>3.030295904105109E-3</v>
      </c>
      <c r="AF177" s="166">
        <f t="shared" si="21"/>
        <v>4.4472159120067896E-3</v>
      </c>
    </row>
    <row r="178" spans="28:32" x14ac:dyDescent="0.2">
      <c r="AB178" s="168">
        <f>_xll.qlCalendarAdvance(Calendar,AB177,"1d","mf",,Trigger)</f>
        <v>42387</v>
      </c>
      <c r="AC178" s="154">
        <f>_xll.qlDayCounterYearFraction(DayCounter,SettlementDate,AB178,,,Trigger)</f>
        <v>0.69166666666666665</v>
      </c>
      <c r="AD178" s="166">
        <f t="shared" si="19"/>
        <v>2.9458052625454755E-3</v>
      </c>
      <c r="AE178" s="166">
        <f t="shared" si="20"/>
        <v>3.0343841609547688E-3</v>
      </c>
      <c r="AF178" s="166">
        <f t="shared" si="21"/>
        <v>4.4395433314642083E-3</v>
      </c>
    </row>
    <row r="179" spans="28:32" x14ac:dyDescent="0.2">
      <c r="AB179" s="168">
        <f>_xll.qlCalendarAdvance(Calendar,AB178,"1d","mf",,Trigger)</f>
        <v>42388</v>
      </c>
      <c r="AC179" s="154">
        <f>_xll.qlDayCounterYearFraction(DayCounter,SettlementDate,AB179,,,Trigger)</f>
        <v>0.69444444444444442</v>
      </c>
      <c r="AD179" s="166">
        <f t="shared" si="19"/>
        <v>2.9458052625454755E-3</v>
      </c>
      <c r="AE179" s="166">
        <f t="shared" si="20"/>
        <v>3.0357469132379885E-3</v>
      </c>
      <c r="AF179" s="166">
        <f t="shared" si="21"/>
        <v>4.4365522581106065E-3</v>
      </c>
    </row>
    <row r="180" spans="28:32" x14ac:dyDescent="0.2">
      <c r="AB180" s="168">
        <f>_xll.qlCalendarAdvance(Calendar,AB179,"1d","mf",,Trigger)</f>
        <v>42389</v>
      </c>
      <c r="AC180" s="154">
        <f>_xll.qlDayCounterYearFraction(DayCounter,SettlementDate,AB180,,,Trigger)</f>
        <v>0.69722222222222219</v>
      </c>
      <c r="AD180" s="166">
        <f t="shared" si="19"/>
        <v>2.9458052625454755E-3</v>
      </c>
      <c r="AE180" s="166">
        <f t="shared" si="20"/>
        <v>3.0371096655212085E-3</v>
      </c>
      <c r="AF180" s="166">
        <f t="shared" si="21"/>
        <v>4.4333444115039677E-3</v>
      </c>
    </row>
    <row r="181" spans="28:32" x14ac:dyDescent="0.2">
      <c r="AB181" s="168">
        <f>_xll.qlCalendarAdvance(Calendar,AB180,"1d","mf",,Trigger)</f>
        <v>42390</v>
      </c>
      <c r="AC181" s="154">
        <f>_xll.qlDayCounterYearFraction(DayCounter,SettlementDate,AB181,,,Trigger)</f>
        <v>0.7</v>
      </c>
      <c r="AD181" s="166">
        <f t="shared" si="19"/>
        <v>2.9458052625454755E-3</v>
      </c>
      <c r="AE181" s="166">
        <f t="shared" si="20"/>
        <v>3.0384724178044286E-3</v>
      </c>
      <c r="AF181" s="166">
        <f t="shared" si="21"/>
        <v>4.4299197916442918E-3</v>
      </c>
    </row>
    <row r="182" spans="28:32" x14ac:dyDescent="0.2">
      <c r="AB182" s="168">
        <f>_xll.qlCalendarAdvance(Calendar,AB181,"1d","mf",,Trigger)</f>
        <v>42391</v>
      </c>
      <c r="AC182" s="154">
        <f>_xll.qlDayCounterYearFraction(DayCounter,SettlementDate,AB182,,,Trigger)</f>
        <v>0.70277777777777772</v>
      </c>
      <c r="AD182" s="166">
        <f t="shared" si="19"/>
        <v>2.9458052625454755E-3</v>
      </c>
      <c r="AE182" s="166">
        <f t="shared" si="20"/>
        <v>3.0398351700876482E-3</v>
      </c>
      <c r="AF182" s="166">
        <f t="shared" si="21"/>
        <v>4.4262783985315789E-3</v>
      </c>
    </row>
    <row r="183" spans="28:32" x14ac:dyDescent="0.2">
      <c r="AB183" s="168">
        <f>_xll.qlCalendarAdvance(Calendar,AB182,"1d","mf",,Trigger)</f>
        <v>42394</v>
      </c>
      <c r="AC183" s="154">
        <f>_xll.qlDayCounterYearFraction(DayCounter,SettlementDate,AB183,,,Trigger)</f>
        <v>0.71111111111111114</v>
      </c>
      <c r="AD183" s="166">
        <f t="shared" si="19"/>
        <v>2.9458052625454755E-3</v>
      </c>
      <c r="AE183" s="166">
        <f t="shared" si="20"/>
        <v>3.043923426937308E-3</v>
      </c>
      <c r="AF183" s="166">
        <f t="shared" si="21"/>
        <v>4.4140535796752178E-3</v>
      </c>
    </row>
    <row r="184" spans="28:32" x14ac:dyDescent="0.2">
      <c r="AB184" s="168">
        <f>_xll.qlCalendarAdvance(Calendar,AB183,"1d","mf",,Trigger)</f>
        <v>42395</v>
      </c>
      <c r="AC184" s="154">
        <f>_xll.qlDayCounterYearFraction(DayCounter,SettlementDate,AB184,,,Trigger)</f>
        <v>0.71388888888888891</v>
      </c>
      <c r="AD184" s="166">
        <f t="shared" si="19"/>
        <v>2.9458052625454755E-3</v>
      </c>
      <c r="AE184" s="166">
        <f t="shared" si="20"/>
        <v>3.0452861792205277E-3</v>
      </c>
      <c r="AF184" s="166">
        <f t="shared" si="21"/>
        <v>4.4095450935503541E-3</v>
      </c>
    </row>
    <row r="185" spans="28:32" x14ac:dyDescent="0.2">
      <c r="AB185" s="168">
        <f>_xll.qlCalendarAdvance(Calendar,AB184,"1d","mf",,Trigger)</f>
        <v>42396</v>
      </c>
      <c r="AC185" s="154">
        <f>_xll.qlDayCounterYearFraction(DayCounter,SettlementDate,AB185,,,Trigger)</f>
        <v>0.71666666666666667</v>
      </c>
      <c r="AD185" s="166">
        <f t="shared" si="19"/>
        <v>2.9458052625454755E-3</v>
      </c>
      <c r="AE185" s="166">
        <f t="shared" si="20"/>
        <v>3.0466489315037477E-3</v>
      </c>
      <c r="AF185" s="166">
        <f t="shared" si="21"/>
        <v>4.4048198341724559E-3</v>
      </c>
    </row>
    <row r="186" spans="28:32" x14ac:dyDescent="0.2">
      <c r="AB186" s="168">
        <f>_xll.qlCalendarAdvance(Calendar,AB185,"1d","mf",,Trigger)</f>
        <v>42397</v>
      </c>
      <c r="AC186" s="154">
        <f>_xll.qlDayCounterYearFraction(DayCounter,SettlementDate,AB186,,,Trigger)</f>
        <v>0.71944444444444444</v>
      </c>
      <c r="AD186" s="166">
        <f t="shared" si="19"/>
        <v>2.9458052625454755E-3</v>
      </c>
      <c r="AE186" s="166">
        <f t="shared" si="20"/>
        <v>3.0480116837869678E-3</v>
      </c>
      <c r="AF186" s="166">
        <f t="shared" si="21"/>
        <v>4.3998778015415197E-3</v>
      </c>
    </row>
    <row r="187" spans="28:32" x14ac:dyDescent="0.2">
      <c r="AB187" s="168">
        <f>_xll.qlCalendarAdvance(Calendar,AB186,"1d","mf",,Trigger)</f>
        <v>42398</v>
      </c>
      <c r="AC187" s="154">
        <f>_xll.qlDayCounterYearFraction(DayCounter,SettlementDate,AB187,,,Trigger)</f>
        <v>0.72222222222222221</v>
      </c>
      <c r="AD187" s="166">
        <f t="shared" si="19"/>
        <v>2.9458052625454755E-3</v>
      </c>
      <c r="AE187" s="166">
        <f t="shared" si="20"/>
        <v>3.0493744360701874E-3</v>
      </c>
      <c r="AF187" s="166">
        <f t="shared" si="21"/>
        <v>4.3947189956575457E-3</v>
      </c>
    </row>
    <row r="188" spans="28:32" x14ac:dyDescent="0.2">
      <c r="AB188" s="168">
        <f>_xll.qlCalendarAdvance(Calendar,AB187,"1d","mf",,Trigger)</f>
        <v>42401</v>
      </c>
      <c r="AC188" s="154">
        <f>_xll.qlDayCounterYearFraction(DayCounter,SettlementDate,AB188,,,Trigger)</f>
        <v>0.73055555555555551</v>
      </c>
      <c r="AD188" s="166">
        <f t="shared" si="19"/>
        <v>2.9458052625454755E-3</v>
      </c>
      <c r="AE188" s="166">
        <f t="shared" ref="AE188:AE251" si="22">$S$10+$S$9*AC188</f>
        <v>3.0534626929198472E-3</v>
      </c>
      <c r="AF188" s="166">
        <f t="shared" ref="AF188:AF251" si="23">($S$5+$S$4*AC188+$S$3*AC188^2)</f>
        <v>4.3779419384874013E-3</v>
      </c>
    </row>
    <row r="189" spans="28:32" x14ac:dyDescent="0.2">
      <c r="AB189" s="168">
        <f>_xll.qlCalendarAdvance(Calendar,AB188,"1d","mf",,Trigger)</f>
        <v>42402</v>
      </c>
      <c r="AC189" s="154">
        <f>_xll.qlDayCounterYearFraction(DayCounter,SettlementDate,AB189,,,Trigger)</f>
        <v>0.73333333333333328</v>
      </c>
      <c r="AD189" s="166">
        <f t="shared" si="19"/>
        <v>2.9458052625454755E-3</v>
      </c>
      <c r="AE189" s="166">
        <f t="shared" si="22"/>
        <v>3.0548254452030668E-3</v>
      </c>
      <c r="AF189" s="166">
        <f t="shared" si="23"/>
        <v>4.371916039591279E-3</v>
      </c>
    </row>
    <row r="190" spans="28:32" x14ac:dyDescent="0.2">
      <c r="AB190" s="168">
        <f>_xll.qlCalendarAdvance(Calendar,AB189,"1d","mf",,Trigger)</f>
        <v>42403</v>
      </c>
      <c r="AC190" s="154">
        <f>_xll.qlDayCounterYearFraction(DayCounter,SettlementDate,AB190,,,Trigger)</f>
        <v>0.73611111111111116</v>
      </c>
      <c r="AD190" s="166">
        <f t="shared" si="19"/>
        <v>2.9458052625454755E-3</v>
      </c>
      <c r="AE190" s="166">
        <f t="shared" si="22"/>
        <v>3.0561881974862869E-3</v>
      </c>
      <c r="AF190" s="166">
        <f t="shared" si="23"/>
        <v>4.3656733674421189E-3</v>
      </c>
    </row>
    <row r="191" spans="28:32" x14ac:dyDescent="0.2">
      <c r="AB191" s="168">
        <f>_xll.qlCalendarAdvance(Calendar,AB190,"1d","mf",,Trigger)</f>
        <v>42404</v>
      </c>
      <c r="AC191" s="154">
        <f>_xll.qlDayCounterYearFraction(DayCounter,SettlementDate,AB191,,,Trigger)</f>
        <v>0.73888888888888893</v>
      </c>
      <c r="AD191" s="166">
        <f t="shared" si="19"/>
        <v>2.9458052625454755E-3</v>
      </c>
      <c r="AE191" s="166">
        <f t="shared" si="22"/>
        <v>3.057550949769507E-3</v>
      </c>
      <c r="AF191" s="166">
        <f t="shared" si="23"/>
        <v>4.3592139220399225E-3</v>
      </c>
    </row>
    <row r="192" spans="28:32" x14ac:dyDescent="0.2">
      <c r="AB192" s="168">
        <f>_xll.qlCalendarAdvance(Calendar,AB191,"1d","mf",,Trigger)</f>
        <v>42405</v>
      </c>
      <c r="AC192" s="154">
        <f>_xll.qlDayCounterYearFraction(DayCounter,SettlementDate,AB192,,,Trigger)</f>
        <v>0.7416666666666667</v>
      </c>
      <c r="AD192" s="166">
        <f t="shared" si="19"/>
        <v>2.9458052625454755E-3</v>
      </c>
      <c r="AE192" s="166">
        <f t="shared" si="22"/>
        <v>3.0589137020527266E-3</v>
      </c>
      <c r="AF192" s="166">
        <f t="shared" si="23"/>
        <v>4.3525377033846882E-3</v>
      </c>
    </row>
    <row r="193" spans="28:32" x14ac:dyDescent="0.2">
      <c r="AB193" s="168">
        <f>_xll.qlCalendarAdvance(Calendar,AB192,"1d","mf",,Trigger)</f>
        <v>42408</v>
      </c>
      <c r="AC193" s="154">
        <f>_xll.qlDayCounterYearFraction(DayCounter,SettlementDate,AB193,,,Trigger)</f>
        <v>0.75</v>
      </c>
      <c r="AD193" s="166">
        <f t="shared" si="19"/>
        <v>2.9458052625454755E-3</v>
      </c>
      <c r="AE193" s="166">
        <f t="shared" si="22"/>
        <v>3.0630019589023864E-3</v>
      </c>
      <c r="AF193" s="166">
        <f t="shared" si="23"/>
        <v>4.3312084079007631E-3</v>
      </c>
    </row>
    <row r="194" spans="28:32" x14ac:dyDescent="0.2">
      <c r="AB194" s="168">
        <f>_xll.qlCalendarAdvance(Calendar,AB193,"1d","mf",,Trigger)</f>
        <v>42409</v>
      </c>
      <c r="AC194" s="154">
        <f>_xll.qlDayCounterYearFraction(DayCounter,SettlementDate,AB194,,,Trigger)</f>
        <v>0.75277777777777777</v>
      </c>
      <c r="AD194" s="166">
        <f t="shared" si="19"/>
        <v>2.9458052625454755E-3</v>
      </c>
      <c r="AE194" s="166">
        <f t="shared" si="22"/>
        <v>3.0643647111856065E-3</v>
      </c>
      <c r="AF194" s="166">
        <f t="shared" si="23"/>
        <v>4.323665096233378E-3</v>
      </c>
    </row>
    <row r="195" spans="28:32" x14ac:dyDescent="0.2">
      <c r="AB195" s="168">
        <f>_xll.qlCalendarAdvance(Calendar,AB194,"1d","mf",,Trigger)</f>
        <v>42410</v>
      </c>
      <c r="AC195" s="154">
        <f>_xll.qlDayCounterYearFraction(DayCounter,SettlementDate,AB195,,,Trigger)</f>
        <v>0.75555555555555554</v>
      </c>
      <c r="AD195" s="166">
        <f t="shared" ref="AD195:AD257" si="24">$S$13</f>
        <v>2.9458052625454755E-3</v>
      </c>
      <c r="AE195" s="166">
        <f t="shared" si="22"/>
        <v>3.0657274634688261E-3</v>
      </c>
      <c r="AF195" s="166">
        <f t="shared" si="23"/>
        <v>4.3159050113129593E-3</v>
      </c>
    </row>
    <row r="196" spans="28:32" x14ac:dyDescent="0.2">
      <c r="AB196" s="168">
        <f>_xll.qlCalendarAdvance(Calendar,AB195,"1d","mf",,Trigger)</f>
        <v>42411</v>
      </c>
      <c r="AC196" s="154">
        <f>_xll.qlDayCounterYearFraction(DayCounter,SettlementDate,AB196,,,Trigger)</f>
        <v>0.7583333333333333</v>
      </c>
      <c r="AD196" s="166">
        <f t="shared" si="24"/>
        <v>2.9458052625454755E-3</v>
      </c>
      <c r="AE196" s="166">
        <f t="shared" si="22"/>
        <v>3.0670902157520462E-3</v>
      </c>
      <c r="AF196" s="166">
        <f t="shared" si="23"/>
        <v>4.3079281531395019E-3</v>
      </c>
    </row>
    <row r="197" spans="28:32" x14ac:dyDescent="0.2">
      <c r="AB197" s="168">
        <f>_xll.qlCalendarAdvance(Calendar,AB196,"1d","mf",,Trigger)</f>
        <v>42412</v>
      </c>
      <c r="AC197" s="154">
        <f>_xll.qlDayCounterYearFraction(DayCounter,SettlementDate,AB197,,,Trigger)</f>
        <v>0.76111111111111107</v>
      </c>
      <c r="AD197" s="166">
        <f t="shared" si="24"/>
        <v>2.9458052625454755E-3</v>
      </c>
      <c r="AE197" s="166">
        <f t="shared" si="22"/>
        <v>3.0684529680352658E-3</v>
      </c>
      <c r="AF197" s="166">
        <f t="shared" si="23"/>
        <v>4.2997345217130074E-3</v>
      </c>
    </row>
    <row r="198" spans="28:32" x14ac:dyDescent="0.2">
      <c r="AB198" s="168">
        <f>_xll.qlCalendarAdvance(Calendar,AB197,"1d","mf",,Trigger)</f>
        <v>42415</v>
      </c>
      <c r="AC198" s="154">
        <f>_xll.qlDayCounterYearFraction(DayCounter,SettlementDate,AB198,,,Trigger)</f>
        <v>0.76944444444444449</v>
      </c>
      <c r="AD198" s="166">
        <f t="shared" si="24"/>
        <v>2.9458052625454755E-3</v>
      </c>
      <c r="AE198" s="166">
        <f t="shared" si="22"/>
        <v>3.0725412248849256E-3</v>
      </c>
      <c r="AF198" s="166">
        <f t="shared" si="23"/>
        <v>4.2738529879153015E-3</v>
      </c>
    </row>
    <row r="199" spans="28:32" x14ac:dyDescent="0.2">
      <c r="AB199" s="168">
        <f>_xll.qlCalendarAdvance(Calendar,AB198,"1d","mf",,Trigger)</f>
        <v>42416</v>
      </c>
      <c r="AC199" s="154">
        <f>_xll.qlDayCounterYearFraction(DayCounter,SettlementDate,AB199,,,Trigger)</f>
        <v>0.77222222222222225</v>
      </c>
      <c r="AD199" s="166">
        <f t="shared" si="24"/>
        <v>2.9458052625454755E-3</v>
      </c>
      <c r="AE199" s="166">
        <f t="shared" si="22"/>
        <v>3.0739039771681457E-3</v>
      </c>
      <c r="AF199" s="166">
        <f t="shared" si="23"/>
        <v>4.264792263476657E-3</v>
      </c>
    </row>
    <row r="200" spans="28:32" x14ac:dyDescent="0.2">
      <c r="AB200" s="168">
        <f>_xll.qlCalendarAdvance(Calendar,AB199,"1d","mf",,Trigger)</f>
        <v>42417</v>
      </c>
      <c r="AC200" s="154">
        <f>_xll.qlDayCounterYearFraction(DayCounter,SettlementDate,AB200,,,Trigger)</f>
        <v>0.77500000000000002</v>
      </c>
      <c r="AD200" s="166">
        <f t="shared" si="24"/>
        <v>2.9458052625454755E-3</v>
      </c>
      <c r="AE200" s="166">
        <f t="shared" si="22"/>
        <v>3.0752667294513653E-3</v>
      </c>
      <c r="AF200" s="166">
        <f t="shared" si="23"/>
        <v>4.2555147657849755E-3</v>
      </c>
    </row>
    <row r="201" spans="28:32" x14ac:dyDescent="0.2">
      <c r="AB201" s="168">
        <f>_xll.qlCalendarAdvance(Calendar,AB200,"1d","mf",,Trigger)</f>
        <v>42418</v>
      </c>
      <c r="AC201" s="154">
        <f>_xll.qlDayCounterYearFraction(DayCounter,SettlementDate,AB201,,,Trigger)</f>
        <v>0.77777777777777779</v>
      </c>
      <c r="AD201" s="166">
        <f t="shared" si="24"/>
        <v>2.9458052625454755E-3</v>
      </c>
      <c r="AE201" s="166">
        <f t="shared" si="22"/>
        <v>3.0766294817345854E-3</v>
      </c>
      <c r="AF201" s="166">
        <f t="shared" si="23"/>
        <v>4.2460204948402587E-3</v>
      </c>
    </row>
    <row r="202" spans="28:32" x14ac:dyDescent="0.2">
      <c r="AB202" s="168">
        <f>_xll.qlCalendarAdvance(Calendar,AB201,"1d","mf",,Trigger)</f>
        <v>42419</v>
      </c>
      <c r="AC202" s="154">
        <f>_xll.qlDayCounterYearFraction(DayCounter,SettlementDate,AB202,,,Trigger)</f>
        <v>0.78055555555555556</v>
      </c>
      <c r="AD202" s="166">
        <f t="shared" si="24"/>
        <v>2.9458052625454755E-3</v>
      </c>
      <c r="AE202" s="166">
        <f t="shared" si="22"/>
        <v>3.077992234017805E-3</v>
      </c>
      <c r="AF202" s="166">
        <f t="shared" si="23"/>
        <v>4.2363094506425031E-3</v>
      </c>
    </row>
    <row r="203" spans="28:32" x14ac:dyDescent="0.2">
      <c r="AB203" s="168">
        <f>_xll.qlCalendarAdvance(Calendar,AB202,"1d","mf",,Trigger)</f>
        <v>42422</v>
      </c>
      <c r="AC203" s="154">
        <f>_xll.qlDayCounterYearFraction(DayCounter,SettlementDate,AB203,,,Trigger)</f>
        <v>0.78888888888888886</v>
      </c>
      <c r="AD203" s="166">
        <f t="shared" si="24"/>
        <v>2.9458052625454755E-3</v>
      </c>
      <c r="AE203" s="166">
        <f t="shared" si="22"/>
        <v>3.0820804908674648E-3</v>
      </c>
      <c r="AF203" s="166">
        <f t="shared" si="23"/>
        <v>4.2058756785310139E-3</v>
      </c>
    </row>
    <row r="204" spans="28:32" x14ac:dyDescent="0.2">
      <c r="AB204" s="168">
        <f>_xll.qlCalendarAdvance(Calendar,AB203,"1d","mf",,Trigger)</f>
        <v>42423</v>
      </c>
      <c r="AC204" s="154">
        <f>_xll.qlDayCounterYearFraction(DayCounter,SettlementDate,AB204,,,Trigger)</f>
        <v>0.79166666666666663</v>
      </c>
      <c r="AD204" s="166">
        <f t="shared" si="24"/>
        <v>2.9458052625454755E-3</v>
      </c>
      <c r="AE204" s="166">
        <f t="shared" si="22"/>
        <v>3.0834432431506849E-3</v>
      </c>
      <c r="AF204" s="166">
        <f t="shared" si="23"/>
        <v>4.1952975413211101E-3</v>
      </c>
    </row>
    <row r="205" spans="28:32" x14ac:dyDescent="0.2">
      <c r="AB205" s="168">
        <f>_xll.qlCalendarAdvance(Calendar,AB204,"1d","mf",,Trigger)</f>
        <v>42424</v>
      </c>
      <c r="AC205" s="154">
        <f>_xll.qlDayCounterYearFraction(DayCounter,SettlementDate,AB205,,,Trigger)</f>
        <v>0.7944444444444444</v>
      </c>
      <c r="AD205" s="166">
        <f t="shared" si="24"/>
        <v>2.9458052625454755E-3</v>
      </c>
      <c r="AE205" s="166">
        <f t="shared" si="22"/>
        <v>3.0848059954339045E-3</v>
      </c>
      <c r="AF205" s="166">
        <f t="shared" si="23"/>
        <v>4.1845026308581709E-3</v>
      </c>
    </row>
    <row r="206" spans="28:32" x14ac:dyDescent="0.2">
      <c r="AB206" s="168">
        <f>_xll.qlCalendarAdvance(Calendar,AB205,"1d","mf",,Trigger)</f>
        <v>42425</v>
      </c>
      <c r="AC206" s="154">
        <f>_xll.qlDayCounterYearFraction(DayCounter,SettlementDate,AB206,,,Trigger)</f>
        <v>0.79722222222222228</v>
      </c>
      <c r="AD206" s="166">
        <f t="shared" si="24"/>
        <v>2.9458052625454755E-3</v>
      </c>
      <c r="AE206" s="166">
        <f t="shared" si="22"/>
        <v>3.0861687477171246E-3</v>
      </c>
      <c r="AF206" s="166">
        <f t="shared" si="23"/>
        <v>4.1734909471421913E-3</v>
      </c>
    </row>
    <row r="207" spans="28:32" x14ac:dyDescent="0.2">
      <c r="AB207" s="168">
        <f>_xll.qlCalendarAdvance(Calendar,AB206,"1d","mf",,Trigger)</f>
        <v>42426</v>
      </c>
      <c r="AC207" s="154">
        <f>_xll.qlDayCounterYearFraction(DayCounter,SettlementDate,AB207,,,Trigger)</f>
        <v>0.8</v>
      </c>
      <c r="AD207" s="166">
        <f t="shared" si="24"/>
        <v>2.9458052625454755E-3</v>
      </c>
      <c r="AE207" s="166">
        <f t="shared" si="22"/>
        <v>3.0875315000003442E-3</v>
      </c>
      <c r="AF207" s="166">
        <f t="shared" si="23"/>
        <v>4.1622624901731745E-3</v>
      </c>
    </row>
    <row r="208" spans="28:32" x14ac:dyDescent="0.2">
      <c r="AB208" s="168">
        <f>_xll.qlCalendarAdvance(Calendar,AB207,"1d","mf",,Trigger)</f>
        <v>42429</v>
      </c>
      <c r="AC208" s="154">
        <f>_xll.qlDayCounterYearFraction(DayCounter,SettlementDate,AB208,,,Trigger)</f>
        <v>0.80833333333333335</v>
      </c>
      <c r="AD208" s="166">
        <f t="shared" si="24"/>
        <v>2.9458052625454755E-3</v>
      </c>
      <c r="AE208" s="166">
        <f t="shared" si="22"/>
        <v>3.091619756850004E-3</v>
      </c>
      <c r="AF208" s="166">
        <f t="shared" si="23"/>
        <v>4.1272764797479055E-3</v>
      </c>
    </row>
    <row r="209" spans="28:32" x14ac:dyDescent="0.2">
      <c r="AB209" s="168">
        <f>_xll.qlCalendarAdvance(Calendar,AB208,"1d","mf",,Trigger)</f>
        <v>42430</v>
      </c>
      <c r="AC209" s="154">
        <f>_xll.qlDayCounterYearFraction(DayCounter,SettlementDate,AB209,,,Trigger)</f>
        <v>0.81111111111111112</v>
      </c>
      <c r="AD209" s="166">
        <f t="shared" si="24"/>
        <v>2.9458052625454755E-3</v>
      </c>
      <c r="AE209" s="166">
        <f t="shared" si="22"/>
        <v>3.0929825091332241E-3</v>
      </c>
      <c r="AF209" s="166">
        <f t="shared" si="23"/>
        <v>4.1151809297667388E-3</v>
      </c>
    </row>
    <row r="210" spans="28:32" x14ac:dyDescent="0.2">
      <c r="AB210" s="168">
        <f>_xll.qlCalendarAdvance(Calendar,AB209,"1d","mf",,Trigger)</f>
        <v>42431</v>
      </c>
      <c r="AC210" s="154">
        <f>_xll.qlDayCounterYearFraction(DayCounter,SettlementDate,AB210,,,Trigger)</f>
        <v>0.81388888888888888</v>
      </c>
      <c r="AD210" s="166">
        <f t="shared" si="24"/>
        <v>2.9458052625454755E-3</v>
      </c>
      <c r="AE210" s="166">
        <f t="shared" si="22"/>
        <v>3.0943452614164437E-3</v>
      </c>
      <c r="AF210" s="166">
        <f t="shared" si="23"/>
        <v>4.1028686065325386E-3</v>
      </c>
    </row>
    <row r="211" spans="28:32" x14ac:dyDescent="0.2">
      <c r="AB211" s="168">
        <f>_xll.qlCalendarAdvance(Calendar,AB210,"1d","mf",,Trigger)</f>
        <v>42432</v>
      </c>
      <c r="AC211" s="154">
        <f>_xll.qlDayCounterYearFraction(DayCounter,SettlementDate,AB211,,,Trigger)</f>
        <v>0.81666666666666665</v>
      </c>
      <c r="AD211" s="166">
        <f t="shared" si="24"/>
        <v>2.9458052625454755E-3</v>
      </c>
      <c r="AE211" s="166">
        <f t="shared" si="22"/>
        <v>3.0957080136996638E-3</v>
      </c>
      <c r="AF211" s="166">
        <f t="shared" si="23"/>
        <v>4.0903395100452995E-3</v>
      </c>
    </row>
    <row r="212" spans="28:32" x14ac:dyDescent="0.2">
      <c r="AB212" s="168">
        <f>_xll.qlCalendarAdvance(Calendar,AB211,"1d","mf",,Trigger)</f>
        <v>42433</v>
      </c>
      <c r="AC212" s="154">
        <f>_xll.qlDayCounterYearFraction(DayCounter,SettlementDate,AB212,,,Trigger)</f>
        <v>0.81944444444444442</v>
      </c>
      <c r="AD212" s="166">
        <f t="shared" si="24"/>
        <v>2.9458052625454755E-3</v>
      </c>
      <c r="AE212" s="166">
        <f t="shared" si="22"/>
        <v>3.0970707659828834E-3</v>
      </c>
      <c r="AF212" s="166">
        <f t="shared" si="23"/>
        <v>4.0775936403050234E-3</v>
      </c>
    </row>
    <row r="213" spans="28:32" x14ac:dyDescent="0.2">
      <c r="AB213" s="168">
        <f>_xll.qlCalendarAdvance(Calendar,AB212,"1d","mf",,Trigger)</f>
        <v>42436</v>
      </c>
      <c r="AC213" s="154">
        <f>_xll.qlDayCounterYearFraction(DayCounter,SettlementDate,AB213,,,Trigger)</f>
        <v>0.82777777777777772</v>
      </c>
      <c r="AD213" s="166">
        <f t="shared" si="24"/>
        <v>2.9458052625454755E-3</v>
      </c>
      <c r="AE213" s="166">
        <f t="shared" si="22"/>
        <v>3.1011590228325432E-3</v>
      </c>
      <c r="AF213" s="166">
        <f t="shared" si="23"/>
        <v>4.0380553915659728E-3</v>
      </c>
    </row>
    <row r="214" spans="28:32" x14ac:dyDescent="0.2">
      <c r="AB214" s="168">
        <f>_xll.qlCalendarAdvance(Calendar,AB213,"1d","mf",,Trigger)</f>
        <v>42437</v>
      </c>
      <c r="AC214" s="154">
        <f>_xll.qlDayCounterYearFraction(DayCounter,SettlementDate,AB214,,,Trigger)</f>
        <v>0.8305555555555556</v>
      </c>
      <c r="AD214" s="166">
        <f t="shared" si="24"/>
        <v>2.9458052625454755E-3</v>
      </c>
      <c r="AE214" s="166">
        <f t="shared" si="22"/>
        <v>3.1025217751157633E-3</v>
      </c>
      <c r="AF214" s="166">
        <f t="shared" si="23"/>
        <v>4.0244424288135468E-3</v>
      </c>
    </row>
    <row r="215" spans="28:32" x14ac:dyDescent="0.2">
      <c r="AB215" s="168">
        <f>_xll.qlCalendarAdvance(Calendar,AB214,"1d","mf",,Trigger)</f>
        <v>42438</v>
      </c>
      <c r="AC215" s="154">
        <f>_xll.qlDayCounterYearFraction(DayCounter,SettlementDate,AB215,,,Trigger)</f>
        <v>0.83333333333333337</v>
      </c>
      <c r="AD215" s="166">
        <f t="shared" si="24"/>
        <v>2.9458052625454755E-3</v>
      </c>
      <c r="AE215" s="166">
        <f t="shared" si="22"/>
        <v>3.1038845273989829E-3</v>
      </c>
      <c r="AF215" s="166">
        <f t="shared" si="23"/>
        <v>4.0106126928080837E-3</v>
      </c>
    </row>
    <row r="216" spans="28:32" x14ac:dyDescent="0.2">
      <c r="AB216" s="168">
        <f>_xll.qlCalendarAdvance(Calendar,AB215,"1d","mf",,Trigger)</f>
        <v>42439</v>
      </c>
      <c r="AC216" s="154">
        <f>_xll.qlDayCounterYearFraction(DayCounter,SettlementDate,AB216,,,Trigger)</f>
        <v>0.83611111111111114</v>
      </c>
      <c r="AD216" s="166">
        <f t="shared" si="24"/>
        <v>2.9458052625454755E-3</v>
      </c>
      <c r="AE216" s="166">
        <f t="shared" si="22"/>
        <v>3.105247279682203E-3</v>
      </c>
      <c r="AF216" s="166">
        <f t="shared" si="23"/>
        <v>3.9965661835495853E-3</v>
      </c>
    </row>
    <row r="217" spans="28:32" x14ac:dyDescent="0.2">
      <c r="AB217" s="168">
        <f>_xll.qlCalendarAdvance(Calendar,AB216,"1d","mf",,Trigger)</f>
        <v>42440</v>
      </c>
      <c r="AC217" s="154">
        <f>_xll.qlDayCounterYearFraction(DayCounter,SettlementDate,AB217,,,Trigger)</f>
        <v>0.83888888888888891</v>
      </c>
      <c r="AD217" s="166">
        <f t="shared" si="24"/>
        <v>2.9458052625454755E-3</v>
      </c>
      <c r="AE217" s="166">
        <f t="shared" si="22"/>
        <v>3.1066100319654226E-3</v>
      </c>
      <c r="AF217" s="166">
        <f t="shared" si="23"/>
        <v>3.9823029010380481E-3</v>
      </c>
    </row>
    <row r="218" spans="28:32" x14ac:dyDescent="0.2">
      <c r="AB218" s="168">
        <f>_xll.qlCalendarAdvance(Calendar,AB217,"1d","mf",,Trigger)</f>
        <v>42443</v>
      </c>
      <c r="AC218" s="154">
        <f>_xll.qlDayCounterYearFraction(DayCounter,SettlementDate,AB218,,,Trigger)</f>
        <v>0.84722222222222221</v>
      </c>
      <c r="AD218" s="166">
        <f t="shared" si="24"/>
        <v>2.9458052625454755E-3</v>
      </c>
      <c r="AE218" s="166">
        <f t="shared" si="22"/>
        <v>3.1106982888150824E-3</v>
      </c>
      <c r="AF218" s="166">
        <f t="shared" si="23"/>
        <v>3.9382124139852141E-3</v>
      </c>
    </row>
    <row r="219" spans="28:32" x14ac:dyDescent="0.2">
      <c r="AB219" s="168">
        <f>_xll.qlCalendarAdvance(Calendar,AB218,"1d","mf",,Trigger)</f>
        <v>42444</v>
      </c>
      <c r="AC219" s="154">
        <f>_xll.qlDayCounterYearFraction(DayCounter,SettlementDate,AB219,,,Trigger)</f>
        <v>0.85</v>
      </c>
      <c r="AD219" s="166">
        <f t="shared" si="24"/>
        <v>2.9458052625454755E-3</v>
      </c>
      <c r="AE219" s="166">
        <f t="shared" si="22"/>
        <v>3.1120610410983024E-3</v>
      </c>
      <c r="AF219" s="166">
        <f t="shared" si="23"/>
        <v>3.9230820384615304E-3</v>
      </c>
    </row>
    <row r="220" spans="28:32" x14ac:dyDescent="0.2">
      <c r="AB220" s="168">
        <f>_xll.qlCalendarAdvance(Calendar,AB219,"1d","mf",,Trigger)</f>
        <v>42445</v>
      </c>
      <c r="AC220" s="154">
        <f>_xll.qlDayCounterYearFraction(DayCounter,SettlementDate,AB220,,,Trigger)</f>
        <v>0.85277777777777775</v>
      </c>
      <c r="AD220" s="166">
        <f t="shared" si="24"/>
        <v>2.9458052625454755E-3</v>
      </c>
      <c r="AE220" s="166">
        <f t="shared" si="22"/>
        <v>3.1134237933815221E-3</v>
      </c>
      <c r="AF220" s="166">
        <f t="shared" si="23"/>
        <v>3.9077348896848062E-3</v>
      </c>
    </row>
    <row r="221" spans="28:32" x14ac:dyDescent="0.2">
      <c r="AB221" s="168">
        <f>_xll.qlCalendarAdvance(Calendar,AB220,"1d","mf",,Trigger)</f>
        <v>42446</v>
      </c>
      <c r="AC221" s="154">
        <f>_xll.qlDayCounterYearFraction(DayCounter,SettlementDate,AB221,,,Trigger)</f>
        <v>0.85555555555555551</v>
      </c>
      <c r="AD221" s="166">
        <f t="shared" si="24"/>
        <v>2.9458052625454755E-3</v>
      </c>
      <c r="AE221" s="166">
        <f t="shared" si="22"/>
        <v>3.1147865456647422E-3</v>
      </c>
      <c r="AF221" s="166">
        <f t="shared" si="23"/>
        <v>3.8921709676550467E-3</v>
      </c>
    </row>
    <row r="222" spans="28:32" x14ac:dyDescent="0.2">
      <c r="AB222" s="168">
        <f>_xll.qlCalendarAdvance(Calendar,AB221,"1d","mf",,Trigger)</f>
        <v>42447</v>
      </c>
      <c r="AC222" s="154">
        <f>_xll.qlDayCounterYearFraction(DayCounter,SettlementDate,AB222,,,Trigger)</f>
        <v>0.85833333333333328</v>
      </c>
      <c r="AD222" s="166">
        <f t="shared" si="24"/>
        <v>2.9458052625454755E-3</v>
      </c>
      <c r="AE222" s="166">
        <f t="shared" si="22"/>
        <v>3.1161492979479618E-3</v>
      </c>
      <c r="AF222" s="166">
        <f t="shared" si="23"/>
        <v>3.8763902723722484E-3</v>
      </c>
    </row>
    <row r="223" spans="28:32" x14ac:dyDescent="0.2">
      <c r="AB223" s="168">
        <f>_xll.qlCalendarAdvance(Calendar,AB222,"1d","mf",,Trigger)</f>
        <v>42450</v>
      </c>
      <c r="AC223" s="154">
        <f>_xll.qlDayCounterYearFraction(DayCounter,SettlementDate,AB223,,,Trigger)</f>
        <v>0.8666666666666667</v>
      </c>
      <c r="AD223" s="166">
        <f t="shared" si="24"/>
        <v>2.9458052625454755E-3</v>
      </c>
      <c r="AE223" s="166">
        <f t="shared" si="22"/>
        <v>3.1202375547976216E-3</v>
      </c>
      <c r="AF223" s="166">
        <f t="shared" si="23"/>
        <v>3.8277475470056364E-3</v>
      </c>
    </row>
    <row r="224" spans="28:32" x14ac:dyDescent="0.2">
      <c r="AB224" s="168">
        <f>_xll.qlCalendarAdvance(Calendar,AB223,"1d","mf",,Trigger)</f>
        <v>42451</v>
      </c>
      <c r="AC224" s="154">
        <f>_xll.qlDayCounterYearFraction(DayCounter,SettlementDate,AB224,,,Trigger)</f>
        <v>0.86944444444444446</v>
      </c>
      <c r="AD224" s="166">
        <f t="shared" si="24"/>
        <v>2.9458052625454755E-3</v>
      </c>
      <c r="AE224" s="166">
        <f t="shared" si="22"/>
        <v>3.1216003070808416E-3</v>
      </c>
      <c r="AF224" s="166">
        <f t="shared" si="23"/>
        <v>3.8110997587106881E-3</v>
      </c>
    </row>
    <row r="225" spans="28:32" x14ac:dyDescent="0.2">
      <c r="AB225" s="168">
        <f>_xll.qlCalendarAdvance(Calendar,AB224,"1d","mf",,Trigger)</f>
        <v>42452</v>
      </c>
      <c r="AC225" s="154">
        <f>_xll.qlDayCounterYearFraction(DayCounter,SettlementDate,AB225,,,Trigger)</f>
        <v>0.87222222222222223</v>
      </c>
      <c r="AD225" s="166">
        <f t="shared" si="24"/>
        <v>2.9458052625454755E-3</v>
      </c>
      <c r="AE225" s="166">
        <f t="shared" si="22"/>
        <v>3.1229630593640613E-3</v>
      </c>
      <c r="AF225" s="166">
        <f t="shared" si="23"/>
        <v>3.7942351971627063E-3</v>
      </c>
    </row>
    <row r="226" spans="28:32" x14ac:dyDescent="0.2">
      <c r="AB226" s="168">
        <f>_xll.qlCalendarAdvance(Calendar,AB225,"1d","mf",,Trigger)</f>
        <v>42453</v>
      </c>
      <c r="AC226" s="154">
        <f>_xll.qlDayCounterYearFraction(DayCounter,SettlementDate,AB226,,,Trigger)</f>
        <v>0.875</v>
      </c>
      <c r="AD226" s="166">
        <f t="shared" si="24"/>
        <v>2.9458052625454755E-3</v>
      </c>
      <c r="AE226" s="166">
        <f t="shared" si="22"/>
        <v>3.1243258116472813E-3</v>
      </c>
      <c r="AF226" s="166">
        <f t="shared" si="23"/>
        <v>3.7771538623616839E-3</v>
      </c>
    </row>
    <row r="227" spans="28:32" x14ac:dyDescent="0.2">
      <c r="AB227" s="168">
        <f>_xll.qlCalendarAdvance(Calendar,AB226,"1d","mf",,Trigger)</f>
        <v>42458</v>
      </c>
      <c r="AC227" s="154">
        <f>_xll.qlDayCounterYearFraction(DayCounter,SettlementDate,AB227,,,Trigger)</f>
        <v>0.88888888888888884</v>
      </c>
      <c r="AD227" s="166">
        <f t="shared" si="24"/>
        <v>2.9458052625454755E-3</v>
      </c>
      <c r="AE227" s="166">
        <f t="shared" si="22"/>
        <v>3.1311395730633808E-3</v>
      </c>
      <c r="AF227" s="166">
        <f t="shared" si="23"/>
        <v>3.688495589561025E-3</v>
      </c>
    </row>
    <row r="228" spans="28:32" x14ac:dyDescent="0.2">
      <c r="AB228" s="168">
        <f>_xll.qlCalendarAdvance(Calendar,AB227,"1d","mf",,Trigger)</f>
        <v>42459</v>
      </c>
      <c r="AC228" s="154">
        <f>_xll.qlDayCounterYearFraction(DayCounter,SettlementDate,AB228,,,Trigger)</f>
        <v>0.89166666666666672</v>
      </c>
      <c r="AD228" s="166">
        <f t="shared" si="24"/>
        <v>2.9458052625454755E-3</v>
      </c>
      <c r="AE228" s="166">
        <f t="shared" si="22"/>
        <v>3.1325023253466009E-3</v>
      </c>
      <c r="AF228" s="166">
        <f t="shared" si="23"/>
        <v>3.6701136152417803E-3</v>
      </c>
    </row>
    <row r="229" spans="28:32" x14ac:dyDescent="0.2">
      <c r="AB229" s="168">
        <f>_xll.qlCalendarAdvance(Calendar,AB228,"1d","mf",,Trigger)</f>
        <v>42460</v>
      </c>
      <c r="AC229" s="154">
        <f>_xll.qlDayCounterYearFraction(DayCounter,SettlementDate,AB229,,,Trigger)</f>
        <v>0.89444444444444449</v>
      </c>
      <c r="AD229" s="166">
        <f t="shared" si="24"/>
        <v>2.9458052625454755E-3</v>
      </c>
      <c r="AE229" s="166">
        <f t="shared" si="22"/>
        <v>3.1338650776298205E-3</v>
      </c>
      <c r="AF229" s="166">
        <f t="shared" si="23"/>
        <v>3.651514867669502E-3</v>
      </c>
    </row>
    <row r="230" spans="28:32" x14ac:dyDescent="0.2">
      <c r="AB230" s="168">
        <f>_xll.qlCalendarAdvance(Calendar,AB229,"1d","mf",,Trigger)</f>
        <v>42461</v>
      </c>
      <c r="AC230" s="154">
        <f>_xll.qlDayCounterYearFraction(DayCounter,SettlementDate,AB230,,,Trigger)</f>
        <v>0.89722222222222225</v>
      </c>
      <c r="AD230" s="166">
        <f t="shared" si="24"/>
        <v>2.9458052625454755E-3</v>
      </c>
      <c r="AE230" s="166">
        <f t="shared" si="22"/>
        <v>3.1352278299130406E-3</v>
      </c>
      <c r="AF230" s="166">
        <f t="shared" si="23"/>
        <v>3.6326993468441798E-3</v>
      </c>
    </row>
    <row r="231" spans="28:32" x14ac:dyDescent="0.2">
      <c r="AB231" s="168">
        <f>_xll.qlCalendarAdvance(Calendar,AB230,"1d","mf",,Trigger)</f>
        <v>42464</v>
      </c>
      <c r="AC231" s="154">
        <f>_xll.qlDayCounterYearFraction(DayCounter,SettlementDate,AB231,,,Trigger)</f>
        <v>0.90555555555555556</v>
      </c>
      <c r="AD231" s="166">
        <f t="shared" si="24"/>
        <v>2.9458052625454755E-3</v>
      </c>
      <c r="AE231" s="166">
        <f t="shared" si="22"/>
        <v>3.1393160867627E-3</v>
      </c>
      <c r="AF231" s="166">
        <f t="shared" si="23"/>
        <v>3.5749521448500028E-3</v>
      </c>
    </row>
    <row r="232" spans="28:32" x14ac:dyDescent="0.2">
      <c r="AB232" s="168">
        <f>_xll.qlCalendarAdvance(Calendar,AB231,"1d","mf",,Trigger)</f>
        <v>42465</v>
      </c>
      <c r="AC232" s="154">
        <f>_xll.qlDayCounterYearFraction(DayCounter,SettlementDate,AB232,,,Trigger)</f>
        <v>0.90833333333333333</v>
      </c>
      <c r="AD232" s="166">
        <f t="shared" si="24"/>
        <v>2.9458052625454755E-3</v>
      </c>
      <c r="AE232" s="166">
        <f t="shared" si="22"/>
        <v>3.14067883904592E-3</v>
      </c>
      <c r="AF232" s="166">
        <f t="shared" si="23"/>
        <v>3.5552695310125358E-3</v>
      </c>
    </row>
    <row r="233" spans="28:32" x14ac:dyDescent="0.2">
      <c r="AB233" s="168">
        <f>_xll.qlCalendarAdvance(Calendar,AB232,"1d","mf",,Trigger)</f>
        <v>42466</v>
      </c>
      <c r="AC233" s="154">
        <f>_xll.qlDayCounterYearFraction(DayCounter,SettlementDate,AB233,,,Trigger)</f>
        <v>0.91111111111111109</v>
      </c>
      <c r="AD233" s="166">
        <f t="shared" si="24"/>
        <v>2.9458052625454755E-3</v>
      </c>
      <c r="AE233" s="166">
        <f t="shared" si="22"/>
        <v>3.1420415913291401E-3</v>
      </c>
      <c r="AF233" s="166">
        <f t="shared" si="23"/>
        <v>3.5353701439220318E-3</v>
      </c>
    </row>
    <row r="234" spans="28:32" x14ac:dyDescent="0.2">
      <c r="AB234" s="168">
        <f>_xll.qlCalendarAdvance(Calendar,AB233,"1d","mf",,Trigger)</f>
        <v>42467</v>
      </c>
      <c r="AC234" s="154">
        <f>_xll.qlDayCounterYearFraction(DayCounter,SettlementDate,AB234,,,Trigger)</f>
        <v>0.91388888888888886</v>
      </c>
      <c r="AD234" s="166">
        <f t="shared" si="24"/>
        <v>2.9458052625454755E-3</v>
      </c>
      <c r="AE234" s="166">
        <f t="shared" si="22"/>
        <v>3.1434043436123597E-3</v>
      </c>
      <c r="AF234" s="166">
        <f t="shared" si="23"/>
        <v>3.5152539835784907E-3</v>
      </c>
    </row>
    <row r="235" spans="28:32" x14ac:dyDescent="0.2">
      <c r="AB235" s="168">
        <f>_xll.qlCalendarAdvance(Calendar,AB234,"1d","mf",,Trigger)</f>
        <v>42468</v>
      </c>
      <c r="AC235" s="154">
        <f>_xll.qlDayCounterYearFraction(DayCounter,SettlementDate,AB235,,,Trigger)</f>
        <v>0.91666666666666663</v>
      </c>
      <c r="AD235" s="166">
        <f t="shared" si="24"/>
        <v>2.9458052625454755E-3</v>
      </c>
      <c r="AE235" s="166">
        <f t="shared" si="22"/>
        <v>3.1447670958955798E-3</v>
      </c>
      <c r="AF235" s="166">
        <f t="shared" si="23"/>
        <v>3.4949210499819125E-3</v>
      </c>
    </row>
    <row r="236" spans="28:32" x14ac:dyDescent="0.2">
      <c r="AB236" s="168">
        <f>_xll.qlCalendarAdvance(Calendar,AB235,"1d","mf",,Trigger)</f>
        <v>42471</v>
      </c>
      <c r="AC236" s="154">
        <f>_xll.qlDayCounterYearFraction(DayCounter,SettlementDate,AB236,,,Trigger)</f>
        <v>0.92500000000000004</v>
      </c>
      <c r="AD236" s="166">
        <f t="shared" si="24"/>
        <v>2.9458052625454755E-3</v>
      </c>
      <c r="AE236" s="166">
        <f t="shared" si="22"/>
        <v>3.1488553527452392E-3</v>
      </c>
      <c r="AF236" s="166">
        <f t="shared" si="23"/>
        <v>3.4326216096739522E-3</v>
      </c>
    </row>
    <row r="237" spans="28:32" x14ac:dyDescent="0.2">
      <c r="AB237" s="168">
        <f>_xll.qlCalendarAdvance(Calendar,AB236,"1d","mf",,Trigger)</f>
        <v>42472</v>
      </c>
      <c r="AC237" s="154">
        <f>_xll.qlDayCounterYearFraction(DayCounter,SettlementDate,AB237,,,Trigger)</f>
        <v>0.92777777777777781</v>
      </c>
      <c r="AD237" s="166">
        <f t="shared" si="24"/>
        <v>2.9458052625454755E-3</v>
      </c>
      <c r="AE237" s="166">
        <f t="shared" si="22"/>
        <v>3.1502181050284592E-3</v>
      </c>
      <c r="AF237" s="166">
        <f t="shared" si="23"/>
        <v>3.4114215830652259E-3</v>
      </c>
    </row>
    <row r="238" spans="28:32" x14ac:dyDescent="0.2">
      <c r="AB238" s="168">
        <f>_xll.qlCalendarAdvance(Calendar,AB237,"1d","mf",,Trigger)</f>
        <v>42473</v>
      </c>
      <c r="AC238" s="154">
        <f>_xll.qlDayCounterYearFraction(DayCounter,SettlementDate,AB238,,,Trigger)</f>
        <v>0.93055555555555558</v>
      </c>
      <c r="AD238" s="166">
        <f t="shared" si="24"/>
        <v>2.9458052625454755E-3</v>
      </c>
      <c r="AE238" s="166">
        <f t="shared" si="22"/>
        <v>3.1515808573116793E-3</v>
      </c>
      <c r="AF238" s="166">
        <f t="shared" si="23"/>
        <v>3.390004783203459E-3</v>
      </c>
    </row>
    <row r="239" spans="28:32" x14ac:dyDescent="0.2">
      <c r="AB239" s="168">
        <f>_xll.qlCalendarAdvance(Calendar,AB238,"1d","mf",,Trigger)</f>
        <v>42474</v>
      </c>
      <c r="AC239" s="154">
        <f>_xll.qlDayCounterYearFraction(DayCounter,SettlementDate,AB239,,,Trigger)</f>
        <v>0.93333333333333335</v>
      </c>
      <c r="AD239" s="166">
        <f t="shared" si="24"/>
        <v>2.9458052625454755E-3</v>
      </c>
      <c r="AE239" s="166">
        <f t="shared" si="22"/>
        <v>3.1529436095948989E-3</v>
      </c>
      <c r="AF239" s="166">
        <f t="shared" si="23"/>
        <v>3.3683712100886585E-3</v>
      </c>
    </row>
    <row r="240" spans="28:32" x14ac:dyDescent="0.2">
      <c r="AB240" s="168">
        <f>_xll.qlCalendarAdvance(Calendar,AB239,"1d","mf",,Trigger)</f>
        <v>42475</v>
      </c>
      <c r="AC240" s="154">
        <f>_xll.qlDayCounterYearFraction(DayCounter,SettlementDate,AB240,,,Trigger)</f>
        <v>0.93611111111111112</v>
      </c>
      <c r="AD240" s="166">
        <f t="shared" si="24"/>
        <v>2.9458052625454755E-3</v>
      </c>
      <c r="AE240" s="166">
        <f t="shared" si="22"/>
        <v>3.154306361878119E-3</v>
      </c>
      <c r="AF240" s="166">
        <f t="shared" si="23"/>
        <v>3.3465208637208192E-3</v>
      </c>
    </row>
    <row r="241" spans="28:32" x14ac:dyDescent="0.2">
      <c r="AB241" s="168">
        <f>_xll.qlCalendarAdvance(Calendar,AB240,"1d","mf",,Trigger)</f>
        <v>42478</v>
      </c>
      <c r="AC241" s="154">
        <f>_xll.qlDayCounterYearFraction(DayCounter,SettlementDate,AB241,,,Trigger)</f>
        <v>0.94444444444444442</v>
      </c>
      <c r="AD241" s="166">
        <f t="shared" si="24"/>
        <v>2.9458052625454755E-3</v>
      </c>
      <c r="AE241" s="166">
        <f t="shared" si="22"/>
        <v>3.1583946187277783E-3</v>
      </c>
      <c r="AF241" s="166">
        <f t="shared" si="23"/>
        <v>3.2796691850990791E-3</v>
      </c>
    </row>
    <row r="242" spans="28:32" x14ac:dyDescent="0.2">
      <c r="AB242" s="168">
        <f>_xll.qlCalendarAdvance(Calendar,AB241,"1d","mf",,Trigger)</f>
        <v>42479</v>
      </c>
      <c r="AC242" s="154">
        <f>_xll.qlDayCounterYearFraction(DayCounter,SettlementDate,AB242,,,Trigger)</f>
        <v>0.94722222222222219</v>
      </c>
      <c r="AD242" s="166">
        <f t="shared" si="24"/>
        <v>2.9458052625454755E-3</v>
      </c>
      <c r="AE242" s="166">
        <f t="shared" si="22"/>
        <v>3.1597573710109984E-3</v>
      </c>
      <c r="AF242" s="166">
        <f t="shared" si="23"/>
        <v>3.2569517457190934E-3</v>
      </c>
    </row>
    <row r="243" spans="28:32" x14ac:dyDescent="0.2">
      <c r="AB243" s="168">
        <f>_xll.qlCalendarAdvance(Calendar,AB242,"1d","mf",,Trigger)</f>
        <v>42480</v>
      </c>
      <c r="AC243" s="154">
        <f>_xll.qlDayCounterYearFraction(DayCounter,SettlementDate,AB243,,,Trigger)</f>
        <v>0.95</v>
      </c>
      <c r="AD243" s="166">
        <f t="shared" si="24"/>
        <v>2.9458052625454755E-3</v>
      </c>
      <c r="AE243" s="166">
        <f t="shared" si="22"/>
        <v>3.1611201232942185E-3</v>
      </c>
      <c r="AF243" s="166">
        <f t="shared" si="23"/>
        <v>3.2340175330860654E-3</v>
      </c>
    </row>
    <row r="244" spans="28:32" x14ac:dyDescent="0.2">
      <c r="AB244" s="168">
        <f>_xll.qlCalendarAdvance(Calendar,AB243,"1d","mf",,Trigger)</f>
        <v>42481</v>
      </c>
      <c r="AC244" s="154">
        <f>_xll.qlDayCounterYearFraction(DayCounter,SettlementDate,AB244,,,Trigger)</f>
        <v>0.95277777777777772</v>
      </c>
      <c r="AD244" s="166">
        <f t="shared" si="24"/>
        <v>2.9458052625454755E-3</v>
      </c>
      <c r="AE244" s="166">
        <f t="shared" si="22"/>
        <v>3.1624828755774381E-3</v>
      </c>
      <c r="AF244" s="166">
        <f t="shared" si="23"/>
        <v>3.2108665472000055E-3</v>
      </c>
    </row>
    <row r="245" spans="28:32" x14ac:dyDescent="0.2">
      <c r="AB245" s="168">
        <f>_xll.qlCalendarAdvance(Calendar,AB244,"1d","mf",,Trigger)</f>
        <v>42482</v>
      </c>
      <c r="AC245" s="154">
        <f>_xll.qlDayCounterYearFraction(DayCounter,SettlementDate,AB245,,,Trigger)</f>
        <v>0.9555555555555556</v>
      </c>
      <c r="AD245" s="166">
        <f t="shared" si="24"/>
        <v>2.9458052625454755E-3</v>
      </c>
      <c r="AE245" s="166">
        <f t="shared" si="22"/>
        <v>3.1638456278606582E-3</v>
      </c>
      <c r="AF245" s="166">
        <f t="shared" si="23"/>
        <v>3.1874987880609051E-3</v>
      </c>
    </row>
    <row r="246" spans="28:32" x14ac:dyDescent="0.2">
      <c r="AB246" s="168">
        <f>_xll.qlCalendarAdvance(Calendar,AB245,"1d","mf",,Trigger)</f>
        <v>42485</v>
      </c>
      <c r="AC246" s="154">
        <f>_xll.qlDayCounterYearFraction(DayCounter,SettlementDate,AB246,,,Trigger)</f>
        <v>0.96388888888888891</v>
      </c>
      <c r="AD246" s="166">
        <f t="shared" si="24"/>
        <v>2.9458052625454755E-3</v>
      </c>
      <c r="AE246" s="166">
        <f t="shared" si="22"/>
        <v>3.1679338847103175E-3</v>
      </c>
      <c r="AF246" s="166">
        <f t="shared" si="23"/>
        <v>3.11609487112538E-3</v>
      </c>
    </row>
    <row r="247" spans="28:32" x14ac:dyDescent="0.2">
      <c r="AB247" s="168">
        <f>_xll.qlCalendarAdvance(Calendar,AB246,"1d","mf",,Trigger)</f>
        <v>42486</v>
      </c>
      <c r="AC247" s="154">
        <f>_xll.qlDayCounterYearFraction(DayCounter,SettlementDate,AB247,,,Trigger)</f>
        <v>0.96666666666666667</v>
      </c>
      <c r="AD247" s="166">
        <f t="shared" si="24"/>
        <v>2.9458052625454755E-3</v>
      </c>
      <c r="AE247" s="166">
        <f t="shared" si="22"/>
        <v>3.1692966369935376E-3</v>
      </c>
      <c r="AF247" s="166">
        <f t="shared" si="23"/>
        <v>3.0918600189741331E-3</v>
      </c>
    </row>
    <row r="248" spans="28:32" x14ac:dyDescent="0.2">
      <c r="AB248" s="168">
        <f>_xll.qlCalendarAdvance(Calendar,AB247,"1d","mf",,Trigger)</f>
        <v>42487</v>
      </c>
      <c r="AC248" s="154">
        <f>_xll.qlDayCounterYearFraction(DayCounter,SettlementDate,AB248,,,Trigger)</f>
        <v>0.96944444444444444</v>
      </c>
      <c r="AD248" s="166">
        <f t="shared" si="24"/>
        <v>2.9458052625454755E-3</v>
      </c>
      <c r="AE248" s="166">
        <f t="shared" si="22"/>
        <v>3.1706593892767577E-3</v>
      </c>
      <c r="AF248" s="166">
        <f t="shared" si="23"/>
        <v>3.0674083935698458E-3</v>
      </c>
    </row>
    <row r="249" spans="28:32" x14ac:dyDescent="0.2">
      <c r="AB249" s="168">
        <f>_xll.qlCalendarAdvance(Calendar,AB248,"1d","mf",,Trigger)</f>
        <v>42488</v>
      </c>
      <c r="AC249" s="154">
        <f>_xll.qlDayCounterYearFraction(DayCounter,SettlementDate,AB249,,,Trigger)</f>
        <v>0.97222222222222221</v>
      </c>
      <c r="AD249" s="166">
        <f t="shared" si="24"/>
        <v>2.9458052625454755E-3</v>
      </c>
      <c r="AE249" s="166">
        <f t="shared" si="22"/>
        <v>3.1720221415599773E-3</v>
      </c>
      <c r="AF249" s="166">
        <f t="shared" si="23"/>
        <v>3.0427399949125248E-3</v>
      </c>
    </row>
    <row r="250" spans="28:32" x14ac:dyDescent="0.2">
      <c r="AB250" s="168">
        <f>_xll.qlCalendarAdvance(Calendar,AB249,"1d","mf",,Trigger)</f>
        <v>42489</v>
      </c>
      <c r="AC250" s="154">
        <f>_xll.qlDayCounterYearFraction(DayCounter,SettlementDate,AB250,,,Trigger)</f>
        <v>0.97499999999999998</v>
      </c>
      <c r="AD250" s="166">
        <f t="shared" si="24"/>
        <v>2.9458052625454755E-3</v>
      </c>
      <c r="AE250" s="166">
        <f t="shared" si="22"/>
        <v>3.1733848938431974E-3</v>
      </c>
      <c r="AF250" s="166">
        <f t="shared" si="23"/>
        <v>3.0178548230021651E-3</v>
      </c>
    </row>
    <row r="251" spans="28:32" x14ac:dyDescent="0.2">
      <c r="AB251" s="168">
        <f>_xll.qlCalendarAdvance(Calendar,AB250,"1d","mf",,Trigger)</f>
        <v>42492</v>
      </c>
      <c r="AC251" s="154">
        <f>_xll.qlDayCounterYearFraction(DayCounter,SettlementDate,AB251,,,Trigger)</f>
        <v>0.98333333333333328</v>
      </c>
      <c r="AD251" s="166">
        <f t="shared" si="24"/>
        <v>2.9458052625454755E-3</v>
      </c>
      <c r="AE251" s="166">
        <f t="shared" si="22"/>
        <v>3.1774731506928567E-3</v>
      </c>
      <c r="AF251" s="166">
        <f t="shared" si="23"/>
        <v>2.9418986677528583E-3</v>
      </c>
    </row>
    <row r="252" spans="28:32" x14ac:dyDescent="0.2">
      <c r="AB252" s="168">
        <f>_xll.qlCalendarAdvance(Calendar,AB251,"1d","mf",,Trigger)</f>
        <v>42493</v>
      </c>
      <c r="AC252" s="154">
        <f>_xll.qlDayCounterYearFraction(DayCounter,SettlementDate,AB252,,,Trigger)</f>
        <v>0.98611111111111116</v>
      </c>
      <c r="AD252" s="166">
        <f t="shared" si="24"/>
        <v>2.9458052625454755E-3</v>
      </c>
      <c r="AE252" s="166">
        <f t="shared" ref="AE252:AE257" si="25">$S$10+$S$9*AC252</f>
        <v>3.1788359029760768E-3</v>
      </c>
      <c r="AF252" s="166">
        <f t="shared" ref="AF252:AF257" si="26">($S$5+$S$4*AC252+$S$3*AC252^2)</f>
        <v>2.9161464028303486E-3</v>
      </c>
    </row>
    <row r="253" spans="28:32" x14ac:dyDescent="0.2">
      <c r="AB253" s="168">
        <f>_xll.qlCalendarAdvance(Calendar,AB252,"1d","mf",,Trigger)</f>
        <v>42494</v>
      </c>
      <c r="AC253" s="154">
        <f>_xll.qlDayCounterYearFraction(DayCounter,SettlementDate,AB253,,,Trigger)</f>
        <v>0.98888888888888893</v>
      </c>
      <c r="AD253" s="166">
        <f t="shared" si="24"/>
        <v>2.9458052625454755E-3</v>
      </c>
      <c r="AE253" s="166">
        <f t="shared" si="25"/>
        <v>3.1801986552592969E-3</v>
      </c>
      <c r="AF253" s="166">
        <f t="shared" si="26"/>
        <v>2.8901773646548036E-3</v>
      </c>
    </row>
    <row r="254" spans="28:32" x14ac:dyDescent="0.2">
      <c r="AB254" s="168">
        <f>_xll.qlCalendarAdvance(Calendar,AB253,"1d","mf",,Trigger)</f>
        <v>42495</v>
      </c>
      <c r="AC254" s="154">
        <f>_xll.qlDayCounterYearFraction(DayCounter,SettlementDate,AB254,,,Trigger)</f>
        <v>0.9916666666666667</v>
      </c>
      <c r="AD254" s="166">
        <f t="shared" si="24"/>
        <v>2.9458052625454755E-3</v>
      </c>
      <c r="AE254" s="166">
        <f t="shared" si="25"/>
        <v>3.1815614075425165E-3</v>
      </c>
      <c r="AF254" s="166">
        <f t="shared" si="26"/>
        <v>2.8639915532262181E-3</v>
      </c>
    </row>
    <row r="255" spans="28:32" x14ac:dyDescent="0.2">
      <c r="AB255" s="168">
        <f>_xll.qlCalendarAdvance(Calendar,AB254,"1d","mf",,Trigger)</f>
        <v>42496</v>
      </c>
      <c r="AC255" s="154">
        <f>_xll.qlDayCounterYearFraction(DayCounter,SettlementDate,AB255,,,Trigger)</f>
        <v>0.99444444444444446</v>
      </c>
      <c r="AD255" s="166">
        <f t="shared" si="24"/>
        <v>2.9458052625454755E-3</v>
      </c>
      <c r="AE255" s="166">
        <f t="shared" si="25"/>
        <v>3.1829241598257366E-3</v>
      </c>
      <c r="AF255" s="166">
        <f t="shared" si="26"/>
        <v>2.837588968544599E-3</v>
      </c>
    </row>
    <row r="256" spans="28:32" x14ac:dyDescent="0.2">
      <c r="AB256" s="168">
        <f>_xll.qlCalendarAdvance(Calendar,AB255,"1d","mf",,Trigger)</f>
        <v>42499</v>
      </c>
      <c r="AC256" s="154">
        <f>_xll.qlDayCounterYearFraction(DayCounter,SettlementDate,AB256,,,Trigger)</f>
        <v>1.0027777777777778</v>
      </c>
      <c r="AD256" s="166">
        <f t="shared" si="24"/>
        <v>2.9458052625454755E-3</v>
      </c>
      <c r="AE256" s="166">
        <f t="shared" si="25"/>
        <v>3.1870124166753959E-3</v>
      </c>
      <c r="AF256" s="166">
        <f t="shared" si="26"/>
        <v>2.7570805749815141E-3</v>
      </c>
    </row>
    <row r="257" spans="28:32" x14ac:dyDescent="0.2">
      <c r="AB257" s="172">
        <f>_xll.qlCalendarAdvance(Calendar,AB256,"1d","mf",,Trigger)</f>
        <v>42500</v>
      </c>
      <c r="AC257" s="159">
        <f>_xll.qlDayCounterYearFraction(DayCounter,SettlementDate,AB257,,,Trigger)</f>
        <v>1.0055555555555555</v>
      </c>
      <c r="AD257" s="175">
        <f t="shared" si="24"/>
        <v>2.9458052625454755E-3</v>
      </c>
      <c r="AE257" s="175">
        <f t="shared" si="25"/>
        <v>3.188375168958616E-3</v>
      </c>
      <c r="AF257" s="175">
        <f t="shared" si="26"/>
        <v>2.729810897287745E-3</v>
      </c>
    </row>
  </sheetData>
  <mergeCells count="5">
    <mergeCell ref="W2:Y2"/>
    <mergeCell ref="N3:N5"/>
    <mergeCell ref="N9:N10"/>
    <mergeCell ref="R9:R10"/>
    <mergeCell ref="T9:T10"/>
  </mergeCells>
  <dataValidations count="3">
    <dataValidation type="list" allowBlank="1" showInputMessage="1" showErrorMessage="1" sqref="C33">
      <formula1>"flat,linear,quadratic"</formula1>
    </dataValidation>
    <dataValidation type="list" allowBlank="1" showInputMessage="1" showErrorMessage="1" sqref="D12">
      <formula1>"Delta(0M;1Y)extrap,fixing"</formula1>
    </dataValidation>
    <dataValidation type="list" allowBlank="1" showInputMessage="1" showErrorMessage="1" sqref="D11">
      <formula1>"linear,MonotonicCubicNaturalSpline, CubicNaturalSpline"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AC56"/>
  <sheetViews>
    <sheetView workbookViewId="0"/>
  </sheetViews>
  <sheetFormatPr defaultRowHeight="11.25" outlineLevelCol="1" x14ac:dyDescent="0.2"/>
  <cols>
    <col min="1" max="1" width="3.5" style="190" bestFit="1" customWidth="1"/>
    <col min="2" max="2" width="20.1640625" style="190" customWidth="1"/>
    <col min="3" max="3" width="17.6640625" style="190" hidden="1" customWidth="1" outlineLevel="1"/>
    <col min="4" max="4" width="20.1640625" style="190" customWidth="1" collapsed="1"/>
    <col min="5" max="5" width="20.1640625" style="190" customWidth="1"/>
    <col min="6" max="8" width="10.5" style="190" bestFit="1" customWidth="1"/>
    <col min="9" max="9" width="17.6640625" style="190" bestFit="1" customWidth="1"/>
    <col min="10" max="10" width="9.33203125" style="190"/>
    <col min="11" max="15" width="9.33203125" style="191"/>
    <col min="16" max="16" width="2.83203125" style="190" customWidth="1"/>
    <col min="17" max="17" width="27.5" style="190" bestFit="1" customWidth="1"/>
    <col min="18" max="18" width="20.1640625" style="190" hidden="1" customWidth="1"/>
    <col min="19" max="19" width="20.1640625" style="190" bestFit="1" customWidth="1"/>
    <col min="20" max="20" width="20.1640625" style="190" customWidth="1"/>
    <col min="21" max="21" width="20.1640625" style="190" hidden="1" customWidth="1"/>
    <col min="22" max="22" width="10" style="190" bestFit="1" customWidth="1"/>
    <col min="23" max="23" width="9.33203125" style="190" customWidth="1"/>
    <col min="24" max="24" width="10" style="190" bestFit="1" customWidth="1"/>
    <col min="25" max="25" width="9.33203125" style="190"/>
    <col min="26" max="26" width="2.83203125" style="190" customWidth="1"/>
    <col min="27" max="16384" width="9.33203125" style="190"/>
  </cols>
  <sheetData>
    <row r="1" spans="1:29" ht="22.5" x14ac:dyDescent="0.2">
      <c r="A1" s="189"/>
      <c r="B1" s="189" t="s">
        <v>69</v>
      </c>
      <c r="C1" s="189"/>
      <c r="D1" s="189" t="s">
        <v>70</v>
      </c>
      <c r="E1" s="189" t="s">
        <v>71</v>
      </c>
      <c r="F1" s="189" t="s">
        <v>34</v>
      </c>
      <c r="G1" s="189" t="s">
        <v>72</v>
      </c>
      <c r="H1" s="189" t="s">
        <v>73</v>
      </c>
    </row>
    <row r="2" spans="1:29" x14ac:dyDescent="0.2">
      <c r="A2" s="194">
        <v>0</v>
      </c>
      <c r="B2" s="195">
        <f>_xll.qlInterestRateIndexFixingDate(IborIndex1Y,D2)</f>
        <v>42136</v>
      </c>
      <c r="C2" s="194" t="str">
        <f>_xll.qlMakeDatedOIS(,D2,E2,OvernightIndex,0,DayCounter,0)</f>
        <v>obj_008c1#0008</v>
      </c>
      <c r="D2" s="195">
        <f>_xll.qlCalendarAdvance(Calendar,SettlementDate,A2&amp;"M","mf")</f>
        <v>42138</v>
      </c>
      <c r="E2" s="195">
        <f>_xll.qlInterestRateIndexMaturity(IborIndex1Y,D2)</f>
        <v>42506</v>
      </c>
      <c r="F2" s="196">
        <f>_xll.qlOvernightIndexedSwapFairRate(C2,_xll.ohTrigger(InterestRatesTrigger))</f>
        <v>-1.2365327707916467E-3</v>
      </c>
      <c r="G2" s="197">
        <f>_xll.qlInterpolationInterpolate(BasisInterpolator,D2,TRUE,F2)</f>
        <v>2.946515929647989E-3</v>
      </c>
      <c r="H2" s="196">
        <f t="shared" ref="H2:H33" si="0">F2+G2</f>
        <v>1.7099831588563423E-3</v>
      </c>
      <c r="AA2" s="192"/>
      <c r="AB2" s="192"/>
      <c r="AC2" s="193"/>
    </row>
    <row r="3" spans="1:29" x14ac:dyDescent="0.2">
      <c r="A3" s="198">
        <v>1</v>
      </c>
      <c r="B3" s="199">
        <f>_xll.qlInterestRateIndexFixingDate(IborIndex1Y,D3)</f>
        <v>42166</v>
      </c>
      <c r="C3" s="198" t="str">
        <f>_xll.qlMakeDatedOIS(,D3,E3,OvernightIndex,0,DayCounter,0)</f>
        <v>obj_008b0#0008</v>
      </c>
      <c r="D3" s="199">
        <f>_xll.qlCalendarAdvance(Calendar,SettlementDate,A3&amp;"M","mf")</f>
        <v>42170</v>
      </c>
      <c r="E3" s="199">
        <f>_xll.qlInterestRateIndexMaturity(IborIndex1Y,D3)</f>
        <v>42536</v>
      </c>
      <c r="F3" s="200">
        <f>_xll.qlOvernightIndexedSwapFairRate(C3,_xll.ohTrigger(InterestRatesTrigger))</f>
        <v>-1.2594435636715969E-3</v>
      </c>
      <c r="G3" s="201">
        <f>_xll.qlInterpolationInterpolate(BasisInterpolator,D3,TRUE,F3)</f>
        <v>2.9836837070390228E-3</v>
      </c>
      <c r="H3" s="200">
        <f t="shared" si="0"/>
        <v>1.7242401433674259E-3</v>
      </c>
      <c r="AA3" s="192"/>
      <c r="AB3" s="192"/>
      <c r="AC3" s="193"/>
    </row>
    <row r="4" spans="1:29" x14ac:dyDescent="0.2">
      <c r="A4" s="198">
        <v>2</v>
      </c>
      <c r="B4" s="199">
        <f>_xll.qlInterestRateIndexFixingDate(IborIndex1Y,D4)</f>
        <v>42195</v>
      </c>
      <c r="C4" s="198" t="str">
        <f>_xll.qlMakeDatedOIS(,D4,E4,OvernightIndex,0,DayCounter,0)</f>
        <v>obj_008c3#0008</v>
      </c>
      <c r="D4" s="199">
        <f>_xll.qlCalendarAdvance(Calendar,SettlementDate,A4&amp;"M","mf")</f>
        <v>42199</v>
      </c>
      <c r="E4" s="199">
        <f>_xll.qlInterestRateIndexMaturity(IborIndex1Y,D4)</f>
        <v>42565</v>
      </c>
      <c r="F4" s="200">
        <f>_xll.qlOvernightIndexedSwapFairRate(C4,_xll.ohTrigger(InterestRatesTrigger))</f>
        <v>-1.2604444096462187E-3</v>
      </c>
      <c r="G4" s="201">
        <f>_xll.qlInterpolationInterpolate(BasisInterpolator,D4,TRUE,F4)</f>
        <v>3.0164215624212802E-3</v>
      </c>
      <c r="H4" s="200">
        <f t="shared" si="0"/>
        <v>1.7559771527750614E-3</v>
      </c>
      <c r="AA4" s="192"/>
      <c r="AB4" s="192"/>
      <c r="AC4" s="193"/>
    </row>
    <row r="5" spans="1:29" x14ac:dyDescent="0.2">
      <c r="A5" s="198">
        <v>3</v>
      </c>
      <c r="B5" s="199">
        <f>_xll.qlInterestRateIndexFixingDate(IborIndex1Y,D5)</f>
        <v>42228</v>
      </c>
      <c r="C5" s="198" t="str">
        <f>_xll.qlMakeDatedOIS(,D5,E5,OvernightIndex,0,DayCounter,0)</f>
        <v>obj_008c7#0008</v>
      </c>
      <c r="D5" s="199">
        <f>_xll.qlCalendarAdvance(Calendar,SettlementDate,A5&amp;"M","mf")</f>
        <v>42230</v>
      </c>
      <c r="E5" s="199">
        <f>_xll.qlInterestRateIndexMaturity(IborIndex1Y,D5)</f>
        <v>42597</v>
      </c>
      <c r="F5" s="200">
        <f>_xll.qlOvernightIndexedSwapFairRate(C5,_xll.ohTrigger(InterestRatesTrigger))</f>
        <v>-1.2471795732420725E-3</v>
      </c>
      <c r="G5" s="201">
        <f>_xll.qlInterpolationInterpolate(BasisInterpolator,D5,TRUE,F5)</f>
        <v>3.0494397342007546E-3</v>
      </c>
      <c r="H5" s="200">
        <f t="shared" si="0"/>
        <v>1.8022601609586821E-3</v>
      </c>
      <c r="AA5" s="192"/>
      <c r="AB5" s="192"/>
      <c r="AC5" s="193"/>
    </row>
    <row r="6" spans="1:29" x14ac:dyDescent="0.2">
      <c r="A6" s="198">
        <v>4</v>
      </c>
      <c r="B6" s="199">
        <f>_xll.qlInterestRateIndexFixingDate(IborIndex1Y,D6)</f>
        <v>42257</v>
      </c>
      <c r="C6" s="198" t="str">
        <f>_xll.qlMakeDatedOIS(,D6,E6,OvernightIndex,0,DayCounter,0)</f>
        <v>obj_008ac#0008</v>
      </c>
      <c r="D6" s="199">
        <f>_xll.qlCalendarAdvance(Calendar,SettlementDate,A6&amp;"M","mf")</f>
        <v>42261</v>
      </c>
      <c r="E6" s="199">
        <f>_xll.qlInterestRateIndexMaturity(IborIndex1Y,D6)</f>
        <v>42627</v>
      </c>
      <c r="F6" s="200">
        <f>_xll.qlOvernightIndexedSwapFairRate(C6,_xll.ohTrigger(InterestRatesTrigger))</f>
        <v>-1.2314747437742455E-3</v>
      </c>
      <c r="G6" s="201">
        <f>_xll.qlInterpolationInterpolate(BasisInterpolator,D6,TRUE,F6)</f>
        <v>3.0794094005092251E-3</v>
      </c>
      <c r="H6" s="200">
        <f t="shared" si="0"/>
        <v>1.8479346567349796E-3</v>
      </c>
      <c r="AA6" s="192"/>
      <c r="AB6" s="192"/>
      <c r="AC6" s="193"/>
    </row>
    <row r="7" spans="1:29" x14ac:dyDescent="0.2">
      <c r="A7" s="198">
        <v>5</v>
      </c>
      <c r="B7" s="199">
        <f>_xll.qlInterestRateIndexFixingDate(IborIndex1Y,D7)</f>
        <v>42289</v>
      </c>
      <c r="C7" s="198" t="str">
        <f>_xll.qlMakeDatedOIS(,D7,E7,OvernightIndex,0,DayCounter,0)</f>
        <v>obj_008b6#0008</v>
      </c>
      <c r="D7" s="199">
        <f>_xll.qlCalendarAdvance(Calendar,SettlementDate,A7&amp;"M","mf")</f>
        <v>42291</v>
      </c>
      <c r="E7" s="199">
        <f>_xll.qlInterestRateIndexMaturity(IborIndex1Y,D7)</f>
        <v>42657</v>
      </c>
      <c r="F7" s="200">
        <f>_xll.qlOvernightIndexedSwapFairRate(C7,_xll.ohTrigger(InterestRatesTrigger))</f>
        <v>-1.2265923415604649E-3</v>
      </c>
      <c r="G7" s="201">
        <f>_xll.qlInterpolationInterpolate(BasisInterpolator,D7,TRUE,F7)</f>
        <v>3.1045421923846187E-3</v>
      </c>
      <c r="H7" s="200">
        <f t="shared" si="0"/>
        <v>1.8779498508241538E-3</v>
      </c>
      <c r="AA7" s="192"/>
      <c r="AB7" s="192"/>
      <c r="AC7" s="193"/>
    </row>
    <row r="8" spans="1:29" x14ac:dyDescent="0.2">
      <c r="A8" s="198">
        <v>6</v>
      </c>
      <c r="B8" s="199">
        <f>_xll.qlInterestRateIndexFixingDate(IborIndex1Y,D8)</f>
        <v>42320</v>
      </c>
      <c r="C8" s="198" t="str">
        <f>_xll.qlMakeDatedOIS(,D8,E8,OvernightIndex,0,DayCounter,0)</f>
        <v>obj_008c0#0008</v>
      </c>
      <c r="D8" s="199">
        <f>_xll.qlCalendarAdvance(Calendar,SettlementDate,A8&amp;"M","mf")</f>
        <v>42324</v>
      </c>
      <c r="E8" s="199">
        <f>_xll.qlInterestRateIndexMaturity(IborIndex1Y,D8)</f>
        <v>42690</v>
      </c>
      <c r="F8" s="200">
        <f>_xll.qlOvernightIndexedSwapFairRate(C8,_xll.ohTrigger(InterestRatesTrigger))</f>
        <v>-1.2033029851947509E-3</v>
      </c>
      <c r="G8" s="201">
        <f>_xll.qlInterpolationInterpolate(BasisInterpolator,D8,TRUE,F8)</f>
        <v>3.1266684934919495E-3</v>
      </c>
      <c r="H8" s="200">
        <f t="shared" si="0"/>
        <v>1.9233655082971986E-3</v>
      </c>
      <c r="AA8" s="192"/>
      <c r="AB8" s="192"/>
      <c r="AC8" s="193"/>
    </row>
    <row r="9" spans="1:29" x14ac:dyDescent="0.2">
      <c r="A9" s="198">
        <v>7</v>
      </c>
      <c r="B9" s="199">
        <f>_xll.qlInterestRateIndexFixingDate(IborIndex1Y,D9)</f>
        <v>42348</v>
      </c>
      <c r="C9" s="198" t="str">
        <f>_xll.qlMakeDatedOIS(,D9,E9,OvernightIndex,0,DayCounter,0)</f>
        <v>obj_008bb#0008</v>
      </c>
      <c r="D9" s="199">
        <f>_xll.qlCalendarAdvance(Calendar,SettlementDate,A9&amp;"M","mf")</f>
        <v>42352</v>
      </c>
      <c r="E9" s="199">
        <f>_xll.qlInterestRateIndexMaturity(IborIndex1Y,D9)</f>
        <v>42718</v>
      </c>
      <c r="F9" s="200">
        <f>_xll.qlOvernightIndexedSwapFairRate(C9,_xll.ohTrigger(InterestRatesTrigger))</f>
        <v>-1.17053295210175E-3</v>
      </c>
      <c r="G9" s="201">
        <f>_xll.qlInterpolationInterpolate(BasisInterpolator,D9,TRUE,F9)</f>
        <v>3.1400143538303305E-3</v>
      </c>
      <c r="H9" s="200">
        <f t="shared" si="0"/>
        <v>1.9694814017285804E-3</v>
      </c>
      <c r="I9" s="193"/>
      <c r="AA9" s="192"/>
      <c r="AB9" s="192"/>
      <c r="AC9" s="193"/>
    </row>
    <row r="10" spans="1:29" x14ac:dyDescent="0.2">
      <c r="A10" s="198">
        <v>8</v>
      </c>
      <c r="B10" s="199">
        <f>_xll.qlInterestRateIndexFixingDate(IborIndex1Y,D10)</f>
        <v>42381</v>
      </c>
      <c r="C10" s="198" t="str">
        <f>_xll.qlMakeDatedOIS(,D10,E10,OvernightIndex,0,DayCounter,0)</f>
        <v>obj_008d0#0008</v>
      </c>
      <c r="D10" s="199">
        <f>_xll.qlCalendarAdvance(Calendar,SettlementDate,A10&amp;"M","mf")</f>
        <v>42383</v>
      </c>
      <c r="E10" s="199">
        <f>_xll.qlInterestRateIndexMaturity(IborIndex1Y,D10)</f>
        <v>42751</v>
      </c>
      <c r="F10" s="200">
        <f>_xll.qlOvernightIndexedSwapFairRate(C10,_xll.ohTrigger(InterestRatesTrigger))</f>
        <v>-1.1011740635344226E-3</v>
      </c>
      <c r="G10" s="201">
        <f>_xll.qlInterpolationInterpolate(BasisInterpolator,D10,TRUE,F10)</f>
        <v>3.1480106235864083E-3</v>
      </c>
      <c r="H10" s="200">
        <f t="shared" si="0"/>
        <v>2.0468365600519855E-3</v>
      </c>
      <c r="I10" s="193"/>
      <c r="AA10" s="192"/>
      <c r="AB10" s="192"/>
      <c r="AC10" s="193"/>
    </row>
    <row r="11" spans="1:29" x14ac:dyDescent="0.2">
      <c r="A11" s="198">
        <v>9</v>
      </c>
      <c r="B11" s="199">
        <f>_xll.qlInterestRateIndexFixingDate(IborIndex1Y,D11)</f>
        <v>42411</v>
      </c>
      <c r="C11" s="198" t="str">
        <f>_xll.qlMakeDatedOIS(,D11,E11,OvernightIndex,0,DayCounter,0)</f>
        <v>obj_008bf#0008</v>
      </c>
      <c r="D11" s="199">
        <f>_xll.qlCalendarAdvance(Calendar,SettlementDate,A11&amp;"M","mf")</f>
        <v>42415</v>
      </c>
      <c r="E11" s="199">
        <f>_xll.qlInterestRateIndexMaturity(IborIndex1Y,D11)</f>
        <v>42781</v>
      </c>
      <c r="F11" s="200">
        <f>_xll.qlOvernightIndexedSwapFairRate(C11,_xll.ohTrigger(InterestRatesTrigger))</f>
        <v>-1.0461047056561968E-3</v>
      </c>
      <c r="G11" s="201">
        <f>_xll.qlInterpolationInterpolate(BasisInterpolator,D11,TRUE,F11)</f>
        <v>3.1477379044313313E-3</v>
      </c>
      <c r="H11" s="200">
        <f t="shared" si="0"/>
        <v>2.1016331987751347E-3</v>
      </c>
      <c r="I11" s="193"/>
      <c r="AA11" s="192"/>
      <c r="AB11" s="192"/>
      <c r="AC11" s="193"/>
    </row>
    <row r="12" spans="1:29" x14ac:dyDescent="0.2">
      <c r="A12" s="198">
        <v>10</v>
      </c>
      <c r="B12" s="199">
        <f>_xll.qlInterestRateIndexFixingDate(IborIndex1Y,D12)</f>
        <v>42439</v>
      </c>
      <c r="C12" s="198" t="str">
        <f>_xll.qlMakeDatedOIS(,D12,E12,OvernightIndex,0,DayCounter,0)</f>
        <v>obj_008b3#0008</v>
      </c>
      <c r="D12" s="199">
        <f>_xll.qlCalendarAdvance(Calendar,SettlementDate,A12&amp;"M","mf")</f>
        <v>42443</v>
      </c>
      <c r="E12" s="199">
        <f>_xll.qlInterestRateIndexMaturity(IborIndex1Y,D12)</f>
        <v>42808</v>
      </c>
      <c r="F12" s="200">
        <f>_xll.qlOvernightIndexedSwapFairRate(C12,_xll.ohTrigger(InterestRatesTrigger))</f>
        <v>-9.7598282353297784E-4</v>
      </c>
      <c r="G12" s="201">
        <f>_xll.qlInterpolationInterpolate(BasisInterpolator,D12,TRUE,F12)</f>
        <v>3.1395149299814607E-3</v>
      </c>
      <c r="H12" s="200">
        <f t="shared" si="0"/>
        <v>2.163532106448483E-3</v>
      </c>
      <c r="I12" s="193"/>
      <c r="AA12" s="192"/>
      <c r="AB12" s="192"/>
      <c r="AC12" s="193"/>
    </row>
    <row r="13" spans="1:29" x14ac:dyDescent="0.2">
      <c r="A13" s="202">
        <v>11</v>
      </c>
      <c r="B13" s="203">
        <f>_xll.qlInterestRateIndexFixingDate(IborIndex1Y,D13)</f>
        <v>42472</v>
      </c>
      <c r="C13" s="202" t="str">
        <f>_xll.qlMakeDatedOIS(,D13,E13,OvernightIndex,0,DayCounter,0)</f>
        <v>obj_008c4#0008</v>
      </c>
      <c r="D13" s="203">
        <f>_xll.qlCalendarAdvance(Calendar,SettlementDate,A13&amp;"M","mf")</f>
        <v>42474</v>
      </c>
      <c r="E13" s="203">
        <f>_xll.qlInterestRateIndexMaturity(IborIndex1Y,D13)</f>
        <v>42843</v>
      </c>
      <c r="F13" s="204">
        <f>_xll.qlOvernightIndexedSwapFairRate(C13,_xll.ohTrigger(InterestRatesTrigger))</f>
        <v>-8.7891784473493142E-4</v>
      </c>
      <c r="G13" s="205">
        <f>_xll.qlInterpolationInterpolate(BasisInterpolator,D13,TRUE,F13)</f>
        <v>3.1207619538006978E-3</v>
      </c>
      <c r="H13" s="204">
        <f t="shared" si="0"/>
        <v>2.2418441090657666E-3</v>
      </c>
      <c r="I13" s="193"/>
      <c r="AA13" s="192"/>
      <c r="AB13" s="192"/>
      <c r="AC13" s="193"/>
    </row>
    <row r="14" spans="1:29" x14ac:dyDescent="0.2">
      <c r="A14" s="194">
        <v>12</v>
      </c>
      <c r="B14" s="195">
        <f>_xll.qlInterestRateIndexFixingDate(IborIndex1Y,D14)</f>
        <v>42502</v>
      </c>
      <c r="C14" s="194" t="str">
        <f>_xll.qlMakeDatedOIS(,D14,E14,OvernightIndex,0,DayCounter,0)</f>
        <v>obj_008cd#0008</v>
      </c>
      <c r="D14" s="195">
        <f>_xll.qlCalendarAdvance(Calendar,SettlementDate,A14&amp;"M","mf")</f>
        <v>42506</v>
      </c>
      <c r="E14" s="195">
        <f>_xll.qlInterestRateIndexMaturity(IborIndex1Y,D14)</f>
        <v>42871</v>
      </c>
      <c r="F14" s="196">
        <f>_xll.qlOvernightIndexedSwapFairRate(C14,_xll.ohTrigger(InterestRatesTrigger))</f>
        <v>-7.7971426641719639E-4</v>
      </c>
      <c r="G14" s="197">
        <f>_xll.qlInterpolationInterpolate(BasisInterpolator,D14,TRUE,F14)</f>
        <v>3.0897142664170541E-3</v>
      </c>
      <c r="H14" s="196">
        <f t="shared" si="0"/>
        <v>2.3099999999998577E-3</v>
      </c>
      <c r="I14" s="193"/>
      <c r="AA14" s="192"/>
      <c r="AB14" s="192"/>
      <c r="AC14" s="193"/>
    </row>
    <row r="15" spans="1:29" x14ac:dyDescent="0.2">
      <c r="A15" s="198">
        <v>13</v>
      </c>
      <c r="B15" s="199">
        <f>_xll.qlInterestRateIndexFixingDate(IborIndex1Y,D15)</f>
        <v>42531</v>
      </c>
      <c r="C15" s="198" t="str">
        <f>_xll.qlMakeDatedOIS(,D15,E15,OvernightIndex,0,DayCounter,0)</f>
        <v>obj_008af#0008</v>
      </c>
      <c r="D15" s="199">
        <f>_xll.qlCalendarAdvance(Calendar,SettlementDate,A15&amp;"M","mf")</f>
        <v>42535</v>
      </c>
      <c r="E15" s="199">
        <f>_xll.qlInterestRateIndexMaturity(IborIndex1Y,D15)</f>
        <v>42900</v>
      </c>
      <c r="F15" s="200">
        <f>_xll.qlOvernightIndexedSwapFairRate(C15,_xll.ohTrigger(InterestRatesTrigger))</f>
        <v>-6.7255098217712203E-4</v>
      </c>
      <c r="G15" s="201">
        <f>_xll.qlInterpolationInterpolate(BasisInterpolator,D15,TRUE,F15)</f>
        <v>3.0430253960019812E-3</v>
      </c>
      <c r="H15" s="200">
        <f t="shared" si="0"/>
        <v>2.3704744138248589E-3</v>
      </c>
      <c r="I15" s="193"/>
      <c r="AA15" s="192"/>
      <c r="AB15" s="192"/>
      <c r="AC15" s="193"/>
    </row>
    <row r="16" spans="1:29" x14ac:dyDescent="0.2">
      <c r="A16" s="198">
        <v>14</v>
      </c>
      <c r="B16" s="199">
        <f>_xll.qlInterestRateIndexFixingDate(IborIndex1Y,D16)</f>
        <v>42563</v>
      </c>
      <c r="C16" s="198" t="str">
        <f>_xll.qlMakeDatedOIS(,D16,E16,OvernightIndex,0,DayCounter,0)</f>
        <v>obj_008ae#0008</v>
      </c>
      <c r="D16" s="199">
        <f>_xll.qlCalendarAdvance(Calendar,SettlementDate,A16&amp;"M","mf")</f>
        <v>42565</v>
      </c>
      <c r="E16" s="199">
        <f>_xll.qlInterestRateIndexMaturity(IborIndex1Y,D16)</f>
        <v>42930</v>
      </c>
      <c r="F16" s="200">
        <f>_xll.qlOvernightIndexedSwapFairRate(C16,_xll.ohTrigger(InterestRatesTrigger))</f>
        <v>-5.6043472174917416E-4</v>
      </c>
      <c r="G16" s="201">
        <f>_xll.qlInterpolationInterpolate(BasisInterpolator,D16,TRUE,F16)</f>
        <v>2.9693278780535829E-3</v>
      </c>
      <c r="H16" s="200">
        <f t="shared" si="0"/>
        <v>2.4088931563044087E-3</v>
      </c>
      <c r="I16" s="193"/>
      <c r="AA16" s="192"/>
      <c r="AB16" s="192"/>
      <c r="AC16" s="193"/>
    </row>
    <row r="17" spans="1:29" x14ac:dyDescent="0.2">
      <c r="A17" s="198">
        <v>15</v>
      </c>
      <c r="B17" s="199">
        <f>_xll.qlInterestRateIndexFixingDate(IborIndex1Y,D17)</f>
        <v>42593</v>
      </c>
      <c r="C17" s="198" t="str">
        <f>_xll.qlMakeDatedOIS(,D17,E17,OvernightIndex,0,DayCounter,0)</f>
        <v>obj_008c9#0008</v>
      </c>
      <c r="D17" s="199">
        <f>_xll.qlCalendarAdvance(Calendar,SettlementDate,A17&amp;"M","mf")</f>
        <v>42597</v>
      </c>
      <c r="E17" s="199">
        <f>_xll.qlInterestRateIndexMaturity(IborIndex1Y,D17)</f>
        <v>42962</v>
      </c>
      <c r="F17" s="200">
        <f>_xll.qlOvernightIndexedSwapFairRate(C17,_xll.ohTrigger(InterestRatesTrigger))</f>
        <v>-4.3427419278493348E-4</v>
      </c>
      <c r="G17" s="201">
        <f>_xll.qlInterpolationInterpolate(BasisInterpolator,D17,TRUE,F17)</f>
        <v>2.8650383416134002E-3</v>
      </c>
      <c r="H17" s="200">
        <f t="shared" si="0"/>
        <v>2.4307641488284667E-3</v>
      </c>
      <c r="I17" s="193"/>
      <c r="AA17" s="192"/>
      <c r="AB17" s="192"/>
      <c r="AC17" s="193"/>
    </row>
    <row r="18" spans="1:29" x14ac:dyDescent="0.2">
      <c r="A18" s="198">
        <v>16</v>
      </c>
      <c r="B18" s="199">
        <f>_xll.qlInterestRateIndexFixingDate(IborIndex1Y,D18)</f>
        <v>42625</v>
      </c>
      <c r="C18" s="198" t="str">
        <f>_xll.qlMakeDatedOIS(,D18,E18,OvernightIndex,0,DayCounter,0)</f>
        <v>obj_008cf#0008</v>
      </c>
      <c r="D18" s="199">
        <f>_xll.qlCalendarAdvance(Calendar,SettlementDate,A18&amp;"M","mf")</f>
        <v>42627</v>
      </c>
      <c r="E18" s="199">
        <f>_xll.qlInterestRateIndexMaturity(IborIndex1Y,D18)</f>
        <v>42992</v>
      </c>
      <c r="F18" s="200">
        <f>_xll.qlOvernightIndexedSwapFairRate(C18,_xll.ohTrigger(InterestRatesTrigger))</f>
        <v>-3.0490637970448375E-4</v>
      </c>
      <c r="G18" s="201">
        <f>_xll.qlInterpolationInterpolate(BasisInterpolator,D18,TRUE,F18)</f>
        <v>2.7458379510910255E-3</v>
      </c>
      <c r="H18" s="200">
        <f t="shared" si="0"/>
        <v>2.4409315713865417E-3</v>
      </c>
      <c r="I18" s="193"/>
      <c r="AA18" s="192"/>
      <c r="AB18" s="192"/>
      <c r="AC18" s="193"/>
    </row>
    <row r="19" spans="1:29" x14ac:dyDescent="0.2">
      <c r="A19" s="198">
        <v>17</v>
      </c>
      <c r="B19" s="199">
        <f>_xll.qlInterestRateIndexFixingDate(IborIndex1Y,D19)</f>
        <v>42655</v>
      </c>
      <c r="C19" s="198" t="str">
        <f>_xll.qlMakeDatedOIS(,D19,E19,OvernightIndex,0,DayCounter,0)</f>
        <v>obj_008ab#0008</v>
      </c>
      <c r="D19" s="199">
        <f>_xll.qlCalendarAdvance(Calendar,SettlementDate,A19&amp;"M","mf")</f>
        <v>42657</v>
      </c>
      <c r="E19" s="199">
        <f>_xll.qlInterestRateIndexMaturity(IborIndex1Y,D19)</f>
        <v>43024</v>
      </c>
      <c r="F19" s="200">
        <f>_xll.qlOvernightIndexedSwapFairRate(C19,_xll.ohTrigger(InterestRatesTrigger))</f>
        <v>-1.5878472241997874E-4</v>
      </c>
      <c r="G19" s="201">
        <f>_xll.qlInterpolationInterpolate(BasisInterpolator,D19,TRUE,F19)</f>
        <v>2.6084595175798128E-3</v>
      </c>
      <c r="H19" s="200">
        <f t="shared" si="0"/>
        <v>2.449674795159834E-3</v>
      </c>
      <c r="I19" s="193"/>
      <c r="AA19" s="192"/>
      <c r="AB19" s="192"/>
      <c r="AC19" s="193"/>
    </row>
    <row r="20" spans="1:29" x14ac:dyDescent="0.2">
      <c r="A20" s="198">
        <v>18</v>
      </c>
      <c r="B20" s="199">
        <f>_xll.qlInterestRateIndexFixingDate(IborIndex1Y,D20)</f>
        <v>42684</v>
      </c>
      <c r="C20" s="198" t="str">
        <f>_xll.qlMakeDatedOIS(,D20,E20,OvernightIndex,0,DayCounter,0)</f>
        <v>obj_008b7#0008</v>
      </c>
      <c r="D20" s="199">
        <f>_xll.qlCalendarAdvance(Calendar,SettlementDate,A20&amp;"M","mf")</f>
        <v>42688</v>
      </c>
      <c r="E20" s="199">
        <f>_xll.qlInterestRateIndexMaturity(IborIndex1Y,D20)</f>
        <v>43053</v>
      </c>
      <c r="F20" s="200">
        <f>_xll.qlOvernightIndexedSwapFairRate(C20,_xll.ohTrigger(InterestRatesTrigger))</f>
        <v>-5.7849122081114853E-6</v>
      </c>
      <c r="G20" s="201">
        <f>_xll.qlInterpolationInterpolate(BasisInterpolator,D20,TRUE,F20)</f>
        <v>2.4500645852664894E-3</v>
      </c>
      <c r="H20" s="200">
        <f t="shared" si="0"/>
        <v>2.4442796730583779E-3</v>
      </c>
      <c r="I20" s="193"/>
      <c r="AA20" s="192"/>
      <c r="AB20" s="192"/>
      <c r="AC20" s="193"/>
    </row>
    <row r="21" spans="1:29" x14ac:dyDescent="0.2">
      <c r="A21" s="198">
        <v>19</v>
      </c>
      <c r="B21" s="199">
        <f>_xll.qlInterestRateIndexFixingDate(IborIndex1Y,D21)</f>
        <v>42716</v>
      </c>
      <c r="C21" s="198" t="str">
        <f>_xll.qlMakeDatedOIS(,D21,E21,OvernightIndex,0,DayCounter,0)</f>
        <v>obj_008a8#0008</v>
      </c>
      <c r="D21" s="199">
        <f>_xll.qlCalendarAdvance(Calendar,SettlementDate,A21&amp;"M","mf")</f>
        <v>42718</v>
      </c>
      <c r="E21" s="199">
        <f>_xll.qlInterestRateIndexMaturity(IborIndex1Y,D21)</f>
        <v>43083</v>
      </c>
      <c r="F21" s="200">
        <f>_xll.qlOvernightIndexedSwapFairRate(C21,_xll.ohTrigger(InterestRatesTrigger))</f>
        <v>1.5806974387361914E-4</v>
      </c>
      <c r="G21" s="201">
        <f>_xll.qlInterpolationInterpolate(BasisInterpolator,D21,TRUE,F21)</f>
        <v>2.2834462075577034E-3</v>
      </c>
      <c r="H21" s="200">
        <f t="shared" si="0"/>
        <v>2.4415159514313226E-3</v>
      </c>
      <c r="I21" s="193"/>
      <c r="AA21" s="192"/>
      <c r="AB21" s="192"/>
      <c r="AC21" s="193"/>
    </row>
    <row r="22" spans="1:29" x14ac:dyDescent="0.2">
      <c r="A22" s="198">
        <v>20</v>
      </c>
      <c r="B22" s="199">
        <f>_xll.qlInterestRateIndexFixingDate(IborIndex1Y,D22)</f>
        <v>42747</v>
      </c>
      <c r="C22" s="198" t="str">
        <f>_xll.qlMakeDatedOIS(,D22,E22,OvernightIndex,0,DayCounter,0)</f>
        <v>obj_008c8#0008</v>
      </c>
      <c r="D22" s="199">
        <f>_xll.qlCalendarAdvance(Calendar,SettlementDate,A22&amp;"M","mf")</f>
        <v>42751</v>
      </c>
      <c r="E22" s="199">
        <f>_xll.qlInterestRateIndexMaturity(IborIndex1Y,D22)</f>
        <v>43116</v>
      </c>
      <c r="F22" s="200">
        <f>_xll.qlOvernightIndexedSwapFairRate(C22,_xll.ohTrigger(InterestRatesTrigger))</f>
        <v>3.1178692854475518E-4</v>
      </c>
      <c r="G22" s="201">
        <f>_xll.qlInterpolationInterpolate(BasisInterpolator,D22,TRUE,F22)</f>
        <v>2.0880395419826253E-3</v>
      </c>
      <c r="H22" s="200">
        <f t="shared" si="0"/>
        <v>2.3998264705273804E-3</v>
      </c>
      <c r="I22" s="193"/>
      <c r="AA22" s="192"/>
      <c r="AB22" s="192"/>
      <c r="AC22" s="193"/>
    </row>
    <row r="23" spans="1:29" x14ac:dyDescent="0.2">
      <c r="A23" s="198">
        <v>21</v>
      </c>
      <c r="B23" s="199">
        <f>_xll.qlInterestRateIndexFixingDate(IborIndex1Y,D23)</f>
        <v>42776</v>
      </c>
      <c r="C23" s="198" t="str">
        <f>_xll.qlMakeDatedOIS(,D23,E23,OvernightIndex,0,DayCounter,0)</f>
        <v>obj_008be#0008</v>
      </c>
      <c r="D23" s="199">
        <f>_xll.qlCalendarAdvance(Calendar,SettlementDate,A23&amp;"M","mf")</f>
        <v>42780</v>
      </c>
      <c r="E23" s="199">
        <f>_xll.qlInterestRateIndexMaturity(IborIndex1Y,D23)</f>
        <v>43145</v>
      </c>
      <c r="F23" s="200">
        <f>_xll.qlOvernightIndexedSwapFairRate(C23,_xll.ohTrigger(InterestRatesTrigger))</f>
        <v>4.7668855411435852E-4</v>
      </c>
      <c r="G23" s="201">
        <f>_xll.qlInterpolationInterpolate(BasisInterpolator,D23,TRUE,F23)</f>
        <v>1.9083879141152656E-3</v>
      </c>
      <c r="H23" s="200">
        <f t="shared" si="0"/>
        <v>2.3850764682296242E-3</v>
      </c>
      <c r="I23" s="193"/>
      <c r="AA23" s="192"/>
      <c r="AB23" s="192"/>
      <c r="AC23" s="193"/>
    </row>
    <row r="24" spans="1:29" x14ac:dyDescent="0.2">
      <c r="A24" s="198">
        <v>22</v>
      </c>
      <c r="B24" s="199">
        <f>_xll.qlInterestRateIndexFixingDate(IborIndex1Y,D24)</f>
        <v>42804</v>
      </c>
      <c r="C24" s="198" t="str">
        <f>_xll.qlMakeDatedOIS(,D24,E24,OvernightIndex,0,DayCounter,0)</f>
        <v>obj_008c6#0008</v>
      </c>
      <c r="D24" s="199">
        <f>_xll.qlCalendarAdvance(Calendar,SettlementDate,A24&amp;"M","mf")</f>
        <v>42808</v>
      </c>
      <c r="E24" s="199">
        <f>_xll.qlInterestRateIndexMaturity(IborIndex1Y,D24)</f>
        <v>43173</v>
      </c>
      <c r="F24" s="200">
        <f>_xll.qlOvernightIndexedSwapFairRate(C24,_xll.ohTrigger(InterestRatesTrigger))</f>
        <v>6.3280861930252094E-4</v>
      </c>
      <c r="G24" s="201">
        <f>_xll.qlInterpolationInterpolate(BasisInterpolator,D24,TRUE,F24)</f>
        <v>1.7301117516080355E-3</v>
      </c>
      <c r="H24" s="200">
        <f t="shared" si="0"/>
        <v>2.3629203709105563E-3</v>
      </c>
      <c r="I24" s="193"/>
      <c r="AA24" s="192"/>
      <c r="AB24" s="192"/>
      <c r="AC24" s="193"/>
    </row>
    <row r="25" spans="1:29" x14ac:dyDescent="0.2">
      <c r="A25" s="202">
        <v>23</v>
      </c>
      <c r="B25" s="203">
        <f>_xll.qlInterestRateIndexFixingDate(IborIndex1Y,D25)</f>
        <v>42837</v>
      </c>
      <c r="C25" s="202" t="str">
        <f>_xll.qlMakeDatedOIS(,D25,E25,OvernightIndex,0,DayCounter,0)</f>
        <v>obj_008d6#0008</v>
      </c>
      <c r="D25" s="203">
        <f>_xll.qlCalendarAdvance(Calendar,SettlementDate,A25&amp;"M","mf")</f>
        <v>42843</v>
      </c>
      <c r="E25" s="203">
        <f>_xll.qlInterestRateIndexMaturity(IborIndex1Y,D25)</f>
        <v>43208</v>
      </c>
      <c r="F25" s="204">
        <f>_xll.qlOvernightIndexedSwapFairRate(C25,_xll.ohTrigger(InterestRatesTrigger))</f>
        <v>8.2736510323020524E-4</v>
      </c>
      <c r="G25" s="205">
        <f>_xll.qlInterpolationInterpolate(BasisInterpolator,D25,TRUE,F25)</f>
        <v>1.5037437135955415E-3</v>
      </c>
      <c r="H25" s="204">
        <f t="shared" si="0"/>
        <v>2.3311088168257469E-3</v>
      </c>
      <c r="I25" s="193"/>
      <c r="AA25" s="192"/>
      <c r="AB25" s="192"/>
      <c r="AC25" s="193"/>
    </row>
    <row r="26" spans="1:29" x14ac:dyDescent="0.2">
      <c r="A26" s="194">
        <v>24</v>
      </c>
      <c r="B26" s="195">
        <f>_xll.qlInterestRateIndexFixingDate(IborIndex1Y,D26)</f>
        <v>42866</v>
      </c>
      <c r="C26" s="194" t="str">
        <f>_xll.qlMakeDatedOIS(,D26,E26,OvernightIndex,0,DayCounter,0)</f>
        <v>obj_008ad#0008</v>
      </c>
      <c r="D26" s="195">
        <f>_xll.qlCalendarAdvance(Calendar,SettlementDate,A26&amp;"M","mf")</f>
        <v>42870</v>
      </c>
      <c r="E26" s="195">
        <f>_xll.qlInterestRateIndexMaturity(IborIndex1Y,D26)</f>
        <v>43235</v>
      </c>
      <c r="F26" s="196">
        <f>_xll.qlOvernightIndexedSwapFairRate(C26,_xll.ohTrigger(InterestRatesTrigger))</f>
        <v>9.8122881164943495E-4</v>
      </c>
      <c r="G26" s="197">
        <f>_xll.qlInterpolationInterpolate(BasisInterpolator,D26,TRUE,F26)</f>
        <v>1.328771188350423E-3</v>
      </c>
      <c r="H26" s="196">
        <f t="shared" si="0"/>
        <v>2.3099999999998582E-3</v>
      </c>
      <c r="I26" s="193"/>
      <c r="AA26" s="192"/>
      <c r="AB26" s="192"/>
      <c r="AC26" s="193"/>
    </row>
    <row r="27" spans="1:29" x14ac:dyDescent="0.2">
      <c r="A27" s="198">
        <v>25</v>
      </c>
      <c r="B27" s="199">
        <f>_xll.qlInterestRateIndexFixingDate(IborIndex1Y,D27)</f>
        <v>42898</v>
      </c>
      <c r="C27" s="198" t="str">
        <f>_xll.qlMakeDatedOIS(,D27,E27,OvernightIndex,0,DayCounter,0)</f>
        <v>obj_008b2#0008</v>
      </c>
      <c r="D27" s="199">
        <f>_xll.qlCalendarAdvance(Calendar,SettlementDate,A27&amp;"M","mf")</f>
        <v>42900</v>
      </c>
      <c r="E27" s="199">
        <f>_xll.qlInterestRateIndexMaturity(IborIndex1Y,D27)</f>
        <v>43265</v>
      </c>
      <c r="F27" s="200">
        <f>_xll.qlOvernightIndexedSwapFairRate(C27,_xll.ohTrigger(InterestRatesTrigger))</f>
        <v>1.1595465002398886E-3</v>
      </c>
      <c r="G27" s="201">
        <f>_xll.qlInterpolationInterpolate(BasisInterpolator,D27,TRUE,F27)</f>
        <v>1.1336382643280848E-3</v>
      </c>
      <c r="H27" s="200">
        <f t="shared" si="0"/>
        <v>2.2931847645679734E-3</v>
      </c>
      <c r="I27" s="193"/>
      <c r="AA27" s="192"/>
      <c r="AB27" s="192"/>
      <c r="AC27" s="193"/>
    </row>
    <row r="28" spans="1:29" x14ac:dyDescent="0.2">
      <c r="A28" s="198">
        <v>26</v>
      </c>
      <c r="B28" s="199">
        <f>_xll.qlInterestRateIndexFixingDate(IborIndex1Y,D28)</f>
        <v>42928</v>
      </c>
      <c r="C28" s="198" t="str">
        <f>_xll.qlMakeDatedOIS(,D28,E28,OvernightIndex,0,DayCounter,0)</f>
        <v>obj_008b8#0008</v>
      </c>
      <c r="D28" s="199">
        <f>_xll.qlCalendarAdvance(Calendar,SettlementDate,A28&amp;"M","mf")</f>
        <v>42930</v>
      </c>
      <c r="E28" s="199">
        <f>_xll.qlInterestRateIndexMaturity(IborIndex1Y,D28)</f>
        <v>43297</v>
      </c>
      <c r="F28" s="200">
        <f>_xll.qlOvernightIndexedSwapFairRate(C28,_xll.ohTrigger(InterestRatesTrigger))</f>
        <v>1.3523600015894954E-3</v>
      </c>
      <c r="G28" s="201">
        <f>_xll.qlInterpolationInterpolate(BasisInterpolator,D28,TRUE,F28)</f>
        <v>9.3600679362335049E-4</v>
      </c>
      <c r="H28" s="200">
        <f t="shared" si="0"/>
        <v>2.2883667952128461E-3</v>
      </c>
      <c r="I28" s="193"/>
      <c r="AA28" s="192"/>
      <c r="AB28" s="192"/>
      <c r="AC28" s="193"/>
    </row>
    <row r="29" spans="1:29" x14ac:dyDescent="0.2">
      <c r="A29" s="198">
        <v>27</v>
      </c>
      <c r="B29" s="199">
        <f>_xll.qlInterestRateIndexFixingDate(IborIndex1Y,D29)</f>
        <v>42957</v>
      </c>
      <c r="C29" s="198" t="str">
        <f>_xll.qlMakeDatedOIS(,D29,E29,OvernightIndex,0,DayCounter,0)</f>
        <v>obj_008aa#0008</v>
      </c>
      <c r="D29" s="199">
        <f>_xll.qlCalendarAdvance(Calendar,SettlementDate,A29&amp;"M","mf")</f>
        <v>42961</v>
      </c>
      <c r="E29" s="199">
        <f>_xll.qlInterestRateIndexMaturity(IborIndex1Y,D29)</f>
        <v>43326</v>
      </c>
      <c r="F29" s="200">
        <f>_xll.qlOvernightIndexedSwapFairRate(C29,_xll.ohTrigger(InterestRatesTrigger))</f>
        <v>1.5448323083891763E-3</v>
      </c>
      <c r="G29" s="201">
        <f>_xll.qlInterpolationInterpolate(BasisInterpolator,D29,TRUE,F29)</f>
        <v>7.2941346000636291E-4</v>
      </c>
      <c r="H29" s="200">
        <f t="shared" si="0"/>
        <v>2.2742457683955393E-3</v>
      </c>
      <c r="I29" s="193"/>
      <c r="AA29" s="192"/>
      <c r="AB29" s="192"/>
      <c r="AC29" s="193"/>
    </row>
    <row r="30" spans="1:29" x14ac:dyDescent="0.2">
      <c r="A30" s="198">
        <v>28</v>
      </c>
      <c r="B30" s="199">
        <f>_xll.qlInterestRateIndexFixingDate(IborIndex1Y,D30)</f>
        <v>42990</v>
      </c>
      <c r="C30" s="198" t="str">
        <f>_xll.qlMakeDatedOIS(,D30,E30,OvernightIndex,0,DayCounter,0)</f>
        <v>obj_008b9#0008</v>
      </c>
      <c r="D30" s="199">
        <f>_xll.qlCalendarAdvance(Calendar,SettlementDate,A30&amp;"M","mf")</f>
        <v>42992</v>
      </c>
      <c r="E30" s="199">
        <f>_xll.qlInterestRateIndexMaturity(IborIndex1Y,D30)</f>
        <v>43357</v>
      </c>
      <c r="F30" s="200">
        <f>_xll.qlOvernightIndexedSwapFairRate(C30,_xll.ohTrigger(InterestRatesTrigger))</f>
        <v>1.7504322127006103E-3</v>
      </c>
      <c r="G30" s="201">
        <f>_xll.qlInterpolationInterpolate(BasisInterpolator,D30,TRUE,F30)</f>
        <v>5.2066468395109932E-4</v>
      </c>
      <c r="H30" s="200">
        <f t="shared" si="0"/>
        <v>2.2710968966517097E-3</v>
      </c>
      <c r="I30" s="193"/>
      <c r="AA30" s="192"/>
      <c r="AB30" s="192"/>
      <c r="AC30" s="193"/>
    </row>
    <row r="31" spans="1:29" x14ac:dyDescent="0.2">
      <c r="A31" s="198">
        <v>29</v>
      </c>
      <c r="B31" s="199">
        <f>_xll.qlInterestRateIndexFixingDate(IborIndex1Y,D31)</f>
        <v>43020</v>
      </c>
      <c r="C31" s="198" t="str">
        <f>_xll.qlMakeDatedOIS(,D31,E31,OvernightIndex,0,DayCounter,0)</f>
        <v>obj_008a7#0008</v>
      </c>
      <c r="D31" s="199">
        <f>_xll.qlCalendarAdvance(Calendar,SettlementDate,A31&amp;"M","mf")</f>
        <v>43024</v>
      </c>
      <c r="E31" s="199">
        <f>_xll.qlInterestRateIndexMaturity(IborIndex1Y,D31)</f>
        <v>43389</v>
      </c>
      <c r="F31" s="200">
        <f>_xll.qlOvernightIndexedSwapFairRate(C31,_xll.ohTrigger(InterestRatesTrigger))</f>
        <v>1.9682482868981256E-3</v>
      </c>
      <c r="G31" s="201">
        <f>_xll.qlInterpolationInterpolate(BasisInterpolator,D31,TRUE,F31)</f>
        <v>3.0319731637585266E-4</v>
      </c>
      <c r="H31" s="200">
        <f t="shared" si="0"/>
        <v>2.2714456032739781E-3</v>
      </c>
      <c r="I31" s="193"/>
      <c r="AA31" s="192"/>
      <c r="AB31" s="192"/>
      <c r="AC31" s="193"/>
    </row>
    <row r="32" spans="1:29" x14ac:dyDescent="0.2">
      <c r="A32" s="198">
        <v>30</v>
      </c>
      <c r="B32" s="199">
        <f>_xll.qlInterestRateIndexFixingDate(IborIndex1Y,D32)</f>
        <v>43049</v>
      </c>
      <c r="C32" s="198" t="str">
        <f>_xll.qlMakeDatedOIS(,D32,E32,OvernightIndex,0,DayCounter,0)</f>
        <v>obj_008bc#0008</v>
      </c>
      <c r="D32" s="199">
        <f>_xll.qlCalendarAdvance(Calendar,SettlementDate,A32&amp;"M","mf")</f>
        <v>43053</v>
      </c>
      <c r="E32" s="199">
        <f>_xll.qlInterestRateIndexMaturity(IborIndex1Y,D32)</f>
        <v>43418</v>
      </c>
      <c r="F32" s="200">
        <f>_xll.qlOvernightIndexedSwapFairRate(C32,_xll.ohTrigger(InterestRatesTrigger))</f>
        <v>2.1696689521401163E-3</v>
      </c>
      <c r="G32" s="201">
        <f>_xll.qlInterpolationInterpolate(BasisInterpolator,D32,TRUE,F32)</f>
        <v>1.0461304404303586E-4</v>
      </c>
      <c r="H32" s="200">
        <f t="shared" si="0"/>
        <v>2.274281996183152E-3</v>
      </c>
      <c r="I32" s="193"/>
      <c r="AA32" s="192"/>
      <c r="AB32" s="192"/>
      <c r="AC32" s="193"/>
    </row>
    <row r="33" spans="1:29" x14ac:dyDescent="0.2">
      <c r="A33" s="198">
        <v>31</v>
      </c>
      <c r="B33" s="199">
        <f>_xll.qlInterestRateIndexFixingDate(IborIndex1Y,D33)</f>
        <v>43081</v>
      </c>
      <c r="C33" s="198" t="str">
        <f>_xll.qlMakeDatedOIS(,D33,E33,OvernightIndex,0,DayCounter,0)</f>
        <v>obj_008d2#0008</v>
      </c>
      <c r="D33" s="199">
        <f>_xll.qlCalendarAdvance(Calendar,SettlementDate,A33&amp;"M","mf")</f>
        <v>43083</v>
      </c>
      <c r="E33" s="199">
        <f>_xll.qlInterestRateIndexMaturity(IborIndex1Y,D33)</f>
        <v>43448</v>
      </c>
      <c r="F33" s="200">
        <f>_xll.qlOvernightIndexedSwapFairRate(C33,_xll.ohTrigger(InterestRatesTrigger))</f>
        <v>2.3811956905021585E-3</v>
      </c>
      <c r="G33" s="201">
        <f>_xll.qlInterpolationInterpolate(BasisInterpolator,D33,TRUE,F33)</f>
        <v>-1.0208961044420178E-4</v>
      </c>
      <c r="H33" s="200">
        <f t="shared" si="0"/>
        <v>2.2791060800579567E-3</v>
      </c>
      <c r="I33" s="193"/>
      <c r="AA33" s="192"/>
      <c r="AB33" s="192"/>
      <c r="AC33" s="193"/>
    </row>
    <row r="34" spans="1:29" x14ac:dyDescent="0.2">
      <c r="A34" s="198">
        <v>32</v>
      </c>
      <c r="B34" s="199">
        <f>_xll.qlInterestRateIndexFixingDate(IborIndex1Y,D34)</f>
        <v>43111</v>
      </c>
      <c r="C34" s="198" t="str">
        <f>_xll.qlMakeDatedOIS(,D34,E34,OvernightIndex,0,DayCounter,0)</f>
        <v>obj_008c5#0008</v>
      </c>
      <c r="D34" s="199">
        <f>_xll.qlCalendarAdvance(Calendar,SettlementDate,A34&amp;"M","mf")</f>
        <v>43115</v>
      </c>
      <c r="E34" s="199">
        <f>_xll.qlInterestRateIndexMaturity(IborIndex1Y,D34)</f>
        <v>43480</v>
      </c>
      <c r="F34" s="200">
        <f>_xll.qlOvernightIndexedSwapFairRate(C34,_xll.ohTrigger(InterestRatesTrigger))</f>
        <v>2.6093946892820287E-3</v>
      </c>
      <c r="G34" s="201">
        <f>_xll.qlInterpolationInterpolate(BasisInterpolator,D34,TRUE,F34)</f>
        <v>-3.2373367185126113E-4</v>
      </c>
      <c r="H34" s="200">
        <f t="shared" ref="H34:H50" si="1">F34+G34</f>
        <v>2.2856610174307674E-3</v>
      </c>
      <c r="I34" s="193"/>
      <c r="AA34" s="192"/>
      <c r="AB34" s="192"/>
      <c r="AC34" s="193"/>
    </row>
    <row r="35" spans="1:29" x14ac:dyDescent="0.2">
      <c r="A35" s="198">
        <v>33</v>
      </c>
      <c r="B35" s="199">
        <f>_xll.qlInterestRateIndexFixingDate(IborIndex1Y,D35)</f>
        <v>43143</v>
      </c>
      <c r="C35" s="198" t="str">
        <f>_xll.qlMakeDatedOIS(,D35,E35,OvernightIndex,0,DayCounter,0)</f>
        <v>obj_008a6#0008</v>
      </c>
      <c r="D35" s="199">
        <f>_xll.qlCalendarAdvance(Calendar,SettlementDate,A35&amp;"M","mf")</f>
        <v>43145</v>
      </c>
      <c r="E35" s="199">
        <f>_xll.qlInterestRateIndexMaturity(IborIndex1Y,D35)</f>
        <v>43510</v>
      </c>
      <c r="F35" s="200">
        <f>_xll.qlOvernightIndexedSwapFairRate(C35,_xll.ohTrigger(InterestRatesTrigger))</f>
        <v>2.8248188598310278E-3</v>
      </c>
      <c r="G35" s="201">
        <f>_xll.qlInterpolationInterpolate(BasisInterpolator,D35,TRUE,F35)</f>
        <v>-5.323643177634692E-4</v>
      </c>
      <c r="H35" s="200">
        <f t="shared" si="1"/>
        <v>2.2924545420675586E-3</v>
      </c>
      <c r="I35" s="193"/>
      <c r="AA35" s="192"/>
      <c r="AB35" s="192"/>
      <c r="AC35" s="193"/>
    </row>
    <row r="36" spans="1:29" x14ac:dyDescent="0.2">
      <c r="A36" s="198">
        <v>34</v>
      </c>
      <c r="B36" s="199">
        <f>_xll.qlInterestRateIndexFixingDate(IborIndex1Y,D36)</f>
        <v>43171</v>
      </c>
      <c r="C36" s="198" t="str">
        <f>_xll.qlMakeDatedOIS(,D36,E36,OvernightIndex,0,DayCounter,0)</f>
        <v>obj_008ca#0008</v>
      </c>
      <c r="D36" s="199">
        <f>_xll.qlCalendarAdvance(Calendar,SettlementDate,A36&amp;"M","mf")</f>
        <v>43173</v>
      </c>
      <c r="E36" s="199">
        <f>_xll.qlInterestRateIndexMaturity(IborIndex1Y,D36)</f>
        <v>43538</v>
      </c>
      <c r="F36" s="200">
        <f>_xll.qlOvernightIndexedSwapFairRate(C36,_xll.ohTrigger(InterestRatesTrigger))</f>
        <v>3.0263919020081975E-3</v>
      </c>
      <c r="G36" s="201">
        <f>_xll.qlInterpolationInterpolate(BasisInterpolator,D36,TRUE,F36)</f>
        <v>-7.2760614654370144E-4</v>
      </c>
      <c r="H36" s="200">
        <f t="shared" si="1"/>
        <v>2.2987857554644959E-3</v>
      </c>
      <c r="I36" s="193"/>
      <c r="AA36" s="192"/>
      <c r="AB36" s="192"/>
      <c r="AC36" s="193"/>
    </row>
    <row r="37" spans="1:29" x14ac:dyDescent="0.2">
      <c r="A37" s="202">
        <v>35</v>
      </c>
      <c r="B37" s="203">
        <f>_xll.qlInterestRateIndexFixingDate(IborIndex1Y,D37)</f>
        <v>43202</v>
      </c>
      <c r="C37" s="202" t="str">
        <f>_xll.qlMakeDatedOIS(,D37,E37,OvernightIndex,0,DayCounter,0)</f>
        <v>obj_008ce#0008</v>
      </c>
      <c r="D37" s="203">
        <f>_xll.qlCalendarAdvance(Calendar,SettlementDate,A37&amp;"M","mf")</f>
        <v>43206</v>
      </c>
      <c r="E37" s="203">
        <f>_xll.qlInterestRateIndexMaturity(IborIndex1Y,D37)</f>
        <v>43571</v>
      </c>
      <c r="F37" s="204">
        <f>_xll.qlOvernightIndexedSwapFairRate(C37,_xll.ohTrigger(InterestRatesTrigger))</f>
        <v>3.26360393324236E-3</v>
      </c>
      <c r="G37" s="205">
        <f>_xll.qlInterpolationInterpolate(BasisInterpolator,D37,TRUE,F37)</f>
        <v>-9.5809012109585923E-4</v>
      </c>
      <c r="H37" s="204">
        <f t="shared" si="1"/>
        <v>2.3055138121465006E-3</v>
      </c>
      <c r="I37" s="193"/>
      <c r="AA37" s="192"/>
      <c r="AB37" s="192"/>
      <c r="AC37" s="193"/>
    </row>
    <row r="38" spans="1:29" x14ac:dyDescent="0.2">
      <c r="A38" s="194">
        <v>36</v>
      </c>
      <c r="B38" s="195">
        <f>_xll.qlInterestRateIndexFixingDate(IborIndex1Y,D38)</f>
        <v>43230</v>
      </c>
      <c r="C38" s="194" t="str">
        <f>_xll.qlMakeDatedOIS(,D38,E38,OvernightIndex,0,DayCounter,0)</f>
        <v>obj_008ba#0008</v>
      </c>
      <c r="D38" s="195">
        <f>_xll.qlCalendarAdvance(Calendar,SettlementDate,A38&amp;"M","mf")</f>
        <v>43234</v>
      </c>
      <c r="E38" s="195">
        <f>_xll.qlInterestRateIndexMaturity(IborIndex1Y,D38)</f>
        <v>43599</v>
      </c>
      <c r="F38" s="196">
        <f>_xll.qlOvernightIndexedSwapFairRate(C38,_xll.ohTrigger(InterestRatesTrigger))</f>
        <v>3.4637511375918881E-3</v>
      </c>
      <c r="G38" s="197">
        <f>_xll.qlInterpolationInterpolate(BasisInterpolator,D38,TRUE,F38)</f>
        <v>-1.1537511375920304E-3</v>
      </c>
      <c r="H38" s="196">
        <f t="shared" si="1"/>
        <v>2.3099999999998577E-3</v>
      </c>
      <c r="I38" s="193"/>
      <c r="AA38" s="192"/>
      <c r="AB38" s="192"/>
      <c r="AC38" s="193"/>
    </row>
    <row r="39" spans="1:29" x14ac:dyDescent="0.2">
      <c r="A39" s="198">
        <v>37</v>
      </c>
      <c r="B39" s="199">
        <f>_xll.qlInterestRateIndexFixingDate(IborIndex1Y,D39)</f>
        <v>43263</v>
      </c>
      <c r="C39" s="198" t="str">
        <f>_xll.qlMakeDatedOIS(,D39,E39,OvernightIndex,0,DayCounter,0)</f>
        <v>obj_008a9#0008</v>
      </c>
      <c r="D39" s="199">
        <f>_xll.qlCalendarAdvance(Calendar,SettlementDate,A39&amp;"M","mf")</f>
        <v>43265</v>
      </c>
      <c r="E39" s="199">
        <f>_xll.qlInterestRateIndexMaturity(IborIndex1Y,D39)</f>
        <v>43630</v>
      </c>
      <c r="F39" s="200">
        <f>_xll.qlOvernightIndexedSwapFairRate(C39,_xll.ohTrigger(InterestRatesTrigger))</f>
        <v>3.6834920201939017E-3</v>
      </c>
      <c r="G39" s="201">
        <f>_xll.qlInterpolationInterpolate(BasisInterpolator,D39,TRUE,F39)</f>
        <v>-1.3703267085382453E-3</v>
      </c>
      <c r="H39" s="200">
        <f t="shared" si="1"/>
        <v>2.3131653116556564E-3</v>
      </c>
      <c r="I39" s="193"/>
      <c r="AA39" s="192"/>
      <c r="AB39" s="192"/>
      <c r="AC39" s="193"/>
    </row>
    <row r="40" spans="1:29" x14ac:dyDescent="0.2">
      <c r="A40" s="198">
        <v>38</v>
      </c>
      <c r="B40" s="199">
        <f>_xll.qlInterestRateIndexFixingDate(IborIndex1Y,D40)</f>
        <v>43293</v>
      </c>
      <c r="C40" s="198" t="str">
        <f>_xll.qlMakeDatedOIS(,D40,E40,OvernightIndex,0,DayCounter,0)</f>
        <v>obj_008d4#0008</v>
      </c>
      <c r="D40" s="199">
        <f>_xll.qlCalendarAdvance(Calendar,SettlementDate,A40&amp;"M","mf")</f>
        <v>43297</v>
      </c>
      <c r="E40" s="199">
        <f>_xll.qlInterestRateIndexMaturity(IborIndex1Y,D40)</f>
        <v>43662</v>
      </c>
      <c r="F40" s="200">
        <f>_xll.qlOvernightIndexedSwapFairRate(C40,_xll.ohTrigger(InterestRatesTrigger))</f>
        <v>3.9086696436625165E-3</v>
      </c>
      <c r="G40" s="201">
        <f>_xll.qlInterpolationInterpolate(BasisInterpolator,D40,TRUE,F40)</f>
        <v>-1.5940413658237966E-3</v>
      </c>
      <c r="H40" s="200">
        <f t="shared" si="1"/>
        <v>2.3146282778387199E-3</v>
      </c>
      <c r="I40" s="193"/>
      <c r="AA40" s="192"/>
      <c r="AB40" s="192"/>
      <c r="AC40" s="193"/>
    </row>
    <row r="41" spans="1:29" x14ac:dyDescent="0.2">
      <c r="A41" s="198">
        <v>39</v>
      </c>
      <c r="B41" s="199">
        <f>_xll.qlInterestRateIndexFixingDate(IborIndex1Y,D41)</f>
        <v>43322</v>
      </c>
      <c r="C41" s="198" t="str">
        <f>_xll.qlMakeDatedOIS(,D41,E41,OvernightIndex,0,DayCounter,0)</f>
        <v>obj_008b5#0008</v>
      </c>
      <c r="D41" s="199">
        <f>_xll.qlCalendarAdvance(Calendar,SettlementDate,A41&amp;"M","mf")</f>
        <v>43326</v>
      </c>
      <c r="E41" s="199">
        <f>_xll.qlInterestRateIndexMaturity(IborIndex1Y,D41)</f>
        <v>43691</v>
      </c>
      <c r="F41" s="200">
        <f>_xll.qlOvernightIndexedSwapFairRate(C41,_xll.ohTrigger(InterestRatesTrigger))</f>
        <v>4.1118417745919485E-3</v>
      </c>
      <c r="G41" s="201">
        <f>_xll.qlInterpolationInterpolate(BasisInterpolator,D41,TRUE,F41)</f>
        <v>-1.7971723363508494E-3</v>
      </c>
      <c r="H41" s="200">
        <f t="shared" si="1"/>
        <v>2.3146694382410989E-3</v>
      </c>
      <c r="I41" s="193"/>
      <c r="AA41" s="192"/>
      <c r="AB41" s="192"/>
      <c r="AC41" s="193"/>
    </row>
    <row r="42" spans="1:29" x14ac:dyDescent="0.2">
      <c r="A42" s="198">
        <v>40</v>
      </c>
      <c r="B42" s="199">
        <f>_xll.qlInterestRateIndexFixingDate(IborIndex1Y,D42)</f>
        <v>43355</v>
      </c>
      <c r="C42" s="198" t="str">
        <f>_xll.qlMakeDatedOIS(,D42,E42,OvernightIndex,0,DayCounter,0)</f>
        <v>obj_008b4#0008</v>
      </c>
      <c r="D42" s="199">
        <f>_xll.qlCalendarAdvance(Calendar,SettlementDate,A42&amp;"M","mf")</f>
        <v>43357</v>
      </c>
      <c r="E42" s="199">
        <f>_xll.qlInterestRateIndexMaturity(IborIndex1Y,D42)</f>
        <v>43724</v>
      </c>
      <c r="F42" s="200">
        <f>_xll.qlOvernightIndexedSwapFairRate(C42,_xll.ohTrigger(InterestRatesTrigger))</f>
        <v>4.3355393013352278E-3</v>
      </c>
      <c r="G42" s="201">
        <f>_xll.qlInterpolationInterpolate(BasisInterpolator,D42,TRUE,F42)</f>
        <v>-2.0149905878676213E-3</v>
      </c>
      <c r="H42" s="200">
        <f t="shared" si="1"/>
        <v>2.3205487134676066E-3</v>
      </c>
      <c r="I42" s="193"/>
      <c r="AA42" s="192"/>
      <c r="AB42" s="192"/>
      <c r="AC42" s="193"/>
    </row>
    <row r="43" spans="1:29" x14ac:dyDescent="0.2">
      <c r="A43" s="198">
        <v>41</v>
      </c>
      <c r="B43" s="199">
        <f>_xll.qlInterestRateIndexFixingDate(IborIndex1Y,D43)</f>
        <v>43384</v>
      </c>
      <c r="C43" s="198" t="str">
        <f>_xll.qlMakeDatedOIS(,D43,E43,OvernightIndex,0,DayCounter,0)</f>
        <v>obj_008c2#0008</v>
      </c>
      <c r="D43" s="199">
        <f>_xll.qlCalendarAdvance(Calendar,SettlementDate,A43&amp;"M","mf")</f>
        <v>43388</v>
      </c>
      <c r="E43" s="199">
        <f>_xll.qlInterestRateIndexMaturity(IborIndex1Y,D43)</f>
        <v>43753</v>
      </c>
      <c r="F43" s="200">
        <f>_xll.qlOvernightIndexedSwapFairRate(C43,_xll.ohTrigger(InterestRatesTrigger))</f>
        <v>4.5457208278097891E-3</v>
      </c>
      <c r="G43" s="201">
        <f>_xll.qlInterpolationInterpolate(BasisInterpolator,D43,TRUE,F43)</f>
        <v>-2.2337842801940823E-3</v>
      </c>
      <c r="H43" s="200">
        <f t="shared" si="1"/>
        <v>2.3119365476157068E-3</v>
      </c>
      <c r="I43" s="193"/>
      <c r="AA43" s="192"/>
      <c r="AB43" s="192"/>
      <c r="AC43" s="193"/>
    </row>
    <row r="44" spans="1:29" x14ac:dyDescent="0.2">
      <c r="A44" s="198">
        <v>42</v>
      </c>
      <c r="B44" s="199">
        <f>_xll.qlInterestRateIndexFixingDate(IborIndex1Y,D44)</f>
        <v>43416</v>
      </c>
      <c r="C44" s="198" t="str">
        <f>_xll.qlMakeDatedOIS(,D44,E44,OvernightIndex,0,DayCounter,0)</f>
        <v>obj_008d5#0008</v>
      </c>
      <c r="D44" s="199">
        <f>_xll.qlCalendarAdvance(Calendar,SettlementDate,A44&amp;"M","mf")</f>
        <v>43418</v>
      </c>
      <c r="E44" s="199">
        <f>_xll.qlInterestRateIndexMaturity(IborIndex1Y,D44)</f>
        <v>43783</v>
      </c>
      <c r="F44" s="200">
        <f>_xll.qlOvernightIndexedSwapFairRate(C44,_xll.ohTrigger(InterestRatesTrigger))</f>
        <v>4.7565628652124492E-3</v>
      </c>
      <c r="G44" s="201">
        <f>_xll.qlInterpolationInterpolate(BasisInterpolator,D44,TRUE,F44)</f>
        <v>-2.4467131745520999E-3</v>
      </c>
      <c r="H44" s="200">
        <f t="shared" si="1"/>
        <v>2.3098496906603493E-3</v>
      </c>
      <c r="I44" s="193"/>
      <c r="AA44" s="192"/>
      <c r="AB44" s="192"/>
      <c r="AC44" s="193"/>
    </row>
    <row r="45" spans="1:29" x14ac:dyDescent="0.2">
      <c r="A45" s="198">
        <v>43</v>
      </c>
      <c r="B45" s="199">
        <f>_xll.qlInterestRateIndexFixingDate(IborIndex1Y,D45)</f>
        <v>43446</v>
      </c>
      <c r="C45" s="198" t="str">
        <f>_xll.qlMakeDatedOIS(,D45,E45,OvernightIndex,0,DayCounter,0)</f>
        <v>obj_008d1#0008</v>
      </c>
      <c r="D45" s="199">
        <f>_xll.qlCalendarAdvance(Calendar,SettlementDate,A45&amp;"M","mf")</f>
        <v>43448</v>
      </c>
      <c r="E45" s="199">
        <f>_xll.qlInterestRateIndexMaturity(IborIndex1Y,D45)</f>
        <v>43815</v>
      </c>
      <c r="F45" s="200">
        <f>_xll.qlOvernightIndexedSwapFairRate(C45,_xll.ohTrigger(InterestRatesTrigger))</f>
        <v>4.9758540913627802E-3</v>
      </c>
      <c r="G45" s="201">
        <f>_xll.qlInterpolationInterpolate(BasisInterpolator,D45,TRUE,F45)</f>
        <v>-2.6610727281903834E-3</v>
      </c>
      <c r="H45" s="200">
        <f t="shared" si="1"/>
        <v>2.3147813631723968E-3</v>
      </c>
      <c r="I45" s="193"/>
      <c r="AA45" s="192"/>
      <c r="AB45" s="192"/>
      <c r="AC45" s="193"/>
    </row>
    <row r="46" spans="1:29" x14ac:dyDescent="0.2">
      <c r="A46" s="198">
        <v>44</v>
      </c>
      <c r="B46" s="199">
        <f>_xll.qlInterestRateIndexFixingDate(IborIndex1Y,D46)</f>
        <v>43475</v>
      </c>
      <c r="C46" s="198" t="str">
        <f>_xll.qlMakeDatedOIS(,D46,E46,OvernightIndex,0,DayCounter,0)</f>
        <v>obj_008cc#0008</v>
      </c>
      <c r="D46" s="199">
        <f>_xll.qlCalendarAdvance(Calendar,SettlementDate,A46&amp;"M","mf")</f>
        <v>43479</v>
      </c>
      <c r="E46" s="199">
        <f>_xll.qlInterestRateIndexMaturity(IborIndex1Y,D46)</f>
        <v>43844</v>
      </c>
      <c r="F46" s="200">
        <f>_xll.qlOvernightIndexedSwapFairRate(C46,_xll.ohTrigger(InterestRatesTrigger))</f>
        <v>5.1899885212761659E-3</v>
      </c>
      <c r="G46" s="201">
        <f>_xll.qlInterpolationInterpolate(BasisInterpolator,D46,TRUE,F46)</f>
        <v>-2.8843507425497655E-3</v>
      </c>
      <c r="H46" s="200">
        <f t="shared" si="1"/>
        <v>2.3056377787264003E-3</v>
      </c>
      <c r="I46" s="193"/>
      <c r="AA46" s="192"/>
      <c r="AB46" s="192"/>
      <c r="AC46" s="193"/>
    </row>
    <row r="47" spans="1:29" x14ac:dyDescent="0.2">
      <c r="A47" s="198">
        <v>45</v>
      </c>
      <c r="B47" s="199">
        <f>_xll.qlInterestRateIndexFixingDate(IborIndex1Y,D47)</f>
        <v>43508</v>
      </c>
      <c r="C47" s="198" t="str">
        <f>_xll.qlMakeDatedOIS(,D47,E47,OvernightIndex,0,DayCounter,0)</f>
        <v>obj_008bd#0008</v>
      </c>
      <c r="D47" s="199">
        <f>_xll.qlCalendarAdvance(Calendar,SettlementDate,A47&amp;"M","mf")</f>
        <v>43510</v>
      </c>
      <c r="E47" s="199">
        <f>_xll.qlInterestRateIndexMaturity(IborIndex1Y,D47)</f>
        <v>43875</v>
      </c>
      <c r="F47" s="200">
        <f>_xll.qlOvernightIndexedSwapFairRate(C47,_xll.ohTrigger(InterestRatesTrigger))</f>
        <v>5.4138663254685686E-3</v>
      </c>
      <c r="G47" s="201">
        <f>_xll.qlInterpolationInterpolate(BasisInterpolator,D47,TRUE,F47)</f>
        <v>-3.1097085684735379E-3</v>
      </c>
      <c r="H47" s="200">
        <f t="shared" si="1"/>
        <v>2.3041577569950307E-3</v>
      </c>
      <c r="I47" s="193"/>
      <c r="AA47" s="192"/>
      <c r="AB47" s="192"/>
      <c r="AC47" s="193"/>
    </row>
    <row r="48" spans="1:29" x14ac:dyDescent="0.2">
      <c r="A48" s="198">
        <v>46</v>
      </c>
      <c r="B48" s="199">
        <f>_xll.qlInterestRateIndexFixingDate(IborIndex1Y,D48)</f>
        <v>43536</v>
      </c>
      <c r="C48" s="198" t="str">
        <f>_xll.qlMakeDatedOIS(,D48,E48,OvernightIndex,0,DayCounter,0)</f>
        <v>obj_008cb#0008</v>
      </c>
      <c r="D48" s="199">
        <f>_xll.qlCalendarAdvance(Calendar,SettlementDate,A48&amp;"M","mf")</f>
        <v>43538</v>
      </c>
      <c r="E48" s="199">
        <f>_xll.qlInterestRateIndexMaturity(IborIndex1Y,D48)</f>
        <v>43906</v>
      </c>
      <c r="F48" s="200">
        <f>_xll.qlOvernightIndexedSwapFairRate(C48,_xll.ohTrigger(InterestRatesTrigger))</f>
        <v>5.6301194564076984E-3</v>
      </c>
      <c r="G48" s="201">
        <f>_xll.qlInterpolationInterpolate(BasisInterpolator,D48,TRUE,F48)</f>
        <v>-3.3152786322074562E-3</v>
      </c>
      <c r="H48" s="200">
        <f t="shared" si="1"/>
        <v>2.3148408242002422E-3</v>
      </c>
      <c r="I48" s="193"/>
      <c r="AA48" s="192"/>
      <c r="AB48" s="192"/>
      <c r="AC48" s="193"/>
    </row>
    <row r="49" spans="1:29" x14ac:dyDescent="0.2">
      <c r="A49" s="202">
        <v>47</v>
      </c>
      <c r="B49" s="203">
        <f>_xll.qlInterestRateIndexFixingDate(IborIndex1Y,D49)</f>
        <v>43566</v>
      </c>
      <c r="C49" s="202" t="str">
        <f>_xll.qlMakeDatedOIS(,D49,E49,OvernightIndex,0,DayCounter,0)</f>
        <v>obj_008b1#0008</v>
      </c>
      <c r="D49" s="203">
        <f>_xll.qlCalendarAdvance(Calendar,SettlementDate,A49&amp;"M","mf")</f>
        <v>43570</v>
      </c>
      <c r="E49" s="203">
        <f>_xll.qlInterestRateIndexMaturity(IborIndex1Y,D49)</f>
        <v>43936</v>
      </c>
      <c r="F49" s="204">
        <f>_xll.qlOvernightIndexedSwapFairRate(C49,_xll.ohTrigger(InterestRatesTrigger))</f>
        <v>5.8608937038439075E-3</v>
      </c>
      <c r="G49" s="205">
        <f>_xll.qlInterpolationInterpolate(BasisInterpolator,D49,TRUE,F49)</f>
        <v>-3.5528390775014041E-3</v>
      </c>
      <c r="H49" s="204">
        <f t="shared" si="1"/>
        <v>2.3080546263425034E-3</v>
      </c>
      <c r="I49" s="193"/>
      <c r="AA49" s="192"/>
      <c r="AB49" s="192"/>
      <c r="AC49" s="193"/>
    </row>
    <row r="50" spans="1:29" x14ac:dyDescent="0.2">
      <c r="A50" s="202">
        <v>48</v>
      </c>
      <c r="B50" s="203">
        <f>_xll.qlInterestRateIndexFixingDate(IborIndex1Y,D50)</f>
        <v>43595</v>
      </c>
      <c r="C50" s="202" t="str">
        <f>_xll.qlMakeDatedOIS(,D50,E50,OvernightIndex,0,DayCounter,0)</f>
        <v>obj_008d3#0008</v>
      </c>
      <c r="D50" s="203">
        <f>_xll.qlCalendarAdvance(Calendar,SettlementDate,A50&amp;"M","mf")</f>
        <v>43599</v>
      </c>
      <c r="E50" s="203">
        <f>_xll.qlInterestRateIndexMaturity(IborIndex1Y,D50)</f>
        <v>43965</v>
      </c>
      <c r="F50" s="204">
        <f>_xll.qlOvernightIndexedSwapFairRate(C50,_xll.ohTrigger(InterestRatesTrigger))</f>
        <v>6.0807997314847907E-3</v>
      </c>
      <c r="G50" s="205">
        <f>_xll.qlInterpolationInterpolate(BasisInterpolator,D50,TRUE,F50)</f>
        <v>-3.7707923259982074E-3</v>
      </c>
      <c r="H50" s="204">
        <f t="shared" si="1"/>
        <v>2.3100074054865833E-3</v>
      </c>
      <c r="I50" s="193"/>
      <c r="AA50" s="192"/>
      <c r="AB50" s="192"/>
      <c r="AC50" s="193"/>
    </row>
    <row r="51" spans="1:29" x14ac:dyDescent="0.2">
      <c r="I51" s="193"/>
    </row>
    <row r="52" spans="1:29" x14ac:dyDescent="0.2">
      <c r="I52" s="193"/>
    </row>
    <row r="53" spans="1:29" x14ac:dyDescent="0.2">
      <c r="I53" s="193"/>
    </row>
    <row r="54" spans="1:29" x14ac:dyDescent="0.2">
      <c r="I54" s="193"/>
    </row>
    <row r="55" spans="1:29" x14ac:dyDescent="0.2">
      <c r="I55" s="193"/>
    </row>
    <row r="56" spans="1:29" x14ac:dyDescent="0.2">
      <c r="I56" s="19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7"/>
  <sheetViews>
    <sheetView topLeftCell="M1" workbookViewId="0"/>
  </sheetViews>
  <sheetFormatPr defaultRowHeight="11.25" outlineLevelCol="1" x14ac:dyDescent="0.2"/>
  <cols>
    <col min="1" max="1" width="3.1640625" style="209" hidden="1" customWidth="1" outlineLevel="1"/>
    <col min="2" max="2" width="7" style="209" hidden="1" customWidth="1" outlineLevel="1"/>
    <col min="3" max="3" width="3.5" style="209" hidden="1" customWidth="1" outlineLevel="1"/>
    <col min="4" max="4" width="2.33203125" style="226" hidden="1" customWidth="1" outlineLevel="1"/>
    <col min="5" max="5" width="4.6640625" style="226" hidden="1" customWidth="1" outlineLevel="1"/>
    <col min="6" max="6" width="8.1640625" style="209" hidden="1" customWidth="1" outlineLevel="1"/>
    <col min="7" max="7" width="22.5" style="209" hidden="1" customWidth="1" outlineLevel="1"/>
    <col min="8" max="8" width="12.83203125" style="209" hidden="1" customWidth="1" outlineLevel="1"/>
    <col min="9" max="9" width="9.33203125" style="209" hidden="1" customWidth="1" outlineLevel="1"/>
    <col min="10" max="10" width="31.1640625" style="209" hidden="1" customWidth="1" outlineLevel="1"/>
    <col min="11" max="11" width="17.83203125" style="228" hidden="1" customWidth="1" outlineLevel="1"/>
    <col min="12" max="12" width="26.33203125" style="209" hidden="1" customWidth="1" outlineLevel="1"/>
    <col min="13" max="13" width="3.5" style="209" customWidth="1" collapsed="1"/>
    <col min="14" max="14" width="3.5" style="209" customWidth="1"/>
    <col min="15" max="15" width="31.1640625" style="209" bestFit="1" customWidth="1"/>
    <col min="16" max="20" width="20.1640625" style="209" bestFit="1" customWidth="1"/>
    <col min="21" max="21" width="20.1640625" style="209" hidden="1" customWidth="1" outlineLevel="1"/>
    <col min="22" max="22" width="14.1640625" style="209" hidden="1" customWidth="1" outlineLevel="1"/>
    <col min="23" max="23" width="10.5" style="209" bestFit="1" customWidth="1" collapsed="1"/>
    <col min="24" max="24" width="9.33203125" style="209" customWidth="1"/>
    <col min="25" max="25" width="9.33203125" style="209" bestFit="1" customWidth="1"/>
    <col min="26" max="26" width="7" style="209" bestFit="1" customWidth="1"/>
    <col min="27" max="16384" width="9.33203125" style="209"/>
  </cols>
  <sheetData>
    <row r="1" spans="1:20" ht="11.25" customHeight="1" x14ac:dyDescent="0.2">
      <c r="D1" s="209"/>
      <c r="E1" s="209"/>
      <c r="J1" s="209" t="s">
        <v>40</v>
      </c>
      <c r="K1" s="209" t="str">
        <f>_xll.qlEuribor(,J1,,,Trigger)</f>
        <v>obj_00879#0008</v>
      </c>
      <c r="L1" s="209" t="str">
        <f>_xll.ohRangeRetrieveError(K1)</f>
        <v/>
      </c>
    </row>
    <row r="2" spans="1:20" ht="24" customHeight="1" x14ac:dyDescent="0.2">
      <c r="A2" s="222"/>
      <c r="B2" s="210" t="s">
        <v>103</v>
      </c>
      <c r="C2" s="210"/>
      <c r="D2" s="211"/>
      <c r="E2" s="211"/>
      <c r="F2" s="210" t="s">
        <v>104</v>
      </c>
      <c r="G2" s="210" t="s">
        <v>105</v>
      </c>
      <c r="H2" s="210" t="s">
        <v>106</v>
      </c>
      <c r="I2" s="210" t="s">
        <v>107</v>
      </c>
      <c r="J2" s="210" t="s">
        <v>56</v>
      </c>
      <c r="K2" s="210" t="s">
        <v>57</v>
      </c>
      <c r="L2" s="212" t="s">
        <v>36</v>
      </c>
      <c r="M2" s="225"/>
      <c r="N2" s="225"/>
      <c r="O2" s="213" t="s">
        <v>108</v>
      </c>
      <c r="P2" s="213" t="s">
        <v>58</v>
      </c>
      <c r="Q2" s="213" t="s">
        <v>107</v>
      </c>
      <c r="R2" s="213" t="s">
        <v>59</v>
      </c>
      <c r="S2" s="210" t="s">
        <v>60</v>
      </c>
      <c r="T2" s="210" t="s">
        <v>61</v>
      </c>
    </row>
    <row r="3" spans="1:20" ht="11.25" customHeight="1" x14ac:dyDescent="0.2">
      <c r="A3" s="223"/>
      <c r="B3" s="33" t="s">
        <v>111</v>
      </c>
      <c r="C3" s="62"/>
      <c r="D3" s="63"/>
      <c r="E3" s="63"/>
      <c r="F3" s="60"/>
      <c r="G3" s="60"/>
      <c r="H3" s="60"/>
      <c r="I3" s="64"/>
      <c r="J3" s="54" t="str">
        <f>PROPER((Currency))&amp;IborType&amp;J1&amp;"LastFixing"&amp;QuoteSuffix</f>
        <v>Euribor1MLastFixing_Quote</v>
      </c>
      <c r="K3" s="61" t="str">
        <f>_xll.qlDepositRateHelper(,J3,K1,,Trigger)</f>
        <v>obj_0089f#0008</v>
      </c>
      <c r="L3" s="72" t="str">
        <f>_xll.ohRangeRetrieveError(K3)</f>
        <v/>
      </c>
      <c r="M3" s="224"/>
      <c r="N3" s="224"/>
      <c r="O3" s="248" t="str">
        <f>_xll.qlRateHelperQuoteName(K3,Trigger)</f>
        <v>Euribor1MLastFixing_Quote</v>
      </c>
      <c r="P3" s="238">
        <f>_xll.qlQuoteValue(J3,AllTriggers)</f>
        <v>-3.4000000000047881E-4</v>
      </c>
      <c r="Q3" s="239" t="str">
        <f>IF(ISBLANK(I3),"--",_xll.qlSwapRateHelperSpread(K3,AllTriggers))</f>
        <v>--</v>
      </c>
      <c r="R3" s="248" t="b">
        <v>1</v>
      </c>
      <c r="S3" s="240">
        <f>_xll.qlRateHelperEarliestDate(K3,Trigger)</f>
        <v>42138</v>
      </c>
      <c r="T3" s="240">
        <f>_xll.qlRateHelperLatestDate(K3,Trigger)</f>
        <v>42170</v>
      </c>
    </row>
    <row r="4" spans="1:20" ht="11.25" customHeight="1" x14ac:dyDescent="0.2">
      <c r="A4" s="223"/>
      <c r="B4" s="65" t="s">
        <v>111</v>
      </c>
      <c r="C4" s="66" t="s">
        <v>47</v>
      </c>
      <c r="D4" s="67">
        <v>2</v>
      </c>
      <c r="E4" s="67" t="s">
        <v>112</v>
      </c>
      <c r="F4" s="65" t="s">
        <v>113</v>
      </c>
      <c r="G4" s="68" t="s">
        <v>109</v>
      </c>
      <c r="H4" s="68" t="s">
        <v>15</v>
      </c>
      <c r="I4" s="69">
        <v>0</v>
      </c>
      <c r="J4" s="70" t="str">
        <f t="shared" ref="J4:J9" si="0">Currency&amp;$D4&amp;$E4&amp;"_Quote"</f>
        <v>EUR2X1S_Quote</v>
      </c>
      <c r="K4" s="71" t="e">
        <f>_xll.qlSwapRateHelper2(,$J4,C4,Calendar,$F4,$G4,$H4,$K$1,$I4,B4,Discounting,Permanent,Trigger,ObjectOverwrite)</f>
        <v>#NUM!</v>
      </c>
      <c r="L4" s="72" t="str">
        <f ca="1">_xll.ohRangeRetrieveError(K4)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4" s="224"/>
      <c r="N4" s="224"/>
      <c r="O4" s="248" t="e">
        <f>_xll.qlRateHelperQuoteName(K4,Trigger)</f>
        <v>#VALUE!</v>
      </c>
      <c r="P4" s="238">
        <f>_xll.qlQuoteValue(J4,AllTriggers)</f>
        <v>-4.8999999999999998E-4</v>
      </c>
      <c r="Q4" s="249" t="e">
        <f>IF(ISBLANK(I4),"--",_xll.qlSwapRateHelperSpread(K4,AllTriggers))</f>
        <v>#VALUE!</v>
      </c>
      <c r="R4" s="248" t="b">
        <v>1</v>
      </c>
      <c r="S4" s="240" t="e">
        <f>_xll.qlRateHelperEarliestDate(K4,Trigger)</f>
        <v>#VALUE!</v>
      </c>
      <c r="T4" s="240" t="e">
        <f>_xll.qlRateHelperLatestDate(K4,Trigger)</f>
        <v>#VALUE!</v>
      </c>
    </row>
    <row r="5" spans="1:20" ht="11.25" customHeight="1" x14ac:dyDescent="0.2">
      <c r="A5" s="223"/>
      <c r="B5" s="33" t="s">
        <v>111</v>
      </c>
      <c r="C5" s="34" t="s">
        <v>41</v>
      </c>
      <c r="D5" s="35">
        <v>3</v>
      </c>
      <c r="E5" s="35" t="s">
        <v>112</v>
      </c>
      <c r="F5" s="33" t="s">
        <v>113</v>
      </c>
      <c r="G5" s="36" t="s">
        <v>109</v>
      </c>
      <c r="H5" s="36" t="s">
        <v>15</v>
      </c>
      <c r="I5" s="37">
        <v>0</v>
      </c>
      <c r="J5" s="38" t="str">
        <f t="shared" si="0"/>
        <v>EUR3X1S_Quote</v>
      </c>
      <c r="K5" s="39" t="e">
        <f>_xll.qlSwapRateHelper2(,$J5,C5,Calendar,$F5,$G5,$H5,$K$1,$I5,B5,Discounting,Permanent,Trigger,ObjectOverwrite)</f>
        <v>#NUM!</v>
      </c>
      <c r="L5" s="40" t="str">
        <f ca="1">_xll.ohRangeRetrieveError(K5)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5" s="224"/>
      <c r="N5" s="224"/>
      <c r="O5" s="248" t="e">
        <f>_xll.qlRateHelperQuoteName(K5,Trigger)</f>
        <v>#VALUE!</v>
      </c>
      <c r="P5" s="238">
        <f>_xll.qlQuoteValue(J5,AllTriggers)</f>
        <v>-5.2999999999999998E-4</v>
      </c>
      <c r="Q5" s="249" t="e">
        <f>IF(ISBLANK(I5),"--",_xll.qlSwapRateHelperSpread(K5,AllTriggers))</f>
        <v>#VALUE!</v>
      </c>
      <c r="R5" s="248" t="b">
        <v>1</v>
      </c>
      <c r="S5" s="240" t="e">
        <f>_xll.qlRateHelperEarliestDate(K5,Trigger)</f>
        <v>#VALUE!</v>
      </c>
      <c r="T5" s="240" t="e">
        <f>_xll.qlRateHelperLatestDate(K5,Trigger)</f>
        <v>#VALUE!</v>
      </c>
    </row>
    <row r="6" spans="1:20" ht="11.25" customHeight="1" x14ac:dyDescent="0.2">
      <c r="A6" s="222"/>
      <c r="B6" s="33" t="s">
        <v>111</v>
      </c>
      <c r="C6" s="34" t="s">
        <v>48</v>
      </c>
      <c r="D6" s="35">
        <v>4</v>
      </c>
      <c r="E6" s="35" t="s">
        <v>112</v>
      </c>
      <c r="F6" s="33" t="s">
        <v>113</v>
      </c>
      <c r="G6" s="36" t="s">
        <v>109</v>
      </c>
      <c r="H6" s="36" t="s">
        <v>15</v>
      </c>
      <c r="I6" s="37">
        <v>0</v>
      </c>
      <c r="J6" s="38" t="str">
        <f t="shared" si="0"/>
        <v>EUR4X1S_Quote</v>
      </c>
      <c r="K6" s="39" t="e">
        <f>_xll.qlSwapRateHelper2(,$J6,C6,Calendar,$F6,$G6,$H6,$K$1,$I6,B6,Discounting,Permanent,Trigger,ObjectOverwrite)</f>
        <v>#NUM!</v>
      </c>
      <c r="L6" s="40" t="str">
        <f ca="1">_xll.ohRangeRetrieveError(K6)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6" s="224"/>
      <c r="N6" s="224"/>
      <c r="O6" s="248" t="e">
        <f>_xll.qlRateHelperQuoteName(K6,Trigger)</f>
        <v>#VALUE!</v>
      </c>
      <c r="P6" s="238">
        <f>_xll.qlQuoteValue(J6,AllTriggers)</f>
        <v>-5.5000000000000003E-4</v>
      </c>
      <c r="Q6" s="249" t="e">
        <f>IF(ISBLANK(I6),"--",_xll.qlSwapRateHelperSpread(K6,AllTriggers))</f>
        <v>#VALUE!</v>
      </c>
      <c r="R6" s="248" t="b">
        <v>1</v>
      </c>
      <c r="S6" s="240" t="e">
        <f>_xll.qlRateHelperEarliestDate(K6,Trigger)</f>
        <v>#VALUE!</v>
      </c>
      <c r="T6" s="240" t="e">
        <f>_xll.qlRateHelperLatestDate(K6,Trigger)</f>
        <v>#VALUE!</v>
      </c>
    </row>
    <row r="7" spans="1:20" ht="11.25" customHeight="1" x14ac:dyDescent="0.2">
      <c r="A7" s="222"/>
      <c r="B7" s="33" t="s">
        <v>111</v>
      </c>
      <c r="C7" s="34" t="s">
        <v>49</v>
      </c>
      <c r="D7" s="35">
        <v>5</v>
      </c>
      <c r="E7" s="35" t="s">
        <v>112</v>
      </c>
      <c r="F7" s="33" t="s">
        <v>113</v>
      </c>
      <c r="G7" s="36" t="s">
        <v>109</v>
      </c>
      <c r="H7" s="36" t="s">
        <v>15</v>
      </c>
      <c r="I7" s="37">
        <v>0</v>
      </c>
      <c r="J7" s="38" t="str">
        <f t="shared" si="0"/>
        <v>EUR5X1S_Quote</v>
      </c>
      <c r="K7" s="39" t="e">
        <f>_xll.qlSwapRateHelper2(,$J7,C7,Calendar,$F7,$G7,$H7,$K$1,$I7,B7,Discounting,Permanent,Trigger,ObjectOverwrite)</f>
        <v>#NUM!</v>
      </c>
      <c r="L7" s="40" t="str">
        <f ca="1">_xll.ohRangeRetrieveError(K7)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7" s="224"/>
      <c r="N7" s="224"/>
      <c r="O7" s="248" t="e">
        <f>_xll.qlRateHelperQuoteName(K7,Trigger)</f>
        <v>#VALUE!</v>
      </c>
      <c r="P7" s="238">
        <f>_xll.qlQuoteValue(J7,AllTriggers)</f>
        <v>-5.6999999999999998E-4</v>
      </c>
      <c r="Q7" s="249" t="e">
        <f>IF(ISBLANK(I7),"--",_xll.qlSwapRateHelperSpread(K7,AllTriggers))</f>
        <v>#VALUE!</v>
      </c>
      <c r="R7" s="248" t="b">
        <v>1</v>
      </c>
      <c r="S7" s="240" t="e">
        <f>_xll.qlRateHelperEarliestDate(K7,Trigger)</f>
        <v>#VALUE!</v>
      </c>
      <c r="T7" s="240" t="e">
        <f>_xll.qlRateHelperLatestDate(K7,Trigger)</f>
        <v>#VALUE!</v>
      </c>
    </row>
    <row r="8" spans="1:20" ht="11.25" customHeight="1" x14ac:dyDescent="0.2">
      <c r="A8" s="222"/>
      <c r="B8" s="33" t="s">
        <v>111</v>
      </c>
      <c r="C8" s="34" t="s">
        <v>42</v>
      </c>
      <c r="D8" s="35">
        <v>6</v>
      </c>
      <c r="E8" s="35" t="s">
        <v>112</v>
      </c>
      <c r="F8" s="33" t="s">
        <v>113</v>
      </c>
      <c r="G8" s="36" t="s">
        <v>109</v>
      </c>
      <c r="H8" s="36" t="s">
        <v>15</v>
      </c>
      <c r="I8" s="37">
        <v>0</v>
      </c>
      <c r="J8" s="38" t="str">
        <f t="shared" si="0"/>
        <v>EUR6X1S_Quote</v>
      </c>
      <c r="K8" s="39" t="e">
        <f>_xll.qlSwapRateHelper2(,$J8,C8,Calendar,$F8,$G8,$H8,$K$1,$I8,B8,Discounting,Permanent,Trigger,ObjectOverwrite)</f>
        <v>#NUM!</v>
      </c>
      <c r="L8" s="40" t="str">
        <f ca="1">_xll.ohRangeRetrieveError(K8)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8" s="224"/>
      <c r="N8" s="224"/>
      <c r="O8" s="248" t="e">
        <f>_xll.qlRateHelperQuoteName(K8,Trigger)</f>
        <v>#VALUE!</v>
      </c>
      <c r="P8" s="238">
        <f>_xll.qlQuoteValue(J8,AllTriggers)</f>
        <v>-5.8E-4</v>
      </c>
      <c r="Q8" s="249" t="e">
        <f>IF(ISBLANK(I8),"--",_xll.qlSwapRateHelperSpread(K8,AllTriggers))</f>
        <v>#VALUE!</v>
      </c>
      <c r="R8" s="248" t="b">
        <v>0</v>
      </c>
      <c r="S8" s="240" t="e">
        <f>_xll.qlRateHelperEarliestDate(K8,Trigger)</f>
        <v>#VALUE!</v>
      </c>
      <c r="T8" s="240" t="e">
        <f>_xll.qlRateHelperLatestDate(K8,Trigger)</f>
        <v>#VALUE!</v>
      </c>
    </row>
    <row r="9" spans="1:20" ht="11.25" customHeight="1" x14ac:dyDescent="0.2">
      <c r="B9" s="43" t="s">
        <v>111</v>
      </c>
      <c r="C9" s="44" t="s">
        <v>50</v>
      </c>
      <c r="D9" s="45">
        <v>7</v>
      </c>
      <c r="E9" s="45" t="s">
        <v>112</v>
      </c>
      <c r="F9" s="43" t="s">
        <v>113</v>
      </c>
      <c r="G9" s="46" t="s">
        <v>109</v>
      </c>
      <c r="H9" s="46" t="s">
        <v>15</v>
      </c>
      <c r="I9" s="47">
        <v>0</v>
      </c>
      <c r="J9" s="58" t="str">
        <f t="shared" si="0"/>
        <v>EUR7X1S_Quote</v>
      </c>
      <c r="K9" s="59" t="e">
        <f>_xll.qlSwapRateHelper2(,$J9,C9,Calendar,$F9,$G9,$H9,$K$1,$I9,B9,Discounting,Permanent,Trigger,ObjectOverwrite)</f>
        <v>#NUM!</v>
      </c>
      <c r="L9" s="48" t="str">
        <f ca="1">_xll.ohRangeRetrieveError(K9)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O9" s="250" t="e">
        <f>_xll.qlRateHelperQuoteName(K9,Trigger)</f>
        <v>#VALUE!</v>
      </c>
      <c r="P9" s="243">
        <f>_xll.qlQuoteValue(J9,AllTriggers)</f>
        <v>-6.2E-4</v>
      </c>
      <c r="Q9" s="251" t="e">
        <f>IF(ISBLANK(I9),"--",_xll.qlSwapRateHelperSpread(K9,AllTriggers))</f>
        <v>#VALUE!</v>
      </c>
      <c r="R9" s="250" t="b">
        <v>0</v>
      </c>
      <c r="S9" s="245" t="e">
        <f>_xll.qlRateHelperEarliestDate(K9,Trigger)</f>
        <v>#VALUE!</v>
      </c>
      <c r="T9" s="245" t="e">
        <f>_xll.qlRateHelperLatestDate(K9,Trigger)</f>
        <v>#VALUE!</v>
      </c>
    </row>
    <row r="10" spans="1:20" x14ac:dyDescent="0.2">
      <c r="D10" s="209"/>
      <c r="E10" s="209"/>
      <c r="K10" s="209"/>
      <c r="L10" s="224"/>
    </row>
    <row r="11" spans="1:20" x14ac:dyDescent="0.2">
      <c r="I11" s="227"/>
      <c r="J11" s="227"/>
      <c r="O11" s="214" t="str">
        <f>J1&amp;" "&amp;PROPER(Currency)&amp;IborType&amp;" Curve"</f>
        <v>1M Euribor Curve</v>
      </c>
      <c r="P11" s="215"/>
      <c r="Q11" s="215"/>
      <c r="R11" s="215"/>
      <c r="S11" s="215"/>
      <c r="T11" s="216" t="s">
        <v>135</v>
      </c>
    </row>
    <row r="12" spans="1:20" ht="11.25" customHeight="1" x14ac:dyDescent="0.2">
      <c r="L12" s="213" t="s">
        <v>110</v>
      </c>
      <c r="O12" s="213" t="s">
        <v>67</v>
      </c>
      <c r="P12" s="213" t="s">
        <v>68</v>
      </c>
      <c r="Q12" s="213" t="s">
        <v>107</v>
      </c>
      <c r="R12" s="213" t="s">
        <v>60</v>
      </c>
      <c r="S12" s="213" t="s">
        <v>61</v>
      </c>
      <c r="T12" s="247">
        <f t="array" ref="T12:T21">_xll.qlPiecewiseYieldCurveData('General Settings'!I34,InterestRatesTrigger)</f>
        <v>1</v>
      </c>
    </row>
    <row r="13" spans="1:20" x14ac:dyDescent="0.2">
      <c r="I13" s="227"/>
      <c r="J13" s="227"/>
      <c r="L13" s="54" t="str">
        <f t="array" ref="L13:L21">_xll.ohFilter(K3:K9,R3:R9)</f>
        <v>obj_0089f#0008</v>
      </c>
      <c r="O13" s="237" t="str">
        <f t="array" ref="O13:O21">_xll.ohFilter(O3:O8,R3:R8)</f>
        <v>Euribor1MLastFixing_Quote</v>
      </c>
      <c r="P13" s="238">
        <f t="array" ref="P13:P21">_xll.ohFilter(P3:P8,R3:R8)</f>
        <v>-3.4000000000047881E-4</v>
      </c>
      <c r="Q13" s="239" t="str">
        <f t="array" ref="Q13:Q21">_xll.ohFilter(Q3:Q8,R3:R8)</f>
        <v>--</v>
      </c>
      <c r="R13" s="240">
        <f t="array" ref="R13:R21">_xll.ohFilter(S3:S8,R3:R8)</f>
        <v>42138</v>
      </c>
      <c r="S13" s="240">
        <f t="array" ref="S13:S21">_xll.ohFilter(T3:T8,R3:R8)</f>
        <v>42170</v>
      </c>
      <c r="T13" s="241">
        <v>1.0000302231356326</v>
      </c>
    </row>
    <row r="14" spans="1:20" x14ac:dyDescent="0.2">
      <c r="L14" s="55" t="e">
        <v>#NUM!</v>
      </c>
      <c r="O14" s="237" t="e">
        <v>#VALUE!</v>
      </c>
      <c r="P14" s="238">
        <v>-4.8999999999999998E-4</v>
      </c>
      <c r="Q14" s="239" t="e">
        <v>#VALUE!</v>
      </c>
      <c r="R14" s="240" t="e">
        <v>#VALUE!</v>
      </c>
      <c r="S14" s="240" t="e">
        <v>#VALUE!</v>
      </c>
      <c r="T14" s="241" t="e">
        <v>#N/A</v>
      </c>
    </row>
    <row r="15" spans="1:20" x14ac:dyDescent="0.2">
      <c r="I15" s="227"/>
      <c r="J15" s="227"/>
      <c r="L15" s="55" t="e">
        <v>#NUM!</v>
      </c>
      <c r="O15" s="237" t="e">
        <v>#VALUE!</v>
      </c>
      <c r="P15" s="238">
        <v>-5.2999999999999998E-4</v>
      </c>
      <c r="Q15" s="239" t="e">
        <v>#VALUE!</v>
      </c>
      <c r="R15" s="240" t="e">
        <v>#VALUE!</v>
      </c>
      <c r="S15" s="240" t="e">
        <v>#VALUE!</v>
      </c>
      <c r="T15" s="241" t="e">
        <v>#N/A</v>
      </c>
    </row>
    <row r="16" spans="1:20" x14ac:dyDescent="0.2">
      <c r="L16" s="55" t="e">
        <v>#NUM!</v>
      </c>
      <c r="O16" s="237" t="e">
        <v>#VALUE!</v>
      </c>
      <c r="P16" s="238">
        <v>-5.5000000000000003E-4</v>
      </c>
      <c r="Q16" s="239" t="e">
        <v>#VALUE!</v>
      </c>
      <c r="R16" s="240" t="e">
        <v>#VALUE!</v>
      </c>
      <c r="S16" s="240" t="e">
        <v>#VALUE!</v>
      </c>
      <c r="T16" s="241" t="e">
        <v>#N/A</v>
      </c>
    </row>
    <row r="17" spans="9:23" x14ac:dyDescent="0.2">
      <c r="I17" s="227"/>
      <c r="J17" s="227"/>
      <c r="L17" s="55" t="e">
        <v>#NUM!</v>
      </c>
      <c r="O17" s="237" t="e">
        <v>#VALUE!</v>
      </c>
      <c r="P17" s="238">
        <v>-5.6999999999999998E-4</v>
      </c>
      <c r="Q17" s="239" t="e">
        <v>#VALUE!</v>
      </c>
      <c r="R17" s="240" t="e">
        <v>#VALUE!</v>
      </c>
      <c r="S17" s="240" t="e">
        <v>#VALUE!</v>
      </c>
      <c r="T17" s="241" t="e">
        <v>#N/A</v>
      </c>
    </row>
    <row r="18" spans="9:23" x14ac:dyDescent="0.2">
      <c r="L18" s="55" t="e">
        <v>#N/A</v>
      </c>
      <c r="O18" s="237" t="e">
        <v>#N/A</v>
      </c>
      <c r="P18" s="238" t="e">
        <v>#N/A</v>
      </c>
      <c r="Q18" s="239" t="e">
        <v>#N/A</v>
      </c>
      <c r="R18" s="240" t="e">
        <v>#N/A</v>
      </c>
      <c r="S18" s="240" t="e">
        <v>#N/A</v>
      </c>
      <c r="T18" s="241" t="e">
        <v>#N/A</v>
      </c>
    </row>
    <row r="19" spans="9:23" x14ac:dyDescent="0.2">
      <c r="I19" s="227"/>
      <c r="J19" s="227"/>
      <c r="L19" s="55" t="e">
        <v>#N/A</v>
      </c>
      <c r="O19" s="237" t="e">
        <v>#N/A</v>
      </c>
      <c r="P19" s="238" t="e">
        <v>#N/A</v>
      </c>
      <c r="Q19" s="239" t="e">
        <v>#N/A</v>
      </c>
      <c r="R19" s="240" t="e">
        <v>#N/A</v>
      </c>
      <c r="S19" s="240" t="e">
        <v>#N/A</v>
      </c>
      <c r="T19" s="241" t="e">
        <v>#N/A</v>
      </c>
    </row>
    <row r="20" spans="9:23" x14ac:dyDescent="0.2">
      <c r="L20" s="55" t="e">
        <v>#N/A</v>
      </c>
      <c r="O20" s="237" t="e">
        <v>#N/A</v>
      </c>
      <c r="P20" s="238" t="e">
        <v>#N/A</v>
      </c>
      <c r="Q20" s="239" t="e">
        <v>#N/A</v>
      </c>
      <c r="R20" s="240" t="e">
        <v>#N/A</v>
      </c>
      <c r="S20" s="240" t="e">
        <v>#N/A</v>
      </c>
      <c r="T20" s="241" t="e">
        <v>#N/A</v>
      </c>
    </row>
    <row r="21" spans="9:23" x14ac:dyDescent="0.2">
      <c r="I21" s="227"/>
      <c r="J21" s="227"/>
      <c r="L21" s="56" t="e">
        <v>#N/A</v>
      </c>
      <c r="O21" s="242" t="e">
        <v>#N/A</v>
      </c>
      <c r="P21" s="243" t="e">
        <v>#N/A</v>
      </c>
      <c r="Q21" s="244" t="e">
        <v>#N/A</v>
      </c>
      <c r="R21" s="245" t="e">
        <v>#N/A</v>
      </c>
      <c r="S21" s="245" t="e">
        <v>#N/A</v>
      </c>
      <c r="T21" s="246" t="e">
        <v>#N/A</v>
      </c>
    </row>
    <row r="22" spans="9:23" x14ac:dyDescent="0.2">
      <c r="L22" s="229"/>
    </row>
    <row r="23" spans="9:23" x14ac:dyDescent="0.2">
      <c r="I23" s="227"/>
      <c r="J23" s="227"/>
    </row>
    <row r="24" spans="9:23" x14ac:dyDescent="0.2">
      <c r="O24" s="217" t="str">
        <f>"Delta "&amp;J1</f>
        <v>Delta 1M</v>
      </c>
      <c r="P24" s="218"/>
      <c r="Q24" s="219"/>
      <c r="R24" s="219"/>
      <c r="S24" s="220"/>
      <c r="T24" s="220"/>
      <c r="U24" s="220"/>
      <c r="V24" s="220"/>
      <c r="W24" s="221"/>
    </row>
    <row r="25" spans="9:23" x14ac:dyDescent="0.2">
      <c r="I25" s="227"/>
      <c r="J25" s="227"/>
      <c r="O25" s="142" t="str">
        <f>J1&amp;" Instruments"</f>
        <v>1M Instruments</v>
      </c>
      <c r="P25" s="142" t="s">
        <v>96</v>
      </c>
      <c r="Q25" s="142" t="s">
        <v>97</v>
      </c>
      <c r="R25" s="142" t="s">
        <v>122</v>
      </c>
      <c r="S25" s="142" t="str">
        <f>"F "&amp;J1</f>
        <v>F 1M</v>
      </c>
      <c r="T25" s="142" t="s">
        <v>125</v>
      </c>
      <c r="U25" s="142" t="s">
        <v>123</v>
      </c>
      <c r="V25" s="142" t="s">
        <v>124</v>
      </c>
      <c r="W25" s="142" t="s">
        <v>126</v>
      </c>
    </row>
    <row r="26" spans="9:23" x14ac:dyDescent="0.2">
      <c r="M26" s="209">
        <v>0</v>
      </c>
      <c r="N26" s="209">
        <f>M26+SUBSTITUTE($J$1,"M","")</f>
        <v>1</v>
      </c>
      <c r="O26" s="252" t="str">
        <f>M26&amp;"x"&amp;N26</f>
        <v>0x1</v>
      </c>
      <c r="P26" s="253">
        <f>SettlementDate</f>
        <v>42138</v>
      </c>
      <c r="Q26" s="253">
        <f>_xll.qlInterestRateIndexMaturity(iborindex1M,P26,Trigger)</f>
        <v>42170</v>
      </c>
      <c r="R26" s="154">
        <f>_xll.qlDayCounterYearFraction(DayCounter,P26,Q26,,,Trigger)</f>
        <v>8.8888888888888892E-2</v>
      </c>
      <c r="S26" s="166">
        <f>_xll.qlIndexFixing(iborindex1M,_xll.qlInterestRateIndexFixingDate(iborindex1M,P26,Trigger),TRUE,AllTriggers)</f>
        <v>-3.4000000000047881E-4</v>
      </c>
      <c r="T26" s="166">
        <f>(U26/V26-1)/R26</f>
        <v>-9.9218555323313251E-4</v>
      </c>
      <c r="U26" s="169">
        <f>_xll.qlYieldTSDiscount(Discounting,P26,,AllTriggers)</f>
        <v>1.0000055555787037</v>
      </c>
      <c r="V26" s="169">
        <f>_xll.qlYieldTSDiscount(Discounting,Q26,,AllTriggers)</f>
        <v>1.0000937581190312</v>
      </c>
      <c r="W26" s="254">
        <f>LN((1+S26*R26)/(1+T26*R26))</f>
        <v>5.7975481819110203E-5</v>
      </c>
    </row>
    <row r="27" spans="9:23" x14ac:dyDescent="0.2">
      <c r="I27" s="227"/>
      <c r="J27" s="227"/>
      <c r="M27" s="209">
        <v>1</v>
      </c>
      <c r="N27" s="209">
        <f t="shared" ref="N27:N29" si="1">M27+SUBSTITUTE($J$1,"M","")</f>
        <v>2</v>
      </c>
      <c r="O27" s="252" t="str">
        <f t="shared" ref="O27:O29" si="2">M27&amp;"x"&amp;N27</f>
        <v>1x2</v>
      </c>
      <c r="P27" s="253">
        <f>Q26</f>
        <v>42170</v>
      </c>
      <c r="Q27" s="253">
        <f>_xll.qlInterestRateIndexMaturity(iborindex1M,P27,Trigger)</f>
        <v>42200</v>
      </c>
      <c r="R27" s="154">
        <f>_xll.qlDayCounterYearFraction(DayCounter,P27,Q27,,,Trigger)</f>
        <v>8.3333333333333329E-2</v>
      </c>
      <c r="S27" s="166" t="e">
        <f>_xll.qlIndexFixing(iborindex1M,_xll.qlInterestRateIndexFixingDate(iborindex1M,P27,Trigger),TRUE,AllTriggers)</f>
        <v>#NUM!</v>
      </c>
      <c r="T27" s="166">
        <f>(U27/V27-1)/R27</f>
        <v>-1.1300212828695422E-3</v>
      </c>
      <c r="U27" s="169">
        <f>_xll.qlYieldTSDiscount(Discounting,P27,,AllTriggers)</f>
        <v>1.0000937581190312</v>
      </c>
      <c r="V27" s="169">
        <f>_xll.qlYieldTSDiscount(Discounting,Q27,,AllTriggers)</f>
        <v>1.000187944257688</v>
      </c>
      <c r="W27" s="254" t="e">
        <f>LN((1+S27*R27)/(1+T27*R27))</f>
        <v>#NUM!</v>
      </c>
    </row>
    <row r="28" spans="9:23" x14ac:dyDescent="0.2">
      <c r="M28" s="209">
        <v>2</v>
      </c>
      <c r="N28" s="209">
        <f t="shared" si="1"/>
        <v>3</v>
      </c>
      <c r="O28" s="252" t="str">
        <f t="shared" si="2"/>
        <v>2x3</v>
      </c>
      <c r="P28" s="253">
        <f>Q27</f>
        <v>42200</v>
      </c>
      <c r="Q28" s="253">
        <f>_xll.qlInterestRateIndexMaturity(iborindex1M,P28,Trigger)</f>
        <v>42233</v>
      </c>
      <c r="R28" s="154">
        <f>_xll.qlDayCounterYearFraction(DayCounter,P28,Q28,,,Trigger)</f>
        <v>9.166666666666666E-2</v>
      </c>
      <c r="S28" s="166" t="e">
        <f>_xll.qlIndexFixing(iborindex1M,_xll.qlInterestRateIndexFixingDate(iborindex1M,P28,Trigger),TRUE,AllTriggers)</f>
        <v>#NUM!</v>
      </c>
      <c r="T28" s="166">
        <f>(U28/V28-1)/R28</f>
        <v>-1.2369335607012842E-3</v>
      </c>
      <c r="U28" s="169">
        <f>_xll.qlYieldTSDiscount(Discounting,P28,,AllTriggers)</f>
        <v>1.000187944257688</v>
      </c>
      <c r="V28" s="169">
        <f>_xll.qlYieldTSDiscount(Discounting,Q28,,AllTriggers)</f>
        <v>1.0003013640044169</v>
      </c>
      <c r="W28" s="254" t="e">
        <f>LN((1+S28*R28)/(1+T28*R28))</f>
        <v>#NUM!</v>
      </c>
    </row>
    <row r="29" spans="9:23" x14ac:dyDescent="0.2">
      <c r="I29" s="227"/>
      <c r="J29" s="227"/>
      <c r="M29" s="209">
        <v>3</v>
      </c>
      <c r="N29" s="209">
        <f t="shared" si="1"/>
        <v>4</v>
      </c>
      <c r="O29" s="255" t="str">
        <f t="shared" si="2"/>
        <v>3x4</v>
      </c>
      <c r="P29" s="256">
        <f>Q28</f>
        <v>42233</v>
      </c>
      <c r="Q29" s="256">
        <f>_xll.qlInterestRateIndexMaturity(iborindex1M,P29,Trigger)</f>
        <v>42264</v>
      </c>
      <c r="R29" s="159">
        <f>_xll.qlDayCounterYearFraction(DayCounter,P29,Q29,,,Trigger)</f>
        <v>8.611111111111111E-2</v>
      </c>
      <c r="S29" s="175" t="e">
        <f>_xll.qlIndexFixing(iborindex1M,_xll.qlInterestRateIndexFixingDate(iborindex1M,P29,Trigger),TRUE,AllTriggers)</f>
        <v>#NUM!</v>
      </c>
      <c r="T29" s="175">
        <f>(U29/V29-1)/R29</f>
        <v>-1.2655564240197344E-3</v>
      </c>
      <c r="U29" s="173">
        <f>_xll.qlYieldTSDiscount(Discounting,P29,,AllTriggers)</f>
        <v>1.0003013640044169</v>
      </c>
      <c r="V29" s="173">
        <f>_xll.qlYieldTSDiscount(Discounting,Q29,,AllTriggers)</f>
        <v>1.000410387197632</v>
      </c>
      <c r="W29" s="257" t="e">
        <f>LN((1+S29*R29)/(1+T29*R29))</f>
        <v>#NUM!</v>
      </c>
    </row>
    <row r="31" spans="9:23" x14ac:dyDescent="0.2">
      <c r="I31" s="227"/>
      <c r="J31" s="227"/>
    </row>
    <row r="33" spans="9:10" x14ac:dyDescent="0.2">
      <c r="I33" s="227"/>
      <c r="J33" s="227"/>
    </row>
    <row r="35" spans="9:10" x14ac:dyDescent="0.2">
      <c r="I35" s="227"/>
      <c r="J35" s="227"/>
    </row>
    <row r="37" spans="9:10" x14ac:dyDescent="0.2">
      <c r="I37" s="227"/>
      <c r="J37" s="227"/>
    </row>
  </sheetData>
  <dataValidations count="4">
    <dataValidation type="list" allowBlank="1" showInputMessage="1" showErrorMessage="1" sqref="R3:R9">
      <formula1>"TRUE,FALSE"</formula1>
    </dataValidation>
    <dataValidation type="list" allowBlank="1" showInputMessage="1" showErrorMessage="1" sqref="G4:G9">
      <formula1>"Following,Modified Following,Preceding,Modified Preceding,Month End Reference,Unadjusted Month End,Unadjusted"</formula1>
    </dataValidation>
    <dataValidation type="list" allowBlank="1" showInputMessage="1" showErrorMessage="1" sqref="H4:H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4:F9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38"/>
  <sheetViews>
    <sheetView topLeftCell="M1" workbookViewId="0"/>
  </sheetViews>
  <sheetFormatPr defaultRowHeight="11.25" outlineLevelCol="1" x14ac:dyDescent="0.2"/>
  <cols>
    <col min="1" max="1" width="3.1640625" style="209" hidden="1" customWidth="1" outlineLevel="1"/>
    <col min="2" max="3" width="7" style="209" hidden="1" customWidth="1" outlineLevel="1"/>
    <col min="4" max="4" width="7" style="226" hidden="1" customWidth="1" outlineLevel="1"/>
    <col min="5" max="5" width="3.5" style="226" hidden="1" customWidth="1" outlineLevel="1"/>
    <col min="6" max="6" width="8.1640625" style="209" hidden="1" customWidth="1" outlineLevel="1"/>
    <col min="7" max="7" width="22.6640625" style="209" hidden="1" customWidth="1" outlineLevel="1"/>
    <col min="8" max="8" width="23.83203125" style="209" hidden="1" customWidth="1" outlineLevel="1"/>
    <col min="9" max="9" width="9.33203125" style="209" hidden="1" customWidth="1" outlineLevel="1"/>
    <col min="10" max="10" width="31.1640625" style="209" hidden="1" customWidth="1" outlineLevel="1"/>
    <col min="11" max="11" width="17.83203125" style="228" hidden="1" customWidth="1" outlineLevel="1"/>
    <col min="12" max="12" width="26.33203125" style="209" hidden="1" customWidth="1" outlineLevel="1"/>
    <col min="13" max="13" width="3.5" style="209" bestFit="1" customWidth="1" collapsed="1"/>
    <col min="14" max="14" width="3.5" style="209" bestFit="1" customWidth="1"/>
    <col min="15" max="15" width="31.1640625" style="209" bestFit="1" customWidth="1"/>
    <col min="16" max="20" width="20.1640625" style="209" bestFit="1" customWidth="1"/>
    <col min="21" max="21" width="17.83203125" style="209" hidden="1" customWidth="1" outlineLevel="1"/>
    <col min="22" max="22" width="14.1640625" style="209" hidden="1" customWidth="1" outlineLevel="1"/>
    <col min="23" max="23" width="10.5" style="209" bestFit="1" customWidth="1" collapsed="1"/>
    <col min="24" max="24" width="11.6640625" style="209" bestFit="1" customWidth="1"/>
    <col min="25" max="26" width="20.1640625" style="209" bestFit="1" customWidth="1"/>
    <col min="27" max="27" width="9.33203125" style="209" bestFit="1" customWidth="1"/>
    <col min="28" max="28" width="17.83203125" style="209" customWidth="1"/>
    <col min="29" max="30" width="10.5" style="209" bestFit="1" customWidth="1"/>
    <col min="31" max="31" width="11.6640625" style="209" bestFit="1" customWidth="1"/>
    <col min="32" max="32" width="17.83203125" style="209" bestFit="1" customWidth="1"/>
    <col min="33" max="33" width="10.5" style="209" bestFit="1" customWidth="1"/>
    <col min="34" max="16384" width="9.33203125" style="209"/>
  </cols>
  <sheetData>
    <row r="1" spans="1:22" ht="11.25" customHeight="1" x14ac:dyDescent="0.2">
      <c r="D1" s="209"/>
      <c r="E1" s="209"/>
      <c r="J1" s="209" t="s">
        <v>27</v>
      </c>
      <c r="K1" s="209" t="str">
        <f>_xll.qlEuribor(,J1,,,Trigger)</f>
        <v>obj_0087c#0008</v>
      </c>
      <c r="L1" s="209" t="str">
        <f>_xll.ohRangeRetrieveError(K1)</f>
        <v/>
      </c>
    </row>
    <row r="2" spans="1:22" ht="24" customHeight="1" x14ac:dyDescent="0.2">
      <c r="A2" s="222"/>
      <c r="B2" s="210" t="s">
        <v>103</v>
      </c>
      <c r="C2" s="210"/>
      <c r="D2" s="211"/>
      <c r="E2" s="211"/>
      <c r="F2" s="210" t="s">
        <v>104</v>
      </c>
      <c r="G2" s="210" t="s">
        <v>105</v>
      </c>
      <c r="H2" s="210" t="s">
        <v>106</v>
      </c>
      <c r="I2" s="210" t="s">
        <v>107</v>
      </c>
      <c r="J2" s="210" t="s">
        <v>56</v>
      </c>
      <c r="K2" s="210" t="s">
        <v>57</v>
      </c>
      <c r="L2" s="212" t="s">
        <v>36</v>
      </c>
      <c r="M2" s="225"/>
      <c r="N2" s="225"/>
      <c r="O2" s="213" t="s">
        <v>108</v>
      </c>
      <c r="P2" s="213" t="s">
        <v>58</v>
      </c>
      <c r="Q2" s="213" t="s">
        <v>107</v>
      </c>
      <c r="R2" s="213" t="s">
        <v>59</v>
      </c>
      <c r="S2" s="210" t="s">
        <v>60</v>
      </c>
      <c r="T2" s="210" t="s">
        <v>61</v>
      </c>
      <c r="U2" s="12"/>
      <c r="V2" s="12"/>
    </row>
    <row r="3" spans="1:22" ht="11.25" customHeight="1" x14ac:dyDescent="0.2">
      <c r="A3" s="223"/>
      <c r="B3" s="33" t="s">
        <v>111</v>
      </c>
      <c r="C3" s="62"/>
      <c r="D3" s="63"/>
      <c r="E3" s="63"/>
      <c r="F3" s="60"/>
      <c r="G3" s="60"/>
      <c r="H3" s="60"/>
      <c r="I3" s="64"/>
      <c r="J3" s="54" t="str">
        <f>PROPER((Currency))&amp;IborType&amp;J1&amp;"LastFixing"&amp;QuoteSuffix</f>
        <v>Euribor1YLastFixing_Quote</v>
      </c>
      <c r="K3" s="61" t="str">
        <f>_xll.qlDepositRateHelper(,J3,K1,,Trigger)</f>
        <v>obj_008a0#0008</v>
      </c>
      <c r="L3" s="72" t="str">
        <f>_xll.ohRangeRetrieveError(K3)</f>
        <v/>
      </c>
      <c r="M3" s="224"/>
      <c r="N3" s="224"/>
      <c r="O3" s="40" t="str">
        <f>_xll.qlRateHelperQuoteName(K3,Trigger)</f>
        <v>Euribor1YLastFixing_Quote</v>
      </c>
      <c r="P3" s="41">
        <f>_xll.qlQuoteValue(J3,AllTriggers)</f>
        <v>1.7100000000000812E-3</v>
      </c>
      <c r="Q3" s="78" t="str">
        <f>IF(ISBLANK(I3),"--",_xll.qlSwapRateHelperSpread(K3,AllTriggers))</f>
        <v>--</v>
      </c>
      <c r="R3" s="40" t="b">
        <v>1</v>
      </c>
      <c r="S3" s="42">
        <f>_xll.qlRateHelperEarliestDate(K3,Trigger)</f>
        <v>42138</v>
      </c>
      <c r="T3" s="42">
        <f>_xll.qlRateHelperLatestDate(K3,Trigger)</f>
        <v>42506</v>
      </c>
      <c r="U3" s="12"/>
      <c r="V3" s="12"/>
    </row>
    <row r="4" spans="1:22" ht="11.25" customHeight="1" x14ac:dyDescent="0.2">
      <c r="A4" s="223"/>
      <c r="B4" s="75" t="s">
        <v>55</v>
      </c>
      <c r="C4" s="77">
        <v>12</v>
      </c>
      <c r="D4" s="76" t="s">
        <v>37</v>
      </c>
      <c r="E4" s="76">
        <v>24</v>
      </c>
      <c r="F4" s="60"/>
      <c r="G4" s="60"/>
      <c r="H4" s="60"/>
      <c r="I4" s="64"/>
      <c r="J4" s="54" t="str">
        <f>Currency&amp;C4&amp;D4&amp;E4&amp;"F"&amp;QuoteSuffix</f>
        <v>EUR12x24F_Quote</v>
      </c>
      <c r="K4" s="61" t="str">
        <f>_xll.qlFraRateHelper(,J4,B4,K1)</f>
        <v>obj_0087d#0008</v>
      </c>
      <c r="L4" s="72" t="str">
        <f>_xll.ohRangeRetrieveError(K4)</f>
        <v/>
      </c>
      <c r="M4" s="224"/>
      <c r="N4" s="224"/>
      <c r="O4" s="40" t="str">
        <f>_xll.qlRateHelperQuoteName(K4,Trigger)</f>
        <v>EUR12x24F_Quote</v>
      </c>
      <c r="P4" s="41">
        <f>_xll.qlQuoteValue(J4,AllTriggers)</f>
        <v>2.31E-3</v>
      </c>
      <c r="Q4" s="78" t="str">
        <f>IF(ISBLANK(I4),"--",_xll.qlSwapRateHelperSpread(K4,AllTriggers))</f>
        <v>--</v>
      </c>
      <c r="R4" s="40" t="b">
        <v>1</v>
      </c>
      <c r="S4" s="42">
        <f>_xll.qlRateHelperEarliestDate(K4,Trigger)</f>
        <v>42506</v>
      </c>
      <c r="T4" s="42">
        <f>_xll.qlRateHelperLatestDate(K4,Trigger)</f>
        <v>42871</v>
      </c>
      <c r="U4" s="12"/>
      <c r="V4" s="12"/>
    </row>
    <row r="5" spans="1:22" ht="11.25" customHeight="1" x14ac:dyDescent="0.2">
      <c r="A5" s="223"/>
      <c r="B5" s="65" t="s">
        <v>111</v>
      </c>
      <c r="C5" s="66" t="s">
        <v>62</v>
      </c>
      <c r="D5" s="67" t="s">
        <v>63</v>
      </c>
      <c r="E5" s="67" t="s">
        <v>64</v>
      </c>
      <c r="F5" s="65" t="s">
        <v>113</v>
      </c>
      <c r="G5" s="68" t="s">
        <v>109</v>
      </c>
      <c r="H5" s="68" t="s">
        <v>119</v>
      </c>
      <c r="I5" s="69">
        <v>0</v>
      </c>
      <c r="J5" s="70" t="str">
        <f t="shared" ref="J5:J10" si="0">Currency&amp;C5&amp;$D5&amp;$E5&amp;"_Quote"</f>
        <v>EURAB12EBASIS3Y_Quote</v>
      </c>
      <c r="K5" s="71" t="e">
        <f>_xll.qlSwapRateHelper2(,J5,E5,Calendar,F5,G5,H5,$K$1,I5,B5,Discounting,,Trigger)</f>
        <v>#NUM!</v>
      </c>
      <c r="L5" s="72" t="str">
        <f ca="1">_xll.ohRangeRetrieveError(K5)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5" s="224"/>
      <c r="N5" s="224"/>
      <c r="O5" s="40" t="e">
        <f>_xll.qlRateHelperQuoteName(K5,Trigger)</f>
        <v>#VALUE!</v>
      </c>
      <c r="P5" s="41">
        <f>_xll.qlQuoteValue(J5,AllTriggers)</f>
        <v>2.82E-3</v>
      </c>
      <c r="Q5" s="78" t="e">
        <f>IF(ISBLANK(I5),"--",_xll.qlSwapRateHelperSpread(K5,AllTriggers))</f>
        <v>#VALUE!</v>
      </c>
      <c r="R5" s="40" t="b">
        <v>1</v>
      </c>
      <c r="S5" s="42" t="e">
        <f>_xll.qlRateHelperEarliestDate(K5,Trigger)</f>
        <v>#VALUE!</v>
      </c>
      <c r="T5" s="42" t="e">
        <f>_xll.qlRateHelperLatestDate(K5,Trigger)</f>
        <v>#VALUE!</v>
      </c>
      <c r="U5" s="12"/>
      <c r="V5" s="12"/>
    </row>
    <row r="6" spans="1:22" ht="11.25" customHeight="1" x14ac:dyDescent="0.2">
      <c r="A6" s="223"/>
      <c r="B6" s="33" t="s">
        <v>111</v>
      </c>
      <c r="C6" s="34" t="s">
        <v>62</v>
      </c>
      <c r="D6" s="35" t="s">
        <v>63</v>
      </c>
      <c r="E6" s="35" t="s">
        <v>65</v>
      </c>
      <c r="F6" s="33" t="s">
        <v>113</v>
      </c>
      <c r="G6" s="36" t="s">
        <v>109</v>
      </c>
      <c r="H6" s="36" t="s">
        <v>119</v>
      </c>
      <c r="I6" s="37">
        <v>0</v>
      </c>
      <c r="J6" s="38" t="str">
        <f t="shared" si="0"/>
        <v>EURAB12EBASIS4Y_Quote</v>
      </c>
      <c r="K6" s="39" t="e">
        <f>_xll.qlSwapRateHelper2(,J6,E6,Calendar,F6,G6,H6,$K$1,I6,B6,Discounting,,Trigger)</f>
        <v>#NUM!</v>
      </c>
      <c r="L6" s="40" t="str">
        <f ca="1">_xll.ohRangeRetrieveError(K6)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6" s="224"/>
      <c r="N6" s="224"/>
      <c r="O6" s="40" t="e">
        <f>_xll.qlRateHelperQuoteName(K6,Trigger)</f>
        <v>#VALUE!</v>
      </c>
      <c r="P6" s="41">
        <f>_xll.qlQuoteValue(J6,AllTriggers)</f>
        <v>3.8400000000000001E-3</v>
      </c>
      <c r="Q6" s="78" t="e">
        <f>IF(ISBLANK(I6),"--",_xll.qlSwapRateHelperSpread(K6,AllTriggers))</f>
        <v>#VALUE!</v>
      </c>
      <c r="R6" s="40" t="b">
        <v>1</v>
      </c>
      <c r="S6" s="42" t="e">
        <f>_xll.qlRateHelperEarliestDate(K6,Trigger)</f>
        <v>#VALUE!</v>
      </c>
      <c r="T6" s="42" t="e">
        <f>_xll.qlRateHelperLatestDate(K6,Trigger)</f>
        <v>#VALUE!</v>
      </c>
      <c r="U6" s="12"/>
      <c r="V6" s="12"/>
    </row>
    <row r="7" spans="1:22" ht="11.25" customHeight="1" x14ac:dyDescent="0.2">
      <c r="A7" s="222"/>
      <c r="B7" s="33" t="s">
        <v>111</v>
      </c>
      <c r="C7" s="34" t="s">
        <v>62</v>
      </c>
      <c r="D7" s="35" t="s">
        <v>63</v>
      </c>
      <c r="E7" s="35" t="s">
        <v>66</v>
      </c>
      <c r="F7" s="33" t="s">
        <v>113</v>
      </c>
      <c r="G7" s="36" t="s">
        <v>109</v>
      </c>
      <c r="H7" s="36" t="s">
        <v>119</v>
      </c>
      <c r="I7" s="37">
        <v>0</v>
      </c>
      <c r="J7" s="38" t="str">
        <f t="shared" si="0"/>
        <v>EURAB12EBASIS5Y_Quote</v>
      </c>
      <c r="K7" s="39" t="e">
        <f>_xll.qlSwapRateHelper2(,J7,E7,Calendar,F7,G7,H7,$K$1,I7,B7,Discounting,,Trigger)</f>
        <v>#NUM!</v>
      </c>
      <c r="L7" s="40" t="str">
        <f ca="1">_xll.ohRangeRetrieveError(K7)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7" s="224"/>
      <c r="N7" s="224"/>
      <c r="O7" s="40" t="e">
        <f>_xll.qlRateHelperQuoteName(K7,Trigger)</f>
        <v>#VALUE!</v>
      </c>
      <c r="P7" s="41">
        <f>_xll.qlQuoteValue(J7,AllTriggers)</f>
        <v>5.0100000000000006E-3</v>
      </c>
      <c r="Q7" s="78" t="e">
        <f>IF(ISBLANK(I7),"--",_xll.qlSwapRateHelperSpread(K7,AllTriggers))</f>
        <v>#VALUE!</v>
      </c>
      <c r="R7" s="40" t="b">
        <v>1</v>
      </c>
      <c r="S7" s="42" t="e">
        <f>_xll.qlRateHelperEarliestDate(K7,Trigger)</f>
        <v>#VALUE!</v>
      </c>
      <c r="T7" s="42" t="e">
        <f>_xll.qlRateHelperLatestDate(K7,Trigger)</f>
        <v>#VALUE!</v>
      </c>
      <c r="U7" s="12"/>
      <c r="V7" s="12"/>
    </row>
    <row r="8" spans="1:22" ht="11.25" customHeight="1" x14ac:dyDescent="0.2">
      <c r="A8" s="222"/>
      <c r="B8" s="33" t="s">
        <v>111</v>
      </c>
      <c r="C8" s="34" t="s">
        <v>62</v>
      </c>
      <c r="D8" s="35" t="s">
        <v>63</v>
      </c>
      <c r="E8" s="35" t="s">
        <v>116</v>
      </c>
      <c r="F8" s="33" t="s">
        <v>113</v>
      </c>
      <c r="G8" s="36" t="s">
        <v>109</v>
      </c>
      <c r="H8" s="36" t="s">
        <v>119</v>
      </c>
      <c r="I8" s="37">
        <v>0</v>
      </c>
      <c r="J8" s="38" t="str">
        <f t="shared" si="0"/>
        <v>EURAB12EBASIS6Y_Quote</v>
      </c>
      <c r="K8" s="39" t="e">
        <f>_xll.qlSwapRateHelper2(,J8,E8,Calendar,F8,G8,H8,$K$1,I8,B8,Discounting,,Trigger)</f>
        <v>#NUM!</v>
      </c>
      <c r="L8" s="40" t="str">
        <f ca="1">_xll.ohRangeRetrieveError(K8)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8" s="224"/>
      <c r="N8" s="224"/>
      <c r="O8" s="40" t="e">
        <f>_xll.qlRateHelperQuoteName(K8,Trigger)</f>
        <v>#VALUE!</v>
      </c>
      <c r="P8" s="41">
        <f>_xll.qlQuoteValue(J8,AllTriggers)</f>
        <v>6.2100000000000002E-3</v>
      </c>
      <c r="Q8" s="78" t="e">
        <f>IF(ISBLANK(I8),"--",_xll.qlSwapRateHelperSpread(K8,AllTriggers))</f>
        <v>#VALUE!</v>
      </c>
      <c r="R8" s="40" t="b">
        <v>1</v>
      </c>
      <c r="S8" s="42" t="e">
        <f>_xll.qlRateHelperEarliestDate(K8,Trigger)</f>
        <v>#VALUE!</v>
      </c>
      <c r="T8" s="42" t="e">
        <f>_xll.qlRateHelperLatestDate(K8,Trigger)</f>
        <v>#VALUE!</v>
      </c>
      <c r="U8" s="12"/>
      <c r="V8" s="12"/>
    </row>
    <row r="9" spans="1:22" ht="11.25" customHeight="1" x14ac:dyDescent="0.2">
      <c r="A9" s="222"/>
      <c r="B9" s="33" t="s">
        <v>111</v>
      </c>
      <c r="C9" s="34" t="s">
        <v>62</v>
      </c>
      <c r="D9" s="35" t="s">
        <v>63</v>
      </c>
      <c r="E9" s="35" t="s">
        <v>117</v>
      </c>
      <c r="F9" s="33" t="s">
        <v>113</v>
      </c>
      <c r="G9" s="36" t="s">
        <v>109</v>
      </c>
      <c r="H9" s="36" t="s">
        <v>119</v>
      </c>
      <c r="I9" s="37">
        <v>0</v>
      </c>
      <c r="J9" s="38" t="str">
        <f t="shared" si="0"/>
        <v>EURAB12EBASIS7Y_Quote</v>
      </c>
      <c r="K9" s="39" t="e">
        <f>_xll.qlSwapRateHelper2(,J9,E9,Calendar,F9,G9,H9,$K$1,I9,B9,Discounting,,Trigger)</f>
        <v>#NUM!</v>
      </c>
      <c r="L9" s="40" t="str">
        <f ca="1">_xll.ohRangeRetrieveError(K9)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O9" s="40" t="e">
        <f>_xll.qlRateHelperQuoteName(K9,Trigger)</f>
        <v>#VALUE!</v>
      </c>
      <c r="P9" s="41">
        <f>_xll.qlQuoteValue(J9,AllTriggers)</f>
        <v>7.4099999999999999E-3</v>
      </c>
      <c r="Q9" s="78" t="e">
        <f>IF(ISBLANK(I9),"--",_xll.qlSwapRateHelperSpread(K9,AllTriggers))</f>
        <v>#VALUE!</v>
      </c>
      <c r="R9" s="40" t="b">
        <v>1</v>
      </c>
      <c r="S9" s="42" t="e">
        <f>_xll.qlRateHelperEarliestDate(K9,Trigger)</f>
        <v>#VALUE!</v>
      </c>
      <c r="T9" s="42" t="e">
        <f>_xll.qlRateHelperLatestDate(K9,Trigger)</f>
        <v>#VALUE!</v>
      </c>
      <c r="U9" s="12"/>
      <c r="V9" s="12"/>
    </row>
    <row r="10" spans="1:22" x14ac:dyDescent="0.2">
      <c r="B10" s="43" t="s">
        <v>111</v>
      </c>
      <c r="C10" s="44" t="s">
        <v>62</v>
      </c>
      <c r="D10" s="45" t="s">
        <v>63</v>
      </c>
      <c r="E10" s="45" t="s">
        <v>118</v>
      </c>
      <c r="F10" s="43" t="s">
        <v>113</v>
      </c>
      <c r="G10" s="46" t="s">
        <v>109</v>
      </c>
      <c r="H10" s="46" t="s">
        <v>119</v>
      </c>
      <c r="I10" s="47">
        <v>0</v>
      </c>
      <c r="J10" s="58" t="str">
        <f t="shared" si="0"/>
        <v>EURAB12EBASIS8Y_Quote</v>
      </c>
      <c r="K10" s="59" t="e">
        <f>_xll.qlSwapRateHelper2(,J10,E10,Calendar,F10,G10,H10,$K$1,I10,B10,Discounting,,Trigger)</f>
        <v>#NUM!</v>
      </c>
      <c r="L10" s="48" t="str">
        <f ca="1">_xll.ohRangeRetrieveError(K10)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O10" s="48" t="e">
        <f>_xll.qlRateHelperQuoteName(K10,Trigger)</f>
        <v>#VALUE!</v>
      </c>
      <c r="P10" s="49">
        <f>_xll.qlQuoteValue(J10,AllTriggers)</f>
        <v>8.5000000000000006E-3</v>
      </c>
      <c r="Q10" s="79" t="e">
        <f>IF(ISBLANK(I10),"--",_xll.qlSwapRateHelperSpread(K10,AllTriggers))</f>
        <v>#VALUE!</v>
      </c>
      <c r="R10" s="48" t="b">
        <v>0</v>
      </c>
      <c r="S10" s="50" t="e">
        <f>_xll.qlRateHelperEarliestDate(K10,Trigger)</f>
        <v>#VALUE!</v>
      </c>
      <c r="T10" s="50" t="e">
        <f>_xll.qlRateHelperLatestDate(K10,Trigger)</f>
        <v>#VALUE!</v>
      </c>
      <c r="U10" s="12"/>
      <c r="V10" s="12"/>
    </row>
    <row r="11" spans="1:22" x14ac:dyDescent="0.2">
      <c r="D11" s="209"/>
      <c r="E11" s="209"/>
      <c r="K11" s="209"/>
      <c r="L11" s="224"/>
    </row>
    <row r="12" spans="1:22" x14ac:dyDescent="0.2">
      <c r="I12" s="227"/>
      <c r="J12" s="227"/>
      <c r="O12" s="214" t="str">
        <f>J1&amp;" "&amp;PROPER(Currency)&amp;IborType&amp;" Curve"</f>
        <v>1Y Euribor Curve</v>
      </c>
      <c r="P12" s="215"/>
      <c r="Q12" s="215"/>
      <c r="R12" s="215"/>
      <c r="S12" s="215"/>
      <c r="T12" s="216" t="s">
        <v>120</v>
      </c>
      <c r="U12" s="12"/>
      <c r="V12" s="12"/>
    </row>
    <row r="13" spans="1:22" x14ac:dyDescent="0.2">
      <c r="L13" s="213" t="s">
        <v>110</v>
      </c>
      <c r="O13" s="259" t="s">
        <v>67</v>
      </c>
      <c r="P13" s="259" t="s">
        <v>68</v>
      </c>
      <c r="Q13" s="259" t="s">
        <v>107</v>
      </c>
      <c r="R13" s="259" t="s">
        <v>60</v>
      </c>
      <c r="S13" s="259" t="s">
        <v>61</v>
      </c>
      <c r="T13" s="51">
        <f t="array" ref="T13:T27">_xll.qlPiecewiseYieldCurveData('General Settings'!D34,InterestRatesTrigger)</f>
        <v>1</v>
      </c>
      <c r="U13" s="12"/>
      <c r="V13" s="12"/>
    </row>
    <row r="14" spans="1:22" x14ac:dyDescent="0.2">
      <c r="I14" s="227"/>
      <c r="J14" s="227"/>
      <c r="L14" s="54" t="str">
        <f t="array" ref="L14:L27">_xll.ohFilter(K3:K10,R3:R10)</f>
        <v>obj_008a0#0008</v>
      </c>
      <c r="O14" s="72" t="str">
        <f t="array" ref="O14:O27">_xll.ohFilter(O3:O10,R3:R10)</f>
        <v>Euribor1YLastFixing_Quote</v>
      </c>
      <c r="P14" s="80">
        <f t="array" ref="P14:P27">_xll.ohFilter(P3:P10,R3:R10)</f>
        <v>1.7100000000000812E-3</v>
      </c>
      <c r="Q14" s="81" t="str">
        <f t="array" ref="Q14:Q27">_xll.ohFilter(Q3:Q10,R3:R10)</f>
        <v>--</v>
      </c>
      <c r="R14" s="82">
        <f t="array" ref="R14:R27">_xll.ohFilter(S3:S10,R3:R10)</f>
        <v>42138</v>
      </c>
      <c r="S14" s="82">
        <f t="array" ref="S14:S27">_xll.ohFilter(T3:T10,R3:R10)</f>
        <v>42506</v>
      </c>
      <c r="T14" s="52">
        <v>0.99825505017229887</v>
      </c>
      <c r="U14" s="12"/>
      <c r="V14" s="12"/>
    </row>
    <row r="15" spans="1:22" x14ac:dyDescent="0.2">
      <c r="L15" s="55" t="str">
        <v>obj_0087d#0008</v>
      </c>
      <c r="O15" s="40" t="str">
        <v>EUR12x24F_Quote</v>
      </c>
      <c r="P15" s="41">
        <v>2.31E-3</v>
      </c>
      <c r="Q15" s="78" t="str">
        <v>--</v>
      </c>
      <c r="R15" s="42">
        <v>42506</v>
      </c>
      <c r="S15" s="42">
        <v>42871</v>
      </c>
      <c r="T15" s="52">
        <v>0.99592251664477383</v>
      </c>
      <c r="U15" s="12"/>
      <c r="V15" s="12"/>
    </row>
    <row r="16" spans="1:22" x14ac:dyDescent="0.2">
      <c r="I16" s="227"/>
      <c r="J16" s="227"/>
      <c r="L16" s="55" t="e">
        <v>#NUM!</v>
      </c>
      <c r="O16" s="40" t="e">
        <v>#VALUE!</v>
      </c>
      <c r="P16" s="41">
        <v>2.82E-3</v>
      </c>
      <c r="Q16" s="78" t="e">
        <v>#VALUE!</v>
      </c>
      <c r="R16" s="42" t="e">
        <v>#VALUE!</v>
      </c>
      <c r="S16" s="42" t="e">
        <v>#VALUE!</v>
      </c>
      <c r="T16" s="52" t="e">
        <v>#N/A</v>
      </c>
      <c r="U16" s="12"/>
      <c r="V16" s="12"/>
    </row>
    <row r="17" spans="9:34" x14ac:dyDescent="0.2">
      <c r="L17" s="55" t="e">
        <v>#NUM!</v>
      </c>
      <c r="O17" s="40" t="e">
        <v>#VALUE!</v>
      </c>
      <c r="P17" s="41">
        <v>3.8400000000000001E-3</v>
      </c>
      <c r="Q17" s="78" t="e">
        <v>#VALUE!</v>
      </c>
      <c r="R17" s="42" t="e">
        <v>#VALUE!</v>
      </c>
      <c r="S17" s="42" t="e">
        <v>#VALUE!</v>
      </c>
      <c r="T17" s="52" t="e">
        <v>#N/A</v>
      </c>
      <c r="U17" s="12"/>
      <c r="V17" s="12"/>
    </row>
    <row r="18" spans="9:34" x14ac:dyDescent="0.2">
      <c r="I18" s="227"/>
      <c r="J18" s="227"/>
      <c r="L18" s="55" t="e">
        <v>#NUM!</v>
      </c>
      <c r="O18" s="40" t="e">
        <v>#VALUE!</v>
      </c>
      <c r="P18" s="41">
        <v>5.0100000000000006E-3</v>
      </c>
      <c r="Q18" s="78" t="e">
        <v>#VALUE!</v>
      </c>
      <c r="R18" s="42" t="e">
        <v>#VALUE!</v>
      </c>
      <c r="S18" s="42" t="e">
        <v>#VALUE!</v>
      </c>
      <c r="T18" s="52" t="e">
        <v>#N/A</v>
      </c>
      <c r="U18" s="12"/>
      <c r="V18" s="12"/>
    </row>
    <row r="19" spans="9:34" x14ac:dyDescent="0.2">
      <c r="L19" s="55" t="e">
        <v>#NUM!</v>
      </c>
      <c r="O19" s="40" t="e">
        <v>#VALUE!</v>
      </c>
      <c r="P19" s="41">
        <v>6.2100000000000002E-3</v>
      </c>
      <c r="Q19" s="78" t="e">
        <v>#VALUE!</v>
      </c>
      <c r="R19" s="42" t="e">
        <v>#VALUE!</v>
      </c>
      <c r="S19" s="42" t="e">
        <v>#VALUE!</v>
      </c>
      <c r="T19" s="52" t="e">
        <v>#N/A</v>
      </c>
      <c r="U19" s="12"/>
      <c r="V19" s="12"/>
    </row>
    <row r="20" spans="9:34" x14ac:dyDescent="0.2">
      <c r="I20" s="227"/>
      <c r="J20" s="227"/>
      <c r="L20" s="55" t="e">
        <v>#NUM!</v>
      </c>
      <c r="O20" s="40" t="e">
        <v>#VALUE!</v>
      </c>
      <c r="P20" s="41">
        <v>7.4099999999999999E-3</v>
      </c>
      <c r="Q20" s="78" t="e">
        <v>#VALUE!</v>
      </c>
      <c r="R20" s="42" t="e">
        <v>#VALUE!</v>
      </c>
      <c r="S20" s="42" t="e">
        <v>#VALUE!</v>
      </c>
      <c r="T20" s="52" t="e">
        <v>#N/A</v>
      </c>
      <c r="U20" s="12"/>
      <c r="V20" s="12"/>
      <c r="AH20" s="224"/>
    </row>
    <row r="21" spans="9:34" x14ac:dyDescent="0.2">
      <c r="L21" s="55" t="e">
        <v>#N/A</v>
      </c>
      <c r="O21" s="40" t="e">
        <v>#N/A</v>
      </c>
      <c r="P21" s="41" t="e">
        <v>#N/A</v>
      </c>
      <c r="Q21" s="78" t="e">
        <v>#N/A</v>
      </c>
      <c r="R21" s="42" t="e">
        <v>#N/A</v>
      </c>
      <c r="S21" s="42" t="e">
        <v>#N/A</v>
      </c>
      <c r="T21" s="52" t="e">
        <v>#N/A</v>
      </c>
      <c r="U21" s="12"/>
      <c r="V21" s="12"/>
      <c r="AH21" s="224"/>
    </row>
    <row r="22" spans="9:34" x14ac:dyDescent="0.2">
      <c r="I22" s="227"/>
      <c r="J22" s="227"/>
      <c r="L22" s="55" t="e">
        <v>#N/A</v>
      </c>
      <c r="O22" s="40" t="e">
        <v>#N/A</v>
      </c>
      <c r="P22" s="41" t="e">
        <v>#N/A</v>
      </c>
      <c r="Q22" s="78" t="e">
        <v>#N/A</v>
      </c>
      <c r="R22" s="42" t="e">
        <v>#N/A</v>
      </c>
      <c r="S22" s="42" t="e">
        <v>#N/A</v>
      </c>
      <c r="T22" s="52" t="e">
        <v>#N/A</v>
      </c>
      <c r="U22" s="12"/>
      <c r="V22" s="12"/>
    </row>
    <row r="23" spans="9:34" x14ac:dyDescent="0.2">
      <c r="L23" s="55" t="e">
        <v>#N/A</v>
      </c>
      <c r="O23" s="40" t="e">
        <v>#N/A</v>
      </c>
      <c r="P23" s="41" t="e">
        <v>#N/A</v>
      </c>
      <c r="Q23" s="78" t="e">
        <v>#N/A</v>
      </c>
      <c r="R23" s="42" t="e">
        <v>#N/A</v>
      </c>
      <c r="S23" s="42" t="e">
        <v>#N/A</v>
      </c>
      <c r="T23" s="52" t="e">
        <v>#N/A</v>
      </c>
      <c r="U23" s="12"/>
      <c r="V23" s="12"/>
    </row>
    <row r="24" spans="9:34" x14ac:dyDescent="0.2">
      <c r="I24" s="227"/>
      <c r="J24" s="227"/>
      <c r="L24" s="55" t="e">
        <v>#N/A</v>
      </c>
      <c r="O24" s="40" t="e">
        <v>#N/A</v>
      </c>
      <c r="P24" s="41" t="e">
        <v>#N/A</v>
      </c>
      <c r="Q24" s="78" t="e">
        <v>#N/A</v>
      </c>
      <c r="R24" s="42" t="e">
        <v>#N/A</v>
      </c>
      <c r="S24" s="42" t="e">
        <v>#N/A</v>
      </c>
      <c r="T24" s="52" t="e">
        <v>#N/A</v>
      </c>
      <c r="U24" s="12"/>
      <c r="V24" s="12"/>
    </row>
    <row r="25" spans="9:34" x14ac:dyDescent="0.2">
      <c r="L25" s="55" t="e">
        <v>#N/A</v>
      </c>
      <c r="O25" s="40" t="e">
        <v>#N/A</v>
      </c>
      <c r="P25" s="41" t="e">
        <v>#N/A</v>
      </c>
      <c r="Q25" s="78" t="e">
        <v>#N/A</v>
      </c>
      <c r="R25" s="42" t="e">
        <v>#N/A</v>
      </c>
      <c r="S25" s="42" t="e">
        <v>#N/A</v>
      </c>
      <c r="T25" s="52" t="e">
        <v>#N/A</v>
      </c>
      <c r="U25" s="12"/>
      <c r="V25" s="12"/>
    </row>
    <row r="26" spans="9:34" x14ac:dyDescent="0.2">
      <c r="I26" s="227"/>
      <c r="J26" s="227"/>
      <c r="L26" s="55" t="e">
        <v>#N/A</v>
      </c>
      <c r="O26" s="40" t="e">
        <v>#N/A</v>
      </c>
      <c r="P26" s="41" t="e">
        <v>#N/A</v>
      </c>
      <c r="Q26" s="78" t="e">
        <v>#N/A</v>
      </c>
      <c r="R26" s="42" t="e">
        <v>#N/A</v>
      </c>
      <c r="S26" s="42" t="e">
        <v>#N/A</v>
      </c>
      <c r="T26" s="52" t="e">
        <v>#N/A</v>
      </c>
      <c r="U26" s="12"/>
      <c r="V26" s="12"/>
    </row>
    <row r="27" spans="9:34" x14ac:dyDescent="0.2">
      <c r="L27" s="56" t="e">
        <v>#N/A</v>
      </c>
      <c r="O27" s="48" t="e">
        <v>#N/A</v>
      </c>
      <c r="P27" s="49" t="e">
        <v>#N/A</v>
      </c>
      <c r="Q27" s="79" t="e">
        <v>#N/A</v>
      </c>
      <c r="R27" s="50" t="e">
        <v>#N/A</v>
      </c>
      <c r="S27" s="50" t="e">
        <v>#N/A</v>
      </c>
      <c r="T27" s="53" t="e">
        <v>#N/A</v>
      </c>
      <c r="U27" s="12"/>
      <c r="V27" s="12"/>
    </row>
    <row r="28" spans="9:34" x14ac:dyDescent="0.2">
      <c r="I28" s="227"/>
      <c r="J28" s="227"/>
    </row>
    <row r="29" spans="9:34" x14ac:dyDescent="0.2">
      <c r="O29" s="214" t="str">
        <f>"Delta "&amp;$J$1</f>
        <v>Delta 1Y</v>
      </c>
      <c r="P29" s="260"/>
      <c r="Q29" s="215"/>
      <c r="R29" s="215"/>
      <c r="S29" s="261"/>
      <c r="T29" s="261"/>
      <c r="U29" s="261"/>
      <c r="V29" s="261"/>
      <c r="W29" s="216"/>
    </row>
    <row r="30" spans="9:34" x14ac:dyDescent="0.2">
      <c r="I30" s="227"/>
      <c r="J30" s="227"/>
      <c r="O30" s="262" t="str">
        <f>J1&amp;" Instruments"</f>
        <v>1Y Instruments</v>
      </c>
      <c r="P30" s="262" t="s">
        <v>96</v>
      </c>
      <c r="Q30" s="262" t="s">
        <v>97</v>
      </c>
      <c r="R30" s="262" t="s">
        <v>122</v>
      </c>
      <c r="S30" s="262" t="str">
        <f>"F "&amp;J1</f>
        <v>F 1Y</v>
      </c>
      <c r="T30" s="262" t="s">
        <v>125</v>
      </c>
      <c r="U30" s="262" t="s">
        <v>123</v>
      </c>
      <c r="V30" s="262" t="s">
        <v>124</v>
      </c>
      <c r="W30" s="263" t="s">
        <v>126</v>
      </c>
      <c r="X30" s="142" t="s">
        <v>134</v>
      </c>
    </row>
    <row r="31" spans="9:34" x14ac:dyDescent="0.2">
      <c r="M31" s="264">
        <v>0</v>
      </c>
      <c r="N31" s="264">
        <f>M31+12</f>
        <v>12</v>
      </c>
      <c r="O31" s="83" t="str">
        <f>M31&amp;"x"&amp;N31</f>
        <v>0x12</v>
      </c>
      <c r="P31" s="84">
        <f>_xll.qlCalendarAdvance(Calendar,SettlementDate,M31&amp;"M","mf")</f>
        <v>42138</v>
      </c>
      <c r="Q31" s="84">
        <f>_xll.qlInterestRateIndexMaturity(IborIndex1Y,P31)</f>
        <v>42506</v>
      </c>
      <c r="R31" s="93">
        <f>_xll.qlDayCounterYearFraction(DayCounter,P31,Q31,,,Trigger)</f>
        <v>1.0222222222222221</v>
      </c>
      <c r="S31" s="94">
        <f>_xll.qlIndexFixing(IborIndex1Y,_xll.qlInterestRateIndexFixingDate(IborIndex1Y,P31,Trigger),TRUE,AllTriggers)</f>
        <v>1.709999999999864E-3</v>
      </c>
      <c r="T31" s="94">
        <f>(U31/V31-1)/R31</f>
        <v>-1.2365159296481251E-3</v>
      </c>
      <c r="U31" s="95">
        <f>_xll.qlYieldTSDiscount(Discounting,P31,,AllTriggers)</f>
        <v>1.0000055555787037</v>
      </c>
      <c r="V31" s="95">
        <f>_xll.qlYieldTSDiscount(Discounting,Q31,,AllTriggers)</f>
        <v>1.00127115637423</v>
      </c>
      <c r="W31" s="102">
        <f>LN((1+S31*R31)/(1+T31*R31))</f>
        <v>3.0112676017131522E-3</v>
      </c>
      <c r="X31" s="94">
        <f>S31-T31</f>
        <v>2.946515929647989E-3</v>
      </c>
    </row>
    <row r="32" spans="9:34" x14ac:dyDescent="0.2">
      <c r="I32" s="227"/>
      <c r="J32" s="227"/>
      <c r="M32" s="264">
        <f>M31+12</f>
        <v>12</v>
      </c>
      <c r="N32" s="264">
        <f t="shared" ref="N32:N36" si="1">M32+12</f>
        <v>24</v>
      </c>
      <c r="O32" s="85" t="str">
        <f t="shared" ref="O32:O36" si="2">M32&amp;"x"&amp;N32</f>
        <v>12x24</v>
      </c>
      <c r="P32" s="86">
        <f>_xll.qlCalendarAdvance(Calendar,SettlementDate,M32&amp;"M","mf")</f>
        <v>42506</v>
      </c>
      <c r="Q32" s="86">
        <f>_xll.qlInterestRateIndexMaturity(IborIndex1Y,P32)</f>
        <v>42871</v>
      </c>
      <c r="R32" s="89">
        <f>_xll.qlDayCounterYearFraction(DayCounter,P32,Q32,,,Trigger)</f>
        <v>1.0138888888888888</v>
      </c>
      <c r="S32" s="11">
        <f>_xll.qlIndexFixing(IborIndex1Y,_xll.qlInterestRateIndexFixingDate(IborIndex1Y,P32,Trigger),TRUE,AllTriggers)</f>
        <v>2.3099999999998577E-3</v>
      </c>
      <c r="T32" s="11">
        <f t="shared" ref="T32:T36" si="3">(U32/V32-1)/R32</f>
        <v>-7.7971426641719639E-4</v>
      </c>
      <c r="U32" s="90">
        <f>_xll.qlYieldTSDiscount(Discounting,P32,,AllTriggers)</f>
        <v>1.00127115637423</v>
      </c>
      <c r="V32" s="90">
        <f>_xll.qlYieldTSDiscount(Discounting,Q32,,AllTriggers)</f>
        <v>1.0020633311587652</v>
      </c>
      <c r="W32" s="103">
        <f t="shared" ref="W32:W36" si="4">LN((1+S32*R32)/(1+T32*R32))</f>
        <v>3.1302012066690408E-3</v>
      </c>
      <c r="X32" s="11">
        <f t="shared" ref="X32:X36" si="5">S32-T32</f>
        <v>3.0897142664170541E-3</v>
      </c>
    </row>
    <row r="33" spans="9:24" x14ac:dyDescent="0.2">
      <c r="M33" s="264">
        <f t="shared" ref="M33:M36" si="6">M32+12</f>
        <v>24</v>
      </c>
      <c r="N33" s="264">
        <f t="shared" si="1"/>
        <v>36</v>
      </c>
      <c r="O33" s="85" t="str">
        <f t="shared" si="2"/>
        <v>24x36</v>
      </c>
      <c r="P33" s="86">
        <f>_xll.qlCalendarAdvance(Calendar,SettlementDate,M33&amp;"M","mf")</f>
        <v>42870</v>
      </c>
      <c r="Q33" s="86">
        <f>_xll.qlInterestRateIndexMaturity(IborIndex1Y,P33)</f>
        <v>43235</v>
      </c>
      <c r="R33" s="89">
        <f>_xll.qlDayCounterYearFraction(DayCounter,P33,Q33,,,Trigger)</f>
        <v>1.0138888888888888</v>
      </c>
      <c r="S33" s="11">
        <f>_xll.qlIndexFixing(IborIndex1Y,_xll.qlInterestRateIndexFixingDate(IborIndex1Y,P33,Trigger),TRUE,AllTriggers)</f>
        <v>2.3099999999998577E-3</v>
      </c>
      <c r="T33" s="11">
        <f t="shared" si="3"/>
        <v>9.8122881164943473E-4</v>
      </c>
      <c r="U33" s="90">
        <f>_xll.qlYieldTSDiscount(Discounting,P33,,AllTriggers)</f>
        <v>1.0020634125529637</v>
      </c>
      <c r="V33" s="90">
        <f>_xll.qlYieldTSDiscount(Discounting,Q33,,AllTriggers)</f>
        <v>1.0010674935599453</v>
      </c>
      <c r="W33" s="103">
        <f t="shared" si="4"/>
        <v>1.3449824836944174E-3</v>
      </c>
      <c r="X33" s="11">
        <f t="shared" si="5"/>
        <v>1.328771188350423E-3</v>
      </c>
    </row>
    <row r="34" spans="9:24" x14ac:dyDescent="0.2">
      <c r="I34" s="227"/>
      <c r="J34" s="227"/>
      <c r="M34" s="264">
        <f t="shared" si="6"/>
        <v>36</v>
      </c>
      <c r="N34" s="264">
        <f t="shared" si="1"/>
        <v>48</v>
      </c>
      <c r="O34" s="85" t="str">
        <f t="shared" si="2"/>
        <v>36x48</v>
      </c>
      <c r="P34" s="86">
        <f>_xll.qlCalendarAdvance(Calendar,SettlementDate,M34&amp;"M","mf")</f>
        <v>43234</v>
      </c>
      <c r="Q34" s="86">
        <f>_xll.qlInterestRateIndexMaturity(IborIndex1Y,P34)</f>
        <v>43599</v>
      </c>
      <c r="R34" s="89">
        <f>_xll.qlDayCounterYearFraction(DayCounter,P34,Q34,,,Trigger)</f>
        <v>1.0138888888888888</v>
      </c>
      <c r="S34" s="11">
        <f>_xll.qlIndexFixing(IborIndex1Y,_xll.qlInterestRateIndexFixingDate(IborIndex1Y,P34,Trigger),TRUE,AllTriggers)</f>
        <v>2.3099999999998577E-3</v>
      </c>
      <c r="T34" s="11">
        <f t="shared" si="3"/>
        <v>3.4637511375918881E-3</v>
      </c>
      <c r="U34" s="90">
        <f>_xll.qlYieldTSDiscount(Discounting,P34,,AllTriggers)</f>
        <v>1.0010734464104056</v>
      </c>
      <c r="V34" s="90">
        <f>_xll.qlYieldTSDiscount(Discounting,Q34,,AllTriggers)</f>
        <v>0.99757012101002018</v>
      </c>
      <c r="W34" s="103">
        <f t="shared" si="4"/>
        <v>-1.1663616846611863E-3</v>
      </c>
      <c r="X34" s="11">
        <f t="shared" si="5"/>
        <v>-1.1537511375920304E-3</v>
      </c>
    </row>
    <row r="35" spans="9:24" x14ac:dyDescent="0.2">
      <c r="M35" s="264">
        <f t="shared" si="6"/>
        <v>48</v>
      </c>
      <c r="N35" s="264">
        <f t="shared" si="1"/>
        <v>60</v>
      </c>
      <c r="O35" s="85" t="str">
        <f t="shared" si="2"/>
        <v>48x60</v>
      </c>
      <c r="P35" s="86">
        <f>_xll.qlCalendarAdvance(Calendar,SettlementDate,M35&amp;"M","mf")</f>
        <v>43599</v>
      </c>
      <c r="Q35" s="86">
        <f>_xll.qlInterestRateIndexMaturity(IborIndex1Y,P35)</f>
        <v>43965</v>
      </c>
      <c r="R35" s="91">
        <f>_xll.qlDayCounterYearFraction(DayCounter,P35,Q35,,,Trigger)</f>
        <v>1.0166666666666666</v>
      </c>
      <c r="S35" s="92">
        <f>_xll.qlIndexFixing(IborIndex1Y,_xll.qlInterestRateIndexFixingDate(IborIndex1Y,P35,Trigger),TRUE,AllTriggers)</f>
        <v>2.3100074054865825E-3</v>
      </c>
      <c r="T35" s="11">
        <f t="shared" si="3"/>
        <v>6.0807997314847899E-3</v>
      </c>
      <c r="U35" s="90">
        <f>_xll.qlYieldTSDiscount(Discounting,P35,,AllTriggers)</f>
        <v>0.99757012101002018</v>
      </c>
      <c r="V35" s="90">
        <f>_xll.qlYieldTSDiscount(Discounting,Q35,,AllTriggers)</f>
        <v>0.99144088829788635</v>
      </c>
      <c r="W35" s="103">
        <f t="shared" si="4"/>
        <v>-3.8173612263980292E-3</v>
      </c>
      <c r="X35" s="11">
        <f t="shared" si="5"/>
        <v>-3.7707923259982074E-3</v>
      </c>
    </row>
    <row r="36" spans="9:24" x14ac:dyDescent="0.2">
      <c r="I36" s="227"/>
      <c r="J36" s="227"/>
      <c r="M36" s="264">
        <f t="shared" si="6"/>
        <v>60</v>
      </c>
      <c r="N36" s="264">
        <f t="shared" si="1"/>
        <v>72</v>
      </c>
      <c r="O36" s="87" t="str">
        <f t="shared" si="2"/>
        <v>60x72</v>
      </c>
      <c r="P36" s="88">
        <f>_xll.qlCalendarAdvance(Calendar,SettlementDate,M36&amp;"M","mf")</f>
        <v>43965</v>
      </c>
      <c r="Q36" s="88">
        <f>_xll.qlInterestRateIndexMaturity(IborIndex1Y,P36)</f>
        <v>44330</v>
      </c>
      <c r="R36" s="96">
        <f>_xll.qlDayCounterYearFraction(DayCounter,P36,Q36,,,Trigger)</f>
        <v>1.0138888888888888</v>
      </c>
      <c r="S36" s="97">
        <f>_xll.qlIndexFixing(IborIndex1Y,_xll.qlInterestRateIndexFixingDate(IborIndex1Y,P36,Trigger),TRUE,AllTriggers)</f>
        <v>2.3099999999998577E-3</v>
      </c>
      <c r="T36" s="98">
        <f t="shared" si="3"/>
        <v>8.9956226210114489E-3</v>
      </c>
      <c r="U36" s="99">
        <f>_xll.qlYieldTSDiscount(Discounting,P36,,AllTriggers)</f>
        <v>0.99144088829788635</v>
      </c>
      <c r="V36" s="99">
        <f>_xll.qlYieldTSDiscount(Discounting,Q36,,AllTriggers)</f>
        <v>0.98248011764398402</v>
      </c>
      <c r="W36" s="104">
        <f t="shared" si="4"/>
        <v>-6.7398757485610779E-3</v>
      </c>
      <c r="X36" s="98">
        <f t="shared" si="5"/>
        <v>-6.6856226210115915E-3</v>
      </c>
    </row>
    <row r="37" spans="9:24" x14ac:dyDescent="0.2">
      <c r="O37" s="264"/>
      <c r="P37" s="264"/>
      <c r="Q37" s="265"/>
      <c r="R37" s="265"/>
      <c r="S37" s="265"/>
      <c r="T37" s="266"/>
      <c r="U37" s="264"/>
      <c r="V37" s="266"/>
      <c r="W37" s="267"/>
      <c r="X37" s="266"/>
    </row>
    <row r="38" spans="9:24" x14ac:dyDescent="0.2">
      <c r="I38" s="227"/>
      <c r="J38" s="227"/>
    </row>
  </sheetData>
  <dataValidations count="4">
    <dataValidation type="list" allowBlank="1" showInputMessage="1" showErrorMessage="1" sqref="F5:F10">
      <formula1>"Annual,Semiannual,EveryFourthMonth,Quarterly,Bimonthly,Monthly,Biweekly,Weekly,Daily,Once,NoFrequency"</formula1>
    </dataValidation>
    <dataValidation type="list" allowBlank="1" showInputMessage="1" showErrorMessage="1" sqref="H5:H1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10">
      <formula1>"Following,Modified Following,Preceding,Modified Preceding,Month End Reference,Unadjusted Month End,Unadjusted"</formula1>
    </dataValidation>
    <dataValidation type="list" allowBlank="1" showInputMessage="1" showErrorMessage="1" sqref="R3:R1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59</vt:i4>
      </vt:variant>
    </vt:vector>
  </HeadingPairs>
  <TitlesOfParts>
    <vt:vector size="69" baseType="lpstr">
      <vt:lpstr>General Settings</vt:lpstr>
      <vt:lpstr>6MSynthDepo_used</vt:lpstr>
      <vt:lpstr>6MSynthDepo_allScenario</vt:lpstr>
      <vt:lpstr>3MSynthDepo_used</vt:lpstr>
      <vt:lpstr>3MSynthDepo_allScenario</vt:lpstr>
      <vt:lpstr>1MSynthDepo</vt:lpstr>
      <vt:lpstr>1YSynthDepo</vt:lpstr>
      <vt:lpstr>SynthFra</vt:lpstr>
      <vt:lpstr>Delta 1M</vt:lpstr>
      <vt:lpstr>1Y Delta</vt:lpstr>
      <vt:lpstr>Accuracy</vt:lpstr>
      <vt:lpstr>AllTriggers</vt:lpstr>
      <vt:lpstr>'3MSynthDepo_used'!Basis_coef</vt:lpstr>
      <vt:lpstr>'6MSynthDepo_used'!Basis_coef</vt:lpstr>
      <vt:lpstr>BasisInterpolation</vt:lpstr>
      <vt:lpstr>BasisInterpolator</vt:lpstr>
      <vt:lpstr>Calendar</vt:lpstr>
      <vt:lpstr>'1Y Delta'!Conventions</vt:lpstr>
      <vt:lpstr>'Delta 1M'!Conventions</vt:lpstr>
      <vt:lpstr>Currency</vt:lpstr>
      <vt:lpstr>DayCounter</vt:lpstr>
      <vt:lpstr>Delta1M</vt:lpstr>
      <vt:lpstr>Delta1Y</vt:lpstr>
      <vt:lpstr>Discounting</vt:lpstr>
      <vt:lpstr>EvaluationDate</vt:lpstr>
      <vt:lpstr>FileOverwrite</vt:lpstr>
      <vt:lpstr>GENERAL_SETTINGS</vt:lpstr>
      <vt:lpstr>iborindex1M</vt:lpstr>
      <vt:lpstr>IborIndex1Y</vt:lpstr>
      <vt:lpstr>IborTenor</vt:lpstr>
      <vt:lpstr>IborTenor1M</vt:lpstr>
      <vt:lpstr>IborType</vt:lpstr>
      <vt:lpstr>InterestRatesTrigger</vt:lpstr>
      <vt:lpstr>'1MSynthDepo'!interpolator3M</vt:lpstr>
      <vt:lpstr>'1YSynthDepo'!interpolator3M</vt:lpstr>
      <vt:lpstr>InterpolatorID</vt:lpstr>
      <vt:lpstr>'3MSynthDepo_allScenario'!IsSimple</vt:lpstr>
      <vt:lpstr>'6MSynthDepo_allScenario'!IsSimple</vt:lpstr>
      <vt:lpstr>LastFixingsTrigger</vt:lpstr>
      <vt:lpstr>LastUpdate</vt:lpstr>
      <vt:lpstr>'3MSynthDepo_allScenario'!Linear_with</vt:lpstr>
      <vt:lpstr>'6MSynthDepo_allScenario'!Linear_with</vt:lpstr>
      <vt:lpstr>'3MSynthDepo_allScenario'!Linear_without</vt:lpstr>
      <vt:lpstr>'6MSynthDepo_allScenario'!Linear_without</vt:lpstr>
      <vt:lpstr>LiveDataFeed</vt:lpstr>
      <vt:lpstr>NDays</vt:lpstr>
      <vt:lpstr>ObjectOverwrite</vt:lpstr>
      <vt:lpstr>OisCurve</vt:lpstr>
      <vt:lpstr>OisEngine</vt:lpstr>
      <vt:lpstr>ON_3M_index</vt:lpstr>
      <vt:lpstr>ON_6M_index</vt:lpstr>
      <vt:lpstr>OvernightIndex</vt:lpstr>
      <vt:lpstr>Permanent</vt:lpstr>
      <vt:lpstr>PriceTickValue</vt:lpstr>
      <vt:lpstr>'3MSynthDepo_allScenario'!Quadratic_with</vt:lpstr>
      <vt:lpstr>'6MSynthDepo_allScenario'!Quadratic_with</vt:lpstr>
      <vt:lpstr>'3MSynthDepo_allScenario'!Quadratic_without</vt:lpstr>
      <vt:lpstr>'6MSynthDepo_allScenario'!Quadratic_without</vt:lpstr>
      <vt:lpstr>QuoteSuffix</vt:lpstr>
      <vt:lpstr>RateTickValue</vt:lpstr>
      <vt:lpstr>SerializationPath</vt:lpstr>
      <vt:lpstr>Serialize</vt:lpstr>
      <vt:lpstr>SettlementDate</vt:lpstr>
      <vt:lpstr>'3MSynthDepo_used'!TenorBasis6M</vt:lpstr>
      <vt:lpstr>TenorBasis6M</vt:lpstr>
      <vt:lpstr>TraitsID</vt:lpstr>
      <vt:lpstr>Trigger</vt:lpstr>
      <vt:lpstr>TriggerCounter</vt:lpstr>
      <vt:lpstr>YieldCurve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cp:lastPrinted>2014-03-18T13:51:31Z</cp:lastPrinted>
  <dcterms:created xsi:type="dcterms:W3CDTF">2007-10-30T15:41:10Z</dcterms:created>
  <dcterms:modified xsi:type="dcterms:W3CDTF">2015-06-19T16:02:02Z</dcterms:modified>
</cp:coreProperties>
</file>